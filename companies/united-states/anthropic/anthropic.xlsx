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bookViews>
    <workbookView xWindow="0" yWindow="-20980" windowWidth="38400" windowHeight="20980" activeTab="12" xr2:uid="{00000000-000D-0000-FFFF-FFFF00000000}"/>
  </bookViews>
  <sheets>
    <sheet name="00_Cover" sheetId="1" r:id="rId1"/>
    <sheet name="IS_Hist" sheetId="2" r:id="rId2"/>
    <sheet name="CI_Hist" sheetId="3" r:id="rId3"/>
    <sheet name="BS_Hist" sheetId="4" r:id="rId4"/>
    <sheet name="CF_Hist" sheetId="5" r:id="rId5"/>
    <sheet name="SCE_Hist" sheetId="6" r:id="rId6"/>
    <sheet name="Quarterly_Hist" sheetId="7" r:id="rId7"/>
    <sheet name="Revenue_Hist" sheetId="8" r:id="rId8"/>
    <sheet name="Cap_Table" sheetId="9" r:id="rId9"/>
    <sheet name="Assumptions" sheetId="10" r:id="rId10"/>
    <sheet name="Interim_Bridge" sheetId="11" r:id="rId11"/>
    <sheet name="Schedules" sheetId="12" r:id="rId12"/>
    <sheet name="Forecast_3Stmt" sheetId="13" r:id="rId13"/>
    <sheet name="Debt_Credit" sheetId="14" r:id="rId14"/>
    <sheet name="Market_Package" sheetId="15" r:id="rId15"/>
    <sheet name="DCF" sheetId="16" r:id="rId16"/>
    <sheet name="Valuation" sheetId="17" r:id="rId17"/>
    <sheet name="Sensitivity" sheetId="18" r:id="rId18"/>
    <sheet name="Scenario_Summary" sheetId="19" r:id="rId19"/>
    <sheet name="Limitations" sheetId="20" r:id="rId20"/>
    <sheet name="Checks" sheetId="21" r:id="rId21"/>
    <sheet name="FormatRules" sheetId="22" r:id="rId22"/>
    <sheet name="Claude Code Log" sheetId="23" r:id="rId2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<sst xmlns="http://schemas.openxmlformats.org/spreadsheetml/2006/main" count="1758" uniqueCount="1049">
  <si>
    <t>Anthropic, PBC | Financial model: statements as filed in the Form S-1, forecast 2026E-2035E, valuation and credit</t>
  </si>
  <si>
    <t>Built 27 Oct 2026 from the Form S-1 filed with the SEC on 26 Oct 2026 (CIK 0002130357, accession 0001628280-26-067168).</t>
  </si>
  <si>
    <t>What this workbook holds</t>
  </si>
  <si>
    <t>Every line of the statements in the S-1: fiscal 2023 to 2025 (audited) and the six months to 30 June 2025 and 2026 (unaudited).</t>
  </si>
  <si>
    <t>Quarterly results, revenue by pricing model and region, costs by function, non-GAAP measures and the capital structure.</t>
  </si>
  <si>
    <t>Forecast 2026E-2035E with Base, Bull and Bear (switch: Assumptions!C5); valuation (DCF, comparables, funding marks, reverse DCF); credit view.</t>
  </si>
  <si>
    <t>Reference price: the Series H price in the S-1, US$589.0095 per preferred share = US$58.90 per common share. No IPO price exists yet.</t>
  </si>
  <si>
    <t>How to read it</t>
  </si>
  <si>
    <t>Units: USD millions, except per-share amounts (USD) and share counts (stated on each sheet).</t>
  </si>
  <si>
    <t>Signs follow the filing. A number in parentheses in the filing is negative here.</t>
  </si>
  <si>
    <t>Blue numbers are typed from the S-1 or are inputs. Black numbers are formulas. Green numbers link to another sheet.</t>
  </si>
  <si>
    <t>Column M on the year sheets is for your comments. Column N shows the source or the derivation.</t>
  </si>
  <si>
    <t>The thin vertical line separates actual and forecast columns.</t>
  </si>
  <si>
    <t>Master check (all checks on the Checks sheet)</t>
  </si>
  <si>
    <t>Key outputs (active scenario unless stated)</t>
  </si>
  <si>
    <t>Value</t>
  </si>
  <si>
    <t>Active scenario</t>
  </si>
  <si>
    <t>Series H price per common share (USD)</t>
  </si>
  <si>
    <t>DCF value per share, perpetuity (USD)</t>
  </si>
  <si>
    <t>Against the Series H price</t>
  </si>
  <si>
    <t>Probability-weighted DCF value, Bear 25% / Base 50% / Bull 25% (USD)</t>
  </si>
  <si>
    <t>Revenue CAGR 2026E-2035E the Series H price needs (Base)</t>
  </si>
  <si>
    <t>Revenue 2026E (USD m)</t>
  </si>
  <si>
    <t>Revenue 2030E (USD m)</t>
  </si>
  <si>
    <t>Fully diluted shares (millions)</t>
  </si>
  <si>
    <t>Sheet</t>
  </si>
  <si>
    <t>What it shows</t>
  </si>
  <si>
    <t>IS_Hist</t>
  </si>
  <si>
    <t>Statements of operations as filed, with tie-out checks</t>
  </si>
  <si>
    <t>CI_Hist</t>
  </si>
  <si>
    <t>Statements of comprehensive loss as filed</t>
  </si>
  <si>
    <t>BS_Hist</t>
  </si>
  <si>
    <t>Balance sheets as filed (31 Dec 2024, 31 Dec 2025, 30 Jun 2026)</t>
  </si>
  <si>
    <t>CF_Hist</t>
  </si>
  <si>
    <t>Statements of cash flows as filed</t>
  </si>
  <si>
    <t>SCE_Hist</t>
  </si>
  <si>
    <t>Statements of preferred stock and stockholders' deficit as filed</t>
  </si>
  <si>
    <t>Quarterly_Hist</t>
  </si>
  <si>
    <t>Six quarters to Q2 2026 and adjusted operating income</t>
  </si>
  <si>
    <t>Revenue_Hist</t>
  </si>
  <si>
    <t>Revenue by pricing model and region, customers, costs by function, non-GAAP, key metrics, the Q3 2026 floor</t>
  </si>
  <si>
    <t>Cap_Table</t>
  </si>
  <si>
    <t>Shares outstanding, preferred as converted, options, RSUs, notes; fully diluted count; Series H price</t>
  </si>
  <si>
    <t>Assumptions</t>
  </si>
  <si>
    <t>Every forecast input: Base, Bull, Bear and the switch (C5)</t>
  </si>
  <si>
    <t>Interim_Bridge</t>
  </si>
  <si>
    <t>2026E = six months actual + second-half estimate; IPO conversion</t>
  </si>
  <si>
    <t>Schedules</t>
  </si>
  <si>
    <t>Capex and depreciation, loss carryforwards and taxes, working capital, unlevered free cash flow</t>
  </si>
  <si>
    <t>Forecast_3Stmt</t>
  </si>
  <si>
    <t>Integrated income statement, balance sheet and cash flow, 2025A and 2026E-2035E</t>
  </si>
  <si>
    <t>Debt_Credit</t>
  </si>
  <si>
    <t>Liquidity, debt-like items, signed commitments, credit metrics</t>
  </si>
  <si>
    <t>Market_Package</t>
  </si>
  <si>
    <t>Reference price, fully diluted value, cost of capital, peers</t>
  </si>
  <si>
    <t>DCF</t>
  </si>
  <si>
    <t>Unlevered free cash flow, perpetuity and exit-multiple values</t>
  </si>
  <si>
    <t>Valuation</t>
  </si>
  <si>
    <t>Comparables, funding marks, reverse DCF, football field, weighted value</t>
  </si>
  <si>
    <t>Sensitivity</t>
  </si>
  <si>
    <t>WACC x growth (live); revenue growth x compute cost (captured)</t>
  </si>
  <si>
    <t>Scenario_Summary</t>
  </si>
  <si>
    <t>Key outputs for Base, Bull and Bear</t>
  </si>
  <si>
    <t>Limitations</t>
  </si>
  <si>
    <t>What the model cannot tell you</t>
  </si>
  <si>
    <t>Checks</t>
  </si>
  <si>
    <t>All checks and the master check</t>
  </si>
  <si>
    <t>FormatRules</t>
  </si>
  <si>
    <t>Colours and styles: the OpenFinmods palette and the number colour code</t>
  </si>
  <si>
    <t>Claude Code Log</t>
  </si>
  <si>
    <t>Log of every scripted write</t>
  </si>
  <si>
    <t>Anthropic, PBC | Consolidated statements of operations, as filed in the Form S-1</t>
  </si>
  <si>
    <t>USD millions, except per-share amounts (USD) and share counts (thousands). Fiscal years audited; six-month periods unaudited. Source: Form S-1, 26 Oct 2026, page F-7.</t>
  </si>
  <si>
    <t>Fiscal year ends 31 December</t>
  </si>
  <si>
    <t>2023A</t>
  </si>
  <si>
    <t>2024A</t>
  </si>
  <si>
    <t>2025A</t>
  </si>
  <si>
    <t>6M 2025A</t>
  </si>
  <si>
    <t>6M 2026A</t>
  </si>
  <si>
    <t>Comentarios FG</t>
  </si>
  <si>
    <t>Source / derivation</t>
  </si>
  <si>
    <t>Revenue</t>
  </si>
  <si>
    <t>S-1 page F-7</t>
  </si>
  <si>
    <t>Operating expenses:</t>
  </si>
  <si>
    <t>Compute and infrastructure</t>
  </si>
  <si>
    <t>Personnel</t>
  </si>
  <si>
    <t>Bartz settlement</t>
  </si>
  <si>
    <t>Sales, marketing, and partnerships</t>
  </si>
  <si>
    <t>Other operating and administrative</t>
  </si>
  <si>
    <t>Total operating expenses</t>
  </si>
  <si>
    <t>Operating loss</t>
  </si>
  <si>
    <t>Interest income</t>
  </si>
  <si>
    <t>Change in fair value of convertible notes, derivative liabilities, and SAFEs</t>
  </si>
  <si>
    <t>Other income (expense), net</t>
  </si>
  <si>
    <t>Total other income (expense), net</t>
  </si>
  <si>
    <t>Loss before provision for income taxes</t>
  </si>
  <si>
    <t>Provision for income taxes</t>
  </si>
  <si>
    <t>Net loss</t>
  </si>
  <si>
    <t>Net loss per share attributable to common stockholders, basic and diluted</t>
  </si>
  <si>
    <t>Weighted-average shares outstanding, basic and diluted</t>
  </si>
  <si>
    <t>Checks: recomputed less filed (zero passes)</t>
  </si>
  <si>
    <t>Net loss per share (rounded to cents)</t>
  </si>
  <si>
    <t>Anthropic, PBC | Consolidated statements of comprehensive loss, as filed in the Form S-1</t>
  </si>
  <si>
    <t>USD millions. Source: Form S-1, 26 Oct 2026, page F-8.</t>
  </si>
  <si>
    <t>S-1 page F-8</t>
  </si>
  <si>
    <t>Other comprehensive income (loss):</t>
  </si>
  <si>
    <t>Net unrealized gain (loss) on available-for-sale securities, net of tax</t>
  </si>
  <si>
    <t>Foreign currency translation adjustments</t>
  </si>
  <si>
    <t>Other comprehensive income (loss)</t>
  </si>
  <si>
    <t>Comprehensive loss</t>
  </si>
  <si>
    <t>Net loss equals the statement of operations</t>
  </si>
  <si>
    <t>Anthropic, PBC | Consolidated balance sheets, as filed in the Form S-1</t>
  </si>
  <si>
    <t>USD millions. 31 December audited; 30 June 2026 unaudited. Source: Form S-1, 26 Oct 2026, pages F-5 and F-6.</t>
  </si>
  <si>
    <t>31 Dec 2024A</t>
  </si>
  <si>
    <t>31 Dec 2025A</t>
  </si>
  <si>
    <t>30 Jun 2026A</t>
  </si>
  <si>
    <t>Assets</t>
  </si>
  <si>
    <t>Current assets:</t>
  </si>
  <si>
    <t>Cash and cash equivalents</t>
  </si>
  <si>
    <t>S-1 pages F-5 and F-6</t>
  </si>
  <si>
    <t>Short-term investments</t>
  </si>
  <si>
    <t>Accounts receivable, net</t>
  </si>
  <si>
    <t>Prepaid expenses and other current assets</t>
  </si>
  <si>
    <t>Total current assets</t>
  </si>
  <si>
    <t>Restricted cash</t>
  </si>
  <si>
    <t>Property and equipment, net</t>
  </si>
  <si>
    <t>Operating lease right-of-use assets</t>
  </si>
  <si>
    <t>Goodwill</t>
  </si>
  <si>
    <t>Other assets, noncurrent</t>
  </si>
  <si>
    <t>Total assets</t>
  </si>
  <si>
    <t>Liabilities, Redeemable Convertible Preferred Stock, and Stockholders’ Deficit</t>
  </si>
  <si>
    <t>Current liabilities:</t>
  </si>
  <si>
    <t>Accounts payable, accrued expenses, and other current liabilities</t>
  </si>
  <si>
    <t>Operating lease liabilities, current</t>
  </si>
  <si>
    <t>Deferred revenue</t>
  </si>
  <si>
    <t>Total current liabilities</t>
  </si>
  <si>
    <t>Operating lease liabilities, noncurrent</t>
  </si>
  <si>
    <t>Convertible notes payable</t>
  </si>
  <si>
    <t>Other noncurrent liabilities</t>
  </si>
  <si>
    <t>Total liabilities</t>
  </si>
  <si>
    <t>Commitments and contingencies (Note 13)</t>
  </si>
  <si>
    <t>Redeemable convertible preferred stock</t>
  </si>
  <si>
    <t>Caption as filed: Redeemable convertible preferred stock, $0.00001 par value; 360,995, 728,289, and 1,040,441 shares authorized as of December 31, 2024 and 2025 and June 30, 2026 (unaudited), respectively; 220,219, 544,322, and 853,394 shares issued and outstanding as of December 31, 2024 and 2025 and June 30, 2026 (unaudited), respectively; aggregate liquidation preference of $2,874, $24,646, and $136,286 as of December 31, 2024 and 2025 and June 30, 2026 (unaudited), respectively</t>
  </si>
  <si>
    <t>Stockholders’ deficit:</t>
  </si>
  <si>
    <t>Class A common stock</t>
  </si>
  <si>
    <t>Caption as filed: Class A common stock, $0.00001 par value; 6,319,705, 8,162,757, and 10,991,000 shares authorized as of December 31, 2024 and 2025 and June 30, 2026 (unaudited), respectively; 1,779,060, 1,901,267, and 2,157,398 shares issued and outstanding as of December 31, 2024 and 2025 and June 30, 2026 (unaudited), respectively</t>
  </si>
  <si>
    <t>Class N common stock</t>
  </si>
  <si>
    <t>Caption as filed: Class N common stock, $0.00001 par value; 2,148,900, 5,547,243, and 7,044,000 shares authorized as of December 31, 2024 and 2025 and June 30, 2026 (unaudited), respectively; no shares issued and outstanding as of December 31, 2024 and 2025, and 30,643 shares issued and outstanding as of June 30, 2026 (unaudited)</t>
  </si>
  <si>
    <t>Class T common stock</t>
  </si>
  <si>
    <t>Caption as filed: Class T common stock, $0.00001 par value; 0 shares authorized and issued as of December 31, 2024 and 2025 and June 30, 2026 (unaudited)</t>
  </si>
  <si>
    <t>Additional paid-in capital</t>
  </si>
  <si>
    <t>Accumulated other comprehensive income (loss)</t>
  </si>
  <si>
    <t>Accumulated deficit</t>
  </si>
  <si>
    <t>Total stockholders’ deficit</t>
  </si>
  <si>
    <t>Total liabilities, redeemable convertible preferred stock, and stockholders’ deficit</t>
  </si>
  <si>
    <t>Memo: items used by the model</t>
  </si>
  <si>
    <t>Cash, cash equivalents and short-term investments</t>
  </si>
  <si>
    <t>Finance lease liabilities (inside other liabilities)</t>
  </si>
  <si>
    <t>S-1 Note 7: total finance lease liabilities 443 at 30 Jun 2026; none at 31 Dec 2025.</t>
  </si>
  <si>
    <t>Lease liabilities: operating (current and noncurrent) and finance</t>
  </si>
  <si>
    <t>Total stockholders' deficit</t>
  </si>
  <si>
    <t>Liabilities, preferred stock and deficit</t>
  </si>
  <si>
    <t>Balance: total assets less the other side</t>
  </si>
  <si>
    <t>Anthropic, PBC | Consolidated statements of cash flows, as filed in the Form S-1</t>
  </si>
  <si>
    <t>USD millions. Fiscal years audited; six-month periods unaudited. Source: Form S-1, 26 Oct 2026, pages F-12 and F-13.</t>
  </si>
  <si>
    <t>Cash flows from operating activities:</t>
  </si>
  <si>
    <t>S-1 pages F-12 and F-13</t>
  </si>
  <si>
    <t>Adjustments to reconcile net loss to net cash provided by (used in) operating activities:</t>
  </si>
  <si>
    <t>Stock-based compensation expense</t>
  </si>
  <si>
    <t>Depreciation and amortization</t>
  </si>
  <si>
    <t>Donation matching program liability</t>
  </si>
  <si>
    <t>Recognition and change in fair value of other financial instruments</t>
  </si>
  <si>
    <t>Other</t>
  </si>
  <si>
    <t>Changes in operating assets and liabilities:</t>
  </si>
  <si>
    <t>Prepaid expenses and other assets</t>
  </si>
  <si>
    <t>Accounts payable, accrued expenses, and other liabilities</t>
  </si>
  <si>
    <t>Lease liabilities</t>
  </si>
  <si>
    <t>Net cash provided by (used in) operating activities</t>
  </si>
  <si>
    <t>Cash flows from investing activities:</t>
  </si>
  <si>
    <t>Purchases of property and equipment</t>
  </si>
  <si>
    <t>Purchases of short-term investments</t>
  </si>
  <si>
    <t>Sales and maturities of short-term investments</t>
  </si>
  <si>
    <t>Other investing activities</t>
  </si>
  <si>
    <t>Net cash used in investing activities</t>
  </si>
  <si>
    <t>Cash flows from financing activities:</t>
  </si>
  <si>
    <t>Proceeds from issuance of redeemable convertible preferred stock, net of issuance costs</t>
  </si>
  <si>
    <t>Principal payments for finance leases</t>
  </si>
  <si>
    <t>Issuance of convertible notes for cash</t>
  </si>
  <si>
    <t>Proceeds from issuance of common stock</t>
  </si>
  <si>
    <t>Repurchase of common stock</t>
  </si>
  <si>
    <t>Issuance of SAFEs for cash</t>
  </si>
  <si>
    <t>Payment of deferred offering costs</t>
  </si>
  <si>
    <t>Net cash provided by financing activities</t>
  </si>
  <si>
    <t>Effect of exchange rate changes on cash, cash equivalents, and restricted cash</t>
  </si>
  <si>
    <t>Net increase in cash, cash equivalents, and restricted cash</t>
  </si>
  <si>
    <t>Cash, cash equivalents, and restricted cash at beginning of period</t>
  </si>
  <si>
    <t>Cash, cash equivalents, and restricted cash at end of period</t>
  </si>
  <si>
    <t>Net cash from operating activities</t>
  </si>
  <si>
    <t>Net cash from financing activities</t>
  </si>
  <si>
    <t>Net increase in cash</t>
  </si>
  <si>
    <t>Beginning cash plus increase less ending cash</t>
  </si>
  <si>
    <t>Ending cash equals balance sheet cash plus restricted cash</t>
  </si>
  <si>
    <t>2024A and 2025A against 31 December; 6M 2026A against 30 June 2026.</t>
  </si>
  <si>
    <t>Anthropic, PBC | Statements of redeemable convertible preferred stock and stockholders' deficit, as filed</t>
  </si>
  <si>
    <t>USD millions; share counts in thousands (after the 10-for-1 split of 17 Sep 2026). Source: Form S-1, 26 Oct 2026, pages F-9 to F-11.</t>
  </si>
  <si>
    <t>Line</t>
  </si>
  <si>
    <t>Preferred shares (k)</t>
  </si>
  <si>
    <t>Preferred amount</t>
  </si>
  <si>
    <t>Class A shares (k)</t>
  </si>
  <si>
    <t>Class A amount</t>
  </si>
  <si>
    <t>Class N shares (k)</t>
  </si>
  <si>
    <t>Class N amount</t>
  </si>
  <si>
    <t>Class T shares (k)</t>
  </si>
  <si>
    <t>Class T amount</t>
  </si>
  <si>
    <t>AOCI</t>
  </si>
  <si>
    <t>Fiscal years 2023 to 2025 (audited)</t>
  </si>
  <si>
    <t>Balance as of December 31, 2022</t>
  </si>
  <si>
    <t>S-1 pages F-9 to F-11</t>
  </si>
  <si>
    <t>Issuance of redeemable convertible preferred stock, net of issuance costs</t>
  </si>
  <si>
    <t>Conversion of SAFE note into redeemable convertible preferred stock</t>
  </si>
  <si>
    <t>Issuance of Class T common stock</t>
  </si>
  <si>
    <t>Issuance of Class A common stock upon exercise of stock options</t>
  </si>
  <si>
    <t>Balance as of December 31, 2023</t>
  </si>
  <si>
    <t>Conversion of SAFE notes into redeemable convertible preferred stock</t>
  </si>
  <si>
    <t>Balance as of December 31, 2024</t>
  </si>
  <si>
    <t>Conversion of convertible notes into redeemable convertible preferred stock</t>
  </si>
  <si>
    <t>Issuance of Class A common stock upon exercise of stock options and grants of restricted stock</t>
  </si>
  <si>
    <t>Repurchase of outstanding common stock</t>
  </si>
  <si>
    <t>Equity issued in connection with business acquisition</t>
  </si>
  <si>
    <t>Net unrealized gains on available-for-sale securities</t>
  </si>
  <si>
    <t>Balance as of December 31, 2025</t>
  </si>
  <si>
    <t>Six months ended 30 June 2025 (unaudited)</t>
  </si>
  <si>
    <t>Issuance of redeemable convertible preferred stock, net of issuance costs (unaudited)</t>
  </si>
  <si>
    <t>Conversion of convertible notes into redeemable convertible preferred stock (unaudited)</t>
  </si>
  <si>
    <t>Issuance of Class A common stock upon exercise of stock options and grants of restricted stock (unaudited)</t>
  </si>
  <si>
    <t>Repurchase of outstanding common stock (unaudited)</t>
  </si>
  <si>
    <t>Stock-based compensation expense (unaudited)</t>
  </si>
  <si>
    <t>Foreign currency translation adjustments (unaudited)</t>
  </si>
  <si>
    <t>Net loss (unaudited)</t>
  </si>
  <si>
    <t>Balance as of June 30, 2025 (unaudited)</t>
  </si>
  <si>
    <t>Six months ended 30 June 2026 (unaudited)</t>
  </si>
  <si>
    <t>Issuance of Class A common stock upon exercise of stock options, grants of restricted stock, and sales of common stock for cash (unaudited)</t>
  </si>
  <si>
    <t>Issuance of Class A common stock in connection with acquisitions (unaudited)</t>
  </si>
  <si>
    <t>Issuance of Class N common stock upon settlement of donation matching program liability (unaudited)</t>
  </si>
  <si>
    <t>Net unrealized loss on available-for-sale securities (unaudited)</t>
  </si>
  <si>
    <t>Other (unaudited)</t>
  </si>
  <si>
    <t>Balance as of June 30, 2026 (unaudited)</t>
  </si>
  <si>
    <t>Checks (zero passes)</t>
  </si>
  <si>
    <t>Total deficit = APIC + AOCI + accumulated deficit, 31 Dec 2024</t>
  </si>
  <si>
    <t>Preferred amount equals the balance sheet, 31 Dec 2024</t>
  </si>
  <si>
    <t>Total deficit equals the balance sheet, 31 Dec 2024</t>
  </si>
  <si>
    <t>Total deficit = APIC + AOCI + accumulated deficit, 31 Dec 2025</t>
  </si>
  <si>
    <t>Preferred amount equals the balance sheet, 31 Dec 2025</t>
  </si>
  <si>
    <t>Total deficit equals the balance sheet, 31 Dec 2025</t>
  </si>
  <si>
    <t>Total deficit = APIC + AOCI + accumulated deficit, 30 Jun 2026</t>
  </si>
  <si>
    <t>Preferred amount equals the balance sheet, 30 Jun 2026</t>
  </si>
  <si>
    <t>Total deficit equals the balance sheet, 30 Jun 2026</t>
  </si>
  <si>
    <t>Anthropic, PBC | Quarterly statements of operations and adjusted operating income, as filed</t>
  </si>
  <si>
    <t>USD millions. Unaudited. Source: Form S-1, 26 Oct 2026, MD&amp;A 'Quarterly Results of Operations'.</t>
  </si>
  <si>
    <t>Three months ended</t>
  </si>
  <si>
    <t>Q1 2025A</t>
  </si>
  <si>
    <t>Q2 2025A</t>
  </si>
  <si>
    <t>Q3 2025A</t>
  </si>
  <si>
    <t>Q4 2025A</t>
  </si>
  <si>
    <t>Q1 2026A</t>
  </si>
  <si>
    <t>Q2 2026A</t>
  </si>
  <si>
    <t>S-1 MD&amp;A, quarterly table</t>
  </si>
  <si>
    <t>Operating income (loss)</t>
  </si>
  <si>
    <t>Adjusted operating income (company definition, non-GAAP)</t>
  </si>
  <si>
    <t>S-1 MD&amp;A, quarterly non-GAAP table</t>
  </si>
  <si>
    <t>Non-cash charitable contributions</t>
  </si>
  <si>
    <t>Adjusted Operating Income (Loss)</t>
  </si>
  <si>
    <t>Ratios (derived)</t>
  </si>
  <si>
    <t>Revenue: growth on the prior quarter</t>
  </si>
  <si>
    <t>Compute and infrastructure: % of revenue</t>
  </si>
  <si>
    <t>Personnel: % of revenue</t>
  </si>
  <si>
    <t>Sales, marketing and partnerships: % of revenue</t>
  </si>
  <si>
    <t>Other operating and administrative: % of revenue</t>
  </si>
  <si>
    <t>Personnel excluding stock-based compensation: % of revenue</t>
  </si>
  <si>
    <t>Operating margin</t>
  </si>
  <si>
    <t>Adjusted operating margin (company definition)</t>
  </si>
  <si>
    <t>Adjusted operating income</t>
  </si>
  <si>
    <t>Quarters add up to the statements: rev</t>
  </si>
  <si>
    <t>B: Q1-Q4 2025 against FY2025; C: Q1-Q2 2025 against 6M 2025; D: Q1-Q2 2026 against 6M 2026.</t>
  </si>
  <si>
    <t>Quarters add up to the statements: comp</t>
  </si>
  <si>
    <t>Quarters add up to the statements: topex</t>
  </si>
  <si>
    <t>Quarters add up to the statements: nl</t>
  </si>
  <si>
    <t>Anthropic, PBC | Revenue, customers, costs by function and non-GAAP measures, as filed</t>
  </si>
  <si>
    <t>USD millions unless stated. Source: Form S-1, 26 Oct 2026: notes 2 and 3, the MD&amp;A and the business section.</t>
  </si>
  <si>
    <t>Revenue by pricing model (S-1 Note 3)</t>
  </si>
  <si>
    <t>Consumption-based</t>
  </si>
  <si>
    <t>S-1 Note 3</t>
  </si>
  <si>
    <t>Subscription-based</t>
  </si>
  <si>
    <t>Total</t>
  </si>
  <si>
    <t>Subscription-based: % of revenue</t>
  </si>
  <si>
    <t>Revenue by region, billing address of the customer (S-1 Note 3)</t>
  </si>
  <si>
    <t>United States</t>
  </si>
  <si>
    <t>International</t>
  </si>
  <si>
    <t>International: % of revenue</t>
  </si>
  <si>
    <t>Customers above 10% of revenue (S-1 Note 2; a dash means below 10%)</t>
  </si>
  <si>
    <t>Customer A</t>
  </si>
  <si>
    <t>S-1 Note 2, concentration of revenue</t>
  </si>
  <si>
    <t>Customer B</t>
  </si>
  <si>
    <t>Customer C</t>
  </si>
  <si>
    <t>Customer D</t>
  </si>
  <si>
    <t>Operating expenses by function (S-1 Note 2)</t>
  </si>
  <si>
    <t>Cost of revenue</t>
  </si>
  <si>
    <t>S-1 Note 2, expenses by function</t>
  </si>
  <si>
    <t>Research and development</t>
  </si>
  <si>
    <t>Sales and marketing</t>
  </si>
  <si>
    <t>General and administrative</t>
  </si>
  <si>
    <t>Gross margin: 1 - cost of revenue / revenue (derived)</t>
  </si>
  <si>
    <t>Research and development: % of revenue (derived)</t>
  </si>
  <si>
    <t>Adjusted operating income and adjusted net income (company definitions, non-GAAP; S-1 MD&amp;A)</t>
  </si>
  <si>
    <t>S-1 MD&amp;A, non-GAAP reconciliation</t>
  </si>
  <si>
    <t>Adjusted operating margin</t>
  </si>
  <si>
    <t>S-1 MD&amp;A, adjusted net income reconciliation</t>
  </si>
  <si>
    <t>Change in fair value of certain mark-to-market financial instruments</t>
  </si>
  <si>
    <t>Adjusted Net Income (Loss)</t>
  </si>
  <si>
    <t>Key metrics stated in the S-1 prose (as of 30 Sep 2026 unless stated)</t>
  </si>
  <si>
    <t>A year earlier</t>
  </si>
  <si>
    <t>Customers with US$100,000 or more of TTM revenue</t>
  </si>
  <si>
    <t>S-1: We had more than 11,900 customers with $100,000 or more of revenue on a TTM basis as of September 30, 2026, up from more than 950 as of September 30, 2025</t>
  </si>
  <si>
    <t>Customers with US$1 million or more of TTM revenue</t>
  </si>
  <si>
    <t>S-1: we had more than 1,900 customers with $1 million or more of revenue on a TTM basis</t>
  </si>
  <si>
    <t>Customers with US$10 million or more of TTM revenue (approximately)</t>
  </si>
  <si>
    <t>S-1: approximately 250 customers with $10 million or more of reve nue</t>
  </si>
  <si>
    <t>Customers above US$100,000 using Claude Platform and an application</t>
  </si>
  <si>
    <t>S-1: over 50% of our customers with $100,000 or more of revenue on a TTM basis used Claude Platform and at least one of our first-party applications, up from approximately 30%</t>
  </si>
  <si>
    <t>Net revenue retention (approximately)</t>
  </si>
  <si>
    <t>S-1: Net Revenue Retention of approximately 900% as of September 30, 2026</t>
  </si>
  <si>
    <t>Employees (approximately)</t>
  </si>
  <si>
    <t>S-1: As of September 30, 2026, with approximately 5,300 employees, our TTM revenue per employee was over $6.6 million</t>
  </si>
  <si>
    <t>TTM revenue per employee, 'over' (USD m)</t>
  </si>
  <si>
    <t>Third-quarter 2026 revenue: the floor the S-1 implies (derived)</t>
  </si>
  <si>
    <t>TTM revenue to 30 Sep 2026, lower bound (employees x revenue per employee)</t>
  </si>
  <si>
    <t>5,300 x US$6.6m. Both figures are 'approximately' and 'over' in the S-1, so this is an estimate of a floor.</t>
  </si>
  <si>
    <t>Q3 2026 revenue, lower bound</t>
  </si>
  <si>
    <t>TTM floor less Q4 2025, Q1 2026 and Q2 2026 revenue (Quarterly_Hist). The S-1 leaves Q3 revenue blank.</t>
  </si>
  <si>
    <t>Deferred revenue roll-forward (S-1 Note 3)</t>
  </si>
  <si>
    <t>Revenue recognized from deferred revenue at the beginning of the period</t>
  </si>
  <si>
    <t>Amounts billed or received in advance and not recognized as revenue and other</t>
  </si>
  <si>
    <t>Revenue recognized from deferred revenue at the beginning of the period (unaudited)</t>
  </si>
  <si>
    <t>Amounts billed or received in advance and not recognized as revenue and other (unaudited)</t>
  </si>
  <si>
    <t>Revenue by pricing model adds to total</t>
  </si>
  <si>
    <t>Revenue by pricing model equals the statement</t>
  </si>
  <si>
    <t>Revenue by region equals the statement</t>
  </si>
  <si>
    <t>Expenses by function equal total operating expenses</t>
  </si>
  <si>
    <t>Adjusted operating income recomputed</t>
  </si>
  <si>
    <t>Operating loss equals the statement</t>
  </si>
  <si>
    <t>Anthropic, PBC | Capital structure, fully diluted shares and the Series H reference price</t>
  </si>
  <si>
    <t>Shares in thousands unless stated, after the 10-for-1 split of common stock on 17 Sep 2026. Source: Form S-1, 26 Oct 2026 (balance sheet captions, Notes 10 and 11).</t>
  </si>
  <si>
    <t>Item</t>
  </si>
  <si>
    <t>Price (USD)</t>
  </si>
  <si>
    <t>A. Common stock outstanding, 30 Jun 2026</t>
  </si>
  <si>
    <t>Balance sheet caption: 2,157,398 thousand issued and outstanding</t>
  </si>
  <si>
    <t>Class N common stock (non-voting)</t>
  </si>
  <si>
    <t>Balance sheet caption: 30,643 thousand</t>
  </si>
  <si>
    <t>Common shares outstanding</t>
  </si>
  <si>
    <t>B. Redeemable convertible preferred stock, as converted into common (Note 10)</t>
  </si>
  <si>
    <t>Series A</t>
  </si>
  <si>
    <t>Note 10: common stock reserved, as-if converted, 30 Jun 2026</t>
  </si>
  <si>
    <t>Series B</t>
  </si>
  <si>
    <t>Series C-1</t>
  </si>
  <si>
    <t>Series C-2</t>
  </si>
  <si>
    <t>Series D-1</t>
  </si>
  <si>
    <t>Series D-2</t>
  </si>
  <si>
    <t>Series D-3</t>
  </si>
  <si>
    <t>Series E-1</t>
  </si>
  <si>
    <t>Series E-2</t>
  </si>
  <si>
    <t>Series E-3</t>
  </si>
  <si>
    <t>Series E-4</t>
  </si>
  <si>
    <t>Series E-5</t>
  </si>
  <si>
    <t>Series F-1</t>
  </si>
  <si>
    <t>Series F-2</t>
  </si>
  <si>
    <t>Series F-3</t>
  </si>
  <si>
    <t>Series F-4</t>
  </si>
  <si>
    <t>Series G-1</t>
  </si>
  <si>
    <t>Series G-2</t>
  </si>
  <si>
    <t>Series G-3</t>
  </si>
  <si>
    <t>Series G-4</t>
  </si>
  <si>
    <t>Series H-1</t>
  </si>
  <si>
    <t>Series H-2</t>
  </si>
  <si>
    <t>Series H-3</t>
  </si>
  <si>
    <t>Series H-4</t>
  </si>
  <si>
    <t>Preferred stock as converted</t>
  </si>
  <si>
    <t>Conversion ratio 10:1, Series D about 10.4-10.6:1 after anti-dilution adjustments (Note 10).</t>
  </si>
  <si>
    <t>C. Other dilutive securities, 30 Jun 2026</t>
  </si>
  <si>
    <t>Convertible notes (Amazon): Class N shares issuable on conversion</t>
  </si>
  <si>
    <t>MD&amp;A table: 1,840,444,962 shares at conversion prices US$2.0928 and US$5.0478; principal US$6,203m.</t>
  </si>
  <si>
    <t>Stock options outstanding</t>
  </si>
  <si>
    <t>Note 11: weighted-average exercise price US$2.89.</t>
  </si>
  <si>
    <t>Stock options, net shares by the treasury method at the Series H price</t>
  </si>
  <si>
    <t>Options x (1 - exercise price / reference price).</t>
  </si>
  <si>
    <t>Restricted stock units outstanding</t>
  </si>
  <si>
    <t>Note 11: vest at the IPO for the service already given.</t>
  </si>
  <si>
    <t>Holdback shares (acquisitions)</t>
  </si>
  <si>
    <t>Note 12 anti-dilutive table.</t>
  </si>
  <si>
    <t>Shares available under the donation matching plan</t>
  </si>
  <si>
    <t>Note 10: reserved for the employee donation matching program; issued as donations are matched.</t>
  </si>
  <si>
    <t>Include the donation matching reserve (1 = yes, 0 = no)</t>
  </si>
  <si>
    <t>Analyst choice. With it, the count matches the US$965bn Series H post-money within about 1%.</t>
  </si>
  <si>
    <t>Fully diluted shares (thousands)</t>
  </si>
  <si>
    <t>D. Reference price: the Series H round (S-1)</t>
  </si>
  <si>
    <t>Series H-1 and H-2 price per preferred share (USD)</t>
  </si>
  <si>
    <t>S-1 Note 10: 'at a price of $589.0095 per share, for aggregate gross proceeds of $65.2 billion' (second quarter of 2026).</t>
  </si>
  <si>
    <t>Common shares per preferred share</t>
  </si>
  <si>
    <t>Conversion ratio 10:1 after the split (Note 10).</t>
  </si>
  <si>
    <t>Equity value at the Series H price (USD m)</t>
  </si>
  <si>
    <t>Memo: Series H post-money announced by the company (USD m)</t>
  </si>
  <si>
    <t>Company blog and Reuters, 28 May 2026: Series H at US$965bn post-money. Not in the S-1; memo check of the share count only</t>
  </si>
  <si>
    <t>Share count check: equity at the Series H price / post-money - 1</t>
  </si>
  <si>
    <t>E. Original issue price by series (Note 10, 30 Jun 2026)</t>
  </si>
  <si>
    <t>Shares out (k)</t>
  </si>
  <si>
    <t>Price per preferred</t>
  </si>
  <si>
    <t>Per common share = price / 10</t>
  </si>
  <si>
    <t>Carrying value US$125m; liquidation preference US$125m.</t>
  </si>
  <si>
    <t>Carrying value US$982m; liquidation preference US$982m.</t>
  </si>
  <si>
    <t>Carrying value US$296m; liquidation preference US$296m.</t>
  </si>
  <si>
    <t>Carrying value US$150m; liquidation preference US$150m.</t>
  </si>
  <si>
    <t>Carrying value US$1,042m; liquidation preference US$1,051m.</t>
  </si>
  <si>
    <t>Carrying value US$133m; liquidation preference US$120m.</t>
  </si>
  <si>
    <t>Carrying value US$146m; liquidation preference US$150m.</t>
  </si>
  <si>
    <t>Carrying value US$3,549m; liquidation preference US$3,568m.</t>
  </si>
  <si>
    <t>Carrying value US$4,728m; liquidation preference US$1,994m.</t>
  </si>
  <si>
    <t>Carrying value US$856m; liquidation preference US$710m.</t>
  </si>
  <si>
    <t>Carrying value US$986m; liquidation preference US$774m.</t>
  </si>
  <si>
    <t>Carrying value US$1,598m; liquidation preference US$1,292m.</t>
  </si>
  <si>
    <t>Carrying value US$12,999m; liquidation preference US$13,000m.</t>
  </si>
  <si>
    <t>Carrying value US$2,179m; liquidation preference US$434m.</t>
  </si>
  <si>
    <t>Carrying value US$23,454m; liquidation preference US$23,455m.</t>
  </si>
  <si>
    <t>Carrying value US$33,558m; liquidation preference US$21,749m.</t>
  </si>
  <si>
    <t>Carrying value US$4,571m; liquidation preference US$430m.</t>
  </si>
  <si>
    <t>Carrying value US$928m; liquidation preference US$775m.</t>
  </si>
  <si>
    <t>Carrying value US$45,728m; liquidation preference US$45,729m.</t>
  </si>
  <si>
    <t>Carrying value US$19,502m; liquidation preference US$19,502m.</t>
  </si>
  <si>
    <t>F. Fair value of common stock used for option grants (Note 11)</t>
  </si>
  <si>
    <t>Low (USD)</t>
  </si>
  <si>
    <t>High (USD)</t>
  </si>
  <si>
    <t>Note 11, weighted-average assumptions table</t>
  </si>
  <si>
    <t>Six months to 30 Jun 2026</t>
  </si>
  <si>
    <t>RSUs granted in the six months to 30 Jun 2026: grant-date fair value (USD)</t>
  </si>
  <si>
    <t>Note 11, RSU activity table</t>
  </si>
  <si>
    <t>Preferred as converted equals the anti-dilutive table (8,558,869)</t>
  </si>
  <si>
    <t>Class A and N shares equal the equity statement</t>
  </si>
  <si>
    <t>Anthropic, PBC | Assumptions and scenarios</t>
  </si>
  <si>
    <t>Blue cells are inputs. Each driver has Base, Bull and Bear rows; the Active row follows the switch in C5. USD millions unless stated.</t>
  </si>
  <si>
    <t>Actual</t>
  </si>
  <si>
    <t>Forecast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</si>
  <si>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</si>
  <si>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</si>
  <si>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</si>
  <si>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</si>
  <si>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</si>
  <si>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</si>
  <si>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</si>
  <si>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</si>
  <si>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</si>
  <si>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</si>
  <si>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Scenario switch: 1 = Base, 2 = Bull, 3 = Bear</t>
  </si>
  <si>
    <t>Same convention as the house templates (Supuestos!C5).</t>
  </si>
  <si>
    <t>A. Second half of 2026 and valuation inputs (one value per scenario)</t>
  </si>
  <si>
    <t>Active</t>
  </si>
  <si>
    <t>Base</t>
  </si>
  <si>
    <t>Bull</t>
  </si>
  <si>
    <t>Bear</t>
  </si>
  <si>
    <t>Q3 2026E revenue (USD m)</t>
  </si>
  <si>
    <t>S-1 floor: TTM revenue per employee 'over $6.6 million' x about 5,300 employees = TTM revenue above US$34,980m, so Q3 2026 is above US$16,654m (Revenue_Hist). Bear = the floor. Press: July 2026 run-rate above US$65bn (Reuters, 17 Aug 2026; not in the S-1).</t>
  </si>
  <si>
    <t>Q4 2026E revenue (USD m)</t>
  </si>
  <si>
    <t>Base +20% on Q3 2026E; Bull +32%; Bear +5%. Q2 2026 grew 144% on Q1 (S-1). Analyst input.</t>
  </si>
  <si>
    <t>H2 2026E compute and infrastructure: % of revenue</t>
  </si>
  <si>
    <t>Q2 2026 48.1% (S-1); the S-1 expects more short-term compute in the near term. Analyst input.</t>
  </si>
  <si>
    <t>H2 2026E personnel, cash part: % of revenue</t>
  </si>
  <si>
    <t>Q2 2026 5.2% (S-1). Analyst input.</t>
  </si>
  <si>
    <t>H2 2026E sales, marketing and partnerships: % of revenue</t>
  </si>
  <si>
    <t>Q2 2026 18.5% (S-1). Analyst input.</t>
  </si>
  <si>
    <t>H2 2026E other operating and administrative: % of revenue</t>
  </si>
  <si>
    <t>Q2 2026 8.9% (S-1). Analyst input.</t>
  </si>
  <si>
    <t>Terminal growth (after 2035E)</t>
  </si>
  <si>
    <t>Below the 10-year Treasury yield (5.00%); near long-run nominal GDP. Analyst input.</t>
  </si>
  <si>
    <t>Terminal return on new invested capital</t>
  </si>
  <si>
    <t>Reinvestment = growth / ROIC (Damodaran). Mature software and platform returns 20%-40%. Analyst input.</t>
  </si>
  <si>
    <t>Exit EV / EBITDA multiple (2035E)</t>
  </si>
  <si>
    <t>Cross-check only. AI platform peers today: Microsoft 20.6x, Alphabet 21.7x, Meta 14.2x LTM EV/EBITDA (stockanalysis.com, 26 Oct 2026). A 2035 exit sees lower growth. Analyst input.</t>
  </si>
  <si>
    <t>B. Inputs that do not change with the scenario</t>
  </si>
  <si>
    <t>H2 2026E stock-based compensation before the IPO catch-up (USD m)</t>
  </si>
  <si>
    <t>Q2 2026 1,261 (S-1), about 1,300 a quarter.</t>
  </si>
  <si>
    <t>Q4 2026E one-off RSU charge at the IPO (USD m)</t>
  </si>
  <si>
    <t>S-1: of US$26.6bn unrecognized RSU cost at 30 Jun 2026, 'US$2.9 billion relates to RSUs for which the service-based vesting condition had been satisfied or partially satisfied'; recorded when the S-1 becomes effective. Assumes an IPO before 31 Dec 2026.</t>
  </si>
  <si>
    <t>H2 2026E capital expenditures incl. finance-lease principal (USD m)</t>
  </si>
  <si>
    <t>6M 2026 482 plus 148 accrued, unpaid (S-1). Anthropic Direct ramps. Analyst input.</t>
  </si>
  <si>
    <t>H2 2026E change in fair value of notes and other financial items (USD m)</t>
  </si>
  <si>
    <t>Non-cash; stops when the notes convert at the IPO. The S-1 gives no estimate. Set to zero (no effect on cash or value).</t>
  </si>
  <si>
    <t>IPO primary proceeds to the company (USD m)</t>
  </si>
  <si>
    <t>Price range and share count blank in the S-1. Kept at zero: new shares sold near fair value change value per share very little.</t>
  </si>
  <si>
    <t>Interest income yield on cash and short-term investments</t>
  </si>
  <si>
    <t>6M 2026 realized about 2.9% on average balances (S-1); 3-month bill 4.22% (Treasury, 26 Oct 2026). Analyst input.</t>
  </si>
  <si>
    <t>Cash tax rate on taxable income after loss carryforwards</t>
  </si>
  <si>
    <t>US federal 21%; state taxes offset by research credits (S-1 tax note: R&amp;D credit deferred tax asset 656). Analyst input.</t>
  </si>
  <si>
    <t>Deferred tax asset for net operating losses, 31 Dec 2025 (USD m)</t>
  </si>
  <si>
    <t>S-1 income tax note (fully reserved by the valuation allowance).</t>
  </si>
  <si>
    <t>Share of taxable income that loss carryforwards can offset</t>
  </si>
  <si>
    <t>US federal limit for losses arising after 2017.</t>
  </si>
  <si>
    <t>Accounts receivable: % of revenue</t>
  </si>
  <si>
    <t>30 Jun 2026: 5,833 / (2 x 6M revenue 16,286) = 17.9% (S-1).</t>
  </si>
  <si>
    <t>Prepaid expenses and other current assets: % of revenue</t>
  </si>
  <si>
    <t>30 Jun 2026: 496 / 32,572 = 1.5% (S-1).</t>
  </si>
  <si>
    <t>Deferred revenue: % of revenue</t>
  </si>
  <si>
    <t>30 Jun 2026: 1,650 / 32,572 = 5.1% (S-1).</t>
  </si>
  <si>
    <t>Accounts payable and accrued: % of compute and infrastructure</t>
  </si>
  <si>
    <t>30 Jun 2026: 5,422 / (2 x 8,945) = 30.3% (S-1); mostly cloud provider payables.</t>
  </si>
  <si>
    <t>Average life of property and equipment (years)</t>
  </si>
  <si>
    <t>Servers and network 4-6 years, leasehold improvements longer (S-1 accounting policies). Analyst input.</t>
  </si>
  <si>
    <t>Sensitivity: revenue growth shift, all years 2027E-2035E (pp)</t>
  </si>
  <si>
    <t>Keep at 0. The Sensitivity sheet moves it.</t>
  </si>
  <si>
    <t>Sensitivity: compute cost shift, all years 2027E-2035E (pp of revenue)</t>
  </si>
  <si>
    <t>Net operating loss carryforwards, 31 Dec 2025, estimate (USD m)</t>
  </si>
  <si>
    <t>Deferred tax asset / 21%. The S-1 gives the tax asset, not the gross loss; mixed federal and state rates make this an estimate.</t>
  </si>
  <si>
    <t>C. Drivers by year (Base, Bull, Bear and the active row)</t>
  </si>
  <si>
    <t>Revenue: growth on a year earlier</t>
  </si>
  <si>
    <t>2025A +1,088%; 6M 2026 +1,300% (S-1). The S-1 says growth will decline, possibly fast. Base 2027E: Q4 2026E run-rate (US$84bn) plus about 35% growth over 2027. Base 2028E (US$182bn) sits below the US$190-200bn the company reportedly gave investors (Reuters, 15 Aug 2026; not in the S-1); Bull reaches it. Analyst input.</t>
  </si>
  <si>
    <t>2025A 159.8%; 6M 2026 54.9%; Q2 2026 48.1% (S-1). The S-1 warns that margins may compress as new compute comes online and as short-term compute rises. Includes CSP fees and all depreciation of owned infrastructure. Analyst input.</t>
  </si>
  <si>
    <t>Personnel, cash part (excluding stock-based compensation): % of revenue</t>
  </si>
  <si>
    <t>Q2 2026: personnel 1,857 less stock-based compensation 1,261 = 596, or 5.2% of revenue (S-1 quarterly tables). About 5,300 employees at 30 Sep 2026 (S-1). Analyst input.</t>
  </si>
  <si>
    <t>Stock-based compensation: % of revenue</t>
  </si>
  <si>
    <t>6M 2026 13.4%. Unrecognized at 30 Jun 2026: RSUs US$26.6bn, options US$2.8bn (S-1); RSU expense starts at the IPO. Base 2027E = US$11.4bn. Treated as a real cost in the DCF (not added back). Analyst input.</t>
  </si>
  <si>
    <t>6M 2026 19% (S-1: 'sales, marketing, and partnerships expenses representing 19% of revenue'); Q2 2026 18.5%. Includes fees paid to cloud partners. Analyst input.</t>
  </si>
  <si>
    <t>6M 2026 10.5%; Q2 2026 8.9% (S-1). Includes non-cash charitable contributions (donation matching). Analyst input.</t>
  </si>
  <si>
    <t>Capital expenditures incl. finance-lease principal: % of revenue</t>
  </si>
  <si>
    <t>6M 2026 3.0% (purchases of property and equipment 482, S-1). Anthropic Direct (leased chips in dedicated facilities, S-1) raises owned and finance-leased infrastructure. Bear: commitments are fixed 12-18 months ahead (S-1), so spend falls slower than revenue. Analyst input.</t>
  </si>
  <si>
    <t>Anthropic, PBC | 2026E bridge: six months actual plus a second-half estimate</t>
  </si>
  <si>
    <t>6M columns link to the S-1 statements; H2 2026E comes from the inputs on Assumptions. Balance sheet rows: 6M 2026A = 30 Jun 2026, FY2026E = 31 Dec 2026E. USD millions.</t>
  </si>
  <si>
    <t>H2 2026E</t>
  </si>
  <si>
    <t>FY2026E</t>
  </si>
  <si>
    <t>H2 2025A</t>
  </si>
  <si>
    <t>FY2025A</t>
  </si>
  <si>
    <t>Income statement</t>
  </si>
  <si>
    <t>Q3 2026E revenue</t>
  </si>
  <si>
    <t>Q4 2026E revenue</t>
  </si>
  <si>
    <t>Stock-based compensation (memo; inside personnel)</t>
  </si>
  <si>
    <t>H2 2026E includes the one-off RSU charge at the IPO.</t>
  </si>
  <si>
    <t>Personnel, cash part (memo)</t>
  </si>
  <si>
    <t>Depreciation and amortization (memo; inside the costs above)</t>
  </si>
  <si>
    <t>H2 2026E: (PP&amp;E at 30 Jun 2026 + half the H2 capex) / average life x half a year.</t>
  </si>
  <si>
    <t>Non-cash charitable contributions (memo)</t>
  </si>
  <si>
    <t>Adjusted operating income (company definition)</t>
  </si>
  <si>
    <t>Change in fair value of notes and other items</t>
  </si>
  <si>
    <t>Income (loss) before income taxes</t>
  </si>
  <si>
    <t>FY2026E tax from the loss-carryforward schedule (Schedules) less the six-month actual.</t>
  </si>
  <si>
    <t>Net income (loss)</t>
  </si>
  <si>
    <t>Cash flow (6M 2026A as filed; H2 2026E from the rows above and the balance sheet below)</t>
  </si>
  <si>
    <t>Stock-based compensation</t>
  </si>
  <si>
    <t>Fair value changes and other non-cash items</t>
  </si>
  <si>
    <t>Changes in operating assets and liabilities</t>
  </si>
  <si>
    <t>Capital expenditures</t>
  </si>
  <si>
    <t>Other investing (excluding short-term investment flows)</t>
  </si>
  <si>
    <t>6M 2026A: Series G and H proceeds US$110.4bn. H2 2026E: IPO primary proceeds input (zero).</t>
  </si>
  <si>
    <t>Restricted cash, exchange rates and investment marks (balancing item)</t>
  </si>
  <si>
    <t>6M 2026A: restricted cash rose 2,516 (Broadcom and lease deposits), FX -5, investment marks 11.</t>
  </si>
  <si>
    <t>Net change in cash and short-term investments</t>
  </si>
  <si>
    <t>Cash and short-term investments, beginning</t>
  </si>
  <si>
    <t>Cash and short-term investments, ending</t>
  </si>
  <si>
    <t>Balance sheet: 30 Jun 2026A (column B) to 31 Dec 2026E (column D)</t>
  </si>
  <si>
    <t>Cash and short-term investments</t>
  </si>
  <si>
    <t>Accounts receivable</t>
  </si>
  <si>
    <t>Restricted cash, lease assets, goodwill and other assets</t>
  </si>
  <si>
    <t>Held flat.</t>
  </si>
  <si>
    <t>Accounts payable, accrued and other current liabilities</t>
  </si>
  <si>
    <t>Operating lease and other noncurrent liabilities</t>
  </si>
  <si>
    <t>Convert into 1,840m Class N shares at the IPO (S-1), assumed before 31 Dec 2026.</t>
  </si>
  <si>
    <t>Converts into common stock at the IPO (S-1).</t>
  </si>
  <si>
    <t>Stockholders' equity (deficit)</t>
  </si>
  <si>
    <t>Adds H2 net income, stock-based compensation, the notes at conversion value and the preferred stock.</t>
  </si>
  <si>
    <t>Total liabilities, preferred stock and equity</t>
  </si>
  <si>
    <t>Balance sheet balances</t>
  </si>
  <si>
    <t>6M 2026 operating cash flow equals the S-1</t>
  </si>
  <si>
    <t>6M 2026 net loss equals the S-1</t>
  </si>
  <si>
    <t>6M 2025 net loss equals the S-1</t>
  </si>
  <si>
    <t>Anthropic, PBC | Schedules: capex and depreciation, loss carryforwards and taxes, working capital, unlevered free cash flow</t>
  </si>
  <si>
    <t>2026E is the full year (six months actual plus the H2 estimate). USD millions.</t>
  </si>
  <si>
    <t>A. Capital expenditures and property and equipment</t>
  </si>
  <si>
    <t>% of revenue</t>
  </si>
  <si>
    <t>Property and equipment, beginning</t>
  </si>
  <si>
    <t>(Beginning PP&amp;E + half the year's capex) / average life.</t>
  </si>
  <si>
    <t>Other additions (finance-lease assets, acquisitions, accrued capex)</t>
  </si>
  <si>
    <t>2026E: balancing item to the 31 Dec 2026E balance (6M 2026: finance-lease assets 445, accrued capex 148).</t>
  </si>
  <si>
    <t>Property and equipment, ending</t>
  </si>
  <si>
    <t>B. Loss carryforwards and cash taxes</t>
  </si>
  <si>
    <t>Taxable income before loss carryforwards (operating income + interest income)</t>
  </si>
  <si>
    <t>Fair value changes on the notes are treated as neither taxable nor deductible.</t>
  </si>
  <si>
    <t>Loss carryforwards, beginning</t>
  </si>
  <si>
    <t>Used</t>
  </si>
  <si>
    <t>Added</t>
  </si>
  <si>
    <t>Loss carryforwards, ending</t>
  </si>
  <si>
    <t>Cash taxes</t>
  </si>
  <si>
    <t>Taxes / income before taxes</t>
  </si>
  <si>
    <t>C. Working capital</t>
  </si>
  <si>
    <t>Net working capital (receivables + prepaid - payables - deferred revenue)</t>
  </si>
  <si>
    <t>Increase in net working capital</t>
  </si>
  <si>
    <t>D. Unlevered free cash flow (stock-based compensation treated as a cash cost)</t>
  </si>
  <si>
    <t>Operating income</t>
  </si>
  <si>
    <t>Taxes on operating income</t>
  </si>
  <si>
    <t>Cash taxes allocated between operating and interest income.</t>
  </si>
  <si>
    <t>Net operating profit after tax</t>
  </si>
  <si>
    <t>Change in working capital</t>
  </si>
  <si>
    <t>Unlevered free cash flow</t>
  </si>
  <si>
    <t>Taxes equal the income statement (2027E onward)</t>
  </si>
  <si>
    <t>Change in working capital equals the cash flow statement</t>
  </si>
  <si>
    <t>Anthropic, PBC | Income statement, balance sheet and cash flow, 2025A and 2026E-2035E</t>
  </si>
  <si>
    <t>2025A links to the S-1; 2026E links to Interim_Bridge; 2027E onward from Assumptions (active scenario). USD millions.</t>
  </si>
  <si>
    <t>Growth</t>
  </si>
  <si>
    <t>Stock-based compensation (memo)</t>
  </si>
  <si>
    <t>Yield x beginning cash and short-term investments.</t>
  </si>
  <si>
    <t>Stops after the notes convert at the IPO.</t>
  </si>
  <si>
    <t>Net margin</t>
  </si>
  <si>
    <t>Memo: non-cash costs and company measures</t>
  </si>
  <si>
    <t>Depreciation and amortization (inside the costs above)</t>
  </si>
  <si>
    <t>EBITDA (operating income + D&amp;A)</t>
  </si>
  <si>
    <t>Adjusted operating income (company definition: + stock-based compensation and one-offs)</t>
  </si>
  <si>
    <t>Balance sheet (31 December)</t>
  </si>
  <si>
    <t>Cash flow</t>
  </si>
  <si>
    <t>No new equity or debt after the IPO in the forecast; no dividends or buybacks.</t>
  </si>
  <si>
    <t>Restricted cash, exchange rates and investment marks</t>
  </si>
  <si>
    <t>Balancing item in actual periods.</t>
  </si>
  <si>
    <t>Free cash flow (operating cash flow less capex)</t>
  </si>
  <si>
    <t>Free cash flow margin</t>
  </si>
  <si>
    <t>Cash roll-forward</t>
  </si>
  <si>
    <t>2025A net income equals the S-1</t>
  </si>
  <si>
    <t>2025A operating cash flow equals the S-1</t>
  </si>
  <si>
    <t>Anthropic, PBC | Liquidity, obligations and credit metrics</t>
  </si>
  <si>
    <t>No financial debt after the IPO: the convertible notes and preferred stock convert into common stock. USD millions.</t>
  </si>
  <si>
    <t>A. Liquidity</t>
  </si>
  <si>
    <t>Revolving credit facility (A&amp;R, September 2026), undrawn</t>
  </si>
  <si>
    <t>S-1: 'a $15 billion senior secured revolving credit facility'; matures 4 Sep 2031; one financial covenant; in compliance at 30 Jun 2026.</t>
  </si>
  <si>
    <t>Liquidity</t>
  </si>
  <si>
    <t>Memo: Google 2026 note purchase agreement, available</t>
  </si>
  <si>
    <t>S-1 MD&amp;A table; draw period to December 2030.</t>
  </si>
  <si>
    <t>Memo: Amazon 2026 note purchase agreement, available</t>
  </si>
  <si>
    <t>S-1 MD&amp;A table.</t>
  </si>
  <si>
    <t>Memo: Infrastructure partner (Broadcom) 2026 agreement, available</t>
  </si>
  <si>
    <t>S-1 MD&amp;A table; finances infrastructure.</t>
  </si>
  <si>
    <t>Memo: strategic financing capacity, total</t>
  </si>
  <si>
    <t>B. Debt and debt-like items</t>
  </si>
  <si>
    <t>Convertible notes payable (fair value)</t>
  </si>
  <si>
    <t>Principal US$6,203m; converts into 1,840m Class N shares at the IPO; counted in the fully diluted shares, not as debt.</t>
  </si>
  <si>
    <t>Lease liabilities (operating and finance)</t>
  </si>
  <si>
    <t>Financial debt after the IPO</t>
  </si>
  <si>
    <t>Revolver undrawn; notes convert.</t>
  </si>
  <si>
    <t>Net cash after the IPO (cash + short-term investments - leases - debt)</t>
  </si>
  <si>
    <t>C. Signed commitments, 31 Dec 2025 (S-1 Note 13; the 30 Sep 2026 total is blank in the S-1)</t>
  </si>
  <si>
    <t>Non-cancelable contractual commitments, mostly compute</t>
  </si>
  <si>
    <t>Thereafter</t>
  </si>
  <si>
    <t>Total non-cancelable commitments</t>
  </si>
  <si>
    <t>Commitments add to the S-1 total (54,559)</t>
  </si>
  <si>
    <t>Operating lease payments, undiscounted, 30 Jun 2026</t>
  </si>
  <si>
    <t>S-1 Note 7 maturity table.</t>
  </si>
  <si>
    <t>Finance lease payments, undiscounted, 30 Jun 2026</t>
  </si>
  <si>
    <t>Cash and short-term investments / commitments due in 2026 and 2027 (x)</t>
  </si>
  <si>
    <t>Commitments signed after 31 Dec 2025 are not in this number.</t>
  </si>
  <si>
    <t>D. Credit metrics by year (active scenario)</t>
  </si>
  <si>
    <t>EBITDA</t>
  </si>
  <si>
    <t>Lease and other noncurrent liabilities</t>
  </si>
  <si>
    <t>Net cash (cash - leases and other - notes)</t>
  </si>
  <si>
    <t>Net cash / revenue</t>
  </si>
  <si>
    <t>Free cash flow</t>
  </si>
  <si>
    <t>Operating cash flow / capex (x)</t>
  </si>
  <si>
    <t>Debt / EBITDA after the IPO (x)</t>
  </si>
  <si>
    <t>E. Credit view</t>
  </si>
  <si>
    <t>No funded debt after the IPO. Liquidity at 30 Jun 2026 was about US$147bn including the undrawn US$15bn revolver.</t>
  </si>
  <si>
    <t>The real fixed obligation is compute: US$54.6bn of signed commitments at 31 Dec 2025, procured 12 to 18 months ahead (S-1), and more signed since (the S-1 leaves the 30 Sep 2026 total blank).</t>
  </si>
  <si>
    <t>Customer concentration: two customers were 12% of 2025 revenue each; one was 11% of 6M 2026 revenue (S-1 Note 2).</t>
  </si>
  <si>
    <t>No credit rating found. The revolver is senior secured with a financial covenant (S-1).</t>
  </si>
  <si>
    <t>Anthropic, PBC | Market package: reference price, fully diluted value, cost of capital and peers</t>
  </si>
  <si>
    <t>Valuation date 27 Oct 2026; balance sheet date 30 Jun 2026. Peer data: stockanalysis.com, close of 26 Oct 2026 (saved pages in evidence/market). USD millions unless stated.</t>
  </si>
  <si>
    <t>A. Dates and reference price</t>
  </si>
  <si>
    <t>Valuation date</t>
  </si>
  <si>
    <t>Day after the S-1 filing.</t>
  </si>
  <si>
    <t>Balance sheet date</t>
  </si>
  <si>
    <t>Latest balance sheet in the S-1.</t>
  </si>
  <si>
    <t>Years from the balance sheet date to the valuation date</t>
  </si>
  <si>
    <t>Reference price: Series H price per common share (USD)</t>
  </si>
  <si>
    <t>US$589.0095 per preferred share / 10 (S-1). No IPO price range yet.</t>
  </si>
  <si>
    <t>Equity value at the reference price</t>
  </si>
  <si>
    <t>Less: cash and short-term investments, 30 Jun 2026</t>
  </si>
  <si>
    <t>Plus: lease liabilities, 30 Jun 2026</t>
  </si>
  <si>
    <t>Enterprise value at the reference price</t>
  </si>
  <si>
    <t>Revenue, next twelve months (Q4 2026E + 0.75 x 2027E)</t>
  </si>
  <si>
    <t>From the valuation date; active scenario.</t>
  </si>
  <si>
    <t>EV / revenue 2026E (x)</t>
  </si>
  <si>
    <t>EV / revenue, next twelve months (x)</t>
  </si>
  <si>
    <t>EV / revenue 2027E (x)</t>
  </si>
  <si>
    <t>EV / EBITDA 2028E (x)</t>
  </si>
  <si>
    <t>EV / EBITDA 2030E (x)</t>
  </si>
  <si>
    <t>B. Cost of capital</t>
  </si>
  <si>
    <t>Risk-free rate: 10-year US Treasury</t>
  </si>
  <si>
    <t>home.treasury.gov, daily par yield curve, 10-year, 26 Oct 2026 (as read for the Meta model, dated source snapshot)</t>
  </si>
  <si>
    <t>Equity risk premium</t>
  </si>
  <si>
    <t>A. Damodaran implied ERP with adjusted payout, Oct 2026, as quoted by yxinsights.com (same source as the Meta model). Alternative 3.70% (A. Damodaran implied ERP, blog, Oct 2026 (same source as the Meta model)).</t>
  </si>
  <si>
    <t>Beta: median of the 11 peers below</t>
  </si>
  <si>
    <t>No trading history for Anthropic. 5-year betas from stockanalysis.com.</t>
  </si>
  <si>
    <t>Cost of equity (CAPM)</t>
  </si>
  <si>
    <t>Debt weight</t>
  </si>
  <si>
    <t>No financial debt after the IPO; leases are small.</t>
  </si>
  <si>
    <t>WACC</t>
  </si>
  <si>
    <t>C. Peers (close of 26 Oct 2026)</t>
  </si>
  <si>
    <t>Company</t>
  </si>
  <si>
    <t>Ticker</t>
  </si>
  <si>
    <t>Market cap</t>
  </si>
  <si>
    <t>Enterprise value</t>
  </si>
  <si>
    <t>Forward P/S (x)</t>
  </si>
  <si>
    <t>EV / NTM revenue (x)</t>
  </si>
  <si>
    <t>Beta (5Y)</t>
  </si>
  <si>
    <t>Revenue growth, 3Y forecast</t>
  </si>
  <si>
    <t>Forward P/E (x)</t>
  </si>
  <si>
    <t>Group</t>
  </si>
  <si>
    <t>Source</t>
  </si>
  <si>
    <t>Microsoft</t>
  </si>
  <si>
    <t>MSFT</t>
  </si>
  <si>
    <t>AI platforms</t>
  </si>
  <si>
    <t>stockanalysis_msft_statistics_2026-10-27.html</t>
  </si>
  <si>
    <t>Alphabet</t>
  </si>
  <si>
    <t>GOOGL</t>
  </si>
  <si>
    <t>stockanalysis_googl_statistics_2026-10-27.html</t>
  </si>
  <si>
    <t>Amazon</t>
  </si>
  <si>
    <t>AMZN</t>
  </si>
  <si>
    <t>stockanalysis_amzn_statistics_2026-10-27.html</t>
  </si>
  <si>
    <t>Meta Platforms</t>
  </si>
  <si>
    <t>META</t>
  </si>
  <si>
    <t>stockanalysis_meta_statistics_2026-10-27.html</t>
  </si>
  <si>
    <t>NVIDIA</t>
  </si>
  <si>
    <t>NVDA</t>
  </si>
  <si>
    <t>stockanalysis_nvda_statistics_2026-10-27.html</t>
  </si>
  <si>
    <t>Oracle</t>
  </si>
  <si>
    <t>ORCL</t>
  </si>
  <si>
    <t>stockanalysis_orcl_statistics_2026-10-27.html</t>
  </si>
  <si>
    <t>Palantir</t>
  </si>
  <si>
    <t>PLTR</t>
  </si>
  <si>
    <t>High-growth software</t>
  </si>
  <si>
    <t>stockanalysis_pltr_statistics_2026-10-27.html</t>
  </si>
  <si>
    <t>Cloudflare</t>
  </si>
  <si>
    <t>NET</t>
  </si>
  <si>
    <t>stockanalysis_net_statistics_2026-10-27.html</t>
  </si>
  <si>
    <t>Snowflake</t>
  </si>
  <si>
    <t>SNOW</t>
  </si>
  <si>
    <t>stockanalysis_snow_statistics_2026-10-27.html</t>
  </si>
  <si>
    <t>CrowdStrike</t>
  </si>
  <si>
    <t>CRWD</t>
  </si>
  <si>
    <t>stockanalysis_crwd_statistics_2026-10-27.html</t>
  </si>
  <si>
    <t>Datadog</t>
  </si>
  <si>
    <t>DDOG</t>
  </si>
  <si>
    <t>stockanalysis_ddog_statistics_2026-10-27.html</t>
  </si>
  <si>
    <t>Anthropic, PBC | Discounted cash flow: unlevered free cash flow, perpetuity and exit multiple</t>
  </si>
  <si>
    <t>Cash flows from 1 Jul 2026, discounted to 30 Jun 2026 at mid-period, then rolled to the valuation date. Active scenario. USD millions except per share.</t>
  </si>
  <si>
    <t>Years from 30 Jun 2026 to mid-period</t>
  </si>
  <si>
    <t>Discount factor</t>
  </si>
  <si>
    <t>Present value</t>
  </si>
  <si>
    <t>Value (perpetuity growth method)</t>
  </si>
  <si>
    <t>Terminal growth</t>
  </si>
  <si>
    <t>Sum of present values, H2 2026E-2035E</t>
  </si>
  <si>
    <t>NOPAT 2036E (2035E x (1 + growth))</t>
  </si>
  <si>
    <t>Reinvestment rate (growth / ROIC)</t>
  </si>
  <si>
    <t>Terminal value at 31 Dec 2035</t>
  </si>
  <si>
    <t>Years from 30 Jun 2026 to 31 Dec 2035</t>
  </si>
  <si>
    <t>Present value of the terminal value</t>
  </si>
  <si>
    <t>Enterprise value at 30 Jun 2026</t>
  </si>
  <si>
    <t>Enterprise value at the valuation date</t>
  </si>
  <si>
    <t>Plus: cash and short-term investments, 30 Jun 2026</t>
  </si>
  <si>
    <t>Less: lease liabilities</t>
  </si>
  <si>
    <t>Equity value</t>
  </si>
  <si>
    <t>Value per share (USD)</t>
  </si>
  <si>
    <t>Value against the Series H price</t>
  </si>
  <si>
    <t>Terminal value share of enterprise value</t>
  </si>
  <si>
    <t>Implied EV / EBITDA 2035E at the terminal value (x)</t>
  </si>
  <si>
    <t>Value (exit multiple method, cross-check)</t>
  </si>
  <si>
    <t>Exit EV / EBITDA 2035E (x)</t>
  </si>
  <si>
    <t>Anthropic, PBC | Valuation: trading comparables, funding marks, reverse DCF and football field</t>
  </si>
  <si>
    <t>Per-share values in USD on the fully diluted count. Active scenario unless stated.</t>
  </si>
  <si>
    <t>A. Trading comparables: EV / revenue for the next twelve months</t>
  </si>
  <si>
    <t>Peer group</t>
  </si>
  <si>
    <t>25th percentile</t>
  </si>
  <si>
    <t>Median</t>
  </si>
  <si>
    <t>75th percentile</t>
  </si>
  <si>
    <t>AI platforms: EV / NTM revenue (x)</t>
  </si>
  <si>
    <t>Implied enterprise value</t>
  </si>
  <si>
    <t>Value per share</t>
  </si>
  <si>
    <t>High-growth software: EV / NTM revenue (x)</t>
  </si>
  <si>
    <t>Memo: Anthropic revenue growth, 2027E on 2026E</t>
  </si>
  <si>
    <t>Peers' 3-year revenue growth forecasts run 15%-61% (Market_Package); multiples of slower peers understate a company growing faster.</t>
  </si>
  <si>
    <t>B. Funding rounds and fair value marks per common share (S-1)</t>
  </si>
  <si>
    <t>Series F-1 price / 10 (2025)</t>
  </si>
  <si>
    <t>Series G-1 price / 10 (first quarter of 2026)</t>
  </si>
  <si>
    <t>Series H-1 price / 10 (second quarter of 2026)</t>
  </si>
  <si>
    <t>Common stock fair value for option grants, 6M 2026: low</t>
  </si>
  <si>
    <t>Common stock fair value for option grants, 6M 2026: high</t>
  </si>
  <si>
    <t>RSU grant-date fair value, 6M 2026</t>
  </si>
  <si>
    <t>C. Reverse DCF: revenue growth shift (all years 2027E-2035E) against value per share</t>
  </si>
  <si>
    <t>Growth shift (pp)</t>
  </si>
  <si>
    <t>Shift</t>
  </si>
  <si>
    <t>Revenue 2035E</t>
  </si>
  <si>
    <t>Revenue CAGR 2026E-2035E</t>
  </si>
  <si>
    <t>Shift of -10.0 pp</t>
  </si>
  <si>
    <t>Shift of -7.5 pp</t>
  </si>
  <si>
    <t>Shift of -5.0 pp</t>
  </si>
  <si>
    <t>Shift of -2.5 pp</t>
  </si>
  <si>
    <t>Shift of +0.0 pp</t>
  </si>
  <si>
    <t>Shift of +2.5 pp</t>
  </si>
  <si>
    <t>Shift of +5.0 pp</t>
  </si>
  <si>
    <t>Shift of +7.5 pp</t>
  </si>
  <si>
    <t>Shift of +10.0 pp</t>
  </si>
  <si>
    <t>Captured by the build</t>
  </si>
  <si>
    <t>MOG build 2026-10-27: Base scenario, compute shift 0</t>
  </si>
  <si>
    <t>Growth shift the Series H price needs (interpolated)</t>
  </si>
  <si>
    <t>Linear interpolation between the two grid points around the Series H price; Base scenario.</t>
  </si>
  <si>
    <t>Revenue 2035E at that shift (interpolated)</t>
  </si>
  <si>
    <t>Revenue CAGR 2026E-2035E the price needs</t>
  </si>
  <si>
    <t>Revenue CAGR 2026E-2035E in the active scenario</t>
  </si>
  <si>
    <t>D. Football field: value per share by method</t>
  </si>
  <si>
    <t>Method</t>
  </si>
  <si>
    <t>Low</t>
  </si>
  <si>
    <t>Mid</t>
  </si>
  <si>
    <t>High</t>
  </si>
  <si>
    <t>Low basis</t>
  </si>
  <si>
    <t>Mid basis</t>
  </si>
  <si>
    <t>High basis</t>
  </si>
  <si>
    <t>DCF, perpetuity growth</t>
  </si>
  <si>
    <t>Scenario_Summary (captured by the build)</t>
  </si>
  <si>
    <t>DCF, exit multiple</t>
  </si>
  <si>
    <t>Comparables, AI platforms</t>
  </si>
  <si>
    <t>25th pct</t>
  </si>
  <si>
    <t>75th pct</t>
  </si>
  <si>
    <t>Comparables, high-growth software</t>
  </si>
  <si>
    <t>Last two funding rounds</t>
  </si>
  <si>
    <t>Series G</t>
  </si>
  <si>
    <t>Series H</t>
  </si>
  <si>
    <t>Common stock fair value, 6M 2026</t>
  </si>
  <si>
    <t>Option low</t>
  </si>
  <si>
    <t>RSU grants</t>
  </si>
  <si>
    <t>Option high</t>
  </si>
  <si>
    <t>E. Probability-weighted DCF value (weights are a convention)</t>
  </si>
  <si>
    <t>Weight: Bear</t>
  </si>
  <si>
    <t>Weight: Base</t>
  </si>
  <si>
    <t>Weight: Bull</t>
  </si>
  <si>
    <t>Weighted value per share</t>
  </si>
  <si>
    <t>Weights add to 100%</t>
  </si>
  <si>
    <t>Anthropic, PBC | Sensitivity of value per share (USD)</t>
  </si>
  <si>
    <t>Table 1 is live (formulas, active scenario). Table 2 is captured by re-running the model in the build (Base scenario).</t>
  </si>
  <si>
    <t>Table 1. WACC (rows) against terminal growth (columns); perpetuity method, live</t>
  </si>
  <si>
    <t>WACC \ terminal growth</t>
  </si>
  <si>
    <t>Centre cell equals the DCF value per share</t>
  </si>
  <si>
    <t>Table 2. Revenue growth shift, all years 2027E-2035E (rows) against compute cost shift (columns); Base, captured</t>
  </si>
  <si>
    <t>Growth shift \ compute shift (pp of revenue)</t>
  </si>
  <si>
    <t>MOG build 2026-10-27: Base scenario, all other inputs as saved</t>
  </si>
  <si>
    <t>Table 2 centre equals the Base DCF value (captured)</t>
  </si>
  <si>
    <t>Anthropic, PBC | Scenario summary: Base, Bull and Bear</t>
  </si>
  <si>
    <t>Column C is live (active scenario). Columns D to F were captured by the build, running the switch 1, 2, 3 with the sensitivity shifts at zero.</t>
  </si>
  <si>
    <t>Output</t>
  </si>
  <si>
    <t>Live</t>
  </si>
  <si>
    <t>Revenue 2026E</t>
  </si>
  <si>
    <t>Revenue 2027E</t>
  </si>
  <si>
    <t>Revenue 2028E</t>
  </si>
  <si>
    <t>Revenue 2030E</t>
  </si>
  <si>
    <t>Operating margin 2026E</t>
  </si>
  <si>
    <t>Operating margin 2027E</t>
  </si>
  <si>
    <t>Operating margin 2030E</t>
  </si>
  <si>
    <t>Operating margin 2035E</t>
  </si>
  <si>
    <t>Net income 2027E</t>
  </si>
  <si>
    <t>Free cash flow 2027E</t>
  </si>
  <si>
    <t>Unlevered free cash flow, 2027E-2030E total</t>
  </si>
  <si>
    <t>Cash and short-term investments 2030E</t>
  </si>
  <si>
    <t>Enterprise value, perpetuity method</t>
  </si>
  <si>
    <t>DCF value per share, exit multiple (USD)</t>
  </si>
  <si>
    <t>Perpetuity value against the Series H price</t>
  </si>
  <si>
    <t>MOG build 2026-10-27: switch 1, 2, 3 with sensitivity shifts at 0</t>
  </si>
  <si>
    <t>With the switch on Base, live equals the captured Base</t>
  </si>
  <si>
    <t>Anthropic, PBC | Limitations of this model</t>
  </si>
  <si>
    <t>Read before using any number.</t>
  </si>
  <si>
    <t>#</t>
  </si>
  <si>
    <t>Limitation</t>
  </si>
  <si>
    <t>Effect</t>
  </si>
  <si>
    <t>The S-1 is a preliminary prospectus. The price range, the shares offered, the 30 Sep 2026 liquidity and the compute commitments after 31 Dec 2025 are blank.</t>
  </si>
  <si>
    <t>The share count and the cash after the IPO can change.</t>
  </si>
  <si>
    <t>The latest statements are for the six months to 30 Jun 2026 (unaudited). Q3 2026 revenue is not given; the model uses a floor derived from the S-1 (revenue per employee) and an estimate above it.</t>
  </si>
  <si>
    <t>2026E depends on two quarterly inputs.</t>
  </si>
  <si>
    <t>Most of the 2023-2026 net loss is the change in fair value of convertible notes and other financial items (US$80.0bn of the US$80.7bn 6M 2026 loss). These stop when the notes convert.</t>
  </si>
  <si>
    <t>Net loss history says little about the business; the model uses operating income.</t>
  </si>
  <si>
    <t>Stock-based compensation is a real cost in the DCF (not added back). Existing options and RSUs are in the fully diluted count. The RSU charge at the IPO (US$2.9bn) is in Q4 2026E.</t>
  </si>
  <si>
    <t>Adding back stock-based compensation would raise the value.</t>
  </si>
  <si>
    <t>The fully diluted count (about 16.3bn shares) is built from S-1 Notes 10 to 12 and includes the 934m-share donation matching reserve; it matches the US$965bn Series H post-money within about 1%.</t>
  </si>
  <si>
    <t>Switch the reserve off in Cap_Table to see the effect.</t>
  </si>
  <si>
    <t>The reference price is the Series H price (US$58.90 per common share, second quarter of 2026), a private round with preferred rights. It is not a public market price.</t>
  </si>
  <si>
    <t>The IPO price may differ.</t>
  </si>
  <si>
    <t>Forecast drivers (growth, cost ratios, capex) are analyst inputs, not company guidance. The company's reported 2028 revenue projection (US$190-200bn) comes from press reports, not the S-1.</t>
  </si>
  <si>
    <t>Scenario and sensitivity tables show the range.</t>
  </si>
  <si>
    <t>Compute is bought through cloud contracts, leases and, more and more, owned or leased infrastructure (Anthropic Direct). The model keeps all of it in one cost line plus a capex ratio.</t>
  </si>
  <si>
    <t>A shift from cloud to owned capacity moves cost from operating expense to capex and depreciation.</t>
  </si>
  <si>
    <t>Loss carryforwards are estimated from the deferred tax asset (US$2,007m / 21%). Tax law changes and state taxes are not modelled.</t>
  </si>
  <si>
    <t>Small effect on value.</t>
  </si>
  <si>
    <t>Comparables trade on different growth and margins. The multiples of slower peers understate a company growing faster; the high-growth software group is closer but much smaller.</t>
  </si>
  <si>
    <t>Treat comparables as a range, not a point.</t>
  </si>
  <si>
    <t>Peer prices and the risk-free rate are as of 26 Oct 2026; the equity risk premium is Damodaran's October 2026 estimate.</t>
  </si>
  <si>
    <t>Values move with markets.</t>
  </si>
  <si>
    <t>Anthropic, PBC | Checks</t>
  </si>
  <si>
    <t>Every check on every sheet, linked here. Column C shows the largest absolute difference in the check row; zero passes. The master passes below 0.5.</t>
  </si>
  <si>
    <t>Master check (all checks below)</t>
  </si>
  <si>
    <t>Check</t>
  </si>
  <si>
    <t>Value (0 = pass)</t>
  </si>
  <si>
    <t>Range</t>
  </si>
  <si>
    <t>B27:F27</t>
  </si>
  <si>
    <t>B28:F28</t>
  </si>
  <si>
    <t>B29:F29</t>
  </si>
  <si>
    <t>B30:F30</t>
  </si>
  <si>
    <t>B31:F31</t>
  </si>
  <si>
    <t>B32:F32</t>
  </si>
  <si>
    <t>B15:F15</t>
  </si>
  <si>
    <t>B16:F16</t>
  </si>
  <si>
    <t>B17:F17</t>
  </si>
  <si>
    <t>B50:D50</t>
  </si>
  <si>
    <t>B51:D51</t>
  </si>
  <si>
    <t>B52:D52</t>
  </si>
  <si>
    <t>B53:D53</t>
  </si>
  <si>
    <t>B54:D54</t>
  </si>
  <si>
    <t>B55:D55</t>
  </si>
  <si>
    <t>B56:D56</t>
  </si>
  <si>
    <t>B47:F47</t>
  </si>
  <si>
    <t>B48:F48</t>
  </si>
  <si>
    <t>B49:F49</t>
  </si>
  <si>
    <t>B50:F50</t>
  </si>
  <si>
    <t>B51:F51</t>
  </si>
  <si>
    <t>B52:F52</t>
  </si>
  <si>
    <t>C53:F53</t>
  </si>
  <si>
    <t>M58:M58</t>
  </si>
  <si>
    <t>C59:C59</t>
  </si>
  <si>
    <t>M60:M60</t>
  </si>
  <si>
    <t>M61:M61</t>
  </si>
  <si>
    <t>C62:C62</t>
  </si>
  <si>
    <t>M63:M63</t>
  </si>
  <si>
    <t>M64:M64</t>
  </si>
  <si>
    <t>C65:C65</t>
  </si>
  <si>
    <t>M66:M66</t>
  </si>
  <si>
    <t>B40:G40</t>
  </si>
  <si>
    <t>B41:G41</t>
  </si>
  <si>
    <t>B42:G42</t>
  </si>
  <si>
    <t>B43:D43</t>
  </si>
  <si>
    <t>B44:D44</t>
  </si>
  <si>
    <t>B45:D45</t>
  </si>
  <si>
    <t>B46:D46</t>
  </si>
  <si>
    <t>B72:F72</t>
  </si>
  <si>
    <t>B73:F73</t>
  </si>
  <si>
    <t>B74:F74</t>
  </si>
  <si>
    <t>B75:F75</t>
  </si>
  <si>
    <t>B76:F76</t>
  </si>
  <si>
    <t>B77:F77</t>
  </si>
  <si>
    <t>B89:B89</t>
  </si>
  <si>
    <t>B90:B90</t>
  </si>
  <si>
    <t>B60:D60</t>
  </si>
  <si>
    <t>B61:B61</t>
  </si>
  <si>
    <t>B62:B62</t>
  </si>
  <si>
    <t>B63:B63</t>
  </si>
  <si>
    <t>E64:G64</t>
  </si>
  <si>
    <t>D38:L38</t>
  </si>
  <si>
    <t>D39:L39</t>
  </si>
  <si>
    <t>B64:L64</t>
  </si>
  <si>
    <t>C65:L65</t>
  </si>
  <si>
    <t>B66:B66</t>
  </si>
  <si>
    <t>B67:B67</t>
  </si>
  <si>
    <t>B30:B30</t>
  </si>
  <si>
    <t>C54:C54</t>
  </si>
  <si>
    <t>D11:D11</t>
  </si>
  <si>
    <t>D21:D21</t>
  </si>
  <si>
    <t>C25:C25</t>
  </si>
  <si>
    <t>Anthropic, PBC | Format rules (OpenFinmods palette)</t>
  </si>
  <si>
    <t>Colours from the OpenFinmods public palette, as in meta.xlsx. The number colour code does not change: blue typed, black formula, green link to another sheet.</t>
  </si>
  <si>
    <t>Role</t>
  </si>
  <si>
    <t>Applies to</t>
  </si>
  <si>
    <t>Hex</t>
  </si>
  <si>
    <t>Pigment</t>
  </si>
  <si>
    <t>Note</t>
  </si>
  <si>
    <t>Swatch</t>
  </si>
  <si>
    <t>Sheet title</t>
  </si>
  <si>
    <t>Row 1 title of every sheet (Arial 10 bold)</t>
  </si>
  <si>
    <t>#5A2331</t>
  </si>
  <si>
    <t>Borgona</t>
  </si>
  <si>
    <t>Text colour only.</t>
  </si>
  <si>
    <t>Year band, label and actual years</t>
  </si>
  <si>
    <t>Header row over the label column and the actual years</t>
  </si>
  <si>
    <t>#F6F3EC</t>
  </si>
  <si>
    <t>Crema</t>
  </si>
  <si>
    <t>Year band, forecast years</t>
  </si>
  <si>
    <t>Header row over the forecast years</t>
  </si>
  <si>
    <t>#EAE2DD</t>
  </si>
  <si>
    <t>Borgona 8% on crema</t>
  </si>
  <si>
    <t>Notes columns header</t>
  </si>
  <si>
    <t>Header of column M (Comentarios FG) and the source columns</t>
  </si>
  <si>
    <t>#D3D2CF</t>
  </si>
  <si>
    <t>Navy 15% on crema</t>
  </si>
  <si>
    <t>Input and scenario rows</t>
  </si>
  <si>
    <t>Fill of input cells (Assumptions, switches, weights)</t>
  </si>
  <si>
    <t>#EBDDC8</t>
  </si>
  <si>
    <t>Ocre 20% on crema</t>
  </si>
  <si>
    <t>Blue on it: 5.41:1.</t>
  </si>
  <si>
    <t>Detail rows fill</t>
  </si>
  <si>
    <t>Breakdown rows (none in this workbook)</t>
  </si>
  <si>
    <t>#EDEAE4</t>
  </si>
  <si>
    <t>Navy 4% on crema</t>
  </si>
  <si>
    <t>Detail rows font</t>
  </si>
  <si>
    <t>#6A7689</t>
  </si>
  <si>
    <t>Gris</t>
  </si>
  <si>
    <t>Tab, cover and checks</t>
  </si>
  <si>
    <t>00_Cover, Checks, FormatRules</t>
  </si>
  <si>
    <t>#0E1A2B</t>
  </si>
  <si>
    <t>Navy</t>
  </si>
  <si>
    <t>Tab, source sheets</t>
  </si>
  <si>
    <t>S-1 statements and notes, Cap_Table, Limitations</t>
  </si>
  <si>
    <t>Tab, model sheets</t>
  </si>
  <si>
    <t>Assumptions to Debt_Credit</t>
  </si>
  <si>
    <t>Tab, output sheets</t>
  </si>
  <si>
    <t>Market_Package, DCF, Valuation, Sensitivity, Scenario_Summary</t>
  </si>
  <si>
    <t>#C0873A</t>
  </si>
  <si>
    <t>Ocre</t>
  </si>
  <si>
    <t>Typed number (code, unchanged)</t>
  </si>
  <si>
    <t>Hard-coded inputs and filed numbers</t>
  </si>
  <si>
    <t>#0432FF</t>
  </si>
  <si>
    <t>Standard financial-model number colours</t>
  </si>
  <si>
    <t>Blue = typed.</t>
  </si>
  <si>
    <t>Formula and text (code, unchanged)</t>
  </si>
  <si>
    <t>Formulas and labels</t>
  </si>
  <si>
    <t>#000000</t>
  </si>
  <si>
    <t>Black = formula.</t>
  </si>
  <si>
    <t>Link to another sheet (code, unchanged)</t>
  </si>
  <si>
    <t>References to other sheets</t>
  </si>
  <si>
    <t>#00703C</t>
  </si>
  <si>
    <t>Green = link.</t>
  </si>
  <si>
    <t>Link to another workbook (code, unchanged)</t>
  </si>
  <si>
    <t>External links (none)</t>
  </si>
  <si>
    <t>#7030A0</t>
  </si>
  <si>
    <t>Purple.</t>
  </si>
  <si>
    <t>Check (code, unchanged)</t>
  </si>
  <si>
    <t>Check rows, through the number format [Red]</t>
  </si>
  <si>
    <t>#FF0000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</si>
  <si>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</si>
  <si>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</si>
  <si>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</si>
  <si>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</si>
  <si>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</si>
  <si>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</si>
  <si>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</si>
  <si>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</si>
  <si>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00_Cover: 1 cell written, at B50; Market_Package: 1 cell written, at D24; FormatRules: 7 cells written, at A1, A2, D16, D17, D18, D19, D20.
Other actions: clear x1.
Agent: OpenFinmods export</t>
  </si>
  <si>
    <t>Compare against source and review public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</si>
</sst>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;\(#,##0\);&quot;-&quot;"/>
    <numFmt numFmtId="165" formatCode="0.0%;\(0.0%\);&quot;-&quot;"/>
    <numFmt numFmtId="166" formatCode="#,##0.00;\(#,##0.00\);&quot;-&quot;"/>
    <numFmt numFmtId="167" formatCode="[Red]#,##0.00;[Red]\(#,##0.00\);&quot;-&quot;"/>
    <numFmt numFmtId="168" formatCode="0.0&quot;x&quot;;\(0.0&quot;x&quot;\);&quot;n.a.&quot;"/>
    <numFmt numFmtId="169" formatCode="#,##0.0000;\(#,##0.0000\);&quot;-&quot;"/>
    <numFmt numFmtId="170" formatCode="#,##0.0;\(#,##0.0\);&quot;-&quot;"/>
    <numFmt numFmtId="171" formatCode="d\ mmm\ yyyy"/>
    <numFmt numFmtId="172" formatCode="d\-mmm\-yyyy"/>
    <numFmt numFmtId="173" formatCode="yyyy\-mm\-dd\ hh:mm"/>
    <numFmt numFmtId="174" formatCode="General"/>
    <numFmt numFmtId="175" formatCode="yyyy\-mm\-dd hh:mm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432FF"/>
      <name val="Arial"/>
      <family val="2"/>
    </font>
    <font>
      <sz val="10"/>
      <color rgb="FF00703C"/>
      <name val="Arial"/>
      <family val="2"/>
    </font>
    <font>
      <i/>
      <sz val="10"/>
      <color rgb="FF0432FF"/>
      <name val="Arial"/>
      <family val="2"/>
    </font>
    <font>
      <b/>
      <sz val="10"/>
      <color rgb="FF000000"/>
      <name val="Arial"/>
      <family val="2"/>
    </font>
    <font>
      <b/>
      <sz val="10"/>
      <color rgb="FF0432FF"/>
      <name val="Arial"/>
      <family val="2"/>
    </font>
    <font>
      <b/>
      <i/>
      <sz val="10"/>
      <color rgb="FF000000"/>
      <name val="Arial"/>
      <family val="2"/>
    </font>
    <font>
      <b/>
      <sz val="10"/>
      <color rgb="FF5A2331"/>
      <name val="Arial"/>
      <family val="2"/>
    </font>
    <font>
      <i/>
      <sz val="10"/>
      <color rgb="FF00703C"/>
      <name val="Arial"/>
      <family val="2"/>
    </font>
    <font>
      <b/>
      <i/>
      <sz val="10"/>
      <color rgb="FF0432FF"/>
      <name val="Arial"/>
      <family val="2"/>
    </font>
    <font>
      <b/>
      <sz val="10"/>
      <color rgb="FF00703C"/>
      <name val="Arial"/>
      <family val="2"/>
    </font>
    <font>
      <sz val="11"/>
      <color theme="1"/>
      <name val="Calibri"/>
      <family val="2"/>
      <scheme val="minor"/>
    </font>
    <font>
      <b val="0"/>
      <i val="0"/>
      <strike val="0"/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solid">
        <fgColor rgb="FFEBDDC8"/>
      </patternFill>
    </fill>
    <fill>
      <patternFill patternType="solid">
        <fgColor rgb="FFD3D2CF"/>
      </patternFill>
    </fill>
    <fill>
      <patternFill patternType="solid">
        <fgColor rgb="FFF6F3EC"/>
      </patternFill>
    </fill>
    <fill>
      <patternFill patternType="solid">
        <fgColor rgb="FFEAE2DD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5A2331"/>
      </patternFill>
    </fill>
    <fill>
      <patternFill patternType="solid">
        <fgColor rgb="FF00703C"/>
      </patternFill>
    </fill>
    <fill>
      <patternFill patternType="solid">
        <fgColor rgb="FF000000"/>
      </patternFill>
    </fill>
    <fill>
      <patternFill patternType="solid">
        <fgColor rgb="FF0432FF"/>
      </patternFill>
    </fill>
    <fill>
      <patternFill patternType="solid">
        <fgColor rgb="FFC0873A"/>
      </patternFill>
    </fill>
    <fill>
      <patternFill patternType="solid">
        <fgColor rgb="FF6A7689"/>
      </patternFill>
    </fill>
    <fill>
      <patternFill patternType="solid">
        <fgColor rgb="FF0E1A2B"/>
      </patternFill>
    </fill>
    <fill>
      <patternFill patternType="solid">
        <fgColor rgb="FFEDEAE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0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indent="2"/>
    </xf>
    <xf numFmtId="0" fontId="1" fillId="2" borderId="0" xfId="0" applyFont="1" applyFill="1" applyAlignment="1">
      <alignment indent="2"/>
    </xf>
    <xf numFmtId="164" fontId="1" fillId="2" borderId="0" xfId="0" applyNumberFormat="1" applyFont="1" applyFill="1"/>
    <xf numFmtId="164" fontId="3" fillId="2" borderId="0" xfId="0" applyNumberFormat="1" applyFont="1" applyFill="1"/>
    <xf numFmtId="0" fontId="2" fillId="2" borderId="0" xfId="0" applyFont="1" applyFill="1"/>
    <xf numFmtId="164" fontId="4" fillId="2" borderId="0" xfId="0" applyNumberFormat="1" applyFont="1" applyFill="1"/>
    <xf numFmtId="165" fontId="5" fillId="3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168" fontId="3" fillId="2" borderId="0" xfId="0" applyNumberFormat="1" applyFont="1" applyFill="1"/>
    <xf numFmtId="0" fontId="6" fillId="4" borderId="0" xfId="0" applyFont="1" applyFill="1"/>
    <xf numFmtId="164" fontId="4" fillId="2" borderId="1" xfId="0" applyNumberFormat="1" applyFont="1" applyFill="1" applyBorder="1"/>
    <xf numFmtId="0" fontId="6" fillId="5" borderId="0" xfId="0" applyFont="1" applyFill="1"/>
    <xf numFmtId="164" fontId="7" fillId="2" borderId="2" xfId="0" applyNumberFormat="1" applyFont="1" applyFill="1" applyBorder="1"/>
    <xf numFmtId="165" fontId="8" fillId="2" borderId="0" xfId="0" applyNumberFormat="1" applyFont="1" applyFill="1"/>
    <xf numFmtId="0" fontId="6" fillId="5" borderId="0" xfId="0" applyFont="1" applyFill="1" applyAlignment="1">
      <alignment horizontal="right"/>
    </xf>
    <xf numFmtId="166" fontId="3" fillId="2" borderId="0" xfId="0" applyNumberFormat="1" applyFont="1" applyFill="1"/>
    <xf numFmtId="164" fontId="6" fillId="2" borderId="2" xfId="0" applyNumberFormat="1" applyFont="1" applyFill="1" applyBorder="1"/>
    <xf numFmtId="164" fontId="6" fillId="2" borderId="0" xfId="0" applyNumberFormat="1" applyFont="1" applyFill="1"/>
    <xf numFmtId="165" fontId="5" fillId="2" borderId="0" xfId="0" applyNumberFormat="1" applyFont="1" applyFill="1"/>
    <xf numFmtId="165" fontId="2" fillId="2" borderId="0" xfId="0" applyNumberFormat="1" applyFont="1" applyFill="1"/>
    <xf numFmtId="164" fontId="6" fillId="2" borderId="3" xfId="0" applyNumberFormat="1" applyFont="1" applyFill="1" applyBorder="1"/>
    <xf numFmtId="0" fontId="6" fillId="2" borderId="0" xfId="0" applyFont="1" applyFill="1" applyAlignment="1">
      <alignment indent="1"/>
    </xf>
    <xf numFmtId="168" fontId="1" fillId="2" borderId="0" xfId="0" applyNumberFormat="1" applyFont="1" applyFill="1"/>
    <xf numFmtId="166" fontId="7" fillId="2" borderId="2" xfId="0" applyNumberFormat="1" applyFont="1" applyFill="1" applyBorder="1"/>
    <xf numFmtId="0" fontId="6" fillId="2" borderId="0" xfId="0" applyFont="1" applyFill="1"/>
    <xf numFmtId="166" fontId="4" fillId="2" borderId="0" xfId="0" applyNumberFormat="1" applyFont="1" applyFill="1"/>
    <xf numFmtId="164" fontId="3" fillId="3" borderId="1" xfId="0" applyNumberFormat="1" applyFont="1" applyFill="1" applyBorder="1"/>
    <xf numFmtId="165" fontId="8" fillId="5" borderId="0" xfId="0" applyNumberFormat="1" applyFont="1" applyFill="1" applyAlignment="1">
      <alignment horizontal="right"/>
    </xf>
    <xf numFmtId="164" fontId="1" fillId="2" borderId="1" xfId="0" applyNumberFormat="1" applyFont="1" applyFill="1" applyBorder="1"/>
    <xf numFmtId="0" fontId="6" fillId="2" borderId="0" xfId="0" applyFont="1" applyFill="1" applyAlignment="1">
      <alignment indent="2"/>
    </xf>
    <xf numFmtId="0" fontId="6" fillId="6" borderId="0" xfId="0" applyFont="1" applyFill="1" applyAlignment="1">
      <alignment horizontal="right"/>
    </xf>
    <xf numFmtId="169" fontId="1" fillId="2" borderId="0" xfId="0" applyNumberFormat="1" applyFont="1" applyFill="1"/>
    <xf numFmtId="165" fontId="2" fillId="2" borderId="1" xfId="0" applyNumberFormat="1" applyFont="1" applyFill="1" applyBorder="1"/>
    <xf numFmtId="164" fontId="6" fillId="2" borderId="4" xfId="0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1" fillId="2" borderId="1" xfId="0" applyFont="1" applyFill="1" applyBorder="1"/>
    <xf numFmtId="0" fontId="2" fillId="2" borderId="0" xfId="0" applyFont="1" applyFill="1" applyAlignment="1">
      <alignment indent="3"/>
    </xf>
    <xf numFmtId="165" fontId="10" fillId="2" borderId="0" xfId="0" applyNumberFormat="1" applyFont="1" applyFill="1"/>
    <xf numFmtId="0" fontId="1" fillId="2" borderId="0" xfId="0" applyFont="1" applyFill="1" applyAlignment="1">
      <alignment indent="3"/>
    </xf>
    <xf numFmtId="164" fontId="6" fillId="2" borderId="1" xfId="0" applyNumberFormat="1" applyFont="1" applyFill="1" applyBorder="1"/>
    <xf numFmtId="165" fontId="8" fillId="2" borderId="1" xfId="0" applyNumberFormat="1" applyFont="1" applyFill="1" applyBorder="1"/>
    <xf numFmtId="165" fontId="5" fillId="3" borderId="1" xfId="0" applyNumberFormat="1" applyFont="1" applyFill="1" applyBorder="1"/>
    <xf numFmtId="170" fontId="4" fillId="2" borderId="0" xfId="0" applyNumberFormat="1" applyFont="1" applyFill="1"/>
    <xf numFmtId="1" fontId="3" fillId="3" borderId="0" xfId="0" applyNumberFormat="1" applyFont="1" applyFill="1"/>
    <xf numFmtId="164" fontId="3" fillId="3" borderId="0" xfId="0" applyNumberFormat="1" applyFont="1" applyFill="1"/>
    <xf numFmtId="166" fontId="6" fillId="2" borderId="0" xfId="0" applyNumberFormat="1" applyFont="1" applyFill="1"/>
    <xf numFmtId="0" fontId="6" fillId="2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6" fillId="2" borderId="0" xfId="0" applyFont="1" applyFill="1" applyAlignment="1">
      <alignment indent="3"/>
    </xf>
    <xf numFmtId="166" fontId="12" fillId="2" borderId="0" xfId="0" applyNumberFormat="1" applyFont="1" applyFill="1"/>
    <xf numFmtId="0" fontId="4" fillId="2" borderId="0" xfId="0" applyFont="1" applyFill="1"/>
    <xf numFmtId="164" fontId="12" fillId="2" borderId="4" xfId="0" applyNumberFormat="1" applyFont="1" applyFill="1" applyBorder="1"/>
    <xf numFmtId="169" fontId="3" fillId="2" borderId="0" xfId="0" applyNumberFormat="1" applyFont="1" applyFill="1"/>
    <xf numFmtId="166" fontId="6" fillId="2" borderId="3" xfId="0" applyNumberFormat="1" applyFont="1" applyFill="1" applyBorder="1"/>
    <xf numFmtId="164" fontId="12" fillId="2" borderId="0" xfId="0" applyNumberFormat="1" applyFont="1" applyFill="1"/>
    <xf numFmtId="0" fontId="12" fillId="2" borderId="0" xfId="0" applyFont="1" applyFill="1" applyAlignment="1">
      <alignment horizontal="right"/>
    </xf>
    <xf numFmtId="170" fontId="6" fillId="2" borderId="0" xfId="0" applyNumberFormat="1" applyFont="1" applyFill="1"/>
    <xf numFmtId="171" fontId="3" fillId="2" borderId="0" xfId="0" applyNumberFormat="1" applyFont="1" applyFill="1"/>
    <xf numFmtId="164" fontId="6" fillId="2" borderId="5" xfId="0" applyNumberFormat="1" applyFont="1" applyFill="1" applyBorder="1"/>
    <xf numFmtId="0" fontId="6" fillId="6" borderId="1" xfId="0" applyFont="1" applyFill="1" applyBorder="1" applyAlignment="1">
      <alignment horizontal="right"/>
    </xf>
    <xf numFmtId="1" fontId="3" fillId="2" borderId="0" xfId="0" applyNumberFormat="1" applyFont="1" applyFill="1"/>
    <xf numFmtId="166" fontId="7" fillId="2" borderId="0" xfId="0" applyNumberFormat="1" applyFont="1" applyFill="1"/>
    <xf numFmtId="164" fontId="12" fillId="2" borderId="2" xfId="0" applyNumberFormat="1" applyFont="1" applyFill="1" applyBorder="1"/>
    <xf numFmtId="168" fontId="3" fillId="3" borderId="0" xfId="0" applyNumberFormat="1" applyFont="1" applyFill="1"/>
    <xf numFmtId="167" fontId="1" fillId="2" borderId="1" xfId="0" applyNumberFormat="1" applyFont="1" applyFill="1" applyBorder="1"/>
    <xf numFmtId="170" fontId="3" fillId="3" borderId="1" xfId="0" applyNumberFormat="1" applyFont="1" applyFill="1" applyBorder="1"/>
    <xf numFmtId="0" fontId="8" fillId="2" borderId="0" xfId="0" applyFont="1" applyFill="1" applyAlignment="1">
      <alignment indent="2"/>
    </xf>
    <xf numFmtId="0" fontId="6" fillId="2" borderId="1" xfId="0" applyFont="1" applyFill="1" applyBorder="1" applyAlignment="1">
      <alignment horizontal="right"/>
    </xf>
    <xf numFmtId="172" fontId="1" fillId="2" borderId="0" xfId="0" applyNumberFormat="1" applyFont="1" applyFill="1" applyAlignment="1">
      <alignment indent="2"/>
    </xf>
    <xf numFmtId="1" fontId="1" fillId="2" borderId="0" xfId="0" applyNumberFormat="1" applyFont="1" applyFill="1" applyAlignment="1">
      <alignment horizontal="left"/>
    </xf>
    <xf numFmtId="0" fontId="1" fillId="5" borderId="0" xfId="0" applyFont="1" applyFill="1" applyAlignment="1">
      <alignment horizontal="right"/>
    </xf>
    <xf numFmtId="164" fontId="3" fillId="2" borderId="1" xfId="0" applyNumberFormat="1" applyFont="1" applyFill="1" applyBorder="1"/>
    <xf numFmtId="168" fontId="4" fillId="2" borderId="0" xfId="0" applyNumberFormat="1" applyFont="1" applyFill="1"/>
    <xf numFmtId="0" fontId="1" fillId="4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5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2" borderId="0" xfId="0" applyFont="1" applyFill="1" applyAlignment="1">
      <alignment vertical="top"/>
    </xf>
    <xf numFmtId="0" fontId="1" fillId="10" borderId="0" xfId="0" applyFont="1" applyFill="1"/>
    <xf numFmtId="173" fontId="1" fillId="2" borderId="0" xfId="0" applyNumberFormat="1" applyFont="1" applyFill="1" applyAlignment="1">
      <alignment vertical="top"/>
    </xf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168" fontId="1" fillId="2" borderId="1" xfId="0" applyNumberFormat="1" applyFont="1" applyFill="1" applyBorder="1"/>
    <xf numFmtId="0" fontId="1" fillId="14" borderId="0" xfId="0" applyFont="1" applyFill="1"/>
    <xf numFmtId="0" fontId="1" fillId="6" borderId="0" xfId="0" applyFont="1" applyFill="1" applyAlignment="1">
      <alignment horizontal="right"/>
    </xf>
    <xf numFmtId="0" fontId="1" fillId="15" borderId="0" xfId="0" applyFont="1" applyFill="1"/>
    <xf numFmtId="0" fontId="1" fillId="16" borderId="0" xfId="0" applyFont="1" applyFill="1"/>
    <xf numFmtId="0" fontId="1" fillId="3" borderId="0" xfId="0" applyFont="1" applyFill="1"/>
    <xf numFmtId="0" fontId="6" fillId="2" borderId="1" xfId="0" applyFont="1" applyFill="1" applyBorder="1"/>
    <xf numFmtId="0" fontId="1" fillId="6" borderId="1" xfId="0" applyFont="1" applyFill="1" applyBorder="1" applyAlignment="1">
      <alignment horizontal="right"/>
    </xf>
    <xf numFmtId="170" fontId="3" fillId="2" borderId="0" xfId="0" applyNumberFormat="1" applyFont="1" applyFill="1"/>
    <xf numFmtId="1" fontId="7" fillId="3" borderId="1" xfId="0" applyNumberFormat="1" applyFont="1" applyFill="1" applyBorder="1"/>
    <xf numFmtId="164" fontId="12" fillId="2" borderId="1" xfId="0" applyNumberFormat="1" applyFont="1" applyFill="1" applyBorder="1"/>
    <xf numFmtId="170" fontId="1" fillId="2" borderId="0" xfId="0" applyNumberFormat="1" applyFont="1" applyFill="1"/>
    <xf numFmtId="9" fontId="1" fillId="2" borderId="0" xfId="1" applyFont="1" applyFill="1"/>
    <xf numFmtId="174" fontId="14" fillId="0" borderId="0" xfId="0" applyNumberFormat="1" applyFont="1" applyFill="1" applyAlignment="1" applyProtection="1">
      <alignment vertical="top" textRotation="0" indent="0" readingOrder="0"/>
      <protection locked="1" hidden="0"/>
    </xf>
    <xf numFmtId="175" fontId="14" fillId="0" borderId="0" xfId="0" applyNumberFormat="1" applyFont="1" applyFill="1" applyAlignment="1" applyProtection="1">
      <alignment vertical="top" textRotation="0" indent="0" readingOrder="0"/>
      <protection locked="1" hidden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Relationship Id="rId2" Type="http://schemas.microsoft.com/office/2011/relationships/webextension" Target="webextension2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4AA6DFD-D014-E14A-86F6-DB0F4B67D4B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162ecec-7eb9-4347-8980-f00f63143ff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13B27A3-739C-CF4C-854D-7FEC7BFE2CCF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1A2B"/>
  </sheetPr>
  <dimension ref="A1:D51"/>
  <sheetViews>
    <sheetView showGridLines="0" workbookViewId="0"/>
  </sheetViews>
  <sheetFormatPr baseColWidth="10" defaultColWidth="8.83203125" defaultRowHeight="15" x14ac:dyDescent="0.2"/>
  <cols>
    <col min="1" max="1" width="77.6640625" customWidth="1"/>
    <col min="2" max="2" width="86" customWidth="1"/>
    <col min="3" max="3" width="15.1640625" customWidth="1"/>
    <col min="4" max="4" width="49.33203125" customWidth="1"/>
  </cols>
  <sheetData>
    <row r="1" spans="1:4" x14ac:dyDescent="0.2">
      <c r="A1" s="38" t="s">
        <v>0</v>
      </c>
      <c r="B1" s="1"/>
      <c r="C1" s="1"/>
      <c r="D1" s="1"/>
    </row>
    <row r="2" spans="1:4" x14ac:dyDescent="0.2">
      <c r="A2" s="1" t="s">
        <v>1</v>
      </c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27" t="s">
        <v>2</v>
      </c>
      <c r="B4" s="1"/>
      <c r="C4" s="1"/>
      <c r="D4" s="1"/>
    </row>
    <row r="5" spans="1:4" x14ac:dyDescent="0.2">
      <c r="A5" s="1" t="s">
        <v>3</v>
      </c>
      <c r="B5" s="1"/>
      <c r="C5" s="1"/>
      <c r="D5" s="1"/>
    </row>
    <row r="6" spans="1:4" x14ac:dyDescent="0.2">
      <c r="A6" s="1" t="s">
        <v>4</v>
      </c>
      <c r="B6" s="1"/>
      <c r="C6" s="1"/>
      <c r="D6" s="1"/>
    </row>
    <row r="7" spans="1:4" x14ac:dyDescent="0.2">
      <c r="A7" s="1" t="s">
        <v>5</v>
      </c>
      <c r="B7" s="1"/>
      <c r="C7" s="1"/>
      <c r="D7" s="1"/>
    </row>
    <row r="8" spans="1:4" x14ac:dyDescent="0.2">
      <c r="A8" s="1" t="s">
        <v>6</v>
      </c>
      <c r="B8" s="1"/>
      <c r="C8" s="1"/>
      <c r="D8" s="1"/>
    </row>
    <row r="9" spans="1:4" x14ac:dyDescent="0.2">
      <c r="A9" s="27" t="s">
        <v>7</v>
      </c>
      <c r="B9" s="1"/>
      <c r="C9" s="1"/>
      <c r="D9" s="1"/>
    </row>
    <row r="10" spans="1:4" x14ac:dyDescent="0.2">
      <c r="A10" s="1" t="s">
        <v>8</v>
      </c>
      <c r="B10" s="1"/>
      <c r="C10" s="1"/>
      <c r="D10" s="1"/>
    </row>
    <row r="11" spans="1:4" x14ac:dyDescent="0.2">
      <c r="A11" s="1" t="s">
        <v>9</v>
      </c>
      <c r="B11" s="1"/>
      <c r="C11" s="1"/>
      <c r="D11" s="1"/>
    </row>
    <row r="12" spans="1:4" x14ac:dyDescent="0.2">
      <c r="A12" s="1" t="s">
        <v>10</v>
      </c>
      <c r="B12" s="1"/>
      <c r="C12" s="1"/>
      <c r="D12" s="1"/>
    </row>
    <row r="13" spans="1:4" x14ac:dyDescent="0.2">
      <c r="A13" s="1" t="s">
        <v>11</v>
      </c>
      <c r="B13" s="1"/>
      <c r="C13" s="1"/>
      <c r="D13" s="1"/>
    </row>
    <row r="14" spans="1:4" x14ac:dyDescent="0.2">
      <c r="A14" s="1" t="s">
        <v>12</v>
      </c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27" t="s">
        <v>13</v>
      </c>
      <c r="B16" s="27"/>
      <c r="C16" s="59" t="str">
        <f>Checks!C4</f>
        <v>OK</v>
      </c>
      <c r="D16" s="1"/>
    </row>
    <row r="17" spans="1:4" x14ac:dyDescent="0.2">
      <c r="A17" s="1"/>
      <c r="B17" s="1"/>
      <c r="C17" s="1"/>
      <c r="D17" s="1"/>
    </row>
    <row r="18" spans="1:4" x14ac:dyDescent="0.2">
      <c r="A18" s="14" t="s">
        <v>14</v>
      </c>
      <c r="B18" s="14"/>
      <c r="C18" s="17" t="s">
        <v>15</v>
      </c>
      <c r="D18" s="1"/>
    </row>
    <row r="19" spans="1:4" x14ac:dyDescent="0.2">
      <c r="A19" s="3" t="s">
        <v>16</v>
      </c>
      <c r="B19" s="1"/>
      <c r="C19" s="54" t="str">
        <f>Assumptions!$C$6</f>
        <v>Base</v>
      </c>
      <c r="D19" s="1"/>
    </row>
    <row r="20" spans="1:4" x14ac:dyDescent="0.2">
      <c r="A20" s="3" t="s">
        <v>17</v>
      </c>
      <c r="B20" s="1"/>
      <c r="C20" s="28">
        <f>Market_Package!B10</f>
        <v>58.900950000000002</v>
      </c>
      <c r="D20" s="1"/>
    </row>
    <row r="21" spans="1:4" x14ac:dyDescent="0.2">
      <c r="A21" s="3" t="s">
        <v>18</v>
      </c>
      <c r="B21" s="1"/>
      <c r="C21" s="28">
        <f>DCF!C33</f>
        <v>80.416348145276203</v>
      </c>
      <c r="D21" s="1"/>
    </row>
    <row r="22" spans="1:4" x14ac:dyDescent="0.2">
      <c r="A22" s="2" t="s">
        <v>19</v>
      </c>
      <c r="B22" s="6"/>
      <c r="C22" s="41">
        <f>DCF!C35</f>
        <v>0.36528100387644336</v>
      </c>
      <c r="D22" s="1"/>
    </row>
    <row r="23" spans="1:4" x14ac:dyDescent="0.2">
      <c r="A23" s="3" t="s">
        <v>20</v>
      </c>
      <c r="B23" s="1"/>
      <c r="C23" s="28">
        <f>Valuation!C52</f>
        <v>82.499139395330928</v>
      </c>
      <c r="D23" s="1"/>
    </row>
    <row r="24" spans="1:4" x14ac:dyDescent="0.2">
      <c r="A24" s="2" t="s">
        <v>21</v>
      </c>
      <c r="B24" s="6"/>
      <c r="C24" s="41">
        <f>Valuation!C36</f>
        <v>0.24482087822300036</v>
      </c>
      <c r="D24" s="1"/>
    </row>
    <row r="25" spans="1:4" x14ac:dyDescent="0.2">
      <c r="A25" s="3" t="s">
        <v>22</v>
      </c>
      <c r="B25" s="1"/>
      <c r="C25" s="7">
        <f>Forecast_3Stmt!C7</f>
        <v>54786</v>
      </c>
      <c r="D25" s="1"/>
    </row>
    <row r="26" spans="1:4" x14ac:dyDescent="0.2">
      <c r="A26" s="3" t="s">
        <v>23</v>
      </c>
      <c r="B26" s="1"/>
      <c r="C26" s="7">
        <f>Forecast_3Stmt!G7</f>
        <v>322620.29049599997</v>
      </c>
      <c r="D26" s="1"/>
    </row>
    <row r="27" spans="1:4" x14ac:dyDescent="0.2">
      <c r="A27" s="3" t="s">
        <v>24</v>
      </c>
      <c r="B27" s="1"/>
      <c r="C27" s="46">
        <f>Cap_Table!B47</f>
        <v>16281.166197370332</v>
      </c>
      <c r="D27" s="1"/>
    </row>
    <row r="28" spans="1:4" x14ac:dyDescent="0.2">
      <c r="A28" s="1"/>
      <c r="B28" s="1"/>
      <c r="C28" s="1"/>
      <c r="D28" s="1"/>
    </row>
    <row r="29" spans="1:4" x14ac:dyDescent="0.2">
      <c r="A29" s="14" t="s">
        <v>25</v>
      </c>
      <c r="B29" s="14" t="s">
        <v>26</v>
      </c>
      <c r="C29" s="1"/>
      <c r="D29" s="1"/>
    </row>
    <row r="30" spans="1:4" x14ac:dyDescent="0.2">
      <c r="A30" s="1" t="s">
        <v>27</v>
      </c>
      <c r="B30" s="1" t="s">
        <v>28</v>
      </c>
      <c r="C30" s="1"/>
      <c r="D30" s="1"/>
    </row>
    <row r="31" spans="1:4" x14ac:dyDescent="0.2">
      <c r="A31" s="1" t="s">
        <v>29</v>
      </c>
      <c r="B31" s="1" t="s">
        <v>30</v>
      </c>
      <c r="C31" s="1"/>
      <c r="D31" s="1"/>
    </row>
    <row r="32" spans="1:4" x14ac:dyDescent="0.2">
      <c r="A32" s="1" t="s">
        <v>31</v>
      </c>
      <c r="B32" s="1" t="s">
        <v>32</v>
      </c>
      <c r="C32" s="1"/>
      <c r="D32" s="1"/>
    </row>
    <row r="33" spans="1:4" x14ac:dyDescent="0.2">
      <c r="A33" s="1" t="s">
        <v>33</v>
      </c>
      <c r="B33" s="1" t="s">
        <v>34</v>
      </c>
      <c r="C33" s="1"/>
      <c r="D33" s="1"/>
    </row>
    <row r="34" spans="1:4" x14ac:dyDescent="0.2">
      <c r="A34" s="1" t="s">
        <v>35</v>
      </c>
      <c r="B34" s="1" t="s">
        <v>36</v>
      </c>
      <c r="C34" s="1"/>
      <c r="D34" s="1"/>
    </row>
    <row r="35" spans="1:4" x14ac:dyDescent="0.2">
      <c r="A35" s="1" t="s">
        <v>37</v>
      </c>
      <c r="B35" s="1" t="s">
        <v>38</v>
      </c>
      <c r="C35" s="1"/>
      <c r="D35" s="1"/>
    </row>
    <row r="36" spans="1:4" x14ac:dyDescent="0.2">
      <c r="A36" s="1" t="s">
        <v>39</v>
      </c>
      <c r="B36" s="1" t="s">
        <v>40</v>
      </c>
      <c r="C36" s="1"/>
      <c r="D36" s="1"/>
    </row>
    <row r="37" spans="1:4" x14ac:dyDescent="0.2">
      <c r="A37" s="1" t="s">
        <v>41</v>
      </c>
      <c r="B37" s="1" t="s">
        <v>42</v>
      </c>
      <c r="C37" s="1"/>
      <c r="D37" s="1"/>
    </row>
    <row r="38" spans="1:4" x14ac:dyDescent="0.2">
      <c r="A38" s="1" t="s">
        <v>43</v>
      </c>
      <c r="B38" s="1" t="s">
        <v>44</v>
      </c>
      <c r="C38" s="1"/>
      <c r="D38" s="1"/>
    </row>
    <row r="39" spans="1:4" x14ac:dyDescent="0.2">
      <c r="A39" s="1" t="s">
        <v>45</v>
      </c>
      <c r="B39" s="1" t="s">
        <v>46</v>
      </c>
      <c r="C39" s="1"/>
      <c r="D39" s="1"/>
    </row>
    <row r="40" spans="1:4" x14ac:dyDescent="0.2">
      <c r="A40" s="1" t="s">
        <v>47</v>
      </c>
      <c r="B40" s="1" t="s">
        <v>48</v>
      </c>
      <c r="C40" s="1"/>
      <c r="D40" s="1"/>
    </row>
    <row r="41" spans="1:4" x14ac:dyDescent="0.2">
      <c r="A41" s="1" t="s">
        <v>49</v>
      </c>
      <c r="B41" s="1" t="s">
        <v>50</v>
      </c>
      <c r="C41" s="1"/>
      <c r="D41" s="1"/>
    </row>
    <row r="42" spans="1:4" x14ac:dyDescent="0.2">
      <c r="A42" s="1" t="s">
        <v>51</v>
      </c>
      <c r="B42" s="1" t="s">
        <v>52</v>
      </c>
      <c r="C42" s="1"/>
      <c r="D42" s="1"/>
    </row>
    <row r="43" spans="1:4" x14ac:dyDescent="0.2">
      <c r="A43" s="1" t="s">
        <v>53</v>
      </c>
      <c r="B43" s="1" t="s">
        <v>54</v>
      </c>
      <c r="C43" s="1"/>
      <c r="D43" s="1"/>
    </row>
    <row r="44" spans="1:4" x14ac:dyDescent="0.2">
      <c r="A44" s="1" t="s">
        <v>55</v>
      </c>
      <c r="B44" s="1" t="s">
        <v>56</v>
      </c>
      <c r="C44" s="1"/>
      <c r="D44" s="1"/>
    </row>
    <row r="45" spans="1:4" x14ac:dyDescent="0.2">
      <c r="A45" s="1" t="s">
        <v>57</v>
      </c>
      <c r="B45" s="1" t="s">
        <v>58</v>
      </c>
      <c r="C45" s="1"/>
      <c r="D45" s="1"/>
    </row>
    <row r="46" spans="1:4" x14ac:dyDescent="0.2">
      <c r="A46" s="1" t="s">
        <v>59</v>
      </c>
      <c r="B46" s="1" t="s">
        <v>60</v>
      </c>
      <c r="C46" s="1"/>
      <c r="D46" s="1"/>
    </row>
    <row r="47" spans="1:4" x14ac:dyDescent="0.2">
      <c r="A47" s="1" t="s">
        <v>61</v>
      </c>
      <c r="B47" s="1" t="s">
        <v>62</v>
      </c>
      <c r="C47" s="1"/>
      <c r="D47" s="1"/>
    </row>
    <row r="48" spans="1:4" x14ac:dyDescent="0.2">
      <c r="A48" s="1" t="s">
        <v>63</v>
      </c>
      <c r="B48" s="1" t="s">
        <v>64</v>
      </c>
      <c r="C48" s="1"/>
      <c r="D48" s="1"/>
    </row>
    <row r="49" spans="1:4" x14ac:dyDescent="0.2">
      <c r="A49" s="1" t="s">
        <v>65</v>
      </c>
      <c r="B49" s="1" t="s">
        <v>66</v>
      </c>
      <c r="C49" s="1"/>
      <c r="D49" s="1"/>
    </row>
    <row r="50" spans="1:4" x14ac:dyDescent="0.2">
      <c r="A50" s="1" t="s">
        <v>67</v>
      </c>
      <c r="B50" s="1" t="s">
        <v>68</v>
      </c>
      <c r="C50" s="1"/>
      <c r="D50" s="1"/>
    </row>
    <row r="51" spans="1:4" x14ac:dyDescent="0.2">
      <c r="A51" s="1" t="s">
        <v>69</v>
      </c>
      <c r="B51" s="1" t="s">
        <v>70</v>
      </c>
      <c r="C51" s="1"/>
      <c r="D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7689"/>
  </sheetPr>
  <dimension ref="A1:N32"/>
  <sheetViews>
    <sheetView showGridLines="0" zoomScale="125" workbookViewId="0">
      <selection activeCell="D11" sqref="D11"/>
    </sheetView>
  </sheetViews>
  <sheetFormatPr baseColWidth="10" defaultColWidth="8.33203125" defaultRowHeight="15" x14ac:dyDescent="0.2"/>
  <cols>
    <col min="1" max="1" width="77.6640625" customWidth="1"/>
    <col min="2" max="6" width="12.33203125" customWidth="1"/>
    <col min="7" max="12" width="1.33203125" customWidth="1"/>
    <col min="13" max="13" width="17.6640625" customWidth="1"/>
    <col min="14" max="14" width="92.6640625" customWidth="1"/>
  </cols>
  <sheetData>
    <row r="1" spans="1:14" x14ac:dyDescent="0.2">
      <c r="A1" s="38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74</v>
      </c>
      <c r="C4" s="17" t="s">
        <v>75</v>
      </c>
      <c r="D4" s="17" t="s">
        <v>76</v>
      </c>
      <c r="E4" s="17" t="s">
        <v>77</v>
      </c>
      <c r="F4" s="17" t="s">
        <v>78</v>
      </c>
      <c r="G4" s="1"/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3" t="s">
        <v>81</v>
      </c>
      <c r="B6" s="5">
        <v>41</v>
      </c>
      <c r="C6" s="5">
        <v>386</v>
      </c>
      <c r="D6" s="5">
        <v>4585</v>
      </c>
      <c r="E6" s="5">
        <v>1163</v>
      </c>
      <c r="F6" s="5">
        <v>16286</v>
      </c>
      <c r="G6" s="1"/>
      <c r="H6" s="1"/>
      <c r="I6" s="1"/>
      <c r="J6" s="1"/>
      <c r="K6" s="1"/>
      <c r="L6" s="1"/>
      <c r="M6" s="1"/>
      <c r="N6" s="1" t="s">
        <v>82</v>
      </c>
    </row>
    <row r="7" spans="1:1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24" t="s">
        <v>83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3" t="s">
        <v>84</v>
      </c>
      <c r="B9" s="5">
        <v>433</v>
      </c>
      <c r="C9" s="5">
        <v>2522</v>
      </c>
      <c r="D9" s="5">
        <v>7326</v>
      </c>
      <c r="E9" s="5">
        <v>2334</v>
      </c>
      <c r="F9" s="5">
        <v>8945</v>
      </c>
      <c r="G9" s="1"/>
      <c r="H9" s="1"/>
      <c r="I9" s="1"/>
      <c r="J9" s="1"/>
      <c r="K9" s="1"/>
      <c r="L9" s="1"/>
      <c r="M9" s="1"/>
      <c r="N9" s="1" t="s">
        <v>82</v>
      </c>
    </row>
    <row r="10" spans="1:14" x14ac:dyDescent="0.2">
      <c r="A10" s="3" t="s">
        <v>85</v>
      </c>
      <c r="B10" s="5">
        <v>95</v>
      </c>
      <c r="C10" s="5">
        <v>454</v>
      </c>
      <c r="D10" s="5">
        <v>1839</v>
      </c>
      <c r="E10" s="5">
        <v>538</v>
      </c>
      <c r="F10" s="5">
        <v>3152</v>
      </c>
      <c r="G10" s="1"/>
      <c r="H10" s="1"/>
      <c r="I10" s="1"/>
      <c r="J10" s="1"/>
      <c r="K10" s="1"/>
      <c r="L10" s="1"/>
      <c r="M10" s="1"/>
      <c r="N10" s="1" t="s">
        <v>82</v>
      </c>
    </row>
    <row r="11" spans="1:14" x14ac:dyDescent="0.2">
      <c r="A11" s="3" t="s">
        <v>86</v>
      </c>
      <c r="B11" s="5">
        <v>0</v>
      </c>
      <c r="C11" s="5">
        <v>0</v>
      </c>
      <c r="D11" s="5">
        <v>1500</v>
      </c>
      <c r="E11" s="5">
        <v>0</v>
      </c>
      <c r="F11" s="5">
        <v>0</v>
      </c>
      <c r="G11" s="1"/>
      <c r="H11" s="1"/>
      <c r="I11" s="1"/>
      <c r="J11" s="1"/>
      <c r="K11" s="1"/>
      <c r="L11" s="1"/>
      <c r="M11" s="1"/>
      <c r="N11" s="1" t="s">
        <v>82</v>
      </c>
    </row>
    <row r="12" spans="1:14" x14ac:dyDescent="0.2">
      <c r="A12" s="3" t="s">
        <v>87</v>
      </c>
      <c r="B12" s="5">
        <v>2</v>
      </c>
      <c r="C12" s="5">
        <v>43</v>
      </c>
      <c r="D12" s="5">
        <v>568</v>
      </c>
      <c r="E12" s="5">
        <v>120</v>
      </c>
      <c r="F12" s="5">
        <v>3168</v>
      </c>
      <c r="G12" s="1"/>
      <c r="H12" s="1"/>
      <c r="I12" s="1"/>
      <c r="J12" s="1"/>
      <c r="K12" s="1"/>
      <c r="L12" s="1"/>
      <c r="M12" s="1"/>
      <c r="N12" s="1" t="s">
        <v>82</v>
      </c>
    </row>
    <row r="13" spans="1:14" x14ac:dyDescent="0.2">
      <c r="A13" s="3" t="s">
        <v>88</v>
      </c>
      <c r="B13" s="5">
        <v>62</v>
      </c>
      <c r="C13" s="5">
        <v>347</v>
      </c>
      <c r="D13" s="5">
        <v>1412</v>
      </c>
      <c r="E13" s="5">
        <v>306</v>
      </c>
      <c r="F13" s="5">
        <v>1714</v>
      </c>
      <c r="G13" s="1"/>
      <c r="H13" s="1"/>
      <c r="I13" s="1"/>
      <c r="J13" s="1"/>
      <c r="K13" s="1"/>
      <c r="L13" s="1"/>
      <c r="M13" s="1"/>
      <c r="N13" s="1" t="s">
        <v>82</v>
      </c>
    </row>
    <row r="14" spans="1:14" x14ac:dyDescent="0.2">
      <c r="A14" s="24" t="s">
        <v>89</v>
      </c>
      <c r="B14" s="15">
        <v>592</v>
      </c>
      <c r="C14" s="15">
        <v>3366</v>
      </c>
      <c r="D14" s="15">
        <v>12645</v>
      </c>
      <c r="E14" s="15">
        <v>3298</v>
      </c>
      <c r="F14" s="15">
        <v>16979</v>
      </c>
      <c r="G14" s="1"/>
      <c r="H14" s="1"/>
      <c r="I14" s="1"/>
      <c r="J14" s="1"/>
      <c r="K14" s="1"/>
      <c r="L14" s="1"/>
      <c r="M14" s="1"/>
      <c r="N14" s="1" t="s">
        <v>82</v>
      </c>
    </row>
    <row r="15" spans="1:14" x14ac:dyDescent="0.2">
      <c r="A15" s="24" t="s">
        <v>90</v>
      </c>
      <c r="B15" s="15">
        <v>-551</v>
      </c>
      <c r="C15" s="15">
        <v>-2980</v>
      </c>
      <c r="D15" s="15">
        <v>-8060</v>
      </c>
      <c r="E15" s="15">
        <v>-2135</v>
      </c>
      <c r="F15" s="15">
        <v>-693</v>
      </c>
      <c r="G15" s="1"/>
      <c r="H15" s="1"/>
      <c r="I15" s="1"/>
      <c r="J15" s="1"/>
      <c r="K15" s="1"/>
      <c r="L15" s="1"/>
      <c r="M15" s="1"/>
      <c r="N15" s="1" t="s">
        <v>82</v>
      </c>
    </row>
    <row r="16" spans="1:14" x14ac:dyDescent="0.2">
      <c r="A16" s="3" t="s">
        <v>91</v>
      </c>
      <c r="B16" s="5">
        <v>69</v>
      </c>
      <c r="C16" s="5">
        <v>106</v>
      </c>
      <c r="D16" s="5">
        <v>431</v>
      </c>
      <c r="E16" s="5">
        <v>115</v>
      </c>
      <c r="F16" s="5">
        <v>1111</v>
      </c>
      <c r="G16" s="1"/>
      <c r="H16" s="1"/>
      <c r="I16" s="1"/>
      <c r="J16" s="1"/>
      <c r="K16" s="1"/>
      <c r="L16" s="1"/>
      <c r="M16" s="1"/>
      <c r="N16" s="1" t="s">
        <v>82</v>
      </c>
    </row>
    <row r="17" spans="1:14" x14ac:dyDescent="0.2">
      <c r="A17" s="3" t="s">
        <v>92</v>
      </c>
      <c r="B17" s="5">
        <v>-1045</v>
      </c>
      <c r="C17" s="5">
        <v>-5434</v>
      </c>
      <c r="D17" s="5">
        <v>-34308</v>
      </c>
      <c r="E17" s="5">
        <v>-10942</v>
      </c>
      <c r="F17" s="5">
        <v>-72388</v>
      </c>
      <c r="G17" s="1"/>
      <c r="H17" s="1"/>
      <c r="I17" s="1"/>
      <c r="J17" s="1"/>
      <c r="K17" s="1"/>
      <c r="L17" s="1"/>
      <c r="M17" s="1"/>
      <c r="N17" s="1" t="s">
        <v>82</v>
      </c>
    </row>
    <row r="18" spans="1:14" x14ac:dyDescent="0.2">
      <c r="A18" s="3" t="s">
        <v>93</v>
      </c>
      <c r="B18" s="5">
        <v>-2</v>
      </c>
      <c r="C18" s="5">
        <v>0</v>
      </c>
      <c r="D18" s="5">
        <v>-8</v>
      </c>
      <c r="E18" s="5">
        <v>0</v>
      </c>
      <c r="F18" s="5">
        <v>-8757</v>
      </c>
      <c r="G18" s="1"/>
      <c r="H18" s="1"/>
      <c r="I18" s="1"/>
      <c r="J18" s="1"/>
      <c r="K18" s="1"/>
      <c r="L18" s="1"/>
      <c r="M18" s="1"/>
      <c r="N18" s="1" t="s">
        <v>82</v>
      </c>
    </row>
    <row r="19" spans="1:14" x14ac:dyDescent="0.2">
      <c r="A19" s="24" t="s">
        <v>94</v>
      </c>
      <c r="B19" s="15">
        <v>-978</v>
      </c>
      <c r="C19" s="15">
        <v>-5328</v>
      </c>
      <c r="D19" s="15">
        <v>-33885</v>
      </c>
      <c r="E19" s="15">
        <v>-10827</v>
      </c>
      <c r="F19" s="15">
        <v>-80034</v>
      </c>
      <c r="G19" s="1"/>
      <c r="H19" s="1"/>
      <c r="I19" s="1"/>
      <c r="J19" s="1"/>
      <c r="K19" s="1"/>
      <c r="L19" s="1"/>
      <c r="M19" s="1"/>
      <c r="N19" s="1" t="s">
        <v>82</v>
      </c>
    </row>
    <row r="20" spans="1:14" x14ac:dyDescent="0.2">
      <c r="A20" s="24" t="s">
        <v>95</v>
      </c>
      <c r="B20" s="15">
        <v>-1529</v>
      </c>
      <c r="C20" s="15">
        <v>-8308</v>
      </c>
      <c r="D20" s="15">
        <v>-41945</v>
      </c>
      <c r="E20" s="15">
        <v>-12962</v>
      </c>
      <c r="F20" s="15">
        <v>-80727</v>
      </c>
      <c r="G20" s="1"/>
      <c r="H20" s="1"/>
      <c r="I20" s="1"/>
      <c r="J20" s="1"/>
      <c r="K20" s="1"/>
      <c r="L20" s="1"/>
      <c r="M20" s="1"/>
      <c r="N20" s="1" t="s">
        <v>82</v>
      </c>
    </row>
    <row r="21" spans="1:14" x14ac:dyDescent="0.2">
      <c r="A21" s="3" t="s">
        <v>96</v>
      </c>
      <c r="B21" s="5">
        <v>2</v>
      </c>
      <c r="C21" s="5">
        <v>1</v>
      </c>
      <c r="D21" s="5">
        <v>20</v>
      </c>
      <c r="E21" s="5">
        <v>7</v>
      </c>
      <c r="F21" s="5">
        <v>21</v>
      </c>
      <c r="G21" s="1"/>
      <c r="H21" s="1"/>
      <c r="I21" s="1"/>
      <c r="J21" s="1"/>
      <c r="K21" s="1"/>
      <c r="L21" s="1"/>
      <c r="M21" s="1"/>
      <c r="N21" s="1" t="s">
        <v>82</v>
      </c>
    </row>
    <row r="22" spans="1:14" x14ac:dyDescent="0.2">
      <c r="A22" s="24" t="s">
        <v>97</v>
      </c>
      <c r="B22" s="15">
        <v>-1531</v>
      </c>
      <c r="C22" s="15">
        <v>-8309</v>
      </c>
      <c r="D22" s="15">
        <v>-41965</v>
      </c>
      <c r="E22" s="15">
        <v>-12969</v>
      </c>
      <c r="F22" s="15">
        <v>-80748</v>
      </c>
      <c r="G22" s="1"/>
      <c r="H22" s="1"/>
      <c r="I22" s="1"/>
      <c r="J22" s="1"/>
      <c r="K22" s="1"/>
      <c r="L22" s="1"/>
      <c r="M22" s="1"/>
      <c r="N22" s="1" t="s">
        <v>82</v>
      </c>
    </row>
    <row r="23" spans="1:14" x14ac:dyDescent="0.2">
      <c r="A23" s="24" t="s">
        <v>98</v>
      </c>
      <c r="B23" s="26">
        <v>-1.42</v>
      </c>
      <c r="C23" s="26">
        <v>-5.43</v>
      </c>
      <c r="D23" s="26">
        <v>-23.04</v>
      </c>
      <c r="E23" s="26">
        <v>-7.25</v>
      </c>
      <c r="F23" s="26">
        <v>-39.880000000000003</v>
      </c>
      <c r="G23" s="1"/>
      <c r="H23" s="1"/>
      <c r="I23" s="1"/>
      <c r="J23" s="1"/>
      <c r="K23" s="1"/>
      <c r="L23" s="1"/>
      <c r="M23" s="1"/>
      <c r="N23" s="1" t="s">
        <v>82</v>
      </c>
    </row>
    <row r="24" spans="1:14" x14ac:dyDescent="0.2">
      <c r="A24" s="3" t="s">
        <v>99</v>
      </c>
      <c r="B24" s="5">
        <v>1076881</v>
      </c>
      <c r="C24" s="5">
        <v>1528995</v>
      </c>
      <c r="D24" s="5">
        <v>1821085</v>
      </c>
      <c r="E24" s="5">
        <v>1788731</v>
      </c>
      <c r="F24" s="5">
        <v>2024973</v>
      </c>
      <c r="G24" s="1"/>
      <c r="H24" s="1"/>
      <c r="I24" s="1"/>
      <c r="J24" s="1"/>
      <c r="K24" s="1"/>
      <c r="L24" s="1"/>
      <c r="M24" s="1"/>
      <c r="N24" s="1" t="s">
        <v>82</v>
      </c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24" t="s">
        <v>100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3" t="s">
        <v>89</v>
      </c>
      <c r="B27" s="10">
        <f>B9+B10+B11+B12+B13-B14</f>
        <v>0</v>
      </c>
      <c r="C27" s="10">
        <f>C9+C10+C11+C12+C13-C14</f>
        <v>0</v>
      </c>
      <c r="D27" s="10">
        <f>D9+D10+D11+D12+D13-D14</f>
        <v>0</v>
      </c>
      <c r="E27" s="10">
        <f>E9+E10+E11+E12+E13-E14</f>
        <v>0</v>
      </c>
      <c r="F27" s="10">
        <f>F9+F10+F11+F12+F13-F14</f>
        <v>0</v>
      </c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3" t="s">
        <v>90</v>
      </c>
      <c r="B28" s="10">
        <f>B6-B14-B15</f>
        <v>0</v>
      </c>
      <c r="C28" s="10">
        <f>C6-C14-C15</f>
        <v>0</v>
      </c>
      <c r="D28" s="10">
        <f>D6-D14-D15</f>
        <v>0</v>
      </c>
      <c r="E28" s="10">
        <f>E6-E14-E15</f>
        <v>0</v>
      </c>
      <c r="F28" s="10">
        <f>F6-F14-F15</f>
        <v>0</v>
      </c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3" t="s">
        <v>94</v>
      </c>
      <c r="B29" s="10">
        <f>B16+B17+B18-B19</f>
        <v>0</v>
      </c>
      <c r="C29" s="10">
        <f>C16+C17+C18-C19</f>
        <v>0</v>
      </c>
      <c r="D29" s="10">
        <f>D16+D17+D18-D19</f>
        <v>0</v>
      </c>
      <c r="E29" s="10">
        <f>E16+E17+E18-E19</f>
        <v>0</v>
      </c>
      <c r="F29" s="10">
        <f>F16+F17+F18-F19</f>
        <v>0</v>
      </c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3" t="s">
        <v>95</v>
      </c>
      <c r="B30" s="10">
        <f>B15+B19-B20</f>
        <v>0</v>
      </c>
      <c r="C30" s="10">
        <f>C15+C19-C20</f>
        <v>0</v>
      </c>
      <c r="D30" s="10">
        <f>D15+D19-D20</f>
        <v>0</v>
      </c>
      <c r="E30" s="10">
        <f>E15+E19-E20</f>
        <v>0</v>
      </c>
      <c r="F30" s="10">
        <f>F15+F19-F20</f>
        <v>0</v>
      </c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3" t="s">
        <v>97</v>
      </c>
      <c r="B31" s="10">
        <f>B20-B21-B22</f>
        <v>0</v>
      </c>
      <c r="C31" s="10">
        <f>C20-C21-C22</f>
        <v>0</v>
      </c>
      <c r="D31" s="10">
        <f>D20-D21-D22</f>
        <v>0</v>
      </c>
      <c r="E31" s="10">
        <f>E20-E21-E22</f>
        <v>0</v>
      </c>
      <c r="F31" s="10">
        <f>F20-F21-F22</f>
        <v>0</v>
      </c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3" t="s">
        <v>101</v>
      </c>
      <c r="B32" s="10">
        <f>ROUND(B22*1000/B24,2)-B23</f>
        <v>0</v>
      </c>
      <c r="C32" s="10">
        <f>ROUND(C22*1000/C24,2)-C23</f>
        <v>0</v>
      </c>
      <c r="D32" s="10">
        <f>ROUND(D22*1000/D24,2)-D23</f>
        <v>0</v>
      </c>
      <c r="E32" s="10">
        <f>ROUND(E22*1000/E24,2)-E23</f>
        <v>0</v>
      </c>
      <c r="F32" s="10">
        <f>ROUND(F22*1000/F24,2)-F23</f>
        <v>0</v>
      </c>
      <c r="G32" s="1"/>
      <c r="H32" s="1"/>
      <c r="I32" s="1"/>
      <c r="J32" s="1"/>
      <c r="K32" s="1"/>
      <c r="L32" s="1"/>
      <c r="M32" s="1"/>
      <c r="N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7689"/>
  </sheetPr>
  <dimension ref="A1:N17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6" width="12.33203125" customWidth="1"/>
    <col min="13" max="13" width="17.6640625" customWidth="1"/>
    <col min="14" max="14" width="92.6640625" customWidth="1"/>
  </cols>
  <sheetData>
    <row r="1" spans="1:14" x14ac:dyDescent="0.2">
      <c r="A1" s="38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74</v>
      </c>
      <c r="C4" s="17" t="s">
        <v>75</v>
      </c>
      <c r="D4" s="17" t="s">
        <v>76</v>
      </c>
      <c r="E4" s="17" t="s">
        <v>77</v>
      </c>
      <c r="F4" s="17" t="s">
        <v>78</v>
      </c>
      <c r="G4" s="1"/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97</v>
      </c>
      <c r="B6" s="15">
        <v>-1531</v>
      </c>
      <c r="C6" s="15">
        <v>-8309</v>
      </c>
      <c r="D6" s="15">
        <v>-41965</v>
      </c>
      <c r="E6" s="15">
        <v>-12969</v>
      </c>
      <c r="F6" s="15">
        <v>-80748</v>
      </c>
      <c r="G6" s="1"/>
      <c r="H6" s="1"/>
      <c r="I6" s="1"/>
      <c r="J6" s="1"/>
      <c r="K6" s="1"/>
      <c r="L6" s="1"/>
      <c r="M6" s="1"/>
      <c r="N6" s="1" t="s">
        <v>104</v>
      </c>
    </row>
    <row r="7" spans="1:1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24" t="s">
        <v>105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3" t="s">
        <v>106</v>
      </c>
      <c r="B9" s="5">
        <v>0</v>
      </c>
      <c r="C9" s="5">
        <v>0</v>
      </c>
      <c r="D9" s="5">
        <v>4</v>
      </c>
      <c r="E9" s="5">
        <v>0</v>
      </c>
      <c r="F9" s="5">
        <v>-49</v>
      </c>
      <c r="G9" s="1"/>
      <c r="H9" s="1"/>
      <c r="I9" s="1"/>
      <c r="J9" s="1"/>
      <c r="K9" s="1"/>
      <c r="L9" s="1"/>
      <c r="M9" s="1"/>
      <c r="N9" s="1" t="s">
        <v>104</v>
      </c>
    </row>
    <row r="10" spans="1:14" x14ac:dyDescent="0.2">
      <c r="A10" s="3" t="s">
        <v>107</v>
      </c>
      <c r="B10" s="5">
        <v>0</v>
      </c>
      <c r="C10" s="5">
        <v>0</v>
      </c>
      <c r="D10" s="5">
        <v>1</v>
      </c>
      <c r="E10" s="5">
        <v>1</v>
      </c>
      <c r="F10" s="5">
        <v>-9</v>
      </c>
      <c r="G10" s="1"/>
      <c r="H10" s="1"/>
      <c r="I10" s="1"/>
      <c r="J10" s="1"/>
      <c r="K10" s="1"/>
      <c r="L10" s="1"/>
      <c r="M10" s="1"/>
      <c r="N10" s="1" t="s">
        <v>104</v>
      </c>
    </row>
    <row r="11" spans="1:14" x14ac:dyDescent="0.2">
      <c r="A11" s="3" t="s">
        <v>108</v>
      </c>
      <c r="B11" s="5">
        <v>0</v>
      </c>
      <c r="C11" s="5">
        <v>0</v>
      </c>
      <c r="D11" s="5">
        <v>5</v>
      </c>
      <c r="E11" s="5">
        <v>1</v>
      </c>
      <c r="F11" s="5">
        <v>-58</v>
      </c>
      <c r="G11" s="1"/>
      <c r="H11" s="1"/>
      <c r="I11" s="1"/>
      <c r="J11" s="1"/>
      <c r="K11" s="1"/>
      <c r="L11" s="1"/>
      <c r="M11" s="1"/>
      <c r="N11" s="1" t="s">
        <v>104</v>
      </c>
    </row>
    <row r="12" spans="1:14" x14ac:dyDescent="0.2">
      <c r="A12" s="24" t="s">
        <v>109</v>
      </c>
      <c r="B12" s="15">
        <v>-1531</v>
      </c>
      <c r="C12" s="15">
        <v>-8309</v>
      </c>
      <c r="D12" s="15">
        <v>-41960</v>
      </c>
      <c r="E12" s="15">
        <v>-12968</v>
      </c>
      <c r="F12" s="15">
        <v>-80806</v>
      </c>
      <c r="G12" s="1"/>
      <c r="H12" s="1"/>
      <c r="I12" s="1"/>
      <c r="J12" s="1"/>
      <c r="K12" s="1"/>
      <c r="L12" s="1"/>
      <c r="M12" s="1"/>
      <c r="N12" s="1" t="s">
        <v>104</v>
      </c>
    </row>
    <row r="13" spans="1:1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24" t="s">
        <v>100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3" t="s">
        <v>108</v>
      </c>
      <c r="B15" s="10">
        <f>B9+B10-B11</f>
        <v>0</v>
      </c>
      <c r="C15" s="10">
        <f>C9+C10-C11</f>
        <v>0</v>
      </c>
      <c r="D15" s="10">
        <f>D9+D10-D11</f>
        <v>0</v>
      </c>
      <c r="E15" s="10">
        <f>E9+E10-E11</f>
        <v>0</v>
      </c>
      <c r="F15" s="10">
        <f>F9+F10-F11</f>
        <v>0</v>
      </c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3" t="s">
        <v>109</v>
      </c>
      <c r="B16" s="10">
        <f>B6+B11-B12</f>
        <v>0</v>
      </c>
      <c r="C16" s="10">
        <f>C6+C11-C12</f>
        <v>0</v>
      </c>
      <c r="D16" s="10">
        <f>D6+D11-D12</f>
        <v>0</v>
      </c>
      <c r="E16" s="10">
        <f>E6+E11-E12</f>
        <v>0</v>
      </c>
      <c r="F16" s="10">
        <f>F6+F11-F12</f>
        <v>0</v>
      </c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3" t="s">
        <v>110</v>
      </c>
      <c r="B17" s="10">
        <f>B6-IS_Hist!B22</f>
        <v>0</v>
      </c>
      <c r="C17" s="10">
        <f>C6-IS_Hist!C22</f>
        <v>0</v>
      </c>
      <c r="D17" s="10">
        <f>D6-IS_Hist!D22</f>
        <v>0</v>
      </c>
      <c r="E17" s="10">
        <f>E6-IS_Hist!E22</f>
        <v>0</v>
      </c>
      <c r="F17" s="10">
        <f>F6-IS_Hist!F22</f>
        <v>0</v>
      </c>
      <c r="G17" s="1"/>
      <c r="H17" s="1"/>
      <c r="I17" s="1"/>
      <c r="J17" s="1"/>
      <c r="K17" s="1"/>
      <c r="L17" s="1"/>
      <c r="M17" s="1"/>
      <c r="N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7689"/>
  </sheetPr>
  <dimension ref="A1:N56"/>
  <sheetViews>
    <sheetView showGridLines="0" workbookViewId="0">
      <selection activeCell="F8" sqref="F8"/>
    </sheetView>
  </sheetViews>
  <sheetFormatPr baseColWidth="10" defaultColWidth="8.33203125" defaultRowHeight="15" x14ac:dyDescent="0.2"/>
  <cols>
    <col min="1" max="1" width="77.6640625" customWidth="1"/>
    <col min="2" max="4" width="12.33203125" customWidth="1"/>
    <col min="13" max="13" width="17.6640625" customWidth="1"/>
    <col min="14" max="14" width="92.6640625" customWidth="1"/>
  </cols>
  <sheetData>
    <row r="1" spans="1:14" x14ac:dyDescent="0.2">
      <c r="A1" s="38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113</v>
      </c>
      <c r="C4" s="17" t="s">
        <v>114</v>
      </c>
      <c r="D4" s="17" t="s">
        <v>115</v>
      </c>
      <c r="E4" s="1"/>
      <c r="F4" s="1"/>
      <c r="G4" s="1"/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116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24" t="s">
        <v>117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3" t="s">
        <v>118</v>
      </c>
      <c r="B9" s="5">
        <v>3141</v>
      </c>
      <c r="C9" s="5">
        <v>17388</v>
      </c>
      <c r="D9" s="5">
        <v>112389</v>
      </c>
      <c r="E9" s="1"/>
      <c r="F9" s="101"/>
      <c r="G9" s="101"/>
      <c r="H9" s="101"/>
      <c r="I9" s="1"/>
      <c r="J9" s="1"/>
      <c r="K9" s="1"/>
      <c r="L9" s="1"/>
      <c r="M9" s="1"/>
      <c r="N9" s="1" t="s">
        <v>119</v>
      </c>
    </row>
    <row r="10" spans="1:14" x14ac:dyDescent="0.2">
      <c r="A10" s="3" t="s">
        <v>120</v>
      </c>
      <c r="B10" s="5">
        <v>0</v>
      </c>
      <c r="C10" s="5">
        <v>2889</v>
      </c>
      <c r="D10" s="5">
        <v>19262</v>
      </c>
      <c r="E10" s="1"/>
      <c r="F10" s="1"/>
      <c r="G10" s="1"/>
      <c r="H10" s="1"/>
      <c r="I10" s="1"/>
      <c r="J10" s="1"/>
      <c r="K10" s="1"/>
      <c r="L10" s="1"/>
      <c r="M10" s="1"/>
      <c r="N10" s="1" t="s">
        <v>119</v>
      </c>
    </row>
    <row r="11" spans="1:14" x14ac:dyDescent="0.2">
      <c r="A11" s="3" t="s">
        <v>121</v>
      </c>
      <c r="B11" s="5">
        <v>95</v>
      </c>
      <c r="C11" s="5">
        <v>909</v>
      </c>
      <c r="D11" s="5">
        <v>5833</v>
      </c>
      <c r="E11" s="1"/>
      <c r="F11" s="1"/>
      <c r="G11" s="1"/>
      <c r="H11" s="1"/>
      <c r="I11" s="1"/>
      <c r="J11" s="1"/>
      <c r="K11" s="1"/>
      <c r="L11" s="1"/>
      <c r="M11" s="1"/>
      <c r="N11" s="1" t="s">
        <v>119</v>
      </c>
    </row>
    <row r="12" spans="1:14" x14ac:dyDescent="0.2">
      <c r="A12" s="3" t="s">
        <v>122</v>
      </c>
      <c r="B12" s="5">
        <v>2076</v>
      </c>
      <c r="C12" s="5">
        <v>2560</v>
      </c>
      <c r="D12" s="5">
        <v>496</v>
      </c>
      <c r="E12" s="1"/>
      <c r="F12" s="1"/>
      <c r="G12" s="1"/>
      <c r="H12" s="1"/>
      <c r="I12" s="1"/>
      <c r="J12" s="1"/>
      <c r="K12" s="1"/>
      <c r="L12" s="1"/>
      <c r="M12" s="1"/>
      <c r="N12" s="1" t="s">
        <v>119</v>
      </c>
    </row>
    <row r="13" spans="1:14" x14ac:dyDescent="0.2">
      <c r="A13" s="24" t="s">
        <v>123</v>
      </c>
      <c r="B13" s="15">
        <v>5312</v>
      </c>
      <c r="C13" s="15">
        <v>23746</v>
      </c>
      <c r="D13" s="15">
        <v>137980</v>
      </c>
      <c r="E13" s="1"/>
      <c r="F13" s="1"/>
      <c r="G13" s="1"/>
      <c r="H13" s="1"/>
      <c r="I13" s="1"/>
      <c r="J13" s="1"/>
      <c r="K13" s="1"/>
      <c r="L13" s="1"/>
      <c r="M13" s="1"/>
      <c r="N13" s="1" t="s">
        <v>119</v>
      </c>
    </row>
    <row r="14" spans="1:14" x14ac:dyDescent="0.2">
      <c r="A14" s="3" t="s">
        <v>124</v>
      </c>
      <c r="B14" s="5">
        <v>13</v>
      </c>
      <c r="C14" s="5">
        <v>13</v>
      </c>
      <c r="D14" s="5">
        <v>2529</v>
      </c>
      <c r="E14" s="1"/>
      <c r="F14" s="1"/>
      <c r="G14" s="1"/>
      <c r="H14" s="1"/>
      <c r="I14" s="1"/>
      <c r="J14" s="1"/>
      <c r="K14" s="1"/>
      <c r="L14" s="1"/>
      <c r="M14" s="1"/>
      <c r="N14" s="1" t="s">
        <v>119</v>
      </c>
    </row>
    <row r="15" spans="1:14" x14ac:dyDescent="0.2">
      <c r="A15" s="3" t="s">
        <v>125</v>
      </c>
      <c r="B15" s="5">
        <v>19</v>
      </c>
      <c r="C15" s="5">
        <v>146</v>
      </c>
      <c r="D15" s="5">
        <v>1187</v>
      </c>
      <c r="E15" s="1"/>
      <c r="F15" s="1"/>
      <c r="G15" s="1"/>
      <c r="H15" s="1"/>
      <c r="I15" s="1"/>
      <c r="J15" s="1"/>
      <c r="K15" s="1"/>
      <c r="L15" s="1"/>
      <c r="M15" s="1"/>
      <c r="N15" s="1" t="s">
        <v>119</v>
      </c>
    </row>
    <row r="16" spans="1:14" x14ac:dyDescent="0.2">
      <c r="A16" s="3" t="s">
        <v>126</v>
      </c>
      <c r="B16" s="5">
        <v>35</v>
      </c>
      <c r="C16" s="5">
        <v>126</v>
      </c>
      <c r="D16" s="5">
        <v>1157</v>
      </c>
      <c r="E16" s="1"/>
      <c r="F16" s="1"/>
      <c r="G16" s="1"/>
      <c r="H16" s="1"/>
      <c r="I16" s="1"/>
      <c r="J16" s="1"/>
      <c r="K16" s="1"/>
      <c r="L16" s="1"/>
      <c r="M16" s="1"/>
      <c r="N16" s="1" t="s">
        <v>119</v>
      </c>
    </row>
    <row r="17" spans="1:14" x14ac:dyDescent="0.2">
      <c r="A17" s="3" t="s">
        <v>127</v>
      </c>
      <c r="B17" s="5">
        <v>0</v>
      </c>
      <c r="C17" s="5">
        <v>154</v>
      </c>
      <c r="D17" s="5">
        <v>576</v>
      </c>
      <c r="E17" s="1"/>
      <c r="F17" s="1"/>
      <c r="G17" s="1"/>
      <c r="H17" s="1"/>
      <c r="I17" s="1"/>
      <c r="J17" s="1"/>
      <c r="K17" s="1"/>
      <c r="L17" s="1"/>
      <c r="M17" s="1"/>
      <c r="N17" s="1" t="s">
        <v>119</v>
      </c>
    </row>
    <row r="18" spans="1:14" x14ac:dyDescent="0.2">
      <c r="A18" s="3" t="s">
        <v>128</v>
      </c>
      <c r="B18" s="5">
        <v>2373</v>
      </c>
      <c r="C18" s="5">
        <v>476</v>
      </c>
      <c r="D18" s="5">
        <v>3929</v>
      </c>
      <c r="E18" s="1"/>
      <c r="F18" s="1"/>
      <c r="G18" s="1"/>
      <c r="H18" s="1"/>
      <c r="I18" s="1"/>
      <c r="J18" s="1"/>
      <c r="K18" s="1"/>
      <c r="L18" s="1"/>
      <c r="M18" s="1"/>
      <c r="N18" s="1" t="s">
        <v>119</v>
      </c>
    </row>
    <row r="19" spans="1:14" x14ac:dyDescent="0.2">
      <c r="A19" s="24" t="s">
        <v>129</v>
      </c>
      <c r="B19" s="15">
        <v>7752</v>
      </c>
      <c r="C19" s="15">
        <v>24661</v>
      </c>
      <c r="D19" s="15">
        <v>147358</v>
      </c>
      <c r="E19" s="1"/>
      <c r="F19" s="1"/>
      <c r="G19" s="1"/>
      <c r="H19" s="1"/>
      <c r="I19" s="1"/>
      <c r="J19" s="1"/>
      <c r="K19" s="1"/>
      <c r="L19" s="1"/>
      <c r="M19" s="1"/>
      <c r="N19" s="1" t="s">
        <v>119</v>
      </c>
    </row>
    <row r="20" spans="1:14" x14ac:dyDescent="0.2">
      <c r="A20" s="24" t="s">
        <v>130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24" t="s">
        <v>131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3" t="s">
        <v>132</v>
      </c>
      <c r="B23" s="5">
        <v>333</v>
      </c>
      <c r="C23" s="5">
        <v>2511</v>
      </c>
      <c r="D23" s="5">
        <v>5422</v>
      </c>
      <c r="E23" s="1"/>
      <c r="F23" s="1"/>
      <c r="G23" s="1"/>
      <c r="H23" s="1"/>
      <c r="I23" s="1"/>
      <c r="J23" s="1"/>
      <c r="K23" s="1"/>
      <c r="L23" s="1"/>
      <c r="M23" s="1"/>
      <c r="N23" s="1" t="s">
        <v>119</v>
      </c>
    </row>
    <row r="24" spans="1:14" x14ac:dyDescent="0.2">
      <c r="A24" s="3" t="s">
        <v>133</v>
      </c>
      <c r="B24" s="5">
        <v>13</v>
      </c>
      <c r="C24" s="5">
        <v>37</v>
      </c>
      <c r="D24" s="5">
        <v>148</v>
      </c>
      <c r="E24" s="1"/>
      <c r="F24" s="1"/>
      <c r="G24" s="1"/>
      <c r="H24" s="1"/>
      <c r="I24" s="1"/>
      <c r="J24" s="1"/>
      <c r="K24" s="1"/>
      <c r="L24" s="1"/>
      <c r="M24" s="1"/>
      <c r="N24" s="1" t="s">
        <v>119</v>
      </c>
    </row>
    <row r="25" spans="1:14" x14ac:dyDescent="0.2">
      <c r="A25" s="3" t="s">
        <v>134</v>
      </c>
      <c r="B25" s="5">
        <v>28</v>
      </c>
      <c r="C25" s="5">
        <v>269</v>
      </c>
      <c r="D25" s="5">
        <v>1650</v>
      </c>
      <c r="E25" s="1"/>
      <c r="F25" s="1"/>
      <c r="G25" s="1"/>
      <c r="H25" s="1"/>
      <c r="I25" s="1"/>
      <c r="J25" s="1"/>
      <c r="K25" s="1"/>
      <c r="L25" s="1"/>
      <c r="M25" s="1"/>
      <c r="N25" s="1" t="s">
        <v>119</v>
      </c>
    </row>
    <row r="26" spans="1:14" x14ac:dyDescent="0.2">
      <c r="A26" s="24" t="s">
        <v>135</v>
      </c>
      <c r="B26" s="15">
        <v>374</v>
      </c>
      <c r="C26" s="15">
        <v>2817</v>
      </c>
      <c r="D26" s="15">
        <v>7220</v>
      </c>
      <c r="E26" s="1"/>
      <c r="F26" s="1"/>
      <c r="G26" s="1"/>
      <c r="H26" s="1"/>
      <c r="I26" s="1"/>
      <c r="J26" s="1"/>
      <c r="K26" s="1"/>
      <c r="L26" s="1"/>
      <c r="M26" s="1"/>
      <c r="N26" s="1" t="s">
        <v>119</v>
      </c>
    </row>
    <row r="27" spans="1:14" x14ac:dyDescent="0.2">
      <c r="A27" s="3" t="s">
        <v>136</v>
      </c>
      <c r="B27" s="5">
        <v>39</v>
      </c>
      <c r="C27" s="5">
        <v>80</v>
      </c>
      <c r="D27" s="5">
        <v>931</v>
      </c>
      <c r="E27" s="1"/>
      <c r="F27" s="1"/>
      <c r="G27" s="1"/>
      <c r="H27" s="1"/>
      <c r="I27" s="1"/>
      <c r="J27" s="1"/>
      <c r="K27" s="1"/>
      <c r="L27" s="1"/>
      <c r="M27" s="1"/>
      <c r="N27" s="1" t="s">
        <v>119</v>
      </c>
    </row>
    <row r="28" spans="1:14" x14ac:dyDescent="0.2">
      <c r="A28" s="3" t="s">
        <v>137</v>
      </c>
      <c r="B28" s="5">
        <v>14116</v>
      </c>
      <c r="C28" s="5">
        <v>41677</v>
      </c>
      <c r="D28" s="5">
        <v>108566</v>
      </c>
      <c r="E28" s="1"/>
      <c r="F28" s="1"/>
      <c r="G28" s="1"/>
      <c r="H28" s="1"/>
      <c r="I28" s="1"/>
      <c r="J28" s="1"/>
      <c r="K28" s="1"/>
      <c r="L28" s="1"/>
      <c r="M28" s="1"/>
      <c r="N28" s="1" t="s">
        <v>119</v>
      </c>
    </row>
    <row r="29" spans="1:14" x14ac:dyDescent="0.2">
      <c r="A29" s="3" t="s">
        <v>138</v>
      </c>
      <c r="B29" s="5">
        <v>150</v>
      </c>
      <c r="C29" s="5">
        <v>823</v>
      </c>
      <c r="D29" s="5">
        <v>750</v>
      </c>
      <c r="E29" s="1"/>
      <c r="F29" s="1"/>
      <c r="G29" s="1"/>
      <c r="H29" s="1"/>
      <c r="I29" s="1"/>
      <c r="J29" s="1"/>
      <c r="K29" s="1"/>
      <c r="L29" s="1"/>
      <c r="M29" s="1"/>
      <c r="N29" s="1" t="s">
        <v>119</v>
      </c>
    </row>
    <row r="30" spans="1:14" x14ac:dyDescent="0.2">
      <c r="A30" s="24" t="s">
        <v>139</v>
      </c>
      <c r="B30" s="15">
        <v>14679</v>
      </c>
      <c r="C30" s="15">
        <v>45397</v>
      </c>
      <c r="D30" s="15">
        <v>117467</v>
      </c>
      <c r="E30" s="1"/>
      <c r="F30" s="1"/>
      <c r="G30" s="1"/>
      <c r="H30" s="1"/>
      <c r="I30" s="1"/>
      <c r="J30" s="1"/>
      <c r="K30" s="1"/>
      <c r="L30" s="1"/>
      <c r="M30" s="1"/>
      <c r="N30" s="1" t="s">
        <v>119</v>
      </c>
    </row>
    <row r="31" spans="1:14" x14ac:dyDescent="0.2">
      <c r="A31" s="24" t="s">
        <v>140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3" t="s">
        <v>141</v>
      </c>
      <c r="B32" s="5">
        <v>2874</v>
      </c>
      <c r="C32" s="5">
        <v>29769</v>
      </c>
      <c r="D32" s="5">
        <v>157510</v>
      </c>
      <c r="E32" s="1"/>
      <c r="F32" s="1"/>
      <c r="G32" s="1"/>
      <c r="H32" s="1"/>
      <c r="I32" s="1"/>
      <c r="J32" s="1"/>
      <c r="K32" s="1"/>
      <c r="L32" s="1"/>
      <c r="M32" s="1"/>
      <c r="N32" s="1" t="s">
        <v>142</v>
      </c>
    </row>
    <row r="33" spans="1: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24" t="s">
        <v>143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3" t="s">
        <v>144</v>
      </c>
      <c r="B35" s="5">
        <v>0</v>
      </c>
      <c r="C35" s="5">
        <v>0</v>
      </c>
      <c r="D35" s="5">
        <v>0</v>
      </c>
      <c r="E35" s="1"/>
      <c r="F35" s="1"/>
      <c r="G35" s="1"/>
      <c r="H35" s="1"/>
      <c r="I35" s="1"/>
      <c r="J35" s="1"/>
      <c r="K35" s="1"/>
      <c r="L35" s="1"/>
      <c r="M35" s="1"/>
      <c r="N35" s="1" t="s">
        <v>145</v>
      </c>
    </row>
    <row r="36" spans="1:14" x14ac:dyDescent="0.2">
      <c r="A36" s="3" t="s">
        <v>146</v>
      </c>
      <c r="B36" s="5">
        <v>0</v>
      </c>
      <c r="C36" s="5">
        <v>0</v>
      </c>
      <c r="D36" s="5">
        <v>0</v>
      </c>
      <c r="E36" s="1"/>
      <c r="F36" s="1"/>
      <c r="G36" s="1"/>
      <c r="H36" s="1"/>
      <c r="I36" s="1"/>
      <c r="J36" s="1"/>
      <c r="K36" s="1"/>
      <c r="L36" s="1"/>
      <c r="M36" s="1"/>
      <c r="N36" s="1" t="s">
        <v>147</v>
      </c>
    </row>
    <row r="37" spans="1:14" x14ac:dyDescent="0.2">
      <c r="A37" s="3" t="s">
        <v>148</v>
      </c>
      <c r="B37" s="5">
        <v>0</v>
      </c>
      <c r="C37" s="5">
        <v>0</v>
      </c>
      <c r="D37" s="5">
        <v>0</v>
      </c>
      <c r="E37" s="1"/>
      <c r="F37" s="1"/>
      <c r="G37" s="1"/>
      <c r="H37" s="1"/>
      <c r="I37" s="1"/>
      <c r="J37" s="1"/>
      <c r="K37" s="1"/>
      <c r="L37" s="1"/>
      <c r="M37" s="1"/>
      <c r="N37" s="1" t="s">
        <v>149</v>
      </c>
    </row>
    <row r="38" spans="1:14" x14ac:dyDescent="0.2">
      <c r="A38" s="3" t="s">
        <v>150</v>
      </c>
      <c r="B38" s="5">
        <v>239</v>
      </c>
      <c r="C38" s="5">
        <v>1644</v>
      </c>
      <c r="D38" s="5">
        <v>5336</v>
      </c>
      <c r="E38" s="1"/>
      <c r="F38" s="1"/>
      <c r="G38" s="1"/>
      <c r="H38" s="1"/>
      <c r="I38" s="1"/>
      <c r="J38" s="1"/>
      <c r="K38" s="1"/>
      <c r="L38" s="1"/>
      <c r="M38" s="1"/>
      <c r="N38" s="1" t="s">
        <v>119</v>
      </c>
    </row>
    <row r="39" spans="1:14" x14ac:dyDescent="0.2">
      <c r="A39" s="3" t="s">
        <v>151</v>
      </c>
      <c r="B39" s="5">
        <v>0</v>
      </c>
      <c r="C39" s="5">
        <v>5</v>
      </c>
      <c r="D39" s="5">
        <v>-53</v>
      </c>
      <c r="E39" s="1"/>
      <c r="F39" s="1"/>
      <c r="G39" s="1"/>
      <c r="H39" s="1"/>
      <c r="I39" s="1"/>
      <c r="J39" s="1"/>
      <c r="K39" s="1"/>
      <c r="L39" s="1"/>
      <c r="M39" s="1"/>
      <c r="N39" s="1" t="s">
        <v>119</v>
      </c>
    </row>
    <row r="40" spans="1:14" x14ac:dyDescent="0.2">
      <c r="A40" s="3" t="s">
        <v>152</v>
      </c>
      <c r="B40" s="5">
        <v>-10040</v>
      </c>
      <c r="C40" s="5">
        <v>-52154</v>
      </c>
      <c r="D40" s="5">
        <v>-132902</v>
      </c>
      <c r="E40" s="1"/>
      <c r="F40" s="1"/>
      <c r="G40" s="1"/>
      <c r="H40" s="1"/>
      <c r="I40" s="1"/>
      <c r="J40" s="1"/>
      <c r="K40" s="1"/>
      <c r="L40" s="1"/>
      <c r="M40" s="1"/>
      <c r="N40" s="1" t="s">
        <v>119</v>
      </c>
    </row>
    <row r="41" spans="1:14" x14ac:dyDescent="0.2">
      <c r="A41" s="24" t="s">
        <v>153</v>
      </c>
      <c r="B41" s="15">
        <v>-9801</v>
      </c>
      <c r="C41" s="15">
        <v>-50505</v>
      </c>
      <c r="D41" s="15">
        <v>-127619</v>
      </c>
      <c r="E41" s="1"/>
      <c r="F41" s="1"/>
      <c r="G41" s="1"/>
      <c r="H41" s="1"/>
      <c r="I41" s="1"/>
      <c r="J41" s="1"/>
      <c r="K41" s="1"/>
      <c r="L41" s="1"/>
      <c r="M41" s="1"/>
      <c r="N41" s="1" t="s">
        <v>119</v>
      </c>
    </row>
    <row r="42" spans="1:14" x14ac:dyDescent="0.2">
      <c r="A42" s="24" t="s">
        <v>154</v>
      </c>
      <c r="B42" s="15">
        <v>7752</v>
      </c>
      <c r="C42" s="15">
        <v>24661</v>
      </c>
      <c r="D42" s="15">
        <v>147358</v>
      </c>
      <c r="E42" s="1"/>
      <c r="F42" s="1"/>
      <c r="G42" s="1"/>
      <c r="H42" s="1"/>
      <c r="I42" s="1"/>
      <c r="J42" s="1"/>
      <c r="K42" s="1"/>
      <c r="L42" s="1"/>
      <c r="M42" s="1"/>
      <c r="N42" s="1" t="s">
        <v>119</v>
      </c>
    </row>
    <row r="43" spans="1: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24" t="s">
        <v>155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3" t="s">
        <v>156</v>
      </c>
      <c r="B45" s="4">
        <f>B9+B10</f>
        <v>3141</v>
      </c>
      <c r="C45" s="4">
        <f>C9+C10</f>
        <v>20277</v>
      </c>
      <c r="D45" s="4">
        <f>D9+D10</f>
        <v>131651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3" t="s">
        <v>157</v>
      </c>
      <c r="B46" s="5">
        <v>0</v>
      </c>
      <c r="C46" s="5">
        <v>0</v>
      </c>
      <c r="D46" s="5">
        <v>443</v>
      </c>
      <c r="E46" s="1"/>
      <c r="F46" s="1"/>
      <c r="G46" s="1"/>
      <c r="H46" s="1"/>
      <c r="I46" s="1"/>
      <c r="J46" s="1"/>
      <c r="K46" s="1"/>
      <c r="L46" s="1"/>
      <c r="M46" s="1"/>
      <c r="N46" s="1" t="s">
        <v>158</v>
      </c>
    </row>
    <row r="47" spans="1:14" x14ac:dyDescent="0.2">
      <c r="A47" s="3" t="s">
        <v>159</v>
      </c>
      <c r="B47" s="4">
        <f>B24+B27+B46</f>
        <v>52</v>
      </c>
      <c r="C47" s="4">
        <f>C24+C27+C46</f>
        <v>117</v>
      </c>
      <c r="D47" s="4">
        <f>D24+D27+D46</f>
        <v>1522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24" t="s">
        <v>100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3" t="s">
        <v>123</v>
      </c>
      <c r="B50" s="10">
        <f>B9+B10+B11+B12-B13</f>
        <v>0</v>
      </c>
      <c r="C50" s="10">
        <f>C9+C10+C11+C12-C13</f>
        <v>0</v>
      </c>
      <c r="D50" s="10">
        <f>D9+D10+D11+D12-D13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3" t="s">
        <v>129</v>
      </c>
      <c r="B51" s="10">
        <f>B13+B14+B15+B16+B17+B18-B19</f>
        <v>0</v>
      </c>
      <c r="C51" s="10">
        <f>C13+C14+C15+C16+C17+C18-C19</f>
        <v>0</v>
      </c>
      <c r="D51" s="10">
        <f>D13+D14+D15+D16+D17+D18-D19</f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3" t="s">
        <v>135</v>
      </c>
      <c r="B52" s="10">
        <f>B23+B24+B25-B26</f>
        <v>0</v>
      </c>
      <c r="C52" s="10">
        <f>C23+C24+C25-C26</f>
        <v>0</v>
      </c>
      <c r="D52" s="10">
        <f>D23+D24+D25-D26</f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3" t="s">
        <v>139</v>
      </c>
      <c r="B53" s="10">
        <f>B26+B27+B28+B29-B30</f>
        <v>0</v>
      </c>
      <c r="C53" s="10">
        <f>C26+C27+C28+C29-C30</f>
        <v>0</v>
      </c>
      <c r="D53" s="10">
        <f>D26+D27+D28+D29-D30</f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3" t="s">
        <v>160</v>
      </c>
      <c r="B54" s="10">
        <f>B35+B36+B37+B38+B39+B40-B41</f>
        <v>0</v>
      </c>
      <c r="C54" s="10">
        <f>C35+C36+C37+C38+C39+C40-C41</f>
        <v>0</v>
      </c>
      <c r="D54" s="10">
        <f>D35+D36+D37+D38+D39+D40-D41</f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3" t="s">
        <v>161</v>
      </c>
      <c r="B55" s="10">
        <f>B30+B32+B41-B42</f>
        <v>0</v>
      </c>
      <c r="C55" s="10">
        <f>C30+C32+C41-C42</f>
        <v>0</v>
      </c>
      <c r="D55" s="10">
        <f>D30+D32+D41-D42</f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3" t="s">
        <v>162</v>
      </c>
      <c r="B56" s="10">
        <f>B19-B42</f>
        <v>0</v>
      </c>
      <c r="C56" s="10">
        <f>C19-C42</f>
        <v>0</v>
      </c>
      <c r="D56" s="10">
        <f>D19-D42</f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7689"/>
  </sheetPr>
  <dimension ref="A1:N53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6" width="12.33203125" customWidth="1"/>
    <col min="13" max="13" width="17.6640625" customWidth="1"/>
    <col min="14" max="14" width="92.6640625" customWidth="1"/>
  </cols>
  <sheetData>
    <row r="1" spans="1:14" x14ac:dyDescent="0.2">
      <c r="A1" s="38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164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74</v>
      </c>
      <c r="C4" s="17" t="s">
        <v>75</v>
      </c>
      <c r="D4" s="17" t="s">
        <v>76</v>
      </c>
      <c r="E4" s="17" t="s">
        <v>77</v>
      </c>
      <c r="F4" s="17" t="s">
        <v>78</v>
      </c>
      <c r="G4" s="1"/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165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24" t="s">
        <v>97</v>
      </c>
      <c r="B7" s="15">
        <v>-1531</v>
      </c>
      <c r="C7" s="15">
        <v>-8309</v>
      </c>
      <c r="D7" s="15">
        <v>-41965</v>
      </c>
      <c r="E7" s="15">
        <v>-12969</v>
      </c>
      <c r="F7" s="15">
        <v>-80748</v>
      </c>
      <c r="G7" s="1"/>
      <c r="H7" s="1"/>
      <c r="I7" s="1"/>
      <c r="J7" s="1"/>
      <c r="K7" s="1"/>
      <c r="L7" s="1"/>
      <c r="M7" s="1"/>
      <c r="N7" s="1" t="s">
        <v>166</v>
      </c>
    </row>
    <row r="8" spans="1:1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24" t="s">
        <v>167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3" t="s">
        <v>168</v>
      </c>
      <c r="B10" s="5">
        <v>29</v>
      </c>
      <c r="C10" s="5">
        <v>192</v>
      </c>
      <c r="D10" s="5">
        <v>1158</v>
      </c>
      <c r="E10" s="5">
        <v>279</v>
      </c>
      <c r="F10" s="5">
        <v>2185</v>
      </c>
      <c r="G10" s="1"/>
      <c r="H10" s="1"/>
      <c r="I10" s="1"/>
      <c r="J10" s="1"/>
      <c r="K10" s="1"/>
      <c r="L10" s="1"/>
      <c r="M10" s="1"/>
      <c r="N10" s="1" t="s">
        <v>166</v>
      </c>
    </row>
    <row r="11" spans="1:14" x14ac:dyDescent="0.2">
      <c r="A11" s="3" t="s">
        <v>169</v>
      </c>
      <c r="B11" s="5">
        <v>3</v>
      </c>
      <c r="C11" s="5">
        <v>21</v>
      </c>
      <c r="D11" s="5">
        <v>40</v>
      </c>
      <c r="E11" s="5">
        <v>14</v>
      </c>
      <c r="F11" s="5">
        <v>97</v>
      </c>
      <c r="G11" s="1"/>
      <c r="H11" s="1"/>
      <c r="I11" s="1"/>
      <c r="J11" s="1"/>
      <c r="K11" s="1"/>
      <c r="L11" s="1"/>
      <c r="M11" s="1"/>
      <c r="N11" s="1" t="s">
        <v>166</v>
      </c>
    </row>
    <row r="12" spans="1:14" x14ac:dyDescent="0.2">
      <c r="A12" s="3" t="s">
        <v>92</v>
      </c>
      <c r="B12" s="5">
        <v>1045</v>
      </c>
      <c r="C12" s="5">
        <v>5434</v>
      </c>
      <c r="D12" s="5">
        <v>34308</v>
      </c>
      <c r="E12" s="5">
        <v>10942</v>
      </c>
      <c r="F12" s="5">
        <v>72388</v>
      </c>
      <c r="G12" s="1"/>
      <c r="H12" s="1"/>
      <c r="I12" s="1"/>
      <c r="J12" s="1"/>
      <c r="K12" s="1"/>
      <c r="L12" s="1"/>
      <c r="M12" s="1"/>
      <c r="N12" s="1" t="s">
        <v>166</v>
      </c>
    </row>
    <row r="13" spans="1:14" x14ac:dyDescent="0.2">
      <c r="A13" s="3" t="s">
        <v>170</v>
      </c>
      <c r="B13" s="5">
        <v>0</v>
      </c>
      <c r="C13" s="5">
        <v>0</v>
      </c>
      <c r="D13" s="5">
        <v>541</v>
      </c>
      <c r="E13" s="5">
        <v>0</v>
      </c>
      <c r="F13" s="5">
        <v>126</v>
      </c>
      <c r="G13" s="1"/>
      <c r="H13" s="1"/>
      <c r="I13" s="1"/>
      <c r="J13" s="1"/>
      <c r="K13" s="1"/>
      <c r="L13" s="1"/>
      <c r="M13" s="1"/>
      <c r="N13" s="1" t="s">
        <v>166</v>
      </c>
    </row>
    <row r="14" spans="1:14" x14ac:dyDescent="0.2">
      <c r="A14" s="3" t="s">
        <v>171</v>
      </c>
      <c r="B14" s="5">
        <v>0</v>
      </c>
      <c r="C14" s="5">
        <v>0</v>
      </c>
      <c r="D14" s="5">
        <v>0</v>
      </c>
      <c r="E14" s="5">
        <v>0</v>
      </c>
      <c r="F14" s="5">
        <v>8720</v>
      </c>
      <c r="G14" s="1"/>
      <c r="H14" s="1"/>
      <c r="I14" s="1"/>
      <c r="J14" s="1"/>
      <c r="K14" s="1"/>
      <c r="L14" s="1"/>
      <c r="M14" s="1"/>
      <c r="N14" s="1" t="s">
        <v>166</v>
      </c>
    </row>
    <row r="15" spans="1:14" x14ac:dyDescent="0.2">
      <c r="A15" s="3" t="s">
        <v>172</v>
      </c>
      <c r="B15" s="5">
        <v>0</v>
      </c>
      <c r="C15" s="5">
        <v>7</v>
      </c>
      <c r="D15" s="5">
        <v>11</v>
      </c>
      <c r="E15" s="5">
        <v>5</v>
      </c>
      <c r="F15" s="5">
        <v>-7</v>
      </c>
      <c r="G15" s="1"/>
      <c r="H15" s="1"/>
      <c r="I15" s="1"/>
      <c r="J15" s="1"/>
      <c r="K15" s="1"/>
      <c r="L15" s="1"/>
      <c r="M15" s="1"/>
      <c r="N15" s="1" t="s">
        <v>166</v>
      </c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24" t="s">
        <v>173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3" t="s">
        <v>121</v>
      </c>
      <c r="B18" s="5">
        <v>-10</v>
      </c>
      <c r="C18" s="5">
        <v>-90</v>
      </c>
      <c r="D18" s="5">
        <v>-834</v>
      </c>
      <c r="E18" s="5">
        <v>-384</v>
      </c>
      <c r="F18" s="5">
        <v>-4982</v>
      </c>
      <c r="G18" s="1"/>
      <c r="H18" s="1"/>
      <c r="I18" s="1"/>
      <c r="J18" s="1"/>
      <c r="K18" s="1"/>
      <c r="L18" s="1"/>
      <c r="M18" s="1"/>
      <c r="N18" s="1" t="s">
        <v>166</v>
      </c>
    </row>
    <row r="19" spans="1:14" x14ac:dyDescent="0.2">
      <c r="A19" s="3" t="s">
        <v>174</v>
      </c>
      <c r="B19" s="5">
        <v>-1253</v>
      </c>
      <c r="C19" s="5">
        <v>-3190</v>
      </c>
      <c r="D19" s="5">
        <v>1771</v>
      </c>
      <c r="E19" s="5">
        <v>212</v>
      </c>
      <c r="F19" s="5">
        <v>2094</v>
      </c>
      <c r="G19" s="1"/>
      <c r="H19" s="1"/>
      <c r="I19" s="1"/>
      <c r="J19" s="1"/>
      <c r="K19" s="1"/>
      <c r="L19" s="1"/>
      <c r="M19" s="1"/>
      <c r="N19" s="1" t="s">
        <v>166</v>
      </c>
    </row>
    <row r="20" spans="1:14" x14ac:dyDescent="0.2">
      <c r="A20" s="3" t="s">
        <v>175</v>
      </c>
      <c r="B20" s="5">
        <v>84</v>
      </c>
      <c r="C20" s="5">
        <v>222</v>
      </c>
      <c r="D20" s="5">
        <v>2079</v>
      </c>
      <c r="E20" s="5">
        <v>257</v>
      </c>
      <c r="F20" s="5">
        <v>2679</v>
      </c>
      <c r="G20" s="1"/>
      <c r="H20" s="1"/>
      <c r="I20" s="1"/>
      <c r="J20" s="1"/>
      <c r="K20" s="1"/>
      <c r="L20" s="1"/>
      <c r="M20" s="1"/>
      <c r="N20" s="1" t="s">
        <v>166</v>
      </c>
    </row>
    <row r="21" spans="1:14" x14ac:dyDescent="0.2">
      <c r="A21" s="3" t="s">
        <v>176</v>
      </c>
      <c r="B21" s="5">
        <v>-1</v>
      </c>
      <c r="C21" s="5">
        <v>0</v>
      </c>
      <c r="D21" s="5">
        <v>13</v>
      </c>
      <c r="E21" s="5">
        <v>7</v>
      </c>
      <c r="F21" s="5">
        <v>-3</v>
      </c>
      <c r="G21" s="1"/>
      <c r="H21" s="1"/>
      <c r="I21" s="1"/>
      <c r="J21" s="1"/>
      <c r="K21" s="1"/>
      <c r="L21" s="1"/>
      <c r="M21" s="1"/>
      <c r="N21" s="1" t="s">
        <v>166</v>
      </c>
    </row>
    <row r="22" spans="1:14" x14ac:dyDescent="0.2">
      <c r="A22" s="3" t="s">
        <v>134</v>
      </c>
      <c r="B22" s="5">
        <v>7</v>
      </c>
      <c r="C22" s="5">
        <v>21</v>
      </c>
      <c r="D22" s="5">
        <v>241</v>
      </c>
      <c r="E22" s="5">
        <v>124</v>
      </c>
      <c r="F22" s="5">
        <v>1380</v>
      </c>
      <c r="G22" s="1"/>
      <c r="H22" s="1"/>
      <c r="I22" s="1"/>
      <c r="J22" s="1"/>
      <c r="K22" s="1"/>
      <c r="L22" s="1"/>
      <c r="M22" s="1"/>
      <c r="N22" s="1" t="s">
        <v>166</v>
      </c>
    </row>
    <row r="23" spans="1:14" x14ac:dyDescent="0.2">
      <c r="A23" s="24" t="s">
        <v>177</v>
      </c>
      <c r="B23" s="15">
        <v>-1627</v>
      </c>
      <c r="C23" s="15">
        <v>-5692</v>
      </c>
      <c r="D23" s="15">
        <v>-2637</v>
      </c>
      <c r="E23" s="15">
        <v>-1513</v>
      </c>
      <c r="F23" s="15">
        <v>3929</v>
      </c>
      <c r="G23" s="1"/>
      <c r="H23" s="1"/>
      <c r="I23" s="1"/>
      <c r="J23" s="1"/>
      <c r="K23" s="1"/>
      <c r="L23" s="1"/>
      <c r="M23" s="1"/>
      <c r="N23" s="1" t="s">
        <v>166</v>
      </c>
    </row>
    <row r="24" spans="1:1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24" t="s">
        <v>178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3" t="s">
        <v>179</v>
      </c>
      <c r="B26" s="5">
        <v>-2</v>
      </c>
      <c r="C26" s="5">
        <v>-15</v>
      </c>
      <c r="D26" s="5">
        <v>-131</v>
      </c>
      <c r="E26" s="5">
        <v>-18</v>
      </c>
      <c r="F26" s="5">
        <v>-482</v>
      </c>
      <c r="G26" s="1"/>
      <c r="H26" s="1"/>
      <c r="I26" s="1"/>
      <c r="J26" s="1"/>
      <c r="K26" s="1"/>
      <c r="L26" s="1"/>
      <c r="M26" s="1"/>
      <c r="N26" s="1" t="s">
        <v>166</v>
      </c>
    </row>
    <row r="27" spans="1:14" x14ac:dyDescent="0.2">
      <c r="A27" s="3" t="s">
        <v>180</v>
      </c>
      <c r="B27" s="5">
        <v>0</v>
      </c>
      <c r="C27" s="5">
        <v>0</v>
      </c>
      <c r="D27" s="5">
        <v>-3082</v>
      </c>
      <c r="E27" s="5">
        <v>0</v>
      </c>
      <c r="F27" s="5">
        <v>-18972</v>
      </c>
      <c r="G27" s="1"/>
      <c r="H27" s="1"/>
      <c r="I27" s="1"/>
      <c r="J27" s="1"/>
      <c r="K27" s="1"/>
      <c r="L27" s="1"/>
      <c r="M27" s="1"/>
      <c r="N27" s="1" t="s">
        <v>166</v>
      </c>
    </row>
    <row r="28" spans="1:14" x14ac:dyDescent="0.2">
      <c r="A28" s="3" t="s">
        <v>181</v>
      </c>
      <c r="B28" s="5">
        <v>0</v>
      </c>
      <c r="C28" s="5">
        <v>0</v>
      </c>
      <c r="D28" s="5">
        <v>213</v>
      </c>
      <c r="E28" s="5">
        <v>0</v>
      </c>
      <c r="F28" s="5">
        <v>2610</v>
      </c>
      <c r="G28" s="1"/>
      <c r="H28" s="1"/>
      <c r="I28" s="1"/>
      <c r="J28" s="1"/>
      <c r="K28" s="1"/>
      <c r="L28" s="1"/>
      <c r="M28" s="1"/>
      <c r="N28" s="1" t="s">
        <v>166</v>
      </c>
    </row>
    <row r="29" spans="1:14" x14ac:dyDescent="0.2">
      <c r="A29" s="3" t="s">
        <v>182</v>
      </c>
      <c r="B29" s="5">
        <v>0</v>
      </c>
      <c r="C29" s="5">
        <v>-7</v>
      </c>
      <c r="D29" s="5">
        <v>-77</v>
      </c>
      <c r="E29" s="5">
        <v>-31</v>
      </c>
      <c r="F29" s="5">
        <v>-337</v>
      </c>
      <c r="G29" s="1"/>
      <c r="H29" s="1"/>
      <c r="I29" s="1"/>
      <c r="J29" s="1"/>
      <c r="K29" s="1"/>
      <c r="L29" s="1"/>
      <c r="M29" s="1"/>
      <c r="N29" s="1" t="s">
        <v>166</v>
      </c>
    </row>
    <row r="30" spans="1:14" x14ac:dyDescent="0.2">
      <c r="A30" s="24" t="s">
        <v>183</v>
      </c>
      <c r="B30" s="15">
        <v>-2</v>
      </c>
      <c r="C30" s="15">
        <v>-22</v>
      </c>
      <c r="D30" s="15">
        <v>-3077</v>
      </c>
      <c r="E30" s="15">
        <v>-49</v>
      </c>
      <c r="F30" s="15">
        <v>-17181</v>
      </c>
      <c r="G30" s="1"/>
      <c r="H30" s="1"/>
      <c r="I30" s="1"/>
      <c r="J30" s="1"/>
      <c r="K30" s="1"/>
      <c r="L30" s="1"/>
      <c r="M30" s="1"/>
      <c r="N30" s="1" t="s">
        <v>166</v>
      </c>
    </row>
    <row r="31" spans="1: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24" t="s">
        <v>184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3" t="s">
        <v>185</v>
      </c>
      <c r="B33" s="5">
        <v>445</v>
      </c>
      <c r="C33" s="5">
        <v>1188</v>
      </c>
      <c r="D33" s="5">
        <v>16548</v>
      </c>
      <c r="E33" s="5">
        <v>3549</v>
      </c>
      <c r="F33" s="5">
        <v>110432</v>
      </c>
      <c r="G33" s="1"/>
      <c r="H33" s="1"/>
      <c r="I33" s="1"/>
      <c r="J33" s="1"/>
      <c r="K33" s="1"/>
      <c r="L33" s="1"/>
      <c r="M33" s="1"/>
      <c r="N33" s="1" t="s">
        <v>166</v>
      </c>
    </row>
    <row r="34" spans="1:14" x14ac:dyDescent="0.2">
      <c r="A34" s="3" t="s">
        <v>186</v>
      </c>
      <c r="B34" s="5">
        <v>0</v>
      </c>
      <c r="C34" s="5">
        <v>0</v>
      </c>
      <c r="D34" s="5">
        <v>0</v>
      </c>
      <c r="E34" s="5">
        <v>0</v>
      </c>
      <c r="F34" s="5">
        <v>-4</v>
      </c>
      <c r="G34" s="1"/>
      <c r="H34" s="1"/>
      <c r="I34" s="1"/>
      <c r="J34" s="1"/>
      <c r="K34" s="1"/>
      <c r="L34" s="1"/>
      <c r="M34" s="1"/>
      <c r="N34" s="1" t="s">
        <v>166</v>
      </c>
    </row>
    <row r="35" spans="1:14" x14ac:dyDescent="0.2">
      <c r="A35" s="3" t="s">
        <v>187</v>
      </c>
      <c r="B35" s="5">
        <v>1750</v>
      </c>
      <c r="C35" s="5">
        <v>6050</v>
      </c>
      <c r="D35" s="5">
        <v>3450</v>
      </c>
      <c r="E35" s="5">
        <v>1300</v>
      </c>
      <c r="F35" s="5">
        <v>0</v>
      </c>
      <c r="G35" s="1"/>
      <c r="H35" s="1"/>
      <c r="I35" s="1"/>
      <c r="J35" s="1"/>
      <c r="K35" s="1"/>
      <c r="L35" s="1"/>
      <c r="M35" s="1"/>
      <c r="N35" s="1" t="s">
        <v>166</v>
      </c>
    </row>
    <row r="36" spans="1:14" x14ac:dyDescent="0.2">
      <c r="A36" s="3" t="s">
        <v>188</v>
      </c>
      <c r="B36" s="5">
        <v>3</v>
      </c>
      <c r="C36" s="5">
        <v>10</v>
      </c>
      <c r="D36" s="5">
        <v>111</v>
      </c>
      <c r="E36" s="5">
        <v>49</v>
      </c>
      <c r="F36" s="5">
        <v>355</v>
      </c>
      <c r="G36" s="1"/>
      <c r="H36" s="1"/>
      <c r="I36" s="1"/>
      <c r="J36" s="1"/>
      <c r="K36" s="1"/>
      <c r="L36" s="1"/>
      <c r="M36" s="1"/>
      <c r="N36" s="1" t="s">
        <v>166</v>
      </c>
    </row>
    <row r="37" spans="1:14" x14ac:dyDescent="0.2">
      <c r="A37" s="3" t="s">
        <v>189</v>
      </c>
      <c r="B37" s="5">
        <v>0</v>
      </c>
      <c r="C37" s="5">
        <v>0</v>
      </c>
      <c r="D37" s="5">
        <v>-149</v>
      </c>
      <c r="E37" s="5">
        <v>-149</v>
      </c>
      <c r="F37" s="5">
        <v>0</v>
      </c>
      <c r="G37" s="1"/>
      <c r="H37" s="1"/>
      <c r="I37" s="1"/>
      <c r="J37" s="1"/>
      <c r="K37" s="1"/>
      <c r="L37" s="1"/>
      <c r="M37" s="1"/>
      <c r="N37" s="1" t="s">
        <v>166</v>
      </c>
    </row>
    <row r="38" spans="1:14" x14ac:dyDescent="0.2">
      <c r="A38" s="3" t="s">
        <v>190</v>
      </c>
      <c r="B38" s="5">
        <v>122</v>
      </c>
      <c r="C38" s="5">
        <v>0</v>
      </c>
      <c r="D38" s="5">
        <v>0</v>
      </c>
      <c r="E38" s="5">
        <v>0</v>
      </c>
      <c r="F38" s="5">
        <v>0</v>
      </c>
      <c r="G38" s="1"/>
      <c r="H38" s="1"/>
      <c r="I38" s="1"/>
      <c r="J38" s="1"/>
      <c r="K38" s="1"/>
      <c r="L38" s="1"/>
      <c r="M38" s="1"/>
      <c r="N38" s="1" t="s">
        <v>166</v>
      </c>
    </row>
    <row r="39" spans="1:14" x14ac:dyDescent="0.2">
      <c r="A39" s="3" t="s">
        <v>191</v>
      </c>
      <c r="B39" s="5">
        <v>0</v>
      </c>
      <c r="C39" s="5">
        <v>0</v>
      </c>
      <c r="D39" s="5">
        <v>0</v>
      </c>
      <c r="E39" s="5">
        <v>0</v>
      </c>
      <c r="F39" s="5">
        <v>-9</v>
      </c>
      <c r="G39" s="1"/>
      <c r="H39" s="1"/>
      <c r="I39" s="1"/>
      <c r="J39" s="1"/>
      <c r="K39" s="1"/>
      <c r="L39" s="1"/>
      <c r="M39" s="1"/>
      <c r="N39" s="1" t="s">
        <v>166</v>
      </c>
    </row>
    <row r="40" spans="1:14" x14ac:dyDescent="0.2">
      <c r="A40" s="24" t="s">
        <v>192</v>
      </c>
      <c r="B40" s="15">
        <v>2320</v>
      </c>
      <c r="C40" s="15">
        <v>7248</v>
      </c>
      <c r="D40" s="15">
        <v>19960</v>
      </c>
      <c r="E40" s="15">
        <v>4749</v>
      </c>
      <c r="F40" s="15">
        <v>110774</v>
      </c>
      <c r="G40" s="1"/>
      <c r="H40" s="1"/>
      <c r="I40" s="1"/>
      <c r="J40" s="1"/>
      <c r="K40" s="1"/>
      <c r="L40" s="1"/>
      <c r="M40" s="1"/>
      <c r="N40" s="1" t="s">
        <v>166</v>
      </c>
    </row>
    <row r="41" spans="1:14" x14ac:dyDescent="0.2">
      <c r="A41" s="3" t="s">
        <v>193</v>
      </c>
      <c r="B41" s="5">
        <v>0</v>
      </c>
      <c r="C41" s="5">
        <v>0</v>
      </c>
      <c r="D41" s="5">
        <v>1</v>
      </c>
      <c r="E41" s="5">
        <v>1</v>
      </c>
      <c r="F41" s="5">
        <v>-5</v>
      </c>
      <c r="G41" s="1"/>
      <c r="H41" s="1"/>
      <c r="I41" s="1"/>
      <c r="J41" s="1"/>
      <c r="K41" s="1"/>
      <c r="L41" s="1"/>
      <c r="M41" s="1"/>
      <c r="N41" s="1" t="s">
        <v>166</v>
      </c>
    </row>
    <row r="42" spans="1:14" x14ac:dyDescent="0.2">
      <c r="A42" s="24" t="s">
        <v>194</v>
      </c>
      <c r="B42" s="15">
        <v>691</v>
      </c>
      <c r="C42" s="15">
        <v>1534</v>
      </c>
      <c r="D42" s="15">
        <v>14247</v>
      </c>
      <c r="E42" s="15">
        <v>3188</v>
      </c>
      <c r="F42" s="15">
        <v>97517</v>
      </c>
      <c r="G42" s="1"/>
      <c r="H42" s="1"/>
      <c r="I42" s="1"/>
      <c r="J42" s="1"/>
      <c r="K42" s="1"/>
      <c r="L42" s="1"/>
      <c r="M42" s="1"/>
      <c r="N42" s="1" t="s">
        <v>166</v>
      </c>
    </row>
    <row r="43" spans="1:14" x14ac:dyDescent="0.2">
      <c r="A43" s="3" t="s">
        <v>195</v>
      </c>
      <c r="B43" s="5">
        <v>929</v>
      </c>
      <c r="C43" s="5">
        <v>1620</v>
      </c>
      <c r="D43" s="5">
        <v>3154</v>
      </c>
      <c r="E43" s="5">
        <v>3154</v>
      </c>
      <c r="F43" s="5">
        <v>17401</v>
      </c>
      <c r="G43" s="1"/>
      <c r="H43" s="1"/>
      <c r="I43" s="1"/>
      <c r="J43" s="1"/>
      <c r="K43" s="1"/>
      <c r="L43" s="1"/>
      <c r="M43" s="1"/>
      <c r="N43" s="1" t="s">
        <v>166</v>
      </c>
    </row>
    <row r="44" spans="1:14" x14ac:dyDescent="0.2">
      <c r="A44" s="3" t="s">
        <v>196</v>
      </c>
      <c r="B44" s="5">
        <v>1620</v>
      </c>
      <c r="C44" s="5">
        <v>3154</v>
      </c>
      <c r="D44" s="5">
        <v>17401</v>
      </c>
      <c r="E44" s="5">
        <v>6342</v>
      </c>
      <c r="F44" s="5">
        <v>114918</v>
      </c>
      <c r="G44" s="1"/>
      <c r="H44" s="1"/>
      <c r="I44" s="1"/>
      <c r="J44" s="1"/>
      <c r="K44" s="1"/>
      <c r="L44" s="1"/>
      <c r="M44" s="1"/>
      <c r="N44" s="1" t="s">
        <v>166</v>
      </c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24" t="s">
        <v>100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3" t="s">
        <v>197</v>
      </c>
      <c r="B47" s="10">
        <f>B7+B10+B11+B12+B13+B14+B15+B18+B19+B20+B21+B22-B23</f>
        <v>0</v>
      </c>
      <c r="C47" s="10">
        <f>C7+C10+C11+C12+C13+C14+C15+C18+C19+C20+C21+C22-C23</f>
        <v>0</v>
      </c>
      <c r="D47" s="10">
        <f>D7+D10+D11+D12+D13+D14+D15+D18+D19+D20+D21+D22-D23</f>
        <v>0</v>
      </c>
      <c r="E47" s="10">
        <f>E7+E10+E11+E12+E13+E14+E15+E18+E19+E20+E21+E22-E23</f>
        <v>0</v>
      </c>
      <c r="F47" s="10">
        <f>F7+F10+F11+F12+F13+F14+F15+F18+F19+F20+F21+F22-F23</f>
        <v>0</v>
      </c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3" t="s">
        <v>183</v>
      </c>
      <c r="B48" s="10">
        <f>B26+B27+B28+B29-B30</f>
        <v>0</v>
      </c>
      <c r="C48" s="10">
        <f>C26+C27+C28+C29-C30</f>
        <v>0</v>
      </c>
      <c r="D48" s="10">
        <f>D26+D27+D28+D29-D30</f>
        <v>0</v>
      </c>
      <c r="E48" s="10">
        <f>E26+E27+E28+E29-E30</f>
        <v>0</v>
      </c>
      <c r="F48" s="10">
        <f>F26+F27+F28+F29-F30</f>
        <v>0</v>
      </c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3" t="s">
        <v>198</v>
      </c>
      <c r="B49" s="10">
        <f>B33+B34+B35+B36+B37+B38+B39-B40</f>
        <v>0</v>
      </c>
      <c r="C49" s="10">
        <f>C33+C34+C35+C36+C37+C38+C39-C40</f>
        <v>0</v>
      </c>
      <c r="D49" s="10">
        <f>D33+D34+D35+D36+D37+D38+D39-D40</f>
        <v>0</v>
      </c>
      <c r="E49" s="10">
        <f>E33+E34+E35+E36+E37+E38+E39-E40</f>
        <v>0</v>
      </c>
      <c r="F49" s="10">
        <f>F33+F34+F35+F36+F37+F38+F39-F40</f>
        <v>0</v>
      </c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3" t="s">
        <v>199</v>
      </c>
      <c r="B50" s="10">
        <f>B23+B30+B40+B41-B42</f>
        <v>0</v>
      </c>
      <c r="C50" s="10">
        <f>C23+C30+C40+C41-C42</f>
        <v>0</v>
      </c>
      <c r="D50" s="10">
        <f>D23+D30+D40+D41-D42</f>
        <v>0</v>
      </c>
      <c r="E50" s="10">
        <f>E23+E30+E40+E41-E42</f>
        <v>0</v>
      </c>
      <c r="F50" s="10">
        <f>F23+F30+F40+F41-F42</f>
        <v>0</v>
      </c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3" t="s">
        <v>200</v>
      </c>
      <c r="B51" s="10">
        <f>B43+B42-B44</f>
        <v>0</v>
      </c>
      <c r="C51" s="10">
        <f>C43+C42-C44</f>
        <v>0</v>
      </c>
      <c r="D51" s="10">
        <f>D43+D42-D44</f>
        <v>0</v>
      </c>
      <c r="E51" s="10">
        <f>E43+E42-E44</f>
        <v>0</v>
      </c>
      <c r="F51" s="10">
        <f>F43+F42-F44</f>
        <v>0</v>
      </c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3" t="s">
        <v>110</v>
      </c>
      <c r="B52" s="10">
        <f>B7-IS_Hist!B22</f>
        <v>0</v>
      </c>
      <c r="C52" s="10">
        <f>C7-IS_Hist!C22</f>
        <v>0</v>
      </c>
      <c r="D52" s="10">
        <f>D7-IS_Hist!D22</f>
        <v>0</v>
      </c>
      <c r="E52" s="10">
        <f>E7-IS_Hist!E22</f>
        <v>0</v>
      </c>
      <c r="F52" s="10">
        <f>F7-IS_Hist!F22</f>
        <v>0</v>
      </c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3" t="s">
        <v>201</v>
      </c>
      <c r="B53" s="1"/>
      <c r="C53" s="10">
        <f>C44-BS_Hist!B9-BS_Hist!B14</f>
        <v>0</v>
      </c>
      <c r="D53" s="10">
        <f>D44-BS_Hist!C9-BS_Hist!C14</f>
        <v>0</v>
      </c>
      <c r="E53" s="10"/>
      <c r="F53" s="10">
        <f>F44-BS_Hist!D9-BS_Hist!D14</f>
        <v>0</v>
      </c>
      <c r="G53" s="1"/>
      <c r="H53" s="1"/>
      <c r="I53" s="1"/>
      <c r="J53" s="1"/>
      <c r="K53" s="1"/>
      <c r="L53" s="1"/>
      <c r="M53" s="1"/>
      <c r="N53" s="1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7689"/>
  </sheetPr>
  <dimension ref="A1:O66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3" width="14.6640625" customWidth="1"/>
    <col min="14" max="14" width="17.6640625" customWidth="1"/>
    <col min="15" max="15" width="42.6640625" customWidth="1"/>
  </cols>
  <sheetData>
    <row r="1" spans="1:15" x14ac:dyDescent="0.2">
      <c r="A1" s="38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204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4" t="s">
        <v>205</v>
      </c>
      <c r="B4" s="17" t="s">
        <v>206</v>
      </c>
      <c r="C4" s="17" t="s">
        <v>207</v>
      </c>
      <c r="D4" s="17" t="s">
        <v>208</v>
      </c>
      <c r="E4" s="17" t="s">
        <v>209</v>
      </c>
      <c r="F4" s="17" t="s">
        <v>210</v>
      </c>
      <c r="G4" s="17" t="s">
        <v>211</v>
      </c>
      <c r="H4" s="17" t="s">
        <v>212</v>
      </c>
      <c r="I4" s="17" t="s">
        <v>213</v>
      </c>
      <c r="J4" s="17" t="s">
        <v>150</v>
      </c>
      <c r="K4" s="17" t="s">
        <v>214</v>
      </c>
      <c r="L4" s="17" t="s">
        <v>152</v>
      </c>
      <c r="M4" s="17" t="s">
        <v>160</v>
      </c>
      <c r="N4" s="12" t="s">
        <v>79</v>
      </c>
      <c r="O4" s="12" t="s">
        <v>80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24" t="s">
        <v>215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24" t="s">
        <v>216</v>
      </c>
      <c r="B7" s="15">
        <v>136005</v>
      </c>
      <c r="C7" s="15">
        <v>1106</v>
      </c>
      <c r="D7" s="15">
        <v>1738823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5</v>
      </c>
      <c r="K7" s="15">
        <v>0</v>
      </c>
      <c r="L7" s="15">
        <v>-200</v>
      </c>
      <c r="M7" s="15">
        <v>-195</v>
      </c>
      <c r="N7" s="1"/>
      <c r="O7" s="1" t="s">
        <v>217</v>
      </c>
    </row>
    <row r="8" spans="1:15" x14ac:dyDescent="0.2">
      <c r="A8" s="3" t="s">
        <v>218</v>
      </c>
      <c r="B8" s="5">
        <v>39670</v>
      </c>
      <c r="C8" s="5">
        <v>445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1"/>
      <c r="O8" s="1" t="s">
        <v>217</v>
      </c>
    </row>
    <row r="9" spans="1:15" x14ac:dyDescent="0.2">
      <c r="A9" s="3" t="s">
        <v>219</v>
      </c>
      <c r="B9" s="5">
        <v>89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1"/>
      <c r="O9" s="1" t="s">
        <v>217</v>
      </c>
    </row>
    <row r="10" spans="1:15" x14ac:dyDescent="0.2">
      <c r="A10" s="3" t="s">
        <v>220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1"/>
      <c r="O10" s="1" t="s">
        <v>217</v>
      </c>
    </row>
    <row r="11" spans="1:15" x14ac:dyDescent="0.2">
      <c r="A11" s="3" t="s">
        <v>221</v>
      </c>
      <c r="B11" s="5">
        <v>0</v>
      </c>
      <c r="C11" s="5">
        <v>0</v>
      </c>
      <c r="D11" s="5">
        <v>15330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3</v>
      </c>
      <c r="N11" s="1"/>
      <c r="O11" s="1" t="s">
        <v>217</v>
      </c>
    </row>
    <row r="12" spans="1:15" x14ac:dyDescent="0.2">
      <c r="A12" s="3" t="s">
        <v>168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29</v>
      </c>
      <c r="K12" s="5">
        <v>0</v>
      </c>
      <c r="L12" s="5">
        <v>0</v>
      </c>
      <c r="M12" s="5">
        <v>29</v>
      </c>
      <c r="N12" s="1"/>
      <c r="O12" s="1" t="s">
        <v>217</v>
      </c>
    </row>
    <row r="13" spans="1:15" x14ac:dyDescent="0.2">
      <c r="A13" s="3" t="s">
        <v>97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-1531</v>
      </c>
      <c r="M13" s="5">
        <v>-1531</v>
      </c>
      <c r="N13" s="1"/>
      <c r="O13" s="1" t="s">
        <v>217</v>
      </c>
    </row>
    <row r="14" spans="1:15" x14ac:dyDescent="0.2">
      <c r="A14" s="24" t="s">
        <v>222</v>
      </c>
      <c r="B14" s="15">
        <v>175764</v>
      </c>
      <c r="C14" s="15">
        <v>1552</v>
      </c>
      <c r="D14" s="15">
        <v>1754153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37</v>
      </c>
      <c r="K14" s="15">
        <v>0</v>
      </c>
      <c r="L14" s="15">
        <v>-1731</v>
      </c>
      <c r="M14" s="15">
        <v>-1694</v>
      </c>
      <c r="N14" s="1"/>
      <c r="O14" s="1" t="s">
        <v>217</v>
      </c>
    </row>
    <row r="15" spans="1:15" x14ac:dyDescent="0.2">
      <c r="A15" s="3" t="s">
        <v>218</v>
      </c>
      <c r="B15" s="5">
        <v>39979</v>
      </c>
      <c r="C15" s="5">
        <v>1188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1"/>
      <c r="O15" s="1" t="s">
        <v>217</v>
      </c>
    </row>
    <row r="16" spans="1:15" x14ac:dyDescent="0.2">
      <c r="A16" s="3" t="s">
        <v>223</v>
      </c>
      <c r="B16" s="5">
        <v>4476</v>
      </c>
      <c r="C16" s="5">
        <v>134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1"/>
      <c r="O16" s="1" t="s">
        <v>217</v>
      </c>
    </row>
    <row r="17" spans="1:15" x14ac:dyDescent="0.2">
      <c r="A17" s="3" t="s">
        <v>221</v>
      </c>
      <c r="B17" s="5">
        <v>0</v>
      </c>
      <c r="C17" s="5">
        <v>0</v>
      </c>
      <c r="D17" s="5">
        <v>24907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10</v>
      </c>
      <c r="K17" s="5">
        <v>0</v>
      </c>
      <c r="L17" s="5">
        <v>0</v>
      </c>
      <c r="M17" s="5">
        <v>10</v>
      </c>
      <c r="N17" s="1"/>
      <c r="O17" s="1" t="s">
        <v>217</v>
      </c>
    </row>
    <row r="18" spans="1:15" x14ac:dyDescent="0.2">
      <c r="A18" s="3" t="s">
        <v>168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192</v>
      </c>
      <c r="K18" s="5">
        <v>0</v>
      </c>
      <c r="L18" s="5">
        <v>0</v>
      </c>
      <c r="M18" s="5">
        <v>192</v>
      </c>
      <c r="N18" s="1"/>
      <c r="O18" s="1" t="s">
        <v>217</v>
      </c>
    </row>
    <row r="19" spans="1:15" x14ac:dyDescent="0.2">
      <c r="A19" s="3" t="s">
        <v>97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-8309</v>
      </c>
      <c r="M19" s="5">
        <v>-8309</v>
      </c>
      <c r="N19" s="1"/>
      <c r="O19" s="1" t="s">
        <v>217</v>
      </c>
    </row>
    <row r="20" spans="1:15" x14ac:dyDescent="0.2">
      <c r="A20" s="24" t="s">
        <v>224</v>
      </c>
      <c r="B20" s="15">
        <v>220219</v>
      </c>
      <c r="C20" s="15">
        <v>2874</v>
      </c>
      <c r="D20" s="15">
        <v>1779060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239</v>
      </c>
      <c r="K20" s="15">
        <v>0</v>
      </c>
      <c r="L20" s="15">
        <v>-10040</v>
      </c>
      <c r="M20" s="15">
        <v>-9801</v>
      </c>
      <c r="N20" s="1"/>
      <c r="O20" s="1" t="s">
        <v>217</v>
      </c>
    </row>
    <row r="21" spans="1:15" x14ac:dyDescent="0.2">
      <c r="A21" s="3" t="s">
        <v>218</v>
      </c>
      <c r="B21" s="5">
        <v>155830</v>
      </c>
      <c r="C21" s="5">
        <v>16548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1"/>
      <c r="O21" s="1" t="s">
        <v>217</v>
      </c>
    </row>
    <row r="22" spans="1:15" x14ac:dyDescent="0.2">
      <c r="A22" s="3" t="s">
        <v>225</v>
      </c>
      <c r="B22" s="5">
        <v>168273</v>
      </c>
      <c r="C22" s="5">
        <v>10347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1"/>
      <c r="O22" s="1" t="s">
        <v>217</v>
      </c>
    </row>
    <row r="23" spans="1:15" x14ac:dyDescent="0.2">
      <c r="A23" s="3" t="s">
        <v>226</v>
      </c>
      <c r="B23" s="5">
        <v>0</v>
      </c>
      <c r="C23" s="5">
        <v>0</v>
      </c>
      <c r="D23" s="5">
        <v>141542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111</v>
      </c>
      <c r="K23" s="5">
        <v>0</v>
      </c>
      <c r="L23" s="5">
        <v>0</v>
      </c>
      <c r="M23" s="5">
        <v>111</v>
      </c>
      <c r="N23" s="1"/>
      <c r="O23" s="1" t="s">
        <v>217</v>
      </c>
    </row>
    <row r="24" spans="1:15" x14ac:dyDescent="0.2">
      <c r="A24" s="3" t="s">
        <v>227</v>
      </c>
      <c r="B24" s="5">
        <v>0</v>
      </c>
      <c r="C24" s="5">
        <v>0</v>
      </c>
      <c r="D24" s="5">
        <v>-27942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-149</v>
      </c>
      <c r="M24" s="5">
        <v>-149</v>
      </c>
      <c r="N24" s="1"/>
      <c r="O24" s="1" t="s">
        <v>217</v>
      </c>
    </row>
    <row r="25" spans="1:15" x14ac:dyDescent="0.2">
      <c r="A25" s="3" t="s">
        <v>168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1158</v>
      </c>
      <c r="K25" s="5">
        <v>0</v>
      </c>
      <c r="L25" s="5">
        <v>0</v>
      </c>
      <c r="M25" s="5">
        <v>1158</v>
      </c>
      <c r="N25" s="1"/>
      <c r="O25" s="1" t="s">
        <v>217</v>
      </c>
    </row>
    <row r="26" spans="1:15" x14ac:dyDescent="0.2">
      <c r="A26" s="3" t="s">
        <v>228</v>
      </c>
      <c r="B26" s="5">
        <v>0</v>
      </c>
      <c r="C26" s="5">
        <v>0</v>
      </c>
      <c r="D26" s="5">
        <v>8607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136</v>
      </c>
      <c r="K26" s="5">
        <v>0</v>
      </c>
      <c r="L26" s="5">
        <v>0</v>
      </c>
      <c r="M26" s="5">
        <v>136</v>
      </c>
      <c r="N26" s="1"/>
      <c r="O26" s="1" t="s">
        <v>217</v>
      </c>
    </row>
    <row r="27" spans="1:15" x14ac:dyDescent="0.2">
      <c r="A27" s="3" t="s">
        <v>107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1</v>
      </c>
      <c r="N27" s="1"/>
      <c r="O27" s="1" t="s">
        <v>217</v>
      </c>
    </row>
    <row r="28" spans="1:15" x14ac:dyDescent="0.2">
      <c r="A28" s="3" t="s">
        <v>229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</v>
      </c>
      <c r="L28" s="5">
        <v>0</v>
      </c>
      <c r="M28" s="5">
        <v>4</v>
      </c>
      <c r="N28" s="1"/>
      <c r="O28" s="1" t="s">
        <v>217</v>
      </c>
    </row>
    <row r="29" spans="1:15" x14ac:dyDescent="0.2">
      <c r="A29" s="3" t="s">
        <v>97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-41965</v>
      </c>
      <c r="M29" s="5">
        <v>-41965</v>
      </c>
      <c r="N29" s="1"/>
      <c r="O29" s="1" t="s">
        <v>217</v>
      </c>
    </row>
    <row r="30" spans="1:15" x14ac:dyDescent="0.2">
      <c r="A30" s="24" t="s">
        <v>230</v>
      </c>
      <c r="B30" s="15">
        <v>544322</v>
      </c>
      <c r="C30" s="15">
        <v>29769</v>
      </c>
      <c r="D30" s="15">
        <v>1901267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1644</v>
      </c>
      <c r="K30" s="15">
        <v>5</v>
      </c>
      <c r="L30" s="15">
        <v>-52154</v>
      </c>
      <c r="M30" s="15">
        <v>-50505</v>
      </c>
      <c r="N30" s="1"/>
      <c r="O30" s="1" t="s">
        <v>217</v>
      </c>
    </row>
    <row r="31" spans="1: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24" t="s">
        <v>231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24" t="s">
        <v>224</v>
      </c>
      <c r="B33" s="15">
        <v>220219</v>
      </c>
      <c r="C33" s="15">
        <v>2874</v>
      </c>
      <c r="D33" s="15">
        <v>1779060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239</v>
      </c>
      <c r="K33" s="15">
        <v>0</v>
      </c>
      <c r="L33" s="15">
        <v>-10040</v>
      </c>
      <c r="M33" s="15">
        <v>-9801</v>
      </c>
      <c r="N33" s="1"/>
      <c r="O33" s="1" t="s">
        <v>217</v>
      </c>
    </row>
    <row r="34" spans="1:15" x14ac:dyDescent="0.2">
      <c r="A34" s="3" t="s">
        <v>232</v>
      </c>
      <c r="B34" s="5">
        <v>63610</v>
      </c>
      <c r="C34" s="5">
        <v>3549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1"/>
      <c r="O34" s="1" t="s">
        <v>217</v>
      </c>
    </row>
    <row r="35" spans="1:15" x14ac:dyDescent="0.2">
      <c r="A35" s="3" t="s">
        <v>233</v>
      </c>
      <c r="B35" s="5">
        <v>147533</v>
      </c>
      <c r="C35" s="5">
        <v>8168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1"/>
      <c r="O35" s="1" t="s">
        <v>217</v>
      </c>
    </row>
    <row r="36" spans="1:15" x14ac:dyDescent="0.2">
      <c r="A36" s="3" t="s">
        <v>234</v>
      </c>
      <c r="B36" s="5">
        <v>0</v>
      </c>
      <c r="C36" s="5">
        <v>0</v>
      </c>
      <c r="D36" s="5">
        <v>83704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49</v>
      </c>
      <c r="K36" s="5">
        <v>0</v>
      </c>
      <c r="L36" s="5">
        <v>0</v>
      </c>
      <c r="M36" s="5">
        <v>49</v>
      </c>
      <c r="N36" s="1"/>
      <c r="O36" s="1" t="s">
        <v>217</v>
      </c>
    </row>
    <row r="37" spans="1:15" x14ac:dyDescent="0.2">
      <c r="A37" s="3" t="s">
        <v>235</v>
      </c>
      <c r="B37" s="5">
        <v>0</v>
      </c>
      <c r="C37" s="5">
        <v>0</v>
      </c>
      <c r="D37" s="5">
        <v>-27942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-149</v>
      </c>
      <c r="M37" s="5">
        <v>-149</v>
      </c>
      <c r="N37" s="1"/>
      <c r="O37" s="1" t="s">
        <v>217</v>
      </c>
    </row>
    <row r="38" spans="1:15" x14ac:dyDescent="0.2">
      <c r="A38" s="3" t="s">
        <v>236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279</v>
      </c>
      <c r="K38" s="5">
        <v>0</v>
      </c>
      <c r="L38" s="5">
        <v>0</v>
      </c>
      <c r="M38" s="5">
        <v>279</v>
      </c>
      <c r="N38" s="1"/>
      <c r="O38" s="1" t="s">
        <v>217</v>
      </c>
    </row>
    <row r="39" spans="1:15" x14ac:dyDescent="0.2">
      <c r="A39" s="3" t="s">
        <v>237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1</v>
      </c>
      <c r="N39" s="1"/>
      <c r="O39" s="1" t="s">
        <v>217</v>
      </c>
    </row>
    <row r="40" spans="1:15" x14ac:dyDescent="0.2">
      <c r="A40" s="3" t="s">
        <v>238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-12969</v>
      </c>
      <c r="M40" s="5">
        <v>-12969</v>
      </c>
      <c r="N40" s="1"/>
      <c r="O40" s="1" t="s">
        <v>217</v>
      </c>
    </row>
    <row r="41" spans="1:15" x14ac:dyDescent="0.2">
      <c r="A41" s="24" t="s">
        <v>239</v>
      </c>
      <c r="B41" s="15">
        <v>431362</v>
      </c>
      <c r="C41" s="15">
        <v>14591</v>
      </c>
      <c r="D41" s="15">
        <v>1834822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567</v>
      </c>
      <c r="K41" s="15">
        <v>1</v>
      </c>
      <c r="L41" s="15">
        <v>-23158</v>
      </c>
      <c r="M41" s="15">
        <v>-22590</v>
      </c>
      <c r="N41" s="1"/>
      <c r="O41" s="1" t="s">
        <v>217</v>
      </c>
    </row>
    <row r="42" spans="1: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24" t="s">
        <v>240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24" t="s">
        <v>230</v>
      </c>
      <c r="B44" s="15">
        <v>544322</v>
      </c>
      <c r="C44" s="15">
        <v>29769</v>
      </c>
      <c r="D44" s="15">
        <v>1901267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1644</v>
      </c>
      <c r="K44" s="15">
        <v>5</v>
      </c>
      <c r="L44" s="15">
        <v>-52154</v>
      </c>
      <c r="M44" s="15">
        <v>-50505</v>
      </c>
      <c r="N44" s="1"/>
      <c r="O44" s="1" t="s">
        <v>217</v>
      </c>
    </row>
    <row r="45" spans="1:15" x14ac:dyDescent="0.2">
      <c r="A45" s="3" t="s">
        <v>232</v>
      </c>
      <c r="B45" s="5">
        <v>285187</v>
      </c>
      <c r="C45" s="5">
        <v>122242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1"/>
      <c r="O45" s="1" t="s">
        <v>217</v>
      </c>
    </row>
    <row r="46" spans="1:15" x14ac:dyDescent="0.2">
      <c r="A46" s="3" t="s">
        <v>233</v>
      </c>
      <c r="B46" s="5">
        <v>23885</v>
      </c>
      <c r="C46" s="5">
        <v>5499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1"/>
      <c r="O46" s="1" t="s">
        <v>217</v>
      </c>
    </row>
    <row r="47" spans="1:15" x14ac:dyDescent="0.2">
      <c r="A47" s="3" t="s">
        <v>241</v>
      </c>
      <c r="B47" s="5">
        <v>0</v>
      </c>
      <c r="C47" s="5">
        <v>0</v>
      </c>
      <c r="D47" s="5">
        <v>229818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355</v>
      </c>
      <c r="K47" s="5">
        <v>0</v>
      </c>
      <c r="L47" s="5">
        <v>0</v>
      </c>
      <c r="M47" s="5">
        <v>355</v>
      </c>
      <c r="N47" s="1"/>
      <c r="O47" s="1" t="s">
        <v>217</v>
      </c>
    </row>
    <row r="48" spans="1:15" x14ac:dyDescent="0.2">
      <c r="A48" s="3" t="s">
        <v>242</v>
      </c>
      <c r="B48" s="5">
        <v>0</v>
      </c>
      <c r="C48" s="5">
        <v>0</v>
      </c>
      <c r="D48" s="5">
        <v>26313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534</v>
      </c>
      <c r="K48" s="5">
        <v>0</v>
      </c>
      <c r="L48" s="5">
        <v>0</v>
      </c>
      <c r="M48" s="5">
        <v>534</v>
      </c>
      <c r="N48" s="1"/>
      <c r="O48" s="1" t="s">
        <v>217</v>
      </c>
    </row>
    <row r="49" spans="1:15" x14ac:dyDescent="0.2">
      <c r="A49" s="3" t="s">
        <v>243</v>
      </c>
      <c r="B49" s="5">
        <v>0</v>
      </c>
      <c r="C49" s="5">
        <v>0</v>
      </c>
      <c r="D49" s="5">
        <v>0</v>
      </c>
      <c r="E49" s="5">
        <v>0</v>
      </c>
      <c r="F49" s="5">
        <v>30643</v>
      </c>
      <c r="G49" s="5">
        <v>0</v>
      </c>
      <c r="H49" s="5">
        <v>0</v>
      </c>
      <c r="I49" s="5">
        <v>0</v>
      </c>
      <c r="J49" s="5">
        <v>667</v>
      </c>
      <c r="K49" s="5">
        <v>0</v>
      </c>
      <c r="L49" s="5">
        <v>0</v>
      </c>
      <c r="M49" s="5">
        <v>667</v>
      </c>
      <c r="N49" s="1"/>
      <c r="O49" s="1" t="s">
        <v>217</v>
      </c>
    </row>
    <row r="50" spans="1:15" x14ac:dyDescent="0.2">
      <c r="A50" s="3" t="s">
        <v>236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2185</v>
      </c>
      <c r="K50" s="5">
        <v>0</v>
      </c>
      <c r="L50" s="5">
        <v>0</v>
      </c>
      <c r="M50" s="5">
        <v>2185</v>
      </c>
      <c r="N50" s="1"/>
      <c r="O50" s="1" t="s">
        <v>217</v>
      </c>
    </row>
    <row r="51" spans="1:15" x14ac:dyDescent="0.2">
      <c r="A51" s="3" t="s">
        <v>237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-9</v>
      </c>
      <c r="L51" s="5">
        <v>0</v>
      </c>
      <c r="M51" s="5">
        <v>-9</v>
      </c>
      <c r="N51" s="1"/>
      <c r="O51" s="1" t="s">
        <v>217</v>
      </c>
    </row>
    <row r="52" spans="1:15" x14ac:dyDescent="0.2">
      <c r="A52" s="3" t="s">
        <v>244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-49</v>
      </c>
      <c r="L52" s="5">
        <v>0</v>
      </c>
      <c r="M52" s="5">
        <v>-49</v>
      </c>
      <c r="N52" s="1"/>
      <c r="O52" s="1" t="s">
        <v>217</v>
      </c>
    </row>
    <row r="53" spans="1:15" x14ac:dyDescent="0.2">
      <c r="A53" s="3" t="s">
        <v>238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-80748</v>
      </c>
      <c r="M53" s="5">
        <v>-80748</v>
      </c>
      <c r="N53" s="1"/>
      <c r="O53" s="1" t="s">
        <v>217</v>
      </c>
    </row>
    <row r="54" spans="1:15" x14ac:dyDescent="0.2">
      <c r="A54" s="3" t="s">
        <v>245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-49</v>
      </c>
      <c r="K54" s="5">
        <v>0</v>
      </c>
      <c r="L54" s="5">
        <v>0</v>
      </c>
      <c r="M54" s="5">
        <v>-49</v>
      </c>
      <c r="N54" s="1"/>
      <c r="O54" s="1" t="s">
        <v>217</v>
      </c>
    </row>
    <row r="55" spans="1:15" x14ac:dyDescent="0.2">
      <c r="A55" s="24" t="s">
        <v>246</v>
      </c>
      <c r="B55" s="15">
        <v>853394</v>
      </c>
      <c r="C55" s="15">
        <v>157510</v>
      </c>
      <c r="D55" s="15">
        <v>2157398</v>
      </c>
      <c r="E55" s="15">
        <v>0</v>
      </c>
      <c r="F55" s="15">
        <v>30643</v>
      </c>
      <c r="G55" s="15">
        <v>0</v>
      </c>
      <c r="H55" s="15">
        <v>0</v>
      </c>
      <c r="I55" s="15">
        <v>0</v>
      </c>
      <c r="J55" s="15">
        <v>5336</v>
      </c>
      <c r="K55" s="15">
        <v>-53</v>
      </c>
      <c r="L55" s="15">
        <v>-132902</v>
      </c>
      <c r="M55" s="15">
        <v>-127619</v>
      </c>
      <c r="N55" s="1"/>
      <c r="O55" s="1" t="s">
        <v>217</v>
      </c>
    </row>
    <row r="56" spans="1: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">
      <c r="A57" s="24" t="s">
        <v>247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3" t="s">
        <v>248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0">
        <f>J20+K20+L20-M20</f>
        <v>0</v>
      </c>
      <c r="N58" s="1"/>
      <c r="O58" s="1"/>
    </row>
    <row r="59" spans="1:15" x14ac:dyDescent="0.2">
      <c r="A59" s="3" t="s">
        <v>249</v>
      </c>
      <c r="B59" s="1"/>
      <c r="C59" s="10">
        <f>C20-BS_Hist!B32</f>
        <v>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3" t="s">
        <v>250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0">
        <f>M20-BS_Hist!B41</f>
        <v>0</v>
      </c>
      <c r="N60" s="1"/>
      <c r="O60" s="1"/>
    </row>
    <row r="61" spans="1:15" x14ac:dyDescent="0.2">
      <c r="A61" s="3" t="s">
        <v>251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">
        <f>J30+K30+L30-M30</f>
        <v>0</v>
      </c>
      <c r="N61" s="1"/>
      <c r="O61" s="1"/>
    </row>
    <row r="62" spans="1:15" x14ac:dyDescent="0.2">
      <c r="A62" s="3" t="s">
        <v>252</v>
      </c>
      <c r="B62" s="1"/>
      <c r="C62" s="10">
        <f>C30-BS_Hist!C32</f>
        <v>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">
      <c r="A63" s="3" t="s">
        <v>253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>
        <f>M30-BS_Hist!C41</f>
        <v>0</v>
      </c>
      <c r="N63" s="1"/>
      <c r="O63" s="1"/>
    </row>
    <row r="64" spans="1:15" x14ac:dyDescent="0.2">
      <c r="A64" s="3" t="s">
        <v>254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">
        <f>J55+K55+L55-M55</f>
        <v>0</v>
      </c>
      <c r="N64" s="1"/>
      <c r="O64" s="1"/>
    </row>
    <row r="65" spans="1:15" x14ac:dyDescent="0.2">
      <c r="A65" s="3" t="s">
        <v>255</v>
      </c>
      <c r="B65" s="1"/>
      <c r="C65" s="10">
        <f>C55-BS_Hist!D32</f>
        <v>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3" t="s">
        <v>256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>
        <f>M55-BS_Hist!D41</f>
        <v>0</v>
      </c>
      <c r="N66" s="1"/>
      <c r="O6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7689"/>
  </sheetPr>
  <dimension ref="A1:N46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7" width="12.33203125" customWidth="1"/>
    <col min="13" max="13" width="17.6640625" customWidth="1"/>
    <col min="14" max="14" width="86" customWidth="1"/>
  </cols>
  <sheetData>
    <row r="1" spans="1:14" x14ac:dyDescent="0.2">
      <c r="A1" s="38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258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259</v>
      </c>
      <c r="B4" s="17" t="s">
        <v>260</v>
      </c>
      <c r="C4" s="17" t="s">
        <v>261</v>
      </c>
      <c r="D4" s="17" t="s">
        <v>262</v>
      </c>
      <c r="E4" s="17" t="s">
        <v>263</v>
      </c>
      <c r="F4" s="17" t="s">
        <v>264</v>
      </c>
      <c r="G4" s="17" t="s">
        <v>265</v>
      </c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3" t="s">
        <v>81</v>
      </c>
      <c r="B6" s="5">
        <v>376</v>
      </c>
      <c r="C6" s="5">
        <v>787</v>
      </c>
      <c r="D6" s="5">
        <v>1382</v>
      </c>
      <c r="E6" s="5">
        <v>2040</v>
      </c>
      <c r="F6" s="5">
        <v>4731</v>
      </c>
      <c r="G6" s="5">
        <v>11555</v>
      </c>
      <c r="H6" s="1"/>
      <c r="I6" s="1"/>
      <c r="J6" s="1"/>
      <c r="K6" s="1"/>
      <c r="L6" s="1"/>
      <c r="M6" s="1"/>
      <c r="N6" s="1" t="s">
        <v>266</v>
      </c>
    </row>
    <row r="7" spans="1:14" x14ac:dyDescent="0.2">
      <c r="A7" s="24" t="s">
        <v>83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3" t="s">
        <v>84</v>
      </c>
      <c r="B8" s="5">
        <v>944</v>
      </c>
      <c r="C8" s="5">
        <v>1390</v>
      </c>
      <c r="D8" s="5">
        <v>2047</v>
      </c>
      <c r="E8" s="5">
        <v>2945</v>
      </c>
      <c r="F8" s="5">
        <v>3387</v>
      </c>
      <c r="G8" s="5">
        <v>5558</v>
      </c>
      <c r="H8" s="1"/>
      <c r="I8" s="1"/>
      <c r="J8" s="1"/>
      <c r="K8" s="1"/>
      <c r="L8" s="1"/>
      <c r="M8" s="1"/>
      <c r="N8" s="1" t="s">
        <v>266</v>
      </c>
    </row>
    <row r="9" spans="1:14" x14ac:dyDescent="0.2">
      <c r="A9" s="3" t="s">
        <v>85</v>
      </c>
      <c r="B9" s="5">
        <v>218</v>
      </c>
      <c r="C9" s="5">
        <v>320</v>
      </c>
      <c r="D9" s="5">
        <v>489</v>
      </c>
      <c r="E9" s="5">
        <v>812</v>
      </c>
      <c r="F9" s="5">
        <v>1295</v>
      </c>
      <c r="G9" s="5">
        <v>1857</v>
      </c>
      <c r="H9" s="1"/>
      <c r="I9" s="1"/>
      <c r="J9" s="1"/>
      <c r="K9" s="1"/>
      <c r="L9" s="1"/>
      <c r="M9" s="1"/>
      <c r="N9" s="1" t="s">
        <v>266</v>
      </c>
    </row>
    <row r="10" spans="1:14" x14ac:dyDescent="0.2">
      <c r="A10" s="3" t="s">
        <v>86</v>
      </c>
      <c r="B10" s="5">
        <v>0</v>
      </c>
      <c r="C10" s="5">
        <v>0</v>
      </c>
      <c r="D10" s="5">
        <v>1500</v>
      </c>
      <c r="E10" s="5">
        <v>0</v>
      </c>
      <c r="F10" s="5">
        <v>0</v>
      </c>
      <c r="G10" s="5">
        <v>0</v>
      </c>
      <c r="H10" s="1"/>
      <c r="I10" s="1"/>
      <c r="J10" s="1"/>
      <c r="K10" s="1"/>
      <c r="L10" s="1"/>
      <c r="M10" s="1"/>
      <c r="N10" s="1" t="s">
        <v>266</v>
      </c>
    </row>
    <row r="11" spans="1:14" x14ac:dyDescent="0.2">
      <c r="A11" s="3" t="s">
        <v>87</v>
      </c>
      <c r="B11" s="5">
        <v>24</v>
      </c>
      <c r="C11" s="5">
        <v>96</v>
      </c>
      <c r="D11" s="5">
        <v>202</v>
      </c>
      <c r="E11" s="5">
        <v>246</v>
      </c>
      <c r="F11" s="5">
        <v>1033</v>
      </c>
      <c r="G11" s="5">
        <v>2135</v>
      </c>
      <c r="H11" s="1"/>
      <c r="I11" s="1"/>
      <c r="J11" s="1"/>
      <c r="K11" s="1"/>
      <c r="L11" s="1"/>
      <c r="M11" s="1"/>
      <c r="N11" s="1" t="s">
        <v>266</v>
      </c>
    </row>
    <row r="12" spans="1:14" x14ac:dyDescent="0.2">
      <c r="A12" s="3" t="s">
        <v>88</v>
      </c>
      <c r="B12" s="5">
        <v>125</v>
      </c>
      <c r="C12" s="5">
        <v>181</v>
      </c>
      <c r="D12" s="5">
        <v>233</v>
      </c>
      <c r="E12" s="5">
        <v>873</v>
      </c>
      <c r="F12" s="5">
        <v>683</v>
      </c>
      <c r="G12" s="5">
        <v>1031</v>
      </c>
      <c r="H12" s="1"/>
      <c r="I12" s="1"/>
      <c r="J12" s="1"/>
      <c r="K12" s="1"/>
      <c r="L12" s="1"/>
      <c r="M12" s="1"/>
      <c r="N12" s="1" t="s">
        <v>266</v>
      </c>
    </row>
    <row r="13" spans="1:14" x14ac:dyDescent="0.2">
      <c r="A13" s="24" t="s">
        <v>89</v>
      </c>
      <c r="B13" s="15">
        <v>1311</v>
      </c>
      <c r="C13" s="15">
        <v>1987</v>
      </c>
      <c r="D13" s="15">
        <v>4471</v>
      </c>
      <c r="E13" s="15">
        <v>4876</v>
      </c>
      <c r="F13" s="15">
        <v>6398</v>
      </c>
      <c r="G13" s="15">
        <v>10581</v>
      </c>
      <c r="H13" s="1"/>
      <c r="I13" s="1"/>
      <c r="J13" s="1"/>
      <c r="K13" s="1"/>
      <c r="L13" s="1"/>
      <c r="M13" s="1"/>
      <c r="N13" s="1" t="s">
        <v>266</v>
      </c>
    </row>
    <row r="14" spans="1:14" x14ac:dyDescent="0.2">
      <c r="A14" s="24" t="s">
        <v>267</v>
      </c>
      <c r="B14" s="15">
        <v>-935</v>
      </c>
      <c r="C14" s="15">
        <v>-1200</v>
      </c>
      <c r="D14" s="15">
        <v>-3089</v>
      </c>
      <c r="E14" s="15">
        <v>-2836</v>
      </c>
      <c r="F14" s="15">
        <v>-1667</v>
      </c>
      <c r="G14" s="15">
        <v>974</v>
      </c>
      <c r="H14" s="1"/>
      <c r="I14" s="1"/>
      <c r="J14" s="1"/>
      <c r="K14" s="1"/>
      <c r="L14" s="1"/>
      <c r="M14" s="1"/>
      <c r="N14" s="1" t="s">
        <v>266</v>
      </c>
    </row>
    <row r="15" spans="1:14" x14ac:dyDescent="0.2">
      <c r="A15" s="3" t="s">
        <v>91</v>
      </c>
      <c r="B15" s="5">
        <v>51</v>
      </c>
      <c r="C15" s="5">
        <v>64</v>
      </c>
      <c r="D15" s="5">
        <v>124</v>
      </c>
      <c r="E15" s="5">
        <v>192</v>
      </c>
      <c r="F15" s="5">
        <v>349</v>
      </c>
      <c r="G15" s="5">
        <v>762</v>
      </c>
      <c r="H15" s="1"/>
      <c r="I15" s="1"/>
      <c r="J15" s="1"/>
      <c r="K15" s="1"/>
      <c r="L15" s="1"/>
      <c r="M15" s="1"/>
      <c r="N15" s="1" t="s">
        <v>266</v>
      </c>
    </row>
    <row r="16" spans="1:14" x14ac:dyDescent="0.2">
      <c r="A16" s="3" t="s">
        <v>92</v>
      </c>
      <c r="B16" s="5">
        <v>-5701</v>
      </c>
      <c r="C16" s="5">
        <v>-5241</v>
      </c>
      <c r="D16" s="5">
        <v>-9165</v>
      </c>
      <c r="E16" s="5">
        <v>-14201</v>
      </c>
      <c r="F16" s="5">
        <v>-12791</v>
      </c>
      <c r="G16" s="5">
        <v>-59597</v>
      </c>
      <c r="H16" s="1"/>
      <c r="I16" s="1"/>
      <c r="J16" s="1"/>
      <c r="K16" s="1"/>
      <c r="L16" s="1"/>
      <c r="M16" s="1"/>
      <c r="N16" s="1" t="s">
        <v>266</v>
      </c>
    </row>
    <row r="17" spans="1:14" x14ac:dyDescent="0.2">
      <c r="A17" s="3" t="s">
        <v>93</v>
      </c>
      <c r="B17" s="5">
        <v>0</v>
      </c>
      <c r="C17" s="5">
        <v>0</v>
      </c>
      <c r="D17" s="5">
        <v>-3</v>
      </c>
      <c r="E17" s="5">
        <v>-5</v>
      </c>
      <c r="F17" s="5">
        <v>-309</v>
      </c>
      <c r="G17" s="5">
        <v>-8448</v>
      </c>
      <c r="H17" s="1"/>
      <c r="I17" s="1"/>
      <c r="J17" s="1"/>
      <c r="K17" s="1"/>
      <c r="L17" s="1"/>
      <c r="M17" s="1"/>
      <c r="N17" s="1" t="s">
        <v>266</v>
      </c>
    </row>
    <row r="18" spans="1:14" x14ac:dyDescent="0.2">
      <c r="A18" s="24" t="s">
        <v>94</v>
      </c>
      <c r="B18" s="15">
        <v>-5650</v>
      </c>
      <c r="C18" s="15">
        <v>-5177</v>
      </c>
      <c r="D18" s="15">
        <v>-9044</v>
      </c>
      <c r="E18" s="15">
        <v>-14014</v>
      </c>
      <c r="F18" s="15">
        <v>-12751</v>
      </c>
      <c r="G18" s="15">
        <v>-67283</v>
      </c>
      <c r="H18" s="1"/>
      <c r="I18" s="1"/>
      <c r="J18" s="1"/>
      <c r="K18" s="1"/>
      <c r="L18" s="1"/>
      <c r="M18" s="1"/>
      <c r="N18" s="1" t="s">
        <v>266</v>
      </c>
    </row>
    <row r="19" spans="1:14" x14ac:dyDescent="0.2">
      <c r="A19" s="24" t="s">
        <v>95</v>
      </c>
      <c r="B19" s="15">
        <v>-6585</v>
      </c>
      <c r="C19" s="15">
        <v>-6377</v>
      </c>
      <c r="D19" s="15">
        <v>-12133</v>
      </c>
      <c r="E19" s="15">
        <v>-16850</v>
      </c>
      <c r="F19" s="15">
        <v>-14418</v>
      </c>
      <c r="G19" s="15">
        <v>-66309</v>
      </c>
      <c r="H19" s="1"/>
      <c r="I19" s="1"/>
      <c r="J19" s="1"/>
      <c r="K19" s="1"/>
      <c r="L19" s="1"/>
      <c r="M19" s="1"/>
      <c r="N19" s="1" t="s">
        <v>266</v>
      </c>
    </row>
    <row r="20" spans="1:14" x14ac:dyDescent="0.2">
      <c r="A20" s="3" t="s">
        <v>96</v>
      </c>
      <c r="B20" s="5">
        <v>7</v>
      </c>
      <c r="C20" s="5">
        <v>0</v>
      </c>
      <c r="D20" s="5">
        <v>5</v>
      </c>
      <c r="E20" s="5">
        <v>8</v>
      </c>
      <c r="F20" s="5">
        <v>21</v>
      </c>
      <c r="G20" s="5">
        <v>0</v>
      </c>
      <c r="H20" s="1"/>
      <c r="I20" s="1"/>
      <c r="J20" s="1"/>
      <c r="K20" s="1"/>
      <c r="L20" s="1"/>
      <c r="M20" s="1"/>
      <c r="N20" s="1" t="s">
        <v>266</v>
      </c>
    </row>
    <row r="21" spans="1:14" x14ac:dyDescent="0.2">
      <c r="A21" s="24" t="s">
        <v>97</v>
      </c>
      <c r="B21" s="15">
        <v>-6592</v>
      </c>
      <c r="C21" s="15">
        <v>-6377</v>
      </c>
      <c r="D21" s="15">
        <v>-12138</v>
      </c>
      <c r="E21" s="15">
        <v>-16858</v>
      </c>
      <c r="F21" s="15">
        <v>-14439</v>
      </c>
      <c r="G21" s="15">
        <v>-66309</v>
      </c>
      <c r="H21" s="1"/>
      <c r="I21" s="1"/>
      <c r="J21" s="1"/>
      <c r="K21" s="1"/>
      <c r="L21" s="1"/>
      <c r="M21" s="1"/>
      <c r="N21" s="1" t="s">
        <v>266</v>
      </c>
    </row>
    <row r="22" spans="1:1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24" t="s">
        <v>268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3" t="s">
        <v>168</v>
      </c>
      <c r="B24" s="5">
        <v>105</v>
      </c>
      <c r="C24" s="5">
        <v>181</v>
      </c>
      <c r="D24" s="5">
        <v>305</v>
      </c>
      <c r="E24" s="5">
        <v>574</v>
      </c>
      <c r="F24" s="5">
        <v>924</v>
      </c>
      <c r="G24" s="5">
        <v>1261</v>
      </c>
      <c r="H24" s="1"/>
      <c r="I24" s="1"/>
      <c r="J24" s="1"/>
      <c r="K24" s="1"/>
      <c r="L24" s="1"/>
      <c r="M24" s="1"/>
      <c r="N24" s="1" t="s">
        <v>269</v>
      </c>
    </row>
    <row r="25" spans="1:14" x14ac:dyDescent="0.2">
      <c r="A25" s="3" t="s">
        <v>270</v>
      </c>
      <c r="B25" s="5">
        <v>0</v>
      </c>
      <c r="C25" s="5">
        <v>0</v>
      </c>
      <c r="D25" s="5">
        <v>0</v>
      </c>
      <c r="E25" s="5">
        <v>541</v>
      </c>
      <c r="F25" s="5">
        <v>126</v>
      </c>
      <c r="G25" s="5">
        <v>0</v>
      </c>
      <c r="H25" s="1"/>
      <c r="I25" s="1"/>
      <c r="J25" s="1"/>
      <c r="K25" s="1"/>
      <c r="L25" s="1"/>
      <c r="M25" s="1"/>
      <c r="N25" s="1" t="s">
        <v>269</v>
      </c>
    </row>
    <row r="26" spans="1:14" x14ac:dyDescent="0.2">
      <c r="A26" s="3" t="s">
        <v>86</v>
      </c>
      <c r="B26" s="5">
        <v>0</v>
      </c>
      <c r="C26" s="5">
        <v>0</v>
      </c>
      <c r="D26" s="5">
        <v>1500</v>
      </c>
      <c r="E26" s="5">
        <v>0</v>
      </c>
      <c r="F26" s="5">
        <v>0</v>
      </c>
      <c r="G26" s="5">
        <v>0</v>
      </c>
      <c r="H26" s="1"/>
      <c r="I26" s="1"/>
      <c r="J26" s="1"/>
      <c r="K26" s="1"/>
      <c r="L26" s="1"/>
      <c r="M26" s="1"/>
      <c r="N26" s="1" t="s">
        <v>269</v>
      </c>
    </row>
    <row r="27" spans="1:14" x14ac:dyDescent="0.2">
      <c r="A27" s="32" t="s">
        <v>271</v>
      </c>
      <c r="B27" s="15">
        <v>-830</v>
      </c>
      <c r="C27" s="15">
        <v>-1019</v>
      </c>
      <c r="D27" s="15">
        <v>-1284</v>
      </c>
      <c r="E27" s="15">
        <v>-1721</v>
      </c>
      <c r="F27" s="15">
        <v>-617</v>
      </c>
      <c r="G27" s="15">
        <v>2235</v>
      </c>
      <c r="H27" s="1"/>
      <c r="I27" s="1"/>
      <c r="J27" s="1"/>
      <c r="K27" s="1"/>
      <c r="L27" s="1"/>
      <c r="M27" s="1"/>
      <c r="N27" s="1" t="s">
        <v>269</v>
      </c>
    </row>
    <row r="28" spans="1:1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24" t="s">
        <v>272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2" t="s">
        <v>273</v>
      </c>
      <c r="B30" s="22"/>
      <c r="C30" s="22">
        <f>C6/B6-1</f>
        <v>1.0930851063829787</v>
      </c>
      <c r="D30" s="22">
        <f>D6/C6-1</f>
        <v>0.75603557814485378</v>
      </c>
      <c r="E30" s="22">
        <f>E6/D6-1</f>
        <v>0.47612156295224306</v>
      </c>
      <c r="F30" s="22">
        <f>F6/E6-1</f>
        <v>1.3191176470588237</v>
      </c>
      <c r="G30" s="22">
        <f>G6/F6-1</f>
        <v>1.4424011836820969</v>
      </c>
      <c r="H30" s="1"/>
      <c r="I30" s="1"/>
      <c r="J30" s="1"/>
      <c r="K30" s="1"/>
      <c r="L30" s="1"/>
      <c r="M30" s="1"/>
      <c r="N30" s="1"/>
    </row>
    <row r="31" spans="1:14" x14ac:dyDescent="0.2">
      <c r="A31" s="2" t="s">
        <v>274</v>
      </c>
      <c r="B31" s="22">
        <f t="shared" si="0" ref="B31:G31">B8/B6</f>
        <v>2.5106382978723403</v>
      </c>
      <c r="C31" s="22">
        <f t="shared" si="0"/>
        <v>1.7662007623888183</v>
      </c>
      <c r="D31" s="22">
        <f t="shared" si="0"/>
        <v>1.4811866859623735</v>
      </c>
      <c r="E31" s="22">
        <f t="shared" si="0"/>
        <v>1.4436274509803921</v>
      </c>
      <c r="F31" s="22">
        <f t="shared" si="0"/>
        <v>0.71591629676601143</v>
      </c>
      <c r="G31" s="22">
        <f t="shared" si="0"/>
        <v>0.48100389441800084</v>
      </c>
      <c r="H31" s="1"/>
      <c r="I31" s="1"/>
      <c r="J31" s="1"/>
      <c r="K31" s="1"/>
      <c r="L31" s="1"/>
      <c r="M31" s="1"/>
      <c r="N31" s="1"/>
    </row>
    <row r="32" spans="1:14" x14ac:dyDescent="0.2">
      <c r="A32" s="2" t="s">
        <v>275</v>
      </c>
      <c r="B32" s="22">
        <f t="shared" si="1" ref="B32:G32">B9/B6</f>
        <v>0.57978723404255317</v>
      </c>
      <c r="C32" s="22">
        <f t="shared" si="1"/>
        <v>0.40660736975857686</v>
      </c>
      <c r="D32" s="22">
        <f t="shared" si="1"/>
        <v>0.35383502170767006</v>
      </c>
      <c r="E32" s="22">
        <f t="shared" si="1"/>
        <v>0.39803921568627448</v>
      </c>
      <c r="F32" s="22">
        <f t="shared" si="1"/>
        <v>0.27372648488691609</v>
      </c>
      <c r="G32" s="22">
        <f t="shared" si="1"/>
        <v>0.16070964950237993</v>
      </c>
      <c r="H32" s="1"/>
      <c r="I32" s="1"/>
      <c r="J32" s="1"/>
      <c r="K32" s="1"/>
      <c r="L32" s="1"/>
      <c r="M32" s="1"/>
      <c r="N32" s="1"/>
    </row>
    <row r="33" spans="1:14" x14ac:dyDescent="0.2">
      <c r="A33" s="2" t="s">
        <v>276</v>
      </c>
      <c r="B33" s="22">
        <f t="shared" si="2" ref="B33:G33">B11/B6</f>
        <v>6.3829787234042548E-2</v>
      </c>
      <c r="C33" s="22">
        <f t="shared" si="2"/>
        <v>0.12198221092757307</v>
      </c>
      <c r="D33" s="22">
        <f t="shared" si="2"/>
        <v>0.14616497829232997</v>
      </c>
      <c r="E33" s="22">
        <f t="shared" si="2"/>
        <v>0.12058823529411765</v>
      </c>
      <c r="F33" s="22">
        <f t="shared" si="2"/>
        <v>0.21834707250052843</v>
      </c>
      <c r="G33" s="22">
        <f t="shared" si="2"/>
        <v>0.18476849848550411</v>
      </c>
      <c r="H33" s="1"/>
      <c r="I33" s="1"/>
      <c r="J33" s="1"/>
      <c r="K33" s="1"/>
      <c r="L33" s="1"/>
      <c r="M33" s="1"/>
      <c r="N33" s="1"/>
    </row>
    <row r="34" spans="1:14" x14ac:dyDescent="0.2">
      <c r="A34" s="2" t="s">
        <v>277</v>
      </c>
      <c r="B34" s="22">
        <f t="shared" si="3" ref="B34:G34">B12/B6</f>
        <v>0.33244680851063829</v>
      </c>
      <c r="C34" s="22">
        <f t="shared" si="3"/>
        <v>0.22998729351969505</v>
      </c>
      <c r="D34" s="22">
        <f t="shared" si="3"/>
        <v>0.16859623733719248</v>
      </c>
      <c r="E34" s="22">
        <f t="shared" si="3"/>
        <v>0.42794117647058821</v>
      </c>
      <c r="F34" s="22">
        <f t="shared" si="3"/>
        <v>0.14436694145001056</v>
      </c>
      <c r="G34" s="22">
        <f t="shared" si="3"/>
        <v>8.9225443530938989E-2</v>
      </c>
      <c r="H34" s="1"/>
      <c r="I34" s="1"/>
      <c r="J34" s="1"/>
      <c r="K34" s="1"/>
      <c r="L34" s="1"/>
      <c r="M34" s="1"/>
      <c r="N34" s="1"/>
    </row>
    <row r="35" spans="1:14" x14ac:dyDescent="0.2">
      <c r="A35" s="2" t="s">
        <v>278</v>
      </c>
      <c r="B35" s="22">
        <f t="shared" si="4" ref="B35:G35">(B9-B24)/B6</f>
        <v>0.30053191489361702</v>
      </c>
      <c r="C35" s="22">
        <f t="shared" si="4"/>
        <v>0.17662007623888182</v>
      </c>
      <c r="D35" s="22">
        <f t="shared" si="4"/>
        <v>0.13314037626628075</v>
      </c>
      <c r="E35" s="22">
        <f t="shared" si="4"/>
        <v>0.11666666666666667</v>
      </c>
      <c r="F35" s="22">
        <f t="shared" si="4"/>
        <v>7.8418938913548938E-2</v>
      </c>
      <c r="G35" s="22">
        <f t="shared" si="4"/>
        <v>5.1579402855906537E-2</v>
      </c>
      <c r="H35" s="1"/>
      <c r="I35" s="1"/>
      <c r="J35" s="1"/>
      <c r="K35" s="1"/>
      <c r="L35" s="1"/>
      <c r="M35" s="1"/>
      <c r="N35" s="1"/>
    </row>
    <row r="36" spans="1:14" x14ac:dyDescent="0.2">
      <c r="A36" s="2" t="s">
        <v>279</v>
      </c>
      <c r="B36" s="22">
        <f t="shared" si="5" ref="B36:G36">B14/B6</f>
        <v>-2.4867021276595747</v>
      </c>
      <c r="C36" s="22">
        <f t="shared" si="5"/>
        <v>-1.5247776365946633</v>
      </c>
      <c r="D36" s="22">
        <f t="shared" si="5"/>
        <v>-2.2351664254703327</v>
      </c>
      <c r="E36" s="22">
        <f t="shared" si="5"/>
        <v>-1.3901960784313725</v>
      </c>
      <c r="F36" s="22">
        <f t="shared" si="5"/>
        <v>-0.3523567956034665</v>
      </c>
      <c r="G36" s="22">
        <f t="shared" si="5"/>
        <v>8.4292514063176116E-2</v>
      </c>
      <c r="H36" s="1"/>
      <c r="I36" s="1"/>
      <c r="J36" s="1"/>
      <c r="K36" s="1"/>
      <c r="L36" s="1"/>
      <c r="M36" s="1"/>
      <c r="N36" s="1"/>
    </row>
    <row r="37" spans="1:14" x14ac:dyDescent="0.2">
      <c r="A37" s="2" t="s">
        <v>280</v>
      </c>
      <c r="B37" s="22">
        <f t="shared" si="6" ref="B37:G37">B27/B6</f>
        <v>-2.2074468085106385</v>
      </c>
      <c r="C37" s="22">
        <f t="shared" si="6"/>
        <v>-1.2947903430749683</v>
      </c>
      <c r="D37" s="22">
        <f t="shared" si="6"/>
        <v>-0.9290882778581766</v>
      </c>
      <c r="E37" s="22">
        <f t="shared" si="6"/>
        <v>-0.84362745098039216</v>
      </c>
      <c r="F37" s="22">
        <f t="shared" si="6"/>
        <v>-0.13041640245191291</v>
      </c>
      <c r="G37" s="22">
        <f t="shared" si="6"/>
        <v>0.1934227607096495</v>
      </c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24" t="s">
        <v>247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3" t="s">
        <v>89</v>
      </c>
      <c r="B40" s="10">
        <f t="shared" si="7" ref="B40:G40">B8+B9+B10+B11+B12-B13</f>
        <v>0</v>
      </c>
      <c r="C40" s="10">
        <f t="shared" si="7"/>
        <v>0</v>
      </c>
      <c r="D40" s="10">
        <f t="shared" si="7"/>
        <v>0</v>
      </c>
      <c r="E40" s="10">
        <f t="shared" si="7"/>
        <v>0</v>
      </c>
      <c r="F40" s="10">
        <f t="shared" si="7"/>
        <v>0</v>
      </c>
      <c r="G40" s="10">
        <f t="shared" si="7"/>
        <v>0</v>
      </c>
      <c r="H40" s="1"/>
      <c r="I40" s="1"/>
      <c r="J40" s="1"/>
      <c r="K40" s="1"/>
      <c r="L40" s="1"/>
      <c r="M40" s="1"/>
      <c r="N40" s="1"/>
    </row>
    <row r="41" spans="1:14" x14ac:dyDescent="0.2">
      <c r="A41" s="3" t="s">
        <v>97</v>
      </c>
      <c r="B41" s="10">
        <f t="shared" si="8" ref="B41:G41">B14+B18-B20-B21</f>
        <v>0</v>
      </c>
      <c r="C41" s="10">
        <f t="shared" si="8"/>
        <v>0</v>
      </c>
      <c r="D41" s="10">
        <f t="shared" si="8"/>
        <v>0</v>
      </c>
      <c r="E41" s="10">
        <f t="shared" si="8"/>
        <v>0</v>
      </c>
      <c r="F41" s="10">
        <f t="shared" si="8"/>
        <v>0</v>
      </c>
      <c r="G41" s="10">
        <f t="shared" si="8"/>
        <v>0</v>
      </c>
      <c r="H41" s="1"/>
      <c r="I41" s="1"/>
      <c r="J41" s="1"/>
      <c r="K41" s="1"/>
      <c r="L41" s="1"/>
      <c r="M41" s="1"/>
      <c r="N41" s="1"/>
    </row>
    <row r="42" spans="1:14" x14ac:dyDescent="0.2">
      <c r="A42" s="3" t="s">
        <v>281</v>
      </c>
      <c r="B42" s="10">
        <f t="shared" si="9" ref="B42:G42">B14+B24+B25+B26-B27</f>
        <v>0</v>
      </c>
      <c r="C42" s="10">
        <f t="shared" si="9"/>
        <v>0</v>
      </c>
      <c r="D42" s="10">
        <f t="shared" si="9"/>
        <v>0</v>
      </c>
      <c r="E42" s="10">
        <f t="shared" si="9"/>
        <v>0</v>
      </c>
      <c r="F42" s="10">
        <f t="shared" si="9"/>
        <v>0</v>
      </c>
      <c r="G42" s="10">
        <f t="shared" si="9"/>
        <v>0</v>
      </c>
      <c r="H42" s="1"/>
      <c r="I42" s="1"/>
      <c r="J42" s="1"/>
      <c r="K42" s="1"/>
      <c r="L42" s="1"/>
      <c r="M42" s="1"/>
      <c r="N42" s="1"/>
    </row>
    <row r="43" spans="1:14" x14ac:dyDescent="0.2">
      <c r="A43" s="3" t="s">
        <v>282</v>
      </c>
      <c r="B43" s="10">
        <f>SUM(B6:E6)-IS_Hist!D6</f>
        <v>0</v>
      </c>
      <c r="C43" s="10">
        <f>B6+C6-IS_Hist!E6</f>
        <v>0</v>
      </c>
      <c r="D43" s="10">
        <f>F6+G6-IS_Hist!F6</f>
        <v>0</v>
      </c>
      <c r="E43" s="1"/>
      <c r="F43" s="1"/>
      <c r="G43" s="1"/>
      <c r="H43" s="1"/>
      <c r="I43" s="1"/>
      <c r="J43" s="1"/>
      <c r="K43" s="1"/>
      <c r="L43" s="1"/>
      <c r="M43" s="1"/>
      <c r="N43" s="1" t="s">
        <v>283</v>
      </c>
    </row>
    <row r="44" spans="1:14" x14ac:dyDescent="0.2">
      <c r="A44" s="3" t="s">
        <v>284</v>
      </c>
      <c r="B44" s="10">
        <f>SUM(B8:E8)-IS_Hist!D9</f>
        <v>0</v>
      </c>
      <c r="C44" s="10">
        <f>B8+C8-IS_Hist!E9</f>
        <v>0</v>
      </c>
      <c r="D44" s="10">
        <f>F8+G8-IS_Hist!F9</f>
        <v>0</v>
      </c>
      <c r="E44" s="1"/>
      <c r="F44" s="1"/>
      <c r="G44" s="1"/>
      <c r="H44" s="1"/>
      <c r="I44" s="1"/>
      <c r="J44" s="1"/>
      <c r="K44" s="1"/>
      <c r="L44" s="1"/>
      <c r="M44" s="1"/>
      <c r="N44" s="1" t="s">
        <v>283</v>
      </c>
    </row>
    <row r="45" spans="1:14" x14ac:dyDescent="0.2">
      <c r="A45" s="3" t="s">
        <v>285</v>
      </c>
      <c r="B45" s="10">
        <f>SUM(B13:E13)-IS_Hist!D14</f>
        <v>0</v>
      </c>
      <c r="C45" s="10">
        <f>B13+C13-IS_Hist!E14</f>
        <v>0</v>
      </c>
      <c r="D45" s="10">
        <f>F13+G13-IS_Hist!F14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 t="s">
        <v>283</v>
      </c>
    </row>
    <row r="46" spans="1:14" x14ac:dyDescent="0.2">
      <c r="A46" s="3" t="s">
        <v>286</v>
      </c>
      <c r="B46" s="10">
        <f>SUM(B21:E21)-IS_Hist!D22</f>
        <v>0</v>
      </c>
      <c r="C46" s="10">
        <f>B21+C21-IS_Hist!E22</f>
        <v>0</v>
      </c>
      <c r="D46" s="10">
        <f>F21+G21-IS_Hist!F22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7689"/>
  </sheetPr>
  <dimension ref="A1:N77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6" width="12.33203125" customWidth="1"/>
    <col min="13" max="13" width="17.6640625" customWidth="1"/>
    <col min="14" max="14" width="92.6640625" customWidth="1"/>
  </cols>
  <sheetData>
    <row r="1" spans="1:14" x14ac:dyDescent="0.2">
      <c r="A1" s="38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288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74</v>
      </c>
      <c r="C4" s="17" t="s">
        <v>75</v>
      </c>
      <c r="D4" s="17" t="s">
        <v>76</v>
      </c>
      <c r="E4" s="17" t="s">
        <v>77</v>
      </c>
      <c r="F4" s="17" t="s">
        <v>78</v>
      </c>
      <c r="G4" s="1"/>
      <c r="H4" s="1"/>
      <c r="I4" s="1"/>
      <c r="J4" s="1"/>
      <c r="K4" s="1"/>
      <c r="L4" s="1"/>
      <c r="M4" s="12" t="s">
        <v>79</v>
      </c>
      <c r="N4" s="12" t="s">
        <v>80</v>
      </c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289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3" t="s">
        <v>290</v>
      </c>
      <c r="B7" s="5">
        <v>39</v>
      </c>
      <c r="C7" s="5">
        <v>288</v>
      </c>
      <c r="D7" s="5">
        <v>3796</v>
      </c>
      <c r="E7" s="5">
        <v>983</v>
      </c>
      <c r="F7" s="5">
        <v>13064</v>
      </c>
      <c r="G7" s="1"/>
      <c r="H7" s="1"/>
      <c r="I7" s="1"/>
      <c r="J7" s="1"/>
      <c r="K7" s="1"/>
      <c r="L7" s="1"/>
      <c r="M7" s="1"/>
      <c r="N7" s="1" t="s">
        <v>291</v>
      </c>
    </row>
    <row r="8" spans="1:14" x14ac:dyDescent="0.2">
      <c r="A8" s="3" t="s">
        <v>292</v>
      </c>
      <c r="B8" s="5">
        <v>2</v>
      </c>
      <c r="C8" s="5">
        <v>98</v>
      </c>
      <c r="D8" s="5">
        <v>789</v>
      </c>
      <c r="E8" s="5">
        <v>180</v>
      </c>
      <c r="F8" s="5">
        <v>3222</v>
      </c>
      <c r="G8" s="1"/>
      <c r="H8" s="1"/>
      <c r="I8" s="1"/>
      <c r="J8" s="1"/>
      <c r="K8" s="1"/>
      <c r="L8" s="1"/>
      <c r="M8" s="1"/>
      <c r="N8" s="1" t="s">
        <v>291</v>
      </c>
    </row>
    <row r="9" spans="1:14" x14ac:dyDescent="0.2">
      <c r="A9" s="32" t="s">
        <v>293</v>
      </c>
      <c r="B9" s="15">
        <v>41</v>
      </c>
      <c r="C9" s="15">
        <v>386</v>
      </c>
      <c r="D9" s="15">
        <v>4585</v>
      </c>
      <c r="E9" s="15">
        <v>1163</v>
      </c>
      <c r="F9" s="15">
        <v>16286</v>
      </c>
      <c r="G9" s="1"/>
      <c r="H9" s="1"/>
      <c r="I9" s="1"/>
      <c r="J9" s="1"/>
      <c r="K9" s="1"/>
      <c r="L9" s="1"/>
      <c r="M9" s="1"/>
      <c r="N9" s="1" t="s">
        <v>291</v>
      </c>
    </row>
    <row r="10" spans="1:14" x14ac:dyDescent="0.2">
      <c r="A10" s="2" t="s">
        <v>294</v>
      </c>
      <c r="B10" s="22">
        <f>B8/B9</f>
        <v>4.878048780487805E-2</v>
      </c>
      <c r="C10" s="22">
        <f>C8/C9</f>
        <v>0.25388601036269431</v>
      </c>
      <c r="D10" s="22">
        <f>D8/D9</f>
        <v>0.17208287895310795</v>
      </c>
      <c r="E10" s="22">
        <f>E8/E9</f>
        <v>0.15477214101461736</v>
      </c>
      <c r="F10" s="22">
        <f>F8/F9</f>
        <v>0.19783863440992264</v>
      </c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24" t="s">
        <v>295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3" t="s">
        <v>296</v>
      </c>
      <c r="B13" s="5">
        <v>34</v>
      </c>
      <c r="C13" s="5">
        <v>263</v>
      </c>
      <c r="D13" s="5">
        <v>3362</v>
      </c>
      <c r="E13" s="5">
        <v>820</v>
      </c>
      <c r="F13" s="5">
        <v>11763</v>
      </c>
      <c r="G13" s="1"/>
      <c r="H13" s="1"/>
      <c r="I13" s="1"/>
      <c r="J13" s="1"/>
      <c r="K13" s="1"/>
      <c r="L13" s="1"/>
      <c r="M13" s="1"/>
      <c r="N13" s="1" t="s">
        <v>291</v>
      </c>
    </row>
    <row r="14" spans="1:14" x14ac:dyDescent="0.2">
      <c r="A14" s="3" t="s">
        <v>297</v>
      </c>
      <c r="B14" s="5">
        <v>7</v>
      </c>
      <c r="C14" s="5">
        <v>123</v>
      </c>
      <c r="D14" s="5">
        <v>1223</v>
      </c>
      <c r="E14" s="5">
        <v>343</v>
      </c>
      <c r="F14" s="5">
        <v>4523</v>
      </c>
      <c r="G14" s="1"/>
      <c r="H14" s="1"/>
      <c r="I14" s="1"/>
      <c r="J14" s="1"/>
      <c r="K14" s="1"/>
      <c r="L14" s="1"/>
      <c r="M14" s="1"/>
      <c r="N14" s="1" t="s">
        <v>291</v>
      </c>
    </row>
    <row r="15" spans="1:14" x14ac:dyDescent="0.2">
      <c r="A15" s="32" t="s">
        <v>293</v>
      </c>
      <c r="B15" s="15">
        <v>41</v>
      </c>
      <c r="C15" s="15">
        <v>386</v>
      </c>
      <c r="D15" s="15">
        <v>4585</v>
      </c>
      <c r="E15" s="15">
        <v>1163</v>
      </c>
      <c r="F15" s="15">
        <v>16286</v>
      </c>
      <c r="G15" s="1"/>
      <c r="H15" s="1"/>
      <c r="I15" s="1"/>
      <c r="J15" s="1"/>
      <c r="K15" s="1"/>
      <c r="L15" s="1"/>
      <c r="M15" s="1"/>
      <c r="N15" s="1" t="s">
        <v>291</v>
      </c>
    </row>
    <row r="16" spans="1:14" x14ac:dyDescent="0.2">
      <c r="A16" s="2" t="s">
        <v>298</v>
      </c>
      <c r="B16" s="22">
        <f>B14/B15</f>
        <v>0.17073170731707318</v>
      </c>
      <c r="C16" s="22">
        <f>C14/C15</f>
        <v>0.31865284974093266</v>
      </c>
      <c r="D16" s="22">
        <f>D14/D15</f>
        <v>0.26673936750272625</v>
      </c>
      <c r="E16" s="22">
        <f>E14/E15</f>
        <v>0.29492691315563196</v>
      </c>
      <c r="F16" s="22">
        <f>F14/F15</f>
        <v>0.27772319783863442</v>
      </c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24" t="s">
        <v>299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2" t="s">
        <v>300</v>
      </c>
      <c r="B19" s="21">
        <v>0</v>
      </c>
      <c r="C19" s="21">
        <v>0</v>
      </c>
      <c r="D19" s="21">
        <v>0.12</v>
      </c>
      <c r="E19" s="21">
        <v>0</v>
      </c>
      <c r="F19" s="21">
        <v>0</v>
      </c>
      <c r="G19" s="1"/>
      <c r="H19" s="1"/>
      <c r="I19" s="1"/>
      <c r="J19" s="1"/>
      <c r="K19" s="1"/>
      <c r="L19" s="1"/>
      <c r="M19" s="1"/>
      <c r="N19" s="1" t="s">
        <v>301</v>
      </c>
    </row>
    <row r="20" spans="1:14" x14ac:dyDescent="0.2">
      <c r="A20" s="2" t="s">
        <v>302</v>
      </c>
      <c r="B20" s="21">
        <v>0</v>
      </c>
      <c r="C20" s="21">
        <v>0</v>
      </c>
      <c r="D20" s="21">
        <v>0.12</v>
      </c>
      <c r="E20" s="21">
        <v>0.18</v>
      </c>
      <c r="F20" s="21">
        <v>0</v>
      </c>
      <c r="G20" s="1"/>
      <c r="H20" s="1"/>
      <c r="I20" s="1"/>
      <c r="J20" s="1"/>
      <c r="K20" s="1"/>
      <c r="L20" s="1"/>
      <c r="M20" s="1"/>
      <c r="N20" s="1" t="s">
        <v>301</v>
      </c>
    </row>
    <row r="21" spans="1:14" x14ac:dyDescent="0.2">
      <c r="A21" s="2" t="s">
        <v>303</v>
      </c>
      <c r="B21" s="21">
        <v>0.43</v>
      </c>
      <c r="C21" s="21">
        <v>0</v>
      </c>
      <c r="D21" s="21">
        <v>0</v>
      </c>
      <c r="E21" s="21">
        <v>0</v>
      </c>
      <c r="F21" s="21">
        <v>0.11</v>
      </c>
      <c r="G21" s="1"/>
      <c r="H21" s="1"/>
      <c r="I21" s="1"/>
      <c r="J21" s="1"/>
      <c r="K21" s="1"/>
      <c r="L21" s="1"/>
      <c r="M21" s="1"/>
      <c r="N21" s="1" t="s">
        <v>301</v>
      </c>
    </row>
    <row r="22" spans="1:14" x14ac:dyDescent="0.2">
      <c r="A22" s="2" t="s">
        <v>304</v>
      </c>
      <c r="B22" s="21">
        <v>0.11</v>
      </c>
      <c r="C22" s="21">
        <v>0</v>
      </c>
      <c r="D22" s="21">
        <v>0</v>
      </c>
      <c r="E22" s="21">
        <v>0</v>
      </c>
      <c r="F22" s="21">
        <v>0</v>
      </c>
      <c r="G22" s="1"/>
      <c r="H22" s="1"/>
      <c r="I22" s="1"/>
      <c r="J22" s="1"/>
      <c r="K22" s="1"/>
      <c r="L22" s="1"/>
      <c r="M22" s="1"/>
      <c r="N22" s="1" t="s">
        <v>301</v>
      </c>
    </row>
    <row r="23" spans="1:1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24" t="s">
        <v>305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3" t="s">
        <v>306</v>
      </c>
      <c r="B25" s="5">
        <v>26</v>
      </c>
      <c r="C25" s="5">
        <v>752</v>
      </c>
      <c r="D25" s="5">
        <v>2773</v>
      </c>
      <c r="E25" s="5">
        <v>1019</v>
      </c>
      <c r="F25" s="5">
        <v>2380</v>
      </c>
      <c r="G25" s="1"/>
      <c r="H25" s="1"/>
      <c r="I25" s="1"/>
      <c r="J25" s="1"/>
      <c r="K25" s="1"/>
      <c r="L25" s="1"/>
      <c r="M25" s="1"/>
      <c r="N25" s="1" t="s">
        <v>307</v>
      </c>
    </row>
    <row r="26" spans="1:14" x14ac:dyDescent="0.2">
      <c r="A26" s="3" t="s">
        <v>308</v>
      </c>
      <c r="B26" s="5">
        <v>422</v>
      </c>
      <c r="C26" s="5">
        <v>2275</v>
      </c>
      <c r="D26" s="5">
        <v>6338</v>
      </c>
      <c r="E26" s="5">
        <v>1850</v>
      </c>
      <c r="F26" s="5">
        <v>9741</v>
      </c>
      <c r="G26" s="1"/>
      <c r="H26" s="1"/>
      <c r="I26" s="1"/>
      <c r="J26" s="1"/>
      <c r="K26" s="1"/>
      <c r="L26" s="1"/>
      <c r="M26" s="1"/>
      <c r="N26" s="1" t="s">
        <v>307</v>
      </c>
    </row>
    <row r="27" spans="1:14" x14ac:dyDescent="0.2">
      <c r="A27" s="3" t="s">
        <v>309</v>
      </c>
      <c r="B27" s="5">
        <v>76</v>
      </c>
      <c r="C27" s="5">
        <v>163</v>
      </c>
      <c r="D27" s="5">
        <v>911</v>
      </c>
      <c r="E27" s="5">
        <v>239</v>
      </c>
      <c r="F27" s="5">
        <v>3808</v>
      </c>
      <c r="G27" s="1"/>
      <c r="H27" s="1"/>
      <c r="I27" s="1"/>
      <c r="J27" s="1"/>
      <c r="K27" s="1"/>
      <c r="L27" s="1"/>
      <c r="M27" s="1"/>
      <c r="N27" s="1" t="s">
        <v>307</v>
      </c>
    </row>
    <row r="28" spans="1:14" x14ac:dyDescent="0.2">
      <c r="A28" s="3" t="s">
        <v>86</v>
      </c>
      <c r="B28" s="5">
        <v>0</v>
      </c>
      <c r="C28" s="5">
        <v>0</v>
      </c>
      <c r="D28" s="5">
        <v>1500</v>
      </c>
      <c r="E28" s="5">
        <v>0</v>
      </c>
      <c r="F28" s="5">
        <v>0</v>
      </c>
      <c r="G28" s="1"/>
      <c r="H28" s="1"/>
      <c r="I28" s="1"/>
      <c r="J28" s="1"/>
      <c r="K28" s="1"/>
      <c r="L28" s="1"/>
      <c r="M28" s="1"/>
      <c r="N28" s="1" t="s">
        <v>307</v>
      </c>
    </row>
    <row r="29" spans="1:14" x14ac:dyDescent="0.2">
      <c r="A29" s="3" t="s">
        <v>310</v>
      </c>
      <c r="B29" s="5">
        <v>68</v>
      </c>
      <c r="C29" s="5">
        <v>176</v>
      </c>
      <c r="D29" s="5">
        <v>1123</v>
      </c>
      <c r="E29" s="5">
        <v>190</v>
      </c>
      <c r="F29" s="5">
        <v>1050</v>
      </c>
      <c r="G29" s="1"/>
      <c r="H29" s="1"/>
      <c r="I29" s="1"/>
      <c r="J29" s="1"/>
      <c r="K29" s="1"/>
      <c r="L29" s="1"/>
      <c r="M29" s="1"/>
      <c r="N29" s="1" t="s">
        <v>307</v>
      </c>
    </row>
    <row r="30" spans="1:14" x14ac:dyDescent="0.2">
      <c r="A30" s="32" t="s">
        <v>89</v>
      </c>
      <c r="B30" s="15">
        <v>592</v>
      </c>
      <c r="C30" s="15">
        <v>3366</v>
      </c>
      <c r="D30" s="15">
        <v>12645</v>
      </c>
      <c r="E30" s="15">
        <v>3298</v>
      </c>
      <c r="F30" s="15">
        <v>16979</v>
      </c>
      <c r="G30" s="1"/>
      <c r="H30" s="1"/>
      <c r="I30" s="1"/>
      <c r="J30" s="1"/>
      <c r="K30" s="1"/>
      <c r="L30" s="1"/>
      <c r="M30" s="1"/>
      <c r="N30" s="1" t="s">
        <v>307</v>
      </c>
    </row>
    <row r="31" spans="1:14" x14ac:dyDescent="0.2">
      <c r="A31" s="2" t="s">
        <v>311</v>
      </c>
      <c r="B31" s="22">
        <f>1-B25/IS_Hist!B6</f>
        <v>0.36585365853658536</v>
      </c>
      <c r="C31" s="22">
        <f>1-C25/IS_Hist!C6</f>
        <v>-0.94818652849740936</v>
      </c>
      <c r="D31" s="22">
        <f>1-D25/IS_Hist!D6</f>
        <v>0.39520174482006543</v>
      </c>
      <c r="E31" s="22">
        <f>1-E25/IS_Hist!E6</f>
        <v>0.12381771281169385</v>
      </c>
      <c r="F31" s="22">
        <f>1-F25/IS_Hist!F6</f>
        <v>0.85386221294363263</v>
      </c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2" t="s">
        <v>312</v>
      </c>
      <c r="B32" s="22">
        <f>B26/IS_Hist!B6</f>
        <v>10.292682926829269</v>
      </c>
      <c r="C32" s="22">
        <f>C26/IS_Hist!C6</f>
        <v>5.8937823834196887</v>
      </c>
      <c r="D32" s="22">
        <f>D26/IS_Hist!D6</f>
        <v>1.3823336968375137</v>
      </c>
      <c r="E32" s="22">
        <f>E26/IS_Hist!E6</f>
        <v>1.590713671539123</v>
      </c>
      <c r="F32" s="22">
        <f>F26/IS_Hist!F6</f>
        <v>0.59812108559498955</v>
      </c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24" t="s">
        <v>313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3" t="s">
        <v>90</v>
      </c>
      <c r="B35" s="5">
        <v>-551</v>
      </c>
      <c r="C35" s="5">
        <v>-2980</v>
      </c>
      <c r="D35" s="5">
        <v>-8060</v>
      </c>
      <c r="E35" s="5">
        <v>-2135</v>
      </c>
      <c r="F35" s="5">
        <v>-693</v>
      </c>
      <c r="G35" s="1"/>
      <c r="H35" s="1"/>
      <c r="I35" s="1"/>
      <c r="J35" s="1"/>
      <c r="K35" s="1"/>
      <c r="L35" s="1"/>
      <c r="M35" s="1"/>
      <c r="N35" s="1" t="s">
        <v>314</v>
      </c>
    </row>
    <row r="36" spans="1:14" x14ac:dyDescent="0.2">
      <c r="A36" s="3" t="s">
        <v>168</v>
      </c>
      <c r="B36" s="5">
        <v>29</v>
      </c>
      <c r="C36" s="5">
        <v>192</v>
      </c>
      <c r="D36" s="5">
        <v>1165</v>
      </c>
      <c r="E36" s="5">
        <v>286</v>
      </c>
      <c r="F36" s="5">
        <v>2185</v>
      </c>
      <c r="G36" s="1"/>
      <c r="H36" s="1"/>
      <c r="I36" s="1"/>
      <c r="J36" s="1"/>
      <c r="K36" s="1"/>
      <c r="L36" s="1"/>
      <c r="M36" s="1"/>
      <c r="N36" s="1" t="s">
        <v>314</v>
      </c>
    </row>
    <row r="37" spans="1:14" x14ac:dyDescent="0.2">
      <c r="A37" s="3" t="s">
        <v>270</v>
      </c>
      <c r="B37" s="5">
        <v>0</v>
      </c>
      <c r="C37" s="5">
        <v>0</v>
      </c>
      <c r="D37" s="5">
        <v>541</v>
      </c>
      <c r="E37" s="5">
        <v>0</v>
      </c>
      <c r="F37" s="5">
        <v>126</v>
      </c>
      <c r="G37" s="1"/>
      <c r="H37" s="1"/>
      <c r="I37" s="1"/>
      <c r="J37" s="1"/>
      <c r="K37" s="1"/>
      <c r="L37" s="1"/>
      <c r="M37" s="1"/>
      <c r="N37" s="1" t="s">
        <v>314</v>
      </c>
    </row>
    <row r="38" spans="1:14" x14ac:dyDescent="0.2">
      <c r="A38" s="3" t="s">
        <v>86</v>
      </c>
      <c r="B38" s="5">
        <v>0</v>
      </c>
      <c r="C38" s="5">
        <v>0</v>
      </c>
      <c r="D38" s="5">
        <v>1500</v>
      </c>
      <c r="E38" s="5">
        <v>0</v>
      </c>
      <c r="F38" s="5">
        <v>0</v>
      </c>
      <c r="G38" s="1"/>
      <c r="H38" s="1"/>
      <c r="I38" s="1"/>
      <c r="J38" s="1"/>
      <c r="K38" s="1"/>
      <c r="L38" s="1"/>
      <c r="M38" s="1"/>
      <c r="N38" s="1" t="s">
        <v>314</v>
      </c>
    </row>
    <row r="39" spans="1:14" x14ac:dyDescent="0.2">
      <c r="A39" s="32" t="s">
        <v>271</v>
      </c>
      <c r="B39" s="15">
        <v>-522</v>
      </c>
      <c r="C39" s="15">
        <v>-2788</v>
      </c>
      <c r="D39" s="15">
        <v>-4854</v>
      </c>
      <c r="E39" s="15">
        <v>-1849</v>
      </c>
      <c r="F39" s="15">
        <v>1618</v>
      </c>
      <c r="G39" s="1"/>
      <c r="H39" s="1"/>
      <c r="I39" s="1"/>
      <c r="J39" s="1"/>
      <c r="K39" s="1"/>
      <c r="L39" s="1"/>
      <c r="M39" s="1"/>
      <c r="N39" s="1" t="s">
        <v>314</v>
      </c>
    </row>
    <row r="40" spans="1:14" x14ac:dyDescent="0.2">
      <c r="A40" s="2" t="s">
        <v>315</v>
      </c>
      <c r="B40" s="22">
        <f>B39/IS_Hist!B6</f>
        <v>-12.731707317073171</v>
      </c>
      <c r="C40" s="22">
        <f>C39/IS_Hist!C6</f>
        <v>-7.2227979274611398</v>
      </c>
      <c r="D40" s="22">
        <f>D39/IS_Hist!D6</f>
        <v>-1.0586695747001091</v>
      </c>
      <c r="E40" s="22">
        <f>E39/IS_Hist!E6</f>
        <v>-1.589853826311264</v>
      </c>
      <c r="F40" s="22">
        <f>F39/IS_Hist!F6</f>
        <v>9.9349134225715341E-2</v>
      </c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3" t="s">
        <v>92</v>
      </c>
      <c r="B41" s="5">
        <v>1045</v>
      </c>
      <c r="C41" s="5">
        <v>5434</v>
      </c>
      <c r="D41" s="5">
        <v>34308</v>
      </c>
      <c r="E41" s="5">
        <v>10942</v>
      </c>
      <c r="F41" s="5">
        <v>72388</v>
      </c>
      <c r="G41" s="1"/>
      <c r="H41" s="1"/>
      <c r="I41" s="1"/>
      <c r="J41" s="1"/>
      <c r="K41" s="1"/>
      <c r="L41" s="1"/>
      <c r="M41" s="1"/>
      <c r="N41" s="1" t="s">
        <v>316</v>
      </c>
    </row>
    <row r="42" spans="1:14" x14ac:dyDescent="0.2">
      <c r="A42" s="3" t="s">
        <v>317</v>
      </c>
      <c r="B42" s="5">
        <v>0</v>
      </c>
      <c r="C42" s="5">
        <v>0</v>
      </c>
      <c r="D42" s="5">
        <v>3</v>
      </c>
      <c r="E42" s="5">
        <v>0</v>
      </c>
      <c r="F42" s="5">
        <v>8720</v>
      </c>
      <c r="G42" s="1"/>
      <c r="H42" s="1"/>
      <c r="I42" s="1"/>
      <c r="J42" s="1"/>
      <c r="K42" s="1"/>
      <c r="L42" s="1"/>
      <c r="M42" s="1"/>
      <c r="N42" s="1" t="s">
        <v>316</v>
      </c>
    </row>
    <row r="43" spans="1:14" x14ac:dyDescent="0.2">
      <c r="A43" s="32" t="s">
        <v>318</v>
      </c>
      <c r="B43" s="15">
        <v>-457</v>
      </c>
      <c r="C43" s="15">
        <v>-2683</v>
      </c>
      <c r="D43" s="15">
        <v>-4448</v>
      </c>
      <c r="E43" s="15">
        <v>-1741</v>
      </c>
      <c r="F43" s="15">
        <v>2671</v>
      </c>
      <c r="G43" s="1"/>
      <c r="H43" s="1"/>
      <c r="I43" s="1"/>
      <c r="J43" s="1"/>
      <c r="K43" s="1"/>
      <c r="L43" s="1"/>
      <c r="M43" s="1"/>
      <c r="N43" s="1" t="s">
        <v>316</v>
      </c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24" t="s">
        <v>319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50" t="s">
        <v>15</v>
      </c>
      <c r="C46" s="50" t="s">
        <v>320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3" t="s">
        <v>321</v>
      </c>
      <c r="B47" s="5">
        <v>11900</v>
      </c>
      <c r="C47" s="5">
        <v>950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322</v>
      </c>
    </row>
    <row r="48" spans="1:14" x14ac:dyDescent="0.2">
      <c r="A48" s="3" t="s">
        <v>323</v>
      </c>
      <c r="B48" s="5">
        <v>1900</v>
      </c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324</v>
      </c>
    </row>
    <row r="49" spans="1:14" x14ac:dyDescent="0.2">
      <c r="A49" s="3" t="s">
        <v>325</v>
      </c>
      <c r="B49" s="5">
        <v>250</v>
      </c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326</v>
      </c>
    </row>
    <row r="50" spans="1:14" x14ac:dyDescent="0.2">
      <c r="A50" s="2" t="s">
        <v>327</v>
      </c>
      <c r="B50" s="21">
        <v>0.5</v>
      </c>
      <c r="C50" s="21">
        <v>0.3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328</v>
      </c>
    </row>
    <row r="51" spans="1:14" x14ac:dyDescent="0.2">
      <c r="A51" s="2" t="s">
        <v>329</v>
      </c>
      <c r="B51" s="21">
        <v>9</v>
      </c>
      <c r="C51" s="22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330</v>
      </c>
    </row>
    <row r="52" spans="1:14" x14ac:dyDescent="0.2">
      <c r="A52" s="3" t="s">
        <v>331</v>
      </c>
      <c r="B52" s="5">
        <v>5300</v>
      </c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332</v>
      </c>
    </row>
    <row r="53" spans="1:14" x14ac:dyDescent="0.2">
      <c r="A53" s="3" t="s">
        <v>333</v>
      </c>
      <c r="B53" s="97">
        <v>6.6</v>
      </c>
      <c r="C53" s="100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332</v>
      </c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24" t="s">
        <v>334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3" t="s">
        <v>335</v>
      </c>
      <c r="B56" s="4">
        <f>B52*B53</f>
        <v>34980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 t="s">
        <v>336</v>
      </c>
    </row>
    <row r="57" spans="1:14" x14ac:dyDescent="0.2">
      <c r="A57" s="32" t="s">
        <v>337</v>
      </c>
      <c r="B57" s="19">
        <f>B56-Quarterly_Hist!E6-Quarterly_Hist!F6-Quarterly_Hist!G6</f>
        <v>16654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338</v>
      </c>
    </row>
    <row r="58" spans="1: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24" t="s">
        <v>339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32" t="s">
        <v>222</v>
      </c>
      <c r="B60" s="15">
        <v>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291</v>
      </c>
    </row>
    <row r="61" spans="1:14" x14ac:dyDescent="0.2">
      <c r="A61" s="3" t="s">
        <v>340</v>
      </c>
      <c r="B61" s="5">
        <v>-7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291</v>
      </c>
    </row>
    <row r="62" spans="1:14" x14ac:dyDescent="0.2">
      <c r="A62" s="3" t="s">
        <v>341</v>
      </c>
      <c r="B62" s="5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291</v>
      </c>
    </row>
    <row r="63" spans="1:14" x14ac:dyDescent="0.2">
      <c r="A63" s="32" t="s">
        <v>224</v>
      </c>
      <c r="B63" s="15">
        <v>28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 t="s">
        <v>291</v>
      </c>
    </row>
    <row r="64" spans="1:14" x14ac:dyDescent="0.2">
      <c r="A64" s="3" t="s">
        <v>340</v>
      </c>
      <c r="B64" s="5">
        <v>-28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 t="s">
        <v>291</v>
      </c>
    </row>
    <row r="65" spans="1:14" x14ac:dyDescent="0.2">
      <c r="A65" s="3" t="s">
        <v>341</v>
      </c>
      <c r="B65" s="5">
        <v>269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291</v>
      </c>
    </row>
    <row r="66" spans="1:14" x14ac:dyDescent="0.2">
      <c r="A66" s="32" t="s">
        <v>230</v>
      </c>
      <c r="B66" s="15">
        <v>269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291</v>
      </c>
    </row>
    <row r="67" spans="1:14" x14ac:dyDescent="0.2">
      <c r="A67" s="3" t="s">
        <v>342</v>
      </c>
      <c r="B67" s="5">
        <v>-196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 t="s">
        <v>291</v>
      </c>
    </row>
    <row r="68" spans="1:14" x14ac:dyDescent="0.2">
      <c r="A68" s="3" t="s">
        <v>343</v>
      </c>
      <c r="B68" s="5">
        <v>1577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 t="s">
        <v>291</v>
      </c>
    </row>
    <row r="69" spans="1:14" x14ac:dyDescent="0.2">
      <c r="A69" s="32" t="s">
        <v>246</v>
      </c>
      <c r="B69" s="15">
        <v>1650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 t="s">
        <v>291</v>
      </c>
    </row>
    <row r="70" spans="1:1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24" t="s">
        <v>247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3" t="s">
        <v>344</v>
      </c>
      <c r="B72" s="10">
        <f>B7+B8-B9</f>
        <v>0</v>
      </c>
      <c r="C72" s="10">
        <f>C7+C8-C9</f>
        <v>0</v>
      </c>
      <c r="D72" s="10">
        <f>D7+D8-D9</f>
        <v>0</v>
      </c>
      <c r="E72" s="10">
        <f>E7+E8-E9</f>
        <v>0</v>
      </c>
      <c r="F72" s="10">
        <f>F7+F8-F9</f>
        <v>0</v>
      </c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3" t="s">
        <v>345</v>
      </c>
      <c r="B73" s="10">
        <f>B9-IS_Hist!B6</f>
        <v>0</v>
      </c>
      <c r="C73" s="10">
        <f>C9-IS_Hist!C6</f>
        <v>0</v>
      </c>
      <c r="D73" s="10">
        <f>D9-IS_Hist!D6</f>
        <v>0</v>
      </c>
      <c r="E73" s="10">
        <f>E9-IS_Hist!E6</f>
        <v>0</v>
      </c>
      <c r="F73" s="10">
        <f>F9-IS_Hist!F6</f>
        <v>0</v>
      </c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3" t="s">
        <v>346</v>
      </c>
      <c r="B74" s="10">
        <f>B13+B14-IS_Hist!B6</f>
        <v>0</v>
      </c>
      <c r="C74" s="10">
        <f>C13+C14-IS_Hist!C6</f>
        <v>0</v>
      </c>
      <c r="D74" s="10">
        <f>D13+D14-IS_Hist!D6</f>
        <v>0</v>
      </c>
      <c r="E74" s="10">
        <f>E13+E14-IS_Hist!E6</f>
        <v>0</v>
      </c>
      <c r="F74" s="10">
        <f>F13+F14-IS_Hist!F6</f>
        <v>0</v>
      </c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3" t="s">
        <v>347</v>
      </c>
      <c r="B75" s="10">
        <f>B25+B26+B27+B28+B29-IS_Hist!B14</f>
        <v>0</v>
      </c>
      <c r="C75" s="10">
        <f>C25+C26+C27+C28+C29-IS_Hist!C14</f>
        <v>0</v>
      </c>
      <c r="D75" s="10">
        <f>D25+D26+D27+D28+D29-IS_Hist!D14</f>
        <v>0</v>
      </c>
      <c r="E75" s="10">
        <f>E25+E26+E27+E28+E29-IS_Hist!E14</f>
        <v>0</v>
      </c>
      <c r="F75" s="10">
        <f>F25+F26+F27+F28+F29-IS_Hist!F14</f>
        <v>0</v>
      </c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3" t="s">
        <v>348</v>
      </c>
      <c r="B76" s="10">
        <f>B35+B36+B37+B38-B39</f>
        <v>0</v>
      </c>
      <c r="C76" s="10">
        <f>C35+C36+C37+C38-C39</f>
        <v>0</v>
      </c>
      <c r="D76" s="10">
        <f>D35+D36+D37+D38-D39</f>
        <v>0</v>
      </c>
      <c r="E76" s="10">
        <f>E35+E36+E37+E38-E39</f>
        <v>0</v>
      </c>
      <c r="F76" s="10">
        <f>F35+F36+F37+F38-F39</f>
        <v>0</v>
      </c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3" t="s">
        <v>349</v>
      </c>
      <c r="B77" s="10">
        <f>B35-IS_Hist!B15</f>
        <v>0</v>
      </c>
      <c r="C77" s="10">
        <f>C35-IS_Hist!C15</f>
        <v>0</v>
      </c>
      <c r="D77" s="10">
        <f>D35-IS_Hist!D15</f>
        <v>0</v>
      </c>
      <c r="E77" s="10">
        <f>E35-IS_Hist!E15</f>
        <v>0</v>
      </c>
      <c r="F77" s="10">
        <f>F35-IS_Hist!F15</f>
        <v>0</v>
      </c>
      <c r="G77" s="1"/>
      <c r="H77" s="1"/>
      <c r="I77" s="1"/>
      <c r="J77" s="1"/>
      <c r="K77" s="1"/>
      <c r="L77" s="1"/>
      <c r="M77" s="1"/>
      <c r="N7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7689"/>
  </sheetPr>
  <dimension ref="A1:F90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3" width="15.1640625" customWidth="1"/>
    <col min="4" max="4" width="17.6640625" customWidth="1"/>
    <col min="5" max="5" width="102.6640625" customWidth="1"/>
  </cols>
  <sheetData>
    <row r="1" spans="1:6" x14ac:dyDescent="0.2">
      <c r="A1" s="38" t="s">
        <v>350</v>
      </c>
      <c r="B1" s="1"/>
      <c r="C1" s="1"/>
      <c r="D1" s="1"/>
      <c r="E1" s="1"/>
      <c r="F1" s="1"/>
    </row>
    <row r="2" spans="1:6" x14ac:dyDescent="0.2">
      <c r="A2" s="1" t="s">
        <v>351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4" t="s">
        <v>352</v>
      </c>
      <c r="B4" s="17" t="s">
        <v>15</v>
      </c>
      <c r="C4" s="17" t="s">
        <v>353</v>
      </c>
      <c r="D4" s="12" t="s">
        <v>79</v>
      </c>
      <c r="E4" s="12" t="s">
        <v>80</v>
      </c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24" t="s">
        <v>354</v>
      </c>
      <c r="B6" s="1"/>
      <c r="C6" s="1"/>
      <c r="D6" s="1"/>
      <c r="E6" s="1"/>
      <c r="F6" s="1"/>
    </row>
    <row r="7" spans="1:6" x14ac:dyDescent="0.2">
      <c r="A7" s="3" t="s">
        <v>144</v>
      </c>
      <c r="B7" s="5">
        <v>2157398</v>
      </c>
      <c r="C7" s="1"/>
      <c r="D7" s="1"/>
      <c r="E7" s="1" t="s">
        <v>355</v>
      </c>
      <c r="F7" s="1"/>
    </row>
    <row r="8" spans="1:6" x14ac:dyDescent="0.2">
      <c r="A8" s="3" t="s">
        <v>356</v>
      </c>
      <c r="B8" s="5">
        <v>30643</v>
      </c>
      <c r="C8" s="1"/>
      <c r="D8" s="1"/>
      <c r="E8" s="1" t="s">
        <v>357</v>
      </c>
      <c r="F8" s="1"/>
    </row>
    <row r="9" spans="1:6" x14ac:dyDescent="0.2">
      <c r="A9" s="24" t="s">
        <v>358</v>
      </c>
      <c r="B9" s="19">
        <f>B7+B8</f>
        <v>2188041</v>
      </c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24" t="s">
        <v>359</v>
      </c>
      <c r="B11" s="1"/>
      <c r="C11" s="1"/>
      <c r="D11" s="1"/>
      <c r="E11" s="1"/>
      <c r="F11" s="1"/>
    </row>
    <row r="12" spans="1:6" x14ac:dyDescent="0.2">
      <c r="A12" s="3" t="s">
        <v>360</v>
      </c>
      <c r="B12" s="5">
        <v>485744</v>
      </c>
      <c r="C12" s="1"/>
      <c r="D12" s="1"/>
      <c r="E12" s="1" t="s">
        <v>361</v>
      </c>
      <c r="F12" s="1"/>
    </row>
    <row r="13" spans="1:6" x14ac:dyDescent="0.2">
      <c r="A13" s="3" t="s">
        <v>362</v>
      </c>
      <c r="B13" s="5">
        <v>874304</v>
      </c>
      <c r="C13" s="1"/>
      <c r="D13" s="1"/>
      <c r="E13" s="1" t="s">
        <v>361</v>
      </c>
      <c r="F13" s="1"/>
    </row>
    <row r="14" spans="1:6" x14ac:dyDescent="0.2">
      <c r="A14" s="3" t="s">
        <v>363</v>
      </c>
      <c r="B14" s="5">
        <v>263972</v>
      </c>
      <c r="C14" s="1"/>
      <c r="D14" s="1"/>
      <c r="E14" s="1" t="s">
        <v>361</v>
      </c>
      <c r="F14" s="1"/>
    </row>
    <row r="15" spans="1:6" x14ac:dyDescent="0.2">
      <c r="A15" s="3" t="s">
        <v>364</v>
      </c>
      <c r="B15" s="5">
        <v>133617</v>
      </c>
      <c r="C15" s="1"/>
      <c r="D15" s="1"/>
      <c r="E15" s="1" t="s">
        <v>361</v>
      </c>
      <c r="F15" s="1"/>
    </row>
    <row r="16" spans="1:6" x14ac:dyDescent="0.2">
      <c r="A16" s="3" t="s">
        <v>365</v>
      </c>
      <c r="B16" s="5">
        <v>370299</v>
      </c>
      <c r="C16" s="1"/>
      <c r="D16" s="1"/>
      <c r="E16" s="1" t="s">
        <v>361</v>
      </c>
      <c r="F16" s="1"/>
    </row>
    <row r="17" spans="1:6" x14ac:dyDescent="0.2">
      <c r="A17" s="3" t="s">
        <v>366</v>
      </c>
      <c r="B17" s="5">
        <v>46314</v>
      </c>
      <c r="C17" s="1"/>
      <c r="D17" s="1"/>
      <c r="E17" s="1" t="s">
        <v>361</v>
      </c>
      <c r="F17" s="1"/>
    </row>
    <row r="18" spans="1:6" x14ac:dyDescent="0.2">
      <c r="A18" s="3" t="s">
        <v>367</v>
      </c>
      <c r="B18" s="5">
        <v>52873</v>
      </c>
      <c r="C18" s="1"/>
      <c r="D18" s="1"/>
      <c r="E18" s="1" t="s">
        <v>361</v>
      </c>
      <c r="F18" s="1"/>
    </row>
    <row r="19" spans="1:6" x14ac:dyDescent="0.2">
      <c r="A19" s="3" t="s">
        <v>368</v>
      </c>
      <c r="B19" s="5">
        <v>636101</v>
      </c>
      <c r="C19" s="1"/>
      <c r="D19" s="1"/>
      <c r="E19" s="1" t="s">
        <v>361</v>
      </c>
      <c r="F19" s="1"/>
    </row>
    <row r="20" spans="1:6" x14ac:dyDescent="0.2">
      <c r="A20" s="3" t="s">
        <v>369</v>
      </c>
      <c r="B20" s="5">
        <v>952819</v>
      </c>
      <c r="C20" s="1"/>
      <c r="D20" s="1"/>
      <c r="E20" s="1" t="s">
        <v>361</v>
      </c>
      <c r="F20" s="1"/>
    </row>
    <row r="21" spans="1:6" x14ac:dyDescent="0.2">
      <c r="A21" s="3" t="s">
        <v>370</v>
      </c>
      <c r="B21" s="5">
        <v>126646</v>
      </c>
      <c r="C21" s="1"/>
      <c r="D21" s="1"/>
      <c r="E21" s="1" t="s">
        <v>361</v>
      </c>
      <c r="F21" s="1"/>
    </row>
    <row r="22" spans="1:6" x14ac:dyDescent="0.2">
      <c r="A22" s="3" t="s">
        <v>371</v>
      </c>
      <c r="B22" s="5">
        <v>153429</v>
      </c>
      <c r="C22" s="1"/>
      <c r="D22" s="1"/>
      <c r="E22" s="1" t="s">
        <v>361</v>
      </c>
      <c r="F22" s="1"/>
    </row>
    <row r="23" spans="1:6" x14ac:dyDescent="0.2">
      <c r="A23" s="3" t="s">
        <v>372</v>
      </c>
      <c r="B23" s="5">
        <v>242436</v>
      </c>
      <c r="C23" s="1"/>
      <c r="D23" s="1"/>
      <c r="E23" s="1" t="s">
        <v>361</v>
      </c>
      <c r="F23" s="1"/>
    </row>
    <row r="24" spans="1:6" x14ac:dyDescent="0.2">
      <c r="A24" s="3" t="s">
        <v>373</v>
      </c>
      <c r="B24" s="5">
        <v>922197</v>
      </c>
      <c r="C24" s="1"/>
      <c r="D24" s="1"/>
      <c r="E24" s="1" t="s">
        <v>361</v>
      </c>
      <c r="F24" s="1"/>
    </row>
    <row r="25" spans="1:6" x14ac:dyDescent="0.2">
      <c r="A25" s="3" t="s">
        <v>374</v>
      </c>
      <c r="B25" s="5">
        <v>207399</v>
      </c>
      <c r="C25" s="1"/>
      <c r="D25" s="1"/>
      <c r="E25" s="1" t="s">
        <v>361</v>
      </c>
      <c r="F25" s="1"/>
    </row>
    <row r="26" spans="1:6" x14ac:dyDescent="0.2">
      <c r="A26" s="3" t="s">
        <v>375</v>
      </c>
      <c r="B26" s="5">
        <v>0</v>
      </c>
      <c r="C26" s="1"/>
      <c r="D26" s="1"/>
      <c r="E26" s="1" t="s">
        <v>361</v>
      </c>
      <c r="F26" s="1"/>
    </row>
    <row r="27" spans="1:6" x14ac:dyDescent="0.2">
      <c r="A27" s="3" t="s">
        <v>376</v>
      </c>
      <c r="B27" s="5">
        <v>0</v>
      </c>
      <c r="C27" s="1"/>
      <c r="D27" s="1"/>
      <c r="E27" s="1" t="s">
        <v>361</v>
      </c>
      <c r="F27" s="1"/>
    </row>
    <row r="28" spans="1:6" x14ac:dyDescent="0.2">
      <c r="A28" s="3" t="s">
        <v>377</v>
      </c>
      <c r="B28" s="5">
        <v>905104</v>
      </c>
      <c r="C28" s="1"/>
      <c r="D28" s="1"/>
      <c r="E28" s="1" t="s">
        <v>361</v>
      </c>
      <c r="F28" s="1"/>
    </row>
    <row r="29" spans="1:6" x14ac:dyDescent="0.2">
      <c r="A29" s="3" t="s">
        <v>378</v>
      </c>
      <c r="B29" s="5">
        <v>839288</v>
      </c>
      <c r="C29" s="1"/>
      <c r="D29" s="1"/>
      <c r="E29" s="1" t="s">
        <v>361</v>
      </c>
      <c r="F29" s="1"/>
    </row>
    <row r="30" spans="1:6" x14ac:dyDescent="0.2">
      <c r="A30" s="3" t="s">
        <v>379</v>
      </c>
      <c r="B30" s="5">
        <v>205629</v>
      </c>
      <c r="C30" s="1"/>
      <c r="D30" s="1"/>
      <c r="E30" s="1" t="s">
        <v>361</v>
      </c>
      <c r="F30" s="1"/>
    </row>
    <row r="31" spans="1:6" x14ac:dyDescent="0.2">
      <c r="A31" s="3" t="s">
        <v>380</v>
      </c>
      <c r="B31" s="5">
        <v>33216</v>
      </c>
      <c r="C31" s="1"/>
      <c r="D31" s="1"/>
      <c r="E31" s="1" t="s">
        <v>361</v>
      </c>
      <c r="F31" s="1"/>
    </row>
    <row r="32" spans="1:6" x14ac:dyDescent="0.2">
      <c r="A32" s="3" t="s">
        <v>381</v>
      </c>
      <c r="B32" s="5">
        <v>776379</v>
      </c>
      <c r="C32" s="1"/>
      <c r="D32" s="1"/>
      <c r="E32" s="1" t="s">
        <v>361</v>
      </c>
      <c r="F32" s="1"/>
    </row>
    <row r="33" spans="1:6" x14ac:dyDescent="0.2">
      <c r="A33" s="3" t="s">
        <v>382</v>
      </c>
      <c r="B33" s="5">
        <v>331103</v>
      </c>
      <c r="C33" s="1"/>
      <c r="D33" s="1"/>
      <c r="E33" s="1" t="s">
        <v>361</v>
      </c>
      <c r="F33" s="1"/>
    </row>
    <row r="34" spans="1:6" x14ac:dyDescent="0.2">
      <c r="A34" s="3" t="s">
        <v>383</v>
      </c>
      <c r="B34" s="5">
        <v>0</v>
      </c>
      <c r="C34" s="1"/>
      <c r="D34" s="1"/>
      <c r="E34" s="1" t="s">
        <v>361</v>
      </c>
      <c r="F34" s="1"/>
    </row>
    <row r="35" spans="1:6" x14ac:dyDescent="0.2">
      <c r="A35" s="3" t="s">
        <v>384</v>
      </c>
      <c r="B35" s="5">
        <v>0</v>
      </c>
      <c r="C35" s="1"/>
      <c r="D35" s="1"/>
      <c r="E35" s="1" t="s">
        <v>361</v>
      </c>
      <c r="F35" s="1"/>
    </row>
    <row r="36" spans="1:6" x14ac:dyDescent="0.2">
      <c r="A36" s="24" t="s">
        <v>385</v>
      </c>
      <c r="B36" s="19">
        <f>SUM(B12:B35)</f>
        <v>8558869</v>
      </c>
      <c r="C36" s="1"/>
      <c r="D36" s="1"/>
      <c r="E36" s="1" t="s">
        <v>386</v>
      </c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24" t="s">
        <v>387</v>
      </c>
      <c r="B38" s="1"/>
      <c r="C38" s="1"/>
      <c r="D38" s="1"/>
      <c r="E38" s="1"/>
      <c r="F38" s="1"/>
    </row>
    <row r="39" spans="1:6" x14ac:dyDescent="0.2">
      <c r="A39" s="3" t="s">
        <v>388</v>
      </c>
      <c r="B39" s="5">
        <v>1840445</v>
      </c>
      <c r="C39" s="1"/>
      <c r="D39" s="1"/>
      <c r="E39" s="1" t="s">
        <v>389</v>
      </c>
      <c r="F39" s="1"/>
    </row>
    <row r="40" spans="1:6" x14ac:dyDescent="0.2">
      <c r="A40" s="3" t="s">
        <v>390</v>
      </c>
      <c r="B40" s="5">
        <v>1797066</v>
      </c>
      <c r="C40" s="18">
        <v>2.89</v>
      </c>
      <c r="D40" s="1"/>
      <c r="E40" s="1" t="s">
        <v>391</v>
      </c>
      <c r="F40" s="1"/>
    </row>
    <row r="41" spans="1:6" x14ac:dyDescent="0.2">
      <c r="A41" s="3" t="s">
        <v>392</v>
      </c>
      <c r="B41" s="4">
        <f>B40*(1-C40/C52)</f>
        <v>1708892.197370331</v>
      </c>
      <c r="C41" s="1"/>
      <c r="D41" s="1"/>
      <c r="E41" s="1" t="s">
        <v>393</v>
      </c>
      <c r="F41" s="1"/>
    </row>
    <row r="42" spans="1:6" x14ac:dyDescent="0.2">
      <c r="A42" s="3" t="s">
        <v>394</v>
      </c>
      <c r="B42" s="5">
        <v>1049631</v>
      </c>
      <c r="C42" s="1"/>
      <c r="D42" s="1"/>
      <c r="E42" s="1" t="s">
        <v>395</v>
      </c>
      <c r="F42" s="1"/>
    </row>
    <row r="43" spans="1:6" x14ac:dyDescent="0.2">
      <c r="A43" s="3" t="s">
        <v>396</v>
      </c>
      <c r="B43" s="5">
        <v>1590</v>
      </c>
      <c r="C43" s="1"/>
      <c r="D43" s="1"/>
      <c r="E43" s="1" t="s">
        <v>397</v>
      </c>
      <c r="F43" s="1"/>
    </row>
    <row r="44" spans="1:6" x14ac:dyDescent="0.2">
      <c r="A44" s="3" t="s">
        <v>398</v>
      </c>
      <c r="B44" s="5">
        <v>933698</v>
      </c>
      <c r="C44" s="1"/>
      <c r="D44" s="1"/>
      <c r="E44" s="1" t="s">
        <v>399</v>
      </c>
      <c r="F44" s="1"/>
    </row>
    <row r="45" spans="1:6" x14ac:dyDescent="0.2">
      <c r="A45" s="3" t="s">
        <v>400</v>
      </c>
      <c r="B45" s="47">
        <v>1</v>
      </c>
      <c r="C45" s="1"/>
      <c r="D45" s="1"/>
      <c r="E45" s="1" t="s">
        <v>401</v>
      </c>
      <c r="F45" s="1"/>
    </row>
    <row r="46" spans="1:6" x14ac:dyDescent="0.2">
      <c r="A46" s="27" t="s">
        <v>402</v>
      </c>
      <c r="B46" s="23">
        <f>B9+B36+B39+B41+B42+B43+B44*B45</f>
        <v>16281166.197370332</v>
      </c>
      <c r="C46" s="1"/>
      <c r="D46" s="1"/>
      <c r="E46" s="1"/>
      <c r="F46" s="1"/>
    </row>
    <row r="47" spans="1:6" x14ac:dyDescent="0.2">
      <c r="A47" s="32" t="s">
        <v>24</v>
      </c>
      <c r="B47" s="60">
        <f>B46/1000</f>
        <v>16281.166197370332</v>
      </c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24" t="s">
        <v>403</v>
      </c>
      <c r="B49" s="1"/>
      <c r="C49" s="1"/>
      <c r="D49" s="1"/>
      <c r="E49" s="1"/>
      <c r="F49" s="1"/>
    </row>
    <row r="50" spans="1:6" x14ac:dyDescent="0.2">
      <c r="A50" s="3" t="s">
        <v>404</v>
      </c>
      <c r="B50" s="1"/>
      <c r="C50" s="56">
        <v>589.0095</v>
      </c>
      <c r="D50" s="1"/>
      <c r="E50" s="1" t="s">
        <v>405</v>
      </c>
      <c r="F50" s="1"/>
    </row>
    <row r="51" spans="1:6" x14ac:dyDescent="0.2">
      <c r="A51" s="3" t="s">
        <v>406</v>
      </c>
      <c r="B51" s="64">
        <v>10</v>
      </c>
      <c r="C51" s="1"/>
      <c r="D51" s="1"/>
      <c r="E51" s="1" t="s">
        <v>407</v>
      </c>
      <c r="F51" s="1"/>
    </row>
    <row r="52" spans="1:6" x14ac:dyDescent="0.2">
      <c r="A52" s="32" t="s">
        <v>17</v>
      </c>
      <c r="B52" s="27"/>
      <c r="C52" s="49">
        <f>C50/B51</f>
        <v>58.900950000000002</v>
      </c>
      <c r="D52" s="1"/>
      <c r="E52" s="1"/>
      <c r="F52" s="1"/>
    </row>
    <row r="53" spans="1:6" x14ac:dyDescent="0.2">
      <c r="A53" s="3" t="s">
        <v>408</v>
      </c>
      <c r="B53" s="4">
        <f>B47*C52</f>
        <v>958976.15613300004</v>
      </c>
      <c r="C53" s="1"/>
      <c r="D53" s="1"/>
      <c r="E53" s="1"/>
      <c r="F53" s="1"/>
    </row>
    <row r="54" spans="1:6" x14ac:dyDescent="0.2">
      <c r="A54" s="3" t="s">
        <v>409</v>
      </c>
      <c r="B54" s="5">
        <v>965000</v>
      </c>
      <c r="C54" s="1"/>
      <c r="D54" s="1"/>
      <c r="E54" s="1" t="s">
        <v>410</v>
      </c>
      <c r="F54" s="1"/>
    </row>
    <row r="55" spans="1:6" x14ac:dyDescent="0.2">
      <c r="A55" s="2" t="s">
        <v>411</v>
      </c>
      <c r="B55" s="22">
        <f>B53/B54-1</f>
        <v>-6.2423252507771698E-3</v>
      </c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24" t="s">
        <v>412</v>
      </c>
      <c r="B57" s="1"/>
      <c r="C57" s="1"/>
      <c r="D57" s="1"/>
      <c r="E57" s="1"/>
      <c r="F57" s="1"/>
    </row>
    <row r="58" spans="1:6" x14ac:dyDescent="0.2">
      <c r="A58" s="1"/>
      <c r="B58" s="50" t="s">
        <v>413</v>
      </c>
      <c r="C58" s="50" t="s">
        <v>414</v>
      </c>
      <c r="D58" s="1"/>
      <c r="E58" s="1" t="s">
        <v>415</v>
      </c>
      <c r="F58" s="1"/>
    </row>
    <row r="59" spans="1:6" x14ac:dyDescent="0.2">
      <c r="A59" s="3" t="s">
        <v>360</v>
      </c>
      <c r="B59" s="5">
        <v>48574</v>
      </c>
      <c r="C59" s="18">
        <v>2.57</v>
      </c>
      <c r="D59" s="1"/>
      <c r="E59" s="1" t="s">
        <v>416</v>
      </c>
      <c r="F59" s="1"/>
    </row>
    <row r="60" spans="1:6" x14ac:dyDescent="0.2">
      <c r="A60" s="3" t="s">
        <v>362</v>
      </c>
      <c r="B60" s="5">
        <v>87430</v>
      </c>
      <c r="C60" s="18">
        <v>11.23</v>
      </c>
      <c r="D60" s="1"/>
      <c r="E60" s="1" t="s">
        <v>417</v>
      </c>
      <c r="F60" s="1"/>
    </row>
    <row r="61" spans="1:6" x14ac:dyDescent="0.2">
      <c r="A61" s="3" t="s">
        <v>363</v>
      </c>
      <c r="B61" s="5">
        <v>26397</v>
      </c>
      <c r="C61" s="18">
        <v>11.23</v>
      </c>
      <c r="D61" s="1"/>
      <c r="E61" s="1" t="s">
        <v>418</v>
      </c>
      <c r="F61" s="1"/>
    </row>
    <row r="62" spans="1:6" x14ac:dyDescent="0.2">
      <c r="A62" s="3" t="s">
        <v>364</v>
      </c>
      <c r="B62" s="5">
        <v>13362</v>
      </c>
      <c r="C62" s="18">
        <v>11.23</v>
      </c>
      <c r="D62" s="1"/>
      <c r="E62" s="1" t="s">
        <v>419</v>
      </c>
      <c r="F62" s="1"/>
    </row>
    <row r="63" spans="1:6" x14ac:dyDescent="0.2">
      <c r="A63" s="3" t="s">
        <v>365</v>
      </c>
      <c r="B63" s="5">
        <v>35013</v>
      </c>
      <c r="C63" s="18">
        <v>30</v>
      </c>
      <c r="D63" s="1"/>
      <c r="E63" s="1" t="s">
        <v>420</v>
      </c>
      <c r="F63" s="1"/>
    </row>
    <row r="64" spans="1:6" x14ac:dyDescent="0.2">
      <c r="A64" s="3" t="s">
        <v>366</v>
      </c>
      <c r="B64" s="5">
        <v>4444</v>
      </c>
      <c r="C64" s="18">
        <v>27</v>
      </c>
      <c r="D64" s="1"/>
      <c r="E64" s="1" t="s">
        <v>421</v>
      </c>
      <c r="F64" s="1"/>
    </row>
    <row r="65" spans="1:6" x14ac:dyDescent="0.2">
      <c r="A65" s="3" t="s">
        <v>367</v>
      </c>
      <c r="B65" s="5">
        <v>4999</v>
      </c>
      <c r="C65" s="18">
        <v>30</v>
      </c>
      <c r="D65" s="1"/>
      <c r="E65" s="1" t="s">
        <v>422</v>
      </c>
      <c r="F65" s="1"/>
    </row>
    <row r="66" spans="1:6" x14ac:dyDescent="0.2">
      <c r="A66" s="3" t="s">
        <v>368</v>
      </c>
      <c r="B66" s="5">
        <v>63610</v>
      </c>
      <c r="C66" s="18">
        <v>56.09</v>
      </c>
      <c r="D66" s="1"/>
      <c r="E66" s="1" t="s">
        <v>423</v>
      </c>
      <c r="F66" s="1"/>
    </row>
    <row r="67" spans="1:6" x14ac:dyDescent="0.2">
      <c r="A67" s="3" t="s">
        <v>369</v>
      </c>
      <c r="B67" s="5">
        <v>95282</v>
      </c>
      <c r="C67" s="18">
        <v>20.93</v>
      </c>
      <c r="D67" s="1"/>
      <c r="E67" s="1" t="s">
        <v>424</v>
      </c>
      <c r="F67" s="1"/>
    </row>
    <row r="68" spans="1:6" x14ac:dyDescent="0.2">
      <c r="A68" s="3" t="s">
        <v>370</v>
      </c>
      <c r="B68" s="5">
        <v>12664</v>
      </c>
      <c r="C68" s="18">
        <v>56.09</v>
      </c>
      <c r="D68" s="1"/>
      <c r="E68" s="1" t="s">
        <v>425</v>
      </c>
      <c r="F68" s="1"/>
    </row>
    <row r="69" spans="1:6" x14ac:dyDescent="0.2">
      <c r="A69" s="3" t="s">
        <v>371</v>
      </c>
      <c r="B69" s="5">
        <v>15343</v>
      </c>
      <c r="C69" s="18">
        <v>50.48</v>
      </c>
      <c r="D69" s="1"/>
      <c r="E69" s="1" t="s">
        <v>426</v>
      </c>
      <c r="F69" s="1"/>
    </row>
    <row r="70" spans="1:6" x14ac:dyDescent="0.2">
      <c r="A70" s="3" t="s">
        <v>372</v>
      </c>
      <c r="B70" s="5">
        <v>24244</v>
      </c>
      <c r="C70" s="18">
        <v>53.28</v>
      </c>
      <c r="D70" s="1"/>
      <c r="E70" s="1" t="s">
        <v>427</v>
      </c>
      <c r="F70" s="1"/>
    </row>
    <row r="71" spans="1:6" x14ac:dyDescent="0.2">
      <c r="A71" s="3" t="s">
        <v>373</v>
      </c>
      <c r="B71" s="5">
        <v>92220</v>
      </c>
      <c r="C71" s="18">
        <v>140.97</v>
      </c>
      <c r="D71" s="1"/>
      <c r="E71" s="1" t="s">
        <v>428</v>
      </c>
      <c r="F71" s="1"/>
    </row>
    <row r="72" spans="1:6" x14ac:dyDescent="0.2">
      <c r="A72" s="3" t="s">
        <v>374</v>
      </c>
      <c r="B72" s="5">
        <v>20740</v>
      </c>
      <c r="C72" s="18">
        <v>20.93</v>
      </c>
      <c r="D72" s="1"/>
      <c r="E72" s="1" t="s">
        <v>429</v>
      </c>
      <c r="F72" s="1"/>
    </row>
    <row r="73" spans="1:6" x14ac:dyDescent="0.2">
      <c r="A73" s="3" t="s">
        <v>377</v>
      </c>
      <c r="B73" s="5">
        <v>90510</v>
      </c>
      <c r="C73" s="18">
        <v>259.14</v>
      </c>
      <c r="D73" s="1"/>
      <c r="E73" s="1" t="s">
        <v>430</v>
      </c>
      <c r="F73" s="1"/>
    </row>
    <row r="74" spans="1:6" x14ac:dyDescent="0.2">
      <c r="A74" s="3" t="s">
        <v>378</v>
      </c>
      <c r="B74" s="5">
        <v>83929</v>
      </c>
      <c r="C74" s="18">
        <v>259.14</v>
      </c>
      <c r="D74" s="1"/>
      <c r="E74" s="1" t="s">
        <v>431</v>
      </c>
      <c r="F74" s="1"/>
    </row>
    <row r="75" spans="1:6" x14ac:dyDescent="0.2">
      <c r="A75" s="3" t="s">
        <v>379</v>
      </c>
      <c r="B75" s="5">
        <v>20563</v>
      </c>
      <c r="C75" s="18">
        <v>20.93</v>
      </c>
      <c r="D75" s="1"/>
      <c r="E75" s="1" t="s">
        <v>432</v>
      </c>
      <c r="F75" s="1"/>
    </row>
    <row r="76" spans="1:6" x14ac:dyDescent="0.2">
      <c r="A76" s="3" t="s">
        <v>380</v>
      </c>
      <c r="B76" s="5">
        <v>3322</v>
      </c>
      <c r="C76" s="18">
        <v>233.22</v>
      </c>
      <c r="D76" s="1"/>
      <c r="E76" s="1" t="s">
        <v>433</v>
      </c>
      <c r="F76" s="1"/>
    </row>
    <row r="77" spans="1:6" x14ac:dyDescent="0.2">
      <c r="A77" s="3" t="s">
        <v>381</v>
      </c>
      <c r="B77" s="5">
        <v>77638</v>
      </c>
      <c r="C77" s="18">
        <v>589.01</v>
      </c>
      <c r="D77" s="1"/>
      <c r="E77" s="1" t="s">
        <v>434</v>
      </c>
      <c r="F77" s="1"/>
    </row>
    <row r="78" spans="1:6" x14ac:dyDescent="0.2">
      <c r="A78" s="3" t="s">
        <v>382</v>
      </c>
      <c r="B78" s="5">
        <v>33110</v>
      </c>
      <c r="C78" s="18">
        <v>589.01</v>
      </c>
      <c r="D78" s="1"/>
      <c r="E78" s="1" t="s">
        <v>435</v>
      </c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24" t="s">
        <v>436</v>
      </c>
      <c r="B80" s="1"/>
      <c r="C80" s="1"/>
      <c r="D80" s="1"/>
      <c r="E80" s="1"/>
      <c r="F80" s="1"/>
    </row>
    <row r="81" spans="1:6" x14ac:dyDescent="0.2">
      <c r="A81" s="1"/>
      <c r="B81" s="50" t="s">
        <v>437</v>
      </c>
      <c r="C81" s="50" t="s">
        <v>438</v>
      </c>
      <c r="D81" s="1"/>
      <c r="E81" s="1"/>
      <c r="F81" s="1"/>
    </row>
    <row r="82" spans="1:6" x14ac:dyDescent="0.2">
      <c r="A82" s="3">
        <v>2023</v>
      </c>
      <c r="B82" s="18">
        <v>0.51</v>
      </c>
      <c r="C82" s="18">
        <v>1.08</v>
      </c>
      <c r="D82" s="1"/>
      <c r="E82" s="1" t="s">
        <v>439</v>
      </c>
      <c r="F82" s="1"/>
    </row>
    <row r="83" spans="1:6" x14ac:dyDescent="0.2">
      <c r="A83" s="3">
        <v>2024</v>
      </c>
      <c r="B83" s="18">
        <v>1.3</v>
      </c>
      <c r="C83" s="18">
        <v>2.23</v>
      </c>
      <c r="D83" s="1"/>
      <c r="E83" s="1" t="s">
        <v>439</v>
      </c>
      <c r="F83" s="1"/>
    </row>
    <row r="84" spans="1:6" x14ac:dyDescent="0.2">
      <c r="A84" s="3">
        <v>2025</v>
      </c>
      <c r="B84" s="18">
        <v>3.45</v>
      </c>
      <c r="C84" s="18">
        <v>16.690000000000001</v>
      </c>
      <c r="D84" s="1"/>
      <c r="E84" s="1" t="s">
        <v>439</v>
      </c>
      <c r="F84" s="1"/>
    </row>
    <row r="85" spans="1:6" x14ac:dyDescent="0.2">
      <c r="A85" s="3" t="s">
        <v>440</v>
      </c>
      <c r="B85" s="18">
        <v>21.56</v>
      </c>
      <c r="C85" s="18">
        <v>57.14</v>
      </c>
      <c r="D85" s="1"/>
      <c r="E85" s="1" t="s">
        <v>439</v>
      </c>
      <c r="F85" s="1"/>
    </row>
    <row r="86" spans="1:6" x14ac:dyDescent="0.2">
      <c r="A86" s="3" t="s">
        <v>441</v>
      </c>
      <c r="B86" s="1"/>
      <c r="C86" s="18">
        <v>46.48</v>
      </c>
      <c r="D86" s="1"/>
      <c r="E86" s="1" t="s">
        <v>442</v>
      </c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24" t="s">
        <v>247</v>
      </c>
      <c r="B88" s="1"/>
      <c r="C88" s="1"/>
      <c r="D88" s="1"/>
      <c r="E88" s="1"/>
      <c r="F88" s="1"/>
    </row>
    <row r="89" spans="1:6" x14ac:dyDescent="0.2">
      <c r="A89" s="3" t="s">
        <v>443</v>
      </c>
      <c r="B89" s="10">
        <f>B36-8558869</f>
        <v>0</v>
      </c>
      <c r="C89" s="1"/>
      <c r="D89" s="1"/>
      <c r="E89" s="1"/>
      <c r="F89" s="1"/>
    </row>
    <row r="90" spans="1:6" x14ac:dyDescent="0.2">
      <c r="A90" s="3" t="s">
        <v>444</v>
      </c>
      <c r="B90" s="10">
        <f>B7-SCE_Hist!D55+B8-SCE_Hist!F55</f>
        <v>0</v>
      </c>
      <c r="C90" s="1"/>
      <c r="D90" s="1"/>
      <c r="E90" s="1"/>
      <c r="F9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A2331"/>
  </sheetPr>
  <dimension ref="A1:N74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12" width="11.33203125" customWidth="1"/>
    <col min="13" max="13" width="17.6640625" customWidth="1"/>
    <col min="14" max="14" width="106" customWidth="1"/>
  </cols>
  <sheetData>
    <row r="1" spans="1:14" x14ac:dyDescent="0.2">
      <c r="A1" s="38" t="s">
        <v>445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446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 t="s">
        <v>447</v>
      </c>
      <c r="C3" s="39" t="s">
        <v>448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76</v>
      </c>
      <c r="C4" s="63" t="s">
        <v>449</v>
      </c>
      <c r="D4" s="33" t="s">
        <v>450</v>
      </c>
      <c r="E4" s="33" t="s">
        <v>451</v>
      </c>
      <c r="F4" s="33" t="s">
        <v>452</v>
      </c>
      <c r="G4" s="33" t="s">
        <v>453</v>
      </c>
      <c r="H4" s="33" t="s">
        <v>454</v>
      </c>
      <c r="I4" s="33" t="s">
        <v>455</v>
      </c>
      <c r="J4" s="33" t="s">
        <v>456</v>
      </c>
      <c r="K4" s="33" t="s">
        <v>457</v>
      </c>
      <c r="L4" s="33" t="s">
        <v>458</v>
      </c>
      <c r="M4" s="12" t="s">
        <v>79</v>
      </c>
      <c r="N4" s="12" t="s">
        <v>80</v>
      </c>
    </row>
    <row r="5" spans="1:14" x14ac:dyDescent="0.2">
      <c r="A5" s="27" t="s">
        <v>459</v>
      </c>
      <c r="B5" s="27"/>
      <c r="C5" s="98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460</v>
      </c>
    </row>
    <row r="6" spans="1:14" x14ac:dyDescent="0.2">
      <c r="A6" s="27" t="s">
        <v>16</v>
      </c>
      <c r="B6" s="27"/>
      <c r="C6" s="95" t="str">
        <f>CHOOSE(C5,"Base","Bull","Bear")</f>
        <v>Base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39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24" t="s">
        <v>461</v>
      </c>
      <c r="B8" s="1"/>
      <c r="C8" s="39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"/>
      <c r="B9" s="1"/>
      <c r="C9" s="71" t="s">
        <v>462</v>
      </c>
      <c r="D9" s="50" t="s">
        <v>463</v>
      </c>
      <c r="E9" s="50" t="s">
        <v>464</v>
      </c>
      <c r="F9" s="50" t="s">
        <v>465</v>
      </c>
      <c r="G9" s="1"/>
      <c r="H9" s="1"/>
      <c r="I9" s="1"/>
      <c r="J9" s="1"/>
      <c r="K9" s="1"/>
      <c r="L9" s="1"/>
      <c r="M9" s="1"/>
      <c r="N9" s="1"/>
    </row>
    <row r="10" spans="1:14" x14ac:dyDescent="0.2">
      <c r="A10" s="3" t="s">
        <v>466</v>
      </c>
      <c r="B10" s="1"/>
      <c r="C10" s="31">
        <f t="shared" si="0" ref="C10:C18">CHOOSE($C$5,D10,E10,F10)</f>
        <v>17500</v>
      </c>
      <c r="D10" s="48">
        <v>17500</v>
      </c>
      <c r="E10" s="48">
        <v>19000</v>
      </c>
      <c r="F10" s="48">
        <v>16700</v>
      </c>
      <c r="G10" s="1"/>
      <c r="H10" s="1"/>
      <c r="I10" s="1"/>
      <c r="J10" s="1"/>
      <c r="K10" s="1"/>
      <c r="L10" s="1"/>
      <c r="M10" s="1"/>
      <c r="N10" s="1" t="s">
        <v>467</v>
      </c>
    </row>
    <row r="11" spans="1:14" x14ac:dyDescent="0.2">
      <c r="A11" s="3" t="s">
        <v>468</v>
      </c>
      <c r="B11" s="1"/>
      <c r="C11" s="31">
        <f t="shared" si="0"/>
        <v>21000</v>
      </c>
      <c r="D11" s="48">
        <v>21000</v>
      </c>
      <c r="E11" s="48">
        <v>25000</v>
      </c>
      <c r="F11" s="48">
        <v>17500</v>
      </c>
      <c r="G11" s="1"/>
      <c r="H11" s="1"/>
      <c r="I11" s="1"/>
      <c r="J11" s="1"/>
      <c r="K11" s="1"/>
      <c r="L11" s="1"/>
      <c r="M11" s="1"/>
      <c r="N11" s="1" t="s">
        <v>469</v>
      </c>
    </row>
    <row r="12" spans="1:14" x14ac:dyDescent="0.2">
      <c r="A12" s="2" t="s">
        <v>470</v>
      </c>
      <c r="B12" s="6"/>
      <c r="C12" s="35">
        <f t="shared" si="0"/>
        <v>0.5</v>
      </c>
      <c r="D12" s="8">
        <v>0.5</v>
      </c>
      <c r="E12" s="8">
        <v>0.47</v>
      </c>
      <c r="F12" s="8">
        <v>0.54</v>
      </c>
      <c r="G12" s="1"/>
      <c r="H12" s="1"/>
      <c r="I12" s="1"/>
      <c r="J12" s="1"/>
      <c r="K12" s="1"/>
      <c r="L12" s="1"/>
      <c r="M12" s="1"/>
      <c r="N12" s="1" t="s">
        <v>471</v>
      </c>
    </row>
    <row r="13" spans="1:14" x14ac:dyDescent="0.2">
      <c r="A13" s="2" t="s">
        <v>472</v>
      </c>
      <c r="B13" s="6"/>
      <c r="C13" s="35">
        <f t="shared" si="0"/>
        <v>0.05</v>
      </c>
      <c r="D13" s="8">
        <v>0.05</v>
      </c>
      <c r="E13" s="8">
        <v>0.05</v>
      </c>
      <c r="F13" s="8">
        <v>5.5E-2</v>
      </c>
      <c r="G13" s="1"/>
      <c r="H13" s="1"/>
      <c r="I13" s="1"/>
      <c r="J13" s="1"/>
      <c r="K13" s="1"/>
      <c r="L13" s="1"/>
      <c r="M13" s="1"/>
      <c r="N13" s="1" t="s">
        <v>473</v>
      </c>
    </row>
    <row r="14" spans="1:14" x14ac:dyDescent="0.2">
      <c r="A14" s="2" t="s">
        <v>474</v>
      </c>
      <c r="B14" s="6"/>
      <c r="C14" s="35">
        <f t="shared" si="0"/>
        <v>0.18</v>
      </c>
      <c r="D14" s="8">
        <v>0.18</v>
      </c>
      <c r="E14" s="8">
        <v>0.17</v>
      </c>
      <c r="F14" s="8">
        <v>0.19</v>
      </c>
      <c r="G14" s="1"/>
      <c r="H14" s="1"/>
      <c r="I14" s="1"/>
      <c r="J14" s="1"/>
      <c r="K14" s="1"/>
      <c r="L14" s="1"/>
      <c r="M14" s="1"/>
      <c r="N14" s="1" t="s">
        <v>475</v>
      </c>
    </row>
    <row r="15" spans="1:14" x14ac:dyDescent="0.2">
      <c r="A15" s="2" t="s">
        <v>476</v>
      </c>
      <c r="B15" s="6"/>
      <c r="C15" s="35">
        <f t="shared" si="0"/>
        <v>8.5000000000000006E-2</v>
      </c>
      <c r="D15" s="8">
        <v>8.5000000000000006E-2</v>
      </c>
      <c r="E15" s="8">
        <v>0.08</v>
      </c>
      <c r="F15" s="8">
        <v>0.09</v>
      </c>
      <c r="G15" s="1"/>
      <c r="H15" s="1"/>
      <c r="I15" s="1"/>
      <c r="J15" s="1"/>
      <c r="K15" s="1"/>
      <c r="L15" s="1"/>
      <c r="M15" s="1"/>
      <c r="N15" s="1" t="s">
        <v>477</v>
      </c>
    </row>
    <row r="16" spans="1:14" x14ac:dyDescent="0.2">
      <c r="A16" s="2" t="s">
        <v>478</v>
      </c>
      <c r="B16" s="6"/>
      <c r="C16" s="35">
        <f t="shared" si="0"/>
        <v>0.03</v>
      </c>
      <c r="D16" s="8">
        <v>0.03</v>
      </c>
      <c r="E16" s="8">
        <v>3.5000000000000003E-2</v>
      </c>
      <c r="F16" s="8">
        <v>2.5000000000000001E-2</v>
      </c>
      <c r="G16" s="1"/>
      <c r="H16" s="1"/>
      <c r="I16" s="1"/>
      <c r="J16" s="1"/>
      <c r="K16" s="1"/>
      <c r="L16" s="1"/>
      <c r="M16" s="1"/>
      <c r="N16" s="1" t="s">
        <v>479</v>
      </c>
    </row>
    <row r="17" spans="1:14" x14ac:dyDescent="0.2">
      <c r="A17" s="2" t="s">
        <v>480</v>
      </c>
      <c r="B17" s="6"/>
      <c r="C17" s="35">
        <f t="shared" si="0"/>
        <v>0.25</v>
      </c>
      <c r="D17" s="8">
        <v>0.25</v>
      </c>
      <c r="E17" s="8">
        <v>0.35</v>
      </c>
      <c r="F17" s="8">
        <v>0.15</v>
      </c>
      <c r="G17" s="1"/>
      <c r="H17" s="1"/>
      <c r="I17" s="1"/>
      <c r="J17" s="1"/>
      <c r="K17" s="1"/>
      <c r="L17" s="1"/>
      <c r="M17" s="1"/>
      <c r="N17" s="1" t="s">
        <v>481</v>
      </c>
    </row>
    <row r="18" spans="1:14" x14ac:dyDescent="0.2">
      <c r="A18" s="3" t="s">
        <v>482</v>
      </c>
      <c r="B18" s="1"/>
      <c r="C18" s="89">
        <f t="shared" si="0"/>
        <v>15</v>
      </c>
      <c r="D18" s="67">
        <v>15</v>
      </c>
      <c r="E18" s="67">
        <v>18</v>
      </c>
      <c r="F18" s="67">
        <v>12</v>
      </c>
      <c r="G18" s="1"/>
      <c r="H18" s="1"/>
      <c r="I18" s="1"/>
      <c r="J18" s="1"/>
      <c r="K18" s="1"/>
      <c r="L18" s="1"/>
      <c r="M18" s="1"/>
      <c r="N18" s="1" t="s">
        <v>483</v>
      </c>
    </row>
    <row r="19" spans="1:14" x14ac:dyDescent="0.2">
      <c r="A19" s="1"/>
      <c r="B19" s="1"/>
      <c r="C19" s="3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24" t="s">
        <v>484</v>
      </c>
      <c r="B20" s="1"/>
      <c r="C20" s="3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3" t="s">
        <v>485</v>
      </c>
      <c r="B21" s="1"/>
      <c r="C21" s="29">
        <v>2600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486</v>
      </c>
    </row>
    <row r="22" spans="1:14" x14ac:dyDescent="0.2">
      <c r="A22" s="3" t="s">
        <v>487</v>
      </c>
      <c r="B22" s="1"/>
      <c r="C22" s="29">
        <v>2900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488</v>
      </c>
    </row>
    <row r="23" spans="1:14" x14ac:dyDescent="0.2">
      <c r="A23" s="3" t="s">
        <v>489</v>
      </c>
      <c r="B23" s="1"/>
      <c r="C23" s="29">
        <v>1500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490</v>
      </c>
    </row>
    <row r="24" spans="1:14" x14ac:dyDescent="0.2">
      <c r="A24" s="3" t="s">
        <v>491</v>
      </c>
      <c r="B24" s="1"/>
      <c r="C24" s="29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492</v>
      </c>
    </row>
    <row r="25" spans="1:14" x14ac:dyDescent="0.2">
      <c r="A25" s="3" t="s">
        <v>493</v>
      </c>
      <c r="B25" s="1"/>
      <c r="C25" s="29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494</v>
      </c>
    </row>
    <row r="26" spans="1:14" x14ac:dyDescent="0.2">
      <c r="A26" s="2" t="s">
        <v>495</v>
      </c>
      <c r="B26" s="6"/>
      <c r="C26" s="45">
        <v>3.5000000000000003E-2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496</v>
      </c>
    </row>
    <row r="27" spans="1:14" x14ac:dyDescent="0.2">
      <c r="A27" s="2" t="s">
        <v>497</v>
      </c>
      <c r="B27" s="6"/>
      <c r="C27" s="45">
        <v>0.21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498</v>
      </c>
    </row>
    <row r="28" spans="1:14" x14ac:dyDescent="0.2">
      <c r="A28" s="3" t="s">
        <v>499</v>
      </c>
      <c r="B28" s="1"/>
      <c r="C28" s="29">
        <v>2007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500</v>
      </c>
    </row>
    <row r="29" spans="1:14" x14ac:dyDescent="0.2">
      <c r="A29" s="2" t="s">
        <v>501</v>
      </c>
      <c r="B29" s="6"/>
      <c r="C29" s="45">
        <v>0.8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502</v>
      </c>
    </row>
    <row r="30" spans="1:14" x14ac:dyDescent="0.2">
      <c r="A30" s="2" t="s">
        <v>503</v>
      </c>
      <c r="B30" s="6"/>
      <c r="C30" s="45">
        <v>0.18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504</v>
      </c>
    </row>
    <row r="31" spans="1:14" x14ac:dyDescent="0.2">
      <c r="A31" s="2" t="s">
        <v>505</v>
      </c>
      <c r="B31" s="6"/>
      <c r="C31" s="45">
        <v>1.4999999999999999E-2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506</v>
      </c>
    </row>
    <row r="32" spans="1:14" x14ac:dyDescent="0.2">
      <c r="A32" s="2" t="s">
        <v>507</v>
      </c>
      <c r="B32" s="6"/>
      <c r="C32" s="45">
        <v>0.05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508</v>
      </c>
    </row>
    <row r="33" spans="1:14" x14ac:dyDescent="0.2">
      <c r="A33" s="2" t="s">
        <v>509</v>
      </c>
      <c r="B33" s="6"/>
      <c r="C33" s="45">
        <v>0.3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510</v>
      </c>
    </row>
    <row r="34" spans="1:14" x14ac:dyDescent="0.2">
      <c r="A34" s="3" t="s">
        <v>511</v>
      </c>
      <c r="B34" s="1"/>
      <c r="C34" s="69">
        <v>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512</v>
      </c>
    </row>
    <row r="35" spans="1:14" x14ac:dyDescent="0.2">
      <c r="A35" s="2" t="s">
        <v>513</v>
      </c>
      <c r="B35" s="6"/>
      <c r="C35" s="45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514</v>
      </c>
    </row>
    <row r="36" spans="1:14" x14ac:dyDescent="0.2">
      <c r="A36" s="2" t="s">
        <v>515</v>
      </c>
      <c r="B36" s="6"/>
      <c r="C36" s="45"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514</v>
      </c>
    </row>
    <row r="37" spans="1:14" x14ac:dyDescent="0.2">
      <c r="A37" s="3" t="s">
        <v>516</v>
      </c>
      <c r="B37" s="1"/>
      <c r="C37" s="31">
        <f>C28/C27</f>
        <v>9557.1428571428569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517</v>
      </c>
    </row>
    <row r="38" spans="1:14" x14ac:dyDescent="0.2">
      <c r="A38" s="1"/>
      <c r="B38" s="1"/>
      <c r="C38" s="3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24" t="s">
        <v>518</v>
      </c>
      <c r="B39" s="1"/>
      <c r="C39" s="3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24" t="s">
        <v>519</v>
      </c>
      <c r="B40" s="1"/>
      <c r="C40" s="39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520</v>
      </c>
    </row>
    <row r="41" spans="1:14" x14ac:dyDescent="0.2">
      <c r="A41" s="2" t="s">
        <v>463</v>
      </c>
      <c r="B41" s="6"/>
      <c r="C41" s="35"/>
      <c r="D41" s="8">
        <v>1.1000000000000001</v>
      </c>
      <c r="E41" s="8">
        <v>0.6</v>
      </c>
      <c r="F41" s="8">
        <v>0.38</v>
      </c>
      <c r="G41" s="8">
        <v>0.27</v>
      </c>
      <c r="H41" s="8">
        <v>0.2</v>
      </c>
      <c r="I41" s="8">
        <v>0.15</v>
      </c>
      <c r="J41" s="8">
        <v>0.12</v>
      </c>
      <c r="K41" s="8">
        <v>0.1</v>
      </c>
      <c r="L41" s="8">
        <v>0.08</v>
      </c>
      <c r="M41" s="1"/>
      <c r="N41" s="1"/>
    </row>
    <row r="42" spans="1:14" x14ac:dyDescent="0.2">
      <c r="A42" s="2" t="s">
        <v>464</v>
      </c>
      <c r="B42" s="6"/>
      <c r="C42" s="35"/>
      <c r="D42" s="8">
        <v>1.25</v>
      </c>
      <c r="E42" s="8">
        <v>0.7</v>
      </c>
      <c r="F42" s="8">
        <v>0.45</v>
      </c>
      <c r="G42" s="8">
        <v>0.32</v>
      </c>
      <c r="H42" s="8">
        <v>0.24</v>
      </c>
      <c r="I42" s="8">
        <v>0.18</v>
      </c>
      <c r="J42" s="8">
        <v>0.14000000000000001</v>
      </c>
      <c r="K42" s="8">
        <v>0.11</v>
      </c>
      <c r="L42" s="8">
        <v>0.09</v>
      </c>
      <c r="M42" s="1"/>
      <c r="N42" s="1"/>
    </row>
    <row r="43" spans="1:14" x14ac:dyDescent="0.2">
      <c r="A43" s="2" t="s">
        <v>465</v>
      </c>
      <c r="B43" s="6"/>
      <c r="C43" s="35"/>
      <c r="D43" s="8">
        <v>0.7</v>
      </c>
      <c r="E43" s="8">
        <v>0.35</v>
      </c>
      <c r="F43" s="8">
        <v>0.22</v>
      </c>
      <c r="G43" s="8">
        <v>0.15</v>
      </c>
      <c r="H43" s="8">
        <v>0.11</v>
      </c>
      <c r="I43" s="8">
        <v>0.09</v>
      </c>
      <c r="J43" s="8">
        <v>7.0000000000000007E-2</v>
      </c>
      <c r="K43" s="8">
        <v>0.06</v>
      </c>
      <c r="L43" s="8">
        <v>0.05</v>
      </c>
      <c r="M43" s="1"/>
      <c r="N43" s="1"/>
    </row>
    <row r="44" spans="1:14" x14ac:dyDescent="0.2">
      <c r="A44" s="70" t="s">
        <v>462</v>
      </c>
      <c r="B44" s="37"/>
      <c r="C44" s="44"/>
      <c r="D44" s="16">
        <f t="shared" si="1" ref="D44:L44">CHOOSE($C$5,D41,D42,D43)</f>
        <v>1.1000000000000001</v>
      </c>
      <c r="E44" s="16">
        <f t="shared" si="1"/>
        <v>0.6</v>
      </c>
      <c r="F44" s="16">
        <f t="shared" si="1"/>
        <v>0.38</v>
      </c>
      <c r="G44" s="16">
        <f t="shared" si="1"/>
        <v>0.27</v>
      </c>
      <c r="H44" s="16">
        <f t="shared" si="1"/>
        <v>0.2</v>
      </c>
      <c r="I44" s="16">
        <f t="shared" si="1"/>
        <v>0.15</v>
      </c>
      <c r="J44" s="16">
        <f t="shared" si="1"/>
        <v>0.12</v>
      </c>
      <c r="K44" s="16">
        <f t="shared" si="1"/>
        <v>0.1</v>
      </c>
      <c r="L44" s="16">
        <f t="shared" si="1"/>
        <v>0.08</v>
      </c>
      <c r="M44" s="1"/>
      <c r="N44" s="1"/>
    </row>
    <row r="45" spans="1:14" x14ac:dyDescent="0.2">
      <c r="A45" s="24" t="s">
        <v>274</v>
      </c>
      <c r="B45" s="1"/>
      <c r="C45" s="39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521</v>
      </c>
    </row>
    <row r="46" spans="1:14" x14ac:dyDescent="0.2">
      <c r="A46" s="2" t="s">
        <v>463</v>
      </c>
      <c r="B46" s="6"/>
      <c r="C46" s="35"/>
      <c r="D46" s="8">
        <v>0.5</v>
      </c>
      <c r="E46" s="8">
        <v>0.48</v>
      </c>
      <c r="F46" s="8">
        <v>0.46</v>
      </c>
      <c r="G46" s="8">
        <v>0.44</v>
      </c>
      <c r="H46" s="8">
        <v>0.42</v>
      </c>
      <c r="I46" s="8">
        <v>0.41</v>
      </c>
      <c r="J46" s="8">
        <v>0.4</v>
      </c>
      <c r="K46" s="8">
        <v>0.4</v>
      </c>
      <c r="L46" s="8">
        <v>0.4</v>
      </c>
      <c r="M46" s="1"/>
      <c r="N46" s="1"/>
    </row>
    <row r="47" spans="1:14" x14ac:dyDescent="0.2">
      <c r="A47" s="2" t="s">
        <v>464</v>
      </c>
      <c r="B47" s="6"/>
      <c r="C47" s="35"/>
      <c r="D47" s="8">
        <v>0.47</v>
      </c>
      <c r="E47" s="8">
        <v>0.44</v>
      </c>
      <c r="F47" s="8">
        <v>0.41</v>
      </c>
      <c r="G47" s="8">
        <v>0.39</v>
      </c>
      <c r="H47" s="8">
        <v>0.37</v>
      </c>
      <c r="I47" s="8">
        <v>0.36</v>
      </c>
      <c r="J47" s="8">
        <v>0.35</v>
      </c>
      <c r="K47" s="8">
        <v>0.35</v>
      </c>
      <c r="L47" s="8">
        <v>0.35</v>
      </c>
      <c r="M47" s="1"/>
      <c r="N47" s="1"/>
    </row>
    <row r="48" spans="1:14" x14ac:dyDescent="0.2">
      <c r="A48" s="2" t="s">
        <v>465</v>
      </c>
      <c r="B48" s="6"/>
      <c r="C48" s="35"/>
      <c r="D48" s="8">
        <v>0.56000000000000005</v>
      </c>
      <c r="E48" s="8">
        <v>0.55000000000000004</v>
      </c>
      <c r="F48" s="8">
        <v>0.53</v>
      </c>
      <c r="G48" s="8">
        <v>0.51</v>
      </c>
      <c r="H48" s="8">
        <v>0.5</v>
      </c>
      <c r="I48" s="8">
        <v>0.49</v>
      </c>
      <c r="J48" s="8">
        <v>0.48</v>
      </c>
      <c r="K48" s="8">
        <v>0.48</v>
      </c>
      <c r="L48" s="8">
        <v>0.48</v>
      </c>
      <c r="M48" s="1"/>
      <c r="N48" s="1"/>
    </row>
    <row r="49" spans="1:14" x14ac:dyDescent="0.2">
      <c r="A49" s="70" t="s">
        <v>462</v>
      </c>
      <c r="B49" s="37"/>
      <c r="C49" s="44"/>
      <c r="D49" s="16">
        <f t="shared" si="2" ref="D49:L49">CHOOSE($C$5,D46,D47,D48)</f>
        <v>0.5</v>
      </c>
      <c r="E49" s="16">
        <f t="shared" si="2"/>
        <v>0.48</v>
      </c>
      <c r="F49" s="16">
        <f t="shared" si="2"/>
        <v>0.46</v>
      </c>
      <c r="G49" s="16">
        <f t="shared" si="2"/>
        <v>0.44</v>
      </c>
      <c r="H49" s="16">
        <f t="shared" si="2"/>
        <v>0.42</v>
      </c>
      <c r="I49" s="16">
        <f t="shared" si="2"/>
        <v>0.41</v>
      </c>
      <c r="J49" s="16">
        <f t="shared" si="2"/>
        <v>0.4</v>
      </c>
      <c r="K49" s="16">
        <f t="shared" si="2"/>
        <v>0.4</v>
      </c>
      <c r="L49" s="16">
        <f t="shared" si="2"/>
        <v>0.4</v>
      </c>
      <c r="M49" s="1"/>
      <c r="N49" s="1"/>
    </row>
    <row r="50" spans="1:14" x14ac:dyDescent="0.2">
      <c r="A50" s="24" t="s">
        <v>522</v>
      </c>
      <c r="B50" s="1"/>
      <c r="C50" s="39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523</v>
      </c>
    </row>
    <row r="51" spans="1:14" x14ac:dyDescent="0.2">
      <c r="A51" s="2" t="s">
        <v>463</v>
      </c>
      <c r="B51" s="6"/>
      <c r="C51" s="35"/>
      <c r="D51" s="8">
        <v>0.05</v>
      </c>
      <c r="E51" s="8">
        <v>0.05</v>
      </c>
      <c r="F51" s="8">
        <v>4.4999999999999998E-2</v>
      </c>
      <c r="G51" s="8">
        <v>4.4999999999999998E-2</v>
      </c>
      <c r="H51" s="8">
        <v>4.4999999999999998E-2</v>
      </c>
      <c r="I51" s="8">
        <v>0.04</v>
      </c>
      <c r="J51" s="8">
        <v>0.04</v>
      </c>
      <c r="K51" s="8">
        <v>0.04</v>
      </c>
      <c r="L51" s="8">
        <v>0.04</v>
      </c>
      <c r="M51" s="1"/>
      <c r="N51" s="1"/>
    </row>
    <row r="52" spans="1:14" x14ac:dyDescent="0.2">
      <c r="A52" s="2" t="s">
        <v>464</v>
      </c>
      <c r="B52" s="6"/>
      <c r="C52" s="35"/>
      <c r="D52" s="8">
        <v>4.4999999999999998E-2</v>
      </c>
      <c r="E52" s="8">
        <v>4.4999999999999998E-2</v>
      </c>
      <c r="F52" s="8">
        <v>0.04</v>
      </c>
      <c r="G52" s="8">
        <v>0.04</v>
      </c>
      <c r="H52" s="8">
        <v>0.04</v>
      </c>
      <c r="I52" s="8">
        <v>3.5000000000000003E-2</v>
      </c>
      <c r="J52" s="8">
        <v>3.5000000000000003E-2</v>
      </c>
      <c r="K52" s="8">
        <v>3.5000000000000003E-2</v>
      </c>
      <c r="L52" s="8">
        <v>3.5000000000000003E-2</v>
      </c>
      <c r="M52" s="1"/>
      <c r="N52" s="1"/>
    </row>
    <row r="53" spans="1:14" x14ac:dyDescent="0.2">
      <c r="A53" s="2" t="s">
        <v>465</v>
      </c>
      <c r="B53" s="6"/>
      <c r="C53" s="35"/>
      <c r="D53" s="8">
        <v>5.5E-2</v>
      </c>
      <c r="E53" s="8">
        <v>5.5E-2</v>
      </c>
      <c r="F53" s="8">
        <v>0.05</v>
      </c>
      <c r="G53" s="8">
        <v>0.05</v>
      </c>
      <c r="H53" s="8">
        <v>0.05</v>
      </c>
      <c r="I53" s="8">
        <v>4.4999999999999998E-2</v>
      </c>
      <c r="J53" s="8">
        <v>4.4999999999999998E-2</v>
      </c>
      <c r="K53" s="8">
        <v>4.4999999999999998E-2</v>
      </c>
      <c r="L53" s="8">
        <v>4.4999999999999998E-2</v>
      </c>
      <c r="M53" s="1"/>
      <c r="N53" s="1"/>
    </row>
    <row r="54" spans="1:14" x14ac:dyDescent="0.2">
      <c r="A54" s="70" t="s">
        <v>462</v>
      </c>
      <c r="B54" s="37"/>
      <c r="C54" s="44"/>
      <c r="D54" s="16">
        <f t="shared" si="3" ref="D54:L54">CHOOSE($C$5,D51,D52,D53)</f>
        <v>0.05</v>
      </c>
      <c r="E54" s="16">
        <f t="shared" si="3"/>
        <v>0.05</v>
      </c>
      <c r="F54" s="16">
        <f t="shared" si="3"/>
        <v>4.4999999999999998E-2</v>
      </c>
      <c r="G54" s="16">
        <f t="shared" si="3"/>
        <v>4.4999999999999998E-2</v>
      </c>
      <c r="H54" s="16">
        <f t="shared" si="3"/>
        <v>4.4999999999999998E-2</v>
      </c>
      <c r="I54" s="16">
        <f t="shared" si="3"/>
        <v>0.04</v>
      </c>
      <c r="J54" s="16">
        <f t="shared" si="3"/>
        <v>0.04</v>
      </c>
      <c r="K54" s="16">
        <f t="shared" si="3"/>
        <v>0.04</v>
      </c>
      <c r="L54" s="16">
        <f t="shared" si="3"/>
        <v>0.04</v>
      </c>
      <c r="M54" s="1"/>
      <c r="N54" s="1"/>
    </row>
    <row r="55" spans="1:14" x14ac:dyDescent="0.2">
      <c r="A55" s="24" t="s">
        <v>524</v>
      </c>
      <c r="B55" s="1"/>
      <c r="C55" s="39"/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525</v>
      </c>
    </row>
    <row r="56" spans="1:14" x14ac:dyDescent="0.2">
      <c r="A56" s="2" t="s">
        <v>463</v>
      </c>
      <c r="B56" s="6"/>
      <c r="C56" s="35"/>
      <c r="D56" s="8">
        <v>0.1</v>
      </c>
      <c r="E56" s="8">
        <v>0.08</v>
      </c>
      <c r="F56" s="8">
        <v>7.0000000000000007E-2</v>
      </c>
      <c r="G56" s="8">
        <v>0.06</v>
      </c>
      <c r="H56" s="8">
        <v>5.5E-2</v>
      </c>
      <c r="I56" s="8">
        <v>0.05</v>
      </c>
      <c r="J56" s="8">
        <v>0.05</v>
      </c>
      <c r="K56" s="8">
        <v>4.4999999999999998E-2</v>
      </c>
      <c r="L56" s="8">
        <v>4.4999999999999998E-2</v>
      </c>
      <c r="M56" s="1"/>
      <c r="N56" s="1"/>
    </row>
    <row r="57" spans="1:14" x14ac:dyDescent="0.2">
      <c r="A57" s="2" t="s">
        <v>464</v>
      </c>
      <c r="B57" s="6"/>
      <c r="C57" s="35"/>
      <c r="D57" s="8">
        <v>0.09</v>
      </c>
      <c r="E57" s="8">
        <v>7.0000000000000007E-2</v>
      </c>
      <c r="F57" s="8">
        <v>0.06</v>
      </c>
      <c r="G57" s="8">
        <v>5.5E-2</v>
      </c>
      <c r="H57" s="8">
        <v>0.05</v>
      </c>
      <c r="I57" s="8">
        <v>4.4999999999999998E-2</v>
      </c>
      <c r="J57" s="8">
        <v>4.4999999999999998E-2</v>
      </c>
      <c r="K57" s="8">
        <v>0.04</v>
      </c>
      <c r="L57" s="8">
        <v>0.04</v>
      </c>
      <c r="M57" s="1"/>
      <c r="N57" s="1"/>
    </row>
    <row r="58" spans="1:14" x14ac:dyDescent="0.2">
      <c r="A58" s="2" t="s">
        <v>465</v>
      </c>
      <c r="B58" s="6"/>
      <c r="C58" s="35"/>
      <c r="D58" s="8">
        <v>0.12</v>
      </c>
      <c r="E58" s="8">
        <v>0.1</v>
      </c>
      <c r="F58" s="8">
        <v>0.09</v>
      </c>
      <c r="G58" s="8">
        <v>0.08</v>
      </c>
      <c r="H58" s="8">
        <v>7.0000000000000007E-2</v>
      </c>
      <c r="I58" s="8">
        <v>6.5000000000000002E-2</v>
      </c>
      <c r="J58" s="8">
        <v>0.06</v>
      </c>
      <c r="K58" s="8">
        <v>0.06</v>
      </c>
      <c r="L58" s="8">
        <v>0.06</v>
      </c>
      <c r="M58" s="1"/>
      <c r="N58" s="1"/>
    </row>
    <row r="59" spans="1:14" x14ac:dyDescent="0.2">
      <c r="A59" s="70" t="s">
        <v>462</v>
      </c>
      <c r="B59" s="37"/>
      <c r="C59" s="44"/>
      <c r="D59" s="16">
        <f t="shared" si="4" ref="D59:L59">CHOOSE($C$5,D56,D57,D58)</f>
        <v>0.1</v>
      </c>
      <c r="E59" s="16">
        <f t="shared" si="4"/>
        <v>0.08</v>
      </c>
      <c r="F59" s="16">
        <f t="shared" si="4"/>
        <v>7.0000000000000007E-2</v>
      </c>
      <c r="G59" s="16">
        <f t="shared" si="4"/>
        <v>0.06</v>
      </c>
      <c r="H59" s="16">
        <f t="shared" si="4"/>
        <v>5.5E-2</v>
      </c>
      <c r="I59" s="16">
        <f t="shared" si="4"/>
        <v>0.05</v>
      </c>
      <c r="J59" s="16">
        <f t="shared" si="4"/>
        <v>0.05</v>
      </c>
      <c r="K59" s="16">
        <f t="shared" si="4"/>
        <v>4.4999999999999998E-2</v>
      </c>
      <c r="L59" s="16">
        <f t="shared" si="4"/>
        <v>4.4999999999999998E-2</v>
      </c>
      <c r="M59" s="1"/>
      <c r="N59" s="1"/>
    </row>
    <row r="60" spans="1:14" x14ac:dyDescent="0.2">
      <c r="A60" s="24" t="s">
        <v>276</v>
      </c>
      <c r="B60" s="1"/>
      <c r="C60" s="39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526</v>
      </c>
    </row>
    <row r="61" spans="1:14" x14ac:dyDescent="0.2">
      <c r="A61" s="2" t="s">
        <v>463</v>
      </c>
      <c r="B61" s="6"/>
      <c r="C61" s="35"/>
      <c r="D61" s="8">
        <v>0.16</v>
      </c>
      <c r="E61" s="8">
        <v>0.14000000000000001</v>
      </c>
      <c r="F61" s="8">
        <v>0.12</v>
      </c>
      <c r="G61" s="8">
        <v>0.11</v>
      </c>
      <c r="H61" s="8">
        <v>0.1</v>
      </c>
      <c r="I61" s="8">
        <v>0.09</v>
      </c>
      <c r="J61" s="8">
        <v>0.09</v>
      </c>
      <c r="K61" s="8">
        <v>0.08</v>
      </c>
      <c r="L61" s="8">
        <v>0.08</v>
      </c>
      <c r="M61" s="1"/>
      <c r="N61" s="1"/>
    </row>
    <row r="62" spans="1:14" x14ac:dyDescent="0.2">
      <c r="A62" s="2" t="s">
        <v>464</v>
      </c>
      <c r="B62" s="6"/>
      <c r="C62" s="35"/>
      <c r="D62" s="8">
        <v>0.15</v>
      </c>
      <c r="E62" s="8">
        <v>0.12</v>
      </c>
      <c r="F62" s="8">
        <v>0.1</v>
      </c>
      <c r="G62" s="8">
        <v>0.09</v>
      </c>
      <c r="H62" s="8">
        <v>0.08</v>
      </c>
      <c r="I62" s="8">
        <v>0.08</v>
      </c>
      <c r="J62" s="8">
        <v>7.0000000000000007E-2</v>
      </c>
      <c r="K62" s="8">
        <v>7.0000000000000007E-2</v>
      </c>
      <c r="L62" s="8">
        <v>7.0000000000000007E-2</v>
      </c>
      <c r="M62" s="1"/>
      <c r="N62" s="1"/>
    </row>
    <row r="63" spans="1:14" x14ac:dyDescent="0.2">
      <c r="A63" s="2" t="s">
        <v>465</v>
      </c>
      <c r="B63" s="6"/>
      <c r="C63" s="35"/>
      <c r="D63" s="8">
        <v>0.18</v>
      </c>
      <c r="E63" s="8">
        <v>0.17</v>
      </c>
      <c r="F63" s="8">
        <v>0.16</v>
      </c>
      <c r="G63" s="8">
        <v>0.15</v>
      </c>
      <c r="H63" s="8">
        <v>0.14000000000000001</v>
      </c>
      <c r="I63" s="8">
        <v>0.13</v>
      </c>
      <c r="J63" s="8">
        <v>0.12</v>
      </c>
      <c r="K63" s="8">
        <v>0.12</v>
      </c>
      <c r="L63" s="8">
        <v>0.12</v>
      </c>
      <c r="M63" s="1"/>
      <c r="N63" s="1"/>
    </row>
    <row r="64" spans="1:14" x14ac:dyDescent="0.2">
      <c r="A64" s="70" t="s">
        <v>462</v>
      </c>
      <c r="B64" s="37"/>
      <c r="C64" s="44"/>
      <c r="D64" s="16">
        <f t="shared" si="5" ref="D64:L64">CHOOSE($C$5,D61,D62,D63)</f>
        <v>0.16</v>
      </c>
      <c r="E64" s="16">
        <f t="shared" si="5"/>
        <v>0.14000000000000001</v>
      </c>
      <c r="F64" s="16">
        <f t="shared" si="5"/>
        <v>0.12</v>
      </c>
      <c r="G64" s="16">
        <f t="shared" si="5"/>
        <v>0.11</v>
      </c>
      <c r="H64" s="16">
        <f t="shared" si="5"/>
        <v>0.1</v>
      </c>
      <c r="I64" s="16">
        <f t="shared" si="5"/>
        <v>0.09</v>
      </c>
      <c r="J64" s="16">
        <f t="shared" si="5"/>
        <v>0.09</v>
      </c>
      <c r="K64" s="16">
        <f t="shared" si="5"/>
        <v>0.08</v>
      </c>
      <c r="L64" s="16">
        <f t="shared" si="5"/>
        <v>0.08</v>
      </c>
      <c r="M64" s="1"/>
      <c r="N64" s="1"/>
    </row>
    <row r="65" spans="1:14" x14ac:dyDescent="0.2">
      <c r="A65" s="24" t="s">
        <v>277</v>
      </c>
      <c r="B65" s="1"/>
      <c r="C65" s="39"/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527</v>
      </c>
    </row>
    <row r="66" spans="1:14" x14ac:dyDescent="0.2">
      <c r="A66" s="2" t="s">
        <v>463</v>
      </c>
      <c r="B66" s="6"/>
      <c r="C66" s="35"/>
      <c r="D66" s="8">
        <v>7.4999999999999997E-2</v>
      </c>
      <c r="E66" s="8">
        <v>6.5000000000000002E-2</v>
      </c>
      <c r="F66" s="8">
        <v>0.06</v>
      </c>
      <c r="G66" s="8">
        <v>5.5E-2</v>
      </c>
      <c r="H66" s="8">
        <v>0.05</v>
      </c>
      <c r="I66" s="8">
        <v>0.05</v>
      </c>
      <c r="J66" s="8">
        <v>4.4999999999999998E-2</v>
      </c>
      <c r="K66" s="8">
        <v>4.4999999999999998E-2</v>
      </c>
      <c r="L66" s="8">
        <v>4.4999999999999998E-2</v>
      </c>
      <c r="M66" s="1"/>
      <c r="N66" s="1"/>
    </row>
    <row r="67" spans="1:14" x14ac:dyDescent="0.2">
      <c r="A67" s="2" t="s">
        <v>464</v>
      </c>
      <c r="B67" s="6"/>
      <c r="C67" s="35"/>
      <c r="D67" s="8">
        <v>7.0000000000000007E-2</v>
      </c>
      <c r="E67" s="8">
        <v>0.06</v>
      </c>
      <c r="F67" s="8">
        <v>5.5E-2</v>
      </c>
      <c r="G67" s="8">
        <v>0.05</v>
      </c>
      <c r="H67" s="8">
        <v>4.4999999999999998E-2</v>
      </c>
      <c r="I67" s="8">
        <v>4.4999999999999998E-2</v>
      </c>
      <c r="J67" s="8">
        <v>0.04</v>
      </c>
      <c r="K67" s="8">
        <v>0.04</v>
      </c>
      <c r="L67" s="8">
        <v>0.04</v>
      </c>
      <c r="M67" s="1"/>
      <c r="N67" s="1"/>
    </row>
    <row r="68" spans="1:14" x14ac:dyDescent="0.2">
      <c r="A68" s="2" t="s">
        <v>465</v>
      </c>
      <c r="B68" s="6"/>
      <c r="C68" s="35"/>
      <c r="D68" s="8">
        <v>8.5000000000000006E-2</v>
      </c>
      <c r="E68" s="8">
        <v>0.08</v>
      </c>
      <c r="F68" s="8">
        <v>7.4999999999999997E-2</v>
      </c>
      <c r="G68" s="8">
        <v>7.0000000000000007E-2</v>
      </c>
      <c r="H68" s="8">
        <v>6.5000000000000002E-2</v>
      </c>
      <c r="I68" s="8">
        <v>6.5000000000000002E-2</v>
      </c>
      <c r="J68" s="8">
        <v>6.5000000000000002E-2</v>
      </c>
      <c r="K68" s="8">
        <v>6.5000000000000002E-2</v>
      </c>
      <c r="L68" s="8">
        <v>6.5000000000000002E-2</v>
      </c>
      <c r="M68" s="1"/>
      <c r="N68" s="1"/>
    </row>
    <row r="69" spans="1:14" x14ac:dyDescent="0.2">
      <c r="A69" s="70" t="s">
        <v>462</v>
      </c>
      <c r="B69" s="37"/>
      <c r="C69" s="44"/>
      <c r="D69" s="16">
        <f t="shared" si="6" ref="D69:L69">CHOOSE($C$5,D66,D67,D68)</f>
        <v>7.4999999999999997E-2</v>
      </c>
      <c r="E69" s="16">
        <f t="shared" si="6"/>
        <v>6.5000000000000002E-2</v>
      </c>
      <c r="F69" s="16">
        <f t="shared" si="6"/>
        <v>0.06</v>
      </c>
      <c r="G69" s="16">
        <f t="shared" si="6"/>
        <v>5.5E-2</v>
      </c>
      <c r="H69" s="16">
        <f t="shared" si="6"/>
        <v>0.05</v>
      </c>
      <c r="I69" s="16">
        <f t="shared" si="6"/>
        <v>0.05</v>
      </c>
      <c r="J69" s="16">
        <f t="shared" si="6"/>
        <v>4.4999999999999998E-2</v>
      </c>
      <c r="K69" s="16">
        <f t="shared" si="6"/>
        <v>4.4999999999999998E-2</v>
      </c>
      <c r="L69" s="16">
        <f t="shared" si="6"/>
        <v>4.4999999999999998E-2</v>
      </c>
      <c r="M69" s="1"/>
      <c r="N69" s="1"/>
    </row>
    <row r="70" spans="1:14" x14ac:dyDescent="0.2">
      <c r="A70" s="24" t="s">
        <v>528</v>
      </c>
      <c r="B70" s="1"/>
      <c r="C70" s="39"/>
      <c r="D70" s="1"/>
      <c r="E70" s="1"/>
      <c r="F70" s="1"/>
      <c r="G70" s="1"/>
      <c r="H70" s="1"/>
      <c r="I70" s="1"/>
      <c r="J70" s="1"/>
      <c r="K70" s="1"/>
      <c r="L70" s="1"/>
      <c r="M70" s="1"/>
      <c r="N70" s="1" t="s">
        <v>529</v>
      </c>
    </row>
    <row r="71" spans="1:14" x14ac:dyDescent="0.2">
      <c r="A71" s="2" t="s">
        <v>463</v>
      </c>
      <c r="B71" s="6"/>
      <c r="C71" s="35"/>
      <c r="D71" s="8">
        <v>0.06</v>
      </c>
      <c r="E71" s="8">
        <v>0.08</v>
      </c>
      <c r="F71" s="8">
        <v>0.08</v>
      </c>
      <c r="G71" s="8">
        <v>7.0000000000000007E-2</v>
      </c>
      <c r="H71" s="8">
        <v>0.06</v>
      </c>
      <c r="I71" s="8">
        <v>0.06</v>
      </c>
      <c r="J71" s="8">
        <v>0.05</v>
      </c>
      <c r="K71" s="8">
        <v>0.05</v>
      </c>
      <c r="L71" s="8">
        <v>0.05</v>
      </c>
      <c r="M71" s="1"/>
      <c r="N71" s="1"/>
    </row>
    <row r="72" spans="1:14" x14ac:dyDescent="0.2">
      <c r="A72" s="2" t="s">
        <v>464</v>
      </c>
      <c r="B72" s="6"/>
      <c r="C72" s="35"/>
      <c r="D72" s="8">
        <v>0.06</v>
      </c>
      <c r="E72" s="8">
        <v>0.08</v>
      </c>
      <c r="F72" s="8">
        <v>0.08</v>
      </c>
      <c r="G72" s="8">
        <v>7.0000000000000007E-2</v>
      </c>
      <c r="H72" s="8">
        <v>0.06</v>
      </c>
      <c r="I72" s="8">
        <v>0.06</v>
      </c>
      <c r="J72" s="8">
        <v>0.05</v>
      </c>
      <c r="K72" s="8">
        <v>0.05</v>
      </c>
      <c r="L72" s="8">
        <v>0.05</v>
      </c>
      <c r="M72" s="1"/>
      <c r="N72" s="1"/>
    </row>
    <row r="73" spans="1:14" x14ac:dyDescent="0.2">
      <c r="A73" s="2" t="s">
        <v>465</v>
      </c>
      <c r="B73" s="6"/>
      <c r="C73" s="35"/>
      <c r="D73" s="8">
        <v>0.08</v>
      </c>
      <c r="E73" s="8">
        <v>0.1</v>
      </c>
      <c r="F73" s="8">
        <v>0.1</v>
      </c>
      <c r="G73" s="8">
        <v>0.09</v>
      </c>
      <c r="H73" s="8">
        <v>0.08</v>
      </c>
      <c r="I73" s="8">
        <v>7.0000000000000007E-2</v>
      </c>
      <c r="J73" s="8">
        <v>0.06</v>
      </c>
      <c r="K73" s="8">
        <v>0.06</v>
      </c>
      <c r="L73" s="8">
        <v>0.06</v>
      </c>
      <c r="M73" s="1"/>
      <c r="N73" s="1"/>
    </row>
    <row r="74" spans="1:14" x14ac:dyDescent="0.2">
      <c r="A74" s="70" t="s">
        <v>462</v>
      </c>
      <c r="B74" s="37"/>
      <c r="C74" s="44"/>
      <c r="D74" s="16">
        <f t="shared" si="7" ref="D74:L74">CHOOSE($C$5,D71,D72,D73)</f>
        <v>0.06</v>
      </c>
      <c r="E74" s="16">
        <f t="shared" si="7"/>
        <v>0.08</v>
      </c>
      <c r="F74" s="16">
        <f t="shared" si="7"/>
        <v>0.08</v>
      </c>
      <c r="G74" s="16">
        <f t="shared" si="7"/>
        <v>7.0000000000000007E-2</v>
      </c>
      <c r="H74" s="16">
        <f t="shared" si="7"/>
        <v>0.06</v>
      </c>
      <c r="I74" s="16">
        <f t="shared" si="7"/>
        <v>0.06</v>
      </c>
      <c r="J74" s="16">
        <f t="shared" si="7"/>
        <v>0.05</v>
      </c>
      <c r="K74" s="16">
        <f t="shared" si="7"/>
        <v>0.05</v>
      </c>
      <c r="L74" s="16">
        <f t="shared" si="7"/>
        <v>0.05</v>
      </c>
      <c r="M74" s="1"/>
      <c r="N74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A2331"/>
  </sheetPr>
  <dimension ref="A1:I64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7" width="12.6640625" customWidth="1"/>
    <col min="8" max="8" width="17.6640625" customWidth="1"/>
    <col min="9" max="9" width="99.33203125" customWidth="1"/>
  </cols>
  <sheetData>
    <row r="1" spans="1:9" x14ac:dyDescent="0.2">
      <c r="A1" s="38" t="s">
        <v>530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531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4" t="s">
        <v>205</v>
      </c>
      <c r="B4" s="17" t="s">
        <v>78</v>
      </c>
      <c r="C4" s="96" t="s">
        <v>532</v>
      </c>
      <c r="D4" s="91" t="s">
        <v>533</v>
      </c>
      <c r="E4" s="74" t="s">
        <v>77</v>
      </c>
      <c r="F4" s="74" t="s">
        <v>534</v>
      </c>
      <c r="G4" s="74" t="s">
        <v>535</v>
      </c>
      <c r="H4" s="12" t="s">
        <v>79</v>
      </c>
      <c r="I4" s="12" t="s">
        <v>80</v>
      </c>
    </row>
    <row r="5" spans="1:9" x14ac:dyDescent="0.2">
      <c r="A5" s="1"/>
      <c r="B5" s="1"/>
      <c r="C5" s="39"/>
      <c r="D5" s="1"/>
      <c r="E5" s="1"/>
      <c r="F5" s="1"/>
      <c r="G5" s="1"/>
      <c r="H5" s="1"/>
      <c r="I5" s="1"/>
    </row>
    <row r="6" spans="1:9" x14ac:dyDescent="0.2">
      <c r="A6" s="24" t="s">
        <v>536</v>
      </c>
      <c r="B6" s="1"/>
      <c r="C6" s="39"/>
      <c r="D6" s="1"/>
      <c r="E6" s="1"/>
      <c r="F6" s="1"/>
      <c r="G6" s="1"/>
      <c r="H6" s="1"/>
      <c r="I6" s="1"/>
    </row>
    <row r="7" spans="1:9" x14ac:dyDescent="0.2">
      <c r="A7" s="32" t="s">
        <v>81</v>
      </c>
      <c r="B7" s="58">
        <f>IS_Hist!F6</f>
        <v>16286</v>
      </c>
      <c r="C7" s="43">
        <f>C8+C9</f>
        <v>38500</v>
      </c>
      <c r="D7" s="20">
        <f>B7+C7</f>
        <v>54786</v>
      </c>
      <c r="E7" s="58">
        <f>IS_Hist!E6</f>
        <v>1163</v>
      </c>
      <c r="F7" s="20">
        <f>G7-E7</f>
        <v>3422</v>
      </c>
      <c r="G7" s="58">
        <f>IS_Hist!D6</f>
        <v>4585</v>
      </c>
      <c r="H7" s="1"/>
      <c r="I7" s="1"/>
    </row>
    <row r="8" spans="1:9" x14ac:dyDescent="0.2">
      <c r="A8" s="42" t="s">
        <v>537</v>
      </c>
      <c r="B8" s="4"/>
      <c r="C8" s="13">
        <f>Assumptions!$C$10</f>
        <v>17500</v>
      </c>
      <c r="D8" s="4"/>
      <c r="E8" s="4"/>
      <c r="F8" s="4"/>
      <c r="G8" s="4"/>
      <c r="H8" s="1"/>
      <c r="I8" s="1"/>
    </row>
    <row r="9" spans="1:9" x14ac:dyDescent="0.2">
      <c r="A9" s="42" t="s">
        <v>538</v>
      </c>
      <c r="B9" s="4"/>
      <c r="C9" s="13">
        <f>Assumptions!$C$11</f>
        <v>21000</v>
      </c>
      <c r="D9" s="4"/>
      <c r="E9" s="4"/>
      <c r="F9" s="4"/>
      <c r="G9" s="4"/>
      <c r="H9" s="1"/>
      <c r="I9" s="1"/>
    </row>
    <row r="10" spans="1:9" x14ac:dyDescent="0.2">
      <c r="A10" s="3" t="s">
        <v>84</v>
      </c>
      <c r="B10" s="7">
        <f>IS_Hist!F9</f>
        <v>8945</v>
      </c>
      <c r="C10" s="31">
        <f>C7*Assumptions!$C$12</f>
        <v>19250</v>
      </c>
      <c r="D10" s="4">
        <f t="shared" si="0" ref="D10:D26">B10+C10</f>
        <v>28195</v>
      </c>
      <c r="E10" s="7">
        <f>IS_Hist!E9</f>
        <v>2334</v>
      </c>
      <c r="F10" s="4">
        <f t="shared" si="1" ref="F10:F26">G10-E10</f>
        <v>4992</v>
      </c>
      <c r="G10" s="7">
        <f>IS_Hist!D9</f>
        <v>7326</v>
      </c>
      <c r="H10" s="1"/>
      <c r="I10" s="1"/>
    </row>
    <row r="11" spans="1:9" x14ac:dyDescent="0.2">
      <c r="A11" s="42" t="s">
        <v>539</v>
      </c>
      <c r="B11" s="7">
        <f>CF_Hist!F10</f>
        <v>2185</v>
      </c>
      <c r="C11" s="31">
        <f>Assumptions!$C$21+Assumptions!$C$22</f>
        <v>5500</v>
      </c>
      <c r="D11" s="4">
        <f t="shared" si="0"/>
        <v>7685</v>
      </c>
      <c r="E11" s="7">
        <f>CF_Hist!E10</f>
        <v>279</v>
      </c>
      <c r="F11" s="4">
        <f t="shared" si="1"/>
        <v>879</v>
      </c>
      <c r="G11" s="7">
        <f>CF_Hist!D10</f>
        <v>1158</v>
      </c>
      <c r="H11" s="1"/>
      <c r="I11" s="1" t="s">
        <v>540</v>
      </c>
    </row>
    <row r="12" spans="1:9" x14ac:dyDescent="0.2">
      <c r="A12" s="42" t="s">
        <v>541</v>
      </c>
      <c r="B12" s="4">
        <f>IS_Hist!F10-B11</f>
        <v>967</v>
      </c>
      <c r="C12" s="31">
        <f>C7*Assumptions!$C$13</f>
        <v>1925</v>
      </c>
      <c r="D12" s="4">
        <f t="shared" si="0"/>
        <v>2892</v>
      </c>
      <c r="E12" s="4">
        <f>IS_Hist!E10-E11</f>
        <v>259</v>
      </c>
      <c r="F12" s="4">
        <f t="shared" si="1"/>
        <v>422</v>
      </c>
      <c r="G12" s="4">
        <f>IS_Hist!D10-G11</f>
        <v>681</v>
      </c>
      <c r="H12" s="1"/>
      <c r="I12" s="1"/>
    </row>
    <row r="13" spans="1:9" x14ac:dyDescent="0.2">
      <c r="A13" s="3" t="s">
        <v>85</v>
      </c>
      <c r="B13" s="7">
        <f>IS_Hist!F10</f>
        <v>3152</v>
      </c>
      <c r="C13" s="31">
        <f>C12+C11</f>
        <v>7425</v>
      </c>
      <c r="D13" s="4">
        <f t="shared" si="0"/>
        <v>10577</v>
      </c>
      <c r="E13" s="7">
        <f>IS_Hist!E10</f>
        <v>538</v>
      </c>
      <c r="F13" s="4">
        <f t="shared" si="1"/>
        <v>1301</v>
      </c>
      <c r="G13" s="7">
        <f>IS_Hist!D10</f>
        <v>1839</v>
      </c>
      <c r="H13" s="1"/>
      <c r="I13" s="1"/>
    </row>
    <row r="14" spans="1:9" x14ac:dyDescent="0.2">
      <c r="A14" s="3" t="s">
        <v>86</v>
      </c>
      <c r="B14" s="7">
        <f>IS_Hist!F11</f>
        <v>0</v>
      </c>
      <c r="C14" s="75">
        <v>0</v>
      </c>
      <c r="D14" s="4">
        <f t="shared" si="0"/>
        <v>0</v>
      </c>
      <c r="E14" s="7">
        <f>IS_Hist!E11</f>
        <v>0</v>
      </c>
      <c r="F14" s="4">
        <f t="shared" si="1"/>
        <v>1500</v>
      </c>
      <c r="G14" s="7">
        <f>IS_Hist!D11</f>
        <v>1500</v>
      </c>
      <c r="H14" s="1"/>
      <c r="I14" s="1"/>
    </row>
    <row r="15" spans="1:9" x14ac:dyDescent="0.2">
      <c r="A15" s="3" t="s">
        <v>87</v>
      </c>
      <c r="B15" s="7">
        <f>IS_Hist!F12</f>
        <v>3168</v>
      </c>
      <c r="C15" s="31">
        <f>C7*Assumptions!$C$14</f>
        <v>6930</v>
      </c>
      <c r="D15" s="4">
        <f t="shared" si="0"/>
        <v>10098</v>
      </c>
      <c r="E15" s="7">
        <f>IS_Hist!E12</f>
        <v>120</v>
      </c>
      <c r="F15" s="4">
        <f t="shared" si="1"/>
        <v>448</v>
      </c>
      <c r="G15" s="7">
        <f>IS_Hist!D12</f>
        <v>568</v>
      </c>
      <c r="H15" s="1"/>
      <c r="I15" s="1"/>
    </row>
    <row r="16" spans="1:9" x14ac:dyDescent="0.2">
      <c r="A16" s="3" t="s">
        <v>88</v>
      </c>
      <c r="B16" s="7">
        <f>IS_Hist!F13</f>
        <v>1714</v>
      </c>
      <c r="C16" s="31">
        <f>C7*Assumptions!$C$15</f>
        <v>3272.5000000000005</v>
      </c>
      <c r="D16" s="4">
        <f t="shared" si="0"/>
        <v>4986.5</v>
      </c>
      <c r="E16" s="7">
        <f>IS_Hist!E13</f>
        <v>306</v>
      </c>
      <c r="F16" s="4">
        <f t="shared" si="1"/>
        <v>1106</v>
      </c>
      <c r="G16" s="7">
        <f>IS_Hist!D13</f>
        <v>1412</v>
      </c>
      <c r="H16" s="1"/>
      <c r="I16" s="1"/>
    </row>
    <row r="17" spans="1:9" x14ac:dyDescent="0.2">
      <c r="A17" s="24" t="s">
        <v>89</v>
      </c>
      <c r="B17" s="19">
        <f>B10+B13+B14+B15+B16</f>
        <v>16979</v>
      </c>
      <c r="C17" s="36">
        <f>C10+C13+C14+C15+C16</f>
        <v>36877.5</v>
      </c>
      <c r="D17" s="19">
        <f t="shared" si="0"/>
        <v>53856.5</v>
      </c>
      <c r="E17" s="19">
        <f>E10+E13+E14+E15+E16</f>
        <v>3298</v>
      </c>
      <c r="F17" s="19">
        <f t="shared" si="1"/>
        <v>9347</v>
      </c>
      <c r="G17" s="19">
        <f>G10+G13+G14+G15+G16</f>
        <v>12645</v>
      </c>
      <c r="H17" s="1"/>
      <c r="I17" s="1"/>
    </row>
    <row r="18" spans="1:9" x14ac:dyDescent="0.2">
      <c r="A18" s="24" t="s">
        <v>267</v>
      </c>
      <c r="B18" s="19">
        <f>B7-B17</f>
        <v>-693</v>
      </c>
      <c r="C18" s="36">
        <f>C7-C17</f>
        <v>1622.5</v>
      </c>
      <c r="D18" s="19">
        <f t="shared" si="0"/>
        <v>929.5</v>
      </c>
      <c r="E18" s="19">
        <f>E7-E17</f>
        <v>-2135</v>
      </c>
      <c r="F18" s="19">
        <f t="shared" si="1"/>
        <v>-5925</v>
      </c>
      <c r="G18" s="19">
        <f>G7-G17</f>
        <v>-8060</v>
      </c>
      <c r="H18" s="1"/>
      <c r="I18" s="1"/>
    </row>
    <row r="19" spans="1:9" x14ac:dyDescent="0.2">
      <c r="A19" s="42" t="s">
        <v>542</v>
      </c>
      <c r="B19" s="7">
        <f>CF_Hist!F11</f>
        <v>97</v>
      </c>
      <c r="C19" s="31">
        <f>(BS_Hist!D15+0.5*Assumptions!$C$23)/Assumptions!$C$34*0.5</f>
        <v>193.7</v>
      </c>
      <c r="D19" s="4">
        <f t="shared" si="0"/>
        <v>290.7</v>
      </c>
      <c r="E19" s="7">
        <f>CF_Hist!E11</f>
        <v>14</v>
      </c>
      <c r="F19" s="4">
        <f t="shared" si="1"/>
        <v>26</v>
      </c>
      <c r="G19" s="7">
        <f>CF_Hist!D11</f>
        <v>40</v>
      </c>
      <c r="H19" s="1"/>
      <c r="I19" s="1" t="s">
        <v>543</v>
      </c>
    </row>
    <row r="20" spans="1:9" x14ac:dyDescent="0.2">
      <c r="A20" s="42" t="s">
        <v>544</v>
      </c>
      <c r="B20" s="7">
        <f>Revenue_Hist!F37</f>
        <v>126</v>
      </c>
      <c r="C20" s="75">
        <v>0</v>
      </c>
      <c r="D20" s="4">
        <f t="shared" si="0"/>
        <v>126</v>
      </c>
      <c r="E20" s="7">
        <f>Revenue_Hist!E37</f>
        <v>0</v>
      </c>
      <c r="F20" s="4">
        <f t="shared" si="1"/>
        <v>541</v>
      </c>
      <c r="G20" s="7">
        <f>Revenue_Hist!D37</f>
        <v>541</v>
      </c>
      <c r="H20" s="1"/>
      <c r="I20" s="1"/>
    </row>
    <row r="21" spans="1:9" x14ac:dyDescent="0.2">
      <c r="A21" s="42" t="s">
        <v>545</v>
      </c>
      <c r="B21" s="4">
        <f>B18+B11+B20+B14</f>
        <v>1618</v>
      </c>
      <c r="C21" s="31">
        <f>C18+C11+C20+C14</f>
        <v>7122.5</v>
      </c>
      <c r="D21" s="4">
        <f t="shared" si="0"/>
        <v>8740.5</v>
      </c>
      <c r="E21" s="4">
        <f>E18+E11+E20+E14</f>
        <v>-1856</v>
      </c>
      <c r="F21" s="4">
        <f t="shared" si="1"/>
        <v>-3005</v>
      </c>
      <c r="G21" s="4">
        <f>G18+G11+G20+G14</f>
        <v>-4861</v>
      </c>
      <c r="H21" s="1"/>
      <c r="I21" s="1"/>
    </row>
    <row r="22" spans="1:9" x14ac:dyDescent="0.2">
      <c r="A22" s="3" t="s">
        <v>91</v>
      </c>
      <c r="B22" s="7">
        <f>IS_Hist!F16</f>
        <v>1111</v>
      </c>
      <c r="C22" s="31">
        <f>Assumptions!$C$26*B44*0.5</f>
        <v>2303.8925000000004</v>
      </c>
      <c r="D22" s="4">
        <f t="shared" si="0"/>
        <v>3414.8925000000004</v>
      </c>
      <c r="E22" s="7">
        <f>IS_Hist!E16</f>
        <v>115</v>
      </c>
      <c r="F22" s="4">
        <f t="shared" si="1"/>
        <v>316</v>
      </c>
      <c r="G22" s="7">
        <f>IS_Hist!D16</f>
        <v>431</v>
      </c>
      <c r="H22" s="1"/>
      <c r="I22" s="1"/>
    </row>
    <row r="23" spans="1:9" x14ac:dyDescent="0.2">
      <c r="A23" s="3" t="s">
        <v>546</v>
      </c>
      <c r="B23" s="4">
        <f>IS_Hist!F17+IS_Hist!F18</f>
        <v>-81145</v>
      </c>
      <c r="C23" s="13">
        <f>Assumptions!$C$24</f>
        <v>0</v>
      </c>
      <c r="D23" s="4">
        <f t="shared" si="0"/>
        <v>-81145</v>
      </c>
      <c r="E23" s="4">
        <f>IS_Hist!E17+IS_Hist!E18</f>
        <v>-10942</v>
      </c>
      <c r="F23" s="4">
        <f t="shared" si="1"/>
        <v>-23374</v>
      </c>
      <c r="G23" s="4">
        <f>IS_Hist!D17+IS_Hist!D18</f>
        <v>-34316</v>
      </c>
      <c r="H23" s="1"/>
      <c r="I23" s="1"/>
    </row>
    <row r="24" spans="1:9" x14ac:dyDescent="0.2">
      <c r="A24" s="24" t="s">
        <v>547</v>
      </c>
      <c r="B24" s="19">
        <f>B18+B22+B23</f>
        <v>-80727</v>
      </c>
      <c r="C24" s="36">
        <f>C18+C22+C23</f>
        <v>3926.3925000000004</v>
      </c>
      <c r="D24" s="19">
        <f t="shared" si="0"/>
        <v>-76800.607499999998</v>
      </c>
      <c r="E24" s="19">
        <f>E18+E22+E23</f>
        <v>-12962</v>
      </c>
      <c r="F24" s="19">
        <f t="shared" si="1"/>
        <v>-28983</v>
      </c>
      <c r="G24" s="19">
        <f>G18+G22+G23</f>
        <v>-41945</v>
      </c>
      <c r="H24" s="1"/>
      <c r="I24" s="1"/>
    </row>
    <row r="25" spans="1:9" x14ac:dyDescent="0.2">
      <c r="A25" s="3" t="s">
        <v>96</v>
      </c>
      <c r="B25" s="7">
        <f>IS_Hist!F21</f>
        <v>21</v>
      </c>
      <c r="C25" s="31">
        <f>MAX(0,Schedules!C20-B25)</f>
        <v>161.46448499999994</v>
      </c>
      <c r="D25" s="4">
        <f t="shared" si="0"/>
        <v>182.46448499999994</v>
      </c>
      <c r="E25" s="7">
        <f>IS_Hist!E21</f>
        <v>7</v>
      </c>
      <c r="F25" s="4">
        <f t="shared" si="1"/>
        <v>13</v>
      </c>
      <c r="G25" s="7">
        <f>IS_Hist!D21</f>
        <v>20</v>
      </c>
      <c r="H25" s="1"/>
      <c r="I25" s="1" t="s">
        <v>548</v>
      </c>
    </row>
    <row r="26" spans="1:9" x14ac:dyDescent="0.2">
      <c r="A26" s="27" t="s">
        <v>549</v>
      </c>
      <c r="B26" s="23">
        <f>B24-B25</f>
        <v>-80748</v>
      </c>
      <c r="C26" s="62">
        <f>C24-C25</f>
        <v>3764.9280150000004</v>
      </c>
      <c r="D26" s="23">
        <f t="shared" si="0"/>
        <v>-76983.071985000002</v>
      </c>
      <c r="E26" s="23">
        <f>E24-E25</f>
        <v>-12969</v>
      </c>
      <c r="F26" s="23">
        <f t="shared" si="1"/>
        <v>-28996</v>
      </c>
      <c r="G26" s="23">
        <f>G24-G25</f>
        <v>-41965</v>
      </c>
      <c r="H26" s="1"/>
      <c r="I26" s="1"/>
    </row>
    <row r="27" spans="1:9" x14ac:dyDescent="0.2">
      <c r="A27" s="1"/>
      <c r="B27" s="1"/>
      <c r="C27" s="39"/>
      <c r="D27" s="1"/>
      <c r="E27" s="1"/>
      <c r="F27" s="1"/>
      <c r="G27" s="1"/>
      <c r="H27" s="1"/>
      <c r="I27" s="1"/>
    </row>
    <row r="28" spans="1:9" x14ac:dyDescent="0.2">
      <c r="A28" s="24" t="s">
        <v>550</v>
      </c>
      <c r="B28" s="1"/>
      <c r="C28" s="39"/>
      <c r="D28" s="1"/>
      <c r="E28" s="1"/>
      <c r="F28" s="1"/>
      <c r="G28" s="1"/>
      <c r="H28" s="1"/>
      <c r="I28" s="1"/>
    </row>
    <row r="29" spans="1:9" x14ac:dyDescent="0.2">
      <c r="A29" s="3" t="s">
        <v>549</v>
      </c>
      <c r="B29" s="7">
        <f>CF_Hist!F7</f>
        <v>-80748</v>
      </c>
      <c r="C29" s="31">
        <f>C26</f>
        <v>3764.9280150000004</v>
      </c>
      <c r="D29" s="4">
        <f t="shared" si="2" ref="D29:D39">B29+C29</f>
        <v>-76983.071985000002</v>
      </c>
      <c r="E29" s="1"/>
      <c r="F29" s="1"/>
      <c r="G29" s="1"/>
      <c r="H29" s="1"/>
      <c r="I29" s="1"/>
    </row>
    <row r="30" spans="1:9" x14ac:dyDescent="0.2">
      <c r="A30" s="3" t="s">
        <v>169</v>
      </c>
      <c r="B30" s="7">
        <f>CF_Hist!F11</f>
        <v>97</v>
      </c>
      <c r="C30" s="31">
        <f>C19</f>
        <v>193.7</v>
      </c>
      <c r="D30" s="4">
        <f t="shared" si="2"/>
        <v>290.7</v>
      </c>
      <c r="E30" s="1"/>
      <c r="F30" s="1"/>
      <c r="G30" s="1"/>
      <c r="H30" s="1"/>
      <c r="I30" s="1"/>
    </row>
    <row r="31" spans="1:9" x14ac:dyDescent="0.2">
      <c r="A31" s="3" t="s">
        <v>551</v>
      </c>
      <c r="B31" s="7">
        <f>CF_Hist!F10</f>
        <v>2185</v>
      </c>
      <c r="C31" s="31">
        <f>C11</f>
        <v>5500</v>
      </c>
      <c r="D31" s="4">
        <f t="shared" si="2"/>
        <v>7685</v>
      </c>
      <c r="E31" s="1"/>
      <c r="F31" s="1"/>
      <c r="G31" s="1"/>
      <c r="H31" s="1"/>
      <c r="I31" s="1"/>
    </row>
    <row r="32" spans="1:9" x14ac:dyDescent="0.2">
      <c r="A32" s="3" t="s">
        <v>552</v>
      </c>
      <c r="B32" s="4">
        <f>CF_Hist!F12+CF_Hist!F13+CF_Hist!F14+CF_Hist!F15</f>
        <v>81227</v>
      </c>
      <c r="C32" s="31">
        <f>-C23</f>
        <v>0</v>
      </c>
      <c r="D32" s="4">
        <f t="shared" si="2"/>
        <v>81227</v>
      </c>
      <c r="E32" s="1"/>
      <c r="F32" s="1"/>
      <c r="G32" s="1"/>
      <c r="H32" s="1"/>
      <c r="I32" s="1"/>
    </row>
    <row r="33" spans="1:9" x14ac:dyDescent="0.2">
      <c r="A33" s="3" t="s">
        <v>553</v>
      </c>
      <c r="B33" s="4">
        <f>CF_Hist!F18+CF_Hist!F19+CF_Hist!F20+CF_Hist!F21+CF_Hist!F22</f>
        <v>1168</v>
      </c>
      <c r="C33" s="31">
        <f>-(D45-B45)-(D46-B46)+(D50-B50)+(D51-B51)</f>
        <v>-228.46999999999935</v>
      </c>
      <c r="D33" s="4">
        <f t="shared" si="2"/>
        <v>939.53000000000065</v>
      </c>
      <c r="E33" s="1"/>
      <c r="F33" s="1"/>
      <c r="G33" s="1"/>
      <c r="H33" s="1"/>
      <c r="I33" s="1"/>
    </row>
    <row r="34" spans="1:9" x14ac:dyDescent="0.2">
      <c r="A34" s="24" t="s">
        <v>197</v>
      </c>
      <c r="B34" s="19">
        <f>B29+B30+B31+B32+B33</f>
        <v>3929</v>
      </c>
      <c r="C34" s="36">
        <f>C29+C30+C31+C32+C33</f>
        <v>9230.1580150000009</v>
      </c>
      <c r="D34" s="19">
        <f t="shared" si="2"/>
        <v>13159.158015000001</v>
      </c>
      <c r="E34" s="1"/>
      <c r="F34" s="1"/>
      <c r="G34" s="1"/>
      <c r="H34" s="1"/>
      <c r="I34" s="1"/>
    </row>
    <row r="35" spans="1:9" x14ac:dyDescent="0.2">
      <c r="A35" s="3" t="s">
        <v>554</v>
      </c>
      <c r="B35" s="7">
        <f>CF_Hist!F26</f>
        <v>-482</v>
      </c>
      <c r="C35" s="31">
        <f>-Assumptions!$C$23</f>
        <v>-1500</v>
      </c>
      <c r="D35" s="4">
        <f t="shared" si="2"/>
        <v>-1982</v>
      </c>
      <c r="E35" s="1"/>
      <c r="F35" s="1"/>
      <c r="G35" s="1"/>
      <c r="H35" s="1"/>
      <c r="I35" s="1"/>
    </row>
    <row r="36" spans="1:9" x14ac:dyDescent="0.2">
      <c r="A36" s="3" t="s">
        <v>555</v>
      </c>
      <c r="B36" s="7">
        <f>CF_Hist!F29</f>
        <v>-337</v>
      </c>
      <c r="C36" s="75">
        <v>0</v>
      </c>
      <c r="D36" s="4">
        <f t="shared" si="2"/>
        <v>-337</v>
      </c>
      <c r="E36" s="1"/>
      <c r="F36" s="1"/>
      <c r="G36" s="1"/>
      <c r="H36" s="1"/>
      <c r="I36" s="1"/>
    </row>
    <row r="37" spans="1:9" x14ac:dyDescent="0.2">
      <c r="A37" s="3" t="s">
        <v>198</v>
      </c>
      <c r="B37" s="7">
        <f>CF_Hist!F40</f>
        <v>110774</v>
      </c>
      <c r="C37" s="13">
        <f>Assumptions!$C$25</f>
        <v>0</v>
      </c>
      <c r="D37" s="4">
        <f t="shared" si="2"/>
        <v>110774</v>
      </c>
      <c r="E37" s="1"/>
      <c r="F37" s="1"/>
      <c r="G37" s="1"/>
      <c r="H37" s="1"/>
      <c r="I37" s="1" t="s">
        <v>556</v>
      </c>
    </row>
    <row r="38" spans="1:9" x14ac:dyDescent="0.2">
      <c r="A38" s="3" t="s">
        <v>557</v>
      </c>
      <c r="B38" s="4">
        <f>B44-B40-(B34+B35+B36+B37)</f>
        <v>-2510</v>
      </c>
      <c r="C38" s="75">
        <v>0</v>
      </c>
      <c r="D38" s="4">
        <f t="shared" si="2"/>
        <v>-2510</v>
      </c>
      <c r="E38" s="1"/>
      <c r="F38" s="1"/>
      <c r="G38" s="1"/>
      <c r="H38" s="1"/>
      <c r="I38" s="1" t="s">
        <v>558</v>
      </c>
    </row>
    <row r="39" spans="1:9" x14ac:dyDescent="0.2">
      <c r="A39" s="24" t="s">
        <v>559</v>
      </c>
      <c r="B39" s="19">
        <f>B34+B35+B36+B37+B38</f>
        <v>111374</v>
      </c>
      <c r="C39" s="36">
        <f>C34+C35+C36+C37+C38</f>
        <v>7730.1580150000009</v>
      </c>
      <c r="D39" s="19">
        <f t="shared" si="2"/>
        <v>119104.15801499999</v>
      </c>
      <c r="E39" s="1"/>
      <c r="F39" s="1"/>
      <c r="G39" s="1"/>
      <c r="H39" s="1"/>
      <c r="I39" s="1"/>
    </row>
    <row r="40" spans="1:9" x14ac:dyDescent="0.2">
      <c r="A40" s="3" t="s">
        <v>560</v>
      </c>
      <c r="B40" s="7">
        <f>BS_Hist!C45</f>
        <v>20277</v>
      </c>
      <c r="C40" s="31">
        <f>B44</f>
        <v>131651</v>
      </c>
      <c r="D40" s="4">
        <f>B40</f>
        <v>20277</v>
      </c>
      <c r="E40" s="1"/>
      <c r="F40" s="1"/>
      <c r="G40" s="1"/>
      <c r="H40" s="1"/>
      <c r="I40" s="1"/>
    </row>
    <row r="41" spans="1:9" x14ac:dyDescent="0.2">
      <c r="A41" s="24" t="s">
        <v>561</v>
      </c>
      <c r="B41" s="23">
        <f>B40+B39</f>
        <v>131651</v>
      </c>
      <c r="C41" s="62">
        <f>C40+C39</f>
        <v>139381.15801499999</v>
      </c>
      <c r="D41" s="23">
        <f>C41</f>
        <v>139381.15801499999</v>
      </c>
      <c r="E41" s="1"/>
      <c r="F41" s="1"/>
      <c r="G41" s="1"/>
      <c r="H41" s="1"/>
      <c r="I41" s="1"/>
    </row>
    <row r="42" spans="1:9" x14ac:dyDescent="0.2">
      <c r="A42" s="1"/>
      <c r="B42" s="1"/>
      <c r="C42" s="39"/>
      <c r="D42" s="1"/>
      <c r="E42" s="1"/>
      <c r="F42" s="1"/>
      <c r="G42" s="1"/>
      <c r="H42" s="1"/>
      <c r="I42" s="1"/>
    </row>
    <row r="43" spans="1:9" x14ac:dyDescent="0.2">
      <c r="A43" s="24" t="s">
        <v>562</v>
      </c>
      <c r="B43" s="1"/>
      <c r="C43" s="39"/>
      <c r="D43" s="1"/>
      <c r="E43" s="1"/>
      <c r="F43" s="1"/>
      <c r="G43" s="1"/>
      <c r="H43" s="1"/>
      <c r="I43" s="1"/>
    </row>
    <row r="44" spans="1:9" x14ac:dyDescent="0.2">
      <c r="A44" s="3" t="s">
        <v>563</v>
      </c>
      <c r="B44" s="7">
        <f>BS_Hist!D45</f>
        <v>131651</v>
      </c>
      <c r="C44" s="31"/>
      <c r="D44" s="4">
        <f>C41</f>
        <v>139381.15801499999</v>
      </c>
      <c r="E44" s="1"/>
      <c r="F44" s="1"/>
      <c r="G44" s="1"/>
      <c r="H44" s="1"/>
      <c r="I44" s="1"/>
    </row>
    <row r="45" spans="1:9" x14ac:dyDescent="0.2">
      <c r="A45" s="3" t="s">
        <v>564</v>
      </c>
      <c r="B45" s="7">
        <f>BS_Hist!D11</f>
        <v>5833</v>
      </c>
      <c r="C45" s="31"/>
      <c r="D45" s="4">
        <f>D7*Assumptions!$C$30</f>
        <v>9861.48</v>
      </c>
      <c r="E45" s="1"/>
      <c r="F45" s="1"/>
      <c r="G45" s="1"/>
      <c r="H45" s="1"/>
      <c r="I45" s="1"/>
    </row>
    <row r="46" spans="1:9" x14ac:dyDescent="0.2">
      <c r="A46" s="3" t="s">
        <v>122</v>
      </c>
      <c r="B46" s="7">
        <f>BS_Hist!D12</f>
        <v>496</v>
      </c>
      <c r="C46" s="31"/>
      <c r="D46" s="4">
        <f>D7*Assumptions!$C$31</f>
        <v>821.79</v>
      </c>
      <c r="E46" s="1"/>
      <c r="F46" s="1"/>
      <c r="G46" s="1"/>
      <c r="H46" s="1"/>
      <c r="I46" s="1"/>
    </row>
    <row r="47" spans="1:9" x14ac:dyDescent="0.2">
      <c r="A47" s="3" t="s">
        <v>125</v>
      </c>
      <c r="B47" s="7">
        <f>BS_Hist!D15</f>
        <v>1187</v>
      </c>
      <c r="C47" s="31"/>
      <c r="D47" s="4">
        <f>B47+Assumptions!$C$23-C19</f>
        <v>2493.3000000000002</v>
      </c>
      <c r="E47" s="1"/>
      <c r="F47" s="1"/>
      <c r="G47" s="1"/>
      <c r="H47" s="1"/>
      <c r="I47" s="1"/>
    </row>
    <row r="48" spans="1:9" x14ac:dyDescent="0.2">
      <c r="A48" s="3" t="s">
        <v>565</v>
      </c>
      <c r="B48" s="4">
        <f>BS_Hist!D14+BS_Hist!D16+BS_Hist!D17+BS_Hist!D18</f>
        <v>8191</v>
      </c>
      <c r="C48" s="31"/>
      <c r="D48" s="4">
        <f>B48</f>
        <v>8191</v>
      </c>
      <c r="E48" s="1"/>
      <c r="F48" s="1"/>
      <c r="G48" s="1"/>
      <c r="H48" s="1"/>
      <c r="I48" s="1" t="s">
        <v>566</v>
      </c>
    </row>
    <row r="49" spans="1:9" x14ac:dyDescent="0.2">
      <c r="A49" s="24" t="s">
        <v>129</v>
      </c>
      <c r="B49" s="19">
        <f>B44+B45+B46+B47+B48</f>
        <v>147358</v>
      </c>
      <c r="C49" s="36"/>
      <c r="D49" s="19">
        <f>D44+D45+D46+D47+D48</f>
        <v>160748.728015</v>
      </c>
      <c r="E49" s="1"/>
      <c r="F49" s="1"/>
      <c r="G49" s="1"/>
      <c r="H49" s="1"/>
      <c r="I49" s="1"/>
    </row>
    <row r="50" spans="1:9" x14ac:dyDescent="0.2">
      <c r="A50" s="3" t="s">
        <v>567</v>
      </c>
      <c r="B50" s="7">
        <f>BS_Hist!D23</f>
        <v>5422</v>
      </c>
      <c r="C50" s="31"/>
      <c r="D50" s="4">
        <f>D10*Assumptions!$C$33</f>
        <v>8458.5</v>
      </c>
      <c r="E50" s="1"/>
      <c r="F50" s="1"/>
      <c r="G50" s="1"/>
      <c r="H50" s="1"/>
      <c r="I50" s="1"/>
    </row>
    <row r="51" spans="1:9" x14ac:dyDescent="0.2">
      <c r="A51" s="3" t="s">
        <v>134</v>
      </c>
      <c r="B51" s="7">
        <f>BS_Hist!D25</f>
        <v>1650</v>
      </c>
      <c r="C51" s="31"/>
      <c r="D51" s="4">
        <f>D7*Assumptions!$C$32</f>
        <v>2739.3</v>
      </c>
      <c r="E51" s="1"/>
      <c r="F51" s="1"/>
      <c r="G51" s="1"/>
      <c r="H51" s="1"/>
      <c r="I51" s="1"/>
    </row>
    <row r="52" spans="1:9" x14ac:dyDescent="0.2">
      <c r="A52" s="3" t="s">
        <v>568</v>
      </c>
      <c r="B52" s="4">
        <f>BS_Hist!D24+BS_Hist!D27+BS_Hist!D29</f>
        <v>1829</v>
      </c>
      <c r="C52" s="31"/>
      <c r="D52" s="4">
        <f>B52</f>
        <v>1829</v>
      </c>
      <c r="E52" s="1"/>
      <c r="F52" s="1"/>
      <c r="G52" s="1"/>
      <c r="H52" s="1"/>
      <c r="I52" s="1" t="s">
        <v>566</v>
      </c>
    </row>
    <row r="53" spans="1:9" x14ac:dyDescent="0.2">
      <c r="A53" s="3" t="s">
        <v>137</v>
      </c>
      <c r="B53" s="7">
        <f>BS_Hist!D28</f>
        <v>108566</v>
      </c>
      <c r="C53" s="31"/>
      <c r="D53" s="5">
        <v>0</v>
      </c>
      <c r="E53" s="1"/>
      <c r="F53" s="1"/>
      <c r="G53" s="1"/>
      <c r="H53" s="1"/>
      <c r="I53" s="1" t="s">
        <v>569</v>
      </c>
    </row>
    <row r="54" spans="1:9" x14ac:dyDescent="0.2">
      <c r="A54" s="24" t="s">
        <v>139</v>
      </c>
      <c r="B54" s="19">
        <f>B50+B51+B52+B53</f>
        <v>117467</v>
      </c>
      <c r="C54" s="36"/>
      <c r="D54" s="19">
        <f>D50+D51+D52+D53</f>
        <v>13026.8</v>
      </c>
      <c r="E54" s="1"/>
      <c r="F54" s="1"/>
      <c r="G54" s="1"/>
      <c r="H54" s="1"/>
      <c r="I54" s="1"/>
    </row>
    <row r="55" spans="1:9" x14ac:dyDescent="0.2">
      <c r="A55" s="3" t="s">
        <v>141</v>
      </c>
      <c r="B55" s="7">
        <f>BS_Hist!D32</f>
        <v>157510</v>
      </c>
      <c r="C55" s="31"/>
      <c r="D55" s="5">
        <v>0</v>
      </c>
      <c r="E55" s="1"/>
      <c r="F55" s="1"/>
      <c r="G55" s="1"/>
      <c r="H55" s="1"/>
      <c r="I55" s="1" t="s">
        <v>570</v>
      </c>
    </row>
    <row r="56" spans="1:9" x14ac:dyDescent="0.2">
      <c r="A56" s="3" t="s">
        <v>571</v>
      </c>
      <c r="B56" s="7">
        <f>BS_Hist!D41</f>
        <v>-127619</v>
      </c>
      <c r="C56" s="31"/>
      <c r="D56" s="4">
        <f>B56+C26+C11+(B53-C23)+B55+C37</f>
        <v>147721.92801500001</v>
      </c>
      <c r="E56" s="1"/>
      <c r="F56" s="1"/>
      <c r="G56" s="1"/>
      <c r="H56" s="1"/>
      <c r="I56" s="1" t="s">
        <v>572</v>
      </c>
    </row>
    <row r="57" spans="1:9" x14ac:dyDescent="0.2">
      <c r="A57" s="24" t="s">
        <v>573</v>
      </c>
      <c r="B57" s="23">
        <f>B54+B55+B56</f>
        <v>147358</v>
      </c>
      <c r="C57" s="62"/>
      <c r="D57" s="23">
        <f>D54+D55+D56</f>
        <v>160748.728015</v>
      </c>
      <c r="E57" s="1"/>
      <c r="F57" s="1"/>
      <c r="G57" s="1"/>
      <c r="H57" s="1"/>
      <c r="I57" s="1"/>
    </row>
    <row r="58" spans="1:9" x14ac:dyDescent="0.2">
      <c r="A58" s="1"/>
      <c r="B58" s="1"/>
      <c r="C58" s="39"/>
      <c r="D58" s="1"/>
      <c r="E58" s="1"/>
      <c r="F58" s="1"/>
      <c r="G58" s="1"/>
      <c r="H58" s="1"/>
      <c r="I58" s="1"/>
    </row>
    <row r="59" spans="1:9" x14ac:dyDescent="0.2">
      <c r="A59" s="24" t="s">
        <v>247</v>
      </c>
      <c r="B59" s="1"/>
      <c r="C59" s="39"/>
      <c r="D59" s="1"/>
      <c r="E59" s="1"/>
      <c r="F59" s="1"/>
      <c r="G59" s="1"/>
      <c r="H59" s="1"/>
      <c r="I59" s="1"/>
    </row>
    <row r="60" spans="1:9" x14ac:dyDescent="0.2">
      <c r="A60" s="3" t="s">
        <v>574</v>
      </c>
      <c r="B60" s="10">
        <f>B49-B57</f>
        <v>0</v>
      </c>
      <c r="C60" s="68"/>
      <c r="D60" s="10">
        <f>D49-D57</f>
        <v>0</v>
      </c>
      <c r="E60" s="1"/>
      <c r="F60" s="1"/>
      <c r="G60" s="1"/>
      <c r="H60" s="1"/>
      <c r="I60" s="1"/>
    </row>
    <row r="61" spans="1:9" x14ac:dyDescent="0.2">
      <c r="A61" s="72">
        <v>46203</v>
      </c>
      <c r="B61" s="10">
        <f>B49-BS_Hist!D19</f>
        <v>0</v>
      </c>
      <c r="C61" s="39"/>
      <c r="D61" s="1"/>
      <c r="E61" s="1"/>
      <c r="F61" s="1"/>
      <c r="G61" s="1"/>
      <c r="H61" s="1"/>
      <c r="I61" s="1"/>
    </row>
    <row r="62" spans="1:9" x14ac:dyDescent="0.2">
      <c r="A62" s="3" t="s">
        <v>575</v>
      </c>
      <c r="B62" s="10">
        <f>B34-CF_Hist!F23</f>
        <v>0</v>
      </c>
      <c r="C62" s="39"/>
      <c r="D62" s="1"/>
      <c r="E62" s="1"/>
      <c r="F62" s="1"/>
      <c r="G62" s="1"/>
      <c r="H62" s="1"/>
      <c r="I62" s="1"/>
    </row>
    <row r="63" spans="1:9" x14ac:dyDescent="0.2">
      <c r="A63" s="3" t="s">
        <v>576</v>
      </c>
      <c r="B63" s="10">
        <f>B26-IS_Hist!F22</f>
        <v>0</v>
      </c>
      <c r="C63" s="39"/>
      <c r="D63" s="1"/>
      <c r="E63" s="1"/>
      <c r="F63" s="1"/>
      <c r="G63" s="1"/>
      <c r="H63" s="1"/>
      <c r="I63" s="1"/>
    </row>
    <row r="64" spans="1:9" x14ac:dyDescent="0.2">
      <c r="A64" s="3" t="s">
        <v>577</v>
      </c>
      <c r="B64" s="1"/>
      <c r="C64" s="39"/>
      <c r="D64" s="1"/>
      <c r="E64" s="10">
        <f>E26-IS_Hist!E22</f>
        <v>0</v>
      </c>
      <c r="F64" s="10"/>
      <c r="G64" s="10">
        <f>G26-IS_Hist!D22</f>
        <v>0</v>
      </c>
      <c r="H64" s="1"/>
      <c r="I6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A2331"/>
  </sheetPr>
  <dimension ref="A1:N39"/>
  <sheetViews>
    <sheetView showGridLines="0" workbookViewId="0"/>
  </sheetViews>
  <sheetFormatPr baseColWidth="10" defaultColWidth="8.33203125" defaultRowHeight="15" x14ac:dyDescent="0.2"/>
  <cols>
    <col min="1" max="1" width="92.6640625" customWidth="1"/>
    <col min="2" max="12" width="11.33203125" customWidth="1"/>
    <col min="13" max="13" width="17.6640625" customWidth="1"/>
    <col min="14" max="14" width="86" customWidth="1"/>
  </cols>
  <sheetData>
    <row r="1" spans="1:14" x14ac:dyDescent="0.2">
      <c r="A1" s="38" t="s">
        <v>578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579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 t="s">
        <v>447</v>
      </c>
      <c r="C3" s="39" t="s">
        <v>448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76</v>
      </c>
      <c r="C4" s="63" t="s">
        <v>449</v>
      </c>
      <c r="D4" s="33" t="s">
        <v>450</v>
      </c>
      <c r="E4" s="33" t="s">
        <v>451</v>
      </c>
      <c r="F4" s="33" t="s">
        <v>452</v>
      </c>
      <c r="G4" s="33" t="s">
        <v>453</v>
      </c>
      <c r="H4" s="33" t="s">
        <v>454</v>
      </c>
      <c r="I4" s="33" t="s">
        <v>455</v>
      </c>
      <c r="J4" s="33" t="s">
        <v>456</v>
      </c>
      <c r="K4" s="33" t="s">
        <v>457</v>
      </c>
      <c r="L4" s="33" t="s">
        <v>458</v>
      </c>
      <c r="M4" s="12" t="s">
        <v>79</v>
      </c>
      <c r="N4" s="12" t="s">
        <v>80</v>
      </c>
    </row>
    <row r="5" spans="1:14" x14ac:dyDescent="0.2">
      <c r="A5" s="1"/>
      <c r="B5" s="1"/>
      <c r="C5" s="39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580</v>
      </c>
      <c r="B6" s="1"/>
      <c r="C6" s="39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3" t="s">
        <v>554</v>
      </c>
      <c r="B7" s="4">
        <f>-CF_Hist!D26</f>
        <v>131</v>
      </c>
      <c r="C7" s="31">
        <f>-CF_Hist!F26+Assumptions!$C$23</f>
        <v>1982</v>
      </c>
      <c r="D7" s="4">
        <f>Forecast_3Stmt!D7*Assumptions!D74</f>
        <v>6903.0360000000001</v>
      </c>
      <c r="E7" s="4">
        <f>Forecast_3Stmt!E7*Assumptions!E74</f>
        <v>14726.476800000002</v>
      </c>
      <c r="F7" s="4">
        <f>Forecast_3Stmt!F7*Assumptions!F74</f>
        <v>20322.537983999999</v>
      </c>
      <c r="G7" s="4">
        <f>Forecast_3Stmt!G7*Assumptions!G74</f>
        <v>22583.420334720002</v>
      </c>
      <c r="H7" s="4">
        <f>Forecast_3Stmt!H7*Assumptions!H74</f>
        <v>23228.660915711996</v>
      </c>
      <c r="I7" s="4">
        <f>Forecast_3Stmt!I7*Assumptions!I74</f>
        <v>26712.960053068793</v>
      </c>
      <c r="J7" s="4">
        <f>Forecast_3Stmt!J7*Assumptions!J74</f>
        <v>24932.096049530879</v>
      </c>
      <c r="K7" s="4">
        <f>Forecast_3Stmt!K7*Assumptions!K74</f>
        <v>27425.305654483971</v>
      </c>
      <c r="L7" s="4">
        <f>Forecast_3Stmt!L7*Assumptions!L74</f>
        <v>29619.330106842688</v>
      </c>
      <c r="M7" s="1"/>
      <c r="N7" s="1"/>
    </row>
    <row r="8" spans="1:14" x14ac:dyDescent="0.2">
      <c r="A8" s="40" t="s">
        <v>581</v>
      </c>
      <c r="B8" s="22">
        <f>B7/Forecast_3Stmt!B7</f>
        <v>2.8571428571428571E-2</v>
      </c>
      <c r="C8" s="35">
        <f>C7/Forecast_3Stmt!C7</f>
        <v>3.6177125543021937E-2</v>
      </c>
      <c r="D8" s="22">
        <f>D7/Forecast_3Stmt!D7</f>
        <v>0.06</v>
      </c>
      <c r="E8" s="22">
        <f>E7/Forecast_3Stmt!E7</f>
        <v>0.08</v>
      </c>
      <c r="F8" s="22">
        <f>F7/Forecast_3Stmt!F7</f>
        <v>0.08</v>
      </c>
      <c r="G8" s="22">
        <f>G7/Forecast_3Stmt!G7</f>
        <v>7.0000000000000007E-2</v>
      </c>
      <c r="H8" s="22">
        <f>H7/Forecast_3Stmt!H7</f>
        <v>6.0000000000000005E-2</v>
      </c>
      <c r="I8" s="22">
        <f>I7/Forecast_3Stmt!I7</f>
        <v>0.06</v>
      </c>
      <c r="J8" s="22">
        <f>J7/Forecast_3Stmt!J7</f>
        <v>0.05</v>
      </c>
      <c r="K8" s="22">
        <f>K7/Forecast_3Stmt!K7</f>
        <v>0.05</v>
      </c>
      <c r="L8" s="22">
        <f>L7/Forecast_3Stmt!L7</f>
        <v>0.05</v>
      </c>
      <c r="M8" s="1"/>
      <c r="N8" s="1"/>
    </row>
    <row r="9" spans="1:14" x14ac:dyDescent="0.2">
      <c r="A9" s="3" t="s">
        <v>582</v>
      </c>
      <c r="B9" s="4"/>
      <c r="C9" s="31">
        <f t="shared" si="0" ref="C9:L9">B12</f>
        <v>146</v>
      </c>
      <c r="D9" s="4">
        <f t="shared" si="0"/>
        <v>2493.3000000000002</v>
      </c>
      <c r="E9" s="4">
        <f t="shared" si="0"/>
        <v>8207.3724000000002</v>
      </c>
      <c r="F9" s="4">
        <f t="shared" si="0"/>
        <v>19819.727040000005</v>
      </c>
      <c r="G9" s="4">
        <f t="shared" si="0"/>
        <v>34146.065817600007</v>
      </c>
      <c r="H9" s="4">
        <f t="shared" si="0"/>
        <v>47641.930955328004</v>
      </c>
      <c r="I9" s="4">
        <f t="shared" si="0"/>
        <v>59019.3395884032</v>
      </c>
      <c r="J9" s="4">
        <f t="shared" si="0"/>
        <v>71257.135718484482</v>
      </c>
      <c r="K9" s="4">
        <f t="shared" si="0"/>
        <v>79444.595019365384</v>
      </c>
      <c r="L9" s="4">
        <f t="shared" si="0"/>
        <v>88238.451104527892</v>
      </c>
      <c r="M9" s="1"/>
      <c r="N9" s="1"/>
    </row>
    <row r="10" spans="1:14" x14ac:dyDescent="0.2">
      <c r="A10" s="3" t="s">
        <v>169</v>
      </c>
      <c r="B10" s="7">
        <f>CF_Hist!D11</f>
        <v>40</v>
      </c>
      <c r="C10" s="13">
        <f>Interim_Bridge!D19</f>
        <v>290.7</v>
      </c>
      <c r="D10" s="4">
        <f>(D9+0.5*D7)/Assumptions!$C$34</f>
        <v>1188.9636</v>
      </c>
      <c r="E10" s="4">
        <f>(E9+0.5*E7)/Assumptions!$C$34</f>
        <v>3114.1221600000003</v>
      </c>
      <c r="F10" s="4">
        <f>(F9+0.5*F7)/Assumptions!$C$34</f>
        <v>5996.1992064000005</v>
      </c>
      <c r="G10" s="4">
        <f>(G9+0.5*G7)/Assumptions!$C$34</f>
        <v>9087.5551969920016</v>
      </c>
      <c r="H10" s="4">
        <f>(H9+0.5*H7)/Assumptions!$C$34</f>
        <v>11851.2522826368</v>
      </c>
      <c r="I10" s="4">
        <f>(I9+0.5*I7)/Assumptions!$C$34</f>
        <v>14475.16392298752</v>
      </c>
      <c r="J10" s="4">
        <f>(J9+0.5*J7)/Assumptions!$C$34</f>
        <v>16744.636748649984</v>
      </c>
      <c r="K10" s="4">
        <f>(K9+0.5*K7)/Assumptions!$C$34</f>
        <v>18631.449569321474</v>
      </c>
      <c r="L10" s="4">
        <f>(L9+0.5*L7)/Assumptions!$C$34</f>
        <v>20609.623231589845</v>
      </c>
      <c r="M10" s="1"/>
      <c r="N10" s="1" t="s">
        <v>583</v>
      </c>
    </row>
    <row r="11" spans="1:14" x14ac:dyDescent="0.2">
      <c r="A11" s="3" t="s">
        <v>584</v>
      </c>
      <c r="B11" s="4"/>
      <c r="C11" s="31">
        <f>C12-C9-C7+C10</f>
        <v>656.00000000000023</v>
      </c>
      <c r="D11" s="4">
        <f>0</f>
        <v>0</v>
      </c>
      <c r="E11" s="4">
        <f>0</f>
        <v>0</v>
      </c>
      <c r="F11" s="4">
        <f>0</f>
        <v>0</v>
      </c>
      <c r="G11" s="4">
        <f>0</f>
        <v>0</v>
      </c>
      <c r="H11" s="4">
        <f>0</f>
        <v>0</v>
      </c>
      <c r="I11" s="4">
        <f>0</f>
        <v>0</v>
      </c>
      <c r="J11" s="4">
        <f>0</f>
        <v>0</v>
      </c>
      <c r="K11" s="4">
        <f>0</f>
        <v>0</v>
      </c>
      <c r="L11" s="4">
        <f>0</f>
        <v>0</v>
      </c>
      <c r="M11" s="1"/>
      <c r="N11" s="1" t="s">
        <v>585</v>
      </c>
    </row>
    <row r="12" spans="1:14" x14ac:dyDescent="0.2">
      <c r="A12" s="24" t="s">
        <v>586</v>
      </c>
      <c r="B12" s="66">
        <f>BS_Hist!C15</f>
        <v>146</v>
      </c>
      <c r="C12" s="55">
        <f>Interim_Bridge!D47</f>
        <v>2493.3000000000002</v>
      </c>
      <c r="D12" s="19">
        <f t="shared" si="1" ref="D12:L12">D9+D7+D11-D10</f>
        <v>8207.3724000000002</v>
      </c>
      <c r="E12" s="19">
        <f t="shared" si="1"/>
        <v>19819.727040000005</v>
      </c>
      <c r="F12" s="19">
        <f t="shared" si="1"/>
        <v>34146.065817600007</v>
      </c>
      <c r="G12" s="19">
        <f t="shared" si="1"/>
        <v>47641.930955328004</v>
      </c>
      <c r="H12" s="19">
        <f t="shared" si="1"/>
        <v>59019.3395884032</v>
      </c>
      <c r="I12" s="19">
        <f t="shared" si="1"/>
        <v>71257.135718484482</v>
      </c>
      <c r="J12" s="19">
        <f t="shared" si="1"/>
        <v>79444.595019365384</v>
      </c>
      <c r="K12" s="19">
        <f t="shared" si="1"/>
        <v>88238.451104527892</v>
      </c>
      <c r="L12" s="19">
        <f t="shared" si="1"/>
        <v>97248.157979780721</v>
      </c>
      <c r="M12" s="1"/>
      <c r="N12" s="1"/>
    </row>
    <row r="13" spans="1:14" x14ac:dyDescent="0.2">
      <c r="A13" s="1"/>
      <c r="B13" s="1"/>
      <c r="C13" s="3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24" t="s">
        <v>587</v>
      </c>
      <c r="B14" s="1"/>
      <c r="C14" s="3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3" t="s">
        <v>588</v>
      </c>
      <c r="B15" s="4"/>
      <c r="C15" s="31">
        <f>Forecast_3Stmt!C17+Forecast_3Stmt!C19</f>
        <v>4344.3924999999999</v>
      </c>
      <c r="D15" s="4">
        <f>Forecast_3Stmt!D17+Forecast_3Stmt!D19</f>
        <v>18109.159530524987</v>
      </c>
      <c r="E15" s="4">
        <f>Forecast_3Stmt!E17+Forecast_3Stmt!E19</f>
        <v>39683.546234643996</v>
      </c>
      <c r="F15" s="4">
        <f>Forecast_3Stmt!F17+Forecast_3Stmt!F19</f>
        <v>69046.008851031918</v>
      </c>
      <c r="G15" s="4">
        <f>Forecast_3Stmt!G17+Forecast_3Stmt!G19</f>
        <v>102342.40359317095</v>
      </c>
      <c r="H15" s="4">
        <f>Forecast_3Stmt!H17+Forecast_3Stmt!H19</f>
        <v>139490.51471571956</v>
      </c>
      <c r="I15" s="4">
        <f>Forecast_3Stmt!I17+Forecast_3Stmt!I19</f>
        <v>176103.93753885396</v>
      </c>
      <c r="J15" s="4">
        <f>Forecast_3Stmt!J17+Forecast_3Stmt!J19</f>
        <v>207951.61127300191</v>
      </c>
      <c r="K15" s="4">
        <f>Forecast_3Stmt!K17+Forecast_3Stmt!K19</f>
        <v>241120.70398421076</v>
      </c>
      <c r="L15" s="4">
        <f>Forecast_3Stmt!L17+Forecast_3Stmt!L19</f>
        <v>265413.56317482109</v>
      </c>
      <c r="M15" s="1"/>
      <c r="N15" s="1" t="s">
        <v>589</v>
      </c>
    </row>
    <row r="16" spans="1:14" x14ac:dyDescent="0.2">
      <c r="A16" s="3" t="s">
        <v>590</v>
      </c>
      <c r="B16" s="4"/>
      <c r="C16" s="13">
        <f>Assumptions!$C$37</f>
        <v>9557.1428571428569</v>
      </c>
      <c r="D16" s="4">
        <f t="shared" si="2" ref="D16:L16">C19</f>
        <v>6081.6288571428568</v>
      </c>
      <c r="E16" s="4">
        <f t="shared" si="2"/>
        <v>0</v>
      </c>
      <c r="F16" s="4">
        <f t="shared" si="2"/>
        <v>0</v>
      </c>
      <c r="G16" s="4">
        <f t="shared" si="2"/>
        <v>0</v>
      </c>
      <c r="H16" s="4">
        <f t="shared" si="2"/>
        <v>0</v>
      </c>
      <c r="I16" s="4">
        <f t="shared" si="2"/>
        <v>0</v>
      </c>
      <c r="J16" s="4">
        <f t="shared" si="2"/>
        <v>0</v>
      </c>
      <c r="K16" s="4">
        <f t="shared" si="2"/>
        <v>0</v>
      </c>
      <c r="L16" s="4">
        <f t="shared" si="2"/>
        <v>0</v>
      </c>
      <c r="M16" s="1"/>
      <c r="N16" s="1"/>
    </row>
    <row r="17" spans="1:14" x14ac:dyDescent="0.2">
      <c r="A17" s="3" t="s">
        <v>591</v>
      </c>
      <c r="B17" s="4"/>
      <c r="C17" s="31">
        <f>MIN(C16,MAX(0,C15)*Assumptions!$C$29)</f>
        <v>3475.5140000000001</v>
      </c>
      <c r="D17" s="4">
        <f>MIN(D16,MAX(0,D15)*Assumptions!$C$29)</f>
        <v>6081.6288571428568</v>
      </c>
      <c r="E17" s="4">
        <f>MIN(E16,MAX(0,E15)*Assumptions!$C$29)</f>
        <v>0</v>
      </c>
      <c r="F17" s="4">
        <f>MIN(F16,MAX(0,F15)*Assumptions!$C$29)</f>
        <v>0</v>
      </c>
      <c r="G17" s="4">
        <f>MIN(G16,MAX(0,G15)*Assumptions!$C$29)</f>
        <v>0</v>
      </c>
      <c r="H17" s="4">
        <f>MIN(H16,MAX(0,H15)*Assumptions!$C$29)</f>
        <v>0</v>
      </c>
      <c r="I17" s="4">
        <f>MIN(I16,MAX(0,I15)*Assumptions!$C$29)</f>
        <v>0</v>
      </c>
      <c r="J17" s="4">
        <f>MIN(J16,MAX(0,J15)*Assumptions!$C$29)</f>
        <v>0</v>
      </c>
      <c r="K17" s="4">
        <f>MIN(K16,MAX(0,K15)*Assumptions!$C$29)</f>
        <v>0</v>
      </c>
      <c r="L17" s="4">
        <f>MIN(L16,MAX(0,L15)*Assumptions!$C$29)</f>
        <v>0</v>
      </c>
      <c r="M17" s="1"/>
      <c r="N17" s="1"/>
    </row>
    <row r="18" spans="1:14" x14ac:dyDescent="0.2">
      <c r="A18" s="3" t="s">
        <v>592</v>
      </c>
      <c r="B18" s="4"/>
      <c r="C18" s="31">
        <f t="shared" si="3" ref="C18:L18">MAX(0,-C15)</f>
        <v>0</v>
      </c>
      <c r="D18" s="4">
        <f t="shared" si="3"/>
        <v>0</v>
      </c>
      <c r="E18" s="4">
        <f t="shared" si="3"/>
        <v>0</v>
      </c>
      <c r="F18" s="4">
        <f t="shared" si="3"/>
        <v>0</v>
      </c>
      <c r="G18" s="4">
        <f t="shared" si="3"/>
        <v>0</v>
      </c>
      <c r="H18" s="4">
        <f t="shared" si="3"/>
        <v>0</v>
      </c>
      <c r="I18" s="4">
        <f t="shared" si="3"/>
        <v>0</v>
      </c>
      <c r="J18" s="4">
        <f t="shared" si="3"/>
        <v>0</v>
      </c>
      <c r="K18" s="4">
        <f t="shared" si="3"/>
        <v>0</v>
      </c>
      <c r="L18" s="4">
        <f t="shared" si="3"/>
        <v>0</v>
      </c>
      <c r="M18" s="1"/>
      <c r="N18" s="1"/>
    </row>
    <row r="19" spans="1:14" x14ac:dyDescent="0.2">
      <c r="A19" s="24" t="s">
        <v>593</v>
      </c>
      <c r="B19" s="19"/>
      <c r="C19" s="36">
        <f t="shared" si="4" ref="C19:L19">C16-C17+C18</f>
        <v>6081.6288571428568</v>
      </c>
      <c r="D19" s="19">
        <f t="shared" si="4"/>
        <v>0</v>
      </c>
      <c r="E19" s="19">
        <f t="shared" si="4"/>
        <v>0</v>
      </c>
      <c r="F19" s="19">
        <f t="shared" si="4"/>
        <v>0</v>
      </c>
      <c r="G19" s="19">
        <f t="shared" si="4"/>
        <v>0</v>
      </c>
      <c r="H19" s="19">
        <f t="shared" si="4"/>
        <v>0</v>
      </c>
      <c r="I19" s="19">
        <f t="shared" si="4"/>
        <v>0</v>
      </c>
      <c r="J19" s="19">
        <f t="shared" si="4"/>
        <v>0</v>
      </c>
      <c r="K19" s="19">
        <f t="shared" si="4"/>
        <v>0</v>
      </c>
      <c r="L19" s="19">
        <f t="shared" si="4"/>
        <v>0</v>
      </c>
      <c r="M19" s="1"/>
      <c r="N19" s="1"/>
    </row>
    <row r="20" spans="1:14" x14ac:dyDescent="0.2">
      <c r="A20" s="32" t="s">
        <v>594</v>
      </c>
      <c r="B20" s="20"/>
      <c r="C20" s="43">
        <f>MAX(0,C15-C17)*Assumptions!$C$27</f>
        <v>182.46448499999994</v>
      </c>
      <c r="D20" s="20">
        <f>MAX(0,D15-D17)*Assumptions!$C$27</f>
        <v>2525.7814414102472</v>
      </c>
      <c r="E20" s="20">
        <f>MAX(0,E15-E17)*Assumptions!$C$27</f>
        <v>8333.5447092752383</v>
      </c>
      <c r="F20" s="20">
        <f>MAX(0,F15-F17)*Assumptions!$C$27</f>
        <v>14499.661858716703</v>
      </c>
      <c r="G20" s="20">
        <f>MAX(0,G15-G17)*Assumptions!$C$27</f>
        <v>21491.904754565898</v>
      </c>
      <c r="H20" s="20">
        <f>MAX(0,H15-H17)*Assumptions!$C$27</f>
        <v>29293.008090301108</v>
      </c>
      <c r="I20" s="20">
        <f>MAX(0,I15-I17)*Assumptions!$C$27</f>
        <v>36981.82688315933</v>
      </c>
      <c r="J20" s="20">
        <f>MAX(0,J15-J17)*Assumptions!$C$27</f>
        <v>43669.838367330398</v>
      </c>
      <c r="K20" s="20">
        <f>MAX(0,K15-K17)*Assumptions!$C$27</f>
        <v>50635.347836684261</v>
      </c>
      <c r="L20" s="20">
        <f>MAX(0,L15-L17)*Assumptions!$C$27</f>
        <v>55736.848266712426</v>
      </c>
      <c r="M20" s="1"/>
      <c r="N20" s="1"/>
    </row>
    <row r="21" spans="1:14" x14ac:dyDescent="0.2">
      <c r="A21" s="40" t="s">
        <v>595</v>
      </c>
      <c r="B21" s="22"/>
      <c r="C21" s="35">
        <f>IF(Forecast_3Stmt!C21&gt;0,Forecast_3Stmt!C22/Forecast_3Stmt!C21,0)</f>
        <v>0</v>
      </c>
      <c r="D21" s="22">
        <f>IF(Forecast_3Stmt!D21&gt;0,Forecast_3Stmt!D22/Forecast_3Stmt!D21,0)</f>
        <v>0.13947535428978711</v>
      </c>
      <c r="E21" s="22">
        <f>IF(Forecast_3Stmt!E21&gt;0,Forecast_3Stmt!E22/Forecast_3Stmt!E21,0)</f>
        <v>0.20999999999999996</v>
      </c>
      <c r="F21" s="22">
        <f>IF(Forecast_3Stmt!F21&gt;0,Forecast_3Stmt!F22/Forecast_3Stmt!F21,0)</f>
        <v>0.21</v>
      </c>
      <c r="G21" s="22">
        <f>IF(Forecast_3Stmt!G21&gt;0,Forecast_3Stmt!G22/Forecast_3Stmt!G21,0)</f>
        <v>0.21</v>
      </c>
      <c r="H21" s="22">
        <f>IF(Forecast_3Stmt!H21&gt;0,Forecast_3Stmt!H22/Forecast_3Stmt!H21,0)</f>
        <v>0.21</v>
      </c>
      <c r="I21" s="22">
        <f>IF(Forecast_3Stmt!I21&gt;0,Forecast_3Stmt!I22/Forecast_3Stmt!I21,0)</f>
        <v>0.21</v>
      </c>
      <c r="J21" s="22">
        <f>IF(Forecast_3Stmt!J21&gt;0,Forecast_3Stmt!J22/Forecast_3Stmt!J21,0)</f>
        <v>0.21</v>
      </c>
      <c r="K21" s="22">
        <f>IF(Forecast_3Stmt!K21&gt;0,Forecast_3Stmt!K22/Forecast_3Stmt!K21,0)</f>
        <v>0.21</v>
      </c>
      <c r="L21" s="22">
        <f>IF(Forecast_3Stmt!L21&gt;0,Forecast_3Stmt!L22/Forecast_3Stmt!L21,0)</f>
        <v>0.21</v>
      </c>
      <c r="M21" s="1"/>
      <c r="N21" s="1"/>
    </row>
    <row r="22" spans="1:14" x14ac:dyDescent="0.2">
      <c r="A22" s="1"/>
      <c r="B22" s="1"/>
      <c r="C22" s="3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24" t="s">
        <v>596</v>
      </c>
      <c r="B23" s="1"/>
      <c r="C23" s="3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3" t="s">
        <v>597</v>
      </c>
      <c r="B24" s="4">
        <f>Forecast_3Stmt!B34+Forecast_3Stmt!B35-Forecast_3Stmt!B39-Forecast_3Stmt!B40</f>
        <v>689</v>
      </c>
      <c r="C24" s="31">
        <f>Forecast_3Stmt!C34+Forecast_3Stmt!C35-Forecast_3Stmt!C39-Forecast_3Stmt!C40</f>
        <v>-514.52999999999975</v>
      </c>
      <c r="D24" s="4">
        <f>Forecast_3Stmt!D34+Forecast_3Stmt!D35-Forecast_3Stmt!D39-Forecast_3Stmt!D40</f>
        <v>-575.25300000000243</v>
      </c>
      <c r="E24" s="4">
        <f>Forecast_3Stmt!E34+Forecast_3Stmt!E35-Forecast_3Stmt!E39-Forecast_3Stmt!E40</f>
        <v>184.0809599999975</v>
      </c>
      <c r="F24" s="4">
        <f>Forecast_3Stmt!F34+Forecast_3Stmt!F35-Forecast_3Stmt!F39-Forecast_3Stmt!F40</f>
        <v>1778.2220735999981</v>
      </c>
      <c r="G24" s="4">
        <f>Forecast_3Stmt!G34+Forecast_3Stmt!G35-Forecast_3Stmt!G39-Forecast_3Stmt!G40</f>
        <v>4194.0637764479961</v>
      </c>
      <c r="H24" s="4">
        <f>Forecast_3Stmt!H34+Forecast_3Stmt!H35-Forecast_3Stmt!H39-Forecast_3Stmt!H40</f>
        <v>7355.7426233088081</v>
      </c>
      <c r="I24" s="4">
        <f>Forecast_3Stmt!I34+Forecast_3Stmt!I35-Forecast_3Stmt!I39-Forecast_3Stmt!I40</f>
        <v>9794.7520194585632</v>
      </c>
      <c r="J24" s="4">
        <f>Forecast_3Stmt!J34+Forecast_3Stmt!J35-Forecast_3Stmt!J39-Forecast_3Stmt!J40</f>
        <v>12466.048024765423</v>
      </c>
      <c r="K24" s="4">
        <f>Forecast_3Stmt!K34+Forecast_3Stmt!K35-Forecast_3Stmt!K39-Forecast_3Stmt!K40</f>
        <v>13712.652827241975</v>
      </c>
      <c r="L24" s="4">
        <f>Forecast_3Stmt!L34+Forecast_3Stmt!L35-Forecast_3Stmt!L39-Forecast_3Stmt!L40</f>
        <v>14809.665053421333</v>
      </c>
      <c r="M24" s="1"/>
      <c r="N24" s="1"/>
    </row>
    <row r="25" spans="1:14" x14ac:dyDescent="0.2">
      <c r="A25" s="3" t="s">
        <v>598</v>
      </c>
      <c r="B25" s="4"/>
      <c r="C25" s="31">
        <f t="shared" si="5" ref="C25:L25">C24-B24</f>
        <v>-1203.5299999999997</v>
      </c>
      <c r="D25" s="4">
        <f t="shared" si="5"/>
        <v>-60.723000000002685</v>
      </c>
      <c r="E25" s="4">
        <f t="shared" si="5"/>
        <v>759.33395999999993</v>
      </c>
      <c r="F25" s="4">
        <f t="shared" si="5"/>
        <v>1594.1411136000006</v>
      </c>
      <c r="G25" s="4">
        <f t="shared" si="5"/>
        <v>2415.841702847998</v>
      </c>
      <c r="H25" s="4">
        <f t="shared" si="5"/>
        <v>3161.678846860812</v>
      </c>
      <c r="I25" s="4">
        <f t="shared" si="5"/>
        <v>2439.009396149755</v>
      </c>
      <c r="J25" s="4">
        <f t="shared" si="5"/>
        <v>2671.29600530686</v>
      </c>
      <c r="K25" s="4">
        <f t="shared" si="5"/>
        <v>1246.6048024765514</v>
      </c>
      <c r="L25" s="4">
        <f t="shared" si="5"/>
        <v>1097.0122261793585</v>
      </c>
      <c r="M25" s="1"/>
      <c r="N25" s="1"/>
    </row>
    <row r="26" spans="1:14" x14ac:dyDescent="0.2">
      <c r="A26" s="1"/>
      <c r="B26" s="1"/>
      <c r="C26" s="3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24" t="s">
        <v>599</v>
      </c>
      <c r="B27" s="1"/>
      <c r="C27" s="3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3" t="s">
        <v>600</v>
      </c>
      <c r="B28" s="4"/>
      <c r="C28" s="13">
        <f>Forecast_3Stmt!C17</f>
        <v>929.5</v>
      </c>
      <c r="D28" s="7">
        <f>Forecast_3Stmt!D17</f>
        <v>13230.818999999989</v>
      </c>
      <c r="E28" s="7">
        <f>Forecast_3Stmt!E17</f>
        <v>34054.977599999984</v>
      </c>
      <c r="F28" s="7">
        <f>Forecast_3Stmt!F17</f>
        <v>62237.772575999988</v>
      </c>
      <c r="G28" s="7">
        <f>Forecast_3Stmt!G17</f>
        <v>93559.884243840002</v>
      </c>
      <c r="H28" s="7">
        <f>Forecast_3Stmt!H17</f>
        <v>127757.63503641597</v>
      </c>
      <c r="I28" s="7">
        <f>Forecast_3Stmt!I17</f>
        <v>160277.76031841274</v>
      </c>
      <c r="J28" s="7">
        <f>Forecast_3Stmt!J17</f>
        <v>186990.72037148161</v>
      </c>
      <c r="K28" s="7">
        <f>Forecast_3Stmt!K17</f>
        <v>213917.38410497498</v>
      </c>
      <c r="L28" s="7">
        <f>Forecast_3Stmt!L17</f>
        <v>231030.77483337297</v>
      </c>
      <c r="M28" s="1"/>
      <c r="N28" s="1"/>
    </row>
    <row r="29" spans="1:14" x14ac:dyDescent="0.2">
      <c r="A29" s="3" t="s">
        <v>601</v>
      </c>
      <c r="B29" s="4"/>
      <c r="C29" s="31">
        <f t="shared" si="6" ref="C29:L29">IF(C15&gt;0,C20*MAX(C28,0)/C15,0)</f>
        <v>39.038999999999987</v>
      </c>
      <c r="D29" s="4">
        <f t="shared" si="6"/>
        <v>1845.3731675690451</v>
      </c>
      <c r="E29" s="4">
        <f t="shared" si="6"/>
        <v>7151.5452959999957</v>
      </c>
      <c r="F29" s="4">
        <f t="shared" si="6"/>
        <v>13069.932240959997</v>
      </c>
      <c r="G29" s="4">
        <f t="shared" si="6"/>
        <v>19647.575691206399</v>
      </c>
      <c r="H29" s="4">
        <f t="shared" si="6"/>
        <v>26829.103357647356</v>
      </c>
      <c r="I29" s="4">
        <f t="shared" si="6"/>
        <v>33658.329666866674</v>
      </c>
      <c r="J29" s="4">
        <f t="shared" si="6"/>
        <v>39268.051278011131</v>
      </c>
      <c r="K29" s="4">
        <f t="shared" si="6"/>
        <v>44922.65066204474</v>
      </c>
      <c r="L29" s="4">
        <f t="shared" si="6"/>
        <v>48516.462715008318</v>
      </c>
      <c r="M29" s="1"/>
      <c r="N29" s="1" t="s">
        <v>602</v>
      </c>
    </row>
    <row r="30" spans="1:14" x14ac:dyDescent="0.2">
      <c r="A30" s="24" t="s">
        <v>603</v>
      </c>
      <c r="B30" s="19"/>
      <c r="C30" s="36">
        <f t="shared" si="7" ref="C30:L30">C28-C29</f>
        <v>890.46100000000001</v>
      </c>
      <c r="D30" s="19">
        <f t="shared" si="7"/>
        <v>11385.445832430943</v>
      </c>
      <c r="E30" s="19">
        <f t="shared" si="7"/>
        <v>26903.432303999987</v>
      </c>
      <c r="F30" s="19">
        <f t="shared" si="7"/>
        <v>49167.840335039989</v>
      </c>
      <c r="G30" s="19">
        <f t="shared" si="7"/>
        <v>73912.308552633607</v>
      </c>
      <c r="H30" s="19">
        <f t="shared" si="7"/>
        <v>100928.53167876862</v>
      </c>
      <c r="I30" s="19">
        <f t="shared" si="7"/>
        <v>126619.43065154606</v>
      </c>
      <c r="J30" s="19">
        <f t="shared" si="7"/>
        <v>147722.6690934705</v>
      </c>
      <c r="K30" s="19">
        <f t="shared" si="7"/>
        <v>168994.73344293024</v>
      </c>
      <c r="L30" s="19">
        <f t="shared" si="7"/>
        <v>182514.31211836464</v>
      </c>
      <c r="M30" s="1"/>
      <c r="N30" s="1"/>
    </row>
    <row r="31" spans="1:14" x14ac:dyDescent="0.2">
      <c r="A31" s="3" t="s">
        <v>169</v>
      </c>
      <c r="B31" s="4"/>
      <c r="C31" s="31">
        <f t="shared" si="8" ref="C31:L31">C10</f>
        <v>290.7</v>
      </c>
      <c r="D31" s="4">
        <f t="shared" si="8"/>
        <v>1188.9636</v>
      </c>
      <c r="E31" s="4">
        <f t="shared" si="8"/>
        <v>3114.1221600000003</v>
      </c>
      <c r="F31" s="4">
        <f t="shared" si="8"/>
        <v>5996.1992064000005</v>
      </c>
      <c r="G31" s="4">
        <f t="shared" si="8"/>
        <v>9087.5551969920016</v>
      </c>
      <c r="H31" s="4">
        <f t="shared" si="8"/>
        <v>11851.2522826368</v>
      </c>
      <c r="I31" s="4">
        <f t="shared" si="8"/>
        <v>14475.16392298752</v>
      </c>
      <c r="J31" s="4">
        <f t="shared" si="8"/>
        <v>16744.636748649984</v>
      </c>
      <c r="K31" s="4">
        <f t="shared" si="8"/>
        <v>18631.449569321474</v>
      </c>
      <c r="L31" s="4">
        <f t="shared" si="8"/>
        <v>20609.623231589845</v>
      </c>
      <c r="M31" s="1"/>
      <c r="N31" s="1"/>
    </row>
    <row r="32" spans="1:14" x14ac:dyDescent="0.2">
      <c r="A32" s="3" t="s">
        <v>554</v>
      </c>
      <c r="B32" s="4"/>
      <c r="C32" s="31">
        <f t="shared" si="9" ref="C32:L32">-C7</f>
        <v>-1982</v>
      </c>
      <c r="D32" s="4">
        <f t="shared" si="9"/>
        <v>-6903.0360000000001</v>
      </c>
      <c r="E32" s="4">
        <f t="shared" si="9"/>
        <v>-14726.476800000002</v>
      </c>
      <c r="F32" s="4">
        <f t="shared" si="9"/>
        <v>-20322.537983999999</v>
      </c>
      <c r="G32" s="4">
        <f t="shared" si="9"/>
        <v>-22583.420334720002</v>
      </c>
      <c r="H32" s="4">
        <f t="shared" si="9"/>
        <v>-23228.660915711996</v>
      </c>
      <c r="I32" s="4">
        <f t="shared" si="9"/>
        <v>-26712.960053068793</v>
      </c>
      <c r="J32" s="4">
        <f t="shared" si="9"/>
        <v>-24932.096049530879</v>
      </c>
      <c r="K32" s="4">
        <f t="shared" si="9"/>
        <v>-27425.305654483971</v>
      </c>
      <c r="L32" s="4">
        <f t="shared" si="9"/>
        <v>-29619.330106842688</v>
      </c>
      <c r="M32" s="1"/>
      <c r="N32" s="1"/>
    </row>
    <row r="33" spans="1:14" x14ac:dyDescent="0.2">
      <c r="A33" s="3" t="s">
        <v>604</v>
      </c>
      <c r="B33" s="4"/>
      <c r="C33" s="31">
        <f t="shared" si="10" ref="C33:L33">-C25</f>
        <v>1203.5299999999997</v>
      </c>
      <c r="D33" s="4">
        <f t="shared" si="10"/>
        <v>60.723000000002685</v>
      </c>
      <c r="E33" s="4">
        <f t="shared" si="10"/>
        <v>-759.33395999999993</v>
      </c>
      <c r="F33" s="4">
        <f t="shared" si="10"/>
        <v>-1594.1411136000006</v>
      </c>
      <c r="G33" s="4">
        <f t="shared" si="10"/>
        <v>-2415.841702847998</v>
      </c>
      <c r="H33" s="4">
        <f t="shared" si="10"/>
        <v>-3161.678846860812</v>
      </c>
      <c r="I33" s="4">
        <f t="shared" si="10"/>
        <v>-2439.009396149755</v>
      </c>
      <c r="J33" s="4">
        <f t="shared" si="10"/>
        <v>-2671.29600530686</v>
      </c>
      <c r="K33" s="4">
        <f t="shared" si="10"/>
        <v>-1246.6048024765514</v>
      </c>
      <c r="L33" s="4">
        <f t="shared" si="10"/>
        <v>-1097.0122261793585</v>
      </c>
      <c r="M33" s="1"/>
      <c r="N33" s="1"/>
    </row>
    <row r="34" spans="1:14" x14ac:dyDescent="0.2">
      <c r="A34" s="27" t="s">
        <v>605</v>
      </c>
      <c r="B34" s="23"/>
      <c r="C34" s="62">
        <f t="shared" si="11" ref="C34:L34">C30+C31+C32+C33</f>
        <v>402.6909999999998</v>
      </c>
      <c r="D34" s="23">
        <f t="shared" si="11"/>
        <v>5732.0964324309471</v>
      </c>
      <c r="E34" s="23">
        <f t="shared" si="11"/>
        <v>14531.743703999984</v>
      </c>
      <c r="F34" s="23">
        <f t="shared" si="11"/>
        <v>33247.360443839985</v>
      </c>
      <c r="G34" s="23">
        <f t="shared" si="11"/>
        <v>58000.601712057614</v>
      </c>
      <c r="H34" s="23">
        <f t="shared" si="11"/>
        <v>86389.444198832614</v>
      </c>
      <c r="I34" s="23">
        <f t="shared" si="11"/>
        <v>111942.62512531504</v>
      </c>
      <c r="J34" s="23">
        <f t="shared" si="11"/>
        <v>136863.91378728277</v>
      </c>
      <c r="K34" s="23">
        <f t="shared" si="11"/>
        <v>158954.27255529119</v>
      </c>
      <c r="L34" s="23">
        <f t="shared" si="11"/>
        <v>172407.59301693246</v>
      </c>
      <c r="M34" s="1"/>
      <c r="N34" s="1"/>
    </row>
    <row r="35" spans="1:14" x14ac:dyDescent="0.2">
      <c r="A35" s="40" t="s">
        <v>581</v>
      </c>
      <c r="B35" s="22"/>
      <c r="C35" s="35">
        <f>C34/Forecast_3Stmt!C7</f>
        <v>7.3502537144525936E-3</v>
      </c>
      <c r="D35" s="22">
        <f>D34/Forecast_3Stmt!D7</f>
        <v>4.982239494996938E-2</v>
      </c>
      <c r="E35" s="22">
        <f>E34/Forecast_3Stmt!E7</f>
        <v>7.8942133417817806E-2</v>
      </c>
      <c r="F35" s="22">
        <f>F34/Forecast_3Stmt!F7</f>
        <v>0.13087877299583642</v>
      </c>
      <c r="G35" s="22">
        <f>G34/Forecast_3Stmt!G7</f>
        <v>0.17977977027696199</v>
      </c>
      <c r="H35" s="22">
        <f>H34/Forecast_3Stmt!H7</f>
        <v>0.22314530616889322</v>
      </c>
      <c r="I35" s="22">
        <f>I34/Forecast_3Stmt!I7</f>
        <v>0.25143441588560689</v>
      </c>
      <c r="J35" s="22">
        <f>J34/Forecast_3Stmt!J7</f>
        <v>0.27447334053940886</v>
      </c>
      <c r="K35" s="22">
        <f>K34/Forecast_3Stmt!K7</f>
        <v>0.28979489701567385</v>
      </c>
      <c r="L35" s="22">
        <f>L34/Forecast_3Stmt!L7</f>
        <v>0.2910389809543712</v>
      </c>
      <c r="M35" s="1"/>
      <c r="N35" s="1"/>
    </row>
    <row r="36" spans="1:14" x14ac:dyDescent="0.2">
      <c r="A36" s="1"/>
      <c r="B36" s="1"/>
      <c r="C36" s="3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24" t="s">
        <v>247</v>
      </c>
      <c r="B37" s="1"/>
      <c r="C37" s="3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3" t="s">
        <v>606</v>
      </c>
      <c r="B38" s="1"/>
      <c r="C38" s="39"/>
      <c r="D38" s="10">
        <f>D20-Forecast_3Stmt!D22</f>
        <v>0</v>
      </c>
      <c r="E38" s="10">
        <f>E20-Forecast_3Stmt!E22</f>
        <v>0</v>
      </c>
      <c r="F38" s="10">
        <f>F20-Forecast_3Stmt!F22</f>
        <v>0</v>
      </c>
      <c r="G38" s="10">
        <f>G20-Forecast_3Stmt!G22</f>
        <v>0</v>
      </c>
      <c r="H38" s="10">
        <f>H20-Forecast_3Stmt!H22</f>
        <v>0</v>
      </c>
      <c r="I38" s="10">
        <f>I20-Forecast_3Stmt!I22</f>
        <v>0</v>
      </c>
      <c r="J38" s="10">
        <f>J20-Forecast_3Stmt!J22</f>
        <v>0</v>
      </c>
      <c r="K38" s="10">
        <f>K20-Forecast_3Stmt!K22</f>
        <v>0</v>
      </c>
      <c r="L38" s="10">
        <f>L20-Forecast_3Stmt!L22</f>
        <v>0</v>
      </c>
      <c r="M38" s="1"/>
      <c r="N38" s="1"/>
    </row>
    <row r="39" spans="1:14" x14ac:dyDescent="0.2">
      <c r="A39" s="3" t="s">
        <v>607</v>
      </c>
      <c r="B39" s="1"/>
      <c r="C39" s="39"/>
      <c r="D39" s="10">
        <f>D33-Forecast_3Stmt!D53</f>
        <v>0</v>
      </c>
      <c r="E39" s="10">
        <f>E33-Forecast_3Stmt!E53</f>
        <v>0</v>
      </c>
      <c r="F39" s="10">
        <f>F33-Forecast_3Stmt!F53</f>
        <v>0</v>
      </c>
      <c r="G39" s="10">
        <f>G33-Forecast_3Stmt!G53</f>
        <v>0</v>
      </c>
      <c r="H39" s="10">
        <f>H33-Forecast_3Stmt!H53</f>
        <v>0</v>
      </c>
      <c r="I39" s="10">
        <f>I33-Forecast_3Stmt!I53</f>
        <v>0</v>
      </c>
      <c r="J39" s="10">
        <f>J33-Forecast_3Stmt!J53</f>
        <v>0</v>
      </c>
      <c r="K39" s="10">
        <f>K33-Forecast_3Stmt!K53</f>
        <v>0</v>
      </c>
      <c r="L39" s="10">
        <f>L33-Forecast_3Stmt!L53</f>
        <v>0</v>
      </c>
      <c r="M39" s="1"/>
      <c r="N3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A2331"/>
  </sheetPr>
  <dimension ref="A1:N67"/>
  <sheetViews>
    <sheetView showGridLines="0" tabSelected="1" workbookViewId="0"/>
  </sheetViews>
  <sheetFormatPr baseColWidth="10" defaultColWidth="8.33203125" defaultRowHeight="15" x14ac:dyDescent="0.2"/>
  <cols>
    <col min="1" max="1" width="86" customWidth="1"/>
    <col min="2" max="12" width="11.33203125" customWidth="1"/>
    <col min="13" max="13" width="17.6640625" customWidth="1"/>
    <col min="14" max="14" width="86" customWidth="1"/>
  </cols>
  <sheetData>
    <row r="1" spans="1:14" x14ac:dyDescent="0.2">
      <c r="A1" s="38" t="s">
        <v>608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609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 t="s">
        <v>447</v>
      </c>
      <c r="C3" s="39" t="s">
        <v>448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7" t="s">
        <v>76</v>
      </c>
      <c r="C4" s="63" t="s">
        <v>449</v>
      </c>
      <c r="D4" s="33" t="s">
        <v>450</v>
      </c>
      <c r="E4" s="33" t="s">
        <v>451</v>
      </c>
      <c r="F4" s="33" t="s">
        <v>452</v>
      </c>
      <c r="G4" s="33" t="s">
        <v>453</v>
      </c>
      <c r="H4" s="33" t="s">
        <v>454</v>
      </c>
      <c r="I4" s="33" t="s">
        <v>455</v>
      </c>
      <c r="J4" s="33" t="s">
        <v>456</v>
      </c>
      <c r="K4" s="33" t="s">
        <v>457</v>
      </c>
      <c r="L4" s="33" t="s">
        <v>458</v>
      </c>
      <c r="M4" s="12" t="s">
        <v>79</v>
      </c>
      <c r="N4" s="12" t="s">
        <v>80</v>
      </c>
    </row>
    <row r="5" spans="1:14" x14ac:dyDescent="0.2">
      <c r="A5" s="1"/>
      <c r="B5" s="1"/>
      <c r="C5" s="39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24" t="s">
        <v>536</v>
      </c>
      <c r="B6" s="1"/>
      <c r="C6" s="39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32" t="s">
        <v>81</v>
      </c>
      <c r="B7" s="58">
        <f>IS_Hist!D6</f>
        <v>4585</v>
      </c>
      <c r="C7" s="99">
        <f>Interim_Bridge!D7</f>
        <v>54786</v>
      </c>
      <c r="D7" s="20">
        <f>C7*(1+Assumptions!D44+Assumptions!$C$35)</f>
        <v>115050.6</v>
      </c>
      <c r="E7" s="20">
        <f>D7*(1+Assumptions!E44+Assumptions!$C$35)</f>
        <v>184080.96000000002</v>
      </c>
      <c r="F7" s="20">
        <f>E7*(1+Assumptions!F44+Assumptions!$C$35)</f>
        <v>254031.7248</v>
      </c>
      <c r="G7" s="20">
        <f>F7*(1+Assumptions!G44+Assumptions!$C$35)</f>
        <v>322620.29049599997</v>
      </c>
      <c r="H7" s="20">
        <f>G7*(1+Assumptions!H44+Assumptions!$C$35)</f>
        <v>387144.34859519993</v>
      </c>
      <c r="I7" s="20">
        <f>H7*(1+Assumptions!I44+Assumptions!$C$35)</f>
        <v>445216.0008844799</v>
      </c>
      <c r="J7" s="20">
        <f>I7*(1+Assumptions!J44+Assumptions!$C$35)</f>
        <v>498641.92099061754</v>
      </c>
      <c r="K7" s="20">
        <f>J7*(1+Assumptions!K44+Assumptions!$C$35)</f>
        <v>548506.11308967939</v>
      </c>
      <c r="L7" s="20">
        <f>K7*(1+Assumptions!L44+Assumptions!$C$35)</f>
        <v>592386.60213685373</v>
      </c>
      <c r="M7" s="1"/>
      <c r="N7" s="1"/>
    </row>
    <row r="8" spans="1:14" x14ac:dyDescent="0.2">
      <c r="A8" s="40" t="s">
        <v>610</v>
      </c>
      <c r="B8" s="22"/>
      <c r="C8" s="35">
        <f t="shared" si="0" ref="C8:L8">C7/B7-1</f>
        <v>10.948964013086151</v>
      </c>
      <c r="D8" s="22">
        <f t="shared" si="0"/>
        <v>1.1000000000000001</v>
      </c>
      <c r="E8" s="22">
        <f t="shared" si="0"/>
        <v>0.60000000000000009</v>
      </c>
      <c r="F8" s="22">
        <f t="shared" si="0"/>
        <v>0.37999999999999989</v>
      </c>
      <c r="G8" s="22">
        <f t="shared" si="0"/>
        <v>0.27</v>
      </c>
      <c r="H8" s="22">
        <f t="shared" si="0"/>
        <v>0.19999999999999996</v>
      </c>
      <c r="I8" s="22">
        <f t="shared" si="0"/>
        <v>0.14999999999999991</v>
      </c>
      <c r="J8" s="22">
        <f t="shared" si="0"/>
        <v>0.12000000000000011</v>
      </c>
      <c r="K8" s="22">
        <f t="shared" si="0"/>
        <v>0.10000000000000009</v>
      </c>
      <c r="L8" s="22">
        <f t="shared" si="0"/>
        <v>8.0000000000000071E-2</v>
      </c>
      <c r="M8" s="1"/>
      <c r="N8" s="1"/>
    </row>
    <row r="9" spans="1:14" x14ac:dyDescent="0.2">
      <c r="A9" s="3" t="s">
        <v>84</v>
      </c>
      <c r="B9" s="7">
        <f>IS_Hist!D9</f>
        <v>7326</v>
      </c>
      <c r="C9" s="13">
        <f>Interim_Bridge!D10</f>
        <v>28195</v>
      </c>
      <c r="D9" s="4">
        <f>D7*(Assumptions!D49+Assumptions!$C$36)</f>
        <v>57525.3</v>
      </c>
      <c r="E9" s="4">
        <f>E7*(Assumptions!E49+Assumptions!$C$36)</f>
        <v>88358.860800000009</v>
      </c>
      <c r="F9" s="4">
        <f>F7*(Assumptions!F49+Assumptions!$C$36)</f>
        <v>116854.593408</v>
      </c>
      <c r="G9" s="4">
        <f>G7*(Assumptions!G49+Assumptions!$C$36)</f>
        <v>141952.92781823999</v>
      </c>
      <c r="H9" s="4">
        <f>H7*(Assumptions!H49+Assumptions!$C$36)</f>
        <v>162600.62640998396</v>
      </c>
      <c r="I9" s="4">
        <f>I7*(Assumptions!I49+Assumptions!$C$36)</f>
        <v>182538.56036263675</v>
      </c>
      <c r="J9" s="4">
        <f>J7*(Assumptions!J49+Assumptions!$C$36)</f>
        <v>199456.76839624703</v>
      </c>
      <c r="K9" s="4">
        <f>K7*(Assumptions!K49+Assumptions!$C$36)</f>
        <v>219402.44523587177</v>
      </c>
      <c r="L9" s="4">
        <f>L7*(Assumptions!L49+Assumptions!$C$36)</f>
        <v>236954.6408547415</v>
      </c>
      <c r="M9" s="1"/>
      <c r="N9" s="1"/>
    </row>
    <row r="10" spans="1:14" x14ac:dyDescent="0.2">
      <c r="A10" s="42" t="s">
        <v>541</v>
      </c>
      <c r="B10" s="7">
        <f>Interim_Bridge!G12</f>
        <v>681</v>
      </c>
      <c r="C10" s="13">
        <f>Interim_Bridge!D12</f>
        <v>2892</v>
      </c>
      <c r="D10" s="4">
        <f>D7*Assumptions!D54</f>
        <v>5752.5300000000007</v>
      </c>
      <c r="E10" s="4">
        <f>E7*Assumptions!E54</f>
        <v>9204.0480000000007</v>
      </c>
      <c r="F10" s="4">
        <f>F7*Assumptions!F54</f>
        <v>11431.427615999999</v>
      </c>
      <c r="G10" s="4">
        <f>G7*Assumptions!G54</f>
        <v>14517.913072319998</v>
      </c>
      <c r="H10" s="4">
        <f>H7*Assumptions!H54</f>
        <v>17421.495686783997</v>
      </c>
      <c r="I10" s="4">
        <f>I7*Assumptions!I54</f>
        <v>17808.640035379198</v>
      </c>
      <c r="J10" s="4">
        <f>J7*Assumptions!J54</f>
        <v>19945.676839624703</v>
      </c>
      <c r="K10" s="4">
        <f>K7*Assumptions!K54</f>
        <v>21940.244523587175</v>
      </c>
      <c r="L10" s="4">
        <f>L7*Assumptions!L54</f>
        <v>23695.464085474148</v>
      </c>
      <c r="M10" s="1"/>
      <c r="N10" s="1"/>
    </row>
    <row r="11" spans="1:14" x14ac:dyDescent="0.2">
      <c r="A11" s="42" t="s">
        <v>611</v>
      </c>
      <c r="B11" s="7">
        <f>Interim_Bridge!G11</f>
        <v>1158</v>
      </c>
      <c r="C11" s="13">
        <f>Interim_Bridge!D11</f>
        <v>7685</v>
      </c>
      <c r="D11" s="4">
        <f>D7*Assumptions!D59</f>
        <v>11505.060000000001</v>
      </c>
      <c r="E11" s="4">
        <f>E7*Assumptions!E59</f>
        <v>14726.476800000002</v>
      </c>
      <c r="F11" s="4">
        <f>F7*Assumptions!F59</f>
        <v>17782.220736000003</v>
      </c>
      <c r="G11" s="4">
        <f>G7*Assumptions!G59</f>
        <v>19357.217429759996</v>
      </c>
      <c r="H11" s="4">
        <f>H7*Assumptions!H59</f>
        <v>21292.939172735998</v>
      </c>
      <c r="I11" s="4">
        <f>I7*Assumptions!I59</f>
        <v>22260.800044223997</v>
      </c>
      <c r="J11" s="4">
        <f>J7*Assumptions!J59</f>
        <v>24932.096049530879</v>
      </c>
      <c r="K11" s="4">
        <f>K7*Assumptions!K59</f>
        <v>24682.775089035571</v>
      </c>
      <c r="L11" s="4">
        <f>L7*Assumptions!L59</f>
        <v>26657.397096158416</v>
      </c>
      <c r="M11" s="1"/>
      <c r="N11" s="1"/>
    </row>
    <row r="12" spans="1:14" x14ac:dyDescent="0.2">
      <c r="A12" s="3" t="s">
        <v>85</v>
      </c>
      <c r="B12" s="7">
        <f>IS_Hist!D10</f>
        <v>1839</v>
      </c>
      <c r="C12" s="13">
        <f>Interim_Bridge!D13</f>
        <v>10577</v>
      </c>
      <c r="D12" s="4">
        <f t="shared" si="1" ref="D12:L12">D10+D11</f>
        <v>17257.590000000004</v>
      </c>
      <c r="E12" s="4">
        <f t="shared" si="1"/>
        <v>23930.524800000003</v>
      </c>
      <c r="F12" s="4">
        <f t="shared" si="1"/>
        <v>29213.648352000004</v>
      </c>
      <c r="G12" s="4">
        <f t="shared" si="1"/>
        <v>33875.130502079992</v>
      </c>
      <c r="H12" s="4">
        <f t="shared" si="1"/>
        <v>38714.434859519999</v>
      </c>
      <c r="I12" s="4">
        <f t="shared" si="1"/>
        <v>40069.440079603199</v>
      </c>
      <c r="J12" s="4">
        <f t="shared" si="1"/>
        <v>44877.772889155582</v>
      </c>
      <c r="K12" s="4">
        <f t="shared" si="1"/>
        <v>46623.019612622746</v>
      </c>
      <c r="L12" s="4">
        <f t="shared" si="1"/>
        <v>50352.861181632565</v>
      </c>
      <c r="M12" s="1"/>
      <c r="N12" s="1"/>
    </row>
    <row r="13" spans="1:14" x14ac:dyDescent="0.2">
      <c r="A13" s="3" t="s">
        <v>86</v>
      </c>
      <c r="B13" s="7">
        <f>IS_Hist!D11</f>
        <v>1500</v>
      </c>
      <c r="C13" s="13">
        <f>Interim_Bridge!D14</f>
        <v>0</v>
      </c>
      <c r="D13" s="4">
        <f>0</f>
        <v>0</v>
      </c>
      <c r="E13" s="4">
        <f>0</f>
        <v>0</v>
      </c>
      <c r="F13" s="4">
        <f>0</f>
        <v>0</v>
      </c>
      <c r="G13" s="4">
        <f>0</f>
        <v>0</v>
      </c>
      <c r="H13" s="4">
        <f>0</f>
        <v>0</v>
      </c>
      <c r="I13" s="4">
        <f>0</f>
        <v>0</v>
      </c>
      <c r="J13" s="4">
        <f>0</f>
        <v>0</v>
      </c>
      <c r="K13" s="4">
        <f>0</f>
        <v>0</v>
      </c>
      <c r="L13" s="4">
        <f>0</f>
        <v>0</v>
      </c>
      <c r="M13" s="1"/>
      <c r="N13" s="1"/>
    </row>
    <row r="14" spans="1:14" x14ac:dyDescent="0.2">
      <c r="A14" s="3" t="s">
        <v>87</v>
      </c>
      <c r="B14" s="7">
        <f>IS_Hist!D12</f>
        <v>568</v>
      </c>
      <c r="C14" s="13">
        <f>Interim_Bridge!D15</f>
        <v>10098</v>
      </c>
      <c r="D14" s="4">
        <f>D7*Assumptions!D64</f>
        <v>18408.096000000001</v>
      </c>
      <c r="E14" s="4">
        <f>E7*Assumptions!E64</f>
        <v>25771.334400000007</v>
      </c>
      <c r="F14" s="4">
        <f>F7*Assumptions!F64</f>
        <v>30483.806976</v>
      </c>
      <c r="G14" s="4">
        <f>G7*Assumptions!G64</f>
        <v>35488.231954559997</v>
      </c>
      <c r="H14" s="4">
        <f>H7*Assumptions!H64</f>
        <v>38714.434859519992</v>
      </c>
      <c r="I14" s="4">
        <f>I7*Assumptions!I64</f>
        <v>40069.440079603191</v>
      </c>
      <c r="J14" s="4">
        <f>J7*Assumptions!J64</f>
        <v>44877.772889155574</v>
      </c>
      <c r="K14" s="4">
        <f>K7*Assumptions!K64</f>
        <v>43880.489047174349</v>
      </c>
      <c r="L14" s="4">
        <f>L7*Assumptions!L64</f>
        <v>47390.928170948297</v>
      </c>
      <c r="M14" s="1"/>
      <c r="N14" s="1"/>
    </row>
    <row r="15" spans="1:14" x14ac:dyDescent="0.2">
      <c r="A15" s="3" t="s">
        <v>88</v>
      </c>
      <c r="B15" s="7">
        <f>IS_Hist!D13</f>
        <v>1412</v>
      </c>
      <c r="C15" s="13">
        <f>Interim_Bridge!D16</f>
        <v>4986.5</v>
      </c>
      <c r="D15" s="4">
        <f>D7*Assumptions!D69</f>
        <v>8628.7950000000001</v>
      </c>
      <c r="E15" s="4">
        <f>E7*Assumptions!E69</f>
        <v>11965.262400000001</v>
      </c>
      <c r="F15" s="4">
        <f>F7*Assumptions!F69</f>
        <v>15241.903488</v>
      </c>
      <c r="G15" s="4">
        <f>G7*Assumptions!G69</f>
        <v>17744.115977279998</v>
      </c>
      <c r="H15" s="4">
        <f>H7*Assumptions!H69</f>
        <v>19357.217429759996</v>
      </c>
      <c r="I15" s="4">
        <f>I7*Assumptions!I69</f>
        <v>22260.800044223997</v>
      </c>
      <c r="J15" s="4">
        <f>J7*Assumptions!J69</f>
        <v>22438.886444577787</v>
      </c>
      <c r="K15" s="4">
        <f>K7*Assumptions!K69</f>
        <v>24682.775089035571</v>
      </c>
      <c r="L15" s="4">
        <f>L7*Assumptions!L69</f>
        <v>26657.397096158416</v>
      </c>
      <c r="M15" s="1"/>
      <c r="N15" s="1"/>
    </row>
    <row r="16" spans="1:14" x14ac:dyDescent="0.2">
      <c r="A16" s="24" t="s">
        <v>89</v>
      </c>
      <c r="B16" s="19">
        <f t="shared" si="2" ref="B16:L16">B9+B12+B13+B14+B15</f>
        <v>12645</v>
      </c>
      <c r="C16" s="36">
        <f t="shared" si="2"/>
        <v>53856.5</v>
      </c>
      <c r="D16" s="19">
        <f t="shared" si="2"/>
        <v>101819.78100000002</v>
      </c>
      <c r="E16" s="19">
        <f t="shared" si="2"/>
        <v>150025.98240000004</v>
      </c>
      <c r="F16" s="19">
        <f t="shared" si="2"/>
        <v>191793.95222400001</v>
      </c>
      <c r="G16" s="19">
        <f t="shared" si="2"/>
        <v>229060.40625215997</v>
      </c>
      <c r="H16" s="19">
        <f t="shared" si="2"/>
        <v>259386.71355878396</v>
      </c>
      <c r="I16" s="19">
        <f t="shared" si="2"/>
        <v>284938.24056606716</v>
      </c>
      <c r="J16" s="19">
        <f t="shared" si="2"/>
        <v>311651.20061913593</v>
      </c>
      <c r="K16" s="19">
        <f t="shared" si="2"/>
        <v>334588.72898470442</v>
      </c>
      <c r="L16" s="19">
        <f t="shared" si="2"/>
        <v>361355.82730348076</v>
      </c>
      <c r="M16" s="1"/>
      <c r="N16" s="1"/>
    </row>
    <row r="17" spans="1:14" x14ac:dyDescent="0.2">
      <c r="A17" s="24" t="s">
        <v>267</v>
      </c>
      <c r="B17" s="19">
        <f t="shared" si="3" ref="B17:L17">B7-B16</f>
        <v>-8060</v>
      </c>
      <c r="C17" s="36">
        <f t="shared" si="3"/>
        <v>929.5</v>
      </c>
      <c r="D17" s="19">
        <f t="shared" si="3"/>
        <v>13230.818999999989</v>
      </c>
      <c r="E17" s="19">
        <f t="shared" si="3"/>
        <v>34054.977599999984</v>
      </c>
      <c r="F17" s="19">
        <f t="shared" si="3"/>
        <v>62237.772575999988</v>
      </c>
      <c r="G17" s="19">
        <f t="shared" si="3"/>
        <v>93559.884243840002</v>
      </c>
      <c r="H17" s="19">
        <f t="shared" si="3"/>
        <v>127757.63503641597</v>
      </c>
      <c r="I17" s="19">
        <f t="shared" si="3"/>
        <v>160277.76031841274</v>
      </c>
      <c r="J17" s="19">
        <f t="shared" si="3"/>
        <v>186990.72037148161</v>
      </c>
      <c r="K17" s="19">
        <f t="shared" si="3"/>
        <v>213917.38410497498</v>
      </c>
      <c r="L17" s="19">
        <f t="shared" si="3"/>
        <v>231030.77483337297</v>
      </c>
      <c r="M17" s="1"/>
      <c r="N17" s="1"/>
    </row>
    <row r="18" spans="1:14" x14ac:dyDescent="0.2">
      <c r="A18" s="40" t="s">
        <v>279</v>
      </c>
      <c r="B18" s="22">
        <f t="shared" si="4" ref="B18:L18">B17/B7</f>
        <v>-1.7579062159214831</v>
      </c>
      <c r="C18" s="35">
        <f t="shared" si="4"/>
        <v>1.6966013215054941E-2</v>
      </c>
      <c r="D18" s="22">
        <f t="shared" si="4"/>
        <v>0.11499999999999989</v>
      </c>
      <c r="E18" s="22">
        <f t="shared" si="4"/>
        <v>0.18499999999999989</v>
      </c>
      <c r="F18" s="22">
        <f t="shared" si="4"/>
        <v>0.24499999999999997</v>
      </c>
      <c r="G18" s="22">
        <f t="shared" si="4"/>
        <v>0.29000000000000004</v>
      </c>
      <c r="H18" s="22">
        <f t="shared" si="4"/>
        <v>0.33</v>
      </c>
      <c r="I18" s="22">
        <f t="shared" si="4"/>
        <v>0.35999999999999993</v>
      </c>
      <c r="J18" s="22">
        <f t="shared" si="4"/>
        <v>0.37500000000000006</v>
      </c>
      <c r="K18" s="22">
        <f t="shared" si="4"/>
        <v>0.39</v>
      </c>
      <c r="L18" s="22">
        <f t="shared" si="4"/>
        <v>0.39</v>
      </c>
      <c r="M18" s="1"/>
      <c r="N18" s="1"/>
    </row>
    <row r="19" spans="1:14" x14ac:dyDescent="0.2">
      <c r="A19" s="3" t="s">
        <v>91</v>
      </c>
      <c r="B19" s="7">
        <f>IS_Hist!D16</f>
        <v>431</v>
      </c>
      <c r="C19" s="13">
        <f>Interim_Bridge!D22</f>
        <v>3414.8925000000004</v>
      </c>
      <c r="D19" s="4">
        <f>Assumptions!$C$26*C33</f>
        <v>4878.3405305249998</v>
      </c>
      <c r="E19" s="4">
        <f>Assumptions!$C$26*D33</f>
        <v>5628.5686346440152</v>
      </c>
      <c r="F19" s="4">
        <f>Assumptions!$C$26*E33</f>
        <v>6808.2362750319226</v>
      </c>
      <c r="G19" s="4">
        <f>Assumptions!$C$26*F33</f>
        <v>8782.5193493309544</v>
      </c>
      <c r="H19" s="4">
        <f>Assumptions!$C$26*G33</f>
        <v>11732.879679303573</v>
      </c>
      <c r="I19" s="4">
        <f>Assumptions!$C$26*H33</f>
        <v>15826.177220441217</v>
      </c>
      <c r="J19" s="4">
        <f>Assumptions!$C$26*I33</f>
        <v>20960.890901520284</v>
      </c>
      <c r="K19" s="4">
        <f>Assumptions!$C$26*J33</f>
        <v>27203.319879235798</v>
      </c>
      <c r="L19" s="4">
        <f>Assumptions!$C$26*K33</f>
        <v>34382.788341448104</v>
      </c>
      <c r="M19" s="1"/>
      <c r="N19" s="1" t="s">
        <v>612</v>
      </c>
    </row>
    <row r="20" spans="1:14" x14ac:dyDescent="0.2">
      <c r="A20" s="3" t="s">
        <v>546</v>
      </c>
      <c r="B20" s="4">
        <f>IS_Hist!D17+IS_Hist!D18</f>
        <v>-34316</v>
      </c>
      <c r="C20" s="13">
        <f>Interim_Bridge!D23</f>
        <v>-81145</v>
      </c>
      <c r="D20" s="4">
        <f>0</f>
        <v>0</v>
      </c>
      <c r="E20" s="4">
        <f>0</f>
        <v>0</v>
      </c>
      <c r="F20" s="4">
        <f>0</f>
        <v>0</v>
      </c>
      <c r="G20" s="4">
        <f>0</f>
        <v>0</v>
      </c>
      <c r="H20" s="4">
        <f>0</f>
        <v>0</v>
      </c>
      <c r="I20" s="4">
        <f>0</f>
        <v>0</v>
      </c>
      <c r="J20" s="4">
        <f>0</f>
        <v>0</v>
      </c>
      <c r="K20" s="4">
        <f>0</f>
        <v>0</v>
      </c>
      <c r="L20" s="4">
        <f>0</f>
        <v>0</v>
      </c>
      <c r="M20" s="1"/>
      <c r="N20" s="1" t="s">
        <v>613</v>
      </c>
    </row>
    <row r="21" spans="1:14" x14ac:dyDescent="0.2">
      <c r="A21" s="24" t="s">
        <v>547</v>
      </c>
      <c r="B21" s="19">
        <f t="shared" si="5" ref="B21:L21">B17+B19+B20</f>
        <v>-41945</v>
      </c>
      <c r="C21" s="36">
        <f t="shared" si="5"/>
        <v>-76800.607499999998</v>
      </c>
      <c r="D21" s="19">
        <f t="shared" si="5"/>
        <v>18109.159530524987</v>
      </c>
      <c r="E21" s="19">
        <f t="shared" si="5"/>
        <v>39683.546234643996</v>
      </c>
      <c r="F21" s="19">
        <f t="shared" si="5"/>
        <v>69046.008851031918</v>
      </c>
      <c r="G21" s="19">
        <f t="shared" si="5"/>
        <v>102342.40359317095</v>
      </c>
      <c r="H21" s="19">
        <f t="shared" si="5"/>
        <v>139490.51471571956</v>
      </c>
      <c r="I21" s="19">
        <f t="shared" si="5"/>
        <v>176103.93753885396</v>
      </c>
      <c r="J21" s="19">
        <f t="shared" si="5"/>
        <v>207951.61127300191</v>
      </c>
      <c r="K21" s="19">
        <f t="shared" si="5"/>
        <v>241120.70398421076</v>
      </c>
      <c r="L21" s="19">
        <f t="shared" si="5"/>
        <v>265413.56317482109</v>
      </c>
      <c r="M21" s="1"/>
      <c r="N21" s="1"/>
    </row>
    <row r="22" spans="1:14" x14ac:dyDescent="0.2">
      <c r="A22" s="3" t="s">
        <v>96</v>
      </c>
      <c r="B22" s="7">
        <f>IS_Hist!D21</f>
        <v>20</v>
      </c>
      <c r="C22" s="13">
        <f>Interim_Bridge!D25</f>
        <v>182.46448499999994</v>
      </c>
      <c r="D22" s="7">
        <f>Schedules!D20</f>
        <v>2525.7814414102472</v>
      </c>
      <c r="E22" s="7">
        <f>Schedules!E20</f>
        <v>8333.5447092752383</v>
      </c>
      <c r="F22" s="7">
        <f>Schedules!F20</f>
        <v>14499.661858716703</v>
      </c>
      <c r="G22" s="7">
        <f>Schedules!G20</f>
        <v>21491.904754565898</v>
      </c>
      <c r="H22" s="7">
        <f>Schedules!H20</f>
        <v>29293.008090301108</v>
      </c>
      <c r="I22" s="7">
        <f>Schedules!I20</f>
        <v>36981.82688315933</v>
      </c>
      <c r="J22" s="7">
        <f>Schedules!J20</f>
        <v>43669.838367330398</v>
      </c>
      <c r="K22" s="7">
        <f>Schedules!K20</f>
        <v>50635.347836684261</v>
      </c>
      <c r="L22" s="7">
        <f>Schedules!L20</f>
        <v>55736.848266712426</v>
      </c>
      <c r="M22" s="1"/>
      <c r="N22" s="1"/>
    </row>
    <row r="23" spans="1:14" x14ac:dyDescent="0.2">
      <c r="A23" s="27" t="s">
        <v>549</v>
      </c>
      <c r="B23" s="23">
        <f t="shared" si="6" ref="B23:L23">B21-B22</f>
        <v>-41965</v>
      </c>
      <c r="C23" s="62">
        <f t="shared" si="6"/>
        <v>-76983.071985000002</v>
      </c>
      <c r="D23" s="23">
        <f t="shared" si="6"/>
        <v>15583.37808911474</v>
      </c>
      <c r="E23" s="23">
        <f t="shared" si="6"/>
        <v>31350.00152536876</v>
      </c>
      <c r="F23" s="23">
        <f t="shared" si="6"/>
        <v>54546.346992315215</v>
      </c>
      <c r="G23" s="23">
        <f t="shared" si="6"/>
        <v>80850.498838605054</v>
      </c>
      <c r="H23" s="23">
        <f t="shared" si="6"/>
        <v>110197.50662541845</v>
      </c>
      <c r="I23" s="23">
        <f t="shared" si="6"/>
        <v>139122.11065569462</v>
      </c>
      <c r="J23" s="23">
        <f t="shared" si="6"/>
        <v>164281.7729056715</v>
      </c>
      <c r="K23" s="23">
        <f t="shared" si="6"/>
        <v>190485.3561475265</v>
      </c>
      <c r="L23" s="23">
        <f t="shared" si="6"/>
        <v>209676.71490810867</v>
      </c>
      <c r="M23" s="1"/>
      <c r="N23" s="1"/>
    </row>
    <row r="24" spans="1:14" x14ac:dyDescent="0.2">
      <c r="A24" s="40" t="s">
        <v>614</v>
      </c>
      <c r="B24" s="22">
        <f t="shared" si="7" ref="B24:L24">B23/B7</f>
        <v>-9.1526717557251906</v>
      </c>
      <c r="C24" s="35">
        <f t="shared" si="7"/>
        <v>-1.405159566038769</v>
      </c>
      <c r="D24" s="22">
        <f t="shared" si="7"/>
        <v>0.1354480384206144</v>
      </c>
      <c r="E24" s="22">
        <f t="shared" si="7"/>
        <v>0.1703055086488508</v>
      </c>
      <c r="F24" s="22">
        <f t="shared" si="7"/>
        <v>0.21472257858840163</v>
      </c>
      <c r="G24" s="22">
        <f t="shared" si="7"/>
        <v>0.25060574681866604</v>
      </c>
      <c r="H24" s="22">
        <f t="shared" si="7"/>
        <v>0.28464190947196677</v>
      </c>
      <c r="I24" s="22">
        <f t="shared" si="7"/>
        <v>0.3124822791169013</v>
      </c>
      <c r="J24" s="22">
        <f t="shared" si="7"/>
        <v>0.32945840690510786</v>
      </c>
      <c r="K24" s="22">
        <f t="shared" si="7"/>
        <v>0.34728027929268057</v>
      </c>
      <c r="L24" s="22">
        <f t="shared" si="7"/>
        <v>0.35395249344222834</v>
      </c>
      <c r="M24" s="1"/>
      <c r="N24" s="1"/>
    </row>
    <row r="25" spans="1:14" x14ac:dyDescent="0.2">
      <c r="A25" s="1"/>
      <c r="B25" s="1"/>
      <c r="C25" s="3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24" t="s">
        <v>615</v>
      </c>
      <c r="B26" s="1"/>
      <c r="C26" s="3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3" t="s">
        <v>616</v>
      </c>
      <c r="B27" s="7">
        <f>CF_Hist!D11</f>
        <v>40</v>
      </c>
      <c r="C27" s="13">
        <f>Schedules!C10</f>
        <v>290.7</v>
      </c>
      <c r="D27" s="7">
        <f>Schedules!D10</f>
        <v>1188.9636</v>
      </c>
      <c r="E27" s="7">
        <f>Schedules!E10</f>
        <v>3114.1221600000003</v>
      </c>
      <c r="F27" s="7">
        <f>Schedules!F10</f>
        <v>5996.1992064000005</v>
      </c>
      <c r="G27" s="7">
        <f>Schedules!G10</f>
        <v>9087.5551969920016</v>
      </c>
      <c r="H27" s="7">
        <f>Schedules!H10</f>
        <v>11851.2522826368</v>
      </c>
      <c r="I27" s="7">
        <f>Schedules!I10</f>
        <v>14475.16392298752</v>
      </c>
      <c r="J27" s="7">
        <f>Schedules!J10</f>
        <v>16744.636748649984</v>
      </c>
      <c r="K27" s="7">
        <f>Schedules!K10</f>
        <v>18631.449569321474</v>
      </c>
      <c r="L27" s="7">
        <f>Schedules!L10</f>
        <v>20609.623231589845</v>
      </c>
      <c r="M27" s="1"/>
      <c r="N27" s="1"/>
    </row>
    <row r="28" spans="1:14" x14ac:dyDescent="0.2">
      <c r="A28" s="3" t="s">
        <v>617</v>
      </c>
      <c r="B28" s="4">
        <f t="shared" si="8" ref="B28:L28">B17+B27</f>
        <v>-8020</v>
      </c>
      <c r="C28" s="31">
        <f t="shared" si="8"/>
        <v>1220.2</v>
      </c>
      <c r="D28" s="4">
        <f t="shared" si="8"/>
        <v>14419.782599999988</v>
      </c>
      <c r="E28" s="4">
        <f t="shared" si="8"/>
        <v>37169.099759999983</v>
      </c>
      <c r="F28" s="4">
        <f t="shared" si="8"/>
        <v>68233.971782399982</v>
      </c>
      <c r="G28" s="4">
        <f t="shared" si="8"/>
        <v>102647.43944083201</v>
      </c>
      <c r="H28" s="4">
        <f t="shared" si="8"/>
        <v>139608.88731905277</v>
      </c>
      <c r="I28" s="4">
        <f t="shared" si="8"/>
        <v>174752.92424140027</v>
      </c>
      <c r="J28" s="4">
        <f t="shared" si="8"/>
        <v>203735.35712013161</v>
      </c>
      <c r="K28" s="4">
        <f t="shared" si="8"/>
        <v>232548.83367429645</v>
      </c>
      <c r="L28" s="4">
        <f t="shared" si="8"/>
        <v>251640.39806496282</v>
      </c>
      <c r="M28" s="1"/>
      <c r="N28" s="1"/>
    </row>
    <row r="29" spans="1:14" x14ac:dyDescent="0.2">
      <c r="A29" s="3" t="s">
        <v>618</v>
      </c>
      <c r="B29" s="7">
        <f>Revenue_Hist!D39</f>
        <v>-4854</v>
      </c>
      <c r="C29" s="13">
        <f>Interim_Bridge!D21</f>
        <v>8740.5</v>
      </c>
      <c r="D29" s="4">
        <f t="shared" si="9" ref="D29:L29">D17+D11</f>
        <v>24735.87899999999</v>
      </c>
      <c r="E29" s="4">
        <f t="shared" si="9"/>
        <v>48781.454399999988</v>
      </c>
      <c r="F29" s="4">
        <f t="shared" si="9"/>
        <v>80019.993311999991</v>
      </c>
      <c r="G29" s="4">
        <f t="shared" si="9"/>
        <v>112917.1016736</v>
      </c>
      <c r="H29" s="4">
        <f t="shared" si="9"/>
        <v>149050.57420915196</v>
      </c>
      <c r="I29" s="4">
        <f t="shared" si="9"/>
        <v>182538.56036263672</v>
      </c>
      <c r="J29" s="4">
        <f t="shared" si="9"/>
        <v>211922.81642101248</v>
      </c>
      <c r="K29" s="4">
        <f t="shared" si="9"/>
        <v>238600.15919401054</v>
      </c>
      <c r="L29" s="4">
        <f t="shared" si="9"/>
        <v>257688.17192953138</v>
      </c>
      <c r="M29" s="1"/>
      <c r="N29" s="1"/>
    </row>
    <row r="30" spans="1:14" x14ac:dyDescent="0.2">
      <c r="A30" s="40" t="s">
        <v>315</v>
      </c>
      <c r="B30" s="22">
        <f t="shared" si="10" ref="B30:L30">B29/B7</f>
        <v>-1.0586695747001091</v>
      </c>
      <c r="C30" s="35">
        <f t="shared" si="10"/>
        <v>0.1595389333041288</v>
      </c>
      <c r="D30" s="22">
        <f t="shared" si="10"/>
        <v>0.21499999999999991</v>
      </c>
      <c r="E30" s="22">
        <f t="shared" si="10"/>
        <v>0.2649999999999999</v>
      </c>
      <c r="F30" s="22">
        <f t="shared" si="10"/>
        <v>0.31499999999999995</v>
      </c>
      <c r="G30" s="22">
        <f t="shared" si="10"/>
        <v>0.35000000000000003</v>
      </c>
      <c r="H30" s="22">
        <f t="shared" si="10"/>
        <v>0.38499999999999995</v>
      </c>
      <c r="I30" s="22">
        <f t="shared" si="10"/>
        <v>0.40999999999999992</v>
      </c>
      <c r="J30" s="22">
        <f t="shared" si="10"/>
        <v>0.42500000000000004</v>
      </c>
      <c r="K30" s="22">
        <f t="shared" si="10"/>
        <v>0.435</v>
      </c>
      <c r="L30" s="22">
        <f t="shared" si="10"/>
        <v>0.435</v>
      </c>
      <c r="M30" s="1"/>
      <c r="N30" s="1"/>
    </row>
    <row r="31" spans="1:14" x14ac:dyDescent="0.2">
      <c r="A31" s="1"/>
      <c r="B31" s="1"/>
      <c r="C31" s="3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24" t="s">
        <v>619</v>
      </c>
      <c r="B32" s="1"/>
      <c r="C32" s="3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3" t="s">
        <v>563</v>
      </c>
      <c r="B33" s="7">
        <f>BS_Hist!C45</f>
        <v>20277</v>
      </c>
      <c r="C33" s="13">
        <f>Interim_Bridge!D44</f>
        <v>139381.15801499999</v>
      </c>
      <c r="D33" s="4">
        <f t="shared" si="11" ref="D33:L33">C33+D59</f>
        <v>160816.24670411472</v>
      </c>
      <c r="E33" s="4">
        <f t="shared" si="11"/>
        <v>194521.03642948347</v>
      </c>
      <c r="F33" s="4">
        <f t="shared" si="11"/>
        <v>250929.12426659869</v>
      </c>
      <c r="G33" s="4">
        <f t="shared" si="11"/>
        <v>335225.13369438774</v>
      </c>
      <c r="H33" s="4">
        <f t="shared" si="11"/>
        <v>452176.49201260618</v>
      </c>
      <c r="I33" s="4">
        <f t="shared" si="11"/>
        <v>598882.5971862938</v>
      </c>
      <c r="J33" s="4">
        <f t="shared" si="11"/>
        <v>777237.71083530842</v>
      </c>
      <c r="K33" s="4">
        <f t="shared" si="11"/>
        <v>982365.38118423149</v>
      </c>
      <c r="L33" s="4">
        <f t="shared" si="11"/>
        <v>1208592.7740870663</v>
      </c>
      <c r="M33" s="1"/>
      <c r="N33" s="1"/>
    </row>
    <row r="34" spans="1:14" x14ac:dyDescent="0.2">
      <c r="A34" s="3" t="s">
        <v>564</v>
      </c>
      <c r="B34" s="7">
        <f>BS_Hist!C11</f>
        <v>909</v>
      </c>
      <c r="C34" s="13">
        <f>Interim_Bridge!D45</f>
        <v>9861.48</v>
      </c>
      <c r="D34" s="4">
        <f>D7*Assumptions!$C$30</f>
        <v>20709.108</v>
      </c>
      <c r="E34" s="4">
        <f>E7*Assumptions!$C$30</f>
        <v>33134.572800000002</v>
      </c>
      <c r="F34" s="4">
        <f>F7*Assumptions!$C$30</f>
        <v>45725.710463999996</v>
      </c>
      <c r="G34" s="4">
        <f>G7*Assumptions!$C$30</f>
        <v>58071.652289279991</v>
      </c>
      <c r="H34" s="4">
        <f>H7*Assumptions!$C$30</f>
        <v>69685.982747135989</v>
      </c>
      <c r="I34" s="4">
        <f>I7*Assumptions!$C$30</f>
        <v>80138.880159206383</v>
      </c>
      <c r="J34" s="4">
        <f>J7*Assumptions!$C$30</f>
        <v>89755.545778311149</v>
      </c>
      <c r="K34" s="4">
        <f>K7*Assumptions!$C$30</f>
        <v>98731.100356142284</v>
      </c>
      <c r="L34" s="4">
        <f>L7*Assumptions!$C$30</f>
        <v>106629.58838463367</v>
      </c>
      <c r="M34" s="1"/>
      <c r="N34" s="1"/>
    </row>
    <row r="35" spans="1:14" x14ac:dyDescent="0.2">
      <c r="A35" s="3" t="s">
        <v>122</v>
      </c>
      <c r="B35" s="7">
        <f>BS_Hist!C12</f>
        <v>2560</v>
      </c>
      <c r="C35" s="13">
        <f>Interim_Bridge!D46</f>
        <v>821.79</v>
      </c>
      <c r="D35" s="4">
        <f>D7*Assumptions!$C$31</f>
        <v>1725.759</v>
      </c>
      <c r="E35" s="4">
        <f>E7*Assumptions!$C$31</f>
        <v>2761.2144000000003</v>
      </c>
      <c r="F35" s="4">
        <f>F7*Assumptions!$C$31</f>
        <v>3810.475872</v>
      </c>
      <c r="G35" s="4">
        <f>G7*Assumptions!$C$31</f>
        <v>4839.304357439999</v>
      </c>
      <c r="H35" s="4">
        <f>H7*Assumptions!$C$31</f>
        <v>5807.1652289279991</v>
      </c>
      <c r="I35" s="4">
        <f>I7*Assumptions!$C$31</f>
        <v>6678.2400132671983</v>
      </c>
      <c r="J35" s="4">
        <f>J7*Assumptions!$C$31</f>
        <v>7479.628814859263</v>
      </c>
      <c r="K35" s="4">
        <f>K7*Assumptions!$C$31</f>
        <v>8227.5916963451909</v>
      </c>
      <c r="L35" s="4">
        <f>L7*Assumptions!$C$31</f>
        <v>8885.7990320528061</v>
      </c>
      <c r="M35" s="1"/>
      <c r="N35" s="1"/>
    </row>
    <row r="36" spans="1:14" x14ac:dyDescent="0.2">
      <c r="A36" s="3" t="s">
        <v>125</v>
      </c>
      <c r="B36" s="7">
        <f>BS_Hist!C15</f>
        <v>146</v>
      </c>
      <c r="C36" s="13">
        <f>Interim_Bridge!D47</f>
        <v>2493.3000000000002</v>
      </c>
      <c r="D36" s="7">
        <f>Schedules!D12</f>
        <v>8207.3724000000002</v>
      </c>
      <c r="E36" s="7">
        <f>Schedules!E12</f>
        <v>19819.727040000005</v>
      </c>
      <c r="F36" s="7">
        <f>Schedules!F12</f>
        <v>34146.065817600007</v>
      </c>
      <c r="G36" s="7">
        <f>Schedules!G12</f>
        <v>47641.930955328004</v>
      </c>
      <c r="H36" s="7">
        <f>Schedules!H12</f>
        <v>59019.3395884032</v>
      </c>
      <c r="I36" s="7">
        <f>Schedules!I12</f>
        <v>71257.135718484482</v>
      </c>
      <c r="J36" s="7">
        <f>Schedules!J12</f>
        <v>79444.595019365384</v>
      </c>
      <c r="K36" s="7">
        <f>Schedules!K12</f>
        <v>88238.451104527892</v>
      </c>
      <c r="L36" s="7">
        <f>Schedules!L12</f>
        <v>97248.157979780721</v>
      </c>
      <c r="M36" s="1"/>
      <c r="N36" s="1"/>
    </row>
    <row r="37" spans="1:14" x14ac:dyDescent="0.2">
      <c r="A37" s="3" t="s">
        <v>565</v>
      </c>
      <c r="B37" s="4">
        <f>BS_Hist!C14+BS_Hist!C16+BS_Hist!C17+BS_Hist!C18</f>
        <v>769</v>
      </c>
      <c r="C37" s="13">
        <f>Interim_Bridge!D48</f>
        <v>8191</v>
      </c>
      <c r="D37" s="4">
        <f t="shared" si="12" ref="D37:L37">C37</f>
        <v>8191</v>
      </c>
      <c r="E37" s="4">
        <f t="shared" si="12"/>
        <v>8191</v>
      </c>
      <c r="F37" s="4">
        <f t="shared" si="12"/>
        <v>8191</v>
      </c>
      <c r="G37" s="4">
        <f t="shared" si="12"/>
        <v>8191</v>
      </c>
      <c r="H37" s="4">
        <f t="shared" si="12"/>
        <v>8191</v>
      </c>
      <c r="I37" s="4">
        <f t="shared" si="12"/>
        <v>8191</v>
      </c>
      <c r="J37" s="4">
        <f t="shared" si="12"/>
        <v>8191</v>
      </c>
      <c r="K37" s="4">
        <f t="shared" si="12"/>
        <v>8191</v>
      </c>
      <c r="L37" s="4">
        <f t="shared" si="12"/>
        <v>8191</v>
      </c>
      <c r="M37" s="1"/>
      <c r="N37" s="1"/>
    </row>
    <row r="38" spans="1:14" x14ac:dyDescent="0.2">
      <c r="A38" s="24" t="s">
        <v>129</v>
      </c>
      <c r="B38" s="19">
        <f t="shared" si="13" ref="B38:L38">B33+B34+B35+B36+B37</f>
        <v>24661</v>
      </c>
      <c r="C38" s="36">
        <f t="shared" si="13"/>
        <v>160748.728015</v>
      </c>
      <c r="D38" s="19">
        <f t="shared" si="13"/>
        <v>199649.48610411471</v>
      </c>
      <c r="E38" s="19">
        <f t="shared" si="13"/>
        <v>258427.55066948346</v>
      </c>
      <c r="F38" s="19">
        <f t="shared" si="13"/>
        <v>342802.37642019865</v>
      </c>
      <c r="G38" s="19">
        <f t="shared" si="13"/>
        <v>453969.02129643568</v>
      </c>
      <c r="H38" s="19">
        <f t="shared" si="13"/>
        <v>594879.97957707336</v>
      </c>
      <c r="I38" s="19">
        <f t="shared" si="13"/>
        <v>765147.85307725181</v>
      </c>
      <c r="J38" s="19">
        <f t="shared" si="13"/>
        <v>962108.48044784437</v>
      </c>
      <c r="K38" s="19">
        <f t="shared" si="13"/>
        <v>1185753.5243412468</v>
      </c>
      <c r="L38" s="19">
        <f t="shared" si="13"/>
        <v>1429547.3194835335</v>
      </c>
      <c r="M38" s="1"/>
      <c r="N38" s="1"/>
    </row>
    <row r="39" spans="1:14" x14ac:dyDescent="0.2">
      <c r="A39" s="3" t="s">
        <v>567</v>
      </c>
      <c r="B39" s="7">
        <f>BS_Hist!C23</f>
        <v>2511</v>
      </c>
      <c r="C39" s="13">
        <f>Interim_Bridge!D50</f>
        <v>8458.5</v>
      </c>
      <c r="D39" s="4">
        <f>D9*Assumptions!$C$33</f>
        <v>17257.59</v>
      </c>
      <c r="E39" s="4">
        <f>E9*Assumptions!$C$33</f>
        <v>26507.658240000001</v>
      </c>
      <c r="F39" s="4">
        <f>F9*Assumptions!$C$33</f>
        <v>35056.3780224</v>
      </c>
      <c r="G39" s="4">
        <f>G9*Assumptions!$C$33</f>
        <v>42585.878345471996</v>
      </c>
      <c r="H39" s="4">
        <f>H9*Assumptions!$C$33</f>
        <v>48780.187922995188</v>
      </c>
      <c r="I39" s="4">
        <f>I9*Assumptions!$C$33</f>
        <v>54761.568108791027</v>
      </c>
      <c r="J39" s="4">
        <f>J9*Assumptions!$C$33</f>
        <v>59837.030518874104</v>
      </c>
      <c r="K39" s="4">
        <f>K9*Assumptions!$C$33</f>
        <v>65820.733570761528</v>
      </c>
      <c r="L39" s="4">
        <f>L9*Assumptions!$C$33</f>
        <v>71086.392256422449</v>
      </c>
      <c r="M39" s="1"/>
      <c r="N39" s="1"/>
    </row>
    <row r="40" spans="1:14" x14ac:dyDescent="0.2">
      <c r="A40" s="3" t="s">
        <v>134</v>
      </c>
      <c r="B40" s="7">
        <f>BS_Hist!C25</f>
        <v>269</v>
      </c>
      <c r="C40" s="13">
        <f>Interim_Bridge!D51</f>
        <v>2739.3</v>
      </c>
      <c r="D40" s="4">
        <f>D7*Assumptions!$C$32</f>
        <v>5752.5300000000007</v>
      </c>
      <c r="E40" s="4">
        <f>E7*Assumptions!$C$32</f>
        <v>9204.0480000000007</v>
      </c>
      <c r="F40" s="4">
        <f>F7*Assumptions!$C$32</f>
        <v>12701.586240000001</v>
      </c>
      <c r="G40" s="4">
        <f>G7*Assumptions!$C$32</f>
        <v>16131.014524799999</v>
      </c>
      <c r="H40" s="4">
        <f>H7*Assumptions!$C$32</f>
        <v>19357.217429759996</v>
      </c>
      <c r="I40" s="4">
        <f>I7*Assumptions!$C$32</f>
        <v>22260.800044223997</v>
      </c>
      <c r="J40" s="4">
        <f>J7*Assumptions!$C$32</f>
        <v>24932.096049530879</v>
      </c>
      <c r="K40" s="4">
        <f>K7*Assumptions!$C$32</f>
        <v>27425.305654483971</v>
      </c>
      <c r="L40" s="4">
        <f>L7*Assumptions!$C$32</f>
        <v>29619.330106842688</v>
      </c>
      <c r="M40" s="1"/>
      <c r="N40" s="1"/>
    </row>
    <row r="41" spans="1:14" x14ac:dyDescent="0.2">
      <c r="A41" s="3" t="s">
        <v>568</v>
      </c>
      <c r="B41" s="4">
        <f>BS_Hist!C24+BS_Hist!C27+BS_Hist!C29</f>
        <v>940</v>
      </c>
      <c r="C41" s="13">
        <f>Interim_Bridge!D52</f>
        <v>1829</v>
      </c>
      <c r="D41" s="4">
        <f t="shared" si="14" ref="D41:L41">C41</f>
        <v>1829</v>
      </c>
      <c r="E41" s="4">
        <f t="shared" si="14"/>
        <v>1829</v>
      </c>
      <c r="F41" s="4">
        <f t="shared" si="14"/>
        <v>1829</v>
      </c>
      <c r="G41" s="4">
        <f t="shared" si="14"/>
        <v>1829</v>
      </c>
      <c r="H41" s="4">
        <f t="shared" si="14"/>
        <v>1829</v>
      </c>
      <c r="I41" s="4">
        <f t="shared" si="14"/>
        <v>1829</v>
      </c>
      <c r="J41" s="4">
        <f t="shared" si="14"/>
        <v>1829</v>
      </c>
      <c r="K41" s="4">
        <f t="shared" si="14"/>
        <v>1829</v>
      </c>
      <c r="L41" s="4">
        <f t="shared" si="14"/>
        <v>1829</v>
      </c>
      <c r="M41" s="1"/>
      <c r="N41" s="1"/>
    </row>
    <row r="42" spans="1:14" x14ac:dyDescent="0.2">
      <c r="A42" s="3" t="s">
        <v>137</v>
      </c>
      <c r="B42" s="7">
        <f>BS_Hist!C28</f>
        <v>41677</v>
      </c>
      <c r="C42" s="13">
        <f>Interim_Bridge!D53</f>
        <v>0</v>
      </c>
      <c r="D42" s="4">
        <f>0</f>
        <v>0</v>
      </c>
      <c r="E42" s="4">
        <f>0</f>
        <v>0</v>
      </c>
      <c r="F42" s="4">
        <f>0</f>
        <v>0</v>
      </c>
      <c r="G42" s="4">
        <f>0</f>
        <v>0</v>
      </c>
      <c r="H42" s="4">
        <f>0</f>
        <v>0</v>
      </c>
      <c r="I42" s="4">
        <f>0</f>
        <v>0</v>
      </c>
      <c r="J42" s="4">
        <f>0</f>
        <v>0</v>
      </c>
      <c r="K42" s="4">
        <f>0</f>
        <v>0</v>
      </c>
      <c r="L42" s="4">
        <f>0</f>
        <v>0</v>
      </c>
      <c r="M42" s="1"/>
      <c r="N42" s="1"/>
    </row>
    <row r="43" spans="1:14" x14ac:dyDescent="0.2">
      <c r="A43" s="24" t="s">
        <v>139</v>
      </c>
      <c r="B43" s="19">
        <f t="shared" si="15" ref="B43:L43">B39+B40+B41+B42</f>
        <v>45397</v>
      </c>
      <c r="C43" s="36">
        <f t="shared" si="15"/>
        <v>13026.8</v>
      </c>
      <c r="D43" s="19">
        <f t="shared" si="15"/>
        <v>24839.120000000003</v>
      </c>
      <c r="E43" s="19">
        <f t="shared" si="15"/>
        <v>37540.70624</v>
      </c>
      <c r="F43" s="19">
        <f t="shared" si="15"/>
        <v>49586.964262399997</v>
      </c>
      <c r="G43" s="19">
        <f t="shared" si="15"/>
        <v>60545.892870271993</v>
      </c>
      <c r="H43" s="19">
        <f t="shared" si="15"/>
        <v>69966.405352755188</v>
      </c>
      <c r="I43" s="19">
        <f t="shared" si="15"/>
        <v>78851.368153015021</v>
      </c>
      <c r="J43" s="19">
        <f t="shared" si="15"/>
        <v>86598.126568404987</v>
      </c>
      <c r="K43" s="19">
        <f t="shared" si="15"/>
        <v>95075.039225245506</v>
      </c>
      <c r="L43" s="19">
        <f t="shared" si="15"/>
        <v>102534.72236326514</v>
      </c>
      <c r="M43" s="1"/>
      <c r="N43" s="1"/>
    </row>
    <row r="44" spans="1:14" x14ac:dyDescent="0.2">
      <c r="A44" s="3" t="s">
        <v>141</v>
      </c>
      <c r="B44" s="7">
        <f>BS_Hist!C32</f>
        <v>29769</v>
      </c>
      <c r="C44" s="13">
        <f>Interim_Bridge!D55</f>
        <v>0</v>
      </c>
      <c r="D44" s="4">
        <f>0</f>
        <v>0</v>
      </c>
      <c r="E44" s="4">
        <f>0</f>
        <v>0</v>
      </c>
      <c r="F44" s="4">
        <f>0</f>
        <v>0</v>
      </c>
      <c r="G44" s="4">
        <f>0</f>
        <v>0</v>
      </c>
      <c r="H44" s="4">
        <f>0</f>
        <v>0</v>
      </c>
      <c r="I44" s="4">
        <f>0</f>
        <v>0</v>
      </c>
      <c r="J44" s="4">
        <f>0</f>
        <v>0</v>
      </c>
      <c r="K44" s="4">
        <f>0</f>
        <v>0</v>
      </c>
      <c r="L44" s="4">
        <f>0</f>
        <v>0</v>
      </c>
      <c r="M44" s="1"/>
      <c r="N44" s="1"/>
    </row>
    <row r="45" spans="1:14" x14ac:dyDescent="0.2">
      <c r="A45" s="3" t="s">
        <v>571</v>
      </c>
      <c r="B45" s="7">
        <f>BS_Hist!C41</f>
        <v>-50505</v>
      </c>
      <c r="C45" s="13">
        <f>Interim_Bridge!D56</f>
        <v>147721.92801500001</v>
      </c>
      <c r="D45" s="4">
        <f t="shared" si="16" ref="D45:L45">C45+D23+D11+D57</f>
        <v>174810.36610411474</v>
      </c>
      <c r="E45" s="4">
        <f t="shared" si="16"/>
        <v>220886.84442948352</v>
      </c>
      <c r="F45" s="4">
        <f t="shared" si="16"/>
        <v>293215.41215779871</v>
      </c>
      <c r="G45" s="4">
        <f t="shared" si="16"/>
        <v>393423.12842616375</v>
      </c>
      <c r="H45" s="4">
        <f t="shared" si="16"/>
        <v>524913.57422431814</v>
      </c>
      <c r="I45" s="4">
        <f t="shared" si="16"/>
        <v>686296.48492423678</v>
      </c>
      <c r="J45" s="4">
        <f t="shared" si="16"/>
        <v>875510.35387943918</v>
      </c>
      <c r="K45" s="4">
        <f t="shared" si="16"/>
        <v>1090678.4851160012</v>
      </c>
      <c r="L45" s="4">
        <f t="shared" si="16"/>
        <v>1327012.5971202683</v>
      </c>
      <c r="M45" s="1"/>
      <c r="N45" s="1"/>
    </row>
    <row r="46" spans="1:14" x14ac:dyDescent="0.2">
      <c r="A46" s="24" t="s">
        <v>573</v>
      </c>
      <c r="B46" s="23">
        <f t="shared" si="17" ref="B46:L46">B43+B44+B45</f>
        <v>24661</v>
      </c>
      <c r="C46" s="62">
        <f t="shared" si="17"/>
        <v>160748.728015</v>
      </c>
      <c r="D46" s="23">
        <f t="shared" si="17"/>
        <v>199649.48610411474</v>
      </c>
      <c r="E46" s="23">
        <f t="shared" si="17"/>
        <v>258427.55066948352</v>
      </c>
      <c r="F46" s="23">
        <f t="shared" si="17"/>
        <v>342802.37642019871</v>
      </c>
      <c r="G46" s="23">
        <f t="shared" si="17"/>
        <v>453969.02129643573</v>
      </c>
      <c r="H46" s="23">
        <f t="shared" si="17"/>
        <v>594879.97957707336</v>
      </c>
      <c r="I46" s="23">
        <f t="shared" si="17"/>
        <v>765147.85307725181</v>
      </c>
      <c r="J46" s="23">
        <f t="shared" si="17"/>
        <v>962108.48044784414</v>
      </c>
      <c r="K46" s="23">
        <f t="shared" si="17"/>
        <v>1185753.5243412468</v>
      </c>
      <c r="L46" s="23">
        <f t="shared" si="17"/>
        <v>1429547.3194835335</v>
      </c>
      <c r="M46" s="1"/>
      <c r="N46" s="1"/>
    </row>
    <row r="47" spans="1:14" x14ac:dyDescent="0.2">
      <c r="A47" s="1"/>
      <c r="B47" s="1"/>
      <c r="C47" s="3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24" t="s">
        <v>620</v>
      </c>
      <c r="B48" s="1"/>
      <c r="C48" s="3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3" t="s">
        <v>549</v>
      </c>
      <c r="B49" s="7">
        <f>CF_Hist!D7</f>
        <v>-41965</v>
      </c>
      <c r="C49" s="13">
        <f>Interim_Bridge!D29</f>
        <v>-76983.071985000002</v>
      </c>
      <c r="D49" s="4">
        <f t="shared" si="18" ref="D49:L49">D23</f>
        <v>15583.37808911474</v>
      </c>
      <c r="E49" s="4">
        <f t="shared" si="18"/>
        <v>31350.00152536876</v>
      </c>
      <c r="F49" s="4">
        <f t="shared" si="18"/>
        <v>54546.346992315215</v>
      </c>
      <c r="G49" s="4">
        <f t="shared" si="18"/>
        <v>80850.498838605054</v>
      </c>
      <c r="H49" s="4">
        <f t="shared" si="18"/>
        <v>110197.50662541845</v>
      </c>
      <c r="I49" s="4">
        <f t="shared" si="18"/>
        <v>139122.11065569462</v>
      </c>
      <c r="J49" s="4">
        <f t="shared" si="18"/>
        <v>164281.7729056715</v>
      </c>
      <c r="K49" s="4">
        <f t="shared" si="18"/>
        <v>190485.3561475265</v>
      </c>
      <c r="L49" s="4">
        <f t="shared" si="18"/>
        <v>209676.71490810867</v>
      </c>
      <c r="M49" s="1"/>
      <c r="N49" s="1"/>
    </row>
    <row r="50" spans="1:14" x14ac:dyDescent="0.2">
      <c r="A50" s="3" t="s">
        <v>169</v>
      </c>
      <c r="B50" s="7">
        <f>CF_Hist!D11</f>
        <v>40</v>
      </c>
      <c r="C50" s="13">
        <f>Interim_Bridge!D30</f>
        <v>290.7</v>
      </c>
      <c r="D50" s="4">
        <f t="shared" si="19" ref="D50:L50">D27</f>
        <v>1188.9636</v>
      </c>
      <c r="E50" s="4">
        <f t="shared" si="19"/>
        <v>3114.1221600000003</v>
      </c>
      <c r="F50" s="4">
        <f t="shared" si="19"/>
        <v>5996.1992064000005</v>
      </c>
      <c r="G50" s="4">
        <f t="shared" si="19"/>
        <v>9087.5551969920016</v>
      </c>
      <c r="H50" s="4">
        <f t="shared" si="19"/>
        <v>11851.2522826368</v>
      </c>
      <c r="I50" s="4">
        <f t="shared" si="19"/>
        <v>14475.16392298752</v>
      </c>
      <c r="J50" s="4">
        <f t="shared" si="19"/>
        <v>16744.636748649984</v>
      </c>
      <c r="K50" s="4">
        <f t="shared" si="19"/>
        <v>18631.449569321474</v>
      </c>
      <c r="L50" s="4">
        <f t="shared" si="19"/>
        <v>20609.623231589845</v>
      </c>
      <c r="M50" s="1"/>
      <c r="N50" s="1"/>
    </row>
    <row r="51" spans="1:14" x14ac:dyDescent="0.2">
      <c r="A51" s="3" t="s">
        <v>551</v>
      </c>
      <c r="B51" s="7">
        <f>CF_Hist!D10</f>
        <v>1158</v>
      </c>
      <c r="C51" s="13">
        <f>Interim_Bridge!D31</f>
        <v>7685</v>
      </c>
      <c r="D51" s="4">
        <f t="shared" si="20" ref="D51:L51">D11</f>
        <v>11505.060000000001</v>
      </c>
      <c r="E51" s="4">
        <f t="shared" si="20"/>
        <v>14726.476800000002</v>
      </c>
      <c r="F51" s="4">
        <f t="shared" si="20"/>
        <v>17782.220736000003</v>
      </c>
      <c r="G51" s="4">
        <f t="shared" si="20"/>
        <v>19357.217429759996</v>
      </c>
      <c r="H51" s="4">
        <f t="shared" si="20"/>
        <v>21292.939172735998</v>
      </c>
      <c r="I51" s="4">
        <f t="shared" si="20"/>
        <v>22260.800044223997</v>
      </c>
      <c r="J51" s="4">
        <f t="shared" si="20"/>
        <v>24932.096049530879</v>
      </c>
      <c r="K51" s="4">
        <f t="shared" si="20"/>
        <v>24682.775089035571</v>
      </c>
      <c r="L51" s="4">
        <f t="shared" si="20"/>
        <v>26657.397096158416</v>
      </c>
      <c r="M51" s="1"/>
      <c r="N51" s="1"/>
    </row>
    <row r="52" spans="1:14" x14ac:dyDescent="0.2">
      <c r="A52" s="3" t="s">
        <v>552</v>
      </c>
      <c r="B52" s="4">
        <f>CF_Hist!D12+CF_Hist!D13+CF_Hist!D14+CF_Hist!D15</f>
        <v>34860</v>
      </c>
      <c r="C52" s="13">
        <f>Interim_Bridge!D32</f>
        <v>81227</v>
      </c>
      <c r="D52" s="4">
        <f>0</f>
        <v>0</v>
      </c>
      <c r="E52" s="4">
        <f>0</f>
        <v>0</v>
      </c>
      <c r="F52" s="4">
        <f>0</f>
        <v>0</v>
      </c>
      <c r="G52" s="4">
        <f>0</f>
        <v>0</v>
      </c>
      <c r="H52" s="4">
        <f>0</f>
        <v>0</v>
      </c>
      <c r="I52" s="4">
        <f>0</f>
        <v>0</v>
      </c>
      <c r="J52" s="4">
        <f>0</f>
        <v>0</v>
      </c>
      <c r="K52" s="4">
        <f>0</f>
        <v>0</v>
      </c>
      <c r="L52" s="4">
        <f>0</f>
        <v>0</v>
      </c>
      <c r="M52" s="1"/>
      <c r="N52" s="1"/>
    </row>
    <row r="53" spans="1:14" x14ac:dyDescent="0.2">
      <c r="A53" s="3" t="s">
        <v>553</v>
      </c>
      <c r="B53" s="4">
        <f>CF_Hist!D18+CF_Hist!D19+CF_Hist!D20+CF_Hist!D21+CF_Hist!D22</f>
        <v>3270</v>
      </c>
      <c r="C53" s="13">
        <f>Interim_Bridge!D33</f>
        <v>939.53000000000065</v>
      </c>
      <c r="D53" s="4">
        <f t="shared" si="21" ref="D53:L53">-(D34-C34)-(D35-C35)+(D39-C39)+(D40-C40)</f>
        <v>60.722999999999047</v>
      </c>
      <c r="E53" s="4">
        <f t="shared" si="21"/>
        <v>-759.33396000000175</v>
      </c>
      <c r="F53" s="4">
        <f t="shared" si="21"/>
        <v>-1594.1411135999952</v>
      </c>
      <c r="G53" s="4">
        <f t="shared" si="21"/>
        <v>-2415.8417028479998</v>
      </c>
      <c r="H53" s="4">
        <f t="shared" si="21"/>
        <v>-3161.6788468608083</v>
      </c>
      <c r="I53" s="4">
        <f t="shared" si="21"/>
        <v>-2439.0093961497514</v>
      </c>
      <c r="J53" s="4">
        <f t="shared" si="21"/>
        <v>-2671.2960053068709</v>
      </c>
      <c r="K53" s="4">
        <f t="shared" si="21"/>
        <v>-1246.6048024765478</v>
      </c>
      <c r="L53" s="4">
        <f t="shared" si="21"/>
        <v>-1097.0122261793585</v>
      </c>
      <c r="M53" s="1"/>
      <c r="N53" s="1"/>
    </row>
    <row r="54" spans="1:14" x14ac:dyDescent="0.2">
      <c r="A54" s="24" t="s">
        <v>197</v>
      </c>
      <c r="B54" s="19">
        <f t="shared" si="22" ref="B54:L54">B49+B50+B51+B52+B53</f>
        <v>-2637</v>
      </c>
      <c r="C54" s="36">
        <f t="shared" si="22"/>
        <v>13159.158014999995</v>
      </c>
      <c r="D54" s="19">
        <f t="shared" si="22"/>
        <v>28338.124689114738</v>
      </c>
      <c r="E54" s="19">
        <f t="shared" si="22"/>
        <v>48431.266525368759</v>
      </c>
      <c r="F54" s="19">
        <f t="shared" si="22"/>
        <v>76730.625821115216</v>
      </c>
      <c r="G54" s="19">
        <f t="shared" si="22"/>
        <v>106879.42976250905</v>
      </c>
      <c r="H54" s="19">
        <f t="shared" si="22"/>
        <v>140180.01923393045</v>
      </c>
      <c r="I54" s="19">
        <f t="shared" si="22"/>
        <v>173419.06522675639</v>
      </c>
      <c r="J54" s="19">
        <f t="shared" si="22"/>
        <v>203287.20969854548</v>
      </c>
      <c r="K54" s="19">
        <f t="shared" si="22"/>
        <v>232552.97600340698</v>
      </c>
      <c r="L54" s="19">
        <f t="shared" si="22"/>
        <v>255846.72300967757</v>
      </c>
      <c r="M54" s="1"/>
      <c r="N54" s="1"/>
    </row>
    <row r="55" spans="1:14" x14ac:dyDescent="0.2">
      <c r="A55" s="3" t="s">
        <v>554</v>
      </c>
      <c r="B55" s="7">
        <f>CF_Hist!D26</f>
        <v>-131</v>
      </c>
      <c r="C55" s="13">
        <f>Interim_Bridge!D35</f>
        <v>-1982</v>
      </c>
      <c r="D55" s="4">
        <f>-Schedules!D7</f>
        <v>-6903.0360000000001</v>
      </c>
      <c r="E55" s="4">
        <f>-Schedules!E7</f>
        <v>-14726.476800000002</v>
      </c>
      <c r="F55" s="4">
        <f>-Schedules!F7</f>
        <v>-20322.537983999999</v>
      </c>
      <c r="G55" s="4">
        <f>-Schedules!G7</f>
        <v>-22583.420334720002</v>
      </c>
      <c r="H55" s="4">
        <f>-Schedules!H7</f>
        <v>-23228.660915711996</v>
      </c>
      <c r="I55" s="4">
        <f>-Schedules!I7</f>
        <v>-26712.960053068793</v>
      </c>
      <c r="J55" s="4">
        <f>-Schedules!J7</f>
        <v>-24932.096049530879</v>
      </c>
      <c r="K55" s="4">
        <f>-Schedules!K7</f>
        <v>-27425.305654483971</v>
      </c>
      <c r="L55" s="4">
        <f>-Schedules!L7</f>
        <v>-29619.330106842688</v>
      </c>
      <c r="M55" s="1"/>
      <c r="N55" s="1"/>
    </row>
    <row r="56" spans="1:14" x14ac:dyDescent="0.2">
      <c r="A56" s="3" t="s">
        <v>555</v>
      </c>
      <c r="B56" s="7">
        <f>CF_Hist!D29</f>
        <v>-77</v>
      </c>
      <c r="C56" s="13">
        <f>Interim_Bridge!D36</f>
        <v>-337</v>
      </c>
      <c r="D56" s="4">
        <f>0</f>
        <v>0</v>
      </c>
      <c r="E56" s="4">
        <f>0</f>
        <v>0</v>
      </c>
      <c r="F56" s="4">
        <f>0</f>
        <v>0</v>
      </c>
      <c r="G56" s="4">
        <f>0</f>
        <v>0</v>
      </c>
      <c r="H56" s="4">
        <f>0</f>
        <v>0</v>
      </c>
      <c r="I56" s="4">
        <f>0</f>
        <v>0</v>
      </c>
      <c r="J56" s="4">
        <f>0</f>
        <v>0</v>
      </c>
      <c r="K56" s="4">
        <f>0</f>
        <v>0</v>
      </c>
      <c r="L56" s="4">
        <f>0</f>
        <v>0</v>
      </c>
      <c r="M56" s="1"/>
      <c r="N56" s="1"/>
    </row>
    <row r="57" spans="1:14" x14ac:dyDescent="0.2">
      <c r="A57" s="3" t="s">
        <v>198</v>
      </c>
      <c r="B57" s="7">
        <f>CF_Hist!D40</f>
        <v>19960</v>
      </c>
      <c r="C57" s="13">
        <f>Interim_Bridge!D37</f>
        <v>110774</v>
      </c>
      <c r="D57" s="4">
        <f>0</f>
        <v>0</v>
      </c>
      <c r="E57" s="4">
        <f>0</f>
        <v>0</v>
      </c>
      <c r="F57" s="4">
        <f>0</f>
        <v>0</v>
      </c>
      <c r="G57" s="4">
        <f>0</f>
        <v>0</v>
      </c>
      <c r="H57" s="4">
        <f>0</f>
        <v>0</v>
      </c>
      <c r="I57" s="4">
        <f>0</f>
        <v>0</v>
      </c>
      <c r="J57" s="4">
        <f>0</f>
        <v>0</v>
      </c>
      <c r="K57" s="4">
        <f>0</f>
        <v>0</v>
      </c>
      <c r="L57" s="4">
        <f>0</f>
        <v>0</v>
      </c>
      <c r="M57" s="1"/>
      <c r="N57" s="1" t="s">
        <v>621</v>
      </c>
    </row>
    <row r="58" spans="1:14" x14ac:dyDescent="0.2">
      <c r="A58" s="3" t="s">
        <v>622</v>
      </c>
      <c r="B58" s="4">
        <f>B33-BS_Hist!B45-(B54+B55+B56+B57)</f>
        <v>21</v>
      </c>
      <c r="C58" s="13">
        <f>Interim_Bridge!D38</f>
        <v>-2510</v>
      </c>
      <c r="D58" s="4">
        <f>0</f>
        <v>0</v>
      </c>
      <c r="E58" s="4">
        <f>0</f>
        <v>0</v>
      </c>
      <c r="F58" s="4">
        <f>0</f>
        <v>0</v>
      </c>
      <c r="G58" s="4">
        <f>0</f>
        <v>0</v>
      </c>
      <c r="H58" s="4">
        <f>0</f>
        <v>0</v>
      </c>
      <c r="I58" s="4">
        <f>0</f>
        <v>0</v>
      </c>
      <c r="J58" s="4">
        <f>0</f>
        <v>0</v>
      </c>
      <c r="K58" s="4">
        <f>0</f>
        <v>0</v>
      </c>
      <c r="L58" s="4">
        <f>0</f>
        <v>0</v>
      </c>
      <c r="M58" s="1"/>
      <c r="N58" s="1" t="s">
        <v>623</v>
      </c>
    </row>
    <row r="59" spans="1:14" x14ac:dyDescent="0.2">
      <c r="A59" s="24" t="s">
        <v>559</v>
      </c>
      <c r="B59" s="23">
        <f t="shared" si="23" ref="B59:L59">B54+B55+B56+B57+B58</f>
        <v>17136</v>
      </c>
      <c r="C59" s="62">
        <f t="shared" si="23"/>
        <v>119104.15801499999</v>
      </c>
      <c r="D59" s="23">
        <f t="shared" si="23"/>
        <v>21435.088689114738</v>
      </c>
      <c r="E59" s="23">
        <f t="shared" si="23"/>
        <v>33704.789725368755</v>
      </c>
      <c r="F59" s="23">
        <f t="shared" si="23"/>
        <v>56408.087837115221</v>
      </c>
      <c r="G59" s="23">
        <f t="shared" si="23"/>
        <v>84296.009427789046</v>
      </c>
      <c r="H59" s="23">
        <f t="shared" si="23"/>
        <v>116951.35831821845</v>
      </c>
      <c r="I59" s="23">
        <f t="shared" si="23"/>
        <v>146706.1051736876</v>
      </c>
      <c r="J59" s="23">
        <f t="shared" si="23"/>
        <v>178355.11364901462</v>
      </c>
      <c r="K59" s="23">
        <f t="shared" si="23"/>
        <v>205127.67034892301</v>
      </c>
      <c r="L59" s="23">
        <f t="shared" si="23"/>
        <v>226227.39290283489</v>
      </c>
      <c r="M59" s="1"/>
      <c r="N59" s="1"/>
    </row>
    <row r="60" spans="1:14" x14ac:dyDescent="0.2">
      <c r="A60" s="24" t="s">
        <v>624</v>
      </c>
      <c r="B60" s="20">
        <f t="shared" si="24" ref="B60:L60">B54+B55</f>
        <v>-2768</v>
      </c>
      <c r="C60" s="43">
        <f t="shared" si="24"/>
        <v>11177.158014999995</v>
      </c>
      <c r="D60" s="20">
        <f t="shared" si="24"/>
        <v>21435.088689114738</v>
      </c>
      <c r="E60" s="20">
        <f t="shared" si="24"/>
        <v>33704.789725368755</v>
      </c>
      <c r="F60" s="20">
        <f t="shared" si="24"/>
        <v>56408.087837115221</v>
      </c>
      <c r="G60" s="20">
        <f t="shared" si="24"/>
        <v>84296.009427789046</v>
      </c>
      <c r="H60" s="20">
        <f t="shared" si="24"/>
        <v>116951.35831821845</v>
      </c>
      <c r="I60" s="20">
        <f t="shared" si="24"/>
        <v>146706.1051736876</v>
      </c>
      <c r="J60" s="20">
        <f t="shared" si="24"/>
        <v>178355.11364901462</v>
      </c>
      <c r="K60" s="20">
        <f t="shared" si="24"/>
        <v>205127.67034892301</v>
      </c>
      <c r="L60" s="20">
        <f t="shared" si="24"/>
        <v>226227.39290283489</v>
      </c>
      <c r="M60" s="1"/>
      <c r="N60" s="1"/>
    </row>
    <row r="61" spans="1:14" x14ac:dyDescent="0.2">
      <c r="A61" s="40" t="s">
        <v>625</v>
      </c>
      <c r="B61" s="22">
        <f t="shared" si="25" ref="B61:L61">B60/B7</f>
        <v>-0.60370774263904037</v>
      </c>
      <c r="C61" s="35">
        <f t="shared" si="25"/>
        <v>0.20401485808418202</v>
      </c>
      <c r="D61" s="22">
        <f t="shared" si="25"/>
        <v>0.18631009911390933</v>
      </c>
      <c r="E61" s="22">
        <f t="shared" si="25"/>
        <v>0.18309764206666868</v>
      </c>
      <c r="F61" s="22">
        <f t="shared" si="25"/>
        <v>0.22205135158423811</v>
      </c>
      <c r="G61" s="22">
        <f t="shared" si="25"/>
        <v>0.26128551709562792</v>
      </c>
      <c r="H61" s="22">
        <f t="shared" si="25"/>
        <v>0.30208721564086005</v>
      </c>
      <c r="I61" s="22">
        <f t="shared" si="25"/>
        <v>0.32951669500250824</v>
      </c>
      <c r="J61" s="22">
        <f t="shared" si="25"/>
        <v>0.35768174744451653</v>
      </c>
      <c r="K61" s="22">
        <f t="shared" si="25"/>
        <v>0.37397517630835436</v>
      </c>
      <c r="L61" s="22">
        <f t="shared" si="25"/>
        <v>0.3818914743965996</v>
      </c>
      <c r="M61" s="1"/>
      <c r="N61" s="1"/>
    </row>
    <row r="62" spans="1:14" x14ac:dyDescent="0.2">
      <c r="A62" s="1"/>
      <c r="B62" s="1"/>
      <c r="C62" s="3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24" t="s">
        <v>247</v>
      </c>
      <c r="B63" s="1"/>
      <c r="C63" s="3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3" t="s">
        <v>574</v>
      </c>
      <c r="B64" s="10">
        <f t="shared" si="26" ref="B64:L64">B38-B46</f>
        <v>0</v>
      </c>
      <c r="C64" s="68">
        <f t="shared" si="26"/>
        <v>0</v>
      </c>
      <c r="D64" s="10">
        <f t="shared" si="26"/>
        <v>0</v>
      </c>
      <c r="E64" s="10">
        <f t="shared" si="26"/>
        <v>0</v>
      </c>
      <c r="F64" s="10">
        <f t="shared" si="26"/>
        <v>0</v>
      </c>
      <c r="G64" s="10">
        <f t="shared" si="26"/>
        <v>0</v>
      </c>
      <c r="H64" s="10">
        <f t="shared" si="26"/>
        <v>0</v>
      </c>
      <c r="I64" s="10">
        <f t="shared" si="26"/>
        <v>0</v>
      </c>
      <c r="J64" s="10">
        <f t="shared" si="26"/>
        <v>0</v>
      </c>
      <c r="K64" s="10">
        <f t="shared" si="26"/>
        <v>0</v>
      </c>
      <c r="L64" s="10">
        <f t="shared" si="26"/>
        <v>0</v>
      </c>
      <c r="M64" s="1"/>
      <c r="N64" s="1"/>
    </row>
    <row r="65" spans="1:14" x14ac:dyDescent="0.2">
      <c r="A65" s="3" t="s">
        <v>626</v>
      </c>
      <c r="B65" s="1"/>
      <c r="C65" s="68">
        <f t="shared" si="27" ref="C65:L65">B33+C59-C33</f>
        <v>0</v>
      </c>
      <c r="D65" s="10">
        <f t="shared" si="27"/>
        <v>0</v>
      </c>
      <c r="E65" s="10">
        <f t="shared" si="27"/>
        <v>0</v>
      </c>
      <c r="F65" s="10">
        <f t="shared" si="27"/>
        <v>0</v>
      </c>
      <c r="G65" s="10">
        <f t="shared" si="27"/>
        <v>0</v>
      </c>
      <c r="H65" s="10">
        <f t="shared" si="27"/>
        <v>0</v>
      </c>
      <c r="I65" s="10">
        <f t="shared" si="27"/>
        <v>0</v>
      </c>
      <c r="J65" s="10">
        <f t="shared" si="27"/>
        <v>0</v>
      </c>
      <c r="K65" s="10">
        <f t="shared" si="27"/>
        <v>0</v>
      </c>
      <c r="L65" s="10">
        <f t="shared" si="27"/>
        <v>0</v>
      </c>
      <c r="M65" s="1"/>
      <c r="N65" s="1"/>
    </row>
    <row r="66" spans="1:14" x14ac:dyDescent="0.2">
      <c r="A66" s="3" t="s">
        <v>627</v>
      </c>
      <c r="B66" s="10">
        <f>B23-IS_Hist!D22</f>
        <v>0</v>
      </c>
      <c r="C66" s="3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3" t="s">
        <v>628</v>
      </c>
      <c r="B67" s="10">
        <f>B54-CF_Hist!D23</f>
        <v>0</v>
      </c>
      <c r="C67" s="3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A2331"/>
  </sheetPr>
  <dimension ref="A1:L51"/>
  <sheetViews>
    <sheetView showGridLines="0" workbookViewId="0"/>
  </sheetViews>
  <sheetFormatPr baseColWidth="10" defaultColWidth="8.33203125" defaultRowHeight="15" x14ac:dyDescent="0.2"/>
  <cols>
    <col min="1" max="1" width="99.33203125" customWidth="1"/>
    <col min="2" max="4" width="14.33203125" customWidth="1"/>
    <col min="5" max="12" width="11.33203125" customWidth="1"/>
    <col min="13" max="13" width="17.6640625" customWidth="1"/>
  </cols>
  <sheetData>
    <row r="1" spans="1:12" x14ac:dyDescent="0.2">
      <c r="A1" s="38" t="s">
        <v>629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630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4" t="s">
        <v>352</v>
      </c>
      <c r="B4" s="17" t="s">
        <v>115</v>
      </c>
      <c r="C4" s="12" t="s">
        <v>79</v>
      </c>
      <c r="D4" s="12" t="s">
        <v>80</v>
      </c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24" t="s">
        <v>631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3" t="s">
        <v>118</v>
      </c>
      <c r="B7" s="7">
        <f>BS_Hist!D9</f>
        <v>112389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3" t="s">
        <v>120</v>
      </c>
      <c r="B8" s="7">
        <f>BS_Hist!D10</f>
        <v>19262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3" t="s">
        <v>632</v>
      </c>
      <c r="B9" s="5">
        <v>15000</v>
      </c>
      <c r="C9" s="1"/>
      <c r="D9" s="1" t="s">
        <v>633</v>
      </c>
      <c r="E9" s="1"/>
      <c r="F9" s="1"/>
      <c r="G9" s="1"/>
      <c r="H9" s="1"/>
      <c r="I9" s="1"/>
      <c r="J9" s="1"/>
      <c r="K9" s="1"/>
      <c r="L9" s="1"/>
    </row>
    <row r="10" spans="1:12" x14ac:dyDescent="0.2">
      <c r="A10" s="24" t="s">
        <v>634</v>
      </c>
      <c r="B10" s="19">
        <f>B7+B8+B9</f>
        <v>146651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3" t="s">
        <v>635</v>
      </c>
      <c r="B11" s="5">
        <v>20000</v>
      </c>
      <c r="C11" s="1"/>
      <c r="D11" s="1" t="s">
        <v>636</v>
      </c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3" t="s">
        <v>637</v>
      </c>
      <c r="B12" s="5">
        <v>15000</v>
      </c>
      <c r="C12" s="1"/>
      <c r="D12" s="1" t="s">
        <v>638</v>
      </c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3" t="s">
        <v>639</v>
      </c>
      <c r="B13" s="5">
        <v>42000</v>
      </c>
      <c r="C13" s="1"/>
      <c r="D13" s="1" t="s">
        <v>640</v>
      </c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24" t="s">
        <v>641</v>
      </c>
      <c r="B14" s="19">
        <f>B11+B12+B13</f>
        <v>77000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24" t="s">
        <v>642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3" t="s">
        <v>643</v>
      </c>
      <c r="B17" s="7">
        <f>BS_Hist!D28</f>
        <v>108566</v>
      </c>
      <c r="C17" s="1"/>
      <c r="D17" s="1" t="s">
        <v>644</v>
      </c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3" t="s">
        <v>645</v>
      </c>
      <c r="B18" s="7">
        <f>BS_Hist!D47</f>
        <v>1522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3" t="s">
        <v>646</v>
      </c>
      <c r="B19" s="5">
        <v>0</v>
      </c>
      <c r="C19" s="1"/>
      <c r="D19" s="1" t="s">
        <v>647</v>
      </c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24" t="s">
        <v>648</v>
      </c>
      <c r="B20" s="19">
        <f>B7+B8-B18-B19</f>
        <v>130129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24" t="s">
        <v>649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3">
        <v>2026</v>
      </c>
      <c r="B23" s="5">
        <v>7059</v>
      </c>
      <c r="C23" s="1"/>
      <c r="D23" s="1" t="s">
        <v>650</v>
      </c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3">
        <v>2027</v>
      </c>
      <c r="B24" s="5">
        <v>11128</v>
      </c>
      <c r="C24" s="1"/>
      <c r="D24" s="1" t="s">
        <v>650</v>
      </c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3">
        <v>2028</v>
      </c>
      <c r="B25" s="5">
        <v>10832</v>
      </c>
      <c r="C25" s="1"/>
      <c r="D25" s="1" t="s">
        <v>650</v>
      </c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3">
        <v>2029</v>
      </c>
      <c r="B26" s="5">
        <v>8304</v>
      </c>
      <c r="C26" s="1"/>
      <c r="D26" s="1" t="s">
        <v>650</v>
      </c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3">
        <v>2030</v>
      </c>
      <c r="B27" s="5">
        <v>5428</v>
      </c>
      <c r="C27" s="1"/>
      <c r="D27" s="1" t="s">
        <v>650</v>
      </c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3" t="s">
        <v>651</v>
      </c>
      <c r="B28" s="5">
        <v>11808</v>
      </c>
      <c r="C28" s="1"/>
      <c r="D28" s="1" t="s">
        <v>650</v>
      </c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24" t="s">
        <v>652</v>
      </c>
      <c r="B29" s="19">
        <f>SUM(B23:B28)</f>
        <v>54559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3" t="s">
        <v>653</v>
      </c>
      <c r="B30" s="10">
        <f>B29-54559</f>
        <v>0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3" t="s">
        <v>654</v>
      </c>
      <c r="B31" s="5">
        <v>1601</v>
      </c>
      <c r="C31" s="1"/>
      <c r="D31" s="1" t="s">
        <v>655</v>
      </c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" t="s">
        <v>656</v>
      </c>
      <c r="B32" s="5">
        <v>523</v>
      </c>
      <c r="C32" s="1"/>
      <c r="D32" s="1" t="s">
        <v>655</v>
      </c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" t="s">
        <v>657</v>
      </c>
      <c r="B33" s="25">
        <f>(B7+B8)/(B23+B24)</f>
        <v>7.2387419585418158</v>
      </c>
      <c r="C33" s="1"/>
      <c r="D33" s="1" t="s">
        <v>658</v>
      </c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24" t="s">
        <v>659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4" t="s">
        <v>73</v>
      </c>
      <c r="B36" s="17" t="s">
        <v>76</v>
      </c>
      <c r="C36" s="33" t="s">
        <v>449</v>
      </c>
      <c r="D36" s="33" t="s">
        <v>450</v>
      </c>
      <c r="E36" s="33" t="s">
        <v>451</v>
      </c>
      <c r="F36" s="33" t="s">
        <v>452</v>
      </c>
      <c r="G36" s="33" t="s">
        <v>453</v>
      </c>
      <c r="H36" s="33" t="s">
        <v>454</v>
      </c>
      <c r="I36" s="33" t="s">
        <v>455</v>
      </c>
      <c r="J36" s="33" t="s">
        <v>456</v>
      </c>
      <c r="K36" s="33" t="s">
        <v>457</v>
      </c>
      <c r="L36" s="33" t="s">
        <v>458</v>
      </c>
    </row>
    <row r="37" spans="1:12" x14ac:dyDescent="0.2">
      <c r="A37" s="3" t="s">
        <v>660</v>
      </c>
      <c r="B37" s="7">
        <f>Forecast_3Stmt!B28</f>
        <v>-8020</v>
      </c>
      <c r="C37" s="7">
        <f>Forecast_3Stmt!C28</f>
        <v>1220.2</v>
      </c>
      <c r="D37" s="7">
        <f>Forecast_3Stmt!D28</f>
        <v>14419.782599999988</v>
      </c>
      <c r="E37" s="7">
        <f>Forecast_3Stmt!E28</f>
        <v>37169.099759999983</v>
      </c>
      <c r="F37" s="7">
        <f>Forecast_3Stmt!F28</f>
        <v>68233.971782399982</v>
      </c>
      <c r="G37" s="7">
        <f>Forecast_3Stmt!G28</f>
        <v>102647.43944083201</v>
      </c>
      <c r="H37" s="7">
        <f>Forecast_3Stmt!H28</f>
        <v>139608.88731905277</v>
      </c>
      <c r="I37" s="7">
        <f>Forecast_3Stmt!I28</f>
        <v>174752.92424140027</v>
      </c>
      <c r="J37" s="7">
        <f>Forecast_3Stmt!J28</f>
        <v>203735.35712013161</v>
      </c>
      <c r="K37" s="7">
        <f>Forecast_3Stmt!K28</f>
        <v>232548.83367429645</v>
      </c>
      <c r="L37" s="7">
        <f>Forecast_3Stmt!L28</f>
        <v>251640.39806496282</v>
      </c>
    </row>
    <row r="38" spans="1:12" x14ac:dyDescent="0.2">
      <c r="A38" s="3" t="s">
        <v>563</v>
      </c>
      <c r="B38" s="7">
        <f>Forecast_3Stmt!B33</f>
        <v>20277</v>
      </c>
      <c r="C38" s="7">
        <f>Forecast_3Stmt!C33</f>
        <v>139381.15801499999</v>
      </c>
      <c r="D38" s="7">
        <f>Forecast_3Stmt!D33</f>
        <v>160816.24670411472</v>
      </c>
      <c r="E38" s="7">
        <f>Forecast_3Stmt!E33</f>
        <v>194521.03642948347</v>
      </c>
      <c r="F38" s="7">
        <f>Forecast_3Stmt!F33</f>
        <v>250929.12426659869</v>
      </c>
      <c r="G38" s="7">
        <f>Forecast_3Stmt!G33</f>
        <v>335225.13369438774</v>
      </c>
      <c r="H38" s="7">
        <f>Forecast_3Stmt!H33</f>
        <v>452176.49201260618</v>
      </c>
      <c r="I38" s="7">
        <f>Forecast_3Stmt!I33</f>
        <v>598882.5971862938</v>
      </c>
      <c r="J38" s="7">
        <f>Forecast_3Stmt!J33</f>
        <v>777237.71083530842</v>
      </c>
      <c r="K38" s="7">
        <f>Forecast_3Stmt!K33</f>
        <v>982365.38118423149</v>
      </c>
      <c r="L38" s="7">
        <f>Forecast_3Stmt!L33</f>
        <v>1208592.7740870663</v>
      </c>
    </row>
    <row r="39" spans="1:12" x14ac:dyDescent="0.2">
      <c r="A39" s="3" t="s">
        <v>661</v>
      </c>
      <c r="B39" s="7">
        <f>Forecast_3Stmt!B41</f>
        <v>940</v>
      </c>
      <c r="C39" s="7">
        <f>Forecast_3Stmt!C41</f>
        <v>1829</v>
      </c>
      <c r="D39" s="7">
        <f>Forecast_3Stmt!D41</f>
        <v>1829</v>
      </c>
      <c r="E39" s="7">
        <f>Forecast_3Stmt!E41</f>
        <v>1829</v>
      </c>
      <c r="F39" s="7">
        <f>Forecast_3Stmt!F41</f>
        <v>1829</v>
      </c>
      <c r="G39" s="7">
        <f>Forecast_3Stmt!G41</f>
        <v>1829</v>
      </c>
      <c r="H39" s="7">
        <f>Forecast_3Stmt!H41</f>
        <v>1829</v>
      </c>
      <c r="I39" s="7">
        <f>Forecast_3Stmt!I41</f>
        <v>1829</v>
      </c>
      <c r="J39" s="7">
        <f>Forecast_3Stmt!J41</f>
        <v>1829</v>
      </c>
      <c r="K39" s="7">
        <f>Forecast_3Stmt!K41</f>
        <v>1829</v>
      </c>
      <c r="L39" s="7">
        <f>Forecast_3Stmt!L41</f>
        <v>1829</v>
      </c>
    </row>
    <row r="40" spans="1:12" x14ac:dyDescent="0.2">
      <c r="A40" s="3" t="s">
        <v>137</v>
      </c>
      <c r="B40" s="7">
        <f>Forecast_3Stmt!B42</f>
        <v>41677</v>
      </c>
      <c r="C40" s="7">
        <f>Forecast_3Stmt!C42</f>
        <v>0</v>
      </c>
      <c r="D40" s="7">
        <f>Forecast_3Stmt!D42</f>
        <v>0</v>
      </c>
      <c r="E40" s="7">
        <f>Forecast_3Stmt!E42</f>
        <v>0</v>
      </c>
      <c r="F40" s="7">
        <f>Forecast_3Stmt!F42</f>
        <v>0</v>
      </c>
      <c r="G40" s="7">
        <f>Forecast_3Stmt!G42</f>
        <v>0</v>
      </c>
      <c r="H40" s="7">
        <f>Forecast_3Stmt!H42</f>
        <v>0</v>
      </c>
      <c r="I40" s="7">
        <f>Forecast_3Stmt!I42</f>
        <v>0</v>
      </c>
      <c r="J40" s="7">
        <f>Forecast_3Stmt!J42</f>
        <v>0</v>
      </c>
      <c r="K40" s="7">
        <f>Forecast_3Stmt!K42</f>
        <v>0</v>
      </c>
      <c r="L40" s="7">
        <f>Forecast_3Stmt!L42</f>
        <v>0</v>
      </c>
    </row>
    <row r="41" spans="1:12" x14ac:dyDescent="0.2">
      <c r="A41" s="24" t="s">
        <v>662</v>
      </c>
      <c r="B41" s="19">
        <f t="shared" si="0" ref="B41:L41">B38-B39-B40</f>
        <v>-22340</v>
      </c>
      <c r="C41" s="19">
        <f t="shared" si="0"/>
        <v>137552.15801499999</v>
      </c>
      <c r="D41" s="19">
        <f t="shared" si="0"/>
        <v>158987.24670411472</v>
      </c>
      <c r="E41" s="19">
        <f t="shared" si="0"/>
        <v>192692.03642948347</v>
      </c>
      <c r="F41" s="19">
        <f t="shared" si="0"/>
        <v>249100.12426659869</v>
      </c>
      <c r="G41" s="19">
        <f t="shared" si="0"/>
        <v>333396.13369438774</v>
      </c>
      <c r="H41" s="19">
        <f t="shared" si="0"/>
        <v>450347.49201260618</v>
      </c>
      <c r="I41" s="19">
        <f t="shared" si="0"/>
        <v>597053.5971862938</v>
      </c>
      <c r="J41" s="19">
        <f t="shared" si="0"/>
        <v>775408.71083530842</v>
      </c>
      <c r="K41" s="19">
        <f t="shared" si="0"/>
        <v>980536.38118423149</v>
      </c>
      <c r="L41" s="19">
        <f t="shared" si="0"/>
        <v>1206763.7740870663</v>
      </c>
    </row>
    <row r="42" spans="1:12" x14ac:dyDescent="0.2">
      <c r="A42" s="2" t="s">
        <v>663</v>
      </c>
      <c r="B42" s="22">
        <f>B41/Forecast_3Stmt!B7</f>
        <v>-4.8724100327153765</v>
      </c>
      <c r="C42" s="22">
        <f>C41/Forecast_3Stmt!C7</f>
        <v>2.5107173003139489</v>
      </c>
      <c r="D42" s="22">
        <f>D41/Forecast_3Stmt!D7</f>
        <v>1.3818897659300753</v>
      </c>
      <c r="E42" s="22">
        <f>E41/Forecast_3Stmt!E7</f>
        <v>1.0467787457729656</v>
      </c>
      <c r="F42" s="22">
        <f>F41/Forecast_3Stmt!F7</f>
        <v>0.98058667460812632</v>
      </c>
      <c r="G42" s="22">
        <f>G41/Forecast_3Stmt!G7</f>
        <v>1.0334010089130503</v>
      </c>
      <c r="H42" s="22">
        <f>H41/Forecast_3Stmt!H7</f>
        <v>1.1632547230684021</v>
      </c>
      <c r="I42" s="22">
        <f>I41/Forecast_3Stmt!I7</f>
        <v>1.3410425411489448</v>
      </c>
      <c r="J42" s="22">
        <f>J41/Forecast_3Stmt!J7</f>
        <v>1.5550411591846458</v>
      </c>
      <c r="K42" s="22">
        <f>K41/Forecast_3Stmt!K7</f>
        <v>1.7876489573853049</v>
      </c>
      <c r="L42" s="22">
        <f>L41/Forecast_3Stmt!L7</f>
        <v>2.037121990494104</v>
      </c>
    </row>
    <row r="43" spans="1:12" x14ac:dyDescent="0.2">
      <c r="A43" s="3" t="s">
        <v>664</v>
      </c>
      <c r="B43" s="7">
        <f>Forecast_3Stmt!B60</f>
        <v>-2768</v>
      </c>
      <c r="C43" s="7">
        <f>Forecast_3Stmt!C60</f>
        <v>11177.158014999995</v>
      </c>
      <c r="D43" s="7">
        <f>Forecast_3Stmt!D60</f>
        <v>21435.088689114738</v>
      </c>
      <c r="E43" s="7">
        <f>Forecast_3Stmt!E60</f>
        <v>33704.789725368755</v>
      </c>
      <c r="F43" s="7">
        <f>Forecast_3Stmt!F60</f>
        <v>56408.087837115221</v>
      </c>
      <c r="G43" s="7">
        <f>Forecast_3Stmt!G60</f>
        <v>84296.009427789046</v>
      </c>
      <c r="H43" s="7">
        <f>Forecast_3Stmt!H60</f>
        <v>116951.35831821845</v>
      </c>
      <c r="I43" s="7">
        <f>Forecast_3Stmt!I60</f>
        <v>146706.1051736876</v>
      </c>
      <c r="J43" s="7">
        <f>Forecast_3Stmt!J60</f>
        <v>178355.11364901462</v>
      </c>
      <c r="K43" s="7">
        <f>Forecast_3Stmt!K60</f>
        <v>205127.67034892301</v>
      </c>
      <c r="L43" s="7">
        <f>Forecast_3Stmt!L60</f>
        <v>226227.39290283489</v>
      </c>
    </row>
    <row r="44" spans="1:12" x14ac:dyDescent="0.2">
      <c r="A44" s="3" t="s">
        <v>665</v>
      </c>
      <c r="B44" s="25">
        <f>IF(Forecast_3Stmt!B55&lt;0,-Forecast_3Stmt!B54/Forecast_3Stmt!B55,0)</f>
        <v>-20.129770992366414</v>
      </c>
      <c r="C44" s="25">
        <f>IF(Forecast_3Stmt!C55&lt;0,-Forecast_3Stmt!C54/Forecast_3Stmt!C55,0)</f>
        <v>6.6393330045408652</v>
      </c>
      <c r="D44" s="25">
        <f>IF(Forecast_3Stmt!D55&lt;0,-Forecast_3Stmt!D54/Forecast_3Stmt!D55,0)</f>
        <v>4.1051683185651555</v>
      </c>
      <c r="E44" s="25">
        <f>IF(Forecast_3Stmt!E55&lt;0,-Forecast_3Stmt!E54/Forecast_3Stmt!E55,0)</f>
        <v>3.2887205258333583</v>
      </c>
      <c r="F44" s="25">
        <f>IF(Forecast_3Stmt!F55&lt;0,-Forecast_3Stmt!F54/Forecast_3Stmt!F55,0)</f>
        <v>3.7756418948029764</v>
      </c>
      <c r="G44" s="25">
        <f>IF(Forecast_3Stmt!G55&lt;0,-Forecast_3Stmt!G54/Forecast_3Stmt!G55,0)</f>
        <v>4.7326502442232554</v>
      </c>
      <c r="H44" s="25">
        <f>IF(Forecast_3Stmt!H55&lt;0,-Forecast_3Stmt!H54/Forecast_3Stmt!H55,0)</f>
        <v>6.0347869273476675</v>
      </c>
      <c r="I44" s="25">
        <f>IF(Forecast_3Stmt!I55&lt;0,-Forecast_3Stmt!I54/Forecast_3Stmt!I55,0)</f>
        <v>6.4919449167084702</v>
      </c>
      <c r="J44" s="25">
        <f>IF(Forecast_3Stmt!J55&lt;0,-Forecast_3Stmt!J54/Forecast_3Stmt!J55,0)</f>
        <v>8.1536349488903284</v>
      </c>
      <c r="K44" s="25">
        <f>IF(Forecast_3Stmt!K55&lt;0,-Forecast_3Stmt!K54/Forecast_3Stmt!K55,0)</f>
        <v>8.4795035261670861</v>
      </c>
      <c r="L44" s="25">
        <f>IF(Forecast_3Stmt!L55&lt;0,-Forecast_3Stmt!L54/Forecast_3Stmt!L55,0)</f>
        <v>8.6378294879319917</v>
      </c>
    </row>
    <row r="45" spans="1:12" x14ac:dyDescent="0.2">
      <c r="A45" s="3" t="s">
        <v>666</v>
      </c>
      <c r="B45" s="25"/>
      <c r="C45" s="25">
        <f t="shared" si="1" ref="C45:L45">IF(C37&gt;0,0/C37,0)</f>
        <v>0</v>
      </c>
      <c r="D45" s="25">
        <f t="shared" si="1"/>
        <v>0</v>
      </c>
      <c r="E45" s="25">
        <f t="shared" si="1"/>
        <v>0</v>
      </c>
      <c r="F45" s="25">
        <f t="shared" si="1"/>
        <v>0</v>
      </c>
      <c r="G45" s="25">
        <f t="shared" si="1"/>
        <v>0</v>
      </c>
      <c r="H45" s="25">
        <f t="shared" si="1"/>
        <v>0</v>
      </c>
      <c r="I45" s="25">
        <f t="shared" si="1"/>
        <v>0</v>
      </c>
      <c r="J45" s="25">
        <f t="shared" si="1"/>
        <v>0</v>
      </c>
      <c r="K45" s="25">
        <f t="shared" si="1"/>
        <v>0</v>
      </c>
      <c r="L45" s="25">
        <f t="shared" si="1"/>
        <v>0</v>
      </c>
    </row>
    <row r="46" spans="1:1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24" t="s">
        <v>667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3" t="s">
        <v>668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3" t="s">
        <v>669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3" t="s">
        <v>670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3" t="s">
        <v>671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873A"/>
  </sheetPr>
  <dimension ref="A1:K43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2" width="14.33203125" customWidth="1"/>
    <col min="3" max="3" width="16" customWidth="1"/>
    <col min="4" max="4" width="17.6640625" customWidth="1"/>
    <col min="5" max="5" width="14.33203125" customWidth="1"/>
    <col min="6" max="6" width="16" customWidth="1"/>
    <col min="7" max="7" width="11" customWidth="1"/>
    <col min="8" max="8" width="17.6640625" customWidth="1"/>
    <col min="9" max="9" width="14.33203125" customWidth="1"/>
    <col min="10" max="10" width="24.33203125" customWidth="1"/>
    <col min="11" max="11" width="59.33203125" customWidth="1"/>
  </cols>
  <sheetData>
    <row r="1" spans="1:11" x14ac:dyDescent="0.2">
      <c r="A1" s="38" t="s">
        <v>672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673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4" t="s">
        <v>352</v>
      </c>
      <c r="B4" s="17" t="s">
        <v>15</v>
      </c>
      <c r="C4" s="12" t="s">
        <v>79</v>
      </c>
      <c r="D4" s="12" t="s">
        <v>80</v>
      </c>
      <c r="E4" s="1"/>
      <c r="F4" s="1"/>
      <c r="G4" s="1"/>
      <c r="H4" s="1"/>
      <c r="I4" s="1"/>
      <c r="J4" s="1"/>
      <c r="K4" s="1"/>
    </row>
    <row r="5" spans="1:1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24" t="s">
        <v>674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3" t="s">
        <v>675</v>
      </c>
      <c r="B7" s="61">
        <f>DATE(2026,10,27)</f>
        <v>46322</v>
      </c>
      <c r="C7" s="1"/>
      <c r="D7" s="1" t="s">
        <v>676</v>
      </c>
      <c r="E7" s="1"/>
      <c r="F7" s="1"/>
      <c r="G7" s="1"/>
      <c r="H7" s="1"/>
      <c r="I7" s="1"/>
      <c r="J7" s="1"/>
      <c r="K7" s="1"/>
    </row>
    <row r="8" spans="1:11" x14ac:dyDescent="0.2">
      <c r="A8" s="3" t="s">
        <v>677</v>
      </c>
      <c r="B8" s="61">
        <f>DATE(2026,6,30)</f>
        <v>46203</v>
      </c>
      <c r="C8" s="1"/>
      <c r="D8" s="1" t="s">
        <v>678</v>
      </c>
      <c r="E8" s="1"/>
      <c r="F8" s="1"/>
      <c r="G8" s="1"/>
      <c r="H8" s="1"/>
      <c r="I8" s="1"/>
      <c r="J8" s="1"/>
      <c r="K8" s="1"/>
    </row>
    <row r="9" spans="1:11" x14ac:dyDescent="0.2">
      <c r="A9" s="3" t="s">
        <v>679</v>
      </c>
      <c r="B9" s="9">
        <f>(B7-B8)/365</f>
        <v>0.32602739726027397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32" t="s">
        <v>680</v>
      </c>
      <c r="B10" s="53">
        <f>Cap_Table!C52</f>
        <v>58.900950000000002</v>
      </c>
      <c r="C10" s="1"/>
      <c r="D10" s="1" t="s">
        <v>681</v>
      </c>
      <c r="E10" s="1"/>
      <c r="F10" s="1"/>
      <c r="G10" s="1"/>
      <c r="H10" s="1"/>
      <c r="I10" s="1"/>
      <c r="J10" s="1"/>
      <c r="K10" s="1"/>
    </row>
    <row r="11" spans="1:11" x14ac:dyDescent="0.2">
      <c r="A11" s="3" t="s">
        <v>24</v>
      </c>
      <c r="B11" s="46">
        <f>Cap_Table!B47</f>
        <v>16281.166197370332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3" t="s">
        <v>682</v>
      </c>
      <c r="B12" s="4">
        <f>B10*B11</f>
        <v>958976.15613300004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3" t="s">
        <v>683</v>
      </c>
      <c r="B13" s="7">
        <f>BS_Hist!D45</f>
        <v>131651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3" t="s">
        <v>684</v>
      </c>
      <c r="B14" s="7">
        <f>BS_Hist!D47</f>
        <v>1522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4" t="s">
        <v>685</v>
      </c>
      <c r="B15" s="19">
        <f>B12-B13+B14</f>
        <v>828847.15613300004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3" t="s">
        <v>686</v>
      </c>
      <c r="B16" s="4">
        <f>Interim_Bridge!C9+0.75*Forecast_3Stmt!D7</f>
        <v>107287.95000000001</v>
      </c>
      <c r="C16" s="1"/>
      <c r="D16" s="1" t="s">
        <v>687</v>
      </c>
      <c r="E16" s="1"/>
      <c r="F16" s="1"/>
      <c r="G16" s="1"/>
      <c r="H16" s="1"/>
      <c r="I16" s="1"/>
      <c r="J16" s="1"/>
      <c r="K16" s="1"/>
    </row>
    <row r="17" spans="1:11" x14ac:dyDescent="0.2">
      <c r="A17" s="3" t="s">
        <v>688</v>
      </c>
      <c r="B17" s="25">
        <f>B15/Forecast_3Stmt!C7</f>
        <v>15.128813129868945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3" t="s">
        <v>689</v>
      </c>
      <c r="B18" s="25">
        <f>B15/B16</f>
        <v>7.7254449929651932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3" t="s">
        <v>690</v>
      </c>
      <c r="B19" s="25">
        <f>B15/Forecast_3Stmt!D7</f>
        <v>7.2041967285090216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3" t="s">
        <v>691</v>
      </c>
      <c r="B20" s="25">
        <f>IF(Forecast_3Stmt!E28&gt;0,B15/Forecast_3Stmt!E28,0)</f>
        <v>22.299360530248162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3" t="s">
        <v>692</v>
      </c>
      <c r="B21" s="25">
        <f>IF(Forecast_3Stmt!G28&gt;0,B15/Forecast_3Stmt!G28,0)</f>
        <v>8.0746988005556997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24" t="s">
        <v>693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2" t="s">
        <v>694</v>
      </c>
      <c r="B24" s="21">
        <v>0.05</v>
      </c>
      <c r="C24" s="1"/>
      <c r="D24" s="1" t="s">
        <v>695</v>
      </c>
      <c r="E24" s="1"/>
      <c r="F24" s="1"/>
      <c r="G24" s="1"/>
      <c r="H24" s="1"/>
      <c r="I24" s="1"/>
      <c r="J24" s="1"/>
      <c r="K24" s="1"/>
    </row>
    <row r="25" spans="1:11" x14ac:dyDescent="0.2">
      <c r="A25" s="2" t="s">
        <v>696</v>
      </c>
      <c r="B25" s="21">
        <v>4.2000000000000003E-2</v>
      </c>
      <c r="C25" s="1"/>
      <c r="D25" s="1" t="s">
        <v>697</v>
      </c>
      <c r="E25" s="1"/>
      <c r="F25" s="1"/>
      <c r="G25" s="1"/>
      <c r="H25" s="1"/>
      <c r="I25" s="1"/>
      <c r="J25" s="1"/>
      <c r="K25" s="1"/>
    </row>
    <row r="26" spans="1:11" x14ac:dyDescent="0.2">
      <c r="A26" s="3" t="s">
        <v>698</v>
      </c>
      <c r="B26" s="9">
        <f>MEDIAN(G33:G43)</f>
        <v>1.456</v>
      </c>
      <c r="C26" s="1"/>
      <c r="D26" s="1" t="s">
        <v>699</v>
      </c>
      <c r="E26" s="1"/>
      <c r="F26" s="1"/>
      <c r="G26" s="1"/>
      <c r="H26" s="1"/>
      <c r="I26" s="1"/>
      <c r="J26" s="1"/>
      <c r="K26" s="1"/>
    </row>
    <row r="27" spans="1:11" x14ac:dyDescent="0.2">
      <c r="A27" s="2" t="s">
        <v>700</v>
      </c>
      <c r="B27" s="22">
        <f>B24+B26*B25</f>
        <v>0.111152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2" t="s">
        <v>701</v>
      </c>
      <c r="B28" s="21">
        <v>0</v>
      </c>
      <c r="C28" s="1"/>
      <c r="D28" s="1" t="s">
        <v>702</v>
      </c>
      <c r="E28" s="1"/>
      <c r="F28" s="1"/>
      <c r="G28" s="1"/>
      <c r="H28" s="1"/>
      <c r="I28" s="1"/>
      <c r="J28" s="1"/>
      <c r="K28" s="1"/>
    </row>
    <row r="29" spans="1:11" x14ac:dyDescent="0.2">
      <c r="A29" s="70" t="s">
        <v>703</v>
      </c>
      <c r="B29" s="16">
        <f>B27*(1-B28)</f>
        <v>0.111152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24" t="s">
        <v>704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4" t="s">
        <v>705</v>
      </c>
      <c r="B32" s="14" t="s">
        <v>706</v>
      </c>
      <c r="C32" s="17" t="s">
        <v>707</v>
      </c>
      <c r="D32" s="17" t="s">
        <v>708</v>
      </c>
      <c r="E32" s="17" t="s">
        <v>709</v>
      </c>
      <c r="F32" s="17" t="s">
        <v>710</v>
      </c>
      <c r="G32" s="17" t="s">
        <v>711</v>
      </c>
      <c r="H32" s="17" t="s">
        <v>712</v>
      </c>
      <c r="I32" s="17" t="s">
        <v>713</v>
      </c>
      <c r="J32" s="14" t="s">
        <v>714</v>
      </c>
      <c r="K32" s="12" t="s">
        <v>715</v>
      </c>
    </row>
    <row r="33" spans="1:11" x14ac:dyDescent="0.2">
      <c r="A33" s="3" t="s">
        <v>716</v>
      </c>
      <c r="B33" s="1" t="s">
        <v>717</v>
      </c>
      <c r="C33" s="5">
        <v>3955314.8705389998</v>
      </c>
      <c r="D33" s="5">
        <v>4007284.8705389998</v>
      </c>
      <c r="E33" s="11">
        <v>10.11</v>
      </c>
      <c r="F33" s="25">
        <f t="shared" si="0" ref="F33:F43">E33*D33/C33</f>
        <v>10.242838147454087</v>
      </c>
      <c r="G33" s="18">
        <v>1.099</v>
      </c>
      <c r="H33" s="21">
        <v>0.19769999999999999</v>
      </c>
      <c r="I33" s="11">
        <v>26.954000000000001</v>
      </c>
      <c r="J33" s="1" t="s">
        <v>718</v>
      </c>
      <c r="K33" s="1" t="s">
        <v>719</v>
      </c>
    </row>
    <row r="34" spans="1:11" x14ac:dyDescent="0.2">
      <c r="A34" s="3" t="s">
        <v>720</v>
      </c>
      <c r="B34" s="1" t="s">
        <v>721</v>
      </c>
      <c r="C34" s="5">
        <v>3874464</v>
      </c>
      <c r="D34" s="5">
        <v>3752781</v>
      </c>
      <c r="E34" s="11">
        <v>6.9720000000000004</v>
      </c>
      <c r="F34" s="25">
        <f t="shared" si="0"/>
        <v>6.7530345183230516</v>
      </c>
      <c r="G34" s="18">
        <v>1.2110000000000001</v>
      </c>
      <c r="H34" s="21">
        <v>0.23280000000000001</v>
      </c>
      <c r="I34" s="11">
        <v>23.681999999999999</v>
      </c>
      <c r="J34" s="1" t="s">
        <v>718</v>
      </c>
      <c r="K34" s="1" t="s">
        <v>722</v>
      </c>
    </row>
    <row r="35" spans="1:11" x14ac:dyDescent="0.2">
      <c r="A35" s="3" t="s">
        <v>723</v>
      </c>
      <c r="B35" s="1" t="s">
        <v>724</v>
      </c>
      <c r="C35" s="5">
        <v>2686762.8476490001</v>
      </c>
      <c r="D35" s="5">
        <v>2815409.8476490001</v>
      </c>
      <c r="E35" s="11">
        <v>3.0350000000000001</v>
      </c>
      <c r="F35" s="25">
        <f t="shared" si="0"/>
        <v>3.1803212163260524</v>
      </c>
      <c r="G35" s="18">
        <v>1.456</v>
      </c>
      <c r="H35" s="21">
        <v>0.154</v>
      </c>
      <c r="I35" s="11">
        <v>26.812999999999999</v>
      </c>
      <c r="J35" s="1" t="s">
        <v>718</v>
      </c>
      <c r="K35" s="1" t="s">
        <v>725</v>
      </c>
    </row>
    <row r="36" spans="1:11" x14ac:dyDescent="0.2">
      <c r="A36" s="3" t="s">
        <v>726</v>
      </c>
      <c r="B36" s="1" t="s">
        <v>727</v>
      </c>
      <c r="C36" s="5">
        <v>1611863.484492</v>
      </c>
      <c r="D36" s="5">
        <v>1644256.484492</v>
      </c>
      <c r="E36" s="11">
        <v>5.452</v>
      </c>
      <c r="F36" s="25">
        <f t="shared" si="0"/>
        <v>5.5615667453845576</v>
      </c>
      <c r="G36" s="18">
        <v>1.1850000000000001</v>
      </c>
      <c r="H36" s="21">
        <v>0.22800000000000001</v>
      </c>
      <c r="I36" s="11">
        <v>19.173999999999999</v>
      </c>
      <c r="J36" s="1" t="s">
        <v>718</v>
      </c>
      <c r="K36" s="1" t="s">
        <v>728</v>
      </c>
    </row>
    <row r="37" spans="1:11" x14ac:dyDescent="0.2">
      <c r="A37" s="3" t="s">
        <v>729</v>
      </c>
      <c r="B37" s="1" t="s">
        <v>730</v>
      </c>
      <c r="C37" s="5">
        <v>5215752</v>
      </c>
      <c r="D37" s="5">
        <v>5192143</v>
      </c>
      <c r="E37" s="11">
        <v>9.6890000000000001</v>
      </c>
      <c r="F37" s="25">
        <f t="shared" si="0"/>
        <v>9.6451429299169131</v>
      </c>
      <c r="G37" s="18">
        <v>2.2160000000000002</v>
      </c>
      <c r="H37" s="21">
        <v>0.61119999999999997</v>
      </c>
      <c r="I37" s="11">
        <v>17.859000000000002</v>
      </c>
      <c r="J37" s="1" t="s">
        <v>718</v>
      </c>
      <c r="K37" s="1" t="s">
        <v>731</v>
      </c>
    </row>
    <row r="38" spans="1:11" x14ac:dyDescent="0.2">
      <c r="A38" s="3" t="s">
        <v>732</v>
      </c>
      <c r="B38" s="1" t="s">
        <v>733</v>
      </c>
      <c r="C38" s="5">
        <v>382151.034843</v>
      </c>
      <c r="D38" s="5">
        <v>514217.034843</v>
      </c>
      <c r="E38" s="11">
        <v>3.8719999999999999</v>
      </c>
      <c r="F38" s="25">
        <f t="shared" si="0"/>
        <v>5.2101085104481868</v>
      </c>
      <c r="G38" s="18">
        <v>1.77</v>
      </c>
      <c r="H38" s="21">
        <v>0.39739999999999998</v>
      </c>
      <c r="I38" s="11">
        <v>14.804</v>
      </c>
      <c r="J38" s="1" t="s">
        <v>718</v>
      </c>
      <c r="K38" s="1" t="s">
        <v>734</v>
      </c>
    </row>
    <row r="39" spans="1:11" x14ac:dyDescent="0.2">
      <c r="A39" s="3" t="s">
        <v>735</v>
      </c>
      <c r="B39" s="1" t="s">
        <v>736</v>
      </c>
      <c r="C39" s="5">
        <v>477824.14816300001</v>
      </c>
      <c r="D39" s="5">
        <v>468626.44916299998</v>
      </c>
      <c r="E39" s="11">
        <v>46.886000000000003</v>
      </c>
      <c r="F39" s="25">
        <f t="shared" si="0"/>
        <v>45.983485305060618</v>
      </c>
      <c r="G39" s="18">
        <v>1.6020000000000001</v>
      </c>
      <c r="H39" s="21">
        <v>0.58520000000000005</v>
      </c>
      <c r="I39" s="11">
        <v>104.94</v>
      </c>
      <c r="J39" s="1" t="s">
        <v>737</v>
      </c>
      <c r="K39" s="1" t="s">
        <v>738</v>
      </c>
    </row>
    <row r="40" spans="1:11" x14ac:dyDescent="0.2">
      <c r="A40" s="3" t="s">
        <v>739</v>
      </c>
      <c r="B40" s="1" t="s">
        <v>740</v>
      </c>
      <c r="C40" s="5">
        <v>118168.61422</v>
      </c>
      <c r="D40" s="5">
        <v>117535.16622</v>
      </c>
      <c r="E40" s="11">
        <v>36.247999999999998</v>
      </c>
      <c r="F40" s="25">
        <f t="shared" si="0"/>
        <v>36.053691018249118</v>
      </c>
      <c r="G40" s="18">
        <v>1.6459999999999999</v>
      </c>
      <c r="H40" s="21">
        <v>0.29719999999999996</v>
      </c>
      <c r="I40" s="11">
        <v>224.048</v>
      </c>
      <c r="J40" s="1" t="s">
        <v>737</v>
      </c>
      <c r="K40" s="1" t="s">
        <v>741</v>
      </c>
    </row>
    <row r="41" spans="1:11" x14ac:dyDescent="0.2">
      <c r="A41" s="3" t="s">
        <v>742</v>
      </c>
      <c r="B41" s="1" t="s">
        <v>743</v>
      </c>
      <c r="C41" s="5">
        <v>118054.80224999999</v>
      </c>
      <c r="D41" s="5">
        <v>116481.94325</v>
      </c>
      <c r="E41" s="11">
        <v>16.47</v>
      </c>
      <c r="F41" s="25">
        <f t="shared" si="0"/>
        <v>16.250568115516877</v>
      </c>
      <c r="G41" s="18">
        <v>1.351</v>
      </c>
      <c r="H41" s="21">
        <v>0.30510000000000004</v>
      </c>
      <c r="I41" s="11">
        <v>132.84800000000001</v>
      </c>
      <c r="J41" s="1" t="s">
        <v>737</v>
      </c>
      <c r="K41" s="1" t="s">
        <v>744</v>
      </c>
    </row>
    <row r="42" spans="1:11" x14ac:dyDescent="0.2">
      <c r="A42" s="3" t="s">
        <v>745</v>
      </c>
      <c r="B42" s="1" t="s">
        <v>746</v>
      </c>
      <c r="C42" s="5">
        <v>268671.57574499998</v>
      </c>
      <c r="D42" s="5">
        <v>264477.90774499997</v>
      </c>
      <c r="E42" s="11">
        <v>40.378999999999998</v>
      </c>
      <c r="F42" s="25">
        <f t="shared" si="0"/>
        <v>39.748728190626615</v>
      </c>
      <c r="G42" s="18">
        <v>1.1970000000000001</v>
      </c>
      <c r="H42" s="21">
        <v>0.23300000000000001</v>
      </c>
      <c r="I42" s="11">
        <v>185.34</v>
      </c>
      <c r="J42" s="1" t="s">
        <v>737</v>
      </c>
      <c r="K42" s="1" t="s">
        <v>747</v>
      </c>
    </row>
    <row r="43" spans="1:11" x14ac:dyDescent="0.2">
      <c r="A43" s="3" t="s">
        <v>748</v>
      </c>
      <c r="B43" s="1" t="s">
        <v>749</v>
      </c>
      <c r="C43" s="5">
        <v>100627.18472600001</v>
      </c>
      <c r="D43" s="5">
        <v>96919.547726000004</v>
      </c>
      <c r="E43" s="11">
        <v>20.373000000000001</v>
      </c>
      <c r="F43" s="25">
        <f t="shared" si="0"/>
        <v>19.622351069428429</v>
      </c>
      <c r="G43" s="18">
        <v>1.512</v>
      </c>
      <c r="H43" s="21">
        <v>0.25590000000000002</v>
      </c>
      <c r="I43" s="11">
        <v>105.727</v>
      </c>
      <c r="J43" s="1" t="s">
        <v>737</v>
      </c>
      <c r="K43" s="1" t="s">
        <v>750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873A"/>
  </sheetPr>
  <dimension ref="A1:N44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2" width="6" customWidth="1"/>
    <col min="3" max="12" width="12.6640625" customWidth="1"/>
    <col min="13" max="13" width="17.6640625" customWidth="1"/>
    <col min="14" max="14" width="69.33203125" customWidth="1"/>
  </cols>
  <sheetData>
    <row r="1" spans="1:14" x14ac:dyDescent="0.2">
      <c r="A1" s="38" t="s">
        <v>751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 t="s">
        <v>752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 t="s">
        <v>448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4" t="s">
        <v>73</v>
      </c>
      <c r="B4" s="1"/>
      <c r="C4" s="33" t="s">
        <v>532</v>
      </c>
      <c r="D4" s="33" t="s">
        <v>450</v>
      </c>
      <c r="E4" s="33" t="s">
        <v>451</v>
      </c>
      <c r="F4" s="33" t="s">
        <v>452</v>
      </c>
      <c r="G4" s="33" t="s">
        <v>453</v>
      </c>
      <c r="H4" s="33" t="s">
        <v>454</v>
      </c>
      <c r="I4" s="33" t="s">
        <v>455</v>
      </c>
      <c r="J4" s="33" t="s">
        <v>456</v>
      </c>
      <c r="K4" s="33" t="s">
        <v>457</v>
      </c>
      <c r="L4" s="33" t="s">
        <v>458</v>
      </c>
      <c r="M4" s="12" t="s">
        <v>79</v>
      </c>
      <c r="N4" s="12" t="s">
        <v>80</v>
      </c>
    </row>
    <row r="5" spans="1:14" x14ac:dyDescent="0.2">
      <c r="A5" s="3" t="s">
        <v>81</v>
      </c>
      <c r="B5" s="1"/>
      <c r="C5" s="7">
        <f>Interim_Bridge!C7</f>
        <v>38500</v>
      </c>
      <c r="D5" s="7">
        <f>Forecast_3Stmt!D7</f>
        <v>115050.6</v>
      </c>
      <c r="E5" s="7">
        <f>Forecast_3Stmt!E7</f>
        <v>184080.96000000002</v>
      </c>
      <c r="F5" s="7">
        <f>Forecast_3Stmt!F7</f>
        <v>254031.7248</v>
      </c>
      <c r="G5" s="7">
        <f>Forecast_3Stmt!G7</f>
        <v>322620.29049599997</v>
      </c>
      <c r="H5" s="7">
        <f>Forecast_3Stmt!H7</f>
        <v>387144.34859519993</v>
      </c>
      <c r="I5" s="7">
        <f>Forecast_3Stmt!I7</f>
        <v>445216.0008844799</v>
      </c>
      <c r="J5" s="7">
        <f>Forecast_3Stmt!J7</f>
        <v>498641.92099061754</v>
      </c>
      <c r="K5" s="7">
        <f>Forecast_3Stmt!K7</f>
        <v>548506.11308967939</v>
      </c>
      <c r="L5" s="7">
        <f>Forecast_3Stmt!L7</f>
        <v>592386.60213685373</v>
      </c>
      <c r="M5" s="1"/>
      <c r="N5" s="1"/>
    </row>
    <row r="6" spans="1:14" x14ac:dyDescent="0.2">
      <c r="A6" s="3" t="s">
        <v>600</v>
      </c>
      <c r="B6" s="1"/>
      <c r="C6" s="7">
        <f>Interim_Bridge!C18</f>
        <v>1622.5</v>
      </c>
      <c r="D6" s="7">
        <f>Schedules!D28</f>
        <v>13230.818999999989</v>
      </c>
      <c r="E6" s="7">
        <f>Schedules!E28</f>
        <v>34054.977599999984</v>
      </c>
      <c r="F6" s="7">
        <f>Schedules!F28</f>
        <v>62237.772575999988</v>
      </c>
      <c r="G6" s="7">
        <f>Schedules!G28</f>
        <v>93559.884243840002</v>
      </c>
      <c r="H6" s="7">
        <f>Schedules!H28</f>
        <v>127757.63503641597</v>
      </c>
      <c r="I6" s="7">
        <f>Schedules!I28</f>
        <v>160277.76031841274</v>
      </c>
      <c r="J6" s="7">
        <f>Schedules!J28</f>
        <v>186990.72037148161</v>
      </c>
      <c r="K6" s="7">
        <f>Schedules!K28</f>
        <v>213917.38410497498</v>
      </c>
      <c r="L6" s="7">
        <f>Schedules!L28</f>
        <v>231030.77483337297</v>
      </c>
      <c r="M6" s="1"/>
      <c r="N6" s="1"/>
    </row>
    <row r="7" spans="1:14" x14ac:dyDescent="0.2">
      <c r="A7" s="3" t="s">
        <v>601</v>
      </c>
      <c r="B7" s="1"/>
      <c r="C7" s="4">
        <f>-Interim_Bridge!C25*MAX(Interim_Bridge!C18,0)/MAX(Interim_Bridge!C18+Interim_Bridge!C22,1)</f>
        <v>-66.721838662971123</v>
      </c>
      <c r="D7" s="4">
        <f>-Schedules!D29</f>
        <v>-1845.3731675690451</v>
      </c>
      <c r="E7" s="4">
        <f>-Schedules!E29</f>
        <v>-7151.5452959999957</v>
      </c>
      <c r="F7" s="4">
        <f>-Schedules!F29</f>
        <v>-13069.932240959997</v>
      </c>
      <c r="G7" s="4">
        <f>-Schedules!G29</f>
        <v>-19647.575691206399</v>
      </c>
      <c r="H7" s="4">
        <f>-Schedules!H29</f>
        <v>-26829.103357647356</v>
      </c>
      <c r="I7" s="4">
        <f>-Schedules!I29</f>
        <v>-33658.329666866674</v>
      </c>
      <c r="J7" s="4">
        <f>-Schedules!J29</f>
        <v>-39268.051278011131</v>
      </c>
      <c r="K7" s="4">
        <f>-Schedules!K29</f>
        <v>-44922.65066204474</v>
      </c>
      <c r="L7" s="4">
        <f>-Schedules!L29</f>
        <v>-48516.462715008318</v>
      </c>
      <c r="M7" s="1"/>
      <c r="N7" s="1"/>
    </row>
    <row r="8" spans="1:14" x14ac:dyDescent="0.2">
      <c r="A8" s="24" t="s">
        <v>603</v>
      </c>
      <c r="B8" s="27"/>
      <c r="C8" s="19">
        <f t="shared" si="0" ref="C8:L8">C6+C7</f>
        <v>1555.7781613370289</v>
      </c>
      <c r="D8" s="19">
        <f t="shared" si="0"/>
        <v>11385.445832430943</v>
      </c>
      <c r="E8" s="19">
        <f t="shared" si="0"/>
        <v>26903.432303999987</v>
      </c>
      <c r="F8" s="19">
        <f t="shared" si="0"/>
        <v>49167.840335039989</v>
      </c>
      <c r="G8" s="19">
        <f t="shared" si="0"/>
        <v>73912.308552633607</v>
      </c>
      <c r="H8" s="19">
        <f t="shared" si="0"/>
        <v>100928.53167876862</v>
      </c>
      <c r="I8" s="19">
        <f t="shared" si="0"/>
        <v>126619.43065154606</v>
      </c>
      <c r="J8" s="19">
        <f t="shared" si="0"/>
        <v>147722.6690934705</v>
      </c>
      <c r="K8" s="19">
        <f t="shared" si="0"/>
        <v>168994.73344293024</v>
      </c>
      <c r="L8" s="19">
        <f t="shared" si="0"/>
        <v>182514.31211836464</v>
      </c>
      <c r="M8" s="1"/>
      <c r="N8" s="1"/>
    </row>
    <row r="9" spans="1:14" x14ac:dyDescent="0.2">
      <c r="A9" s="3" t="s">
        <v>169</v>
      </c>
      <c r="B9" s="1"/>
      <c r="C9" s="7">
        <f>Interim_Bridge!C19</f>
        <v>193.7</v>
      </c>
      <c r="D9" s="7">
        <f>Schedules!D31</f>
        <v>1188.9636</v>
      </c>
      <c r="E9" s="7">
        <f>Schedules!E31</f>
        <v>3114.1221600000003</v>
      </c>
      <c r="F9" s="7">
        <f>Schedules!F31</f>
        <v>5996.1992064000005</v>
      </c>
      <c r="G9" s="7">
        <f>Schedules!G31</f>
        <v>9087.5551969920016</v>
      </c>
      <c r="H9" s="7">
        <f>Schedules!H31</f>
        <v>11851.2522826368</v>
      </c>
      <c r="I9" s="7">
        <f>Schedules!I31</f>
        <v>14475.16392298752</v>
      </c>
      <c r="J9" s="7">
        <f>Schedules!J31</f>
        <v>16744.636748649984</v>
      </c>
      <c r="K9" s="7">
        <f>Schedules!K31</f>
        <v>18631.449569321474</v>
      </c>
      <c r="L9" s="7">
        <f>Schedules!L31</f>
        <v>20609.623231589845</v>
      </c>
      <c r="M9" s="1"/>
      <c r="N9" s="1"/>
    </row>
    <row r="10" spans="1:14" x14ac:dyDescent="0.2">
      <c r="A10" s="3" t="s">
        <v>554</v>
      </c>
      <c r="B10" s="1"/>
      <c r="C10" s="7">
        <f>Interim_Bridge!C35</f>
        <v>-1500</v>
      </c>
      <c r="D10" s="7">
        <f>Schedules!D32</f>
        <v>-6903.0360000000001</v>
      </c>
      <c r="E10" s="7">
        <f>Schedules!E32</f>
        <v>-14726.476800000002</v>
      </c>
      <c r="F10" s="7">
        <f>Schedules!F32</f>
        <v>-20322.537983999999</v>
      </c>
      <c r="G10" s="7">
        <f>Schedules!G32</f>
        <v>-22583.420334720002</v>
      </c>
      <c r="H10" s="7">
        <f>Schedules!H32</f>
        <v>-23228.660915711996</v>
      </c>
      <c r="I10" s="7">
        <f>Schedules!I32</f>
        <v>-26712.960053068793</v>
      </c>
      <c r="J10" s="7">
        <f>Schedules!J32</f>
        <v>-24932.096049530879</v>
      </c>
      <c r="K10" s="7">
        <f>Schedules!K32</f>
        <v>-27425.305654483971</v>
      </c>
      <c r="L10" s="7">
        <f>Schedules!L32</f>
        <v>-29619.330106842688</v>
      </c>
      <c r="M10" s="1"/>
      <c r="N10" s="1"/>
    </row>
    <row r="11" spans="1:14" x14ac:dyDescent="0.2">
      <c r="A11" s="3" t="s">
        <v>604</v>
      </c>
      <c r="B11" s="1"/>
      <c r="C11" s="7">
        <f>Interim_Bridge!C33</f>
        <v>-228.46999999999935</v>
      </c>
      <c r="D11" s="7">
        <f>Schedules!D33</f>
        <v>60.723000000002685</v>
      </c>
      <c r="E11" s="7">
        <f>Schedules!E33</f>
        <v>-759.33395999999993</v>
      </c>
      <c r="F11" s="7">
        <f>Schedules!F33</f>
        <v>-1594.1411136000006</v>
      </c>
      <c r="G11" s="7">
        <f>Schedules!G33</f>
        <v>-2415.841702847998</v>
      </c>
      <c r="H11" s="7">
        <f>Schedules!H33</f>
        <v>-3161.678846860812</v>
      </c>
      <c r="I11" s="7">
        <f>Schedules!I33</f>
        <v>-2439.009396149755</v>
      </c>
      <c r="J11" s="7">
        <f>Schedules!J33</f>
        <v>-2671.29600530686</v>
      </c>
      <c r="K11" s="7">
        <f>Schedules!K33</f>
        <v>-1246.6048024765514</v>
      </c>
      <c r="L11" s="7">
        <f>Schedules!L33</f>
        <v>-1097.0122261793585</v>
      </c>
      <c r="M11" s="1"/>
      <c r="N11" s="1"/>
    </row>
    <row r="12" spans="1:14" x14ac:dyDescent="0.2">
      <c r="A12" s="27" t="s">
        <v>605</v>
      </c>
      <c r="B12" s="27"/>
      <c r="C12" s="23">
        <f t="shared" si="1" ref="C12:L12">C8+C9+C10+C11</f>
        <v>21.008161337029605</v>
      </c>
      <c r="D12" s="23">
        <f t="shared" si="1"/>
        <v>5732.0964324309471</v>
      </c>
      <c r="E12" s="23">
        <f t="shared" si="1"/>
        <v>14531.743703999984</v>
      </c>
      <c r="F12" s="23">
        <f t="shared" si="1"/>
        <v>33247.360443839985</v>
      </c>
      <c r="G12" s="23">
        <f t="shared" si="1"/>
        <v>58000.601712057614</v>
      </c>
      <c r="H12" s="23">
        <f t="shared" si="1"/>
        <v>86389.444198832614</v>
      </c>
      <c r="I12" s="23">
        <f t="shared" si="1"/>
        <v>111942.62512531504</v>
      </c>
      <c r="J12" s="23">
        <f t="shared" si="1"/>
        <v>136863.91378728277</v>
      </c>
      <c r="K12" s="23">
        <f t="shared" si="1"/>
        <v>158954.27255529119</v>
      </c>
      <c r="L12" s="23">
        <f t="shared" si="1"/>
        <v>172407.59301693246</v>
      </c>
      <c r="M12" s="1"/>
      <c r="N12" s="1"/>
    </row>
    <row r="13" spans="1:14" x14ac:dyDescent="0.2">
      <c r="A13" s="3" t="s">
        <v>753</v>
      </c>
      <c r="B13" s="1"/>
      <c r="C13" s="18">
        <v>0.25</v>
      </c>
      <c r="D13" s="18">
        <v>1</v>
      </c>
      <c r="E13" s="9">
        <f t="shared" si="2" ref="E13:L13">D13+1</f>
        <v>2</v>
      </c>
      <c r="F13" s="9">
        <f t="shared" si="2"/>
        <v>3</v>
      </c>
      <c r="G13" s="9">
        <f t="shared" si="2"/>
        <v>4</v>
      </c>
      <c r="H13" s="9">
        <f t="shared" si="2"/>
        <v>5</v>
      </c>
      <c r="I13" s="9">
        <f t="shared" si="2"/>
        <v>6</v>
      </c>
      <c r="J13" s="9">
        <f t="shared" si="2"/>
        <v>7</v>
      </c>
      <c r="K13" s="9">
        <f t="shared" si="2"/>
        <v>8</v>
      </c>
      <c r="L13" s="9">
        <f t="shared" si="2"/>
        <v>9</v>
      </c>
      <c r="M13" s="1"/>
      <c r="N13" s="1"/>
    </row>
    <row r="14" spans="1:14" x14ac:dyDescent="0.2">
      <c r="A14" s="3" t="s">
        <v>754</v>
      </c>
      <c r="B14" s="1"/>
      <c r="C14" s="34">
        <f t="shared" si="3" ref="C14:L14">1/(1+$C$18)^C13</f>
        <v>0.97399478579692322</v>
      </c>
      <c r="D14" s="34">
        <f t="shared" si="3"/>
        <v>0.89996688121877122</v>
      </c>
      <c r="E14" s="34">
        <f t="shared" si="3"/>
        <v>0.80994038729064177</v>
      </c>
      <c r="F14" s="34">
        <f t="shared" si="3"/>
        <v>0.7289195243230826</v>
      </c>
      <c r="G14" s="34">
        <f t="shared" si="3"/>
        <v>0.6560034309645149</v>
      </c>
      <c r="H14" s="34">
        <f t="shared" si="3"/>
        <v>0.5903813618339481</v>
      </c>
      <c r="I14" s="34">
        <f t="shared" si="3"/>
        <v>0.5313236729393891</v>
      </c>
      <c r="J14" s="34">
        <f t="shared" si="3"/>
        <v>0.47817370885296445</v>
      </c>
      <c r="K14" s="34">
        <f t="shared" si="3"/>
        <v>0.4303405014372151</v>
      </c>
      <c r="L14" s="34">
        <f t="shared" si="3"/>
        <v>0.3872921989405726</v>
      </c>
      <c r="M14" s="1"/>
      <c r="N14" s="1"/>
    </row>
    <row r="15" spans="1:14" x14ac:dyDescent="0.2">
      <c r="A15" s="3" t="s">
        <v>755</v>
      </c>
      <c r="B15" s="1"/>
      <c r="C15" s="4">
        <f t="shared" si="4" ref="C15:L15">C12*C14</f>
        <v>20.461839601447355</v>
      </c>
      <c r="D15" s="4">
        <f t="shared" si="4"/>
        <v>5158.6969491401242</v>
      </c>
      <c r="E15" s="4">
        <f t="shared" si="4"/>
        <v>11769.846123626092</v>
      </c>
      <c r="F15" s="4">
        <f t="shared" si="4"/>
        <v>24234.650159721914</v>
      </c>
      <c r="G15" s="4">
        <f t="shared" si="4"/>
        <v>38048.59372111611</v>
      </c>
      <c r="H15" s="4">
        <f t="shared" si="4"/>
        <v>51002.71771418466</v>
      </c>
      <c r="I15" s="4">
        <f t="shared" si="4"/>
        <v>59477.76674005953</v>
      </c>
      <c r="J15" s="4">
        <f t="shared" si="4"/>
        <v>65444.72526379738</v>
      </c>
      <c r="K15" s="4">
        <f t="shared" si="4"/>
        <v>68404.46135703176</v>
      </c>
      <c r="L15" s="4">
        <f t="shared" si="4"/>
        <v>66772.11581357908</v>
      </c>
      <c r="M15" s="1"/>
      <c r="N15" s="1"/>
    </row>
    <row r="16" spans="1:1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24" t="s">
        <v>756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2" t="s">
        <v>703</v>
      </c>
      <c r="B18" s="6"/>
      <c r="C18" s="41">
        <f>Market_Package!B29</f>
        <v>0.111152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2" t="s">
        <v>757</v>
      </c>
      <c r="B19" s="6"/>
      <c r="C19" s="41">
        <f>Assumptions!$C$16</f>
        <v>0.03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2" t="s">
        <v>480</v>
      </c>
      <c r="B20" s="6"/>
      <c r="C20" s="41">
        <f>Assumptions!$C$17</f>
        <v>0.25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3" t="s">
        <v>758</v>
      </c>
      <c r="B21" s="1"/>
      <c r="C21" s="4">
        <f>SUM(C15:L15)</f>
        <v>390334.0356818581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3" t="s">
        <v>759</v>
      </c>
      <c r="B22" s="1"/>
      <c r="C22" s="4">
        <f>L8*(1+C19)</f>
        <v>187989.74148191558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2" t="s">
        <v>760</v>
      </c>
      <c r="B23" s="6"/>
      <c r="C23" s="22">
        <f>C19/C20</f>
        <v>0.12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3" t="s">
        <v>761</v>
      </c>
      <c r="B24" s="1"/>
      <c r="C24" s="4">
        <f>C22*(1-C23)/(C18-C19)</f>
        <v>2038532.2913062612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3" t="s">
        <v>762</v>
      </c>
      <c r="B25" s="1"/>
      <c r="C25" s="9">
        <f>L13+0.5</f>
        <v>9.5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3" t="s">
        <v>763</v>
      </c>
      <c r="B26" s="1"/>
      <c r="C26" s="4">
        <f>C24/(1+C18)^C25</f>
        <v>748978.9436732427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32" t="s">
        <v>764</v>
      </c>
      <c r="B27" s="27"/>
      <c r="C27" s="19">
        <f>C21+C26</f>
        <v>1139312.9793551008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32" t="s">
        <v>765</v>
      </c>
      <c r="B28" s="27"/>
      <c r="C28" s="20">
        <f>C27*(1+C18)^Market_Package!B9</f>
        <v>1179142.9291388353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3" t="s">
        <v>766</v>
      </c>
      <c r="B29" s="1"/>
      <c r="C29" s="7">
        <f>Market_Package!B13</f>
        <v>131651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3" t="s">
        <v>767</v>
      </c>
      <c r="B30" s="1"/>
      <c r="C30" s="4">
        <f>-Market_Package!B14</f>
        <v>-1522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32" t="s">
        <v>768</v>
      </c>
      <c r="B31" s="27"/>
      <c r="C31" s="19">
        <f>C28+C29+C30</f>
        <v>1309271.9291388353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3" t="s">
        <v>24</v>
      </c>
      <c r="B32" s="1"/>
      <c r="C32" s="46">
        <f>Market_Package!B11</f>
        <v>16281.166197370332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32" t="s">
        <v>769</v>
      </c>
      <c r="B33" s="27"/>
      <c r="C33" s="57">
        <f>C31/C32</f>
        <v>80.416348145276203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3" t="s">
        <v>17</v>
      </c>
      <c r="B34" s="1"/>
      <c r="C34" s="28">
        <f>Market_Package!B10</f>
        <v>58.900950000000002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2" t="s">
        <v>770</v>
      </c>
      <c r="B35" s="6"/>
      <c r="C35" s="22">
        <f>C33/C34-1</f>
        <v>0.36528100387644336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2" t="s">
        <v>771</v>
      </c>
      <c r="B36" s="6"/>
      <c r="C36" s="22">
        <f>C26/C27</f>
        <v>0.65739525244169195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3" t="s">
        <v>772</v>
      </c>
      <c r="B37" s="1"/>
      <c r="C37" s="25">
        <f>C24/Forecast_3Stmt!L28</f>
        <v>8.1009738777316631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24" t="s">
        <v>773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3" t="s">
        <v>774</v>
      </c>
      <c r="B40" s="1"/>
      <c r="C40" s="76">
        <f>Assumptions!$C$18</f>
        <v>15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3" t="s">
        <v>761</v>
      </c>
      <c r="B41" s="1"/>
      <c r="C41" s="4">
        <f>Forecast_3Stmt!L28*C40</f>
        <v>3774605.9709744425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32" t="s">
        <v>765</v>
      </c>
      <c r="B42" s="27"/>
      <c r="C42" s="20">
        <f>(C21+C41/(1+C18)^C25)*(1+C18)^Market_Package!B9</f>
        <v>1839294.364678909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32" t="s">
        <v>769</v>
      </c>
      <c r="B43" s="27"/>
      <c r="C43" s="57">
        <f>(C42+C29+C30)/C32</f>
        <v>120.96328609414984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2" t="s">
        <v>770</v>
      </c>
      <c r="B44" s="6"/>
      <c r="C44" s="22">
        <f>C43/C34-1</f>
        <v>1.0536729219842775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873A"/>
  </sheetPr>
  <dimension ref="A1:H54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3" width="14.33203125" customWidth="1"/>
    <col min="4" max="4" width="17.6640625" customWidth="1"/>
    <col min="5" max="5" width="19.33203125" customWidth="1"/>
    <col min="6" max="7" width="14.33203125" customWidth="1"/>
    <col min="8" max="8" width="86" customWidth="1"/>
  </cols>
  <sheetData>
    <row r="1" spans="1:8" x14ac:dyDescent="0.2">
      <c r="A1" s="38" t="s">
        <v>775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776</v>
      </c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24" t="s">
        <v>777</v>
      </c>
      <c r="B4" s="1"/>
      <c r="C4" s="1"/>
      <c r="D4" s="1"/>
      <c r="E4" s="1"/>
      <c r="F4" s="1"/>
      <c r="G4" s="1"/>
      <c r="H4" s="1"/>
    </row>
    <row r="5" spans="1:8" x14ac:dyDescent="0.2">
      <c r="A5" s="14" t="s">
        <v>778</v>
      </c>
      <c r="B5" s="17" t="s">
        <v>779</v>
      </c>
      <c r="C5" s="17" t="s">
        <v>780</v>
      </c>
      <c r="D5" s="17" t="s">
        <v>781</v>
      </c>
      <c r="E5" s="1"/>
      <c r="F5" s="1"/>
      <c r="G5" s="1"/>
      <c r="H5" s="12" t="s">
        <v>80</v>
      </c>
    </row>
    <row r="6" spans="1:8" x14ac:dyDescent="0.2">
      <c r="A6" s="3" t="s">
        <v>782</v>
      </c>
      <c r="B6" s="25">
        <f>_xlfn.QUARTILE.INC(Market_Package!$F$33:$F$38,1)</f>
        <v>5.2979730691822793</v>
      </c>
      <c r="C6" s="25">
        <f>MEDIAN(Market_Package!$F$33:$F$38)</f>
        <v>6.1573006318538042</v>
      </c>
      <c r="D6" s="25">
        <f>_xlfn.QUARTILE.INC(Market_Package!$F$33:$F$38,3)</f>
        <v>8.9221158270184482</v>
      </c>
      <c r="E6" s="1"/>
      <c r="F6" s="1"/>
      <c r="G6" s="1"/>
      <c r="H6" s="1"/>
    </row>
    <row r="7" spans="1:8" x14ac:dyDescent="0.2">
      <c r="A7" s="42" t="s">
        <v>783</v>
      </c>
      <c r="B7" s="4">
        <f>B6*Market_Package!B16</f>
        <v>568408.66974777495</v>
      </c>
      <c r="C7" s="4">
        <f>C6*Market_Package!B16</f>
        <v>660604.16232529946</v>
      </c>
      <c r="D7" s="4">
        <f>D6*Market_Package!B16</f>
        <v>957235.51674336405</v>
      </c>
      <c r="E7" s="1"/>
      <c r="F7" s="1"/>
      <c r="G7" s="1"/>
      <c r="H7" s="1"/>
    </row>
    <row r="8" spans="1:8" x14ac:dyDescent="0.2">
      <c r="A8" s="52" t="s">
        <v>784</v>
      </c>
      <c r="B8" s="49">
        <f>(B7+Market_Package!B13-Market_Package!B14)/Market_Package!B11</f>
        <v>42.904645851511539</v>
      </c>
      <c r="C8" s="49">
        <f>(C7+Market_Package!B13-Market_Package!B14)/Market_Package!B11</f>
        <v>48.567354005207285</v>
      </c>
      <c r="D8" s="49">
        <f>(D7+Market_Package!B13-Market_Package!B14)/Market_Package!B11</f>
        <v>66.78664805467011</v>
      </c>
      <c r="E8" s="1"/>
      <c r="F8" s="1"/>
      <c r="G8" s="1"/>
      <c r="H8" s="1"/>
    </row>
    <row r="9" spans="1:8" x14ac:dyDescent="0.2">
      <c r="A9" s="3" t="s">
        <v>785</v>
      </c>
      <c r="B9" s="25">
        <f>_xlfn.QUARTILE.INC(Market_Package!$F$39:$F$43,1)</f>
        <v>19.622351069428429</v>
      </c>
      <c r="C9" s="25">
        <f>MEDIAN(Market_Package!$F$39:$F$43)</f>
        <v>36.053691018249118</v>
      </c>
      <c r="D9" s="25">
        <f>_xlfn.QUARTILE.INC(Market_Package!$F$39:$F$43,3)</f>
        <v>39.748728190626615</v>
      </c>
      <c r="E9" s="1"/>
      <c r="F9" s="1"/>
      <c r="G9" s="1"/>
      <c r="H9" s="1"/>
    </row>
    <row r="10" spans="1:8" x14ac:dyDescent="0.2">
      <c r="A10" s="42" t="s">
        <v>783</v>
      </c>
      <c r="B10" s="4">
        <f>B9*Market_Package!B16</f>
        <v>2105241.820419284</v>
      </c>
      <c r="C10" s="4">
        <f>C9*Market_Package!B16</f>
        <v>3868126.5992813609</v>
      </c>
      <c r="D10" s="4">
        <f>D9*Market_Package!B16</f>
        <v>4264559.5626795394</v>
      </c>
      <c r="E10" s="1"/>
      <c r="F10" s="1"/>
      <c r="G10" s="1"/>
      <c r="H10" s="1"/>
    </row>
    <row r="11" spans="1:8" x14ac:dyDescent="0.2">
      <c r="A11" s="52" t="s">
        <v>784</v>
      </c>
      <c r="B11" s="49">
        <f>(B10+Market_Package!B13-Market_Package!B14)/Market_Package!B11</f>
        <v>137.29795478534774</v>
      </c>
      <c r="C11" s="49">
        <f>(C10+Market_Package!B13-Market_Package!B14)/Market_Package!B11</f>
        <v>245.57550428587498</v>
      </c>
      <c r="D11" s="49">
        <f>(D10+Market_Package!B13-Market_Package!B14)/Market_Package!B11</f>
        <v>269.92467919093855</v>
      </c>
      <c r="E11" s="1"/>
      <c r="F11" s="1"/>
      <c r="G11" s="1"/>
      <c r="H11" s="1"/>
    </row>
    <row r="12" spans="1:8" x14ac:dyDescent="0.2">
      <c r="A12" s="2" t="s">
        <v>786</v>
      </c>
      <c r="B12" s="6"/>
      <c r="C12" s="41">
        <f>Forecast_3Stmt!D8</f>
        <v>1.1000000000000001</v>
      </c>
      <c r="D12" s="1"/>
      <c r="E12" s="1"/>
      <c r="F12" s="1"/>
      <c r="G12" s="1"/>
      <c r="H12" s="1" t="s">
        <v>787</v>
      </c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24" t="s">
        <v>788</v>
      </c>
      <c r="B14" s="1"/>
      <c r="C14" s="1"/>
      <c r="D14" s="1"/>
      <c r="E14" s="1"/>
      <c r="F14" s="1"/>
      <c r="G14" s="1"/>
      <c r="H14" s="1"/>
    </row>
    <row r="15" spans="1:8" x14ac:dyDescent="0.2">
      <c r="A15" s="3" t="s">
        <v>789</v>
      </c>
      <c r="B15" s="1"/>
      <c r="C15" s="9">
        <f>Cap_Table!C71/10</f>
        <v>14.097</v>
      </c>
      <c r="D15" s="1"/>
      <c r="E15" s="1"/>
      <c r="F15" s="1"/>
      <c r="G15" s="1"/>
      <c r="H15" s="1"/>
    </row>
    <row r="16" spans="1:8" x14ac:dyDescent="0.2">
      <c r="A16" s="3" t="s">
        <v>790</v>
      </c>
      <c r="B16" s="1"/>
      <c r="C16" s="9">
        <f>Cap_Table!C73/10</f>
        <v>25.913999999999998</v>
      </c>
      <c r="D16" s="1"/>
      <c r="E16" s="1"/>
      <c r="F16" s="1"/>
      <c r="G16" s="1"/>
      <c r="H16" s="1"/>
    </row>
    <row r="17" spans="1:8" x14ac:dyDescent="0.2">
      <c r="A17" s="3" t="s">
        <v>791</v>
      </c>
      <c r="B17" s="1"/>
      <c r="C17" s="9">
        <f>Cap_Table!C77/10</f>
        <v>58.900999999999996</v>
      </c>
      <c r="D17" s="1"/>
      <c r="E17" s="1"/>
      <c r="F17" s="1"/>
      <c r="G17" s="1"/>
      <c r="H17" s="1"/>
    </row>
    <row r="18" spans="1:8" x14ac:dyDescent="0.2">
      <c r="A18" s="3" t="s">
        <v>792</v>
      </c>
      <c r="B18" s="1"/>
      <c r="C18" s="28">
        <f>Cap_Table!B85</f>
        <v>21.56</v>
      </c>
      <c r="D18" s="1"/>
      <c r="E18" s="1"/>
      <c r="F18" s="1"/>
      <c r="G18" s="1"/>
      <c r="H18" s="1"/>
    </row>
    <row r="19" spans="1:8" x14ac:dyDescent="0.2">
      <c r="A19" s="3" t="s">
        <v>793</v>
      </c>
      <c r="B19" s="1"/>
      <c r="C19" s="28">
        <f>Cap_Table!C85</f>
        <v>57.14</v>
      </c>
      <c r="D19" s="1"/>
      <c r="E19" s="1"/>
      <c r="F19" s="1"/>
      <c r="G19" s="1"/>
      <c r="H19" s="1"/>
    </row>
    <row r="20" spans="1:8" x14ac:dyDescent="0.2">
      <c r="A20" s="3" t="s">
        <v>794</v>
      </c>
      <c r="B20" s="1"/>
      <c r="C20" s="28">
        <f>Cap_Table!C86</f>
        <v>46.48</v>
      </c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24" t="s">
        <v>795</v>
      </c>
      <c r="B22" s="1"/>
      <c r="C22" s="1"/>
      <c r="D22" s="1"/>
      <c r="E22" s="1"/>
      <c r="F22" s="1"/>
      <c r="G22" s="1"/>
      <c r="H22" s="1"/>
    </row>
    <row r="23" spans="1:8" x14ac:dyDescent="0.2">
      <c r="A23" s="14" t="s">
        <v>796</v>
      </c>
      <c r="B23" s="17" t="s">
        <v>797</v>
      </c>
      <c r="C23" s="17" t="s">
        <v>784</v>
      </c>
      <c r="D23" s="17" t="s">
        <v>798</v>
      </c>
      <c r="E23" s="17" t="s">
        <v>799</v>
      </c>
      <c r="F23" s="1"/>
      <c r="G23" s="1"/>
      <c r="H23" s="12" t="s">
        <v>80</v>
      </c>
    </row>
    <row r="24" spans="1:8" x14ac:dyDescent="0.2">
      <c r="A24" s="3" t="s">
        <v>800</v>
      </c>
      <c r="B24" s="21">
        <v>-0.1</v>
      </c>
      <c r="C24" s="18">
        <v>46.813656038680932</v>
      </c>
      <c r="D24" s="5">
        <v>284180.91677015024</v>
      </c>
      <c r="E24" s="22">
        <f>(D24/Forecast_3Stmt!C7)^(1/9)-1</f>
        <v>0.20070452249454918</v>
      </c>
      <c r="F24" s="1"/>
      <c r="G24" s="1"/>
      <c r="H24" s="1"/>
    </row>
    <row r="25" spans="1:8" x14ac:dyDescent="0.2">
      <c r="A25" s="3" t="s">
        <v>801</v>
      </c>
      <c r="B25" s="21">
        <v>-7.4999999999999997E-2</v>
      </c>
      <c r="C25" s="18">
        <v>53.432048467139218</v>
      </c>
      <c r="D25" s="5">
        <v>343486.82659138466</v>
      </c>
      <c r="E25" s="22">
        <f>(D25/Forecast_3Stmt!C7)^(1/9)-1</f>
        <v>0.22625919506373404</v>
      </c>
      <c r="F25" s="1"/>
      <c r="G25" s="1"/>
      <c r="H25" s="1"/>
    </row>
    <row r="26" spans="1:8" x14ac:dyDescent="0.2">
      <c r="A26" s="3" t="s">
        <v>802</v>
      </c>
      <c r="B26" s="21">
        <v>-0.05</v>
      </c>
      <c r="C26" s="18">
        <v>61.130786400455563</v>
      </c>
      <c r="D26" s="5">
        <v>413492.32324655785</v>
      </c>
      <c r="E26" s="22">
        <f>(D26/Forecast_3Stmt!C7)^(1/9)-1</f>
        <v>0.25179466213427903</v>
      </c>
      <c r="F26" s="1"/>
      <c r="G26" s="1"/>
      <c r="H26" s="1"/>
    </row>
    <row r="27" spans="1:8" x14ac:dyDescent="0.2">
      <c r="A27" s="3" t="s">
        <v>803</v>
      </c>
      <c r="B27" s="21">
        <v>-2.5000000000000001E-2</v>
      </c>
      <c r="C27" s="18">
        <v>70.066775742809327</v>
      </c>
      <c r="D27" s="5">
        <v>495840.88163407386</v>
      </c>
      <c r="E27" s="22">
        <f>(D27/Forecast_3Stmt!C7)^(1/9)-1</f>
        <v>0.27731193708249613</v>
      </c>
      <c r="F27" s="1"/>
      <c r="G27" s="1"/>
      <c r="H27" s="1"/>
    </row>
    <row r="28" spans="1:8" x14ac:dyDescent="0.2">
      <c r="A28" s="3" t="s">
        <v>804</v>
      </c>
      <c r="B28" s="21">
        <v>0</v>
      </c>
      <c r="C28" s="18">
        <v>80.416348145276203</v>
      </c>
      <c r="D28" s="5">
        <v>592386.60213685373</v>
      </c>
      <c r="E28" s="22">
        <f>(D28/Forecast_3Stmt!C7)^(1/9)-1</f>
        <v>0.30281196109816033</v>
      </c>
      <c r="F28" s="1"/>
      <c r="G28" s="1"/>
      <c r="H28" s="1"/>
    </row>
    <row r="29" spans="1:8" x14ac:dyDescent="0.2">
      <c r="A29" s="3" t="s">
        <v>805</v>
      </c>
      <c r="B29" s="21">
        <v>2.5000000000000001E-2</v>
      </c>
      <c r="C29" s="18">
        <v>92.377235331999444</v>
      </c>
      <c r="D29" s="5">
        <v>705216.11517401901</v>
      </c>
      <c r="E29" s="22">
        <f>(D29/Forecast_3Stmt!C7)^(1/9)-1</f>
        <v>0.32829560966781424</v>
      </c>
      <c r="F29" s="1"/>
      <c r="G29" s="1"/>
      <c r="H29" s="1"/>
    </row>
    <row r="30" spans="1:8" x14ac:dyDescent="0.2">
      <c r="A30" s="3" t="s">
        <v>806</v>
      </c>
      <c r="B30" s="21">
        <v>0.05</v>
      </c>
      <c r="C30" s="18">
        <v>106.17070085957934</v>
      </c>
      <c r="D30" s="5">
        <v>836672.26092645887</v>
      </c>
      <c r="E30" s="22">
        <f>(D30/Forecast_3Stmt!C7)^(1/9)-1</f>
        <v>0.3537636983559711</v>
      </c>
      <c r="F30" s="1"/>
      <c r="G30" s="1"/>
      <c r="H30" s="1"/>
    </row>
    <row r="31" spans="1:8" x14ac:dyDescent="0.2">
      <c r="A31" s="3" t="s">
        <v>807</v>
      </c>
      <c r="B31" s="21">
        <v>7.4999999999999997E-2</v>
      </c>
      <c r="C31" s="18">
        <v>122.04383852264324</v>
      </c>
      <c r="D31" s="5">
        <v>989379.64936339925</v>
      </c>
      <c r="E31" s="22">
        <f>(D31/Forecast_3Stmt!C7)^(1/9)-1</f>
        <v>0.37921698797303049</v>
      </c>
      <c r="F31" s="1"/>
      <c r="G31" s="1"/>
      <c r="H31" s="1"/>
    </row>
    <row r="32" spans="1:8" x14ac:dyDescent="0.2">
      <c r="A32" s="3" t="s">
        <v>808</v>
      </c>
      <c r="B32" s="21">
        <v>0.1</v>
      </c>
      <c r="C32" s="18">
        <v>140.27204696983245</v>
      </c>
      <c r="D32" s="5">
        <v>1166272.209741863</v>
      </c>
      <c r="E32" s="22">
        <f>(D32/Forecast_3Stmt!C7)^(1/9)-1</f>
        <v>0.40465618920591373</v>
      </c>
      <c r="F32" s="1"/>
      <c r="G32" s="1"/>
      <c r="H32" s="1"/>
    </row>
    <row r="33" spans="1:8" x14ac:dyDescent="0.2">
      <c r="A33" s="3" t="s">
        <v>809</v>
      </c>
      <c r="B33" s="1" t="s">
        <v>810</v>
      </c>
      <c r="C33" s="1"/>
      <c r="D33" s="1"/>
      <c r="E33" s="1"/>
      <c r="F33" s="1"/>
      <c r="G33" s="1"/>
      <c r="H33" s="1"/>
    </row>
    <row r="34" spans="1:8" x14ac:dyDescent="0.2">
      <c r="A34" s="70" t="s">
        <v>811</v>
      </c>
      <c r="B34" s="37"/>
      <c r="C34" s="16">
        <f>IFERROR(INDEX($B$24:$B$32,MATCH(Market_Package!B10,$C$24:$C$32,1))+(Market_Package!B10-INDEX($C$24:$C$32,MATCH(Market_Package!B10,$C$24:$C$32,1)))*(INDEX($B$24:$B$32,MATCH(Market_Package!B10,$C$24:$C$32,1)+1)-INDEX($B$24:$B$32,MATCH(Market_Package!B10,$C$24:$C$32,1)))/(INDEX($C$24:$C$32,MATCH(Market_Package!B10,$C$24:$C$32,1)+1)-INDEX($C$24:$C$32,MATCH(Market_Package!B10,$C$24:$C$32,1))),"outside grid")</f>
        <v>-5.7240915393437175E-2</v>
      </c>
      <c r="D34" s="1"/>
      <c r="E34" s="1"/>
      <c r="F34" s="1"/>
      <c r="G34" s="1"/>
      <c r="H34" s="1" t="s">
        <v>812</v>
      </c>
    </row>
    <row r="35" spans="1:8" x14ac:dyDescent="0.2">
      <c r="A35" s="3" t="s">
        <v>813</v>
      </c>
      <c r="B35" s="1"/>
      <c r="C35" s="4">
        <f>IFERROR(INDEX($D$24:$D$32,MATCH(Market_Package!B10,$C$24:$C$32,1))+(Market_Package!B10-INDEX($C$24:$C$32,MATCH(Market_Package!B10,$C$24:$C$32,1)))*(INDEX($D$24:$D$32,MATCH(Market_Package!B10,$C$24:$C$32,1)+1)-INDEX($D$24:$D$32,MATCH(Market_Package!B10,$C$24:$C$32,1)))/(INDEX($C$24:$C$32,MATCH(Market_Package!B10,$C$24:$C$32,1)+1)-INDEX($C$24:$C$32,MATCH(Market_Package!B10,$C$24:$C$32,1))),"outside grid")</f>
        <v>393216.16811233154</v>
      </c>
      <c r="D35" s="1"/>
      <c r="E35" s="1"/>
      <c r="F35" s="1"/>
      <c r="G35" s="1"/>
      <c r="H35" s="1"/>
    </row>
    <row r="36" spans="1:8" x14ac:dyDescent="0.2">
      <c r="A36" s="2" t="s">
        <v>814</v>
      </c>
      <c r="B36" s="6"/>
      <c r="C36" s="22">
        <f>IFERROR((C35/Forecast_3Stmt!C7)^(1/9)-1,"outside grid")</f>
        <v>0.24482087822300036</v>
      </c>
      <c r="D36" s="1"/>
      <c r="E36" s="1"/>
      <c r="F36" s="1"/>
      <c r="G36" s="1"/>
      <c r="H36" s="1"/>
    </row>
    <row r="37" spans="1:8" x14ac:dyDescent="0.2">
      <c r="A37" s="2" t="s">
        <v>815</v>
      </c>
      <c r="B37" s="6"/>
      <c r="C37" s="22">
        <f>(Forecast_3Stmt!L7/Forecast_3Stmt!C7)^(1/9)-1</f>
        <v>0.30281196109816033</v>
      </c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24" t="s">
        <v>816</v>
      </c>
      <c r="B39" s="1"/>
      <c r="C39" s="1"/>
      <c r="D39" s="1"/>
      <c r="E39" s="1"/>
      <c r="F39" s="1"/>
      <c r="G39" s="1"/>
      <c r="H39" s="1"/>
    </row>
    <row r="40" spans="1:8" x14ac:dyDescent="0.2">
      <c r="A40" s="14" t="s">
        <v>817</v>
      </c>
      <c r="B40" s="17" t="s">
        <v>818</v>
      </c>
      <c r="C40" s="17" t="s">
        <v>819</v>
      </c>
      <c r="D40" s="17" t="s">
        <v>820</v>
      </c>
      <c r="E40" s="14" t="s">
        <v>821</v>
      </c>
      <c r="F40" s="14" t="s">
        <v>822</v>
      </c>
      <c r="G40" s="14" t="s">
        <v>823</v>
      </c>
      <c r="H40" s="12" t="s">
        <v>80</v>
      </c>
    </row>
    <row r="41" spans="1:8" x14ac:dyDescent="0.2">
      <c r="A41" s="3" t="s">
        <v>824</v>
      </c>
      <c r="B41" s="28">
        <f>Scenario_Summary!F21</f>
        <v>22.364990026506408</v>
      </c>
      <c r="C41" s="28">
        <f>Scenario_Summary!D21</f>
        <v>80.416348145276203</v>
      </c>
      <c r="D41" s="28">
        <f>Scenario_Summary!E21</f>
        <v>146.79887126426487</v>
      </c>
      <c r="E41" s="1" t="s">
        <v>465</v>
      </c>
      <c r="F41" s="1" t="s">
        <v>463</v>
      </c>
      <c r="G41" s="1" t="s">
        <v>464</v>
      </c>
      <c r="H41" s="1" t="s">
        <v>825</v>
      </c>
    </row>
    <row r="42" spans="1:8" x14ac:dyDescent="0.2">
      <c r="A42" s="3" t="s">
        <v>826</v>
      </c>
      <c r="B42" s="28">
        <f>Scenario_Summary!F22</f>
        <v>30.789908098539868</v>
      </c>
      <c r="C42" s="28">
        <f>Scenario_Summary!D22</f>
        <v>120.96328609414984</v>
      </c>
      <c r="D42" s="28">
        <f>Scenario_Summary!E22</f>
        <v>239.93712079812585</v>
      </c>
      <c r="E42" s="1" t="s">
        <v>465</v>
      </c>
      <c r="F42" s="1" t="s">
        <v>463</v>
      </c>
      <c r="G42" s="1" t="s">
        <v>464</v>
      </c>
      <c r="H42" s="1" t="s">
        <v>825</v>
      </c>
    </row>
    <row r="43" spans="1:8" x14ac:dyDescent="0.2">
      <c r="A43" s="3" t="s">
        <v>827</v>
      </c>
      <c r="B43" s="9">
        <f>B8</f>
        <v>42.904645851511539</v>
      </c>
      <c r="C43" s="9">
        <f>C8</f>
        <v>48.567354005207285</v>
      </c>
      <c r="D43" s="9">
        <f>D8</f>
        <v>66.78664805467011</v>
      </c>
      <c r="E43" s="1" t="s">
        <v>828</v>
      </c>
      <c r="F43" s="1" t="s">
        <v>780</v>
      </c>
      <c r="G43" s="1" t="s">
        <v>829</v>
      </c>
      <c r="H43" s="1"/>
    </row>
    <row r="44" spans="1:8" x14ac:dyDescent="0.2">
      <c r="A44" s="3" t="s">
        <v>830</v>
      </c>
      <c r="B44" s="9">
        <f>B11</f>
        <v>137.29795478534774</v>
      </c>
      <c r="C44" s="9">
        <f>C11</f>
        <v>245.57550428587498</v>
      </c>
      <c r="D44" s="9">
        <f>D11</f>
        <v>269.92467919093855</v>
      </c>
      <c r="E44" s="1" t="s">
        <v>828</v>
      </c>
      <c r="F44" s="1" t="s">
        <v>780</v>
      </c>
      <c r="G44" s="1" t="s">
        <v>829</v>
      </c>
      <c r="H44" s="1"/>
    </row>
    <row r="45" spans="1:8" x14ac:dyDescent="0.2">
      <c r="A45" s="3" t="s">
        <v>831</v>
      </c>
      <c r="B45" s="9">
        <f>C16</f>
        <v>25.913999999999998</v>
      </c>
      <c r="C45" s="9">
        <f>C17</f>
        <v>58.900999999999996</v>
      </c>
      <c r="D45" s="9">
        <f>C17</f>
        <v>58.900999999999996</v>
      </c>
      <c r="E45" s="1" t="s">
        <v>832</v>
      </c>
      <c r="F45" s="1" t="s">
        <v>833</v>
      </c>
      <c r="G45" s="1" t="s">
        <v>833</v>
      </c>
      <c r="H45" s="1"/>
    </row>
    <row r="46" spans="1:8" x14ac:dyDescent="0.2">
      <c r="A46" s="3" t="s">
        <v>834</v>
      </c>
      <c r="B46" s="9">
        <f>C18</f>
        <v>21.56</v>
      </c>
      <c r="C46" s="9">
        <f>C20</f>
        <v>46.48</v>
      </c>
      <c r="D46" s="9">
        <f>C19</f>
        <v>57.14</v>
      </c>
      <c r="E46" s="1" t="s">
        <v>835</v>
      </c>
      <c r="F46" s="1" t="s">
        <v>836</v>
      </c>
      <c r="G46" s="1" t="s">
        <v>837</v>
      </c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24" t="s">
        <v>838</v>
      </c>
      <c r="B48" s="1"/>
      <c r="C48" s="1"/>
      <c r="D48" s="1"/>
      <c r="E48" s="1"/>
      <c r="F48" s="1"/>
      <c r="G48" s="1"/>
      <c r="H48" s="1"/>
    </row>
    <row r="49" spans="1:8" x14ac:dyDescent="0.2">
      <c r="A49" s="2" t="s">
        <v>839</v>
      </c>
      <c r="B49" s="6"/>
      <c r="C49" s="8">
        <v>0.25</v>
      </c>
      <c r="D49" s="1"/>
      <c r="E49" s="1"/>
      <c r="F49" s="1"/>
      <c r="G49" s="1"/>
      <c r="H49" s="1"/>
    </row>
    <row r="50" spans="1:8" x14ac:dyDescent="0.2">
      <c r="A50" s="2" t="s">
        <v>840</v>
      </c>
      <c r="B50" s="6"/>
      <c r="C50" s="8">
        <v>0.5</v>
      </c>
      <c r="D50" s="1"/>
      <c r="E50" s="1"/>
      <c r="F50" s="1"/>
      <c r="G50" s="1"/>
      <c r="H50" s="1"/>
    </row>
    <row r="51" spans="1:8" x14ac:dyDescent="0.2">
      <c r="A51" s="2" t="s">
        <v>841</v>
      </c>
      <c r="B51" s="6"/>
      <c r="C51" s="8">
        <v>0.25</v>
      </c>
      <c r="D51" s="1"/>
      <c r="E51" s="1"/>
      <c r="F51" s="1"/>
      <c r="G51" s="1"/>
      <c r="H51" s="1"/>
    </row>
    <row r="52" spans="1:8" x14ac:dyDescent="0.2">
      <c r="A52" s="32" t="s">
        <v>842</v>
      </c>
      <c r="B52" s="27"/>
      <c r="C52" s="57">
        <f>C49*Scenario_Summary!F21+C50*Scenario_Summary!D21+C51*Scenario_Summary!E21</f>
        <v>82.499139395330928</v>
      </c>
      <c r="D52" s="1"/>
      <c r="E52" s="1"/>
      <c r="F52" s="1"/>
      <c r="G52" s="1"/>
      <c r="H52" s="1"/>
    </row>
    <row r="53" spans="1:8" x14ac:dyDescent="0.2">
      <c r="A53" s="2" t="s">
        <v>19</v>
      </c>
      <c r="B53" s="6"/>
      <c r="C53" s="22">
        <f>C52/Market_Package!B10-1</f>
        <v>0.40064191486437695</v>
      </c>
      <c r="D53" s="1"/>
      <c r="E53" s="1"/>
      <c r="F53" s="1"/>
      <c r="G53" s="1"/>
      <c r="H53" s="1"/>
    </row>
    <row r="54" spans="1:8" x14ac:dyDescent="0.2">
      <c r="A54" s="3" t="s">
        <v>843</v>
      </c>
      <c r="B54" s="1"/>
      <c r="C54" s="10">
        <f>C49+C50+C51-1</f>
        <v>0</v>
      </c>
      <c r="D54" s="1"/>
      <c r="E54" s="1"/>
      <c r="F54" s="1"/>
      <c r="G54" s="1"/>
      <c r="H54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873A"/>
  </sheetPr>
  <dimension ref="A1:H21"/>
  <sheetViews>
    <sheetView showGridLines="0" workbookViewId="0"/>
  </sheetViews>
  <sheetFormatPr baseColWidth="10" defaultColWidth="8.33203125" defaultRowHeight="15" x14ac:dyDescent="0.2"/>
  <cols>
    <col min="1" max="1" width="69.33203125" customWidth="1"/>
    <col min="2" max="6" width="14.33203125" customWidth="1"/>
    <col min="7" max="7" width="6" customWidth="1"/>
    <col min="8" max="8" width="69.33203125" customWidth="1"/>
  </cols>
  <sheetData>
    <row r="1" spans="1:8" x14ac:dyDescent="0.2">
      <c r="A1" s="38" t="s">
        <v>844</v>
      </c>
      <c r="B1" s="1"/>
      <c r="C1" s="1"/>
      <c r="D1" s="1"/>
      <c r="E1" s="1"/>
      <c r="F1" s="1"/>
      <c r="G1" s="1"/>
      <c r="H1" s="1"/>
    </row>
    <row r="2" spans="1:8" x14ac:dyDescent="0.2">
      <c r="A2" s="1" t="s">
        <v>845</v>
      </c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24" t="s">
        <v>846</v>
      </c>
      <c r="B4" s="1"/>
      <c r="C4" s="1"/>
      <c r="D4" s="1"/>
      <c r="E4" s="1"/>
      <c r="F4" s="1"/>
      <c r="G4" s="1"/>
      <c r="H4" s="1"/>
    </row>
    <row r="5" spans="1:8" x14ac:dyDescent="0.2">
      <c r="A5" s="14" t="s">
        <v>847</v>
      </c>
      <c r="B5" s="30">
        <f>DCF!C19+-0.01</f>
        <v>1.9999999999999997E-2</v>
      </c>
      <c r="C5" s="30">
        <f>DCF!C19+-0.005</f>
        <v>2.4999999999999998E-2</v>
      </c>
      <c r="D5" s="30">
        <f>DCF!C19+0</f>
        <v>0.03</v>
      </c>
      <c r="E5" s="30">
        <f>DCF!C19+0.005</f>
        <v>3.4999999999999996E-2</v>
      </c>
      <c r="F5" s="30">
        <f>DCF!C19+0.01</f>
        <v>0.04</v>
      </c>
      <c r="G5" s="1"/>
      <c r="H5" s="1"/>
    </row>
    <row r="6" spans="1:8" x14ac:dyDescent="0.2">
      <c r="A6" s="16">
        <f>DCF!C18+-0.02</f>
        <v>9.1151999999999997E-2</v>
      </c>
      <c r="B6" s="9">
        <f>((SUMPRODUCT(DCF!$C$12:$L$12,1/(1+$A6)^DCF!$C$13:$L$13)+DCF!$L$8*(1+B$5)*(1-B$5/DCF!$C$20)/($A6-B$5)/(1+$A6)^DCF!$C$25)*(1+$A6)^Market_Package!$B$9+DCF!$C$29+DCF!$C$30)/DCF!$C$32</f>
        <v>102.09766194671258</v>
      </c>
      <c r="C6" s="9">
        <f>((SUMPRODUCT(DCF!$C$12:$L$12,1/(1+$A6)^DCF!$C$13:$L$13)+DCF!$L$8*(1+C$5)*(1-C$5/DCF!$C$20)/($A6-C$5)/(1+$A6)^DCF!$C$25)*(1+$A6)^Market_Package!$B$9+DCF!$C$29+DCF!$C$30)/DCF!$C$32</f>
        <v>105.90706028031998</v>
      </c>
      <c r="D6" s="9">
        <f>((SUMPRODUCT(DCF!$C$12:$L$12,1/(1+$A6)^DCF!$C$13:$L$13)+DCF!$L$8*(1+D$5)*(1-D$5/DCF!$C$20)/($A6-D$5)/(1+$A6)^DCF!$C$25)*(1+$A6)^Market_Package!$B$9+DCF!$C$29+DCF!$C$30)/DCF!$C$32</f>
        <v>110.32292870301532</v>
      </c>
      <c r="E6" s="9">
        <f>((SUMPRODUCT(DCF!$C$12:$L$12,1/(1+$A6)^DCF!$C$13:$L$13)+DCF!$L$8*(1+E$5)*(1-E$5/DCF!$C$20)/($A6-E$5)/(1+$A6)^DCF!$C$25)*(1+$A6)^Market_Package!$B$9+DCF!$C$29+DCF!$C$30)/DCF!$C$32</f>
        <v>115.5072748251476</v>
      </c>
      <c r="F6" s="9">
        <f>((SUMPRODUCT(DCF!$C$12:$L$12,1/(1+$A6)^DCF!$C$13:$L$13)+DCF!$L$8*(1+F$5)*(1-F$5/DCF!$C$20)/($A6-F$5)/(1+$A6)^DCF!$C$25)*(1+$A6)^Market_Package!$B$9+DCF!$C$29+DCF!$C$30)/DCF!$C$32</f>
        <v>121.68544986449045</v>
      </c>
      <c r="G6" s="1"/>
      <c r="H6" s="1"/>
    </row>
    <row r="7" spans="1:8" x14ac:dyDescent="0.2">
      <c r="A7" s="16">
        <f>DCF!C18+-0.01</f>
        <v>0.10115200000000001</v>
      </c>
      <c r="B7" s="9">
        <f>((SUMPRODUCT(DCF!$C$12:$L$12,1/(1+$A7)^DCF!$C$13:$L$13)+DCF!$L$8*(1+B$5)*(1-B$5/DCF!$C$20)/($A7-B$5)/(1+$A7)^DCF!$C$25)*(1+$A7)^Market_Package!$B$9+DCF!$C$29+DCF!$C$30)/DCF!$C$32</f>
        <v>87.748715234558631</v>
      </c>
      <c r="C7" s="9">
        <f>((SUMPRODUCT(DCF!$C$12:$L$12,1/(1+$A7)^DCF!$C$13:$L$13)+DCF!$L$8*(1+C$5)*(1-C$5/DCF!$C$20)/($A7-C$5)/(1+$A7)^DCF!$C$25)*(1+$A7)^Market_Package!$B$9+DCF!$C$29+DCF!$C$30)/DCF!$C$32</f>
        <v>90.298003894003642</v>
      </c>
      <c r="D7" s="9">
        <f>((SUMPRODUCT(DCF!$C$12:$L$12,1/(1+$A7)^DCF!$C$13:$L$13)+DCF!$L$8*(1+D$5)*(1-D$5/DCF!$C$20)/($A7-D$5)/(1+$A7)^DCF!$C$25)*(1+$A7)^Market_Package!$B$9+DCF!$C$29+DCF!$C$30)/DCF!$C$32</f>
        <v>93.192562126664541</v>
      </c>
      <c r="E7" s="9">
        <f>((SUMPRODUCT(DCF!$C$12:$L$12,1/(1+$A7)^DCF!$C$13:$L$13)+DCF!$L$8*(1+E$5)*(1-E$5/DCF!$C$20)/($A7-E$5)/(1+$A7)^DCF!$C$25)*(1+$A7)^Market_Package!$B$9+DCF!$C$29+DCF!$C$30)/DCF!$C$32</f>
        <v>96.51067998572546</v>
      </c>
      <c r="F7" s="9">
        <f>((SUMPRODUCT(DCF!$C$12:$L$12,1/(1+$A7)^DCF!$C$13:$L$13)+DCF!$L$8*(1+F$5)*(1-F$5/DCF!$C$20)/($A7-F$5)/(1+$A7)^DCF!$C$25)*(1+$A7)^Market_Package!$B$9+DCF!$C$29+DCF!$C$30)/DCF!$C$32</f>
        <v>100.35625259147687</v>
      </c>
      <c r="G7" s="1"/>
      <c r="H7" s="1"/>
    </row>
    <row r="8" spans="1:8" x14ac:dyDescent="0.2">
      <c r="A8" s="16">
        <f>DCF!C18+0</f>
        <v>0.111152</v>
      </c>
      <c r="B8" s="9">
        <f>((SUMPRODUCT(DCF!$C$12:$L$12,1/(1+$A8)^DCF!$C$13:$L$13)+DCF!$L$8*(1+B$5)*(1-B$5/DCF!$C$20)/($A8-B$5)/(1+$A8)^DCF!$C$25)*(1+$A8)^Market_Package!$B$9+DCF!$C$29+DCF!$C$30)/DCF!$C$32</f>
        <v>76.689571202592091</v>
      </c>
      <c r="C8" s="9">
        <f>((SUMPRODUCT(DCF!$C$12:$L$12,1/(1+$A8)^DCF!$C$13:$L$13)+DCF!$L$8*(1+C$5)*(1-C$5/DCF!$C$20)/($A8-C$5)/(1+$A8)^DCF!$C$25)*(1+$A8)^Market_Package!$B$9+DCF!$C$29+DCF!$C$30)/DCF!$C$32</f>
        <v>78.449762181962456</v>
      </c>
      <c r="D8" s="9">
        <f>((SUMPRODUCT(DCF!$C$12:$L$12,1/(1+$A8)^DCF!$C$13:$L$13)+DCF!$L$8*(1+D$5)*(1-D$5/DCF!$C$20)/($A8-D$5)/(1+$A8)^DCF!$C$25)*(1+$A8)^Market_Package!$B$9+DCF!$C$29+DCF!$C$30)/DCF!$C$32</f>
        <v>80.416348145276203</v>
      </c>
      <c r="E8" s="9">
        <f>((SUMPRODUCT(DCF!$C$12:$L$12,1/(1+$A8)^DCF!$C$13:$L$13)+DCF!$L$8*(1+E$5)*(1-E$5/DCF!$C$20)/($A8-E$5)/(1+$A8)^DCF!$C$25)*(1+$A8)^Market_Package!$B$9+DCF!$C$29+DCF!$C$30)/DCF!$C$32</f>
        <v>82.629983635541379</v>
      </c>
      <c r="F8" s="9">
        <f>((SUMPRODUCT(DCF!$C$12:$L$12,1/(1+$A8)^DCF!$C$13:$L$13)+DCF!$L$8*(1+F$5)*(1-F$5/DCF!$C$20)/($A8-F$5)/(1+$A8)^DCF!$C$25)*(1+$A8)^Market_Package!$B$9+DCF!$C$29+DCF!$C$30)/DCF!$C$32</f>
        <v>85.14275071516347</v>
      </c>
      <c r="G8" s="1"/>
      <c r="H8" s="1"/>
    </row>
    <row r="9" spans="1:8" x14ac:dyDescent="0.2">
      <c r="A9" s="16">
        <f>DCF!C18+0.01</f>
        <v>0.121152</v>
      </c>
      <c r="B9" s="9">
        <f>((SUMPRODUCT(DCF!$C$12:$L$12,1/(1+$A9)^DCF!$C$13:$L$13)+DCF!$L$8*(1+B$5)*(1-B$5/DCF!$C$20)/($A9-B$5)/(1+$A9)^DCF!$C$25)*(1+$A9)^Market_Package!$B$9+DCF!$C$29+DCF!$C$30)/DCF!$C$32</f>
        <v>67.934699563550737</v>
      </c>
      <c r="C9" s="9">
        <f>((SUMPRODUCT(DCF!$C$12:$L$12,1/(1+$A9)^DCF!$C$13:$L$13)+DCF!$L$8*(1+C$5)*(1-C$5/DCF!$C$20)/($A9-C$5)/(1+$A9)^DCF!$C$25)*(1+$A9)^Market_Package!$B$9+DCF!$C$29+DCF!$C$30)/DCF!$C$32</f>
        <v>69.179580020821646</v>
      </c>
      <c r="D9" s="9">
        <f>((SUMPRODUCT(DCF!$C$12:$L$12,1/(1+$A9)^DCF!$C$13:$L$13)+DCF!$L$8*(1+D$5)*(1-D$5/DCF!$C$20)/($A9-D$5)/(1+$A9)^DCF!$C$25)*(1+$A9)^Market_Package!$B$9+DCF!$C$29+DCF!$C$30)/DCF!$C$32</f>
        <v>70.5524174240132</v>
      </c>
      <c r="E9" s="9">
        <f>((SUMPRODUCT(DCF!$C$12:$L$12,1/(1+$A9)^DCF!$C$13:$L$13)+DCF!$L$8*(1+E$5)*(1-E$5/DCF!$C$20)/($A9-E$5)/(1+$A9)^DCF!$C$25)*(1+$A9)^Market_Package!$B$9+DCF!$C$29+DCF!$C$30)/DCF!$C$32</f>
        <v>72.07549046878893</v>
      </c>
      <c r="F9" s="9">
        <f>((SUMPRODUCT(DCF!$C$12:$L$12,1/(1+$A9)^DCF!$C$13:$L$13)+DCF!$L$8*(1+F$5)*(1-F$5/DCF!$C$20)/($A9-F$5)/(1+$A9)^DCF!$C$25)*(1+$A9)^Market_Package!$B$9+DCF!$C$29+DCF!$C$30)/DCF!$C$32</f>
        <v>73.77656845995668</v>
      </c>
      <c r="G9" s="1"/>
      <c r="H9" s="1"/>
    </row>
    <row r="10" spans="1:8" x14ac:dyDescent="0.2">
      <c r="A10" s="16">
        <f>DCF!C18+0.02</f>
        <v>0.13115199999999999</v>
      </c>
      <c r="B10" s="9">
        <f>((SUMPRODUCT(DCF!$C$12:$L$12,1/(1+$A10)^DCF!$C$13:$L$13)+DCF!$L$8*(1+B$5)*(1-B$5/DCF!$C$20)/($A10-B$5)/(1+$A10)^DCF!$C$25)*(1+$A10)^Market_Package!$B$9+DCF!$C$29+DCF!$C$30)/DCF!$C$32</f>
        <v>60.854072447438561</v>
      </c>
      <c r="C10" s="9">
        <f>((SUMPRODUCT(DCF!$C$12:$L$12,1/(1+$A10)^DCF!$C$13:$L$13)+DCF!$L$8*(1+C$5)*(1-C$5/DCF!$C$20)/($A10-C$5)/(1+$A10)^DCF!$C$25)*(1+$A10)^Market_Package!$B$9+DCF!$C$29+DCF!$C$30)/DCF!$C$32</f>
        <v>61.75118078431111</v>
      </c>
      <c r="D10" s="9">
        <f>((SUMPRODUCT(DCF!$C$12:$L$12,1/(1+$A10)^DCF!$C$13:$L$13)+DCF!$L$8*(1+D$5)*(1-D$5/DCF!$C$20)/($A10-D$5)/(1+$A10)^DCF!$C$25)*(1+$A10)^Market_Package!$B$9+DCF!$C$29+DCF!$C$30)/DCF!$C$32</f>
        <v>62.72982231017505</v>
      </c>
      <c r="E10" s="9">
        <f>((SUMPRODUCT(DCF!$C$12:$L$12,1/(1+$A10)^DCF!$C$13:$L$13)+DCF!$L$8*(1+E$5)*(1-E$5/DCF!$C$20)/($A10-E$5)/(1+$A10)^DCF!$C$25)*(1+$A10)^Market_Package!$B$9+DCF!$C$29+DCF!$C$30)/DCF!$C$32</f>
        <v>63.802716446725924</v>
      </c>
      <c r="F10" s="9">
        <f>((SUMPRODUCT(DCF!$C$12:$L$12,1/(1+$A10)^DCF!$C$13:$L$13)+DCF!$L$8*(1+F$5)*(1-F$5/DCF!$C$20)/($A10-F$5)/(1+$A10)^DCF!$C$25)*(1+$A10)^Market_Package!$B$9+DCF!$C$29+DCF!$C$30)/DCF!$C$32</f>
        <v>64.98537343137274</v>
      </c>
      <c r="G10" s="1"/>
      <c r="H10" s="1"/>
    </row>
    <row r="11" spans="1:8" x14ac:dyDescent="0.2">
      <c r="A11" s="3" t="s">
        <v>848</v>
      </c>
      <c r="B11" s="1"/>
      <c r="C11" s="1"/>
      <c r="D11" s="10">
        <f>D8-DCF!C33</f>
        <v>0</v>
      </c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24" t="s">
        <v>849</v>
      </c>
      <c r="B13" s="1"/>
      <c r="C13" s="1"/>
      <c r="D13" s="1"/>
      <c r="E13" s="1"/>
      <c r="F13" s="1"/>
      <c r="G13" s="1"/>
      <c r="H13" s="1"/>
    </row>
    <row r="14" spans="1:8" x14ac:dyDescent="0.2">
      <c r="A14" s="14" t="s">
        <v>850</v>
      </c>
      <c r="B14" s="51">
        <v>-0.05</v>
      </c>
      <c r="C14" s="51">
        <v>-2.5000000000000001E-2</v>
      </c>
      <c r="D14" s="51">
        <v>0</v>
      </c>
      <c r="E14" s="51">
        <v>2.5000000000000001E-2</v>
      </c>
      <c r="F14" s="51">
        <v>0.05</v>
      </c>
      <c r="G14" s="1"/>
      <c r="H14" s="1"/>
    </row>
    <row r="15" spans="1:8" x14ac:dyDescent="0.2">
      <c r="A15" s="16">
        <v>-0.1</v>
      </c>
      <c r="B15" s="18">
        <v>52.625744106867714</v>
      </c>
      <c r="C15" s="18">
        <v>49.720029727550489</v>
      </c>
      <c r="D15" s="18">
        <v>46.813656038680932</v>
      </c>
      <c r="E15" s="18">
        <v>43.906255455052801</v>
      </c>
      <c r="F15" s="18">
        <v>40.997124763966681</v>
      </c>
      <c r="G15" s="1"/>
      <c r="H15" s="1"/>
    </row>
    <row r="16" spans="1:8" x14ac:dyDescent="0.2">
      <c r="A16" s="16">
        <v>-0.05</v>
      </c>
      <c r="B16" s="18">
        <v>68.866411694767606</v>
      </c>
      <c r="C16" s="18">
        <v>64.998926480255776</v>
      </c>
      <c r="D16" s="18">
        <v>61.130786400455563</v>
      </c>
      <c r="E16" s="18">
        <v>57.261623376740893</v>
      </c>
      <c r="F16" s="18">
        <v>53.390729886922784</v>
      </c>
      <c r="G16" s="1"/>
      <c r="H16" s="1"/>
    </row>
    <row r="17" spans="1:8" x14ac:dyDescent="0.2">
      <c r="A17" s="16">
        <v>0</v>
      </c>
      <c r="B17" s="18">
        <v>90.720794726037894</v>
      </c>
      <c r="C17" s="18">
        <v>85.568896610016282</v>
      </c>
      <c r="D17" s="18">
        <v>80.416348145276203</v>
      </c>
      <c r="E17" s="18">
        <v>75.262780936581962</v>
      </c>
      <c r="F17" s="18">
        <v>70.107483581789765</v>
      </c>
      <c r="G17" s="1"/>
      <c r="H17" s="1"/>
    </row>
    <row r="18" spans="1:8" x14ac:dyDescent="0.2">
      <c r="A18" s="16">
        <v>0.05</v>
      </c>
      <c r="B18" s="18">
        <v>119.88172801005643</v>
      </c>
      <c r="C18" s="18">
        <v>113.0265373217193</v>
      </c>
      <c r="D18" s="18">
        <v>106.17070085957934</v>
      </c>
      <c r="E18" s="18">
        <v>99.313850075065318</v>
      </c>
      <c r="F18" s="18">
        <v>92.455270090179241</v>
      </c>
      <c r="G18" s="1"/>
      <c r="H18" s="1"/>
    </row>
    <row r="19" spans="1:8" x14ac:dyDescent="0.2">
      <c r="A19" s="16">
        <v>0.1</v>
      </c>
      <c r="B19" s="18">
        <v>158.46808392306389</v>
      </c>
      <c r="C19" s="18">
        <v>149.37038602293609</v>
      </c>
      <c r="D19" s="18">
        <v>140.27204696983245</v>
      </c>
      <c r="E19" s="18">
        <v>131.17269821258026</v>
      </c>
      <c r="F19" s="18">
        <v>122.0716217774343</v>
      </c>
      <c r="G19" s="1"/>
      <c r="H19" s="1"/>
    </row>
    <row r="20" spans="1:8" x14ac:dyDescent="0.2">
      <c r="A20" s="3" t="s">
        <v>809</v>
      </c>
      <c r="B20" s="1" t="s">
        <v>851</v>
      </c>
      <c r="C20" s="1"/>
      <c r="D20" s="1"/>
      <c r="E20" s="1"/>
      <c r="F20" s="1"/>
      <c r="G20" s="1"/>
      <c r="H20" s="1"/>
    </row>
    <row r="21" spans="1:8" x14ac:dyDescent="0.2">
      <c r="A21" s="3" t="s">
        <v>852</v>
      </c>
      <c r="B21" s="1"/>
      <c r="C21" s="1"/>
      <c r="D21" s="10">
        <f>D17-Scenario_Summary!D21</f>
        <v>0</v>
      </c>
      <c r="E21" s="1"/>
      <c r="F21" s="1"/>
      <c r="G21" s="1"/>
      <c r="H2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0873A"/>
  </sheetPr>
  <dimension ref="A1:G25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2" width="2.6640625" customWidth="1"/>
    <col min="3" max="6" width="15.1640625" customWidth="1"/>
    <col min="7" max="7" width="69.33203125" customWidth="1"/>
  </cols>
  <sheetData>
    <row r="1" spans="1:7" x14ac:dyDescent="0.2">
      <c r="A1" s="38" t="s">
        <v>853</v>
      </c>
      <c r="B1" s="1"/>
      <c r="C1" s="1"/>
      <c r="D1" s="1"/>
      <c r="E1" s="1"/>
      <c r="F1" s="1"/>
      <c r="G1" s="1"/>
    </row>
    <row r="2" spans="1:7" x14ac:dyDescent="0.2">
      <c r="A2" s="1" t="s">
        <v>854</v>
      </c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4" t="s">
        <v>855</v>
      </c>
      <c r="B4" s="14"/>
      <c r="C4" s="17" t="s">
        <v>856</v>
      </c>
      <c r="D4" s="17" t="s">
        <v>463</v>
      </c>
      <c r="E4" s="17" t="s">
        <v>464</v>
      </c>
      <c r="F4" s="17" t="s">
        <v>465</v>
      </c>
      <c r="G4" s="12" t="s">
        <v>80</v>
      </c>
    </row>
    <row r="5" spans="1:7" x14ac:dyDescent="0.2">
      <c r="A5" s="3" t="s">
        <v>857</v>
      </c>
      <c r="B5" s="1"/>
      <c r="C5" s="7">
        <f>Forecast_3Stmt!C7</f>
        <v>54786</v>
      </c>
      <c r="D5" s="5">
        <v>54786</v>
      </c>
      <c r="E5" s="5">
        <v>60286</v>
      </c>
      <c r="F5" s="5">
        <v>50486</v>
      </c>
      <c r="G5" s="1"/>
    </row>
    <row r="6" spans="1:7" x14ac:dyDescent="0.2">
      <c r="A6" s="3" t="s">
        <v>858</v>
      </c>
      <c r="B6" s="1"/>
      <c r="C6" s="7">
        <f>Forecast_3Stmt!D7</f>
        <v>115050.6</v>
      </c>
      <c r="D6" s="5">
        <v>115050.6</v>
      </c>
      <c r="E6" s="5">
        <v>135643.5</v>
      </c>
      <c r="F6" s="5">
        <v>85826.2</v>
      </c>
      <c r="G6" s="1"/>
    </row>
    <row r="7" spans="1:7" x14ac:dyDescent="0.2">
      <c r="A7" s="3" t="s">
        <v>859</v>
      </c>
      <c r="B7" s="1"/>
      <c r="C7" s="7">
        <f>Forecast_3Stmt!E7</f>
        <v>184080.96000000002</v>
      </c>
      <c r="D7" s="5">
        <v>184080.96</v>
      </c>
      <c r="E7" s="5">
        <v>230593.95</v>
      </c>
      <c r="F7" s="5">
        <v>115865.37</v>
      </c>
      <c r="G7" s="1"/>
    </row>
    <row r="8" spans="1:7" x14ac:dyDescent="0.2">
      <c r="A8" s="3" t="s">
        <v>860</v>
      </c>
      <c r="B8" s="1"/>
      <c r="C8" s="7">
        <f>Forecast_3Stmt!G7</f>
        <v>322620.29049599997</v>
      </c>
      <c r="D8" s="5">
        <v>322620.29049599997</v>
      </c>
      <c r="E8" s="5">
        <v>441356.82030000002</v>
      </c>
      <c r="F8" s="5">
        <v>162559.11410999999</v>
      </c>
      <c r="G8" s="1"/>
    </row>
    <row r="9" spans="1:7" x14ac:dyDescent="0.2">
      <c r="A9" s="3" t="s">
        <v>798</v>
      </c>
      <c r="B9" s="1"/>
      <c r="C9" s="7">
        <f>Forecast_3Stmt!L7</f>
        <v>592386.60213685373</v>
      </c>
      <c r="D9" s="5">
        <v>592386.60213685373</v>
      </c>
      <c r="E9" s="5">
        <v>890733.65684306831</v>
      </c>
      <c r="F9" s="5">
        <v>234228.50292007712</v>
      </c>
      <c r="G9" s="1"/>
    </row>
    <row r="10" spans="1:7" x14ac:dyDescent="0.2">
      <c r="A10" s="2" t="s">
        <v>799</v>
      </c>
      <c r="B10" s="6"/>
      <c r="C10" s="22">
        <f>(Forecast_3Stmt!L7/Forecast_3Stmt!C7)^(1/9)-1</f>
        <v>0.30281196109816033</v>
      </c>
      <c r="D10" s="21">
        <v>0.30281196109816033</v>
      </c>
      <c r="E10" s="21">
        <v>0.34880116566139785</v>
      </c>
      <c r="F10" s="21">
        <v>0.18591097055704853</v>
      </c>
      <c r="G10" s="1"/>
    </row>
    <row r="11" spans="1:7" x14ac:dyDescent="0.2">
      <c r="A11" s="2" t="s">
        <v>861</v>
      </c>
      <c r="B11" s="6"/>
      <c r="C11" s="41">
        <f>Forecast_3Stmt!C18</f>
        <v>1.6966013215054941E-2</v>
      </c>
      <c r="D11" s="21">
        <v>1.6966013215054941E-2</v>
      </c>
      <c r="E11" s="21">
        <v>6.5139501708522715E-2</v>
      </c>
      <c r="F11" s="21">
        <v>-3.7990730103395001E-2</v>
      </c>
      <c r="G11" s="1"/>
    </row>
    <row r="12" spans="1:7" x14ac:dyDescent="0.2">
      <c r="A12" s="2" t="s">
        <v>862</v>
      </c>
      <c r="B12" s="6"/>
      <c r="C12" s="41">
        <f>Forecast_3Stmt!D18</f>
        <v>0.11499999999999989</v>
      </c>
      <c r="D12" s="21">
        <v>0.11499999999999989</v>
      </c>
      <c r="E12" s="21">
        <v>0.17500000000000002</v>
      </c>
      <c r="F12" s="21">
        <v>0</v>
      </c>
      <c r="G12" s="1"/>
    </row>
    <row r="13" spans="1:7" x14ac:dyDescent="0.2">
      <c r="A13" s="2" t="s">
        <v>863</v>
      </c>
      <c r="B13" s="6"/>
      <c r="C13" s="41">
        <f>Forecast_3Stmt!G18</f>
        <v>0.29000000000000004</v>
      </c>
      <c r="D13" s="21">
        <v>0.29000000000000004</v>
      </c>
      <c r="E13" s="21">
        <v>0.37500000000000006</v>
      </c>
      <c r="F13" s="21">
        <v>0.14000000000000001</v>
      </c>
      <c r="G13" s="1"/>
    </row>
    <row r="14" spans="1:7" x14ac:dyDescent="0.2">
      <c r="A14" s="2" t="s">
        <v>864</v>
      </c>
      <c r="B14" s="6"/>
      <c r="C14" s="41">
        <f>Forecast_3Stmt!L18</f>
        <v>0.39</v>
      </c>
      <c r="D14" s="21">
        <v>0.39</v>
      </c>
      <c r="E14" s="21">
        <v>0.46500000000000008</v>
      </c>
      <c r="F14" s="21">
        <v>0.23</v>
      </c>
      <c r="G14" s="1"/>
    </row>
    <row r="15" spans="1:7" x14ac:dyDescent="0.2">
      <c r="A15" s="3" t="s">
        <v>865</v>
      </c>
      <c r="B15" s="1"/>
      <c r="C15" s="7">
        <f>Forecast_3Stmt!D23</f>
        <v>15583.37808911474</v>
      </c>
      <c r="D15" s="5">
        <v>15583.37808911474</v>
      </c>
      <c r="E15" s="5">
        <v>23449.375807364755</v>
      </c>
      <c r="F15" s="5">
        <v>4595.0233905929499</v>
      </c>
      <c r="G15" s="1"/>
    </row>
    <row r="16" spans="1:7" x14ac:dyDescent="0.2">
      <c r="A16" s="3" t="s">
        <v>866</v>
      </c>
      <c r="B16" s="1"/>
      <c r="C16" s="7">
        <f>Forecast_3Stmt!D60</f>
        <v>21435.088689114738</v>
      </c>
      <c r="D16" s="5">
        <v>21435.088689114738</v>
      </c>
      <c r="E16" s="5">
        <v>28142.597807364757</v>
      </c>
      <c r="F16" s="5">
        <v>10283.913590592952</v>
      </c>
      <c r="G16" s="1"/>
    </row>
    <row r="17" spans="1:7" x14ac:dyDescent="0.2">
      <c r="A17" s="3" t="s">
        <v>867</v>
      </c>
      <c r="B17" s="1"/>
      <c r="C17" s="4">
        <f>SUM(Schedules!D34:'Schedules'!G34)</f>
        <v>111511.80229232853</v>
      </c>
      <c r="D17" s="5">
        <v>111511.80229232852</v>
      </c>
      <c r="E17" s="5">
        <v>214435.23998739017</v>
      </c>
      <c r="F17" s="5">
        <v>1870.7349668354036</v>
      </c>
      <c r="G17" s="1"/>
    </row>
    <row r="18" spans="1:7" x14ac:dyDescent="0.2">
      <c r="A18" s="3" t="s">
        <v>868</v>
      </c>
      <c r="B18" s="1"/>
      <c r="C18" s="7">
        <f>Forecast_3Stmt!G33</f>
        <v>335225.13369438774</v>
      </c>
      <c r="D18" s="5">
        <v>335225.13369438774</v>
      </c>
      <c r="E18" s="5">
        <v>452555.32536522509</v>
      </c>
      <c r="F18" s="5">
        <v>204992.11961456211</v>
      </c>
      <c r="G18" s="1"/>
    </row>
    <row r="19" spans="1:7" x14ac:dyDescent="0.2">
      <c r="A19" s="3" t="s">
        <v>869</v>
      </c>
      <c r="B19" s="1"/>
      <c r="C19" s="7">
        <f>DCF!C28</f>
        <v>1179142.9291388353</v>
      </c>
      <c r="D19" s="5">
        <v>1179142.9291388353</v>
      </c>
      <c r="E19" s="5">
        <v>2259927.8206398683</v>
      </c>
      <c r="F19" s="5">
        <v>233999.11962408072</v>
      </c>
      <c r="G19" s="1"/>
    </row>
    <row r="20" spans="1:7" x14ac:dyDescent="0.2">
      <c r="A20" s="2" t="s">
        <v>771</v>
      </c>
      <c r="B20" s="6"/>
      <c r="C20" s="41">
        <f>DCF!C36</f>
        <v>0.65739525244169195</v>
      </c>
      <c r="D20" s="21">
        <v>0.65739525244169195</v>
      </c>
      <c r="E20" s="21">
        <v>0.6734576691398797</v>
      </c>
      <c r="F20" s="21">
        <v>0.6856983761663451</v>
      </c>
      <c r="G20" s="1"/>
    </row>
    <row r="21" spans="1:7" x14ac:dyDescent="0.2">
      <c r="A21" s="32" t="s">
        <v>18</v>
      </c>
      <c r="B21" s="27"/>
      <c r="C21" s="53">
        <f>DCF!C33</f>
        <v>80.416348145276203</v>
      </c>
      <c r="D21" s="65">
        <v>80.416348145276203</v>
      </c>
      <c r="E21" s="65">
        <v>146.79887126426487</v>
      </c>
      <c r="F21" s="65">
        <v>22.364990026506408</v>
      </c>
      <c r="G21" s="1"/>
    </row>
    <row r="22" spans="1:7" x14ac:dyDescent="0.2">
      <c r="A22" s="3" t="s">
        <v>870</v>
      </c>
      <c r="B22" s="1"/>
      <c r="C22" s="28">
        <f>DCF!C43</f>
        <v>120.96328609414984</v>
      </c>
      <c r="D22" s="18">
        <v>120.96328609414984</v>
      </c>
      <c r="E22" s="18">
        <v>239.93712079812585</v>
      </c>
      <c r="F22" s="18">
        <v>30.789908098539868</v>
      </c>
      <c r="G22" s="1"/>
    </row>
    <row r="23" spans="1:7" x14ac:dyDescent="0.2">
      <c r="A23" s="2" t="s">
        <v>871</v>
      </c>
      <c r="B23" s="6"/>
      <c r="C23" s="41">
        <f>DCF!C35</f>
        <v>0.36528100387644336</v>
      </c>
      <c r="D23" s="21">
        <v>0.36528100387644336</v>
      </c>
      <c r="E23" s="21">
        <v>1.4923005700971692</v>
      </c>
      <c r="F23" s="21">
        <v>-0.62029491839254869</v>
      </c>
      <c r="G23" s="1"/>
    </row>
    <row r="24" spans="1:7" x14ac:dyDescent="0.2">
      <c r="A24" s="3" t="s">
        <v>809</v>
      </c>
      <c r="B24" s="1"/>
      <c r="C24" s="1"/>
      <c r="D24" s="1" t="s">
        <v>872</v>
      </c>
      <c r="E24" s="1"/>
      <c r="F24" s="1"/>
      <c r="G24" s="1"/>
    </row>
    <row r="25" spans="1:7" x14ac:dyDescent="0.2">
      <c r="A25" s="3" t="s">
        <v>873</v>
      </c>
      <c r="B25" s="1"/>
      <c r="C25" s="10">
        <f>IF(Assumptions!$C$5=1,SUMPRODUCT((C5:C23-D5:D23)^2),0)</f>
        <v>0</v>
      </c>
      <c r="D25" s="1"/>
      <c r="E25" s="1"/>
      <c r="F25" s="1"/>
      <c r="G25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A7689"/>
  </sheetPr>
  <dimension ref="A1:E15"/>
  <sheetViews>
    <sheetView showGridLines="0" workbookViewId="0"/>
  </sheetViews>
  <sheetFormatPr baseColWidth="10" defaultColWidth="8.33203125" defaultRowHeight="15" x14ac:dyDescent="0.2"/>
  <cols>
    <col min="1" max="1" width="4.33203125" customWidth="1"/>
    <col min="2" max="2" width="182.6640625" customWidth="1"/>
    <col min="3" max="3" width="2.6640625" customWidth="1"/>
    <col min="4" max="4" width="17.6640625" customWidth="1"/>
    <col min="5" max="5" width="86" customWidth="1"/>
  </cols>
  <sheetData>
    <row r="1" spans="1:5" x14ac:dyDescent="0.2">
      <c r="A1" s="38" t="s">
        <v>874</v>
      </c>
      <c r="B1" s="1"/>
      <c r="C1" s="1"/>
      <c r="D1" s="1"/>
      <c r="E1" s="1"/>
    </row>
    <row r="2" spans="1:5" x14ac:dyDescent="0.2">
      <c r="A2" s="1" t="s">
        <v>875</v>
      </c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14" t="s">
        <v>876</v>
      </c>
      <c r="B4" s="14" t="s">
        <v>877</v>
      </c>
      <c r="C4" s="1"/>
      <c r="D4" s="12" t="s">
        <v>79</v>
      </c>
      <c r="E4" s="12" t="s">
        <v>878</v>
      </c>
    </row>
    <row r="5" spans="1:5" x14ac:dyDescent="0.2">
      <c r="A5" s="73">
        <v>1</v>
      </c>
      <c r="B5" s="1" t="s">
        <v>879</v>
      </c>
      <c r="C5" s="1"/>
      <c r="D5" s="1"/>
      <c r="E5" s="1" t="s">
        <v>880</v>
      </c>
    </row>
    <row r="6" spans="1:5" x14ac:dyDescent="0.2">
      <c r="A6" s="73">
        <v>2</v>
      </c>
      <c r="B6" s="1" t="s">
        <v>881</v>
      </c>
      <c r="C6" s="1"/>
      <c r="D6" s="1"/>
      <c r="E6" s="1" t="s">
        <v>882</v>
      </c>
    </row>
    <row r="7" spans="1:5" x14ac:dyDescent="0.2">
      <c r="A7" s="73">
        <v>3</v>
      </c>
      <c r="B7" s="1" t="s">
        <v>883</v>
      </c>
      <c r="C7" s="1"/>
      <c r="D7" s="1"/>
      <c r="E7" s="1" t="s">
        <v>884</v>
      </c>
    </row>
    <row r="8" spans="1:5" x14ac:dyDescent="0.2">
      <c r="A8" s="73">
        <v>4</v>
      </c>
      <c r="B8" s="1" t="s">
        <v>885</v>
      </c>
      <c r="C8" s="1"/>
      <c r="D8" s="1"/>
      <c r="E8" s="1" t="s">
        <v>886</v>
      </c>
    </row>
    <row r="9" spans="1:5" x14ac:dyDescent="0.2">
      <c r="A9" s="73">
        <v>5</v>
      </c>
      <c r="B9" s="1" t="s">
        <v>887</v>
      </c>
      <c r="C9" s="1"/>
      <c r="D9" s="1"/>
      <c r="E9" s="1" t="s">
        <v>888</v>
      </c>
    </row>
    <row r="10" spans="1:5" x14ac:dyDescent="0.2">
      <c r="A10" s="73">
        <v>6</v>
      </c>
      <c r="B10" s="1" t="s">
        <v>889</v>
      </c>
      <c r="C10" s="1"/>
      <c r="D10" s="1"/>
      <c r="E10" s="1" t="s">
        <v>890</v>
      </c>
    </row>
    <row r="11" spans="1:5" x14ac:dyDescent="0.2">
      <c r="A11" s="73">
        <v>7</v>
      </c>
      <c r="B11" s="1" t="s">
        <v>891</v>
      </c>
      <c r="C11" s="1"/>
      <c r="D11" s="1"/>
      <c r="E11" s="1" t="s">
        <v>892</v>
      </c>
    </row>
    <row r="12" spans="1:5" x14ac:dyDescent="0.2">
      <c r="A12" s="73">
        <v>8</v>
      </c>
      <c r="B12" s="1" t="s">
        <v>893</v>
      </c>
      <c r="C12" s="1"/>
      <c r="D12" s="1"/>
      <c r="E12" s="1" t="s">
        <v>894</v>
      </c>
    </row>
    <row r="13" spans="1:5" x14ac:dyDescent="0.2">
      <c r="A13" s="73">
        <v>9</v>
      </c>
      <c r="B13" s="1" t="s">
        <v>895</v>
      </c>
      <c r="C13" s="1"/>
      <c r="D13" s="1"/>
      <c r="E13" s="1" t="s">
        <v>896</v>
      </c>
    </row>
    <row r="14" spans="1:5" x14ac:dyDescent="0.2">
      <c r="A14" s="73">
        <v>10</v>
      </c>
      <c r="B14" s="1" t="s">
        <v>897</v>
      </c>
      <c r="C14" s="1"/>
      <c r="D14" s="1"/>
      <c r="E14" s="1" t="s">
        <v>898</v>
      </c>
    </row>
    <row r="15" spans="1:5" x14ac:dyDescent="0.2">
      <c r="A15" s="73">
        <v>11</v>
      </c>
      <c r="B15" s="1" t="s">
        <v>899</v>
      </c>
      <c r="C15" s="1"/>
      <c r="D15" s="1"/>
      <c r="E15" s="1" t="s">
        <v>900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E1A2B"/>
  </sheetPr>
  <dimension ref="A1:D69"/>
  <sheetViews>
    <sheetView showGridLines="0" workbookViewId="0"/>
  </sheetViews>
  <sheetFormatPr baseColWidth="10" defaultColWidth="8.33203125" defaultRowHeight="15" x14ac:dyDescent="0.2"/>
  <cols>
    <col min="1" max="1" width="86" customWidth="1"/>
    <col min="2" max="2" width="22.6640625" customWidth="1"/>
    <col min="3" max="3" width="17.6640625" customWidth="1"/>
    <col min="4" max="4" width="26" customWidth="1"/>
  </cols>
  <sheetData>
    <row r="1" spans="1:4" x14ac:dyDescent="0.2">
      <c r="A1" s="38" t="s">
        <v>901</v>
      </c>
      <c r="B1" s="1"/>
      <c r="C1" s="1"/>
      <c r="D1" s="1"/>
    </row>
    <row r="2" spans="1:4" x14ac:dyDescent="0.2">
      <c r="A2" s="1" t="s">
        <v>902</v>
      </c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27" t="s">
        <v>903</v>
      </c>
      <c r="B4" s="27"/>
      <c r="C4" s="50" t="str">
        <f>IF(MAX(MAX(C7:C69),-MIN(C7:C69))&lt;0.5,"OK","ERROR")</f>
        <v>OK</v>
      </c>
      <c r="D4" s="1"/>
    </row>
    <row r="5" spans="1:4" x14ac:dyDescent="0.2">
      <c r="A5" s="1"/>
      <c r="B5" s="1"/>
      <c r="C5" s="1"/>
      <c r="D5" s="1"/>
    </row>
    <row r="6" spans="1:4" x14ac:dyDescent="0.2">
      <c r="A6" s="14" t="s">
        <v>904</v>
      </c>
      <c r="B6" s="14" t="s">
        <v>25</v>
      </c>
      <c r="C6" s="17" t="s">
        <v>905</v>
      </c>
      <c r="D6" s="14" t="s">
        <v>906</v>
      </c>
    </row>
    <row r="7" spans="1:4" x14ac:dyDescent="0.2">
      <c r="A7" s="3" t="s">
        <v>89</v>
      </c>
      <c r="B7" s="1" t="s">
        <v>27</v>
      </c>
      <c r="C7" s="10">
        <f>MAX(MAX(IS_Hist!B27:F27),-MIN(IS_Hist!B27:F27))</f>
        <v>0</v>
      </c>
      <c r="D7" s="1" t="s">
        <v>907</v>
      </c>
    </row>
    <row r="8" spans="1:4" x14ac:dyDescent="0.2">
      <c r="A8" s="3" t="s">
        <v>90</v>
      </c>
      <c r="B8" s="1" t="s">
        <v>27</v>
      </c>
      <c r="C8" s="10">
        <f>MAX(MAX(IS_Hist!B28:F28),-MIN(IS_Hist!B28:F28))</f>
        <v>0</v>
      </c>
      <c r="D8" s="1" t="s">
        <v>908</v>
      </c>
    </row>
    <row r="9" spans="1:4" x14ac:dyDescent="0.2">
      <c r="A9" s="3" t="s">
        <v>94</v>
      </c>
      <c r="B9" s="1" t="s">
        <v>27</v>
      </c>
      <c r="C9" s="10">
        <f>MAX(MAX(IS_Hist!B29:F29),-MIN(IS_Hist!B29:F29))</f>
        <v>0</v>
      </c>
      <c r="D9" s="1" t="s">
        <v>909</v>
      </c>
    </row>
    <row r="10" spans="1:4" x14ac:dyDescent="0.2">
      <c r="A10" s="3" t="s">
        <v>95</v>
      </c>
      <c r="B10" s="1" t="s">
        <v>27</v>
      </c>
      <c r="C10" s="10">
        <f>MAX(MAX(IS_Hist!B30:F30),-MIN(IS_Hist!B30:F30))</f>
        <v>0</v>
      </c>
      <c r="D10" s="1" t="s">
        <v>910</v>
      </c>
    </row>
    <row r="11" spans="1:4" x14ac:dyDescent="0.2">
      <c r="A11" s="3" t="s">
        <v>97</v>
      </c>
      <c r="B11" s="1" t="s">
        <v>27</v>
      </c>
      <c r="C11" s="10">
        <f>MAX(MAX(IS_Hist!B31:F31),-MIN(IS_Hist!B31:F31))</f>
        <v>0</v>
      </c>
      <c r="D11" s="1" t="s">
        <v>911</v>
      </c>
    </row>
    <row r="12" spans="1:4" x14ac:dyDescent="0.2">
      <c r="A12" s="3" t="s">
        <v>101</v>
      </c>
      <c r="B12" s="1" t="s">
        <v>27</v>
      </c>
      <c r="C12" s="10">
        <f>MAX(MAX(IS_Hist!B32:F32),-MIN(IS_Hist!B32:F32))</f>
        <v>0</v>
      </c>
      <c r="D12" s="1" t="s">
        <v>912</v>
      </c>
    </row>
    <row r="13" spans="1:4" x14ac:dyDescent="0.2">
      <c r="A13" s="3" t="s">
        <v>108</v>
      </c>
      <c r="B13" s="1" t="s">
        <v>29</v>
      </c>
      <c r="C13" s="10">
        <f>MAX(MAX(CI_Hist!B15:F15),-MIN(CI_Hist!B15:F15))</f>
        <v>0</v>
      </c>
      <c r="D13" s="1" t="s">
        <v>913</v>
      </c>
    </row>
    <row r="14" spans="1:4" x14ac:dyDescent="0.2">
      <c r="A14" s="3" t="s">
        <v>109</v>
      </c>
      <c r="B14" s="1" t="s">
        <v>29</v>
      </c>
      <c r="C14" s="10">
        <f>MAX(MAX(CI_Hist!B16:F16),-MIN(CI_Hist!B16:F16))</f>
        <v>0</v>
      </c>
      <c r="D14" s="1" t="s">
        <v>914</v>
      </c>
    </row>
    <row r="15" spans="1:4" x14ac:dyDescent="0.2">
      <c r="A15" s="3" t="s">
        <v>110</v>
      </c>
      <c r="B15" s="1" t="s">
        <v>29</v>
      </c>
      <c r="C15" s="10">
        <f>MAX(MAX(CI_Hist!B17:F17),-MIN(CI_Hist!B17:F17))</f>
        <v>0</v>
      </c>
      <c r="D15" s="1" t="s">
        <v>915</v>
      </c>
    </row>
    <row r="16" spans="1:4" x14ac:dyDescent="0.2">
      <c r="A16" s="3" t="s">
        <v>123</v>
      </c>
      <c r="B16" s="1" t="s">
        <v>31</v>
      </c>
      <c r="C16" s="10">
        <f>MAX(MAX(BS_Hist!B50:D50),-MIN(BS_Hist!B50:D50))</f>
        <v>0</v>
      </c>
      <c r="D16" s="1" t="s">
        <v>916</v>
      </c>
    </row>
    <row r="17" spans="1:4" x14ac:dyDescent="0.2">
      <c r="A17" s="3" t="s">
        <v>129</v>
      </c>
      <c r="B17" s="1" t="s">
        <v>31</v>
      </c>
      <c r="C17" s="10">
        <f>MAX(MAX(BS_Hist!B51:D51),-MIN(BS_Hist!B51:D51))</f>
        <v>0</v>
      </c>
      <c r="D17" s="1" t="s">
        <v>917</v>
      </c>
    </row>
    <row r="18" spans="1:4" x14ac:dyDescent="0.2">
      <c r="A18" s="3" t="s">
        <v>135</v>
      </c>
      <c r="B18" s="1" t="s">
        <v>31</v>
      </c>
      <c r="C18" s="10">
        <f>MAX(MAX(BS_Hist!B52:D52),-MIN(BS_Hist!B52:D52))</f>
        <v>0</v>
      </c>
      <c r="D18" s="1" t="s">
        <v>918</v>
      </c>
    </row>
    <row r="19" spans="1:4" x14ac:dyDescent="0.2">
      <c r="A19" s="3" t="s">
        <v>139</v>
      </c>
      <c r="B19" s="1" t="s">
        <v>31</v>
      </c>
      <c r="C19" s="10">
        <f>MAX(MAX(BS_Hist!B53:D53),-MIN(BS_Hist!B53:D53))</f>
        <v>0</v>
      </c>
      <c r="D19" s="1" t="s">
        <v>919</v>
      </c>
    </row>
    <row r="20" spans="1:4" x14ac:dyDescent="0.2">
      <c r="A20" s="3" t="s">
        <v>160</v>
      </c>
      <c r="B20" s="1" t="s">
        <v>31</v>
      </c>
      <c r="C20" s="10">
        <f>MAX(MAX(BS_Hist!B54:D54),-MIN(BS_Hist!B54:D54))</f>
        <v>0</v>
      </c>
      <c r="D20" s="1" t="s">
        <v>920</v>
      </c>
    </row>
    <row r="21" spans="1:4" x14ac:dyDescent="0.2">
      <c r="A21" s="3" t="s">
        <v>161</v>
      </c>
      <c r="B21" s="1" t="s">
        <v>31</v>
      </c>
      <c r="C21" s="10">
        <f>MAX(MAX(BS_Hist!B55:D55),-MIN(BS_Hist!B55:D55))</f>
        <v>0</v>
      </c>
      <c r="D21" s="1" t="s">
        <v>921</v>
      </c>
    </row>
    <row r="22" spans="1:4" x14ac:dyDescent="0.2">
      <c r="A22" s="3" t="s">
        <v>162</v>
      </c>
      <c r="B22" s="1" t="s">
        <v>31</v>
      </c>
      <c r="C22" s="10">
        <f>MAX(MAX(BS_Hist!B56:D56),-MIN(BS_Hist!B56:D56))</f>
        <v>0</v>
      </c>
      <c r="D22" s="1" t="s">
        <v>922</v>
      </c>
    </row>
    <row r="23" spans="1:4" x14ac:dyDescent="0.2">
      <c r="A23" s="3" t="s">
        <v>197</v>
      </c>
      <c r="B23" s="1" t="s">
        <v>33</v>
      </c>
      <c r="C23" s="10">
        <f>MAX(MAX(CF_Hist!B47:F47),-MIN(CF_Hist!B47:F47))</f>
        <v>0</v>
      </c>
      <c r="D23" s="1" t="s">
        <v>923</v>
      </c>
    </row>
    <row r="24" spans="1:4" x14ac:dyDescent="0.2">
      <c r="A24" s="3" t="s">
        <v>183</v>
      </c>
      <c r="B24" s="1" t="s">
        <v>33</v>
      </c>
      <c r="C24" s="10">
        <f>MAX(MAX(CF_Hist!B48:F48),-MIN(CF_Hist!B48:F48))</f>
        <v>0</v>
      </c>
      <c r="D24" s="1" t="s">
        <v>924</v>
      </c>
    </row>
    <row r="25" spans="1:4" x14ac:dyDescent="0.2">
      <c r="A25" s="3" t="s">
        <v>198</v>
      </c>
      <c r="B25" s="1" t="s">
        <v>33</v>
      </c>
      <c r="C25" s="10">
        <f>MAX(MAX(CF_Hist!B49:F49),-MIN(CF_Hist!B49:F49))</f>
        <v>0</v>
      </c>
      <c r="D25" s="1" t="s">
        <v>925</v>
      </c>
    </row>
    <row r="26" spans="1:4" x14ac:dyDescent="0.2">
      <c r="A26" s="3" t="s">
        <v>199</v>
      </c>
      <c r="B26" s="1" t="s">
        <v>33</v>
      </c>
      <c r="C26" s="10">
        <f>MAX(MAX(CF_Hist!B50:F50),-MIN(CF_Hist!B50:F50))</f>
        <v>0</v>
      </c>
      <c r="D26" s="1" t="s">
        <v>926</v>
      </c>
    </row>
    <row r="27" spans="1:4" x14ac:dyDescent="0.2">
      <c r="A27" s="3" t="s">
        <v>200</v>
      </c>
      <c r="B27" s="1" t="s">
        <v>33</v>
      </c>
      <c r="C27" s="10">
        <f>MAX(MAX(CF_Hist!B51:F51),-MIN(CF_Hist!B51:F51))</f>
        <v>0</v>
      </c>
      <c r="D27" s="1" t="s">
        <v>927</v>
      </c>
    </row>
    <row r="28" spans="1:4" x14ac:dyDescent="0.2">
      <c r="A28" s="3" t="s">
        <v>110</v>
      </c>
      <c r="B28" s="1" t="s">
        <v>33</v>
      </c>
      <c r="C28" s="10">
        <f>MAX(MAX(CF_Hist!B52:F52),-MIN(CF_Hist!B52:F52))</f>
        <v>0</v>
      </c>
      <c r="D28" s="1" t="s">
        <v>928</v>
      </c>
    </row>
    <row r="29" spans="1:4" x14ac:dyDescent="0.2">
      <c r="A29" s="3" t="s">
        <v>201</v>
      </c>
      <c r="B29" s="1" t="s">
        <v>33</v>
      </c>
      <c r="C29" s="10">
        <f>MAX(MAX(CF_Hist!C53:F53),-MIN(CF_Hist!C53:F53))</f>
        <v>0</v>
      </c>
      <c r="D29" s="1" t="s">
        <v>929</v>
      </c>
    </row>
    <row r="30" spans="1:4" x14ac:dyDescent="0.2">
      <c r="A30" s="3" t="s">
        <v>248</v>
      </c>
      <c r="B30" s="1" t="s">
        <v>35</v>
      </c>
      <c r="C30" s="10">
        <f>MAX(MAX(SCE_Hist!M58:M58),-MIN(SCE_Hist!M58:M58))</f>
        <v>0</v>
      </c>
      <c r="D30" s="1" t="s">
        <v>930</v>
      </c>
    </row>
    <row r="31" spans="1:4" x14ac:dyDescent="0.2">
      <c r="A31" s="3" t="s">
        <v>249</v>
      </c>
      <c r="B31" s="1" t="s">
        <v>35</v>
      </c>
      <c r="C31" s="10">
        <f>MAX(MAX(SCE_Hist!C59:C59),-MIN(SCE_Hist!C59:C59))</f>
        <v>0</v>
      </c>
      <c r="D31" s="1" t="s">
        <v>931</v>
      </c>
    </row>
    <row r="32" spans="1:4" x14ac:dyDescent="0.2">
      <c r="A32" s="3" t="s">
        <v>250</v>
      </c>
      <c r="B32" s="1" t="s">
        <v>35</v>
      </c>
      <c r="C32" s="10">
        <f>MAX(MAX(SCE_Hist!M60:M60),-MIN(SCE_Hist!M60:M60))</f>
        <v>0</v>
      </c>
      <c r="D32" s="1" t="s">
        <v>932</v>
      </c>
    </row>
    <row r="33" spans="1:4" x14ac:dyDescent="0.2">
      <c r="A33" s="3" t="s">
        <v>251</v>
      </c>
      <c r="B33" s="1" t="s">
        <v>35</v>
      </c>
      <c r="C33" s="10">
        <f>MAX(MAX(SCE_Hist!M61:M61),-MIN(SCE_Hist!M61:M61))</f>
        <v>0</v>
      </c>
      <c r="D33" s="1" t="s">
        <v>933</v>
      </c>
    </row>
    <row r="34" spans="1:4" x14ac:dyDescent="0.2">
      <c r="A34" s="3" t="s">
        <v>252</v>
      </c>
      <c r="B34" s="1" t="s">
        <v>35</v>
      </c>
      <c r="C34" s="10">
        <f>MAX(MAX(SCE_Hist!C62:C62),-MIN(SCE_Hist!C62:C62))</f>
        <v>0</v>
      </c>
      <c r="D34" s="1" t="s">
        <v>934</v>
      </c>
    </row>
    <row r="35" spans="1:4" x14ac:dyDescent="0.2">
      <c r="A35" s="3" t="s">
        <v>253</v>
      </c>
      <c r="B35" s="1" t="s">
        <v>35</v>
      </c>
      <c r="C35" s="10">
        <f>MAX(MAX(SCE_Hist!M63:M63),-MIN(SCE_Hist!M63:M63))</f>
        <v>0</v>
      </c>
      <c r="D35" s="1" t="s">
        <v>935</v>
      </c>
    </row>
    <row r="36" spans="1:4" x14ac:dyDescent="0.2">
      <c r="A36" s="3" t="s">
        <v>254</v>
      </c>
      <c r="B36" s="1" t="s">
        <v>35</v>
      </c>
      <c r="C36" s="10">
        <f>MAX(MAX(SCE_Hist!M64:M64),-MIN(SCE_Hist!M64:M64))</f>
        <v>0</v>
      </c>
      <c r="D36" s="1" t="s">
        <v>936</v>
      </c>
    </row>
    <row r="37" spans="1:4" x14ac:dyDescent="0.2">
      <c r="A37" s="3" t="s">
        <v>255</v>
      </c>
      <c r="B37" s="1" t="s">
        <v>35</v>
      </c>
      <c r="C37" s="10">
        <f>MAX(MAX(SCE_Hist!C65:C65),-MIN(SCE_Hist!C65:C65))</f>
        <v>0</v>
      </c>
      <c r="D37" s="1" t="s">
        <v>937</v>
      </c>
    </row>
    <row r="38" spans="1:4" x14ac:dyDescent="0.2">
      <c r="A38" s="3" t="s">
        <v>256</v>
      </c>
      <c r="B38" s="1" t="s">
        <v>35</v>
      </c>
      <c r="C38" s="10">
        <f>MAX(MAX(SCE_Hist!M66:M66),-MIN(SCE_Hist!M66:M66))</f>
        <v>0</v>
      </c>
      <c r="D38" s="1" t="s">
        <v>938</v>
      </c>
    </row>
    <row r="39" spans="1:4" x14ac:dyDescent="0.2">
      <c r="A39" s="3" t="s">
        <v>89</v>
      </c>
      <c r="B39" s="1" t="s">
        <v>37</v>
      </c>
      <c r="C39" s="10">
        <f>MAX(MAX(Quarterly_Hist!B40:G40),-MIN(Quarterly_Hist!B40:G40))</f>
        <v>0</v>
      </c>
      <c r="D39" s="1" t="s">
        <v>939</v>
      </c>
    </row>
    <row r="40" spans="1:4" x14ac:dyDescent="0.2">
      <c r="A40" s="3" t="s">
        <v>97</v>
      </c>
      <c r="B40" s="1" t="s">
        <v>37</v>
      </c>
      <c r="C40" s="10">
        <f>MAX(MAX(Quarterly_Hist!B41:G41),-MIN(Quarterly_Hist!B41:G41))</f>
        <v>0</v>
      </c>
      <c r="D40" s="1" t="s">
        <v>940</v>
      </c>
    </row>
    <row r="41" spans="1:4" x14ac:dyDescent="0.2">
      <c r="A41" s="3" t="s">
        <v>281</v>
      </c>
      <c r="B41" s="1" t="s">
        <v>37</v>
      </c>
      <c r="C41" s="10">
        <f>MAX(MAX(Quarterly_Hist!B42:G42),-MIN(Quarterly_Hist!B42:G42))</f>
        <v>0</v>
      </c>
      <c r="D41" s="1" t="s">
        <v>941</v>
      </c>
    </row>
    <row r="42" spans="1:4" x14ac:dyDescent="0.2">
      <c r="A42" s="3" t="s">
        <v>282</v>
      </c>
      <c r="B42" s="1" t="s">
        <v>37</v>
      </c>
      <c r="C42" s="10">
        <f>MAX(MAX(Quarterly_Hist!B43:D43),-MIN(Quarterly_Hist!B43:D43))</f>
        <v>0</v>
      </c>
      <c r="D42" s="1" t="s">
        <v>942</v>
      </c>
    </row>
    <row r="43" spans="1:4" x14ac:dyDescent="0.2">
      <c r="A43" s="3" t="s">
        <v>284</v>
      </c>
      <c r="B43" s="1" t="s">
        <v>37</v>
      </c>
      <c r="C43" s="10">
        <f>MAX(MAX(Quarterly_Hist!B44:D44),-MIN(Quarterly_Hist!B44:D44))</f>
        <v>0</v>
      </c>
      <c r="D43" s="1" t="s">
        <v>943</v>
      </c>
    </row>
    <row r="44" spans="1:4" x14ac:dyDescent="0.2">
      <c r="A44" s="3" t="s">
        <v>285</v>
      </c>
      <c r="B44" s="1" t="s">
        <v>37</v>
      </c>
      <c r="C44" s="10">
        <f>MAX(MAX(Quarterly_Hist!B45:D45),-MIN(Quarterly_Hist!B45:D45))</f>
        <v>0</v>
      </c>
      <c r="D44" s="1" t="s">
        <v>944</v>
      </c>
    </row>
    <row r="45" spans="1:4" x14ac:dyDescent="0.2">
      <c r="A45" s="3" t="s">
        <v>286</v>
      </c>
      <c r="B45" s="1" t="s">
        <v>37</v>
      </c>
      <c r="C45" s="10">
        <f>MAX(MAX(Quarterly_Hist!B46:D46),-MIN(Quarterly_Hist!B46:D46))</f>
        <v>0</v>
      </c>
      <c r="D45" s="1" t="s">
        <v>945</v>
      </c>
    </row>
    <row r="46" spans="1:4" x14ac:dyDescent="0.2">
      <c r="A46" s="3" t="s">
        <v>344</v>
      </c>
      <c r="B46" s="1" t="s">
        <v>39</v>
      </c>
      <c r="C46" s="10">
        <f>MAX(MAX(Revenue_Hist!B72:F72),-MIN(Revenue_Hist!B72:F72))</f>
        <v>0</v>
      </c>
      <c r="D46" s="1" t="s">
        <v>946</v>
      </c>
    </row>
    <row r="47" spans="1:4" x14ac:dyDescent="0.2">
      <c r="A47" s="3" t="s">
        <v>345</v>
      </c>
      <c r="B47" s="1" t="s">
        <v>39</v>
      </c>
      <c r="C47" s="10">
        <f>MAX(MAX(Revenue_Hist!B73:F73),-MIN(Revenue_Hist!B73:F73))</f>
        <v>0</v>
      </c>
      <c r="D47" s="1" t="s">
        <v>947</v>
      </c>
    </row>
    <row r="48" spans="1:4" x14ac:dyDescent="0.2">
      <c r="A48" s="3" t="s">
        <v>346</v>
      </c>
      <c r="B48" s="1" t="s">
        <v>39</v>
      </c>
      <c r="C48" s="10">
        <f>MAX(MAX(Revenue_Hist!B74:F74),-MIN(Revenue_Hist!B74:F74))</f>
        <v>0</v>
      </c>
      <c r="D48" s="1" t="s">
        <v>948</v>
      </c>
    </row>
    <row r="49" spans="1:4" x14ac:dyDescent="0.2">
      <c r="A49" s="3" t="s">
        <v>347</v>
      </c>
      <c r="B49" s="1" t="s">
        <v>39</v>
      </c>
      <c r="C49" s="10">
        <f>MAX(MAX(Revenue_Hist!B75:F75),-MIN(Revenue_Hist!B75:F75))</f>
        <v>0</v>
      </c>
      <c r="D49" s="1" t="s">
        <v>949</v>
      </c>
    </row>
    <row r="50" spans="1:4" x14ac:dyDescent="0.2">
      <c r="A50" s="3" t="s">
        <v>348</v>
      </c>
      <c r="B50" s="1" t="s">
        <v>39</v>
      </c>
      <c r="C50" s="10">
        <f>MAX(MAX(Revenue_Hist!B76:F76),-MIN(Revenue_Hist!B76:F76))</f>
        <v>0</v>
      </c>
      <c r="D50" s="1" t="s">
        <v>950</v>
      </c>
    </row>
    <row r="51" spans="1:4" x14ac:dyDescent="0.2">
      <c r="A51" s="3" t="s">
        <v>349</v>
      </c>
      <c r="B51" s="1" t="s">
        <v>39</v>
      </c>
      <c r="C51" s="10">
        <f>MAX(MAX(Revenue_Hist!B77:F77),-MIN(Revenue_Hist!B77:F77))</f>
        <v>0</v>
      </c>
      <c r="D51" s="1" t="s">
        <v>951</v>
      </c>
    </row>
    <row r="52" spans="1:4" x14ac:dyDescent="0.2">
      <c r="A52" s="3" t="s">
        <v>443</v>
      </c>
      <c r="B52" s="1" t="s">
        <v>41</v>
      </c>
      <c r="C52" s="10">
        <f>MAX(MAX(Cap_Table!B89:B89),-MIN(Cap_Table!B89:B89))</f>
        <v>0</v>
      </c>
      <c r="D52" s="1" t="s">
        <v>952</v>
      </c>
    </row>
    <row r="53" spans="1:4" x14ac:dyDescent="0.2">
      <c r="A53" s="3" t="s">
        <v>444</v>
      </c>
      <c r="B53" s="1" t="s">
        <v>41</v>
      </c>
      <c r="C53" s="10">
        <f>MAX(MAX(Cap_Table!B90:B90),-MIN(Cap_Table!B90:B90))</f>
        <v>0</v>
      </c>
      <c r="D53" s="1" t="s">
        <v>953</v>
      </c>
    </row>
    <row r="54" spans="1:4" x14ac:dyDescent="0.2">
      <c r="A54" s="3" t="s">
        <v>574</v>
      </c>
      <c r="B54" s="1" t="s">
        <v>45</v>
      </c>
      <c r="C54" s="10">
        <f>MAX(MAX(Interim_Bridge!B60:D60),-MIN(Interim_Bridge!B60:D60))</f>
        <v>0</v>
      </c>
      <c r="D54" s="1" t="s">
        <v>954</v>
      </c>
    </row>
    <row r="55" spans="1:4" x14ac:dyDescent="0.2">
      <c r="A55" s="72">
        <v>46203</v>
      </c>
      <c r="B55" s="1" t="s">
        <v>45</v>
      </c>
      <c r="C55" s="10">
        <f>MAX(MAX(Interim_Bridge!B61:B61),-MIN(Interim_Bridge!B61:B61))</f>
        <v>0</v>
      </c>
      <c r="D55" s="1" t="s">
        <v>955</v>
      </c>
    </row>
    <row r="56" spans="1:4" x14ac:dyDescent="0.2">
      <c r="A56" s="3" t="s">
        <v>575</v>
      </c>
      <c r="B56" s="1" t="s">
        <v>45</v>
      </c>
      <c r="C56" s="10">
        <f>MAX(MAX(Interim_Bridge!B62:B62),-MIN(Interim_Bridge!B62:B62))</f>
        <v>0</v>
      </c>
      <c r="D56" s="1" t="s">
        <v>956</v>
      </c>
    </row>
    <row r="57" spans="1:4" x14ac:dyDescent="0.2">
      <c r="A57" s="3" t="s">
        <v>576</v>
      </c>
      <c r="B57" s="1" t="s">
        <v>45</v>
      </c>
      <c r="C57" s="10">
        <f>MAX(MAX(Interim_Bridge!B63:B63),-MIN(Interim_Bridge!B63:B63))</f>
        <v>0</v>
      </c>
      <c r="D57" s="1" t="s">
        <v>957</v>
      </c>
    </row>
    <row r="58" spans="1:4" x14ac:dyDescent="0.2">
      <c r="A58" s="3" t="s">
        <v>577</v>
      </c>
      <c r="B58" s="1" t="s">
        <v>45</v>
      </c>
      <c r="C58" s="10">
        <f>MAX(MAX(Interim_Bridge!E64:G64),-MIN(Interim_Bridge!E64:G64))</f>
        <v>0</v>
      </c>
      <c r="D58" s="1" t="s">
        <v>958</v>
      </c>
    </row>
    <row r="59" spans="1:4" x14ac:dyDescent="0.2">
      <c r="A59" s="3" t="s">
        <v>606</v>
      </c>
      <c r="B59" s="1" t="s">
        <v>47</v>
      </c>
      <c r="C59" s="10">
        <f>MAX(MAX(Schedules!D38:L38),-MIN(Schedules!D38:L38))</f>
        <v>0</v>
      </c>
      <c r="D59" s="1" t="s">
        <v>959</v>
      </c>
    </row>
    <row r="60" spans="1:4" x14ac:dyDescent="0.2">
      <c r="A60" s="3" t="s">
        <v>607</v>
      </c>
      <c r="B60" s="1" t="s">
        <v>47</v>
      </c>
      <c r="C60" s="10">
        <f>MAX(MAX(Schedules!D39:L39),-MIN(Schedules!D39:L39))</f>
        <v>0</v>
      </c>
      <c r="D60" s="1" t="s">
        <v>960</v>
      </c>
    </row>
    <row r="61" spans="1:4" x14ac:dyDescent="0.2">
      <c r="A61" s="3" t="s">
        <v>574</v>
      </c>
      <c r="B61" s="1" t="s">
        <v>49</v>
      </c>
      <c r="C61" s="10">
        <f>MAX(MAX(Forecast_3Stmt!B64:L64),-MIN(Forecast_3Stmt!B64:L64))</f>
        <v>0</v>
      </c>
      <c r="D61" s="1" t="s">
        <v>961</v>
      </c>
    </row>
    <row r="62" spans="1:4" x14ac:dyDescent="0.2">
      <c r="A62" s="3" t="s">
        <v>626</v>
      </c>
      <c r="B62" s="1" t="s">
        <v>49</v>
      </c>
      <c r="C62" s="10">
        <f>MAX(MAX(Forecast_3Stmt!C65:L65),-MIN(Forecast_3Stmt!C65:L65))</f>
        <v>0</v>
      </c>
      <c r="D62" s="1" t="s">
        <v>962</v>
      </c>
    </row>
    <row r="63" spans="1:4" x14ac:dyDescent="0.2">
      <c r="A63" s="3" t="s">
        <v>627</v>
      </c>
      <c r="B63" s="1" t="s">
        <v>49</v>
      </c>
      <c r="C63" s="10">
        <f>MAX(MAX(Forecast_3Stmt!B66:B66),-MIN(Forecast_3Stmt!B66:B66))</f>
        <v>0</v>
      </c>
      <c r="D63" s="1" t="s">
        <v>963</v>
      </c>
    </row>
    <row r="64" spans="1:4" x14ac:dyDescent="0.2">
      <c r="A64" s="3" t="s">
        <v>628</v>
      </c>
      <c r="B64" s="1" t="s">
        <v>49</v>
      </c>
      <c r="C64" s="10">
        <f>MAX(MAX(Forecast_3Stmt!B67:B67),-MIN(Forecast_3Stmt!B67:B67))</f>
        <v>0</v>
      </c>
      <c r="D64" s="1" t="s">
        <v>964</v>
      </c>
    </row>
    <row r="65" spans="1:4" x14ac:dyDescent="0.2">
      <c r="A65" s="3" t="s">
        <v>653</v>
      </c>
      <c r="B65" s="1" t="s">
        <v>51</v>
      </c>
      <c r="C65" s="10">
        <f>MAX(MAX(Debt_Credit!B30:B30),-MIN(Debt_Credit!B30:B30))</f>
        <v>0</v>
      </c>
      <c r="D65" s="1" t="s">
        <v>965</v>
      </c>
    </row>
    <row r="66" spans="1:4" x14ac:dyDescent="0.2">
      <c r="A66" s="3" t="s">
        <v>843</v>
      </c>
      <c r="B66" s="1" t="s">
        <v>57</v>
      </c>
      <c r="C66" s="10">
        <f>MAX(MAX(Valuation!C54:C54),-MIN(Valuation!C54:C54))</f>
        <v>0</v>
      </c>
      <c r="D66" s="1" t="s">
        <v>966</v>
      </c>
    </row>
    <row r="67" spans="1:4" x14ac:dyDescent="0.2">
      <c r="A67" s="3" t="s">
        <v>848</v>
      </c>
      <c r="B67" s="1" t="s">
        <v>59</v>
      </c>
      <c r="C67" s="10">
        <f>MAX(MAX(Sensitivity!D11:D11),-MIN(Sensitivity!D11:D11))</f>
        <v>0</v>
      </c>
      <c r="D67" s="1" t="s">
        <v>967</v>
      </c>
    </row>
    <row r="68" spans="1:4" x14ac:dyDescent="0.2">
      <c r="A68" s="3" t="s">
        <v>852</v>
      </c>
      <c r="B68" s="1" t="s">
        <v>59</v>
      </c>
      <c r="C68" s="10">
        <f>MAX(MAX(Sensitivity!D21:D21),-MIN(Sensitivity!D21:D21))</f>
        <v>0</v>
      </c>
      <c r="D68" s="1" t="s">
        <v>968</v>
      </c>
    </row>
    <row r="69" spans="1:4" x14ac:dyDescent="0.2">
      <c r="A69" s="3" t="s">
        <v>873</v>
      </c>
      <c r="B69" s="1" t="s">
        <v>61</v>
      </c>
      <c r="C69" s="10">
        <f>MAX(MAX(Scenario_Summary!C25:C25),-MIN(Scenario_Summary!C25:C25))</f>
        <v>0</v>
      </c>
      <c r="D69" s="1" t="s">
        <v>969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E1A2B"/>
  </sheetPr>
  <dimension ref="A1:F20"/>
  <sheetViews>
    <sheetView showGridLines="0" workbookViewId="0"/>
  </sheetViews>
  <sheetFormatPr baseColWidth="10" defaultColWidth="8.33203125" defaultRowHeight="15" x14ac:dyDescent="0.2"/>
  <cols>
    <col min="1" max="1" width="42.6640625" customWidth="1"/>
    <col min="2" max="2" width="66" customWidth="1"/>
    <col min="3" max="3" width="12.6640625" customWidth="1"/>
    <col min="4" max="4" width="32.6640625" customWidth="1"/>
    <col min="5" max="5" width="36" customWidth="1"/>
    <col min="6" max="6" width="9.33203125" customWidth="1"/>
  </cols>
  <sheetData>
    <row r="1" spans="1:6" x14ac:dyDescent="0.2">
      <c r="A1" s="38" t="s">
        <v>970</v>
      </c>
      <c r="B1" s="1"/>
      <c r="C1" s="1"/>
      <c r="D1" s="1"/>
      <c r="E1" s="1"/>
      <c r="F1" s="1"/>
    </row>
    <row r="2" spans="1:6" x14ac:dyDescent="0.2">
      <c r="A2" s="1" t="s">
        <v>971</v>
      </c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4" t="s">
        <v>972</v>
      </c>
      <c r="B4" s="14" t="s">
        <v>973</v>
      </c>
      <c r="C4" s="14" t="s">
        <v>974</v>
      </c>
      <c r="D4" s="14" t="s">
        <v>975</v>
      </c>
      <c r="E4" s="14" t="s">
        <v>976</v>
      </c>
      <c r="F4" s="14" t="s">
        <v>977</v>
      </c>
    </row>
    <row r="5" spans="1:6" x14ac:dyDescent="0.2">
      <c r="A5" s="1" t="s">
        <v>978</v>
      </c>
      <c r="B5" s="1" t="s">
        <v>979</v>
      </c>
      <c r="C5" s="1" t="s">
        <v>980</v>
      </c>
      <c r="D5" s="1" t="s">
        <v>981</v>
      </c>
      <c r="E5" s="1" t="s">
        <v>982</v>
      </c>
      <c r="F5" s="82"/>
    </row>
    <row r="6" spans="1:6" x14ac:dyDescent="0.2">
      <c r="A6" s="1" t="s">
        <v>983</v>
      </c>
      <c r="B6" s="1" t="s">
        <v>984</v>
      </c>
      <c r="C6" s="1" t="s">
        <v>985</v>
      </c>
      <c r="D6" s="1" t="s">
        <v>986</v>
      </c>
      <c r="E6" s="1"/>
      <c r="F6" s="80"/>
    </row>
    <row r="7" spans="1:6" x14ac:dyDescent="0.2">
      <c r="A7" s="1" t="s">
        <v>987</v>
      </c>
      <c r="B7" s="1" t="s">
        <v>988</v>
      </c>
      <c r="C7" s="1" t="s">
        <v>989</v>
      </c>
      <c r="D7" s="1" t="s">
        <v>990</v>
      </c>
      <c r="E7" s="1"/>
      <c r="F7" s="78"/>
    </row>
    <row r="8" spans="1:6" x14ac:dyDescent="0.2">
      <c r="A8" s="1" t="s">
        <v>991</v>
      </c>
      <c r="B8" s="1" t="s">
        <v>992</v>
      </c>
      <c r="C8" s="1" t="s">
        <v>993</v>
      </c>
      <c r="D8" s="1" t="s">
        <v>994</v>
      </c>
      <c r="E8" s="1"/>
      <c r="F8" s="77"/>
    </row>
    <row r="9" spans="1:6" x14ac:dyDescent="0.2">
      <c r="A9" s="1" t="s">
        <v>995</v>
      </c>
      <c r="B9" s="1" t="s">
        <v>996</v>
      </c>
      <c r="C9" s="1" t="s">
        <v>997</v>
      </c>
      <c r="D9" s="1" t="s">
        <v>998</v>
      </c>
      <c r="E9" s="1" t="s">
        <v>999</v>
      </c>
      <c r="F9" s="94"/>
    </row>
    <row r="10" spans="1:6" x14ac:dyDescent="0.2">
      <c r="A10" s="1" t="s">
        <v>1000</v>
      </c>
      <c r="B10" s="1" t="s">
        <v>1001</v>
      </c>
      <c r="C10" s="1" t="s">
        <v>1002</v>
      </c>
      <c r="D10" s="1" t="s">
        <v>1003</v>
      </c>
      <c r="E10" s="1"/>
      <c r="F10" s="93"/>
    </row>
    <row r="11" spans="1:6" x14ac:dyDescent="0.2">
      <c r="A11" s="1" t="s">
        <v>1004</v>
      </c>
      <c r="B11" s="1" t="s">
        <v>1001</v>
      </c>
      <c r="C11" s="1" t="s">
        <v>1005</v>
      </c>
      <c r="D11" s="1" t="s">
        <v>1006</v>
      </c>
      <c r="E11" s="1"/>
      <c r="F11" s="90"/>
    </row>
    <row r="12" spans="1:6" x14ac:dyDescent="0.2">
      <c r="A12" s="1" t="s">
        <v>1007</v>
      </c>
      <c r="B12" s="1" t="s">
        <v>1008</v>
      </c>
      <c r="C12" s="1" t="s">
        <v>1009</v>
      </c>
      <c r="D12" s="1" t="s">
        <v>1010</v>
      </c>
      <c r="E12" s="1"/>
      <c r="F12" s="92"/>
    </row>
    <row r="13" spans="1:6" x14ac:dyDescent="0.2">
      <c r="A13" s="1" t="s">
        <v>1011</v>
      </c>
      <c r="B13" s="1" t="s">
        <v>1012</v>
      </c>
      <c r="C13" s="1" t="s">
        <v>1005</v>
      </c>
      <c r="D13" s="1" t="s">
        <v>1006</v>
      </c>
      <c r="E13" s="1"/>
      <c r="F13" s="90"/>
    </row>
    <row r="14" spans="1:6" x14ac:dyDescent="0.2">
      <c r="A14" s="1" t="s">
        <v>1013</v>
      </c>
      <c r="B14" s="1" t="s">
        <v>1014</v>
      </c>
      <c r="C14" s="1" t="s">
        <v>980</v>
      </c>
      <c r="D14" s="1" t="s">
        <v>981</v>
      </c>
      <c r="E14" s="1"/>
      <c r="F14" s="82"/>
    </row>
    <row r="15" spans="1:6" x14ac:dyDescent="0.2">
      <c r="A15" s="1" t="s">
        <v>1015</v>
      </c>
      <c r="B15" s="1" t="s">
        <v>1016</v>
      </c>
      <c r="C15" s="1" t="s">
        <v>1017</v>
      </c>
      <c r="D15" s="1" t="s">
        <v>1018</v>
      </c>
      <c r="E15" s="1"/>
      <c r="F15" s="88"/>
    </row>
    <row r="16" spans="1:6" x14ac:dyDescent="0.2">
      <c r="A16" s="1" t="s">
        <v>1019</v>
      </c>
      <c r="B16" s="1" t="s">
        <v>1020</v>
      </c>
      <c r="C16" s="1" t="s">
        <v>1021</v>
      </c>
      <c r="D16" s="1" t="s">
        <v>1022</v>
      </c>
      <c r="E16" s="1" t="s">
        <v>1023</v>
      </c>
      <c r="F16" s="87"/>
    </row>
    <row r="17" spans="1:6" x14ac:dyDescent="0.2">
      <c r="A17" s="1" t="s">
        <v>1024</v>
      </c>
      <c r="B17" s="1" t="s">
        <v>1025</v>
      </c>
      <c r="C17" s="1" t="s">
        <v>1026</v>
      </c>
      <c r="D17" s="1" t="s">
        <v>1022</v>
      </c>
      <c r="E17" s="1" t="s">
        <v>1027</v>
      </c>
      <c r="F17" s="86"/>
    </row>
    <row r="18" spans="1:6" x14ac:dyDescent="0.2">
      <c r="A18" s="1" t="s">
        <v>1028</v>
      </c>
      <c r="B18" s="1" t="s">
        <v>1029</v>
      </c>
      <c r="C18" s="1" t="s">
        <v>1030</v>
      </c>
      <c r="D18" s="1" t="s">
        <v>1022</v>
      </c>
      <c r="E18" s="1" t="s">
        <v>1031</v>
      </c>
      <c r="F18" s="84"/>
    </row>
    <row r="19" spans="1:6" x14ac:dyDescent="0.2">
      <c r="A19" s="1" t="s">
        <v>1032</v>
      </c>
      <c r="B19" s="1" t="s">
        <v>1033</v>
      </c>
      <c r="C19" s="1" t="s">
        <v>1034</v>
      </c>
      <c r="D19" s="1" t="s">
        <v>1022</v>
      </c>
      <c r="E19" s="1" t="s">
        <v>1035</v>
      </c>
      <c r="F19" s="81"/>
    </row>
    <row r="20" spans="1:6" x14ac:dyDescent="0.2">
      <c r="A20" s="1" t="s">
        <v>1036</v>
      </c>
      <c r="B20" s="1" t="s">
        <v>1037</v>
      </c>
      <c r="C20" s="1" t="s">
        <v>1038</v>
      </c>
      <c r="D20" s="1" t="s">
        <v>1022</v>
      </c>
      <c r="E20" s="1"/>
      <c r="F20" s="7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"/>
  <sheetViews>
    <sheetView showGridLines="0" workbookViewId="0"/>
  </sheetViews>
  <sheetFormatPr baseColWidth="10" defaultColWidth="8.33203125" defaultRowHeight="15" x14ac:dyDescent="0.2"/>
  <cols>
    <col min="1" max="1" width="8.6640625" customWidth="1"/>
    <col min="2" max="2" width="18" customWidth="1"/>
    <col min="3" max="4" width="57.6640625" customWidth="1"/>
    <col min="5" max="5" width="81" customWidth="1"/>
    <col min="6" max="6" width="46" customWidth="1"/>
  </cols>
  <sheetData>
    <row r="1" spans="1:6" x14ac:dyDescent="0.2">
      <c r="A1" s="27" t="s">
        <v>1039</v>
      </c>
      <c r="B1" s="27" t="s">
        <v>1040</v>
      </c>
      <c r="C1" s="27" t="s">
        <v>1041</v>
      </c>
      <c r="D1" s="27" t="s">
        <v>1042</v>
      </c>
      <c r="E1" s="27" t="s">
        <v>1043</v>
      </c>
      <c r="F1" s="27" t="s">
        <v>1044</v>
      </c>
    </row>
    <row r="2" spans="1:6" x14ac:dyDescent="0.2">
      <c r="A2" s="102">
        <v>1</v>
      </c>
      <c r="B2" s="103">
        <v>46324.35932251158</v>
      </c>
      <c r="C2" s="102" t="s">
        <v>1045</v>
      </c>
      <c r="D2" s="102" t="s">
        <v>1046</v>
      </c>
      <c r="E2" s="102" t="s">
        <v>1047</v>
      </c>
      <c r="F2" s="102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00_Cover</vt:lpstr>
      <vt:lpstr>IS_Hist</vt:lpstr>
      <vt:lpstr>CI_Hist</vt:lpstr>
      <vt:lpstr>BS_Hist</vt:lpstr>
      <vt:lpstr>CF_Hist</vt:lpstr>
      <vt:lpstr>SCE_Hist</vt:lpstr>
      <vt:lpstr>Quarterly_Hist</vt:lpstr>
      <vt:lpstr>Revenue_Hist</vt:lpstr>
      <vt:lpstr>Cap_Table</vt:lpstr>
      <vt:lpstr>Assumptions</vt:lpstr>
      <vt:lpstr>Interim_Bridge</vt:lpstr>
      <vt:lpstr>Schedules</vt:lpstr>
      <vt:lpstr>Forecast_3Stmt</vt:lpstr>
      <vt:lpstr>Debt_Credit</vt:lpstr>
      <vt:lpstr>Market_Package</vt:lpstr>
      <vt:lpstr>DCF</vt:lpstr>
      <vt:lpstr>Valuation</vt:lpstr>
      <vt:lpstr>Sensitivity</vt:lpstr>
      <vt:lpstr>Scenario_Summary</vt:lpstr>
      <vt:lpstr>Limitations</vt:lpstr>
      <vt:lpstr>Checks</vt:lpstr>
      <vt:lpstr>FormatRules</vt:lpstr>
      <vt:lpstr>Claude Code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OpenFinmods</ns0:lastModifiedBy>
  <ns1:modified xsi:type="dcterms:W3CDTF">2026-10-28T01:43:08Z</ns1:modified>
</ns0:coreProperties>
</file>

<file path=docProps/custom.xml><?xml version="1.0" encoding="utf-8"?>
<ns0:Properties xmlns:ns0="http://schemas.openxmlformats.org/officeDocument/2006/custom-properties"/>
</file>