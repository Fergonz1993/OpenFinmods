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0_Cover" sheetId="1" r:id="rId1"/>
    <sheet name="IS_Hist" sheetId="2" r:id="rId2"/>
    <sheet name="CI_Hist" sheetId="3" r:id="rId3"/>
    <sheet name="BS_Hist" sheetId="4" r:id="rId4"/>
    <sheet name="CF_Hist" sheetId="5" r:id="rId5"/>
    <sheet name="SCE_Hist" sheetId="6" r:id="rId6"/>
    <sheet name="Quarterly_Hist" sheetId="7" r:id="rId7"/>
    <sheet name="Segments_Hist" sheetId="8" r:id="rId8"/>
    <sheet name="Cap_Table" sheetId="9" r:id="rId9"/>
    <sheet name="Assumptions" sheetId="10" r:id="rId10"/>
    <sheet name="Interim_Bridge" sheetId="11" r:id="rId11"/>
    <sheet name="Segments_Fcst" sheetId="12" r:id="rId12"/>
    <sheet name="Schedules" sheetId="13" r:id="rId13"/>
    <sheet name="Forecast_3Stmt" sheetId="14" r:id="rId14"/>
    <sheet name="Debt_Credit" sheetId="15" r:id="rId15"/>
    <sheet name="Market_Package" sheetId="16" r:id="rId16"/>
    <sheet name="DCF" sheetId="17" r:id="rId17"/>
    <sheet name="Valuation" sheetId="18" r:id="rId18"/>
    <sheet name="Sensitivity" sheetId="19" r:id="rId19"/>
    <sheet name="Scenario_Summary" sheetId="20" r:id="rId20"/>
    <sheet name="Limitations" sheetId="21" r:id="rId21"/>
    <sheet name="Checks" sheetId="22" r:id="rId22"/>
    <sheet name="FormatRules" sheetId="23" r:id="rId23"/>
    <sheet name="Claude Code Log" sheetId="24" r:id="rId24"/>
  </sheets>
  <calcPr calcId="0"/>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xmlns:xda="http://schemas.microsoft.com/office/spreadsheetml/2017/dynamicarray" fDynamic="1" fCollapsed="0"/>
        </ext>
      </extLst>
    </bk>
  </futureMetadata>
  <cellMetadata count="1">
    <bk>
      <rc t="1" v="0"/>
    </bk>
  </cellMetadata>
</metadata>
</file>

<file path=xl/sharedStrings.xml><?xml version="1.0" encoding="utf-8"?>
<sst xmlns="http://schemas.openxmlformats.org/spreadsheetml/2006/main" count="2564" uniqueCount="1535">
  <si>
    <t>Space Exploration Technologies Corp. (SpaceX) | Financial model: statements as filed, segment forecast 2026E-2035E, valuation and credit</t>
  </si>
  <si>
    <t>Built 27 Oct 2026 from the 424B4 of 11 Jun 2026, the 10-Qs for Q2 and Q3 2026 and the 8-Ks of 20 and 26 Oct 2026. Nasdaq: SPCX. Includes xAI and X (from Feb 2026) and Cursor (from 14 Aug 2026).</t>
  </si>
  <si>
    <t>What this workbook holds</t>
  </si>
  <si>
    <t>Every line of the statements: fiscal 2023 to 2025 (audited) and the nine months to 30 September 2025 and 2026 (unaudited); seven quarters to Q3 2026.</t>
  </si>
  <si>
    <t>Segments (Space, Connectivity, SI), revenue by type, operating data (subscribers, ARPU, launches, GW of compute), customers, backlog, debt and commitments.</t>
  </si>
  <si>
    <t>Forecast by segment, Q4 2026E stub then 2027E-2035E, with Base, Bull and Bear (switch: Assumptions!C5); Apollo GPU lease from 2027; EchoStar spectrum at closing.</t>
  </si>
  <si>
    <t>Valuation: DCF (perpetuity and exit multiple), sum of the parts at trailing peer multiples, reverse DCF on revenue per GW, sensitivity, scenario summary; credit metrics.</t>
  </si>
  <si>
    <t>How to read it</t>
  </si>
  <si>
    <t>Units: USD millions, except per-share amounts (USD) and share counts (millions).</t>
  </si>
  <si>
    <t>Signs follow the filing. Interest expense is negative, as filed. A cell the filing shows as — is blank, with a note in column N.</t>
  </si>
  <si>
    <t>Blue numbers are typed from a filing or are inputs. Black numbers are formulas. Green numbers link to another sheet.</t>
  </si>
  <si>
    <t>Column M on the year sheets is for your comments. Column N shows the source or the derivation.</t>
  </si>
  <si>
    <t>The thin vertical line separates actual and forecast columns.</t>
  </si>
  <si>
    <t>Master check (all checks on the Checks sheet)</t>
  </si>
  <si>
    <t>Key outputs (active scenario unless stated)</t>
  </si>
  <si>
    <t>Value</t>
  </si>
  <si>
    <t>Active scenario</t>
  </si>
  <si>
    <t>SPCX price, 27 Oct 2026 (USD)</t>
  </si>
  <si>
    <t>DCF value per share, perpetuity (USD)</t>
  </si>
  <si>
    <t>Against the price</t>
  </si>
  <si>
    <t>Base / Bull / Bear value per share (captured, USD): Base</t>
  </si>
  <si>
    <t>Bull</t>
  </si>
  <si>
    <t>Bear</t>
  </si>
  <si>
    <t>DCF value per share with the Musk performance shares counted the other way (USD)</t>
  </si>
  <si>
    <t>Sum of the parts at trailing peer multiples, average of the two bases (USD)</t>
  </si>
  <si>
    <t>Probability-weighted DCF value, Bear 25% / Base 50% / Bull 25% (USD)</t>
  </si>
  <si>
    <t>Shift on SI revenue per GW the price needs (Base)</t>
  </si>
  <si>
    <t>Revenue 2026E (USD m)</t>
  </si>
  <si>
    <t>Revenue 2030E (USD m)</t>
  </si>
  <si>
    <t>WACC</t>
  </si>
  <si>
    <t>Diluted shares (millions)</t>
  </si>
  <si>
    <t>Sheet</t>
  </si>
  <si>
    <t>What it shows</t>
  </si>
  <si>
    <t>IS_Hist</t>
  </si>
  <si>
    <t>Statements of operations as filed, with tie-out checks</t>
  </si>
  <si>
    <t>CI_Hist</t>
  </si>
  <si>
    <t>Statements of comprehensive income (loss) as filed</t>
  </si>
  <si>
    <t>BS_Hist</t>
  </si>
  <si>
    <t>Balance sheets as filed (31 Dec 2024, 31 Dec 2025, 30 Sep 2026)</t>
  </si>
  <si>
    <t>CF_Hist</t>
  </si>
  <si>
    <t>Statements of cash flows as filed</t>
  </si>
  <si>
    <t>SCE_Hist</t>
  </si>
  <si>
    <t>Statements of preferred stock and shareholders' equity as filed</t>
  </si>
  <si>
    <t>Quarterly_Hist</t>
  </si>
  <si>
    <t>Seven quarters to Q3 2026 (Q4 2025 derived)</t>
  </si>
  <si>
    <t>Segments_Hist</t>
  </si>
  <si>
    <t>Segments, revenue by type, operating data, customers, backlog, derived Q3 2026 rates</t>
  </si>
  <si>
    <t>Cap_Table</t>
  </si>
  <si>
    <t>Shares outstanding, Musk performance-share tranches, options, RSUs, EchoStar shares; diluted count; market price</t>
  </si>
  <si>
    <t>Assumptions</t>
  </si>
  <si>
    <t>Every forecast input with its reason: Base, Bull, Bear and the switch (C5)</t>
  </si>
  <si>
    <t>Interim_Bridge</t>
  </si>
  <si>
    <t>2026E = nine months filed + Q4 2026E by segment; 31 Dec 2026E balance sheet</t>
  </si>
  <si>
    <t>Segments_Fcst</t>
  </si>
  <si>
    <t>Segment drivers: launches, subscribers x ARPU, GW x revenue per GW, Cursor, X; EBITDA and capex</t>
  </si>
  <si>
    <t>Schedules</t>
  </si>
  <si>
    <t>Depreciation by vintage, Apollo lease, EchoStar, debt and interest, taxes, working capital, unlevered free cash flow</t>
  </si>
  <si>
    <t>Forecast_3Stmt</t>
  </si>
  <si>
    <t>Integrated income statement, balance sheet and cash flow, 2025A and 2026E-2035E</t>
  </si>
  <si>
    <t>Debt_Credit</t>
  </si>
  <si>
    <t>Liquidity, debt and debt-like items, maturities, commitments, later commitments, credit metrics</t>
  </si>
  <si>
    <t>Market_Package</t>
  </si>
  <si>
    <t>Price, enterprise value at market, peers (SEC LTM), segment medians, beta and WACC derivation</t>
  </si>
  <si>
    <t>DCF</t>
  </si>
  <si>
    <t>Unlevered free cash flow, perpetuity and exit-multiple values</t>
  </si>
  <si>
    <t>Valuation</t>
  </si>
  <si>
    <t>Market against DCF, sum of the parts at peer multiples, reverse DCF, football field, weighted value</t>
  </si>
  <si>
    <t>Sensitivity</t>
  </si>
  <si>
    <t>WACC x growth (live); GW additions x revenue per GW and the Apollo lease rate (captured)</t>
  </si>
  <si>
    <t>Scenario_Summary</t>
  </si>
  <si>
    <t>Key outputs for Base, Bull and Bear, with order checks</t>
  </si>
  <si>
    <t>Limitations</t>
  </si>
  <si>
    <t>What the model cannot tell you</t>
  </si>
  <si>
    <t>Checks</t>
  </si>
  <si>
    <t>All checks and the master check</t>
  </si>
  <si>
    <t>FormatRules</t>
  </si>
  <si>
    <t>Colours and styles: the OpenFinmods palette and the number colour code</t>
  </si>
  <si>
    <t>Claude Code Log</t>
  </si>
  <si>
    <t>Log of every scripted write</t>
  </si>
  <si>
    <t>Space Exploration Technologies Corp. (SpaceX) | Consolidated statements of operations, as filed</t>
  </si>
  <si>
    <t>USD millions, except per-share amounts (USD) and shares (millions). FY2023-FY2025 audited (424B4 of 11 Jun 2026); nine months unaudited (10-Q Q3 2026).</t>
  </si>
  <si>
    <t>Fiscal year ends 31 December</t>
  </si>
  <si>
    <t>FY2023A</t>
  </si>
  <si>
    <t>FY2024A</t>
  </si>
  <si>
    <t>FY2025A</t>
  </si>
  <si>
    <t>9M 2025A</t>
  </si>
  <si>
    <t>9M 2026A</t>
  </si>
  <si>
    <t>Comentarios FG</t>
  </si>
  <si>
    <t>Source / derivation</t>
  </si>
  <si>
    <t>Revenue</t>
  </si>
  <si>
    <t>FY: 424B4 p. F-5; 9M: 10-Q Q3 2026 p. 4</t>
  </si>
  <si>
    <t>Costs and expenses</t>
  </si>
  <si>
    <t>Cost of revenue</t>
  </si>
  <si>
    <t>Research and development</t>
  </si>
  <si>
    <t>Selling, general, and administrative</t>
  </si>
  <si>
    <t>Restructuring charges (credits)</t>
  </si>
  <si>
    <t>Impairment</t>
  </si>
  <si>
    <t>FY: 424B4 p. F-5; 9M: 10-Q Q3 2026 p. 4. Filing shows — (nil) in 9M 2026A: left blank</t>
  </si>
  <si>
    <t>Total costs and expenses</t>
  </si>
  <si>
    <t>Income (loss) from operations</t>
  </si>
  <si>
    <t>Interest expense</t>
  </si>
  <si>
    <t>Interest income</t>
  </si>
  <si>
    <t>Other income (expense), net</t>
  </si>
  <si>
    <t>Income (loss) before income taxes</t>
  </si>
  <si>
    <t>Provision for (benefit from) income taxes</t>
  </si>
  <si>
    <t>Net income (loss)</t>
  </si>
  <si>
    <t>Net income (loss) attributable to shareholders, basic</t>
  </si>
  <si>
    <t>Net income (loss) attributable to shareholders, diluted</t>
  </si>
  <si>
    <t>FY: 424B4 p. F-5; 9M: 10-Q Q3 2026 p. 4. The 10-Q gives one line 'basic and diluted' for the nine months, so E and F link to the basic line</t>
  </si>
  <si>
    <t>Per share and share counts</t>
  </si>
  <si>
    <t>Net income (loss) per share, basic (USD)</t>
  </si>
  <si>
    <t>Net income (loss) per share, diluted (USD)</t>
  </si>
  <si>
    <t>Weighted average shares, basic (millions)</t>
  </si>
  <si>
    <t>Weighted average shares, diluted (millions)</t>
  </si>
  <si>
    <t>Checks: recomputed less filed (zero passes)</t>
  </si>
  <si>
    <t>Basic EPS (rounded to cents)</t>
  </si>
  <si>
    <t>Diluted EPS (rounded to cents)</t>
  </si>
  <si>
    <t>Space Exploration Technologies Corp. (SpaceX) | Consolidated statements of comprehensive income (loss), as filed</t>
  </si>
  <si>
    <t>USD millions. FY: 424B4 p. F-6; 9M: 10-Q Q3 2026 p. 6.</t>
  </si>
  <si>
    <t>FY: 424B4 p. F-6; 9M: 10-Q Q3 2026 p. 6</t>
  </si>
  <si>
    <t>Change in foreign currency translation adjustments, net of tax</t>
  </si>
  <si>
    <t>Unrealized gains (losses) on marketable securities, net of tax</t>
  </si>
  <si>
    <t>FY: 424B4 p. F-6; 9M: 10-Q Q3 2026 p. 6. Filing shows — (nil) in 9M 2025A: left blank</t>
  </si>
  <si>
    <t>Other comprehensive income (loss)</t>
  </si>
  <si>
    <t>Comprehensive income (loss)</t>
  </si>
  <si>
    <t>Net income equals the statement of operations</t>
  </si>
  <si>
    <t>Space Exploration Technologies Corp. (SpaceX) | Consolidated balance sheets, as filed</t>
  </si>
  <si>
    <t>USD millions. 31 December audited (424B4); 30 September 2026 unaudited (10-Q Q3 2026).</t>
  </si>
  <si>
    <t>31 Dec 2024A</t>
  </si>
  <si>
    <t>31 Dec 2025A</t>
  </si>
  <si>
    <t>30 Sep 2026A</t>
  </si>
  <si>
    <t>Current assets</t>
  </si>
  <si>
    <t>Cash and cash equivalents</t>
  </si>
  <si>
    <t>31 Dec: 424B4 p. F-4; 30 Sep 2026: 10-Q Q3 2026 p. 4</t>
  </si>
  <si>
    <t>Marketable securities</t>
  </si>
  <si>
    <t>31 Dec: 424B4 p. F-4; 30 Sep 2026: 10-Q Q3 2026 p. 4. Filing shows — (nil) in 31 Dec 2025A: left blank</t>
  </si>
  <si>
    <t>Accounts receivable, net</t>
  </si>
  <si>
    <t>Inventory</t>
  </si>
  <si>
    <t>Prepaid expenses and other current assets</t>
  </si>
  <si>
    <t>Total current assets</t>
  </si>
  <si>
    <t>Noncurrent assets</t>
  </si>
  <si>
    <t>Property, plant, and equipment, net</t>
  </si>
  <si>
    <t>Finance lease right-of-use assets</t>
  </si>
  <si>
    <t>Intangible assets, net</t>
  </si>
  <si>
    <t>Digital assets</t>
  </si>
  <si>
    <t>Goodwill</t>
  </si>
  <si>
    <t>Deferred tax assets</t>
  </si>
  <si>
    <t>Other assets</t>
  </si>
  <si>
    <t>Total assets</t>
  </si>
  <si>
    <t>Current liabilities</t>
  </si>
  <si>
    <t>Accounts payable</t>
  </si>
  <si>
    <t>Deferred revenue, current</t>
  </si>
  <si>
    <t>Debt and finance leases, current</t>
  </si>
  <si>
    <t>Accrued expenses and other current liabilities</t>
  </si>
  <si>
    <t>Total current liabilities</t>
  </si>
  <si>
    <t>Long-term liabilities</t>
  </si>
  <si>
    <t>Deferred revenue, net of current</t>
  </si>
  <si>
    <t>Debt and finance leases, net of current</t>
  </si>
  <si>
    <t>Other liabilities</t>
  </si>
  <si>
    <t>Total liabilities</t>
  </si>
  <si>
    <t>Redeemable convertible preferred stock</t>
  </si>
  <si>
    <t>31 Dec: 424B4 p. F-4; 30 Sep 2026: 10-Q Q3 2026 p. 4. Filing shows — (nil) in 30 Sep 2026A: left blank</t>
  </si>
  <si>
    <t>Shareholders' equity</t>
  </si>
  <si>
    <t>Class A common stock</t>
  </si>
  <si>
    <t>Class B common stock</t>
  </si>
  <si>
    <t>Class C common stock</t>
  </si>
  <si>
    <t>Additional paid-in capital</t>
  </si>
  <si>
    <t>Accumulated deficit</t>
  </si>
  <si>
    <t>Accumulated other comprehensive income</t>
  </si>
  <si>
    <t>Total shareholders' equity</t>
  </si>
  <si>
    <t>Total liabilities, redeemable convertible preferred stock, and shareholders' equity</t>
  </si>
  <si>
    <t>Memo: items used by the model</t>
  </si>
  <si>
    <t>Cash, cash equivalents and marketable securities</t>
  </si>
  <si>
    <t>Deferred revenue, current and noncurrent</t>
  </si>
  <si>
    <t>Debt and finance leases, current and noncurrent (carrying)</t>
  </si>
  <si>
    <t>Restricted cash inside prepaid expenses and other current assets</t>
  </si>
  <si>
    <t>424B4 p. F-12; 10-Q Q3 2026 p. 11</t>
  </si>
  <si>
    <t>Restricted cash inside other assets</t>
  </si>
  <si>
    <t>Total assets, 31 Dec 2025, as shown in the 10-Q Q3 comparative column</t>
  </si>
  <si>
    <t>10-Q Q3 2026 p. 4</t>
  </si>
  <si>
    <t>Total liabilities, 31 Dec 2025, as shown in the 10-Q Q3 comparative column</t>
  </si>
  <si>
    <t>Total shareholders' equity, 31 Dec 2025, as shown in the 10-Q Q3 comparative column</t>
  </si>
  <si>
    <t>Cash and cash equivalents, 31 Dec 2025, as shown in the 10-Q Q3 comparative column</t>
  </si>
  <si>
    <t>Liabilities, preferred stock and equity</t>
  </si>
  <si>
    <t>Balance: total assets less the other side</t>
  </si>
  <si>
    <t>31 Dec 2025 in the 10-Q equals the 424B4</t>
  </si>
  <si>
    <t>Space Exploration Technologies Corp. (SpaceX) | Consolidated statements of cash flows, as filed</t>
  </si>
  <si>
    <t>USD millions. FY: 424B4 p. F-8 and F-9; 9M: 10-Q Q3 2026 p. 9. A blank with 'No such line' means the filing has no such row for that period.</t>
  </si>
  <si>
    <t>Cash flows from operating activities</t>
  </si>
  <si>
    <t>FY: 424B4 p. F-8-F-9; 9M: 10-Q Q3 2026 p. 9</t>
  </si>
  <si>
    <t>Depreciation and amortization</t>
  </si>
  <si>
    <t>Share-based compensation</t>
  </si>
  <si>
    <t>Intangible asset impairment</t>
  </si>
  <si>
    <t>FY: 424B4 p. F-8-F-9; 9M: 10-Q Q3 2026 p. 9. Filing shows — (nil) in FY2024A, FY2025A: left blank. No such line in 9M 2025A, 9M 2026A</t>
  </si>
  <si>
    <t>Deferred income taxes</t>
  </si>
  <si>
    <t>Unrealized (gain) loss on digital assets</t>
  </si>
  <si>
    <t>FY: 424B4 p. F-8-F-9; 9M: 10-Q Q3 2026 p. 9. Filing shows — (nil) in FY2023A: left blank</t>
  </si>
  <si>
    <t>Unrealized gain on investments in unconsolidated affiliates, net</t>
  </si>
  <si>
    <t>FY: 424B4 p. F-8-F-9; 9M: 10-Q Q3 2026 p. 9. Filing shows — (nil) in 9M 2025A: left blank. No such line in FY2023A, FY2024A, FY2025A</t>
  </si>
  <si>
    <t>Impairment and loss on disposal of fixed assets, net</t>
  </si>
  <si>
    <t>FY: 424B4 p. F-8-F-9; 9M: 10-Q Q3 2026 p. 9. No such line in 9M 2025A, 9M 2026A</t>
  </si>
  <si>
    <t>Amortization of debt discount and issuance costs</t>
  </si>
  <si>
    <t>Loss on debt extinguishment</t>
  </si>
  <si>
    <t>Other</t>
  </si>
  <si>
    <t>Changes in operating assets and liabilities</t>
  </si>
  <si>
    <t>Accounts receivable</t>
  </si>
  <si>
    <t>Prepaid expenses and other assets</t>
  </si>
  <si>
    <t>Deferred revenue</t>
  </si>
  <si>
    <t>Operating lease liabilities, net</t>
  </si>
  <si>
    <t>Other liabilities (9M: other liabilities, net)</t>
  </si>
  <si>
    <t>Net cash provided by operating activities</t>
  </si>
  <si>
    <t>Cash flows from investing activities</t>
  </si>
  <si>
    <t>Purchases of property, plant, and equipment</t>
  </si>
  <si>
    <t>Capitalized interest</t>
  </si>
  <si>
    <t>FY: 424B4 p. F-8-F-9; 9M: 10-Q Q3 2026 p. 9. Filing shows — (nil) in FY2023A, FY2024A: left blank</t>
  </si>
  <si>
    <t>Proceeds from product rebates</t>
  </si>
  <si>
    <t>FY: 424B4 p. F-8-F-9; 9M: 10-Q Q3 2026 p. 9. Filing shows — (nil) in FY2023A, FY2024A, 9M 2025A: left blank</t>
  </si>
  <si>
    <t>Purchases of marketable securities</t>
  </si>
  <si>
    <t>Maturities of marketable securities</t>
  </si>
  <si>
    <t>Proceeds from sales of marketable securities</t>
  </si>
  <si>
    <t>Payments for intangible assets</t>
  </si>
  <si>
    <t>Cash received from acquisition of businesses</t>
  </si>
  <si>
    <t>Investments in unconsolidated affiliates</t>
  </si>
  <si>
    <t>FY: 424B4 p. F-8-F-9; 9M: 10-Q Q3 2026 p. 9. Filing shows — (nil) in FY2023A, FY2024A: left blank. No such line in 9M 2025A, 9M 2026A</t>
  </si>
  <si>
    <t>Other investing activities, net</t>
  </si>
  <si>
    <t>Net cash used in investing activities</t>
  </si>
  <si>
    <t>Cash flows from financing activities</t>
  </si>
  <si>
    <t>Principal repayments on finance leases</t>
  </si>
  <si>
    <t>Proceeds from debt and other financing obligations</t>
  </si>
  <si>
    <t>Payment of debt issuance costs</t>
  </si>
  <si>
    <t>Repayments on debt and other financing obligations</t>
  </si>
  <si>
    <t>Payment of debt extinguishment premium</t>
  </si>
  <si>
    <t>Proceeds from issuance of capital stock, net of issuance costs</t>
  </si>
  <si>
    <t>Proceeds from employee equity award plans</t>
  </si>
  <si>
    <t>Payments for repurchase of common and redeemable convertible preferred stock</t>
  </si>
  <si>
    <t>Taxes paid related to net share settlement of equity awards</t>
  </si>
  <si>
    <t>Proceeds from IPO, net of underwriting commissions and offering costs</t>
  </si>
  <si>
    <t>Net cash provided by financing activities</t>
  </si>
  <si>
    <t>Effect of exchange rate changes on cash and cash equivalents</t>
  </si>
  <si>
    <t>Net change in cash and cash equivalents and restricted cash</t>
  </si>
  <si>
    <t>Cash and cash equivalents and restricted cash, beginning of period</t>
  </si>
  <si>
    <t>Cash and cash equivalents and restricted cash, end of period</t>
  </si>
  <si>
    <t>Supplemental disclosures</t>
  </si>
  <si>
    <t>Cash paid for interest, net of interest capitalized</t>
  </si>
  <si>
    <t>Cash paid for income taxes, net</t>
  </si>
  <si>
    <t>Purchases of PP&amp;E included in accounts payable and accrued expenses</t>
  </si>
  <si>
    <t>Purchases of PP&amp;E financed by other financings</t>
  </si>
  <si>
    <t>Share-based compensation capitalized in PP&amp;E</t>
  </si>
  <si>
    <t>Acquisition of businesses through issuance of shares</t>
  </si>
  <si>
    <t>Net change in cash</t>
  </si>
  <si>
    <t>Beginning cash plus change less ending cash</t>
  </si>
  <si>
    <t>Ending cash equals balance sheet cash plus restricted cash</t>
  </si>
  <si>
    <t>FY2024A against 31 Dec 2024, FY2025A against 31 Dec 2025, 9M 2026A against 30 Sep 2026; no balance sheet at 30 Sep 2025 in these filings.</t>
  </si>
  <si>
    <t>Beginning cash of each period equals the prior year end</t>
  </si>
  <si>
    <t>Space Exploration Technologies Corp. (SpaceX) | Statements of redeemable convertible preferred stock and shareholders' equity, as filed</t>
  </si>
  <si>
    <t>USD millions; shares in millions. FY2023-FY2025: 424B4 p. F-7; nine months: 10-Q Q3 2026 p. 7 and 8. Cells the filing shows as — are blank.</t>
  </si>
  <si>
    <t>Line</t>
  </si>
  <si>
    <t>Preferred shares</t>
  </si>
  <si>
    <t>Preferred amount</t>
  </si>
  <si>
    <t>Common shares</t>
  </si>
  <si>
    <t>Common amount</t>
  </si>
  <si>
    <t>AOCI</t>
  </si>
  <si>
    <t>Fiscal years 2023 to 2025 (audited)</t>
  </si>
  <si>
    <t>Balances at December 31, 2022</t>
  </si>
  <si>
    <t>424B4 p. F-7</t>
  </si>
  <si>
    <t>424B4 p. F-7. Filing shows — (nil) in Preferred shares, Common shares, Common amount, Accumulated deficit, AOCI: left blank</t>
  </si>
  <si>
    <t>Issuance of redeemable convertible preferred stock</t>
  </si>
  <si>
    <t>424B4 p. F-7. Filing shows — (nil) in Common shares, Common amount, Additional paid-in capital, Accumulated deficit, AOCI, Total shareholders' equity: left blank</t>
  </si>
  <si>
    <t>Common stock issued, net of tax withholding</t>
  </si>
  <si>
    <t>424B4 p. F-7. Filing shows — (nil) in Preferred shares, Preferred amount, Accumulated deficit, AOCI: left blank</t>
  </si>
  <si>
    <t>Repurchase of common stock</t>
  </si>
  <si>
    <t>Net loss</t>
  </si>
  <si>
    <t>424B4 p. F-7. Filing shows — (nil) in Preferred shares, Preferred amount, Common shares, Common amount, Additional paid-in capital, AOCI: left blank</t>
  </si>
  <si>
    <t>424B4 p. F-7. Filing shows — (nil) in Preferred shares, Preferred amount, Common shares, Common amount, Additional paid-in capital, Accumulated deficit: left blank</t>
  </si>
  <si>
    <t>Balances at December 31, 2023</t>
  </si>
  <si>
    <t>Roll-forward to December 31, 2023: opening + movements - closing</t>
  </si>
  <si>
    <t>Adjustment for prior periods from adoption of ASU 2023-08</t>
  </si>
  <si>
    <t>424B4 p. F-7. Filing shows — (nil) in Preferred shares, Preferred amount, Common shares, Common amount, Accumulated deficit, AOCI: left blank</t>
  </si>
  <si>
    <t>Repurchase of common and redeemable convertible preferred stock</t>
  </si>
  <si>
    <t>424B4 p. F-7. Filing shows — (nil) in Accumulated deficit, AOCI: left blank</t>
  </si>
  <si>
    <t>Conversion of redeemable convertible preferred stock to common stock</t>
  </si>
  <si>
    <t>Net income</t>
  </si>
  <si>
    <t>Balances at December 31, 2024</t>
  </si>
  <si>
    <t>Roll-forward to December 31, 2024: opening + movements - closing</t>
  </si>
  <si>
    <t>Transfer of equity in business combination</t>
  </si>
  <si>
    <t>Balances at December 31, 2025</t>
  </si>
  <si>
    <t>Roll-forward to December 31, 2025: opening + movements - closing</t>
  </si>
  <si>
    <t>Nine months ended 30 September 2025 (unaudited)</t>
  </si>
  <si>
    <t>10-Q Q3 2026 p. 8</t>
  </si>
  <si>
    <t>10-Q Q3 2026 p. 8. Filing shows — (nil) in Preferred shares, Preferred amount, Common shares, Common amount, Accumulated deficit, AOCI: left blank</t>
  </si>
  <si>
    <t>10-Q Q3 2026 p. 8. Filing shows — (nil) in Common shares, Common amount, Additional paid-in capital, Accumulated deficit, AOCI, Total shareholders' equity: left blank</t>
  </si>
  <si>
    <t>10-Q Q3 2026 p. 8. Filing shows — (nil) in Preferred shares, Preferred amount, Accumulated deficit, AOCI: left blank</t>
  </si>
  <si>
    <t>10-Q Q3 2026 p. 8. Filing shows — (nil) in Accumulated deficit, AOCI: left blank</t>
  </si>
  <si>
    <t>10-Q Q3 2026 p. 8. Filing shows — (nil) in Preferred shares, Preferred amount, Common shares, Common amount, Additional paid-in capital, AOCI: left blank</t>
  </si>
  <si>
    <t>Other comprehensive income</t>
  </si>
  <si>
    <t>10-Q Q3 2026 p. 8. Filing shows — (nil) in Preferred shares, Preferred amount, Common shares, Common amount, Additional paid-in capital, Accumulated deficit: left blank</t>
  </si>
  <si>
    <t>Balances at September 30, 2025</t>
  </si>
  <si>
    <t>Roll-forward to September 30, 2025: opening + movements - closing</t>
  </si>
  <si>
    <t>Nine months ended 30 September 2026 (unaudited)</t>
  </si>
  <si>
    <t>10-Q Q3 2026 p. 7</t>
  </si>
  <si>
    <t>10-Q Q3 2026 p. 7. Filing shows — (nil) in Preferred shares, Preferred amount, Common shares, Common amount, Accumulated deficit, AOCI: left blank</t>
  </si>
  <si>
    <t>Issuance of common stock in connection with IPO, net of underwriting commissions and offering costs</t>
  </si>
  <si>
    <t>10-Q Q3 2026 p. 7. Filing shows — (nil) in Preferred shares, Preferred amount, Accumulated deficit, AOCI: left blank</t>
  </si>
  <si>
    <t>10-Q Q3 2026 p. 7. Filing shows — (nil) in Common shares, Common amount, Additional paid-in capital, Accumulated deficit, AOCI, Total shareholders' equity: left blank</t>
  </si>
  <si>
    <t>Conversion of redeemable convertible preferred stock pursuant to xAI Merger</t>
  </si>
  <si>
    <t>10-Q Q3 2026 p. 7. Filing shows — (nil) in Accumulated deficit, AOCI: left blank</t>
  </si>
  <si>
    <t>Repurchase of common stock pursuant to xAI Merger</t>
  </si>
  <si>
    <t>Transfer of equity in business combinations</t>
  </si>
  <si>
    <t>10-Q Q3 2026 p. 7. Filing shows — (nil) in Preferred shares, Preferred amount, Common amount, Accumulated deficit, AOCI: left blank</t>
  </si>
  <si>
    <t>10-Q Q3 2026 p. 7. Filing shows — (nil) in Preferred shares, Preferred amount, Common shares, Common amount, Additional paid-in capital, AOCI: left blank</t>
  </si>
  <si>
    <t>Other comprehensive loss</t>
  </si>
  <si>
    <t>10-Q Q3 2026 p. 7. Filing shows — (nil) in Preferred shares, Preferred amount, Common shares, Common amount, Additional paid-in capital, Accumulated deficit: left blank</t>
  </si>
  <si>
    <t>Balances at September 30, 2026</t>
  </si>
  <si>
    <t>10-Q Q3 2026 p. 7. Filing shows — (nil) in Preferred shares, Preferred amount: left blank</t>
  </si>
  <si>
    <t>Roll-forward to September 30, 2026: opening + movements - closing</t>
  </si>
  <si>
    <t>Checks (zero passes)</t>
  </si>
  <si>
    <t>Total = common + APIC + deficit + AOCI: bal_fy_dec2022</t>
  </si>
  <si>
    <t>Total = common + APIC + deficit + AOCI: bal_fy_dec2023</t>
  </si>
  <si>
    <t>Total = common + APIC + deficit + AOCI: bal_fy_dec2024</t>
  </si>
  <si>
    <t>Total = common + APIC + deficit + AOCI: bal_fy_dec2025</t>
  </si>
  <si>
    <t>Total = common + APIC + deficit + AOCI: bal_q3_9m25_dec2024</t>
  </si>
  <si>
    <t>Total = common + APIC + deficit + AOCI: bal_q3_9m25_sep2025</t>
  </si>
  <si>
    <t>Total = common + APIC + deficit + AOCI: bal_q3_9m26_dec2025</t>
  </si>
  <si>
    <t>Total = common + APIC + deficit + AOCI: bal_q3_9m26_sep2026</t>
  </si>
  <si>
    <t>Equity and preferred equal the balance sheet: bal_fy_dec2024</t>
  </si>
  <si>
    <t>Equity and preferred equal the balance sheet: bal_fy_dec2025</t>
  </si>
  <si>
    <t>Equity and preferred equal the balance sheet: bal_q3_9m26_sep2026</t>
  </si>
  <si>
    <t>Space Exploration Technologies Corp. (SpaceX) | Quarterly statements of operations, Q1 2025 to Q3 2026</t>
  </si>
  <si>
    <t>USD millions, unaudited. Q1: 424B4 (Q1 2025 and Q1 2026 columns); Q2: 10-Q Q2 2026; Q3: 10-Q Q3 2026. Q4 2025A is derived: FY2025 less nine months 2025 (formula).</t>
  </si>
  <si>
    <t>Three months ended</t>
  </si>
  <si>
    <t>Q1 2025A</t>
  </si>
  <si>
    <t>Q2 2025A</t>
  </si>
  <si>
    <t>Q3 2025A</t>
  </si>
  <si>
    <t>Q4 2025A</t>
  </si>
  <si>
    <t>Q1 2026A</t>
  </si>
  <si>
    <t>Q2 2026A</t>
  </si>
  <si>
    <t>Q3 2026A</t>
  </si>
  <si>
    <t>Q1: 424B4 p. F-64; Q2: 10-Q Q2 2026 p. 4; Q3: 10-Q Q3 2026 p. 4; Q4 2025A: IS_Hist FY2025 less 9M 2025</t>
  </si>
  <si>
    <t>Q1: 424B4 p. F-64; Q2: 10-Q Q2 2026 p. 4; Q3: 10-Q Q3 2026 p. 4; Q4 2025A: IS_Hist FY2025 less 9M 2025. Filing shows — (nil) in Q3 2025A, Q1 2026A, Q2 2026A, Q3 2026A: left blank</t>
  </si>
  <si>
    <t>Depreciation and amortization (memo)</t>
  </si>
  <si>
    <t>Q1: 424B4 p. 119 (adjusted EBITDA reconciliation); Q2, Q3: sum of segment D&amp;A (Segments_Hist); Q4 2025A: cash flow FY less 9M</t>
  </si>
  <si>
    <t>Segment adjusted EBITDA, total (memo)</t>
  </si>
  <si>
    <t>Ratios (derived)</t>
  </si>
  <si>
    <t>Revenue: growth on the prior quarter</t>
  </si>
  <si>
    <t>Operating margin</t>
  </si>
  <si>
    <t>Segment adjusted EBITDA margin</t>
  </si>
  <si>
    <t>Operating result</t>
  </si>
  <si>
    <t>Quarters add up to nine months: revenue</t>
  </si>
  <si>
    <t>B: Q1-Q3 2025 against 9M 2025; F: Q1-Q3 2026 against 9M 2026. Q4 2025 is derived, so FY2025 adds up by construction.</t>
  </si>
  <si>
    <t>Quarters add up to nine months: total costs and expenses</t>
  </si>
  <si>
    <t>Quarters add up to nine months: income (loss) from operations</t>
  </si>
  <si>
    <t>Quarters add up to nine months: net income (loss)</t>
  </si>
  <si>
    <t>Space Exploration Technologies Corp. (SpaceX) | Segments, revenue by type, operating data and customers, as filed</t>
  </si>
  <si>
    <t>USD millions unless stated. The AI segment is called SI (Super Intelligence) from Q3 2026; same segment. Block A: years and nine months; block B: quarters.</t>
  </si>
  <si>
    <t>A1. Revenue by type and segment</t>
  </si>
  <si>
    <t>Launch Services</t>
  </si>
  <si>
    <t>FY: 424B4 p. F-22; 9M: 10-Q Q3 2026 p. 13</t>
  </si>
  <si>
    <t>Launch &amp; Development</t>
  </si>
  <si>
    <t>Space</t>
  </si>
  <si>
    <t>Consumer</t>
  </si>
  <si>
    <t>Enterprise &amp; Government</t>
  </si>
  <si>
    <t>Connectivity</t>
  </si>
  <si>
    <t>Advertising</t>
  </si>
  <si>
    <t>SI (AI) solutions &amp; infrastructure</t>
  </si>
  <si>
    <t>SI (AI)</t>
  </si>
  <si>
    <t>Total revenues</t>
  </si>
  <si>
    <t>A. Segment income (loss) from operations</t>
  </si>
  <si>
    <t>FY: 424B4 p. F-57-F-58 and 24; 9M: 10-Q Q3 2026 p. 33, 34</t>
  </si>
  <si>
    <t>SI (formerly AI)</t>
  </si>
  <si>
    <t>A. Depreciation and amortization</t>
  </si>
  <si>
    <t>A. Share-based compensation (excluding acquisition awards)</t>
  </si>
  <si>
    <t>A. Share-based compensation related to acquisitions</t>
  </si>
  <si>
    <t>FY: 424B4 p. F-57-F-58 and 24; 9M: 10-Q Q3 2026 p. 33, 34. Filing shows — (nil) in 9M 2026A: left blank. No such line in FY2023A, FY2024A, FY2025A, 9M 2025A</t>
  </si>
  <si>
    <t>FY: 424B4 p. F-57-F-58 and 24; 9M: 10-Q Q3 2026 p. 33, 34. No such line in FY2023A, FY2024A, FY2025A, 9M 2025A</t>
  </si>
  <si>
    <t>A. Acquisition-related costs</t>
  </si>
  <si>
    <t>A. Restructuring charges (credits)</t>
  </si>
  <si>
    <t>FY: 424B4 p. F-57-F-58 and 24; 9M: 10-Q Q3 2026 p. 33, 34. Filing shows — (nil) in FY2023A, FY2024A, FY2025A, 9M 2025A, 9M 2026A: left blank</t>
  </si>
  <si>
    <t>A. Impairment</t>
  </si>
  <si>
    <t>FY: 424B4 p. F-57-F-58 and 24; 9M: 10-Q Q3 2026 p. 33, 34. Filing shows — (nil) in FY2023A: left blank. No such line in 9M 2026A</t>
  </si>
  <si>
    <t>FY: 424B4 p. F-57-F-58 and 24; 9M: 10-Q Q3 2026 p. 33, 34. Filing shows — (nil) in FY2023A, FY2025A, 9M 2025A: left blank. No such line in 9M 2026A</t>
  </si>
  <si>
    <t>FY: 424B4 p. F-57-F-58 and 24; 9M: 10-Q Q3 2026 p. 33, 34. Filing shows — (nil) in FY2024A, FY2025A, 9M 2025A: left blank. No such line in 9M 2026A</t>
  </si>
  <si>
    <t>A. Segment adjusted EBITDA (company measure, non-GAAP)</t>
  </si>
  <si>
    <t>A. Capital expenditures</t>
  </si>
  <si>
    <t>A. Operating data (year end or period end; per year or nine months)</t>
  </si>
  <si>
    <t>Starlink consumer subscribers, period end (millions)</t>
  </si>
  <si>
    <t>424B4 p. 24; 10-Q Q3 2026 p. 40. Renamed 'consumer subscribers' in Q3 2026; same measure</t>
  </si>
  <si>
    <t>Starlink consumer ARPU (USD per month)</t>
  </si>
  <si>
    <t>424B4 p. 24; 10-Q Q3 2026 p. 40</t>
  </si>
  <si>
    <t>SI nameplate compute, period end (GW)</t>
  </si>
  <si>
    <t>424B4 p. 24; 10-Q Q3 2026 p. 40 ('Nameplate compute 1.7 0.6')</t>
  </si>
  <si>
    <t>Launches, Falcon and Starship</t>
  </si>
  <si>
    <t>424B4 p. 24; 9M: Falcon + Starship, 10-Q Q3 2026 p. 39</t>
  </si>
  <si>
    <t>Customer launches</t>
  </si>
  <si>
    <t>FY: 424B4 p. 87 ('customer launches totaled 33, 45, and 43'); 9M: Falcon customer launches, 10-Q Q3 2026 p. 39; Starship launches are all internal</t>
  </si>
  <si>
    <t>Mass to orbit (metric tons)</t>
  </si>
  <si>
    <t>424B4 p. 24; 10-Q Q3 2026 p. 39</t>
  </si>
  <si>
    <t>A. Customers above 10% of revenue (unnamed in the filings; '*' = below 10%)</t>
  </si>
  <si>
    <t>Customer A: % of revenue</t>
  </si>
  <si>
    <t>424B4 p. F-23; 10-Q Q3 2026 p. 13</t>
  </si>
  <si>
    <t>Customer B: % of revenue</t>
  </si>
  <si>
    <t>*</t>
  </si>
  <si>
    <t>10-Q Q3 2026 p. 13: '*' in 9M 2025 means below 10%, kept as text; not disclosed for the years. 10-Q Q3 2026 p. 13</t>
  </si>
  <si>
    <t>A. Checks (zero passes)</t>
  </si>
  <si>
    <t>Revenue types add to the segments</t>
  </si>
  <si>
    <t>Segments add to total revenue and to the statement</t>
  </si>
  <si>
    <t>Segment operating results add to the statement</t>
  </si>
  <si>
    <t>Segment D&amp;A adds to the cash flow statement</t>
  </si>
  <si>
    <t>Segment SBC (incl. acquisition awards) adds to the cash flow statement</t>
  </si>
  <si>
    <t>Segment capex adds to purchases of PP&amp;E</t>
  </si>
  <si>
    <t>Adjusted EBITDA reconciliation, Space: result + D&amp;A + SBC + acquisition items + restructuring + impairment - EBITDA</t>
  </si>
  <si>
    <t>Adjusted EBITDA reconciliation, Connectivity: result + D&amp;A + SBC + acquisition items + restructuring + impairment - EBITDA</t>
  </si>
  <si>
    <t>Adjusted EBITDA reconciliation, SI (formerly AI): result + D&amp;A + SBC + acquisition items + restructuring + impairment - EBITDA</t>
  </si>
  <si>
    <t>B1. Revenue by type and segment</t>
  </si>
  <si>
    <t>Q1: 424B4 p. F-71, 24, 23; Q2: 10-Q Q2 2026 p. 13, 30; Q3: 10-Q Q3 2026 p. 13, 32; Q4 2025A: block A FY2025 less 9M 2025</t>
  </si>
  <si>
    <t>B. Segment income (loss) from operations</t>
  </si>
  <si>
    <t>B. Segment adjusted EBITDA</t>
  </si>
  <si>
    <t>B. Capital expenditures</t>
  </si>
  <si>
    <t>B. Depreciation and amortization</t>
  </si>
  <si>
    <t>Q1: 424B4 p. F-71, 24, 23; Q2: 10-Q Q2 2026 p. 13, 30; Q3: 10-Q Q3 2026 p. 13, 32; Q4 2025A: block A FY2025 less 9M 2025. No such line in Q1 2025A, Q1 2026A</t>
  </si>
  <si>
    <t>B. Operating data</t>
  </si>
  <si>
    <t>Starlink consumer subscribers, quarter end (millions)</t>
  </si>
  <si>
    <t>424B4 p. 24; 10-Q Q2 2026 p. 35; 10-Q Q3 2026 p. 40; Q4 2025A = 31 Dec 2025 (filed)</t>
  </si>
  <si>
    <t>n.a.</t>
  </si>
  <si>
    <t>Same sources. Q4 2025 ARPU is not given and cannot be derived from the yearly figure (it averages subscribers by month)</t>
  </si>
  <si>
    <t>SI nameplate compute, quarter end (GW)</t>
  </si>
  <si>
    <t>424B4 p. 24; Q2 10-Q ('Nameplate compute draw'); 10-Q Q3 2026 p. 40</t>
  </si>
  <si>
    <t>Falcon launches</t>
  </si>
  <si>
    <t>10-Q Q2 2026 p. 35; 10-Q Q3 2026 p. 39. Q1 split not given in the 424B4 summary</t>
  </si>
  <si>
    <t>Starship launches</t>
  </si>
  <si>
    <t>Same sources</t>
  </si>
  <si>
    <t>Launches, total</t>
  </si>
  <si>
    <t>Q1: 424B4 p. 24; Q2, Q3: Falcon + Starship; Q4 2025A: FY2025 less Q1-Q3</t>
  </si>
  <si>
    <t>10-Q Q2 2026 p. 35; 10-Q Q3 2026 p. 39</t>
  </si>
  <si>
    <t>Cursor revenue inside SI solutions (from the 14 Aug 2026 closing)</t>
  </si>
  <si>
    <t>10-Q Q3 2026 p. 48</t>
  </si>
  <si>
    <t>B. Derived Q3 2026 rates used by the forecast (formulas)</t>
  </si>
  <si>
    <t>Consumer subscription revenue: ARPU x average subscribers x 3 months</t>
  </si>
  <si>
    <t>ARPU is subscription revenue / average subscribers / months (10-Q definition); average of quarter-end counts used here</t>
  </si>
  <si>
    <t>Consumer revenue above subscription revenue (kits and other), % of subscription revenue</t>
  </si>
  <si>
    <t>SI compute and AI revenue (solutions &amp; infrastructure less Cursor)</t>
  </si>
  <si>
    <t>SI compute revenue per average GW, annualised (USD bn)</t>
  </si>
  <si>
    <t>Launch Services revenue per customer launch (USD m)</t>
  </si>
  <si>
    <t>Memo: SI capex 9M 2026 per GW added in 9M 2026 (USD bn)</t>
  </si>
  <si>
    <t>Capex leads capacity: part of it builds sites not yet live, so this overstates the cost of a live GW</t>
  </si>
  <si>
    <t>Segment adjusted EBITDA margin: Space</t>
  </si>
  <si>
    <t>Segment adjusted EBITDA margin: Connectivity</t>
  </si>
  <si>
    <t>Segment adjusted EBITDA margin: SI (formerly AI)</t>
  </si>
  <si>
    <t>B. Backlog (remaining performance obligations)</t>
  </si>
  <si>
    <t>Backlog at 30 Sep 2026</t>
  </si>
  <si>
    <t>10-Q Q3 2026 p. 13</t>
  </si>
  <si>
    <t>Share expected within one year</t>
  </si>
  <si>
    <t>Backlog due within one year (derived)</t>
  </si>
  <si>
    <t>Backlog at 30 Jun 2026</t>
  </si>
  <si>
    <t>10-Q Q2 2026 p. 14</t>
  </si>
  <si>
    <t>B. Checks (zero passes)</t>
  </si>
  <si>
    <t>Revenue types add to the segments and the quarter</t>
  </si>
  <si>
    <t>Segment operating results add to the quarter</t>
  </si>
  <si>
    <t>Q1-Q3 2026 add to 9M 2026: operating result, Space</t>
  </si>
  <si>
    <t>Q1-Q3 2025 add to 9M 2025 within rounding (5): operating result, Space</t>
  </si>
  <si>
    <t>2025 segment quarters are rounded separately in the 424B4 and the two 10-Qs: they differ from the nine-month totals by up to US$3m (memo rows below show the raw gaps). Tolerance 5 is a convention; it flags any larger gap.</t>
  </si>
  <si>
    <t>Q1-Q3 2026 add to 9M 2026: operating result, Connectivity</t>
  </si>
  <si>
    <t>Q1-Q3 2025 add to 9M 2025 within rounding (5): operating result, Connectivity</t>
  </si>
  <si>
    <t>Q1-Q3 2026 add to 9M 2026: operating result, SI (formerly AI)</t>
  </si>
  <si>
    <t>Q1-Q3 2025 add to 9M 2025 within rounding (5): operating result, SI (formerly AI)</t>
  </si>
  <si>
    <t>Q1-Q3 2026 add to 9M 2026: capex, Space</t>
  </si>
  <si>
    <t>Q1-Q3 2025 add to 9M 2025 within rounding (5): capex, Space</t>
  </si>
  <si>
    <t>Q1-Q3 2026 add to 9M 2026: capex, Connectivity</t>
  </si>
  <si>
    <t>Q1-Q3 2025 add to 9M 2025 within rounding (5): capex, Connectivity</t>
  </si>
  <si>
    <t>Q1-Q3 2026 add to 9M 2026: capex, SI (formerly AI)</t>
  </si>
  <si>
    <t>Q1-Q3 2025 add to 9M 2025 within rounding (5): capex, SI (formerly AI)</t>
  </si>
  <si>
    <t>Q1-Q3 2026 add to 9M 2026: adjusted EBITDA, Space</t>
  </si>
  <si>
    <t>Q1-Q3 2025 add to 9M 2025 within rounding (5): adjusted EBITDA, Space</t>
  </si>
  <si>
    <t>Q1-Q3 2026 add to 9M 2026: adjusted EBITDA, Connectivity</t>
  </si>
  <si>
    <t>Q1-Q3 2025 add to 9M 2025 within rounding (5): adjusted EBITDA, Connectivity</t>
  </si>
  <si>
    <t>Q1-Q3 2026 add to 9M 2026: adjusted EBITDA, SI (formerly AI)</t>
  </si>
  <si>
    <t>Q1-Q3 2025 add to 9M 2025 within rounding (5): adjusted EBITDA, SI (formerly AI)</t>
  </si>
  <si>
    <t>Memo: 2025 segment operating result, quarters less nine months (rounding in the filings)</t>
  </si>
  <si>
    <t>B: Space; C: Connectivity; D: SI</t>
  </si>
  <si>
    <t>Memo: 2025 segment capex, quarters less nine months (rounding in the filings)</t>
  </si>
  <si>
    <t>Memo: 2025 segment adjusted EBITDA, quarters less nine months (rounding in the filings)</t>
  </si>
  <si>
    <t>Space Exploration Technologies Corp. (SpaceX) | Shares outstanding, dilutive securities and the diluted count at the market price</t>
  </si>
  <si>
    <t>Shares in millions. Treasury-stock method at the SPCX close of 27 Oct 2026. Sources: 10-Q Q3 2026 cover and Note 12-13; 424B4 (option prices, Musk awards, EchoStar shares).</t>
  </si>
  <si>
    <t>Item</t>
  </si>
  <si>
    <t>Price (USD)</t>
  </si>
  <si>
    <t>A. Common stock outstanding, 15 Oct 2026 (10-Q cover)</t>
  </si>
  <si>
    <t>10-Q Q3 2026, cover page</t>
  </si>
  <si>
    <t>Class B common stock (10 votes per share)</t>
  </si>
  <si>
    <t>Shares outstanding</t>
  </si>
  <si>
    <t>Memo: Class A at 30 Sep 2026 (balance sheet caption)</t>
  </si>
  <si>
    <t>Memo: Class B at 30 Sep 2026 (balance sheet caption)</t>
  </si>
  <si>
    <t>B. Performance-based restricted Class B shares held by Mr. Musk (issued, outstanding and voted; not vested)</t>
  </si>
  <si>
    <t>SpaceX CEO Award, 13 Jan 2026: 15 tranches, market-cap milestones US$0.5tn to US$7.5tn, plus a permanent Mars colony of at least one million people</t>
  </si>
  <si>
    <t>424B4 p. 235; tranche table 424B4 pp. 235-236; F-89</t>
  </si>
  <si>
    <t>AI CEO Award, 23 Mar 2026 (replaced the xAI award): 12 equal tranches, US$1.065tn to US$6.565tn, plus non-Earth data centers delivering 100 TW of compute a year</t>
  </si>
  <si>
    <t>424B4 p. 236; F-89</t>
  </si>
  <si>
    <t>Performance-based restricted shares</t>
  </si>
  <si>
    <t>Inside the cover count (9M 2026 equity note: 1,306m Class B issued). Both awards require continued employment; Mr. Musk votes all of them. The 10-Q excludes 1,333m such awards from diluted EPS: 10-Q Q3 2026 p. 27</t>
  </si>
  <si>
    <t>Market capitalisation for the milestones: shares outstanding x price (USD bn)</t>
  </si>
  <si>
    <t>Shares outstanding at 15 Oct 2026 x the 27 Oct 2026 close. The award's own definition (averaging period) is not reproduced; indicative.</t>
  </si>
  <si>
    <t>Tranche</t>
  </si>
  <si>
    <t>Shares (m)</t>
  </si>
  <si>
    <t>Milestone (USD bn)</t>
  </si>
  <si>
    <t>Market cap met (1 = yes)</t>
  </si>
  <si>
    <t>Second condition (both must be met to vest)</t>
  </si>
  <si>
    <t>SpaceX CEO Award, tranche 1</t>
  </si>
  <si>
    <t>Mars colony of at least one million inhabitants: not met</t>
  </si>
  <si>
    <t>SpaceX CEO Award, tranche 2</t>
  </si>
  <si>
    <t>SpaceX CEO Award, tranche 3</t>
  </si>
  <si>
    <t>SpaceX CEO Award, tranche 4</t>
  </si>
  <si>
    <t>SpaceX CEO Award, tranche 5</t>
  </si>
  <si>
    <t>SpaceX CEO Award, tranche 6</t>
  </si>
  <si>
    <t>SpaceX CEO Award, tranche 7</t>
  </si>
  <si>
    <t>SpaceX CEO Award, tranche 8</t>
  </si>
  <si>
    <t>SpaceX CEO Award, tranche 9</t>
  </si>
  <si>
    <t>SpaceX CEO Award, tranche 10</t>
  </si>
  <si>
    <t>SpaceX CEO Award, tranche 11</t>
  </si>
  <si>
    <t>SpaceX CEO Award, tranche 12</t>
  </si>
  <si>
    <t>SpaceX CEO Award, tranche 13</t>
  </si>
  <si>
    <t>SpaceX CEO Award, tranche 14</t>
  </si>
  <si>
    <t>SpaceX CEO Award, tranche 15</t>
  </si>
  <si>
    <t>AI CEO Award, tranche 1</t>
  </si>
  <si>
    <t>Non-Earth data centers delivering 100 TW of compute a year: not met</t>
  </si>
  <si>
    <t>AI CEO Award, tranche 2</t>
  </si>
  <si>
    <t>AI CEO Award, tranche 3</t>
  </si>
  <si>
    <t>AI CEO Award, tranche 4</t>
  </si>
  <si>
    <t>AI CEO Award, tranche 5</t>
  </si>
  <si>
    <t>AI CEO Award, tranche 6</t>
  </si>
  <si>
    <t>AI CEO Award, tranche 7</t>
  </si>
  <si>
    <t>AI CEO Award, tranche 8</t>
  </si>
  <si>
    <t>AI CEO Award, tranche 9</t>
  </si>
  <si>
    <t>AI CEO Award, tranche 10</t>
  </si>
  <si>
    <t>AI CEO Award, tranche 11</t>
  </si>
  <si>
    <t>AI CEO Award, tranche 12</t>
  </si>
  <si>
    <t>Shares in tranches whose market-cap milestone is met at 27 Oct 2026</t>
  </si>
  <si>
    <t>None of them vests: the second condition of every tranche is far off. The company deems both conditions improbable and records no expense for these awards (424B4 p. F-89; grant-date fair value US$90.40 to US$95.92 a share).</t>
  </si>
  <si>
    <t>Count the 1,302m performance shares in the diluted shares (1 = yes, 0 = no)</t>
  </si>
  <si>
    <t>Default 1: the shares are issued, outstanding and voted, and counting them is the conservative choice. Set 0 to see the value per share without them (also shown live on DCF). No expense for them is charged in the forecast.</t>
  </si>
  <si>
    <t>C. Dilutive securities (Note 12 reserve table, 30 Sep 2026)</t>
  </si>
  <si>
    <t>Class A stock options outstanding</t>
  </si>
  <si>
    <t>10-Q Q3 2026 p. 26; exercise price: weighted average at 31 Mar 2026, 424B4 p. 19 (latest stated; convention)</t>
  </si>
  <si>
    <t>Class B stock options outstanding (mostly Mr. Musk's 2018-2021 options)</t>
  </si>
  <si>
    <t>10-Q Q3 2026 p. 26; exercise price at 31 Mar 2026, 424B4 p. 19</t>
  </si>
  <si>
    <t>Class A options, net shares by the treasury-stock method</t>
  </si>
  <si>
    <t>Options x (1 - exercise price / market price): the exercise cash buys back shares at the market price.</t>
  </si>
  <si>
    <t>Class B options, net shares by the treasury-stock method</t>
  </si>
  <si>
    <t>Restricted stock units outstanding</t>
  </si>
  <si>
    <t>10-Q Q3 2026 p. 26; unvested RSAs (Cursor and others) are already inside the cover count</t>
  </si>
  <si>
    <t>EchoStar spectrum: Class A shares to be issued at closing (about Nov 2027)</t>
  </si>
  <si>
    <t>Committed consideration at a fixed US$42.40; counted now so that the DCF does not also deduct the stock part as cash.</t>
  </si>
  <si>
    <t>Diluted shares for valuation</t>
  </si>
  <si>
    <t>Method: shares outstanding (Musk performance shares in or out by the switch), plus options by the treasury method, all RSUs (including Cursor awards) and the EchoStar shares.</t>
  </si>
  <si>
    <t>Diluted shares at the other setting of the switch</t>
  </si>
  <si>
    <t>Memo: weighted diluted shares in Q3 2026 EPS (company calculation)</t>
  </si>
  <si>
    <t>10-Q Q3 2026 p. 4: basic 11,942 + options 457 + RSUs 75 + ESPP 1</t>
  </si>
  <si>
    <t>D. Market price</t>
  </si>
  <si>
    <t>SPCX closing price, 27 Oct 2026 (USD)</t>
  </si>
  <si>
    <t>SPCX close on 27 Oct 2026, Yahoo Finance daily chart data, fetched 27 Oct 2026; FMP profile shows the same price.</t>
  </si>
  <si>
    <t>Market capitalisation on the diluted count (USD m)</t>
  </si>
  <si>
    <t>Market capitalisation on the shares outstanding (USD m)</t>
  </si>
  <si>
    <t>Memo: FMP market capitalisation (USD m)</t>
  </si>
  <si>
    <t>FMP profile market capitalisation, 27 Oct 2026 (USD m); FMP's share count is not stated.</t>
  </si>
  <si>
    <t>Class A and B at 30 Sep 2026 equal the equity statement (13,579)</t>
  </si>
  <si>
    <t>Space Exploration Technologies Corp. (SpaceX) | Assumptions and scenarios</t>
  </si>
  <si>
    <t>Blue cells are inputs. Each driver has Base, Bull and Bear rows; the Active row follows the switch in C5. USD millions unless stated.</t>
  </si>
  <si>
    <t>Actual</t>
  </si>
  <si>
    <t>Forecast</t>
  </si>
  <si>
    <t>2025A</t>
  </si>
  <si>
    <t>2026E</t>
  </si>
  <si>
    <t>2027E</t>
  </si>
  <si>
    <t>2028E</t>
  </si>
  <si>
    <t>2029E</t>
  </si>
  <si>
    <t>2030E</t>
  </si>
  <si>
    <t>2031E</t>
  </si>
  <si>
    <t>2032E</t>
  </si>
  <si>
    <t>2033E</t>
  </si>
  <si>
    <t>2034E</t>
  </si>
  <si>
    <t>2035E</t>
  </si>
  <si>
    <t>Scenario switch: 1 = Base, 2 = Bull, 3 = Bear</t>
  </si>
  <si>
    <t>Same convention as the house templates (Supuestos!C5).</t>
  </si>
  <si>
    <t>A. Q4 2026E stub and valuation inputs (one value per scenario)</t>
  </si>
  <si>
    <t>Active</t>
  </si>
  <si>
    <t>Base</t>
  </si>
  <si>
    <t>Q4 2026E: Starlink consumer subscribers at 31 Dec 2026 (millions)</t>
  </si>
  <si>
    <t>13.6m at 30 Sep 2026, +1.6m in Q3 and +1.7m in Q2 (10-Q). Base repeats the Q3 addition; Bull a little faster; Bear slower.</t>
  </si>
  <si>
    <t>Q4 2026E: Starlink consumer ARPU (USD per month)</t>
  </si>
  <si>
    <t>US$69 in Q3 2026, US$66 in Q1 and Q2 (10-Q). Base holds Q3; Bear returns towards the 9M average of US$67.</t>
  </si>
  <si>
    <t>Q4 2026E: Enterprise &amp; Government revenue growth on Q3 2026</t>
  </si>
  <si>
    <t>Q3 2026 +18% on Q2, +91% on Q3 2025 (10-Q). Base slows to +8% a quarter.</t>
  </si>
  <si>
    <t>Q4 2026E: customer launches (Falcon and Starship)</t>
  </si>
  <si>
    <t>12 in Q3 2026, 29 in 9M 2026; 43 in FY2025 (424B4, 10-Q). Base 13 brings 2026E to 42, close to 2025.</t>
  </si>
  <si>
    <t>Q4 2026E: Launch &amp; Development revenue growth on Q3 2026</t>
  </si>
  <si>
    <t>Q3 2026 US$637m, Q2 US$314m: lumpy milestone revenue (10-Q). Base holds Q3.</t>
  </si>
  <si>
    <t>Q4 2026E: SI nameplate compute at 31 Dec 2026 (GW)</t>
  </si>
  <si>
    <t>1.0 GW at 31 Mar, 1.4 at 30 Jun, 1.7 at 30 Sep 2026 (424B4, 10-Q): +0.3 to +0.4 GW a quarter. Base +0.4 GW.</t>
  </si>
  <si>
    <t>Q4 2026E: change in SI compute revenue per average GW on Q3 2026</t>
  </si>
  <si>
    <t>Q3 2026 rate is a formula on Segments_Hist (SI solutions less Cursor, per average GW). Bear: new capacity comes on line before it earns.</t>
  </si>
  <si>
    <t>Q4 2026E: Cursor revenue growth on the Q3 daily run-rate</t>
  </si>
  <si>
    <t>Q3 2026 Cursor revenue US$608m for the 47 days after the 14 Aug close (10-Q). Base +10% on that daily rate.</t>
  </si>
  <si>
    <t>Q4 2026E: advertising revenue growth on Q3 2026</t>
  </si>
  <si>
    <t>Q3 2026 US$538m, Q2 US$367m (10-Q); Q4 is the strongest ad quarter. Analyst input.</t>
  </si>
  <si>
    <t>Q4 2026E: Space segment adjusted EBITDA margin</t>
  </si>
  <si>
    <t>Q3 2026 20.2%, 9M 2026 -5.9%, FY2025 16.0% (formulas on Segments_Hist). Base near FY2025.</t>
  </si>
  <si>
    <t>Q4 2026E: Connectivity segment adjusted EBITDA margin</t>
  </si>
  <si>
    <t>Q3 2026 66.7%, 9M 2026 63.9% (Segments_Hist).</t>
  </si>
  <si>
    <t>Q4 2026E: SI segment adjusted EBITDA margin</t>
  </si>
  <si>
    <t>Q3 2026 65.5%, the first quarter of large compute revenue; 9M 2026 50.2% (Segments_Hist).</t>
  </si>
  <si>
    <t>Q4 2026E: Space capex</t>
  </si>
  <si>
    <t>Q3 2026 US$1,606m, Q2 US$1,174m (10-Q). Bear spends more on Starship.</t>
  </si>
  <si>
    <t>Q4 2026E: Connectivity capex</t>
  </si>
  <si>
    <t>Q3 2026 US$1,543m, Q2 US$1,367m (10-Q).</t>
  </si>
  <si>
    <t>Q4 2026E: SI capex</t>
  </si>
  <si>
    <t>Q3 2026 US$16,444m, Q2 US$15,828m (10-Q); purchase commitments of US$25.6bn fall in 2027. Base +22% on Q3.</t>
  </si>
  <si>
    <t>Q4 2026E: tax on Q4 income before taxes</t>
  </si>
  <si>
    <t>Full US valuation allowance at 30 Sep 2026 (10-Q Note 15); loss carryforwards shield most income. Convention.</t>
  </si>
  <si>
    <t>Terminal growth (after 2035)</t>
  </si>
  <si>
    <t>Nominal; the 10-year Treasury is 4.99% (FMP, 27 Oct 2026). Convention.</t>
  </si>
  <si>
    <t>Return on new invested capital after 2035</t>
  </si>
  <si>
    <t>Sets reinvestment = growth / return in the perpetuity. Above the WACC: Starlink and launch have scale advantages. Convention.</t>
  </si>
  <si>
    <t>Exit EV / EBITDA 2035E (x), cross-check only</t>
  </si>
  <si>
    <t>Convention for a mature network and compute business; no peer multiples sourced.</t>
  </si>
  <si>
    <t>Apollo GPU finance lease closes (1 = yes, 0 = no)</t>
  </si>
  <si>
    <t>Binding commitment of 24 Oct 2026, subject to closing conditions, expected before year end (8-K 26 Oct 2026). Bear: it does not close and SI capex is paid in cash.</t>
  </si>
  <si>
    <t>B. Inputs that do not change with the scenario</t>
  </si>
  <si>
    <t>Apollo lease: aggregate principal (financed cost)</t>
  </si>
  <si>
    <t>8-K 26 Oct 2026: 'aggregate principal payments ... approximately $40 billion'.</t>
  </si>
  <si>
    <t>Apollo lease: quarter of 2027 in which the schedules start (1 to 4)</t>
  </si>
  <si>
    <t>8-K: schedules 'commence during the first half of 2027'; Base takes Q2, one tranche for all. Convention.</t>
  </si>
  <si>
    <t>Apollo lease: fixed interest rate</t>
  </si>
  <si>
    <t>Not disclosed: 'the fixed rate will be determined at pricing' (8-K 26 Oct 2026). Derivation: the June 2026 SpaceX Notes average 5.855% (10-Q Q3 Note 9); press reports put their coupons at about 5.35%-6.65%, and AI credit spreads have widened since June (FT and CNBC coverage, Oct 2026, as researched for this build, not re-read here). 6.5% sits at the top of the notes' range for a secured equipment lease. Convention. The FT described the package as about US$10bn of bank loans plus US$30bn of investment-grade debt; the model follows the 8-K's finance lease.</t>
  </si>
  <si>
    <t>EchoStar spectrum: year of the acquisition closing</t>
  </si>
  <si>
    <t>424B4 p. 124: expected closing 30 Nov 2027; no later than 30 Nov 2028.</t>
  </si>
  <si>
    <t>EchoStar spectrum: cash at closing (payoff of EchoStar debt)</t>
  </si>
  <si>
    <t>424B4 p. 123: 'up to $8.5 billion related to the payoff of designated EchoStar debt'.</t>
  </si>
  <si>
    <t>EchoStar spectrum: Class A shares issued at closing (millions)</t>
  </si>
  <si>
    <t>424B4 p. 123: 'approximately 261.8 million shares' at a fixed US$42.40.</t>
  </si>
  <si>
    <t>EchoStar spectrum: fixed value per share (USD)</t>
  </si>
  <si>
    <t>424B4 p. 123.</t>
  </si>
  <si>
    <t>EchoStar spectrum: Spectrum Credit Agreement payments in 2026</t>
  </si>
  <si>
    <t>424B4 p. 124.</t>
  </si>
  <si>
    <t>EchoStar spectrum: paid to the Trust by 30 Sep 2026</t>
  </si>
  <si>
    <t>10-Q Q3 Note 6.</t>
  </si>
  <si>
    <t>EchoStar spectrum: payments in 2027 (closing 30 Nov 2027)</t>
  </si>
  <si>
    <t>EchoStar spectrum: extra payments if closing slips to 30 Nov 2028</t>
  </si>
  <si>
    <t>Tax rate: US federal</t>
  </si>
  <si>
    <t>US federal statutory rate 21% (10-Q Q3 Note 15).</t>
  </si>
  <si>
    <t>Tax rate: state, net of the federal benefit</t>
  </si>
  <si>
    <t>Convention: blended state rate after the federal deduction.</t>
  </si>
  <si>
    <t>State loss carryforwards at 31 Dec 2025</t>
  </si>
  <si>
    <t>424B4 p. F-52: state NOLs US$5,234m; they begin to expire in 2027 (expiry not modelled).</t>
  </si>
  <si>
    <t>State tax credits at 31 Dec 2025</t>
  </si>
  <si>
    <t>424B4 p. F-52: state credits US$2,104m, of which US$161m begin to expire in 2026.</t>
  </si>
  <si>
    <t>800 MHz spectrum (Grain Management): cash price</t>
  </si>
  <si>
    <t>The Wall Street Journal, as reported by SDxCentral on 9 Oct 2026 ('will pay $8 billion for the spectrum'); not confirmed by the companies. Seller Grain got these licences from T-Mobile in Aug 2026 in a US$2.9bn exchange (same article).</t>
  </si>
  <si>
    <t>800 MHz spectrum: year of closing</t>
  </si>
  <si>
    <t>8-K 20 Oct 2026: signed 8 Oct 2026, up to 14 MHz of paired spectrum nationwide, closing expected in H1 2027 subject to FCC approval; modelled on 30 Jun 2027 (mid-year, as the flows). All scenarios: the deal is signed.</t>
  </si>
  <si>
    <t>Federal loss carryforwards at 31 Dec 2025</t>
  </si>
  <si>
    <t>424B4 p. F-52: federal NOLs US$9,728m (state US$5,234m not used here).</t>
  </si>
  <si>
    <t>Share of taxable income loss carryforwards can offset</t>
  </si>
  <si>
    <t>US rule for losses from 2018 onwards (80% limit).</t>
  </si>
  <si>
    <t>Federal tax credits at 31 Dec 2025</t>
  </si>
  <si>
    <t>424B4 p. F-52.</t>
  </si>
  <si>
    <t>Share of tax before credits that credits can offset</t>
  </si>
  <si>
    <t>Approximates the general business credit limit. Convention.</t>
  </si>
  <si>
    <t>Yield on cash and marketable securities</t>
  </si>
  <si>
    <t>3-month US Treasury 4.22% on 27 Oct 2026 (FMP treasury-rates); cash sits in money market funds and government securities (10-Q Note 7).</t>
  </si>
  <si>
    <t>Unrecognised stock compensation, awards outstanding at 31 Dec 2025</t>
  </si>
  <si>
    <t>424B4 p. F-46: 'total remaining share-based compensation expense for unvested stock options, RSUs, and RSAs was $4,842 million ... over a weighted-average period of 3.2 years'.</t>
  </si>
  <si>
    <t>Years over which that expense is recognised (from 31 Dec 2025)</t>
  </si>
  <si>
    <t>424B4 p. F-46. Straight line: a convention.</t>
  </si>
  <si>
    <t>Cursor and Mesh awards: value for post-acquisition service at the 14 Aug 2026 close</t>
  </si>
  <si>
    <t>10-Q Q3 Note 20: 'The total value of these equity awards attributable to post-acquisition service as of the Closing Date is $23,376 million'.</t>
  </si>
  <si>
    <t>Cursor and Mesh awards: expense recognised in Q3 2026</t>
  </si>
  <si>
    <t>10-Q Q3 Note 14 and segment table: share-based compensation related to acquisitions US$1,217m.</t>
  </si>
  <si>
    <t>Cursor and Mesh awards: remaining recognition period from 30 Sep 2026 (years)</t>
  </si>
  <si>
    <t>10-Q Q3 Note 14: weighted-average period of 2.8 years.</t>
  </si>
  <si>
    <t>Minimum cash and securities; below it the model borrows</t>
  </si>
  <si>
    <t>Analyst floor, about one quarter of 2027E capex. New borrowing earns the blended debt rate.</t>
  </si>
  <si>
    <t>Useful life of new Space capex (years)</t>
  </si>
  <si>
    <t>Pads, factories and reusable vehicles. Convention.</t>
  </si>
  <si>
    <t>Useful life of new Connectivity capex (years)</t>
  </si>
  <si>
    <t>Starlink satellites last about five years in orbit. Convention.</t>
  </si>
  <si>
    <t>Useful life of new SI capex, and the lag before its capacity is replaced (years)</t>
  </si>
  <si>
    <t>Blend of GPUs and servers (5-6 years) and buildings and power (15+ years). Convention.</t>
  </si>
  <si>
    <t>Remaining life of finite-lived intangibles at 30 Sep 2026 (years)</t>
  </si>
  <si>
    <t>Cursor technology 4 years, customer relationships 4.5 years (10-Q Note 6).</t>
  </si>
  <si>
    <t>Stock-based compensation for future grants: % of revenue</t>
  </si>
  <si>
    <t>Method: the income statement carries both existing-award expense (rows below) and future grants. In the unlevered flows only future grants are a cost; existing-award expense is added back because those shares are already in the diluted count. Musk performance awards: no expense (company deems both conditions improbable, 424B4 p. F-89).</t>
  </si>
  <si>
    <t>Sensitivity: shift on GW additions, all years (0 = none)</t>
  </si>
  <si>
    <t>Used by the captured tables; keep at 0.</t>
  </si>
  <si>
    <t>Sensitivity: shift on revenue per GW, all years (0 = none)</t>
  </si>
  <si>
    <t>Used by the captured tables and the reverse DCF; keep at 0.</t>
  </si>
  <si>
    <t>Tax rate, federal plus state (used for the terminal year and the WACC)</t>
  </si>
  <si>
    <t>C. Drivers by year (Base, Bull, Bear and the active row)</t>
  </si>
  <si>
    <t>Connectivity: Starlink consumer subscribers at year end (millions)</t>
  </si>
  <si>
    <t>8.9m end-2025, 13.6m at 30 Sep 2026 (+89% in a year; 10-Q). Base adds 6-7m a year to 2029 (direct-to-cell service on the EchoStar and 800 MHz spectrum helps), then slows. Bull keeps adding faster; Bear slows at once.</t>
  </si>
  <si>
    <t>Connectivity: consumer ARPU (USD per month)</t>
  </si>
  <si>
    <t>US$99 in 2023, US$81 in 2025, US$67 in 9M 2026: lower-priced plans and new countries (424B4, 10-Q). Base keeps falling slowly.</t>
  </si>
  <si>
    <t>Connectivity: Enterprise &amp; Government revenue growth</t>
  </si>
  <si>
    <t>+70% in 9M 2026, +51% in 2025 (filings): aviation, maritime, government (Starshield). Analyst input.</t>
  </si>
  <si>
    <t>Connectivity: segment adjusted EBITDA margin</t>
  </si>
  <si>
    <t>62.9% in 2025, 63.9% in 9M 2026, 66.7% in Q3 2026 (Segments_Hist).</t>
  </si>
  <si>
    <t>Connectivity: capex, % of segment revenue</t>
  </si>
  <si>
    <t>36.7% in 2025, 33.2% in 9M 2026 (Segments_Hist). Starship lowers the cost per satellite; the constellation must still be replaced every five years.</t>
  </si>
  <si>
    <t>Space: customer launches per year</t>
  </si>
  <si>
    <t>33, 45 and 43 customer launches in 2023-2025 (424B4); 29 in 9M 2026. The Q3 release adds 18 NSSL and 3 NASA crew missions to the pipeline.</t>
  </si>
  <si>
    <t>Space: growth in revenue per customer launch</t>
  </si>
  <si>
    <t>2026E rate is a formula (launch services revenue / customer launches). Bull: Starship heavy-lift missions price higher.</t>
  </si>
  <si>
    <t>Space: Launch &amp; Development revenue growth</t>
  </si>
  <si>
    <t>US$1,510m in 2025; NASA lunar lander and crew contracts, recognised over time (424B4). Analyst input.</t>
  </si>
  <si>
    <t>Space: segment adjusted EBITDA margin</t>
  </si>
  <si>
    <t>16.0% in 2025, 30.4% in 2024, -5.9% in 9M 2026 (Starship development in R&amp;D). Base returns towards 2024-2025 levels.</t>
  </si>
  <si>
    <t>Space: capex</t>
  </si>
  <si>
    <t>US$3,832m in 2025 and in 9M 2026 (Segments_Hist): Starship factories and pads. Base stays high to 2028.</t>
  </si>
  <si>
    <t>SI: nameplate compute at year end (GW)</t>
  </si>
  <si>
    <t>0.8 GW end-2025, 1.7 GW at 30 Sep 2026 (filings). Bear stops adding capacity once returns fall below cost. Base 2027E +1.5 GW includes the GPUs from the Apollo lease (US$40bn) and US$25.6bn of purchase commitments due in 2027 (10-Q Note 16).</t>
  </si>
  <si>
    <t>SI: compute revenue per average GW (USD bn a year)</t>
  </si>
  <si>
    <t>Q3 2026: about US$16.6bn per average GW a year (formula on Segments_Hist). One customer pays US$1.25bn a month to May 2029 (424B4). Price per GW falls as new chips arrive.</t>
  </si>
  <si>
    <t>SI: capex per GW added or replaced (USD bn)</t>
  </si>
  <si>
    <t>9M 2026: US$40.0bn of SI capex for +0.9 GW (formula on Segments_Hist, about US$44bn per GW, part of it for capacity not yet live). Chip prices fall in every scenario; that is also why revenue per GW falls. Analyst input.</t>
  </si>
  <si>
    <t>SI: Cursor revenue growth</t>
  </si>
  <si>
    <t>2027E growth is on 2026E revenue, which holds only 4.5 months of Cursor; the Q4 2026E run-rate times four is more than double 2026E. Base +60% stays below that run-rate. Analyst input.</t>
  </si>
  <si>
    <t>SI: advertising (X) revenue growth</t>
  </si>
  <si>
    <t>US$2,323m in 2023, US$1,844m in 2025, 9M 2026 -6% (filings).</t>
  </si>
  <si>
    <t>SI: segment adjusted EBITDA margin</t>
  </si>
  <si>
    <t>Q3 2026 65.5% (first full quarter of compute contracts), 9M 2026 50.2% (Segments_Hist). Base below Q3: Grok model training stays in R&amp;D and contract prices fall.</t>
  </si>
  <si>
    <t>Deferred revenue (current and noncurrent): % of revenue</t>
  </si>
  <si>
    <t>30.0% of Q3 2026 annualised revenue (formula on Interim_Bridge): compute customers prepay. Base unwinds towards 15%.</t>
  </si>
  <si>
    <t>Space Exploration Technologies Corp. (SpaceX) | 2026E bridge: nine months filed plus a Q4 2026E estimate by segment</t>
  </si>
  <si>
    <t>9M columns link to the filings; Q4 2026E comes from the inputs on Assumptions (Section A). Balance sheet: column B = 30 Sep 2026A, column D = 31 Dec 2026E. USD millions.</t>
  </si>
  <si>
    <t>Q4 2026E</t>
  </si>
  <si>
    <t>FY2026E</t>
  </si>
  <si>
    <t>Revenue by segment</t>
  </si>
  <si>
    <t>Space: customer launches</t>
  </si>
  <si>
    <t>Space: Launch Services revenue per customer launch (USD m)</t>
  </si>
  <si>
    <t>Q4 2026E holds the 9M 2026 rate (formula).</t>
  </si>
  <si>
    <t>Space: Launch Services</t>
  </si>
  <si>
    <t>Space: Launch &amp; Development</t>
  </si>
  <si>
    <t>Q4 2026E = Q3 2026 x (1 + input).</t>
  </si>
  <si>
    <t>Connectivity: consumer subscribers, period end (millions)</t>
  </si>
  <si>
    <t>B: 30 Sep 2026; C and D: 31 Dec 2026E.</t>
  </si>
  <si>
    <t>Consumer subscription revenue, Q4 2026E (ARPU x average subscribers x 3)</t>
  </si>
  <si>
    <t>Kits and other above subscription revenue (Q3 2026 rate)</t>
  </si>
  <si>
    <t>Connectivity: Consumer</t>
  </si>
  <si>
    <t>Connectivity: Enterprise &amp; Government</t>
  </si>
  <si>
    <t>SI: nameplate compute, period end (GW)</t>
  </si>
  <si>
    <t>B: Q3 2026 rate (Segments_Hist); C = B x (1 + input).</t>
  </si>
  <si>
    <t>SI: compute and AI services</t>
  </si>
  <si>
    <t>SI: Cursor</t>
  </si>
  <si>
    <t>Q4 2026E = Q3 Cursor revenue / 47 days (14 Aug to 30 Sep) x 92 days x (1 + input). No Cursor revenue before 14 Aug 2026.</t>
  </si>
  <si>
    <t>SI: Advertising (X)</t>
  </si>
  <si>
    <t>SI</t>
  </si>
  <si>
    <t>Income statement</t>
  </si>
  <si>
    <t>Segment adjusted EBITDA: Space</t>
  </si>
  <si>
    <t>Segment adjusted EBITDA: Connectivity</t>
  </si>
  <si>
    <t>Segment adjusted EBITDA: SI</t>
  </si>
  <si>
    <t>Segment adjusted EBITDA, total</t>
  </si>
  <si>
    <t>Q4 2026E: existing PP&amp;E, finance-lease assets and intangibles (memo below); Q4 capex starts depreciating on 1 Jan 2027.</t>
  </si>
  <si>
    <t>Q4 2026E: existing awards (filed amounts) plus future grants (Schedules section H).</t>
  </si>
  <si>
    <t>Restructuring, impairment and acquisition costs</t>
  </si>
  <si>
    <t>Q4 2026E: blended rate (memo) x debt and finance leases at 30 Sep 2026 / 4.</t>
  </si>
  <si>
    <t>Q4 2026E: yield x cash and securities at 30 Sep 2026 / 4.</t>
  </si>
  <si>
    <t>Not forecast (marks on digital assets and investments).</t>
  </si>
  <si>
    <t>Memo: depreciation base at 30 Sep 2026 (derived from the filings)</t>
  </si>
  <si>
    <t>Q3 2026 depreciation and amortization</t>
  </si>
  <si>
    <t>Q3 2026 amortization of intangibles</t>
  </si>
  <si>
    <t>10-Q Q3 2026 p. 15: 'Amortization expense ... $293 million' (Note 6)</t>
  </si>
  <si>
    <t>Q3 2026 amortization of finance-lease assets</t>
  </si>
  <si>
    <t>10-Q Q3 2026 p. 22</t>
  </si>
  <si>
    <t>Q3 2026 depreciation of PP&amp;E (derived)</t>
  </si>
  <si>
    <t>Remaining life of PP&amp;E at 30 Sep 2026 (years, derived)</t>
  </si>
  <si>
    <t>PP&amp;E / annualised Q3 depreciation. Construction in progress makes the true life longer; convention.</t>
  </si>
  <si>
    <t>Finite-lived intangibles, net, 30 Sep 2026</t>
  </si>
  <si>
    <t>10-Q Q3 2026 p. 15: total net carrying value US$6,333m; indefinite-lived US$21m</t>
  </si>
  <si>
    <t>PP&amp;E depreciation, Q4 2026E</t>
  </si>
  <si>
    <t>Finance-lease asset amortization, Q4 2026E</t>
  </si>
  <si>
    <t>Intangible amortization, Q4 2026E</t>
  </si>
  <si>
    <t>Blended rate on debt and finance leases (derived)</t>
  </si>
  <si>
    <t>Q3 2026 interest expense x 4 / debt and finance leases at 30 Sep 2026. Includes Valor financings (related-party interest US$351m in Q3).</t>
  </si>
  <si>
    <t>Capex and spectrum</t>
  </si>
  <si>
    <t>Capex: Space</t>
  </si>
  <si>
    <t>Capex: Connectivity</t>
  </si>
  <si>
    <t>Capex: SI</t>
  </si>
  <si>
    <t>Capex, total</t>
  </si>
  <si>
    <t>EchoStar spectrum: Spectrum Credit Agreement payments</t>
  </si>
  <si>
    <t>Q4 2026E = 2026 payments (424B4 p. 124) less the US$856m paid by 30 Sep (10-Q). Paid to the Trust; the 9M payments sit in other assets.</t>
  </si>
  <si>
    <t>Cash flow (9M 2026A as filed; Q4 2026E from the rows above and the balance sheet below)</t>
  </si>
  <si>
    <t>Other non-cash items (deferred tax, marks, loss on debt extinguishment, other)</t>
  </si>
  <si>
    <t>EchoStar spectrum payments</t>
  </si>
  <si>
    <t>Other investing (rebates, intangibles, acquisitions, other)</t>
  </si>
  <si>
    <t>Add back: marketable securities bought less matured or sold (inside the model's cash)</t>
  </si>
  <si>
    <t>The model's cash is cash plus marketable securities, so buying securities is not an outflow.</t>
  </si>
  <si>
    <t>Debt and finance leases, net</t>
  </si>
  <si>
    <t>Q4 2026E: scheduled maturities (US$495m, 10-Q Note 9) and finance-lease principal (taken equal to the asset amortization).</t>
  </si>
  <si>
    <t>Equity: IPO, stock issued and repurchased</t>
  </si>
  <si>
    <t>Restricted cash, exchange rates and security marks (balancing item)</t>
  </si>
  <si>
    <t>9M 2026: restricted cash rose US$1,715m (Note 2 table), FX -43, unrealised marks on securities.</t>
  </si>
  <si>
    <t>Net change in cash and marketable securities</t>
  </si>
  <si>
    <t>Cash and marketable securities, beginning</t>
  </si>
  <si>
    <t>Cash and marketable securities, ending</t>
  </si>
  <si>
    <t>Balance sheet: 30 Sep 2026A (column B) to 31 Dec 2026E (column D)</t>
  </si>
  <si>
    <t>Cash and marketable securities</t>
  </si>
  <si>
    <t>Scaled by Q4 2026E revenue / Q3 2026 revenue.</t>
  </si>
  <si>
    <t>EchoStar spectrum (payments to the Trust from Q4 2026)</t>
  </si>
  <si>
    <t>Goodwill, digital assets, deferred tax and other assets</t>
  </si>
  <si>
    <t>Held flat.</t>
  </si>
  <si>
    <t>Scaled by capex plus cash operating costs, Q4 2026E against Q3 2026 (most payables are for PP&amp;E: US$11,827m at 30 Sep).</t>
  </si>
  <si>
    <t>Debt and finance leases (carrying)</t>
  </si>
  <si>
    <t>Total liabilities and equity</t>
  </si>
  <si>
    <t>Memo: net working capital (receivables + inventory + prepaid - payables - deferred revenue - accrued)</t>
  </si>
  <si>
    <t>Q4 2026E unlevered free cash flow (feeds the DCF)</t>
  </si>
  <si>
    <t>Income from operations</t>
  </si>
  <si>
    <t>Taxes on operating income</t>
  </si>
  <si>
    <t>Add back: expense of existing awards (shares already in the diluted count)</t>
  </si>
  <si>
    <t>Capex</t>
  </si>
  <si>
    <t>Change in working capital</t>
  </si>
  <si>
    <t>Unlevered free cash flow, Q4 2026E</t>
  </si>
  <si>
    <t>Future grants stay a cost (not added back); existing-award expense is added back.</t>
  </si>
  <si>
    <t>Balance sheet balances</t>
  </si>
  <si>
    <t>30 Sep 2026 total assets equal the 10-Q</t>
  </si>
  <si>
    <t>9M revenue equals the statement</t>
  </si>
  <si>
    <t>Operating result rebuilt from segment EBITDA equals the statement</t>
  </si>
  <si>
    <t>Net income equals the statement</t>
  </si>
  <si>
    <t>9M 2026 operating cash flow equals the 10-Q</t>
  </si>
  <si>
    <t>9M capex equals purchases of PP&amp;E</t>
  </si>
  <si>
    <t>Q4 cash: beginning + change - ending</t>
  </si>
  <si>
    <t>Space Exploration Technologies Corp. (SpaceX) | Segment build: drivers, revenue, adjusted EBITDA and capex, 2025A and 2026E-2035E</t>
  </si>
  <si>
    <t>2025A links to Segments_Hist; 2026E to Interim_Bridge; 2027E onward from Assumptions (active scenario). USD millions unless stated.</t>
  </si>
  <si>
    <t>Space revenue</t>
  </si>
  <si>
    <t>Space adjusted EBITDA</t>
  </si>
  <si>
    <t>Margin</t>
  </si>
  <si>
    <t>Space capex</t>
  </si>
  <si>
    <t>Consumer subscribers, year end (millions)</t>
  </si>
  <si>
    <t>Consumer ARPU (USD per month)</t>
  </si>
  <si>
    <t>2026E column shows the Q4 2026E input.</t>
  </si>
  <si>
    <t>Consumer subscription revenue (ARPU x average subscribers x 12)</t>
  </si>
  <si>
    <t>Consumer revenue (subscription x (1 + kits and other, Q3 2026 rate))</t>
  </si>
  <si>
    <t>Connectivity revenue</t>
  </si>
  <si>
    <t>Connectivity adjusted EBITDA</t>
  </si>
  <si>
    <t>Connectivity capex</t>
  </si>
  <si>
    <t>SI (Super Intelligence: compute, Grok, Cursor, X advertising)</t>
  </si>
  <si>
    <t>Nameplate compute, year end (GW)</t>
  </si>
  <si>
    <t>2027E onward: prior year + the input addition x (1 + the sensitivity shift on GW additions).</t>
  </si>
  <si>
    <t>GW added in the year</t>
  </si>
  <si>
    <t>Year</t>
  </si>
  <si>
    <t>GW replaced: capacity added 'useful life' years earlier</t>
  </si>
  <si>
    <t>Replacement of chips and equipment at the end of their life; 2024 additions from Segments_Hist.</t>
  </si>
  <si>
    <t>Compute revenue per average GW (USD bn a year)</t>
  </si>
  <si>
    <t>2026E column shows the Q4 2026E rate. 2027E onward: input x (1 + sensitivity shift).</t>
  </si>
  <si>
    <t>Compute and AI services revenue (average GW x revenue per GW)</t>
  </si>
  <si>
    <t>Cursor</t>
  </si>
  <si>
    <t>Advertising (X)</t>
  </si>
  <si>
    <t>SI revenue</t>
  </si>
  <si>
    <t>SI adjusted EBITDA</t>
  </si>
  <si>
    <t>Capacity cost: (GW added + GW replaced) x capex per GW</t>
  </si>
  <si>
    <t>Of which GPUs financed by the Apollo lease (non-cash)</t>
  </si>
  <si>
    <t>SI capex, gross (cash and leased)</t>
  </si>
  <si>
    <t>Total</t>
  </si>
  <si>
    <t>Growth</t>
  </si>
  <si>
    <t>Segment adjusted EBITDA</t>
  </si>
  <si>
    <t>Capex, gross (including leased GPUs)</t>
  </si>
  <si>
    <t>Capex paid in cash</t>
  </si>
  <si>
    <t>Gross capex, % of revenue</t>
  </si>
  <si>
    <t>SI share of revenue</t>
  </si>
  <si>
    <t>Memo: 2027E revenue covered by the backlog due within a year</t>
  </si>
  <si>
    <t>US$42.2bn of backlog falls due by 30 Sep 2027 (10-Q); compare with 2027E revenue.</t>
  </si>
  <si>
    <t>2025A revenue equals the statement</t>
  </si>
  <si>
    <t>2026E revenue equals the bridge</t>
  </si>
  <si>
    <t>Revenue by segment adds up (from the first forecast year)</t>
  </si>
  <si>
    <t>Space Exploration Technologies Corp. (SpaceX) | Schedules: depreciation by vintage, Apollo lease, EchoStar, debt and interest, taxes, working capital, unlevered free cash flow</t>
  </si>
  <si>
    <t>2026E is the full year (nine months filed plus the Q4 estimate). USD millions.</t>
  </si>
  <si>
    <t>Existing PP&amp;E (30 Sep 2026 pool), beginning</t>
  </si>
  <si>
    <t>Depreciation of the existing pool</t>
  </si>
  <si>
    <t>2026E: Q4 only. Straight line over the derived remaining life (Interim_Bridge).</t>
  </si>
  <si>
    <t>Existing PP&amp;E pool, ending</t>
  </si>
  <si>
    <t>New capex vintages: Space</t>
  </si>
  <si>
    <t>2026E vintage = Q4 2026E capex only (the nine months are in the 30 Sep 2026 pool).</t>
  </si>
  <si>
    <t>New capex vintages: Connectivity</t>
  </si>
  <si>
    <t>New capex vintages: SI (incl. leased GPUs)</t>
  </si>
  <si>
    <t>Depreciation of new capex: Space</t>
  </si>
  <si>
    <t>Each vintage: half a year in its first year, full years after, half a year at the end of its life (straight line).</t>
  </si>
  <si>
    <t>Depreciation of new capex: Connectivity</t>
  </si>
  <si>
    <t>Depreciation of new capex: SI</t>
  </si>
  <si>
    <t>Finance-lease assets (existing), beginning</t>
  </si>
  <si>
    <t>Amortization of finance-lease assets</t>
  </si>
  <si>
    <t>Finance-lease assets (existing), ending</t>
  </si>
  <si>
    <t>Intangible assets, beginning</t>
  </si>
  <si>
    <t>Amortization of intangibles</t>
  </si>
  <si>
    <t>Finite-lived only; the US$21m indefinite-lived stays.</t>
  </si>
  <si>
    <t>Intangible assets, ending</t>
  </si>
  <si>
    <t>Depreciation and amortization, total</t>
  </si>
  <si>
    <t>PP&amp;E, net, ending (including leased GPUs)</t>
  </si>
  <si>
    <t>B. Apollo GPU finance lease (8-K of 26 Oct 2026)</t>
  </si>
  <si>
    <t>Rent quarterly in advance = 1/20 of the financed cost + fixed-rate interest; terms 5 to 5.25 years; one tranche assumed.</t>
  </si>
  <si>
    <t>Leased GPUs delivered (PP&amp;E and lease liability added)</t>
  </si>
  <si>
    <t>Share of principal repaid by year end</t>
  </si>
  <si>
    <t>First rent at commencement (in advance): a Q2 start pays 3 quarters in 2027, then 4 a year.</t>
  </si>
  <si>
    <t>Principal repaid</t>
  </si>
  <si>
    <t>Lease liability, ending</t>
  </si>
  <si>
    <t>Lease interest</t>
  </si>
  <si>
    <t>Average balance x rate; in 2027 only for the quarters after commencement.</t>
  </si>
  <si>
    <t>C. Spectrum: EchoStar and 800 MHz</t>
  </si>
  <si>
    <t>EchoStar (424B4 pp. 123-124): about US$19.6bn = 261.8m Class A shares at US$42.40 + up to US$8.5bn cash; interest-only payments until closing.</t>
  </si>
  <si>
    <t>EchoStar: cash paid (credit-agreement payments and the closing payment)</t>
  </si>
  <si>
    <t>800 MHz spectrum from Grain Management: cash at closing (30 Jun 2027)</t>
  </si>
  <si>
    <t>Signed 8 Oct 2026 (8-K 20 Oct 2026); price from press reports (Assumptions). FCC approval pending. No separate revenue line: Starlink Mobile revenue sits inside the Connectivity drivers (subscribers, ARPU, Enterprise &amp; Government).</t>
  </si>
  <si>
    <t>Spectrum cash paid, total</t>
  </si>
  <si>
    <t>Class A shares issued at closing (value at the fixed US$42.40)</t>
  </si>
  <si>
    <t>Non-cash; the shares are already in the diluted count (Cap_Table).</t>
  </si>
  <si>
    <t>Spectrum licences, ending (EchoStar and 800 MHz)</t>
  </si>
  <si>
    <t>Indefinite-lived licences: not amortised. The US$856m paid to the EchoStar Trust by 30 Sep 2026 stays in other assets.</t>
  </si>
  <si>
    <t>D. Existing debt and finance leases (10-Q Q3 Note 9 maturities)</t>
  </si>
  <si>
    <t>Debt and finance leases, beginning (carrying)</t>
  </si>
  <si>
    <t>Scheduled repayments and finance-lease principal</t>
  </si>
  <si>
    <t>Maturities after 2030 (US$25.2bn, SpaceX Notes 2031-2056) are assumed refinanced. Finance-lease principal taken equal to the asset amortization.</t>
  </si>
  <si>
    <t>Debt and finance leases, ending (carrying)</t>
  </si>
  <si>
    <t>E. Interest</t>
  </si>
  <si>
    <t>Interest on existing debt (blended rate x beginning balance)</t>
  </si>
  <si>
    <t>Interest on the Apollo lease</t>
  </si>
  <si>
    <t>Interest on new borrowing (blended rate x beginning balance)</t>
  </si>
  <si>
    <t>Interest income (yield x beginning cash and securities)</t>
  </si>
  <si>
    <t>F. Loss carryforwards, credits and taxes (federal and state)</t>
  </si>
  <si>
    <t>Taxable income before loss carryforwards (income before taxes)</t>
  </si>
  <si>
    <t>Book income taken as taxable income; timing differences are not modelled. Stock compensation taken as deductible.</t>
  </si>
  <si>
    <t>Federal loss carryforwards, beginning</t>
  </si>
  <si>
    <t>Used</t>
  </si>
  <si>
    <t>Added</t>
  </si>
  <si>
    <t>Federal loss carryforwards, ending</t>
  </si>
  <si>
    <t>Federal tax before credits</t>
  </si>
  <si>
    <t>Federal tax credits, beginning</t>
  </si>
  <si>
    <t>Credits used</t>
  </si>
  <si>
    <t>Federal tax credits, ending</t>
  </si>
  <si>
    <t>State loss carryforwards, beginning</t>
  </si>
  <si>
    <t>State loss carryforwards, ending</t>
  </si>
  <si>
    <t>State tax before credits</t>
  </si>
  <si>
    <t>State tax credits, beginning</t>
  </si>
  <si>
    <t>State tax credits, ending</t>
  </si>
  <si>
    <t>Income tax (2027E onward; 2026E from the bridge)</t>
  </si>
  <si>
    <t>State loss carryforwards start to expire in 2027 (424B4); expiry is not modelled.</t>
  </si>
  <si>
    <t>Tax / income before taxes</t>
  </si>
  <si>
    <t>G. Working capital</t>
  </si>
  <si>
    <t>Accounts receivable: % of revenue</t>
  </si>
  <si>
    <t>2026E: 31 Dec 2026E balance / (Q4 2026E revenue x 4); held.</t>
  </si>
  <si>
    <t>Inventory: % of revenue</t>
  </si>
  <si>
    <t>Prepaid expenses and other current assets: % of revenue</t>
  </si>
  <si>
    <t>Accrued expenses and other current liabilities: % of revenue</t>
  </si>
  <si>
    <t>Deferred revenue: % of revenue</t>
  </si>
  <si>
    <t>2027E onward: Assumptions (active).</t>
  </si>
  <si>
    <t>Accounts payable: % of cash capex plus cash operating costs</t>
  </si>
  <si>
    <t>Net working capital</t>
  </si>
  <si>
    <t>Cash effect of working capital (negative = cash used)</t>
  </si>
  <si>
    <t>2026E: 9M 2026 cash flow as filed plus the Q4 change from 30 Sep to 31 Dec 2026E.</t>
  </si>
  <si>
    <t>H. Stock-based compensation (2026E column = Q4 2026E only)</t>
  </si>
  <si>
    <t>Existing awards: expense stated in the filings, straight line. Their shares are in the diluted count, so the unlevered flows add this expense back; only future grants are a cost there.</t>
  </si>
  <si>
    <t>Awards outstanding at 31 Dec 2025: unrecognised expense, beginning</t>
  </si>
  <si>
    <t>30 Sep 2026 balance estimated: US$4,842m less nine months of straight-line expense (the 10-Q does not restate it).</t>
  </si>
  <si>
    <t>Expense</t>
  </si>
  <si>
    <t>Ending</t>
  </si>
  <si>
    <t>Cursor and Mesh awards: unrecognised expense, beginning</t>
  </si>
  <si>
    <t>US$23,376m at the 14 Aug close less US$1,217m recognised in Q3 2026 (10-Q).</t>
  </si>
  <si>
    <t>Expense of existing awards (non-cash; shares already in the diluted count)</t>
  </si>
  <si>
    <t>Future grants: % of revenue x revenue</t>
  </si>
  <si>
    <t>Stock-based compensation in the income statement</t>
  </si>
  <si>
    <t>Musk performance awards: none (both conditions improbable; 424B4 p. F-89). Q4 2026E total compares with US$2,363m in Q3 2026.</t>
  </si>
  <si>
    <t>I. Unlevered free cash flow (2027E onward; Q4 2026E on Interim_Bridge)</t>
  </si>
  <si>
    <t>Stock compensation for future grants is a cost and is not added back. Capex is gross: leased GPUs count, so lease rent stays out of the flows and the lease is not deducted again as debt.</t>
  </si>
  <si>
    <t>Taxes paid, allocated to operating income; loss carryforwards and credits shelter the early years.</t>
  </si>
  <si>
    <t>Net operating profit after tax</t>
  </si>
  <si>
    <t>Capex, gross (cash and leased)</t>
  </si>
  <si>
    <t>Spectrum (EchoStar and 800 MHz), cash part</t>
  </si>
  <si>
    <t>Unlevered free cash flow</t>
  </si>
  <si>
    <t>% of revenue</t>
  </si>
  <si>
    <t>Checks (zero passes; each starts in the first forecast period)</t>
  </si>
  <si>
    <t>Taxable income equals income before taxes</t>
  </si>
  <si>
    <t>Taxes equal the income statement</t>
  </si>
  <si>
    <t>Working capital change equals the cash flow statement</t>
  </si>
  <si>
    <t>D&amp;A equals the income statement</t>
  </si>
  <si>
    <t>PP&amp;E equals the balance sheet</t>
  </si>
  <si>
    <t>Stock compensation equals the income statement</t>
  </si>
  <si>
    <t>Lease liability is never negative</t>
  </si>
  <si>
    <t>Space Exploration Technologies Corp. (SpaceX) | Income statement, balance sheet and cash flow, 2025A and 2026E-2035E</t>
  </si>
  <si>
    <t>2025A links to the filings; 2026E to Interim_Bridge; 2027E onward from Segments_Fcst and Schedules (active scenario). USD millions.</t>
  </si>
  <si>
    <t>Revenue: Space</t>
  </si>
  <si>
    <t>Revenue: Connectivity</t>
  </si>
  <si>
    <t>Revenue: SI</t>
  </si>
  <si>
    <t>Existing awards (filed amounts) plus future grants; Schedules section H.</t>
  </si>
  <si>
    <t>Net margin</t>
  </si>
  <si>
    <t>Balance sheet (31 December)</t>
  </si>
  <si>
    <t>Property, plant, and equipment, net (including leased GPUs)</t>
  </si>
  <si>
    <t>Finance lease right-of-use assets (existing)</t>
  </si>
  <si>
    <t>EchoStar spectrum</t>
  </si>
  <si>
    <t>Debt and finance leases, existing (carrying)</t>
  </si>
  <si>
    <t>Apollo GPU lease liability</t>
  </si>
  <si>
    <t>New borrowing (when cash falls below the floor)</t>
  </si>
  <si>
    <t>Converted into common stock in 2026 (10-Q).</t>
  </si>
  <si>
    <t>Adds net income, stock compensation (non-cash) and the EchoStar shares at closing. No dividends or buybacks.</t>
  </si>
  <si>
    <t>Total liabilities, preferred stock and equity</t>
  </si>
  <si>
    <t>Cash flow</t>
  </si>
  <si>
    <t>Other non-cash items</t>
  </si>
  <si>
    <t>Other investing</t>
  </si>
  <si>
    <t>Add back: marketable securities flows (inside the model's cash)</t>
  </si>
  <si>
    <t>Existing debt and finance leases, net</t>
  </si>
  <si>
    <t>Apollo lease principal</t>
  </si>
  <si>
    <t>Equity issued and repurchased</t>
  </si>
  <si>
    <t>Restricted cash, exchange rates and security marks (balancing item, actuals)</t>
  </si>
  <si>
    <t>Cash before new borrowing (memo)</t>
  </si>
  <si>
    <t>New borrowing drawn</t>
  </si>
  <si>
    <t>New borrowing repaid</t>
  </si>
  <si>
    <t>Free cash flow (operating cash flow less cash capex)</t>
  </si>
  <si>
    <t>Free cash flow after lease principal</t>
  </si>
  <si>
    <t>Cash roll-forward</t>
  </si>
  <si>
    <t>Cash never below the floor (2027E onward)</t>
  </si>
  <si>
    <t>2025A operating result equals the 424B4</t>
  </si>
  <si>
    <t>2025A net income equals the 424B4</t>
  </si>
  <si>
    <t>2025A operating cash flow equals the 424B4</t>
  </si>
  <si>
    <t>2025A total assets equal the 424B4</t>
  </si>
  <si>
    <t>2026E net income equals the bridge</t>
  </si>
  <si>
    <t>Space Exploration Technologies Corp. (SpaceX) | Liquidity, debt, obligations and credit metrics</t>
  </si>
  <si>
    <t>Latest period for every balance: 30 Sep 2026 (10-Q Q3). Commitments signed after that date are shown separately with their own date. USD millions.</t>
  </si>
  <si>
    <t>A. Liquidity</t>
  </si>
  <si>
    <t>Undrawn: SpaceX Credit Facility</t>
  </si>
  <si>
    <t>10-Q Q3 2026 p. 52</t>
  </si>
  <si>
    <t>Undrawn: xAI revolving line of credit</t>
  </si>
  <si>
    <t>Liquidity</t>
  </si>
  <si>
    <t>B. Debt and debt-like items (all in the EV bridge)</t>
  </si>
  <si>
    <t>SpaceX Notes (five tranches, 2031-2056), principal</t>
  </si>
  <si>
    <t>10-Q Q3 2026 p. 17; 10-Q Q3 2026 p. 18</t>
  </si>
  <si>
    <t>X 2027 and X 2030 Notes, principal</t>
  </si>
  <si>
    <t>10-Q Q3 2026 p. 17</t>
  </si>
  <si>
    <t>Other financings (mostly Valor AI hardware, failed sale-leasebacks), principal</t>
  </si>
  <si>
    <t>10-Q Q3 2026 p. 17; 10-Q Q3 2026 p. 21</t>
  </si>
  <si>
    <t>Total debt, principal</t>
  </si>
  <si>
    <t>Finance lease liability</t>
  </si>
  <si>
    <t>Debt and finance leases, principal</t>
  </si>
  <si>
    <t>Less: unamortised financing costs</t>
  </si>
  <si>
    <t>Debt and finance leases, carrying (balance sheet)</t>
  </si>
  <si>
    <t>Litigation accrual (debt-like)</t>
  </si>
  <si>
    <t>10-Q Q3 2026 p. 31</t>
  </si>
  <si>
    <t>Restructuring liabilities (debt-like)</t>
  </si>
  <si>
    <t>Debt and debt-like items for the EV bridge</t>
  </si>
  <si>
    <t>Operating lease liabilities (US$374m current) are left out: their cost stays in operating expenses, so deducting them would count them twice.</t>
  </si>
  <si>
    <t>Digital assets (non-operating, added in the EV bridge)</t>
  </si>
  <si>
    <t>Net debt (debt and debt-like - cash - securities - digital assets)</t>
  </si>
  <si>
    <t>Covenant: consolidated leverage ratio, maximum (x)</t>
  </si>
  <si>
    <t>10-Q Q3 Note 9 (SpaceX Credit Facility).</t>
  </si>
  <si>
    <t>C. Scheduled debt principal maturities at 30 Sep 2026</t>
  </si>
  <si>
    <t>2026 (remaining three months)</t>
  </si>
  <si>
    <t>10-Q Q3 2026 p. 21</t>
  </si>
  <si>
    <t>2027</t>
  </si>
  <si>
    <t>2028</t>
  </si>
  <si>
    <t>2029</t>
  </si>
  <si>
    <t>2030</t>
  </si>
  <si>
    <t>Thereafter</t>
  </si>
  <si>
    <t>Maturities add to total debt</t>
  </si>
  <si>
    <t>D. Non-cancelable purchase commitments at 30 Sep 2026 (SI infrastructure, cloud capacity, spectrum)</t>
  </si>
  <si>
    <t>10-Q Q3 2026 p. 29</t>
  </si>
  <si>
    <t>Commitments add to the 10-Q total (37,840)</t>
  </si>
  <si>
    <t>E. Signed after 30 September 2026 (not in the balances above)</t>
  </si>
  <si>
    <t>Apollo-managed lessor: GPU finance lease, aggregate principal (commitment of 24 Oct 2026)</t>
  </si>
  <si>
    <t>8-K 26 Oct 2026: closing expected before year end; schedules start in H1 2027; Base includes it, Bear does not (Assumptions).</t>
  </si>
  <si>
    <t>EchoStar spectrum: cash still due (2026 Q4, 2027 and the closing payment)</t>
  </si>
  <si>
    <t>424B4 pp. 123-124; closing about 30 Nov 2027.</t>
  </si>
  <si>
    <t>800 MHz spectrum from Grain Management, signed 8 Oct 2026: cash at closing (H1 2027)</t>
  </si>
  <si>
    <t>Price: The Wall Street Journal via SDxCentral, 9 Oct 2026; not confirmed by the companies. Terms: 8-K 20 Oct 2026. FCC approval pending.</t>
  </si>
  <si>
    <t>Cash and securities / (debt and commitments due by end-2027 + EchoStar and 800 MHz cash) (x)</t>
  </si>
  <si>
    <t>F. Credit metrics by year (active scenario)</t>
  </si>
  <si>
    <t>Adjusted EBITDA (segment)</t>
  </si>
  <si>
    <t>Debt and leases: existing, Apollo lease and new borrowing</t>
  </si>
  <si>
    <t>All finance leases and other financings count as debt.</t>
  </si>
  <si>
    <t>Net debt (negative = net cash)</t>
  </si>
  <si>
    <t>Debt / adjusted EBITDA (x)</t>
  </si>
  <si>
    <t>Net debt / adjusted EBITDA (x)</t>
  </si>
  <si>
    <t>Adjusted EBITDA / interest expense (x)</t>
  </si>
  <si>
    <t>Headroom to the 3.75x leverage covenant (x)</t>
  </si>
  <si>
    <t>Covenant definitions differ from this simple ratio; indicative only.</t>
  </si>
  <si>
    <t>Space Exploration Technologies Corp. (SpaceX) | Market package: price, diluted value, enterprise value, cost of capital</t>
  </si>
  <si>
    <t>Valuation date 27 Oct 2026; balance sheet date 30 Sep 2026. Peer data: evidence/peers_final_2026-10-27.json (SEC XBRL, LTM; market caps 27 Oct 2026; 2-year weekly betas). USD millions unless stated.</t>
  </si>
  <si>
    <t>A. Dates and price</t>
  </si>
  <si>
    <t>Valuation date</t>
  </si>
  <si>
    <t>Date of the market price.</t>
  </si>
  <si>
    <t>Balance sheet date</t>
  </si>
  <si>
    <t>Latest balance sheet: 10-Q Q3 2026.</t>
  </si>
  <si>
    <t>Years from the balance sheet date to the valuation date</t>
  </si>
  <si>
    <t>SPCX price (USD)</t>
  </si>
  <si>
    <t>Low since the IPO (USD)</t>
  </si>
  <si>
    <t>FMP profile range since the IPO, fetched 27 Oct 2026.</t>
  </si>
  <si>
    <t>High since the IPO (USD)</t>
  </si>
  <si>
    <t>Equity value at the market price</t>
  </si>
  <si>
    <t>B. Enterprise value at the market price (same bridge as the DCF, balances of 30 Sep 2026)</t>
  </si>
  <si>
    <t>Less: cash and marketable securities</t>
  </si>
  <si>
    <t>Less: digital assets</t>
  </si>
  <si>
    <t>Plus: debt, finance leases, litigation and restructuring liabilities</t>
  </si>
  <si>
    <t>Enterprise value at the market price</t>
  </si>
  <si>
    <t>Revenue, next twelve months from the valuation date</t>
  </si>
  <si>
    <t>Q4 2026E for the days left after 27 Oct + 2027E for the rest of the year to 27 Oct 2027; active scenario, same path as the forecast.</t>
  </si>
  <si>
    <t>EV / revenue, next twelve months (x)</t>
  </si>
  <si>
    <t>EV / revenue 2027E (x)</t>
  </si>
  <si>
    <t>EV / adjusted EBITDA 2027E (x)</t>
  </si>
  <si>
    <t>EV / adjusted EBITDA 2030E (x)</t>
  </si>
  <si>
    <t>Price / earnings 2030E (x)</t>
  </si>
  <si>
    <t>C. Peers (SEC XBRL fundamentals, last twelve months to each peer's latest quarter; market caps of 27 Oct 2026)</t>
  </si>
  <si>
    <t>Company</t>
  </si>
  <si>
    <t>Ticker</t>
  </si>
  <si>
    <t>Segment</t>
  </si>
  <si>
    <t>LTM to</t>
  </si>
  <si>
    <t>Revenue LTM</t>
  </si>
  <si>
    <t>EBITDA LTM</t>
  </si>
  <si>
    <t>Debt incl. leases</t>
  </si>
  <si>
    <t>Cash</t>
  </si>
  <si>
    <t>Market cap</t>
  </si>
  <si>
    <t>Enterprise value</t>
  </si>
  <si>
    <t>EV / revenue (x)</t>
  </si>
  <si>
    <t>EV / EBITDA (x)</t>
  </si>
  <si>
    <t>Beta, raw (2y weekly)</t>
  </si>
  <si>
    <t>Beta, unlevered</t>
  </si>
  <si>
    <t>In multiples</t>
  </si>
  <si>
    <t>Source</t>
  </si>
  <si>
    <t>CoreWeave, Inc.</t>
  </si>
  <si>
    <t>CRWV</t>
  </si>
  <si>
    <t>2026-06-30</t>
  </si>
  <si>
    <t>peers_final.json (evidence/): SEC XBRL company facts; LTM = fiscal year + YTD - prior YTD ; FMP profile, 27 Oct 2026 (saved by the SpaceX build)</t>
  </si>
  <si>
    <t>Oracle Corporation</t>
  </si>
  <si>
    <t>ORCL</t>
  </si>
  <si>
    <t>2026-08-31</t>
  </si>
  <si>
    <t>Microsoft Corporation</t>
  </si>
  <si>
    <t>MSFT</t>
  </si>
  <si>
    <t>peers_final.json (evidence/): SEC XBRL company facts; LTM = fiscal year + YTD - prior YTD ; FMP batch market cap, 27 Oct 2026</t>
  </si>
  <si>
    <t>Alphabet Inc.</t>
  </si>
  <si>
    <t>GOOGL</t>
  </si>
  <si>
    <t>T-MOBILE US, INC.</t>
  </si>
  <si>
    <t>TMUS</t>
  </si>
  <si>
    <t>peers_final.json (evidence/): SEC XBRL company facts; LTM = fiscal year + YTD - prior YTD ; Yahoo close 27 Oct 2026 US$146.83 x 1,072.7m shares (10-Q cover, 17 Jul 2026)</t>
  </si>
  <si>
    <t>Iridium Communications Inc.</t>
  </si>
  <si>
    <t>IRDM</t>
  </si>
  <si>
    <t>2026-09-30</t>
  </si>
  <si>
    <t>AST SPACEMOBILE, INC.</t>
  </si>
  <si>
    <t>ASTS</t>
  </si>
  <si>
    <t>2024-12-31</t>
  </si>
  <si>
    <t>n.m.</t>
  </si>
  <si>
    <t>Beta only (revenue too small for a multiple). peers_final.json (evidence/): SEC XBRL company facts; LTM = fiscal year + YTD - prior YTD ; FMP profile, 27 Oct 2026 (saved by the SpaceX build)</t>
  </si>
  <si>
    <t>Rocket Lab Corp</t>
  </si>
  <si>
    <t>RKLB</t>
  </si>
  <si>
    <t>Tax rate used to unlever and relever betas</t>
  </si>
  <si>
    <t>US federal 21%, as in the peer file (Hamada).</t>
  </si>
  <si>
    <t>D. Segment medians</t>
  </si>
  <si>
    <t>SI peers</t>
  </si>
  <si>
    <t>CRWV, ORCL, MSFT, GOOGL</t>
  </si>
  <si>
    <t>Connectivity peers</t>
  </si>
  <si>
    <t>Multiples: TMUS, IRDM; beta also ASTS (its revenue is too small for a multiple)</t>
  </si>
  <si>
    <t>Space peers</t>
  </si>
  <si>
    <t>One peer only (RKLB): treat its 42.4x revenue multiple with care; its EBITDA is negative</t>
  </si>
  <si>
    <t>E. Cost of capital</t>
  </si>
  <si>
    <t>Risk-free rate: 10-year US Treasury</t>
  </si>
  <si>
    <t>10-year US Treasury 4.99% on 27 Oct 2026 (FMP treasury-rates).</t>
  </si>
  <si>
    <t>Equity risk premium</t>
  </si>
  <si>
    <t>United States total equity risk premium 4.46% (FMP market-risk-premium, fetched 27 Oct 2026; the endpoint gives no date).</t>
  </si>
  <si>
    <t>Weight: SI share of segment revenue, last twelve months (Q4 2025-Q3 2026)</t>
  </si>
  <si>
    <t>Weight: Connectivity share of segment revenue, last twelve months (Q4 2025-Q3 2026)</t>
  </si>
  <si>
    <t>Weight: Space share of segment revenue, last twelve months (Q4 2025-Q3 2026)</t>
  </si>
  <si>
    <t>Unlevered beta, segment-weighted</t>
  </si>
  <si>
    <t>Segment medians of unlevered peer betas (2-year weekly against the S&amp;P 500, Hamada at 21%) weighted by SpaceX's own LTM segment revenue.</t>
  </si>
  <si>
    <t>SpaceX debt and leases / market capitalisation</t>
  </si>
  <si>
    <t>Debt and finance leases at 30 Sep 2026 / diluted market capitalisation at 27 Oct 2026.</t>
  </si>
  <si>
    <t>Relevered beta: unlevered x (1 + (1 - 21%) x D/E)</t>
  </si>
  <si>
    <t>Cost of equity (CAPM)</t>
  </si>
  <si>
    <t>Cost of debt, before tax</t>
  </si>
  <si>
    <t>SpaceX Notes weighted-average coupon 5.855% (10-Q Q3 Note 9). Coupon, not market yield: the notes' fair value is US$22,932m against US$24,855m carrying.</t>
  </si>
  <si>
    <t>Tax rate</t>
  </si>
  <si>
    <t>Debt weight: debt and finance leases / (debt + equity at market)</t>
  </si>
  <si>
    <t>Space Exploration Technologies Corp. (SpaceX) | Discounted cash flow: unlevered free cash flow, perpetuity and exit multiple</t>
  </si>
  <si>
    <t>Flows from 1 Oct 2026 at mid-period, discounted to 30 Sep 2026, then rolled to 27 Oct 2026. Active scenario. USD millions except per share.</t>
  </si>
  <si>
    <t>Add back: stock compensation of existing awards (shares in the diluted count)</t>
  </si>
  <si>
    <t>Capex, gross (cash and leased GPUs)</t>
  </si>
  <si>
    <t>Years from 30 Sep 2026 to the middle of the period</t>
  </si>
  <si>
    <t>Mid-period convention for every explicit flow.</t>
  </si>
  <si>
    <t>Discount factor</t>
  </si>
  <si>
    <t>Present value</t>
  </si>
  <si>
    <t>Value: perpetuity growth (main method)</t>
  </si>
  <si>
    <t>Terminal growth</t>
  </si>
  <si>
    <t>Return on new invested capital</t>
  </si>
  <si>
    <t>Sum of present values, Q4 2026E-2035E</t>
  </si>
  <si>
    <t>NOPAT 2036E: 2035E operating income x (1 - tax rate) x (1 + growth)</t>
  </si>
  <si>
    <t>Full tax rate: loss carryforwards are used up long before 2036.</t>
  </si>
  <si>
    <t>Reinvestment rate (growth / return on new capital)</t>
  </si>
  <si>
    <t>Terminal value at 31 Dec 2035 (Gordon, flows from 2036)</t>
  </si>
  <si>
    <t>Discount period of the terminal value (same mid-year convention: 2035 mid-point)</t>
  </si>
  <si>
    <t>Flows after 2035 also arrive mid-year, so the Gordon value (which assumes year-end flows) is lifted half a year: TV x (1+WACC)^0.5 / (1+WACC)^9.25 = TV / (1+WACC)^8.75.</t>
  </si>
  <si>
    <t>Present value of the terminal value</t>
  </si>
  <si>
    <t>Enterprise value at 30 Sep 2026</t>
  </si>
  <si>
    <t>Enterprise value at 27 Oct 2026 (rolled at the WACC)</t>
  </si>
  <si>
    <t>Plus: cash and securities at 30 Sep 2026, grown at their yield to 27 Oct</t>
  </si>
  <si>
    <t>Interest on cash is left out of the unlevered flows and enters only here, so it is not counted twice.</t>
  </si>
  <si>
    <t>Plus: digital assets (30 Sep 2026)</t>
  </si>
  <si>
    <t>Less: debt and finance leases, grown at the blended rate to 27 Oct</t>
  </si>
  <si>
    <t>Less: litigation and restructuring liabilities</t>
  </si>
  <si>
    <t>Equity value</t>
  </si>
  <si>
    <t>Value per share (USD)</t>
  </si>
  <si>
    <t>Value per share with the Musk performance shares counted the other way (switch on Cap_Table)</t>
  </si>
  <si>
    <t>Same equity value over the other share count: if the switch is 1 (counted), this line excludes them, and the reverse.</t>
  </si>
  <si>
    <t>Value against the price</t>
  </si>
  <si>
    <t>Terminal value share of enterprise value</t>
  </si>
  <si>
    <t>Implied EV / adjusted EBITDA 2035E at the terminal value (x)</t>
  </si>
  <si>
    <t>Value: exit multiple (cross-check)</t>
  </si>
  <si>
    <t>Exit EV / adjusted EBITDA 2035E (x)</t>
  </si>
  <si>
    <t>Terminal value at 31 Dec 2035</t>
  </si>
  <si>
    <t>Discount period: 31 Dec 2035 (a point value, end of year)</t>
  </si>
  <si>
    <t>Enterprise value at 27 Oct 2026</t>
  </si>
  <si>
    <t>Space Exploration Technologies Corp. (SpaceX) | Valuation: market against DCF, reverse DCF and football field</t>
  </si>
  <si>
    <t>Per-share values in USD on the diluted count. Comparables are trailing (last twelve months): no forward consensus is available.</t>
  </si>
  <si>
    <t>A. What the price implies (active scenario)</t>
  </si>
  <si>
    <t>Enterprise value at the price</t>
  </si>
  <si>
    <t>DCF value per share, active scenario</t>
  </si>
  <si>
    <t>DCF value per share, Musk performance shares counted the other way</t>
  </si>
  <si>
    <t>B. Sum of the parts at trailing peer multiples (SpaceX last twelve months Q4 2025-Q3 2026)</t>
  </si>
  <si>
    <t>Adj. EBITDA LTM</t>
  </si>
  <si>
    <t>EV on revenue</t>
  </si>
  <si>
    <t>EV on EBITDA</t>
  </si>
  <si>
    <t>Q4 2025 is derived (FY less 9M); medians on Market_Package</t>
  </si>
  <si>
    <t>Peer EBITDA and SpaceX Space EBITDA are negative: valued on revenue in both columns. One peer only (RKLB): flagged.</t>
  </si>
  <si>
    <t>Enterprise value, sum of the parts</t>
  </si>
  <si>
    <t>Plus cash, securities and digital assets; less debt, leases, litigation and restructuring (DCF bridge, 27 Oct 2026)</t>
  </si>
  <si>
    <t>Memo: Space share of the EV on revenue (the one-peer multiple)</t>
  </si>
  <si>
    <t>C. Reverse DCF: shift on SI revenue per GW (all years 2027E-2035E) against value per share (Base, captured)</t>
  </si>
  <si>
    <t>Shift on revenue per GW</t>
  </si>
  <si>
    <t>Shift</t>
  </si>
  <si>
    <t>Value per share</t>
  </si>
  <si>
    <t>Revenue 2035E</t>
  </si>
  <si>
    <t>SI revenue per GW 2035E</t>
  </si>
  <si>
    <t>Shift of -20%</t>
  </si>
  <si>
    <t>Shift of -10%</t>
  </si>
  <si>
    <t>Shift of +0%</t>
  </si>
  <si>
    <t>Shift of +10%</t>
  </si>
  <si>
    <t>Shift of +25%</t>
  </si>
  <si>
    <t>Shift of +50%</t>
  </si>
  <si>
    <t>Shift of +100%</t>
  </si>
  <si>
    <t>Shift of +150%</t>
  </si>
  <si>
    <t>Shift of +200%</t>
  </si>
  <si>
    <t>Shift of +300%</t>
  </si>
  <si>
    <t>Captured by the build</t>
  </si>
  <si>
    <t>MOG build 2026-10-27: Base scenario, GW-additions shift 0, revenue-per-GW shift as in column B</t>
  </si>
  <si>
    <t>Shift on revenue per GW the price needs (interpolated)</t>
  </si>
  <si>
    <t>Linear interpolation between the two grid points around the price; Base scenario; everything else unchanged (capex per GW, margins).</t>
  </si>
  <si>
    <t>Revenue 2035E at that shift (interpolated)</t>
  </si>
  <si>
    <t>D. Football field: value per share by method</t>
  </si>
  <si>
    <t>Method</t>
  </si>
  <si>
    <t>Low</t>
  </si>
  <si>
    <t>Mid</t>
  </si>
  <si>
    <t>High</t>
  </si>
  <si>
    <t>Low basis</t>
  </si>
  <si>
    <t>Mid basis</t>
  </si>
  <si>
    <t>High basis</t>
  </si>
  <si>
    <t>DCF, perpetuity growth</t>
  </si>
  <si>
    <t>Scenario_Summary (captured by the build)</t>
  </si>
  <si>
    <t>DCF, exit multiple</t>
  </si>
  <si>
    <t>Sum of the parts, trailing peer multiples</t>
  </si>
  <si>
    <t>Lower basis</t>
  </si>
  <si>
    <t>Average</t>
  </si>
  <si>
    <t>Higher basis</t>
  </si>
  <si>
    <t>Section B; same for every scenario (trailing)</t>
  </si>
  <si>
    <t>Market price since the IPO</t>
  </si>
  <si>
    <t>27 Oct 2026</t>
  </si>
  <si>
    <t>FMP; Yahoo Finance</t>
  </si>
  <si>
    <t>E. Probability-weighted DCF value (weights are a convention)</t>
  </si>
  <si>
    <t>Weight: Bear</t>
  </si>
  <si>
    <t>Weight: Base</t>
  </si>
  <si>
    <t>Weight: Bull</t>
  </si>
  <si>
    <t>Weighted value per share</t>
  </si>
  <si>
    <t>Weights add to 100%</t>
  </si>
  <si>
    <t>Space Exploration Technologies Corp. (SpaceX) | Sensitivity of value per share (USD)</t>
  </si>
  <si>
    <t>Table 1 is live (formulas, active scenario). Table 2 is captured by re-running the model in the build (Base scenario).</t>
  </si>
  <si>
    <t>Table 1. WACC (rows) against terminal growth (columns); perpetuity method, live</t>
  </si>
  <si>
    <t>WACC \ terminal growth</t>
  </si>
  <si>
    <t>Centre cell equals the DCF value per share</t>
  </si>
  <si>
    <t>Table 2. Shift on GW additions (rows) against shift on revenue per GW (columns), all years 2027E-2035E; Base, captured</t>
  </si>
  <si>
    <t>GW additions shift \ revenue per GW shift</t>
  </si>
  <si>
    <t>MOG build 2026-10-27: Base scenario, all other inputs as saved</t>
  </si>
  <si>
    <t>Table 2 centre equals the Base DCF value (captured)</t>
  </si>
  <si>
    <t>Table 3. Apollo lease rate, one way (Base, captured)</t>
  </si>
  <si>
    <t>Lease rate</t>
  </si>
  <si>
    <t>Lease interest 2027E-2032E</t>
  </si>
  <si>
    <t>Net income 2028E</t>
  </si>
  <si>
    <t>The DCF value does not move: the lease is financing, so its interest and principal stay out of the unlevered flows and the GPUs are already charged as capex. The rate moves interest expense and net income (columns C and D). Equity holders bear it only through the cost of debt in the WACC, which uses the notes' 5.855%.</t>
  </si>
  <si>
    <t>MOG build 2026-10-27: Base scenario, lease rate 5.5%, 6.5%, 7.5%, all other inputs as saved</t>
  </si>
  <si>
    <t>Table 3 at 6.5% equals the Base DCF value (captured)</t>
  </si>
  <si>
    <t>Space Exploration Technologies Corp. (SpaceX) | Scenario summary: Base, Bull and Bear</t>
  </si>
  <si>
    <t>Column C is live (active scenario). Columns D to F were captured by the build, running the switch 1, 2, 3 with the sensitivity shifts at zero.</t>
  </si>
  <si>
    <t>Output</t>
  </si>
  <si>
    <t>Live</t>
  </si>
  <si>
    <t>Revenue 2026E</t>
  </si>
  <si>
    <t>Revenue 2027E</t>
  </si>
  <si>
    <t>Revenue 2030E</t>
  </si>
  <si>
    <t>SI revenue 2035E</t>
  </si>
  <si>
    <t>Connectivity revenue 2035E</t>
  </si>
  <si>
    <t>Adjusted EBITDA margin 2027E</t>
  </si>
  <si>
    <t>Adjusted EBITDA margin 2030E</t>
  </si>
  <si>
    <t>Adjusted EBITDA margin 2035E</t>
  </si>
  <si>
    <t>Operating margin 2035E</t>
  </si>
  <si>
    <t>Net income 2030E</t>
  </si>
  <si>
    <t>Gross capex 2027E</t>
  </si>
  <si>
    <t>Unlevered free cash flow, 2027E-2030E total</t>
  </si>
  <si>
    <t>Unlevered free cash flow 2035E</t>
  </si>
  <si>
    <t>Cash and securities 2030E</t>
  </si>
  <si>
    <t>New borrowing outstanding 2030E</t>
  </si>
  <si>
    <t>Enterprise value, perpetuity method</t>
  </si>
  <si>
    <t>DCF value per share, exit multiple (USD)</t>
  </si>
  <si>
    <t>Perpetuity value against the price</t>
  </si>
  <si>
    <t>MOG build 2026-10-27: switch 1, 2, 3 with sensitivity shifts at 0</t>
  </si>
  <si>
    <t>With the switch on Base, live equals the captured Base</t>
  </si>
  <si>
    <t>Order Bear &lt;= Base &lt;= Bull: revenue 2030E</t>
  </si>
  <si>
    <t>Positive = the order breaks; no reason is written for a break, so none is allowed.</t>
  </si>
  <si>
    <t>Order Bear &lt;= Base &lt;= Bull: revenue 2035E</t>
  </si>
  <si>
    <t>Order Bear &lt;= Base &lt;= Bull: adjusted EBITDA margin 2030E</t>
  </si>
  <si>
    <t>Order Bear &lt;= Base &lt;= Bull: adjusted EBITDA margin 2035E</t>
  </si>
  <si>
    <t>Order Bear &lt;= Base &lt;= Bull: DCF value per share, perpetuity</t>
  </si>
  <si>
    <t>Order Bear &lt;= Base &lt;= Bull: DCF value per share, exit multiple</t>
  </si>
  <si>
    <t>Space Exploration Technologies Corp. (SpaceX) | Limitations of this model</t>
  </si>
  <si>
    <t>Read before using any number.</t>
  </si>
  <si>
    <t>#</t>
  </si>
  <si>
    <t>Limitation</t>
  </si>
  <si>
    <t>Effect</t>
  </si>
  <si>
    <t>Two unnamed customers paid half of Q3 2026 revenue: Customer B 34.5% (all in SI) and Customer A 16.6% (all segments). The filings do not name them. Compute contracts typically run three years and either side may end them on 90 days' notice (10-Q).</t>
  </si>
  <si>
    <t>SI revenue can fall faster than any scenario here.</t>
  </si>
  <si>
    <t>Left out: a combination with Tesla, Inc. A special committee of the board is evaluating it (10-Q Q3), with no terms and no exchange ratio. The model includes signed deals (Apollo commitment, EchoStar, 800 MHz), not studies.</t>
  </si>
  <si>
    <t>A merger would change the share count, the business mix and control.</t>
  </si>
  <si>
    <t>Q4 2025 is derived: full year 2025 less nine months 2025. Q4 2025 ARPU cannot be derived. 2025 segment quarters differ from the nine-month totals by up to US$3m (separate rounding in the filings; checked with a tolerance of 5).</t>
  </si>
  <si>
    <t>Small; affects the quarterly view only.</t>
  </si>
  <si>
    <t>Comparables are trailing (last twelve months to each peer's latest quarter; SEC XBRL). No forward consensus is available. Space rests on one peer (Rocket Lab, 42.4x revenue, negative EBITDA), and it drives most of the sum of the parts on revenue.</t>
  </si>
  <si>
    <t>Treat the sum of the parts as a range, not a point.</t>
  </si>
  <si>
    <t>Beta: segment medians of 2-year weekly peer betas against the S&amp;P 500, unlevered at 21% and relevered at SpaceX's debt / market cap, weighted by LTM segment revenue. SPCX itself has traded only since June 2026. The equity risk premium endpoint (FMP) gives no date.</t>
  </si>
  <si>
    <t>See Sensitivity Table 1 for the WACC range.</t>
  </si>
  <si>
    <t>Apollo GPU lease: a binding commitment of 24 Oct 2026 subject to closing; the fixed rate is set at pricing (8-K). Modelled as the 8-K's finance lease, US$40bn, Q2 2027 start, 6.5% (derivation on Assumptions). The FT reported the package as about US$10bn of bank loans plus US$30bn of investment-grade debt; that structure is not modelled. Bear assumes it does not close.</t>
  </si>
  <si>
    <t>The lease rate moves net income, not the DCF value (Sensitivity Table 3).</t>
  </si>
  <si>
    <t>800 MHz spectrum: price US$8,000m from The Wall Street Journal via SDxCentral (9 Oct 2026), not confirmed by the companies; closing modelled 30 Jun 2027, pending FCC approval; no separate revenue line (Starlink Mobile is inside the Connectivity drivers).</t>
  </si>
  <si>
    <t>If the FCC blocks it, the cash stays and the mobile upside in the drivers is too high.</t>
  </si>
  <si>
    <t>Stock compensation: existing awards are expensed from the filed amounts (US$4,842m at 31 Dec 2025 over 3.2 years; Cursor and Mesh US$23,376m at the close over 2.8 years; straight line) and added back in the unlevered flows because their shares are in the diluted count. The 30 Sep 2026 balance of the pre-2026 awards is not restated in the 10-Q, so it is estimated. Future grants cost 3.5% of revenue.</t>
  </si>
  <si>
    <t>GAAP income in 2026-2029 carries about US$8-10bn a year of this expense.</t>
  </si>
  <si>
    <t>Mr. Musk's 1,302m performance-based restricted Class B shares are counted in the diluted shares by default (issued, outstanding, voted); the DCF shows the value without them too. No expense is charged: the company deems both conditions improbable (424B4 p. F-89); if they became probable, the grant-date fair value (about US$90-96 a share) would be expensed.</t>
  </si>
  <si>
    <t>The switch on Cap_Table moves value per share by about 9%.</t>
  </si>
  <si>
    <t>SI economics are inputs: GW path, revenue per GW, capex per GW, margins. The filings give one quarter of large compute revenue (Q3 2026). Revenue per GW includes capacity used for Grok training.</t>
  </si>
  <si>
    <t>The value is most sensitive to these; see Sensitivity Table 2 and the reverse DCF.</t>
  </si>
  <si>
    <t>Depreciation: the 30 Sep 2026 PP&amp;E is depreciated over a life derived from Q3 2026 depreciation; it includes construction in progress. New capex by vintage with lives that are conventions (Space 10, Connectivity 5, SI 7 years).</t>
  </si>
  <si>
    <t>Shorter lives lower operating income, not cash flow.</t>
  </si>
  <si>
    <t>Taxes: federal and state loss carryforwards (US$9,728m and US$5,234m) and credits (US$3,586m and US$2,104m) at 31 Dec 2025, used with an 80% income limit and a 75% credit limit (conventions). Expiry of state losses from 2027, timing differences and the valuation allowance are not modelled.</t>
  </si>
  <si>
    <t>Small effect on value.</t>
  </si>
  <si>
    <t>Existing debt maturing after 2030 (US$25.2bn) is assumed refinanced; finance-lease principal is taken equal to the asset amortization; other liabilities, goodwill and other assets are held flat.</t>
  </si>
  <si>
    <t>Market data: SPCX close US$148.58 on 27 Oct 2026 (Yahoo Finance daily chart data and the FMP profile, both fetched 27 Oct 2026); Treasury rates and the equity risk premium from FMP; peer market caps from the peer file.</t>
  </si>
  <si>
    <t>Values move with markets.</t>
  </si>
  <si>
    <t>Space Exploration Technologies Corp. (SpaceX) | Checks</t>
  </si>
  <si>
    <t>Every check on every sheet, linked here. Column C shows the largest absolute difference in the check row; zero passes. The master passes below 0.5.</t>
  </si>
  <si>
    <t>Master check (all checks below)</t>
  </si>
  <si>
    <t>Check</t>
  </si>
  <si>
    <t>Value (0 = pass)</t>
  </si>
  <si>
    <t>Range</t>
  </si>
  <si>
    <t>B31:F31</t>
  </si>
  <si>
    <t>B32:F32</t>
  </si>
  <si>
    <t>B33:F33</t>
  </si>
  <si>
    <t>B34:F34</t>
  </si>
  <si>
    <t>B35:F35</t>
  </si>
  <si>
    <t>B36:F36</t>
  </si>
  <si>
    <t>B13:F13</t>
  </si>
  <si>
    <t>B14:F14</t>
  </si>
  <si>
    <t>B15:F15</t>
  </si>
  <si>
    <t>B57:D57</t>
  </si>
  <si>
    <t>B58:D58</t>
  </si>
  <si>
    <t>B59:D59</t>
  </si>
  <si>
    <t>B60:D60</t>
  </si>
  <si>
    <t>B61:D61</t>
  </si>
  <si>
    <t>B62:D62</t>
  </si>
  <si>
    <t>B63:D63</t>
  </si>
  <si>
    <t>C64:C64</t>
  </si>
  <si>
    <t>B68:F68</t>
  </si>
  <si>
    <t>B69:F69</t>
  </si>
  <si>
    <t>B70:F70</t>
  </si>
  <si>
    <t>B71:F71</t>
  </si>
  <si>
    <t>B72:F72</t>
  </si>
  <si>
    <t>B73:F73</t>
  </si>
  <si>
    <t>C74:F74</t>
  </si>
  <si>
    <t>C75:F75</t>
  </si>
  <si>
    <t>B15:I15</t>
  </si>
  <si>
    <t>B25:I25</t>
  </si>
  <si>
    <t>B35:I35</t>
  </si>
  <si>
    <t>B48:I48</t>
  </si>
  <si>
    <t>B64:I64</t>
  </si>
  <si>
    <t>I67:I67</t>
  </si>
  <si>
    <t>I68:I68</t>
  </si>
  <si>
    <t>I69:I69</t>
  </si>
  <si>
    <t>I70:I70</t>
  </si>
  <si>
    <t>I71:I71</t>
  </si>
  <si>
    <t>I72:I72</t>
  </si>
  <si>
    <t>I73:I73</t>
  </si>
  <si>
    <t>I74:I74</t>
  </si>
  <si>
    <t>I75:I75</t>
  </si>
  <si>
    <t>I76:I76</t>
  </si>
  <si>
    <t>I77:I77</t>
  </si>
  <si>
    <t>B29:H29</t>
  </si>
  <si>
    <t>B30:H30</t>
  </si>
  <si>
    <t>B31:H31</t>
  </si>
  <si>
    <t>B76:F76</t>
  </si>
  <si>
    <t>B77:F77</t>
  </si>
  <si>
    <t>B78:F78</t>
  </si>
  <si>
    <t>B79:F79</t>
  </si>
  <si>
    <t>B80:F80</t>
  </si>
  <si>
    <t>B81:F81</t>
  </si>
  <si>
    <t>B82:F82</t>
  </si>
  <si>
    <t>B83:F83</t>
  </si>
  <si>
    <t>B84:F84</t>
  </si>
  <si>
    <t>B149:H149</t>
  </si>
  <si>
    <t>B150:H150</t>
  </si>
  <si>
    <t>F151:F151</t>
  </si>
  <si>
    <t>B152:B152</t>
  </si>
  <si>
    <t>F153:F153</t>
  </si>
  <si>
    <t>B154:B154</t>
  </si>
  <si>
    <t>F155:F155</t>
  </si>
  <si>
    <t>B156:B156</t>
  </si>
  <si>
    <t>F157:F157</t>
  </si>
  <si>
    <t>B158:B158</t>
  </si>
  <si>
    <t>F159:F159</t>
  </si>
  <si>
    <t>B160:B160</t>
  </si>
  <si>
    <t>F161:F161</t>
  </si>
  <si>
    <t>B162:B162</t>
  </si>
  <si>
    <t>F163:F163</t>
  </si>
  <si>
    <t>B164:B164</t>
  </si>
  <si>
    <t>F165:F165</t>
  </si>
  <si>
    <t>B166:B166</t>
  </si>
  <si>
    <t>F167:F167</t>
  </si>
  <si>
    <t>B168:B168</t>
  </si>
  <si>
    <t>B67:B67</t>
  </si>
  <si>
    <t>B112:D112</t>
  </si>
  <si>
    <t>B113:B113</t>
  </si>
  <si>
    <t>B114:G114</t>
  </si>
  <si>
    <t>B115:G115</t>
  </si>
  <si>
    <t>B116:G116</t>
  </si>
  <si>
    <t>B117:B117</t>
  </si>
  <si>
    <t>B118:E118</t>
  </si>
  <si>
    <t>C119:C119</t>
  </si>
  <si>
    <t>B55:B55</t>
  </si>
  <si>
    <t>C56:C56</t>
  </si>
  <si>
    <t>C57:L57</t>
  </si>
  <si>
    <t>C113:L113</t>
  </si>
  <si>
    <t>C114:L114</t>
  </si>
  <si>
    <t>C115:L115</t>
  </si>
  <si>
    <t>C116:L116</t>
  </si>
  <si>
    <t>C117:L117</t>
  </si>
  <si>
    <t>C118:L118</t>
  </si>
  <si>
    <t>D119:L119</t>
  </si>
  <si>
    <t>B73:L73</t>
  </si>
  <si>
    <t>C74:L74</t>
  </si>
  <si>
    <t>D75:L75</t>
  </si>
  <si>
    <t>B76:B76</t>
  </si>
  <si>
    <t>B77:B77</t>
  </si>
  <si>
    <t>B78:B78</t>
  </si>
  <si>
    <t>B79:B79</t>
  </si>
  <si>
    <t>C80:C80</t>
  </si>
  <si>
    <t>B37:B37</t>
  </si>
  <si>
    <t>B47:B47</t>
  </si>
  <si>
    <t>C51:C51</t>
  </si>
  <si>
    <t>D11:D11</t>
  </si>
  <si>
    <t>D21:D21</t>
  </si>
  <si>
    <t>B29:B29</t>
  </si>
  <si>
    <t>C29:C29</t>
  </si>
  <si>
    <t>D30:D30</t>
  </si>
  <si>
    <t>D31:D31</t>
  </si>
  <si>
    <t>D32:D32</t>
  </si>
  <si>
    <t>D33:D33</t>
  </si>
  <si>
    <t>D34:D34</t>
  </si>
  <si>
    <t>D35:D35</t>
  </si>
  <si>
    <t>Space Exploration Technologies Corp. (SpaceX) | Format rules (OpenFinmods palette)</t>
  </si>
  <si>
    <t>Colours from the OpenFinmods public palette, as in anthropic.xlsx and meta.xlsx. The number colour code does not change: blue typed, black formula, green link to another sheet.</t>
  </si>
  <si>
    <t>Role</t>
  </si>
  <si>
    <t>Applies to</t>
  </si>
  <si>
    <t>Hex</t>
  </si>
  <si>
    <t>Pigment</t>
  </si>
  <si>
    <t>Note</t>
  </si>
  <si>
    <t>Swatch</t>
  </si>
  <si>
    <t>Sheet title</t>
  </si>
  <si>
    <t>Row 1 title of every sheet (Arial 10 bold)</t>
  </si>
  <si>
    <t>#5A2331</t>
  </si>
  <si>
    <t>Borgona</t>
  </si>
  <si>
    <t>Text colour only.</t>
  </si>
  <si>
    <t>Year band, label and actual years</t>
  </si>
  <si>
    <t>Header row over the label column and the actual years</t>
  </si>
  <si>
    <t>#F6F3EC</t>
  </si>
  <si>
    <t>Crema</t>
  </si>
  <si>
    <t>Year band, forecast years</t>
  </si>
  <si>
    <t>Header row over the forecast years</t>
  </si>
  <si>
    <t>#EAE2DD</t>
  </si>
  <si>
    <t>Borgona 8% on crema</t>
  </si>
  <si>
    <t>Notes columns header</t>
  </si>
  <si>
    <t>Header of column M (Comentarios FG) and the source columns</t>
  </si>
  <si>
    <t>#D3D2CF</t>
  </si>
  <si>
    <t>Navy 15% on crema</t>
  </si>
  <si>
    <t>Input and scenario rows</t>
  </si>
  <si>
    <t>Fill of input cells (Assumptions, switches, weights)</t>
  </si>
  <si>
    <t>#EBDDC8</t>
  </si>
  <si>
    <t>Ocre 20% on crema</t>
  </si>
  <si>
    <t>Blue on it: 5.41:1.</t>
  </si>
  <si>
    <t>Tab, cover and checks</t>
  </si>
  <si>
    <t>00_Cover, Checks, FormatRules</t>
  </si>
  <si>
    <t>#0E1A2B</t>
  </si>
  <si>
    <t>Navy</t>
  </si>
  <si>
    <t>Tab, source sheets</t>
  </si>
  <si>
    <t>Filed statements, segments, Cap_Table, Limitations</t>
  </si>
  <si>
    <t>#6A7689</t>
  </si>
  <si>
    <t>Gris</t>
  </si>
  <si>
    <t>Tab, model sheets</t>
  </si>
  <si>
    <t>Assumptions to Debt_Credit</t>
  </si>
  <si>
    <t>Tab, output sheets</t>
  </si>
  <si>
    <t>Market_Package, DCF, Valuation, Sensitivity, Scenario_Summary</t>
  </si>
  <si>
    <t>#C0873A</t>
  </si>
  <si>
    <t>Ocre</t>
  </si>
  <si>
    <t>Typed number (code, unchanged)</t>
  </si>
  <si>
    <t>Hard-coded inputs and filed numbers</t>
  </si>
  <si>
    <t>#0432FF</t>
  </si>
  <si>
    <t>Standard financial-model number colours</t>
  </si>
  <si>
    <t>Blue = typed.</t>
  </si>
  <si>
    <t>Formula and text (code, unchanged)</t>
  </si>
  <si>
    <t>Formulas and labels</t>
  </si>
  <si>
    <t>#000000</t>
  </si>
  <si>
    <t>Black = formula.</t>
  </si>
  <si>
    <t>Link to another sheet (code, unchanged)</t>
  </si>
  <si>
    <t>References to other sheets</t>
  </si>
  <si>
    <t>#00703C</t>
  </si>
  <si>
    <t>Green = link.</t>
  </si>
  <si>
    <t>Check (code, unchanged)</t>
  </si>
  <si>
    <t>Check rows, through the number format [Red]</t>
  </si>
  <si>
    <t>#FF0000</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</si>
  <si>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</si>
  <si>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</si>
  <si>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</si>
  <si>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</si>
  <si>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</si>
  <si>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</si>
  <si>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</si>
  <si>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</si>
  <si>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00_Cover: 1 cell written, at B57; FormatRules: 6 cells written, at A1, A2, D14, D15, D16, D17.
Other actions: clear x1.
Agent: OpenFinmods export</t>
  </si>
  <si>
    <t>Compare against source and review public copy</t>
  </si>
</sst>
</file>

<file path=xl/styles.xml><?xml version="1.0" encoding="utf-8"?>
<styleSheet xmlns="http://schemas.openxmlformats.org/spreadsheetml/2006/main">
  <numFmts count="12">
    <numFmt numFmtId="164" formatCode="#,##0.00;(#,##0.00);&quot;-&quot;"/>
    <numFmt numFmtId="165" formatCode="#,##0.0;(#,##0.0);&quot;-&quot;"/>
    <numFmt numFmtId="166" formatCode="#,##0;(#,##0);&quot;-&quot;"/>
    <numFmt numFmtId="167" formatCode="0.0%;(0.0%);&quot;-&quot;"/>
    <numFmt numFmtId="168" formatCode="0.0&quot;x&quot;;(0.0&quot;x&quot;);&quot;n.a.&quot;"/>
    <numFmt numFmtId="169" formatCode="[Red]#,##0.00;[Red](#,##0.00);&quot;-&quot;"/>
    <numFmt numFmtId="170" formatCode="#,##0.0000;(#,##0.0000);&quot;-&quot;"/>
    <numFmt numFmtId="171" formatCode="#,##0.000;(#,##0.000);&quot;-&quot;"/>
    <numFmt numFmtId="172" formatCode="0"/>
    <numFmt numFmtId="173" formatCode="General"/>
    <numFmt numFmtId="174" formatCode="d mmm yyyy"/>
    <numFmt numFmtId="175" formatCode="yyyy\-mm\-dd hh:mm"/>
  </numFmts>
  <fonts count="14">
    <font>
      <sz val="11"/>
      <color theme="1"/>
      <name val="Calibri"/>
      <family val="2"/>
      <scheme val="minor"/>
    </font>
    <font>
      <b val="0"/>
      <i val="0"/>
      <strike val="0"/>
      <sz val="10"/>
      <color rgb="FF000000"/>
      <name val="Arial"/>
    </font>
    <font>
      <b val="0"/>
      <i val="0"/>
      <strike val="0"/>
      <sz val="10"/>
      <color rgb="FF0432FF"/>
      <name val="Arial"/>
    </font>
    <font>
      <b/>
      <i val="0"/>
      <strike val="0"/>
      <sz val="10"/>
      <color rgb="FF000000"/>
      <name val="Arial"/>
    </font>
    <font>
      <b val="0"/>
      <i val="0"/>
      <strike val="0"/>
      <sz val="10"/>
      <color rgb="FF00703C"/>
      <name val="Arial"/>
    </font>
    <font>
      <b val="0"/>
      <i/>
      <strike val="0"/>
      <sz val="10"/>
      <color rgb="FF000000"/>
      <name val="Arial"/>
    </font>
    <font>
      <b val="0"/>
      <i/>
      <strike val="0"/>
      <sz val="10"/>
      <color rgb="FF0432FF"/>
      <name val="Arial"/>
    </font>
    <font>
      <b val="0"/>
      <i/>
      <strike val="0"/>
      <sz val="10"/>
      <color rgb="FF00703C"/>
      <name val="Arial"/>
    </font>
    <font>
      <b/>
      <i/>
      <strike val="0"/>
      <sz val="10"/>
      <color rgb="FF000000"/>
      <name val="Arial"/>
    </font>
    <font>
      <b/>
      <i val="0"/>
      <strike val="0"/>
      <sz val="10"/>
      <color rgb="FF0432FF"/>
      <name val="Arial"/>
    </font>
    <font>
      <b/>
      <i/>
      <strike val="0"/>
      <sz val="10"/>
      <color rgb="FF0432FF"/>
      <name val="Arial"/>
    </font>
    <font>
      <b/>
      <i val="0"/>
      <strike val="0"/>
      <sz val="10"/>
      <color rgb="FF00703C"/>
      <name val="Arial"/>
    </font>
    <font>
      <b/>
      <i val="0"/>
      <strike val="0"/>
      <sz val="10"/>
      <color rgb="FF5A2331"/>
      <name val="Arial"/>
    </font>
    <font>
      <b val="0"/>
      <i val="0"/>
      <strike val="0"/>
      <sz val="10"/>
      <color rgb="FF000000"/>
      <name val="Arial"/>
      <family val="2"/>
      <scheme val="minor"/>
    </font>
  </fonts>
  <fills count="15">
    <fill>
      <patternFill patternType="none"/>
    </fill>
    <fill>
      <patternFill patternType="gray125"/>
    </fill>
    <fill>
      <patternFill patternType="none"/>
    </fill>
    <fill>
      <patternFill patternType="solid">
        <fgColor rgb="FFEBDDC8"/>
      </patternFill>
    </fill>
    <fill>
      <patternFill patternType="solid">
        <fgColor rgb="FFF6F3EC"/>
      </patternFill>
    </fill>
    <fill>
      <patternFill patternType="solid">
        <fgColor rgb="FFEAE2DD"/>
      </patternFill>
    </fill>
    <fill>
      <patternFill patternType="solid">
        <fgColor rgb="FFD3D2CF"/>
      </patternFill>
    </fill>
    <fill>
      <patternFill patternType="solid">
        <fgColor rgb="FF6A7689"/>
      </patternFill>
    </fill>
    <fill>
      <patternFill patternType="solid">
        <fgColor rgb="FFFF0000"/>
      </patternFill>
    </fill>
    <fill>
      <patternFill patternType="solid">
        <fgColor rgb="FF0E1A2B"/>
      </patternFill>
    </fill>
    <fill>
      <patternFill patternType="solid">
        <fgColor rgb="FF00703C"/>
      </patternFill>
    </fill>
    <fill>
      <patternFill patternType="solid">
        <fgColor rgb="FF000000"/>
      </patternFill>
    </fill>
    <fill>
      <patternFill patternType="solid">
        <fgColor rgb="FF0432FF"/>
      </patternFill>
    </fill>
    <fill>
      <patternFill patternType="solid">
        <fgColor rgb="FFC0873A"/>
      </patternFill>
    </fill>
    <fill>
      <patternFill patternType="solid">
        <fgColor rgb="FF5A2331"/>
      </patternFill>
    </fill>
  </fills>
  <borders count="6">
    <border/>
    <border>
      <top style="thin"/>
    </border>
    <border>
      <left style="thin"/>
    </border>
    <border>
      <top style="thin"/>
      <bottom style="double"/>
    </border>
    <border>
      <left style="thin"/>
      <top style="thin"/>
    </border>
    <border>
      <left style="thin"/>
      <top style="thin"/>
      <bottom style="double"/>
    </border>
  </borders>
  <cellStyleXfs count="1">
    <xf numFmtId="0" fontId="0" fillId="0" borderId="0"/>
  </cellStyleXfs>
  <cellXfs count="117">
    <xf numFmtId="0" fontId="0" fillId="0" borderId="0" xfId="0"/>
    <xf numFmtId="0" fontId="1" fillId="2" borderId="0" xfId="0" applyFont="1" applyFill="1" applyProtection="1">
      <protection locked="1" hidden="0"/>
    </xf>
    <xf numFmtId="164" fontId="2" fillId="2" borderId="0" xfId="0" applyNumberFormat="1" applyFont="1" applyFill="1" applyProtection="1">
      <protection locked="1" hidden="0"/>
    </xf>
    <xf numFmtId="165" fontId="2" fillId="3" borderId="0" xfId="0" applyNumberFormat="1" applyFont="1" applyFill="1" applyProtection="1">
      <protection locked="1" hidden="0"/>
    </xf>
    <xf numFmtId="0" fontId="3" fillId="4" borderId="0" xfId="0" applyFont="1" applyFill="1" applyProtection="1">
      <protection locked="1" hidden="0"/>
    </xf>
    <xf numFmtId="166" fontId="2" fillId="2" borderId="0" xfId="0" applyNumberFormat="1" applyFont="1" applyFill="1" applyProtection="1">
      <protection locked="1" hidden="0"/>
    </xf>
    <xf numFmtId="0" fontId="1" fillId="2" borderId="0" xfId="0" applyFont="1" applyFill="1" applyAlignment="1" applyProtection="1">
      <alignment indent="2"/>
      <protection locked="1" hidden="0"/>
    </xf>
    <xf numFmtId="164" fontId="1" fillId="2" borderId="0" xfId="0" applyNumberFormat="1" applyFont="1" applyFill="1" applyProtection="1">
      <protection locked="1" hidden="0"/>
    </xf>
    <xf numFmtId="166" fontId="1" fillId="2" borderId="0" xfId="0" applyNumberFormat="1" applyFont="1" applyFill="1" applyProtection="1">
      <protection locked="1" hidden="0"/>
    </xf>
    <xf numFmtId="166" fontId="4" fillId="2" borderId="0" xfId="0" applyNumberFormat="1" applyFont="1" applyFill="1" applyProtection="1">
      <protection locked="1" hidden="0"/>
    </xf>
    <xf numFmtId="167" fontId="5" fillId="2" borderId="0" xfId="0" applyNumberFormat="1" applyFont="1" applyFill="1" applyProtection="1">
      <protection locked="1" hidden="0"/>
    </xf>
    <xf numFmtId="0" fontId="3" fillId="4" borderId="0" xfId="0" applyFont="1" applyFill="1" applyAlignment="1" applyProtection="1">
      <alignment horizontal="right"/>
      <protection locked="1" hidden="0"/>
    </xf>
    <xf numFmtId="166" fontId="3" fillId="2" borderId="1" xfId="0" applyNumberFormat="1" applyFont="1" applyFill="1" applyBorder="1" applyProtection="1">
      <protection locked="1" hidden="0"/>
    </xf>
    <xf numFmtId="168" fontId="1" fillId="2" borderId="0" xfId="0" applyNumberFormat="1" applyFont="1" applyFill="1" applyProtection="1">
      <protection locked="1" hidden="0"/>
    </xf>
    <xf numFmtId="169" fontId="1" fillId="2" borderId="0" xfId="0" applyNumberFormat="1" applyFont="1" applyFill="1" applyProtection="1">
      <protection locked="1" hidden="0"/>
    </xf>
    <xf numFmtId="165" fontId="3" fillId="2" borderId="0" xfId="0" applyNumberFormat="1" applyFont="1" applyFill="1" applyProtection="1">
      <protection locked="1" hidden="0"/>
    </xf>
    <xf numFmtId="0" fontId="3" fillId="2" borderId="0" xfId="0" applyFont="1" applyFill="1" applyAlignment="1" applyProtection="1">
      <alignment indent="1"/>
      <protection locked="1" hidden="0"/>
    </xf>
    <xf numFmtId="166" fontId="1" fillId="2" borderId="2" xfId="0" applyNumberFormat="1" applyFont="1" applyFill="1" applyBorder="1" applyProtection="1">
      <protection locked="1" hidden="0"/>
    </xf>
    <xf numFmtId="167" fontId="6" fillId="3" borderId="0" xfId="0" applyNumberFormat="1" applyFont="1" applyFill="1" applyProtection="1">
      <protection locked="1" hidden="0"/>
    </xf>
    <xf numFmtId="167" fontId="7" fillId="2" borderId="0" xfId="0" applyNumberFormat="1" applyFont="1" applyFill="1" applyProtection="1">
      <protection locked="1" hidden="0"/>
    </xf>
    <xf numFmtId="166" fontId="4" fillId="2" borderId="2" xfId="0" applyNumberFormat="1" applyFont="1" applyFill="1" applyBorder="1" applyProtection="1">
      <protection locked="1" hidden="0"/>
    </xf>
    <xf numFmtId="167" fontId="8" fillId="2" borderId="0" xfId="0" applyNumberFormat="1" applyFont="1" applyFill="1" applyProtection="1">
      <protection locked="1" hidden="0"/>
    </xf>
    <xf numFmtId="166" fontId="9" fillId="2" borderId="1" xfId="0" applyNumberFormat="1" applyFont="1" applyFill="1" applyBorder="1" applyProtection="1">
      <protection locked="1" hidden="0"/>
    </xf>
    <xf numFmtId="166" fontId="2" fillId="3" borderId="0" xfId="0" applyNumberFormat="1" applyFont="1" applyFill="1" applyProtection="1">
      <protection locked="1" hidden="0"/>
    </xf>
    <xf numFmtId="167" fontId="5" fillId="2" borderId="2" xfId="0" applyNumberFormat="1" applyFont="1" applyFill="1" applyBorder="1" applyProtection="1">
      <protection locked="1" hidden="0"/>
    </xf>
    <xf numFmtId="167" fontId="10" fillId="4" borderId="0" xfId="0" applyNumberFormat="1" applyFont="1" applyFill="1" applyAlignment="1" applyProtection="1">
      <alignment horizontal="right"/>
      <protection locked="1" hidden="0"/>
    </xf>
    <xf numFmtId="166" fontId="2" fillId="3" borderId="2" xfId="0" applyNumberFormat="1" applyFont="1" applyFill="1" applyBorder="1" applyProtection="1">
      <protection locked="1" hidden="0"/>
    </xf>
    <xf numFmtId="165" fontId="1" fillId="2" borderId="2" xfId="0" applyNumberFormat="1" applyFont="1" applyFill="1" applyBorder="1" applyProtection="1">
      <protection locked="1" hidden="0"/>
    </xf>
    <xf numFmtId="0" fontId="1" fillId="2" borderId="0" xfId="0" applyFont="1" applyFill="1" applyAlignment="1" applyProtection="1">
      <alignment indent="3"/>
      <protection locked="1" hidden="0"/>
    </xf>
    <xf numFmtId="0" fontId="5" fillId="2" borderId="0" xfId="0" applyFont="1" applyFill="1" applyProtection="1">
      <protection locked="1" hidden="0"/>
    </xf>
    <xf numFmtId="0" fontId="3" fillId="5" borderId="0" xfId="0" applyFont="1" applyFill="1" applyAlignment="1" applyProtection="1">
      <alignment horizontal="right"/>
      <protection locked="1" hidden="0"/>
    </xf>
    <xf numFmtId="0" fontId="5" fillId="2" borderId="0" xfId="0" applyFont="1" applyFill="1" applyAlignment="1" applyProtection="1">
      <alignment indent="2"/>
      <protection locked="1" hidden="0"/>
    </xf>
    <xf numFmtId="166" fontId="3" fillId="2" borderId="3" xfId="0" applyNumberFormat="1" applyFont="1" applyFill="1" applyBorder="1" applyProtection="1">
      <protection locked="1" hidden="0"/>
    </xf>
    <xf numFmtId="166" fontId="3" fillId="2" borderId="0" xfId="0" applyNumberFormat="1" applyFont="1" applyFill="1" applyProtection="1">
      <protection locked="1" hidden="0"/>
    </xf>
    <xf numFmtId="164" fontId="4" fillId="2" borderId="0" xfId="0" applyNumberFormat="1" applyFont="1" applyFill="1" applyProtection="1">
      <protection locked="1" hidden="0"/>
    </xf>
    <xf numFmtId="166" fontId="2" fillId="2" borderId="2" xfId="0" applyNumberFormat="1" applyFont="1" applyFill="1" applyBorder="1" applyProtection="1">
      <protection locked="1" hidden="0"/>
    </xf>
    <xf numFmtId="0" fontId="3" fillId="2" borderId="0" xfId="0" applyFont="1" applyFill="1" applyAlignment="1" applyProtection="1">
      <alignment indent="2"/>
      <protection locked="1" hidden="0"/>
    </xf>
    <xf numFmtId="166" fontId="3" fillId="2" borderId="4" xfId="0" applyNumberFormat="1" applyFont="1" applyFill="1" applyBorder="1" applyProtection="1">
      <protection locked="1" hidden="0"/>
    </xf>
    <xf numFmtId="170" fontId="1" fillId="2" borderId="0" xfId="0" applyNumberFormat="1" applyFont="1" applyFill="1" applyProtection="1">
      <protection locked="1" hidden="0"/>
    </xf>
    <xf numFmtId="171" fontId="1" fillId="2" borderId="0" xfId="0" applyNumberFormat="1" applyFont="1" applyFill="1" applyProtection="1">
      <protection locked="1" hidden="0"/>
    </xf>
    <xf numFmtId="0" fontId="3" fillId="6" borderId="0" xfId="0" applyFont="1" applyFill="1" applyProtection="1">
      <protection locked="1" hidden="0"/>
    </xf>
    <xf numFmtId="0" fontId="3" fillId="2" borderId="0" xfId="0" applyFont="1" applyFill="1" applyProtection="1">
      <protection locked="1" hidden="0"/>
    </xf>
    <xf numFmtId="167" fontId="7" fillId="2" borderId="2" xfId="0" applyNumberFormat="1" applyFont="1" applyFill="1" applyBorder="1" applyProtection="1">
      <protection locked="1" hidden="0"/>
    </xf>
    <xf numFmtId="167" fontId="8" fillId="4" borderId="0" xfId="0" applyNumberFormat="1" applyFont="1" applyFill="1" applyAlignment="1" applyProtection="1">
      <alignment horizontal="right"/>
      <protection locked="1" hidden="0"/>
    </xf>
    <xf numFmtId="166" fontId="11" fillId="2" borderId="1" xfId="0" applyNumberFormat="1" applyFont="1" applyFill="1" applyBorder="1" applyProtection="1">
      <protection locked="1" hidden="0"/>
    </xf>
    <xf numFmtId="171" fontId="2" fillId="2" borderId="0" xfId="0" applyNumberFormat="1" applyFont="1" applyFill="1" applyProtection="1">
      <protection locked="1" hidden="0"/>
    </xf>
    <xf numFmtId="166" fontId="9" fillId="2" borderId="0" xfId="0" applyNumberFormat="1" applyFont="1" applyFill="1" applyProtection="1">
      <protection locked="1" hidden="0"/>
    </xf>
    <xf numFmtId="0" fontId="1" fillId="2" borderId="2" xfId="0" applyFont="1" applyFill="1" applyBorder="1" applyProtection="1">
      <protection locked="1" hidden="0"/>
    </xf>
    <xf numFmtId="165" fontId="4" fillId="2" borderId="0" xfId="0" applyNumberFormat="1" applyFont="1" applyFill="1" applyProtection="1">
      <protection locked="1" hidden="0"/>
    </xf>
    <xf numFmtId="168" fontId="2" fillId="3" borderId="0" xfId="0" applyNumberFormat="1" applyFont="1" applyFill="1" applyProtection="1">
      <protection locked="1" hidden="0"/>
    </xf>
    <xf numFmtId="172" fontId="2" fillId="2" borderId="0" xfId="0" applyNumberFormat="1" applyFont="1" applyFill="1" applyProtection="1">
      <protection locked="1" hidden="0"/>
    </xf>
    <xf numFmtId="167" fontId="8" fillId="2" borderId="2" xfId="0" applyNumberFormat="1" applyFont="1" applyFill="1" applyBorder="1" applyProtection="1">
      <protection locked="1" hidden="0"/>
    </xf>
    <xf numFmtId="165" fontId="1" fillId="2" borderId="0" xfId="0" applyNumberFormat="1" applyFont="1" applyFill="1" applyProtection="1">
      <protection locked="1" hidden="0"/>
    </xf>
    <xf numFmtId="166" fontId="3" fillId="2" borderId="2" xfId="0" applyNumberFormat="1" applyFont="1" applyFill="1" applyBorder="1" applyProtection="1">
      <protection locked="1" hidden="0"/>
    </xf>
    <xf numFmtId="0" fontId="5" fillId="2" borderId="0" xfId="0" applyFont="1" applyFill="1" applyAlignment="1" applyProtection="1">
      <alignment indent="3"/>
      <protection locked="1" hidden="0"/>
    </xf>
    <xf numFmtId="0" fontId="1" fillId="4" borderId="0" xfId="0" applyFont="1" applyFill="1" applyAlignment="1" applyProtection="1">
      <alignment horizontal="right"/>
      <protection locked="1" hidden="0"/>
    </xf>
    <xf numFmtId="0" fontId="12" fillId="2" borderId="0" xfId="0" applyFont="1" applyFill="1" applyProtection="1">
      <protection locked="1" hidden="0"/>
    </xf>
    <xf numFmtId="169" fontId="1" fillId="2" borderId="2" xfId="0" applyNumberFormat="1" applyFont="1" applyFill="1" applyBorder="1" applyProtection="1">
      <protection locked="1" hidden="0"/>
    </xf>
    <xf numFmtId="0" fontId="8" fillId="2" borderId="0" xfId="0" applyFont="1" applyFill="1" applyProtection="1">
      <protection locked="1" hidden="0"/>
    </xf>
    <xf numFmtId="171" fontId="3" fillId="2" borderId="0" xfId="0" applyNumberFormat="1" applyFont="1" applyFill="1" applyProtection="1">
      <protection locked="1" hidden="0"/>
    </xf>
    <xf numFmtId="173" fontId="1" fillId="2" borderId="0" xfId="0" applyNumberFormat="1" applyFont="1" applyFill="1" applyProtection="1">
      <protection locked="1" hidden="0"/>
    </xf>
    <xf numFmtId="164" fontId="3" fillId="2" borderId="3" xfId="0" applyNumberFormat="1" applyFont="1" applyFill="1" applyBorder="1" applyProtection="1">
      <protection locked="1" hidden="0"/>
    </xf>
    <xf numFmtId="167" fontId="6" fillId="2" borderId="0" xfId="0" applyNumberFormat="1" applyFont="1" applyFill="1" applyProtection="1">
      <protection locked="1" hidden="0"/>
    </xf>
    <xf numFmtId="166" fontId="11" fillId="2" borderId="4" xfId="0" applyNumberFormat="1" applyFont="1" applyFill="1" applyBorder="1" applyProtection="1">
      <protection locked="1" hidden="0"/>
    </xf>
    <xf numFmtId="173" fontId="4" fillId="2" borderId="0" xfId="0" applyNumberFormat="1" applyFont="1" applyFill="1" applyProtection="1">
      <protection locked="1" hidden="0"/>
    </xf>
    <xf numFmtId="0" fontId="11" fillId="2" borderId="0" xfId="0" applyFont="1" applyFill="1" applyAlignment="1" applyProtection="1">
      <alignment horizontal="right"/>
      <protection locked="1" hidden="0"/>
    </xf>
    <xf numFmtId="168" fontId="4" fillId="2" borderId="0" xfId="0" applyNumberFormat="1" applyFont="1" applyFill="1" applyProtection="1">
      <protection locked="1" hidden="0"/>
    </xf>
    <xf numFmtId="0" fontId="3" fillId="2" borderId="0" xfId="0" applyFont="1" applyFill="1" applyProtection="1">
      <protection locked="1" hidden="0"/>
    </xf>
    <xf numFmtId="166" fontId="3" fillId="2" borderId="5" xfId="0" applyNumberFormat="1" applyFont="1" applyFill="1" applyBorder="1" applyProtection="1">
      <protection locked="1" hidden="0"/>
    </xf>
    <xf numFmtId="164" fontId="9" fillId="2" borderId="0" xfId="0" applyNumberFormat="1" applyFont="1" applyFill="1" applyProtection="1">
      <protection locked="1" hidden="0"/>
    </xf>
    <xf numFmtId="172" fontId="2" fillId="2" borderId="2" xfId="0" applyNumberFormat="1" applyFont="1" applyFill="1" applyBorder="1" applyProtection="1">
      <protection locked="1" hidden="0"/>
    </xf>
    <xf numFmtId="174" fontId="2" fillId="2" borderId="0" xfId="0" applyNumberFormat="1" applyFont="1" applyFill="1" applyProtection="1">
      <protection locked="1" hidden="0"/>
    </xf>
    <xf numFmtId="165" fontId="2" fillId="3" borderId="2" xfId="0" applyNumberFormat="1" applyFont="1" applyFill="1" applyBorder="1" applyProtection="1">
      <protection locked="1" hidden="0"/>
    </xf>
    <xf numFmtId="164" fontId="3" fillId="2" borderId="0" xfId="0" applyNumberFormat="1" applyFont="1" applyFill="1" applyProtection="1">
      <protection locked="1" hidden="0"/>
    </xf>
    <xf numFmtId="168" fontId="2" fillId="2" borderId="0" xfId="0" applyNumberFormat="1" applyFont="1" applyFill="1" applyProtection="1">
      <protection locked="1" hidden="0"/>
    </xf>
    <xf numFmtId="164" fontId="11" fillId="2" borderId="0" xfId="0" applyNumberFormat="1" applyFont="1" applyFill="1" applyProtection="1">
      <protection locked="1" hidden="0"/>
    </xf>
    <xf numFmtId="165" fontId="3" fillId="2" borderId="2" xfId="0" applyNumberFormat="1" applyFont="1" applyFill="1" applyBorder="1" applyProtection="1">
      <protection locked="1" hidden="0"/>
    </xf>
    <xf numFmtId="0" fontId="8" fillId="2" borderId="0" xfId="0" applyFont="1" applyFill="1" applyAlignment="1" applyProtection="1">
      <alignment indent="2"/>
      <protection locked="1" hidden="0"/>
    </xf>
    <xf numFmtId="172" fontId="1" fillId="2" borderId="0" xfId="0" applyNumberFormat="1" applyFont="1" applyFill="1" applyAlignment="1" applyProtection="1">
      <alignment horizontal="left"/>
      <protection locked="1" hidden="0"/>
    </xf>
    <xf numFmtId="0" fontId="3" fillId="2" borderId="0" xfId="0" applyFont="1" applyFill="1" applyAlignment="1" applyProtection="1">
      <alignment horizontal="right"/>
      <protection locked="1" hidden="0"/>
    </xf>
    <xf numFmtId="172" fontId="1" fillId="2" borderId="0" xfId="0" applyNumberFormat="1" applyFont="1" applyFill="1" applyProtection="1">
      <protection locked="1" hidden="0"/>
    </xf>
    <xf numFmtId="165" fontId="2" fillId="2" borderId="0" xfId="0" applyNumberFormat="1" applyFont="1" applyFill="1" applyProtection="1">
      <protection locked="1" hidden="0"/>
    </xf>
    <xf numFmtId="167" fontId="6" fillId="3" borderId="2" xfId="0" applyNumberFormat="1" applyFont="1" applyFill="1" applyBorder="1" applyProtection="1">
      <protection locked="1" hidden="0"/>
    </xf>
    <xf numFmtId="164" fontId="2" fillId="3" borderId="2" xfId="0" applyNumberFormat="1" applyFont="1" applyFill="1" applyBorder="1" applyProtection="1">
      <protection locked="1" hidden="0"/>
    </xf>
    <xf numFmtId="165" fontId="4" fillId="2" borderId="2" xfId="0" applyNumberFormat="1" applyFont="1" applyFill="1" applyBorder="1" applyProtection="1">
      <protection locked="1" hidden="0"/>
    </xf>
    <xf numFmtId="166" fontId="9" fillId="2" borderId="4" xfId="0" applyNumberFormat="1" applyFont="1" applyFill="1" applyBorder="1" applyProtection="1">
      <protection locked="1" hidden="0"/>
    </xf>
    <xf numFmtId="0" fontId="1" fillId="5" borderId="0" xfId="0" applyFont="1" applyFill="1" applyAlignment="1" applyProtection="1">
      <alignment horizontal="right"/>
      <protection locked="1" hidden="0"/>
    </xf>
    <xf numFmtId="0" fontId="1" fillId="7" borderId="0" xfId="0" applyFont="1" applyFill="1" applyProtection="1">
      <protection locked="1" hidden="0"/>
    </xf>
    <xf numFmtId="0" fontId="1" fillId="8" borderId="0" xfId="0" applyFont="1" applyFill="1" applyProtection="1">
      <protection locked="1" hidden="0"/>
    </xf>
    <xf numFmtId="164" fontId="1" fillId="2" borderId="2" xfId="0" applyNumberFormat="1" applyFont="1" applyFill="1" applyBorder="1" applyProtection="1">
      <protection locked="1" hidden="0"/>
    </xf>
    <xf numFmtId="0" fontId="1" fillId="9" borderId="0" xfId="0" applyFont="1" applyFill="1" applyProtection="1">
      <protection locked="1" hidden="0"/>
    </xf>
    <xf numFmtId="0" fontId="1" fillId="10" borderId="0" xfId="0" applyFont="1" applyFill="1" applyProtection="1">
      <protection locked="1" hidden="0"/>
    </xf>
    <xf numFmtId="0" fontId="1" fillId="3" borderId="0" xfId="0" applyFont="1" applyFill="1" applyProtection="1">
      <protection locked="1" hidden="0"/>
    </xf>
    <xf numFmtId="0" fontId="1" fillId="11" borderId="0" xfId="0" applyFont="1" applyFill="1" applyProtection="1">
      <protection locked="1" hidden="0"/>
    </xf>
    <xf numFmtId="0" fontId="1" fillId="6" borderId="0" xfId="0" applyFont="1" applyFill="1" applyProtection="1">
      <protection locked="1" hidden="0"/>
    </xf>
    <xf numFmtId="0" fontId="1" fillId="12" borderId="0" xfId="0" applyFont="1" applyFill="1" applyProtection="1">
      <protection locked="1" hidden="0"/>
    </xf>
    <xf numFmtId="165" fontId="3" fillId="2" borderId="3" xfId="0" applyNumberFormat="1" applyFont="1" applyFill="1" applyBorder="1" applyProtection="1">
      <protection locked="1" hidden="0"/>
    </xf>
    <xf numFmtId="0" fontId="1" fillId="5" borderId="0" xfId="0" applyFont="1" applyFill="1" applyProtection="1">
      <protection locked="1" hidden="0"/>
    </xf>
    <xf numFmtId="0" fontId="1" fillId="13" borderId="0" xfId="0" applyFont="1" applyFill="1" applyProtection="1">
      <protection locked="1" hidden="0"/>
    </xf>
    <xf numFmtId="0" fontId="1" fillId="4" borderId="0" xfId="0" applyFont="1" applyFill="1" applyProtection="1">
      <protection locked="1" hidden="0"/>
    </xf>
    <xf numFmtId="0" fontId="1" fillId="14" borderId="0" xfId="0" applyFont="1" applyFill="1" applyProtection="1">
      <protection locked="1" hidden="0"/>
    </xf>
    <xf numFmtId="172" fontId="2" fillId="3" borderId="0" xfId="0" applyNumberFormat="1" applyFont="1" applyFill="1" applyProtection="1">
      <protection locked="1" hidden="0"/>
    </xf>
    <xf numFmtId="165" fontId="3" fillId="2" borderId="1" xfId="0" applyNumberFormat="1" applyFont="1" applyFill="1" applyBorder="1" applyProtection="1">
      <protection locked="1" hidden="0"/>
    </xf>
    <xf numFmtId="0" fontId="1" fillId="2" borderId="0" xfId="0" applyFont="1" applyFill="1" applyAlignment="1" applyProtection="1">
      <alignment vertical="top"/>
      <protection locked="1" hidden="0"/>
    </xf>
    <xf numFmtId="175" fontId="1" fillId="2" borderId="0" xfId="0" applyNumberFormat="1" applyFont="1" applyFill="1" applyAlignment="1" applyProtection="1">
      <alignment vertical="top"/>
      <protection locked="1" hidden="0"/>
    </xf>
    <xf numFmtId="0" fontId="1" fillId="5" borderId="2" xfId="0" applyFont="1" applyFill="1" applyBorder="1" applyAlignment="1" applyProtection="1">
      <alignment horizontal="right"/>
      <protection locked="1" hidden="0"/>
    </xf>
    <xf numFmtId="166" fontId="11" fillId="2" borderId="2" xfId="0" applyNumberFormat="1" applyFont="1" applyFill="1" applyBorder="1" applyProtection="1">
      <protection locked="1" hidden="0"/>
    </xf>
    <xf numFmtId="0" fontId="3" fillId="5" borderId="2" xfId="0" applyFont="1" applyFill="1" applyBorder="1" applyAlignment="1" applyProtection="1">
      <alignment horizontal="right"/>
      <protection locked="1" hidden="0"/>
    </xf>
    <xf numFmtId="172" fontId="2" fillId="3" borderId="2" xfId="0" applyNumberFormat="1" applyFont="1" applyFill="1" applyBorder="1" applyProtection="1">
      <protection locked="1" hidden="0"/>
    </xf>
    <xf numFmtId="164" fontId="4" fillId="2" borderId="2" xfId="0" applyNumberFormat="1" applyFont="1" applyFill="1" applyBorder="1" applyProtection="1">
      <protection locked="1" hidden="0"/>
    </xf>
    <xf numFmtId="166" fontId="11" fillId="2" borderId="0" xfId="0" applyNumberFormat="1" applyFont="1" applyFill="1" applyProtection="1">
      <protection locked="1" hidden="0"/>
    </xf>
    <xf numFmtId="172" fontId="9" fillId="3" borderId="2" xfId="0" applyNumberFormat="1" applyFont="1" applyFill="1" applyBorder="1" applyProtection="1">
      <protection locked="1" hidden="0"/>
    </xf>
    <xf numFmtId="173" fontId="3" fillId="2" borderId="2" xfId="0" applyNumberFormat="1" applyFont="1" applyFill="1" applyBorder="1" applyProtection="1">
      <protection locked="1" hidden="0"/>
    </xf>
    <xf numFmtId="0" fontId="3" fillId="2" borderId="2" xfId="0" applyFont="1" applyFill="1" applyBorder="1" applyAlignment="1" applyProtection="1">
      <alignment horizontal="right"/>
      <protection locked="1" hidden="0"/>
    </xf>
    <xf numFmtId="168" fontId="1" fillId="2" borderId="2" xfId="0" applyNumberFormat="1" applyFont="1" applyFill="1" applyBorder="1" applyProtection="1">
      <protection locked="1" hidden="0"/>
    </xf>
    <xf numFmtId="173" fontId="13" fillId="0" borderId="0" xfId="0" applyNumberFormat="1" applyFont="1" applyFill="1" applyAlignment="1" applyProtection="1">
      <alignment vertical="top" textRotation="0" indent="0" readingOrder="0"/>
      <protection locked="1" hidden="0"/>
    </xf>
    <xf numFmtId="175" fontId="13" fillId="0" borderId="0" xfId="0" applyNumberFormat="1" applyFont="1" applyFill="1" applyAlignment="1" applyProtection="1">
      <alignment vertical="top" textRotation="0" indent="0" readingOrder="0"/>
      <protection locked="1" hidden="0"/>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tyles" Target="styles.xml"/><Relationship Id="rId26" Type="http://schemas.openxmlformats.org/officeDocument/2006/relationships/theme" Target="theme/theme1.xml"/><Relationship Id="rId27" Type="http://schemas.openxmlformats.org/officeDocument/2006/relationships/sharedStrings" Target="sharedStrings.xml"/><Relationship Id="rId28"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Malgun Gothic"/>
        <a:font script="Hans" typeface="DengXian Light"/>
        <a:font script="Hant" typeface="Microsoft JhengHei Light"/>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majorFont>
      <a:minorFont>
        <a:latin typeface="Calibri" panose="020F0502020204030204"/>
        <a:ea typeface=""/>
        <a:cs typeface=""/>
        <a:font script="Jpan" typeface="Yu Gothic"/>
        <a:font script="Hang" typeface="Malgun Gothic"/>
        <a:font script="Hans" typeface="DengXian"/>
        <a:font script="Hant" typeface="Microsoft JhengHei"/>
        <a:font script="Arab" typeface="Arial"/>
        <a:font script="Hebr" typeface="Arial"/>
        <a:font script="Thai" typeface="Cordia New"/>
        <a:font script="Ethi" typeface="Nyala"/>
        <a:font script="Beng" typeface="Vrinda"/>
        <a:font script="Gujr" typeface="Shruti"/>
        <a:font script="Khmr" typeface="DaunPenh"/>
        <a:font script="Knda" typeface="Tunga"/>
      </a:minorFont>
    </a:fontScheme>
    <a:fmtScheme name="Office">
      <a:fillStyleLst>
        <a:solidFill>
          <a:schemeClr val="phClr"/>
        </a:solidFill>
        <a:solidFill>
          <a:schemeClr val="phClr"/>
        </a:solidFill>
        <a:solidFill>
          <a:schemeClr val="phClr"/>
        </a:solidFill>
      </a:fillStyleLst>
      <a:lnStyleLst>
        <a:ln w="6350">
          <a:solidFill>
            <a:schemeClr val="phClr"/>
          </a:solidFill>
        </a:ln>
        <a:ln w="12700">
          <a:solidFill>
            <a:schemeClr val="phClr"/>
          </a:solidFill>
        </a:ln>
        <a:ln w="1905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0E1A2B"/>
  </sheetPr>
  <dimension ref="A1:D58"/>
  <sheetViews>
    <sheetView showGridLines="0" tabSelected="1" workbookViewId="0"/>
  </sheetViews>
  <sheetFormatPr defaultRowHeight="15"/>
  <cols>
    <col min="1" max="1" width="86.0390625" customWidth="1"/>
    <col min="2" max="2" width="102.70703125" customWidth="1"/>
    <col min="3" max="3" width="15.20703125" customWidth="1"/>
    <col min="4" max="4" width="49.375" customWidth="1"/>
  </cols>
  <sheetData>
    <row r="1">
      <c r="A1" s="56" t="s">
        <v>0</v>
      </c>
      <c r="B1" s="1"/>
      <c r="C1" s="1"/>
      <c r="D1" s="1"/>
    </row>
    <row r="2">
      <c r="A2" s="1" t="s">
        <v>1</v>
      </c>
      <c r="B2" s="1"/>
      <c r="C2" s="1"/>
      <c r="D2" s="1"/>
    </row>
    <row r="3">
      <c r="A3" s="1"/>
      <c r="B3" s="1"/>
      <c r="C3" s="1"/>
      <c r="D3" s="1"/>
    </row>
    <row r="4">
      <c r="A4" s="41" t="s">
        <v>2</v>
      </c>
      <c r="B4" s="1"/>
      <c r="C4" s="1"/>
      <c r="D4" s="1"/>
    </row>
    <row r="5">
      <c r="A5" s="1" t="s">
        <v>3</v>
      </c>
      <c r="B5" s="1"/>
      <c r="C5" s="1"/>
      <c r="D5" s="1"/>
    </row>
    <row r="6">
      <c r="A6" s="1" t="s">
        <v>4</v>
      </c>
      <c r="B6" s="1"/>
      <c r="C6" s="1"/>
      <c r="D6" s="1"/>
    </row>
    <row r="7">
      <c r="A7" s="1" t="s">
        <v>5</v>
      </c>
      <c r="B7" s="1"/>
      <c r="C7" s="1"/>
      <c r="D7" s="1"/>
    </row>
    <row r="8">
      <c r="A8" s="1" t="s">
        <v>6</v>
      </c>
      <c r="B8" s="1"/>
      <c r="C8" s="1"/>
      <c r="D8" s="1"/>
    </row>
    <row r="9">
      <c r="A9" s="41" t="s">
        <v>7</v>
      </c>
      <c r="B9" s="1"/>
      <c r="C9" s="1"/>
      <c r="D9" s="1"/>
    </row>
    <row r="10">
      <c r="A10" s="1" t="s">
        <v>8</v>
      </c>
      <c r="B10" s="1"/>
      <c r="C10" s="1"/>
      <c r="D10" s="1"/>
    </row>
    <row r="11">
      <c r="A11" s="1" t="s">
        <v>9</v>
      </c>
      <c r="B11" s="1"/>
      <c r="C11" s="1"/>
      <c r="D11" s="1"/>
    </row>
    <row r="12">
      <c r="A12" s="1" t="s">
        <v>10</v>
      </c>
      <c r="B12" s="1"/>
      <c r="C12" s="1"/>
      <c r="D12" s="1"/>
    </row>
    <row r="13">
      <c r="A13" s="1" t="s">
        <v>11</v>
      </c>
      <c r="B13" s="1"/>
      <c r="C13" s="1"/>
      <c r="D13" s="1"/>
    </row>
    <row r="14">
      <c r="A14" s="1" t="s">
        <v>12</v>
      </c>
      <c r="B14" s="1"/>
      <c r="C14" s="1"/>
      <c r="D14" s="1"/>
    </row>
    <row r="15">
      <c r="A15" s="1"/>
      <c r="B15" s="1"/>
      <c r="C15" s="1"/>
      <c r="D15" s="1"/>
    </row>
    <row r="16">
      <c r="A16" s="41" t="s">
        <v>13</v>
      </c>
      <c r="B16" s="41"/>
      <c r="C16" s="65" t="str">
        <f>Checks!C4</f>
        <v>OK</v>
      </c>
      <c r="D16" s="1"/>
    </row>
    <row r="17">
      <c r="A17" s="1"/>
      <c r="B17" s="1"/>
      <c r="C17" s="1"/>
      <c r="D17" s="1"/>
    </row>
    <row r="18">
      <c r="A18" s="4" t="s">
        <v>14</v>
      </c>
      <c r="B18" s="4"/>
      <c r="C18" s="11" t="s">
        <v>15</v>
      </c>
      <c r="D18" s="1"/>
    </row>
    <row r="19">
      <c r="A19" s="6" t="s">
        <v>16</v>
      </c>
      <c r="B19" s="1"/>
      <c r="C19" s="64" t="str">
        <f>Assumptions!$C$6</f>
        <v>Base</v>
      </c>
      <c r="D19" s="1"/>
    </row>
    <row r="20">
      <c r="A20" s="6" t="s">
        <v>17</v>
      </c>
      <c r="B20" s="1"/>
      <c r="C20" s="34">
        <f>Market_Package!B10</f>
        <v>148.58</v>
      </c>
      <c r="D20" s="1"/>
    </row>
    <row r="21">
      <c r="A21" s="6" t="s">
        <v>18</v>
      </c>
      <c r="B21" s="1"/>
      <c r="C21" s="34">
        <f>DCF!C37</f>
        <v>31.894476739749994</v>
      </c>
      <c r="D21" s="1"/>
    </row>
    <row r="22">
      <c r="A22" s="31" t="s">
        <v>19</v>
      </c>
      <c r="B22" s="29"/>
      <c r="C22" s="19">
        <f>DCF!C40</f>
        <v>-0.7853380216735093</v>
      </c>
      <c r="D22" s="1"/>
    </row>
    <row r="23">
      <c r="A23" s="6" t="s">
        <v>20</v>
      </c>
      <c r="B23" s="1"/>
      <c r="C23" s="34">
        <f>Scenario_Summary!D23</f>
        <v>31.894476739749994</v>
      </c>
      <c r="D23" s="1"/>
    </row>
    <row r="24">
      <c r="A24" s="6" t="s">
        <v>21</v>
      </c>
      <c r="B24" s="1"/>
      <c r="C24" s="34">
        <f>Scenario_Summary!E23</f>
        <v>67.79059072852147</v>
      </c>
      <c r="D24" s="1"/>
    </row>
    <row r="25">
      <c r="A25" s="6" t="s">
        <v>22</v>
      </c>
      <c r="B25" s="1"/>
      <c r="C25" s="34">
        <f>Scenario_Summary!F23</f>
        <v>3.408500903735506</v>
      </c>
      <c r="D25" s="1"/>
    </row>
    <row r="26">
      <c r="A26" s="6" t="s">
        <v>23</v>
      </c>
      <c r="B26" s="1"/>
      <c r="C26" s="34">
        <f>DCF!C38</f>
        <v>35.05448548136127</v>
      </c>
      <c r="D26" s="1"/>
    </row>
    <row r="27">
      <c r="A27" s="6" t="s">
        <v>24</v>
      </c>
      <c r="B27" s="1"/>
      <c r="C27" s="34">
        <f>Valuation!C42</f>
        <v>29.70580042339273</v>
      </c>
      <c r="D27" s="1"/>
    </row>
    <row r="28">
      <c r="A28" s="6" t="s">
        <v>25</v>
      </c>
      <c r="B28" s="1"/>
      <c r="C28" s="34">
        <f>Valuation!C49</f>
        <v>33.74701127793924</v>
      </c>
      <c r="D28" s="1"/>
    </row>
    <row r="29">
      <c r="A29" s="31" t="s">
        <v>26</v>
      </c>
      <c r="B29" s="29"/>
      <c r="C29" s="19">
        <f>Valuation!C35</f>
        <v>2.633568591412893</v>
      </c>
      <c r="D29" s="1"/>
    </row>
    <row r="30">
      <c r="A30" s="6" t="s">
        <v>27</v>
      </c>
      <c r="B30" s="1"/>
      <c r="C30" s="9">
        <f>Forecast_3Stmt!C10</f>
        <v>44225.75352341846</v>
      </c>
      <c r="D30" s="1"/>
    </row>
    <row r="31">
      <c r="A31" s="6" t="s">
        <v>28</v>
      </c>
      <c r="B31" s="1"/>
      <c r="C31" s="9">
        <f>Forecast_3Stmt!G10</f>
        <v>178794.88469918165</v>
      </c>
      <c r="D31" s="1"/>
    </row>
    <row r="32">
      <c r="A32" s="31" t="s">
        <v>29</v>
      </c>
      <c r="B32" s="29"/>
      <c r="C32" s="19">
        <f>Market_Package!B59</f>
        <v>0.10294982530780727</v>
      </c>
      <c r="D32" s="1"/>
    </row>
    <row r="33">
      <c r="A33" s="6" t="s">
        <v>30</v>
      </c>
      <c r="B33" s="1"/>
      <c r="C33" s="48">
        <f>Cap_Table!B56</f>
        <v>14444.097387826221</v>
      </c>
      <c r="D33" s="1"/>
    </row>
    <row r="34">
      <c r="A34" s="1"/>
      <c r="B34" s="1"/>
      <c r="C34" s="1"/>
      <c r="D34" s="1"/>
    </row>
    <row r="35">
      <c r="A35" s="4" t="s">
        <v>31</v>
      </c>
      <c r="B35" s="4" t="s">
        <v>32</v>
      </c>
      <c r="C35" s="1"/>
      <c r="D35" s="1"/>
    </row>
    <row r="36">
      <c r="A36" s="1" t="s">
        <v>33</v>
      </c>
      <c r="B36" s="1" t="s">
        <v>34</v>
      </c>
      <c r="C36" s="1"/>
      <c r="D36" s="1"/>
    </row>
    <row r="37">
      <c r="A37" s="1" t="s">
        <v>35</v>
      </c>
      <c r="B37" s="1" t="s">
        <v>36</v>
      </c>
      <c r="C37" s="1"/>
      <c r="D37" s="1"/>
    </row>
    <row r="38">
      <c r="A38" s="1" t="s">
        <v>37</v>
      </c>
      <c r="B38" s="1" t="s">
        <v>38</v>
      </c>
      <c r="C38" s="1"/>
      <c r="D38" s="1"/>
    </row>
    <row r="39">
      <c r="A39" s="1" t="s">
        <v>39</v>
      </c>
      <c r="B39" s="1" t="s">
        <v>40</v>
      </c>
      <c r="C39" s="1"/>
      <c r="D39" s="1"/>
    </row>
    <row r="40">
      <c r="A40" s="1" t="s">
        <v>41</v>
      </c>
      <c r="B40" s="1" t="s">
        <v>42</v>
      </c>
      <c r="C40" s="1"/>
      <c r="D40" s="1"/>
    </row>
    <row r="41">
      <c r="A41" s="1" t="s">
        <v>43</v>
      </c>
      <c r="B41" s="1" t="s">
        <v>44</v>
      </c>
      <c r="C41" s="1"/>
      <c r="D41" s="1"/>
    </row>
    <row r="42">
      <c r="A42" s="1" t="s">
        <v>45</v>
      </c>
      <c r="B42" s="1" t="s">
        <v>46</v>
      </c>
      <c r="C42" s="1"/>
      <c r="D42" s="1"/>
    </row>
    <row r="43">
      <c r="A43" s="1" t="s">
        <v>47</v>
      </c>
      <c r="B43" s="1" t="s">
        <v>48</v>
      </c>
      <c r="C43" s="1"/>
      <c r="D43" s="1"/>
    </row>
    <row r="44">
      <c r="A44" s="1" t="s">
        <v>49</v>
      </c>
      <c r="B44" s="1" t="s">
        <v>50</v>
      </c>
      <c r="C44" s="1"/>
      <c r="D44" s="1"/>
    </row>
    <row r="45">
      <c r="A45" s="1" t="s">
        <v>51</v>
      </c>
      <c r="B45" s="1" t="s">
        <v>52</v>
      </c>
      <c r="C45" s="1"/>
      <c r="D45" s="1"/>
    </row>
    <row r="46">
      <c r="A46" s="1" t="s">
        <v>53</v>
      </c>
      <c r="B46" s="1" t="s">
        <v>54</v>
      </c>
      <c r="C46" s="1"/>
      <c r="D46" s="1"/>
    </row>
    <row r="47">
      <c r="A47" s="1" t="s">
        <v>55</v>
      </c>
      <c r="B47" s="1" t="s">
        <v>56</v>
      </c>
      <c r="C47" s="1"/>
      <c r="D47" s="1"/>
    </row>
    <row r="48">
      <c r="A48" s="1" t="s">
        <v>57</v>
      </c>
      <c r="B48" s="1" t="s">
        <v>58</v>
      </c>
      <c r="C48" s="1"/>
      <c r="D48" s="1"/>
    </row>
    <row r="49">
      <c r="A49" s="1" t="s">
        <v>59</v>
      </c>
      <c r="B49" s="1" t="s">
        <v>60</v>
      </c>
      <c r="C49" s="1"/>
      <c r="D49" s="1"/>
    </row>
    <row r="50">
      <c r="A50" s="1" t="s">
        <v>61</v>
      </c>
      <c r="B50" s="1" t="s">
        <v>62</v>
      </c>
      <c r="C50" s="1"/>
      <c r="D50" s="1"/>
    </row>
    <row r="51">
      <c r="A51" s="1" t="s">
        <v>63</v>
      </c>
      <c r="B51" s="1" t="s">
        <v>64</v>
      </c>
      <c r="C51" s="1"/>
      <c r="D51" s="1"/>
    </row>
    <row r="52">
      <c r="A52" s="1" t="s">
        <v>65</v>
      </c>
      <c r="B52" s="1" t="s">
        <v>66</v>
      </c>
      <c r="C52" s="1"/>
      <c r="D52" s="1"/>
    </row>
    <row r="53">
      <c r="A53" s="1" t="s">
        <v>67</v>
      </c>
      <c r="B53" s="1" t="s">
        <v>68</v>
      </c>
      <c r="C53" s="1"/>
      <c r="D53" s="1"/>
    </row>
    <row r="54">
      <c r="A54" s="1" t="s">
        <v>69</v>
      </c>
      <c r="B54" s="1" t="s">
        <v>70</v>
      </c>
      <c r="C54" s="1"/>
      <c r="D54" s="1"/>
    </row>
    <row r="55">
      <c r="A55" s="1" t="s">
        <v>71</v>
      </c>
      <c r="B55" s="1" t="s">
        <v>72</v>
      </c>
      <c r="C55" s="1"/>
      <c r="D55" s="1"/>
    </row>
    <row r="56">
      <c r="A56" s="1" t="s">
        <v>73</v>
      </c>
      <c r="B56" s="1" t="s">
        <v>74</v>
      </c>
      <c r="C56" s="1"/>
      <c r="D56" s="1"/>
    </row>
    <row r="57">
      <c r="A57" s="1" t="s">
        <v>75</v>
      </c>
      <c r="B57" s="1" t="s">
        <v>76</v>
      </c>
      <c r="C57" s="1"/>
      <c r="D57" s="1"/>
    </row>
    <row r="58">
      <c r="A58" s="1" t="s">
        <v>77</v>
      </c>
      <c r="B58" s="1" t="s">
        <v>78</v>
      </c>
      <c r="C58" s="1"/>
      <c r="D58" s="1"/>
    </row>
  </sheetData>
</worksheet>
</file>

<file path=xl/worksheets/sheet2.xml><?xml version="1.0" encoding="utf-8"?>
<worksheet xmlns="http://schemas.openxmlformats.org/spreadsheetml/2006/main" xmlns:r="http://schemas.openxmlformats.org/officeDocument/2006/relationships">
  <sheetPr>
    <tabColor rgb="FF6A7689"/>
  </sheetPr>
  <dimension ref="A1:N36"/>
  <sheetViews>
    <sheetView showGridLines="0" workbookViewId="0"/>
  </sheetViews>
  <sheetFormatPr defaultColWidth="8.375" defaultRowHeight="15"/>
  <cols>
    <col min="1" max="1" width="77.70703125" customWidth="1"/>
    <col min="2" max="6" width="12.70703125" customWidth="1"/>
    <col min="13" max="13" width="17.70703125" customWidth="1"/>
    <col min="14" max="14" width="92.70703125" customWidth="1"/>
  </cols>
  <sheetData>
    <row r="1">
      <c r="A1" s="56" t="s">
        <v>79</v>
      </c>
      <c r="B1" s="1"/>
      <c r="C1" s="1"/>
      <c r="D1" s="1"/>
      <c r="E1" s="1"/>
      <c r="F1" s="1"/>
      <c r="G1" s="1"/>
      <c r="H1" s="1"/>
      <c r="I1" s="1"/>
      <c r="J1" s="1"/>
      <c r="K1" s="1"/>
      <c r="L1" s="1"/>
      <c r="M1" s="1"/>
      <c r="N1" s="1"/>
    </row>
    <row r="2">
      <c r="A2" s="1" t="s">
        <v>80</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81</v>
      </c>
      <c r="B4" s="11" t="s">
        <v>82</v>
      </c>
      <c r="C4" s="11" t="s">
        <v>83</v>
      </c>
      <c r="D4" s="11" t="s">
        <v>84</v>
      </c>
      <c r="E4" s="11" t="s">
        <v>85</v>
      </c>
      <c r="F4" s="11" t="s">
        <v>86</v>
      </c>
      <c r="G4" s="1"/>
      <c r="H4" s="1"/>
      <c r="I4" s="1"/>
      <c r="J4" s="1"/>
      <c r="K4" s="1"/>
      <c r="L4" s="1"/>
      <c r="M4" s="40" t="s">
        <v>87</v>
      </c>
      <c r="N4" s="40" t="s">
        <v>88</v>
      </c>
    </row>
    <row r="5">
      <c r="A5" s="1"/>
      <c r="B5" s="1"/>
      <c r="C5" s="1"/>
      <c r="D5" s="1"/>
      <c r="E5" s="1"/>
      <c r="F5" s="1"/>
      <c r="G5" s="1"/>
      <c r="H5" s="1"/>
      <c r="I5" s="1"/>
      <c r="J5" s="1"/>
      <c r="K5" s="1"/>
      <c r="L5" s="1"/>
      <c r="M5" s="1"/>
      <c r="N5" s="1"/>
    </row>
    <row r="6">
      <c r="A6" s="36" t="s">
        <v>89</v>
      </c>
      <c r="B6" s="46">
        <v>10387</v>
      </c>
      <c r="C6" s="46">
        <v>14015</v>
      </c>
      <c r="D6" s="46">
        <v>18674</v>
      </c>
      <c r="E6" s="46">
        <v>13714</v>
      </c>
      <c r="F6" s="46">
        <v>27083</v>
      </c>
      <c r="G6" s="1"/>
      <c r="H6" s="1"/>
      <c r="I6" s="1"/>
      <c r="J6" s="1"/>
      <c r="K6" s="1"/>
      <c r="L6" s="1"/>
      <c r="M6" s="1"/>
      <c r="N6" s="1" t="s">
        <v>90</v>
      </c>
    </row>
    <row r="7">
      <c r="A7" s="16" t="s">
        <v>91</v>
      </c>
      <c r="B7" s="1"/>
      <c r="C7" s="1"/>
      <c r="D7" s="1"/>
      <c r="E7" s="1"/>
      <c r="F7" s="1"/>
      <c r="G7" s="1"/>
      <c r="H7" s="1"/>
      <c r="I7" s="1"/>
      <c r="J7" s="1"/>
      <c r="K7" s="1"/>
      <c r="L7" s="1"/>
      <c r="M7" s="1"/>
      <c r="N7" s="1"/>
    </row>
    <row r="8">
      <c r="A8" s="6" t="s">
        <v>92</v>
      </c>
      <c r="B8" s="5">
        <v>6110</v>
      </c>
      <c r="C8" s="5">
        <v>7996</v>
      </c>
      <c r="D8" s="5">
        <v>9451</v>
      </c>
      <c r="E8" s="5">
        <v>6949</v>
      </c>
      <c r="F8" s="5">
        <v>11361</v>
      </c>
      <c r="G8" s="1"/>
      <c r="H8" s="1"/>
      <c r="I8" s="1"/>
      <c r="J8" s="1"/>
      <c r="K8" s="1"/>
      <c r="L8" s="1"/>
      <c r="M8" s="1"/>
      <c r="N8" s="1" t="s">
        <v>90</v>
      </c>
    </row>
    <row r="9">
      <c r="A9" s="6" t="s">
        <v>93</v>
      </c>
      <c r="B9" s="5">
        <v>2105</v>
      </c>
      <c r="C9" s="5">
        <v>3464</v>
      </c>
      <c r="D9" s="5">
        <v>8643</v>
      </c>
      <c r="E9" s="5">
        <v>5806</v>
      </c>
      <c r="F9" s="5">
        <v>11658</v>
      </c>
      <c r="G9" s="1"/>
      <c r="H9" s="1"/>
      <c r="I9" s="1"/>
      <c r="J9" s="1"/>
      <c r="K9" s="1"/>
      <c r="L9" s="1"/>
      <c r="M9" s="1"/>
      <c r="N9" s="1" t="s">
        <v>90</v>
      </c>
    </row>
    <row r="10">
      <c r="A10" s="6" t="s">
        <v>94</v>
      </c>
      <c r="B10" s="5">
        <v>1665</v>
      </c>
      <c r="C10" s="5">
        <v>1813</v>
      </c>
      <c r="D10" s="5">
        <v>2644</v>
      </c>
      <c r="E10" s="5">
        <v>1674</v>
      </c>
      <c r="F10" s="5">
        <v>3365</v>
      </c>
      <c r="G10" s="1"/>
      <c r="H10" s="1"/>
      <c r="I10" s="1"/>
      <c r="J10" s="1"/>
      <c r="K10" s="1"/>
      <c r="L10" s="1"/>
      <c r="M10" s="1"/>
      <c r="N10" s="1" t="s">
        <v>90</v>
      </c>
    </row>
    <row r="11">
      <c r="A11" s="6" t="s">
        <v>95</v>
      </c>
      <c r="B11" s="5">
        <v>237</v>
      </c>
      <c r="C11" s="5">
        <v>213</v>
      </c>
      <c r="D11" s="5">
        <v>487</v>
      </c>
      <c r="E11" s="5">
        <v>472</v>
      </c>
      <c r="F11" s="5">
        <v>-6</v>
      </c>
      <c r="G11" s="1"/>
      <c r="H11" s="1"/>
      <c r="I11" s="1"/>
      <c r="J11" s="1"/>
      <c r="K11" s="1"/>
      <c r="L11" s="1"/>
      <c r="M11" s="1"/>
      <c r="N11" s="1" t="s">
        <v>90</v>
      </c>
    </row>
    <row r="12">
      <c r="A12" s="6" t="s">
        <v>96</v>
      </c>
      <c r="B12" s="5">
        <v>3775</v>
      </c>
      <c r="C12" s="5">
        <v>63</v>
      </c>
      <c r="D12" s="5">
        <v>38</v>
      </c>
      <c r="E12" s="5">
        <v>29</v>
      </c>
      <c r="F12" s="8"/>
      <c r="G12" s="1"/>
      <c r="H12" s="1"/>
      <c r="I12" s="1"/>
      <c r="J12" s="1"/>
      <c r="K12" s="1"/>
      <c r="L12" s="1"/>
      <c r="M12" s="1"/>
      <c r="N12" s="1" t="s">
        <v>97</v>
      </c>
    </row>
    <row r="13">
      <c r="A13" s="16" t="s">
        <v>98</v>
      </c>
      <c r="B13" s="22">
        <v>13892</v>
      </c>
      <c r="C13" s="22">
        <v>13549</v>
      </c>
      <c r="D13" s="22">
        <v>21263</v>
      </c>
      <c r="E13" s="22">
        <v>14930</v>
      </c>
      <c r="F13" s="22">
        <v>26378</v>
      </c>
      <c r="G13" s="1"/>
      <c r="H13" s="1"/>
      <c r="I13" s="1"/>
      <c r="J13" s="1"/>
      <c r="K13" s="1"/>
      <c r="L13" s="1"/>
      <c r="M13" s="1"/>
      <c r="N13" s="1" t="s">
        <v>90</v>
      </c>
    </row>
    <row r="14">
      <c r="A14" s="16" t="s">
        <v>99</v>
      </c>
      <c r="B14" s="22">
        <v>-3505</v>
      </c>
      <c r="C14" s="22">
        <v>466</v>
      </c>
      <c r="D14" s="22">
        <v>-2589</v>
      </c>
      <c r="E14" s="22">
        <v>-1216</v>
      </c>
      <c r="F14" s="22">
        <v>705</v>
      </c>
      <c r="G14" s="1"/>
      <c r="H14" s="1"/>
      <c r="I14" s="1"/>
      <c r="J14" s="1"/>
      <c r="K14" s="1"/>
      <c r="L14" s="1"/>
      <c r="M14" s="1"/>
      <c r="N14" s="1" t="s">
        <v>90</v>
      </c>
    </row>
    <row r="15">
      <c r="A15" s="6" t="s">
        <v>100</v>
      </c>
      <c r="B15" s="5">
        <v>-1693</v>
      </c>
      <c r="C15" s="5">
        <v>-1580</v>
      </c>
      <c r="D15" s="5">
        <v>-1945</v>
      </c>
      <c r="E15" s="5">
        <v>-1372</v>
      </c>
      <c r="F15" s="5">
        <v>-1968</v>
      </c>
      <c r="G15" s="1"/>
      <c r="H15" s="1"/>
      <c r="I15" s="1"/>
      <c r="J15" s="1"/>
      <c r="K15" s="1"/>
      <c r="L15" s="1"/>
      <c r="M15" s="1"/>
      <c r="N15" s="1" t="s">
        <v>90</v>
      </c>
    </row>
    <row r="16">
      <c r="A16" s="6" t="s">
        <v>101</v>
      </c>
      <c r="B16" s="5">
        <v>249</v>
      </c>
      <c r="C16" s="5">
        <v>371</v>
      </c>
      <c r="D16" s="5">
        <v>492</v>
      </c>
      <c r="E16" s="5">
        <v>370</v>
      </c>
      <c r="F16" s="5">
        <v>1426</v>
      </c>
      <c r="G16" s="1"/>
      <c r="H16" s="1"/>
      <c r="I16" s="1"/>
      <c r="J16" s="1"/>
      <c r="K16" s="1"/>
      <c r="L16" s="1"/>
      <c r="M16" s="1"/>
      <c r="N16" s="1" t="s">
        <v>90</v>
      </c>
    </row>
    <row r="17">
      <c r="A17" s="6" t="s">
        <v>102</v>
      </c>
      <c r="B17" s="5">
        <v>-42</v>
      </c>
      <c r="C17" s="5">
        <v>985</v>
      </c>
      <c r="D17" s="5">
        <v>-177</v>
      </c>
      <c r="E17" s="5">
        <v>342</v>
      </c>
      <c r="F17" s="5">
        <v>-937</v>
      </c>
      <c r="G17" s="1"/>
      <c r="H17" s="1"/>
      <c r="I17" s="1"/>
      <c r="J17" s="1"/>
      <c r="K17" s="1"/>
      <c r="L17" s="1"/>
      <c r="M17" s="1"/>
      <c r="N17" s="1" t="s">
        <v>90</v>
      </c>
    </row>
    <row r="18">
      <c r="A18" s="16" t="s">
        <v>103</v>
      </c>
      <c r="B18" s="22">
        <v>-4991</v>
      </c>
      <c r="C18" s="22">
        <v>242</v>
      </c>
      <c r="D18" s="22">
        <v>-4219</v>
      </c>
      <c r="E18" s="22">
        <v>-1876</v>
      </c>
      <c r="F18" s="22">
        <v>-774</v>
      </c>
      <c r="G18" s="1"/>
      <c r="H18" s="1"/>
      <c r="I18" s="1"/>
      <c r="J18" s="1"/>
      <c r="K18" s="1"/>
      <c r="L18" s="1"/>
      <c r="M18" s="1"/>
      <c r="N18" s="1" t="s">
        <v>90</v>
      </c>
    </row>
    <row r="19">
      <c r="A19" s="6" t="s">
        <v>104</v>
      </c>
      <c r="B19" s="5">
        <v>-363</v>
      </c>
      <c r="C19" s="5">
        <v>-549</v>
      </c>
      <c r="D19" s="5">
        <v>718</v>
      </c>
      <c r="E19" s="5">
        <v>714</v>
      </c>
      <c r="F19" s="5">
        <v>-361</v>
      </c>
      <c r="G19" s="1"/>
      <c r="H19" s="1"/>
      <c r="I19" s="1"/>
      <c r="J19" s="1"/>
      <c r="K19" s="1"/>
      <c r="L19" s="1"/>
      <c r="M19" s="1"/>
      <c r="N19" s="1" t="s">
        <v>90</v>
      </c>
    </row>
    <row r="20">
      <c r="A20" s="16" t="s">
        <v>105</v>
      </c>
      <c r="B20" s="22">
        <v>-4628</v>
      </c>
      <c r="C20" s="22">
        <v>791</v>
      </c>
      <c r="D20" s="22">
        <v>-4937</v>
      </c>
      <c r="E20" s="22">
        <v>-2590</v>
      </c>
      <c r="F20" s="22">
        <v>-413</v>
      </c>
      <c r="G20" s="1"/>
      <c r="H20" s="1"/>
      <c r="I20" s="1"/>
      <c r="J20" s="1"/>
      <c r="K20" s="1"/>
      <c r="L20" s="1"/>
      <c r="M20" s="1"/>
      <c r="N20" s="1" t="s">
        <v>90</v>
      </c>
    </row>
    <row r="21">
      <c r="A21" s="6" t="s">
        <v>106</v>
      </c>
      <c r="B21" s="5">
        <v>-4628</v>
      </c>
      <c r="C21" s="5">
        <v>18</v>
      </c>
      <c r="D21" s="5">
        <v>-4937</v>
      </c>
      <c r="E21" s="5">
        <v>-2590</v>
      </c>
      <c r="F21" s="5">
        <v>-1084</v>
      </c>
      <c r="G21" s="1"/>
      <c r="H21" s="1"/>
      <c r="I21" s="1"/>
      <c r="J21" s="1"/>
      <c r="K21" s="1"/>
      <c r="L21" s="1"/>
      <c r="M21" s="1"/>
      <c r="N21" s="1" t="s">
        <v>90</v>
      </c>
    </row>
    <row r="22">
      <c r="A22" s="6" t="s">
        <v>107</v>
      </c>
      <c r="B22" s="5">
        <v>-4628</v>
      </c>
      <c r="C22" s="5">
        <v>21</v>
      </c>
      <c r="D22" s="5">
        <v>-4937</v>
      </c>
      <c r="E22" s="8">
        <f>E21</f>
        <v>-2590</v>
      </c>
      <c r="F22" s="8">
        <f>F21</f>
        <v>-1084</v>
      </c>
      <c r="G22" s="1"/>
      <c r="H22" s="1"/>
      <c r="I22" s="1"/>
      <c r="J22" s="1"/>
      <c r="K22" s="1"/>
      <c r="L22" s="1"/>
      <c r="M22" s="1"/>
      <c r="N22" s="1" t="s">
        <v>108</v>
      </c>
    </row>
    <row r="23">
      <c r="A23" s="1"/>
      <c r="B23" s="1"/>
      <c r="C23" s="1"/>
      <c r="D23" s="1"/>
      <c r="E23" s="1"/>
      <c r="F23" s="1"/>
      <c r="G23" s="1"/>
      <c r="H23" s="1"/>
      <c r="I23" s="1"/>
      <c r="J23" s="1"/>
      <c r="K23" s="1"/>
      <c r="L23" s="1"/>
      <c r="M23" s="1"/>
      <c r="N23" s="1"/>
    </row>
    <row r="24">
      <c r="A24" s="16" t="s">
        <v>109</v>
      </c>
      <c r="B24" s="1"/>
      <c r="C24" s="1"/>
      <c r="D24" s="1"/>
      <c r="E24" s="1"/>
      <c r="F24" s="1"/>
      <c r="G24" s="1"/>
      <c r="H24" s="1"/>
      <c r="I24" s="1"/>
      <c r="J24" s="1"/>
      <c r="K24" s="1"/>
      <c r="L24" s="1"/>
      <c r="M24" s="1"/>
      <c r="N24" s="1"/>
    </row>
    <row r="25">
      <c r="A25" s="6" t="s">
        <v>110</v>
      </c>
      <c r="B25" s="2">
        <v>-1.68</v>
      </c>
      <c r="C25" s="2">
        <v>0.01</v>
      </c>
      <c r="D25" s="2">
        <v>-1.69</v>
      </c>
      <c r="E25" s="2">
        <v>-0.89</v>
      </c>
      <c r="F25" s="2">
        <v>-0.15</v>
      </c>
      <c r="G25" s="1"/>
      <c r="H25" s="1"/>
      <c r="I25" s="1"/>
      <c r="J25" s="1"/>
      <c r="K25" s="1"/>
      <c r="L25" s="1"/>
      <c r="M25" s="1"/>
      <c r="N25" s="1" t="s">
        <v>90</v>
      </c>
    </row>
    <row r="26">
      <c r="A26" s="6" t="s">
        <v>111</v>
      </c>
      <c r="B26" s="2">
        <v>-1.68</v>
      </c>
      <c r="C26" s="2">
        <v>0</v>
      </c>
      <c r="D26" s="2">
        <v>-1.69</v>
      </c>
      <c r="E26" s="2">
        <v>-0.89</v>
      </c>
      <c r="F26" s="2">
        <v>-0.15</v>
      </c>
      <c r="G26" s="1"/>
      <c r="H26" s="1"/>
      <c r="I26" s="1"/>
      <c r="J26" s="1"/>
      <c r="K26" s="1"/>
      <c r="L26" s="1"/>
      <c r="M26" s="1"/>
      <c r="N26" s="1" t="s">
        <v>90</v>
      </c>
    </row>
    <row r="27">
      <c r="A27" s="6" t="s">
        <v>112</v>
      </c>
      <c r="B27" s="5">
        <v>2759</v>
      </c>
      <c r="C27" s="5">
        <v>2848</v>
      </c>
      <c r="D27" s="5">
        <v>2926</v>
      </c>
      <c r="E27" s="5">
        <v>2915</v>
      </c>
      <c r="F27" s="5">
        <v>7274</v>
      </c>
      <c r="G27" s="1"/>
      <c r="H27" s="1"/>
      <c r="I27" s="1"/>
      <c r="J27" s="1"/>
      <c r="K27" s="1"/>
      <c r="L27" s="1"/>
      <c r="M27" s="1"/>
      <c r="N27" s="1" t="s">
        <v>90</v>
      </c>
    </row>
    <row r="28">
      <c r="A28" s="6" t="s">
        <v>113</v>
      </c>
      <c r="B28" s="5">
        <v>2759</v>
      </c>
      <c r="C28" s="5">
        <v>9956</v>
      </c>
      <c r="D28" s="5">
        <v>2926</v>
      </c>
      <c r="E28" s="5">
        <v>2915</v>
      </c>
      <c r="F28" s="5">
        <v>7274</v>
      </c>
      <c r="G28" s="1"/>
      <c r="H28" s="1"/>
      <c r="I28" s="1"/>
      <c r="J28" s="1"/>
      <c r="K28" s="1"/>
      <c r="L28" s="1"/>
      <c r="M28" s="1"/>
      <c r="N28" s="1" t="s">
        <v>90</v>
      </c>
    </row>
    <row r="29">
      <c r="A29" s="1"/>
      <c r="B29" s="1"/>
      <c r="C29" s="1"/>
      <c r="D29" s="1"/>
      <c r="E29" s="1"/>
      <c r="F29" s="1"/>
      <c r="G29" s="1"/>
      <c r="H29" s="1"/>
      <c r="I29" s="1"/>
      <c r="J29" s="1"/>
      <c r="K29" s="1"/>
      <c r="L29" s="1"/>
      <c r="M29" s="1"/>
      <c r="N29" s="1"/>
    </row>
    <row r="30">
      <c r="A30" s="16" t="s">
        <v>114</v>
      </c>
      <c r="B30" s="1"/>
      <c r="C30" s="1"/>
      <c r="D30" s="1"/>
      <c r="E30" s="1"/>
      <c r="F30" s="1"/>
      <c r="G30" s="1"/>
      <c r="H30" s="1"/>
      <c r="I30" s="1"/>
      <c r="J30" s="1"/>
      <c r="K30" s="1"/>
      <c r="L30" s="1"/>
      <c r="M30" s="1"/>
      <c r="N30" s="1"/>
    </row>
    <row r="31">
      <c r="A31" s="6" t="s">
        <v>98</v>
      </c>
      <c r="B31" s="14">
        <f>B8+B9+B10+B11+B12-B13</f>
        <v>0</v>
      </c>
      <c r="C31" s="14">
        <f>C8+C9+C10+C11+C12-C13</f>
        <v>0</v>
      </c>
      <c r="D31" s="14">
        <f>D8+D9+D10+D11+D12-D13</f>
        <v>0</v>
      </c>
      <c r="E31" s="14">
        <f>E8+E9+E10+E11+E12-E13</f>
        <v>0</v>
      </c>
      <c r="F31" s="14">
        <f>F8+F9+F10+F11+F12-F13</f>
        <v>0</v>
      </c>
      <c r="G31" s="1"/>
      <c r="H31" s="1"/>
      <c r="I31" s="1"/>
      <c r="J31" s="1"/>
      <c r="K31" s="1"/>
      <c r="L31" s="1"/>
      <c r="M31" s="1"/>
      <c r="N31" s="1"/>
    </row>
    <row r="32">
      <c r="A32" s="6" t="s">
        <v>99</v>
      </c>
      <c r="B32" s="14">
        <f>B6-B13-B14</f>
        <v>0</v>
      </c>
      <c r="C32" s="14">
        <f>C6-C13-C14</f>
        <v>0</v>
      </c>
      <c r="D32" s="14">
        <f>D6-D13-D14</f>
        <v>0</v>
      </c>
      <c r="E32" s="14">
        <f>E6-E13-E14</f>
        <v>0</v>
      </c>
      <c r="F32" s="14">
        <f>F6-F13-F14</f>
        <v>0</v>
      </c>
      <c r="G32" s="1"/>
      <c r="H32" s="1"/>
      <c r="I32" s="1"/>
      <c r="J32" s="1"/>
      <c r="K32" s="1"/>
      <c r="L32" s="1"/>
      <c r="M32" s="1"/>
      <c r="N32" s="1"/>
    </row>
    <row r="33">
      <c r="A33" s="6" t="s">
        <v>103</v>
      </c>
      <c r="B33" s="14">
        <f>B14+B15+B16+B17-B18</f>
        <v>0</v>
      </c>
      <c r="C33" s="14">
        <f>C14+C15+C16+C17-C18</f>
        <v>0</v>
      </c>
      <c r="D33" s="14">
        <f>D14+D15+D16+D17-D18</f>
        <v>0</v>
      </c>
      <c r="E33" s="14">
        <f>E14+E15+E16+E17-E18</f>
        <v>0</v>
      </c>
      <c r="F33" s="14">
        <f>F14+F15+F16+F17-F18</f>
        <v>0</v>
      </c>
      <c r="G33" s="1"/>
      <c r="H33" s="1"/>
      <c r="I33" s="1"/>
      <c r="J33" s="1"/>
      <c r="K33" s="1"/>
      <c r="L33" s="1"/>
      <c r="M33" s="1"/>
      <c r="N33" s="1"/>
    </row>
    <row r="34">
      <c r="A34" s="6" t="s">
        <v>105</v>
      </c>
      <c r="B34" s="14">
        <f>B18-B19-B20</f>
        <v>0</v>
      </c>
      <c r="C34" s="14">
        <f>C18-C19-C20</f>
        <v>0</v>
      </c>
      <c r="D34" s="14">
        <f>D18-D19-D20</f>
        <v>0</v>
      </c>
      <c r="E34" s="14">
        <f>E18-E19-E20</f>
        <v>0</v>
      </c>
      <c r="F34" s="14">
        <f>F18-F19-F20</f>
        <v>0</v>
      </c>
      <c r="G34" s="1"/>
      <c r="H34" s="1"/>
      <c r="I34" s="1"/>
      <c r="J34" s="1"/>
      <c r="K34" s="1"/>
      <c r="L34" s="1"/>
      <c r="M34" s="1"/>
      <c r="N34" s="1"/>
    </row>
    <row r="35">
      <c r="A35" s="6" t="s">
        <v>115</v>
      </c>
      <c r="B35" s="14">
        <f>ROUND(B21/B27,2)-B25</f>
        <v>0</v>
      </c>
      <c r="C35" s="14">
        <f>ROUND(C21/C27,2)-C25</f>
        <v>0</v>
      </c>
      <c r="D35" s="14">
        <f>ROUND(D21/D27,2)-D25</f>
        <v>0</v>
      </c>
      <c r="E35" s="14">
        <f>ROUND(E21/E27,2)-E25</f>
        <v>0</v>
      </c>
      <c r="F35" s="14">
        <f>ROUND(F21/F27,2)-F25</f>
        <v>0</v>
      </c>
      <c r="G35" s="1"/>
      <c r="H35" s="1"/>
      <c r="I35" s="1"/>
      <c r="J35" s="1"/>
      <c r="K35" s="1"/>
      <c r="L35" s="1"/>
      <c r="M35" s="1"/>
      <c r="N35" s="1"/>
    </row>
    <row r="36">
      <c r="A36" s="6" t="s">
        <v>116</v>
      </c>
      <c r="B36" s="14">
        <f>ROUND(B22/B28,2)-B26</f>
        <v>0</v>
      </c>
      <c r="C36" s="14">
        <f>ROUND(C22/C28,2)-C26</f>
        <v>0</v>
      </c>
      <c r="D36" s="14">
        <f>ROUND(D22/D28,2)-D26</f>
        <v>0</v>
      </c>
      <c r="E36" s="14">
        <f>ROUND(E22/E28,2)-E26</f>
        <v>0</v>
      </c>
      <c r="F36" s="14">
        <f>ROUND(F22/F28,2)-F26</f>
        <v>0</v>
      </c>
      <c r="G36" s="1"/>
      <c r="H36" s="1"/>
      <c r="I36" s="1"/>
      <c r="J36" s="1"/>
      <c r="K36" s="1"/>
      <c r="L36" s="1"/>
      <c r="M36" s="1"/>
      <c r="N36" s="1"/>
    </row>
  </sheetData>
</worksheet>
</file>

<file path=xl/worksheets/sheet3.xml><?xml version="1.0" encoding="utf-8"?>
<worksheet xmlns="http://schemas.openxmlformats.org/spreadsheetml/2006/main" xmlns:r="http://schemas.openxmlformats.org/officeDocument/2006/relationships">
  <sheetPr>
    <tabColor rgb="FF6A7689"/>
  </sheetPr>
  <dimension ref="A1:N15"/>
  <sheetViews>
    <sheetView showGridLines="0" workbookViewId="0"/>
  </sheetViews>
  <sheetFormatPr defaultColWidth="8.375" defaultRowHeight="15"/>
  <cols>
    <col min="1" max="1" width="77.70703125" customWidth="1"/>
    <col min="2" max="6" width="12.70703125" customWidth="1"/>
    <col min="13" max="13" width="17.70703125" customWidth="1"/>
    <col min="14" max="14" width="92.70703125" customWidth="1"/>
  </cols>
  <sheetData>
    <row r="1">
      <c r="A1" s="56" t="s">
        <v>117</v>
      </c>
      <c r="B1" s="1"/>
      <c r="C1" s="1"/>
      <c r="D1" s="1"/>
      <c r="E1" s="1"/>
      <c r="F1" s="1"/>
      <c r="G1" s="1"/>
      <c r="H1" s="1"/>
      <c r="I1" s="1"/>
      <c r="J1" s="1"/>
      <c r="K1" s="1"/>
      <c r="L1" s="1"/>
      <c r="M1" s="1"/>
      <c r="N1" s="1"/>
    </row>
    <row r="2">
      <c r="A2" s="1" t="s">
        <v>118</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81</v>
      </c>
      <c r="B4" s="11" t="s">
        <v>82</v>
      </c>
      <c r="C4" s="11" t="s">
        <v>83</v>
      </c>
      <c r="D4" s="11" t="s">
        <v>84</v>
      </c>
      <c r="E4" s="11" t="s">
        <v>85</v>
      </c>
      <c r="F4" s="11" t="s">
        <v>86</v>
      </c>
      <c r="G4" s="1"/>
      <c r="H4" s="1"/>
      <c r="I4" s="1"/>
      <c r="J4" s="1"/>
      <c r="K4" s="1"/>
      <c r="L4" s="1"/>
      <c r="M4" s="40" t="s">
        <v>87</v>
      </c>
      <c r="N4" s="40" t="s">
        <v>88</v>
      </c>
    </row>
    <row r="5">
      <c r="A5" s="1"/>
      <c r="B5" s="1"/>
      <c r="C5" s="1"/>
      <c r="D5" s="1"/>
      <c r="E5" s="1"/>
      <c r="F5" s="1"/>
      <c r="G5" s="1"/>
      <c r="H5" s="1"/>
      <c r="I5" s="1"/>
      <c r="J5" s="1"/>
      <c r="K5" s="1"/>
      <c r="L5" s="1"/>
      <c r="M5" s="1"/>
      <c r="N5" s="1"/>
    </row>
    <row r="6">
      <c r="A6" s="6" t="s">
        <v>105</v>
      </c>
      <c r="B6" s="5">
        <v>-4628</v>
      </c>
      <c r="C6" s="5">
        <v>791</v>
      </c>
      <c r="D6" s="5">
        <v>-4937</v>
      </c>
      <c r="E6" s="5">
        <v>-2590</v>
      </c>
      <c r="F6" s="5">
        <v>-413</v>
      </c>
      <c r="G6" s="1"/>
      <c r="H6" s="1"/>
      <c r="I6" s="1"/>
      <c r="J6" s="1"/>
      <c r="K6" s="1"/>
      <c r="L6" s="1"/>
      <c r="M6" s="1"/>
      <c r="N6" s="1" t="s">
        <v>119</v>
      </c>
    </row>
    <row r="7">
      <c r="A7" s="6" t="s">
        <v>120</v>
      </c>
      <c r="B7" s="5">
        <v>222</v>
      </c>
      <c r="C7" s="5">
        <v>-391</v>
      </c>
      <c r="D7" s="5">
        <v>805</v>
      </c>
      <c r="E7" s="5">
        <v>792</v>
      </c>
      <c r="F7" s="5">
        <v>-207</v>
      </c>
      <c r="G7" s="1"/>
      <c r="H7" s="1"/>
      <c r="I7" s="1"/>
      <c r="J7" s="1"/>
      <c r="K7" s="1"/>
      <c r="L7" s="1"/>
      <c r="M7" s="1"/>
      <c r="N7" s="1" t="s">
        <v>119</v>
      </c>
    </row>
    <row r="8">
      <c r="A8" s="6" t="s">
        <v>121</v>
      </c>
      <c r="B8" s="5">
        <v>1</v>
      </c>
      <c r="C8" s="5">
        <v>-1</v>
      </c>
      <c r="D8" s="5">
        <v>0</v>
      </c>
      <c r="E8" s="8"/>
      <c r="F8" s="5">
        <v>-27</v>
      </c>
      <c r="G8" s="1"/>
      <c r="H8" s="1"/>
      <c r="I8" s="1"/>
      <c r="J8" s="1"/>
      <c r="K8" s="1"/>
      <c r="L8" s="1"/>
      <c r="M8" s="1"/>
      <c r="N8" s="1" t="s">
        <v>122</v>
      </c>
    </row>
    <row r="9">
      <c r="A9" s="16" t="s">
        <v>123</v>
      </c>
      <c r="B9" s="22">
        <v>223</v>
      </c>
      <c r="C9" s="22">
        <v>-392</v>
      </c>
      <c r="D9" s="22">
        <v>805</v>
      </c>
      <c r="E9" s="22">
        <v>792</v>
      </c>
      <c r="F9" s="22">
        <v>-234</v>
      </c>
      <c r="G9" s="1"/>
      <c r="H9" s="1"/>
      <c r="I9" s="1"/>
      <c r="J9" s="1"/>
      <c r="K9" s="1"/>
      <c r="L9" s="1"/>
      <c r="M9" s="1"/>
      <c r="N9" s="1" t="s">
        <v>119</v>
      </c>
    </row>
    <row r="10">
      <c r="A10" s="16" t="s">
        <v>124</v>
      </c>
      <c r="B10" s="22">
        <v>-4405</v>
      </c>
      <c r="C10" s="22">
        <v>399</v>
      </c>
      <c r="D10" s="22">
        <v>-4132</v>
      </c>
      <c r="E10" s="22">
        <v>-1798</v>
      </c>
      <c r="F10" s="22">
        <v>-647</v>
      </c>
      <c r="G10" s="1"/>
      <c r="H10" s="1"/>
      <c r="I10" s="1"/>
      <c r="J10" s="1"/>
      <c r="K10" s="1"/>
      <c r="L10" s="1"/>
      <c r="M10" s="1"/>
      <c r="N10" s="1" t="s">
        <v>119</v>
      </c>
    </row>
    <row r="11">
      <c r="A11" s="1"/>
      <c r="B11" s="1"/>
      <c r="C11" s="1"/>
      <c r="D11" s="1"/>
      <c r="E11" s="1"/>
      <c r="F11" s="1"/>
      <c r="G11" s="1"/>
      <c r="H11" s="1"/>
      <c r="I11" s="1"/>
      <c r="J11" s="1"/>
      <c r="K11" s="1"/>
      <c r="L11" s="1"/>
      <c r="M11" s="1"/>
      <c r="N11" s="1"/>
    </row>
    <row r="12">
      <c r="A12" s="16" t="s">
        <v>114</v>
      </c>
      <c r="B12" s="1"/>
      <c r="C12" s="1"/>
      <c r="D12" s="1"/>
      <c r="E12" s="1"/>
      <c r="F12" s="1"/>
      <c r="G12" s="1"/>
      <c r="H12" s="1"/>
      <c r="I12" s="1"/>
      <c r="J12" s="1"/>
      <c r="K12" s="1"/>
      <c r="L12" s="1"/>
      <c r="M12" s="1"/>
      <c r="N12" s="1"/>
    </row>
    <row r="13">
      <c r="A13" s="6" t="s">
        <v>123</v>
      </c>
      <c r="B13" s="14">
        <f>B7+B8-B9</f>
        <v>0</v>
      </c>
      <c r="C13" s="14">
        <f>C7+C8-C9</f>
        <v>0</v>
      </c>
      <c r="D13" s="14">
        <f>D7+D8-D9</f>
        <v>0</v>
      </c>
      <c r="E13" s="14">
        <f>E7+E8-E9</f>
        <v>0</v>
      </c>
      <c r="F13" s="14">
        <f>F7+F8-F9</f>
        <v>0</v>
      </c>
      <c r="G13" s="1"/>
      <c r="H13" s="1"/>
      <c r="I13" s="1"/>
      <c r="J13" s="1"/>
      <c r="K13" s="1"/>
      <c r="L13" s="1"/>
      <c r="M13" s="1"/>
      <c r="N13" s="1"/>
    </row>
    <row r="14">
      <c r="A14" s="6" t="s">
        <v>124</v>
      </c>
      <c r="B14" s="14">
        <f>B6+B9-B10</f>
        <v>0</v>
      </c>
      <c r="C14" s="14">
        <f>C6+C9-C10</f>
        <v>0</v>
      </c>
      <c r="D14" s="14">
        <f>D6+D9-D10</f>
        <v>0</v>
      </c>
      <c r="E14" s="14">
        <f>E6+E9-E10</f>
        <v>0</v>
      </c>
      <c r="F14" s="14">
        <f>F6+F9-F10</f>
        <v>0</v>
      </c>
      <c r="G14" s="1"/>
      <c r="H14" s="1"/>
      <c r="I14" s="1"/>
      <c r="J14" s="1"/>
      <c r="K14" s="1"/>
      <c r="L14" s="1"/>
      <c r="M14" s="1"/>
      <c r="N14" s="1"/>
    </row>
    <row r="15">
      <c r="A15" s="6" t="s">
        <v>125</v>
      </c>
      <c r="B15" s="14">
        <f>B6-IS_Hist!B20</f>
        <v>0</v>
      </c>
      <c r="C15" s="14">
        <f>C6-IS_Hist!C20</f>
        <v>0</v>
      </c>
      <c r="D15" s="14">
        <f>D6-IS_Hist!D20</f>
        <v>0</v>
      </c>
      <c r="E15" s="14">
        <f>E6-IS_Hist!E20</f>
        <v>0</v>
      </c>
      <c r="F15" s="14">
        <f>F6-IS_Hist!F20</f>
        <v>0</v>
      </c>
      <c r="G15" s="1"/>
      <c r="H15" s="1"/>
      <c r="I15" s="1"/>
      <c r="J15" s="1"/>
      <c r="K15" s="1"/>
      <c r="L15" s="1"/>
      <c r="M15" s="1"/>
      <c r="N15" s="1"/>
    </row>
  </sheetData>
</worksheet>
</file>

<file path=xl/worksheets/sheet4.xml><?xml version="1.0" encoding="utf-8"?>
<worksheet xmlns="http://schemas.openxmlformats.org/spreadsheetml/2006/main" xmlns:r="http://schemas.openxmlformats.org/officeDocument/2006/relationships">
  <sheetPr>
    <tabColor rgb="FF6A7689"/>
  </sheetPr>
  <dimension ref="A1:N64"/>
  <sheetViews>
    <sheetView showGridLines="0" workbookViewId="0"/>
  </sheetViews>
  <sheetFormatPr defaultColWidth="8.375" defaultRowHeight="15"/>
  <cols>
    <col min="1" max="1" width="86.0390625" customWidth="1"/>
    <col min="2" max="4" width="14.375" customWidth="1"/>
    <col min="13" max="13" width="17.70703125" customWidth="1"/>
    <col min="14" max="14" width="92.70703125" customWidth="1"/>
  </cols>
  <sheetData>
    <row r="1">
      <c r="A1" s="56" t="s">
        <v>126</v>
      </c>
      <c r="B1" s="1"/>
      <c r="C1" s="1"/>
      <c r="D1" s="1"/>
      <c r="E1" s="1"/>
      <c r="F1" s="1"/>
      <c r="G1" s="1"/>
      <c r="H1" s="1"/>
      <c r="I1" s="1"/>
      <c r="J1" s="1"/>
      <c r="K1" s="1"/>
      <c r="L1" s="1"/>
      <c r="M1" s="1"/>
      <c r="N1" s="1"/>
    </row>
    <row r="2">
      <c r="A2" s="1" t="s">
        <v>127</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81</v>
      </c>
      <c r="B4" s="11" t="s">
        <v>128</v>
      </c>
      <c r="C4" s="11" t="s">
        <v>129</v>
      </c>
      <c r="D4" s="11" t="s">
        <v>130</v>
      </c>
      <c r="E4" s="1"/>
      <c r="F4" s="1"/>
      <c r="G4" s="1"/>
      <c r="H4" s="1"/>
      <c r="I4" s="1"/>
      <c r="J4" s="1"/>
      <c r="K4" s="1"/>
      <c r="L4" s="1"/>
      <c r="M4" s="40" t="s">
        <v>87</v>
      </c>
      <c r="N4" s="40" t="s">
        <v>88</v>
      </c>
    </row>
    <row r="5">
      <c r="A5" s="1"/>
      <c r="B5" s="1"/>
      <c r="C5" s="1"/>
      <c r="D5" s="1"/>
      <c r="E5" s="1"/>
      <c r="F5" s="1"/>
      <c r="G5" s="1"/>
      <c r="H5" s="1"/>
      <c r="I5" s="1"/>
      <c r="J5" s="1"/>
      <c r="K5" s="1"/>
      <c r="L5" s="1"/>
      <c r="M5" s="1"/>
      <c r="N5" s="1"/>
    </row>
    <row r="6">
      <c r="A6" s="16" t="s">
        <v>131</v>
      </c>
      <c r="B6" s="1"/>
      <c r="C6" s="1"/>
      <c r="D6" s="1"/>
      <c r="E6" s="1"/>
      <c r="F6" s="1"/>
      <c r="G6" s="1"/>
      <c r="H6" s="1"/>
      <c r="I6" s="1"/>
      <c r="J6" s="1"/>
      <c r="K6" s="1"/>
      <c r="L6" s="1"/>
      <c r="M6" s="1"/>
      <c r="N6" s="1"/>
    </row>
    <row r="7">
      <c r="A7" s="6" t="s">
        <v>132</v>
      </c>
      <c r="B7" s="5">
        <v>11385</v>
      </c>
      <c r="C7" s="5">
        <v>24747</v>
      </c>
      <c r="D7" s="5">
        <v>51294</v>
      </c>
      <c r="E7" s="1"/>
      <c r="F7" s="1"/>
      <c r="G7" s="1"/>
      <c r="H7" s="1"/>
      <c r="I7" s="1"/>
      <c r="J7" s="1"/>
      <c r="K7" s="1"/>
      <c r="L7" s="1"/>
      <c r="M7" s="1"/>
      <c r="N7" s="1" t="s">
        <v>133</v>
      </c>
    </row>
    <row r="8">
      <c r="A8" s="6" t="s">
        <v>134</v>
      </c>
      <c r="B8" s="5">
        <v>800</v>
      </c>
      <c r="C8" s="8"/>
      <c r="D8" s="5">
        <v>38561</v>
      </c>
      <c r="E8" s="1"/>
      <c r="F8" s="1"/>
      <c r="G8" s="1"/>
      <c r="H8" s="1"/>
      <c r="I8" s="1"/>
      <c r="J8" s="1"/>
      <c r="K8" s="1"/>
      <c r="L8" s="1"/>
      <c r="M8" s="1"/>
      <c r="N8" s="1" t="s">
        <v>135</v>
      </c>
    </row>
    <row r="9">
      <c r="A9" s="6" t="s">
        <v>136</v>
      </c>
      <c r="B9" s="5">
        <v>1052</v>
      </c>
      <c r="C9" s="5">
        <v>1579</v>
      </c>
      <c r="D9" s="5">
        <v>4772</v>
      </c>
      <c r="E9" s="1"/>
      <c r="F9" s="1"/>
      <c r="G9" s="1"/>
      <c r="H9" s="1"/>
      <c r="I9" s="1"/>
      <c r="J9" s="1"/>
      <c r="K9" s="1"/>
      <c r="L9" s="1"/>
      <c r="M9" s="1"/>
      <c r="N9" s="1" t="s">
        <v>133</v>
      </c>
    </row>
    <row r="10">
      <c r="A10" s="6" t="s">
        <v>137</v>
      </c>
      <c r="B10" s="5">
        <v>2003</v>
      </c>
      <c r="C10" s="5">
        <v>2416</v>
      </c>
      <c r="D10" s="5">
        <v>2891</v>
      </c>
      <c r="E10" s="1"/>
      <c r="F10" s="1"/>
      <c r="G10" s="1"/>
      <c r="H10" s="1"/>
      <c r="I10" s="1"/>
      <c r="J10" s="1"/>
      <c r="K10" s="1"/>
      <c r="L10" s="1"/>
      <c r="M10" s="1"/>
      <c r="N10" s="1" t="s">
        <v>133</v>
      </c>
    </row>
    <row r="11">
      <c r="A11" s="6" t="s">
        <v>138</v>
      </c>
      <c r="B11" s="5">
        <v>868</v>
      </c>
      <c r="C11" s="5">
        <v>2210</v>
      </c>
      <c r="D11" s="5">
        <v>3457</v>
      </c>
      <c r="E11" s="1"/>
      <c r="F11" s="1"/>
      <c r="G11" s="1"/>
      <c r="H11" s="1"/>
      <c r="I11" s="1"/>
      <c r="J11" s="1"/>
      <c r="K11" s="1"/>
      <c r="L11" s="1"/>
      <c r="M11" s="1"/>
      <c r="N11" s="1" t="s">
        <v>133</v>
      </c>
    </row>
    <row r="12">
      <c r="A12" s="16" t="s">
        <v>139</v>
      </c>
      <c r="B12" s="22">
        <v>16108</v>
      </c>
      <c r="C12" s="22">
        <v>30952</v>
      </c>
      <c r="D12" s="22">
        <v>100975</v>
      </c>
      <c r="E12" s="1"/>
      <c r="F12" s="1"/>
      <c r="G12" s="1"/>
      <c r="H12" s="1"/>
      <c r="I12" s="1"/>
      <c r="J12" s="1"/>
      <c r="K12" s="1"/>
      <c r="L12" s="1"/>
      <c r="M12" s="1"/>
      <c r="N12" s="1" t="s">
        <v>133</v>
      </c>
    </row>
    <row r="13">
      <c r="A13" s="16" t="s">
        <v>140</v>
      </c>
      <c r="B13" s="1"/>
      <c r="C13" s="1"/>
      <c r="D13" s="1"/>
      <c r="E13" s="1"/>
      <c r="F13" s="1"/>
      <c r="G13" s="1"/>
      <c r="H13" s="1"/>
      <c r="I13" s="1"/>
      <c r="J13" s="1"/>
      <c r="K13" s="1"/>
      <c r="L13" s="1"/>
      <c r="M13" s="1"/>
      <c r="N13" s="1"/>
    </row>
    <row r="14">
      <c r="A14" s="6" t="s">
        <v>141</v>
      </c>
      <c r="B14" s="5">
        <v>21147</v>
      </c>
      <c r="C14" s="5">
        <v>42602</v>
      </c>
      <c r="D14" s="5">
        <v>89483</v>
      </c>
      <c r="E14" s="1"/>
      <c r="F14" s="1"/>
      <c r="G14" s="1"/>
      <c r="H14" s="1"/>
      <c r="I14" s="1"/>
      <c r="J14" s="1"/>
      <c r="K14" s="1"/>
      <c r="L14" s="1"/>
      <c r="M14" s="1"/>
      <c r="N14" s="1" t="s">
        <v>133</v>
      </c>
    </row>
    <row r="15">
      <c r="A15" s="6" t="s">
        <v>142</v>
      </c>
      <c r="B15" s="5">
        <v>1686</v>
      </c>
      <c r="C15" s="5">
        <v>1260</v>
      </c>
      <c r="D15" s="5">
        <v>1040</v>
      </c>
      <c r="E15" s="1"/>
      <c r="F15" s="1"/>
      <c r="G15" s="1"/>
      <c r="H15" s="1"/>
      <c r="I15" s="1"/>
      <c r="J15" s="1"/>
      <c r="K15" s="1"/>
      <c r="L15" s="1"/>
      <c r="M15" s="1"/>
      <c r="N15" s="1" t="s">
        <v>133</v>
      </c>
    </row>
    <row r="16">
      <c r="A16" s="6" t="s">
        <v>143</v>
      </c>
      <c r="B16" s="5">
        <v>2211</v>
      </c>
      <c r="C16" s="5">
        <v>1548</v>
      </c>
      <c r="D16" s="5">
        <v>6354</v>
      </c>
      <c r="E16" s="1"/>
      <c r="F16" s="1"/>
      <c r="G16" s="1"/>
      <c r="H16" s="1"/>
      <c r="I16" s="1"/>
      <c r="J16" s="1"/>
      <c r="K16" s="1"/>
      <c r="L16" s="1"/>
      <c r="M16" s="1"/>
      <c r="N16" s="1" t="s">
        <v>133</v>
      </c>
    </row>
    <row r="17">
      <c r="A17" s="6" t="s">
        <v>144</v>
      </c>
      <c r="B17" s="5">
        <v>1749</v>
      </c>
      <c r="C17" s="5">
        <v>1637</v>
      </c>
      <c r="D17" s="5">
        <v>1573</v>
      </c>
      <c r="E17" s="1"/>
      <c r="F17" s="1"/>
      <c r="G17" s="1"/>
      <c r="H17" s="1"/>
      <c r="I17" s="1"/>
      <c r="J17" s="1"/>
      <c r="K17" s="1"/>
      <c r="L17" s="1"/>
      <c r="M17" s="1"/>
      <c r="N17" s="1" t="s">
        <v>133</v>
      </c>
    </row>
    <row r="18">
      <c r="A18" s="6" t="s">
        <v>145</v>
      </c>
      <c r="B18" s="5">
        <v>11129</v>
      </c>
      <c r="C18" s="5">
        <v>11809</v>
      </c>
      <c r="D18" s="5">
        <v>48423</v>
      </c>
      <c r="E18" s="1"/>
      <c r="F18" s="1"/>
      <c r="G18" s="1"/>
      <c r="H18" s="1"/>
      <c r="I18" s="1"/>
      <c r="J18" s="1"/>
      <c r="K18" s="1"/>
      <c r="L18" s="1"/>
      <c r="M18" s="1"/>
      <c r="N18" s="1" t="s">
        <v>133</v>
      </c>
    </row>
    <row r="19">
      <c r="A19" s="6" t="s">
        <v>146</v>
      </c>
      <c r="B19" s="5">
        <v>696</v>
      </c>
      <c r="C19" s="5">
        <v>141</v>
      </c>
      <c r="D19" s="5">
        <v>388</v>
      </c>
      <c r="E19" s="1"/>
      <c r="F19" s="1"/>
      <c r="G19" s="1"/>
      <c r="H19" s="1"/>
      <c r="I19" s="1"/>
      <c r="J19" s="1"/>
      <c r="K19" s="1"/>
      <c r="L19" s="1"/>
      <c r="M19" s="1"/>
      <c r="N19" s="1" t="s">
        <v>133</v>
      </c>
    </row>
    <row r="20">
      <c r="A20" s="6" t="s">
        <v>147</v>
      </c>
      <c r="B20" s="5">
        <v>2336</v>
      </c>
      <c r="C20" s="5">
        <v>2130</v>
      </c>
      <c r="D20" s="5">
        <v>5809</v>
      </c>
      <c r="E20" s="1"/>
      <c r="F20" s="1"/>
      <c r="G20" s="1"/>
      <c r="H20" s="1"/>
      <c r="I20" s="1"/>
      <c r="J20" s="1"/>
      <c r="K20" s="1"/>
      <c r="L20" s="1"/>
      <c r="M20" s="1"/>
      <c r="N20" s="1" t="s">
        <v>133</v>
      </c>
    </row>
    <row r="21">
      <c r="A21" s="16" t="s">
        <v>148</v>
      </c>
      <c r="B21" s="22">
        <v>57062</v>
      </c>
      <c r="C21" s="22">
        <v>92079</v>
      </c>
      <c r="D21" s="22">
        <v>254045</v>
      </c>
      <c r="E21" s="1"/>
      <c r="F21" s="1"/>
      <c r="G21" s="1"/>
      <c r="H21" s="1"/>
      <c r="I21" s="1"/>
      <c r="J21" s="1"/>
      <c r="K21" s="1"/>
      <c r="L21" s="1"/>
      <c r="M21" s="1"/>
      <c r="N21" s="1" t="s">
        <v>133</v>
      </c>
    </row>
    <row r="22">
      <c r="A22" s="16" t="s">
        <v>149</v>
      </c>
      <c r="B22" s="1"/>
      <c r="C22" s="1"/>
      <c r="D22" s="1"/>
      <c r="E22" s="1"/>
      <c r="F22" s="1"/>
      <c r="G22" s="1"/>
      <c r="H22" s="1"/>
      <c r="I22" s="1"/>
      <c r="J22" s="1"/>
      <c r="K22" s="1"/>
      <c r="L22" s="1"/>
      <c r="M22" s="1"/>
      <c r="N22" s="1"/>
    </row>
    <row r="23">
      <c r="A23" s="6" t="s">
        <v>150</v>
      </c>
      <c r="B23" s="5">
        <v>4413</v>
      </c>
      <c r="C23" s="5">
        <v>11792</v>
      </c>
      <c r="D23" s="5">
        <v>13259</v>
      </c>
      <c r="E23" s="1"/>
      <c r="F23" s="1"/>
      <c r="G23" s="1"/>
      <c r="H23" s="1"/>
      <c r="I23" s="1"/>
      <c r="J23" s="1"/>
      <c r="K23" s="1"/>
      <c r="L23" s="1"/>
      <c r="M23" s="1"/>
      <c r="N23" s="1" t="s">
        <v>133</v>
      </c>
    </row>
    <row r="24">
      <c r="A24" s="6" t="s">
        <v>151</v>
      </c>
      <c r="B24" s="5">
        <v>5498</v>
      </c>
      <c r="C24" s="5">
        <v>6111</v>
      </c>
      <c r="D24" s="5">
        <v>10784</v>
      </c>
      <c r="E24" s="1"/>
      <c r="F24" s="1"/>
      <c r="G24" s="1"/>
      <c r="H24" s="1"/>
      <c r="I24" s="1"/>
      <c r="J24" s="1"/>
      <c r="K24" s="1"/>
      <c r="L24" s="1"/>
      <c r="M24" s="1"/>
      <c r="N24" s="1" t="s">
        <v>133</v>
      </c>
    </row>
    <row r="25">
      <c r="A25" s="6" t="s">
        <v>152</v>
      </c>
      <c r="B25" s="5">
        <v>372</v>
      </c>
      <c r="C25" s="5">
        <v>928</v>
      </c>
      <c r="D25" s="5">
        <v>2698</v>
      </c>
      <c r="E25" s="1"/>
      <c r="F25" s="1"/>
      <c r="G25" s="1"/>
      <c r="H25" s="1"/>
      <c r="I25" s="1"/>
      <c r="J25" s="1"/>
      <c r="K25" s="1"/>
      <c r="L25" s="1"/>
      <c r="M25" s="1"/>
      <c r="N25" s="1" t="s">
        <v>133</v>
      </c>
    </row>
    <row r="26">
      <c r="A26" s="6" t="s">
        <v>153</v>
      </c>
      <c r="B26" s="5">
        <v>1508</v>
      </c>
      <c r="C26" s="5">
        <v>2569</v>
      </c>
      <c r="D26" s="5">
        <v>5997</v>
      </c>
      <c r="E26" s="1"/>
      <c r="F26" s="1"/>
      <c r="G26" s="1"/>
      <c r="H26" s="1"/>
      <c r="I26" s="1"/>
      <c r="J26" s="1"/>
      <c r="K26" s="1"/>
      <c r="L26" s="1"/>
      <c r="M26" s="1"/>
      <c r="N26" s="1" t="s">
        <v>133</v>
      </c>
    </row>
    <row r="27">
      <c r="A27" s="16" t="s">
        <v>154</v>
      </c>
      <c r="B27" s="22">
        <v>11791</v>
      </c>
      <c r="C27" s="22">
        <v>21400</v>
      </c>
      <c r="D27" s="22">
        <v>32738</v>
      </c>
      <c r="E27" s="1"/>
      <c r="F27" s="1"/>
      <c r="G27" s="1"/>
      <c r="H27" s="1"/>
      <c r="I27" s="1"/>
      <c r="J27" s="1"/>
      <c r="K27" s="1"/>
      <c r="L27" s="1"/>
      <c r="M27" s="1"/>
      <c r="N27" s="1" t="s">
        <v>133</v>
      </c>
    </row>
    <row r="28">
      <c r="A28" s="16" t="s">
        <v>155</v>
      </c>
      <c r="B28" s="1"/>
      <c r="C28" s="1"/>
      <c r="D28" s="1"/>
      <c r="E28" s="1"/>
      <c r="F28" s="1"/>
      <c r="G28" s="1"/>
      <c r="H28" s="1"/>
      <c r="I28" s="1"/>
      <c r="J28" s="1"/>
      <c r="K28" s="1"/>
      <c r="L28" s="1"/>
      <c r="M28" s="1"/>
      <c r="N28" s="1"/>
    </row>
    <row r="29">
      <c r="A29" s="6" t="s">
        <v>156</v>
      </c>
      <c r="B29" s="5">
        <v>4681</v>
      </c>
      <c r="C29" s="5">
        <v>6005</v>
      </c>
      <c r="D29" s="5">
        <v>6736</v>
      </c>
      <c r="E29" s="1"/>
      <c r="F29" s="1"/>
      <c r="G29" s="1"/>
      <c r="H29" s="1"/>
      <c r="I29" s="1"/>
      <c r="J29" s="1"/>
      <c r="K29" s="1"/>
      <c r="L29" s="1"/>
      <c r="M29" s="1"/>
      <c r="N29" s="1" t="s">
        <v>133</v>
      </c>
    </row>
    <row r="30">
      <c r="A30" s="6" t="s">
        <v>157</v>
      </c>
      <c r="B30" s="5">
        <v>13421</v>
      </c>
      <c r="C30" s="5">
        <v>21968</v>
      </c>
      <c r="D30" s="5">
        <v>36146</v>
      </c>
      <c r="E30" s="1"/>
      <c r="F30" s="1"/>
      <c r="G30" s="1"/>
      <c r="H30" s="1"/>
      <c r="I30" s="1"/>
      <c r="J30" s="1"/>
      <c r="K30" s="1"/>
      <c r="L30" s="1"/>
      <c r="M30" s="1"/>
      <c r="N30" s="1" t="s">
        <v>133</v>
      </c>
    </row>
    <row r="31">
      <c r="A31" s="6" t="s">
        <v>158</v>
      </c>
      <c r="B31" s="5">
        <v>1365</v>
      </c>
      <c r="C31" s="5">
        <v>1381</v>
      </c>
      <c r="D31" s="5">
        <v>1657</v>
      </c>
      <c r="E31" s="1"/>
      <c r="F31" s="1"/>
      <c r="G31" s="1"/>
      <c r="H31" s="1"/>
      <c r="I31" s="1"/>
      <c r="J31" s="1"/>
      <c r="K31" s="1"/>
      <c r="L31" s="1"/>
      <c r="M31" s="1"/>
      <c r="N31" s="1" t="s">
        <v>133</v>
      </c>
    </row>
    <row r="32">
      <c r="A32" s="16" t="s">
        <v>159</v>
      </c>
      <c r="B32" s="22">
        <v>31258</v>
      </c>
      <c r="C32" s="22">
        <v>50754</v>
      </c>
      <c r="D32" s="22">
        <v>77277</v>
      </c>
      <c r="E32" s="1"/>
      <c r="F32" s="1"/>
      <c r="G32" s="1"/>
      <c r="H32" s="1"/>
      <c r="I32" s="1"/>
      <c r="J32" s="1"/>
      <c r="K32" s="1"/>
      <c r="L32" s="1"/>
      <c r="M32" s="1"/>
      <c r="N32" s="1" t="s">
        <v>133</v>
      </c>
    </row>
    <row r="33">
      <c r="A33" s="16" t="s">
        <v>160</v>
      </c>
      <c r="B33" s="1"/>
      <c r="C33" s="1"/>
      <c r="D33" s="1"/>
      <c r="E33" s="1"/>
      <c r="F33" s="1"/>
      <c r="G33" s="1"/>
      <c r="H33" s="1"/>
      <c r="I33" s="1"/>
      <c r="J33" s="1"/>
      <c r="K33" s="1"/>
      <c r="L33" s="1"/>
      <c r="M33" s="1"/>
      <c r="N33" s="1"/>
    </row>
    <row r="34">
      <c r="A34" s="6" t="s">
        <v>160</v>
      </c>
      <c r="B34" s="5">
        <v>20941</v>
      </c>
      <c r="C34" s="5">
        <v>38752</v>
      </c>
      <c r="D34" s="8"/>
      <c r="E34" s="1"/>
      <c r="F34" s="1"/>
      <c r="G34" s="1"/>
      <c r="H34" s="1"/>
      <c r="I34" s="1"/>
      <c r="J34" s="1"/>
      <c r="K34" s="1"/>
      <c r="L34" s="1"/>
      <c r="M34" s="1"/>
      <c r="N34" s="1" t="s">
        <v>161</v>
      </c>
    </row>
    <row r="35">
      <c r="A35" s="16" t="s">
        <v>162</v>
      </c>
      <c r="B35" s="1"/>
      <c r="C35" s="1"/>
      <c r="D35" s="1"/>
      <c r="E35" s="1"/>
      <c r="F35" s="1"/>
      <c r="G35" s="1"/>
      <c r="H35" s="1"/>
      <c r="I35" s="1"/>
      <c r="J35" s="1"/>
      <c r="K35" s="1"/>
      <c r="L35" s="1"/>
      <c r="M35" s="1"/>
      <c r="N35" s="1"/>
    </row>
    <row r="36">
      <c r="A36" s="6" t="s">
        <v>163</v>
      </c>
      <c r="B36" s="5">
        <v>2</v>
      </c>
      <c r="C36" s="5">
        <v>3</v>
      </c>
      <c r="D36" s="5">
        <v>8</v>
      </c>
      <c r="E36" s="1"/>
      <c r="F36" s="1"/>
      <c r="G36" s="1"/>
      <c r="H36" s="1"/>
      <c r="I36" s="1"/>
      <c r="J36" s="1"/>
      <c r="K36" s="1"/>
      <c r="L36" s="1"/>
      <c r="M36" s="1"/>
      <c r="N36" s="1" t="s">
        <v>133</v>
      </c>
    </row>
    <row r="37">
      <c r="A37" s="6" t="s">
        <v>164</v>
      </c>
      <c r="B37" s="5">
        <v>1</v>
      </c>
      <c r="C37" s="5">
        <v>1</v>
      </c>
      <c r="D37" s="5">
        <v>5</v>
      </c>
      <c r="E37" s="1"/>
      <c r="F37" s="1"/>
      <c r="G37" s="1"/>
      <c r="H37" s="1"/>
      <c r="I37" s="1"/>
      <c r="J37" s="1"/>
      <c r="K37" s="1"/>
      <c r="L37" s="1"/>
      <c r="M37" s="1"/>
      <c r="N37" s="1" t="s">
        <v>133</v>
      </c>
    </row>
    <row r="38">
      <c r="A38" s="6" t="s">
        <v>165</v>
      </c>
      <c r="B38" s="5">
        <v>0</v>
      </c>
      <c r="C38" s="5">
        <v>0</v>
      </c>
      <c r="D38" s="8"/>
      <c r="E38" s="1"/>
      <c r="F38" s="1"/>
      <c r="G38" s="1"/>
      <c r="H38" s="1"/>
      <c r="I38" s="1"/>
      <c r="J38" s="1"/>
      <c r="K38" s="1"/>
      <c r="L38" s="1"/>
      <c r="M38" s="1"/>
      <c r="N38" s="1" t="s">
        <v>161</v>
      </c>
    </row>
    <row r="39">
      <c r="A39" s="6" t="s">
        <v>166</v>
      </c>
      <c r="B39" s="5">
        <v>35865</v>
      </c>
      <c r="C39" s="5">
        <v>37706</v>
      </c>
      <c r="D39" s="5">
        <v>212539</v>
      </c>
      <c r="E39" s="1"/>
      <c r="F39" s="1"/>
      <c r="G39" s="1"/>
      <c r="H39" s="1"/>
      <c r="I39" s="1"/>
      <c r="J39" s="1"/>
      <c r="K39" s="1"/>
      <c r="L39" s="1"/>
      <c r="M39" s="1"/>
      <c r="N39" s="1" t="s">
        <v>133</v>
      </c>
    </row>
    <row r="40">
      <c r="A40" s="6" t="s">
        <v>167</v>
      </c>
      <c r="B40" s="5">
        <v>-32098</v>
      </c>
      <c r="C40" s="5">
        <v>-37035</v>
      </c>
      <c r="D40" s="5">
        <v>-37448</v>
      </c>
      <c r="E40" s="1"/>
      <c r="F40" s="1"/>
      <c r="G40" s="1"/>
      <c r="H40" s="1"/>
      <c r="I40" s="1"/>
      <c r="J40" s="1"/>
      <c r="K40" s="1"/>
      <c r="L40" s="1"/>
      <c r="M40" s="1"/>
      <c r="N40" s="1" t="s">
        <v>133</v>
      </c>
    </row>
    <row r="41">
      <c r="A41" s="6" t="s">
        <v>168</v>
      </c>
      <c r="B41" s="5">
        <v>1093</v>
      </c>
      <c r="C41" s="5">
        <v>1898</v>
      </c>
      <c r="D41" s="5">
        <v>1664</v>
      </c>
      <c r="E41" s="1"/>
      <c r="F41" s="1"/>
      <c r="G41" s="1"/>
      <c r="H41" s="1"/>
      <c r="I41" s="1"/>
      <c r="J41" s="1"/>
      <c r="K41" s="1"/>
      <c r="L41" s="1"/>
      <c r="M41" s="1"/>
      <c r="N41" s="1" t="s">
        <v>133</v>
      </c>
    </row>
    <row r="42">
      <c r="A42" s="16" t="s">
        <v>169</v>
      </c>
      <c r="B42" s="22">
        <v>4863</v>
      </c>
      <c r="C42" s="22">
        <v>2573</v>
      </c>
      <c r="D42" s="22">
        <v>176768</v>
      </c>
      <c r="E42" s="1"/>
      <c r="F42" s="1"/>
      <c r="G42" s="1"/>
      <c r="H42" s="1"/>
      <c r="I42" s="1"/>
      <c r="J42" s="1"/>
      <c r="K42" s="1"/>
      <c r="L42" s="1"/>
      <c r="M42" s="1"/>
      <c r="N42" s="1" t="s">
        <v>133</v>
      </c>
    </row>
    <row r="43">
      <c r="A43" s="16" t="s">
        <v>170</v>
      </c>
      <c r="B43" s="22">
        <v>57062</v>
      </c>
      <c r="C43" s="22">
        <v>92079</v>
      </c>
      <c r="D43" s="22">
        <v>254045</v>
      </c>
      <c r="E43" s="1"/>
      <c r="F43" s="1"/>
      <c r="G43" s="1"/>
      <c r="H43" s="1"/>
      <c r="I43" s="1"/>
      <c r="J43" s="1"/>
      <c r="K43" s="1"/>
      <c r="L43" s="1"/>
      <c r="M43" s="1"/>
      <c r="N43" s="1" t="s">
        <v>133</v>
      </c>
    </row>
    <row r="44">
      <c r="A44" s="1"/>
      <c r="B44" s="1"/>
      <c r="C44" s="1"/>
      <c r="D44" s="1"/>
      <c r="E44" s="1"/>
      <c r="F44" s="1"/>
      <c r="G44" s="1"/>
      <c r="H44" s="1"/>
      <c r="I44" s="1"/>
      <c r="J44" s="1"/>
      <c r="K44" s="1"/>
      <c r="L44" s="1"/>
      <c r="M44" s="1"/>
      <c r="N44" s="1"/>
    </row>
    <row r="45">
      <c r="A45" s="16" t="s">
        <v>171</v>
      </c>
      <c r="B45" s="1"/>
      <c r="C45" s="1"/>
      <c r="D45" s="1"/>
      <c r="E45" s="1"/>
      <c r="F45" s="1"/>
      <c r="G45" s="1"/>
      <c r="H45" s="1"/>
      <c r="I45" s="1"/>
      <c r="J45" s="1"/>
      <c r="K45" s="1"/>
      <c r="L45" s="1"/>
      <c r="M45" s="1"/>
      <c r="N45" s="1"/>
    </row>
    <row r="46">
      <c r="A46" s="6" t="s">
        <v>172</v>
      </c>
      <c r="B46" s="8">
        <f>B7+B8</f>
        <v>12185</v>
      </c>
      <c r="C46" s="8">
        <f>C7+C8</f>
        <v>24747</v>
      </c>
      <c r="D46" s="8">
        <f>D7+D8</f>
        <v>89855</v>
      </c>
      <c r="E46" s="1"/>
      <c r="F46" s="1"/>
      <c r="G46" s="1"/>
      <c r="H46" s="1"/>
      <c r="I46" s="1"/>
      <c r="J46" s="1"/>
      <c r="K46" s="1"/>
      <c r="L46" s="1"/>
      <c r="M46" s="1"/>
      <c r="N46" s="1"/>
    </row>
    <row r="47">
      <c r="A47" s="6" t="s">
        <v>173</v>
      </c>
      <c r="B47" s="8">
        <f>B24+B29</f>
        <v>10179</v>
      </c>
      <c r="C47" s="8">
        <f>C24+C29</f>
        <v>12116</v>
      </c>
      <c r="D47" s="8">
        <f>D24+D29</f>
        <v>17520</v>
      </c>
      <c r="E47" s="1"/>
      <c r="F47" s="1"/>
      <c r="G47" s="1"/>
      <c r="H47" s="1"/>
      <c r="I47" s="1"/>
      <c r="J47" s="1"/>
      <c r="K47" s="1"/>
      <c r="L47" s="1"/>
      <c r="M47" s="1"/>
      <c r="N47" s="1"/>
    </row>
    <row r="48">
      <c r="A48" s="6" t="s">
        <v>174</v>
      </c>
      <c r="B48" s="8">
        <f>B25+B30</f>
        <v>13793</v>
      </c>
      <c r="C48" s="8">
        <f>C25+C30</f>
        <v>22896</v>
      </c>
      <c r="D48" s="8">
        <f>D25+D30</f>
        <v>38844</v>
      </c>
      <c r="E48" s="1"/>
      <c r="F48" s="1"/>
      <c r="G48" s="1"/>
      <c r="H48" s="1"/>
      <c r="I48" s="1"/>
      <c r="J48" s="1"/>
      <c r="K48" s="1"/>
      <c r="L48" s="1"/>
      <c r="M48" s="1"/>
      <c r="N48" s="1"/>
    </row>
    <row r="49">
      <c r="A49" s="6" t="s">
        <v>175</v>
      </c>
      <c r="B49" s="5">
        <v>23</v>
      </c>
      <c r="C49" s="5">
        <v>182</v>
      </c>
      <c r="D49" s="5">
        <v>555</v>
      </c>
      <c r="E49" s="1"/>
      <c r="F49" s="1"/>
      <c r="G49" s="1"/>
      <c r="H49" s="1"/>
      <c r="I49" s="1"/>
      <c r="J49" s="1"/>
      <c r="K49" s="1"/>
      <c r="L49" s="1"/>
      <c r="M49" s="1"/>
      <c r="N49" s="1" t="s">
        <v>176</v>
      </c>
    </row>
    <row r="50">
      <c r="A50" s="6" t="s">
        <v>177</v>
      </c>
      <c r="B50" s="5">
        <v>93</v>
      </c>
      <c r="C50" s="5">
        <v>195</v>
      </c>
      <c r="D50" s="5">
        <v>1537</v>
      </c>
      <c r="E50" s="1"/>
      <c r="F50" s="1"/>
      <c r="G50" s="1"/>
      <c r="H50" s="1"/>
      <c r="I50" s="1"/>
      <c r="J50" s="1"/>
      <c r="K50" s="1"/>
      <c r="L50" s="1"/>
      <c r="M50" s="1"/>
      <c r="N50" s="1" t="s">
        <v>176</v>
      </c>
    </row>
    <row r="51">
      <c r="A51" s="6" t="s">
        <v>178</v>
      </c>
      <c r="B51" s="1"/>
      <c r="C51" s="5">
        <v>92079</v>
      </c>
      <c r="D51" s="1"/>
      <c r="E51" s="1"/>
      <c r="F51" s="1"/>
      <c r="G51" s="1"/>
      <c r="H51" s="1"/>
      <c r="I51" s="1"/>
      <c r="J51" s="1"/>
      <c r="K51" s="1"/>
      <c r="L51" s="1"/>
      <c r="M51" s="1"/>
      <c r="N51" s="1" t="s">
        <v>179</v>
      </c>
    </row>
    <row r="52">
      <c r="A52" s="6" t="s">
        <v>180</v>
      </c>
      <c r="B52" s="1"/>
      <c r="C52" s="5">
        <v>50754</v>
      </c>
      <c r="D52" s="1"/>
      <c r="E52" s="1"/>
      <c r="F52" s="1"/>
      <c r="G52" s="1"/>
      <c r="H52" s="1"/>
      <c r="I52" s="1"/>
      <c r="J52" s="1"/>
      <c r="K52" s="1"/>
      <c r="L52" s="1"/>
      <c r="M52" s="1"/>
      <c r="N52" s="1" t="s">
        <v>179</v>
      </c>
    </row>
    <row r="53">
      <c r="A53" s="6" t="s">
        <v>181</v>
      </c>
      <c r="B53" s="1"/>
      <c r="C53" s="5">
        <v>2573</v>
      </c>
      <c r="D53" s="1"/>
      <c r="E53" s="1"/>
      <c r="F53" s="1"/>
      <c r="G53" s="1"/>
      <c r="H53" s="1"/>
      <c r="I53" s="1"/>
      <c r="J53" s="1"/>
      <c r="K53" s="1"/>
      <c r="L53" s="1"/>
      <c r="M53" s="1"/>
      <c r="N53" s="1" t="s">
        <v>179</v>
      </c>
    </row>
    <row r="54">
      <c r="A54" s="6" t="s">
        <v>182</v>
      </c>
      <c r="B54" s="1"/>
      <c r="C54" s="5">
        <v>24747</v>
      </c>
      <c r="D54" s="1"/>
      <c r="E54" s="1"/>
      <c r="F54" s="1"/>
      <c r="G54" s="1"/>
      <c r="H54" s="1"/>
      <c r="I54" s="1"/>
      <c r="J54" s="1"/>
      <c r="K54" s="1"/>
      <c r="L54" s="1"/>
      <c r="M54" s="1"/>
      <c r="N54" s="1" t="s">
        <v>179</v>
      </c>
    </row>
    <row r="55">
      <c r="A55" s="1"/>
      <c r="B55" s="1"/>
      <c r="C55" s="1"/>
      <c r="D55" s="1"/>
      <c r="E55" s="1"/>
      <c r="F55" s="1"/>
      <c r="G55" s="1"/>
      <c r="H55" s="1"/>
      <c r="I55" s="1"/>
      <c r="J55" s="1"/>
      <c r="K55" s="1"/>
      <c r="L55" s="1"/>
      <c r="M55" s="1"/>
      <c r="N55" s="1"/>
    </row>
    <row r="56">
      <c r="A56" s="16" t="s">
        <v>114</v>
      </c>
      <c r="B56" s="1"/>
      <c r="C56" s="1"/>
      <c r="D56" s="1"/>
      <c r="E56" s="1"/>
      <c r="F56" s="1"/>
      <c r="G56" s="1"/>
      <c r="H56" s="1"/>
      <c r="I56" s="1"/>
      <c r="J56" s="1"/>
      <c r="K56" s="1"/>
      <c r="L56" s="1"/>
      <c r="M56" s="1"/>
      <c r="N56" s="1"/>
    </row>
    <row r="57">
      <c r="A57" s="6" t="s">
        <v>139</v>
      </c>
      <c r="B57" s="14">
        <f>B7+B8+B9+B10+B11-B12</f>
        <v>0</v>
      </c>
      <c r="C57" s="14">
        <f>C7+C8+C9+C10+C11-C12</f>
        <v>0</v>
      </c>
      <c r="D57" s="14">
        <f>D7+D8+D9+D10+D11-D12</f>
        <v>0</v>
      </c>
      <c r="E57" s="1"/>
      <c r="F57" s="1"/>
      <c r="G57" s="1"/>
      <c r="H57" s="1"/>
      <c r="I57" s="1"/>
      <c r="J57" s="1"/>
      <c r="K57" s="1"/>
      <c r="L57" s="1"/>
      <c r="M57" s="1"/>
      <c r="N57" s="1"/>
    </row>
    <row r="58">
      <c r="A58" s="6" t="s">
        <v>148</v>
      </c>
      <c r="B58" s="14">
        <f>B12+B14+B15+B16+B17+B18+B19+B20-B21</f>
        <v>0</v>
      </c>
      <c r="C58" s="14">
        <f>C12+C14+C15+C16+C17+C18+C19+C20-C21</f>
        <v>0</v>
      </c>
      <c r="D58" s="14">
        <f>D12+D14+D15+D16+D17+D18+D19+D20-D21</f>
        <v>0</v>
      </c>
      <c r="E58" s="1"/>
      <c r="F58" s="1"/>
      <c r="G58" s="1"/>
      <c r="H58" s="1"/>
      <c r="I58" s="1"/>
      <c r="J58" s="1"/>
      <c r="K58" s="1"/>
      <c r="L58" s="1"/>
      <c r="M58" s="1"/>
      <c r="N58" s="1"/>
    </row>
    <row r="59">
      <c r="A59" s="6" t="s">
        <v>154</v>
      </c>
      <c r="B59" s="14">
        <f>B23+B24+B25+B26-B27</f>
        <v>0</v>
      </c>
      <c r="C59" s="14">
        <f>C23+C24+C25+C26-C27</f>
        <v>0</v>
      </c>
      <c r="D59" s="14">
        <f>D23+D24+D25+D26-D27</f>
        <v>0</v>
      </c>
      <c r="E59" s="1"/>
      <c r="F59" s="1"/>
      <c r="G59" s="1"/>
      <c r="H59" s="1"/>
      <c r="I59" s="1"/>
      <c r="J59" s="1"/>
      <c r="K59" s="1"/>
      <c r="L59" s="1"/>
      <c r="M59" s="1"/>
      <c r="N59" s="1"/>
    </row>
    <row r="60">
      <c r="A60" s="6" t="s">
        <v>159</v>
      </c>
      <c r="B60" s="14">
        <f>B27+B29+B30+B31-B32</f>
        <v>0</v>
      </c>
      <c r="C60" s="14">
        <f>C27+C29+C30+C31-C32</f>
        <v>0</v>
      </c>
      <c r="D60" s="14">
        <f>D27+D29+D30+D31-D32</f>
        <v>0</v>
      </c>
      <c r="E60" s="1"/>
      <c r="F60" s="1"/>
      <c r="G60" s="1"/>
      <c r="H60" s="1"/>
      <c r="I60" s="1"/>
      <c r="J60" s="1"/>
      <c r="K60" s="1"/>
      <c r="L60" s="1"/>
      <c r="M60" s="1"/>
      <c r="N60" s="1"/>
    </row>
    <row r="61">
      <c r="A61" s="6" t="s">
        <v>169</v>
      </c>
      <c r="B61" s="14">
        <f>B36+B37+B38+B39+B40+B41-B42</f>
        <v>0</v>
      </c>
      <c r="C61" s="14">
        <f>C36+C37+C38+C39+C40+C41-C42</f>
        <v>0</v>
      </c>
      <c r="D61" s="14">
        <f>D36+D37+D38+D39+D40+D41-D42</f>
        <v>0</v>
      </c>
      <c r="E61" s="1"/>
      <c r="F61" s="1"/>
      <c r="G61" s="1"/>
      <c r="H61" s="1"/>
      <c r="I61" s="1"/>
      <c r="J61" s="1"/>
      <c r="K61" s="1"/>
      <c r="L61" s="1"/>
      <c r="M61" s="1"/>
      <c r="N61" s="1"/>
    </row>
    <row r="62">
      <c r="A62" s="6" t="s">
        <v>183</v>
      </c>
      <c r="B62" s="14">
        <f>B32+B34+B42-B43</f>
        <v>0</v>
      </c>
      <c r="C62" s="14">
        <f>C32+C34+C42-C43</f>
        <v>0</v>
      </c>
      <c r="D62" s="14">
        <f>D32+D34+D42-D43</f>
        <v>0</v>
      </c>
      <c r="E62" s="1"/>
      <c r="F62" s="1"/>
      <c r="G62" s="1"/>
      <c r="H62" s="1"/>
      <c r="I62" s="1"/>
      <c r="J62" s="1"/>
      <c r="K62" s="1"/>
      <c r="L62" s="1"/>
      <c r="M62" s="1"/>
      <c r="N62" s="1"/>
    </row>
    <row r="63">
      <c r="A63" s="6" t="s">
        <v>184</v>
      </c>
      <c r="B63" s="14">
        <f>B21-B43</f>
        <v>0</v>
      </c>
      <c r="C63" s="14">
        <f>C21-C43</f>
        <v>0</v>
      </c>
      <c r="D63" s="14">
        <f>D21-D43</f>
        <v>0</v>
      </c>
      <c r="E63" s="1"/>
      <c r="F63" s="1"/>
      <c r="G63" s="1"/>
      <c r="H63" s="1"/>
      <c r="I63" s="1"/>
      <c r="J63" s="1"/>
      <c r="K63" s="1"/>
      <c r="L63" s="1"/>
      <c r="M63" s="1"/>
      <c r="N63" s="1"/>
    </row>
    <row r="64">
      <c r="A64" s="6" t="s">
        <v>185</v>
      </c>
      <c r="B64" s="1"/>
      <c r="C64" s="14">
        <f>ABS(C51-C21)+ABS(C52-C32)+ABS(C53-C42)+ABS(C54-C7)</f>
        <v>0</v>
      </c>
      <c r="D64" s="1"/>
      <c r="E64" s="1"/>
      <c r="F64" s="1"/>
      <c r="G64" s="1"/>
      <c r="H64" s="1"/>
      <c r="I64" s="1"/>
      <c r="J64" s="1"/>
      <c r="K64" s="1"/>
      <c r="L64" s="1"/>
      <c r="M64" s="1"/>
      <c r="N64" s="1"/>
    </row>
  </sheetData>
</worksheet>
</file>

<file path=xl/worksheets/sheet5.xml><?xml version="1.0" encoding="utf-8"?>
<worksheet xmlns="http://schemas.openxmlformats.org/spreadsheetml/2006/main" xmlns:r="http://schemas.openxmlformats.org/officeDocument/2006/relationships">
  <sheetPr>
    <tabColor rgb="FF6A7689"/>
  </sheetPr>
  <dimension ref="A1:N75"/>
  <sheetViews>
    <sheetView showGridLines="0" workbookViewId="0"/>
  </sheetViews>
  <sheetFormatPr defaultColWidth="8.375" defaultRowHeight="15"/>
  <cols>
    <col min="1" max="1" width="92.70703125" customWidth="1"/>
    <col min="2" max="6" width="12.70703125" customWidth="1"/>
    <col min="13" max="13" width="17.70703125" customWidth="1"/>
    <col min="14" max="14" width="92.70703125" customWidth="1"/>
  </cols>
  <sheetData>
    <row r="1">
      <c r="A1" s="56" t="s">
        <v>186</v>
      </c>
      <c r="B1" s="1"/>
      <c r="C1" s="1"/>
      <c r="D1" s="1"/>
      <c r="E1" s="1"/>
      <c r="F1" s="1"/>
      <c r="G1" s="1"/>
      <c r="H1" s="1"/>
      <c r="I1" s="1"/>
      <c r="J1" s="1"/>
      <c r="K1" s="1"/>
      <c r="L1" s="1"/>
      <c r="M1" s="1"/>
      <c r="N1" s="1"/>
    </row>
    <row r="2">
      <c r="A2" s="1" t="s">
        <v>187</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81</v>
      </c>
      <c r="B4" s="11" t="s">
        <v>82</v>
      </c>
      <c r="C4" s="11" t="s">
        <v>83</v>
      </c>
      <c r="D4" s="11" t="s">
        <v>84</v>
      </c>
      <c r="E4" s="11" t="s">
        <v>85</v>
      </c>
      <c r="F4" s="11" t="s">
        <v>86</v>
      </c>
      <c r="G4" s="1"/>
      <c r="H4" s="1"/>
      <c r="I4" s="1"/>
      <c r="J4" s="1"/>
      <c r="K4" s="1"/>
      <c r="L4" s="1"/>
      <c r="M4" s="40" t="s">
        <v>87</v>
      </c>
      <c r="N4" s="40" t="s">
        <v>88</v>
      </c>
    </row>
    <row r="5">
      <c r="A5" s="1"/>
      <c r="B5" s="1"/>
      <c r="C5" s="1"/>
      <c r="D5" s="1"/>
      <c r="E5" s="1"/>
      <c r="F5" s="1"/>
      <c r="G5" s="1"/>
      <c r="H5" s="1"/>
      <c r="I5" s="1"/>
      <c r="J5" s="1"/>
      <c r="K5" s="1"/>
      <c r="L5" s="1"/>
      <c r="M5" s="1"/>
      <c r="N5" s="1"/>
    </row>
    <row r="6">
      <c r="A6" s="16" t="s">
        <v>188</v>
      </c>
      <c r="B6" s="1"/>
      <c r="C6" s="1"/>
      <c r="D6" s="1"/>
      <c r="E6" s="1"/>
      <c r="F6" s="1"/>
      <c r="G6" s="1"/>
      <c r="H6" s="1"/>
      <c r="I6" s="1"/>
      <c r="J6" s="1"/>
      <c r="K6" s="1"/>
      <c r="L6" s="1"/>
      <c r="M6" s="1"/>
      <c r="N6" s="1"/>
    </row>
    <row r="7">
      <c r="A7" s="6" t="s">
        <v>105</v>
      </c>
      <c r="B7" s="5">
        <v>-4628</v>
      </c>
      <c r="C7" s="5">
        <v>791</v>
      </c>
      <c r="D7" s="5">
        <v>-4937</v>
      </c>
      <c r="E7" s="5">
        <v>-2590</v>
      </c>
      <c r="F7" s="5">
        <v>-413</v>
      </c>
      <c r="G7" s="1"/>
      <c r="H7" s="1"/>
      <c r="I7" s="1"/>
      <c r="J7" s="1"/>
      <c r="K7" s="1"/>
      <c r="L7" s="1"/>
      <c r="M7" s="1"/>
      <c r="N7" s="1" t="s">
        <v>189</v>
      </c>
    </row>
    <row r="8">
      <c r="A8" s="6" t="s">
        <v>190</v>
      </c>
      <c r="B8" s="5">
        <v>2635</v>
      </c>
      <c r="C8" s="5">
        <v>3824</v>
      </c>
      <c r="D8" s="5">
        <v>6701</v>
      </c>
      <c r="E8" s="5">
        <v>4784</v>
      </c>
      <c r="F8" s="5">
        <v>8934</v>
      </c>
      <c r="G8" s="1"/>
      <c r="H8" s="1"/>
      <c r="I8" s="1"/>
      <c r="J8" s="1"/>
      <c r="K8" s="1"/>
      <c r="L8" s="1"/>
      <c r="M8" s="1"/>
      <c r="N8" s="1" t="s">
        <v>189</v>
      </c>
    </row>
    <row r="9">
      <c r="A9" s="6" t="s">
        <v>191</v>
      </c>
      <c r="B9" s="5">
        <v>679</v>
      </c>
      <c r="C9" s="5">
        <v>784</v>
      </c>
      <c r="D9" s="5">
        <v>1947</v>
      </c>
      <c r="E9" s="5">
        <v>1044</v>
      </c>
      <c r="F9" s="5">
        <v>3833</v>
      </c>
      <c r="G9" s="1"/>
      <c r="H9" s="1"/>
      <c r="I9" s="1"/>
      <c r="J9" s="1"/>
      <c r="K9" s="1"/>
      <c r="L9" s="1"/>
      <c r="M9" s="1"/>
      <c r="N9" s="1" t="s">
        <v>189</v>
      </c>
    </row>
    <row r="10">
      <c r="A10" s="6" t="s">
        <v>192</v>
      </c>
      <c r="B10" s="5">
        <v>3775</v>
      </c>
      <c r="C10" s="8"/>
      <c r="D10" s="8"/>
      <c r="E10" s="8"/>
      <c r="F10" s="8"/>
      <c r="G10" s="1"/>
      <c r="H10" s="1"/>
      <c r="I10" s="1"/>
      <c r="J10" s="1"/>
      <c r="K10" s="1"/>
      <c r="L10" s="1"/>
      <c r="M10" s="1"/>
      <c r="N10" s="1" t="s">
        <v>193</v>
      </c>
    </row>
    <row r="11">
      <c r="A11" s="6" t="s">
        <v>194</v>
      </c>
      <c r="B11" s="5">
        <v>-409</v>
      </c>
      <c r="C11" s="5">
        <v>-675</v>
      </c>
      <c r="D11" s="5">
        <v>626</v>
      </c>
      <c r="E11" s="5">
        <v>623</v>
      </c>
      <c r="F11" s="5">
        <v>-455</v>
      </c>
      <c r="G11" s="1"/>
      <c r="H11" s="1"/>
      <c r="I11" s="1"/>
      <c r="J11" s="1"/>
      <c r="K11" s="1"/>
      <c r="L11" s="1"/>
      <c r="M11" s="1"/>
      <c r="N11" s="1" t="s">
        <v>189</v>
      </c>
    </row>
    <row r="12">
      <c r="A12" s="6" t="s">
        <v>195</v>
      </c>
      <c r="B12" s="8"/>
      <c r="C12" s="5">
        <v>-955</v>
      </c>
      <c r="D12" s="5">
        <v>112</v>
      </c>
      <c r="E12" s="5">
        <v>-389</v>
      </c>
      <c r="F12" s="5">
        <v>64</v>
      </c>
      <c r="G12" s="1"/>
      <c r="H12" s="1"/>
      <c r="I12" s="1"/>
      <c r="J12" s="1"/>
      <c r="K12" s="1"/>
      <c r="L12" s="1"/>
      <c r="M12" s="1"/>
      <c r="N12" s="1" t="s">
        <v>196</v>
      </c>
    </row>
    <row r="13">
      <c r="A13" s="6" t="s">
        <v>197</v>
      </c>
      <c r="B13" s="8"/>
      <c r="C13" s="8"/>
      <c r="D13" s="8"/>
      <c r="E13" s="8"/>
      <c r="F13" s="5">
        <v>-532</v>
      </c>
      <c r="G13" s="1"/>
      <c r="H13" s="1"/>
      <c r="I13" s="1"/>
      <c r="J13" s="1"/>
      <c r="K13" s="1"/>
      <c r="L13" s="1"/>
      <c r="M13" s="1"/>
      <c r="N13" s="1" t="s">
        <v>198</v>
      </c>
    </row>
    <row r="14">
      <c r="A14" s="6" t="s">
        <v>199</v>
      </c>
      <c r="B14" s="5">
        <v>36</v>
      </c>
      <c r="C14" s="5">
        <v>135</v>
      </c>
      <c r="D14" s="5">
        <v>88</v>
      </c>
      <c r="E14" s="8"/>
      <c r="F14" s="8"/>
      <c r="G14" s="1"/>
      <c r="H14" s="1"/>
      <c r="I14" s="1"/>
      <c r="J14" s="1"/>
      <c r="K14" s="1"/>
      <c r="L14" s="1"/>
      <c r="M14" s="1"/>
      <c r="N14" s="1" t="s">
        <v>200</v>
      </c>
    </row>
    <row r="15">
      <c r="A15" s="6" t="s">
        <v>201</v>
      </c>
      <c r="B15" s="5">
        <v>212</v>
      </c>
      <c r="C15" s="5">
        <v>84</v>
      </c>
      <c r="D15" s="5">
        <v>93</v>
      </c>
      <c r="E15" s="8"/>
      <c r="F15" s="8"/>
      <c r="G15" s="1"/>
      <c r="H15" s="1"/>
      <c r="I15" s="1"/>
      <c r="J15" s="1"/>
      <c r="K15" s="1"/>
      <c r="L15" s="1"/>
      <c r="M15" s="1"/>
      <c r="N15" s="1" t="s">
        <v>200</v>
      </c>
    </row>
    <row r="16">
      <c r="A16" s="6" t="s">
        <v>202</v>
      </c>
      <c r="B16" s="8"/>
      <c r="C16" s="8"/>
      <c r="D16" s="8"/>
      <c r="E16" s="8"/>
      <c r="F16" s="5">
        <v>1545</v>
      </c>
      <c r="G16" s="1"/>
      <c r="H16" s="1"/>
      <c r="I16" s="1"/>
      <c r="J16" s="1"/>
      <c r="K16" s="1"/>
      <c r="L16" s="1"/>
      <c r="M16" s="1"/>
      <c r="N16" s="1" t="s">
        <v>198</v>
      </c>
    </row>
    <row r="17">
      <c r="A17" s="6" t="s">
        <v>203</v>
      </c>
      <c r="B17" s="5">
        <v>214</v>
      </c>
      <c r="C17" s="5">
        <v>115</v>
      </c>
      <c r="D17" s="5">
        <v>66</v>
      </c>
      <c r="E17" s="5">
        <v>193</v>
      </c>
      <c r="F17" s="5">
        <v>-254</v>
      </c>
      <c r="G17" s="1"/>
      <c r="H17" s="1"/>
      <c r="I17" s="1"/>
      <c r="J17" s="1"/>
      <c r="K17" s="1"/>
      <c r="L17" s="1"/>
      <c r="M17" s="1"/>
      <c r="N17" s="1" t="s">
        <v>189</v>
      </c>
    </row>
    <row r="18">
      <c r="A18" s="1"/>
      <c r="B18" s="1"/>
      <c r="C18" s="1"/>
      <c r="D18" s="1"/>
      <c r="E18" s="1"/>
      <c r="F18" s="1"/>
      <c r="G18" s="1"/>
      <c r="H18" s="1"/>
      <c r="I18" s="1"/>
      <c r="J18" s="1"/>
      <c r="K18" s="1"/>
      <c r="L18" s="1"/>
      <c r="M18" s="1"/>
      <c r="N18" s="1"/>
    </row>
    <row r="19">
      <c r="A19" s="16" t="s">
        <v>204</v>
      </c>
      <c r="B19" s="1"/>
      <c r="C19" s="1"/>
      <c r="D19" s="1"/>
      <c r="E19" s="1"/>
      <c r="F19" s="1"/>
      <c r="G19" s="1"/>
      <c r="H19" s="1"/>
      <c r="I19" s="1"/>
      <c r="J19" s="1"/>
      <c r="K19" s="1"/>
      <c r="L19" s="1"/>
      <c r="M19" s="1"/>
      <c r="N19" s="1"/>
    </row>
    <row r="20">
      <c r="A20" s="6" t="s">
        <v>205</v>
      </c>
      <c r="B20" s="5">
        <v>345</v>
      </c>
      <c r="C20" s="5">
        <v>-347</v>
      </c>
      <c r="D20" s="5">
        <v>-543</v>
      </c>
      <c r="E20" s="5">
        <v>-934</v>
      </c>
      <c r="F20" s="5">
        <v>-2882</v>
      </c>
      <c r="G20" s="1"/>
      <c r="H20" s="1"/>
      <c r="I20" s="1"/>
      <c r="J20" s="1"/>
      <c r="K20" s="1"/>
      <c r="L20" s="1"/>
      <c r="M20" s="1"/>
      <c r="N20" s="1" t="s">
        <v>189</v>
      </c>
    </row>
    <row r="21">
      <c r="A21" s="6" t="s">
        <v>137</v>
      </c>
      <c r="B21" s="5">
        <v>-72</v>
      </c>
      <c r="C21" s="5">
        <v>-309</v>
      </c>
      <c r="D21" s="5">
        <v>-413</v>
      </c>
      <c r="E21" s="5">
        <v>-378</v>
      </c>
      <c r="F21" s="5">
        <v>-1381</v>
      </c>
      <c r="G21" s="1"/>
      <c r="H21" s="1"/>
      <c r="I21" s="1"/>
      <c r="J21" s="1"/>
      <c r="K21" s="1"/>
      <c r="L21" s="1"/>
      <c r="M21" s="1"/>
      <c r="N21" s="1" t="s">
        <v>189</v>
      </c>
    </row>
    <row r="22">
      <c r="A22" s="6" t="s">
        <v>206</v>
      </c>
      <c r="B22" s="5">
        <v>41</v>
      </c>
      <c r="C22" s="5">
        <v>-328</v>
      </c>
      <c r="D22" s="5">
        <v>-673</v>
      </c>
      <c r="E22" s="5">
        <v>-427</v>
      </c>
      <c r="F22" s="5">
        <v>-1305</v>
      </c>
      <c r="G22" s="1"/>
      <c r="H22" s="1"/>
      <c r="I22" s="1"/>
      <c r="J22" s="1"/>
      <c r="K22" s="1"/>
      <c r="L22" s="1"/>
      <c r="M22" s="1"/>
      <c r="N22" s="1" t="s">
        <v>189</v>
      </c>
    </row>
    <row r="23">
      <c r="A23" s="6" t="s">
        <v>150</v>
      </c>
      <c r="B23" s="5">
        <v>220</v>
      </c>
      <c r="C23" s="5">
        <v>472</v>
      </c>
      <c r="D23" s="5">
        <v>709</v>
      </c>
      <c r="E23" s="5">
        <v>668</v>
      </c>
      <c r="F23" s="5">
        <v>-970</v>
      </c>
      <c r="G23" s="1"/>
      <c r="H23" s="1"/>
      <c r="I23" s="1"/>
      <c r="J23" s="1"/>
      <c r="K23" s="1"/>
      <c r="L23" s="1"/>
      <c r="M23" s="1"/>
      <c r="N23" s="1" t="s">
        <v>189</v>
      </c>
    </row>
    <row r="24">
      <c r="A24" s="6" t="s">
        <v>207</v>
      </c>
      <c r="B24" s="5">
        <v>1695</v>
      </c>
      <c r="C24" s="5">
        <v>1876</v>
      </c>
      <c r="D24" s="5">
        <v>1929</v>
      </c>
      <c r="E24" s="5">
        <v>404</v>
      </c>
      <c r="F24" s="5">
        <v>4922</v>
      </c>
      <c r="G24" s="1"/>
      <c r="H24" s="1"/>
      <c r="I24" s="1"/>
      <c r="J24" s="1"/>
      <c r="K24" s="1"/>
      <c r="L24" s="1"/>
      <c r="M24" s="1"/>
      <c r="N24" s="1" t="s">
        <v>189</v>
      </c>
    </row>
    <row r="25">
      <c r="A25" s="6" t="s">
        <v>208</v>
      </c>
      <c r="B25" s="5">
        <v>-15</v>
      </c>
      <c r="C25" s="5">
        <v>-37</v>
      </c>
      <c r="D25" s="5">
        <v>-56</v>
      </c>
      <c r="E25" s="8"/>
      <c r="F25" s="8"/>
      <c r="G25" s="1"/>
      <c r="H25" s="1"/>
      <c r="I25" s="1"/>
      <c r="J25" s="1"/>
      <c r="K25" s="1"/>
      <c r="L25" s="1"/>
      <c r="M25" s="1"/>
      <c r="N25" s="1" t="s">
        <v>200</v>
      </c>
    </row>
    <row r="26">
      <c r="A26" s="6" t="s">
        <v>209</v>
      </c>
      <c r="B26" s="5">
        <v>-208</v>
      </c>
      <c r="C26" s="5">
        <v>346</v>
      </c>
      <c r="D26" s="5">
        <v>1136</v>
      </c>
      <c r="E26" s="5">
        <v>1122</v>
      </c>
      <c r="F26" s="5">
        <v>1991</v>
      </c>
      <c r="G26" s="1"/>
      <c r="H26" s="1"/>
      <c r="I26" s="1"/>
      <c r="J26" s="1"/>
      <c r="K26" s="1"/>
      <c r="L26" s="1"/>
      <c r="M26" s="1"/>
      <c r="N26" s="1" t="s">
        <v>189</v>
      </c>
    </row>
    <row r="27">
      <c r="A27" s="16" t="s">
        <v>210</v>
      </c>
      <c r="B27" s="22">
        <v>4520</v>
      </c>
      <c r="C27" s="22">
        <v>5776</v>
      </c>
      <c r="D27" s="22">
        <v>6785</v>
      </c>
      <c r="E27" s="22">
        <v>4120</v>
      </c>
      <c r="F27" s="22">
        <v>13097</v>
      </c>
      <c r="G27" s="1"/>
      <c r="H27" s="1"/>
      <c r="I27" s="1"/>
      <c r="J27" s="1"/>
      <c r="K27" s="1"/>
      <c r="L27" s="1"/>
      <c r="M27" s="1"/>
      <c r="N27" s="1" t="s">
        <v>189</v>
      </c>
    </row>
    <row r="28">
      <c r="A28" s="1"/>
      <c r="B28" s="1"/>
      <c r="C28" s="1"/>
      <c r="D28" s="1"/>
      <c r="E28" s="1"/>
      <c r="F28" s="1"/>
      <c r="G28" s="1"/>
      <c r="H28" s="1"/>
      <c r="I28" s="1"/>
      <c r="J28" s="1"/>
      <c r="K28" s="1"/>
      <c r="L28" s="1"/>
      <c r="M28" s="1"/>
      <c r="N28" s="1"/>
    </row>
    <row r="29">
      <c r="A29" s="16" t="s">
        <v>211</v>
      </c>
      <c r="B29" s="1"/>
      <c r="C29" s="1"/>
      <c r="D29" s="1"/>
      <c r="E29" s="1"/>
      <c r="F29" s="1"/>
      <c r="G29" s="1"/>
      <c r="H29" s="1"/>
      <c r="I29" s="1"/>
      <c r="J29" s="1"/>
      <c r="K29" s="1"/>
      <c r="L29" s="1"/>
      <c r="M29" s="1"/>
      <c r="N29" s="1"/>
    </row>
    <row r="30">
      <c r="A30" s="6" t="s">
        <v>212</v>
      </c>
      <c r="B30" s="5">
        <v>-4415</v>
      </c>
      <c r="C30" s="5">
        <v>-11163</v>
      </c>
      <c r="D30" s="5">
        <v>-20737</v>
      </c>
      <c r="E30" s="5">
        <v>-13846</v>
      </c>
      <c r="F30" s="5">
        <v>-48069</v>
      </c>
      <c r="G30" s="1"/>
      <c r="H30" s="1"/>
      <c r="I30" s="1"/>
      <c r="J30" s="1"/>
      <c r="K30" s="1"/>
      <c r="L30" s="1"/>
      <c r="M30" s="1"/>
      <c r="N30" s="1" t="s">
        <v>189</v>
      </c>
    </row>
    <row r="31">
      <c r="A31" s="6" t="s">
        <v>213</v>
      </c>
      <c r="B31" s="8"/>
      <c r="C31" s="8"/>
      <c r="D31" s="5">
        <v>-169</v>
      </c>
      <c r="E31" s="5">
        <v>-96</v>
      </c>
      <c r="F31" s="5">
        <v>-20</v>
      </c>
      <c r="G31" s="1"/>
      <c r="H31" s="1"/>
      <c r="I31" s="1"/>
      <c r="J31" s="1"/>
      <c r="K31" s="1"/>
      <c r="L31" s="1"/>
      <c r="M31" s="1"/>
      <c r="N31" s="1" t="s">
        <v>214</v>
      </c>
    </row>
    <row r="32">
      <c r="A32" s="6" t="s">
        <v>215</v>
      </c>
      <c r="B32" s="8"/>
      <c r="C32" s="8"/>
      <c r="D32" s="5">
        <v>118</v>
      </c>
      <c r="E32" s="8"/>
      <c r="F32" s="5">
        <v>1372</v>
      </c>
      <c r="G32" s="1"/>
      <c r="H32" s="1"/>
      <c r="I32" s="1"/>
      <c r="J32" s="1"/>
      <c r="K32" s="1"/>
      <c r="L32" s="1"/>
      <c r="M32" s="1"/>
      <c r="N32" s="1" t="s">
        <v>216</v>
      </c>
    </row>
    <row r="33">
      <c r="A33" s="6" t="s">
        <v>217</v>
      </c>
      <c r="B33" s="5">
        <v>-3535</v>
      </c>
      <c r="C33" s="5">
        <v>-3542</v>
      </c>
      <c r="D33" s="5">
        <v>-611</v>
      </c>
      <c r="E33" s="5">
        <v>-601</v>
      </c>
      <c r="F33" s="5">
        <v>-46834</v>
      </c>
      <c r="G33" s="1"/>
      <c r="H33" s="1"/>
      <c r="I33" s="1"/>
      <c r="J33" s="1"/>
      <c r="K33" s="1"/>
      <c r="L33" s="1"/>
      <c r="M33" s="1"/>
      <c r="N33" s="1" t="s">
        <v>189</v>
      </c>
    </row>
    <row r="34">
      <c r="A34" s="6" t="s">
        <v>218</v>
      </c>
      <c r="B34" s="5">
        <v>2731</v>
      </c>
      <c r="C34" s="5">
        <v>3712</v>
      </c>
      <c r="D34" s="5">
        <v>548</v>
      </c>
      <c r="E34" s="5">
        <v>548</v>
      </c>
      <c r="F34" s="5">
        <v>9158</v>
      </c>
      <c r="G34" s="1"/>
      <c r="H34" s="1"/>
      <c r="I34" s="1"/>
      <c r="J34" s="1"/>
      <c r="K34" s="1"/>
      <c r="L34" s="1"/>
      <c r="M34" s="1"/>
      <c r="N34" s="1" t="s">
        <v>189</v>
      </c>
    </row>
    <row r="35">
      <c r="A35" s="6" t="s">
        <v>219</v>
      </c>
      <c r="B35" s="5">
        <v>333</v>
      </c>
      <c r="C35" s="5">
        <v>193</v>
      </c>
      <c r="D35" s="5">
        <v>1457</v>
      </c>
      <c r="E35" s="5">
        <v>1173</v>
      </c>
      <c r="F35" s="5">
        <v>77</v>
      </c>
      <c r="G35" s="1"/>
      <c r="H35" s="1"/>
      <c r="I35" s="1"/>
      <c r="J35" s="1"/>
      <c r="K35" s="1"/>
      <c r="L35" s="1"/>
      <c r="M35" s="1"/>
      <c r="N35" s="1" t="s">
        <v>189</v>
      </c>
    </row>
    <row r="36">
      <c r="A36" s="6" t="s">
        <v>220</v>
      </c>
      <c r="B36" s="8"/>
      <c r="C36" s="8"/>
      <c r="D36" s="8"/>
      <c r="E36" s="8"/>
      <c r="F36" s="5">
        <v>-866</v>
      </c>
      <c r="G36" s="1"/>
      <c r="H36" s="1"/>
      <c r="I36" s="1"/>
      <c r="J36" s="1"/>
      <c r="K36" s="1"/>
      <c r="L36" s="1"/>
      <c r="M36" s="1"/>
      <c r="N36" s="1" t="s">
        <v>198</v>
      </c>
    </row>
    <row r="37">
      <c r="A37" s="6" t="s">
        <v>221</v>
      </c>
      <c r="B37" s="8"/>
      <c r="C37" s="8"/>
      <c r="D37" s="8"/>
      <c r="E37" s="8"/>
      <c r="F37" s="5">
        <v>514</v>
      </c>
      <c r="G37" s="1"/>
      <c r="H37" s="1"/>
      <c r="I37" s="1"/>
      <c r="J37" s="1"/>
      <c r="K37" s="1"/>
      <c r="L37" s="1"/>
      <c r="M37" s="1"/>
      <c r="N37" s="1" t="s">
        <v>198</v>
      </c>
    </row>
    <row r="38">
      <c r="A38" s="6" t="s">
        <v>222</v>
      </c>
      <c r="B38" s="8"/>
      <c r="C38" s="8"/>
      <c r="D38" s="5">
        <v>-86</v>
      </c>
      <c r="E38" s="8"/>
      <c r="F38" s="8"/>
      <c r="G38" s="1"/>
      <c r="H38" s="1"/>
      <c r="I38" s="1"/>
      <c r="J38" s="1"/>
      <c r="K38" s="1"/>
      <c r="L38" s="1"/>
      <c r="M38" s="1"/>
      <c r="N38" s="1" t="s">
        <v>223</v>
      </c>
    </row>
    <row r="39">
      <c r="A39" s="6" t="s">
        <v>224</v>
      </c>
      <c r="B39" s="5">
        <v>19</v>
      </c>
      <c r="C39" s="5">
        <v>4</v>
      </c>
      <c r="D39" s="5">
        <v>-95</v>
      </c>
      <c r="E39" s="5">
        <v>-175</v>
      </c>
      <c r="F39" s="5">
        <v>57</v>
      </c>
      <c r="G39" s="1"/>
      <c r="H39" s="1"/>
      <c r="I39" s="1"/>
      <c r="J39" s="1"/>
      <c r="K39" s="1"/>
      <c r="L39" s="1"/>
      <c r="M39" s="1"/>
      <c r="N39" s="1" t="s">
        <v>189</v>
      </c>
    </row>
    <row r="40">
      <c r="A40" s="16" t="s">
        <v>225</v>
      </c>
      <c r="B40" s="22">
        <v>-4867</v>
      </c>
      <c r="C40" s="22">
        <v>-10796</v>
      </c>
      <c r="D40" s="22">
        <v>-19575</v>
      </c>
      <c r="E40" s="22">
        <v>-12997</v>
      </c>
      <c r="F40" s="22">
        <v>-84611</v>
      </c>
      <c r="G40" s="1"/>
      <c r="H40" s="1"/>
      <c r="I40" s="1"/>
      <c r="J40" s="1"/>
      <c r="K40" s="1"/>
      <c r="L40" s="1"/>
      <c r="M40" s="1"/>
      <c r="N40" s="1" t="s">
        <v>189</v>
      </c>
    </row>
    <row r="41">
      <c r="A41" s="1"/>
      <c r="B41" s="1"/>
      <c r="C41" s="1"/>
      <c r="D41" s="1"/>
      <c r="E41" s="1"/>
      <c r="F41" s="1"/>
      <c r="G41" s="1"/>
      <c r="H41" s="1"/>
      <c r="I41" s="1"/>
      <c r="J41" s="1"/>
      <c r="K41" s="1"/>
      <c r="L41" s="1"/>
      <c r="M41" s="1"/>
      <c r="N41" s="1"/>
    </row>
    <row r="42">
      <c r="A42" s="16" t="s">
        <v>226</v>
      </c>
      <c r="B42" s="1"/>
      <c r="C42" s="1"/>
      <c r="D42" s="1"/>
      <c r="E42" s="1"/>
      <c r="F42" s="1"/>
      <c r="G42" s="1"/>
      <c r="H42" s="1"/>
      <c r="I42" s="1"/>
      <c r="J42" s="1"/>
      <c r="K42" s="1"/>
      <c r="L42" s="1"/>
      <c r="M42" s="1"/>
      <c r="N42" s="1"/>
    </row>
    <row r="43">
      <c r="A43" s="6" t="s">
        <v>227</v>
      </c>
      <c r="B43" s="8"/>
      <c r="C43" s="5">
        <v>-154</v>
      </c>
      <c r="D43" s="5">
        <v>-295</v>
      </c>
      <c r="E43" s="5">
        <v>-213</v>
      </c>
      <c r="F43" s="5">
        <v>-270</v>
      </c>
      <c r="G43" s="1"/>
      <c r="H43" s="1"/>
      <c r="I43" s="1"/>
      <c r="J43" s="1"/>
      <c r="K43" s="1"/>
      <c r="L43" s="1"/>
      <c r="M43" s="1"/>
      <c r="N43" s="1" t="s">
        <v>196</v>
      </c>
    </row>
    <row r="44">
      <c r="A44" s="6" t="s">
        <v>228</v>
      </c>
      <c r="B44" s="8"/>
      <c r="C44" s="8"/>
      <c r="D44" s="5">
        <v>16055</v>
      </c>
      <c r="E44" s="5">
        <v>10947</v>
      </c>
      <c r="F44" s="5">
        <v>51834</v>
      </c>
      <c r="G44" s="1"/>
      <c r="H44" s="1"/>
      <c r="I44" s="1"/>
      <c r="J44" s="1"/>
      <c r="K44" s="1"/>
      <c r="L44" s="1"/>
      <c r="M44" s="1"/>
      <c r="N44" s="1" t="s">
        <v>214</v>
      </c>
    </row>
    <row r="45">
      <c r="A45" s="6" t="s">
        <v>229</v>
      </c>
      <c r="B45" s="8"/>
      <c r="C45" s="8"/>
      <c r="D45" s="5">
        <v>-66</v>
      </c>
      <c r="E45" s="5">
        <v>-66</v>
      </c>
      <c r="F45" s="5">
        <v>-124</v>
      </c>
      <c r="G45" s="1"/>
      <c r="H45" s="1"/>
      <c r="I45" s="1"/>
      <c r="J45" s="1"/>
      <c r="K45" s="1"/>
      <c r="L45" s="1"/>
      <c r="M45" s="1"/>
      <c r="N45" s="1" t="s">
        <v>214</v>
      </c>
    </row>
    <row r="46">
      <c r="A46" s="6" t="s">
        <v>230</v>
      </c>
      <c r="B46" s="5">
        <v>-112</v>
      </c>
      <c r="C46" s="5">
        <v>-77</v>
      </c>
      <c r="D46" s="5">
        <v>-6858</v>
      </c>
      <c r="E46" s="5">
        <v>-6014</v>
      </c>
      <c r="F46" s="5">
        <v>-39845</v>
      </c>
      <c r="G46" s="1"/>
      <c r="H46" s="1"/>
      <c r="I46" s="1"/>
      <c r="J46" s="1"/>
      <c r="K46" s="1"/>
      <c r="L46" s="1"/>
      <c r="M46" s="1"/>
      <c r="N46" s="1" t="s">
        <v>189</v>
      </c>
    </row>
    <row r="47">
      <c r="A47" s="6" t="s">
        <v>231</v>
      </c>
      <c r="B47" s="8"/>
      <c r="C47" s="8"/>
      <c r="D47" s="8"/>
      <c r="E47" s="8"/>
      <c r="F47" s="5">
        <v>-1153</v>
      </c>
      <c r="G47" s="1"/>
      <c r="H47" s="1"/>
      <c r="I47" s="1"/>
      <c r="J47" s="1"/>
      <c r="K47" s="1"/>
      <c r="L47" s="1"/>
      <c r="M47" s="1"/>
      <c r="N47" s="1" t="s">
        <v>198</v>
      </c>
    </row>
    <row r="48">
      <c r="A48" s="6" t="s">
        <v>232</v>
      </c>
      <c r="B48" s="5">
        <v>774</v>
      </c>
      <c r="C48" s="5">
        <v>13101</v>
      </c>
      <c r="D48" s="5">
        <v>18807</v>
      </c>
      <c r="E48" s="5">
        <v>5299</v>
      </c>
      <c r="F48" s="5">
        <v>8319</v>
      </c>
      <c r="G48" s="1"/>
      <c r="H48" s="1"/>
      <c r="I48" s="1"/>
      <c r="J48" s="1"/>
      <c r="K48" s="1"/>
      <c r="L48" s="1"/>
      <c r="M48" s="1"/>
      <c r="N48" s="1" t="s">
        <v>189</v>
      </c>
    </row>
    <row r="49">
      <c r="A49" s="6" t="s">
        <v>233</v>
      </c>
      <c r="B49" s="5">
        <v>141</v>
      </c>
      <c r="C49" s="5">
        <v>224</v>
      </c>
      <c r="D49" s="5">
        <v>328</v>
      </c>
      <c r="E49" s="5">
        <v>206</v>
      </c>
      <c r="F49" s="5">
        <v>368</v>
      </c>
      <c r="G49" s="1"/>
      <c r="H49" s="1"/>
      <c r="I49" s="1"/>
      <c r="J49" s="1"/>
      <c r="K49" s="1"/>
      <c r="L49" s="1"/>
      <c r="M49" s="1"/>
      <c r="N49" s="1" t="s">
        <v>189</v>
      </c>
    </row>
    <row r="50">
      <c r="A50" s="6" t="s">
        <v>234</v>
      </c>
      <c r="B50" s="5">
        <v>-170</v>
      </c>
      <c r="C50" s="5">
        <v>-1021</v>
      </c>
      <c r="D50" s="5">
        <v>-1125</v>
      </c>
      <c r="E50" s="5">
        <v>-525</v>
      </c>
      <c r="F50" s="5">
        <v>-4426</v>
      </c>
      <c r="G50" s="1"/>
      <c r="H50" s="1"/>
      <c r="I50" s="1"/>
      <c r="J50" s="1"/>
      <c r="K50" s="1"/>
      <c r="L50" s="1"/>
      <c r="M50" s="1"/>
      <c r="N50" s="1" t="s">
        <v>189</v>
      </c>
    </row>
    <row r="51">
      <c r="A51" s="6" t="s">
        <v>235</v>
      </c>
      <c r="B51" s="5">
        <v>-211</v>
      </c>
      <c r="C51" s="5">
        <v>-243</v>
      </c>
      <c r="D51" s="5">
        <v>-496</v>
      </c>
      <c r="E51" s="5">
        <v>-194</v>
      </c>
      <c r="F51" s="5">
        <v>-559</v>
      </c>
      <c r="G51" s="1"/>
      <c r="H51" s="1"/>
      <c r="I51" s="1"/>
      <c r="J51" s="1"/>
      <c r="K51" s="1"/>
      <c r="L51" s="1"/>
      <c r="M51" s="1"/>
      <c r="N51" s="1" t="s">
        <v>189</v>
      </c>
    </row>
    <row r="52">
      <c r="A52" s="6" t="s">
        <v>236</v>
      </c>
      <c r="B52" s="8"/>
      <c r="C52" s="8"/>
      <c r="D52" s="8"/>
      <c r="E52" s="8"/>
      <c r="F52" s="5">
        <v>85675</v>
      </c>
      <c r="G52" s="1"/>
      <c r="H52" s="1"/>
      <c r="I52" s="1"/>
      <c r="J52" s="1"/>
      <c r="K52" s="1"/>
      <c r="L52" s="1"/>
      <c r="M52" s="1"/>
      <c r="N52" s="1" t="s">
        <v>198</v>
      </c>
    </row>
    <row r="53">
      <c r="A53" s="16" t="s">
        <v>237</v>
      </c>
      <c r="B53" s="22">
        <v>422</v>
      </c>
      <c r="C53" s="22">
        <v>11830</v>
      </c>
      <c r="D53" s="22">
        <v>26350</v>
      </c>
      <c r="E53" s="22">
        <v>9440</v>
      </c>
      <c r="F53" s="22">
        <v>99819</v>
      </c>
      <c r="G53" s="1"/>
      <c r="H53" s="1"/>
      <c r="I53" s="1"/>
      <c r="J53" s="1"/>
      <c r="K53" s="1"/>
      <c r="L53" s="1"/>
      <c r="M53" s="1"/>
      <c r="N53" s="1" t="s">
        <v>189</v>
      </c>
    </row>
    <row r="54">
      <c r="A54" s="6" t="s">
        <v>238</v>
      </c>
      <c r="B54" s="5">
        <v>-2</v>
      </c>
      <c r="C54" s="5">
        <v>1</v>
      </c>
      <c r="D54" s="5">
        <v>63</v>
      </c>
      <c r="E54" s="5">
        <v>69</v>
      </c>
      <c r="F54" s="5">
        <v>-43</v>
      </c>
      <c r="G54" s="1"/>
      <c r="H54" s="1"/>
      <c r="I54" s="1"/>
      <c r="J54" s="1"/>
      <c r="K54" s="1"/>
      <c r="L54" s="1"/>
      <c r="M54" s="1"/>
      <c r="N54" s="1" t="s">
        <v>189</v>
      </c>
    </row>
    <row r="55">
      <c r="A55" s="16" t="s">
        <v>239</v>
      </c>
      <c r="B55" s="22">
        <v>73</v>
      </c>
      <c r="C55" s="22">
        <v>6811</v>
      </c>
      <c r="D55" s="22">
        <v>13623</v>
      </c>
      <c r="E55" s="22">
        <v>632</v>
      </c>
      <c r="F55" s="22">
        <v>28262</v>
      </c>
      <c r="G55" s="1"/>
      <c r="H55" s="1"/>
      <c r="I55" s="1"/>
      <c r="J55" s="1"/>
      <c r="K55" s="1"/>
      <c r="L55" s="1"/>
      <c r="M55" s="1"/>
      <c r="N55" s="1" t="s">
        <v>189</v>
      </c>
    </row>
    <row r="56">
      <c r="A56" s="6" t="s">
        <v>240</v>
      </c>
      <c r="B56" s="5">
        <v>4617</v>
      </c>
      <c r="C56" s="5">
        <v>4690</v>
      </c>
      <c r="D56" s="5">
        <v>11501</v>
      </c>
      <c r="E56" s="5">
        <v>11501</v>
      </c>
      <c r="F56" s="5">
        <v>25124</v>
      </c>
      <c r="G56" s="1"/>
      <c r="H56" s="1"/>
      <c r="I56" s="1"/>
      <c r="J56" s="1"/>
      <c r="K56" s="1"/>
      <c r="L56" s="1"/>
      <c r="M56" s="1"/>
      <c r="N56" s="1" t="s">
        <v>189</v>
      </c>
    </row>
    <row r="57">
      <c r="A57" s="16" t="s">
        <v>241</v>
      </c>
      <c r="B57" s="22">
        <v>4690</v>
      </c>
      <c r="C57" s="22">
        <v>11501</v>
      </c>
      <c r="D57" s="22">
        <v>25124</v>
      </c>
      <c r="E57" s="22">
        <v>12133</v>
      </c>
      <c r="F57" s="22">
        <v>53386</v>
      </c>
      <c r="G57" s="1"/>
      <c r="H57" s="1"/>
      <c r="I57" s="1"/>
      <c r="J57" s="1"/>
      <c r="K57" s="1"/>
      <c r="L57" s="1"/>
      <c r="M57" s="1"/>
      <c r="N57" s="1" t="s">
        <v>189</v>
      </c>
    </row>
    <row r="58">
      <c r="A58" s="1"/>
      <c r="B58" s="1"/>
      <c r="C58" s="1"/>
      <c r="D58" s="1"/>
      <c r="E58" s="1"/>
      <c r="F58" s="1"/>
      <c r="G58" s="1"/>
      <c r="H58" s="1"/>
      <c r="I58" s="1"/>
      <c r="J58" s="1"/>
      <c r="K58" s="1"/>
      <c r="L58" s="1"/>
      <c r="M58" s="1"/>
      <c r="N58" s="1"/>
    </row>
    <row r="59">
      <c r="A59" s="16" t="s">
        <v>242</v>
      </c>
      <c r="B59" s="1"/>
      <c r="C59" s="1"/>
      <c r="D59" s="1"/>
      <c r="E59" s="1"/>
      <c r="F59" s="1"/>
      <c r="G59" s="1"/>
      <c r="H59" s="1"/>
      <c r="I59" s="1"/>
      <c r="J59" s="1"/>
      <c r="K59" s="1"/>
      <c r="L59" s="1"/>
      <c r="M59" s="1"/>
      <c r="N59" s="1"/>
    </row>
    <row r="60">
      <c r="A60" s="6" t="s">
        <v>243</v>
      </c>
      <c r="B60" s="5">
        <v>1365</v>
      </c>
      <c r="C60" s="5">
        <v>1500</v>
      </c>
      <c r="D60" s="5">
        <v>1476</v>
      </c>
      <c r="E60" s="5">
        <v>695</v>
      </c>
      <c r="F60" s="5">
        <v>2078</v>
      </c>
      <c r="G60" s="1"/>
      <c r="H60" s="1"/>
      <c r="I60" s="1"/>
      <c r="J60" s="1"/>
      <c r="K60" s="1"/>
      <c r="L60" s="1"/>
      <c r="M60" s="1"/>
      <c r="N60" s="1" t="s">
        <v>189</v>
      </c>
    </row>
    <row r="61">
      <c r="A61" s="6" t="s">
        <v>244</v>
      </c>
      <c r="B61" s="5">
        <v>45</v>
      </c>
      <c r="C61" s="5">
        <v>134</v>
      </c>
      <c r="D61" s="5">
        <v>154</v>
      </c>
      <c r="E61" s="5">
        <v>56</v>
      </c>
      <c r="F61" s="5">
        <v>66</v>
      </c>
      <c r="G61" s="1"/>
      <c r="H61" s="1"/>
      <c r="I61" s="1"/>
      <c r="J61" s="1"/>
      <c r="K61" s="1"/>
      <c r="L61" s="1"/>
      <c r="M61" s="1"/>
      <c r="N61" s="1" t="s">
        <v>189</v>
      </c>
    </row>
    <row r="62">
      <c r="A62" s="6" t="s">
        <v>245</v>
      </c>
      <c r="B62" s="5">
        <v>505</v>
      </c>
      <c r="C62" s="5">
        <v>2481</v>
      </c>
      <c r="D62" s="5">
        <v>7088</v>
      </c>
      <c r="E62" s="5">
        <v>3573</v>
      </c>
      <c r="F62" s="5">
        <v>11827</v>
      </c>
      <c r="G62" s="1"/>
      <c r="H62" s="1"/>
      <c r="I62" s="1"/>
      <c r="J62" s="1"/>
      <c r="K62" s="1"/>
      <c r="L62" s="1"/>
      <c r="M62" s="1"/>
      <c r="N62" s="1" t="s">
        <v>189</v>
      </c>
    </row>
    <row r="63">
      <c r="A63" s="6" t="s">
        <v>246</v>
      </c>
      <c r="B63" s="8"/>
      <c r="C63" s="8"/>
      <c r="D63" s="8"/>
      <c r="E63" s="8"/>
      <c r="F63" s="5">
        <v>3921</v>
      </c>
      <c r="G63" s="1"/>
      <c r="H63" s="1"/>
      <c r="I63" s="1"/>
      <c r="J63" s="1"/>
      <c r="K63" s="1"/>
      <c r="L63" s="1"/>
      <c r="M63" s="1"/>
      <c r="N63" s="1" t="s">
        <v>198</v>
      </c>
    </row>
    <row r="64">
      <c r="A64" s="6" t="s">
        <v>247</v>
      </c>
      <c r="B64" s="5">
        <v>108</v>
      </c>
      <c r="C64" s="5">
        <v>132</v>
      </c>
      <c r="D64" s="5">
        <v>154</v>
      </c>
      <c r="E64" s="5">
        <v>114</v>
      </c>
      <c r="F64" s="5">
        <v>160</v>
      </c>
      <c r="G64" s="1"/>
      <c r="H64" s="1"/>
      <c r="I64" s="1"/>
      <c r="J64" s="1"/>
      <c r="K64" s="1"/>
      <c r="L64" s="1"/>
      <c r="M64" s="1"/>
      <c r="N64" s="1" t="s">
        <v>189</v>
      </c>
    </row>
    <row r="65">
      <c r="A65" s="6" t="s">
        <v>248</v>
      </c>
      <c r="B65" s="8"/>
      <c r="C65" s="8"/>
      <c r="D65" s="8"/>
      <c r="E65" s="8"/>
      <c r="F65" s="5">
        <v>42723</v>
      </c>
      <c r="G65" s="1"/>
      <c r="H65" s="1"/>
      <c r="I65" s="1"/>
      <c r="J65" s="1"/>
      <c r="K65" s="1"/>
      <c r="L65" s="1"/>
      <c r="M65" s="1"/>
      <c r="N65" s="1" t="s">
        <v>198</v>
      </c>
    </row>
    <row r="66">
      <c r="A66" s="1"/>
      <c r="B66" s="1"/>
      <c r="C66" s="1"/>
      <c r="D66" s="1"/>
      <c r="E66" s="1"/>
      <c r="F66" s="1"/>
      <c r="G66" s="1"/>
      <c r="H66" s="1"/>
      <c r="I66" s="1"/>
      <c r="J66" s="1"/>
      <c r="K66" s="1"/>
      <c r="L66" s="1"/>
      <c r="M66" s="1"/>
      <c r="N66" s="1"/>
    </row>
    <row r="67">
      <c r="A67" s="16" t="s">
        <v>114</v>
      </c>
      <c r="B67" s="1"/>
      <c r="C67" s="1"/>
      <c r="D67" s="1"/>
      <c r="E67" s="1"/>
      <c r="F67" s="1"/>
      <c r="G67" s="1"/>
      <c r="H67" s="1"/>
      <c r="I67" s="1"/>
      <c r="J67" s="1"/>
      <c r="K67" s="1"/>
      <c r="L67" s="1"/>
      <c r="M67" s="1"/>
      <c r="N67" s="1"/>
    </row>
    <row r="68">
      <c r="A68" s="6" t="s">
        <v>210</v>
      </c>
      <c r="B68" s="14">
        <f>B7+B8+B9+B10+B11+B12+B13+B14+B15+B16+B17+B20+B21+B22+B23+B24+B25+B26-B27</f>
        <v>0</v>
      </c>
      <c r="C68" s="14">
        <f>C7+C8+C9+C10+C11+C12+C13+C14+C15+C16+C17+C20+C21+C22+C23+C24+C25+C26-C27</f>
        <v>0</v>
      </c>
      <c r="D68" s="14">
        <f>D7+D8+D9+D10+D11+D12+D13+D14+D15+D16+D17+D20+D21+D22+D23+D24+D25+D26-D27</f>
        <v>0</v>
      </c>
      <c r="E68" s="14">
        <f>E7+E8+E9+E10+E11+E12+E13+E14+E15+E16+E17+E20+E21+E22+E23+E24+E25+E26-E27</f>
        <v>0</v>
      </c>
      <c r="F68" s="14">
        <f>F7+F8+F9+F10+F11+F12+F13+F14+F15+F16+F17+F20+F21+F22+F23+F24+F25+F26-F27</f>
        <v>0</v>
      </c>
      <c r="G68" s="1"/>
      <c r="H68" s="1"/>
      <c r="I68" s="1"/>
      <c r="J68" s="1"/>
      <c r="K68" s="1"/>
      <c r="L68" s="1"/>
      <c r="M68" s="1"/>
      <c r="N68" s="1"/>
    </row>
    <row r="69">
      <c r="A69" s="6" t="s">
        <v>225</v>
      </c>
      <c r="B69" s="14">
        <f>B30+B31+B32+B33+B34+B35+B36+B37+B38+B39-B40</f>
        <v>0</v>
      </c>
      <c r="C69" s="14">
        <f>C30+C31+C32+C33+C34+C35+C36+C37+C38+C39-C40</f>
        <v>0</v>
      </c>
      <c r="D69" s="14">
        <f>D30+D31+D32+D33+D34+D35+D36+D37+D38+D39-D40</f>
        <v>0</v>
      </c>
      <c r="E69" s="14">
        <f>E30+E31+E32+E33+E34+E35+E36+E37+E38+E39-E40</f>
        <v>0</v>
      </c>
      <c r="F69" s="14">
        <f>F30+F31+F32+F33+F34+F35+F36+F37+F38+F39-F40</f>
        <v>0</v>
      </c>
      <c r="G69" s="1"/>
      <c r="H69" s="1"/>
      <c r="I69" s="1"/>
      <c r="J69" s="1"/>
      <c r="K69" s="1"/>
      <c r="L69" s="1"/>
      <c r="M69" s="1"/>
      <c r="N69" s="1"/>
    </row>
    <row r="70">
      <c r="A70" s="6" t="s">
        <v>237</v>
      </c>
      <c r="B70" s="14">
        <f>B43+B44+B45+B46+B47+B48+B49+B50+B51+B52-B53</f>
        <v>0</v>
      </c>
      <c r="C70" s="14">
        <f>C43+C44+C45+C46+C47+C48+C49+C50+C51+C52-C53</f>
        <v>0</v>
      </c>
      <c r="D70" s="14">
        <f>D43+D44+D45+D46+D47+D48+D49+D50+D51+D52-D53</f>
        <v>0</v>
      </c>
      <c r="E70" s="14">
        <f>E43+E44+E45+E46+E47+E48+E49+E50+E51+E52-E53</f>
        <v>0</v>
      </c>
      <c r="F70" s="14">
        <f>F43+F44+F45+F46+F47+F48+F49+F50+F51+F52-F53</f>
        <v>0</v>
      </c>
      <c r="G70" s="1"/>
      <c r="H70" s="1"/>
      <c r="I70" s="1"/>
      <c r="J70" s="1"/>
      <c r="K70" s="1"/>
      <c r="L70" s="1"/>
      <c r="M70" s="1"/>
      <c r="N70" s="1"/>
    </row>
    <row r="71">
      <c r="A71" s="6" t="s">
        <v>249</v>
      </c>
      <c r="B71" s="14">
        <f>B27+B40+B53+B54-B55</f>
        <v>0</v>
      </c>
      <c r="C71" s="14">
        <f>C27+C40+C53+C54-C55</f>
        <v>0</v>
      </c>
      <c r="D71" s="14">
        <f>D27+D40+D53+D54-D55</f>
        <v>0</v>
      </c>
      <c r="E71" s="14">
        <f>E27+E40+E53+E54-E55</f>
        <v>0</v>
      </c>
      <c r="F71" s="14">
        <f>F27+F40+F53+F54-F55</f>
        <v>0</v>
      </c>
      <c r="G71" s="1"/>
      <c r="H71" s="1"/>
      <c r="I71" s="1"/>
      <c r="J71" s="1"/>
      <c r="K71" s="1"/>
      <c r="L71" s="1"/>
      <c r="M71" s="1"/>
      <c r="N71" s="1"/>
    </row>
    <row r="72">
      <c r="A72" s="6" t="s">
        <v>250</v>
      </c>
      <c r="B72" s="14">
        <f>B56+B55-B57</f>
        <v>0</v>
      </c>
      <c r="C72" s="14">
        <f>C56+C55-C57</f>
        <v>0</v>
      </c>
      <c r="D72" s="14">
        <f>D56+D55-D57</f>
        <v>0</v>
      </c>
      <c r="E72" s="14">
        <f>E56+E55-E57</f>
        <v>0</v>
      </c>
      <c r="F72" s="14">
        <f>F56+F55-F57</f>
        <v>0</v>
      </c>
      <c r="G72" s="1"/>
      <c r="H72" s="1"/>
      <c r="I72" s="1"/>
      <c r="J72" s="1"/>
      <c r="K72" s="1"/>
      <c r="L72" s="1"/>
      <c r="M72" s="1"/>
      <c r="N72" s="1"/>
    </row>
    <row r="73">
      <c r="A73" s="6" t="s">
        <v>125</v>
      </c>
      <c r="B73" s="14">
        <f>B7-IS_Hist!B20</f>
        <v>0</v>
      </c>
      <c r="C73" s="14">
        <f>C7-IS_Hist!C20</f>
        <v>0</v>
      </c>
      <c r="D73" s="14">
        <f>D7-IS_Hist!D20</f>
        <v>0</v>
      </c>
      <c r="E73" s="14">
        <f>E7-IS_Hist!E20</f>
        <v>0</v>
      </c>
      <c r="F73" s="14">
        <f>F7-IS_Hist!F20</f>
        <v>0</v>
      </c>
      <c r="G73" s="1"/>
      <c r="H73" s="1"/>
      <c r="I73" s="1"/>
      <c r="J73" s="1"/>
      <c r="K73" s="1"/>
      <c r="L73" s="1"/>
      <c r="M73" s="1"/>
      <c r="N73" s="1"/>
    </row>
    <row r="74">
      <c r="A74" s="6" t="s">
        <v>251</v>
      </c>
      <c r="B74" s="1"/>
      <c r="C74" s="14">
        <f>C57-BS_Hist!B7-BS_Hist!B49-BS_Hist!B50</f>
        <v>0</v>
      </c>
      <c r="D74" s="14">
        <f>D57-BS_Hist!C7-BS_Hist!C49-BS_Hist!C50</f>
        <v>0</v>
      </c>
      <c r="E74" s="14"/>
      <c r="F74" s="14">
        <f>F57-BS_Hist!D7-BS_Hist!D49-BS_Hist!D50</f>
        <v>0</v>
      </c>
      <c r="G74" s="1"/>
      <c r="H74" s="1"/>
      <c r="I74" s="1"/>
      <c r="J74" s="1"/>
      <c r="K74" s="1"/>
      <c r="L74" s="1"/>
      <c r="M74" s="1"/>
      <c r="N74" s="1" t="s">
        <v>252</v>
      </c>
    </row>
    <row r="75">
      <c r="A75" s="6" t="s">
        <v>253</v>
      </c>
      <c r="B75" s="1"/>
      <c r="C75" s="14">
        <f>C56-B57</f>
        <v>0</v>
      </c>
      <c r="D75" s="14">
        <f>D56-C57</f>
        <v>0</v>
      </c>
      <c r="E75" s="14">
        <f>E56-C57</f>
        <v>0</v>
      </c>
      <c r="F75" s="14">
        <f>F56-D57</f>
        <v>0</v>
      </c>
      <c r="G75" s="1"/>
      <c r="H75" s="1"/>
      <c r="I75" s="1"/>
      <c r="J75" s="1"/>
      <c r="K75" s="1"/>
      <c r="L75" s="1"/>
      <c r="M75" s="1"/>
      <c r="N75" s="1"/>
    </row>
  </sheetData>
</worksheet>
</file>

<file path=xl/worksheets/sheet6.xml><?xml version="1.0" encoding="utf-8"?>
<worksheet xmlns="http://schemas.openxmlformats.org/spreadsheetml/2006/main" xmlns:r="http://schemas.openxmlformats.org/officeDocument/2006/relationships">
  <sheetPr>
    <tabColor rgb="FF6A7689"/>
  </sheetPr>
  <dimension ref="A1:K77"/>
  <sheetViews>
    <sheetView showGridLines="0" workbookViewId="0"/>
  </sheetViews>
  <sheetFormatPr defaultColWidth="8.375" defaultRowHeight="15"/>
  <cols>
    <col min="1" max="1" width="86.0390625" customWidth="1"/>
    <col min="2" max="9" width="14.70703125" customWidth="1"/>
    <col min="10" max="10" width="17.70703125" customWidth="1"/>
    <col min="11" max="11" width="49.375" customWidth="1"/>
  </cols>
  <sheetData>
    <row r="1">
      <c r="A1" s="56" t="s">
        <v>254</v>
      </c>
      <c r="B1" s="1"/>
      <c r="C1" s="1"/>
      <c r="D1" s="1"/>
      <c r="E1" s="1"/>
      <c r="F1" s="1"/>
      <c r="G1" s="1"/>
      <c r="H1" s="1"/>
      <c r="I1" s="1"/>
      <c r="J1" s="1"/>
      <c r="K1" s="1"/>
    </row>
    <row r="2">
      <c r="A2" s="1" t="s">
        <v>255</v>
      </c>
      <c r="B2" s="1"/>
      <c r="C2" s="1"/>
      <c r="D2" s="1"/>
      <c r="E2" s="1"/>
      <c r="F2" s="1"/>
      <c r="G2" s="1"/>
      <c r="H2" s="1"/>
      <c r="I2" s="1"/>
      <c r="J2" s="1"/>
      <c r="K2" s="1"/>
    </row>
    <row r="3">
      <c r="A3" s="1"/>
      <c r="B3" s="1"/>
      <c r="C3" s="1"/>
      <c r="D3" s="1"/>
      <c r="E3" s="1"/>
      <c r="F3" s="1"/>
      <c r="G3" s="1"/>
      <c r="H3" s="1"/>
      <c r="I3" s="1"/>
      <c r="J3" s="1"/>
      <c r="K3" s="1"/>
    </row>
    <row r="4">
      <c r="A4" s="4" t="s">
        <v>256</v>
      </c>
      <c r="B4" s="11" t="s">
        <v>257</v>
      </c>
      <c r="C4" s="11" t="s">
        <v>258</v>
      </c>
      <c r="D4" s="11" t="s">
        <v>259</v>
      </c>
      <c r="E4" s="11" t="s">
        <v>260</v>
      </c>
      <c r="F4" s="11" t="s">
        <v>166</v>
      </c>
      <c r="G4" s="11" t="s">
        <v>167</v>
      </c>
      <c r="H4" s="11" t="s">
        <v>261</v>
      </c>
      <c r="I4" s="11" t="s">
        <v>169</v>
      </c>
      <c r="J4" s="40" t="s">
        <v>87</v>
      </c>
      <c r="K4" s="40" t="s">
        <v>88</v>
      </c>
    </row>
    <row r="5">
      <c r="A5" s="1"/>
      <c r="B5" s="1"/>
      <c r="C5" s="1"/>
      <c r="D5" s="1"/>
      <c r="E5" s="1"/>
      <c r="F5" s="1"/>
      <c r="G5" s="1"/>
      <c r="H5" s="1"/>
      <c r="I5" s="1"/>
      <c r="J5" s="1"/>
      <c r="K5" s="1"/>
    </row>
    <row r="6">
      <c r="A6" s="16" t="s">
        <v>262</v>
      </c>
      <c r="B6" s="1"/>
      <c r="C6" s="1"/>
      <c r="D6" s="1"/>
      <c r="E6" s="1"/>
      <c r="F6" s="1"/>
      <c r="G6" s="1"/>
      <c r="H6" s="1"/>
      <c r="I6" s="1"/>
      <c r="J6" s="1"/>
      <c r="K6" s="1"/>
    </row>
    <row r="7">
      <c r="A7" s="16" t="s">
        <v>263</v>
      </c>
      <c r="B7" s="22">
        <v>136</v>
      </c>
      <c r="C7" s="22">
        <v>7239</v>
      </c>
      <c r="D7" s="22">
        <v>2742</v>
      </c>
      <c r="E7" s="22">
        <v>3</v>
      </c>
      <c r="F7" s="22">
        <v>35275</v>
      </c>
      <c r="G7" s="22">
        <v>-28757</v>
      </c>
      <c r="H7" s="22">
        <v>1262</v>
      </c>
      <c r="I7" s="22">
        <v>7783</v>
      </c>
      <c r="J7" s="1"/>
      <c r="K7" s="1" t="s">
        <v>264</v>
      </c>
    </row>
    <row r="8">
      <c r="A8" s="6" t="s">
        <v>191</v>
      </c>
      <c r="B8" s="8"/>
      <c r="C8" s="5">
        <v>3</v>
      </c>
      <c r="D8" s="8"/>
      <c r="E8" s="8"/>
      <c r="F8" s="5">
        <v>784</v>
      </c>
      <c r="G8" s="8"/>
      <c r="H8" s="8"/>
      <c r="I8" s="5">
        <v>784</v>
      </c>
      <c r="J8" s="1"/>
      <c r="K8" s="1" t="s">
        <v>265</v>
      </c>
    </row>
    <row r="9">
      <c r="A9" s="6" t="s">
        <v>266</v>
      </c>
      <c r="B9" s="5">
        <v>750</v>
      </c>
      <c r="C9" s="5">
        <v>750</v>
      </c>
      <c r="D9" s="8"/>
      <c r="E9" s="8"/>
      <c r="F9" s="8"/>
      <c r="G9" s="8"/>
      <c r="H9" s="8"/>
      <c r="I9" s="8"/>
      <c r="J9" s="1"/>
      <c r="K9" s="1" t="s">
        <v>267</v>
      </c>
    </row>
    <row r="10">
      <c r="A10" s="6" t="s">
        <v>268</v>
      </c>
      <c r="B10" s="8"/>
      <c r="C10" s="8"/>
      <c r="D10" s="5">
        <v>249</v>
      </c>
      <c r="E10" s="5">
        <v>0</v>
      </c>
      <c r="F10" s="5">
        <v>-41</v>
      </c>
      <c r="G10" s="8"/>
      <c r="H10" s="8"/>
      <c r="I10" s="5">
        <v>-41</v>
      </c>
      <c r="J10" s="1"/>
      <c r="K10" s="1" t="s">
        <v>269</v>
      </c>
    </row>
    <row r="11">
      <c r="A11" s="6" t="s">
        <v>270</v>
      </c>
      <c r="B11" s="8"/>
      <c r="C11" s="8"/>
      <c r="D11" s="5">
        <v>-11</v>
      </c>
      <c r="E11" s="5">
        <v>0</v>
      </c>
      <c r="F11" s="5">
        <v>-170</v>
      </c>
      <c r="G11" s="8"/>
      <c r="H11" s="8"/>
      <c r="I11" s="5">
        <v>-170</v>
      </c>
      <c r="J11" s="1"/>
      <c r="K11" s="1" t="s">
        <v>269</v>
      </c>
    </row>
    <row r="12">
      <c r="A12" s="6" t="s">
        <v>271</v>
      </c>
      <c r="B12" s="8"/>
      <c r="C12" s="8"/>
      <c r="D12" s="8"/>
      <c r="E12" s="8"/>
      <c r="F12" s="8"/>
      <c r="G12" s="5">
        <v>-4628</v>
      </c>
      <c r="H12" s="8"/>
      <c r="I12" s="5">
        <v>-4628</v>
      </c>
      <c r="J12" s="1"/>
      <c r="K12" s="1" t="s">
        <v>272</v>
      </c>
    </row>
    <row r="13">
      <c r="A13" s="6" t="s">
        <v>123</v>
      </c>
      <c r="B13" s="8"/>
      <c r="C13" s="8"/>
      <c r="D13" s="8"/>
      <c r="E13" s="8"/>
      <c r="F13" s="8"/>
      <c r="G13" s="8"/>
      <c r="H13" s="5">
        <v>223</v>
      </c>
      <c r="I13" s="5">
        <v>223</v>
      </c>
      <c r="J13" s="1"/>
      <c r="K13" s="1" t="s">
        <v>273</v>
      </c>
    </row>
    <row r="14">
      <c r="A14" s="16" t="s">
        <v>274</v>
      </c>
      <c r="B14" s="22">
        <v>886</v>
      </c>
      <c r="C14" s="22">
        <v>7992</v>
      </c>
      <c r="D14" s="22">
        <v>2980</v>
      </c>
      <c r="E14" s="22">
        <v>3</v>
      </c>
      <c r="F14" s="22">
        <v>35848</v>
      </c>
      <c r="G14" s="22">
        <v>-33385</v>
      </c>
      <c r="H14" s="22">
        <v>1485</v>
      </c>
      <c r="I14" s="22">
        <v>3951</v>
      </c>
      <c r="J14" s="1"/>
      <c r="K14" s="1" t="s">
        <v>264</v>
      </c>
    </row>
    <row r="15">
      <c r="A15" s="6" t="s">
        <v>275</v>
      </c>
      <c r="B15" s="14">
        <f>B7+SUM(B8:B13)-B14</f>
        <v>0</v>
      </c>
      <c r="C15" s="14">
        <f>C7+SUM(C8:C13)-C14</f>
        <v>0</v>
      </c>
      <c r="D15" s="14">
        <f>D7+SUM(D8:D13)-D14</f>
        <v>0</v>
      </c>
      <c r="E15" s="14">
        <f>E7+SUM(E8:E13)-E14</f>
        <v>0</v>
      </c>
      <c r="F15" s="14">
        <f>F7+SUM(F8:F13)-F14</f>
        <v>0</v>
      </c>
      <c r="G15" s="14">
        <f>G7+SUM(G8:G13)-G14</f>
        <v>0</v>
      </c>
      <c r="H15" s="14">
        <f>H7+SUM(H8:H13)-H14</f>
        <v>0</v>
      </c>
      <c r="I15" s="14">
        <f>I7+SUM(I8:I13)-I14</f>
        <v>0</v>
      </c>
      <c r="J15" s="1"/>
      <c r="K15" s="1"/>
    </row>
    <row r="16">
      <c r="A16" s="6" t="s">
        <v>276</v>
      </c>
      <c r="B16" s="8"/>
      <c r="C16" s="8"/>
      <c r="D16" s="8"/>
      <c r="E16" s="8"/>
      <c r="F16" s="8"/>
      <c r="G16" s="5">
        <v>496</v>
      </c>
      <c r="H16" s="8"/>
      <c r="I16" s="5">
        <v>496</v>
      </c>
      <c r="J16" s="1"/>
      <c r="K16" s="1" t="s">
        <v>272</v>
      </c>
    </row>
    <row r="17">
      <c r="A17" s="6" t="s">
        <v>191</v>
      </c>
      <c r="B17" s="8"/>
      <c r="C17" s="8"/>
      <c r="D17" s="8"/>
      <c r="E17" s="8"/>
      <c r="F17" s="5">
        <v>914</v>
      </c>
      <c r="G17" s="8"/>
      <c r="H17" s="8"/>
      <c r="I17" s="5">
        <v>914</v>
      </c>
      <c r="J17" s="1"/>
      <c r="K17" s="1" t="s">
        <v>277</v>
      </c>
    </row>
    <row r="18">
      <c r="A18" s="6" t="s">
        <v>266</v>
      </c>
      <c r="B18" s="5">
        <v>862</v>
      </c>
      <c r="C18" s="5">
        <v>13001</v>
      </c>
      <c r="D18" s="8"/>
      <c r="E18" s="8"/>
      <c r="F18" s="8"/>
      <c r="G18" s="8"/>
      <c r="H18" s="8"/>
      <c r="I18" s="8"/>
      <c r="J18" s="1"/>
      <c r="K18" s="1" t="s">
        <v>267</v>
      </c>
    </row>
    <row r="19">
      <c r="A19" s="6" t="s">
        <v>268</v>
      </c>
      <c r="B19" s="8"/>
      <c r="C19" s="8"/>
      <c r="D19" s="5">
        <v>75</v>
      </c>
      <c r="E19" s="5">
        <v>0</v>
      </c>
      <c r="F19" s="5">
        <v>72</v>
      </c>
      <c r="G19" s="8"/>
      <c r="H19" s="8"/>
      <c r="I19" s="5">
        <v>72</v>
      </c>
      <c r="J19" s="1"/>
      <c r="K19" s="1" t="s">
        <v>269</v>
      </c>
    </row>
    <row r="20">
      <c r="A20" s="6" t="s">
        <v>278</v>
      </c>
      <c r="B20" s="5">
        <v>0</v>
      </c>
      <c r="C20" s="5">
        <v>-21</v>
      </c>
      <c r="D20" s="5">
        <v>-46</v>
      </c>
      <c r="E20" s="5">
        <v>0</v>
      </c>
      <c r="F20" s="5">
        <v>-1000</v>
      </c>
      <c r="G20" s="8"/>
      <c r="H20" s="8"/>
      <c r="I20" s="5">
        <v>-1000</v>
      </c>
      <c r="J20" s="1"/>
      <c r="K20" s="1" t="s">
        <v>279</v>
      </c>
    </row>
    <row r="21">
      <c r="A21" s="6" t="s">
        <v>280</v>
      </c>
      <c r="B21" s="5">
        <v>0</v>
      </c>
      <c r="C21" s="5">
        <v>-31</v>
      </c>
      <c r="D21" s="5">
        <v>14</v>
      </c>
      <c r="E21" s="5">
        <v>0</v>
      </c>
      <c r="F21" s="5">
        <v>31</v>
      </c>
      <c r="G21" s="8"/>
      <c r="H21" s="8"/>
      <c r="I21" s="5">
        <v>31</v>
      </c>
      <c r="J21" s="1"/>
      <c r="K21" s="1" t="s">
        <v>279</v>
      </c>
    </row>
    <row r="22">
      <c r="A22" s="6" t="s">
        <v>281</v>
      </c>
      <c r="B22" s="8"/>
      <c r="C22" s="8"/>
      <c r="D22" s="8"/>
      <c r="E22" s="8"/>
      <c r="F22" s="8"/>
      <c r="G22" s="5">
        <v>791</v>
      </c>
      <c r="H22" s="8"/>
      <c r="I22" s="5">
        <v>791</v>
      </c>
      <c r="J22" s="1"/>
      <c r="K22" s="1" t="s">
        <v>272</v>
      </c>
    </row>
    <row r="23">
      <c r="A23" s="6" t="s">
        <v>123</v>
      </c>
      <c r="B23" s="8"/>
      <c r="C23" s="8"/>
      <c r="D23" s="8"/>
      <c r="E23" s="8"/>
      <c r="F23" s="8"/>
      <c r="G23" s="8"/>
      <c r="H23" s="5">
        <v>-392</v>
      </c>
      <c r="I23" s="5">
        <v>-392</v>
      </c>
      <c r="J23" s="1"/>
      <c r="K23" s="1" t="s">
        <v>273</v>
      </c>
    </row>
    <row r="24">
      <c r="A24" s="16" t="s">
        <v>282</v>
      </c>
      <c r="B24" s="22">
        <v>1748</v>
      </c>
      <c r="C24" s="22">
        <v>20941</v>
      </c>
      <c r="D24" s="22">
        <v>3023</v>
      </c>
      <c r="E24" s="22">
        <v>3</v>
      </c>
      <c r="F24" s="22">
        <v>35865</v>
      </c>
      <c r="G24" s="22">
        <v>-32098</v>
      </c>
      <c r="H24" s="22">
        <v>1093</v>
      </c>
      <c r="I24" s="22">
        <v>4863</v>
      </c>
      <c r="J24" s="1"/>
      <c r="K24" s="1" t="s">
        <v>264</v>
      </c>
    </row>
    <row r="25">
      <c r="A25" s="6" t="s">
        <v>283</v>
      </c>
      <c r="B25" s="14">
        <f>B14+SUM(B16:B23)-B24</f>
        <v>0</v>
      </c>
      <c r="C25" s="14">
        <f>C14+SUM(C16:C23)-C24</f>
        <v>0</v>
      </c>
      <c r="D25" s="14">
        <f>D14+SUM(D16:D23)-D24</f>
        <v>0</v>
      </c>
      <c r="E25" s="14">
        <f>E14+SUM(E16:E23)-E24</f>
        <v>0</v>
      </c>
      <c r="F25" s="14">
        <f>F14+SUM(F16:F23)-F24</f>
        <v>0</v>
      </c>
      <c r="G25" s="14">
        <f>G14+SUM(G16:G23)-G24</f>
        <v>0</v>
      </c>
      <c r="H25" s="14">
        <f>H14+SUM(H16:H23)-H24</f>
        <v>0</v>
      </c>
      <c r="I25" s="14">
        <f>I14+SUM(I16:I23)-I24</f>
        <v>0</v>
      </c>
      <c r="J25" s="1"/>
      <c r="K25" s="1"/>
    </row>
    <row r="26">
      <c r="A26" s="6" t="s">
        <v>191</v>
      </c>
      <c r="B26" s="8"/>
      <c r="C26" s="8"/>
      <c r="D26" s="8"/>
      <c r="E26" s="8"/>
      <c r="F26" s="5">
        <v>2087</v>
      </c>
      <c r="G26" s="8"/>
      <c r="H26" s="8"/>
      <c r="I26" s="5">
        <v>2087</v>
      </c>
      <c r="J26" s="1"/>
      <c r="K26" s="1" t="s">
        <v>277</v>
      </c>
    </row>
    <row r="27">
      <c r="A27" s="6" t="s">
        <v>266</v>
      </c>
      <c r="B27" s="5">
        <v>299</v>
      </c>
      <c r="C27" s="5">
        <v>17898</v>
      </c>
      <c r="D27" s="8"/>
      <c r="E27" s="8"/>
      <c r="F27" s="8"/>
      <c r="G27" s="8"/>
      <c r="H27" s="8"/>
      <c r="I27" s="8"/>
      <c r="J27" s="1"/>
      <c r="K27" s="1" t="s">
        <v>267</v>
      </c>
    </row>
    <row r="28">
      <c r="A28" s="6" t="s">
        <v>268</v>
      </c>
      <c r="B28" s="8"/>
      <c r="C28" s="8"/>
      <c r="D28" s="5">
        <v>97</v>
      </c>
      <c r="E28" s="5">
        <v>1</v>
      </c>
      <c r="F28" s="5">
        <v>740</v>
      </c>
      <c r="G28" s="8"/>
      <c r="H28" s="8"/>
      <c r="I28" s="5">
        <v>741</v>
      </c>
      <c r="J28" s="1"/>
      <c r="K28" s="1" t="s">
        <v>269</v>
      </c>
    </row>
    <row r="29">
      <c r="A29" s="6" t="s">
        <v>270</v>
      </c>
      <c r="B29" s="8"/>
      <c r="C29" s="8"/>
      <c r="D29" s="5">
        <v>-69</v>
      </c>
      <c r="E29" s="5">
        <v>0</v>
      </c>
      <c r="F29" s="5">
        <v>-1125</v>
      </c>
      <c r="G29" s="8"/>
      <c r="H29" s="8"/>
      <c r="I29" s="5">
        <v>-1125</v>
      </c>
      <c r="J29" s="1"/>
      <c r="K29" s="1" t="s">
        <v>269</v>
      </c>
    </row>
    <row r="30">
      <c r="A30" s="6" t="s">
        <v>280</v>
      </c>
      <c r="B30" s="5">
        <v>-1</v>
      </c>
      <c r="C30" s="5">
        <v>-87</v>
      </c>
      <c r="D30" s="5">
        <v>28</v>
      </c>
      <c r="E30" s="5">
        <v>0</v>
      </c>
      <c r="F30" s="5">
        <v>87</v>
      </c>
      <c r="G30" s="8"/>
      <c r="H30" s="8"/>
      <c r="I30" s="5">
        <v>87</v>
      </c>
      <c r="J30" s="1"/>
      <c r="K30" s="1" t="s">
        <v>279</v>
      </c>
    </row>
    <row r="31">
      <c r="A31" s="6" t="s">
        <v>284</v>
      </c>
      <c r="B31" s="8"/>
      <c r="C31" s="8"/>
      <c r="D31" s="5">
        <v>0</v>
      </c>
      <c r="E31" s="5">
        <v>0</v>
      </c>
      <c r="F31" s="5">
        <v>52</v>
      </c>
      <c r="G31" s="8"/>
      <c r="H31" s="8"/>
      <c r="I31" s="5">
        <v>52</v>
      </c>
      <c r="J31" s="1"/>
      <c r="K31" s="1" t="s">
        <v>269</v>
      </c>
    </row>
    <row r="32">
      <c r="A32" s="6" t="s">
        <v>271</v>
      </c>
      <c r="B32" s="8"/>
      <c r="C32" s="8"/>
      <c r="D32" s="8"/>
      <c r="E32" s="8"/>
      <c r="F32" s="8"/>
      <c r="G32" s="5">
        <v>-4937</v>
      </c>
      <c r="H32" s="8"/>
      <c r="I32" s="5">
        <v>-4937</v>
      </c>
      <c r="J32" s="1"/>
      <c r="K32" s="1" t="s">
        <v>272</v>
      </c>
    </row>
    <row r="33">
      <c r="A33" s="6" t="s">
        <v>123</v>
      </c>
      <c r="B33" s="8"/>
      <c r="C33" s="8"/>
      <c r="D33" s="8"/>
      <c r="E33" s="8"/>
      <c r="F33" s="8"/>
      <c r="G33" s="8"/>
      <c r="H33" s="5">
        <v>805</v>
      </c>
      <c r="I33" s="5">
        <v>805</v>
      </c>
      <c r="J33" s="1"/>
      <c r="K33" s="1" t="s">
        <v>273</v>
      </c>
    </row>
    <row r="34">
      <c r="A34" s="16" t="s">
        <v>285</v>
      </c>
      <c r="B34" s="22">
        <v>2046</v>
      </c>
      <c r="C34" s="22">
        <v>38752</v>
      </c>
      <c r="D34" s="22">
        <v>3079</v>
      </c>
      <c r="E34" s="22">
        <v>4</v>
      </c>
      <c r="F34" s="22">
        <v>37706</v>
      </c>
      <c r="G34" s="22">
        <v>-37035</v>
      </c>
      <c r="H34" s="22">
        <v>1898</v>
      </c>
      <c r="I34" s="22">
        <v>2573</v>
      </c>
      <c r="J34" s="1"/>
      <c r="K34" s="1" t="s">
        <v>264</v>
      </c>
    </row>
    <row r="35">
      <c r="A35" s="6" t="s">
        <v>286</v>
      </c>
      <c r="B35" s="14">
        <f>B24+SUM(B26:B33)-B34</f>
        <v>0</v>
      </c>
      <c r="C35" s="14">
        <f>C24+SUM(C26:C33)-C34</f>
        <v>0</v>
      </c>
      <c r="D35" s="14">
        <f>D24+SUM(D26:D33)-D34</f>
        <v>0</v>
      </c>
      <c r="E35" s="14">
        <f>E24+SUM(E26:E33)-E34</f>
        <v>0</v>
      </c>
      <c r="F35" s="14">
        <f>F24+SUM(F26:F33)-F34</f>
        <v>0</v>
      </c>
      <c r="G35" s="14">
        <f>G24+SUM(G26:G33)-G34</f>
        <v>0</v>
      </c>
      <c r="H35" s="14">
        <f>H24+SUM(H26:H33)-H34</f>
        <v>0</v>
      </c>
      <c r="I35" s="14">
        <f>I24+SUM(I26:I33)-I34</f>
        <v>0</v>
      </c>
      <c r="J35" s="1"/>
      <c r="K35" s="1"/>
    </row>
    <row r="36">
      <c r="A36" s="1"/>
      <c r="B36" s="1"/>
      <c r="C36" s="1"/>
      <c r="D36" s="1"/>
      <c r="E36" s="1"/>
      <c r="F36" s="1"/>
      <c r="G36" s="1"/>
      <c r="H36" s="1"/>
      <c r="I36" s="1"/>
      <c r="J36" s="1"/>
      <c r="K36" s="1"/>
    </row>
    <row r="37">
      <c r="A37" s="16" t="s">
        <v>287</v>
      </c>
      <c r="B37" s="1"/>
      <c r="C37" s="1"/>
      <c r="D37" s="1"/>
      <c r="E37" s="1"/>
      <c r="F37" s="1"/>
      <c r="G37" s="1"/>
      <c r="H37" s="1"/>
      <c r="I37" s="1"/>
      <c r="J37" s="1"/>
      <c r="K37" s="1"/>
    </row>
    <row r="38">
      <c r="A38" s="16" t="s">
        <v>282</v>
      </c>
      <c r="B38" s="22">
        <v>1748</v>
      </c>
      <c r="C38" s="22">
        <v>20941</v>
      </c>
      <c r="D38" s="22">
        <v>3023</v>
      </c>
      <c r="E38" s="22">
        <v>3</v>
      </c>
      <c r="F38" s="22">
        <v>35865</v>
      </c>
      <c r="G38" s="22">
        <v>-32098</v>
      </c>
      <c r="H38" s="22">
        <v>1093</v>
      </c>
      <c r="I38" s="22">
        <v>4863</v>
      </c>
      <c r="J38" s="1"/>
      <c r="K38" s="1" t="s">
        <v>288</v>
      </c>
    </row>
    <row r="39">
      <c r="A39" s="6" t="s">
        <v>191</v>
      </c>
      <c r="B39" s="8"/>
      <c r="C39" s="8"/>
      <c r="D39" s="8"/>
      <c r="E39" s="8"/>
      <c r="F39" s="5">
        <v>1150</v>
      </c>
      <c r="G39" s="8"/>
      <c r="H39" s="8"/>
      <c r="I39" s="5">
        <v>1150</v>
      </c>
      <c r="J39" s="1"/>
      <c r="K39" s="1" t="s">
        <v>289</v>
      </c>
    </row>
    <row r="40">
      <c r="A40" s="6" t="s">
        <v>266</v>
      </c>
      <c r="B40" s="5">
        <v>145</v>
      </c>
      <c r="C40" s="5">
        <v>4388</v>
      </c>
      <c r="D40" s="8"/>
      <c r="E40" s="8"/>
      <c r="F40" s="8"/>
      <c r="G40" s="8"/>
      <c r="H40" s="8"/>
      <c r="I40" s="8"/>
      <c r="J40" s="1"/>
      <c r="K40" s="1" t="s">
        <v>290</v>
      </c>
    </row>
    <row r="41">
      <c r="A41" s="6" t="s">
        <v>268</v>
      </c>
      <c r="B41" s="8"/>
      <c r="C41" s="8"/>
      <c r="D41" s="5">
        <v>62</v>
      </c>
      <c r="E41" s="5">
        <v>1</v>
      </c>
      <c r="F41" s="5">
        <v>922</v>
      </c>
      <c r="G41" s="8"/>
      <c r="H41" s="8"/>
      <c r="I41" s="5">
        <v>923</v>
      </c>
      <c r="J41" s="1"/>
      <c r="K41" s="1" t="s">
        <v>291</v>
      </c>
    </row>
    <row r="42">
      <c r="A42" s="6" t="s">
        <v>280</v>
      </c>
      <c r="B42" s="5">
        <v>0</v>
      </c>
      <c r="C42" s="5">
        <v>-1</v>
      </c>
      <c r="D42" s="5">
        <v>2</v>
      </c>
      <c r="E42" s="5">
        <v>0</v>
      </c>
      <c r="F42" s="5">
        <v>1</v>
      </c>
      <c r="G42" s="8"/>
      <c r="H42" s="8"/>
      <c r="I42" s="5">
        <v>1</v>
      </c>
      <c r="J42" s="1"/>
      <c r="K42" s="1" t="s">
        <v>292</v>
      </c>
    </row>
    <row r="43">
      <c r="A43" s="6" t="s">
        <v>270</v>
      </c>
      <c r="B43" s="8"/>
      <c r="C43" s="8"/>
      <c r="D43" s="5">
        <v>-47</v>
      </c>
      <c r="E43" s="5">
        <v>0</v>
      </c>
      <c r="F43" s="5">
        <v>-523</v>
      </c>
      <c r="G43" s="8"/>
      <c r="H43" s="8"/>
      <c r="I43" s="5">
        <v>-523</v>
      </c>
      <c r="J43" s="1"/>
      <c r="K43" s="1" t="s">
        <v>291</v>
      </c>
    </row>
    <row r="44">
      <c r="A44" s="6" t="s">
        <v>284</v>
      </c>
      <c r="B44" s="8"/>
      <c r="C44" s="8"/>
      <c r="D44" s="5">
        <v>1</v>
      </c>
      <c r="E44" s="5">
        <v>0</v>
      </c>
      <c r="F44" s="5">
        <v>39</v>
      </c>
      <c r="G44" s="8"/>
      <c r="H44" s="8"/>
      <c r="I44" s="5">
        <v>39</v>
      </c>
      <c r="J44" s="1"/>
      <c r="K44" s="1" t="s">
        <v>291</v>
      </c>
    </row>
    <row r="45">
      <c r="A45" s="6" t="s">
        <v>271</v>
      </c>
      <c r="B45" s="8"/>
      <c r="C45" s="8"/>
      <c r="D45" s="8"/>
      <c r="E45" s="8"/>
      <c r="F45" s="8"/>
      <c r="G45" s="5">
        <v>-2590</v>
      </c>
      <c r="H45" s="8"/>
      <c r="I45" s="5">
        <v>-2590</v>
      </c>
      <c r="J45" s="1"/>
      <c r="K45" s="1" t="s">
        <v>293</v>
      </c>
    </row>
    <row r="46">
      <c r="A46" s="6" t="s">
        <v>294</v>
      </c>
      <c r="B46" s="8"/>
      <c r="C46" s="8"/>
      <c r="D46" s="8"/>
      <c r="E46" s="8"/>
      <c r="F46" s="8"/>
      <c r="G46" s="8"/>
      <c r="H46" s="5">
        <v>792</v>
      </c>
      <c r="I46" s="5">
        <v>792</v>
      </c>
      <c r="J46" s="1"/>
      <c r="K46" s="1" t="s">
        <v>295</v>
      </c>
    </row>
    <row r="47">
      <c r="A47" s="16" t="s">
        <v>296</v>
      </c>
      <c r="B47" s="22">
        <v>1893</v>
      </c>
      <c r="C47" s="22">
        <v>25328</v>
      </c>
      <c r="D47" s="22">
        <v>3041</v>
      </c>
      <c r="E47" s="22">
        <v>4</v>
      </c>
      <c r="F47" s="22">
        <v>37454</v>
      </c>
      <c r="G47" s="22">
        <v>-34688</v>
      </c>
      <c r="H47" s="22">
        <v>1885</v>
      </c>
      <c r="I47" s="22">
        <v>4655</v>
      </c>
      <c r="J47" s="1"/>
      <c r="K47" s="1" t="s">
        <v>288</v>
      </c>
    </row>
    <row r="48">
      <c r="A48" s="6" t="s">
        <v>297</v>
      </c>
      <c r="B48" s="14">
        <f>B38+SUM(B39:B46)-B47</f>
        <v>0</v>
      </c>
      <c r="C48" s="14">
        <f>C38+SUM(C39:C46)-C47</f>
        <v>0</v>
      </c>
      <c r="D48" s="14">
        <f>D38+SUM(D39:D46)-D47</f>
        <v>0</v>
      </c>
      <c r="E48" s="14">
        <f>E38+SUM(E39:E46)-E47</f>
        <v>0</v>
      </c>
      <c r="F48" s="14">
        <f>F38+SUM(F39:F46)-F47</f>
        <v>0</v>
      </c>
      <c r="G48" s="14">
        <f>G38+SUM(G39:G46)-G47</f>
        <v>0</v>
      </c>
      <c r="H48" s="14">
        <f>H38+SUM(H39:H46)-H47</f>
        <v>0</v>
      </c>
      <c r="I48" s="14">
        <f>I38+SUM(I39:I46)-I47</f>
        <v>0</v>
      </c>
      <c r="J48" s="1"/>
      <c r="K48" s="1"/>
    </row>
    <row r="49">
      <c r="A49" s="1"/>
      <c r="B49" s="1"/>
      <c r="C49" s="1"/>
      <c r="D49" s="1"/>
      <c r="E49" s="1"/>
      <c r="F49" s="1"/>
      <c r="G49" s="1"/>
      <c r="H49" s="1"/>
      <c r="I49" s="1"/>
      <c r="J49" s="1"/>
      <c r="K49" s="1"/>
    </row>
    <row r="50">
      <c r="A50" s="16" t="s">
        <v>298</v>
      </c>
      <c r="B50" s="1"/>
      <c r="C50" s="1"/>
      <c r="D50" s="1"/>
      <c r="E50" s="1"/>
      <c r="F50" s="1"/>
      <c r="G50" s="1"/>
      <c r="H50" s="1"/>
      <c r="I50" s="1"/>
      <c r="J50" s="1"/>
      <c r="K50" s="1"/>
    </row>
    <row r="51">
      <c r="A51" s="16" t="s">
        <v>285</v>
      </c>
      <c r="B51" s="22">
        <v>2046</v>
      </c>
      <c r="C51" s="22">
        <v>38752</v>
      </c>
      <c r="D51" s="22">
        <v>3079</v>
      </c>
      <c r="E51" s="22">
        <v>4</v>
      </c>
      <c r="F51" s="22">
        <v>37706</v>
      </c>
      <c r="G51" s="22">
        <v>-37035</v>
      </c>
      <c r="H51" s="22">
        <v>1898</v>
      </c>
      <c r="I51" s="22">
        <v>2573</v>
      </c>
      <c r="J51" s="1"/>
      <c r="K51" s="1" t="s">
        <v>299</v>
      </c>
    </row>
    <row r="52">
      <c r="A52" s="6" t="s">
        <v>191</v>
      </c>
      <c r="B52" s="8"/>
      <c r="C52" s="8"/>
      <c r="D52" s="8"/>
      <c r="E52" s="8"/>
      <c r="F52" s="5">
        <v>3991</v>
      </c>
      <c r="G52" s="8"/>
      <c r="H52" s="8"/>
      <c r="I52" s="5">
        <v>3991</v>
      </c>
      <c r="J52" s="1"/>
      <c r="K52" s="1" t="s">
        <v>300</v>
      </c>
    </row>
    <row r="53">
      <c r="A53" s="6" t="s">
        <v>301</v>
      </c>
      <c r="B53" s="8"/>
      <c r="C53" s="8"/>
      <c r="D53" s="5">
        <v>639</v>
      </c>
      <c r="E53" s="5">
        <v>1</v>
      </c>
      <c r="F53" s="5">
        <v>85674</v>
      </c>
      <c r="G53" s="8"/>
      <c r="H53" s="8"/>
      <c r="I53" s="5">
        <v>85675</v>
      </c>
      <c r="J53" s="1"/>
      <c r="K53" s="1" t="s">
        <v>302</v>
      </c>
    </row>
    <row r="54">
      <c r="A54" s="6" t="s">
        <v>266</v>
      </c>
      <c r="B54" s="5">
        <v>78</v>
      </c>
      <c r="C54" s="5">
        <v>5869</v>
      </c>
      <c r="D54" s="8"/>
      <c r="E54" s="8"/>
      <c r="F54" s="8"/>
      <c r="G54" s="8"/>
      <c r="H54" s="8"/>
      <c r="I54" s="8"/>
      <c r="J54" s="1"/>
      <c r="K54" s="1" t="s">
        <v>303</v>
      </c>
    </row>
    <row r="55">
      <c r="A55" s="6" t="s">
        <v>268</v>
      </c>
      <c r="B55" s="8"/>
      <c r="C55" s="8"/>
      <c r="D55" s="5">
        <v>1381</v>
      </c>
      <c r="E55" s="5">
        <v>1</v>
      </c>
      <c r="F55" s="5">
        <v>2258</v>
      </c>
      <c r="G55" s="8"/>
      <c r="H55" s="8"/>
      <c r="I55" s="5">
        <v>2259</v>
      </c>
      <c r="J55" s="1"/>
      <c r="K55" s="1" t="s">
        <v>302</v>
      </c>
    </row>
    <row r="56">
      <c r="A56" s="6" t="s">
        <v>304</v>
      </c>
      <c r="B56" s="5">
        <v>-1987</v>
      </c>
      <c r="C56" s="5">
        <v>-37476</v>
      </c>
      <c r="D56" s="5">
        <v>1424</v>
      </c>
      <c r="E56" s="5">
        <v>1</v>
      </c>
      <c r="F56" s="5">
        <v>37474</v>
      </c>
      <c r="G56" s="8"/>
      <c r="H56" s="8"/>
      <c r="I56" s="5">
        <v>37475</v>
      </c>
      <c r="J56" s="1"/>
      <c r="K56" s="1" t="s">
        <v>305</v>
      </c>
    </row>
    <row r="57">
      <c r="A57" s="6" t="s">
        <v>306</v>
      </c>
      <c r="B57" s="8"/>
      <c r="C57" s="8"/>
      <c r="D57" s="5">
        <v>-25</v>
      </c>
      <c r="E57" s="5">
        <v>0</v>
      </c>
      <c r="F57" s="5">
        <v>-2413</v>
      </c>
      <c r="G57" s="8"/>
      <c r="H57" s="8"/>
      <c r="I57" s="5">
        <v>-2413</v>
      </c>
      <c r="J57" s="1"/>
      <c r="K57" s="1" t="s">
        <v>302</v>
      </c>
    </row>
    <row r="58">
      <c r="A58" s="6" t="s">
        <v>280</v>
      </c>
      <c r="B58" s="5">
        <v>-135</v>
      </c>
      <c r="C58" s="5">
        <v>-7076</v>
      </c>
      <c r="D58" s="5">
        <v>6728</v>
      </c>
      <c r="E58" s="5">
        <v>6</v>
      </c>
      <c r="F58" s="5">
        <v>7070</v>
      </c>
      <c r="G58" s="8"/>
      <c r="H58" s="8"/>
      <c r="I58" s="5">
        <v>7076</v>
      </c>
      <c r="J58" s="1"/>
      <c r="K58" s="1" t="s">
        <v>305</v>
      </c>
    </row>
    <row r="59">
      <c r="A59" s="6" t="s">
        <v>278</v>
      </c>
      <c r="B59" s="5">
        <v>-2</v>
      </c>
      <c r="C59" s="5">
        <v>-69</v>
      </c>
      <c r="D59" s="5">
        <v>-41</v>
      </c>
      <c r="E59" s="5">
        <v>0</v>
      </c>
      <c r="F59" s="5">
        <v>-1944</v>
      </c>
      <c r="G59" s="8"/>
      <c r="H59" s="8"/>
      <c r="I59" s="5">
        <v>-1944</v>
      </c>
      <c r="J59" s="1"/>
      <c r="K59" s="1" t="s">
        <v>305</v>
      </c>
    </row>
    <row r="60">
      <c r="A60" s="6" t="s">
        <v>307</v>
      </c>
      <c r="B60" s="8"/>
      <c r="C60" s="8"/>
      <c r="D60" s="5">
        <v>394</v>
      </c>
      <c r="E60" s="8"/>
      <c r="F60" s="5">
        <v>42723</v>
      </c>
      <c r="G60" s="8"/>
      <c r="H60" s="8"/>
      <c r="I60" s="5">
        <v>42723</v>
      </c>
      <c r="J60" s="1"/>
      <c r="K60" s="1" t="s">
        <v>308</v>
      </c>
    </row>
    <row r="61">
      <c r="A61" s="6" t="s">
        <v>271</v>
      </c>
      <c r="B61" s="8"/>
      <c r="C61" s="8"/>
      <c r="D61" s="8"/>
      <c r="E61" s="8"/>
      <c r="F61" s="8"/>
      <c r="G61" s="5">
        <v>-413</v>
      </c>
      <c r="H61" s="8"/>
      <c r="I61" s="5">
        <v>-413</v>
      </c>
      <c r="J61" s="1"/>
      <c r="K61" s="1" t="s">
        <v>309</v>
      </c>
    </row>
    <row r="62">
      <c r="A62" s="6" t="s">
        <v>310</v>
      </c>
      <c r="B62" s="8"/>
      <c r="C62" s="8"/>
      <c r="D62" s="8"/>
      <c r="E62" s="8"/>
      <c r="F62" s="8"/>
      <c r="G62" s="8"/>
      <c r="H62" s="5">
        <v>-234</v>
      </c>
      <c r="I62" s="5">
        <v>-234</v>
      </c>
      <c r="J62" s="1"/>
      <c r="K62" s="1" t="s">
        <v>311</v>
      </c>
    </row>
    <row r="63">
      <c r="A63" s="16" t="s">
        <v>312</v>
      </c>
      <c r="B63" s="12"/>
      <c r="C63" s="12"/>
      <c r="D63" s="22">
        <v>13579</v>
      </c>
      <c r="E63" s="22">
        <v>13</v>
      </c>
      <c r="F63" s="22">
        <v>212539</v>
      </c>
      <c r="G63" s="22">
        <v>-37448</v>
      </c>
      <c r="H63" s="22">
        <v>1664</v>
      </c>
      <c r="I63" s="22">
        <v>176768</v>
      </c>
      <c r="J63" s="1"/>
      <c r="K63" s="1" t="s">
        <v>313</v>
      </c>
    </row>
    <row r="64">
      <c r="A64" s="6" t="s">
        <v>314</v>
      </c>
      <c r="B64" s="14">
        <f>B51+SUM(B52:B62)-B63</f>
        <v>0</v>
      </c>
      <c r="C64" s="14">
        <f>C51+SUM(C52:C62)-C63</f>
        <v>0</v>
      </c>
      <c r="D64" s="14">
        <f>D51+SUM(D52:D62)-D63</f>
        <v>0</v>
      </c>
      <c r="E64" s="14">
        <f>E51+SUM(E52:E62)-E63</f>
        <v>0</v>
      </c>
      <c r="F64" s="14">
        <f>F51+SUM(F52:F62)-F63</f>
        <v>0</v>
      </c>
      <c r="G64" s="14">
        <f>G51+SUM(G52:G62)-G63</f>
        <v>0</v>
      </c>
      <c r="H64" s="14">
        <f>H51+SUM(H52:H62)-H63</f>
        <v>0</v>
      </c>
      <c r="I64" s="14">
        <f>I51+SUM(I52:I62)-I63</f>
        <v>0</v>
      </c>
      <c r="J64" s="1"/>
      <c r="K64" s="1"/>
    </row>
    <row r="65">
      <c r="A65" s="1"/>
      <c r="B65" s="1"/>
      <c r="C65" s="1"/>
      <c r="D65" s="1"/>
      <c r="E65" s="1"/>
      <c r="F65" s="1"/>
      <c r="G65" s="1"/>
      <c r="H65" s="1"/>
      <c r="I65" s="1"/>
      <c r="J65" s="1"/>
      <c r="K65" s="1"/>
    </row>
    <row r="66">
      <c r="A66" s="16" t="s">
        <v>315</v>
      </c>
      <c r="B66" s="1"/>
      <c r="C66" s="1"/>
      <c r="D66" s="1"/>
      <c r="E66" s="1"/>
      <c r="F66" s="1"/>
      <c r="G66" s="1"/>
      <c r="H66" s="1"/>
      <c r="I66" s="1"/>
      <c r="J66" s="1"/>
      <c r="K66" s="1"/>
    </row>
    <row r="67">
      <c r="A67" s="6" t="s">
        <v>316</v>
      </c>
      <c r="B67" s="1"/>
      <c r="C67" s="1"/>
      <c r="D67" s="1"/>
      <c r="E67" s="1"/>
      <c r="F67" s="1"/>
      <c r="G67" s="1"/>
      <c r="H67" s="1"/>
      <c r="I67" s="14">
        <f>E7+F7+G7+H7-I7</f>
        <v>0</v>
      </c>
      <c r="J67" s="1"/>
      <c r="K67" s="1"/>
    </row>
    <row r="68">
      <c r="A68" s="6" t="s">
        <v>317</v>
      </c>
      <c r="B68" s="1"/>
      <c r="C68" s="1"/>
      <c r="D68" s="1"/>
      <c r="E68" s="1"/>
      <c r="F68" s="1"/>
      <c r="G68" s="1"/>
      <c r="H68" s="1"/>
      <c r="I68" s="14">
        <f>E14+F14+G14+H14-I14</f>
        <v>0</v>
      </c>
      <c r="J68" s="1"/>
      <c r="K68" s="1"/>
    </row>
    <row r="69">
      <c r="A69" s="6" t="s">
        <v>318</v>
      </c>
      <c r="B69" s="1"/>
      <c r="C69" s="1"/>
      <c r="D69" s="1"/>
      <c r="E69" s="1"/>
      <c r="F69" s="1"/>
      <c r="G69" s="1"/>
      <c r="H69" s="1"/>
      <c r="I69" s="14">
        <f>E24+F24+G24+H24-I24</f>
        <v>0</v>
      </c>
      <c r="J69" s="1"/>
      <c r="K69" s="1"/>
    </row>
    <row r="70">
      <c r="A70" s="6" t="s">
        <v>319</v>
      </c>
      <c r="B70" s="1"/>
      <c r="C70" s="1"/>
      <c r="D70" s="1"/>
      <c r="E70" s="1"/>
      <c r="F70" s="1"/>
      <c r="G70" s="1"/>
      <c r="H70" s="1"/>
      <c r="I70" s="14">
        <f>E34+F34+G34+H34-I34</f>
        <v>0</v>
      </c>
      <c r="J70" s="1"/>
      <c r="K70" s="1"/>
    </row>
    <row r="71">
      <c r="A71" s="6" t="s">
        <v>320</v>
      </c>
      <c r="B71" s="1"/>
      <c r="C71" s="1"/>
      <c r="D71" s="1"/>
      <c r="E71" s="1"/>
      <c r="F71" s="1"/>
      <c r="G71" s="1"/>
      <c r="H71" s="1"/>
      <c r="I71" s="14">
        <f>E38+F38+G38+H38-I38</f>
        <v>0</v>
      </c>
      <c r="J71" s="1"/>
      <c r="K71" s="1"/>
    </row>
    <row r="72">
      <c r="A72" s="6" t="s">
        <v>321</v>
      </c>
      <c r="B72" s="1"/>
      <c r="C72" s="1"/>
      <c r="D72" s="1"/>
      <c r="E72" s="1"/>
      <c r="F72" s="1"/>
      <c r="G72" s="1"/>
      <c r="H72" s="1"/>
      <c r="I72" s="14">
        <f>E47+F47+G47+H47-I47</f>
        <v>0</v>
      </c>
      <c r="J72" s="1"/>
      <c r="K72" s="1"/>
    </row>
    <row r="73">
      <c r="A73" s="6" t="s">
        <v>322</v>
      </c>
      <c r="B73" s="1"/>
      <c r="C73" s="1"/>
      <c r="D73" s="1"/>
      <c r="E73" s="1"/>
      <c r="F73" s="1"/>
      <c r="G73" s="1"/>
      <c r="H73" s="1"/>
      <c r="I73" s="14">
        <f>E51+F51+G51+H51-I51</f>
        <v>0</v>
      </c>
      <c r="J73" s="1"/>
      <c r="K73" s="1"/>
    </row>
    <row r="74">
      <c r="A74" s="6" t="s">
        <v>323</v>
      </c>
      <c r="B74" s="1"/>
      <c r="C74" s="1"/>
      <c r="D74" s="1"/>
      <c r="E74" s="1"/>
      <c r="F74" s="1"/>
      <c r="G74" s="1"/>
      <c r="H74" s="1"/>
      <c r="I74" s="14">
        <f>E63+F63+G63+H63-I63</f>
        <v>0</v>
      </c>
      <c r="J74" s="1"/>
      <c r="K74" s="1"/>
    </row>
    <row r="75">
      <c r="A75" s="6" t="s">
        <v>324</v>
      </c>
      <c r="B75" s="1"/>
      <c r="C75" s="1"/>
      <c r="D75" s="1"/>
      <c r="E75" s="1"/>
      <c r="F75" s="1"/>
      <c r="G75" s="1"/>
      <c r="H75" s="1"/>
      <c r="I75" s="14">
        <f>ABS(I24-BS_Hist!B42)+ABS(C24-N(BS_Hist!B34))</f>
        <v>0</v>
      </c>
      <c r="J75" s="1"/>
      <c r="K75" s="1"/>
    </row>
    <row r="76">
      <c r="A76" s="6" t="s">
        <v>325</v>
      </c>
      <c r="B76" s="1"/>
      <c r="C76" s="1"/>
      <c r="D76" s="1"/>
      <c r="E76" s="1"/>
      <c r="F76" s="1"/>
      <c r="G76" s="1"/>
      <c r="H76" s="1"/>
      <c r="I76" s="14">
        <f>ABS(I34-BS_Hist!C42)+ABS(C34-N(BS_Hist!C34))</f>
        <v>0</v>
      </c>
      <c r="J76" s="1"/>
      <c r="K76" s="1"/>
    </row>
    <row r="77">
      <c r="A77" s="6" t="s">
        <v>326</v>
      </c>
      <c r="B77" s="1"/>
      <c r="C77" s="1"/>
      <c r="D77" s="1"/>
      <c r="E77" s="1"/>
      <c r="F77" s="1"/>
      <c r="G77" s="1"/>
      <c r="H77" s="1"/>
      <c r="I77" s="14">
        <f>ABS(I63-BS_Hist!D42)+ABS(C63-N(BS_Hist!D34))</f>
        <v>0</v>
      </c>
      <c r="J77" s="1"/>
      <c r="K77" s="1"/>
    </row>
  </sheetData>
</worksheet>
</file>

<file path=xl/worksheets/sheet7.xml><?xml version="1.0" encoding="utf-8"?>
<worksheet xmlns="http://schemas.openxmlformats.org/spreadsheetml/2006/main" xmlns:r="http://schemas.openxmlformats.org/officeDocument/2006/relationships">
  <sheetPr>
    <tabColor rgb="FF6A7689"/>
  </sheetPr>
  <dimension ref="A1:N35"/>
  <sheetViews>
    <sheetView showGridLines="0" workbookViewId="0"/>
  </sheetViews>
  <sheetFormatPr defaultColWidth="8.375" defaultRowHeight="15"/>
  <cols>
    <col min="1" max="1" width="77.70703125" customWidth="1"/>
    <col min="2" max="8" width="12.375" customWidth="1"/>
    <col min="13" max="13" width="17.70703125" customWidth="1"/>
    <col min="14" max="14" width="92.70703125" customWidth="1"/>
  </cols>
  <sheetData>
    <row r="1">
      <c r="A1" s="56" t="s">
        <v>327</v>
      </c>
      <c r="B1" s="1"/>
      <c r="C1" s="1"/>
      <c r="D1" s="1"/>
      <c r="E1" s="1"/>
      <c r="F1" s="1"/>
      <c r="G1" s="1"/>
      <c r="H1" s="1"/>
      <c r="I1" s="1"/>
      <c r="J1" s="1"/>
      <c r="K1" s="1"/>
      <c r="L1" s="1"/>
      <c r="M1" s="1"/>
      <c r="N1" s="1"/>
    </row>
    <row r="2">
      <c r="A2" s="1" t="s">
        <v>328</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329</v>
      </c>
      <c r="B4" s="11" t="s">
        <v>330</v>
      </c>
      <c r="C4" s="11" t="s">
        <v>331</v>
      </c>
      <c r="D4" s="11" t="s">
        <v>332</v>
      </c>
      <c r="E4" s="11" t="s">
        <v>333</v>
      </c>
      <c r="F4" s="11" t="s">
        <v>334</v>
      </c>
      <c r="G4" s="11" t="s">
        <v>335</v>
      </c>
      <c r="H4" s="11" t="s">
        <v>336</v>
      </c>
      <c r="I4" s="1"/>
      <c r="J4" s="1"/>
      <c r="K4" s="1"/>
      <c r="L4" s="1"/>
      <c r="M4" s="40" t="s">
        <v>87</v>
      </c>
      <c r="N4" s="40" t="s">
        <v>88</v>
      </c>
    </row>
    <row r="5">
      <c r="A5" s="1"/>
      <c r="B5" s="1"/>
      <c r="C5" s="1"/>
      <c r="D5" s="1"/>
      <c r="E5" s="1"/>
      <c r="F5" s="1"/>
      <c r="G5" s="1"/>
      <c r="H5" s="1"/>
      <c r="I5" s="1"/>
      <c r="J5" s="1"/>
      <c r="K5" s="1"/>
      <c r="L5" s="1"/>
      <c r="M5" s="1"/>
      <c r="N5" s="1"/>
    </row>
    <row r="6">
      <c r="A6" s="6" t="s">
        <v>89</v>
      </c>
      <c r="B6" s="5">
        <v>4067</v>
      </c>
      <c r="C6" s="5">
        <v>4071</v>
      </c>
      <c r="D6" s="5">
        <v>5576</v>
      </c>
      <c r="E6" s="8">
        <f>IS_Hist!D6-IS_Hist!E6</f>
        <v>4960</v>
      </c>
      <c r="F6" s="5">
        <v>4694</v>
      </c>
      <c r="G6" s="5">
        <v>7814</v>
      </c>
      <c r="H6" s="5">
        <v>14575</v>
      </c>
      <c r="I6" s="1"/>
      <c r="J6" s="1"/>
      <c r="K6" s="1"/>
      <c r="L6" s="1"/>
      <c r="M6" s="1"/>
      <c r="N6" s="1" t="s">
        <v>337</v>
      </c>
    </row>
    <row r="7">
      <c r="A7" s="6" t="s">
        <v>92</v>
      </c>
      <c r="B7" s="5">
        <v>1962</v>
      </c>
      <c r="C7" s="5">
        <v>2282</v>
      </c>
      <c r="D7" s="5">
        <v>2705</v>
      </c>
      <c r="E7" s="8">
        <f>IS_Hist!D8-IS_Hist!E8</f>
        <v>2502</v>
      </c>
      <c r="F7" s="5">
        <v>2388</v>
      </c>
      <c r="G7" s="5">
        <v>3495</v>
      </c>
      <c r="H7" s="5">
        <v>5478</v>
      </c>
      <c r="I7" s="1"/>
      <c r="J7" s="1"/>
      <c r="K7" s="1"/>
      <c r="L7" s="1"/>
      <c r="M7" s="1"/>
      <c r="N7" s="1" t="s">
        <v>337</v>
      </c>
    </row>
    <row r="8">
      <c r="A8" s="6" t="s">
        <v>93</v>
      </c>
      <c r="B8" s="5">
        <v>1557</v>
      </c>
      <c r="C8" s="5">
        <v>1958</v>
      </c>
      <c r="D8" s="5">
        <v>2291</v>
      </c>
      <c r="E8" s="8">
        <f>IS_Hist!D9-IS_Hist!E9</f>
        <v>2837</v>
      </c>
      <c r="F8" s="5">
        <v>3514</v>
      </c>
      <c r="G8" s="5">
        <v>3548</v>
      </c>
      <c r="H8" s="5">
        <v>4596</v>
      </c>
      <c r="I8" s="1"/>
      <c r="J8" s="1"/>
      <c r="K8" s="1"/>
      <c r="L8" s="1"/>
      <c r="M8" s="1"/>
      <c r="N8" s="1" t="s">
        <v>337</v>
      </c>
    </row>
    <row r="9">
      <c r="A9" s="6" t="s">
        <v>94</v>
      </c>
      <c r="B9" s="5">
        <v>493</v>
      </c>
      <c r="C9" s="5">
        <v>606</v>
      </c>
      <c r="D9" s="5">
        <v>575</v>
      </c>
      <c r="E9" s="8">
        <f>IS_Hist!D10-IS_Hist!E10</f>
        <v>970</v>
      </c>
      <c r="F9" s="5">
        <v>746</v>
      </c>
      <c r="G9" s="5">
        <v>912</v>
      </c>
      <c r="H9" s="5">
        <v>1707</v>
      </c>
      <c r="I9" s="1"/>
      <c r="J9" s="1"/>
      <c r="K9" s="1"/>
      <c r="L9" s="1"/>
      <c r="M9" s="1"/>
      <c r="N9" s="1" t="s">
        <v>337</v>
      </c>
    </row>
    <row r="10">
      <c r="A10" s="6" t="s">
        <v>95</v>
      </c>
      <c r="B10" s="5">
        <v>4</v>
      </c>
      <c r="C10" s="5">
        <v>190</v>
      </c>
      <c r="D10" s="5">
        <v>278</v>
      </c>
      <c r="E10" s="8">
        <f>IS_Hist!D11-IS_Hist!E11</f>
        <v>15</v>
      </c>
      <c r="F10" s="5">
        <v>-11</v>
      </c>
      <c r="G10" s="5">
        <v>2</v>
      </c>
      <c r="H10" s="5">
        <v>3</v>
      </c>
      <c r="I10" s="1"/>
      <c r="J10" s="1"/>
      <c r="K10" s="1"/>
      <c r="L10" s="1"/>
      <c r="M10" s="1"/>
      <c r="N10" s="1" t="s">
        <v>337</v>
      </c>
    </row>
    <row r="11">
      <c r="A11" s="6" t="s">
        <v>96</v>
      </c>
      <c r="B11" s="5">
        <v>24</v>
      </c>
      <c r="C11" s="5">
        <v>5</v>
      </c>
      <c r="D11" s="8"/>
      <c r="E11" s="8">
        <f>IS_Hist!D12-IS_Hist!E12</f>
        <v>9</v>
      </c>
      <c r="F11" s="8"/>
      <c r="G11" s="8"/>
      <c r="H11" s="8"/>
      <c r="I11" s="1"/>
      <c r="J11" s="1"/>
      <c r="K11" s="1"/>
      <c r="L11" s="1"/>
      <c r="M11" s="1"/>
      <c r="N11" s="1" t="s">
        <v>338</v>
      </c>
    </row>
    <row r="12">
      <c r="A12" s="16" t="s">
        <v>98</v>
      </c>
      <c r="B12" s="22">
        <v>4040</v>
      </c>
      <c r="C12" s="22">
        <v>5041</v>
      </c>
      <c r="D12" s="22">
        <v>5849</v>
      </c>
      <c r="E12" s="12">
        <f>IS_Hist!D13-IS_Hist!E13</f>
        <v>6333</v>
      </c>
      <c r="F12" s="22">
        <v>6637</v>
      </c>
      <c r="G12" s="22">
        <v>7957</v>
      </c>
      <c r="H12" s="22">
        <v>11784</v>
      </c>
      <c r="I12" s="1"/>
      <c r="J12" s="1"/>
      <c r="K12" s="1"/>
      <c r="L12" s="1"/>
      <c r="M12" s="1"/>
      <c r="N12" s="1" t="s">
        <v>337</v>
      </c>
    </row>
    <row r="13">
      <c r="A13" s="16" t="s">
        <v>99</v>
      </c>
      <c r="B13" s="22">
        <v>27</v>
      </c>
      <c r="C13" s="22">
        <v>-970</v>
      </c>
      <c r="D13" s="22">
        <v>-273</v>
      </c>
      <c r="E13" s="12">
        <f>IS_Hist!D14-IS_Hist!E14</f>
        <v>-1373</v>
      </c>
      <c r="F13" s="22">
        <v>-1943</v>
      </c>
      <c r="G13" s="22">
        <v>-143</v>
      </c>
      <c r="H13" s="22">
        <v>2791</v>
      </c>
      <c r="I13" s="1"/>
      <c r="J13" s="1"/>
      <c r="K13" s="1"/>
      <c r="L13" s="1"/>
      <c r="M13" s="1"/>
      <c r="N13" s="1" t="s">
        <v>337</v>
      </c>
    </row>
    <row r="14">
      <c r="A14" s="6" t="s">
        <v>100</v>
      </c>
      <c r="B14" s="5">
        <v>-447</v>
      </c>
      <c r="C14" s="5">
        <v>-411</v>
      </c>
      <c r="D14" s="5">
        <v>-514</v>
      </c>
      <c r="E14" s="8">
        <f>IS_Hist!D15-IS_Hist!E15</f>
        <v>-573</v>
      </c>
      <c r="F14" s="5">
        <v>-664</v>
      </c>
      <c r="G14" s="5">
        <v>-629</v>
      </c>
      <c r="H14" s="5">
        <v>-675</v>
      </c>
      <c r="I14" s="1"/>
      <c r="J14" s="1"/>
      <c r="K14" s="1"/>
      <c r="L14" s="1"/>
      <c r="M14" s="1"/>
      <c r="N14" s="1" t="s">
        <v>337</v>
      </c>
    </row>
    <row r="15">
      <c r="A15" s="6" t="s">
        <v>101</v>
      </c>
      <c r="B15" s="5">
        <v>117</v>
      </c>
      <c r="C15" s="5">
        <v>98</v>
      </c>
      <c r="D15" s="5">
        <v>155</v>
      </c>
      <c r="E15" s="8">
        <f>IS_Hist!D16-IS_Hist!E16</f>
        <v>122</v>
      </c>
      <c r="F15" s="5">
        <v>213</v>
      </c>
      <c r="G15" s="5">
        <v>340</v>
      </c>
      <c r="H15" s="5">
        <v>873</v>
      </c>
      <c r="I15" s="1"/>
      <c r="J15" s="1"/>
      <c r="K15" s="1"/>
      <c r="L15" s="1"/>
      <c r="M15" s="1"/>
      <c r="N15" s="1" t="s">
        <v>337</v>
      </c>
    </row>
    <row r="16">
      <c r="A16" s="6" t="s">
        <v>102</v>
      </c>
      <c r="B16" s="5">
        <v>-211</v>
      </c>
      <c r="C16" s="5">
        <v>413</v>
      </c>
      <c r="D16" s="5">
        <v>140</v>
      </c>
      <c r="E16" s="8">
        <f>IS_Hist!D17-IS_Hist!E17</f>
        <v>-519</v>
      </c>
      <c r="F16" s="5">
        <v>-1876</v>
      </c>
      <c r="G16" s="5">
        <v>-86</v>
      </c>
      <c r="H16" s="5">
        <v>1025</v>
      </c>
      <c r="I16" s="1"/>
      <c r="J16" s="1"/>
      <c r="K16" s="1"/>
      <c r="L16" s="1"/>
      <c r="M16" s="1"/>
      <c r="N16" s="1" t="s">
        <v>337</v>
      </c>
    </row>
    <row r="17">
      <c r="A17" s="16" t="s">
        <v>103</v>
      </c>
      <c r="B17" s="22">
        <v>-514</v>
      </c>
      <c r="C17" s="22">
        <v>-870</v>
      </c>
      <c r="D17" s="22">
        <v>-492</v>
      </c>
      <c r="E17" s="12">
        <f>IS_Hist!D18-IS_Hist!E18</f>
        <v>-2343</v>
      </c>
      <c r="F17" s="22">
        <v>-4270</v>
      </c>
      <c r="G17" s="22">
        <v>-518</v>
      </c>
      <c r="H17" s="22">
        <v>4014</v>
      </c>
      <c r="I17" s="1"/>
      <c r="J17" s="1"/>
      <c r="K17" s="1"/>
      <c r="L17" s="1"/>
      <c r="M17" s="1"/>
      <c r="N17" s="1" t="s">
        <v>337</v>
      </c>
    </row>
    <row r="18">
      <c r="A18" s="6" t="s">
        <v>104</v>
      </c>
      <c r="B18" s="5">
        <v>14</v>
      </c>
      <c r="C18" s="5">
        <v>138</v>
      </c>
      <c r="D18" s="5">
        <v>562</v>
      </c>
      <c r="E18" s="8">
        <f>IS_Hist!D19-IS_Hist!E19</f>
        <v>4</v>
      </c>
      <c r="F18" s="5">
        <v>6</v>
      </c>
      <c r="G18" s="5">
        <v>23</v>
      </c>
      <c r="H18" s="5">
        <v>-390</v>
      </c>
      <c r="I18" s="1"/>
      <c r="J18" s="1"/>
      <c r="K18" s="1"/>
      <c r="L18" s="1"/>
      <c r="M18" s="1"/>
      <c r="N18" s="1" t="s">
        <v>337</v>
      </c>
    </row>
    <row r="19">
      <c r="A19" s="16" t="s">
        <v>105</v>
      </c>
      <c r="B19" s="22">
        <v>-528</v>
      </c>
      <c r="C19" s="22">
        <v>-1008</v>
      </c>
      <c r="D19" s="22">
        <v>-1054</v>
      </c>
      <c r="E19" s="12">
        <f>IS_Hist!D20-IS_Hist!E20</f>
        <v>-2347</v>
      </c>
      <c r="F19" s="22">
        <v>-4276</v>
      </c>
      <c r="G19" s="22">
        <v>-541</v>
      </c>
      <c r="H19" s="22">
        <v>4404</v>
      </c>
      <c r="I19" s="1"/>
      <c r="J19" s="1"/>
      <c r="K19" s="1"/>
      <c r="L19" s="1"/>
      <c r="M19" s="1"/>
      <c r="N19" s="1" t="s">
        <v>337</v>
      </c>
    </row>
    <row r="20">
      <c r="A20" s="6" t="s">
        <v>339</v>
      </c>
      <c r="B20" s="5">
        <v>1443</v>
      </c>
      <c r="C20" s="8">
        <f>SUM(Segments_Hist!C117:Segments_Hist!C119)</f>
        <v>1526</v>
      </c>
      <c r="D20" s="8">
        <f>SUM(Segments_Hist!D117:Segments_Hist!D119)</f>
        <v>1814</v>
      </c>
      <c r="E20" s="8">
        <f>CF_Hist!D8-CF_Hist!E8</f>
        <v>1917</v>
      </c>
      <c r="F20" s="5">
        <v>2442</v>
      </c>
      <c r="G20" s="8">
        <f>SUM(Segments_Hist!G117:Segments_Hist!G119)</f>
        <v>2848</v>
      </c>
      <c r="H20" s="8">
        <f>SUM(Segments_Hist!H117:Segments_Hist!H119)</f>
        <v>3644</v>
      </c>
      <c r="I20" s="1"/>
      <c r="J20" s="1"/>
      <c r="K20" s="1"/>
      <c r="L20" s="1"/>
      <c r="M20" s="1"/>
      <c r="N20" s="1" t="s">
        <v>340</v>
      </c>
    </row>
    <row r="21">
      <c r="A21" s="6" t="s">
        <v>341</v>
      </c>
      <c r="B21" s="8">
        <f>SUM(Segments_Hist!B107:Segments_Hist!B109)</f>
        <v>1730</v>
      </c>
      <c r="C21" s="8">
        <f>SUM(Segments_Hist!C107:Segments_Hist!C109)</f>
        <v>1214</v>
      </c>
      <c r="D21" s="8">
        <f>SUM(Segments_Hist!D107:Segments_Hist!D109)</f>
        <v>2169</v>
      </c>
      <c r="E21" s="8">
        <f>SUM(Segments_Hist!E107:Segments_Hist!E109)</f>
        <v>1471</v>
      </c>
      <c r="F21" s="8">
        <f>SUM(Segments_Hist!F107:Segments_Hist!F109)</f>
        <v>1127</v>
      </c>
      <c r="G21" s="8">
        <f>SUM(Segments_Hist!G107:Segments_Hist!G109)</f>
        <v>3538</v>
      </c>
      <c r="H21" s="8">
        <f>SUM(Segments_Hist!H107:Segments_Hist!H109)</f>
        <v>8809</v>
      </c>
      <c r="I21" s="1"/>
      <c r="J21" s="1"/>
      <c r="K21" s="1"/>
      <c r="L21" s="1"/>
      <c r="M21" s="1"/>
      <c r="N21" s="1" t="s">
        <v>45</v>
      </c>
    </row>
    <row r="22">
      <c r="A22" s="1"/>
      <c r="B22" s="1"/>
      <c r="C22" s="1"/>
      <c r="D22" s="1"/>
      <c r="E22" s="1"/>
      <c r="F22" s="1"/>
      <c r="G22" s="1"/>
      <c r="H22" s="1"/>
      <c r="I22" s="1"/>
      <c r="J22" s="1"/>
      <c r="K22" s="1"/>
      <c r="L22" s="1"/>
      <c r="M22" s="1"/>
      <c r="N22" s="1"/>
    </row>
    <row r="23">
      <c r="A23" s="16" t="s">
        <v>342</v>
      </c>
      <c r="B23" s="1"/>
      <c r="C23" s="1"/>
      <c r="D23" s="1"/>
      <c r="E23" s="1"/>
      <c r="F23" s="1"/>
      <c r="G23" s="1"/>
      <c r="H23" s="1"/>
      <c r="I23" s="1"/>
      <c r="J23" s="1"/>
      <c r="K23" s="1"/>
      <c r="L23" s="1"/>
      <c r="M23" s="1"/>
      <c r="N23" s="1"/>
    </row>
    <row r="24">
      <c r="A24" s="31" t="s">
        <v>343</v>
      </c>
      <c r="B24" s="10"/>
      <c r="C24" s="10">
        <f>C6/B6-1</f>
        <v>0.0009835259404966656</v>
      </c>
      <c r="D24" s="10">
        <f>D6/C6-1</f>
        <v>0.3696880373372635</v>
      </c>
      <c r="E24" s="10">
        <f>E6/D6-1</f>
        <v>-0.11047345767575323</v>
      </c>
      <c r="F24" s="10">
        <f>F6/E6-1</f>
        <v>-0.05362903225806448</v>
      </c>
      <c r="G24" s="10">
        <f>G6/F6-1</f>
        <v>0.6646783127396676</v>
      </c>
      <c r="H24" s="10">
        <f>H6/G6-1</f>
        <v>0.8652418735602765</v>
      </c>
      <c r="I24" s="1"/>
      <c r="J24" s="1"/>
      <c r="K24" s="1"/>
      <c r="L24" s="1"/>
      <c r="M24" s="1"/>
      <c r="N24" s="1"/>
    </row>
    <row r="25">
      <c r="A25" s="31" t="s">
        <v>344</v>
      </c>
      <c r="B25" s="10">
        <f>B13/B6</f>
        <v>0.006638800098352594</v>
      </c>
      <c r="C25" s="10">
        <f>C13/C6</f>
        <v>-0.23827069516089414</v>
      </c>
      <c r="D25" s="10">
        <f>D13/D6</f>
        <v>-0.04895982783357245</v>
      </c>
      <c r="E25" s="10">
        <f>E13/E6</f>
        <v>-0.27681451612903224</v>
      </c>
      <c r="F25" s="10">
        <f>F13/F6</f>
        <v>-0.41393268001704303</v>
      </c>
      <c r="G25" s="10">
        <f>G13/G6</f>
        <v>-0.018300486306629126</v>
      </c>
      <c r="H25" s="10">
        <f>H13/H6</f>
        <v>0.19149228130360205</v>
      </c>
      <c r="I25" s="1"/>
      <c r="J25" s="1"/>
      <c r="K25" s="1"/>
      <c r="L25" s="1"/>
      <c r="M25" s="1"/>
      <c r="N25" s="1"/>
    </row>
    <row r="26">
      <c r="A26" s="31" t="s">
        <v>345</v>
      </c>
      <c r="B26" s="10">
        <f>B21/B6</f>
        <v>0.4253749692648144</v>
      </c>
      <c r="C26" s="10">
        <f>C21/C6</f>
        <v>0.29820682878899535</v>
      </c>
      <c r="D26" s="10">
        <f>D21/D6</f>
        <v>0.38898852223816355</v>
      </c>
      <c r="E26" s="10">
        <f>E21/E6</f>
        <v>0.2965725806451613</v>
      </c>
      <c r="F26" s="10">
        <f>F21/F6</f>
        <v>0.24009373668512995</v>
      </c>
      <c r="G26" s="10">
        <f>G21/G6</f>
        <v>0.4527770668031738</v>
      </c>
      <c r="H26" s="10">
        <f>H21/H6</f>
        <v>0.6043910806174957</v>
      </c>
      <c r="I26" s="1"/>
      <c r="J26" s="1"/>
      <c r="K26" s="1"/>
      <c r="L26" s="1"/>
      <c r="M26" s="1"/>
      <c r="N26" s="1"/>
    </row>
    <row r="27">
      <c r="A27" s="1"/>
      <c r="B27" s="1"/>
      <c r="C27" s="1"/>
      <c r="D27" s="1"/>
      <c r="E27" s="1"/>
      <c r="F27" s="1"/>
      <c r="G27" s="1"/>
      <c r="H27" s="1"/>
      <c r="I27" s="1"/>
      <c r="J27" s="1"/>
      <c r="K27" s="1"/>
      <c r="L27" s="1"/>
      <c r="M27" s="1"/>
      <c r="N27" s="1"/>
    </row>
    <row r="28">
      <c r="A28" s="16" t="s">
        <v>315</v>
      </c>
      <c r="B28" s="1"/>
      <c r="C28" s="1"/>
      <c r="D28" s="1"/>
      <c r="E28" s="1"/>
      <c r="F28" s="1"/>
      <c r="G28" s="1"/>
      <c r="H28" s="1"/>
      <c r="I28" s="1"/>
      <c r="J28" s="1"/>
      <c r="K28" s="1"/>
      <c r="L28" s="1"/>
      <c r="M28" s="1"/>
      <c r="N28" s="1"/>
    </row>
    <row r="29">
      <c r="A29" s="6" t="s">
        <v>98</v>
      </c>
      <c r="B29" s="14">
        <f>B7+B8+B9+B10+B11-B12</f>
        <v>0</v>
      </c>
      <c r="C29" s="14">
        <f>C7+C8+C9+C10+C11-C12</f>
        <v>0</v>
      </c>
      <c r="D29" s="14">
        <f>D7+D8+D9+D10+D11-D12</f>
        <v>0</v>
      </c>
      <c r="E29" s="14">
        <f>E7+E8+E9+E10+E11-E12</f>
        <v>0</v>
      </c>
      <c r="F29" s="14">
        <f>F7+F8+F9+F10+F11-F12</f>
        <v>0</v>
      </c>
      <c r="G29" s="14">
        <f>G7+G8+G9+G10+G11-G12</f>
        <v>0</v>
      </c>
      <c r="H29" s="14">
        <f>H7+H8+H9+H10+H11-H12</f>
        <v>0</v>
      </c>
      <c r="I29" s="1"/>
      <c r="J29" s="1"/>
      <c r="K29" s="1"/>
      <c r="L29" s="1"/>
      <c r="M29" s="1"/>
      <c r="N29" s="1"/>
    </row>
    <row r="30">
      <c r="A30" s="6" t="s">
        <v>346</v>
      </c>
      <c r="B30" s="14">
        <f>B6-B12-B13</f>
        <v>0</v>
      </c>
      <c r="C30" s="14">
        <f>C6-C12-C13</f>
        <v>0</v>
      </c>
      <c r="D30" s="14">
        <f>D6-D12-D13</f>
        <v>0</v>
      </c>
      <c r="E30" s="14">
        <f>E6-E12-E13</f>
        <v>0</v>
      </c>
      <c r="F30" s="14">
        <f>F6-F12-F13</f>
        <v>0</v>
      </c>
      <c r="G30" s="14">
        <f>G6-G12-G13</f>
        <v>0</v>
      </c>
      <c r="H30" s="14">
        <f>H6-H12-H13</f>
        <v>0</v>
      </c>
      <c r="I30" s="1"/>
      <c r="J30" s="1"/>
      <c r="K30" s="1"/>
      <c r="L30" s="1"/>
      <c r="M30" s="1"/>
      <c r="N30" s="1"/>
    </row>
    <row r="31">
      <c r="A31" s="6" t="s">
        <v>105</v>
      </c>
      <c r="B31" s="14">
        <f>B13+B14+B15+B16-B18-B19</f>
        <v>0</v>
      </c>
      <c r="C31" s="14">
        <f>C13+C14+C15+C16-C18-C19</f>
        <v>0</v>
      </c>
      <c r="D31" s="14">
        <f>D13+D14+D15+D16-D18-D19</f>
        <v>0</v>
      </c>
      <c r="E31" s="14">
        <f>E13+E14+E15+E16-E18-E19</f>
        <v>0</v>
      </c>
      <c r="F31" s="14">
        <f>F13+F14+F15+F16-F18-F19</f>
        <v>0</v>
      </c>
      <c r="G31" s="14">
        <f>G13+G14+G15+G16-G18-G19</f>
        <v>0</v>
      </c>
      <c r="H31" s="14">
        <f>H13+H14+H15+H16-H18-H19</f>
        <v>0</v>
      </c>
      <c r="I31" s="1"/>
      <c r="J31" s="1"/>
      <c r="K31" s="1"/>
      <c r="L31" s="1"/>
      <c r="M31" s="1"/>
      <c r="N31" s="1"/>
    </row>
    <row r="32">
      <c r="A32" s="6" t="s">
        <v>347</v>
      </c>
      <c r="B32" s="14">
        <f>SUM(B6:D6)-IS_Hist!E6</f>
        <v>0</v>
      </c>
      <c r="C32" s="14"/>
      <c r="D32" s="14"/>
      <c r="E32" s="14"/>
      <c r="F32" s="14">
        <f>SUM(F6:H6)-IS_Hist!F6</f>
        <v>0</v>
      </c>
      <c r="G32" s="1"/>
      <c r="H32" s="1"/>
      <c r="I32" s="1"/>
      <c r="J32" s="1"/>
      <c r="K32" s="1"/>
      <c r="L32" s="1"/>
      <c r="M32" s="1"/>
      <c r="N32" s="1" t="s">
        <v>348</v>
      </c>
    </row>
    <row r="33">
      <c r="A33" s="6" t="s">
        <v>349</v>
      </c>
      <c r="B33" s="14">
        <f>SUM(B12:D12)-IS_Hist!E13</f>
        <v>0</v>
      </c>
      <c r="C33" s="14"/>
      <c r="D33" s="14"/>
      <c r="E33" s="14"/>
      <c r="F33" s="14">
        <f>SUM(F12:H12)-IS_Hist!F13</f>
        <v>0</v>
      </c>
      <c r="G33" s="1"/>
      <c r="H33" s="1"/>
      <c r="I33" s="1"/>
      <c r="J33" s="1"/>
      <c r="K33" s="1"/>
      <c r="L33" s="1"/>
      <c r="M33" s="1"/>
      <c r="N33" s="1" t="s">
        <v>348</v>
      </c>
    </row>
    <row r="34">
      <c r="A34" s="6" t="s">
        <v>350</v>
      </c>
      <c r="B34" s="14">
        <f>SUM(B13:D13)-IS_Hist!E14</f>
        <v>0</v>
      </c>
      <c r="C34" s="14"/>
      <c r="D34" s="14"/>
      <c r="E34" s="14"/>
      <c r="F34" s="14">
        <f>SUM(F13:H13)-IS_Hist!F14</f>
        <v>0</v>
      </c>
      <c r="G34" s="1"/>
      <c r="H34" s="1"/>
      <c r="I34" s="1"/>
      <c r="J34" s="1"/>
      <c r="K34" s="1"/>
      <c r="L34" s="1"/>
      <c r="M34" s="1"/>
      <c r="N34" s="1" t="s">
        <v>348</v>
      </c>
    </row>
    <row r="35">
      <c r="A35" s="6" t="s">
        <v>351</v>
      </c>
      <c r="B35" s="14">
        <f>SUM(B19:D19)-IS_Hist!E20</f>
        <v>0</v>
      </c>
      <c r="C35" s="14"/>
      <c r="D35" s="14"/>
      <c r="E35" s="14"/>
      <c r="F35" s="14">
        <f>SUM(F19:H19)-IS_Hist!F20</f>
        <v>0</v>
      </c>
      <c r="G35" s="1"/>
      <c r="H35" s="1"/>
      <c r="I35" s="1"/>
      <c r="J35" s="1"/>
      <c r="K35" s="1"/>
      <c r="L35" s="1"/>
      <c r="M35" s="1"/>
      <c r="N35" s="1" t="s">
        <v>348</v>
      </c>
    </row>
  </sheetData>
</worksheet>
</file>

<file path=xl/worksheets/sheet8.xml><?xml version="1.0" encoding="utf-8"?>
<worksheet xmlns="http://schemas.openxmlformats.org/spreadsheetml/2006/main" xmlns:r="http://schemas.openxmlformats.org/officeDocument/2006/relationships">
  <sheetPr>
    <tabColor rgb="FF6A7689"/>
  </sheetPr>
  <dimension ref="A1:N171"/>
  <sheetViews>
    <sheetView showGridLines="0" workbookViewId="0"/>
  </sheetViews>
  <sheetFormatPr defaultColWidth="8.375" defaultRowHeight="15"/>
  <cols>
    <col min="1" max="1" width="86.0390625" customWidth="1"/>
    <col min="2" max="8" width="12.375" customWidth="1"/>
    <col min="13" max="13" width="17.70703125" customWidth="1"/>
    <col min="14" max="14" width="92.70703125" customWidth="1"/>
  </cols>
  <sheetData>
    <row r="1">
      <c r="A1" s="56" t="s">
        <v>352</v>
      </c>
      <c r="B1" s="1"/>
      <c r="C1" s="1"/>
      <c r="D1" s="1"/>
      <c r="E1" s="1"/>
      <c r="F1" s="1"/>
      <c r="G1" s="1"/>
      <c r="H1" s="1"/>
      <c r="I1" s="1"/>
      <c r="J1" s="1"/>
      <c r="K1" s="1"/>
      <c r="L1" s="1"/>
      <c r="M1" s="1"/>
      <c r="N1" s="1"/>
    </row>
    <row r="2">
      <c r="A2" s="1" t="s">
        <v>353</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81</v>
      </c>
      <c r="B4" s="11" t="s">
        <v>82</v>
      </c>
      <c r="C4" s="11" t="s">
        <v>83</v>
      </c>
      <c r="D4" s="11" t="s">
        <v>84</v>
      </c>
      <c r="E4" s="11" t="s">
        <v>85</v>
      </c>
      <c r="F4" s="11" t="s">
        <v>86</v>
      </c>
      <c r="G4" s="1"/>
      <c r="H4" s="1"/>
      <c r="I4" s="1"/>
      <c r="J4" s="1"/>
      <c r="K4" s="1"/>
      <c r="L4" s="1"/>
      <c r="M4" s="40" t="s">
        <v>87</v>
      </c>
      <c r="N4" s="40" t="s">
        <v>88</v>
      </c>
    </row>
    <row r="5">
      <c r="A5" s="1"/>
      <c r="B5" s="1"/>
      <c r="C5" s="1"/>
      <c r="D5" s="1"/>
      <c r="E5" s="1"/>
      <c r="F5" s="1"/>
      <c r="G5" s="1"/>
      <c r="H5" s="1"/>
      <c r="I5" s="1"/>
      <c r="J5" s="1"/>
      <c r="K5" s="1"/>
      <c r="L5" s="1"/>
      <c r="M5" s="1"/>
      <c r="N5" s="1"/>
    </row>
    <row r="6">
      <c r="A6" s="16" t="s">
        <v>354</v>
      </c>
      <c r="B6" s="1"/>
      <c r="C6" s="1"/>
      <c r="D6" s="1"/>
      <c r="E6" s="1"/>
      <c r="F6" s="1"/>
      <c r="G6" s="1"/>
      <c r="H6" s="1"/>
      <c r="I6" s="1"/>
      <c r="J6" s="1"/>
      <c r="K6" s="1"/>
      <c r="L6" s="1"/>
      <c r="M6" s="1"/>
      <c r="N6" s="1"/>
    </row>
    <row r="7">
      <c r="A7" s="6" t="s">
        <v>355</v>
      </c>
      <c r="B7" s="5">
        <v>1964</v>
      </c>
      <c r="C7" s="5">
        <v>2584</v>
      </c>
      <c r="D7" s="5">
        <v>2576</v>
      </c>
      <c r="E7" s="5">
        <v>2056</v>
      </c>
      <c r="F7" s="5">
        <v>2108</v>
      </c>
      <c r="G7" s="1"/>
      <c r="H7" s="1"/>
      <c r="I7" s="1"/>
      <c r="J7" s="1"/>
      <c r="K7" s="1"/>
      <c r="L7" s="1"/>
      <c r="M7" s="1"/>
      <c r="N7" s="1" t="s">
        <v>356</v>
      </c>
    </row>
    <row r="8">
      <c r="A8" s="6" t="s">
        <v>357</v>
      </c>
      <c r="B8" s="5">
        <v>1593</v>
      </c>
      <c r="C8" s="5">
        <v>1212</v>
      </c>
      <c r="D8" s="5">
        <v>1510</v>
      </c>
      <c r="E8" s="5">
        <v>1221</v>
      </c>
      <c r="F8" s="5">
        <v>1240</v>
      </c>
      <c r="G8" s="1"/>
      <c r="H8" s="1"/>
      <c r="I8" s="1"/>
      <c r="J8" s="1"/>
      <c r="K8" s="1"/>
      <c r="L8" s="1"/>
      <c r="M8" s="1"/>
      <c r="N8" s="1" t="s">
        <v>356</v>
      </c>
    </row>
    <row r="9">
      <c r="A9" s="16" t="s">
        <v>358</v>
      </c>
      <c r="B9" s="22">
        <v>3557</v>
      </c>
      <c r="C9" s="22">
        <v>3796</v>
      </c>
      <c r="D9" s="22">
        <v>4086</v>
      </c>
      <c r="E9" s="22">
        <v>3277</v>
      </c>
      <c r="F9" s="22">
        <v>3348</v>
      </c>
      <c r="G9" s="1"/>
      <c r="H9" s="1"/>
      <c r="I9" s="1"/>
      <c r="J9" s="1"/>
      <c r="K9" s="1"/>
      <c r="L9" s="1"/>
      <c r="M9" s="1"/>
      <c r="N9" s="1" t="s">
        <v>356</v>
      </c>
    </row>
    <row r="10">
      <c r="A10" s="6" t="s">
        <v>359</v>
      </c>
      <c r="B10" s="5">
        <v>2817</v>
      </c>
      <c r="C10" s="5">
        <v>4830</v>
      </c>
      <c r="D10" s="5">
        <v>7208</v>
      </c>
      <c r="E10" s="5">
        <v>5198</v>
      </c>
      <c r="F10" s="5">
        <v>7754</v>
      </c>
      <c r="G10" s="1"/>
      <c r="H10" s="1"/>
      <c r="I10" s="1"/>
      <c r="J10" s="1"/>
      <c r="K10" s="1"/>
      <c r="L10" s="1"/>
      <c r="M10" s="1"/>
      <c r="N10" s="1" t="s">
        <v>356</v>
      </c>
    </row>
    <row r="11">
      <c r="A11" s="6" t="s">
        <v>360</v>
      </c>
      <c r="B11" s="5">
        <v>1052</v>
      </c>
      <c r="C11" s="5">
        <v>2769</v>
      </c>
      <c r="D11" s="5">
        <v>4179</v>
      </c>
      <c r="E11" s="5">
        <v>2961</v>
      </c>
      <c r="F11" s="5">
        <v>5042</v>
      </c>
      <c r="G11" s="1"/>
      <c r="H11" s="1"/>
      <c r="I11" s="1"/>
      <c r="J11" s="1"/>
      <c r="K11" s="1"/>
      <c r="L11" s="1"/>
      <c r="M11" s="1"/>
      <c r="N11" s="1" t="s">
        <v>356</v>
      </c>
    </row>
    <row r="12">
      <c r="A12" s="16" t="s">
        <v>361</v>
      </c>
      <c r="B12" s="22">
        <v>3869</v>
      </c>
      <c r="C12" s="22">
        <v>7599</v>
      </c>
      <c r="D12" s="22">
        <v>11387</v>
      </c>
      <c r="E12" s="22">
        <v>8159</v>
      </c>
      <c r="F12" s="22">
        <v>12796</v>
      </c>
      <c r="G12" s="1"/>
      <c r="H12" s="1"/>
      <c r="I12" s="1"/>
      <c r="J12" s="1"/>
      <c r="K12" s="1"/>
      <c r="L12" s="1"/>
      <c r="M12" s="1"/>
      <c r="N12" s="1" t="s">
        <v>356</v>
      </c>
    </row>
    <row r="13">
      <c r="A13" s="6" t="s">
        <v>362</v>
      </c>
      <c r="B13" s="5">
        <v>2323</v>
      </c>
      <c r="C13" s="5">
        <v>1728</v>
      </c>
      <c r="D13" s="5">
        <v>1844</v>
      </c>
      <c r="E13" s="5">
        <v>1323</v>
      </c>
      <c r="F13" s="5">
        <v>1248</v>
      </c>
      <c r="G13" s="1"/>
      <c r="H13" s="1"/>
      <c r="I13" s="1"/>
      <c r="J13" s="1"/>
      <c r="K13" s="1"/>
      <c r="L13" s="1"/>
      <c r="M13" s="1"/>
      <c r="N13" s="1" t="s">
        <v>356</v>
      </c>
    </row>
    <row r="14">
      <c r="A14" s="6" t="s">
        <v>363</v>
      </c>
      <c r="B14" s="5">
        <v>638</v>
      </c>
      <c r="C14" s="5">
        <v>892</v>
      </c>
      <c r="D14" s="5">
        <v>1357</v>
      </c>
      <c r="E14" s="5">
        <v>955</v>
      </c>
      <c r="F14" s="5">
        <v>9691</v>
      </c>
      <c r="G14" s="1"/>
      <c r="H14" s="1"/>
      <c r="I14" s="1"/>
      <c r="J14" s="1"/>
      <c r="K14" s="1"/>
      <c r="L14" s="1"/>
      <c r="M14" s="1"/>
      <c r="N14" s="1" t="s">
        <v>356</v>
      </c>
    </row>
    <row r="15">
      <c r="A15" s="16" t="s">
        <v>364</v>
      </c>
      <c r="B15" s="22">
        <v>2961</v>
      </c>
      <c r="C15" s="22">
        <v>2620</v>
      </c>
      <c r="D15" s="22">
        <v>3201</v>
      </c>
      <c r="E15" s="22">
        <v>2278</v>
      </c>
      <c r="F15" s="22">
        <v>10939</v>
      </c>
      <c r="G15" s="1"/>
      <c r="H15" s="1"/>
      <c r="I15" s="1"/>
      <c r="J15" s="1"/>
      <c r="K15" s="1"/>
      <c r="L15" s="1"/>
      <c r="M15" s="1"/>
      <c r="N15" s="1" t="s">
        <v>356</v>
      </c>
    </row>
    <row r="16">
      <c r="A16" s="16" t="s">
        <v>365</v>
      </c>
      <c r="B16" s="22">
        <v>10387</v>
      </c>
      <c r="C16" s="22">
        <v>14015</v>
      </c>
      <c r="D16" s="22">
        <v>18674</v>
      </c>
      <c r="E16" s="22">
        <v>13714</v>
      </c>
      <c r="F16" s="22">
        <v>27083</v>
      </c>
      <c r="G16" s="1"/>
      <c r="H16" s="1"/>
      <c r="I16" s="1"/>
      <c r="J16" s="1"/>
      <c r="K16" s="1"/>
      <c r="L16" s="1"/>
      <c r="M16" s="1"/>
      <c r="N16" s="1" t="s">
        <v>356</v>
      </c>
    </row>
    <row r="17">
      <c r="A17" s="1"/>
      <c r="B17" s="1"/>
      <c r="C17" s="1"/>
      <c r="D17" s="1"/>
      <c r="E17" s="1"/>
      <c r="F17" s="1"/>
      <c r="G17" s="1"/>
      <c r="H17" s="1"/>
      <c r="I17" s="1"/>
      <c r="J17" s="1"/>
      <c r="K17" s="1"/>
      <c r="L17" s="1"/>
      <c r="M17" s="1"/>
      <c r="N17" s="1"/>
    </row>
    <row r="18">
      <c r="A18" s="16" t="s">
        <v>366</v>
      </c>
      <c r="B18" s="1"/>
      <c r="C18" s="1"/>
      <c r="D18" s="1"/>
      <c r="E18" s="1"/>
      <c r="F18" s="1"/>
      <c r="G18" s="1"/>
      <c r="H18" s="1"/>
      <c r="I18" s="1"/>
      <c r="J18" s="1"/>
      <c r="K18" s="1"/>
      <c r="L18" s="1"/>
      <c r="M18" s="1"/>
      <c r="N18" s="1"/>
    </row>
    <row r="19">
      <c r="A19" s="6" t="s">
        <v>358</v>
      </c>
      <c r="B19" s="5">
        <v>-1</v>
      </c>
      <c r="C19" s="5">
        <v>21</v>
      </c>
      <c r="D19" s="5">
        <v>-657</v>
      </c>
      <c r="E19" s="5">
        <v>-181</v>
      </c>
      <c r="F19" s="5">
        <v>-1211</v>
      </c>
      <c r="G19" s="1"/>
      <c r="H19" s="1"/>
      <c r="I19" s="1"/>
      <c r="J19" s="1"/>
      <c r="K19" s="1"/>
      <c r="L19" s="1"/>
      <c r="M19" s="1"/>
      <c r="N19" s="1" t="s">
        <v>367</v>
      </c>
    </row>
    <row r="20">
      <c r="A20" s="6" t="s">
        <v>361</v>
      </c>
      <c r="B20" s="5">
        <v>469</v>
      </c>
      <c r="C20" s="5">
        <v>2006</v>
      </c>
      <c r="D20" s="5">
        <v>4423</v>
      </c>
      <c r="E20" s="5">
        <v>3147</v>
      </c>
      <c r="F20" s="5">
        <v>5211</v>
      </c>
      <c r="G20" s="1"/>
      <c r="H20" s="1"/>
      <c r="I20" s="1"/>
      <c r="J20" s="1"/>
      <c r="K20" s="1"/>
      <c r="L20" s="1"/>
      <c r="M20" s="1"/>
      <c r="N20" s="1" t="s">
        <v>367</v>
      </c>
    </row>
    <row r="21">
      <c r="A21" s="6" t="s">
        <v>368</v>
      </c>
      <c r="B21" s="5">
        <v>-3973</v>
      </c>
      <c r="C21" s="5">
        <v>-1561</v>
      </c>
      <c r="D21" s="5">
        <v>-6355</v>
      </c>
      <c r="E21" s="5">
        <v>-4182</v>
      </c>
      <c r="F21" s="5">
        <v>-3295</v>
      </c>
      <c r="G21" s="1"/>
      <c r="H21" s="1"/>
      <c r="I21" s="1"/>
      <c r="J21" s="1"/>
      <c r="K21" s="1"/>
      <c r="L21" s="1"/>
      <c r="M21" s="1"/>
      <c r="N21" s="1" t="s">
        <v>367</v>
      </c>
    </row>
    <row r="22">
      <c r="A22" s="1"/>
      <c r="B22" s="1"/>
      <c r="C22" s="1"/>
      <c r="D22" s="1"/>
      <c r="E22" s="1"/>
      <c r="F22" s="1"/>
      <c r="G22" s="1"/>
      <c r="H22" s="1"/>
      <c r="I22" s="1"/>
      <c r="J22" s="1"/>
      <c r="K22" s="1"/>
      <c r="L22" s="1"/>
      <c r="M22" s="1"/>
      <c r="N22" s="1"/>
    </row>
    <row r="23">
      <c r="A23" s="16" t="s">
        <v>369</v>
      </c>
      <c r="B23" s="1"/>
      <c r="C23" s="1"/>
      <c r="D23" s="1"/>
      <c r="E23" s="1"/>
      <c r="F23" s="1"/>
      <c r="G23" s="1"/>
      <c r="H23" s="1"/>
      <c r="I23" s="1"/>
      <c r="J23" s="1"/>
      <c r="K23" s="1"/>
      <c r="L23" s="1"/>
      <c r="M23" s="1"/>
      <c r="N23" s="1"/>
    </row>
    <row r="24">
      <c r="A24" s="6" t="s">
        <v>358</v>
      </c>
      <c r="B24" s="5">
        <v>571</v>
      </c>
      <c r="C24" s="5">
        <v>637</v>
      </c>
      <c r="D24" s="5">
        <v>757</v>
      </c>
      <c r="E24" s="5">
        <v>572</v>
      </c>
      <c r="F24" s="5">
        <v>509</v>
      </c>
      <c r="G24" s="1"/>
      <c r="H24" s="1"/>
      <c r="I24" s="1"/>
      <c r="J24" s="1"/>
      <c r="K24" s="1"/>
      <c r="L24" s="1"/>
      <c r="M24" s="1"/>
      <c r="N24" s="1" t="s">
        <v>367</v>
      </c>
    </row>
    <row r="25">
      <c r="A25" s="6" t="s">
        <v>361</v>
      </c>
      <c r="B25" s="5">
        <v>884</v>
      </c>
      <c r="C25" s="5">
        <v>1508</v>
      </c>
      <c r="D25" s="5">
        <v>2376</v>
      </c>
      <c r="E25" s="5">
        <v>1706</v>
      </c>
      <c r="F25" s="5">
        <v>2574</v>
      </c>
      <c r="G25" s="1"/>
      <c r="H25" s="1"/>
      <c r="I25" s="1"/>
      <c r="J25" s="1"/>
      <c r="K25" s="1"/>
      <c r="L25" s="1"/>
      <c r="M25" s="1"/>
      <c r="N25" s="1" t="s">
        <v>367</v>
      </c>
    </row>
    <row r="26">
      <c r="A26" s="6" t="s">
        <v>368</v>
      </c>
      <c r="B26" s="5">
        <v>1180</v>
      </c>
      <c r="C26" s="5">
        <v>1679</v>
      </c>
      <c r="D26" s="5">
        <v>3568</v>
      </c>
      <c r="E26" s="5">
        <v>2506</v>
      </c>
      <c r="F26" s="5">
        <v>5851</v>
      </c>
      <c r="G26" s="1"/>
      <c r="H26" s="1"/>
      <c r="I26" s="1"/>
      <c r="J26" s="1"/>
      <c r="K26" s="1"/>
      <c r="L26" s="1"/>
      <c r="M26" s="1"/>
      <c r="N26" s="1" t="s">
        <v>367</v>
      </c>
    </row>
    <row r="27">
      <c r="A27" s="1"/>
      <c r="B27" s="1"/>
      <c r="C27" s="1"/>
      <c r="D27" s="1"/>
      <c r="E27" s="1"/>
      <c r="F27" s="1"/>
      <c r="G27" s="1"/>
      <c r="H27" s="1"/>
      <c r="I27" s="1"/>
      <c r="J27" s="1"/>
      <c r="K27" s="1"/>
      <c r="L27" s="1"/>
      <c r="M27" s="1"/>
      <c r="N27" s="1"/>
    </row>
    <row r="28">
      <c r="A28" s="16" t="s">
        <v>370</v>
      </c>
      <c r="B28" s="1"/>
      <c r="C28" s="1"/>
      <c r="D28" s="1"/>
      <c r="E28" s="1"/>
      <c r="F28" s="1"/>
      <c r="G28" s="1"/>
      <c r="H28" s="1"/>
      <c r="I28" s="1"/>
      <c r="J28" s="1"/>
      <c r="K28" s="1"/>
      <c r="L28" s="1"/>
      <c r="M28" s="1"/>
      <c r="N28" s="1"/>
    </row>
    <row r="29">
      <c r="A29" s="6" t="s">
        <v>358</v>
      </c>
      <c r="B29" s="5">
        <v>427</v>
      </c>
      <c r="C29" s="5">
        <v>472</v>
      </c>
      <c r="D29" s="5">
        <v>515</v>
      </c>
      <c r="E29" s="5">
        <v>383</v>
      </c>
      <c r="F29" s="5">
        <v>503</v>
      </c>
      <c r="G29" s="1"/>
      <c r="H29" s="1"/>
      <c r="I29" s="1"/>
      <c r="J29" s="1"/>
      <c r="K29" s="1"/>
      <c r="L29" s="1"/>
      <c r="M29" s="1"/>
      <c r="N29" s="1" t="s">
        <v>367</v>
      </c>
    </row>
    <row r="30">
      <c r="A30" s="6" t="s">
        <v>361</v>
      </c>
      <c r="B30" s="5">
        <v>249</v>
      </c>
      <c r="C30" s="5">
        <v>296</v>
      </c>
      <c r="D30" s="5">
        <v>369</v>
      </c>
      <c r="E30" s="5">
        <v>270</v>
      </c>
      <c r="F30" s="5">
        <v>398</v>
      </c>
      <c r="G30" s="1"/>
      <c r="H30" s="1"/>
      <c r="I30" s="1"/>
      <c r="J30" s="1"/>
      <c r="K30" s="1"/>
      <c r="L30" s="1"/>
      <c r="M30" s="1"/>
      <c r="N30" s="1" t="s">
        <v>367</v>
      </c>
    </row>
    <row r="31">
      <c r="A31" s="6" t="s">
        <v>368</v>
      </c>
      <c r="B31" s="5">
        <v>3</v>
      </c>
      <c r="C31" s="5">
        <v>16</v>
      </c>
      <c r="D31" s="5">
        <v>1063</v>
      </c>
      <c r="E31" s="5">
        <v>391</v>
      </c>
      <c r="F31" s="5">
        <v>1715</v>
      </c>
      <c r="G31" s="1"/>
      <c r="H31" s="1"/>
      <c r="I31" s="1"/>
      <c r="J31" s="1"/>
      <c r="K31" s="1"/>
      <c r="L31" s="1"/>
      <c r="M31" s="1"/>
      <c r="N31" s="1" t="s">
        <v>367</v>
      </c>
    </row>
    <row r="32">
      <c r="A32" s="1"/>
      <c r="B32" s="1"/>
      <c r="C32" s="1"/>
      <c r="D32" s="1"/>
      <c r="E32" s="1"/>
      <c r="F32" s="1"/>
      <c r="G32" s="1"/>
      <c r="H32" s="1"/>
      <c r="I32" s="1"/>
      <c r="J32" s="1"/>
      <c r="K32" s="1"/>
      <c r="L32" s="1"/>
      <c r="M32" s="1"/>
      <c r="N32" s="1"/>
    </row>
    <row r="33">
      <c r="A33" s="16" t="s">
        <v>371</v>
      </c>
      <c r="B33" s="1"/>
      <c r="C33" s="1"/>
      <c r="D33" s="1"/>
      <c r="E33" s="1"/>
      <c r="F33" s="1"/>
      <c r="G33" s="1"/>
      <c r="H33" s="1"/>
      <c r="I33" s="1"/>
      <c r="J33" s="1"/>
      <c r="K33" s="1"/>
      <c r="L33" s="1"/>
      <c r="M33" s="1"/>
      <c r="N33" s="1"/>
    </row>
    <row r="34">
      <c r="A34" s="6" t="s">
        <v>358</v>
      </c>
      <c r="B34" s="8"/>
      <c r="C34" s="8"/>
      <c r="D34" s="8"/>
      <c r="E34" s="8"/>
      <c r="F34" s="8"/>
      <c r="G34" s="1"/>
      <c r="H34" s="1"/>
      <c r="I34" s="1"/>
      <c r="J34" s="1"/>
      <c r="K34" s="1"/>
      <c r="L34" s="1"/>
      <c r="M34" s="1"/>
      <c r="N34" s="1" t="s">
        <v>372</v>
      </c>
    </row>
    <row r="35">
      <c r="A35" s="6" t="s">
        <v>361</v>
      </c>
      <c r="B35" s="8"/>
      <c r="C35" s="8"/>
      <c r="D35" s="8"/>
      <c r="E35" s="8"/>
      <c r="F35" s="8"/>
      <c r="G35" s="1"/>
      <c r="H35" s="1"/>
      <c r="I35" s="1"/>
      <c r="J35" s="1"/>
      <c r="K35" s="1"/>
      <c r="L35" s="1"/>
      <c r="M35" s="1"/>
      <c r="N35" s="1" t="s">
        <v>372</v>
      </c>
    </row>
    <row r="36">
      <c r="A36" s="6" t="s">
        <v>368</v>
      </c>
      <c r="B36" s="8"/>
      <c r="C36" s="8"/>
      <c r="D36" s="8"/>
      <c r="E36" s="8"/>
      <c r="F36" s="5">
        <v>1217</v>
      </c>
      <c r="G36" s="1"/>
      <c r="H36" s="1"/>
      <c r="I36" s="1"/>
      <c r="J36" s="1"/>
      <c r="K36" s="1"/>
      <c r="L36" s="1"/>
      <c r="M36" s="1"/>
      <c r="N36" s="1" t="s">
        <v>373</v>
      </c>
    </row>
    <row r="37">
      <c r="A37" s="1"/>
      <c r="B37" s="1"/>
      <c r="C37" s="1"/>
      <c r="D37" s="1"/>
      <c r="E37" s="1"/>
      <c r="F37" s="1"/>
      <c r="G37" s="1"/>
      <c r="H37" s="1"/>
      <c r="I37" s="1"/>
      <c r="J37" s="1"/>
      <c r="K37" s="1"/>
      <c r="L37" s="1"/>
      <c r="M37" s="1"/>
      <c r="N37" s="1"/>
    </row>
    <row r="38">
      <c r="A38" s="16" t="s">
        <v>374</v>
      </c>
      <c r="B38" s="1"/>
      <c r="C38" s="1"/>
      <c r="D38" s="1"/>
      <c r="E38" s="1"/>
      <c r="F38" s="1"/>
      <c r="G38" s="1"/>
      <c r="H38" s="1"/>
      <c r="I38" s="1"/>
      <c r="J38" s="1"/>
      <c r="K38" s="1"/>
      <c r="L38" s="1"/>
      <c r="M38" s="1"/>
      <c r="N38" s="1"/>
    </row>
    <row r="39">
      <c r="A39" s="6" t="s">
        <v>358</v>
      </c>
      <c r="B39" s="8"/>
      <c r="C39" s="8"/>
      <c r="D39" s="8"/>
      <c r="E39" s="8"/>
      <c r="F39" s="8"/>
      <c r="G39" s="1"/>
      <c r="H39" s="1"/>
      <c r="I39" s="1"/>
      <c r="J39" s="1"/>
      <c r="K39" s="1"/>
      <c r="L39" s="1"/>
      <c r="M39" s="1"/>
      <c r="N39" s="1" t="s">
        <v>372</v>
      </c>
    </row>
    <row r="40">
      <c r="A40" s="6" t="s">
        <v>361</v>
      </c>
      <c r="B40" s="8"/>
      <c r="C40" s="8"/>
      <c r="D40" s="8"/>
      <c r="E40" s="8"/>
      <c r="F40" s="8"/>
      <c r="G40" s="1"/>
      <c r="H40" s="1"/>
      <c r="I40" s="1"/>
      <c r="J40" s="1"/>
      <c r="K40" s="1"/>
      <c r="L40" s="1"/>
      <c r="M40" s="1"/>
      <c r="N40" s="1" t="s">
        <v>372</v>
      </c>
    </row>
    <row r="41">
      <c r="A41" s="6" t="s">
        <v>368</v>
      </c>
      <c r="B41" s="8"/>
      <c r="C41" s="8"/>
      <c r="D41" s="8"/>
      <c r="E41" s="8"/>
      <c r="F41" s="5">
        <v>8</v>
      </c>
      <c r="G41" s="1"/>
      <c r="H41" s="1"/>
      <c r="I41" s="1"/>
      <c r="J41" s="1"/>
      <c r="K41" s="1"/>
      <c r="L41" s="1"/>
      <c r="M41" s="1"/>
      <c r="N41" s="1" t="s">
        <v>373</v>
      </c>
    </row>
    <row r="42">
      <c r="A42" s="1"/>
      <c r="B42" s="1"/>
      <c r="C42" s="1"/>
      <c r="D42" s="1"/>
      <c r="E42" s="1"/>
      <c r="F42" s="1"/>
      <c r="G42" s="1"/>
      <c r="H42" s="1"/>
      <c r="I42" s="1"/>
      <c r="J42" s="1"/>
      <c r="K42" s="1"/>
      <c r="L42" s="1"/>
      <c r="M42" s="1"/>
      <c r="N42" s="1"/>
    </row>
    <row r="43">
      <c r="A43" s="16" t="s">
        <v>375</v>
      </c>
      <c r="B43" s="1"/>
      <c r="C43" s="1"/>
      <c r="D43" s="1"/>
      <c r="E43" s="1"/>
      <c r="F43" s="1"/>
      <c r="G43" s="1"/>
      <c r="H43" s="1"/>
      <c r="I43" s="1"/>
      <c r="J43" s="1"/>
      <c r="K43" s="1"/>
      <c r="L43" s="1"/>
      <c r="M43" s="1"/>
      <c r="N43" s="1"/>
    </row>
    <row r="44">
      <c r="A44" s="6" t="s">
        <v>358</v>
      </c>
      <c r="B44" s="8"/>
      <c r="C44" s="8"/>
      <c r="D44" s="8"/>
      <c r="E44" s="8"/>
      <c r="F44" s="8"/>
      <c r="G44" s="1"/>
      <c r="H44" s="1"/>
      <c r="I44" s="1"/>
      <c r="J44" s="1"/>
      <c r="K44" s="1"/>
      <c r="L44" s="1"/>
      <c r="M44" s="1"/>
      <c r="N44" s="1" t="s">
        <v>376</v>
      </c>
    </row>
    <row r="45">
      <c r="A45" s="6" t="s">
        <v>361</v>
      </c>
      <c r="B45" s="8"/>
      <c r="C45" s="8"/>
      <c r="D45" s="8"/>
      <c r="E45" s="8"/>
      <c r="F45" s="8"/>
      <c r="G45" s="1"/>
      <c r="H45" s="1"/>
      <c r="I45" s="1"/>
      <c r="J45" s="1"/>
      <c r="K45" s="1"/>
      <c r="L45" s="1"/>
      <c r="M45" s="1"/>
      <c r="N45" s="1" t="s">
        <v>376</v>
      </c>
    </row>
    <row r="46">
      <c r="A46" s="6" t="s">
        <v>368</v>
      </c>
      <c r="B46" s="5">
        <v>237</v>
      </c>
      <c r="C46" s="5">
        <v>213</v>
      </c>
      <c r="D46" s="5">
        <v>487</v>
      </c>
      <c r="E46" s="5">
        <v>472</v>
      </c>
      <c r="F46" s="5">
        <v>-6</v>
      </c>
      <c r="G46" s="1"/>
      <c r="H46" s="1"/>
      <c r="I46" s="1"/>
      <c r="J46" s="1"/>
      <c r="K46" s="1"/>
      <c r="L46" s="1"/>
      <c r="M46" s="1"/>
      <c r="N46" s="1" t="s">
        <v>367</v>
      </c>
    </row>
    <row r="47">
      <c r="A47" s="1"/>
      <c r="B47" s="1"/>
      <c r="C47" s="1"/>
      <c r="D47" s="1"/>
      <c r="E47" s="1"/>
      <c r="F47" s="1"/>
      <c r="G47" s="1"/>
      <c r="H47" s="1"/>
      <c r="I47" s="1"/>
      <c r="J47" s="1"/>
      <c r="K47" s="1"/>
      <c r="L47" s="1"/>
      <c r="M47" s="1"/>
      <c r="N47" s="1"/>
    </row>
    <row r="48">
      <c r="A48" s="16" t="s">
        <v>377</v>
      </c>
      <c r="B48" s="1"/>
      <c r="C48" s="1"/>
      <c r="D48" s="1"/>
      <c r="E48" s="1"/>
      <c r="F48" s="1"/>
      <c r="G48" s="1"/>
      <c r="H48" s="1"/>
      <c r="I48" s="1"/>
      <c r="J48" s="1"/>
      <c r="K48" s="1"/>
      <c r="L48" s="1"/>
      <c r="M48" s="1"/>
      <c r="N48" s="1"/>
    </row>
    <row r="49">
      <c r="A49" s="6" t="s">
        <v>358</v>
      </c>
      <c r="B49" s="8"/>
      <c r="C49" s="5">
        <v>24</v>
      </c>
      <c r="D49" s="5">
        <v>38</v>
      </c>
      <c r="E49" s="5">
        <v>29</v>
      </c>
      <c r="F49" s="8"/>
      <c r="G49" s="1"/>
      <c r="H49" s="1"/>
      <c r="I49" s="1"/>
      <c r="J49" s="1"/>
      <c r="K49" s="1"/>
      <c r="L49" s="1"/>
      <c r="M49" s="1"/>
      <c r="N49" s="1" t="s">
        <v>378</v>
      </c>
    </row>
    <row r="50">
      <c r="A50" s="6" t="s">
        <v>361</v>
      </c>
      <c r="B50" s="8"/>
      <c r="C50" s="5">
        <v>39</v>
      </c>
      <c r="D50" s="8"/>
      <c r="E50" s="8"/>
      <c r="F50" s="8"/>
      <c r="G50" s="1"/>
      <c r="H50" s="1"/>
      <c r="I50" s="1"/>
      <c r="J50" s="1"/>
      <c r="K50" s="1"/>
      <c r="L50" s="1"/>
      <c r="M50" s="1"/>
      <c r="N50" s="1" t="s">
        <v>379</v>
      </c>
    </row>
    <row r="51">
      <c r="A51" s="6" t="s">
        <v>368</v>
      </c>
      <c r="B51" s="5">
        <v>3775</v>
      </c>
      <c r="C51" s="8"/>
      <c r="D51" s="8"/>
      <c r="E51" s="8"/>
      <c r="F51" s="8"/>
      <c r="G51" s="1"/>
      <c r="H51" s="1"/>
      <c r="I51" s="1"/>
      <c r="J51" s="1"/>
      <c r="K51" s="1"/>
      <c r="L51" s="1"/>
      <c r="M51" s="1"/>
      <c r="N51" s="1" t="s">
        <v>380</v>
      </c>
    </row>
    <row r="52">
      <c r="A52" s="1"/>
      <c r="B52" s="1"/>
      <c r="C52" s="1"/>
      <c r="D52" s="1"/>
      <c r="E52" s="1"/>
      <c r="F52" s="1"/>
      <c r="G52" s="1"/>
      <c r="H52" s="1"/>
      <c r="I52" s="1"/>
      <c r="J52" s="1"/>
      <c r="K52" s="1"/>
      <c r="L52" s="1"/>
      <c r="M52" s="1"/>
      <c r="N52" s="1"/>
    </row>
    <row r="53">
      <c r="A53" s="16" t="s">
        <v>381</v>
      </c>
      <c r="B53" s="1"/>
      <c r="C53" s="1"/>
      <c r="D53" s="1"/>
      <c r="E53" s="1"/>
      <c r="F53" s="1"/>
      <c r="G53" s="1"/>
      <c r="H53" s="1"/>
      <c r="I53" s="1"/>
      <c r="J53" s="1"/>
      <c r="K53" s="1"/>
      <c r="L53" s="1"/>
      <c r="M53" s="1"/>
      <c r="N53" s="1"/>
    </row>
    <row r="54">
      <c r="A54" s="6" t="s">
        <v>358</v>
      </c>
      <c r="B54" s="5">
        <v>997</v>
      </c>
      <c r="C54" s="5">
        <v>1154</v>
      </c>
      <c r="D54" s="5">
        <v>653</v>
      </c>
      <c r="E54" s="5">
        <v>803</v>
      </c>
      <c r="F54" s="5">
        <v>-199</v>
      </c>
      <c r="G54" s="1"/>
      <c r="H54" s="1"/>
      <c r="I54" s="1"/>
      <c r="J54" s="1"/>
      <c r="K54" s="1"/>
      <c r="L54" s="1"/>
      <c r="M54" s="1"/>
      <c r="N54" s="1" t="s">
        <v>367</v>
      </c>
    </row>
    <row r="55">
      <c r="A55" s="6" t="s">
        <v>361</v>
      </c>
      <c r="B55" s="5">
        <v>1602</v>
      </c>
      <c r="C55" s="5">
        <v>3849</v>
      </c>
      <c r="D55" s="5">
        <v>7168</v>
      </c>
      <c r="E55" s="5">
        <v>5123</v>
      </c>
      <c r="F55" s="5">
        <v>8183</v>
      </c>
      <c r="G55" s="1"/>
      <c r="H55" s="1"/>
      <c r="I55" s="1"/>
      <c r="J55" s="1"/>
      <c r="K55" s="1"/>
      <c r="L55" s="1"/>
      <c r="M55" s="1"/>
      <c r="N55" s="1" t="s">
        <v>367</v>
      </c>
    </row>
    <row r="56">
      <c r="A56" s="6" t="s">
        <v>368</v>
      </c>
      <c r="B56" s="5">
        <v>1222</v>
      </c>
      <c r="C56" s="5">
        <v>347</v>
      </c>
      <c r="D56" s="5">
        <v>-1237</v>
      </c>
      <c r="E56" s="5">
        <v>-813</v>
      </c>
      <c r="F56" s="5">
        <v>5490</v>
      </c>
      <c r="G56" s="1"/>
      <c r="H56" s="1"/>
      <c r="I56" s="1"/>
      <c r="J56" s="1"/>
      <c r="K56" s="1"/>
      <c r="L56" s="1"/>
      <c r="M56" s="1"/>
      <c r="N56" s="1" t="s">
        <v>367</v>
      </c>
    </row>
    <row r="57">
      <c r="A57" s="1"/>
      <c r="B57" s="1"/>
      <c r="C57" s="1"/>
      <c r="D57" s="1"/>
      <c r="E57" s="1"/>
      <c r="F57" s="1"/>
      <c r="G57" s="1"/>
      <c r="H57" s="1"/>
      <c r="I57" s="1"/>
      <c r="J57" s="1"/>
      <c r="K57" s="1"/>
      <c r="L57" s="1"/>
      <c r="M57" s="1"/>
      <c r="N57" s="1"/>
    </row>
    <row r="58">
      <c r="A58" s="16" t="s">
        <v>382</v>
      </c>
      <c r="B58" s="1"/>
      <c r="C58" s="1"/>
      <c r="D58" s="1"/>
      <c r="E58" s="1"/>
      <c r="F58" s="1"/>
      <c r="G58" s="1"/>
      <c r="H58" s="1"/>
      <c r="I58" s="1"/>
      <c r="J58" s="1"/>
      <c r="K58" s="1"/>
      <c r="L58" s="1"/>
      <c r="M58" s="1"/>
      <c r="N58" s="1"/>
    </row>
    <row r="59">
      <c r="A59" s="6" t="s">
        <v>358</v>
      </c>
      <c r="B59" s="5">
        <v>1497</v>
      </c>
      <c r="C59" s="5">
        <v>2032</v>
      </c>
      <c r="D59" s="5">
        <v>3832</v>
      </c>
      <c r="E59" s="5">
        <v>2818</v>
      </c>
      <c r="F59" s="5">
        <v>3832</v>
      </c>
      <c r="G59" s="1"/>
      <c r="H59" s="1"/>
      <c r="I59" s="1"/>
      <c r="J59" s="1"/>
      <c r="K59" s="1"/>
      <c r="L59" s="1"/>
      <c r="M59" s="1"/>
      <c r="N59" s="1" t="s">
        <v>367</v>
      </c>
    </row>
    <row r="60">
      <c r="A60" s="6" t="s">
        <v>361</v>
      </c>
      <c r="B60" s="5">
        <v>2455</v>
      </c>
      <c r="C60" s="5">
        <v>3498</v>
      </c>
      <c r="D60" s="5">
        <v>4178</v>
      </c>
      <c r="E60" s="5">
        <v>2951</v>
      </c>
      <c r="F60" s="5">
        <v>4242</v>
      </c>
      <c r="G60" s="1"/>
      <c r="H60" s="1"/>
      <c r="I60" s="1"/>
      <c r="J60" s="1"/>
      <c r="K60" s="1"/>
      <c r="L60" s="1"/>
      <c r="M60" s="1"/>
      <c r="N60" s="1" t="s">
        <v>367</v>
      </c>
    </row>
    <row r="61">
      <c r="A61" s="6" t="s">
        <v>368</v>
      </c>
      <c r="B61" s="5">
        <v>463</v>
      </c>
      <c r="C61" s="5">
        <v>5633</v>
      </c>
      <c r="D61" s="5">
        <v>12727</v>
      </c>
      <c r="E61" s="5">
        <v>8077</v>
      </c>
      <c r="F61" s="5">
        <v>39995</v>
      </c>
      <c r="G61" s="1"/>
      <c r="H61" s="1"/>
      <c r="I61" s="1"/>
      <c r="J61" s="1"/>
      <c r="K61" s="1"/>
      <c r="L61" s="1"/>
      <c r="M61" s="1"/>
      <c r="N61" s="1" t="s">
        <v>367</v>
      </c>
    </row>
    <row r="62">
      <c r="A62" s="1"/>
      <c r="B62" s="1"/>
      <c r="C62" s="1"/>
      <c r="D62" s="1"/>
      <c r="E62" s="1"/>
      <c r="F62" s="1"/>
      <c r="G62" s="1"/>
      <c r="H62" s="1"/>
      <c r="I62" s="1"/>
      <c r="J62" s="1"/>
      <c r="K62" s="1"/>
      <c r="L62" s="1"/>
      <c r="M62" s="1"/>
      <c r="N62" s="1"/>
    </row>
    <row r="63">
      <c r="A63" s="16" t="s">
        <v>383</v>
      </c>
      <c r="B63" s="1"/>
      <c r="C63" s="1"/>
      <c r="D63" s="1"/>
      <c r="E63" s="1"/>
      <c r="F63" s="1"/>
      <c r="G63" s="1"/>
      <c r="H63" s="1"/>
      <c r="I63" s="1"/>
      <c r="J63" s="1"/>
      <c r="K63" s="1"/>
      <c r="L63" s="1"/>
      <c r="M63" s="1"/>
      <c r="N63" s="1"/>
    </row>
    <row r="64">
      <c r="A64" s="6" t="s">
        <v>384</v>
      </c>
      <c r="B64" s="81">
        <v>2.3</v>
      </c>
      <c r="C64" s="81">
        <v>4.4</v>
      </c>
      <c r="D64" s="81">
        <v>8.9</v>
      </c>
      <c r="E64" s="81">
        <v>7.2</v>
      </c>
      <c r="F64" s="81">
        <v>13.6</v>
      </c>
      <c r="G64" s="1"/>
      <c r="H64" s="1"/>
      <c r="I64" s="1"/>
      <c r="J64" s="1"/>
      <c r="K64" s="1"/>
      <c r="L64" s="1"/>
      <c r="M64" s="1"/>
      <c r="N64" s="1" t="s">
        <v>385</v>
      </c>
    </row>
    <row r="65">
      <c r="A65" s="6" t="s">
        <v>386</v>
      </c>
      <c r="B65" s="5">
        <v>99</v>
      </c>
      <c r="C65" s="5">
        <v>91</v>
      </c>
      <c r="D65" s="5">
        <v>81</v>
      </c>
      <c r="E65" s="5">
        <v>84</v>
      </c>
      <c r="F65" s="5">
        <v>67</v>
      </c>
      <c r="G65" s="1"/>
      <c r="H65" s="1"/>
      <c r="I65" s="1"/>
      <c r="J65" s="1"/>
      <c r="K65" s="1"/>
      <c r="L65" s="1"/>
      <c r="M65" s="1"/>
      <c r="N65" s="1" t="s">
        <v>387</v>
      </c>
    </row>
    <row r="66">
      <c r="A66" s="6" t="s">
        <v>388</v>
      </c>
      <c r="B66" s="81">
        <v>0</v>
      </c>
      <c r="C66" s="81">
        <v>0.3</v>
      </c>
      <c r="D66" s="81">
        <v>0.8</v>
      </c>
      <c r="E66" s="81">
        <v>0.6</v>
      </c>
      <c r="F66" s="81">
        <v>1.7</v>
      </c>
      <c r="G66" s="1"/>
      <c r="H66" s="1"/>
      <c r="I66" s="1"/>
      <c r="J66" s="1"/>
      <c r="K66" s="1"/>
      <c r="L66" s="1"/>
      <c r="M66" s="1"/>
      <c r="N66" s="1" t="s">
        <v>389</v>
      </c>
    </row>
    <row r="67">
      <c r="A67" s="6" t="s">
        <v>390</v>
      </c>
      <c r="B67" s="5">
        <v>98</v>
      </c>
      <c r="C67" s="5">
        <v>138</v>
      </c>
      <c r="D67" s="5">
        <v>170</v>
      </c>
      <c r="E67" s="8">
        <f>124+4</f>
        <v>128</v>
      </c>
      <c r="F67" s="8">
        <f>110+3</f>
        <v>113</v>
      </c>
      <c r="G67" s="1"/>
      <c r="H67" s="1"/>
      <c r="I67" s="1"/>
      <c r="J67" s="1"/>
      <c r="K67" s="1"/>
      <c r="L67" s="1"/>
      <c r="M67" s="1"/>
      <c r="N67" s="1" t="s">
        <v>391</v>
      </c>
    </row>
    <row r="68">
      <c r="A68" s="6" t="s">
        <v>392</v>
      </c>
      <c r="B68" s="5">
        <v>33</v>
      </c>
      <c r="C68" s="5">
        <v>45</v>
      </c>
      <c r="D68" s="5">
        <v>43</v>
      </c>
      <c r="E68" s="5">
        <v>36</v>
      </c>
      <c r="F68" s="5">
        <v>29</v>
      </c>
      <c r="G68" s="1"/>
      <c r="H68" s="1"/>
      <c r="I68" s="1"/>
      <c r="J68" s="1"/>
      <c r="K68" s="1"/>
      <c r="L68" s="1"/>
      <c r="M68" s="1"/>
      <c r="N68" s="1" t="s">
        <v>393</v>
      </c>
    </row>
    <row r="69">
      <c r="A69" s="6" t="s">
        <v>394</v>
      </c>
      <c r="B69" s="5">
        <v>1210</v>
      </c>
      <c r="C69" s="5">
        <v>1699</v>
      </c>
      <c r="D69" s="5">
        <v>2213</v>
      </c>
      <c r="E69" s="5">
        <v>1627</v>
      </c>
      <c r="F69" s="5">
        <v>1517</v>
      </c>
      <c r="G69" s="1"/>
      <c r="H69" s="1"/>
      <c r="I69" s="1"/>
      <c r="J69" s="1"/>
      <c r="K69" s="1"/>
      <c r="L69" s="1"/>
      <c r="M69" s="1"/>
      <c r="N69" s="1" t="s">
        <v>395</v>
      </c>
    </row>
    <row r="70">
      <c r="A70" s="1"/>
      <c r="B70" s="1"/>
      <c r="C70" s="1"/>
      <c r="D70" s="1"/>
      <c r="E70" s="1"/>
      <c r="F70" s="1"/>
      <c r="G70" s="1"/>
      <c r="H70" s="1"/>
      <c r="I70" s="1"/>
      <c r="J70" s="1"/>
      <c r="K70" s="1"/>
      <c r="L70" s="1"/>
      <c r="M70" s="1"/>
      <c r="N70" s="1"/>
    </row>
    <row r="71">
      <c r="A71" s="16" t="s">
        <v>396</v>
      </c>
      <c r="B71" s="1"/>
      <c r="C71" s="1"/>
      <c r="D71" s="1"/>
      <c r="E71" s="1"/>
      <c r="F71" s="1"/>
      <c r="G71" s="1"/>
      <c r="H71" s="1"/>
      <c r="I71" s="1"/>
      <c r="J71" s="1"/>
      <c r="K71" s="1"/>
      <c r="L71" s="1"/>
      <c r="M71" s="1"/>
      <c r="N71" s="1"/>
    </row>
    <row r="72">
      <c r="A72" s="31" t="s">
        <v>397</v>
      </c>
      <c r="B72" s="62">
        <v>0.252</v>
      </c>
      <c r="C72" s="62">
        <v>0.242</v>
      </c>
      <c r="D72" s="62">
        <v>0.209</v>
      </c>
      <c r="E72" s="62">
        <v>0.21600000000000005</v>
      </c>
      <c r="F72" s="62">
        <v>0.173</v>
      </c>
      <c r="G72" s="1"/>
      <c r="H72" s="1"/>
      <c r="I72" s="1"/>
      <c r="J72" s="1"/>
      <c r="K72" s="1"/>
      <c r="L72" s="1"/>
      <c r="M72" s="1"/>
      <c r="N72" s="1" t="s">
        <v>398</v>
      </c>
    </row>
    <row r="73">
      <c r="A73" s="31" t="s">
        <v>399</v>
      </c>
      <c r="B73" s="10"/>
      <c r="C73" s="10"/>
      <c r="D73" s="10"/>
      <c r="E73" s="10" t="s">
        <v>400</v>
      </c>
      <c r="F73" s="62">
        <v>0.242</v>
      </c>
      <c r="G73" s="1"/>
      <c r="H73" s="1"/>
      <c r="I73" s="1"/>
      <c r="J73" s="1"/>
      <c r="K73" s="1"/>
      <c r="L73" s="1"/>
      <c r="M73" s="1"/>
      <c r="N73" s="1" t="s">
        <v>401</v>
      </c>
    </row>
    <row r="74">
      <c r="A74" s="1"/>
      <c r="B74" s="1"/>
      <c r="C74" s="1"/>
      <c r="D74" s="1"/>
      <c r="E74" s="1"/>
      <c r="F74" s="1"/>
      <c r="G74" s="1"/>
      <c r="H74" s="1"/>
      <c r="I74" s="1"/>
      <c r="J74" s="1"/>
      <c r="K74" s="1"/>
      <c r="L74" s="1"/>
      <c r="M74" s="1"/>
      <c r="N74" s="1"/>
    </row>
    <row r="75">
      <c r="A75" s="16" t="s">
        <v>402</v>
      </c>
      <c r="B75" s="1"/>
      <c r="C75" s="1"/>
      <c r="D75" s="1"/>
      <c r="E75" s="1"/>
      <c r="F75" s="1"/>
      <c r="G75" s="1"/>
      <c r="H75" s="1"/>
      <c r="I75" s="1"/>
      <c r="J75" s="1"/>
      <c r="K75" s="1"/>
      <c r="L75" s="1"/>
      <c r="M75" s="1"/>
      <c r="N75" s="1"/>
    </row>
    <row r="76">
      <c r="A76" s="6" t="s">
        <v>403</v>
      </c>
      <c r="B76" s="14">
        <f>ABS(B7+B8-B9)+ABS(B10+B11-B12)+ABS(B13+B14-B15)</f>
        <v>0</v>
      </c>
      <c r="C76" s="14">
        <f>ABS(C7+C8-C9)+ABS(C10+C11-C12)+ABS(C13+C14-C15)</f>
        <v>0</v>
      </c>
      <c r="D76" s="14">
        <f>ABS(D7+D8-D9)+ABS(D10+D11-D12)+ABS(D13+D14-D15)</f>
        <v>0</v>
      </c>
      <c r="E76" s="14">
        <f>ABS(E7+E8-E9)+ABS(E10+E11-E12)+ABS(E13+E14-E15)</f>
        <v>0</v>
      </c>
      <c r="F76" s="14">
        <f>ABS(F7+F8-F9)+ABS(F10+F11-F12)+ABS(F13+F14-F15)</f>
        <v>0</v>
      </c>
      <c r="G76" s="1"/>
      <c r="H76" s="1"/>
      <c r="I76" s="1"/>
      <c r="J76" s="1"/>
      <c r="K76" s="1"/>
      <c r="L76" s="1"/>
      <c r="M76" s="1"/>
      <c r="N76" s="1"/>
    </row>
    <row r="77">
      <c r="A77" s="6" t="s">
        <v>404</v>
      </c>
      <c r="B77" s="14">
        <f>ABS(B9+B12+B15-B16)+ABS(B16-IS_Hist!B6)</f>
        <v>0</v>
      </c>
      <c r="C77" s="14">
        <f>ABS(C9+C12+C15-C16)+ABS(C16-IS_Hist!C6)</f>
        <v>0</v>
      </c>
      <c r="D77" s="14">
        <f>ABS(D9+D12+D15-D16)+ABS(D16-IS_Hist!D6)</f>
        <v>0</v>
      </c>
      <c r="E77" s="14">
        <f>ABS(E9+E12+E15-E16)+ABS(E16-IS_Hist!E6)</f>
        <v>0</v>
      </c>
      <c r="F77" s="14">
        <f>ABS(F9+F12+F15-F16)+ABS(F16-IS_Hist!F6)</f>
        <v>0</v>
      </c>
      <c r="G77" s="1"/>
      <c r="H77" s="1"/>
      <c r="I77" s="1"/>
      <c r="J77" s="1"/>
      <c r="K77" s="1"/>
      <c r="L77" s="1"/>
      <c r="M77" s="1"/>
      <c r="N77" s="1"/>
    </row>
    <row r="78">
      <c r="A78" s="6" t="s">
        <v>405</v>
      </c>
      <c r="B78" s="14">
        <f>B19+B20+B21-IS_Hist!B14</f>
        <v>0</v>
      </c>
      <c r="C78" s="14">
        <f>C19+C20+C21-IS_Hist!C14</f>
        <v>0</v>
      </c>
      <c r="D78" s="14">
        <f>D19+D20+D21-IS_Hist!D14</f>
        <v>0</v>
      </c>
      <c r="E78" s="14">
        <f>E19+E20+E21-IS_Hist!E14</f>
        <v>0</v>
      </c>
      <c r="F78" s="14">
        <f>F19+F20+F21-IS_Hist!F14</f>
        <v>0</v>
      </c>
      <c r="G78" s="1"/>
      <c r="H78" s="1"/>
      <c r="I78" s="1"/>
      <c r="J78" s="1"/>
      <c r="K78" s="1"/>
      <c r="L78" s="1"/>
      <c r="M78" s="1"/>
      <c r="N78" s="1"/>
    </row>
    <row r="79">
      <c r="A79" s="6" t="s">
        <v>406</v>
      </c>
      <c r="B79" s="14">
        <f>B24+B25+B26-CF_Hist!B8</f>
        <v>0</v>
      </c>
      <c r="C79" s="14">
        <f>C24+C25+C26-CF_Hist!C8</f>
        <v>0</v>
      </c>
      <c r="D79" s="14">
        <f>D24+D25+D26-CF_Hist!D8</f>
        <v>0</v>
      </c>
      <c r="E79" s="14">
        <f>E24+E25+E26-CF_Hist!E8</f>
        <v>0</v>
      </c>
      <c r="F79" s="14">
        <f>F24+F25+F26-CF_Hist!F8</f>
        <v>0</v>
      </c>
      <c r="G79" s="1"/>
      <c r="H79" s="1"/>
      <c r="I79" s="1"/>
      <c r="J79" s="1"/>
      <c r="K79" s="1"/>
      <c r="L79" s="1"/>
      <c r="M79" s="1"/>
      <c r="N79" s="1"/>
    </row>
    <row r="80">
      <c r="A80" s="6" t="s">
        <v>407</v>
      </c>
      <c r="B80" s="14">
        <f>B29+B30+B31+B36-CF_Hist!B9</f>
        <v>0</v>
      </c>
      <c r="C80" s="14">
        <f>C29+C30+C31+C36-CF_Hist!C9</f>
        <v>0</v>
      </c>
      <c r="D80" s="14">
        <f>D29+D30+D31+D36-CF_Hist!D9</f>
        <v>0</v>
      </c>
      <c r="E80" s="14">
        <f>E29+E30+E31+E36-CF_Hist!E9</f>
        <v>0</v>
      </c>
      <c r="F80" s="14">
        <f>F29+F30+F31+F36-CF_Hist!F9</f>
        <v>0</v>
      </c>
      <c r="G80" s="1"/>
      <c r="H80" s="1"/>
      <c r="I80" s="1"/>
      <c r="J80" s="1"/>
      <c r="K80" s="1"/>
      <c r="L80" s="1"/>
      <c r="M80" s="1"/>
      <c r="N80" s="1"/>
    </row>
    <row r="81">
      <c r="A81" s="6" t="s">
        <v>408</v>
      </c>
      <c r="B81" s="14">
        <f>B59+B60+B61+CF_Hist!B30</f>
        <v>0</v>
      </c>
      <c r="C81" s="14">
        <f>C59+C60+C61+CF_Hist!C30</f>
        <v>0</v>
      </c>
      <c r="D81" s="14">
        <f>D59+D60+D61+CF_Hist!D30</f>
        <v>0</v>
      </c>
      <c r="E81" s="14">
        <f>E59+E60+E61+CF_Hist!E30</f>
        <v>0</v>
      </c>
      <c r="F81" s="14">
        <f>F59+F60+F61+CF_Hist!F30</f>
        <v>0</v>
      </c>
      <c r="G81" s="1"/>
      <c r="H81" s="1"/>
      <c r="I81" s="1"/>
      <c r="J81" s="1"/>
      <c r="K81" s="1"/>
      <c r="L81" s="1"/>
      <c r="M81" s="1"/>
      <c r="N81" s="1"/>
    </row>
    <row r="82">
      <c r="A82" s="6" t="s">
        <v>409</v>
      </c>
      <c r="B82" s="14">
        <f>B19+B24+B29+B34+B39+B44+B49-B54</f>
        <v>0</v>
      </c>
      <c r="C82" s="14">
        <f>C19+C24+C29+C34+C39+C44+C49-C54</f>
        <v>0</v>
      </c>
      <c r="D82" s="14">
        <f>D19+D24+D29+D34+D39+D44+D49-D54</f>
        <v>0</v>
      </c>
      <c r="E82" s="14">
        <f>E19+E24+E29+E34+E39+E44+E49-E54</f>
        <v>0</v>
      </c>
      <c r="F82" s="14">
        <f>F19+F24+F29+F34+F39+F44+F49-F54</f>
        <v>0</v>
      </c>
      <c r="G82" s="1"/>
      <c r="H82" s="1"/>
      <c r="I82" s="1"/>
      <c r="J82" s="1"/>
      <c r="K82" s="1"/>
      <c r="L82" s="1"/>
      <c r="M82" s="1"/>
      <c r="N82" s="1"/>
    </row>
    <row r="83">
      <c r="A83" s="6" t="s">
        <v>410</v>
      </c>
      <c r="B83" s="14">
        <f>B20+B25+B30+B35+B40+B45+B50-B55</f>
        <v>0</v>
      </c>
      <c r="C83" s="14">
        <f>C20+C25+C30+C35+C40+C45+C50-C55</f>
        <v>0</v>
      </c>
      <c r="D83" s="14">
        <f>D20+D25+D30+D35+D40+D45+D50-D55</f>
        <v>0</v>
      </c>
      <c r="E83" s="14">
        <f>E20+E25+E30+E35+E40+E45+E50-E55</f>
        <v>0</v>
      </c>
      <c r="F83" s="14">
        <f>F20+F25+F30+F35+F40+F45+F50-F55</f>
        <v>0</v>
      </c>
      <c r="G83" s="1"/>
      <c r="H83" s="1"/>
      <c r="I83" s="1"/>
      <c r="J83" s="1"/>
      <c r="K83" s="1"/>
      <c r="L83" s="1"/>
      <c r="M83" s="1"/>
      <c r="N83" s="1"/>
    </row>
    <row r="84">
      <c r="A84" s="6" t="s">
        <v>411</v>
      </c>
      <c r="B84" s="14">
        <f>B21+B26+B31+B36+B41+B46+B51-B56</f>
        <v>0</v>
      </c>
      <c r="C84" s="14">
        <f>C21+C26+C31+C36+C41+C46+C51-C56</f>
        <v>0</v>
      </c>
      <c r="D84" s="14">
        <f>D21+D26+D31+D36+D41+D46+D51-D56</f>
        <v>0</v>
      </c>
      <c r="E84" s="14">
        <f>E21+E26+E31+E36+E41+E46+E51-E56</f>
        <v>0</v>
      </c>
      <c r="F84" s="14">
        <f>F21+F26+F31+F36+F41+F46+F51-F56</f>
        <v>0</v>
      </c>
      <c r="G84" s="1"/>
      <c r="H84" s="1"/>
      <c r="I84" s="1"/>
      <c r="J84" s="1"/>
      <c r="K84" s="1"/>
      <c r="L84" s="1"/>
      <c r="M84" s="1"/>
      <c r="N84" s="1"/>
    </row>
    <row r="85">
      <c r="A85" s="1"/>
      <c r="B85" s="1"/>
      <c r="C85" s="1"/>
      <c r="D85" s="1"/>
      <c r="E85" s="1"/>
      <c r="F85" s="1"/>
      <c r="G85" s="1"/>
      <c r="H85" s="1"/>
      <c r="I85" s="1"/>
      <c r="J85" s="1"/>
      <c r="K85" s="1"/>
      <c r="L85" s="1"/>
      <c r="M85" s="1"/>
      <c r="N85" s="1"/>
    </row>
    <row r="86">
      <c r="A86" s="1"/>
      <c r="B86" s="1"/>
      <c r="C86" s="1"/>
      <c r="D86" s="1"/>
      <c r="E86" s="1"/>
      <c r="F86" s="1"/>
      <c r="G86" s="1"/>
      <c r="H86" s="1"/>
      <c r="I86" s="1"/>
      <c r="J86" s="1"/>
      <c r="K86" s="1"/>
      <c r="L86" s="1"/>
      <c r="M86" s="1"/>
      <c r="N86" s="1"/>
    </row>
    <row r="87">
      <c r="A87" s="4" t="s">
        <v>329</v>
      </c>
      <c r="B87" s="11" t="s">
        <v>330</v>
      </c>
      <c r="C87" s="11" t="s">
        <v>331</v>
      </c>
      <c r="D87" s="11" t="s">
        <v>332</v>
      </c>
      <c r="E87" s="11" t="s">
        <v>333</v>
      </c>
      <c r="F87" s="11" t="s">
        <v>334</v>
      </c>
      <c r="G87" s="11" t="s">
        <v>335</v>
      </c>
      <c r="H87" s="11" t="s">
        <v>336</v>
      </c>
      <c r="I87" s="1"/>
      <c r="J87" s="1"/>
      <c r="K87" s="1"/>
      <c r="L87" s="1"/>
      <c r="M87" s="40" t="s">
        <v>87</v>
      </c>
      <c r="N87" s="40" t="s">
        <v>88</v>
      </c>
    </row>
    <row r="88">
      <c r="A88" s="1"/>
      <c r="B88" s="1"/>
      <c r="C88" s="1"/>
      <c r="D88" s="1"/>
      <c r="E88" s="1"/>
      <c r="F88" s="1"/>
      <c r="G88" s="1"/>
      <c r="H88" s="1"/>
      <c r="I88" s="1"/>
      <c r="J88" s="1"/>
      <c r="K88" s="1"/>
      <c r="L88" s="1"/>
      <c r="M88" s="1"/>
      <c r="N88" s="1"/>
    </row>
    <row r="89">
      <c r="A89" s="16" t="s">
        <v>412</v>
      </c>
      <c r="B89" s="1"/>
      <c r="C89" s="1"/>
      <c r="D89" s="1"/>
      <c r="E89" s="1"/>
      <c r="F89" s="1"/>
      <c r="G89" s="1"/>
      <c r="H89" s="1"/>
      <c r="I89" s="1"/>
      <c r="J89" s="1"/>
      <c r="K89" s="1"/>
      <c r="L89" s="1"/>
      <c r="M89" s="1"/>
      <c r="N89" s="1"/>
    </row>
    <row r="90">
      <c r="A90" s="6" t="s">
        <v>355</v>
      </c>
      <c r="B90" s="5">
        <v>566</v>
      </c>
      <c r="C90" s="5">
        <v>490</v>
      </c>
      <c r="D90" s="5">
        <v>1000</v>
      </c>
      <c r="E90" s="8">
        <f>D7-E7</f>
        <v>520</v>
      </c>
      <c r="F90" s="5">
        <v>330</v>
      </c>
      <c r="G90" s="5">
        <v>648</v>
      </c>
      <c r="H90" s="5">
        <v>1130</v>
      </c>
      <c r="I90" s="1"/>
      <c r="J90" s="1"/>
      <c r="K90" s="1"/>
      <c r="L90" s="1"/>
      <c r="M90" s="1"/>
      <c r="N90" s="1" t="s">
        <v>413</v>
      </c>
    </row>
    <row r="91">
      <c r="A91" s="6" t="s">
        <v>357</v>
      </c>
      <c r="B91" s="5">
        <v>299</v>
      </c>
      <c r="C91" s="5">
        <v>256</v>
      </c>
      <c r="D91" s="5">
        <v>666</v>
      </c>
      <c r="E91" s="8">
        <f>D8-E8</f>
        <v>289</v>
      </c>
      <c r="F91" s="5">
        <v>289</v>
      </c>
      <c r="G91" s="5">
        <v>314</v>
      </c>
      <c r="H91" s="5">
        <v>637</v>
      </c>
      <c r="I91" s="1"/>
      <c r="J91" s="1"/>
      <c r="K91" s="1"/>
      <c r="L91" s="1"/>
      <c r="M91" s="1"/>
      <c r="N91" s="1" t="s">
        <v>413</v>
      </c>
    </row>
    <row r="92">
      <c r="A92" s="16" t="s">
        <v>358</v>
      </c>
      <c r="B92" s="22">
        <v>865</v>
      </c>
      <c r="C92" s="22">
        <v>746</v>
      </c>
      <c r="D92" s="22">
        <v>1666</v>
      </c>
      <c r="E92" s="12">
        <f>D9-E9</f>
        <v>809</v>
      </c>
      <c r="F92" s="22">
        <v>619</v>
      </c>
      <c r="G92" s="22">
        <v>962</v>
      </c>
      <c r="H92" s="22">
        <v>1767</v>
      </c>
      <c r="I92" s="1"/>
      <c r="J92" s="1"/>
      <c r="K92" s="1"/>
      <c r="L92" s="1"/>
      <c r="M92" s="1"/>
      <c r="N92" s="1" t="s">
        <v>413</v>
      </c>
    </row>
    <row r="93">
      <c r="A93" s="6" t="s">
        <v>359</v>
      </c>
      <c r="B93" s="5">
        <v>1492</v>
      </c>
      <c r="C93" s="5">
        <v>1721</v>
      </c>
      <c r="D93" s="5">
        <v>1986</v>
      </c>
      <c r="E93" s="8">
        <f>D10-E10</f>
        <v>2010</v>
      </c>
      <c r="F93" s="5">
        <v>2148</v>
      </c>
      <c r="G93" s="5">
        <v>2485</v>
      </c>
      <c r="H93" s="5">
        <v>3121</v>
      </c>
      <c r="I93" s="1"/>
      <c r="J93" s="1"/>
      <c r="K93" s="1"/>
      <c r="L93" s="1"/>
      <c r="M93" s="1"/>
      <c r="N93" s="1" t="s">
        <v>413</v>
      </c>
    </row>
    <row r="94">
      <c r="A94" s="6" t="s">
        <v>360</v>
      </c>
      <c r="B94" s="5">
        <v>983</v>
      </c>
      <c r="C94" s="5">
        <v>867</v>
      </c>
      <c r="D94" s="5">
        <v>1111</v>
      </c>
      <c r="E94" s="8">
        <f>D11-E11</f>
        <v>1218</v>
      </c>
      <c r="F94" s="5">
        <v>1109</v>
      </c>
      <c r="G94" s="5">
        <v>1806</v>
      </c>
      <c r="H94" s="5">
        <v>2127</v>
      </c>
      <c r="I94" s="1"/>
      <c r="J94" s="1"/>
      <c r="K94" s="1"/>
      <c r="L94" s="1"/>
      <c r="M94" s="1"/>
      <c r="N94" s="1" t="s">
        <v>413</v>
      </c>
    </row>
    <row r="95">
      <c r="A95" s="16" t="s">
        <v>361</v>
      </c>
      <c r="B95" s="22">
        <v>2475</v>
      </c>
      <c r="C95" s="22">
        <v>2588</v>
      </c>
      <c r="D95" s="22">
        <v>3097</v>
      </c>
      <c r="E95" s="12">
        <f>D12-E12</f>
        <v>3228</v>
      </c>
      <c r="F95" s="22">
        <v>3257</v>
      </c>
      <c r="G95" s="22">
        <v>4291</v>
      </c>
      <c r="H95" s="22">
        <v>5248</v>
      </c>
      <c r="I95" s="1"/>
      <c r="J95" s="1"/>
      <c r="K95" s="1"/>
      <c r="L95" s="1"/>
      <c r="M95" s="1"/>
      <c r="N95" s="1" t="s">
        <v>413</v>
      </c>
    </row>
    <row r="96">
      <c r="A96" s="6" t="s">
        <v>362</v>
      </c>
      <c r="B96" s="5">
        <v>443</v>
      </c>
      <c r="C96" s="5">
        <v>426</v>
      </c>
      <c r="D96" s="5">
        <v>454</v>
      </c>
      <c r="E96" s="8">
        <f>D13-E13</f>
        <v>521</v>
      </c>
      <c r="F96" s="5">
        <v>343</v>
      </c>
      <c r="G96" s="5">
        <v>367</v>
      </c>
      <c r="H96" s="5">
        <v>538</v>
      </c>
      <c r="I96" s="1"/>
      <c r="J96" s="1"/>
      <c r="K96" s="1"/>
      <c r="L96" s="1"/>
      <c r="M96" s="1"/>
      <c r="N96" s="1" t="s">
        <v>413</v>
      </c>
    </row>
    <row r="97">
      <c r="A97" s="6" t="s">
        <v>363</v>
      </c>
      <c r="B97" s="5">
        <v>284</v>
      </c>
      <c r="C97" s="5">
        <v>311</v>
      </c>
      <c r="D97" s="5">
        <v>359</v>
      </c>
      <c r="E97" s="8">
        <f>D14-E14</f>
        <v>402</v>
      </c>
      <c r="F97" s="5">
        <v>475</v>
      </c>
      <c r="G97" s="5">
        <v>2194</v>
      </c>
      <c r="H97" s="5">
        <v>7022</v>
      </c>
      <c r="I97" s="1"/>
      <c r="J97" s="1"/>
      <c r="K97" s="1"/>
      <c r="L97" s="1"/>
      <c r="M97" s="1"/>
      <c r="N97" s="1" t="s">
        <v>413</v>
      </c>
    </row>
    <row r="98">
      <c r="A98" s="16" t="s">
        <v>364</v>
      </c>
      <c r="B98" s="22">
        <v>727</v>
      </c>
      <c r="C98" s="22">
        <v>737</v>
      </c>
      <c r="D98" s="22">
        <v>813</v>
      </c>
      <c r="E98" s="12">
        <f>D15-E15</f>
        <v>923</v>
      </c>
      <c r="F98" s="22">
        <v>818</v>
      </c>
      <c r="G98" s="22">
        <v>2561</v>
      </c>
      <c r="H98" s="22">
        <v>7560</v>
      </c>
      <c r="I98" s="1"/>
      <c r="J98" s="1"/>
      <c r="K98" s="1"/>
      <c r="L98" s="1"/>
      <c r="M98" s="1"/>
      <c r="N98" s="1" t="s">
        <v>413</v>
      </c>
    </row>
    <row r="99">
      <c r="A99" s="16" t="s">
        <v>365</v>
      </c>
      <c r="B99" s="22">
        <v>4067</v>
      </c>
      <c r="C99" s="22">
        <v>4071</v>
      </c>
      <c r="D99" s="22">
        <v>5576</v>
      </c>
      <c r="E99" s="12">
        <f>D16-E16</f>
        <v>4960</v>
      </c>
      <c r="F99" s="22">
        <v>4694</v>
      </c>
      <c r="G99" s="22">
        <v>7814</v>
      </c>
      <c r="H99" s="22">
        <v>14575</v>
      </c>
      <c r="I99" s="1"/>
      <c r="J99" s="1"/>
      <c r="K99" s="1"/>
      <c r="L99" s="1"/>
      <c r="M99" s="1"/>
      <c r="N99" s="1" t="s">
        <v>413</v>
      </c>
    </row>
    <row r="100">
      <c r="A100" s="1"/>
      <c r="B100" s="1"/>
      <c r="C100" s="1"/>
      <c r="D100" s="1"/>
      <c r="E100" s="1"/>
      <c r="F100" s="1"/>
      <c r="G100" s="1"/>
      <c r="H100" s="1"/>
      <c r="I100" s="1"/>
      <c r="J100" s="1"/>
      <c r="K100" s="1"/>
      <c r="L100" s="1"/>
      <c r="M100" s="1"/>
      <c r="N100" s="1"/>
    </row>
    <row r="101">
      <c r="A101" s="16" t="s">
        <v>414</v>
      </c>
      <c r="B101" s="1"/>
      <c r="C101" s="1"/>
      <c r="D101" s="1"/>
      <c r="E101" s="1"/>
      <c r="F101" s="1"/>
      <c r="G101" s="1"/>
      <c r="H101" s="1"/>
      <c r="I101" s="1"/>
      <c r="J101" s="1"/>
      <c r="K101" s="1"/>
      <c r="L101" s="1"/>
      <c r="M101" s="1"/>
      <c r="N101" s="1"/>
    </row>
    <row r="102">
      <c r="A102" s="6" t="s">
        <v>358</v>
      </c>
      <c r="B102" s="5">
        <v>-70</v>
      </c>
      <c r="C102" s="5">
        <v>-369</v>
      </c>
      <c r="D102" s="5">
        <v>259</v>
      </c>
      <c r="E102" s="8">
        <f>D19-E19</f>
        <v>-476</v>
      </c>
      <c r="F102" s="5">
        <v>-662</v>
      </c>
      <c r="G102" s="5">
        <v>-542</v>
      </c>
      <c r="H102" s="5">
        <v>-7</v>
      </c>
      <c r="I102" s="1"/>
      <c r="J102" s="1"/>
      <c r="K102" s="1"/>
      <c r="L102" s="1"/>
      <c r="M102" s="1"/>
      <c r="N102" s="1" t="s">
        <v>413</v>
      </c>
    </row>
    <row r="103">
      <c r="A103" s="6" t="s">
        <v>361</v>
      </c>
      <c r="B103" s="5">
        <v>1033</v>
      </c>
      <c r="C103" s="5">
        <v>923</v>
      </c>
      <c r="D103" s="5">
        <v>1190</v>
      </c>
      <c r="E103" s="8">
        <f>D20-E20</f>
        <v>1276</v>
      </c>
      <c r="F103" s="5">
        <v>1188</v>
      </c>
      <c r="G103" s="5">
        <v>1656</v>
      </c>
      <c r="H103" s="5">
        <v>2367</v>
      </c>
      <c r="I103" s="1"/>
      <c r="J103" s="1"/>
      <c r="K103" s="1"/>
      <c r="L103" s="1"/>
      <c r="M103" s="1"/>
      <c r="N103" s="1" t="s">
        <v>413</v>
      </c>
    </row>
    <row r="104">
      <c r="A104" s="6" t="s">
        <v>368</v>
      </c>
      <c r="B104" s="5">
        <v>-936</v>
      </c>
      <c r="C104" s="5">
        <v>-1524</v>
      </c>
      <c r="D104" s="5">
        <v>-1722</v>
      </c>
      <c r="E104" s="8">
        <f>D21-E21</f>
        <v>-2173</v>
      </c>
      <c r="F104" s="5">
        <v>-2469</v>
      </c>
      <c r="G104" s="5">
        <v>-1257</v>
      </c>
      <c r="H104" s="5">
        <v>431</v>
      </c>
      <c r="I104" s="1"/>
      <c r="J104" s="1"/>
      <c r="K104" s="1"/>
      <c r="L104" s="1"/>
      <c r="M104" s="1"/>
      <c r="N104" s="1" t="s">
        <v>413</v>
      </c>
    </row>
    <row r="105">
      <c r="A105" s="1"/>
      <c r="B105" s="1"/>
      <c r="C105" s="1"/>
      <c r="D105" s="1"/>
      <c r="E105" s="1"/>
      <c r="F105" s="1"/>
      <c r="G105" s="1"/>
      <c r="H105" s="1"/>
      <c r="I105" s="1"/>
      <c r="J105" s="1"/>
      <c r="K105" s="1"/>
      <c r="L105" s="1"/>
      <c r="M105" s="1"/>
      <c r="N105" s="1"/>
    </row>
    <row r="106">
      <c r="A106" s="16" t="s">
        <v>415</v>
      </c>
      <c r="B106" s="1"/>
      <c r="C106" s="1"/>
      <c r="D106" s="1"/>
      <c r="E106" s="1"/>
      <c r="F106" s="1"/>
      <c r="G106" s="1"/>
      <c r="H106" s="1"/>
      <c r="I106" s="1"/>
      <c r="J106" s="1"/>
      <c r="K106" s="1"/>
      <c r="L106" s="1"/>
      <c r="M106" s="1"/>
      <c r="N106" s="1"/>
    </row>
    <row r="107">
      <c r="A107" s="6" t="s">
        <v>358</v>
      </c>
      <c r="B107" s="5">
        <v>224</v>
      </c>
      <c r="C107" s="5">
        <v>-93</v>
      </c>
      <c r="D107" s="5">
        <v>674</v>
      </c>
      <c r="E107" s="8">
        <f>D54-E54</f>
        <v>-150</v>
      </c>
      <c r="F107" s="5">
        <v>-351</v>
      </c>
      <c r="G107" s="5">
        <v>-205</v>
      </c>
      <c r="H107" s="5">
        <v>357</v>
      </c>
      <c r="I107" s="1"/>
      <c r="J107" s="1"/>
      <c r="K107" s="1"/>
      <c r="L107" s="1"/>
      <c r="M107" s="1"/>
      <c r="N107" s="1" t="s">
        <v>413</v>
      </c>
    </row>
    <row r="108">
      <c r="A108" s="6" t="s">
        <v>361</v>
      </c>
      <c r="B108" s="5">
        <v>1618</v>
      </c>
      <c r="C108" s="5">
        <v>1583</v>
      </c>
      <c r="D108" s="5">
        <v>1923</v>
      </c>
      <c r="E108" s="8">
        <f>D55-E55</f>
        <v>2045</v>
      </c>
      <c r="F108" s="5">
        <v>2087</v>
      </c>
      <c r="G108" s="5">
        <v>2597</v>
      </c>
      <c r="H108" s="5">
        <v>3499</v>
      </c>
      <c r="I108" s="1"/>
      <c r="J108" s="1"/>
      <c r="K108" s="1"/>
      <c r="L108" s="1"/>
      <c r="M108" s="1"/>
      <c r="N108" s="1" t="s">
        <v>413</v>
      </c>
    </row>
    <row r="109">
      <c r="A109" s="6" t="s">
        <v>368</v>
      </c>
      <c r="B109" s="5">
        <v>-112</v>
      </c>
      <c r="C109" s="5">
        <v>-276</v>
      </c>
      <c r="D109" s="5">
        <v>-428</v>
      </c>
      <c r="E109" s="8">
        <f>D56-E56</f>
        <v>-424</v>
      </c>
      <c r="F109" s="5">
        <v>-609</v>
      </c>
      <c r="G109" s="5">
        <v>1146</v>
      </c>
      <c r="H109" s="5">
        <v>4953</v>
      </c>
      <c r="I109" s="1"/>
      <c r="J109" s="1"/>
      <c r="K109" s="1"/>
      <c r="L109" s="1"/>
      <c r="M109" s="1"/>
      <c r="N109" s="1" t="s">
        <v>413</v>
      </c>
    </row>
    <row r="110">
      <c r="A110" s="1"/>
      <c r="B110" s="1"/>
      <c r="C110" s="1"/>
      <c r="D110" s="1"/>
      <c r="E110" s="1"/>
      <c r="F110" s="1"/>
      <c r="G110" s="1"/>
      <c r="H110" s="1"/>
      <c r="I110" s="1"/>
      <c r="J110" s="1"/>
      <c r="K110" s="1"/>
      <c r="L110" s="1"/>
      <c r="M110" s="1"/>
      <c r="N110" s="1"/>
    </row>
    <row r="111">
      <c r="A111" s="16" t="s">
        <v>416</v>
      </c>
      <c r="B111" s="1"/>
      <c r="C111" s="1"/>
      <c r="D111" s="1"/>
      <c r="E111" s="1"/>
      <c r="F111" s="1"/>
      <c r="G111" s="1"/>
      <c r="H111" s="1"/>
      <c r="I111" s="1"/>
      <c r="J111" s="1"/>
      <c r="K111" s="1"/>
      <c r="L111" s="1"/>
      <c r="M111" s="1"/>
      <c r="N111" s="1"/>
    </row>
    <row r="112">
      <c r="A112" s="6" t="s">
        <v>358</v>
      </c>
      <c r="B112" s="5">
        <v>759</v>
      </c>
      <c r="C112" s="5">
        <v>946</v>
      </c>
      <c r="D112" s="5">
        <v>1113</v>
      </c>
      <c r="E112" s="8">
        <f>D59-E59</f>
        <v>1014</v>
      </c>
      <c r="F112" s="5">
        <v>1052</v>
      </c>
      <c r="G112" s="5">
        <v>1174</v>
      </c>
      <c r="H112" s="5">
        <v>1606</v>
      </c>
      <c r="I112" s="1"/>
      <c r="J112" s="1"/>
      <c r="K112" s="1"/>
      <c r="L112" s="1"/>
      <c r="M112" s="1"/>
      <c r="N112" s="1" t="s">
        <v>413</v>
      </c>
    </row>
    <row r="113">
      <c r="A113" s="6" t="s">
        <v>361</v>
      </c>
      <c r="B113" s="5">
        <v>814</v>
      </c>
      <c r="C113" s="5">
        <v>1130</v>
      </c>
      <c r="D113" s="5">
        <v>1007</v>
      </c>
      <c r="E113" s="8">
        <f>D60-E60</f>
        <v>1227</v>
      </c>
      <c r="F113" s="5">
        <v>1332</v>
      </c>
      <c r="G113" s="5">
        <v>1367</v>
      </c>
      <c r="H113" s="5">
        <v>1543</v>
      </c>
      <c r="I113" s="1"/>
      <c r="J113" s="1"/>
      <c r="K113" s="1"/>
      <c r="L113" s="1"/>
      <c r="M113" s="1"/>
      <c r="N113" s="1" t="s">
        <v>413</v>
      </c>
    </row>
    <row r="114">
      <c r="A114" s="6" t="s">
        <v>368</v>
      </c>
      <c r="B114" s="5">
        <v>2567</v>
      </c>
      <c r="C114" s="5">
        <v>749</v>
      </c>
      <c r="D114" s="5">
        <v>4760</v>
      </c>
      <c r="E114" s="8">
        <f>D61-E61</f>
        <v>4650</v>
      </c>
      <c r="F114" s="5">
        <v>7723</v>
      </c>
      <c r="G114" s="5">
        <v>15828</v>
      </c>
      <c r="H114" s="5">
        <v>16444</v>
      </c>
      <c r="I114" s="1"/>
      <c r="J114" s="1"/>
      <c r="K114" s="1"/>
      <c r="L114" s="1"/>
      <c r="M114" s="1"/>
      <c r="N114" s="1" t="s">
        <v>413</v>
      </c>
    </row>
    <row r="115">
      <c r="A115" s="1"/>
      <c r="B115" s="1"/>
      <c r="C115" s="1"/>
      <c r="D115" s="1"/>
      <c r="E115" s="1"/>
      <c r="F115" s="1"/>
      <c r="G115" s="1"/>
      <c r="H115" s="1"/>
      <c r="I115" s="1"/>
      <c r="J115" s="1"/>
      <c r="K115" s="1"/>
      <c r="L115" s="1"/>
      <c r="M115" s="1"/>
      <c r="N115" s="1"/>
    </row>
    <row r="116">
      <c r="A116" s="16" t="s">
        <v>417</v>
      </c>
      <c r="B116" s="1"/>
      <c r="C116" s="1"/>
      <c r="D116" s="1"/>
      <c r="E116" s="1"/>
      <c r="F116" s="1"/>
      <c r="G116" s="1"/>
      <c r="H116" s="1"/>
      <c r="I116" s="1"/>
      <c r="J116" s="1"/>
      <c r="K116" s="1"/>
      <c r="L116" s="1"/>
      <c r="M116" s="1"/>
      <c r="N116" s="1"/>
    </row>
    <row r="117">
      <c r="A117" s="6" t="s">
        <v>358</v>
      </c>
      <c r="B117" s="8"/>
      <c r="C117" s="5">
        <v>146</v>
      </c>
      <c r="D117" s="5">
        <v>264</v>
      </c>
      <c r="E117" s="8">
        <f>D24-E24</f>
        <v>185</v>
      </c>
      <c r="F117" s="8"/>
      <c r="G117" s="5">
        <v>158</v>
      </c>
      <c r="H117" s="5">
        <v>185</v>
      </c>
      <c r="I117" s="1"/>
      <c r="J117" s="1"/>
      <c r="K117" s="1"/>
      <c r="L117" s="1"/>
      <c r="M117" s="1"/>
      <c r="N117" s="1" t="s">
        <v>418</v>
      </c>
    </row>
    <row r="118">
      <c r="A118" s="6" t="s">
        <v>361</v>
      </c>
      <c r="B118" s="8"/>
      <c r="C118" s="5">
        <v>569</v>
      </c>
      <c r="D118" s="5">
        <v>628</v>
      </c>
      <c r="E118" s="8">
        <f>D25-E25</f>
        <v>670</v>
      </c>
      <c r="F118" s="8"/>
      <c r="G118" s="5">
        <v>805</v>
      </c>
      <c r="H118" s="5">
        <v>986</v>
      </c>
      <c r="I118" s="1"/>
      <c r="J118" s="1"/>
      <c r="K118" s="1"/>
      <c r="L118" s="1"/>
      <c r="M118" s="1"/>
      <c r="N118" s="1" t="s">
        <v>418</v>
      </c>
    </row>
    <row r="119">
      <c r="A119" s="6" t="s">
        <v>368</v>
      </c>
      <c r="B119" s="8"/>
      <c r="C119" s="5">
        <v>811</v>
      </c>
      <c r="D119" s="5">
        <v>922</v>
      </c>
      <c r="E119" s="8">
        <f>D26-E26</f>
        <v>1062</v>
      </c>
      <c r="F119" s="8"/>
      <c r="G119" s="5">
        <v>1885</v>
      </c>
      <c r="H119" s="5">
        <v>2473</v>
      </c>
      <c r="I119" s="1"/>
      <c r="J119" s="1"/>
      <c r="K119" s="1"/>
      <c r="L119" s="1"/>
      <c r="M119" s="1"/>
      <c r="N119" s="1" t="s">
        <v>418</v>
      </c>
    </row>
    <row r="120">
      <c r="A120" s="1"/>
      <c r="B120" s="1"/>
      <c r="C120" s="1"/>
      <c r="D120" s="1"/>
      <c r="E120" s="1"/>
      <c r="F120" s="1"/>
      <c r="G120" s="1"/>
      <c r="H120" s="1"/>
      <c r="I120" s="1"/>
      <c r="J120" s="1"/>
      <c r="K120" s="1"/>
      <c r="L120" s="1"/>
      <c r="M120" s="1"/>
      <c r="N120" s="1"/>
    </row>
    <row r="121">
      <c r="A121" s="16" t="s">
        <v>419</v>
      </c>
      <c r="B121" s="1"/>
      <c r="C121" s="1"/>
      <c r="D121" s="1"/>
      <c r="E121" s="1"/>
      <c r="F121" s="1"/>
      <c r="G121" s="1"/>
      <c r="H121" s="1"/>
      <c r="I121" s="1"/>
      <c r="J121" s="1"/>
      <c r="K121" s="1"/>
      <c r="L121" s="1"/>
      <c r="M121" s="1"/>
      <c r="N121" s="1"/>
    </row>
    <row r="122">
      <c r="A122" s="6" t="s">
        <v>420</v>
      </c>
      <c r="B122" s="81">
        <v>5</v>
      </c>
      <c r="C122" s="81">
        <v>6</v>
      </c>
      <c r="D122" s="81">
        <v>7.2</v>
      </c>
      <c r="E122" s="52">
        <f>D64</f>
        <v>8.9</v>
      </c>
      <c r="F122" s="81">
        <v>10.3</v>
      </c>
      <c r="G122" s="81">
        <v>12</v>
      </c>
      <c r="H122" s="81">
        <v>13.6</v>
      </c>
      <c r="I122" s="1"/>
      <c r="J122" s="1"/>
      <c r="K122" s="1"/>
      <c r="L122" s="1"/>
      <c r="M122" s="1"/>
      <c r="N122" s="1" t="s">
        <v>421</v>
      </c>
    </row>
    <row r="123">
      <c r="A123" s="6" t="s">
        <v>386</v>
      </c>
      <c r="B123" s="5">
        <v>86</v>
      </c>
      <c r="C123" s="5">
        <v>85</v>
      </c>
      <c r="D123" s="5">
        <v>83</v>
      </c>
      <c r="E123" s="8" t="s">
        <v>422</v>
      </c>
      <c r="F123" s="5">
        <v>66</v>
      </c>
      <c r="G123" s="5">
        <v>66</v>
      </c>
      <c r="H123" s="5">
        <v>69</v>
      </c>
      <c r="I123" s="1"/>
      <c r="J123" s="1"/>
      <c r="K123" s="1"/>
      <c r="L123" s="1"/>
      <c r="M123" s="1"/>
      <c r="N123" s="1" t="s">
        <v>423</v>
      </c>
    </row>
    <row r="124">
      <c r="A124" s="6" t="s">
        <v>424</v>
      </c>
      <c r="B124" s="81">
        <v>0.3</v>
      </c>
      <c r="C124" s="81">
        <v>0.4</v>
      </c>
      <c r="D124" s="81">
        <v>0.6</v>
      </c>
      <c r="E124" s="52">
        <f>D66</f>
        <v>0.8</v>
      </c>
      <c r="F124" s="81">
        <v>1</v>
      </c>
      <c r="G124" s="81">
        <v>1.4</v>
      </c>
      <c r="H124" s="81">
        <v>1.7</v>
      </c>
      <c r="I124" s="1"/>
      <c r="J124" s="1"/>
      <c r="K124" s="1"/>
      <c r="L124" s="1"/>
      <c r="M124" s="1"/>
      <c r="N124" s="1" t="s">
        <v>425</v>
      </c>
    </row>
    <row r="125">
      <c r="A125" s="6" t="s">
        <v>426</v>
      </c>
      <c r="B125" s="8"/>
      <c r="C125" s="5">
        <v>45</v>
      </c>
      <c r="D125" s="5">
        <v>43</v>
      </c>
      <c r="E125" s="8"/>
      <c r="F125" s="8"/>
      <c r="G125" s="5">
        <v>37</v>
      </c>
      <c r="H125" s="5">
        <v>33</v>
      </c>
      <c r="I125" s="1"/>
      <c r="J125" s="1"/>
      <c r="K125" s="1"/>
      <c r="L125" s="1"/>
      <c r="M125" s="1"/>
      <c r="N125" s="1" t="s">
        <v>427</v>
      </c>
    </row>
    <row r="126">
      <c r="A126" s="6" t="s">
        <v>428</v>
      </c>
      <c r="B126" s="8"/>
      <c r="C126" s="5">
        <v>1</v>
      </c>
      <c r="D126" s="5">
        <v>1</v>
      </c>
      <c r="E126" s="8"/>
      <c r="F126" s="8"/>
      <c r="G126" s="5">
        <v>1</v>
      </c>
      <c r="H126" s="5">
        <v>2</v>
      </c>
      <c r="I126" s="1"/>
      <c r="J126" s="1"/>
      <c r="K126" s="1"/>
      <c r="L126" s="1"/>
      <c r="M126" s="1"/>
      <c r="N126" s="1" t="s">
        <v>429</v>
      </c>
    </row>
    <row r="127">
      <c r="A127" s="6" t="s">
        <v>430</v>
      </c>
      <c r="B127" s="5">
        <v>38</v>
      </c>
      <c r="C127" s="8">
        <f>C125+C126</f>
        <v>46</v>
      </c>
      <c r="D127" s="8">
        <f>D125+D126</f>
        <v>44</v>
      </c>
      <c r="E127" s="8">
        <f>D67-SUM(B127:D127)</f>
        <v>42</v>
      </c>
      <c r="F127" s="5">
        <v>40</v>
      </c>
      <c r="G127" s="8">
        <f>G125+G126</f>
        <v>38</v>
      </c>
      <c r="H127" s="8">
        <f>H125+H126</f>
        <v>35</v>
      </c>
      <c r="I127" s="1"/>
      <c r="J127" s="1"/>
      <c r="K127" s="1"/>
      <c r="L127" s="1"/>
      <c r="M127" s="1"/>
      <c r="N127" s="1" t="s">
        <v>431</v>
      </c>
    </row>
    <row r="128">
      <c r="A128" s="6" t="s">
        <v>392</v>
      </c>
      <c r="B128" s="8"/>
      <c r="C128" s="5">
        <v>9</v>
      </c>
      <c r="D128" s="5">
        <v>15</v>
      </c>
      <c r="E128" s="8"/>
      <c r="F128" s="8"/>
      <c r="G128" s="5">
        <v>10</v>
      </c>
      <c r="H128" s="5">
        <v>12</v>
      </c>
      <c r="I128" s="1"/>
      <c r="J128" s="1"/>
      <c r="K128" s="1"/>
      <c r="L128" s="1"/>
      <c r="M128" s="1"/>
      <c r="N128" s="1" t="s">
        <v>432</v>
      </c>
    </row>
    <row r="129">
      <c r="A129" s="6" t="s">
        <v>433</v>
      </c>
      <c r="B129" s="8"/>
      <c r="C129" s="8"/>
      <c r="D129" s="8"/>
      <c r="E129" s="8"/>
      <c r="F129" s="8"/>
      <c r="G129" s="8"/>
      <c r="H129" s="5">
        <v>608</v>
      </c>
      <c r="I129" s="1"/>
      <c r="J129" s="1"/>
      <c r="K129" s="1"/>
      <c r="L129" s="1"/>
      <c r="M129" s="1"/>
      <c r="N129" s="1" t="s">
        <v>434</v>
      </c>
    </row>
    <row r="130">
      <c r="A130" s="1"/>
      <c r="B130" s="1"/>
      <c r="C130" s="1"/>
      <c r="D130" s="1"/>
      <c r="E130" s="1"/>
      <c r="F130" s="1"/>
      <c r="G130" s="1"/>
      <c r="H130" s="1"/>
      <c r="I130" s="1"/>
      <c r="J130" s="1"/>
      <c r="K130" s="1"/>
      <c r="L130" s="1"/>
      <c r="M130" s="1"/>
      <c r="N130" s="1"/>
    </row>
    <row r="131">
      <c r="A131" s="16" t="s">
        <v>435</v>
      </c>
      <c r="B131" s="1"/>
      <c r="C131" s="1"/>
      <c r="D131" s="1"/>
      <c r="E131" s="1"/>
      <c r="F131" s="1"/>
      <c r="G131" s="1"/>
      <c r="H131" s="1"/>
      <c r="I131" s="1"/>
      <c r="J131" s="1"/>
      <c r="K131" s="1"/>
      <c r="L131" s="1"/>
      <c r="M131" s="1"/>
      <c r="N131" s="1"/>
    </row>
    <row r="132">
      <c r="A132" s="6" t="s">
        <v>436</v>
      </c>
      <c r="B132" s="8"/>
      <c r="C132" s="8"/>
      <c r="D132" s="8"/>
      <c r="E132" s="8"/>
      <c r="F132" s="8"/>
      <c r="G132" s="8"/>
      <c r="H132" s="8">
        <f>H123*(G122+H122)/2*3</f>
        <v>2649.6000000000004</v>
      </c>
      <c r="I132" s="1"/>
      <c r="J132" s="1"/>
      <c r="K132" s="1"/>
      <c r="L132" s="1"/>
      <c r="M132" s="1"/>
      <c r="N132" s="1" t="s">
        <v>437</v>
      </c>
    </row>
    <row r="133">
      <c r="A133" s="31" t="s">
        <v>438</v>
      </c>
      <c r="B133" s="10"/>
      <c r="C133" s="10"/>
      <c r="D133" s="10"/>
      <c r="E133" s="10"/>
      <c r="F133" s="10"/>
      <c r="G133" s="10"/>
      <c r="H133" s="10">
        <f>H93/H132-1</f>
        <v>0.17791364734299497</v>
      </c>
      <c r="I133" s="1"/>
      <c r="J133" s="1"/>
      <c r="K133" s="1"/>
      <c r="L133" s="1"/>
      <c r="M133" s="1"/>
      <c r="N133" s="1"/>
    </row>
    <row r="134">
      <c r="A134" s="6" t="s">
        <v>439</v>
      </c>
      <c r="B134" s="8"/>
      <c r="C134" s="8"/>
      <c r="D134" s="8"/>
      <c r="E134" s="8"/>
      <c r="F134" s="8"/>
      <c r="G134" s="8"/>
      <c r="H134" s="8">
        <f>H97-H129</f>
        <v>6414</v>
      </c>
      <c r="I134" s="1"/>
      <c r="J134" s="1"/>
      <c r="K134" s="1"/>
      <c r="L134" s="1"/>
      <c r="M134" s="1"/>
      <c r="N134" s="1"/>
    </row>
    <row r="135">
      <c r="A135" s="6" t="s">
        <v>440</v>
      </c>
      <c r="B135" s="7"/>
      <c r="C135" s="7"/>
      <c r="D135" s="7"/>
      <c r="E135" s="7"/>
      <c r="F135" s="7"/>
      <c r="G135" s="7"/>
      <c r="H135" s="7">
        <f>H134*4/((G124+H124)/2)/1000</f>
        <v>16.55225806451613</v>
      </c>
      <c r="I135" s="1"/>
      <c r="J135" s="1"/>
      <c r="K135" s="1"/>
      <c r="L135" s="1"/>
      <c r="M135" s="1"/>
      <c r="N135" s="1"/>
    </row>
    <row r="136">
      <c r="A136" s="6" t="s">
        <v>441</v>
      </c>
      <c r="B136" s="52"/>
      <c r="C136" s="52">
        <f>C90/C128</f>
        <v>54.44444444444444</v>
      </c>
      <c r="D136" s="52">
        <f>D90/D128</f>
        <v>66.66666666666667</v>
      </c>
      <c r="E136" s="52"/>
      <c r="F136" s="52"/>
      <c r="G136" s="52">
        <f>G90/G128</f>
        <v>64.8</v>
      </c>
      <c r="H136" s="52">
        <f>H90/H128</f>
        <v>94.16666666666667</v>
      </c>
      <c r="I136" s="1"/>
      <c r="J136" s="1"/>
      <c r="K136" s="1"/>
      <c r="L136" s="1"/>
      <c r="M136" s="1"/>
      <c r="N136" s="1"/>
    </row>
    <row r="137">
      <c r="A137" s="6" t="s">
        <v>442</v>
      </c>
      <c r="B137" s="52"/>
      <c r="C137" s="52"/>
      <c r="D137" s="52"/>
      <c r="E137" s="52"/>
      <c r="F137" s="52"/>
      <c r="G137" s="52"/>
      <c r="H137" s="52">
        <f>F61/(H124-E124)/1000</f>
        <v>44.43888888888889</v>
      </c>
      <c r="I137" s="1"/>
      <c r="J137" s="1"/>
      <c r="K137" s="1"/>
      <c r="L137" s="1"/>
      <c r="M137" s="1"/>
      <c r="N137" s="1" t="s">
        <v>443</v>
      </c>
    </row>
    <row r="138">
      <c r="A138" s="31" t="s">
        <v>444</v>
      </c>
      <c r="B138" s="10">
        <f>B107/B92</f>
        <v>0.2589595375722543</v>
      </c>
      <c r="C138" s="10">
        <f>C107/C92</f>
        <v>-0.12466487935656836</v>
      </c>
      <c r="D138" s="10">
        <f>D107/D92</f>
        <v>0.40456182472989194</v>
      </c>
      <c r="E138" s="10">
        <f>E107/E92</f>
        <v>-0.18541409147095178</v>
      </c>
      <c r="F138" s="10">
        <f>F107/F92</f>
        <v>-0.567043618739903</v>
      </c>
      <c r="G138" s="10">
        <f>G107/G92</f>
        <v>-0.2130977130977131</v>
      </c>
      <c r="H138" s="10">
        <f>H107/H92</f>
        <v>0.20203735144312393</v>
      </c>
      <c r="I138" s="1"/>
      <c r="J138" s="1"/>
      <c r="K138" s="1"/>
      <c r="L138" s="1"/>
      <c r="M138" s="1"/>
      <c r="N138" s="1"/>
    </row>
    <row r="139">
      <c r="A139" s="31" t="s">
        <v>445</v>
      </c>
      <c r="B139" s="10">
        <f>B108/B95</f>
        <v>0.6537373737373737</v>
      </c>
      <c r="C139" s="10">
        <f>C108/C95</f>
        <v>0.6116692426584235</v>
      </c>
      <c r="D139" s="10">
        <f>D108/D95</f>
        <v>0.6209234743299967</v>
      </c>
      <c r="E139" s="10">
        <f>E108/E95</f>
        <v>0.6335192069392813</v>
      </c>
      <c r="F139" s="10">
        <f>F108/F95</f>
        <v>0.6407737181455327</v>
      </c>
      <c r="G139" s="10">
        <f>G108/G95</f>
        <v>0.6052202283849919</v>
      </c>
      <c r="H139" s="10">
        <f>H108/H95</f>
        <v>0.6667301829268293</v>
      </c>
      <c r="I139" s="1"/>
      <c r="J139" s="1"/>
      <c r="K139" s="1"/>
      <c r="L139" s="1"/>
      <c r="M139" s="1"/>
      <c r="N139" s="1"/>
    </row>
    <row r="140">
      <c r="A140" s="31" t="s">
        <v>446</v>
      </c>
      <c r="B140" s="10">
        <f>B109/B98</f>
        <v>-0.15405777166437415</v>
      </c>
      <c r="C140" s="10">
        <f>C109/C98</f>
        <v>-0.37449118046132973</v>
      </c>
      <c r="D140" s="10">
        <f>D109/D98</f>
        <v>-0.5264452644526445</v>
      </c>
      <c r="E140" s="10">
        <f>E109/E98</f>
        <v>-0.4593716143011918</v>
      </c>
      <c r="F140" s="10">
        <f>F109/F98</f>
        <v>-0.7444987775061125</v>
      </c>
      <c r="G140" s="10">
        <f>G109/G98</f>
        <v>0.4474814525575947</v>
      </c>
      <c r="H140" s="10">
        <f>H109/H98</f>
        <v>0.6551587301587302</v>
      </c>
      <c r="I140" s="1"/>
      <c r="J140" s="1"/>
      <c r="K140" s="1"/>
      <c r="L140" s="1"/>
      <c r="M140" s="1"/>
      <c r="N140" s="1"/>
    </row>
    <row r="141">
      <c r="A141" s="1"/>
      <c r="B141" s="1"/>
      <c r="C141" s="1"/>
      <c r="D141" s="1"/>
      <c r="E141" s="1"/>
      <c r="F141" s="1"/>
      <c r="G141" s="1"/>
      <c r="H141" s="1"/>
      <c r="I141" s="1"/>
      <c r="J141" s="1"/>
      <c r="K141" s="1"/>
      <c r="L141" s="1"/>
      <c r="M141" s="1"/>
      <c r="N141" s="1"/>
    </row>
    <row r="142">
      <c r="A142" s="16" t="s">
        <v>447</v>
      </c>
      <c r="B142" s="1"/>
      <c r="C142" s="1"/>
      <c r="D142" s="1"/>
      <c r="E142" s="1"/>
      <c r="F142" s="1"/>
      <c r="G142" s="1"/>
      <c r="H142" s="1"/>
      <c r="I142" s="1"/>
      <c r="J142" s="1"/>
      <c r="K142" s="1"/>
      <c r="L142" s="1"/>
      <c r="M142" s="1"/>
      <c r="N142" s="1"/>
    </row>
    <row r="143">
      <c r="A143" s="6" t="s">
        <v>448</v>
      </c>
      <c r="B143" s="8"/>
      <c r="C143" s="8"/>
      <c r="D143" s="8"/>
      <c r="E143" s="8"/>
      <c r="F143" s="8"/>
      <c r="G143" s="8"/>
      <c r="H143" s="5">
        <v>62959</v>
      </c>
      <c r="I143" s="1"/>
      <c r="J143" s="1"/>
      <c r="K143" s="1"/>
      <c r="L143" s="1"/>
      <c r="M143" s="1"/>
      <c r="N143" s="1" t="s">
        <v>449</v>
      </c>
    </row>
    <row r="144">
      <c r="A144" s="31" t="s">
        <v>450</v>
      </c>
      <c r="B144" s="10"/>
      <c r="C144" s="10"/>
      <c r="D144" s="10"/>
      <c r="E144" s="10"/>
      <c r="F144" s="10"/>
      <c r="G144" s="10"/>
      <c r="H144" s="62">
        <v>0.67</v>
      </c>
      <c r="I144" s="1"/>
      <c r="J144" s="1"/>
      <c r="K144" s="1"/>
      <c r="L144" s="1"/>
      <c r="M144" s="1"/>
      <c r="N144" s="1" t="s">
        <v>449</v>
      </c>
    </row>
    <row r="145">
      <c r="A145" s="6" t="s">
        <v>451</v>
      </c>
      <c r="B145" s="8"/>
      <c r="C145" s="8"/>
      <c r="D145" s="8"/>
      <c r="E145" s="8"/>
      <c r="F145" s="8"/>
      <c r="G145" s="8"/>
      <c r="H145" s="8">
        <f>H143*H144</f>
        <v>42182.530000000006</v>
      </c>
      <c r="I145" s="1"/>
      <c r="J145" s="1"/>
      <c r="K145" s="1"/>
      <c r="L145" s="1"/>
      <c r="M145" s="1"/>
      <c r="N145" s="1"/>
    </row>
    <row r="146">
      <c r="A146" s="6" t="s">
        <v>452</v>
      </c>
      <c r="B146" s="8"/>
      <c r="C146" s="8"/>
      <c r="D146" s="8"/>
      <c r="E146" s="8"/>
      <c r="F146" s="8"/>
      <c r="G146" s="5">
        <v>47461</v>
      </c>
      <c r="H146" s="8"/>
      <c r="I146" s="1"/>
      <c r="J146" s="1"/>
      <c r="K146" s="1"/>
      <c r="L146" s="1"/>
      <c r="M146" s="1"/>
      <c r="N146" s="1" t="s">
        <v>453</v>
      </c>
    </row>
    <row r="147">
      <c r="A147" s="1"/>
      <c r="B147" s="1"/>
      <c r="C147" s="1"/>
      <c r="D147" s="1"/>
      <c r="E147" s="1"/>
      <c r="F147" s="1"/>
      <c r="G147" s="1"/>
      <c r="H147" s="1"/>
      <c r="I147" s="1"/>
      <c r="J147" s="1"/>
      <c r="K147" s="1"/>
      <c r="L147" s="1"/>
      <c r="M147" s="1"/>
      <c r="N147" s="1"/>
    </row>
    <row r="148">
      <c r="A148" s="16" t="s">
        <v>454</v>
      </c>
      <c r="B148" s="1"/>
      <c r="C148" s="1"/>
      <c r="D148" s="1"/>
      <c r="E148" s="1"/>
      <c r="F148" s="1"/>
      <c r="G148" s="1"/>
      <c r="H148" s="1"/>
      <c r="I148" s="1"/>
      <c r="J148" s="1"/>
      <c r="K148" s="1"/>
      <c r="L148" s="1"/>
      <c r="M148" s="1"/>
      <c r="N148" s="1"/>
    </row>
    <row r="149">
      <c r="A149" s="6" t="s">
        <v>455</v>
      </c>
      <c r="B149" s="14">
        <f>ABS(B90+B91-B92)+ABS(B93+B94-B95)+ABS(B96+B97-B98)+ABS(B99-Quarterly_Hist!B6)</f>
        <v>0</v>
      </c>
      <c r="C149" s="14">
        <f>ABS(C90+C91-C92)+ABS(C93+C94-C95)+ABS(C96+C97-C98)+ABS(C99-Quarterly_Hist!C6)</f>
        <v>0</v>
      </c>
      <c r="D149" s="14">
        <f>ABS(D90+D91-D92)+ABS(D93+D94-D95)+ABS(D96+D97-D98)+ABS(D99-Quarterly_Hist!D6)</f>
        <v>0</v>
      </c>
      <c r="E149" s="14">
        <f>ABS(E90+E91-E92)+ABS(E93+E94-E95)+ABS(E96+E97-E98)+ABS(E99-Quarterly_Hist!E6)</f>
        <v>0</v>
      </c>
      <c r="F149" s="14">
        <f>ABS(F90+F91-F92)+ABS(F93+F94-F95)+ABS(F96+F97-F98)+ABS(F99-Quarterly_Hist!F6)</f>
        <v>0</v>
      </c>
      <c r="G149" s="14">
        <f>ABS(G90+G91-G92)+ABS(G93+G94-G95)+ABS(G96+G97-G98)+ABS(G99-Quarterly_Hist!G6)</f>
        <v>0</v>
      </c>
      <c r="H149" s="14">
        <f>ABS(H90+H91-H92)+ABS(H93+H94-H95)+ABS(H96+H97-H98)+ABS(H99-Quarterly_Hist!H6)</f>
        <v>0</v>
      </c>
      <c r="I149" s="1"/>
      <c r="J149" s="1"/>
      <c r="K149" s="1"/>
      <c r="L149" s="1"/>
      <c r="M149" s="1"/>
      <c r="N149" s="1"/>
    </row>
    <row r="150">
      <c r="A150" s="6" t="s">
        <v>456</v>
      </c>
      <c r="B150" s="14">
        <f>B102+B103+B104-Quarterly_Hist!B13</f>
        <v>0</v>
      </c>
      <c r="C150" s="14">
        <f>C102+C103+C104-Quarterly_Hist!C13</f>
        <v>0</v>
      </c>
      <c r="D150" s="14">
        <f>D102+D103+D104-Quarterly_Hist!D13</f>
        <v>0</v>
      </c>
      <c r="E150" s="14">
        <f>E102+E103+E104-Quarterly_Hist!E13</f>
        <v>0</v>
      </c>
      <c r="F150" s="14">
        <f>F102+F103+F104-Quarterly_Hist!F13</f>
        <v>0</v>
      </c>
      <c r="G150" s="14">
        <f>G102+G103+G104-Quarterly_Hist!G13</f>
        <v>0</v>
      </c>
      <c r="H150" s="14">
        <f>H102+H103+H104-Quarterly_Hist!H13</f>
        <v>0</v>
      </c>
      <c r="I150" s="1"/>
      <c r="J150" s="1"/>
      <c r="K150" s="1"/>
      <c r="L150" s="1"/>
      <c r="M150" s="1"/>
      <c r="N150" s="1"/>
    </row>
    <row r="151">
      <c r="A151" s="6" t="s">
        <v>457</v>
      </c>
      <c r="B151" s="1"/>
      <c r="C151" s="1"/>
      <c r="D151" s="1"/>
      <c r="E151" s="1"/>
      <c r="F151" s="14">
        <f>SUM(F102:H102)-F19</f>
        <v>0</v>
      </c>
      <c r="G151" s="1"/>
      <c r="H151" s="1"/>
      <c r="I151" s="1"/>
      <c r="J151" s="1"/>
      <c r="K151" s="1"/>
      <c r="L151" s="1"/>
      <c r="M151" s="1"/>
      <c r="N151" s="1"/>
    </row>
    <row r="152">
      <c r="A152" s="6" t="s">
        <v>458</v>
      </c>
      <c r="B152" s="14">
        <f>MAX(0,ABS(SUM(B102:D102)-E19)-5)</f>
        <v>0</v>
      </c>
      <c r="C152" s="1"/>
      <c r="D152" s="1"/>
      <c r="E152" s="1"/>
      <c r="F152" s="1"/>
      <c r="G152" s="1"/>
      <c r="H152" s="1"/>
      <c r="I152" s="1"/>
      <c r="J152" s="1"/>
      <c r="K152" s="1"/>
      <c r="L152" s="1"/>
      <c r="M152" s="1"/>
      <c r="N152" s="1" t="s">
        <v>459</v>
      </c>
    </row>
    <row r="153">
      <c r="A153" s="6" t="s">
        <v>460</v>
      </c>
      <c r="B153" s="1"/>
      <c r="C153" s="1"/>
      <c r="D153" s="1"/>
      <c r="E153" s="1"/>
      <c r="F153" s="14">
        <f>SUM(F103:H103)-F20</f>
        <v>0</v>
      </c>
      <c r="G153" s="1"/>
      <c r="H153" s="1"/>
      <c r="I153" s="1"/>
      <c r="J153" s="1"/>
      <c r="K153" s="1"/>
      <c r="L153" s="1"/>
      <c r="M153" s="1"/>
      <c r="N153" s="1"/>
    </row>
    <row r="154">
      <c r="A154" s="6" t="s">
        <v>461</v>
      </c>
      <c r="B154" s="14">
        <f>MAX(0,ABS(SUM(B103:D103)-E20)-5)</f>
        <v>0</v>
      </c>
      <c r="C154" s="1"/>
      <c r="D154" s="1"/>
      <c r="E154" s="1"/>
      <c r="F154" s="1"/>
      <c r="G154" s="1"/>
      <c r="H154" s="1"/>
      <c r="I154" s="1"/>
      <c r="J154" s="1"/>
      <c r="K154" s="1"/>
      <c r="L154" s="1"/>
      <c r="M154" s="1"/>
      <c r="N154" s="1" t="s">
        <v>459</v>
      </c>
    </row>
    <row r="155">
      <c r="A155" s="6" t="s">
        <v>462</v>
      </c>
      <c r="B155" s="1"/>
      <c r="C155" s="1"/>
      <c r="D155" s="1"/>
      <c r="E155" s="1"/>
      <c r="F155" s="14">
        <f>SUM(F104:H104)-F21</f>
        <v>0</v>
      </c>
      <c r="G155" s="1"/>
      <c r="H155" s="1"/>
      <c r="I155" s="1"/>
      <c r="J155" s="1"/>
      <c r="K155" s="1"/>
      <c r="L155" s="1"/>
      <c r="M155" s="1"/>
      <c r="N155" s="1"/>
    </row>
    <row r="156">
      <c r="A156" s="6" t="s">
        <v>463</v>
      </c>
      <c r="B156" s="14">
        <f>MAX(0,ABS(SUM(B104:D104)-E21)-5)</f>
        <v>0</v>
      </c>
      <c r="C156" s="1"/>
      <c r="D156" s="1"/>
      <c r="E156" s="1"/>
      <c r="F156" s="1"/>
      <c r="G156" s="1"/>
      <c r="H156" s="1"/>
      <c r="I156" s="1"/>
      <c r="J156" s="1"/>
      <c r="K156" s="1"/>
      <c r="L156" s="1"/>
      <c r="M156" s="1"/>
      <c r="N156" s="1" t="s">
        <v>459</v>
      </c>
    </row>
    <row r="157">
      <c r="A157" s="6" t="s">
        <v>464</v>
      </c>
      <c r="B157" s="1"/>
      <c r="C157" s="1"/>
      <c r="D157" s="1"/>
      <c r="E157" s="1"/>
      <c r="F157" s="14">
        <f>SUM(F112:H112)-F59</f>
        <v>0</v>
      </c>
      <c r="G157" s="1"/>
      <c r="H157" s="1"/>
      <c r="I157" s="1"/>
      <c r="J157" s="1"/>
      <c r="K157" s="1"/>
      <c r="L157" s="1"/>
      <c r="M157" s="1"/>
      <c r="N157" s="1"/>
    </row>
    <row r="158">
      <c r="A158" s="6" t="s">
        <v>465</v>
      </c>
      <c r="B158" s="14">
        <f>MAX(0,ABS(SUM(B112:D112)-E59)-5)</f>
        <v>0</v>
      </c>
      <c r="C158" s="1"/>
      <c r="D158" s="1"/>
      <c r="E158" s="1"/>
      <c r="F158" s="1"/>
      <c r="G158" s="1"/>
      <c r="H158" s="1"/>
      <c r="I158" s="1"/>
      <c r="J158" s="1"/>
      <c r="K158" s="1"/>
      <c r="L158" s="1"/>
      <c r="M158" s="1"/>
      <c r="N158" s="1" t="s">
        <v>459</v>
      </c>
    </row>
    <row r="159">
      <c r="A159" s="6" t="s">
        <v>466</v>
      </c>
      <c r="B159" s="1"/>
      <c r="C159" s="1"/>
      <c r="D159" s="1"/>
      <c r="E159" s="1"/>
      <c r="F159" s="14">
        <f>SUM(F113:H113)-F60</f>
        <v>0</v>
      </c>
      <c r="G159" s="1"/>
      <c r="H159" s="1"/>
      <c r="I159" s="1"/>
      <c r="J159" s="1"/>
      <c r="K159" s="1"/>
      <c r="L159" s="1"/>
      <c r="M159" s="1"/>
      <c r="N159" s="1"/>
    </row>
    <row r="160">
      <c r="A160" s="6" t="s">
        <v>467</v>
      </c>
      <c r="B160" s="14">
        <f>MAX(0,ABS(SUM(B113:D113)-E60)-5)</f>
        <v>0</v>
      </c>
      <c r="C160" s="1"/>
      <c r="D160" s="1"/>
      <c r="E160" s="1"/>
      <c r="F160" s="1"/>
      <c r="G160" s="1"/>
      <c r="H160" s="1"/>
      <c r="I160" s="1"/>
      <c r="J160" s="1"/>
      <c r="K160" s="1"/>
      <c r="L160" s="1"/>
      <c r="M160" s="1"/>
      <c r="N160" s="1" t="s">
        <v>459</v>
      </c>
    </row>
    <row r="161">
      <c r="A161" s="6" t="s">
        <v>468</v>
      </c>
      <c r="B161" s="1"/>
      <c r="C161" s="1"/>
      <c r="D161" s="1"/>
      <c r="E161" s="1"/>
      <c r="F161" s="14">
        <f>SUM(F114:H114)-F61</f>
        <v>0</v>
      </c>
      <c r="G161" s="1"/>
      <c r="H161" s="1"/>
      <c r="I161" s="1"/>
      <c r="J161" s="1"/>
      <c r="K161" s="1"/>
      <c r="L161" s="1"/>
      <c r="M161" s="1"/>
      <c r="N161" s="1"/>
    </row>
    <row r="162">
      <c r="A162" s="6" t="s">
        <v>469</v>
      </c>
      <c r="B162" s="14">
        <f>MAX(0,ABS(SUM(B114:D114)-E61)-5)</f>
        <v>0</v>
      </c>
      <c r="C162" s="1"/>
      <c r="D162" s="1"/>
      <c r="E162" s="1"/>
      <c r="F162" s="1"/>
      <c r="G162" s="1"/>
      <c r="H162" s="1"/>
      <c r="I162" s="1"/>
      <c r="J162" s="1"/>
      <c r="K162" s="1"/>
      <c r="L162" s="1"/>
      <c r="M162" s="1"/>
      <c r="N162" s="1" t="s">
        <v>459</v>
      </c>
    </row>
    <row r="163">
      <c r="A163" s="6" t="s">
        <v>470</v>
      </c>
      <c r="B163" s="1"/>
      <c r="C163" s="1"/>
      <c r="D163" s="1"/>
      <c r="E163" s="1"/>
      <c r="F163" s="14">
        <f>SUM(F107:H107)-F54</f>
        <v>0</v>
      </c>
      <c r="G163" s="1"/>
      <c r="H163" s="1"/>
      <c r="I163" s="1"/>
      <c r="J163" s="1"/>
      <c r="K163" s="1"/>
      <c r="L163" s="1"/>
      <c r="M163" s="1"/>
      <c r="N163" s="1"/>
    </row>
    <row r="164">
      <c r="A164" s="6" t="s">
        <v>471</v>
      </c>
      <c r="B164" s="14">
        <f>MAX(0,ABS(SUM(B107:D107)-E54)-5)</f>
        <v>0</v>
      </c>
      <c r="C164" s="1"/>
      <c r="D164" s="1"/>
      <c r="E164" s="1"/>
      <c r="F164" s="1"/>
      <c r="G164" s="1"/>
      <c r="H164" s="1"/>
      <c r="I164" s="1"/>
      <c r="J164" s="1"/>
      <c r="K164" s="1"/>
      <c r="L164" s="1"/>
      <c r="M164" s="1"/>
      <c r="N164" s="1" t="s">
        <v>459</v>
      </c>
    </row>
    <row r="165">
      <c r="A165" s="6" t="s">
        <v>472</v>
      </c>
      <c r="B165" s="1"/>
      <c r="C165" s="1"/>
      <c r="D165" s="1"/>
      <c r="E165" s="1"/>
      <c r="F165" s="14">
        <f>SUM(F108:H108)-F55</f>
        <v>0</v>
      </c>
      <c r="G165" s="1"/>
      <c r="H165" s="1"/>
      <c r="I165" s="1"/>
      <c r="J165" s="1"/>
      <c r="K165" s="1"/>
      <c r="L165" s="1"/>
      <c r="M165" s="1"/>
      <c r="N165" s="1"/>
    </row>
    <row r="166">
      <c r="A166" s="6" t="s">
        <v>473</v>
      </c>
      <c r="B166" s="14">
        <f>MAX(0,ABS(SUM(B108:D108)-E55)-5)</f>
        <v>0</v>
      </c>
      <c r="C166" s="1"/>
      <c r="D166" s="1"/>
      <c r="E166" s="1"/>
      <c r="F166" s="1"/>
      <c r="G166" s="1"/>
      <c r="H166" s="1"/>
      <c r="I166" s="1"/>
      <c r="J166" s="1"/>
      <c r="K166" s="1"/>
      <c r="L166" s="1"/>
      <c r="M166" s="1"/>
      <c r="N166" s="1" t="s">
        <v>459</v>
      </c>
    </row>
    <row r="167">
      <c r="A167" s="6" t="s">
        <v>474</v>
      </c>
      <c r="B167" s="1"/>
      <c r="C167" s="1"/>
      <c r="D167" s="1"/>
      <c r="E167" s="1"/>
      <c r="F167" s="14">
        <f>SUM(F109:H109)-F56</f>
        <v>0</v>
      </c>
      <c r="G167" s="1"/>
      <c r="H167" s="1"/>
      <c r="I167" s="1"/>
      <c r="J167" s="1"/>
      <c r="K167" s="1"/>
      <c r="L167" s="1"/>
      <c r="M167" s="1"/>
      <c r="N167" s="1"/>
    </row>
    <row r="168">
      <c r="A168" s="6" t="s">
        <v>475</v>
      </c>
      <c r="B168" s="14">
        <f>MAX(0,ABS(SUM(B109:D109)-E56)-5)</f>
        <v>0</v>
      </c>
      <c r="C168" s="1"/>
      <c r="D168" s="1"/>
      <c r="E168" s="1"/>
      <c r="F168" s="1"/>
      <c r="G168" s="1"/>
      <c r="H168" s="1"/>
      <c r="I168" s="1"/>
      <c r="J168" s="1"/>
      <c r="K168" s="1"/>
      <c r="L168" s="1"/>
      <c r="M168" s="1"/>
      <c r="N168" s="1" t="s">
        <v>459</v>
      </c>
    </row>
    <row r="169">
      <c r="A169" s="6" t="s">
        <v>476</v>
      </c>
      <c r="B169" s="8">
        <f>SUM(B102:D102)-E19</f>
        <v>1</v>
      </c>
      <c r="C169" s="8">
        <f>SUM(B103:D103)-E20</f>
        <v>-1</v>
      </c>
      <c r="D169" s="8">
        <f>SUM(B104:D104)-E21</f>
        <v>0</v>
      </c>
      <c r="E169" s="1"/>
      <c r="F169" s="1"/>
      <c r="G169" s="1"/>
      <c r="H169" s="1"/>
      <c r="I169" s="1"/>
      <c r="J169" s="1"/>
      <c r="K169" s="1"/>
      <c r="L169" s="1"/>
      <c r="M169" s="1"/>
      <c r="N169" s="1" t="s">
        <v>477</v>
      </c>
    </row>
    <row r="170">
      <c r="A170" s="6" t="s">
        <v>478</v>
      </c>
      <c r="B170" s="8">
        <f>SUM(B112:D112)-E59</f>
        <v>0</v>
      </c>
      <c r="C170" s="8">
        <f>SUM(B113:D113)-E60</f>
        <v>0</v>
      </c>
      <c r="D170" s="8">
        <f>SUM(B114:D114)-E61</f>
        <v>-1</v>
      </c>
      <c r="E170" s="1"/>
      <c r="F170" s="1"/>
      <c r="G170" s="1"/>
      <c r="H170" s="1"/>
      <c r="I170" s="1"/>
      <c r="J170" s="1"/>
      <c r="K170" s="1"/>
      <c r="L170" s="1"/>
      <c r="M170" s="1"/>
      <c r="N170" s="1" t="s">
        <v>477</v>
      </c>
    </row>
    <row r="171">
      <c r="A171" s="6" t="s">
        <v>479</v>
      </c>
      <c r="B171" s="8">
        <f>SUM(B107:D107)-E54</f>
        <v>2</v>
      </c>
      <c r="C171" s="8">
        <f>SUM(B108:D108)-E55</f>
        <v>1</v>
      </c>
      <c r="D171" s="8">
        <f>SUM(B109:D109)-E56</f>
        <v>-3</v>
      </c>
      <c r="E171" s="1"/>
      <c r="F171" s="1"/>
      <c r="G171" s="1"/>
      <c r="H171" s="1"/>
      <c r="I171" s="1"/>
      <c r="J171" s="1"/>
      <c r="K171" s="1"/>
      <c r="L171" s="1"/>
      <c r="M171" s="1"/>
      <c r="N171" s="1" t="s">
        <v>477</v>
      </c>
    </row>
  </sheetData>
</worksheet>
</file>

<file path=xl/worksheets/sheet9.xml><?xml version="1.0" encoding="utf-8"?>
<worksheet xmlns="http://schemas.openxmlformats.org/spreadsheetml/2006/main" xmlns:r="http://schemas.openxmlformats.org/officeDocument/2006/relationships">
  <sheetPr>
    <tabColor rgb="FF6A7689"/>
  </sheetPr>
  <dimension ref="A1:E67"/>
  <sheetViews>
    <sheetView showGridLines="0" workbookViewId="0"/>
  </sheetViews>
  <sheetFormatPr defaultColWidth="8.375" defaultRowHeight="15"/>
  <cols>
    <col min="1" max="1" width="99.375" customWidth="1"/>
    <col min="2" max="3" width="15.20703125" customWidth="1"/>
    <col min="4" max="4" width="17.70703125" customWidth="1"/>
    <col min="5" max="5" width="106.0390625" customWidth="1"/>
  </cols>
  <sheetData>
    <row r="1">
      <c r="A1" s="56" t="s">
        <v>480</v>
      </c>
      <c r="B1" s="1"/>
      <c r="C1" s="1"/>
      <c r="D1" s="1"/>
      <c r="E1" s="1"/>
    </row>
    <row r="2">
      <c r="A2" s="1" t="s">
        <v>481</v>
      </c>
      <c r="B2" s="1"/>
      <c r="C2" s="1"/>
      <c r="D2" s="1"/>
      <c r="E2" s="1"/>
    </row>
    <row r="3">
      <c r="A3" s="1"/>
      <c r="B3" s="1"/>
      <c r="C3" s="1"/>
      <c r="D3" s="1"/>
      <c r="E3" s="1"/>
    </row>
    <row r="4">
      <c r="A4" s="4" t="s">
        <v>482</v>
      </c>
      <c r="B4" s="11" t="s">
        <v>15</v>
      </c>
      <c r="C4" s="11" t="s">
        <v>483</v>
      </c>
      <c r="D4" s="40" t="s">
        <v>87</v>
      </c>
      <c r="E4" s="40" t="s">
        <v>88</v>
      </c>
    </row>
    <row r="5">
      <c r="A5" s="1"/>
      <c r="B5" s="1"/>
      <c r="C5" s="1"/>
      <c r="D5" s="1"/>
      <c r="E5" s="1"/>
    </row>
    <row r="6">
      <c r="A6" s="16" t="s">
        <v>484</v>
      </c>
      <c r="B6" s="1"/>
      <c r="C6" s="1"/>
      <c r="D6" s="1"/>
      <c r="E6" s="1"/>
    </row>
    <row r="7">
      <c r="A7" s="6" t="s">
        <v>163</v>
      </c>
      <c r="B7" s="81">
        <v>8246.541218</v>
      </c>
      <c r="C7" s="1"/>
      <c r="D7" s="1"/>
      <c r="E7" s="1" t="s">
        <v>485</v>
      </c>
    </row>
    <row r="8">
      <c r="A8" s="6" t="s">
        <v>486</v>
      </c>
      <c r="B8" s="81">
        <v>5334.522491</v>
      </c>
      <c r="C8" s="1"/>
      <c r="D8" s="1"/>
      <c r="E8" s="1" t="s">
        <v>485</v>
      </c>
    </row>
    <row r="9">
      <c r="A9" s="36" t="s">
        <v>487</v>
      </c>
      <c r="B9" s="102">
        <f>B7+B8</f>
        <v>13581.063709</v>
      </c>
      <c r="C9" s="1"/>
      <c r="D9" s="1"/>
      <c r="E9" s="1"/>
    </row>
    <row r="10">
      <c r="A10" s="6" t="s">
        <v>488</v>
      </c>
      <c r="B10" s="5">
        <v>8240</v>
      </c>
      <c r="C10" s="1"/>
      <c r="D10" s="1"/>
      <c r="E10" s="1" t="s">
        <v>179</v>
      </c>
    </row>
    <row r="11">
      <c r="A11" s="6" t="s">
        <v>489</v>
      </c>
      <c r="B11" s="5">
        <v>5339</v>
      </c>
      <c r="C11" s="1"/>
      <c r="D11" s="1"/>
      <c r="E11" s="1" t="s">
        <v>179</v>
      </c>
    </row>
    <row r="12">
      <c r="A12" s="1"/>
      <c r="B12" s="1"/>
      <c r="C12" s="1"/>
      <c r="D12" s="1"/>
      <c r="E12" s="1"/>
    </row>
    <row r="13">
      <c r="A13" s="16" t="s">
        <v>490</v>
      </c>
      <c r="B13" s="1"/>
      <c r="C13" s="1"/>
      <c r="D13" s="1"/>
      <c r="E13" s="1"/>
    </row>
    <row r="14">
      <c r="A14" s="6" t="s">
        <v>491</v>
      </c>
      <c r="B14" s="81">
        <v>1000</v>
      </c>
      <c r="C14" s="1"/>
      <c r="D14" s="1"/>
      <c r="E14" s="1" t="s">
        <v>492</v>
      </c>
    </row>
    <row r="15">
      <c r="A15" s="6" t="s">
        <v>493</v>
      </c>
      <c r="B15" s="81">
        <v>302.072285</v>
      </c>
      <c r="C15" s="1"/>
      <c r="D15" s="1"/>
      <c r="E15" s="1" t="s">
        <v>494</v>
      </c>
    </row>
    <row r="16">
      <c r="A16" s="36" t="s">
        <v>495</v>
      </c>
      <c r="B16" s="102">
        <f>B14+B15</f>
        <v>1302.072285</v>
      </c>
      <c r="C16" s="1"/>
      <c r="D16" s="1"/>
      <c r="E16" s="1" t="s">
        <v>496</v>
      </c>
    </row>
    <row r="17">
      <c r="A17" s="6" t="s">
        <v>497</v>
      </c>
      <c r="B17" s="52">
        <f>B9*C61/1000</f>
        <v>2017.87444588322</v>
      </c>
      <c r="C17" s="1"/>
      <c r="D17" s="1"/>
      <c r="E17" s="1" t="s">
        <v>498</v>
      </c>
    </row>
    <row r="18">
      <c r="A18" s="4" t="s">
        <v>499</v>
      </c>
      <c r="B18" s="11" t="s">
        <v>500</v>
      </c>
      <c r="C18" s="11" t="s">
        <v>501</v>
      </c>
      <c r="D18" s="11" t="s">
        <v>502</v>
      </c>
      <c r="E18" s="1" t="s">
        <v>503</v>
      </c>
    </row>
    <row r="19">
      <c r="A19" s="6" t="s">
        <v>504</v>
      </c>
      <c r="B19" s="45">
        <v>66.666665</v>
      </c>
      <c r="C19" s="5">
        <v>500</v>
      </c>
      <c r="D19" s="80">
        <f>IF($B$17&gt;=C19,1,0)</f>
        <v>1</v>
      </c>
      <c r="E19" s="1" t="s">
        <v>505</v>
      </c>
    </row>
    <row r="20">
      <c r="A20" s="6" t="s">
        <v>506</v>
      </c>
      <c r="B20" s="45">
        <v>66.666665</v>
      </c>
      <c r="C20" s="5">
        <v>1000</v>
      </c>
      <c r="D20" s="80">
        <f>IF($B$17&gt;=C20,1,0)</f>
        <v>1</v>
      </c>
      <c r="E20" s="1" t="s">
        <v>505</v>
      </c>
    </row>
    <row r="21">
      <c r="A21" s="6" t="s">
        <v>507</v>
      </c>
      <c r="B21" s="45">
        <v>66.666665</v>
      </c>
      <c r="C21" s="5">
        <v>1500</v>
      </c>
      <c r="D21" s="80">
        <f>IF($B$17&gt;=C21,1,0)</f>
        <v>1</v>
      </c>
      <c r="E21" s="1" t="s">
        <v>505</v>
      </c>
    </row>
    <row r="22">
      <c r="A22" s="6" t="s">
        <v>508</v>
      </c>
      <c r="B22" s="45">
        <v>66.666665</v>
      </c>
      <c r="C22" s="5">
        <v>2000</v>
      </c>
      <c r="D22" s="80">
        <f>IF($B$17&gt;=C22,1,0)</f>
        <v>1</v>
      </c>
      <c r="E22" s="1" t="s">
        <v>505</v>
      </c>
    </row>
    <row r="23">
      <c r="A23" s="6" t="s">
        <v>509</v>
      </c>
      <c r="B23" s="45">
        <v>66.666665</v>
      </c>
      <c r="C23" s="5">
        <v>2500</v>
      </c>
      <c r="D23" s="80">
        <f>IF($B$17&gt;=C23,1,0)</f>
        <v>0</v>
      </c>
      <c r="E23" s="1" t="s">
        <v>505</v>
      </c>
    </row>
    <row r="24">
      <c r="A24" s="6" t="s">
        <v>510</v>
      </c>
      <c r="B24" s="45">
        <v>66.666665</v>
      </c>
      <c r="C24" s="5">
        <v>3000</v>
      </c>
      <c r="D24" s="80">
        <f>IF($B$17&gt;=C24,1,0)</f>
        <v>0</v>
      </c>
      <c r="E24" s="1" t="s">
        <v>505</v>
      </c>
    </row>
    <row r="25">
      <c r="A25" s="6" t="s">
        <v>511</v>
      </c>
      <c r="B25" s="45">
        <v>66.666665</v>
      </c>
      <c r="C25" s="5">
        <v>3500</v>
      </c>
      <c r="D25" s="80">
        <f>IF($B$17&gt;=C25,1,0)</f>
        <v>0</v>
      </c>
      <c r="E25" s="1" t="s">
        <v>505</v>
      </c>
    </row>
    <row r="26">
      <c r="A26" s="6" t="s">
        <v>512</v>
      </c>
      <c r="B26" s="45">
        <v>66.666665</v>
      </c>
      <c r="C26" s="5">
        <v>4000</v>
      </c>
      <c r="D26" s="80">
        <f>IF($B$17&gt;=C26,1,0)</f>
        <v>0</v>
      </c>
      <c r="E26" s="1" t="s">
        <v>505</v>
      </c>
    </row>
    <row r="27">
      <c r="A27" s="6" t="s">
        <v>513</v>
      </c>
      <c r="B27" s="45">
        <v>66.666665</v>
      </c>
      <c r="C27" s="5">
        <v>4500</v>
      </c>
      <c r="D27" s="80">
        <f>IF($B$17&gt;=C27,1,0)</f>
        <v>0</v>
      </c>
      <c r="E27" s="1" t="s">
        <v>505</v>
      </c>
    </row>
    <row r="28">
      <c r="A28" s="6" t="s">
        <v>514</v>
      </c>
      <c r="B28" s="45">
        <v>66.666665</v>
      </c>
      <c r="C28" s="5">
        <v>5000</v>
      </c>
      <c r="D28" s="80">
        <f>IF($B$17&gt;=C28,1,0)</f>
        <v>0</v>
      </c>
      <c r="E28" s="1" t="s">
        <v>505</v>
      </c>
    </row>
    <row r="29">
      <c r="A29" s="6" t="s">
        <v>515</v>
      </c>
      <c r="B29" s="45">
        <v>66.66667</v>
      </c>
      <c r="C29" s="5">
        <v>5500</v>
      </c>
      <c r="D29" s="80">
        <f>IF($B$17&gt;=C29,1,0)</f>
        <v>0</v>
      </c>
      <c r="E29" s="1" t="s">
        <v>505</v>
      </c>
    </row>
    <row r="30">
      <c r="A30" s="6" t="s">
        <v>516</v>
      </c>
      <c r="B30" s="45">
        <v>66.66667</v>
      </c>
      <c r="C30" s="5">
        <v>6000</v>
      </c>
      <c r="D30" s="80">
        <f>IF($B$17&gt;=C30,1,0)</f>
        <v>0</v>
      </c>
      <c r="E30" s="1" t="s">
        <v>505</v>
      </c>
    </row>
    <row r="31">
      <c r="A31" s="6" t="s">
        <v>517</v>
      </c>
      <c r="B31" s="45">
        <v>66.66667</v>
      </c>
      <c r="C31" s="5">
        <v>6500</v>
      </c>
      <c r="D31" s="80">
        <f>IF($B$17&gt;=C31,1,0)</f>
        <v>0</v>
      </c>
      <c r="E31" s="1" t="s">
        <v>505</v>
      </c>
    </row>
    <row r="32">
      <c r="A32" s="6" t="s">
        <v>518</v>
      </c>
      <c r="B32" s="45">
        <v>66.66667</v>
      </c>
      <c r="C32" s="5">
        <v>7000</v>
      </c>
      <c r="D32" s="80">
        <f>IF($B$17&gt;=C32,1,0)</f>
        <v>0</v>
      </c>
      <c r="E32" s="1" t="s">
        <v>505</v>
      </c>
    </row>
    <row r="33">
      <c r="A33" s="6" t="s">
        <v>519</v>
      </c>
      <c r="B33" s="45">
        <v>66.66667</v>
      </c>
      <c r="C33" s="5">
        <v>7500</v>
      </c>
      <c r="D33" s="80">
        <f>IF($B$17&gt;=C33,1,0)</f>
        <v>0</v>
      </c>
      <c r="E33" s="1" t="s">
        <v>505</v>
      </c>
    </row>
    <row r="34">
      <c r="A34" s="6" t="s">
        <v>520</v>
      </c>
      <c r="B34" s="39">
        <f>$B$15/12</f>
        <v>25.17269041666667</v>
      </c>
      <c r="C34" s="5">
        <v>1065</v>
      </c>
      <c r="D34" s="80">
        <f>IF($B$17&gt;=C34,1,0)</f>
        <v>1</v>
      </c>
      <c r="E34" s="1" t="s">
        <v>521</v>
      </c>
    </row>
    <row r="35">
      <c r="A35" s="6" t="s">
        <v>522</v>
      </c>
      <c r="B35" s="39">
        <f>$B$15/12</f>
        <v>25.17269041666667</v>
      </c>
      <c r="C35" s="5">
        <v>1565</v>
      </c>
      <c r="D35" s="80">
        <f>IF($B$17&gt;=C35,1,0)</f>
        <v>1</v>
      </c>
      <c r="E35" s="1" t="s">
        <v>521</v>
      </c>
    </row>
    <row r="36">
      <c r="A36" s="6" t="s">
        <v>523</v>
      </c>
      <c r="B36" s="39">
        <f>$B$15/12</f>
        <v>25.17269041666667</v>
      </c>
      <c r="C36" s="5">
        <v>2065</v>
      </c>
      <c r="D36" s="80">
        <f>IF($B$17&gt;=C36,1,0)</f>
        <v>0</v>
      </c>
      <c r="E36" s="1" t="s">
        <v>521</v>
      </c>
    </row>
    <row r="37">
      <c r="A37" s="6" t="s">
        <v>524</v>
      </c>
      <c r="B37" s="39">
        <f>$B$15/12</f>
        <v>25.17269041666667</v>
      </c>
      <c r="C37" s="5">
        <v>2565</v>
      </c>
      <c r="D37" s="80">
        <f>IF($B$17&gt;=C37,1,0)</f>
        <v>0</v>
      </c>
      <c r="E37" s="1" t="s">
        <v>521</v>
      </c>
    </row>
    <row r="38">
      <c r="A38" s="6" t="s">
        <v>525</v>
      </c>
      <c r="B38" s="39">
        <f>$B$15/12</f>
        <v>25.17269041666667</v>
      </c>
      <c r="C38" s="5">
        <v>3065</v>
      </c>
      <c r="D38" s="80">
        <f>IF($B$17&gt;=C38,1,0)</f>
        <v>0</v>
      </c>
      <c r="E38" s="1" t="s">
        <v>521</v>
      </c>
    </row>
    <row r="39">
      <c r="A39" s="6" t="s">
        <v>526</v>
      </c>
      <c r="B39" s="39">
        <f>$B$15/12</f>
        <v>25.17269041666667</v>
      </c>
      <c r="C39" s="5">
        <v>3565</v>
      </c>
      <c r="D39" s="80">
        <f>IF($B$17&gt;=C39,1,0)</f>
        <v>0</v>
      </c>
      <c r="E39" s="1" t="s">
        <v>521</v>
      </c>
    </row>
    <row r="40">
      <c r="A40" s="6" t="s">
        <v>527</v>
      </c>
      <c r="B40" s="39">
        <f>$B$15/12</f>
        <v>25.17269041666667</v>
      </c>
      <c r="C40" s="5">
        <v>4065</v>
      </c>
      <c r="D40" s="80">
        <f>IF($B$17&gt;=C40,1,0)</f>
        <v>0</v>
      </c>
      <c r="E40" s="1" t="s">
        <v>521</v>
      </c>
    </row>
    <row r="41">
      <c r="A41" s="6" t="s">
        <v>528</v>
      </c>
      <c r="B41" s="39">
        <f>$B$15/12</f>
        <v>25.17269041666667</v>
      </c>
      <c r="C41" s="5">
        <v>4565</v>
      </c>
      <c r="D41" s="80">
        <f>IF($B$17&gt;=C41,1,0)</f>
        <v>0</v>
      </c>
      <c r="E41" s="1" t="s">
        <v>521</v>
      </c>
    </row>
    <row r="42">
      <c r="A42" s="6" t="s">
        <v>529</v>
      </c>
      <c r="B42" s="39">
        <f>$B$15/12</f>
        <v>25.17269041666667</v>
      </c>
      <c r="C42" s="5">
        <v>5065</v>
      </c>
      <c r="D42" s="80">
        <f>IF($B$17&gt;=C42,1,0)</f>
        <v>0</v>
      </c>
      <c r="E42" s="1" t="s">
        <v>521</v>
      </c>
    </row>
    <row r="43">
      <c r="A43" s="6" t="s">
        <v>530</v>
      </c>
      <c r="B43" s="39">
        <f>$B$15/12</f>
        <v>25.17269041666667</v>
      </c>
      <c r="C43" s="5">
        <v>5565</v>
      </c>
      <c r="D43" s="80">
        <f>IF($B$17&gt;=C43,1,0)</f>
        <v>0</v>
      </c>
      <c r="E43" s="1" t="s">
        <v>521</v>
      </c>
    </row>
    <row r="44">
      <c r="A44" s="6" t="s">
        <v>531</v>
      </c>
      <c r="B44" s="39">
        <f>$B$15/12</f>
        <v>25.17269041666667</v>
      </c>
      <c r="C44" s="5">
        <v>6065</v>
      </c>
      <c r="D44" s="80">
        <f>IF($B$17&gt;=C44,1,0)</f>
        <v>0</v>
      </c>
      <c r="E44" s="1" t="s">
        <v>521</v>
      </c>
    </row>
    <row r="45">
      <c r="A45" s="6" t="s">
        <v>532</v>
      </c>
      <c r="B45" s="39">
        <f>$B$15/12</f>
        <v>25.17269041666667</v>
      </c>
      <c r="C45" s="5">
        <v>6565</v>
      </c>
      <c r="D45" s="80">
        <f>IF($B$17&gt;=C45,1,0)</f>
        <v>0</v>
      </c>
      <c r="E45" s="1" t="s">
        <v>521</v>
      </c>
    </row>
    <row r="46">
      <c r="A46" s="6" t="s">
        <v>533</v>
      </c>
      <c r="B46" s="52">
        <f>SUMPRODUCT(B19:B45,D19:D45)</f>
        <v>317.01204083333334</v>
      </c>
      <c r="C46" s="1"/>
      <c r="D46" s="1"/>
      <c r="E46" s="1" t="s">
        <v>534</v>
      </c>
    </row>
    <row r="47">
      <c r="A47" s="6" t="s">
        <v>535</v>
      </c>
      <c r="B47" s="101">
        <v>1</v>
      </c>
      <c r="C47" s="1"/>
      <c r="D47" s="1"/>
      <c r="E47" s="1" t="s">
        <v>536</v>
      </c>
    </row>
    <row r="48">
      <c r="A48" s="1"/>
      <c r="B48" s="1"/>
      <c r="C48" s="1"/>
      <c r="D48" s="1"/>
      <c r="E48" s="1"/>
    </row>
    <row r="49">
      <c r="A49" s="16" t="s">
        <v>537</v>
      </c>
      <c r="B49" s="1"/>
      <c r="C49" s="1"/>
      <c r="D49" s="1"/>
      <c r="E49" s="1"/>
    </row>
    <row r="50">
      <c r="A50" s="6" t="s">
        <v>538</v>
      </c>
      <c r="B50" s="81">
        <v>158</v>
      </c>
      <c r="C50" s="2">
        <v>27.65</v>
      </c>
      <c r="D50" s="1"/>
      <c r="E50" s="1" t="s">
        <v>539</v>
      </c>
    </row>
    <row r="51">
      <c r="A51" s="6" t="s">
        <v>540</v>
      </c>
      <c r="B51" s="81">
        <v>350</v>
      </c>
      <c r="C51" s="2">
        <v>8.22</v>
      </c>
      <c r="D51" s="1"/>
      <c r="E51" s="1" t="s">
        <v>541</v>
      </c>
    </row>
    <row r="52">
      <c r="A52" s="6" t="s">
        <v>542</v>
      </c>
      <c r="B52" s="52">
        <f>MAX(0,B50*(1-C50/C61))</f>
        <v>128.59698478933907</v>
      </c>
      <c r="C52" s="1"/>
      <c r="D52" s="1"/>
      <c r="E52" s="1" t="s">
        <v>543</v>
      </c>
    </row>
    <row r="53">
      <c r="A53" s="6" t="s">
        <v>544</v>
      </c>
      <c r="B53" s="52">
        <f>MAX(0,B51*(1-C51/C61))</f>
        <v>330.6366940368825</v>
      </c>
      <c r="C53" s="1"/>
      <c r="D53" s="1"/>
      <c r="E53" s="1"/>
    </row>
    <row r="54">
      <c r="A54" s="6" t="s">
        <v>545</v>
      </c>
      <c r="B54" s="81">
        <v>142</v>
      </c>
      <c r="C54" s="1"/>
      <c r="D54" s="1"/>
      <c r="E54" s="1" t="s">
        <v>546</v>
      </c>
    </row>
    <row r="55">
      <c r="A55" s="6" t="s">
        <v>547</v>
      </c>
      <c r="B55" s="48">
        <f>Assumptions!$C$37</f>
        <v>261.8</v>
      </c>
      <c r="C55" s="1"/>
      <c r="D55" s="1"/>
      <c r="E55" s="1" t="s">
        <v>548</v>
      </c>
    </row>
    <row r="56">
      <c r="A56" s="36" t="s">
        <v>549</v>
      </c>
      <c r="B56" s="96">
        <f>B9-B16*(1-B47)+B52+B53+B54+B55</f>
        <v>14444.097387826221</v>
      </c>
      <c r="C56" s="1"/>
      <c r="D56" s="1"/>
      <c r="E56" s="1" t="s">
        <v>550</v>
      </c>
    </row>
    <row r="57">
      <c r="A57" s="6" t="s">
        <v>551</v>
      </c>
      <c r="B57" s="52">
        <f>B56+B16*(1-2*B47)</f>
        <v>13142.025102826221</v>
      </c>
      <c r="C57" s="1"/>
      <c r="D57" s="1"/>
      <c r="E57" s="1"/>
    </row>
    <row r="58">
      <c r="A58" s="6" t="s">
        <v>552</v>
      </c>
      <c r="B58" s="5">
        <v>12475</v>
      </c>
      <c r="C58" s="1"/>
      <c r="D58" s="1"/>
      <c r="E58" s="1" t="s">
        <v>553</v>
      </c>
    </row>
    <row r="59">
      <c r="A59" s="1"/>
      <c r="B59" s="1"/>
      <c r="C59" s="1"/>
      <c r="D59" s="1"/>
      <c r="E59" s="1"/>
    </row>
    <row r="60">
      <c r="A60" s="16" t="s">
        <v>554</v>
      </c>
      <c r="B60" s="1"/>
      <c r="C60" s="1"/>
      <c r="D60" s="1"/>
      <c r="E60" s="1"/>
    </row>
    <row r="61">
      <c r="A61" s="6" t="s">
        <v>555</v>
      </c>
      <c r="B61" s="1"/>
      <c r="C61" s="2">
        <v>148.58</v>
      </c>
      <c r="D61" s="1"/>
      <c r="E61" s="1" t="s">
        <v>556</v>
      </c>
    </row>
    <row r="62">
      <c r="A62" s="6" t="s">
        <v>557</v>
      </c>
      <c r="B62" s="8">
        <f>B56*C61</f>
        <v>2146103.9898832203</v>
      </c>
      <c r="C62" s="1"/>
      <c r="D62" s="1"/>
      <c r="E62" s="1"/>
    </row>
    <row r="63">
      <c r="A63" s="6" t="s">
        <v>558</v>
      </c>
      <c r="B63" s="8">
        <f>B9*C61</f>
        <v>2017874.44588322</v>
      </c>
      <c r="C63" s="1"/>
      <c r="D63" s="1"/>
      <c r="E63" s="1"/>
    </row>
    <row r="64">
      <c r="A64" s="6" t="s">
        <v>559</v>
      </c>
      <c r="B64" s="5">
        <v>2057923</v>
      </c>
      <c r="C64" s="1"/>
      <c r="D64" s="1"/>
      <c r="E64" s="1" t="s">
        <v>560</v>
      </c>
    </row>
    <row r="65">
      <c r="A65" s="1"/>
      <c r="B65" s="1"/>
      <c r="C65" s="1"/>
      <c r="D65" s="1"/>
      <c r="E65" s="1"/>
    </row>
    <row r="66">
      <c r="A66" s="16" t="s">
        <v>315</v>
      </c>
      <c r="B66" s="1"/>
      <c r="C66" s="1"/>
      <c r="D66" s="1"/>
      <c r="E66" s="1"/>
    </row>
    <row r="67">
      <c r="A67" s="6" t="s">
        <v>561</v>
      </c>
      <c r="B67" s="14">
        <f>B10+B11-SCE_Hist!D63</f>
        <v>0</v>
      </c>
      <c r="C67" s="1"/>
      <c r="D67" s="1"/>
      <c r="E67" s="1"/>
    </row>
  </sheetData>
</worksheet>
</file>

<file path=xl/worksheets/sheet10.xml><?xml version="1.0" encoding="utf-8"?>
<worksheet xmlns="http://schemas.openxmlformats.org/spreadsheetml/2006/main" xmlns:r="http://schemas.openxmlformats.org/officeDocument/2006/relationships">
  <sheetPr>
    <tabColor rgb="FF5A2331"/>
  </sheetPr>
  <dimension ref="A1:N154"/>
  <sheetViews>
    <sheetView showGridLines="0" workbookViewId="0"/>
  </sheetViews>
  <sheetFormatPr defaultColWidth="8.375" defaultRowHeight="15"/>
  <cols>
    <col min="1" max="1" width="92.70703125" customWidth="1"/>
    <col min="2" max="12" width="11.375" customWidth="1"/>
    <col min="13" max="13" width="17.70703125" customWidth="1"/>
    <col min="14" max="14" width="116.0390625" customWidth="1"/>
  </cols>
  <sheetData>
    <row r="1">
      <c r="A1" s="56" t="s">
        <v>562</v>
      </c>
      <c r="B1" s="1"/>
      <c r="C1" s="1"/>
      <c r="D1" s="1"/>
      <c r="E1" s="1"/>
      <c r="F1" s="1"/>
      <c r="G1" s="1"/>
      <c r="H1" s="1"/>
      <c r="I1" s="1"/>
      <c r="J1" s="1"/>
      <c r="K1" s="1"/>
      <c r="L1" s="1"/>
      <c r="M1" s="1"/>
      <c r="N1" s="1"/>
    </row>
    <row r="2">
      <c r="A2" s="1" t="s">
        <v>563</v>
      </c>
      <c r="B2" s="1"/>
      <c r="C2" s="1"/>
      <c r="D2" s="1"/>
      <c r="E2" s="1"/>
      <c r="F2" s="1"/>
      <c r="G2" s="1"/>
      <c r="H2" s="1"/>
      <c r="I2" s="1"/>
      <c r="J2" s="1"/>
      <c r="K2" s="1"/>
      <c r="L2" s="1"/>
      <c r="M2" s="1"/>
      <c r="N2" s="1"/>
    </row>
    <row r="3">
      <c r="A3" s="1"/>
      <c r="B3" s="1" t="s">
        <v>564</v>
      </c>
      <c r="C3" s="47" t="s">
        <v>565</v>
      </c>
      <c r="D3" s="1"/>
      <c r="E3" s="1"/>
      <c r="F3" s="1"/>
      <c r="G3" s="1"/>
      <c r="H3" s="1"/>
      <c r="I3" s="1"/>
      <c r="J3" s="1"/>
      <c r="K3" s="1"/>
      <c r="L3" s="1"/>
      <c r="M3" s="1"/>
      <c r="N3" s="1"/>
    </row>
    <row r="4">
      <c r="A4" s="4" t="s">
        <v>81</v>
      </c>
      <c r="B4" s="11" t="s">
        <v>566</v>
      </c>
      <c r="C4" s="107" t="s">
        <v>567</v>
      </c>
      <c r="D4" s="30" t="s">
        <v>568</v>
      </c>
      <c r="E4" s="30" t="s">
        <v>569</v>
      </c>
      <c r="F4" s="30" t="s">
        <v>570</v>
      </c>
      <c r="G4" s="30" t="s">
        <v>571</v>
      </c>
      <c r="H4" s="30" t="s">
        <v>572</v>
      </c>
      <c r="I4" s="30" t="s">
        <v>573</v>
      </c>
      <c r="J4" s="30" t="s">
        <v>574</v>
      </c>
      <c r="K4" s="30" t="s">
        <v>575</v>
      </c>
      <c r="L4" s="30" t="s">
        <v>576</v>
      </c>
      <c r="M4" s="40" t="s">
        <v>87</v>
      </c>
      <c r="N4" s="40" t="s">
        <v>88</v>
      </c>
    </row>
    <row r="5">
      <c r="A5" s="67" t="s">
        <v>577</v>
      </c>
      <c r="B5" s="41"/>
      <c r="C5" s="111">
        <v>1</v>
      </c>
      <c r="D5" s="1"/>
      <c r="E5" s="1"/>
      <c r="F5" s="1"/>
      <c r="G5" s="1"/>
      <c r="H5" s="1"/>
      <c r="I5" s="1"/>
      <c r="J5" s="1"/>
      <c r="K5" s="1"/>
      <c r="L5" s="1"/>
      <c r="M5" s="1"/>
      <c r="N5" s="1" t="s">
        <v>578</v>
      </c>
    </row>
    <row r="6">
      <c r="A6" s="67" t="s">
        <v>16</v>
      </c>
      <c r="B6" s="41"/>
      <c r="C6" s="112" t="str">
        <f>CHOOSE(C5,"Base","Bull","Bear")</f>
        <v>Base</v>
      </c>
      <c r="D6" s="1"/>
      <c r="E6" s="1"/>
      <c r="F6" s="1"/>
      <c r="G6" s="1"/>
      <c r="H6" s="1"/>
      <c r="I6" s="1"/>
      <c r="J6" s="1"/>
      <c r="K6" s="1"/>
      <c r="L6" s="1"/>
      <c r="M6" s="1"/>
      <c r="N6" s="1"/>
    </row>
    <row r="7">
      <c r="A7" s="1"/>
      <c r="B7" s="1"/>
      <c r="C7" s="47"/>
      <c r="D7" s="1"/>
      <c r="E7" s="1"/>
      <c r="F7" s="1"/>
      <c r="G7" s="1"/>
      <c r="H7" s="1"/>
      <c r="I7" s="1"/>
      <c r="J7" s="1"/>
      <c r="K7" s="1"/>
      <c r="L7" s="1"/>
      <c r="M7" s="1"/>
      <c r="N7" s="1"/>
    </row>
    <row r="8">
      <c r="A8" s="16" t="s">
        <v>579</v>
      </c>
      <c r="B8" s="1"/>
      <c r="C8" s="47"/>
      <c r="D8" s="1"/>
      <c r="E8" s="1"/>
      <c r="F8" s="1"/>
      <c r="G8" s="1"/>
      <c r="H8" s="1"/>
      <c r="I8" s="1"/>
      <c r="J8" s="1"/>
      <c r="K8" s="1"/>
      <c r="L8" s="1"/>
      <c r="M8" s="1"/>
      <c r="N8" s="1"/>
    </row>
    <row r="9">
      <c r="A9" s="1"/>
      <c r="B9" s="1"/>
      <c r="C9" s="113" t="s">
        <v>580</v>
      </c>
      <c r="D9" s="79" t="s">
        <v>581</v>
      </c>
      <c r="E9" s="79" t="s">
        <v>21</v>
      </c>
      <c r="F9" s="79" t="s">
        <v>22</v>
      </c>
      <c r="G9" s="1"/>
      <c r="H9" s="1"/>
      <c r="I9" s="1"/>
      <c r="J9" s="1"/>
      <c r="K9" s="1"/>
      <c r="L9" s="1"/>
      <c r="M9" s="1"/>
      <c r="N9" s="1"/>
    </row>
    <row r="10">
      <c r="A10" s="6" t="s">
        <v>582</v>
      </c>
      <c r="B10" s="1"/>
      <c r="C10" s="27">
        <f>CHOOSE($C$5,D10,E10,F10)</f>
        <v>15.2</v>
      </c>
      <c r="D10" s="3">
        <v>15.2</v>
      </c>
      <c r="E10" s="3">
        <v>15.5</v>
      </c>
      <c r="F10" s="3">
        <v>14.8</v>
      </c>
      <c r="G10" s="1"/>
      <c r="H10" s="1"/>
      <c r="I10" s="1"/>
      <c r="J10" s="1"/>
      <c r="K10" s="1"/>
      <c r="L10" s="1"/>
      <c r="M10" s="1"/>
      <c r="N10" s="1" t="s">
        <v>583</v>
      </c>
    </row>
    <row r="11">
      <c r="A11" s="6" t="s">
        <v>584</v>
      </c>
      <c r="B11" s="1"/>
      <c r="C11" s="17">
        <f>CHOOSE($C$5,D11,E11,F11)</f>
        <v>69</v>
      </c>
      <c r="D11" s="23">
        <v>69</v>
      </c>
      <c r="E11" s="23">
        <v>70</v>
      </c>
      <c r="F11" s="23">
        <v>67</v>
      </c>
      <c r="G11" s="1"/>
      <c r="H11" s="1"/>
      <c r="I11" s="1"/>
      <c r="J11" s="1"/>
      <c r="K11" s="1"/>
      <c r="L11" s="1"/>
      <c r="M11" s="1"/>
      <c r="N11" s="1" t="s">
        <v>585</v>
      </c>
    </row>
    <row r="12">
      <c r="A12" s="31" t="s">
        <v>586</v>
      </c>
      <c r="B12" s="29"/>
      <c r="C12" s="24">
        <f>CHOOSE($C$5,D12,E12,F12)</f>
        <v>0.08</v>
      </c>
      <c r="D12" s="18">
        <v>0.08</v>
      </c>
      <c r="E12" s="18">
        <v>0.12</v>
      </c>
      <c r="F12" s="18">
        <v>0.02</v>
      </c>
      <c r="G12" s="1"/>
      <c r="H12" s="1"/>
      <c r="I12" s="1"/>
      <c r="J12" s="1"/>
      <c r="K12" s="1"/>
      <c r="L12" s="1"/>
      <c r="M12" s="1"/>
      <c r="N12" s="1" t="s">
        <v>587</v>
      </c>
    </row>
    <row r="13">
      <c r="A13" s="6" t="s">
        <v>588</v>
      </c>
      <c r="B13" s="1"/>
      <c r="C13" s="17">
        <f>CHOOSE($C$5,D13,E13,F13)</f>
        <v>13</v>
      </c>
      <c r="D13" s="23">
        <v>13</v>
      </c>
      <c r="E13" s="23">
        <v>15</v>
      </c>
      <c r="F13" s="23">
        <v>10</v>
      </c>
      <c r="G13" s="1"/>
      <c r="H13" s="1"/>
      <c r="I13" s="1"/>
      <c r="J13" s="1"/>
      <c r="K13" s="1"/>
      <c r="L13" s="1"/>
      <c r="M13" s="1"/>
      <c r="N13" s="1" t="s">
        <v>589</v>
      </c>
    </row>
    <row r="14">
      <c r="A14" s="31" t="s">
        <v>590</v>
      </c>
      <c r="B14" s="29"/>
      <c r="C14" s="24">
        <f>CHOOSE($C$5,D14,E14,F14)</f>
        <v>0</v>
      </c>
      <c r="D14" s="18">
        <v>0</v>
      </c>
      <c r="E14" s="18">
        <v>0.05</v>
      </c>
      <c r="F14" s="18">
        <v>-0.1</v>
      </c>
      <c r="G14" s="1"/>
      <c r="H14" s="1"/>
      <c r="I14" s="1"/>
      <c r="J14" s="1"/>
      <c r="K14" s="1"/>
      <c r="L14" s="1"/>
      <c r="M14" s="1"/>
      <c r="N14" s="1" t="s">
        <v>591</v>
      </c>
    </row>
    <row r="15">
      <c r="A15" s="6" t="s">
        <v>592</v>
      </c>
      <c r="B15" s="1"/>
      <c r="C15" s="27">
        <f>CHOOSE($C$5,D15,E15,F15)</f>
        <v>2.1</v>
      </c>
      <c r="D15" s="3">
        <v>2.1</v>
      </c>
      <c r="E15" s="3">
        <v>2.3</v>
      </c>
      <c r="F15" s="3">
        <v>1.9</v>
      </c>
      <c r="G15" s="1"/>
      <c r="H15" s="1"/>
      <c r="I15" s="1"/>
      <c r="J15" s="1"/>
      <c r="K15" s="1"/>
      <c r="L15" s="1"/>
      <c r="M15" s="1"/>
      <c r="N15" s="1" t="s">
        <v>593</v>
      </c>
    </row>
    <row r="16">
      <c r="A16" s="31" t="s">
        <v>594</v>
      </c>
      <c r="B16" s="29"/>
      <c r="C16" s="24">
        <f>CHOOSE($C$5,D16,E16,F16)</f>
        <v>0</v>
      </c>
      <c r="D16" s="18">
        <v>0</v>
      </c>
      <c r="E16" s="18">
        <v>0.03</v>
      </c>
      <c r="F16" s="18">
        <v>-0.08</v>
      </c>
      <c r="G16" s="1"/>
      <c r="H16" s="1"/>
      <c r="I16" s="1"/>
      <c r="J16" s="1"/>
      <c r="K16" s="1"/>
      <c r="L16" s="1"/>
      <c r="M16" s="1"/>
      <c r="N16" s="1" t="s">
        <v>595</v>
      </c>
    </row>
    <row r="17">
      <c r="A17" s="31" t="s">
        <v>596</v>
      </c>
      <c r="B17" s="29"/>
      <c r="C17" s="24">
        <f>CHOOSE($C$5,D17,E17,F17)</f>
        <v>0.1</v>
      </c>
      <c r="D17" s="18">
        <v>0.1</v>
      </c>
      <c r="E17" s="18">
        <v>0.2</v>
      </c>
      <c r="F17" s="18">
        <v>0</v>
      </c>
      <c r="G17" s="1"/>
      <c r="H17" s="1"/>
      <c r="I17" s="1"/>
      <c r="J17" s="1"/>
      <c r="K17" s="1"/>
      <c r="L17" s="1"/>
      <c r="M17" s="1"/>
      <c r="N17" s="1" t="s">
        <v>597</v>
      </c>
    </row>
    <row r="18">
      <c r="A18" s="31" t="s">
        <v>598</v>
      </c>
      <c r="B18" s="29"/>
      <c r="C18" s="24">
        <f>CHOOSE($C$5,D18,E18,F18)</f>
        <v>0.08</v>
      </c>
      <c r="D18" s="18">
        <v>0.08</v>
      </c>
      <c r="E18" s="18">
        <v>0.15</v>
      </c>
      <c r="F18" s="18">
        <v>-0.05</v>
      </c>
      <c r="G18" s="1"/>
      <c r="H18" s="1"/>
      <c r="I18" s="1"/>
      <c r="J18" s="1"/>
      <c r="K18" s="1"/>
      <c r="L18" s="1"/>
      <c r="M18" s="1"/>
      <c r="N18" s="1" t="s">
        <v>599</v>
      </c>
    </row>
    <row r="19">
      <c r="A19" s="31" t="s">
        <v>600</v>
      </c>
      <c r="B19" s="29"/>
      <c r="C19" s="24">
        <f>CHOOSE($C$5,D19,E19,F19)</f>
        <v>0.15</v>
      </c>
      <c r="D19" s="18">
        <v>0.15</v>
      </c>
      <c r="E19" s="18">
        <v>0.2</v>
      </c>
      <c r="F19" s="18">
        <v>0.05</v>
      </c>
      <c r="G19" s="1"/>
      <c r="H19" s="1"/>
      <c r="I19" s="1"/>
      <c r="J19" s="1"/>
      <c r="K19" s="1"/>
      <c r="L19" s="1"/>
      <c r="M19" s="1"/>
      <c r="N19" s="1" t="s">
        <v>601</v>
      </c>
    </row>
    <row r="20">
      <c r="A20" s="31" t="s">
        <v>602</v>
      </c>
      <c r="B20" s="29"/>
      <c r="C20" s="24">
        <f>CHOOSE($C$5,D20,E20,F20)</f>
        <v>0.65</v>
      </c>
      <c r="D20" s="18">
        <v>0.65</v>
      </c>
      <c r="E20" s="18">
        <v>0.67</v>
      </c>
      <c r="F20" s="18">
        <v>0.62</v>
      </c>
      <c r="G20" s="1"/>
      <c r="H20" s="1"/>
      <c r="I20" s="1"/>
      <c r="J20" s="1"/>
      <c r="K20" s="1"/>
      <c r="L20" s="1"/>
      <c r="M20" s="1"/>
      <c r="N20" s="1" t="s">
        <v>603</v>
      </c>
    </row>
    <row r="21">
      <c r="A21" s="31" t="s">
        <v>604</v>
      </c>
      <c r="B21" s="29"/>
      <c r="C21" s="24">
        <f>CHOOSE($C$5,D21,E21,F21)</f>
        <v>0.6</v>
      </c>
      <c r="D21" s="18">
        <v>0.6</v>
      </c>
      <c r="E21" s="18">
        <v>0.64</v>
      </c>
      <c r="F21" s="18">
        <v>0.5</v>
      </c>
      <c r="G21" s="1"/>
      <c r="H21" s="1"/>
      <c r="I21" s="1"/>
      <c r="J21" s="1"/>
      <c r="K21" s="1"/>
      <c r="L21" s="1"/>
      <c r="M21" s="1"/>
      <c r="N21" s="1" t="s">
        <v>605</v>
      </c>
    </row>
    <row r="22">
      <c r="A22" s="6" t="s">
        <v>606</v>
      </c>
      <c r="B22" s="1"/>
      <c r="C22" s="17">
        <f>CHOOSE($C$5,D22,E22,F22)</f>
        <v>1600</v>
      </c>
      <c r="D22" s="23">
        <v>1600</v>
      </c>
      <c r="E22" s="23">
        <v>1600</v>
      </c>
      <c r="F22" s="23">
        <v>1800</v>
      </c>
      <c r="G22" s="1"/>
      <c r="H22" s="1"/>
      <c r="I22" s="1"/>
      <c r="J22" s="1"/>
      <c r="K22" s="1"/>
      <c r="L22" s="1"/>
      <c r="M22" s="1"/>
      <c r="N22" s="1" t="s">
        <v>607</v>
      </c>
    </row>
    <row r="23">
      <c r="A23" s="6" t="s">
        <v>608</v>
      </c>
      <c r="B23" s="1"/>
      <c r="C23" s="17">
        <f>CHOOSE($C$5,D23,E23,F23)</f>
        <v>1600</v>
      </c>
      <c r="D23" s="23">
        <v>1600</v>
      </c>
      <c r="E23" s="23">
        <v>1600</v>
      </c>
      <c r="F23" s="23">
        <v>1700</v>
      </c>
      <c r="G23" s="1"/>
      <c r="H23" s="1"/>
      <c r="I23" s="1"/>
      <c r="J23" s="1"/>
      <c r="K23" s="1"/>
      <c r="L23" s="1"/>
      <c r="M23" s="1"/>
      <c r="N23" s="1" t="s">
        <v>609</v>
      </c>
    </row>
    <row r="24">
      <c r="A24" s="6" t="s">
        <v>610</v>
      </c>
      <c r="B24" s="1"/>
      <c r="C24" s="17">
        <f>CHOOSE($C$5,D24,E24,F24)</f>
        <v>20000</v>
      </c>
      <c r="D24" s="23">
        <v>20000</v>
      </c>
      <c r="E24" s="23">
        <v>22000</v>
      </c>
      <c r="F24" s="23">
        <v>18000</v>
      </c>
      <c r="G24" s="1"/>
      <c r="H24" s="1"/>
      <c r="I24" s="1"/>
      <c r="J24" s="1"/>
      <c r="K24" s="1"/>
      <c r="L24" s="1"/>
      <c r="M24" s="1"/>
      <c r="N24" s="1" t="s">
        <v>611</v>
      </c>
    </row>
    <row r="25">
      <c r="A25" s="31" t="s">
        <v>612</v>
      </c>
      <c r="B25" s="29"/>
      <c r="C25" s="24">
        <f>CHOOSE($C$5,D25,E25,F25)</f>
        <v>0.05</v>
      </c>
      <c r="D25" s="18">
        <v>0.05</v>
      </c>
      <c r="E25" s="18">
        <v>0.05</v>
      </c>
      <c r="F25" s="18">
        <v>0.05</v>
      </c>
      <c r="G25" s="1"/>
      <c r="H25" s="1"/>
      <c r="I25" s="1"/>
      <c r="J25" s="1"/>
      <c r="K25" s="1"/>
      <c r="L25" s="1"/>
      <c r="M25" s="1"/>
      <c r="N25" s="1" t="s">
        <v>613</v>
      </c>
    </row>
    <row r="26">
      <c r="A26" s="31" t="s">
        <v>614</v>
      </c>
      <c r="B26" s="29"/>
      <c r="C26" s="24">
        <f>CHOOSE($C$5,D26,E26,F26)</f>
        <v>0.03</v>
      </c>
      <c r="D26" s="18">
        <v>0.03</v>
      </c>
      <c r="E26" s="18">
        <v>0.035</v>
      </c>
      <c r="F26" s="18">
        <v>0.025</v>
      </c>
      <c r="G26" s="1"/>
      <c r="H26" s="1"/>
      <c r="I26" s="1"/>
      <c r="J26" s="1"/>
      <c r="K26" s="1"/>
      <c r="L26" s="1"/>
      <c r="M26" s="1"/>
      <c r="N26" s="1" t="s">
        <v>615</v>
      </c>
    </row>
    <row r="27">
      <c r="A27" s="31" t="s">
        <v>616</v>
      </c>
      <c r="B27" s="29"/>
      <c r="C27" s="24">
        <f>CHOOSE($C$5,D27,E27,F27)</f>
        <v>0.15</v>
      </c>
      <c r="D27" s="18">
        <v>0.15</v>
      </c>
      <c r="E27" s="18">
        <v>0.18</v>
      </c>
      <c r="F27" s="18">
        <v>0.12</v>
      </c>
      <c r="G27" s="1"/>
      <c r="H27" s="1"/>
      <c r="I27" s="1"/>
      <c r="J27" s="1"/>
      <c r="K27" s="1"/>
      <c r="L27" s="1"/>
      <c r="M27" s="1"/>
      <c r="N27" s="1" t="s">
        <v>617</v>
      </c>
    </row>
    <row r="28">
      <c r="A28" s="6" t="s">
        <v>618</v>
      </c>
      <c r="B28" s="1"/>
      <c r="C28" s="114">
        <f>CHOOSE($C$5,D28,E28,F28)</f>
        <v>12</v>
      </c>
      <c r="D28" s="49">
        <v>12</v>
      </c>
      <c r="E28" s="49">
        <v>15</v>
      </c>
      <c r="F28" s="49">
        <v>9</v>
      </c>
      <c r="G28" s="1"/>
      <c r="H28" s="1"/>
      <c r="I28" s="1"/>
      <c r="J28" s="1"/>
      <c r="K28" s="1"/>
      <c r="L28" s="1"/>
      <c r="M28" s="1"/>
      <c r="N28" s="1" t="s">
        <v>619</v>
      </c>
    </row>
    <row r="29">
      <c r="A29" s="6" t="s">
        <v>620</v>
      </c>
      <c r="B29" s="1"/>
      <c r="C29" s="17">
        <f>CHOOSE($C$5,D29,E29,F29)</f>
        <v>1</v>
      </c>
      <c r="D29" s="23">
        <v>1</v>
      </c>
      <c r="E29" s="23">
        <v>1</v>
      </c>
      <c r="F29" s="23">
        <v>0</v>
      </c>
      <c r="G29" s="1"/>
      <c r="H29" s="1"/>
      <c r="I29" s="1"/>
      <c r="J29" s="1"/>
      <c r="K29" s="1"/>
      <c r="L29" s="1"/>
      <c r="M29" s="1"/>
      <c r="N29" s="1" t="s">
        <v>621</v>
      </c>
    </row>
    <row r="30">
      <c r="A30" s="1"/>
      <c r="B30" s="1"/>
      <c r="C30" s="47"/>
      <c r="D30" s="1"/>
      <c r="E30" s="1"/>
      <c r="F30" s="1"/>
      <c r="G30" s="1"/>
      <c r="H30" s="1"/>
      <c r="I30" s="1"/>
      <c r="J30" s="1"/>
      <c r="K30" s="1"/>
      <c r="L30" s="1"/>
      <c r="M30" s="1"/>
      <c r="N30" s="1"/>
    </row>
    <row r="31">
      <c r="A31" s="16" t="s">
        <v>622</v>
      </c>
      <c r="B31" s="1"/>
      <c r="C31" s="47"/>
      <c r="D31" s="1"/>
      <c r="E31" s="1"/>
      <c r="F31" s="1"/>
      <c r="G31" s="1"/>
      <c r="H31" s="1"/>
      <c r="I31" s="1"/>
      <c r="J31" s="1"/>
      <c r="K31" s="1"/>
      <c r="L31" s="1"/>
      <c r="M31" s="1"/>
      <c r="N31" s="1"/>
    </row>
    <row r="32">
      <c r="A32" s="6" t="s">
        <v>623</v>
      </c>
      <c r="B32" s="1"/>
      <c r="C32" s="26">
        <v>40000</v>
      </c>
      <c r="D32" s="1"/>
      <c r="E32" s="1"/>
      <c r="F32" s="1"/>
      <c r="G32" s="1"/>
      <c r="H32" s="1"/>
      <c r="I32" s="1"/>
      <c r="J32" s="1"/>
      <c r="K32" s="1"/>
      <c r="L32" s="1"/>
      <c r="M32" s="1"/>
      <c r="N32" s="1" t="s">
        <v>624</v>
      </c>
    </row>
    <row r="33">
      <c r="A33" s="6" t="s">
        <v>625</v>
      </c>
      <c r="B33" s="1"/>
      <c r="C33" s="26">
        <v>2</v>
      </c>
      <c r="D33" s="1"/>
      <c r="E33" s="1"/>
      <c r="F33" s="1"/>
      <c r="G33" s="1"/>
      <c r="H33" s="1"/>
      <c r="I33" s="1"/>
      <c r="J33" s="1"/>
      <c r="K33" s="1"/>
      <c r="L33" s="1"/>
      <c r="M33" s="1"/>
      <c r="N33" s="1" t="s">
        <v>626</v>
      </c>
    </row>
    <row r="34">
      <c r="A34" s="31" t="s">
        <v>627</v>
      </c>
      <c r="B34" s="29"/>
      <c r="C34" s="82">
        <v>0.065</v>
      </c>
      <c r="D34" s="1"/>
      <c r="E34" s="1"/>
      <c r="F34" s="1"/>
      <c r="G34" s="1"/>
      <c r="H34" s="1"/>
      <c r="I34" s="1"/>
      <c r="J34" s="1"/>
      <c r="K34" s="1"/>
      <c r="L34" s="1"/>
      <c r="M34" s="1"/>
      <c r="N34" s="1" t="s">
        <v>628</v>
      </c>
    </row>
    <row r="35">
      <c r="A35" s="6" t="s">
        <v>629</v>
      </c>
      <c r="B35" s="1"/>
      <c r="C35" s="108">
        <v>2027</v>
      </c>
      <c r="D35" s="1"/>
      <c r="E35" s="1"/>
      <c r="F35" s="1"/>
      <c r="G35" s="1"/>
      <c r="H35" s="1"/>
      <c r="I35" s="1"/>
      <c r="J35" s="1"/>
      <c r="K35" s="1"/>
      <c r="L35" s="1"/>
      <c r="M35" s="1"/>
      <c r="N35" s="1" t="s">
        <v>630</v>
      </c>
    </row>
    <row r="36">
      <c r="A36" s="6" t="s">
        <v>631</v>
      </c>
      <c r="B36" s="1"/>
      <c r="C36" s="26">
        <v>8500</v>
      </c>
      <c r="D36" s="1"/>
      <c r="E36" s="1"/>
      <c r="F36" s="1"/>
      <c r="G36" s="1"/>
      <c r="H36" s="1"/>
      <c r="I36" s="1"/>
      <c r="J36" s="1"/>
      <c r="K36" s="1"/>
      <c r="L36" s="1"/>
      <c r="M36" s="1"/>
      <c r="N36" s="1" t="s">
        <v>632</v>
      </c>
    </row>
    <row r="37">
      <c r="A37" s="6" t="s">
        <v>633</v>
      </c>
      <c r="B37" s="1"/>
      <c r="C37" s="72">
        <v>261.8</v>
      </c>
      <c r="D37" s="1"/>
      <c r="E37" s="1"/>
      <c r="F37" s="1"/>
      <c r="G37" s="1"/>
      <c r="H37" s="1"/>
      <c r="I37" s="1"/>
      <c r="J37" s="1"/>
      <c r="K37" s="1"/>
      <c r="L37" s="1"/>
      <c r="M37" s="1"/>
      <c r="N37" s="1" t="s">
        <v>634</v>
      </c>
    </row>
    <row r="38">
      <c r="A38" s="6" t="s">
        <v>635</v>
      </c>
      <c r="B38" s="1"/>
      <c r="C38" s="83">
        <v>42.4</v>
      </c>
      <c r="D38" s="1"/>
      <c r="E38" s="1"/>
      <c r="F38" s="1"/>
      <c r="G38" s="1"/>
      <c r="H38" s="1"/>
      <c r="I38" s="1"/>
      <c r="J38" s="1"/>
      <c r="K38" s="1"/>
      <c r="L38" s="1"/>
      <c r="M38" s="1"/>
      <c r="N38" s="1" t="s">
        <v>636</v>
      </c>
    </row>
    <row r="39">
      <c r="A39" s="6" t="s">
        <v>637</v>
      </c>
      <c r="B39" s="1"/>
      <c r="C39" s="26">
        <v>1241</v>
      </c>
      <c r="D39" s="1"/>
      <c r="E39" s="1"/>
      <c r="F39" s="1"/>
      <c r="G39" s="1"/>
      <c r="H39" s="1"/>
      <c r="I39" s="1"/>
      <c r="J39" s="1"/>
      <c r="K39" s="1"/>
      <c r="L39" s="1"/>
      <c r="M39" s="1"/>
      <c r="N39" s="1" t="s">
        <v>638</v>
      </c>
    </row>
    <row r="40">
      <c r="A40" s="6" t="s">
        <v>639</v>
      </c>
      <c r="B40" s="1"/>
      <c r="C40" s="26">
        <v>856</v>
      </c>
      <c r="D40" s="1"/>
      <c r="E40" s="1"/>
      <c r="F40" s="1"/>
      <c r="G40" s="1"/>
      <c r="H40" s="1"/>
      <c r="I40" s="1"/>
      <c r="J40" s="1"/>
      <c r="K40" s="1"/>
      <c r="L40" s="1"/>
      <c r="M40" s="1"/>
      <c r="N40" s="1" t="s">
        <v>640</v>
      </c>
    </row>
    <row r="41">
      <c r="A41" s="6" t="s">
        <v>641</v>
      </c>
      <c r="B41" s="1"/>
      <c r="C41" s="26">
        <v>828</v>
      </c>
      <c r="D41" s="1"/>
      <c r="E41" s="1"/>
      <c r="F41" s="1"/>
      <c r="G41" s="1"/>
      <c r="H41" s="1"/>
      <c r="I41" s="1"/>
      <c r="J41" s="1"/>
      <c r="K41" s="1"/>
      <c r="L41" s="1"/>
      <c r="M41" s="1"/>
      <c r="N41" s="1" t="s">
        <v>638</v>
      </c>
    </row>
    <row r="42">
      <c r="A42" s="6" t="s">
        <v>642</v>
      </c>
      <c r="B42" s="1"/>
      <c r="C42" s="26">
        <v>827</v>
      </c>
      <c r="D42" s="1"/>
      <c r="E42" s="1"/>
      <c r="F42" s="1"/>
      <c r="G42" s="1"/>
      <c r="H42" s="1"/>
      <c r="I42" s="1"/>
      <c r="J42" s="1"/>
      <c r="K42" s="1"/>
      <c r="L42" s="1"/>
      <c r="M42" s="1"/>
      <c r="N42" s="1" t="s">
        <v>638</v>
      </c>
    </row>
    <row r="43">
      <c r="A43" s="31" t="s">
        <v>643</v>
      </c>
      <c r="B43" s="29"/>
      <c r="C43" s="82">
        <v>0.21</v>
      </c>
      <c r="D43" s="1"/>
      <c r="E43" s="1"/>
      <c r="F43" s="1"/>
      <c r="G43" s="1"/>
      <c r="H43" s="1"/>
      <c r="I43" s="1"/>
      <c r="J43" s="1"/>
      <c r="K43" s="1"/>
      <c r="L43" s="1"/>
      <c r="M43" s="1"/>
      <c r="N43" s="1" t="s">
        <v>644</v>
      </c>
    </row>
    <row r="44">
      <c r="A44" s="31" t="s">
        <v>645</v>
      </c>
      <c r="B44" s="29"/>
      <c r="C44" s="82">
        <v>0.02</v>
      </c>
      <c r="D44" s="1"/>
      <c r="E44" s="1"/>
      <c r="F44" s="1"/>
      <c r="G44" s="1"/>
      <c r="H44" s="1"/>
      <c r="I44" s="1"/>
      <c r="J44" s="1"/>
      <c r="K44" s="1"/>
      <c r="L44" s="1"/>
      <c r="M44" s="1"/>
      <c r="N44" s="1" t="s">
        <v>646</v>
      </c>
    </row>
    <row r="45">
      <c r="A45" s="6" t="s">
        <v>647</v>
      </c>
      <c r="B45" s="1"/>
      <c r="C45" s="26">
        <v>5234</v>
      </c>
      <c r="D45" s="1"/>
      <c r="E45" s="1"/>
      <c r="F45" s="1"/>
      <c r="G45" s="1"/>
      <c r="H45" s="1"/>
      <c r="I45" s="1"/>
      <c r="J45" s="1"/>
      <c r="K45" s="1"/>
      <c r="L45" s="1"/>
      <c r="M45" s="1"/>
      <c r="N45" s="1" t="s">
        <v>648</v>
      </c>
    </row>
    <row r="46">
      <c r="A46" s="6" t="s">
        <v>649</v>
      </c>
      <c r="B46" s="1"/>
      <c r="C46" s="26">
        <v>2104</v>
      </c>
      <c r="D46" s="1"/>
      <c r="E46" s="1"/>
      <c r="F46" s="1"/>
      <c r="G46" s="1"/>
      <c r="H46" s="1"/>
      <c r="I46" s="1"/>
      <c r="J46" s="1"/>
      <c r="K46" s="1"/>
      <c r="L46" s="1"/>
      <c r="M46" s="1"/>
      <c r="N46" s="1" t="s">
        <v>650</v>
      </c>
    </row>
    <row r="47">
      <c r="A47" s="6" t="s">
        <v>651</v>
      </c>
      <c r="B47" s="1"/>
      <c r="C47" s="26">
        <v>8000</v>
      </c>
      <c r="D47" s="1"/>
      <c r="E47" s="1"/>
      <c r="F47" s="1"/>
      <c r="G47" s="1"/>
      <c r="H47" s="1"/>
      <c r="I47" s="1"/>
      <c r="J47" s="1"/>
      <c r="K47" s="1"/>
      <c r="L47" s="1"/>
      <c r="M47" s="1"/>
      <c r="N47" s="1" t="s">
        <v>652</v>
      </c>
    </row>
    <row r="48">
      <c r="A48" s="6" t="s">
        <v>653</v>
      </c>
      <c r="B48" s="1"/>
      <c r="C48" s="108">
        <v>2027</v>
      </c>
      <c r="D48" s="1"/>
      <c r="E48" s="1"/>
      <c r="F48" s="1"/>
      <c r="G48" s="1"/>
      <c r="H48" s="1"/>
      <c r="I48" s="1"/>
      <c r="J48" s="1"/>
      <c r="K48" s="1"/>
      <c r="L48" s="1"/>
      <c r="M48" s="1"/>
      <c r="N48" s="1" t="s">
        <v>654</v>
      </c>
    </row>
    <row r="49">
      <c r="A49" s="6" t="s">
        <v>655</v>
      </c>
      <c r="B49" s="1"/>
      <c r="C49" s="26">
        <v>9728</v>
      </c>
      <c r="D49" s="1"/>
      <c r="E49" s="1"/>
      <c r="F49" s="1"/>
      <c r="G49" s="1"/>
      <c r="H49" s="1"/>
      <c r="I49" s="1"/>
      <c r="J49" s="1"/>
      <c r="K49" s="1"/>
      <c r="L49" s="1"/>
      <c r="M49" s="1"/>
      <c r="N49" s="1" t="s">
        <v>656</v>
      </c>
    </row>
    <row r="50">
      <c r="A50" s="31" t="s">
        <v>657</v>
      </c>
      <c r="B50" s="29"/>
      <c r="C50" s="82">
        <v>0.8</v>
      </c>
      <c r="D50" s="1"/>
      <c r="E50" s="1"/>
      <c r="F50" s="1"/>
      <c r="G50" s="1"/>
      <c r="H50" s="1"/>
      <c r="I50" s="1"/>
      <c r="J50" s="1"/>
      <c r="K50" s="1"/>
      <c r="L50" s="1"/>
      <c r="M50" s="1"/>
      <c r="N50" s="1" t="s">
        <v>658</v>
      </c>
    </row>
    <row r="51">
      <c r="A51" s="6" t="s">
        <v>659</v>
      </c>
      <c r="B51" s="1"/>
      <c r="C51" s="26">
        <v>3586</v>
      </c>
      <c r="D51" s="1"/>
      <c r="E51" s="1"/>
      <c r="F51" s="1"/>
      <c r="G51" s="1"/>
      <c r="H51" s="1"/>
      <c r="I51" s="1"/>
      <c r="J51" s="1"/>
      <c r="K51" s="1"/>
      <c r="L51" s="1"/>
      <c r="M51" s="1"/>
      <c r="N51" s="1" t="s">
        <v>660</v>
      </c>
    </row>
    <row r="52">
      <c r="A52" s="31" t="s">
        <v>661</v>
      </c>
      <c r="B52" s="29"/>
      <c r="C52" s="82">
        <v>0.75</v>
      </c>
      <c r="D52" s="1"/>
      <c r="E52" s="1"/>
      <c r="F52" s="1"/>
      <c r="G52" s="1"/>
      <c r="H52" s="1"/>
      <c r="I52" s="1"/>
      <c r="J52" s="1"/>
      <c r="K52" s="1"/>
      <c r="L52" s="1"/>
      <c r="M52" s="1"/>
      <c r="N52" s="1" t="s">
        <v>662</v>
      </c>
    </row>
    <row r="53">
      <c r="A53" s="31" t="s">
        <v>663</v>
      </c>
      <c r="B53" s="29"/>
      <c r="C53" s="82">
        <v>0.0422</v>
      </c>
      <c r="D53" s="1"/>
      <c r="E53" s="1"/>
      <c r="F53" s="1"/>
      <c r="G53" s="1"/>
      <c r="H53" s="1"/>
      <c r="I53" s="1"/>
      <c r="J53" s="1"/>
      <c r="K53" s="1"/>
      <c r="L53" s="1"/>
      <c r="M53" s="1"/>
      <c r="N53" s="1" t="s">
        <v>664</v>
      </c>
    </row>
    <row r="54">
      <c r="A54" s="6" t="s">
        <v>665</v>
      </c>
      <c r="B54" s="1"/>
      <c r="C54" s="26">
        <v>4842</v>
      </c>
      <c r="D54" s="1"/>
      <c r="E54" s="1"/>
      <c r="F54" s="1"/>
      <c r="G54" s="1"/>
      <c r="H54" s="1"/>
      <c r="I54" s="1"/>
      <c r="J54" s="1"/>
      <c r="K54" s="1"/>
      <c r="L54" s="1"/>
      <c r="M54" s="1"/>
      <c r="N54" s="1" t="s">
        <v>666</v>
      </c>
    </row>
    <row r="55">
      <c r="A55" s="6" t="s">
        <v>667</v>
      </c>
      <c r="B55" s="1"/>
      <c r="C55" s="72">
        <v>3.2</v>
      </c>
      <c r="D55" s="1"/>
      <c r="E55" s="1"/>
      <c r="F55" s="1"/>
      <c r="G55" s="1"/>
      <c r="H55" s="1"/>
      <c r="I55" s="1"/>
      <c r="J55" s="1"/>
      <c r="K55" s="1"/>
      <c r="L55" s="1"/>
      <c r="M55" s="1"/>
      <c r="N55" s="1" t="s">
        <v>668</v>
      </c>
    </row>
    <row r="56">
      <c r="A56" s="6" t="s">
        <v>669</v>
      </c>
      <c r="B56" s="1"/>
      <c r="C56" s="26">
        <v>23376</v>
      </c>
      <c r="D56" s="1"/>
      <c r="E56" s="1"/>
      <c r="F56" s="1"/>
      <c r="G56" s="1"/>
      <c r="H56" s="1"/>
      <c r="I56" s="1"/>
      <c r="J56" s="1"/>
      <c r="K56" s="1"/>
      <c r="L56" s="1"/>
      <c r="M56" s="1"/>
      <c r="N56" s="1" t="s">
        <v>670</v>
      </c>
    </row>
    <row r="57">
      <c r="A57" s="6" t="s">
        <v>671</v>
      </c>
      <c r="B57" s="1"/>
      <c r="C57" s="26">
        <v>1217</v>
      </c>
      <c r="D57" s="1"/>
      <c r="E57" s="1"/>
      <c r="F57" s="1"/>
      <c r="G57" s="1"/>
      <c r="H57" s="1"/>
      <c r="I57" s="1"/>
      <c r="J57" s="1"/>
      <c r="K57" s="1"/>
      <c r="L57" s="1"/>
      <c r="M57" s="1"/>
      <c r="N57" s="1" t="s">
        <v>672</v>
      </c>
    </row>
    <row r="58">
      <c r="A58" s="6" t="s">
        <v>673</v>
      </c>
      <c r="B58" s="1"/>
      <c r="C58" s="72">
        <v>2.8</v>
      </c>
      <c r="D58" s="1"/>
      <c r="E58" s="1"/>
      <c r="F58" s="1"/>
      <c r="G58" s="1"/>
      <c r="H58" s="1"/>
      <c r="I58" s="1"/>
      <c r="J58" s="1"/>
      <c r="K58" s="1"/>
      <c r="L58" s="1"/>
      <c r="M58" s="1"/>
      <c r="N58" s="1" t="s">
        <v>674</v>
      </c>
    </row>
    <row r="59">
      <c r="A59" s="6" t="s">
        <v>675</v>
      </c>
      <c r="B59" s="1"/>
      <c r="C59" s="26">
        <v>15000</v>
      </c>
      <c r="D59" s="1"/>
      <c r="E59" s="1"/>
      <c r="F59" s="1"/>
      <c r="G59" s="1"/>
      <c r="H59" s="1"/>
      <c r="I59" s="1"/>
      <c r="J59" s="1"/>
      <c r="K59" s="1"/>
      <c r="L59" s="1"/>
      <c r="M59" s="1"/>
      <c r="N59" s="1" t="s">
        <v>676</v>
      </c>
    </row>
    <row r="60">
      <c r="A60" s="6" t="s">
        <v>677</v>
      </c>
      <c r="B60" s="1"/>
      <c r="C60" s="26">
        <v>10</v>
      </c>
      <c r="D60" s="1"/>
      <c r="E60" s="1"/>
      <c r="F60" s="1"/>
      <c r="G60" s="1"/>
      <c r="H60" s="1"/>
      <c r="I60" s="1"/>
      <c r="J60" s="1"/>
      <c r="K60" s="1"/>
      <c r="L60" s="1"/>
      <c r="M60" s="1"/>
      <c r="N60" s="1" t="s">
        <v>678</v>
      </c>
    </row>
    <row r="61">
      <c r="A61" s="6" t="s">
        <v>679</v>
      </c>
      <c r="B61" s="1"/>
      <c r="C61" s="26">
        <v>5</v>
      </c>
      <c r="D61" s="1"/>
      <c r="E61" s="1"/>
      <c r="F61" s="1"/>
      <c r="G61" s="1"/>
      <c r="H61" s="1"/>
      <c r="I61" s="1"/>
      <c r="J61" s="1"/>
      <c r="K61" s="1"/>
      <c r="L61" s="1"/>
      <c r="M61" s="1"/>
      <c r="N61" s="1" t="s">
        <v>680</v>
      </c>
    </row>
    <row r="62">
      <c r="A62" s="6" t="s">
        <v>681</v>
      </c>
      <c r="B62" s="1"/>
      <c r="C62" s="26">
        <v>7</v>
      </c>
      <c r="D62" s="1"/>
      <c r="E62" s="1"/>
      <c r="F62" s="1"/>
      <c r="G62" s="1"/>
      <c r="H62" s="1"/>
      <c r="I62" s="1"/>
      <c r="J62" s="1"/>
      <c r="K62" s="1"/>
      <c r="L62" s="1"/>
      <c r="M62" s="1"/>
      <c r="N62" s="1" t="s">
        <v>682</v>
      </c>
    </row>
    <row r="63">
      <c r="A63" s="6" t="s">
        <v>683</v>
      </c>
      <c r="B63" s="1"/>
      <c r="C63" s="72">
        <v>4</v>
      </c>
      <c r="D63" s="1"/>
      <c r="E63" s="1"/>
      <c r="F63" s="1"/>
      <c r="G63" s="1"/>
      <c r="H63" s="1"/>
      <c r="I63" s="1"/>
      <c r="J63" s="1"/>
      <c r="K63" s="1"/>
      <c r="L63" s="1"/>
      <c r="M63" s="1"/>
      <c r="N63" s="1" t="s">
        <v>684</v>
      </c>
    </row>
    <row r="64">
      <c r="A64" s="31" t="s">
        <v>685</v>
      </c>
      <c r="B64" s="29"/>
      <c r="C64" s="82">
        <v>0.035</v>
      </c>
      <c r="D64" s="1"/>
      <c r="E64" s="1"/>
      <c r="F64" s="1"/>
      <c r="G64" s="1"/>
      <c r="H64" s="1"/>
      <c r="I64" s="1"/>
      <c r="J64" s="1"/>
      <c r="K64" s="1"/>
      <c r="L64" s="1"/>
      <c r="M64" s="1"/>
      <c r="N64" s="1" t="s">
        <v>686</v>
      </c>
    </row>
    <row r="65">
      <c r="A65" s="31" t="s">
        <v>687</v>
      </c>
      <c r="B65" s="29"/>
      <c r="C65" s="82">
        <v>0</v>
      </c>
      <c r="D65" s="1"/>
      <c r="E65" s="1"/>
      <c r="F65" s="1"/>
      <c r="G65" s="1"/>
      <c r="H65" s="1"/>
      <c r="I65" s="1"/>
      <c r="J65" s="1"/>
      <c r="K65" s="1"/>
      <c r="L65" s="1"/>
      <c r="M65" s="1"/>
      <c r="N65" s="1" t="s">
        <v>688</v>
      </c>
    </row>
    <row r="66">
      <c r="A66" s="31" t="s">
        <v>689</v>
      </c>
      <c r="B66" s="29"/>
      <c r="C66" s="82">
        <v>0</v>
      </c>
      <c r="D66" s="1"/>
      <c r="E66" s="1"/>
      <c r="F66" s="1"/>
      <c r="G66" s="1"/>
      <c r="H66" s="1"/>
      <c r="I66" s="1"/>
      <c r="J66" s="1"/>
      <c r="K66" s="1"/>
      <c r="L66" s="1"/>
      <c r="M66" s="1"/>
      <c r="N66" s="1" t="s">
        <v>690</v>
      </c>
    </row>
    <row r="67">
      <c r="A67" s="31" t="s">
        <v>691</v>
      </c>
      <c r="B67" s="29"/>
      <c r="C67" s="24">
        <f>$C$43+$C$44</f>
        <v>0.22999999999999998</v>
      </c>
      <c r="D67" s="1"/>
      <c r="E67" s="1"/>
      <c r="F67" s="1"/>
      <c r="G67" s="1"/>
      <c r="H67" s="1"/>
      <c r="I67" s="1"/>
      <c r="J67" s="1"/>
      <c r="K67" s="1"/>
      <c r="L67" s="1"/>
      <c r="M67" s="1"/>
      <c r="N67" s="1"/>
    </row>
    <row r="68">
      <c r="A68" s="1"/>
      <c r="B68" s="1"/>
      <c r="C68" s="47"/>
      <c r="D68" s="1"/>
      <c r="E68" s="1"/>
      <c r="F68" s="1"/>
      <c r="G68" s="1"/>
      <c r="H68" s="1"/>
      <c r="I68" s="1"/>
      <c r="J68" s="1"/>
      <c r="K68" s="1"/>
      <c r="L68" s="1"/>
      <c r="M68" s="1"/>
      <c r="N68" s="1"/>
    </row>
    <row r="69">
      <c r="A69" s="16" t="s">
        <v>692</v>
      </c>
      <c r="B69" s="1"/>
      <c r="C69" s="47"/>
      <c r="D69" s="1"/>
      <c r="E69" s="1"/>
      <c r="F69" s="1"/>
      <c r="G69" s="1"/>
      <c r="H69" s="1"/>
      <c r="I69" s="1"/>
      <c r="J69" s="1"/>
      <c r="K69" s="1"/>
      <c r="L69" s="1"/>
      <c r="M69" s="1"/>
      <c r="N69" s="1"/>
    </row>
    <row r="70">
      <c r="A70" s="16" t="s">
        <v>693</v>
      </c>
      <c r="B70" s="1"/>
      <c r="C70" s="47"/>
      <c r="D70" s="1"/>
      <c r="E70" s="1"/>
      <c r="F70" s="1"/>
      <c r="G70" s="1"/>
      <c r="H70" s="1"/>
      <c r="I70" s="1"/>
      <c r="J70" s="1"/>
      <c r="K70" s="1"/>
      <c r="L70" s="1"/>
      <c r="M70" s="1"/>
      <c r="N70" s="1" t="s">
        <v>694</v>
      </c>
    </row>
    <row r="71">
      <c r="A71" s="6" t="s">
        <v>581</v>
      </c>
      <c r="B71" s="1"/>
      <c r="C71" s="27"/>
      <c r="D71" s="3">
        <v>21</v>
      </c>
      <c r="E71" s="3">
        <v>28</v>
      </c>
      <c r="F71" s="3">
        <v>35</v>
      </c>
      <c r="G71" s="3">
        <v>41</v>
      </c>
      <c r="H71" s="3">
        <v>47</v>
      </c>
      <c r="I71" s="3">
        <v>52</v>
      </c>
      <c r="J71" s="3">
        <v>56</v>
      </c>
      <c r="K71" s="3">
        <v>60</v>
      </c>
      <c r="L71" s="3">
        <v>63</v>
      </c>
      <c r="M71" s="1"/>
      <c r="N71" s="1"/>
    </row>
    <row r="72">
      <c r="A72" s="6" t="s">
        <v>21</v>
      </c>
      <c r="B72" s="1"/>
      <c r="C72" s="27"/>
      <c r="D72" s="3">
        <v>23</v>
      </c>
      <c r="E72" s="3">
        <v>32</v>
      </c>
      <c r="F72" s="3">
        <v>42</v>
      </c>
      <c r="G72" s="3">
        <v>52</v>
      </c>
      <c r="H72" s="3">
        <v>62</v>
      </c>
      <c r="I72" s="3">
        <v>70</v>
      </c>
      <c r="J72" s="3">
        <v>77</v>
      </c>
      <c r="K72" s="3">
        <v>83</v>
      </c>
      <c r="L72" s="3">
        <v>88</v>
      </c>
      <c r="M72" s="1"/>
      <c r="N72" s="1"/>
    </row>
    <row r="73">
      <c r="A73" s="6" t="s">
        <v>22</v>
      </c>
      <c r="B73" s="1"/>
      <c r="C73" s="27"/>
      <c r="D73" s="3">
        <v>19</v>
      </c>
      <c r="E73" s="3">
        <v>23</v>
      </c>
      <c r="F73" s="3">
        <v>26</v>
      </c>
      <c r="G73" s="3">
        <v>29</v>
      </c>
      <c r="H73" s="3">
        <v>31</v>
      </c>
      <c r="I73" s="3">
        <v>33</v>
      </c>
      <c r="J73" s="3">
        <v>35</v>
      </c>
      <c r="K73" s="3">
        <v>36</v>
      </c>
      <c r="L73" s="3">
        <v>37</v>
      </c>
      <c r="M73" s="1"/>
      <c r="N73" s="1"/>
    </row>
    <row r="74">
      <c r="A74" s="36" t="s">
        <v>580</v>
      </c>
      <c r="B74" s="41"/>
      <c r="C74" s="76"/>
      <c r="D74" s="15">
        <f>CHOOSE($C$5,D71,D72,D73)</f>
        <v>21</v>
      </c>
      <c r="E74" s="15">
        <f>CHOOSE($C$5,E71,E72,E73)</f>
        <v>28</v>
      </c>
      <c r="F74" s="15">
        <f>CHOOSE($C$5,F71,F72,F73)</f>
        <v>35</v>
      </c>
      <c r="G74" s="15">
        <f>CHOOSE($C$5,G71,G72,G73)</f>
        <v>41</v>
      </c>
      <c r="H74" s="15">
        <f>CHOOSE($C$5,H71,H72,H73)</f>
        <v>47</v>
      </c>
      <c r="I74" s="15">
        <f>CHOOSE($C$5,I71,I72,I73)</f>
        <v>52</v>
      </c>
      <c r="J74" s="15">
        <f>CHOOSE($C$5,J71,J72,J73)</f>
        <v>56</v>
      </c>
      <c r="K74" s="15">
        <f>CHOOSE($C$5,K71,K72,K73)</f>
        <v>60</v>
      </c>
      <c r="L74" s="15">
        <f>CHOOSE($C$5,L71,L72,L73)</f>
        <v>63</v>
      </c>
      <c r="M74" s="1"/>
      <c r="N74" s="1"/>
    </row>
    <row r="75">
      <c r="A75" s="16" t="s">
        <v>695</v>
      </c>
      <c r="B75" s="1"/>
      <c r="C75" s="47"/>
      <c r="D75" s="1"/>
      <c r="E75" s="1"/>
      <c r="F75" s="1"/>
      <c r="G75" s="1"/>
      <c r="H75" s="1"/>
      <c r="I75" s="1"/>
      <c r="J75" s="1"/>
      <c r="K75" s="1"/>
      <c r="L75" s="1"/>
      <c r="M75" s="1"/>
      <c r="N75" s="1" t="s">
        <v>696</v>
      </c>
    </row>
    <row r="76">
      <c r="A76" s="6" t="s">
        <v>581</v>
      </c>
      <c r="B76" s="1"/>
      <c r="C76" s="17"/>
      <c r="D76" s="23">
        <v>66</v>
      </c>
      <c r="E76" s="23">
        <v>64</v>
      </c>
      <c r="F76" s="23">
        <v>62</v>
      </c>
      <c r="G76" s="23">
        <v>61</v>
      </c>
      <c r="H76" s="23">
        <v>60</v>
      </c>
      <c r="I76" s="23">
        <v>60</v>
      </c>
      <c r="J76" s="23">
        <v>60</v>
      </c>
      <c r="K76" s="23">
        <v>60</v>
      </c>
      <c r="L76" s="23">
        <v>60</v>
      </c>
      <c r="M76" s="1"/>
      <c r="N76" s="1"/>
    </row>
    <row r="77">
      <c r="A77" s="6" t="s">
        <v>21</v>
      </c>
      <c r="B77" s="1"/>
      <c r="C77" s="17"/>
      <c r="D77" s="23">
        <v>68</v>
      </c>
      <c r="E77" s="23">
        <v>67</v>
      </c>
      <c r="F77" s="23">
        <v>66</v>
      </c>
      <c r="G77" s="23">
        <v>66</v>
      </c>
      <c r="H77" s="23">
        <v>66</v>
      </c>
      <c r="I77" s="23">
        <v>66</v>
      </c>
      <c r="J77" s="23">
        <v>66</v>
      </c>
      <c r="K77" s="23">
        <v>66</v>
      </c>
      <c r="L77" s="23">
        <v>66</v>
      </c>
      <c r="M77" s="1"/>
      <c r="N77" s="1"/>
    </row>
    <row r="78">
      <c r="A78" s="6" t="s">
        <v>22</v>
      </c>
      <c r="B78" s="1"/>
      <c r="C78" s="17"/>
      <c r="D78" s="23">
        <v>63</v>
      </c>
      <c r="E78" s="23">
        <v>60</v>
      </c>
      <c r="F78" s="23">
        <v>57</v>
      </c>
      <c r="G78" s="23">
        <v>55</v>
      </c>
      <c r="H78" s="23">
        <v>54</v>
      </c>
      <c r="I78" s="23">
        <v>53</v>
      </c>
      <c r="J78" s="23">
        <v>52</v>
      </c>
      <c r="K78" s="23">
        <v>52</v>
      </c>
      <c r="L78" s="23">
        <v>52</v>
      </c>
      <c r="M78" s="1"/>
      <c r="N78" s="1"/>
    </row>
    <row r="79">
      <c r="A79" s="36" t="s">
        <v>580</v>
      </c>
      <c r="B79" s="41"/>
      <c r="C79" s="53"/>
      <c r="D79" s="33">
        <f>CHOOSE($C$5,D76,D77,D78)</f>
        <v>66</v>
      </c>
      <c r="E79" s="33">
        <f>CHOOSE($C$5,E76,E77,E78)</f>
        <v>64</v>
      </c>
      <c r="F79" s="33">
        <f>CHOOSE($C$5,F76,F77,F78)</f>
        <v>62</v>
      </c>
      <c r="G79" s="33">
        <f>CHOOSE($C$5,G76,G77,G78)</f>
        <v>61</v>
      </c>
      <c r="H79" s="33">
        <f>CHOOSE($C$5,H76,H77,H78)</f>
        <v>60</v>
      </c>
      <c r="I79" s="33">
        <f>CHOOSE($C$5,I76,I77,I78)</f>
        <v>60</v>
      </c>
      <c r="J79" s="33">
        <f>CHOOSE($C$5,J76,J77,J78)</f>
        <v>60</v>
      </c>
      <c r="K79" s="33">
        <f>CHOOSE($C$5,K76,K77,K78)</f>
        <v>60</v>
      </c>
      <c r="L79" s="33">
        <f>CHOOSE($C$5,L76,L77,L78)</f>
        <v>60</v>
      </c>
      <c r="M79" s="1"/>
      <c r="N79" s="1"/>
    </row>
    <row r="80">
      <c r="A80" s="16" t="s">
        <v>697</v>
      </c>
      <c r="B80" s="1"/>
      <c r="C80" s="47"/>
      <c r="D80" s="1"/>
      <c r="E80" s="1"/>
      <c r="F80" s="1"/>
      <c r="G80" s="1"/>
      <c r="H80" s="1"/>
      <c r="I80" s="1"/>
      <c r="J80" s="1"/>
      <c r="K80" s="1"/>
      <c r="L80" s="1"/>
      <c r="M80" s="1"/>
      <c r="N80" s="1" t="s">
        <v>698</v>
      </c>
    </row>
    <row r="81">
      <c r="A81" s="31" t="s">
        <v>581</v>
      </c>
      <c r="B81" s="29"/>
      <c r="C81" s="24"/>
      <c r="D81" s="18">
        <v>0.45</v>
      </c>
      <c r="E81" s="18">
        <v>0.35</v>
      </c>
      <c r="F81" s="18">
        <v>0.3</v>
      </c>
      <c r="G81" s="18">
        <v>0.25</v>
      </c>
      <c r="H81" s="18">
        <v>0.2</v>
      </c>
      <c r="I81" s="18">
        <v>0.15</v>
      </c>
      <c r="J81" s="18">
        <v>0.12</v>
      </c>
      <c r="K81" s="18">
        <v>0.1</v>
      </c>
      <c r="L81" s="18">
        <v>0.08</v>
      </c>
      <c r="M81" s="1"/>
      <c r="N81" s="1"/>
    </row>
    <row r="82">
      <c r="A82" s="31" t="s">
        <v>21</v>
      </c>
      <c r="B82" s="29"/>
      <c r="C82" s="24"/>
      <c r="D82" s="18">
        <v>0.6</v>
      </c>
      <c r="E82" s="18">
        <v>0.45</v>
      </c>
      <c r="F82" s="18">
        <v>0.38</v>
      </c>
      <c r="G82" s="18">
        <v>0.3</v>
      </c>
      <c r="H82" s="18">
        <v>0.25</v>
      </c>
      <c r="I82" s="18">
        <v>0.2</v>
      </c>
      <c r="J82" s="18">
        <v>0.15</v>
      </c>
      <c r="K82" s="18">
        <v>0.12</v>
      </c>
      <c r="L82" s="18">
        <v>0.1</v>
      </c>
      <c r="M82" s="1"/>
      <c r="N82" s="1"/>
    </row>
    <row r="83">
      <c r="A83" s="31" t="s">
        <v>22</v>
      </c>
      <c r="B83" s="29"/>
      <c r="C83" s="24"/>
      <c r="D83" s="18">
        <v>0.25</v>
      </c>
      <c r="E83" s="18">
        <v>0.18</v>
      </c>
      <c r="F83" s="18">
        <v>0.14</v>
      </c>
      <c r="G83" s="18">
        <v>0.11</v>
      </c>
      <c r="H83" s="18">
        <v>0.09</v>
      </c>
      <c r="I83" s="18">
        <v>0.07</v>
      </c>
      <c r="J83" s="18">
        <v>0.06</v>
      </c>
      <c r="K83" s="18">
        <v>0.05</v>
      </c>
      <c r="L83" s="18">
        <v>0.04</v>
      </c>
      <c r="M83" s="1"/>
      <c r="N83" s="1"/>
    </row>
    <row r="84">
      <c r="A84" s="77" t="s">
        <v>580</v>
      </c>
      <c r="B84" s="58"/>
      <c r="C84" s="51"/>
      <c r="D84" s="21">
        <f>CHOOSE($C$5,D81,D82,D83)</f>
        <v>0.45</v>
      </c>
      <c r="E84" s="21">
        <f>CHOOSE($C$5,E81,E82,E83)</f>
        <v>0.35</v>
      </c>
      <c r="F84" s="21">
        <f>CHOOSE($C$5,F81,F82,F83)</f>
        <v>0.3</v>
      </c>
      <c r="G84" s="21">
        <f>CHOOSE($C$5,G81,G82,G83)</f>
        <v>0.25</v>
      </c>
      <c r="H84" s="21">
        <f>CHOOSE($C$5,H81,H82,H83)</f>
        <v>0.2</v>
      </c>
      <c r="I84" s="21">
        <f>CHOOSE($C$5,I81,I82,I83)</f>
        <v>0.15</v>
      </c>
      <c r="J84" s="21">
        <f>CHOOSE($C$5,J81,J82,J83)</f>
        <v>0.12</v>
      </c>
      <c r="K84" s="21">
        <f>CHOOSE($C$5,K81,K82,K83)</f>
        <v>0.1</v>
      </c>
      <c r="L84" s="21">
        <f>CHOOSE($C$5,L81,L82,L83)</f>
        <v>0.08</v>
      </c>
      <c r="M84" s="1"/>
      <c r="N84" s="1"/>
    </row>
    <row r="85">
      <c r="A85" s="16" t="s">
        <v>699</v>
      </c>
      <c r="B85" s="1"/>
      <c r="C85" s="47"/>
      <c r="D85" s="1"/>
      <c r="E85" s="1"/>
      <c r="F85" s="1"/>
      <c r="G85" s="1"/>
      <c r="H85" s="1"/>
      <c r="I85" s="1"/>
      <c r="J85" s="1"/>
      <c r="K85" s="1"/>
      <c r="L85" s="1"/>
      <c r="M85" s="1"/>
      <c r="N85" s="1" t="s">
        <v>700</v>
      </c>
    </row>
    <row r="86">
      <c r="A86" s="31" t="s">
        <v>581</v>
      </c>
      <c r="B86" s="29"/>
      <c r="C86" s="24"/>
      <c r="D86" s="18">
        <v>0.64</v>
      </c>
      <c r="E86" s="18">
        <v>0.65</v>
      </c>
      <c r="F86" s="18">
        <v>0.65</v>
      </c>
      <c r="G86" s="18">
        <v>0.66</v>
      </c>
      <c r="H86" s="18">
        <v>0.66</v>
      </c>
      <c r="I86" s="18">
        <v>0.66</v>
      </c>
      <c r="J86" s="18">
        <v>0.66</v>
      </c>
      <c r="K86" s="18">
        <v>0.66</v>
      </c>
      <c r="L86" s="18">
        <v>0.66</v>
      </c>
      <c r="M86" s="1"/>
      <c r="N86" s="1"/>
    </row>
    <row r="87">
      <c r="A87" s="31" t="s">
        <v>21</v>
      </c>
      <c r="B87" s="29"/>
      <c r="C87" s="24"/>
      <c r="D87" s="18">
        <v>0.66</v>
      </c>
      <c r="E87" s="18">
        <v>0.67</v>
      </c>
      <c r="F87" s="18">
        <v>0.68</v>
      </c>
      <c r="G87" s="18">
        <v>0.69</v>
      </c>
      <c r="H87" s="18">
        <v>0.69</v>
      </c>
      <c r="I87" s="18">
        <v>0.69</v>
      </c>
      <c r="J87" s="18">
        <v>0.69</v>
      </c>
      <c r="K87" s="18">
        <v>0.69</v>
      </c>
      <c r="L87" s="18">
        <v>0.69</v>
      </c>
      <c r="M87" s="1"/>
      <c r="N87" s="1"/>
    </row>
    <row r="88">
      <c r="A88" s="31" t="s">
        <v>22</v>
      </c>
      <c r="B88" s="29"/>
      <c r="C88" s="24"/>
      <c r="D88" s="18">
        <v>0.6</v>
      </c>
      <c r="E88" s="18">
        <v>0.6</v>
      </c>
      <c r="F88" s="18">
        <v>0.6</v>
      </c>
      <c r="G88" s="18">
        <v>0.6</v>
      </c>
      <c r="H88" s="18">
        <v>0.6</v>
      </c>
      <c r="I88" s="18">
        <v>0.6</v>
      </c>
      <c r="J88" s="18">
        <v>0.6</v>
      </c>
      <c r="K88" s="18">
        <v>0.6</v>
      </c>
      <c r="L88" s="18">
        <v>0.6</v>
      </c>
      <c r="M88" s="1"/>
      <c r="N88" s="1"/>
    </row>
    <row r="89">
      <c r="A89" s="77" t="s">
        <v>580</v>
      </c>
      <c r="B89" s="58"/>
      <c r="C89" s="51"/>
      <c r="D89" s="21">
        <f>CHOOSE($C$5,D86,D87,D88)</f>
        <v>0.64</v>
      </c>
      <c r="E89" s="21">
        <f>CHOOSE($C$5,E86,E87,E88)</f>
        <v>0.65</v>
      </c>
      <c r="F89" s="21">
        <f>CHOOSE($C$5,F86,F87,F88)</f>
        <v>0.65</v>
      </c>
      <c r="G89" s="21">
        <f>CHOOSE($C$5,G86,G87,G88)</f>
        <v>0.66</v>
      </c>
      <c r="H89" s="21">
        <f>CHOOSE($C$5,H86,H87,H88)</f>
        <v>0.66</v>
      </c>
      <c r="I89" s="21">
        <f>CHOOSE($C$5,I86,I87,I88)</f>
        <v>0.66</v>
      </c>
      <c r="J89" s="21">
        <f>CHOOSE($C$5,J86,J87,J88)</f>
        <v>0.66</v>
      </c>
      <c r="K89" s="21">
        <f>CHOOSE($C$5,K86,K87,K88)</f>
        <v>0.66</v>
      </c>
      <c r="L89" s="21">
        <f>CHOOSE($C$5,L86,L87,L88)</f>
        <v>0.66</v>
      </c>
      <c r="M89" s="1"/>
      <c r="N89" s="1"/>
    </row>
    <row r="90">
      <c r="A90" s="16" t="s">
        <v>701</v>
      </c>
      <c r="B90" s="1"/>
      <c r="C90" s="47"/>
      <c r="D90" s="1"/>
      <c r="E90" s="1"/>
      <c r="F90" s="1"/>
      <c r="G90" s="1"/>
      <c r="H90" s="1"/>
      <c r="I90" s="1"/>
      <c r="J90" s="1"/>
      <c r="K90" s="1"/>
      <c r="L90" s="1"/>
      <c r="M90" s="1"/>
      <c r="N90" s="1" t="s">
        <v>702</v>
      </c>
    </row>
    <row r="91">
      <c r="A91" s="31" t="s">
        <v>581</v>
      </c>
      <c r="B91" s="29"/>
      <c r="C91" s="24"/>
      <c r="D91" s="18">
        <v>0.28</v>
      </c>
      <c r="E91" s="18">
        <v>0.25</v>
      </c>
      <c r="F91" s="18">
        <v>0.22</v>
      </c>
      <c r="G91" s="18">
        <v>0.2</v>
      </c>
      <c r="H91" s="18">
        <v>0.18</v>
      </c>
      <c r="I91" s="18">
        <v>0.17</v>
      </c>
      <c r="J91" s="18">
        <v>0.16</v>
      </c>
      <c r="K91" s="18">
        <v>0.15</v>
      </c>
      <c r="L91" s="18">
        <v>0.15</v>
      </c>
      <c r="M91" s="1"/>
      <c r="N91" s="1"/>
    </row>
    <row r="92">
      <c r="A92" s="31" t="s">
        <v>21</v>
      </c>
      <c r="B92" s="29"/>
      <c r="C92" s="24"/>
      <c r="D92" s="18">
        <v>0.27</v>
      </c>
      <c r="E92" s="18">
        <v>0.24</v>
      </c>
      <c r="F92" s="18">
        <v>0.21</v>
      </c>
      <c r="G92" s="18">
        <v>0.19</v>
      </c>
      <c r="H92" s="18">
        <v>0.17</v>
      </c>
      <c r="I92" s="18">
        <v>0.16</v>
      </c>
      <c r="J92" s="18">
        <v>0.15</v>
      </c>
      <c r="K92" s="18">
        <v>0.14</v>
      </c>
      <c r="L92" s="18">
        <v>0.14</v>
      </c>
      <c r="M92" s="1"/>
      <c r="N92" s="1"/>
    </row>
    <row r="93">
      <c r="A93" s="31" t="s">
        <v>22</v>
      </c>
      <c r="B93" s="29"/>
      <c r="C93" s="24"/>
      <c r="D93" s="18">
        <v>0.32</v>
      </c>
      <c r="E93" s="18">
        <v>0.3</v>
      </c>
      <c r="F93" s="18">
        <v>0.28</v>
      </c>
      <c r="G93" s="18">
        <v>0.26</v>
      </c>
      <c r="H93" s="18">
        <v>0.24</v>
      </c>
      <c r="I93" s="18">
        <v>0.22</v>
      </c>
      <c r="J93" s="18">
        <v>0.2</v>
      </c>
      <c r="K93" s="18">
        <v>0.2</v>
      </c>
      <c r="L93" s="18">
        <v>0.2</v>
      </c>
      <c r="M93" s="1"/>
      <c r="N93" s="1"/>
    </row>
    <row r="94">
      <c r="A94" s="77" t="s">
        <v>580</v>
      </c>
      <c r="B94" s="58"/>
      <c r="C94" s="51"/>
      <c r="D94" s="21">
        <f>CHOOSE($C$5,D91,D92,D93)</f>
        <v>0.28</v>
      </c>
      <c r="E94" s="21">
        <f>CHOOSE($C$5,E91,E92,E93)</f>
        <v>0.25</v>
      </c>
      <c r="F94" s="21">
        <f>CHOOSE($C$5,F91,F92,F93)</f>
        <v>0.22</v>
      </c>
      <c r="G94" s="21">
        <f>CHOOSE($C$5,G91,G92,G93)</f>
        <v>0.2</v>
      </c>
      <c r="H94" s="21">
        <f>CHOOSE($C$5,H91,H92,H93)</f>
        <v>0.18</v>
      </c>
      <c r="I94" s="21">
        <f>CHOOSE($C$5,I91,I92,I93)</f>
        <v>0.17</v>
      </c>
      <c r="J94" s="21">
        <f>CHOOSE($C$5,J91,J92,J93)</f>
        <v>0.16</v>
      </c>
      <c r="K94" s="21">
        <f>CHOOSE($C$5,K91,K92,K93)</f>
        <v>0.15</v>
      </c>
      <c r="L94" s="21">
        <f>CHOOSE($C$5,L91,L92,L93)</f>
        <v>0.15</v>
      </c>
      <c r="M94" s="1"/>
      <c r="N94" s="1"/>
    </row>
    <row r="95">
      <c r="A95" s="16" t="s">
        <v>703</v>
      </c>
      <c r="B95" s="1"/>
      <c r="C95" s="47"/>
      <c r="D95" s="1"/>
      <c r="E95" s="1"/>
      <c r="F95" s="1"/>
      <c r="G95" s="1"/>
      <c r="H95" s="1"/>
      <c r="I95" s="1"/>
      <c r="J95" s="1"/>
      <c r="K95" s="1"/>
      <c r="L95" s="1"/>
      <c r="M95" s="1"/>
      <c r="N95" s="1" t="s">
        <v>704</v>
      </c>
    </row>
    <row r="96">
      <c r="A96" s="6" t="s">
        <v>581</v>
      </c>
      <c r="B96" s="1"/>
      <c r="C96" s="17"/>
      <c r="D96" s="23">
        <v>48</v>
      </c>
      <c r="E96" s="23">
        <v>52</v>
      </c>
      <c r="F96" s="23">
        <v>56</v>
      </c>
      <c r="G96" s="23">
        <v>60</v>
      </c>
      <c r="H96" s="23">
        <v>63</v>
      </c>
      <c r="I96" s="23">
        <v>66</v>
      </c>
      <c r="J96" s="23">
        <v>68</v>
      </c>
      <c r="K96" s="23">
        <v>70</v>
      </c>
      <c r="L96" s="23">
        <v>72</v>
      </c>
      <c r="M96" s="1"/>
      <c r="N96" s="1"/>
    </row>
    <row r="97">
      <c r="A97" s="6" t="s">
        <v>21</v>
      </c>
      <c r="B97" s="1"/>
      <c r="C97" s="17"/>
      <c r="D97" s="23">
        <v>52</v>
      </c>
      <c r="E97" s="23">
        <v>60</v>
      </c>
      <c r="F97" s="23">
        <v>68</v>
      </c>
      <c r="G97" s="23">
        <v>76</v>
      </c>
      <c r="H97" s="23">
        <v>84</v>
      </c>
      <c r="I97" s="23">
        <v>90</v>
      </c>
      <c r="J97" s="23">
        <v>95</v>
      </c>
      <c r="K97" s="23">
        <v>100</v>
      </c>
      <c r="L97" s="23">
        <v>105</v>
      </c>
      <c r="M97" s="1"/>
      <c r="N97" s="1"/>
    </row>
    <row r="98">
      <c r="A98" s="6" t="s">
        <v>22</v>
      </c>
      <c r="B98" s="1"/>
      <c r="C98" s="17"/>
      <c r="D98" s="23">
        <v>42</v>
      </c>
      <c r="E98" s="23">
        <v>44</v>
      </c>
      <c r="F98" s="23">
        <v>46</v>
      </c>
      <c r="G98" s="23">
        <v>48</v>
      </c>
      <c r="H98" s="23">
        <v>50</v>
      </c>
      <c r="I98" s="23">
        <v>51</v>
      </c>
      <c r="J98" s="23">
        <v>52</v>
      </c>
      <c r="K98" s="23">
        <v>53</v>
      </c>
      <c r="L98" s="23">
        <v>54</v>
      </c>
      <c r="M98" s="1"/>
      <c r="N98" s="1"/>
    </row>
    <row r="99">
      <c r="A99" s="36" t="s">
        <v>580</v>
      </c>
      <c r="B99" s="41"/>
      <c r="C99" s="53"/>
      <c r="D99" s="33">
        <f>CHOOSE($C$5,D96,D97,D98)</f>
        <v>48</v>
      </c>
      <c r="E99" s="33">
        <f>CHOOSE($C$5,E96,E97,E98)</f>
        <v>52</v>
      </c>
      <c r="F99" s="33">
        <f>CHOOSE($C$5,F96,F97,F98)</f>
        <v>56</v>
      </c>
      <c r="G99" s="33">
        <f>CHOOSE($C$5,G96,G97,G98)</f>
        <v>60</v>
      </c>
      <c r="H99" s="33">
        <f>CHOOSE($C$5,H96,H97,H98)</f>
        <v>63</v>
      </c>
      <c r="I99" s="33">
        <f>CHOOSE($C$5,I96,I97,I98)</f>
        <v>66</v>
      </c>
      <c r="J99" s="33">
        <f>CHOOSE($C$5,J96,J97,J98)</f>
        <v>68</v>
      </c>
      <c r="K99" s="33">
        <f>CHOOSE($C$5,K96,K97,K98)</f>
        <v>70</v>
      </c>
      <c r="L99" s="33">
        <f>CHOOSE($C$5,L96,L97,L98)</f>
        <v>72</v>
      </c>
      <c r="M99" s="1"/>
      <c r="N99" s="1"/>
    </row>
    <row r="100">
      <c r="A100" s="16" t="s">
        <v>705</v>
      </c>
      <c r="B100" s="1"/>
      <c r="C100" s="47"/>
      <c r="D100" s="1"/>
      <c r="E100" s="1"/>
      <c r="F100" s="1"/>
      <c r="G100" s="1"/>
      <c r="H100" s="1"/>
      <c r="I100" s="1"/>
      <c r="J100" s="1"/>
      <c r="K100" s="1"/>
      <c r="L100" s="1"/>
      <c r="M100" s="1"/>
      <c r="N100" s="1" t="s">
        <v>706</v>
      </c>
    </row>
    <row r="101">
      <c r="A101" s="31" t="s">
        <v>581</v>
      </c>
      <c r="B101" s="29"/>
      <c r="C101" s="24"/>
      <c r="D101" s="18">
        <v>0.03</v>
      </c>
      <c r="E101" s="18">
        <v>0.03</v>
      </c>
      <c r="F101" s="18">
        <v>0.03</v>
      </c>
      <c r="G101" s="18">
        <v>0.03</v>
      </c>
      <c r="H101" s="18">
        <v>0.03</v>
      </c>
      <c r="I101" s="18">
        <v>0.03</v>
      </c>
      <c r="J101" s="18">
        <v>0.03</v>
      </c>
      <c r="K101" s="18">
        <v>0.03</v>
      </c>
      <c r="L101" s="18">
        <v>0.03</v>
      </c>
      <c r="M101" s="1"/>
      <c r="N101" s="1"/>
    </row>
    <row r="102">
      <c r="A102" s="31" t="s">
        <v>21</v>
      </c>
      <c r="B102" s="29"/>
      <c r="C102" s="24"/>
      <c r="D102" s="18">
        <v>0.06</v>
      </c>
      <c r="E102" s="18">
        <v>0.06</v>
      </c>
      <c r="F102" s="18">
        <v>0.05</v>
      </c>
      <c r="G102" s="18">
        <v>0.05</v>
      </c>
      <c r="H102" s="18">
        <v>0.05</v>
      </c>
      <c r="I102" s="18">
        <v>0.04</v>
      </c>
      <c r="J102" s="18">
        <v>0.04</v>
      </c>
      <c r="K102" s="18">
        <v>0.04</v>
      </c>
      <c r="L102" s="18">
        <v>0.04</v>
      </c>
      <c r="M102" s="1"/>
      <c r="N102" s="1"/>
    </row>
    <row r="103">
      <c r="A103" s="31" t="s">
        <v>22</v>
      </c>
      <c r="B103" s="29"/>
      <c r="C103" s="24"/>
      <c r="D103" s="18">
        <v>0</v>
      </c>
      <c r="E103" s="18">
        <v>0</v>
      </c>
      <c r="F103" s="18">
        <v>0</v>
      </c>
      <c r="G103" s="18">
        <v>0</v>
      </c>
      <c r="H103" s="18">
        <v>0</v>
      </c>
      <c r="I103" s="18">
        <v>0</v>
      </c>
      <c r="J103" s="18">
        <v>0</v>
      </c>
      <c r="K103" s="18">
        <v>0</v>
      </c>
      <c r="L103" s="18">
        <v>0</v>
      </c>
      <c r="M103" s="1"/>
      <c r="N103" s="1"/>
    </row>
    <row r="104">
      <c r="A104" s="77" t="s">
        <v>580</v>
      </c>
      <c r="B104" s="58"/>
      <c r="C104" s="51"/>
      <c r="D104" s="21">
        <f>CHOOSE($C$5,D101,D102,D103)</f>
        <v>0.03</v>
      </c>
      <c r="E104" s="21">
        <f>CHOOSE($C$5,E101,E102,E103)</f>
        <v>0.03</v>
      </c>
      <c r="F104" s="21">
        <f>CHOOSE($C$5,F101,F102,F103)</f>
        <v>0.03</v>
      </c>
      <c r="G104" s="21">
        <f>CHOOSE($C$5,G101,G102,G103)</f>
        <v>0.03</v>
      </c>
      <c r="H104" s="21">
        <f>CHOOSE($C$5,H101,H102,H103)</f>
        <v>0.03</v>
      </c>
      <c r="I104" s="21">
        <f>CHOOSE($C$5,I101,I102,I103)</f>
        <v>0.03</v>
      </c>
      <c r="J104" s="21">
        <f>CHOOSE($C$5,J101,J102,J103)</f>
        <v>0.03</v>
      </c>
      <c r="K104" s="21">
        <f>CHOOSE($C$5,K101,K102,K103)</f>
        <v>0.03</v>
      </c>
      <c r="L104" s="21">
        <f>CHOOSE($C$5,L101,L102,L103)</f>
        <v>0.03</v>
      </c>
      <c r="M104" s="1"/>
      <c r="N104" s="1"/>
    </row>
    <row r="105">
      <c r="A105" s="16" t="s">
        <v>707</v>
      </c>
      <c r="B105" s="1"/>
      <c r="C105" s="47"/>
      <c r="D105" s="1"/>
      <c r="E105" s="1"/>
      <c r="F105" s="1"/>
      <c r="G105" s="1"/>
      <c r="H105" s="1"/>
      <c r="I105" s="1"/>
      <c r="J105" s="1"/>
      <c r="K105" s="1"/>
      <c r="L105" s="1"/>
      <c r="M105" s="1"/>
      <c r="N105" s="1" t="s">
        <v>708</v>
      </c>
    </row>
    <row r="106">
      <c r="A106" s="31" t="s">
        <v>581</v>
      </c>
      <c r="B106" s="29"/>
      <c r="C106" s="24"/>
      <c r="D106" s="18">
        <v>0.08</v>
      </c>
      <c r="E106" s="18">
        <v>0.08</v>
      </c>
      <c r="F106" s="18">
        <v>0.08</v>
      </c>
      <c r="G106" s="18">
        <v>0.06</v>
      </c>
      <c r="H106" s="18">
        <v>0.06</v>
      </c>
      <c r="I106" s="18">
        <v>0.05</v>
      </c>
      <c r="J106" s="18">
        <v>0.05</v>
      </c>
      <c r="K106" s="18">
        <v>0.04</v>
      </c>
      <c r="L106" s="18">
        <v>0.04</v>
      </c>
      <c r="M106" s="1"/>
      <c r="N106" s="1"/>
    </row>
    <row r="107">
      <c r="A107" s="31" t="s">
        <v>21</v>
      </c>
      <c r="B107" s="29"/>
      <c r="C107" s="24"/>
      <c r="D107" s="18">
        <v>0.15</v>
      </c>
      <c r="E107" s="18">
        <v>0.15</v>
      </c>
      <c r="F107" s="18">
        <v>0.12</v>
      </c>
      <c r="G107" s="18">
        <v>0.1</v>
      </c>
      <c r="H107" s="18">
        <v>0.08</v>
      </c>
      <c r="I107" s="18">
        <v>0.06</v>
      </c>
      <c r="J107" s="18">
        <v>0.06</v>
      </c>
      <c r="K107" s="18">
        <v>0.05</v>
      </c>
      <c r="L107" s="18">
        <v>0.05</v>
      </c>
      <c r="M107" s="1"/>
      <c r="N107" s="1"/>
    </row>
    <row r="108">
      <c r="A108" s="31" t="s">
        <v>22</v>
      </c>
      <c r="B108" s="29"/>
      <c r="C108" s="24"/>
      <c r="D108" s="18">
        <v>-0.05</v>
      </c>
      <c r="E108" s="18">
        <v>0</v>
      </c>
      <c r="F108" s="18">
        <v>0</v>
      </c>
      <c r="G108" s="18">
        <v>0</v>
      </c>
      <c r="H108" s="18">
        <v>0</v>
      </c>
      <c r="I108" s="18">
        <v>0</v>
      </c>
      <c r="J108" s="18">
        <v>0</v>
      </c>
      <c r="K108" s="18">
        <v>0</v>
      </c>
      <c r="L108" s="18">
        <v>0</v>
      </c>
      <c r="M108" s="1"/>
      <c r="N108" s="1"/>
    </row>
    <row r="109">
      <c r="A109" s="77" t="s">
        <v>580</v>
      </c>
      <c r="B109" s="58"/>
      <c r="C109" s="51"/>
      <c r="D109" s="21">
        <f>CHOOSE($C$5,D106,D107,D108)</f>
        <v>0.08</v>
      </c>
      <c r="E109" s="21">
        <f>CHOOSE($C$5,E106,E107,E108)</f>
        <v>0.08</v>
      </c>
      <c r="F109" s="21">
        <f>CHOOSE($C$5,F106,F107,F108)</f>
        <v>0.08</v>
      </c>
      <c r="G109" s="21">
        <f>CHOOSE($C$5,G106,G107,G108)</f>
        <v>0.06</v>
      </c>
      <c r="H109" s="21">
        <f>CHOOSE($C$5,H106,H107,H108)</f>
        <v>0.06</v>
      </c>
      <c r="I109" s="21">
        <f>CHOOSE($C$5,I106,I107,I108)</f>
        <v>0.05</v>
      </c>
      <c r="J109" s="21">
        <f>CHOOSE($C$5,J106,J107,J108)</f>
        <v>0.05</v>
      </c>
      <c r="K109" s="21">
        <f>CHOOSE($C$5,K106,K107,K108)</f>
        <v>0.04</v>
      </c>
      <c r="L109" s="21">
        <f>CHOOSE($C$5,L106,L107,L108)</f>
        <v>0.04</v>
      </c>
      <c r="M109" s="1"/>
      <c r="N109" s="1"/>
    </row>
    <row r="110">
      <c r="A110" s="16" t="s">
        <v>709</v>
      </c>
      <c r="B110" s="1"/>
      <c r="C110" s="47"/>
      <c r="D110" s="1"/>
      <c r="E110" s="1"/>
      <c r="F110" s="1"/>
      <c r="G110" s="1"/>
      <c r="H110" s="1"/>
      <c r="I110" s="1"/>
      <c r="J110" s="1"/>
      <c r="K110" s="1"/>
      <c r="L110" s="1"/>
      <c r="M110" s="1"/>
      <c r="N110" s="1" t="s">
        <v>710</v>
      </c>
    </row>
    <row r="111">
      <c r="A111" s="31" t="s">
        <v>581</v>
      </c>
      <c r="B111" s="29"/>
      <c r="C111" s="24"/>
      <c r="D111" s="18">
        <v>0.15</v>
      </c>
      <c r="E111" s="18">
        <v>0.18</v>
      </c>
      <c r="F111" s="18">
        <v>0.2</v>
      </c>
      <c r="G111" s="18">
        <v>0.22</v>
      </c>
      <c r="H111" s="18">
        <v>0.24</v>
      </c>
      <c r="I111" s="18">
        <v>0.25</v>
      </c>
      <c r="J111" s="18">
        <v>0.25</v>
      </c>
      <c r="K111" s="18">
        <v>0.25</v>
      </c>
      <c r="L111" s="18">
        <v>0.25</v>
      </c>
      <c r="M111" s="1"/>
      <c r="N111" s="1"/>
    </row>
    <row r="112">
      <c r="A112" s="31" t="s">
        <v>21</v>
      </c>
      <c r="B112" s="29"/>
      <c r="C112" s="24"/>
      <c r="D112" s="18">
        <v>0.2</v>
      </c>
      <c r="E112" s="18">
        <v>0.25</v>
      </c>
      <c r="F112" s="18">
        <v>0.28</v>
      </c>
      <c r="G112" s="18">
        <v>0.3</v>
      </c>
      <c r="H112" s="18">
        <v>0.32</v>
      </c>
      <c r="I112" s="18">
        <v>0.33</v>
      </c>
      <c r="J112" s="18">
        <v>0.33</v>
      </c>
      <c r="K112" s="18">
        <v>0.33</v>
      </c>
      <c r="L112" s="18">
        <v>0.33</v>
      </c>
      <c r="M112" s="1"/>
      <c r="N112" s="1"/>
    </row>
    <row r="113">
      <c r="A113" s="31" t="s">
        <v>22</v>
      </c>
      <c r="B113" s="29"/>
      <c r="C113" s="24"/>
      <c r="D113" s="18">
        <v>0.05</v>
      </c>
      <c r="E113" s="18">
        <v>0.08</v>
      </c>
      <c r="F113" s="18">
        <v>0.1</v>
      </c>
      <c r="G113" s="18">
        <v>0.12</v>
      </c>
      <c r="H113" s="18">
        <v>0.12</v>
      </c>
      <c r="I113" s="18">
        <v>0.12</v>
      </c>
      <c r="J113" s="18">
        <v>0.12</v>
      </c>
      <c r="K113" s="18">
        <v>0.12</v>
      </c>
      <c r="L113" s="18">
        <v>0.12</v>
      </c>
      <c r="M113" s="1"/>
      <c r="N113" s="1"/>
    </row>
    <row r="114">
      <c r="A114" s="77" t="s">
        <v>580</v>
      </c>
      <c r="B114" s="58"/>
      <c r="C114" s="51"/>
      <c r="D114" s="21">
        <f>CHOOSE($C$5,D111,D112,D113)</f>
        <v>0.15</v>
      </c>
      <c r="E114" s="21">
        <f>CHOOSE($C$5,E111,E112,E113)</f>
        <v>0.18</v>
      </c>
      <c r="F114" s="21">
        <f>CHOOSE($C$5,F111,F112,F113)</f>
        <v>0.2</v>
      </c>
      <c r="G114" s="21">
        <f>CHOOSE($C$5,G111,G112,G113)</f>
        <v>0.22</v>
      </c>
      <c r="H114" s="21">
        <f>CHOOSE($C$5,H111,H112,H113)</f>
        <v>0.24</v>
      </c>
      <c r="I114" s="21">
        <f>CHOOSE($C$5,I111,I112,I113)</f>
        <v>0.25</v>
      </c>
      <c r="J114" s="21">
        <f>CHOOSE($C$5,J111,J112,J113)</f>
        <v>0.25</v>
      </c>
      <c r="K114" s="21">
        <f>CHOOSE($C$5,K111,K112,K113)</f>
        <v>0.25</v>
      </c>
      <c r="L114" s="21">
        <f>CHOOSE($C$5,L111,L112,L113)</f>
        <v>0.25</v>
      </c>
      <c r="M114" s="1"/>
      <c r="N114" s="1"/>
    </row>
    <row r="115">
      <c r="A115" s="16" t="s">
        <v>711</v>
      </c>
      <c r="B115" s="1"/>
      <c r="C115" s="47"/>
      <c r="D115" s="1"/>
      <c r="E115" s="1"/>
      <c r="F115" s="1"/>
      <c r="G115" s="1"/>
      <c r="H115" s="1"/>
      <c r="I115" s="1"/>
      <c r="J115" s="1"/>
      <c r="K115" s="1"/>
      <c r="L115" s="1"/>
      <c r="M115" s="1"/>
      <c r="N115" s="1" t="s">
        <v>712</v>
      </c>
    </row>
    <row r="116">
      <c r="A116" s="6" t="s">
        <v>581</v>
      </c>
      <c r="B116" s="1"/>
      <c r="C116" s="17"/>
      <c r="D116" s="23">
        <v>5500</v>
      </c>
      <c r="E116" s="23">
        <v>5500</v>
      </c>
      <c r="F116" s="23">
        <v>5000</v>
      </c>
      <c r="G116" s="23">
        <v>4500</v>
      </c>
      <c r="H116" s="23">
        <v>4000</v>
      </c>
      <c r="I116" s="23">
        <v>4000</v>
      </c>
      <c r="J116" s="23">
        <v>4000</v>
      </c>
      <c r="K116" s="23">
        <v>4000</v>
      </c>
      <c r="L116" s="23">
        <v>4000</v>
      </c>
      <c r="M116" s="1"/>
      <c r="N116" s="1"/>
    </row>
    <row r="117">
      <c r="A117" s="6" t="s">
        <v>21</v>
      </c>
      <c r="B117" s="1"/>
      <c r="C117" s="17"/>
      <c r="D117" s="23">
        <v>5500</v>
      </c>
      <c r="E117" s="23">
        <v>5500</v>
      </c>
      <c r="F117" s="23">
        <v>5000</v>
      </c>
      <c r="G117" s="23">
        <v>4500</v>
      </c>
      <c r="H117" s="23">
        <v>4000</v>
      </c>
      <c r="I117" s="23">
        <v>4000</v>
      </c>
      <c r="J117" s="23">
        <v>4000</v>
      </c>
      <c r="K117" s="23">
        <v>4000</v>
      </c>
      <c r="L117" s="23">
        <v>4000</v>
      </c>
      <c r="M117" s="1"/>
      <c r="N117" s="1"/>
    </row>
    <row r="118">
      <c r="A118" s="6" t="s">
        <v>22</v>
      </c>
      <c r="B118" s="1"/>
      <c r="C118" s="17"/>
      <c r="D118" s="23">
        <v>6000</v>
      </c>
      <c r="E118" s="23">
        <v>6000</v>
      </c>
      <c r="F118" s="23">
        <v>5500</v>
      </c>
      <c r="G118" s="23">
        <v>5000</v>
      </c>
      <c r="H118" s="23">
        <v>4500</v>
      </c>
      <c r="I118" s="23">
        <v>4500</v>
      </c>
      <c r="J118" s="23">
        <v>4500</v>
      </c>
      <c r="K118" s="23">
        <v>4500</v>
      </c>
      <c r="L118" s="23">
        <v>4500</v>
      </c>
      <c r="M118" s="1"/>
      <c r="N118" s="1"/>
    </row>
    <row r="119">
      <c r="A119" s="36" t="s">
        <v>580</v>
      </c>
      <c r="B119" s="41"/>
      <c r="C119" s="53"/>
      <c r="D119" s="33">
        <f>CHOOSE($C$5,D116,D117,D118)</f>
        <v>5500</v>
      </c>
      <c r="E119" s="33">
        <f>CHOOSE($C$5,E116,E117,E118)</f>
        <v>5500</v>
      </c>
      <c r="F119" s="33">
        <f>CHOOSE($C$5,F116,F117,F118)</f>
        <v>5000</v>
      </c>
      <c r="G119" s="33">
        <f>CHOOSE($C$5,G116,G117,G118)</f>
        <v>4500</v>
      </c>
      <c r="H119" s="33">
        <f>CHOOSE($C$5,H116,H117,H118)</f>
        <v>4000</v>
      </c>
      <c r="I119" s="33">
        <f>CHOOSE($C$5,I116,I117,I118)</f>
        <v>4000</v>
      </c>
      <c r="J119" s="33">
        <f>CHOOSE($C$5,J116,J117,J118)</f>
        <v>4000</v>
      </c>
      <c r="K119" s="33">
        <f>CHOOSE($C$5,K116,K117,K118)</f>
        <v>4000</v>
      </c>
      <c r="L119" s="33">
        <f>CHOOSE($C$5,L116,L117,L118)</f>
        <v>4000</v>
      </c>
      <c r="M119" s="1"/>
      <c r="N119" s="1"/>
    </row>
    <row r="120">
      <c r="A120" s="16" t="s">
        <v>713</v>
      </c>
      <c r="B120" s="1"/>
      <c r="C120" s="47"/>
      <c r="D120" s="1"/>
      <c r="E120" s="1"/>
      <c r="F120" s="1"/>
      <c r="G120" s="1"/>
      <c r="H120" s="1"/>
      <c r="I120" s="1"/>
      <c r="J120" s="1"/>
      <c r="K120" s="1"/>
      <c r="L120" s="1"/>
      <c r="M120" s="1"/>
      <c r="N120" s="1" t="s">
        <v>714</v>
      </c>
    </row>
    <row r="121">
      <c r="A121" s="6" t="s">
        <v>581</v>
      </c>
      <c r="B121" s="1"/>
      <c r="C121" s="27"/>
      <c r="D121" s="3">
        <v>3.6</v>
      </c>
      <c r="E121" s="3">
        <v>5.2</v>
      </c>
      <c r="F121" s="3">
        <v>6.8</v>
      </c>
      <c r="G121" s="3">
        <v>8.4</v>
      </c>
      <c r="H121" s="3">
        <v>9.8</v>
      </c>
      <c r="I121" s="3">
        <v>11</v>
      </c>
      <c r="J121" s="3">
        <v>12</v>
      </c>
      <c r="K121" s="3">
        <v>12.8</v>
      </c>
      <c r="L121" s="3">
        <v>13.5</v>
      </c>
      <c r="M121" s="1"/>
      <c r="N121" s="1"/>
    </row>
    <row r="122">
      <c r="A122" s="6" t="s">
        <v>21</v>
      </c>
      <c r="B122" s="1"/>
      <c r="C122" s="27"/>
      <c r="D122" s="3">
        <v>4.2</v>
      </c>
      <c r="E122" s="3">
        <v>6.5</v>
      </c>
      <c r="F122" s="3">
        <v>9</v>
      </c>
      <c r="G122" s="3">
        <v>11.5</v>
      </c>
      <c r="H122" s="3">
        <v>14</v>
      </c>
      <c r="I122" s="3">
        <v>16</v>
      </c>
      <c r="J122" s="3">
        <v>17.5</v>
      </c>
      <c r="K122" s="3">
        <v>18.5</v>
      </c>
      <c r="L122" s="3">
        <v>19.5</v>
      </c>
      <c r="M122" s="1"/>
      <c r="N122" s="1"/>
    </row>
    <row r="123">
      <c r="A123" s="6" t="s">
        <v>22</v>
      </c>
      <c r="B123" s="1"/>
      <c r="C123" s="27"/>
      <c r="D123" s="3">
        <v>2.8</v>
      </c>
      <c r="E123" s="3">
        <v>3.4</v>
      </c>
      <c r="F123" s="3">
        <v>3.9</v>
      </c>
      <c r="G123" s="3">
        <v>4.3</v>
      </c>
      <c r="H123" s="3">
        <v>4.6</v>
      </c>
      <c r="I123" s="3">
        <v>4.9</v>
      </c>
      <c r="J123" s="3">
        <v>5.1</v>
      </c>
      <c r="K123" s="3">
        <v>5.3</v>
      </c>
      <c r="L123" s="3">
        <v>5.5</v>
      </c>
      <c r="M123" s="1"/>
      <c r="N123" s="1"/>
    </row>
    <row r="124">
      <c r="A124" s="36" t="s">
        <v>580</v>
      </c>
      <c r="B124" s="41"/>
      <c r="C124" s="76"/>
      <c r="D124" s="15">
        <f>CHOOSE($C$5,D121,D122,D123)</f>
        <v>3.6</v>
      </c>
      <c r="E124" s="15">
        <f>CHOOSE($C$5,E121,E122,E123)</f>
        <v>5.2</v>
      </c>
      <c r="F124" s="15">
        <f>CHOOSE($C$5,F121,F122,F123)</f>
        <v>6.8</v>
      </c>
      <c r="G124" s="15">
        <f>CHOOSE($C$5,G121,G122,G123)</f>
        <v>8.4</v>
      </c>
      <c r="H124" s="15">
        <f>CHOOSE($C$5,H121,H122,H123)</f>
        <v>9.8</v>
      </c>
      <c r="I124" s="15">
        <f>CHOOSE($C$5,I121,I122,I123)</f>
        <v>11</v>
      </c>
      <c r="J124" s="15">
        <f>CHOOSE($C$5,J121,J122,J123)</f>
        <v>12</v>
      </c>
      <c r="K124" s="15">
        <f>CHOOSE($C$5,K121,K122,K123)</f>
        <v>12.8</v>
      </c>
      <c r="L124" s="15">
        <f>CHOOSE($C$5,L121,L122,L123)</f>
        <v>13.5</v>
      </c>
      <c r="M124" s="1"/>
      <c r="N124" s="1"/>
    </row>
    <row r="125">
      <c r="A125" s="16" t="s">
        <v>715</v>
      </c>
      <c r="B125" s="1"/>
      <c r="C125" s="47"/>
      <c r="D125" s="1"/>
      <c r="E125" s="1"/>
      <c r="F125" s="1"/>
      <c r="G125" s="1"/>
      <c r="H125" s="1"/>
      <c r="I125" s="1"/>
      <c r="J125" s="1"/>
      <c r="K125" s="1"/>
      <c r="L125" s="1"/>
      <c r="M125" s="1"/>
      <c r="N125" s="1" t="s">
        <v>716</v>
      </c>
    </row>
    <row r="126">
      <c r="A126" s="6" t="s">
        <v>581</v>
      </c>
      <c r="B126" s="1"/>
      <c r="C126" s="27"/>
      <c r="D126" s="3">
        <v>15.5</v>
      </c>
      <c r="E126" s="3">
        <v>14.9</v>
      </c>
      <c r="F126" s="3">
        <v>14.4</v>
      </c>
      <c r="G126" s="3">
        <v>14</v>
      </c>
      <c r="H126" s="3">
        <v>13.7</v>
      </c>
      <c r="I126" s="3">
        <v>13.4</v>
      </c>
      <c r="J126" s="3">
        <v>13.2</v>
      </c>
      <c r="K126" s="3">
        <v>13</v>
      </c>
      <c r="L126" s="3">
        <v>12.8</v>
      </c>
      <c r="M126" s="1"/>
      <c r="N126" s="1"/>
    </row>
    <row r="127">
      <c r="A127" s="6" t="s">
        <v>21</v>
      </c>
      <c r="B127" s="1"/>
      <c r="C127" s="27"/>
      <c r="D127" s="3">
        <v>16.5</v>
      </c>
      <c r="E127" s="3">
        <v>16</v>
      </c>
      <c r="F127" s="3">
        <v>15.6</v>
      </c>
      <c r="G127" s="3">
        <v>15.3</v>
      </c>
      <c r="H127" s="3">
        <v>15</v>
      </c>
      <c r="I127" s="3">
        <v>14.8</v>
      </c>
      <c r="J127" s="3">
        <v>14.6</v>
      </c>
      <c r="K127" s="3">
        <v>14.5</v>
      </c>
      <c r="L127" s="3">
        <v>14.4</v>
      </c>
      <c r="M127" s="1"/>
      <c r="N127" s="1"/>
    </row>
    <row r="128">
      <c r="A128" s="6" t="s">
        <v>22</v>
      </c>
      <c r="B128" s="1"/>
      <c r="C128" s="27"/>
      <c r="D128" s="3">
        <v>13.5</v>
      </c>
      <c r="E128" s="3">
        <v>12.3</v>
      </c>
      <c r="F128" s="3">
        <v>11.4</v>
      </c>
      <c r="G128" s="3">
        <v>10.8</v>
      </c>
      <c r="H128" s="3">
        <v>10.3</v>
      </c>
      <c r="I128" s="3">
        <v>9.9</v>
      </c>
      <c r="J128" s="3">
        <v>9.6</v>
      </c>
      <c r="K128" s="3">
        <v>9.4</v>
      </c>
      <c r="L128" s="3">
        <v>9.2</v>
      </c>
      <c r="M128" s="1"/>
      <c r="N128" s="1"/>
    </row>
    <row r="129">
      <c r="A129" s="36" t="s">
        <v>580</v>
      </c>
      <c r="B129" s="41"/>
      <c r="C129" s="76"/>
      <c r="D129" s="15">
        <f>CHOOSE($C$5,D126,D127,D128)</f>
        <v>15.5</v>
      </c>
      <c r="E129" s="15">
        <f>CHOOSE($C$5,E126,E127,E128)</f>
        <v>14.9</v>
      </c>
      <c r="F129" s="15">
        <f>CHOOSE($C$5,F126,F127,F128)</f>
        <v>14.4</v>
      </c>
      <c r="G129" s="15">
        <f>CHOOSE($C$5,G126,G127,G128)</f>
        <v>14</v>
      </c>
      <c r="H129" s="15">
        <f>CHOOSE($C$5,H126,H127,H128)</f>
        <v>13.7</v>
      </c>
      <c r="I129" s="15">
        <f>CHOOSE($C$5,I126,I127,I128)</f>
        <v>13.4</v>
      </c>
      <c r="J129" s="15">
        <f>CHOOSE($C$5,J126,J127,J128)</f>
        <v>13.2</v>
      </c>
      <c r="K129" s="15">
        <f>CHOOSE($C$5,K126,K127,K128)</f>
        <v>13</v>
      </c>
      <c r="L129" s="15">
        <f>CHOOSE($C$5,L126,L127,L128)</f>
        <v>12.8</v>
      </c>
      <c r="M129" s="1"/>
      <c r="N129" s="1"/>
    </row>
    <row r="130">
      <c r="A130" s="16" t="s">
        <v>717</v>
      </c>
      <c r="B130" s="1"/>
      <c r="C130" s="47"/>
      <c r="D130" s="1"/>
      <c r="E130" s="1"/>
      <c r="F130" s="1"/>
      <c r="G130" s="1"/>
      <c r="H130" s="1"/>
      <c r="I130" s="1"/>
      <c r="J130" s="1"/>
      <c r="K130" s="1"/>
      <c r="L130" s="1"/>
      <c r="M130" s="1"/>
      <c r="N130" s="1" t="s">
        <v>718</v>
      </c>
    </row>
    <row r="131">
      <c r="A131" s="6" t="s">
        <v>581</v>
      </c>
      <c r="B131" s="1"/>
      <c r="C131" s="27"/>
      <c r="D131" s="3">
        <v>42</v>
      </c>
      <c r="E131" s="3">
        <v>40</v>
      </c>
      <c r="F131" s="3">
        <v>37</v>
      </c>
      <c r="G131" s="3">
        <v>35</v>
      </c>
      <c r="H131" s="3">
        <v>33</v>
      </c>
      <c r="I131" s="3">
        <v>31</v>
      </c>
      <c r="J131" s="3">
        <v>29</v>
      </c>
      <c r="K131" s="3">
        <v>28</v>
      </c>
      <c r="L131" s="3">
        <v>27</v>
      </c>
      <c r="M131" s="1"/>
      <c r="N131" s="1"/>
    </row>
    <row r="132">
      <c r="A132" s="6" t="s">
        <v>21</v>
      </c>
      <c r="B132" s="1"/>
      <c r="C132" s="27"/>
      <c r="D132" s="3">
        <v>40</v>
      </c>
      <c r="E132" s="3">
        <v>37</v>
      </c>
      <c r="F132" s="3">
        <v>34</v>
      </c>
      <c r="G132" s="3">
        <v>32</v>
      </c>
      <c r="H132" s="3">
        <v>30</v>
      </c>
      <c r="I132" s="3">
        <v>28</v>
      </c>
      <c r="J132" s="3">
        <v>27</v>
      </c>
      <c r="K132" s="3">
        <v>26</v>
      </c>
      <c r="L132" s="3">
        <v>25</v>
      </c>
      <c r="M132" s="1"/>
      <c r="N132" s="1"/>
    </row>
    <row r="133">
      <c r="A133" s="6" t="s">
        <v>22</v>
      </c>
      <c r="B133" s="1"/>
      <c r="C133" s="27"/>
      <c r="D133" s="3">
        <v>45</v>
      </c>
      <c r="E133" s="3">
        <v>42</v>
      </c>
      <c r="F133" s="3">
        <v>39</v>
      </c>
      <c r="G133" s="3">
        <v>36</v>
      </c>
      <c r="H133" s="3">
        <v>34</v>
      </c>
      <c r="I133" s="3">
        <v>32</v>
      </c>
      <c r="J133" s="3">
        <v>31</v>
      </c>
      <c r="K133" s="3">
        <v>30</v>
      </c>
      <c r="L133" s="3">
        <v>29</v>
      </c>
      <c r="M133" s="1"/>
      <c r="N133" s="1"/>
    </row>
    <row r="134">
      <c r="A134" s="36" t="s">
        <v>580</v>
      </c>
      <c r="B134" s="41"/>
      <c r="C134" s="76"/>
      <c r="D134" s="15">
        <f>CHOOSE($C$5,D131,D132,D133)</f>
        <v>42</v>
      </c>
      <c r="E134" s="15">
        <f>CHOOSE($C$5,E131,E132,E133)</f>
        <v>40</v>
      </c>
      <c r="F134" s="15">
        <f>CHOOSE($C$5,F131,F132,F133)</f>
        <v>37</v>
      </c>
      <c r="G134" s="15">
        <f>CHOOSE($C$5,G131,G132,G133)</f>
        <v>35</v>
      </c>
      <c r="H134" s="15">
        <f>CHOOSE($C$5,H131,H132,H133)</f>
        <v>33</v>
      </c>
      <c r="I134" s="15">
        <f>CHOOSE($C$5,I131,I132,I133)</f>
        <v>31</v>
      </c>
      <c r="J134" s="15">
        <f>CHOOSE($C$5,J131,J132,J133)</f>
        <v>29</v>
      </c>
      <c r="K134" s="15">
        <f>CHOOSE($C$5,K131,K132,K133)</f>
        <v>28</v>
      </c>
      <c r="L134" s="15">
        <f>CHOOSE($C$5,L131,L132,L133)</f>
        <v>27</v>
      </c>
      <c r="M134" s="1"/>
      <c r="N134" s="1"/>
    </row>
    <row r="135">
      <c r="A135" s="16" t="s">
        <v>719</v>
      </c>
      <c r="B135" s="1"/>
      <c r="C135" s="47"/>
      <c r="D135" s="1"/>
      <c r="E135" s="1"/>
      <c r="F135" s="1"/>
      <c r="G135" s="1"/>
      <c r="H135" s="1"/>
      <c r="I135" s="1"/>
      <c r="J135" s="1"/>
      <c r="K135" s="1"/>
      <c r="L135" s="1"/>
      <c r="M135" s="1"/>
      <c r="N135" s="1" t="s">
        <v>720</v>
      </c>
    </row>
    <row r="136">
      <c r="A136" s="31" t="s">
        <v>581</v>
      </c>
      <c r="B136" s="29"/>
      <c r="C136" s="24"/>
      <c r="D136" s="18">
        <v>0.6</v>
      </c>
      <c r="E136" s="18">
        <v>0.4</v>
      </c>
      <c r="F136" s="18">
        <v>0.3</v>
      </c>
      <c r="G136" s="18">
        <v>0.22</v>
      </c>
      <c r="H136" s="18">
        <v>0.16</v>
      </c>
      <c r="I136" s="18">
        <v>0.12</v>
      </c>
      <c r="J136" s="18">
        <v>0.1</v>
      </c>
      <c r="K136" s="18">
        <v>0.08</v>
      </c>
      <c r="L136" s="18">
        <v>0.06</v>
      </c>
      <c r="M136" s="1"/>
      <c r="N136" s="1"/>
    </row>
    <row r="137">
      <c r="A137" s="31" t="s">
        <v>21</v>
      </c>
      <c r="B137" s="29"/>
      <c r="C137" s="24"/>
      <c r="D137" s="18">
        <v>0.9</v>
      </c>
      <c r="E137" s="18">
        <v>0.55</v>
      </c>
      <c r="F137" s="18">
        <v>0.38</v>
      </c>
      <c r="G137" s="18">
        <v>0.28</v>
      </c>
      <c r="H137" s="18">
        <v>0.2</v>
      </c>
      <c r="I137" s="18">
        <v>0.15</v>
      </c>
      <c r="J137" s="18">
        <v>0.12</v>
      </c>
      <c r="K137" s="18">
        <v>0.1</v>
      </c>
      <c r="L137" s="18">
        <v>0.08</v>
      </c>
      <c r="M137" s="1"/>
      <c r="N137" s="1"/>
    </row>
    <row r="138">
      <c r="A138" s="31" t="s">
        <v>22</v>
      </c>
      <c r="B138" s="29"/>
      <c r="C138" s="24"/>
      <c r="D138" s="18">
        <v>0.25</v>
      </c>
      <c r="E138" s="18">
        <v>0.15</v>
      </c>
      <c r="F138" s="18">
        <v>0.1</v>
      </c>
      <c r="G138" s="18">
        <v>0.08</v>
      </c>
      <c r="H138" s="18">
        <v>0.06</v>
      </c>
      <c r="I138" s="18">
        <v>0.05</v>
      </c>
      <c r="J138" s="18">
        <v>0.04</v>
      </c>
      <c r="K138" s="18">
        <v>0.03</v>
      </c>
      <c r="L138" s="18">
        <v>0.03</v>
      </c>
      <c r="M138" s="1"/>
      <c r="N138" s="1"/>
    </row>
    <row r="139">
      <c r="A139" s="77" t="s">
        <v>580</v>
      </c>
      <c r="B139" s="58"/>
      <c r="C139" s="51"/>
      <c r="D139" s="21">
        <f>CHOOSE($C$5,D136,D137,D138)</f>
        <v>0.6</v>
      </c>
      <c r="E139" s="21">
        <f>CHOOSE($C$5,E136,E137,E138)</f>
        <v>0.4</v>
      </c>
      <c r="F139" s="21">
        <f>CHOOSE($C$5,F136,F137,F138)</f>
        <v>0.3</v>
      </c>
      <c r="G139" s="21">
        <f>CHOOSE($C$5,G136,G137,G138)</f>
        <v>0.22</v>
      </c>
      <c r="H139" s="21">
        <f>CHOOSE($C$5,H136,H137,H138)</f>
        <v>0.16</v>
      </c>
      <c r="I139" s="21">
        <f>CHOOSE($C$5,I136,I137,I138)</f>
        <v>0.12</v>
      </c>
      <c r="J139" s="21">
        <f>CHOOSE($C$5,J136,J137,J138)</f>
        <v>0.1</v>
      </c>
      <c r="K139" s="21">
        <f>CHOOSE($C$5,K136,K137,K138)</f>
        <v>0.08</v>
      </c>
      <c r="L139" s="21">
        <f>CHOOSE($C$5,L136,L137,L138)</f>
        <v>0.06</v>
      </c>
      <c r="M139" s="1"/>
      <c r="N139" s="1"/>
    </row>
    <row r="140">
      <c r="A140" s="16" t="s">
        <v>721</v>
      </c>
      <c r="B140" s="1"/>
      <c r="C140" s="47"/>
      <c r="D140" s="1"/>
      <c r="E140" s="1"/>
      <c r="F140" s="1"/>
      <c r="G140" s="1"/>
      <c r="H140" s="1"/>
      <c r="I140" s="1"/>
      <c r="J140" s="1"/>
      <c r="K140" s="1"/>
      <c r="L140" s="1"/>
      <c r="M140" s="1"/>
      <c r="N140" s="1" t="s">
        <v>722</v>
      </c>
    </row>
    <row r="141">
      <c r="A141" s="31" t="s">
        <v>581</v>
      </c>
      <c r="B141" s="29"/>
      <c r="C141" s="24"/>
      <c r="D141" s="18">
        <v>0.03</v>
      </c>
      <c r="E141" s="18">
        <v>0.03</v>
      </c>
      <c r="F141" s="18">
        <v>0.03</v>
      </c>
      <c r="G141" s="18">
        <v>0.03</v>
      </c>
      <c r="H141" s="18">
        <v>0.03</v>
      </c>
      <c r="I141" s="18">
        <v>0.03</v>
      </c>
      <c r="J141" s="18">
        <v>0.03</v>
      </c>
      <c r="K141" s="18">
        <v>0.03</v>
      </c>
      <c r="L141" s="18">
        <v>0.03</v>
      </c>
      <c r="M141" s="1"/>
      <c r="N141" s="1"/>
    </row>
    <row r="142">
      <c r="A142" s="31" t="s">
        <v>21</v>
      </c>
      <c r="B142" s="29"/>
      <c r="C142" s="24"/>
      <c r="D142" s="18">
        <v>0.08</v>
      </c>
      <c r="E142" s="18">
        <v>0.08</v>
      </c>
      <c r="F142" s="18">
        <v>0.07</v>
      </c>
      <c r="G142" s="18">
        <v>0.06</v>
      </c>
      <c r="H142" s="18">
        <v>0.05</v>
      </c>
      <c r="I142" s="18">
        <v>0.05</v>
      </c>
      <c r="J142" s="18">
        <v>0.04</v>
      </c>
      <c r="K142" s="18">
        <v>0.04</v>
      </c>
      <c r="L142" s="18">
        <v>0.04</v>
      </c>
      <c r="M142" s="1"/>
      <c r="N142" s="1"/>
    </row>
    <row r="143">
      <c r="A143" s="31" t="s">
        <v>22</v>
      </c>
      <c r="B143" s="29"/>
      <c r="C143" s="24"/>
      <c r="D143" s="18">
        <v>-0.05</v>
      </c>
      <c r="E143" s="18">
        <v>-0.03</v>
      </c>
      <c r="F143" s="18">
        <v>0</v>
      </c>
      <c r="G143" s="18">
        <v>0</v>
      </c>
      <c r="H143" s="18">
        <v>0</v>
      </c>
      <c r="I143" s="18">
        <v>0</v>
      </c>
      <c r="J143" s="18">
        <v>0</v>
      </c>
      <c r="K143" s="18">
        <v>0</v>
      </c>
      <c r="L143" s="18">
        <v>0</v>
      </c>
      <c r="M143" s="1"/>
      <c r="N143" s="1"/>
    </row>
    <row r="144">
      <c r="A144" s="77" t="s">
        <v>580</v>
      </c>
      <c r="B144" s="58"/>
      <c r="C144" s="51"/>
      <c r="D144" s="21">
        <f>CHOOSE($C$5,D141,D142,D143)</f>
        <v>0.03</v>
      </c>
      <c r="E144" s="21">
        <f>CHOOSE($C$5,E141,E142,E143)</f>
        <v>0.03</v>
      </c>
      <c r="F144" s="21">
        <f>CHOOSE($C$5,F141,F142,F143)</f>
        <v>0.03</v>
      </c>
      <c r="G144" s="21">
        <f>CHOOSE($C$5,G141,G142,G143)</f>
        <v>0.03</v>
      </c>
      <c r="H144" s="21">
        <f>CHOOSE($C$5,H141,H142,H143)</f>
        <v>0.03</v>
      </c>
      <c r="I144" s="21">
        <f>CHOOSE($C$5,I141,I142,I143)</f>
        <v>0.03</v>
      </c>
      <c r="J144" s="21">
        <f>CHOOSE($C$5,J141,J142,J143)</f>
        <v>0.03</v>
      </c>
      <c r="K144" s="21">
        <f>CHOOSE($C$5,K141,K142,K143)</f>
        <v>0.03</v>
      </c>
      <c r="L144" s="21">
        <f>CHOOSE($C$5,L141,L142,L143)</f>
        <v>0.03</v>
      </c>
      <c r="M144" s="1"/>
      <c r="N144" s="1"/>
    </row>
    <row r="145">
      <c r="A145" s="16" t="s">
        <v>723</v>
      </c>
      <c r="B145" s="1"/>
      <c r="C145" s="47"/>
      <c r="D145" s="1"/>
      <c r="E145" s="1"/>
      <c r="F145" s="1"/>
      <c r="G145" s="1"/>
      <c r="H145" s="1"/>
      <c r="I145" s="1"/>
      <c r="J145" s="1"/>
      <c r="K145" s="1"/>
      <c r="L145" s="1"/>
      <c r="M145" s="1"/>
      <c r="N145" s="1" t="s">
        <v>724</v>
      </c>
    </row>
    <row r="146">
      <c r="A146" s="31" t="s">
        <v>581</v>
      </c>
      <c r="B146" s="29"/>
      <c r="C146" s="24"/>
      <c r="D146" s="18">
        <v>0.6</v>
      </c>
      <c r="E146" s="18">
        <v>0.6</v>
      </c>
      <c r="F146" s="18">
        <v>0.6</v>
      </c>
      <c r="G146" s="18">
        <v>0.6</v>
      </c>
      <c r="H146" s="18">
        <v>0.6</v>
      </c>
      <c r="I146" s="18">
        <v>0.6</v>
      </c>
      <c r="J146" s="18">
        <v>0.6</v>
      </c>
      <c r="K146" s="18">
        <v>0.6</v>
      </c>
      <c r="L146" s="18">
        <v>0.6</v>
      </c>
      <c r="M146" s="1"/>
      <c r="N146" s="1"/>
    </row>
    <row r="147">
      <c r="A147" s="31" t="s">
        <v>21</v>
      </c>
      <c r="B147" s="29"/>
      <c r="C147" s="24"/>
      <c r="D147" s="18">
        <v>0.62</v>
      </c>
      <c r="E147" s="18">
        <v>0.62</v>
      </c>
      <c r="F147" s="18">
        <v>0.62</v>
      </c>
      <c r="G147" s="18">
        <v>0.62</v>
      </c>
      <c r="H147" s="18">
        <v>0.62</v>
      </c>
      <c r="I147" s="18">
        <v>0.62</v>
      </c>
      <c r="J147" s="18">
        <v>0.62</v>
      </c>
      <c r="K147" s="18">
        <v>0.62</v>
      </c>
      <c r="L147" s="18">
        <v>0.62</v>
      </c>
      <c r="M147" s="1"/>
      <c r="N147" s="1"/>
    </row>
    <row r="148">
      <c r="A148" s="31" t="s">
        <v>22</v>
      </c>
      <c r="B148" s="29"/>
      <c r="C148" s="24"/>
      <c r="D148" s="18">
        <v>0.5</v>
      </c>
      <c r="E148" s="18">
        <v>0.49</v>
      </c>
      <c r="F148" s="18">
        <v>0.48</v>
      </c>
      <c r="G148" s="18">
        <v>0.47</v>
      </c>
      <c r="H148" s="18">
        <v>0.47</v>
      </c>
      <c r="I148" s="18">
        <v>0.47</v>
      </c>
      <c r="J148" s="18">
        <v>0.47</v>
      </c>
      <c r="K148" s="18">
        <v>0.47</v>
      </c>
      <c r="L148" s="18">
        <v>0.47</v>
      </c>
      <c r="M148" s="1"/>
      <c r="N148" s="1"/>
    </row>
    <row r="149">
      <c r="A149" s="77" t="s">
        <v>580</v>
      </c>
      <c r="B149" s="58"/>
      <c r="C149" s="51"/>
      <c r="D149" s="21">
        <f>CHOOSE($C$5,D146,D147,D148)</f>
        <v>0.6</v>
      </c>
      <c r="E149" s="21">
        <f>CHOOSE($C$5,E146,E147,E148)</f>
        <v>0.6</v>
      </c>
      <c r="F149" s="21">
        <f>CHOOSE($C$5,F146,F147,F148)</f>
        <v>0.6</v>
      </c>
      <c r="G149" s="21">
        <f>CHOOSE($C$5,G146,G147,G148)</f>
        <v>0.6</v>
      </c>
      <c r="H149" s="21">
        <f>CHOOSE($C$5,H146,H147,H148)</f>
        <v>0.6</v>
      </c>
      <c r="I149" s="21">
        <f>CHOOSE($C$5,I146,I147,I148)</f>
        <v>0.6</v>
      </c>
      <c r="J149" s="21">
        <f>CHOOSE($C$5,J146,J147,J148)</f>
        <v>0.6</v>
      </c>
      <c r="K149" s="21">
        <f>CHOOSE($C$5,K146,K147,K148)</f>
        <v>0.6</v>
      </c>
      <c r="L149" s="21">
        <f>CHOOSE($C$5,L146,L147,L148)</f>
        <v>0.6</v>
      </c>
      <c r="M149" s="1"/>
      <c r="N149" s="1"/>
    </row>
    <row r="150">
      <c r="A150" s="16" t="s">
        <v>725</v>
      </c>
      <c r="B150" s="1"/>
      <c r="C150" s="47"/>
      <c r="D150" s="1"/>
      <c r="E150" s="1"/>
      <c r="F150" s="1"/>
      <c r="G150" s="1"/>
      <c r="H150" s="1"/>
      <c r="I150" s="1"/>
      <c r="J150" s="1"/>
      <c r="K150" s="1"/>
      <c r="L150" s="1"/>
      <c r="M150" s="1"/>
      <c r="N150" s="1" t="s">
        <v>726</v>
      </c>
    </row>
    <row r="151">
      <c r="A151" s="31" t="s">
        <v>581</v>
      </c>
      <c r="B151" s="29"/>
      <c r="C151" s="24"/>
      <c r="D151" s="18">
        <v>0.26</v>
      </c>
      <c r="E151" s="18">
        <v>0.22</v>
      </c>
      <c r="F151" s="18">
        <v>0.19</v>
      </c>
      <c r="G151" s="18">
        <v>0.17</v>
      </c>
      <c r="H151" s="18">
        <v>0.15</v>
      </c>
      <c r="I151" s="18">
        <v>0.15</v>
      </c>
      <c r="J151" s="18">
        <v>0.15</v>
      </c>
      <c r="K151" s="18">
        <v>0.15</v>
      </c>
      <c r="L151" s="18">
        <v>0.15</v>
      </c>
      <c r="M151" s="1"/>
      <c r="N151" s="1"/>
    </row>
    <row r="152">
      <c r="A152" s="31" t="s">
        <v>21</v>
      </c>
      <c r="B152" s="29"/>
      <c r="C152" s="24"/>
      <c r="D152" s="18">
        <v>0.28</v>
      </c>
      <c r="E152" s="18">
        <v>0.25</v>
      </c>
      <c r="F152" s="18">
        <v>0.22</v>
      </c>
      <c r="G152" s="18">
        <v>0.2</v>
      </c>
      <c r="H152" s="18">
        <v>0.18</v>
      </c>
      <c r="I152" s="18">
        <v>0.18</v>
      </c>
      <c r="J152" s="18">
        <v>0.18</v>
      </c>
      <c r="K152" s="18">
        <v>0.18</v>
      </c>
      <c r="L152" s="18">
        <v>0.18</v>
      </c>
      <c r="M152" s="1"/>
      <c r="N152" s="1"/>
    </row>
    <row r="153">
      <c r="A153" s="31" t="s">
        <v>22</v>
      </c>
      <c r="B153" s="29"/>
      <c r="C153" s="24"/>
      <c r="D153" s="18">
        <v>0.22</v>
      </c>
      <c r="E153" s="18">
        <v>0.17</v>
      </c>
      <c r="F153" s="18">
        <v>0.14</v>
      </c>
      <c r="G153" s="18">
        <v>0.12</v>
      </c>
      <c r="H153" s="18">
        <v>0.1</v>
      </c>
      <c r="I153" s="18">
        <v>0.1</v>
      </c>
      <c r="J153" s="18">
        <v>0.1</v>
      </c>
      <c r="K153" s="18">
        <v>0.1</v>
      </c>
      <c r="L153" s="18">
        <v>0.1</v>
      </c>
      <c r="M153" s="1"/>
      <c r="N153" s="1"/>
    </row>
    <row r="154">
      <c r="A154" s="77" t="s">
        <v>580</v>
      </c>
      <c r="B154" s="58"/>
      <c r="C154" s="51"/>
      <c r="D154" s="21">
        <f>CHOOSE($C$5,D151,D152,D153)</f>
        <v>0.26</v>
      </c>
      <c r="E154" s="21">
        <f>CHOOSE($C$5,E151,E152,E153)</f>
        <v>0.22</v>
      </c>
      <c r="F154" s="21">
        <f>CHOOSE($C$5,F151,F152,F153)</f>
        <v>0.19</v>
      </c>
      <c r="G154" s="21">
        <f>CHOOSE($C$5,G151,G152,G153)</f>
        <v>0.17</v>
      </c>
      <c r="H154" s="21">
        <f>CHOOSE($C$5,H151,H152,H153)</f>
        <v>0.15</v>
      </c>
      <c r="I154" s="21">
        <f>CHOOSE($C$5,I151,I152,I153)</f>
        <v>0.15</v>
      </c>
      <c r="J154" s="21">
        <f>CHOOSE($C$5,J151,J152,J153)</f>
        <v>0.15</v>
      </c>
      <c r="K154" s="21">
        <f>CHOOSE($C$5,K151,K152,K153)</f>
        <v>0.15</v>
      </c>
      <c r="L154" s="21">
        <f>CHOOSE($C$5,L151,L152,L153)</f>
        <v>0.15</v>
      </c>
      <c r="M154" s="1"/>
      <c r="N154" s="1"/>
    </row>
  </sheetData>
</worksheet>
</file>

<file path=xl/worksheets/sheet11.xml><?xml version="1.0" encoding="utf-8"?>
<worksheet xmlns="http://schemas.openxmlformats.org/spreadsheetml/2006/main" xmlns:r="http://schemas.openxmlformats.org/officeDocument/2006/relationships">
  <sheetPr>
    <tabColor rgb="FF5A2331"/>
  </sheetPr>
  <dimension ref="A1:I119"/>
  <sheetViews>
    <sheetView showGridLines="0" workbookViewId="0"/>
  </sheetViews>
  <sheetFormatPr defaultColWidth="8.375" defaultRowHeight="15"/>
  <cols>
    <col min="1" max="1" width="92.70703125" customWidth="1"/>
    <col min="2" max="7" width="12.70703125" customWidth="1"/>
    <col min="8" max="8" width="17.70703125" customWidth="1"/>
    <col min="9" max="9" width="99.375" customWidth="1"/>
  </cols>
  <sheetData>
    <row r="1">
      <c r="A1" s="56" t="s">
        <v>727</v>
      </c>
      <c r="B1" s="1"/>
      <c r="C1" s="1"/>
      <c r="D1" s="1"/>
      <c r="E1" s="1"/>
      <c r="F1" s="1"/>
      <c r="G1" s="1"/>
      <c r="H1" s="1"/>
      <c r="I1" s="1"/>
    </row>
    <row r="2">
      <c r="A2" s="1" t="s">
        <v>728</v>
      </c>
      <c r="B2" s="1"/>
      <c r="C2" s="1"/>
      <c r="D2" s="1"/>
      <c r="E2" s="1"/>
      <c r="F2" s="1"/>
      <c r="G2" s="1"/>
      <c r="H2" s="1"/>
      <c r="I2" s="1"/>
    </row>
    <row r="3">
      <c r="A3" s="1"/>
      <c r="B3" s="1"/>
      <c r="C3" s="1"/>
      <c r="D3" s="1"/>
      <c r="E3" s="1"/>
      <c r="F3" s="1"/>
      <c r="G3" s="1"/>
      <c r="H3" s="1"/>
      <c r="I3" s="1"/>
    </row>
    <row r="4">
      <c r="A4" s="4" t="s">
        <v>256</v>
      </c>
      <c r="B4" s="11" t="s">
        <v>86</v>
      </c>
      <c r="C4" s="105" t="s">
        <v>729</v>
      </c>
      <c r="D4" s="86" t="s">
        <v>730</v>
      </c>
      <c r="E4" s="55" t="s">
        <v>85</v>
      </c>
      <c r="F4" s="55" t="s">
        <v>333</v>
      </c>
      <c r="G4" s="55" t="s">
        <v>84</v>
      </c>
      <c r="H4" s="40" t="s">
        <v>87</v>
      </c>
      <c r="I4" s="40" t="s">
        <v>88</v>
      </c>
    </row>
    <row r="5">
      <c r="A5" s="1"/>
      <c r="B5" s="1"/>
      <c r="C5" s="47"/>
      <c r="D5" s="1"/>
      <c r="E5" s="1"/>
      <c r="F5" s="1"/>
      <c r="G5" s="1"/>
      <c r="H5" s="1"/>
      <c r="I5" s="1"/>
    </row>
    <row r="6">
      <c r="A6" s="16" t="s">
        <v>731</v>
      </c>
      <c r="B6" s="1"/>
      <c r="C6" s="47"/>
      <c r="D6" s="1"/>
      <c r="E6" s="1"/>
      <c r="F6" s="1"/>
      <c r="G6" s="1"/>
      <c r="H6" s="1"/>
      <c r="I6" s="1"/>
    </row>
    <row r="7">
      <c r="A7" s="6" t="s">
        <v>732</v>
      </c>
      <c r="B7" s="9">
        <f>Segments_Hist!F68</f>
        <v>29</v>
      </c>
      <c r="C7" s="20">
        <f>Assumptions!$C$13</f>
        <v>13</v>
      </c>
      <c r="D7" s="8">
        <f>B7+C7</f>
        <v>42</v>
      </c>
      <c r="E7" s="9">
        <f>Segments_Hist!E68</f>
        <v>36</v>
      </c>
      <c r="F7" s="8">
        <f>G7-E7</f>
        <v>7</v>
      </c>
      <c r="G7" s="9">
        <f>Segments_Hist!D68</f>
        <v>43</v>
      </c>
      <c r="H7" s="1"/>
      <c r="I7" s="1"/>
    </row>
    <row r="8">
      <c r="A8" s="6" t="s">
        <v>733</v>
      </c>
      <c r="B8" s="52">
        <f>B9/B7</f>
        <v>72.6896551724138</v>
      </c>
      <c r="C8" s="27">
        <f>B8</f>
        <v>72.6896551724138</v>
      </c>
      <c r="D8" s="52">
        <f>D9/D7</f>
        <v>72.6896551724138</v>
      </c>
      <c r="E8" s="52">
        <f>E9/E7</f>
        <v>57.111111111111114</v>
      </c>
      <c r="F8" s="52">
        <f>F9/F7</f>
        <v>74.28571428571429</v>
      </c>
      <c r="G8" s="52">
        <f>G9/G7</f>
        <v>59.906976744186046</v>
      </c>
      <c r="H8" s="1"/>
      <c r="I8" s="1" t="s">
        <v>734</v>
      </c>
    </row>
    <row r="9">
      <c r="A9" s="6" t="s">
        <v>735</v>
      </c>
      <c r="B9" s="9">
        <f>Segments_Hist!F7</f>
        <v>2108</v>
      </c>
      <c r="C9" s="17">
        <f>C7*C8</f>
        <v>944.9655172413793</v>
      </c>
      <c r="D9" s="8">
        <f>B9+C9</f>
        <v>3052.9655172413795</v>
      </c>
      <c r="E9" s="9">
        <f>Segments_Hist!E7</f>
        <v>2056</v>
      </c>
      <c r="F9" s="8">
        <f>G9-E9</f>
        <v>520</v>
      </c>
      <c r="G9" s="9">
        <f>Segments_Hist!D7</f>
        <v>2576</v>
      </c>
      <c r="H9" s="1"/>
      <c r="I9" s="1"/>
    </row>
    <row r="10">
      <c r="A10" s="6" t="s">
        <v>736</v>
      </c>
      <c r="B10" s="9">
        <f>Segments_Hist!F8</f>
        <v>1240</v>
      </c>
      <c r="C10" s="17">
        <f>Segments_Hist!H91*(1+Assumptions!$C$14)</f>
        <v>637</v>
      </c>
      <c r="D10" s="8">
        <f>B10+C10</f>
        <v>1877</v>
      </c>
      <c r="E10" s="9">
        <f>Segments_Hist!E8</f>
        <v>1221</v>
      </c>
      <c r="F10" s="8">
        <f>G10-E10</f>
        <v>289</v>
      </c>
      <c r="G10" s="9">
        <f>Segments_Hist!D8</f>
        <v>1510</v>
      </c>
      <c r="H10" s="1"/>
      <c r="I10" s="1" t="s">
        <v>737</v>
      </c>
    </row>
    <row r="11">
      <c r="A11" s="16" t="s">
        <v>358</v>
      </c>
      <c r="B11" s="12">
        <f>B9+B10</f>
        <v>3348</v>
      </c>
      <c r="C11" s="37">
        <f>C9+C10</f>
        <v>1581.9655172413793</v>
      </c>
      <c r="D11" s="12">
        <f>B11+C11</f>
        <v>4929.9655172413795</v>
      </c>
      <c r="E11" s="12">
        <f>E9+E10</f>
        <v>3277</v>
      </c>
      <c r="F11" s="12">
        <f>G11-E11</f>
        <v>809</v>
      </c>
      <c r="G11" s="12">
        <f>G9+G10</f>
        <v>4086</v>
      </c>
      <c r="H11" s="1"/>
      <c r="I11" s="1"/>
    </row>
    <row r="12">
      <c r="A12" s="6" t="s">
        <v>738</v>
      </c>
      <c r="B12" s="48">
        <f>Segments_Hist!H122</f>
        <v>13.6</v>
      </c>
      <c r="C12" s="84">
        <f>Assumptions!$C$10</f>
        <v>15.2</v>
      </c>
      <c r="D12" s="52">
        <f>C12</f>
        <v>15.2</v>
      </c>
      <c r="E12" s="48">
        <f>Segments_Hist!D122</f>
        <v>7.2</v>
      </c>
      <c r="F12" s="52">
        <f>G12</f>
        <v>8.9</v>
      </c>
      <c r="G12" s="48">
        <f>Segments_Hist!E122</f>
        <v>8.9</v>
      </c>
      <c r="H12" s="1"/>
      <c r="I12" s="1" t="s">
        <v>739</v>
      </c>
    </row>
    <row r="13">
      <c r="A13" s="6" t="s">
        <v>695</v>
      </c>
      <c r="B13" s="9">
        <f>Segments_Hist!F65</f>
        <v>67</v>
      </c>
      <c r="C13" s="20">
        <f>Assumptions!$C$11</f>
        <v>69</v>
      </c>
      <c r="D13" s="8"/>
      <c r="E13" s="9">
        <f>Segments_Hist!E65</f>
        <v>84</v>
      </c>
      <c r="F13" s="8"/>
      <c r="G13" s="9">
        <f>Segments_Hist!D65</f>
        <v>81</v>
      </c>
      <c r="H13" s="1"/>
      <c r="I13" s="1"/>
    </row>
    <row r="14">
      <c r="A14" s="28" t="s">
        <v>740</v>
      </c>
      <c r="B14" s="8"/>
      <c r="C14" s="17">
        <f>C13*(B12+C12)/2*3</f>
        <v>2980.7999999999997</v>
      </c>
      <c r="D14" s="8"/>
      <c r="E14" s="8"/>
      <c r="F14" s="8"/>
      <c r="G14" s="8"/>
      <c r="H14" s="1"/>
      <c r="I14" s="1"/>
    </row>
    <row r="15">
      <c r="A15" s="54" t="s">
        <v>741</v>
      </c>
      <c r="B15" s="10"/>
      <c r="C15" s="42">
        <f>Segments_Hist!H133</f>
        <v>0.17791364734299497</v>
      </c>
      <c r="D15" s="10"/>
      <c r="E15" s="10"/>
      <c r="F15" s="10"/>
      <c r="G15" s="10"/>
      <c r="H15" s="1"/>
      <c r="I15" s="1"/>
    </row>
    <row r="16">
      <c r="A16" s="6" t="s">
        <v>742</v>
      </c>
      <c r="B16" s="9">
        <f>Segments_Hist!F10</f>
        <v>7754</v>
      </c>
      <c r="C16" s="17">
        <f>C14*(1+C15)</f>
        <v>3511.124999999999</v>
      </c>
      <c r="D16" s="8">
        <f>B16+C16</f>
        <v>11265.125</v>
      </c>
      <c r="E16" s="9">
        <f>Segments_Hist!E10</f>
        <v>5198</v>
      </c>
      <c r="F16" s="8">
        <f>G16-E16</f>
        <v>2010</v>
      </c>
      <c r="G16" s="9">
        <f>Segments_Hist!D10</f>
        <v>7208</v>
      </c>
      <c r="H16" s="1"/>
      <c r="I16" s="1"/>
    </row>
    <row r="17">
      <c r="A17" s="6" t="s">
        <v>743</v>
      </c>
      <c r="B17" s="9">
        <f>Segments_Hist!F11</f>
        <v>5042</v>
      </c>
      <c r="C17" s="17">
        <f>Segments_Hist!H94*(1+Assumptions!$C$12)</f>
        <v>2297.1600000000003</v>
      </c>
      <c r="D17" s="8">
        <f>B17+C17</f>
        <v>7339.16</v>
      </c>
      <c r="E17" s="9">
        <f>Segments_Hist!E11</f>
        <v>2961</v>
      </c>
      <c r="F17" s="8">
        <f>G17-E17</f>
        <v>1218</v>
      </c>
      <c r="G17" s="9">
        <f>Segments_Hist!D11</f>
        <v>4179</v>
      </c>
      <c r="H17" s="1"/>
      <c r="I17" s="1" t="s">
        <v>737</v>
      </c>
    </row>
    <row r="18">
      <c r="A18" s="16" t="s">
        <v>361</v>
      </c>
      <c r="B18" s="12">
        <f>B16+B17</f>
        <v>12796</v>
      </c>
      <c r="C18" s="37">
        <f>C16+C17</f>
        <v>5808.285</v>
      </c>
      <c r="D18" s="12">
        <f>B18+C18</f>
        <v>18604.285</v>
      </c>
      <c r="E18" s="12">
        <f>E16+E17</f>
        <v>8159</v>
      </c>
      <c r="F18" s="12">
        <f>G18-E18</f>
        <v>3228</v>
      </c>
      <c r="G18" s="12">
        <f>G16+G17</f>
        <v>11387</v>
      </c>
      <c r="H18" s="1"/>
      <c r="I18" s="1"/>
    </row>
    <row r="19">
      <c r="A19" s="6" t="s">
        <v>744</v>
      </c>
      <c r="B19" s="48">
        <f>Segments_Hist!H124</f>
        <v>1.7</v>
      </c>
      <c r="C19" s="84">
        <f>Assumptions!$C$15</f>
        <v>2.1</v>
      </c>
      <c r="D19" s="52">
        <f>C19</f>
        <v>2.1</v>
      </c>
      <c r="E19" s="48">
        <f>Segments_Hist!E66</f>
        <v>0.6</v>
      </c>
      <c r="F19" s="52">
        <f>G19</f>
        <v>0.8</v>
      </c>
      <c r="G19" s="48">
        <f>Segments_Hist!D66</f>
        <v>0.8</v>
      </c>
      <c r="H19" s="1"/>
      <c r="I19" s="1"/>
    </row>
    <row r="20">
      <c r="A20" s="28" t="s">
        <v>440</v>
      </c>
      <c r="B20" s="34">
        <f>Segments_Hist!H135</f>
        <v>16.55225806451613</v>
      </c>
      <c r="C20" s="89">
        <f>B20*(1+Assumptions!$C$16)</f>
        <v>16.55225806451613</v>
      </c>
      <c r="D20" s="7"/>
      <c r="E20" s="7"/>
      <c r="F20" s="7"/>
      <c r="G20" s="7"/>
      <c r="H20" s="1"/>
      <c r="I20" s="1" t="s">
        <v>745</v>
      </c>
    </row>
    <row r="21">
      <c r="A21" s="6" t="s">
        <v>746</v>
      </c>
      <c r="B21" s="8">
        <f>Segments_Hist!F14-B22</f>
        <v>9083</v>
      </c>
      <c r="C21" s="17">
        <f>(B19+C19)/2*C20*1000/4</f>
        <v>7862.322580645162</v>
      </c>
      <c r="D21" s="8">
        <f>B21+C21</f>
        <v>16945.322580645163</v>
      </c>
      <c r="E21" s="9">
        <f>Segments_Hist!E14</f>
        <v>955</v>
      </c>
      <c r="F21" s="8">
        <f>G21-E21</f>
        <v>402</v>
      </c>
      <c r="G21" s="9">
        <f>Segments_Hist!D14</f>
        <v>1357</v>
      </c>
      <c r="H21" s="1"/>
      <c r="I21" s="1"/>
    </row>
    <row r="22">
      <c r="A22" s="6" t="s">
        <v>747</v>
      </c>
      <c r="B22" s="9">
        <f>Segments_Hist!H129</f>
        <v>608</v>
      </c>
      <c r="C22" s="17">
        <f>B22/47*92*(1+Assumptions!$C$17)</f>
        <v>1309.1404255319148</v>
      </c>
      <c r="D22" s="8">
        <f>B22+C22</f>
        <v>1917.1404255319148</v>
      </c>
      <c r="E22" s="5">
        <v>0</v>
      </c>
      <c r="F22" s="8">
        <f>G22-E22</f>
        <v>0</v>
      </c>
      <c r="G22" s="5">
        <v>0</v>
      </c>
      <c r="H22" s="1"/>
      <c r="I22" s="1" t="s">
        <v>748</v>
      </c>
    </row>
    <row r="23">
      <c r="A23" s="6" t="s">
        <v>749</v>
      </c>
      <c r="B23" s="9">
        <f>Segments_Hist!F13</f>
        <v>1248</v>
      </c>
      <c r="C23" s="17">
        <f>Segments_Hist!H96*(1+Assumptions!$C$18)</f>
        <v>581.0400000000001</v>
      </c>
      <c r="D23" s="8">
        <f>B23+C23</f>
        <v>1829.04</v>
      </c>
      <c r="E23" s="9">
        <f>Segments_Hist!E13</f>
        <v>1323</v>
      </c>
      <c r="F23" s="8">
        <f>G23-E23</f>
        <v>521</v>
      </c>
      <c r="G23" s="9">
        <f>Segments_Hist!D13</f>
        <v>1844</v>
      </c>
      <c r="H23" s="1"/>
      <c r="I23" s="1"/>
    </row>
    <row r="24">
      <c r="A24" s="16" t="s">
        <v>750</v>
      </c>
      <c r="B24" s="12">
        <f>B21+B22+B23</f>
        <v>10939</v>
      </c>
      <c r="C24" s="37">
        <f>C21+C22+C23</f>
        <v>9752.503006177078</v>
      </c>
      <c r="D24" s="12">
        <f>B24+C24</f>
        <v>20691.503006177078</v>
      </c>
      <c r="E24" s="12">
        <f>E21+E22+E23</f>
        <v>2278</v>
      </c>
      <c r="F24" s="12">
        <f>G24-E24</f>
        <v>923</v>
      </c>
      <c r="G24" s="12">
        <f>G21+G22+G23</f>
        <v>3201</v>
      </c>
      <c r="H24" s="1"/>
      <c r="I24" s="1"/>
    </row>
    <row r="25">
      <c r="A25" s="67" t="s">
        <v>89</v>
      </c>
      <c r="B25" s="32">
        <f>B11+B18+B24</f>
        <v>27083</v>
      </c>
      <c r="C25" s="68">
        <f>C11+C18+C24</f>
        <v>17142.753523418458</v>
      </c>
      <c r="D25" s="32">
        <f>B25+C25</f>
        <v>44225.75352341846</v>
      </c>
      <c r="E25" s="32">
        <f>E11+E18+E24</f>
        <v>13714</v>
      </c>
      <c r="F25" s="32">
        <f>G25-E25</f>
        <v>4960</v>
      </c>
      <c r="G25" s="32">
        <f>G11+G18+G24</f>
        <v>18674</v>
      </c>
      <c r="H25" s="1"/>
      <c r="I25" s="1"/>
    </row>
    <row r="26">
      <c r="A26" s="1"/>
      <c r="B26" s="1"/>
      <c r="C26" s="47"/>
      <c r="D26" s="1"/>
      <c r="E26" s="1"/>
      <c r="F26" s="1"/>
      <c r="G26" s="1"/>
      <c r="H26" s="1"/>
      <c r="I26" s="1"/>
    </row>
    <row r="27">
      <c r="A27" s="16" t="s">
        <v>751</v>
      </c>
      <c r="B27" s="1"/>
      <c r="C27" s="47"/>
      <c r="D27" s="1"/>
      <c r="E27" s="1"/>
      <c r="F27" s="1"/>
      <c r="G27" s="1"/>
      <c r="H27" s="1"/>
      <c r="I27" s="1"/>
    </row>
    <row r="28">
      <c r="A28" s="6" t="s">
        <v>752</v>
      </c>
      <c r="B28" s="9">
        <f>Segments_Hist!F54</f>
        <v>-199</v>
      </c>
      <c r="C28" s="17">
        <f>C11*Assumptions!$C$19</f>
        <v>237.29482758620688</v>
      </c>
      <c r="D28" s="8">
        <f>B28+C28</f>
        <v>38.29482758620688</v>
      </c>
      <c r="E28" s="9">
        <f>Segments_Hist!E54</f>
        <v>803</v>
      </c>
      <c r="F28" s="8">
        <f>G28-E28</f>
        <v>-150</v>
      </c>
      <c r="G28" s="9">
        <f>Segments_Hist!D54</f>
        <v>653</v>
      </c>
      <c r="H28" s="1"/>
      <c r="I28" s="1"/>
    </row>
    <row r="29">
      <c r="A29" s="6" t="s">
        <v>753</v>
      </c>
      <c r="B29" s="9">
        <f>Segments_Hist!F55</f>
        <v>8183</v>
      </c>
      <c r="C29" s="17">
        <f>C18*Assumptions!$C$20</f>
        <v>3775.38525</v>
      </c>
      <c r="D29" s="8">
        <f>B29+C29</f>
        <v>11958.38525</v>
      </c>
      <c r="E29" s="9">
        <f>Segments_Hist!E55</f>
        <v>5123</v>
      </c>
      <c r="F29" s="8">
        <f>G29-E29</f>
        <v>2045</v>
      </c>
      <c r="G29" s="9">
        <f>Segments_Hist!D55</f>
        <v>7168</v>
      </c>
      <c r="H29" s="1"/>
      <c r="I29" s="1"/>
    </row>
    <row r="30">
      <c r="A30" s="6" t="s">
        <v>754</v>
      </c>
      <c r="B30" s="9">
        <f>Segments_Hist!F56</f>
        <v>5490</v>
      </c>
      <c r="C30" s="17">
        <f>C24*Assumptions!$C$21</f>
        <v>5851.501803706246</v>
      </c>
      <c r="D30" s="8">
        <f>B30+C30</f>
        <v>11341.501803706247</v>
      </c>
      <c r="E30" s="9">
        <f>Segments_Hist!E56</f>
        <v>-813</v>
      </c>
      <c r="F30" s="8">
        <f>G30-E30</f>
        <v>-424</v>
      </c>
      <c r="G30" s="9">
        <f>Segments_Hist!D56</f>
        <v>-1237</v>
      </c>
      <c r="H30" s="1"/>
      <c r="I30" s="1"/>
    </row>
    <row r="31">
      <c r="A31" s="16" t="s">
        <v>755</v>
      </c>
      <c r="B31" s="12">
        <f>B28+B29+B30</f>
        <v>13474</v>
      </c>
      <c r="C31" s="37">
        <f>C28+C29+C30</f>
        <v>9864.181881292454</v>
      </c>
      <c r="D31" s="12">
        <f>B31+C31</f>
        <v>23338.181881292454</v>
      </c>
      <c r="E31" s="12">
        <f>E28+E29+E30</f>
        <v>5113</v>
      </c>
      <c r="F31" s="12">
        <f>G31-E31</f>
        <v>1471</v>
      </c>
      <c r="G31" s="12">
        <f>G28+G29+G30</f>
        <v>6584</v>
      </c>
      <c r="H31" s="1"/>
      <c r="I31" s="1"/>
    </row>
    <row r="32">
      <c r="A32" s="6" t="s">
        <v>190</v>
      </c>
      <c r="B32" s="9">
        <f>CF_Hist!F8</f>
        <v>8934</v>
      </c>
      <c r="C32" s="17">
        <f>C50+C51+C52</f>
        <v>3746.8125</v>
      </c>
      <c r="D32" s="8">
        <f>B32+C32</f>
        <v>12680.8125</v>
      </c>
      <c r="E32" s="9">
        <f>CF_Hist!E8</f>
        <v>4784</v>
      </c>
      <c r="F32" s="8">
        <f>G32-E32</f>
        <v>1917</v>
      </c>
      <c r="G32" s="9">
        <f>CF_Hist!D8</f>
        <v>6701</v>
      </c>
      <c r="H32" s="1"/>
      <c r="I32" s="1" t="s">
        <v>756</v>
      </c>
    </row>
    <row r="33">
      <c r="A33" s="6" t="s">
        <v>191</v>
      </c>
      <c r="B33" s="9">
        <f>CF_Hist!F9</f>
        <v>3833</v>
      </c>
      <c r="C33" s="20">
        <f>Schedules!C98</f>
        <v>2956.759766176789</v>
      </c>
      <c r="D33" s="8">
        <f>B33+C33</f>
        <v>6789.759766176789</v>
      </c>
      <c r="E33" s="9">
        <f>CF_Hist!E9</f>
        <v>1044</v>
      </c>
      <c r="F33" s="8">
        <f>G33-E33</f>
        <v>903</v>
      </c>
      <c r="G33" s="9">
        <f>CF_Hist!D9</f>
        <v>1947</v>
      </c>
      <c r="H33" s="1"/>
      <c r="I33" s="1" t="s">
        <v>757</v>
      </c>
    </row>
    <row r="34">
      <c r="A34" s="6" t="s">
        <v>758</v>
      </c>
      <c r="B34" s="8">
        <f>Segments_Hist!F44+Segments_Hist!F45+Segments_Hist!F46+Segments_Hist!F49+Segments_Hist!F50+Segments_Hist!F51+Segments_Hist!F39+Segments_Hist!F40+Segments_Hist!F41</f>
        <v>2</v>
      </c>
      <c r="C34" s="35">
        <v>0</v>
      </c>
      <c r="D34" s="8">
        <f>B34+C34</f>
        <v>2</v>
      </c>
      <c r="E34" s="8">
        <f>Segments_Hist!E44+Segments_Hist!E45+Segments_Hist!E46+Segments_Hist!E49+Segments_Hist!E50+Segments_Hist!E51+Segments_Hist!E39+Segments_Hist!E40+Segments_Hist!E41</f>
        <v>501</v>
      </c>
      <c r="F34" s="8">
        <f>G34-E34</f>
        <v>24</v>
      </c>
      <c r="G34" s="8">
        <f>Segments_Hist!D44+Segments_Hist!D45+Segments_Hist!D46+Segments_Hist!D49+Segments_Hist!D50+Segments_Hist!D51+Segments_Hist!D39+Segments_Hist!D40+Segments_Hist!D41</f>
        <v>525</v>
      </c>
      <c r="H34" s="1"/>
      <c r="I34" s="1"/>
    </row>
    <row r="35">
      <c r="A35" s="16" t="s">
        <v>99</v>
      </c>
      <c r="B35" s="12">
        <f>B31-B32-B33-B34</f>
        <v>705</v>
      </c>
      <c r="C35" s="37">
        <f>C31-C32-C33-C34</f>
        <v>3160.609615115665</v>
      </c>
      <c r="D35" s="12">
        <f>B35+C35</f>
        <v>3865.609615115665</v>
      </c>
      <c r="E35" s="12">
        <f>E31-E32-E33-E34</f>
        <v>-1216</v>
      </c>
      <c r="F35" s="12">
        <f>G35-E35</f>
        <v>-1373</v>
      </c>
      <c r="G35" s="12">
        <f>G31-G32-G33-G34</f>
        <v>-2589</v>
      </c>
      <c r="H35" s="1"/>
      <c r="I35" s="1"/>
    </row>
    <row r="36">
      <c r="A36" s="6" t="s">
        <v>100</v>
      </c>
      <c r="B36" s="9">
        <f>IS_Hist!F15</f>
        <v>-1968</v>
      </c>
      <c r="C36" s="17">
        <f>-B53*B94/4</f>
        <v>-675</v>
      </c>
      <c r="D36" s="8">
        <f>B36+C36</f>
        <v>-2643</v>
      </c>
      <c r="E36" s="9">
        <f>IS_Hist!E15</f>
        <v>-1372</v>
      </c>
      <c r="F36" s="8">
        <f>G36-E36</f>
        <v>-573</v>
      </c>
      <c r="G36" s="9">
        <f>IS_Hist!D15</f>
        <v>-1945</v>
      </c>
      <c r="H36" s="1"/>
      <c r="I36" s="1" t="s">
        <v>759</v>
      </c>
    </row>
    <row r="37">
      <c r="A37" s="6" t="s">
        <v>101</v>
      </c>
      <c r="B37" s="9">
        <f>IS_Hist!F16</f>
        <v>1426</v>
      </c>
      <c r="C37" s="17">
        <f>Assumptions!$C$53*B81/4</f>
        <v>947.9702500000001</v>
      </c>
      <c r="D37" s="8">
        <f>B37+C37</f>
        <v>2373.9702500000003</v>
      </c>
      <c r="E37" s="9">
        <f>IS_Hist!E16</f>
        <v>370</v>
      </c>
      <c r="F37" s="8">
        <f>G37-E37</f>
        <v>122</v>
      </c>
      <c r="G37" s="9">
        <f>IS_Hist!D16</f>
        <v>492</v>
      </c>
      <c r="H37" s="1"/>
      <c r="I37" s="1" t="s">
        <v>760</v>
      </c>
    </row>
    <row r="38">
      <c r="A38" s="6" t="s">
        <v>102</v>
      </c>
      <c r="B38" s="9">
        <f>IS_Hist!F17</f>
        <v>-937</v>
      </c>
      <c r="C38" s="35">
        <v>0</v>
      </c>
      <c r="D38" s="8">
        <f>B38+C38</f>
        <v>-937</v>
      </c>
      <c r="E38" s="9">
        <f>IS_Hist!E17</f>
        <v>342</v>
      </c>
      <c r="F38" s="8">
        <f>G38-E38</f>
        <v>-519</v>
      </c>
      <c r="G38" s="9">
        <f>IS_Hist!D17</f>
        <v>-177</v>
      </c>
      <c r="H38" s="1"/>
      <c r="I38" s="1" t="s">
        <v>761</v>
      </c>
    </row>
    <row r="39">
      <c r="A39" s="16" t="s">
        <v>103</v>
      </c>
      <c r="B39" s="12">
        <f>B35+B36+B37+B38</f>
        <v>-774</v>
      </c>
      <c r="C39" s="37">
        <f>C35+C36+C37+C38</f>
        <v>3433.5798651156647</v>
      </c>
      <c r="D39" s="12">
        <f>B39+C39</f>
        <v>2659.5798651156647</v>
      </c>
      <c r="E39" s="12">
        <f>E35+E36+E37+E38</f>
        <v>-1876</v>
      </c>
      <c r="F39" s="12">
        <f>G39-E39</f>
        <v>-2343</v>
      </c>
      <c r="G39" s="12">
        <f>G35+G36+G37+G38</f>
        <v>-4219</v>
      </c>
      <c r="H39" s="1"/>
      <c r="I39" s="1"/>
    </row>
    <row r="40">
      <c r="A40" s="6" t="s">
        <v>104</v>
      </c>
      <c r="B40" s="9">
        <f>IS_Hist!F19</f>
        <v>-361</v>
      </c>
      <c r="C40" s="17">
        <f>MAX(0,C39)*Assumptions!$C$25</f>
        <v>171.67899325578324</v>
      </c>
      <c r="D40" s="8">
        <f>B40+C40</f>
        <v>-189.32100674421676</v>
      </c>
      <c r="E40" s="9">
        <f>IS_Hist!E19</f>
        <v>714</v>
      </c>
      <c r="F40" s="8">
        <f>G40-E40</f>
        <v>4</v>
      </c>
      <c r="G40" s="9">
        <f>IS_Hist!D19</f>
        <v>718</v>
      </c>
      <c r="H40" s="1"/>
      <c r="I40" s="1"/>
    </row>
    <row r="41">
      <c r="A41" s="67" t="s">
        <v>105</v>
      </c>
      <c r="B41" s="32">
        <f>B39-B40</f>
        <v>-413</v>
      </c>
      <c r="C41" s="68">
        <f>C39-C40</f>
        <v>3261.9008718598816</v>
      </c>
      <c r="D41" s="32">
        <f>B41+C41</f>
        <v>2848.9008718598816</v>
      </c>
      <c r="E41" s="32">
        <f>E39-E40</f>
        <v>-2590</v>
      </c>
      <c r="F41" s="32">
        <f>G41-E41</f>
        <v>-2347</v>
      </c>
      <c r="G41" s="32">
        <f>G39-G40</f>
        <v>-4937</v>
      </c>
      <c r="H41" s="1"/>
      <c r="I41" s="1"/>
    </row>
    <row r="42">
      <c r="A42" s="1"/>
      <c r="B42" s="1"/>
      <c r="C42" s="47"/>
      <c r="D42" s="1"/>
      <c r="E42" s="1"/>
      <c r="F42" s="1"/>
      <c r="G42" s="1"/>
      <c r="H42" s="1"/>
      <c r="I42" s="1"/>
    </row>
    <row r="43">
      <c r="A43" s="16" t="s">
        <v>762</v>
      </c>
      <c r="B43" s="1"/>
      <c r="C43" s="47"/>
      <c r="D43" s="1"/>
      <c r="E43" s="1"/>
      <c r="F43" s="1"/>
      <c r="G43" s="1"/>
      <c r="H43" s="1"/>
      <c r="I43" s="1"/>
    </row>
    <row r="44">
      <c r="A44" s="6" t="s">
        <v>763</v>
      </c>
      <c r="B44" s="9">
        <f>Quarterly_Hist!H20</f>
        <v>3644</v>
      </c>
      <c r="C44" s="17"/>
      <c r="D44" s="1"/>
      <c r="E44" s="1"/>
      <c r="F44" s="1"/>
      <c r="G44" s="1"/>
      <c r="H44" s="1"/>
      <c r="I44" s="1"/>
    </row>
    <row r="45">
      <c r="A45" s="6" t="s">
        <v>764</v>
      </c>
      <c r="B45" s="5">
        <v>293</v>
      </c>
      <c r="C45" s="17"/>
      <c r="D45" s="1"/>
      <c r="E45" s="1"/>
      <c r="F45" s="1"/>
      <c r="G45" s="1"/>
      <c r="H45" s="1"/>
      <c r="I45" s="1" t="s">
        <v>765</v>
      </c>
    </row>
    <row r="46">
      <c r="A46" s="6" t="s">
        <v>766</v>
      </c>
      <c r="B46" s="5">
        <v>79</v>
      </c>
      <c r="C46" s="17"/>
      <c r="D46" s="1"/>
      <c r="E46" s="1"/>
      <c r="F46" s="1"/>
      <c r="G46" s="1"/>
      <c r="H46" s="1"/>
      <c r="I46" s="1" t="s">
        <v>767</v>
      </c>
    </row>
    <row r="47">
      <c r="A47" s="6" t="s">
        <v>768</v>
      </c>
      <c r="B47" s="8">
        <f>B44-B45-B46</f>
        <v>3272</v>
      </c>
      <c r="C47" s="17"/>
      <c r="D47" s="1"/>
      <c r="E47" s="1"/>
      <c r="F47" s="1"/>
      <c r="G47" s="1"/>
      <c r="H47" s="1"/>
      <c r="I47" s="1"/>
    </row>
    <row r="48">
      <c r="A48" s="6" t="s">
        <v>769</v>
      </c>
      <c r="B48" s="7">
        <f>BS_Hist!D14/(B47*4)</f>
        <v>6.837026283618582</v>
      </c>
      <c r="C48" s="89"/>
      <c r="D48" s="1"/>
      <c r="E48" s="1"/>
      <c r="F48" s="1"/>
      <c r="G48" s="1"/>
      <c r="H48" s="1"/>
      <c r="I48" s="1" t="s">
        <v>770</v>
      </c>
    </row>
    <row r="49">
      <c r="A49" s="6" t="s">
        <v>771</v>
      </c>
      <c r="B49" s="5">
        <v>6333</v>
      </c>
      <c r="C49" s="17"/>
      <c r="D49" s="1"/>
      <c r="E49" s="1"/>
      <c r="F49" s="1"/>
      <c r="G49" s="1"/>
      <c r="H49" s="1"/>
      <c r="I49" s="1" t="s">
        <v>772</v>
      </c>
    </row>
    <row r="50">
      <c r="A50" s="6" t="s">
        <v>773</v>
      </c>
      <c r="B50" s="8"/>
      <c r="C50" s="17">
        <f>BS_Hist!D14/B48/4</f>
        <v>3272</v>
      </c>
      <c r="D50" s="1"/>
      <c r="E50" s="1"/>
      <c r="F50" s="1"/>
      <c r="G50" s="1"/>
      <c r="H50" s="1"/>
      <c r="I50" s="1"/>
    </row>
    <row r="51">
      <c r="A51" s="6" t="s">
        <v>774</v>
      </c>
      <c r="B51" s="8"/>
      <c r="C51" s="17">
        <f>MIN(BS_Hist!D15,B46)</f>
        <v>79</v>
      </c>
      <c r="D51" s="1"/>
      <c r="E51" s="1"/>
      <c r="F51" s="1"/>
      <c r="G51" s="1"/>
      <c r="H51" s="1"/>
      <c r="I51" s="1"/>
    </row>
    <row r="52">
      <c r="A52" s="6" t="s">
        <v>775</v>
      </c>
      <c r="B52" s="8"/>
      <c r="C52" s="17">
        <f>B49/Assumptions!$C$63/4</f>
        <v>395.8125</v>
      </c>
      <c r="D52" s="1"/>
      <c r="E52" s="1"/>
      <c r="F52" s="1"/>
      <c r="G52" s="1"/>
      <c r="H52" s="1"/>
      <c r="I52" s="1"/>
    </row>
    <row r="53">
      <c r="A53" s="31" t="s">
        <v>776</v>
      </c>
      <c r="B53" s="10">
        <f>-Quarterly_Hist!H14*4/BS_Hist!D48</f>
        <v>0.06950880444856349</v>
      </c>
      <c r="C53" s="24"/>
      <c r="D53" s="1"/>
      <c r="E53" s="1"/>
      <c r="F53" s="1"/>
      <c r="G53" s="1"/>
      <c r="H53" s="1"/>
      <c r="I53" s="1" t="s">
        <v>777</v>
      </c>
    </row>
    <row r="54">
      <c r="A54" s="1"/>
      <c r="B54" s="1"/>
      <c r="C54" s="47"/>
      <c r="D54" s="1"/>
      <c r="E54" s="1"/>
      <c r="F54" s="1"/>
      <c r="G54" s="1"/>
      <c r="H54" s="1"/>
      <c r="I54" s="1"/>
    </row>
    <row r="55">
      <c r="A55" s="16" t="s">
        <v>778</v>
      </c>
      <c r="B55" s="1"/>
      <c r="C55" s="47"/>
      <c r="D55" s="1"/>
      <c r="E55" s="1"/>
      <c r="F55" s="1"/>
      <c r="G55" s="1"/>
      <c r="H55" s="1"/>
      <c r="I55" s="1"/>
    </row>
    <row r="56">
      <c r="A56" s="6" t="s">
        <v>779</v>
      </c>
      <c r="B56" s="9">
        <f>Segments_Hist!F59</f>
        <v>3832</v>
      </c>
      <c r="C56" s="20">
        <f>Assumptions!$C$22</f>
        <v>1600</v>
      </c>
      <c r="D56" s="8">
        <f>B56+C56</f>
        <v>5432</v>
      </c>
      <c r="E56" s="9">
        <f>Segments_Hist!E59</f>
        <v>2818</v>
      </c>
      <c r="F56" s="8">
        <f>G56-E56</f>
        <v>1014</v>
      </c>
      <c r="G56" s="9">
        <f>Segments_Hist!D59</f>
        <v>3832</v>
      </c>
      <c r="H56" s="1"/>
      <c r="I56" s="1"/>
    </row>
    <row r="57">
      <c r="A57" s="6" t="s">
        <v>780</v>
      </c>
      <c r="B57" s="9">
        <f>Segments_Hist!F60</f>
        <v>4242</v>
      </c>
      <c r="C57" s="20">
        <f>Assumptions!$C$23</f>
        <v>1600</v>
      </c>
      <c r="D57" s="8">
        <f>B57+C57</f>
        <v>5842</v>
      </c>
      <c r="E57" s="9">
        <f>Segments_Hist!E60</f>
        <v>2951</v>
      </c>
      <c r="F57" s="8">
        <f>G57-E57</f>
        <v>1227</v>
      </c>
      <c r="G57" s="9">
        <f>Segments_Hist!D60</f>
        <v>4178</v>
      </c>
      <c r="H57" s="1"/>
      <c r="I57" s="1"/>
    </row>
    <row r="58">
      <c r="A58" s="6" t="s">
        <v>781</v>
      </c>
      <c r="B58" s="9">
        <f>Segments_Hist!F61</f>
        <v>39995</v>
      </c>
      <c r="C58" s="20">
        <f>Assumptions!$C$24</f>
        <v>20000</v>
      </c>
      <c r="D58" s="8">
        <f>B58+C58</f>
        <v>59995</v>
      </c>
      <c r="E58" s="9">
        <f>Segments_Hist!E61</f>
        <v>8077</v>
      </c>
      <c r="F58" s="8">
        <f>G58-E58</f>
        <v>4650</v>
      </c>
      <c r="G58" s="9">
        <f>Segments_Hist!D61</f>
        <v>12727</v>
      </c>
      <c r="H58" s="1"/>
      <c r="I58" s="1"/>
    </row>
    <row r="59">
      <c r="A59" s="16" t="s">
        <v>782</v>
      </c>
      <c r="B59" s="12">
        <f>B56+B57+B58</f>
        <v>48069</v>
      </c>
      <c r="C59" s="37">
        <f>C56+C57+C58</f>
        <v>23200</v>
      </c>
      <c r="D59" s="12">
        <f>B59+C59</f>
        <v>71269</v>
      </c>
      <c r="E59" s="12">
        <f>E56+E57+E58</f>
        <v>13846</v>
      </c>
      <c r="F59" s="12">
        <f>G59-E59</f>
        <v>6891</v>
      </c>
      <c r="G59" s="12">
        <f>G56+G57+G58</f>
        <v>20737</v>
      </c>
      <c r="H59" s="1"/>
      <c r="I59" s="1"/>
    </row>
    <row r="60">
      <c r="A60" s="6" t="s">
        <v>783</v>
      </c>
      <c r="B60" s="8"/>
      <c r="C60" s="17">
        <f>Assumptions!$C$39-Assumptions!$C$40</f>
        <v>385</v>
      </c>
      <c r="D60" s="8">
        <f>C60</f>
        <v>385</v>
      </c>
      <c r="E60" s="8"/>
      <c r="F60" s="8"/>
      <c r="G60" s="8"/>
      <c r="H60" s="1"/>
      <c r="I60" s="1" t="s">
        <v>784</v>
      </c>
    </row>
    <row r="61">
      <c r="A61" s="1"/>
      <c r="B61" s="1"/>
      <c r="C61" s="47"/>
      <c r="D61" s="1"/>
      <c r="E61" s="1"/>
      <c r="F61" s="1"/>
      <c r="G61" s="1"/>
      <c r="H61" s="1"/>
      <c r="I61" s="1"/>
    </row>
    <row r="62">
      <c r="A62" s="16" t="s">
        <v>785</v>
      </c>
      <c r="B62" s="1"/>
      <c r="C62" s="47"/>
      <c r="D62" s="1"/>
      <c r="E62" s="1"/>
      <c r="F62" s="1"/>
      <c r="G62" s="1"/>
      <c r="H62" s="1"/>
      <c r="I62" s="1"/>
    </row>
    <row r="63">
      <c r="A63" s="6" t="s">
        <v>105</v>
      </c>
      <c r="B63" s="9">
        <f>CF_Hist!F7</f>
        <v>-413</v>
      </c>
      <c r="C63" s="17">
        <f>C41</f>
        <v>3261.9008718598816</v>
      </c>
      <c r="D63" s="8">
        <f>B63+C63</f>
        <v>2848.9008718598816</v>
      </c>
      <c r="E63" s="1"/>
      <c r="F63" s="1"/>
      <c r="G63" s="1"/>
      <c r="H63" s="1"/>
      <c r="I63" s="1"/>
    </row>
    <row r="64">
      <c r="A64" s="6" t="s">
        <v>190</v>
      </c>
      <c r="B64" s="9">
        <f>CF_Hist!F8</f>
        <v>8934</v>
      </c>
      <c r="C64" s="17">
        <f>C32</f>
        <v>3746.8125</v>
      </c>
      <c r="D64" s="8">
        <f>B64+C64</f>
        <v>12680.8125</v>
      </c>
      <c r="E64" s="1"/>
      <c r="F64" s="1"/>
      <c r="G64" s="1"/>
      <c r="H64" s="1"/>
      <c r="I64" s="1"/>
    </row>
    <row r="65">
      <c r="A65" s="6" t="s">
        <v>191</v>
      </c>
      <c r="B65" s="9">
        <f>CF_Hist!F9</f>
        <v>3833</v>
      </c>
      <c r="C65" s="17">
        <f>C33</f>
        <v>2956.759766176789</v>
      </c>
      <c r="D65" s="8">
        <f>B65+C65</f>
        <v>6789.759766176789</v>
      </c>
      <c r="E65" s="1"/>
      <c r="F65" s="1"/>
      <c r="G65" s="1"/>
      <c r="H65" s="1"/>
      <c r="I65" s="1"/>
    </row>
    <row r="66">
      <c r="A66" s="6" t="s">
        <v>786</v>
      </c>
      <c r="B66" s="8">
        <f>CF_Hist!F11+CF_Hist!F12+CF_Hist!F13+CF_Hist!F16+CF_Hist!F17</f>
        <v>368</v>
      </c>
      <c r="C66" s="35">
        <v>0</v>
      </c>
      <c r="D66" s="8">
        <f>B66+C66</f>
        <v>368</v>
      </c>
      <c r="E66" s="1"/>
      <c r="F66" s="1"/>
      <c r="G66" s="1"/>
      <c r="H66" s="1"/>
      <c r="I66" s="1"/>
    </row>
    <row r="67">
      <c r="A67" s="6" t="s">
        <v>204</v>
      </c>
      <c r="B67" s="8">
        <f>CF_Hist!F20+CF_Hist!F21+CF_Hist!F22+CF_Hist!F23+CF_Hist!F24+CF_Hist!F26</f>
        <v>375</v>
      </c>
      <c r="C67" s="17">
        <f>-(D82-B82)-(D83-B83)-(D84-B84)+(D91-B91)+(D92-B92)+(D93-B93)</f>
        <v>4860.821431638578</v>
      </c>
      <c r="D67" s="8">
        <f>B67+C67</f>
        <v>5235.821431638578</v>
      </c>
      <c r="E67" s="1"/>
      <c r="F67" s="1"/>
      <c r="G67" s="1"/>
      <c r="H67" s="1"/>
      <c r="I67" s="1"/>
    </row>
    <row r="68">
      <c r="A68" s="16" t="s">
        <v>210</v>
      </c>
      <c r="B68" s="12">
        <f>B63+B64+B65+B66+B67</f>
        <v>13097</v>
      </c>
      <c r="C68" s="37">
        <f>C63+C64+C65+C66+C67</f>
        <v>14826.294569675249</v>
      </c>
      <c r="D68" s="12">
        <f>B68+C68</f>
        <v>27923.29456967525</v>
      </c>
      <c r="E68" s="1"/>
      <c r="F68" s="1"/>
      <c r="G68" s="1"/>
      <c r="H68" s="1"/>
      <c r="I68" s="1"/>
    </row>
    <row r="69">
      <c r="A69" s="6" t="s">
        <v>212</v>
      </c>
      <c r="B69" s="9">
        <f>CF_Hist!F30</f>
        <v>-48069</v>
      </c>
      <c r="C69" s="17">
        <f>-C59</f>
        <v>-23200</v>
      </c>
      <c r="D69" s="8">
        <f>B69+C69</f>
        <v>-71269</v>
      </c>
      <c r="E69" s="1"/>
      <c r="F69" s="1"/>
      <c r="G69" s="1"/>
      <c r="H69" s="1"/>
      <c r="I69" s="1"/>
    </row>
    <row r="70">
      <c r="A70" s="6" t="s">
        <v>787</v>
      </c>
      <c r="B70" s="5">
        <v>0</v>
      </c>
      <c r="C70" s="17">
        <f>-C60</f>
        <v>-385</v>
      </c>
      <c r="D70" s="8">
        <f>B70+C70</f>
        <v>-385</v>
      </c>
      <c r="E70" s="1"/>
      <c r="F70" s="1"/>
      <c r="G70" s="1"/>
      <c r="H70" s="1"/>
      <c r="I70" s="1"/>
    </row>
    <row r="71">
      <c r="A71" s="6" t="s">
        <v>788</v>
      </c>
      <c r="B71" s="8">
        <f>CF_Hist!F31+CF_Hist!F32+CF_Hist!F36+CF_Hist!F37+CF_Hist!F39</f>
        <v>1057</v>
      </c>
      <c r="C71" s="35">
        <v>0</v>
      </c>
      <c r="D71" s="8">
        <f>B71+C71</f>
        <v>1057</v>
      </c>
      <c r="E71" s="1"/>
      <c r="F71" s="1"/>
      <c r="G71" s="1"/>
      <c r="H71" s="1"/>
      <c r="I71" s="1"/>
    </row>
    <row r="72">
      <c r="A72" s="6" t="s">
        <v>789</v>
      </c>
      <c r="B72" s="8">
        <f>-(CF_Hist!F33+CF_Hist!F34+CF_Hist!F35)</f>
        <v>37599</v>
      </c>
      <c r="C72" s="35">
        <v>0</v>
      </c>
      <c r="D72" s="8">
        <f>B72+C72</f>
        <v>37599</v>
      </c>
      <c r="E72" s="1"/>
      <c r="F72" s="1"/>
      <c r="G72" s="1"/>
      <c r="H72" s="1"/>
      <c r="I72" s="1" t="s">
        <v>790</v>
      </c>
    </row>
    <row r="73">
      <c r="A73" s="6" t="s">
        <v>791</v>
      </c>
      <c r="B73" s="8">
        <f>CF_Hist!F43+CF_Hist!F44+CF_Hist!F45+CF_Hist!F46+CF_Hist!F47</f>
        <v>10442</v>
      </c>
      <c r="C73" s="17">
        <f>-Debt_Credit!B30-C51</f>
        <v>-574</v>
      </c>
      <c r="D73" s="8">
        <f>B73+C73</f>
        <v>9868</v>
      </c>
      <c r="E73" s="1"/>
      <c r="F73" s="1"/>
      <c r="G73" s="1"/>
      <c r="H73" s="1"/>
      <c r="I73" s="1" t="s">
        <v>792</v>
      </c>
    </row>
    <row r="74">
      <c r="A74" s="6" t="s">
        <v>793</v>
      </c>
      <c r="B74" s="8">
        <f>CF_Hist!F48+CF_Hist!F49+CF_Hist!F50+CF_Hist!F51+CF_Hist!F52</f>
        <v>89377</v>
      </c>
      <c r="C74" s="35">
        <v>0</v>
      </c>
      <c r="D74" s="8">
        <f>B74+C74</f>
        <v>89377</v>
      </c>
      <c r="E74" s="1"/>
      <c r="F74" s="1"/>
      <c r="G74" s="1"/>
      <c r="H74" s="1"/>
      <c r="I74" s="1"/>
    </row>
    <row r="75">
      <c r="A75" s="6" t="s">
        <v>794</v>
      </c>
      <c r="B75" s="8">
        <f>B81-B77-(B68+B69+B70+B71+B72+B73+B74)</f>
        <v>-38395</v>
      </c>
      <c r="C75" s="35">
        <v>0</v>
      </c>
      <c r="D75" s="8">
        <f>B75+C75</f>
        <v>-38395</v>
      </c>
      <c r="E75" s="1"/>
      <c r="F75" s="1"/>
      <c r="G75" s="1"/>
      <c r="H75" s="1"/>
      <c r="I75" s="1" t="s">
        <v>795</v>
      </c>
    </row>
    <row r="76">
      <c r="A76" s="16" t="s">
        <v>796</v>
      </c>
      <c r="B76" s="12">
        <f>B68+B69+B70+B71+B72+B73+B74+B75</f>
        <v>65108</v>
      </c>
      <c r="C76" s="37">
        <f>C68+C69+C70+C71+C72+C73+C74+C75</f>
        <v>-9332.705430324751</v>
      </c>
      <c r="D76" s="12">
        <f>B76+C76</f>
        <v>55775.29456967525</v>
      </c>
      <c r="E76" s="1"/>
      <c r="F76" s="1"/>
      <c r="G76" s="1"/>
      <c r="H76" s="1"/>
      <c r="I76" s="1"/>
    </row>
    <row r="77">
      <c r="A77" s="6" t="s">
        <v>797</v>
      </c>
      <c r="B77" s="9">
        <f>BS_Hist!C46</f>
        <v>24747</v>
      </c>
      <c r="C77" s="17">
        <f>B81</f>
        <v>89855</v>
      </c>
      <c r="D77" s="8">
        <f>B77</f>
        <v>24747</v>
      </c>
      <c r="E77" s="1"/>
      <c r="F77" s="1"/>
      <c r="G77" s="1"/>
      <c r="H77" s="1"/>
      <c r="I77" s="1"/>
    </row>
    <row r="78">
      <c r="A78" s="16" t="s">
        <v>798</v>
      </c>
      <c r="B78" s="32">
        <f>B77+B76</f>
        <v>89855</v>
      </c>
      <c r="C78" s="68">
        <f>C77+C76</f>
        <v>80522.29456967524</v>
      </c>
      <c r="D78" s="32">
        <f>C78</f>
        <v>80522.29456967524</v>
      </c>
      <c r="E78" s="1"/>
      <c r="F78" s="1"/>
      <c r="G78" s="1"/>
      <c r="H78" s="1"/>
      <c r="I78" s="1"/>
    </row>
    <row r="79">
      <c r="A79" s="1"/>
      <c r="B79" s="1"/>
      <c r="C79" s="47"/>
      <c r="D79" s="1"/>
      <c r="E79" s="1"/>
      <c r="F79" s="1"/>
      <c r="G79" s="1"/>
      <c r="H79" s="1"/>
      <c r="I79" s="1"/>
    </row>
    <row r="80">
      <c r="A80" s="16" t="s">
        <v>799</v>
      </c>
      <c r="B80" s="1"/>
      <c r="C80" s="47"/>
      <c r="D80" s="1"/>
      <c r="E80" s="1"/>
      <c r="F80" s="1"/>
      <c r="G80" s="1"/>
      <c r="H80" s="1"/>
      <c r="I80" s="1"/>
    </row>
    <row r="81">
      <c r="A81" s="6" t="s">
        <v>800</v>
      </c>
      <c r="B81" s="9">
        <f>BS_Hist!D46</f>
        <v>89855</v>
      </c>
      <c r="C81" s="17"/>
      <c r="D81" s="8">
        <f>C78</f>
        <v>80522.29456967524</v>
      </c>
      <c r="E81" s="1"/>
      <c r="F81" s="1"/>
      <c r="G81" s="1"/>
      <c r="H81" s="1"/>
      <c r="I81" s="1"/>
    </row>
    <row r="82">
      <c r="A82" s="6" t="s">
        <v>205</v>
      </c>
      <c r="B82" s="9">
        <f>BS_Hist!D9</f>
        <v>4772</v>
      </c>
      <c r="C82" s="17"/>
      <c r="D82" s="8">
        <f>B82*C25/Quarterly_Hist!H6</f>
        <v>5612.708048971038</v>
      </c>
      <c r="E82" s="1"/>
      <c r="F82" s="1"/>
      <c r="G82" s="1"/>
      <c r="H82" s="1"/>
      <c r="I82" s="1" t="s">
        <v>801</v>
      </c>
    </row>
    <row r="83">
      <c r="A83" s="6" t="s">
        <v>137</v>
      </c>
      <c r="B83" s="9">
        <f>BS_Hist!D10</f>
        <v>2891</v>
      </c>
      <c r="C83" s="17"/>
      <c r="D83" s="8">
        <f>B83*C25/Quarterly_Hist!H6</f>
        <v>3400.3224999109957</v>
      </c>
      <c r="E83" s="1"/>
      <c r="F83" s="1"/>
      <c r="G83" s="1"/>
      <c r="H83" s="1"/>
      <c r="I83" s="1"/>
    </row>
    <row r="84">
      <c r="A84" s="6" t="s">
        <v>138</v>
      </c>
      <c r="B84" s="9">
        <f>BS_Hist!D11</f>
        <v>3457</v>
      </c>
      <c r="C84" s="17"/>
      <c r="D84" s="8">
        <f>B84*C25/Quarterly_Hist!H6</f>
        <v>4066.0376624670744</v>
      </c>
      <c r="E84" s="1"/>
      <c r="F84" s="1"/>
      <c r="G84" s="1"/>
      <c r="H84" s="1"/>
      <c r="I84" s="1"/>
    </row>
    <row r="85">
      <c r="A85" s="6" t="s">
        <v>141</v>
      </c>
      <c r="B85" s="9">
        <f>BS_Hist!D14</f>
        <v>89483</v>
      </c>
      <c r="C85" s="17"/>
      <c r="D85" s="8">
        <f>B85+C59-C50</f>
        <v>109411</v>
      </c>
      <c r="E85" s="1"/>
      <c r="F85" s="1"/>
      <c r="G85" s="1"/>
      <c r="H85" s="1"/>
      <c r="I85" s="1"/>
    </row>
    <row r="86">
      <c r="A86" s="6" t="s">
        <v>142</v>
      </c>
      <c r="B86" s="9">
        <f>BS_Hist!D15</f>
        <v>1040</v>
      </c>
      <c r="C86" s="17"/>
      <c r="D86" s="8">
        <f>B86-C51</f>
        <v>961</v>
      </c>
      <c r="E86" s="1"/>
      <c r="F86" s="1"/>
      <c r="G86" s="1"/>
      <c r="H86" s="1"/>
      <c r="I86" s="1"/>
    </row>
    <row r="87">
      <c r="A87" s="6" t="s">
        <v>143</v>
      </c>
      <c r="B87" s="9">
        <f>BS_Hist!D16</f>
        <v>6354</v>
      </c>
      <c r="C87" s="17"/>
      <c r="D87" s="8">
        <f>B87-C52</f>
        <v>5958.1875</v>
      </c>
      <c r="E87" s="1"/>
      <c r="F87" s="1"/>
      <c r="G87" s="1"/>
      <c r="H87" s="1"/>
      <c r="I87" s="1"/>
    </row>
    <row r="88">
      <c r="A88" s="6" t="s">
        <v>802</v>
      </c>
      <c r="B88" s="5">
        <v>0</v>
      </c>
      <c r="C88" s="17"/>
      <c r="D88" s="8">
        <f>B88+C60</f>
        <v>385</v>
      </c>
      <c r="E88" s="1"/>
      <c r="F88" s="1"/>
      <c r="G88" s="1"/>
      <c r="H88" s="1"/>
      <c r="I88" s="1"/>
    </row>
    <row r="89">
      <c r="A89" s="6" t="s">
        <v>803</v>
      </c>
      <c r="B89" s="8">
        <f>BS_Hist!D18+BS_Hist!D17+BS_Hist!D19+BS_Hist!D20</f>
        <v>56193</v>
      </c>
      <c r="C89" s="17"/>
      <c r="D89" s="8">
        <f>B89</f>
        <v>56193</v>
      </c>
      <c r="E89" s="1"/>
      <c r="F89" s="1"/>
      <c r="G89" s="1"/>
      <c r="H89" s="1"/>
      <c r="I89" s="1" t="s">
        <v>804</v>
      </c>
    </row>
    <row r="90">
      <c r="A90" s="16" t="s">
        <v>148</v>
      </c>
      <c r="B90" s="12">
        <f>B81+B82+B83+B84+B85+B86+B87+B88+B89</f>
        <v>254045</v>
      </c>
      <c r="C90" s="37"/>
      <c r="D90" s="12">
        <f>D81+D82+D83+D84+D85+D86+D87+D88+D89</f>
        <v>266509.55028102436</v>
      </c>
      <c r="E90" s="1"/>
      <c r="F90" s="1"/>
      <c r="G90" s="1"/>
      <c r="H90" s="1"/>
      <c r="I90" s="1"/>
    </row>
    <row r="91">
      <c r="A91" s="6" t="s">
        <v>150</v>
      </c>
      <c r="B91" s="9">
        <f>BS_Hist!D23</f>
        <v>13259</v>
      </c>
      <c r="C91" s="17"/>
      <c r="D91" s="8">
        <f>B91*(C59+C25-C31)/(SUM(Segments_Hist!H112:Segments_Hist!H114)+Quarterly_Hist!H6-Quarterly_Hist!H21)</f>
        <v>15935.777491342275</v>
      </c>
      <c r="E91" s="1"/>
      <c r="F91" s="1"/>
      <c r="G91" s="1"/>
      <c r="H91" s="1"/>
      <c r="I91" s="1" t="s">
        <v>805</v>
      </c>
    </row>
    <row r="92">
      <c r="A92" s="6" t="s">
        <v>173</v>
      </c>
      <c r="B92" s="9">
        <f>BS_Hist!D47</f>
        <v>17520</v>
      </c>
      <c r="C92" s="17"/>
      <c r="D92" s="8">
        <f>B92*C25/Quarterly_Hist!H6</f>
        <v>20606.58948406802</v>
      </c>
      <c r="E92" s="1"/>
      <c r="F92" s="1"/>
      <c r="G92" s="1"/>
      <c r="H92" s="1"/>
      <c r="I92" s="1"/>
    </row>
    <row r="93">
      <c r="A93" s="6" t="s">
        <v>153</v>
      </c>
      <c r="B93" s="9">
        <f>BS_Hist!D26</f>
        <v>5997</v>
      </c>
      <c r="C93" s="17"/>
      <c r="D93" s="8">
        <f>B93*C25/Quarterly_Hist!H6</f>
        <v>7053.522667577393</v>
      </c>
      <c r="E93" s="1"/>
      <c r="F93" s="1"/>
      <c r="G93" s="1"/>
      <c r="H93" s="1"/>
      <c r="I93" s="1"/>
    </row>
    <row r="94">
      <c r="A94" s="6" t="s">
        <v>806</v>
      </c>
      <c r="B94" s="9">
        <f>BS_Hist!D48</f>
        <v>38844</v>
      </c>
      <c r="C94" s="17"/>
      <c r="D94" s="8">
        <f>B94+C73</f>
        <v>38270</v>
      </c>
      <c r="E94" s="1"/>
      <c r="F94" s="1"/>
      <c r="G94" s="1"/>
      <c r="H94" s="1"/>
      <c r="I94" s="1"/>
    </row>
    <row r="95">
      <c r="A95" s="6" t="s">
        <v>158</v>
      </c>
      <c r="B95" s="9">
        <f>BS_Hist!D31</f>
        <v>1657</v>
      </c>
      <c r="C95" s="17"/>
      <c r="D95" s="8">
        <f>B95</f>
        <v>1657</v>
      </c>
      <c r="E95" s="1"/>
      <c r="F95" s="1"/>
      <c r="G95" s="1"/>
      <c r="H95" s="1"/>
      <c r="I95" s="1" t="s">
        <v>804</v>
      </c>
    </row>
    <row r="96">
      <c r="A96" s="16" t="s">
        <v>159</v>
      </c>
      <c r="B96" s="12">
        <f>B91+B92+B93+B94+B95</f>
        <v>77277</v>
      </c>
      <c r="C96" s="37"/>
      <c r="D96" s="12">
        <f>D91+D92+D93+D94+D95</f>
        <v>83522.88964298769</v>
      </c>
      <c r="E96" s="1"/>
      <c r="F96" s="1"/>
      <c r="G96" s="1"/>
      <c r="H96" s="1"/>
      <c r="I96" s="1"/>
    </row>
    <row r="97">
      <c r="A97" s="6" t="s">
        <v>162</v>
      </c>
      <c r="B97" s="9">
        <f>BS_Hist!D42</f>
        <v>176768</v>
      </c>
      <c r="C97" s="17"/>
      <c r="D97" s="8">
        <f>B97+C41+C33</f>
        <v>182986.66063803667</v>
      </c>
      <c r="E97" s="1"/>
      <c r="F97" s="1"/>
      <c r="G97" s="1"/>
      <c r="H97" s="1"/>
      <c r="I97" s="1"/>
    </row>
    <row r="98">
      <c r="A98" s="16" t="s">
        <v>807</v>
      </c>
      <c r="B98" s="32">
        <f>B96+B97</f>
        <v>254045</v>
      </c>
      <c r="C98" s="68"/>
      <c r="D98" s="32">
        <f>D96+D97</f>
        <v>266509.55028102436</v>
      </c>
      <c r="E98" s="1"/>
      <c r="F98" s="1"/>
      <c r="G98" s="1"/>
      <c r="H98" s="1"/>
      <c r="I98" s="1"/>
    </row>
    <row r="99">
      <c r="A99" s="6" t="s">
        <v>808</v>
      </c>
      <c r="B99" s="8">
        <f>B82+B83+B84-B91-B92-B93</f>
        <v>-25656</v>
      </c>
      <c r="C99" s="17"/>
      <c r="D99" s="8">
        <f>D82+D83+D84-D91-D92-D93</f>
        <v>-30516.821431638575</v>
      </c>
      <c r="E99" s="1"/>
      <c r="F99" s="1"/>
      <c r="G99" s="1"/>
      <c r="H99" s="1"/>
      <c r="I99" s="1"/>
    </row>
    <row r="100">
      <c r="A100" s="1"/>
      <c r="B100" s="1"/>
      <c r="C100" s="47"/>
      <c r="D100" s="1"/>
      <c r="E100" s="1"/>
      <c r="F100" s="1"/>
      <c r="G100" s="1"/>
      <c r="H100" s="1"/>
      <c r="I100" s="1"/>
    </row>
    <row r="101">
      <c r="A101" s="16" t="s">
        <v>809</v>
      </c>
      <c r="B101" s="1"/>
      <c r="C101" s="47"/>
      <c r="D101" s="1"/>
      <c r="E101" s="1"/>
      <c r="F101" s="1"/>
      <c r="G101" s="1"/>
      <c r="H101" s="1"/>
      <c r="I101" s="1"/>
    </row>
    <row r="102">
      <c r="A102" s="6" t="s">
        <v>810</v>
      </c>
      <c r="B102" s="1"/>
      <c r="C102" s="17">
        <f>C35</f>
        <v>3160.609615115665</v>
      </c>
      <c r="D102" s="1"/>
      <c r="E102" s="1"/>
      <c r="F102" s="1"/>
      <c r="G102" s="1"/>
      <c r="H102" s="1"/>
      <c r="I102" s="1"/>
    </row>
    <row r="103">
      <c r="A103" s="6" t="s">
        <v>811</v>
      </c>
      <c r="B103" s="1"/>
      <c r="C103" s="17">
        <f>-MAX(0,C35)*Assumptions!$C$25</f>
        <v>-158.03048075578326</v>
      </c>
      <c r="D103" s="1"/>
      <c r="E103" s="1"/>
      <c r="F103" s="1"/>
      <c r="G103" s="1"/>
      <c r="H103" s="1"/>
      <c r="I103" s="1"/>
    </row>
    <row r="104">
      <c r="A104" s="6" t="s">
        <v>190</v>
      </c>
      <c r="B104" s="1"/>
      <c r="C104" s="17">
        <f>C32</f>
        <v>3746.8125</v>
      </c>
      <c r="D104" s="1"/>
      <c r="E104" s="1"/>
      <c r="F104" s="1"/>
      <c r="G104" s="1"/>
      <c r="H104" s="1"/>
      <c r="I104" s="1"/>
    </row>
    <row r="105">
      <c r="A105" s="6" t="s">
        <v>812</v>
      </c>
      <c r="B105" s="1"/>
      <c r="C105" s="20">
        <f>Schedules!C96</f>
        <v>2356.763392857143</v>
      </c>
      <c r="D105" s="1"/>
      <c r="E105" s="1"/>
      <c r="F105" s="1"/>
      <c r="G105" s="1"/>
      <c r="H105" s="1"/>
      <c r="I105" s="1"/>
    </row>
    <row r="106">
      <c r="A106" s="6" t="s">
        <v>813</v>
      </c>
      <c r="B106" s="1"/>
      <c r="C106" s="17">
        <f>-C59</f>
        <v>-23200</v>
      </c>
      <c r="D106" s="1"/>
      <c r="E106" s="1"/>
      <c r="F106" s="1"/>
      <c r="G106" s="1"/>
      <c r="H106" s="1"/>
      <c r="I106" s="1"/>
    </row>
    <row r="107">
      <c r="A107" s="6" t="s">
        <v>787</v>
      </c>
      <c r="B107" s="1"/>
      <c r="C107" s="17">
        <f>-C60</f>
        <v>-385</v>
      </c>
      <c r="D107" s="1"/>
      <c r="E107" s="1"/>
      <c r="F107" s="1"/>
      <c r="G107" s="1"/>
      <c r="H107" s="1"/>
      <c r="I107" s="1"/>
    </row>
    <row r="108">
      <c r="A108" s="6" t="s">
        <v>814</v>
      </c>
      <c r="B108" s="1"/>
      <c r="C108" s="17">
        <f>C67</f>
        <v>4860.821431638578</v>
      </c>
      <c r="D108" s="1"/>
      <c r="E108" s="1"/>
      <c r="F108" s="1"/>
      <c r="G108" s="1"/>
      <c r="H108" s="1"/>
      <c r="I108" s="1"/>
    </row>
    <row r="109">
      <c r="A109" s="36" t="s">
        <v>815</v>
      </c>
      <c r="B109" s="41"/>
      <c r="C109" s="53">
        <f>C102+C103+C104+C105+C106+C107+C108</f>
        <v>-9618.023541144397</v>
      </c>
      <c r="D109" s="1"/>
      <c r="E109" s="1"/>
      <c r="F109" s="1"/>
      <c r="G109" s="1"/>
      <c r="H109" s="1"/>
      <c r="I109" s="1" t="s">
        <v>816</v>
      </c>
    </row>
    <row r="110">
      <c r="A110" s="1"/>
      <c r="B110" s="1"/>
      <c r="C110" s="47"/>
      <c r="D110" s="1"/>
      <c r="E110" s="1"/>
      <c r="F110" s="1"/>
      <c r="G110" s="1"/>
      <c r="H110" s="1"/>
      <c r="I110" s="1"/>
    </row>
    <row r="111">
      <c r="A111" s="16" t="s">
        <v>315</v>
      </c>
      <c r="B111" s="1"/>
      <c r="C111" s="47"/>
      <c r="D111" s="1"/>
      <c r="E111" s="1"/>
      <c r="F111" s="1"/>
      <c r="G111" s="1"/>
      <c r="H111" s="1"/>
      <c r="I111" s="1"/>
    </row>
    <row r="112">
      <c r="A112" s="6" t="s">
        <v>817</v>
      </c>
      <c r="B112" s="14">
        <f>B90-B98</f>
        <v>0</v>
      </c>
      <c r="C112" s="57"/>
      <c r="D112" s="14">
        <f>D90-D98</f>
        <v>0</v>
      </c>
      <c r="E112" s="1"/>
      <c r="F112" s="1"/>
      <c r="G112" s="1"/>
      <c r="H112" s="1"/>
      <c r="I112" s="1"/>
    </row>
    <row r="113">
      <c r="A113" s="6" t="s">
        <v>818</v>
      </c>
      <c r="B113" s="14">
        <f>B90-BS_Hist!D21</f>
        <v>0</v>
      </c>
      <c r="C113" s="47"/>
      <c r="D113" s="1"/>
      <c r="E113" s="1"/>
      <c r="F113" s="1"/>
      <c r="G113" s="1"/>
      <c r="H113" s="1"/>
      <c r="I113" s="1"/>
    </row>
    <row r="114">
      <c r="A114" s="6" t="s">
        <v>819</v>
      </c>
      <c r="B114" s="14">
        <f>B25-IS_Hist!F6</f>
        <v>0</v>
      </c>
      <c r="C114" s="57"/>
      <c r="D114" s="14"/>
      <c r="E114" s="14">
        <f>E25-IS_Hist!E6</f>
        <v>0</v>
      </c>
      <c r="F114" s="14"/>
      <c r="G114" s="14">
        <f>G25-IS_Hist!D6</f>
        <v>0</v>
      </c>
      <c r="H114" s="1"/>
      <c r="I114" s="1"/>
    </row>
    <row r="115">
      <c r="A115" s="6" t="s">
        <v>820</v>
      </c>
      <c r="B115" s="14">
        <f>B35-IS_Hist!F14</f>
        <v>0</v>
      </c>
      <c r="C115" s="57"/>
      <c r="D115" s="14"/>
      <c r="E115" s="14">
        <f>E35-IS_Hist!E14</f>
        <v>0</v>
      </c>
      <c r="F115" s="14"/>
      <c r="G115" s="14">
        <f>G35-IS_Hist!D14</f>
        <v>0</v>
      </c>
      <c r="H115" s="1"/>
      <c r="I115" s="1"/>
    </row>
    <row r="116">
      <c r="A116" s="6" t="s">
        <v>821</v>
      </c>
      <c r="B116" s="14">
        <f>B41-IS_Hist!F20</f>
        <v>0</v>
      </c>
      <c r="C116" s="57"/>
      <c r="D116" s="14"/>
      <c r="E116" s="14">
        <f>E41-IS_Hist!E20</f>
        <v>0</v>
      </c>
      <c r="F116" s="14"/>
      <c r="G116" s="14">
        <f>G41-IS_Hist!D20</f>
        <v>0</v>
      </c>
      <c r="H116" s="1"/>
      <c r="I116" s="1"/>
    </row>
    <row r="117">
      <c r="A117" s="6" t="s">
        <v>822</v>
      </c>
      <c r="B117" s="14">
        <f>B68-CF_Hist!F27</f>
        <v>0</v>
      </c>
      <c r="C117" s="47"/>
      <c r="D117" s="1"/>
      <c r="E117" s="1"/>
      <c r="F117" s="1"/>
      <c r="G117" s="1"/>
      <c r="H117" s="1"/>
      <c r="I117" s="1"/>
    </row>
    <row r="118">
      <c r="A118" s="6" t="s">
        <v>823</v>
      </c>
      <c r="B118" s="14">
        <f>B59+CF_Hist!F30</f>
        <v>0</v>
      </c>
      <c r="C118" s="57"/>
      <c r="D118" s="14"/>
      <c r="E118" s="14">
        <f>E59+CF_Hist!E30</f>
        <v>0</v>
      </c>
      <c r="F118" s="1"/>
      <c r="G118" s="1"/>
      <c r="H118" s="1"/>
      <c r="I118" s="1"/>
    </row>
    <row r="119">
      <c r="A119" s="6" t="s">
        <v>824</v>
      </c>
      <c r="B119" s="1"/>
      <c r="C119" s="57">
        <f>C77+C76-D81</f>
        <v>0</v>
      </c>
      <c r="D119" s="1"/>
      <c r="E119" s="1"/>
      <c r="F119" s="1"/>
      <c r="G119" s="1"/>
      <c r="H119" s="1"/>
      <c r="I119" s="1"/>
    </row>
  </sheetData>
</worksheet>
</file>

<file path=xl/worksheets/sheet12.xml><?xml version="1.0" encoding="utf-8"?>
<worksheet xmlns="http://schemas.openxmlformats.org/spreadsheetml/2006/main" xmlns:r="http://schemas.openxmlformats.org/officeDocument/2006/relationships">
  <sheetPr>
    <tabColor rgb="FF5A2331"/>
  </sheetPr>
  <dimension ref="A1:N57"/>
  <sheetViews>
    <sheetView showGridLines="0" workbookViewId="0"/>
  </sheetViews>
  <sheetFormatPr defaultColWidth="8.375" defaultRowHeight="15"/>
  <cols>
    <col min="1" max="1" width="92.70703125" customWidth="1"/>
    <col min="2" max="12" width="11.375" customWidth="1"/>
    <col min="13" max="13" width="17.70703125" customWidth="1"/>
    <col min="14" max="14" width="86.0390625" customWidth="1"/>
  </cols>
  <sheetData>
    <row r="1">
      <c r="A1" s="56" t="s">
        <v>825</v>
      </c>
      <c r="B1" s="1"/>
      <c r="C1" s="1"/>
      <c r="D1" s="1"/>
      <c r="E1" s="1"/>
      <c r="F1" s="1"/>
      <c r="G1" s="1"/>
      <c r="H1" s="1"/>
      <c r="I1" s="1"/>
      <c r="J1" s="1"/>
      <c r="K1" s="1"/>
      <c r="L1" s="1"/>
      <c r="M1" s="1"/>
      <c r="N1" s="1"/>
    </row>
    <row r="2">
      <c r="A2" s="1" t="s">
        <v>826</v>
      </c>
      <c r="B2" s="1"/>
      <c r="C2" s="1"/>
      <c r="D2" s="1"/>
      <c r="E2" s="1"/>
      <c r="F2" s="1"/>
      <c r="G2" s="1"/>
      <c r="H2" s="1"/>
      <c r="I2" s="1"/>
      <c r="J2" s="1"/>
      <c r="K2" s="1"/>
      <c r="L2" s="1"/>
      <c r="M2" s="1"/>
      <c r="N2" s="1"/>
    </row>
    <row r="3">
      <c r="A3" s="1"/>
      <c r="B3" s="1" t="s">
        <v>564</v>
      </c>
      <c r="C3" s="47" t="s">
        <v>565</v>
      </c>
      <c r="D3" s="1"/>
      <c r="E3" s="1"/>
      <c r="F3" s="1"/>
      <c r="G3" s="1"/>
      <c r="H3" s="1"/>
      <c r="I3" s="1"/>
      <c r="J3" s="1"/>
      <c r="K3" s="1"/>
      <c r="L3" s="1"/>
      <c r="M3" s="1"/>
      <c r="N3" s="1"/>
    </row>
    <row r="4">
      <c r="A4" s="4" t="s">
        <v>81</v>
      </c>
      <c r="B4" s="11" t="s">
        <v>566</v>
      </c>
      <c r="C4" s="107" t="s">
        <v>567</v>
      </c>
      <c r="D4" s="30" t="s">
        <v>568</v>
      </c>
      <c r="E4" s="30" t="s">
        <v>569</v>
      </c>
      <c r="F4" s="30" t="s">
        <v>570</v>
      </c>
      <c r="G4" s="30" t="s">
        <v>571</v>
      </c>
      <c r="H4" s="30" t="s">
        <v>572</v>
      </c>
      <c r="I4" s="30" t="s">
        <v>573</v>
      </c>
      <c r="J4" s="30" t="s">
        <v>574</v>
      </c>
      <c r="K4" s="30" t="s">
        <v>575</v>
      </c>
      <c r="L4" s="30" t="s">
        <v>576</v>
      </c>
      <c r="M4" s="40" t="s">
        <v>87</v>
      </c>
      <c r="N4" s="40" t="s">
        <v>88</v>
      </c>
    </row>
    <row r="5">
      <c r="A5" s="1"/>
      <c r="B5" s="1"/>
      <c r="C5" s="47"/>
      <c r="D5" s="1"/>
      <c r="E5" s="1"/>
      <c r="F5" s="1"/>
      <c r="G5" s="1"/>
      <c r="H5" s="1"/>
      <c r="I5" s="1"/>
      <c r="J5" s="1"/>
      <c r="K5" s="1"/>
      <c r="L5" s="1"/>
      <c r="M5" s="1"/>
      <c r="N5" s="1"/>
    </row>
    <row r="6">
      <c r="A6" s="16" t="s">
        <v>358</v>
      </c>
      <c r="B6" s="1"/>
      <c r="C6" s="47"/>
      <c r="D6" s="1"/>
      <c r="E6" s="1"/>
      <c r="F6" s="1"/>
      <c r="G6" s="1"/>
      <c r="H6" s="1"/>
      <c r="I6" s="1"/>
      <c r="J6" s="1"/>
      <c r="K6" s="1"/>
      <c r="L6" s="1"/>
      <c r="M6" s="1"/>
      <c r="N6" s="1"/>
    </row>
    <row r="7">
      <c r="A7" s="6" t="s">
        <v>392</v>
      </c>
      <c r="B7" s="9">
        <f>Segments_Hist!D68</f>
        <v>43</v>
      </c>
      <c r="C7" s="20">
        <f>Interim_Bridge!D7</f>
        <v>42</v>
      </c>
      <c r="D7" s="9">
        <f>Assumptions!D99</f>
        <v>48</v>
      </c>
      <c r="E7" s="9">
        <f>Assumptions!E99</f>
        <v>52</v>
      </c>
      <c r="F7" s="9">
        <f>Assumptions!F99</f>
        <v>56</v>
      </c>
      <c r="G7" s="9">
        <f>Assumptions!G99</f>
        <v>60</v>
      </c>
      <c r="H7" s="9">
        <f>Assumptions!H99</f>
        <v>63</v>
      </c>
      <c r="I7" s="9">
        <f>Assumptions!I99</f>
        <v>66</v>
      </c>
      <c r="J7" s="9">
        <f>Assumptions!J99</f>
        <v>68</v>
      </c>
      <c r="K7" s="9">
        <f>Assumptions!K99</f>
        <v>70</v>
      </c>
      <c r="L7" s="9">
        <f>Assumptions!L99</f>
        <v>72</v>
      </c>
      <c r="M7" s="1"/>
      <c r="N7" s="1"/>
    </row>
    <row r="8">
      <c r="A8" s="6" t="s">
        <v>441</v>
      </c>
      <c r="B8" s="52">
        <f>B9/B7</f>
        <v>59.906976744186046</v>
      </c>
      <c r="C8" s="84">
        <f>Interim_Bridge!D8</f>
        <v>72.6896551724138</v>
      </c>
      <c r="D8" s="52">
        <f>C8*(1+Assumptions!D104)</f>
        <v>74.87034482758621</v>
      </c>
      <c r="E8" s="52">
        <f>D8*(1+Assumptions!E104)</f>
        <v>77.1164551724138</v>
      </c>
      <c r="F8" s="52">
        <f>E8*(1+Assumptions!F104)</f>
        <v>79.42994882758622</v>
      </c>
      <c r="G8" s="52">
        <f>F8*(1+Assumptions!G104)</f>
        <v>81.8128472924138</v>
      </c>
      <c r="H8" s="52">
        <f>G8*(1+Assumptions!H104)</f>
        <v>84.26723271118622</v>
      </c>
      <c r="I8" s="52">
        <f>H8*(1+Assumptions!I104)</f>
        <v>86.79524969252181</v>
      </c>
      <c r="J8" s="52">
        <f>I8*(1+Assumptions!J104)</f>
        <v>89.39910718329746</v>
      </c>
      <c r="K8" s="52">
        <f>J8*(1+Assumptions!K104)</f>
        <v>92.08108039879639</v>
      </c>
      <c r="L8" s="52">
        <f>K8*(1+Assumptions!L104)</f>
        <v>94.84351281076029</v>
      </c>
      <c r="M8" s="1"/>
      <c r="N8" s="1"/>
    </row>
    <row r="9">
      <c r="A9" s="6" t="s">
        <v>355</v>
      </c>
      <c r="B9" s="9">
        <f>Segments_Hist!D7</f>
        <v>2576</v>
      </c>
      <c r="C9" s="20">
        <f>Interim_Bridge!D9</f>
        <v>3052.9655172413795</v>
      </c>
      <c r="D9" s="8">
        <f>D7*D8</f>
        <v>3593.776551724138</v>
      </c>
      <c r="E9" s="8">
        <f>E7*E8</f>
        <v>4010.0556689655173</v>
      </c>
      <c r="F9" s="8">
        <f>F7*F8</f>
        <v>4448.077134344828</v>
      </c>
      <c r="G9" s="8">
        <f>G7*G8</f>
        <v>4908.770837544828</v>
      </c>
      <c r="H9" s="8">
        <f>H7*H8</f>
        <v>5308.8356608047325</v>
      </c>
      <c r="I9" s="8">
        <f>I7*I8</f>
        <v>5728.486479706439</v>
      </c>
      <c r="J9" s="8">
        <f>J7*J8</f>
        <v>6079.139288464227</v>
      </c>
      <c r="K9" s="8">
        <f>K7*K8</f>
        <v>6445.675627915747</v>
      </c>
      <c r="L9" s="8">
        <f>L7*L8</f>
        <v>6828.732922374741</v>
      </c>
      <c r="M9" s="1"/>
      <c r="N9" s="1"/>
    </row>
    <row r="10">
      <c r="A10" s="6" t="s">
        <v>357</v>
      </c>
      <c r="B10" s="9">
        <f>Segments_Hist!D8</f>
        <v>1510</v>
      </c>
      <c r="C10" s="20">
        <f>Interim_Bridge!D10</f>
        <v>1877</v>
      </c>
      <c r="D10" s="8">
        <f>C10*(1+Assumptions!D109)</f>
        <v>2027.16</v>
      </c>
      <c r="E10" s="8">
        <f>D10*(1+Assumptions!E109)</f>
        <v>2189.3328</v>
      </c>
      <c r="F10" s="8">
        <f>E10*(1+Assumptions!F109)</f>
        <v>2364.479424</v>
      </c>
      <c r="G10" s="8">
        <f>F10*(1+Assumptions!G109)</f>
        <v>2506.34818944</v>
      </c>
      <c r="H10" s="8">
        <f>G10*(1+Assumptions!H109)</f>
        <v>2656.7290808064004</v>
      </c>
      <c r="I10" s="8">
        <f>H10*(1+Assumptions!I109)</f>
        <v>2789.5655348467203</v>
      </c>
      <c r="J10" s="8">
        <f>I10*(1+Assumptions!J109)</f>
        <v>2929.0438115890565</v>
      </c>
      <c r="K10" s="8">
        <f>J10*(1+Assumptions!K109)</f>
        <v>3046.2055640526187</v>
      </c>
      <c r="L10" s="8">
        <f>K10*(1+Assumptions!L109)</f>
        <v>3168.0537866147233</v>
      </c>
      <c r="M10" s="1"/>
      <c r="N10" s="1"/>
    </row>
    <row r="11">
      <c r="A11" s="16" t="s">
        <v>827</v>
      </c>
      <c r="B11" s="12">
        <f>B9+B10</f>
        <v>4086</v>
      </c>
      <c r="C11" s="37">
        <f>C9+C10</f>
        <v>4929.9655172413795</v>
      </c>
      <c r="D11" s="12">
        <f>D9+D10</f>
        <v>5620.936551724138</v>
      </c>
      <c r="E11" s="12">
        <f>E9+E10</f>
        <v>6199.388468965517</v>
      </c>
      <c r="F11" s="12">
        <f>F9+F10</f>
        <v>6812.556558344828</v>
      </c>
      <c r="G11" s="12">
        <f>G9+G10</f>
        <v>7415.119026984828</v>
      </c>
      <c r="H11" s="12">
        <f>H9+H10</f>
        <v>7965.564741611133</v>
      </c>
      <c r="I11" s="12">
        <f>I9+I10</f>
        <v>8518.05201455316</v>
      </c>
      <c r="J11" s="12">
        <f>J9+J10</f>
        <v>9008.183100053284</v>
      </c>
      <c r="K11" s="12">
        <f>K9+K10</f>
        <v>9491.881191968365</v>
      </c>
      <c r="L11" s="12">
        <f>L9+L10</f>
        <v>9996.786708989464</v>
      </c>
      <c r="M11" s="1"/>
      <c r="N11" s="1"/>
    </row>
    <row r="12">
      <c r="A12" s="6" t="s">
        <v>828</v>
      </c>
      <c r="B12" s="9">
        <f>Segments_Hist!D54</f>
        <v>653</v>
      </c>
      <c r="C12" s="20">
        <f>Interim_Bridge!D28</f>
        <v>38.29482758620688</v>
      </c>
      <c r="D12" s="8">
        <f>D11*Assumptions!D114</f>
        <v>843.1404827586206</v>
      </c>
      <c r="E12" s="8">
        <f>E11*Assumptions!E114</f>
        <v>1115.889924413793</v>
      </c>
      <c r="F12" s="8">
        <f>F11*Assumptions!F114</f>
        <v>1362.5113116689656</v>
      </c>
      <c r="G12" s="8">
        <f>G11*Assumptions!G114</f>
        <v>1631.3261859366623</v>
      </c>
      <c r="H12" s="8">
        <f>H11*Assumptions!H114</f>
        <v>1911.735537986672</v>
      </c>
      <c r="I12" s="8">
        <f>I11*Assumptions!I114</f>
        <v>2129.51300363829</v>
      </c>
      <c r="J12" s="8">
        <f>J11*Assumptions!J114</f>
        <v>2252.045775013321</v>
      </c>
      <c r="K12" s="8">
        <f>K11*Assumptions!K114</f>
        <v>2372.970297992091</v>
      </c>
      <c r="L12" s="8">
        <f>L11*Assumptions!L114</f>
        <v>2499.196677247366</v>
      </c>
      <c r="M12" s="1"/>
      <c r="N12" s="1"/>
    </row>
    <row r="13">
      <c r="A13" s="54" t="s">
        <v>829</v>
      </c>
      <c r="B13" s="10">
        <f>B12/B11</f>
        <v>0.15981399902104748</v>
      </c>
      <c r="C13" s="24">
        <f>C12/C11</f>
        <v>0.0077677678377830114</v>
      </c>
      <c r="D13" s="10">
        <f>D12/D11</f>
        <v>0.15</v>
      </c>
      <c r="E13" s="10">
        <f>E12/E11</f>
        <v>0.18000000000000002</v>
      </c>
      <c r="F13" s="10">
        <f>F12/F11</f>
        <v>0.2</v>
      </c>
      <c r="G13" s="10">
        <f>G12/G11</f>
        <v>0.22</v>
      </c>
      <c r="H13" s="10">
        <f>H12/H11</f>
        <v>0.24</v>
      </c>
      <c r="I13" s="10">
        <f>I12/I11</f>
        <v>0.25</v>
      </c>
      <c r="J13" s="10">
        <f>J12/J11</f>
        <v>0.25</v>
      </c>
      <c r="K13" s="10">
        <f>K12/K11</f>
        <v>0.25</v>
      </c>
      <c r="L13" s="10">
        <f>L12/L11</f>
        <v>0.25</v>
      </c>
      <c r="M13" s="1"/>
      <c r="N13" s="1"/>
    </row>
    <row r="14">
      <c r="A14" s="6" t="s">
        <v>830</v>
      </c>
      <c r="B14" s="9">
        <f>Segments_Hist!D59</f>
        <v>3832</v>
      </c>
      <c r="C14" s="20">
        <f>Interim_Bridge!D56</f>
        <v>5432</v>
      </c>
      <c r="D14" s="9">
        <f>Assumptions!D119</f>
        <v>5500</v>
      </c>
      <c r="E14" s="9">
        <f>Assumptions!E119</f>
        <v>5500</v>
      </c>
      <c r="F14" s="9">
        <f>Assumptions!F119</f>
        <v>5000</v>
      </c>
      <c r="G14" s="9">
        <f>Assumptions!G119</f>
        <v>4500</v>
      </c>
      <c r="H14" s="9">
        <f>Assumptions!H119</f>
        <v>4000</v>
      </c>
      <c r="I14" s="9">
        <f>Assumptions!I119</f>
        <v>4000</v>
      </c>
      <c r="J14" s="9">
        <f>Assumptions!J119</f>
        <v>4000</v>
      </c>
      <c r="K14" s="9">
        <f>Assumptions!K119</f>
        <v>4000</v>
      </c>
      <c r="L14" s="9">
        <f>Assumptions!L119</f>
        <v>4000</v>
      </c>
      <c r="M14" s="1"/>
      <c r="N14" s="1"/>
    </row>
    <row r="15">
      <c r="A15" s="1"/>
      <c r="B15" s="1"/>
      <c r="C15" s="47"/>
      <c r="D15" s="1"/>
      <c r="E15" s="1"/>
      <c r="F15" s="1"/>
      <c r="G15" s="1"/>
      <c r="H15" s="1"/>
      <c r="I15" s="1"/>
      <c r="J15" s="1"/>
      <c r="K15" s="1"/>
      <c r="L15" s="1"/>
      <c r="M15" s="1"/>
      <c r="N15" s="1"/>
    </row>
    <row r="16">
      <c r="A16" s="16" t="s">
        <v>361</v>
      </c>
      <c r="B16" s="1"/>
      <c r="C16" s="47"/>
      <c r="D16" s="1"/>
      <c r="E16" s="1"/>
      <c r="F16" s="1"/>
      <c r="G16" s="1"/>
      <c r="H16" s="1"/>
      <c r="I16" s="1"/>
      <c r="J16" s="1"/>
      <c r="K16" s="1"/>
      <c r="L16" s="1"/>
      <c r="M16" s="1"/>
      <c r="N16" s="1"/>
    </row>
    <row r="17">
      <c r="A17" s="6" t="s">
        <v>831</v>
      </c>
      <c r="B17" s="48">
        <f>Segments_Hist!D64</f>
        <v>8.9</v>
      </c>
      <c r="C17" s="84">
        <f>Interim_Bridge!D12</f>
        <v>15.2</v>
      </c>
      <c r="D17" s="48">
        <f>Assumptions!D74</f>
        <v>21</v>
      </c>
      <c r="E17" s="48">
        <f>Assumptions!E74</f>
        <v>28</v>
      </c>
      <c r="F17" s="48">
        <f>Assumptions!F74</f>
        <v>35</v>
      </c>
      <c r="G17" s="48">
        <f>Assumptions!G74</f>
        <v>41</v>
      </c>
      <c r="H17" s="48">
        <f>Assumptions!H74</f>
        <v>47</v>
      </c>
      <c r="I17" s="48">
        <f>Assumptions!I74</f>
        <v>52</v>
      </c>
      <c r="J17" s="48">
        <f>Assumptions!J74</f>
        <v>56</v>
      </c>
      <c r="K17" s="48">
        <f>Assumptions!K74</f>
        <v>60</v>
      </c>
      <c r="L17" s="48">
        <f>Assumptions!L74</f>
        <v>63</v>
      </c>
      <c r="M17" s="1"/>
      <c r="N17" s="1"/>
    </row>
    <row r="18">
      <c r="A18" s="6" t="s">
        <v>832</v>
      </c>
      <c r="B18" s="9">
        <f>Segments_Hist!D65</f>
        <v>81</v>
      </c>
      <c r="C18" s="20">
        <f>Interim_Bridge!C13</f>
        <v>69</v>
      </c>
      <c r="D18" s="9">
        <f>Assumptions!D79</f>
        <v>66</v>
      </c>
      <c r="E18" s="9">
        <f>Assumptions!E79</f>
        <v>64</v>
      </c>
      <c r="F18" s="9">
        <f>Assumptions!F79</f>
        <v>62</v>
      </c>
      <c r="G18" s="9">
        <f>Assumptions!G79</f>
        <v>61</v>
      </c>
      <c r="H18" s="9">
        <f>Assumptions!H79</f>
        <v>60</v>
      </c>
      <c r="I18" s="9">
        <f>Assumptions!I79</f>
        <v>60</v>
      </c>
      <c r="J18" s="9">
        <f>Assumptions!J79</f>
        <v>60</v>
      </c>
      <c r="K18" s="9">
        <f>Assumptions!K79</f>
        <v>60</v>
      </c>
      <c r="L18" s="9">
        <f>Assumptions!L79</f>
        <v>60</v>
      </c>
      <c r="M18" s="1"/>
      <c r="N18" s="1" t="s">
        <v>833</v>
      </c>
    </row>
    <row r="19">
      <c r="A19" s="6" t="s">
        <v>834</v>
      </c>
      <c r="B19" s="8"/>
      <c r="C19" s="17"/>
      <c r="D19" s="8">
        <f>D18*(C17+D17)/2*12</f>
        <v>14335.2</v>
      </c>
      <c r="E19" s="8">
        <f>E18*(D17+E17)/2*12</f>
        <v>18816</v>
      </c>
      <c r="F19" s="8">
        <f>F18*(E17+F17)/2*12</f>
        <v>23436</v>
      </c>
      <c r="G19" s="8">
        <f>G18*(F17+G17)/2*12</f>
        <v>27816</v>
      </c>
      <c r="H19" s="8">
        <f>H18*(G17+H17)/2*12</f>
        <v>31680</v>
      </c>
      <c r="I19" s="8">
        <f>I18*(H17+I17)/2*12</f>
        <v>35640</v>
      </c>
      <c r="J19" s="8">
        <f>J18*(I17+J17)/2*12</f>
        <v>38880</v>
      </c>
      <c r="K19" s="8">
        <f>K18*(J17+K17)/2*12</f>
        <v>41760</v>
      </c>
      <c r="L19" s="8">
        <f>L18*(K17+L17)/2*12</f>
        <v>44280</v>
      </c>
      <c r="M19" s="1"/>
      <c r="N19" s="1"/>
    </row>
    <row r="20">
      <c r="A20" s="6" t="s">
        <v>835</v>
      </c>
      <c r="B20" s="9">
        <f>Segments_Hist!D10</f>
        <v>7208</v>
      </c>
      <c r="C20" s="20">
        <f>Interim_Bridge!D16</f>
        <v>11265.125</v>
      </c>
      <c r="D20" s="8">
        <f>D19*(1+Interim_Bridge!$C$15)</f>
        <v>16885.627717391304</v>
      </c>
      <c r="E20" s="8">
        <f>E19*(1+Interim_Bridge!$C$15)</f>
        <v>22163.623188405792</v>
      </c>
      <c r="F20" s="8">
        <f>F19*(1+Interim_Bridge!$C$15)</f>
        <v>27605.58423913043</v>
      </c>
      <c r="G20" s="8">
        <f>G19*(1+Interim_Bridge!$C$15)</f>
        <v>32764.84601449275</v>
      </c>
      <c r="H20" s="8">
        <f>H19*(1+Interim_Bridge!$C$15)</f>
        <v>37316.30434782608</v>
      </c>
      <c r="I20" s="8">
        <f>I19*(1+Interim_Bridge!$C$15)</f>
        <v>41980.842391304344</v>
      </c>
      <c r="J20" s="8">
        <f>J19*(1+Interim_Bridge!$C$15)</f>
        <v>45797.28260869564</v>
      </c>
      <c r="K20" s="8">
        <f>K19*(1+Interim_Bridge!$C$15)</f>
        <v>49189.67391304347</v>
      </c>
      <c r="L20" s="8">
        <f>L19*(1+Interim_Bridge!$C$15)</f>
        <v>52158.01630434782</v>
      </c>
      <c r="M20" s="1"/>
      <c r="N20" s="1"/>
    </row>
    <row r="21">
      <c r="A21" s="6" t="s">
        <v>360</v>
      </c>
      <c r="B21" s="9">
        <f>Segments_Hist!D11</f>
        <v>4179</v>
      </c>
      <c r="C21" s="20">
        <f>Interim_Bridge!D17</f>
        <v>7339.16</v>
      </c>
      <c r="D21" s="8">
        <f>C21*(1+Assumptions!D84)</f>
        <v>10641.782</v>
      </c>
      <c r="E21" s="8">
        <f>D21*(1+Assumptions!E84)</f>
        <v>14366.4057</v>
      </c>
      <c r="F21" s="8">
        <f>E21*(1+Assumptions!F84)</f>
        <v>18676.327409999998</v>
      </c>
      <c r="G21" s="8">
        <f>F21*(1+Assumptions!G84)</f>
        <v>23345.409262499998</v>
      </c>
      <c r="H21" s="8">
        <f>G21*(1+Assumptions!H84)</f>
        <v>28014.491114999997</v>
      </c>
      <c r="I21" s="8">
        <f>H21*(1+Assumptions!I84)</f>
        <v>32216.664782249994</v>
      </c>
      <c r="J21" s="8">
        <f>I21*(1+Assumptions!J84)</f>
        <v>36082.66455612</v>
      </c>
      <c r="K21" s="8">
        <f>J21*(1+Assumptions!K84)</f>
        <v>39690.931011732</v>
      </c>
      <c r="L21" s="8">
        <f>K21*(1+Assumptions!L84)</f>
        <v>42866.20549267056</v>
      </c>
      <c r="M21" s="1"/>
      <c r="N21" s="1"/>
    </row>
    <row r="22">
      <c r="A22" s="16" t="s">
        <v>836</v>
      </c>
      <c r="B22" s="12">
        <f>B20+B21</f>
        <v>11387</v>
      </c>
      <c r="C22" s="37">
        <f>C20+C21</f>
        <v>18604.285</v>
      </c>
      <c r="D22" s="12">
        <f>D20+D21</f>
        <v>27527.409717391303</v>
      </c>
      <c r="E22" s="12">
        <f>E20+E21</f>
        <v>36530.028888405795</v>
      </c>
      <c r="F22" s="12">
        <f>F20+F21</f>
        <v>46281.91164913043</v>
      </c>
      <c r="G22" s="12">
        <f>G20+G21</f>
        <v>56110.25527699274</v>
      </c>
      <c r="H22" s="12">
        <f>H20+H21</f>
        <v>65330.79546282608</v>
      </c>
      <c r="I22" s="12">
        <f>I20+I21</f>
        <v>74197.50717355433</v>
      </c>
      <c r="J22" s="12">
        <f>J20+J21</f>
        <v>81879.94716481565</v>
      </c>
      <c r="K22" s="12">
        <f>K20+K21</f>
        <v>88880.60492477547</v>
      </c>
      <c r="L22" s="12">
        <f>L20+L21</f>
        <v>95024.22179701837</v>
      </c>
      <c r="M22" s="1"/>
      <c r="N22" s="1"/>
    </row>
    <row r="23">
      <c r="A23" s="6" t="s">
        <v>837</v>
      </c>
      <c r="B23" s="9">
        <f>Segments_Hist!D55</f>
        <v>7168</v>
      </c>
      <c r="C23" s="20">
        <f>Interim_Bridge!D29</f>
        <v>11958.38525</v>
      </c>
      <c r="D23" s="8">
        <f>D22*Assumptions!D89</f>
        <v>17617.542219130435</v>
      </c>
      <c r="E23" s="8">
        <f>E22*Assumptions!E89</f>
        <v>23744.518777463767</v>
      </c>
      <c r="F23" s="8">
        <f>F22*Assumptions!F89</f>
        <v>30083.24257193478</v>
      </c>
      <c r="G23" s="8">
        <f>G22*Assumptions!G89</f>
        <v>37032.76848281521</v>
      </c>
      <c r="H23" s="8">
        <f>H22*Assumptions!H89</f>
        <v>43118.325005465216</v>
      </c>
      <c r="I23" s="8">
        <f>I22*Assumptions!I89</f>
        <v>48970.354734545865</v>
      </c>
      <c r="J23" s="8">
        <f>J22*Assumptions!J89</f>
        <v>54040.76512877833</v>
      </c>
      <c r="K23" s="8">
        <f>K22*Assumptions!K89</f>
        <v>58661.19925035181</v>
      </c>
      <c r="L23" s="8">
        <f>L22*Assumptions!L89</f>
        <v>62715.98638603213</v>
      </c>
      <c r="M23" s="1"/>
      <c r="N23" s="1"/>
    </row>
    <row r="24">
      <c r="A24" s="54" t="s">
        <v>829</v>
      </c>
      <c r="B24" s="10">
        <f>B23/B22</f>
        <v>0.6294897690348643</v>
      </c>
      <c r="C24" s="24">
        <f>C23/C22</f>
        <v>0.6427758578198517</v>
      </c>
      <c r="D24" s="10">
        <f>D23/D22</f>
        <v>0.64</v>
      </c>
      <c r="E24" s="10">
        <f>E23/E22</f>
        <v>0.65</v>
      </c>
      <c r="F24" s="10">
        <f>F23/F22</f>
        <v>0.65</v>
      </c>
      <c r="G24" s="10">
        <f>G23/G22</f>
        <v>0.66</v>
      </c>
      <c r="H24" s="10">
        <f>H23/H22</f>
        <v>0.66</v>
      </c>
      <c r="I24" s="10">
        <f>I23/I22</f>
        <v>0.66</v>
      </c>
      <c r="J24" s="10">
        <f>J23/J22</f>
        <v>0.66</v>
      </c>
      <c r="K24" s="10">
        <f>K23/K22</f>
        <v>0.66</v>
      </c>
      <c r="L24" s="10">
        <f>L23/L22</f>
        <v>0.66</v>
      </c>
      <c r="M24" s="1"/>
      <c r="N24" s="1"/>
    </row>
    <row r="25">
      <c r="A25" s="6" t="s">
        <v>838</v>
      </c>
      <c r="B25" s="9">
        <f>Segments_Hist!D60</f>
        <v>4178</v>
      </c>
      <c r="C25" s="20">
        <f>Interim_Bridge!D57</f>
        <v>5842</v>
      </c>
      <c r="D25" s="8">
        <f>D22*Assumptions!D94</f>
        <v>7707.674720869566</v>
      </c>
      <c r="E25" s="8">
        <f>E22*Assumptions!E94</f>
        <v>9132.507222101449</v>
      </c>
      <c r="F25" s="8">
        <f>F22*Assumptions!F94</f>
        <v>10182.020562808695</v>
      </c>
      <c r="G25" s="8">
        <f>G22*Assumptions!G94</f>
        <v>11222.05105539855</v>
      </c>
      <c r="H25" s="8">
        <f>H22*Assumptions!H94</f>
        <v>11759.543183308693</v>
      </c>
      <c r="I25" s="8">
        <f>I22*Assumptions!I94</f>
        <v>12613.576219504237</v>
      </c>
      <c r="J25" s="8">
        <f>J22*Assumptions!J94</f>
        <v>13100.791546370503</v>
      </c>
      <c r="K25" s="8">
        <f>K22*Assumptions!K94</f>
        <v>13332.09073871632</v>
      </c>
      <c r="L25" s="8">
        <f>L22*Assumptions!L94</f>
        <v>14253.633269552754</v>
      </c>
      <c r="M25" s="1"/>
      <c r="N25" s="1"/>
    </row>
    <row r="26">
      <c r="A26" s="1"/>
      <c r="B26" s="1"/>
      <c r="C26" s="47"/>
      <c r="D26" s="1"/>
      <c r="E26" s="1"/>
      <c r="F26" s="1"/>
      <c r="G26" s="1"/>
      <c r="H26" s="1"/>
      <c r="I26" s="1"/>
      <c r="J26" s="1"/>
      <c r="K26" s="1"/>
      <c r="L26" s="1"/>
      <c r="M26" s="1"/>
      <c r="N26" s="1"/>
    </row>
    <row r="27">
      <c r="A27" s="16" t="s">
        <v>839</v>
      </c>
      <c r="B27" s="1"/>
      <c r="C27" s="47"/>
      <c r="D27" s="1"/>
      <c r="E27" s="1"/>
      <c r="F27" s="1"/>
      <c r="G27" s="1"/>
      <c r="H27" s="1"/>
      <c r="I27" s="1"/>
      <c r="J27" s="1"/>
      <c r="K27" s="1"/>
      <c r="L27" s="1"/>
      <c r="M27" s="1"/>
      <c r="N27" s="1"/>
    </row>
    <row r="28">
      <c r="A28" s="6" t="s">
        <v>840</v>
      </c>
      <c r="B28" s="48">
        <f>Segments_Hist!D66</f>
        <v>0.8</v>
      </c>
      <c r="C28" s="84">
        <f>Interim_Bridge!D19</f>
        <v>2.1</v>
      </c>
      <c r="D28" s="52">
        <f>C28+(Assumptions!D124-Assumptions!$C$15)*(1+Assumptions!$C$65)</f>
        <v>3.6</v>
      </c>
      <c r="E28" s="52">
        <f>D28+(Assumptions!E124-Assumptions!D124)*(1+Assumptions!$C$65)</f>
        <v>5.2</v>
      </c>
      <c r="F28" s="52">
        <f>E28+(Assumptions!F124-Assumptions!E124)*(1+Assumptions!$C$65)</f>
        <v>6.8</v>
      </c>
      <c r="G28" s="52">
        <f>F28+(Assumptions!G124-Assumptions!F124)*(1+Assumptions!$C$65)</f>
        <v>8.4</v>
      </c>
      <c r="H28" s="52">
        <f>G28+(Assumptions!H124-Assumptions!G124)*(1+Assumptions!$C$65)</f>
        <v>9.8</v>
      </c>
      <c r="I28" s="52">
        <f>H28+(Assumptions!I124-Assumptions!H124)*(1+Assumptions!$C$65)</f>
        <v>11</v>
      </c>
      <c r="J28" s="52">
        <f>I28+(Assumptions!J124-Assumptions!I124)*(1+Assumptions!$C$65)</f>
        <v>12</v>
      </c>
      <c r="K28" s="52">
        <f>J28+(Assumptions!K124-Assumptions!J124)*(1+Assumptions!$C$65)</f>
        <v>12.8</v>
      </c>
      <c r="L28" s="52">
        <f>K28+(Assumptions!L124-Assumptions!K124)*(1+Assumptions!$C$65)</f>
        <v>13.5</v>
      </c>
      <c r="M28" s="1"/>
      <c r="N28" s="1" t="s">
        <v>841</v>
      </c>
    </row>
    <row r="29">
      <c r="A29" s="6" t="s">
        <v>842</v>
      </c>
      <c r="B29" s="7">
        <f>Segments_Hist!D66-Segments_Hist!C66</f>
        <v>0.5</v>
      </c>
      <c r="C29" s="89">
        <f>C28-B28</f>
        <v>1.3</v>
      </c>
      <c r="D29" s="7">
        <f>D28-C28</f>
        <v>1.5</v>
      </c>
      <c r="E29" s="7">
        <f>E28-D28</f>
        <v>1.6</v>
      </c>
      <c r="F29" s="7">
        <f>F28-E28</f>
        <v>1.5999999999999996</v>
      </c>
      <c r="G29" s="7">
        <f>G28-F28</f>
        <v>1.6000000000000005</v>
      </c>
      <c r="H29" s="7">
        <f>H28-G28</f>
        <v>1.4000000000000004</v>
      </c>
      <c r="I29" s="7">
        <f>I28-H28</f>
        <v>1.1999999999999993</v>
      </c>
      <c r="J29" s="7">
        <f>J28-I28</f>
        <v>1</v>
      </c>
      <c r="K29" s="7">
        <f>K28-J28</f>
        <v>0.8000000000000007</v>
      </c>
      <c r="L29" s="7">
        <f>L28-K28</f>
        <v>0.6999999999999993</v>
      </c>
      <c r="M29" s="1"/>
      <c r="N29" s="1"/>
    </row>
    <row r="30">
      <c r="A30" s="6" t="s">
        <v>843</v>
      </c>
      <c r="B30" s="50">
        <v>2025</v>
      </c>
      <c r="C30" s="70">
        <v>2026</v>
      </c>
      <c r="D30" s="50">
        <v>2027</v>
      </c>
      <c r="E30" s="50">
        <v>2028</v>
      </c>
      <c r="F30" s="50">
        <v>2029</v>
      </c>
      <c r="G30" s="50">
        <v>2030</v>
      </c>
      <c r="H30" s="50">
        <v>2031</v>
      </c>
      <c r="I30" s="50">
        <v>2032</v>
      </c>
      <c r="J30" s="50">
        <v>2033</v>
      </c>
      <c r="K30" s="50">
        <v>2034</v>
      </c>
      <c r="L30" s="50">
        <v>2035</v>
      </c>
      <c r="M30" s="1"/>
      <c r="N30" s="1"/>
    </row>
    <row r="31">
      <c r="A31" s="6" t="s">
        <v>844</v>
      </c>
      <c r="B31" s="7"/>
      <c r="C31" s="89"/>
      <c r="D31" s="7">
        <f>SUMPRODUCT(($B$30:$L$30=D30-Assumptions!$C$62)*$B$29:$L$29)+IF(D30-Assumptions!$C$62=2024,Segments_Hist!C66-Segments_Hist!B66,0)</f>
        <v>0</v>
      </c>
      <c r="E31" s="7">
        <f>SUMPRODUCT(($B$30:$L$30=E30-Assumptions!$C$62)*$B$29:$L$29)+IF(E30-Assumptions!$C$62=2024,Segments_Hist!C66-Segments_Hist!B66,0)</f>
        <v>0</v>
      </c>
      <c r="F31" s="7">
        <f>SUMPRODUCT(($B$30:$L$30=F30-Assumptions!$C$62)*$B$29:$L$29)+IF(F30-Assumptions!$C$62=2024,Segments_Hist!C66-Segments_Hist!B66,0)</f>
        <v>0</v>
      </c>
      <c r="G31" s="7">
        <f>SUMPRODUCT(($B$30:$L$30=G30-Assumptions!$C$62)*$B$29:$L$29)+IF(G30-Assumptions!$C$62=2024,Segments_Hist!C66-Segments_Hist!B66,0)</f>
        <v>0</v>
      </c>
      <c r="H31" s="7">
        <f>SUMPRODUCT(($B$30:$L$30=H30-Assumptions!$C$62)*$B$29:$L$29)+IF(H30-Assumptions!$C$62=2024,Segments_Hist!C66-Segments_Hist!B66,0)</f>
        <v>0.3</v>
      </c>
      <c r="I31" s="7">
        <f>SUMPRODUCT(($B$30:$L$30=I30-Assumptions!$C$62)*$B$29:$L$29)+IF(I30-Assumptions!$C$62=2024,Segments_Hist!C66-Segments_Hist!B66,0)</f>
        <v>0.5</v>
      </c>
      <c r="J31" s="7">
        <f>SUMPRODUCT(($B$30:$L$30=J30-Assumptions!$C$62)*$B$29:$L$29)+IF(J30-Assumptions!$C$62=2024,Segments_Hist!C66-Segments_Hist!B66,0)</f>
        <v>1.3</v>
      </c>
      <c r="K31" s="7">
        <f>SUMPRODUCT(($B$30:$L$30=K30-Assumptions!$C$62)*$B$29:$L$29)+IF(K30-Assumptions!$C$62=2024,Segments_Hist!C66-Segments_Hist!B66,0)</f>
        <v>1.5</v>
      </c>
      <c r="L31" s="7">
        <f>SUMPRODUCT(($B$30:$L$30=L30-Assumptions!$C$62)*$B$29:$L$29)+IF(L30-Assumptions!$C$62=2024,Segments_Hist!C66-Segments_Hist!B66,0)</f>
        <v>1.6</v>
      </c>
      <c r="M31" s="1"/>
      <c r="N31" s="1" t="s">
        <v>845</v>
      </c>
    </row>
    <row r="32">
      <c r="A32" s="6" t="s">
        <v>846</v>
      </c>
      <c r="B32" s="7"/>
      <c r="C32" s="109">
        <f>Interim_Bridge!C20</f>
        <v>16.55225806451613</v>
      </c>
      <c r="D32" s="7">
        <f>Assumptions!D129*(1+Assumptions!$C$66)</f>
        <v>15.5</v>
      </c>
      <c r="E32" s="7">
        <f>Assumptions!E129*(1+Assumptions!$C$66)</f>
        <v>14.9</v>
      </c>
      <c r="F32" s="7">
        <f>Assumptions!F129*(1+Assumptions!$C$66)</f>
        <v>14.4</v>
      </c>
      <c r="G32" s="7">
        <f>Assumptions!G129*(1+Assumptions!$C$66)</f>
        <v>14</v>
      </c>
      <c r="H32" s="7">
        <f>Assumptions!H129*(1+Assumptions!$C$66)</f>
        <v>13.7</v>
      </c>
      <c r="I32" s="7">
        <f>Assumptions!I129*(1+Assumptions!$C$66)</f>
        <v>13.4</v>
      </c>
      <c r="J32" s="7">
        <f>Assumptions!J129*(1+Assumptions!$C$66)</f>
        <v>13.2</v>
      </c>
      <c r="K32" s="7">
        <f>Assumptions!K129*(1+Assumptions!$C$66)</f>
        <v>13</v>
      </c>
      <c r="L32" s="7">
        <f>Assumptions!L129*(1+Assumptions!$C$66)</f>
        <v>12.8</v>
      </c>
      <c r="M32" s="1"/>
      <c r="N32" s="1" t="s">
        <v>847</v>
      </c>
    </row>
    <row r="33">
      <c r="A33" s="6" t="s">
        <v>848</v>
      </c>
      <c r="B33" s="9">
        <f>Segments_Hist!D14</f>
        <v>1357</v>
      </c>
      <c r="C33" s="20">
        <f>Interim_Bridge!D21</f>
        <v>16945.322580645163</v>
      </c>
      <c r="D33" s="8">
        <f>(C28+D28)/2*D32*1000</f>
        <v>44175.00000000001</v>
      </c>
      <c r="E33" s="8">
        <f>(D28+E28)/2*E32*1000</f>
        <v>65560</v>
      </c>
      <c r="F33" s="8">
        <f>(E28+F28)/2*F32*1000</f>
        <v>86400</v>
      </c>
      <c r="G33" s="8">
        <f>(F28+G28)/2*G32*1000</f>
        <v>106399.99999999999</v>
      </c>
      <c r="H33" s="8">
        <f>(G28+H28)/2*H32*1000</f>
        <v>124670.00000000001</v>
      </c>
      <c r="I33" s="8">
        <f>(H28+I28)/2*I32*1000</f>
        <v>139360</v>
      </c>
      <c r="J33" s="8">
        <f>(I28+J28)/2*J32*1000</f>
        <v>151799.99999999997</v>
      </c>
      <c r="K33" s="8">
        <f>(J28+K28)/2*K32*1000</f>
        <v>161200.00000000003</v>
      </c>
      <c r="L33" s="8">
        <f>(K28+L28)/2*L32*1000</f>
        <v>168320.00000000003</v>
      </c>
      <c r="M33" s="1"/>
      <c r="N33" s="1"/>
    </row>
    <row r="34">
      <c r="A34" s="6" t="s">
        <v>849</v>
      </c>
      <c r="B34" s="5">
        <v>0</v>
      </c>
      <c r="C34" s="20">
        <f>Interim_Bridge!D22</f>
        <v>1917.1404255319148</v>
      </c>
      <c r="D34" s="8">
        <f>C34*(1+Assumptions!D139)</f>
        <v>3067.424680851064</v>
      </c>
      <c r="E34" s="8">
        <f>D34*(1+Assumptions!E139)</f>
        <v>4294.394553191489</v>
      </c>
      <c r="F34" s="8">
        <f>E34*(1+Assumptions!F139)</f>
        <v>5582.712919148936</v>
      </c>
      <c r="G34" s="8">
        <f>F34*(1+Assumptions!G139)</f>
        <v>6810.909761361701</v>
      </c>
      <c r="H34" s="8">
        <f>G34*(1+Assumptions!H139)</f>
        <v>7900.655323179573</v>
      </c>
      <c r="I34" s="8">
        <f>H34*(1+Assumptions!I139)</f>
        <v>8848.733961961123</v>
      </c>
      <c r="J34" s="8">
        <f>I34*(1+Assumptions!J139)</f>
        <v>9733.607358157236</v>
      </c>
      <c r="K34" s="8">
        <f>J34*(1+Assumptions!K139)</f>
        <v>10512.295946809816</v>
      </c>
      <c r="L34" s="8">
        <f>K34*(1+Assumptions!L139)</f>
        <v>11143.033703618406</v>
      </c>
      <c r="M34" s="1"/>
      <c r="N34" s="1"/>
    </row>
    <row r="35">
      <c r="A35" s="6" t="s">
        <v>850</v>
      </c>
      <c r="B35" s="9">
        <f>Segments_Hist!D13</f>
        <v>1844</v>
      </c>
      <c r="C35" s="20">
        <f>Interim_Bridge!D23</f>
        <v>1829.04</v>
      </c>
      <c r="D35" s="8">
        <f>C35*(1+Assumptions!D144)</f>
        <v>1883.9112</v>
      </c>
      <c r="E35" s="8">
        <f>D35*(1+Assumptions!E144)</f>
        <v>1940.4285360000001</v>
      </c>
      <c r="F35" s="8">
        <f>E35*(1+Assumptions!F144)</f>
        <v>1998.6413920800003</v>
      </c>
      <c r="G35" s="8">
        <f>F35*(1+Assumptions!G144)</f>
        <v>2058.6006338424004</v>
      </c>
      <c r="H35" s="8">
        <f>G35*(1+Assumptions!H144)</f>
        <v>2120.3586528576725</v>
      </c>
      <c r="I35" s="8">
        <f>H35*(1+Assumptions!I144)</f>
        <v>2183.9694124434027</v>
      </c>
      <c r="J35" s="8">
        <f>I35*(1+Assumptions!J144)</f>
        <v>2249.488494816705</v>
      </c>
      <c r="K35" s="8">
        <f>J35*(1+Assumptions!K144)</f>
        <v>2316.973149661206</v>
      </c>
      <c r="L35" s="8">
        <f>K35*(1+Assumptions!L144)</f>
        <v>2386.4823441510425</v>
      </c>
      <c r="M35" s="1"/>
      <c r="N35" s="1"/>
    </row>
    <row r="36">
      <c r="A36" s="16" t="s">
        <v>851</v>
      </c>
      <c r="B36" s="12">
        <f>B33+B34+B35</f>
        <v>3201</v>
      </c>
      <c r="C36" s="37">
        <f>C33+C34+C35</f>
        <v>20691.503006177078</v>
      </c>
      <c r="D36" s="12">
        <f>D33+D34+D35</f>
        <v>49126.335880851075</v>
      </c>
      <c r="E36" s="12">
        <f>E33+E34+E35</f>
        <v>71794.8230891915</v>
      </c>
      <c r="F36" s="12">
        <f>F33+F34+F35</f>
        <v>93981.35431122893</v>
      </c>
      <c r="G36" s="12">
        <f>G33+G34+G35</f>
        <v>115269.5103952041</v>
      </c>
      <c r="H36" s="12">
        <f>H33+H34+H35</f>
        <v>134691.01397603727</v>
      </c>
      <c r="I36" s="12">
        <f>I33+I34+I35</f>
        <v>150392.70337440452</v>
      </c>
      <c r="J36" s="12">
        <f>J33+J34+J35</f>
        <v>163783.0958529739</v>
      </c>
      <c r="K36" s="12">
        <f>K33+K34+K35</f>
        <v>174029.26909647105</v>
      </c>
      <c r="L36" s="12">
        <f>L33+L34+L35</f>
        <v>181849.5160477695</v>
      </c>
      <c r="M36" s="1"/>
      <c r="N36" s="1"/>
    </row>
    <row r="37">
      <c r="A37" s="6" t="s">
        <v>852</v>
      </c>
      <c r="B37" s="9">
        <f>Segments_Hist!D56</f>
        <v>-1237</v>
      </c>
      <c r="C37" s="20">
        <f>Interim_Bridge!D30</f>
        <v>11341.501803706247</v>
      </c>
      <c r="D37" s="8">
        <f>D36*Assumptions!D149</f>
        <v>29475.801528510645</v>
      </c>
      <c r="E37" s="8">
        <f>E36*Assumptions!E149</f>
        <v>43076.8938535149</v>
      </c>
      <c r="F37" s="8">
        <f>F36*Assumptions!F149</f>
        <v>56388.81258673736</v>
      </c>
      <c r="G37" s="8">
        <f>G36*Assumptions!G149</f>
        <v>69161.70623712246</v>
      </c>
      <c r="H37" s="8">
        <f>H36*Assumptions!H149</f>
        <v>80814.60838562236</v>
      </c>
      <c r="I37" s="8">
        <f>I36*Assumptions!I149</f>
        <v>90235.62202464271</v>
      </c>
      <c r="J37" s="8">
        <f>J36*Assumptions!J149</f>
        <v>98269.85751178434</v>
      </c>
      <c r="K37" s="8">
        <f>K36*Assumptions!K149</f>
        <v>104417.56145788262</v>
      </c>
      <c r="L37" s="8">
        <f>L36*Assumptions!L149</f>
        <v>109109.70962866169</v>
      </c>
      <c r="M37" s="1"/>
      <c r="N37" s="1"/>
    </row>
    <row r="38">
      <c r="A38" s="54" t="s">
        <v>829</v>
      </c>
      <c r="B38" s="10">
        <f>B37/B36</f>
        <v>-0.38644173695720085</v>
      </c>
      <c r="C38" s="24">
        <f>C37/C36</f>
        <v>0.5481236331802695</v>
      </c>
      <c r="D38" s="10">
        <f>D37/D36</f>
        <v>0.6</v>
      </c>
      <c r="E38" s="10">
        <f>E37/E36</f>
        <v>0.6</v>
      </c>
      <c r="F38" s="10">
        <f>F37/F36</f>
        <v>0.6</v>
      </c>
      <c r="G38" s="10">
        <f>G37/G36</f>
        <v>0.6</v>
      </c>
      <c r="H38" s="10">
        <f>H37/H36</f>
        <v>0.6</v>
      </c>
      <c r="I38" s="10">
        <f>I37/I36</f>
        <v>0.6</v>
      </c>
      <c r="J38" s="10">
        <f>J37/J36</f>
        <v>0.6</v>
      </c>
      <c r="K38" s="10">
        <f>K37/K36</f>
        <v>0.6</v>
      </c>
      <c r="L38" s="10">
        <f>L37/L36</f>
        <v>0.6</v>
      </c>
      <c r="M38" s="1"/>
      <c r="N38" s="1"/>
    </row>
    <row r="39">
      <c r="A39" s="6" t="s">
        <v>853</v>
      </c>
      <c r="B39" s="8"/>
      <c r="C39" s="17"/>
      <c r="D39" s="8">
        <f>(D29+D31)*Assumptions!D134*1000</f>
        <v>63000</v>
      </c>
      <c r="E39" s="8">
        <f>(E29+E31)*Assumptions!E134*1000</f>
        <v>64000</v>
      </c>
      <c r="F39" s="8">
        <f>(F29+F31)*Assumptions!F134*1000</f>
        <v>59199.999999999985</v>
      </c>
      <c r="G39" s="8">
        <f>(G29+G31)*Assumptions!G134*1000</f>
        <v>56000.00000000002</v>
      </c>
      <c r="H39" s="8">
        <f>(H29+H31)*Assumptions!H134*1000</f>
        <v>56100.000000000015</v>
      </c>
      <c r="I39" s="8">
        <f>(I29+I31)*Assumptions!I134*1000</f>
        <v>52699.99999999997</v>
      </c>
      <c r="J39" s="8">
        <f>(J29+J31)*Assumptions!J134*1000</f>
        <v>66699.99999999999</v>
      </c>
      <c r="K39" s="8">
        <f>(K29+K31)*Assumptions!K134*1000</f>
        <v>64400.00000000002</v>
      </c>
      <c r="L39" s="8">
        <f>(L29+L31)*Assumptions!L134*1000</f>
        <v>62099.99999999998</v>
      </c>
      <c r="M39" s="1"/>
      <c r="N39" s="1"/>
    </row>
    <row r="40">
      <c r="A40" s="6" t="s">
        <v>854</v>
      </c>
      <c r="B40" s="8"/>
      <c r="C40" s="17"/>
      <c r="D40" s="9">
        <f>Schedules!D27</f>
        <v>40000</v>
      </c>
      <c r="E40" s="9">
        <f>Schedules!E27</f>
        <v>0</v>
      </c>
      <c r="F40" s="9">
        <f>Schedules!F27</f>
        <v>0</v>
      </c>
      <c r="G40" s="9">
        <f>Schedules!G27</f>
        <v>0</v>
      </c>
      <c r="H40" s="9">
        <f>Schedules!H27</f>
        <v>0</v>
      </c>
      <c r="I40" s="9">
        <f>Schedules!I27</f>
        <v>0</v>
      </c>
      <c r="J40" s="9">
        <f>Schedules!J27</f>
        <v>0</v>
      </c>
      <c r="K40" s="9">
        <f>Schedules!K27</f>
        <v>0</v>
      </c>
      <c r="L40" s="9">
        <f>Schedules!L27</f>
        <v>0</v>
      </c>
      <c r="M40" s="1"/>
      <c r="N40" s="1"/>
    </row>
    <row r="41">
      <c r="A41" s="6" t="s">
        <v>855</v>
      </c>
      <c r="B41" s="9">
        <f>Segments_Hist!D61</f>
        <v>12727</v>
      </c>
      <c r="C41" s="20">
        <f>Interim_Bridge!D58</f>
        <v>59995</v>
      </c>
      <c r="D41" s="8">
        <f>MAX(D39,D40)</f>
        <v>63000</v>
      </c>
      <c r="E41" s="8">
        <f>MAX(E39,E40)</f>
        <v>64000</v>
      </c>
      <c r="F41" s="8">
        <f>MAX(F39,F40)</f>
        <v>59199.999999999985</v>
      </c>
      <c r="G41" s="8">
        <f>MAX(G39,G40)</f>
        <v>56000.00000000002</v>
      </c>
      <c r="H41" s="8">
        <f>MAX(H39,H40)</f>
        <v>56100.000000000015</v>
      </c>
      <c r="I41" s="8">
        <f>MAX(I39,I40)</f>
        <v>52699.99999999997</v>
      </c>
      <c r="J41" s="8">
        <f>MAX(J39,J40)</f>
        <v>66699.99999999999</v>
      </c>
      <c r="K41" s="8">
        <f>MAX(K39,K40)</f>
        <v>64400.00000000002</v>
      </c>
      <c r="L41" s="8">
        <f>MAX(L39,L40)</f>
        <v>62099.99999999998</v>
      </c>
      <c r="M41" s="1"/>
      <c r="N41" s="1"/>
    </row>
    <row r="42">
      <c r="A42" s="1"/>
      <c r="B42" s="1"/>
      <c r="C42" s="47"/>
      <c r="D42" s="1"/>
      <c r="E42" s="1"/>
      <c r="F42" s="1"/>
      <c r="G42" s="1"/>
      <c r="H42" s="1"/>
      <c r="I42" s="1"/>
      <c r="J42" s="1"/>
      <c r="K42" s="1"/>
      <c r="L42" s="1"/>
      <c r="M42" s="1"/>
      <c r="N42" s="1"/>
    </row>
    <row r="43">
      <c r="A43" s="16" t="s">
        <v>856</v>
      </c>
      <c r="B43" s="1"/>
      <c r="C43" s="47"/>
      <c r="D43" s="1"/>
      <c r="E43" s="1"/>
      <c r="F43" s="1"/>
      <c r="G43" s="1"/>
      <c r="H43" s="1"/>
      <c r="I43" s="1"/>
      <c r="J43" s="1"/>
      <c r="K43" s="1"/>
      <c r="L43" s="1"/>
      <c r="M43" s="1"/>
      <c r="N43" s="1"/>
    </row>
    <row r="44">
      <c r="A44" s="16" t="s">
        <v>89</v>
      </c>
      <c r="B44" s="33">
        <f>B11+B22+B36</f>
        <v>18674</v>
      </c>
      <c r="C44" s="53">
        <f>C11+C22+C36</f>
        <v>44225.75352341846</v>
      </c>
      <c r="D44" s="33">
        <f>D11+D22+D36</f>
        <v>82274.68214996651</v>
      </c>
      <c r="E44" s="33">
        <f>E11+E22+E36</f>
        <v>114524.24044656282</v>
      </c>
      <c r="F44" s="33">
        <f>F11+F22+F36</f>
        <v>147075.8225187042</v>
      </c>
      <c r="G44" s="33">
        <f>G11+G22+G36</f>
        <v>178794.88469918165</v>
      </c>
      <c r="H44" s="33">
        <f>H11+H22+H36</f>
        <v>207987.3741804745</v>
      </c>
      <c r="I44" s="33">
        <f>I11+I22+I36</f>
        <v>233108.262562512</v>
      </c>
      <c r="J44" s="33">
        <f>J11+J22+J36</f>
        <v>254671.22611784283</v>
      </c>
      <c r="K44" s="33">
        <f>K11+K22+K36</f>
        <v>272401.7552132149</v>
      </c>
      <c r="L44" s="33">
        <f>L11+L22+L36</f>
        <v>286870.5245537773</v>
      </c>
      <c r="M44" s="1"/>
      <c r="N44" s="1"/>
    </row>
    <row r="45">
      <c r="A45" s="54" t="s">
        <v>857</v>
      </c>
      <c r="B45" s="10"/>
      <c r="C45" s="24">
        <f>C44/B44-1</f>
        <v>1.3683063898157042</v>
      </c>
      <c r="D45" s="10">
        <f>D44/C44-1</f>
        <v>0.8603342079044587</v>
      </c>
      <c r="E45" s="10">
        <f>E44/D44-1</f>
        <v>0.3919742678289939</v>
      </c>
      <c r="F45" s="10">
        <f>F44/E44-1</f>
        <v>0.28423311907779025</v>
      </c>
      <c r="G45" s="10">
        <f>G44/F44-1</f>
        <v>0.21566469347090433</v>
      </c>
      <c r="H45" s="10">
        <f>H44/G44-1</f>
        <v>0.16327362793632805</v>
      </c>
      <c r="I45" s="10">
        <f>I44/H44-1</f>
        <v>0.12078083336077738</v>
      </c>
      <c r="J45" s="10">
        <f>J44/I44-1</f>
        <v>0.09250192729461193</v>
      </c>
      <c r="K45" s="10">
        <f>K44/J44-1</f>
        <v>0.06962124997649988</v>
      </c>
      <c r="L45" s="10">
        <f>L44/K44-1</f>
        <v>0.05311555106991639</v>
      </c>
      <c r="M45" s="1"/>
      <c r="N45" s="1"/>
    </row>
    <row r="46">
      <c r="A46" s="16" t="s">
        <v>858</v>
      </c>
      <c r="B46" s="33">
        <f>B12+B23+B37</f>
        <v>6584</v>
      </c>
      <c r="C46" s="53">
        <f>C12+C23+C37</f>
        <v>23338.181881292454</v>
      </c>
      <c r="D46" s="33">
        <f>D12+D23+D37</f>
        <v>47936.4842303997</v>
      </c>
      <c r="E46" s="33">
        <f>E12+E23+E37</f>
        <v>67937.30255539247</v>
      </c>
      <c r="F46" s="33">
        <f>F12+F23+F37</f>
        <v>87834.5664703411</v>
      </c>
      <c r="G46" s="33">
        <f>G12+G23+G37</f>
        <v>107825.80090587433</v>
      </c>
      <c r="H46" s="33">
        <f>H12+H23+H37</f>
        <v>125844.66892907425</v>
      </c>
      <c r="I46" s="33">
        <f>I12+I23+I37</f>
        <v>141335.48976282688</v>
      </c>
      <c r="J46" s="33">
        <f>J12+J23+J37</f>
        <v>154562.668415576</v>
      </c>
      <c r="K46" s="33">
        <f>K12+K23+K37</f>
        <v>165451.73100622653</v>
      </c>
      <c r="L46" s="33">
        <f>L12+L23+L37</f>
        <v>174324.89269194118</v>
      </c>
      <c r="M46" s="1"/>
      <c r="N46" s="1"/>
    </row>
    <row r="47">
      <c r="A47" s="54" t="s">
        <v>829</v>
      </c>
      <c r="B47" s="10">
        <f>B46/B44</f>
        <v>0.35257577380314875</v>
      </c>
      <c r="C47" s="24">
        <f>C46/C44</f>
        <v>0.5277056923164554</v>
      </c>
      <c r="D47" s="10">
        <f>D46/D44</f>
        <v>0.582639555422691</v>
      </c>
      <c r="E47" s="10">
        <f>E46/E44</f>
        <v>0.5932132995642273</v>
      </c>
      <c r="F47" s="10">
        <f>F46/F44</f>
        <v>0.5972060190869974</v>
      </c>
      <c r="G47" s="10">
        <f>G46/G44</f>
        <v>0.6030698310373297</v>
      </c>
      <c r="H47" s="10">
        <f>H46/H44</f>
        <v>0.605059174504874</v>
      </c>
      <c r="I47" s="10">
        <f>I46/I44</f>
        <v>0.6063083659461677</v>
      </c>
      <c r="J47" s="10">
        <f>J46/J44</f>
        <v>0.6069106069488036</v>
      </c>
      <c r="K47" s="10">
        <f>K46/K44</f>
        <v>0.6073812956040749</v>
      </c>
      <c r="L47" s="10">
        <f>L46/L44</f>
        <v>0.607677951449006</v>
      </c>
      <c r="M47" s="1"/>
      <c r="N47" s="1"/>
    </row>
    <row r="48">
      <c r="A48" s="16" t="s">
        <v>859</v>
      </c>
      <c r="B48" s="33">
        <f>B14+B25+B41</f>
        <v>20737</v>
      </c>
      <c r="C48" s="53">
        <f>C14+C25+C41</f>
        <v>71269</v>
      </c>
      <c r="D48" s="33">
        <f>D14+D25+D41</f>
        <v>76207.67472086957</v>
      </c>
      <c r="E48" s="33">
        <f>E14+E25+E41</f>
        <v>78632.50722210144</v>
      </c>
      <c r="F48" s="33">
        <f>F14+F25+F41</f>
        <v>74382.02056280868</v>
      </c>
      <c r="G48" s="33">
        <f>G14+G25+G41</f>
        <v>71722.05105539857</v>
      </c>
      <c r="H48" s="33">
        <f>H14+H25+H41</f>
        <v>71859.5431833087</v>
      </c>
      <c r="I48" s="33">
        <f>I14+I25+I41</f>
        <v>69313.5762195042</v>
      </c>
      <c r="J48" s="33">
        <f>J14+J25+J41</f>
        <v>83800.79154637048</v>
      </c>
      <c r="K48" s="33">
        <f>K14+K25+K41</f>
        <v>81732.09073871635</v>
      </c>
      <c r="L48" s="33">
        <f>L14+L25+L41</f>
        <v>80353.63326955272</v>
      </c>
      <c r="M48" s="1"/>
      <c r="N48" s="1"/>
    </row>
    <row r="49">
      <c r="A49" s="6" t="s">
        <v>860</v>
      </c>
      <c r="B49" s="8">
        <f>B48</f>
        <v>20737</v>
      </c>
      <c r="C49" s="17">
        <f>C48</f>
        <v>71269</v>
      </c>
      <c r="D49" s="8">
        <f>D48-D40</f>
        <v>36207.674720869574</v>
      </c>
      <c r="E49" s="8">
        <f>E48-E40</f>
        <v>78632.50722210144</v>
      </c>
      <c r="F49" s="8">
        <f>F48-F40</f>
        <v>74382.02056280868</v>
      </c>
      <c r="G49" s="8">
        <f>G48-G40</f>
        <v>71722.05105539857</v>
      </c>
      <c r="H49" s="8">
        <f>H48-H40</f>
        <v>71859.5431833087</v>
      </c>
      <c r="I49" s="8">
        <f>I48-I40</f>
        <v>69313.5762195042</v>
      </c>
      <c r="J49" s="8">
        <f>J48-J40</f>
        <v>83800.79154637048</v>
      </c>
      <c r="K49" s="8">
        <f>K48-K40</f>
        <v>81732.09073871635</v>
      </c>
      <c r="L49" s="8">
        <f>L48-L40</f>
        <v>80353.63326955272</v>
      </c>
      <c r="M49" s="1"/>
      <c r="N49" s="1"/>
    </row>
    <row r="50">
      <c r="A50" s="54" t="s">
        <v>861</v>
      </c>
      <c r="B50" s="10">
        <f>B48/B44</f>
        <v>1.1104744564635323</v>
      </c>
      <c r="C50" s="24">
        <f>C48/C44</f>
        <v>1.611481870224361</v>
      </c>
      <c r="D50" s="10">
        <f>D48/D44</f>
        <v>0.9262591204176484</v>
      </c>
      <c r="E50" s="10">
        <f>E48/E44</f>
        <v>0.6866014296666869</v>
      </c>
      <c r="F50" s="10">
        <f>F48/F44</f>
        <v>0.5057392798422</v>
      </c>
      <c r="G50" s="10">
        <f>G48/G44</f>
        <v>0.40114151574341345</v>
      </c>
      <c r="H50" s="10">
        <f>H48/H44</f>
        <v>0.3454995451837132</v>
      </c>
      <c r="I50" s="10">
        <f>I48/I44</f>
        <v>0.2973449995189105</v>
      </c>
      <c r="J50" s="10">
        <f>J48/J44</f>
        <v>0.3290548085223956</v>
      </c>
      <c r="K50" s="10">
        <f>K48/K44</f>
        <v>0.3000424526440471</v>
      </c>
      <c r="L50" s="10">
        <f>L48/L44</f>
        <v>0.2801041807782154</v>
      </c>
      <c r="M50" s="1"/>
      <c r="N50" s="1"/>
    </row>
    <row r="51">
      <c r="A51" s="54" t="s">
        <v>862</v>
      </c>
      <c r="B51" s="10">
        <f>B36/B44</f>
        <v>0.1714148013280497</v>
      </c>
      <c r="C51" s="24">
        <f>C36/C44</f>
        <v>0.46786094882974677</v>
      </c>
      <c r="D51" s="10">
        <f>D36/D44</f>
        <v>0.5971014970474859</v>
      </c>
      <c r="E51" s="10">
        <f>E36/E44</f>
        <v>0.6268963043041623</v>
      </c>
      <c r="F51" s="10">
        <f>F36/F44</f>
        <v>0.6389993453837524</v>
      </c>
      <c r="G51" s="10">
        <f>G36/G44</f>
        <v>0.6447025069489121</v>
      </c>
      <c r="H51" s="10">
        <f>H36/H44</f>
        <v>0.647592261341611</v>
      </c>
      <c r="I51" s="10">
        <f>I36/I44</f>
        <v>0.6451624739559547</v>
      </c>
      <c r="J51" s="10">
        <f>J36/J44</f>
        <v>0.643115825645679</v>
      </c>
      <c r="K51" s="10">
        <f>K36/K44</f>
        <v>0.6388698522160934</v>
      </c>
      <c r="L51" s="10">
        <f>L36/L44</f>
        <v>0.6339079845537761</v>
      </c>
      <c r="M51" s="1"/>
      <c r="N51" s="1"/>
    </row>
    <row r="52">
      <c r="A52" s="31" t="s">
        <v>863</v>
      </c>
      <c r="B52" s="10"/>
      <c r="C52" s="24"/>
      <c r="D52" s="10">
        <f>Segments_Hist!H145/D44</f>
        <v>0.5127036519340376</v>
      </c>
      <c r="E52" s="10"/>
      <c r="F52" s="10"/>
      <c r="G52" s="10"/>
      <c r="H52" s="10"/>
      <c r="I52" s="10"/>
      <c r="J52" s="10"/>
      <c r="K52" s="10"/>
      <c r="L52" s="10"/>
      <c r="M52" s="1"/>
      <c r="N52" s="1" t="s">
        <v>864</v>
      </c>
    </row>
    <row r="53">
      <c r="A53" s="1"/>
      <c r="B53" s="1"/>
      <c r="C53" s="47"/>
      <c r="D53" s="1"/>
      <c r="E53" s="1"/>
      <c r="F53" s="1"/>
      <c r="G53" s="1"/>
      <c r="H53" s="1"/>
      <c r="I53" s="1"/>
      <c r="J53" s="1"/>
      <c r="K53" s="1"/>
      <c r="L53" s="1"/>
      <c r="M53" s="1"/>
      <c r="N53" s="1"/>
    </row>
    <row r="54">
      <c r="A54" s="16" t="s">
        <v>315</v>
      </c>
      <c r="B54" s="1"/>
      <c r="C54" s="47"/>
      <c r="D54" s="1"/>
      <c r="E54" s="1"/>
      <c r="F54" s="1"/>
      <c r="G54" s="1"/>
      <c r="H54" s="1"/>
      <c r="I54" s="1"/>
      <c r="J54" s="1"/>
      <c r="K54" s="1"/>
      <c r="L54" s="1"/>
      <c r="M54" s="1"/>
      <c r="N54" s="1"/>
    </row>
    <row r="55">
      <c r="A55" s="6" t="s">
        <v>865</v>
      </c>
      <c r="B55" s="14">
        <f>B44-IS_Hist!D6</f>
        <v>0</v>
      </c>
      <c r="C55" s="47"/>
      <c r="D55" s="1"/>
      <c r="E55" s="1"/>
      <c r="F55" s="1"/>
      <c r="G55" s="1"/>
      <c r="H55" s="1"/>
      <c r="I55" s="1"/>
      <c r="J55" s="1"/>
      <c r="K55" s="1"/>
      <c r="L55" s="1"/>
      <c r="M55" s="1"/>
      <c r="N55" s="1"/>
    </row>
    <row r="56">
      <c r="A56" s="6" t="s">
        <v>866</v>
      </c>
      <c r="B56" s="1"/>
      <c r="C56" s="57">
        <f>C44-Interim_Bridge!D25</f>
        <v>0</v>
      </c>
      <c r="D56" s="1"/>
      <c r="E56" s="1"/>
      <c r="F56" s="1"/>
      <c r="G56" s="1"/>
      <c r="H56" s="1"/>
      <c r="I56" s="1"/>
      <c r="J56" s="1"/>
      <c r="K56" s="1"/>
      <c r="L56" s="1"/>
      <c r="M56" s="1"/>
      <c r="N56" s="1"/>
    </row>
    <row r="57">
      <c r="A57" s="6" t="s">
        <v>867</v>
      </c>
      <c r="B57" s="1"/>
      <c r="C57" s="57">
        <f>C11+C22+C36-Forecast_3Stmt!C10</f>
        <v>0</v>
      </c>
      <c r="D57" s="14">
        <f>D11+D22+D36-Forecast_3Stmt!D10</f>
        <v>0</v>
      </c>
      <c r="E57" s="14">
        <f>E11+E22+E36-Forecast_3Stmt!E10</f>
        <v>0</v>
      </c>
      <c r="F57" s="14">
        <f>F11+F22+F36-Forecast_3Stmt!F10</f>
        <v>0</v>
      </c>
      <c r="G57" s="14">
        <f>G11+G22+G36-Forecast_3Stmt!G10</f>
        <v>0</v>
      </c>
      <c r="H57" s="14">
        <f>H11+H22+H36-Forecast_3Stmt!H10</f>
        <v>0</v>
      </c>
      <c r="I57" s="14">
        <f>I11+I22+I36-Forecast_3Stmt!I10</f>
        <v>0</v>
      </c>
      <c r="J57" s="14">
        <f>J11+J22+J36-Forecast_3Stmt!J10</f>
        <v>0</v>
      </c>
      <c r="K57" s="14">
        <f>K11+K22+K36-Forecast_3Stmt!K10</f>
        <v>0</v>
      </c>
      <c r="L57" s="14">
        <f>L11+L22+L36-Forecast_3Stmt!L10</f>
        <v>0</v>
      </c>
      <c r="M57" s="1"/>
      <c r="N57" s="1"/>
    </row>
  </sheetData>
</worksheet>
</file>

<file path=xl/worksheets/sheet13.xml><?xml version="1.0" encoding="utf-8"?>
<worksheet xmlns="http://schemas.openxmlformats.org/spreadsheetml/2006/main" xmlns:r="http://schemas.openxmlformats.org/officeDocument/2006/relationships">
  <sheetPr>
    <tabColor rgb="FF5A2331"/>
  </sheetPr>
  <dimension ref="A1:N119"/>
  <sheetViews>
    <sheetView showGridLines="0" workbookViewId="0"/>
  </sheetViews>
  <sheetFormatPr defaultColWidth="8.375" defaultRowHeight="15"/>
  <cols>
    <col min="1" max="1" width="99.375" customWidth="1"/>
    <col min="2" max="12" width="11.375" customWidth="1"/>
    <col min="13" max="13" width="17.70703125" customWidth="1"/>
    <col min="14" max="14" width="92.70703125" customWidth="1"/>
  </cols>
  <sheetData>
    <row r="1">
      <c r="A1" s="56" t="s">
        <v>868</v>
      </c>
      <c r="B1" s="1"/>
      <c r="C1" s="1"/>
      <c r="D1" s="1"/>
      <c r="E1" s="1"/>
      <c r="F1" s="1"/>
      <c r="G1" s="1"/>
      <c r="H1" s="1"/>
      <c r="I1" s="1"/>
      <c r="J1" s="1"/>
      <c r="K1" s="1"/>
      <c r="L1" s="1"/>
      <c r="M1" s="1"/>
      <c r="N1" s="1"/>
    </row>
    <row r="2">
      <c r="A2" s="1" t="s">
        <v>869</v>
      </c>
      <c r="B2" s="1"/>
      <c r="C2" s="1"/>
      <c r="D2" s="1"/>
      <c r="E2" s="1"/>
      <c r="F2" s="1"/>
      <c r="G2" s="1"/>
      <c r="H2" s="1"/>
      <c r="I2" s="1"/>
      <c r="J2" s="1"/>
      <c r="K2" s="1"/>
      <c r="L2" s="1"/>
      <c r="M2" s="1"/>
      <c r="N2" s="1"/>
    </row>
    <row r="3">
      <c r="A3" s="1"/>
      <c r="B3" s="1" t="s">
        <v>564</v>
      </c>
      <c r="C3" s="47" t="s">
        <v>565</v>
      </c>
      <c r="D3" s="1"/>
      <c r="E3" s="1"/>
      <c r="F3" s="1"/>
      <c r="G3" s="1"/>
      <c r="H3" s="1"/>
      <c r="I3" s="1"/>
      <c r="J3" s="1"/>
      <c r="K3" s="1"/>
      <c r="L3" s="1"/>
      <c r="M3" s="1"/>
      <c r="N3" s="1"/>
    </row>
    <row r="4">
      <c r="A4" s="4" t="s">
        <v>81</v>
      </c>
      <c r="B4" s="11" t="s">
        <v>566</v>
      </c>
      <c r="C4" s="107" t="s">
        <v>567</v>
      </c>
      <c r="D4" s="30" t="s">
        <v>568</v>
      </c>
      <c r="E4" s="30" t="s">
        <v>569</v>
      </c>
      <c r="F4" s="30" t="s">
        <v>570</v>
      </c>
      <c r="G4" s="30" t="s">
        <v>571</v>
      </c>
      <c r="H4" s="30" t="s">
        <v>572</v>
      </c>
      <c r="I4" s="30" t="s">
        <v>573</v>
      </c>
      <c r="J4" s="30" t="s">
        <v>574</v>
      </c>
      <c r="K4" s="30" t="s">
        <v>575</v>
      </c>
      <c r="L4" s="30" t="s">
        <v>576</v>
      </c>
      <c r="M4" s="40" t="s">
        <v>87</v>
      </c>
      <c r="N4" s="40" t="s">
        <v>88</v>
      </c>
    </row>
    <row r="5">
      <c r="A5" s="6" t="s">
        <v>843</v>
      </c>
      <c r="B5" s="50">
        <v>2025</v>
      </c>
      <c r="C5" s="70">
        <v>2026</v>
      </c>
      <c r="D5" s="50">
        <v>2027</v>
      </c>
      <c r="E5" s="50">
        <v>2028</v>
      </c>
      <c r="F5" s="50">
        <v>2029</v>
      </c>
      <c r="G5" s="50">
        <v>2030</v>
      </c>
      <c r="H5" s="50">
        <v>2031</v>
      </c>
      <c r="I5" s="50">
        <v>2032</v>
      </c>
      <c r="J5" s="50">
        <v>2033</v>
      </c>
      <c r="K5" s="50">
        <v>2034</v>
      </c>
      <c r="L5" s="50">
        <v>2035</v>
      </c>
      <c r="M5" s="1"/>
      <c r="N5" s="1"/>
    </row>
    <row r="6">
      <c r="A6" s="1"/>
      <c r="B6" s="1"/>
      <c r="C6" s="47"/>
      <c r="D6" s="1"/>
      <c r="E6" s="1"/>
      <c r="F6" s="1"/>
      <c r="G6" s="1"/>
      <c r="H6" s="1"/>
      <c r="I6" s="1"/>
      <c r="J6" s="1"/>
      <c r="K6" s="1"/>
      <c r="L6" s="1"/>
      <c r="M6" s="1"/>
      <c r="N6" s="1"/>
    </row>
    <row r="7">
      <c r="A7" s="16" t="s">
        <v>369</v>
      </c>
      <c r="B7" s="1"/>
      <c r="C7" s="47"/>
      <c r="D7" s="1"/>
      <c r="E7" s="1"/>
      <c r="F7" s="1"/>
      <c r="G7" s="1"/>
      <c r="H7" s="1"/>
      <c r="I7" s="1"/>
      <c r="J7" s="1"/>
      <c r="K7" s="1"/>
      <c r="L7" s="1"/>
      <c r="M7" s="1"/>
      <c r="N7" s="1"/>
    </row>
    <row r="8">
      <c r="A8" s="6" t="s">
        <v>870</v>
      </c>
      <c r="B8" s="8"/>
      <c r="C8" s="17"/>
      <c r="D8" s="8">
        <f>C10</f>
        <v>86211</v>
      </c>
      <c r="E8" s="8">
        <f>D10</f>
        <v>73123</v>
      </c>
      <c r="F8" s="8">
        <f>E10</f>
        <v>60035</v>
      </c>
      <c r="G8" s="8">
        <f>F10</f>
        <v>46947</v>
      </c>
      <c r="H8" s="8">
        <f>G10</f>
        <v>33859</v>
      </c>
      <c r="I8" s="8">
        <f>H10</f>
        <v>20771</v>
      </c>
      <c r="J8" s="8">
        <f>I10</f>
        <v>7683</v>
      </c>
      <c r="K8" s="8">
        <f>J10</f>
        <v>0</v>
      </c>
      <c r="L8" s="8">
        <f>K10</f>
        <v>0</v>
      </c>
      <c r="M8" s="1"/>
      <c r="N8" s="1"/>
    </row>
    <row r="9">
      <c r="A9" s="6" t="s">
        <v>871</v>
      </c>
      <c r="B9" s="8"/>
      <c r="C9" s="20">
        <f>Interim_Bridge!C50</f>
        <v>3272</v>
      </c>
      <c r="D9" s="8">
        <f>MIN(D8,BS_Hist!D14/Interim_Bridge!B48)</f>
        <v>13088</v>
      </c>
      <c r="E9" s="8">
        <f>MIN(E8,BS_Hist!D14/Interim_Bridge!B48)</f>
        <v>13088</v>
      </c>
      <c r="F9" s="8">
        <f>MIN(F8,BS_Hist!D14/Interim_Bridge!B48)</f>
        <v>13088</v>
      </c>
      <c r="G9" s="8">
        <f>MIN(G8,BS_Hist!D14/Interim_Bridge!B48)</f>
        <v>13088</v>
      </c>
      <c r="H9" s="8">
        <f>MIN(H8,BS_Hist!D14/Interim_Bridge!B48)</f>
        <v>13088</v>
      </c>
      <c r="I9" s="8">
        <f>MIN(I8,BS_Hist!D14/Interim_Bridge!B48)</f>
        <v>13088</v>
      </c>
      <c r="J9" s="8">
        <f>MIN(J8,BS_Hist!D14/Interim_Bridge!B48)</f>
        <v>7683</v>
      </c>
      <c r="K9" s="8">
        <f>MIN(K8,BS_Hist!D14/Interim_Bridge!B48)</f>
        <v>0</v>
      </c>
      <c r="L9" s="8">
        <f>MIN(L8,BS_Hist!D14/Interim_Bridge!B48)</f>
        <v>0</v>
      </c>
      <c r="M9" s="1"/>
      <c r="N9" s="1" t="s">
        <v>872</v>
      </c>
    </row>
    <row r="10">
      <c r="A10" s="16" t="s">
        <v>873</v>
      </c>
      <c r="B10" s="12"/>
      <c r="C10" s="37">
        <f>BS_Hist!D14-C9</f>
        <v>86211</v>
      </c>
      <c r="D10" s="12">
        <f>D8-D9</f>
        <v>73123</v>
      </c>
      <c r="E10" s="12">
        <f>E8-E9</f>
        <v>60035</v>
      </c>
      <c r="F10" s="12">
        <f>F8-F9</f>
        <v>46947</v>
      </c>
      <c r="G10" s="12">
        <f>G8-G9</f>
        <v>33859</v>
      </c>
      <c r="H10" s="12">
        <f>H8-H9</f>
        <v>20771</v>
      </c>
      <c r="I10" s="12">
        <f>I8-I9</f>
        <v>7683</v>
      </c>
      <c r="J10" s="12">
        <f>J8-J9</f>
        <v>0</v>
      </c>
      <c r="K10" s="12">
        <f>K8-K9</f>
        <v>0</v>
      </c>
      <c r="L10" s="12">
        <f>L8-L9</f>
        <v>0</v>
      </c>
      <c r="M10" s="1"/>
      <c r="N10" s="1"/>
    </row>
    <row r="11">
      <c r="A11" s="6" t="s">
        <v>874</v>
      </c>
      <c r="B11" s="8"/>
      <c r="C11" s="20">
        <f>Interim_Bridge!C56</f>
        <v>1600</v>
      </c>
      <c r="D11" s="9">
        <f>Segments_Fcst!D14</f>
        <v>5500</v>
      </c>
      <c r="E11" s="9">
        <f>Segments_Fcst!E14</f>
        <v>5500</v>
      </c>
      <c r="F11" s="9">
        <f>Segments_Fcst!F14</f>
        <v>5000</v>
      </c>
      <c r="G11" s="9">
        <f>Segments_Fcst!G14</f>
        <v>4500</v>
      </c>
      <c r="H11" s="9">
        <f>Segments_Fcst!H14</f>
        <v>4000</v>
      </c>
      <c r="I11" s="9">
        <f>Segments_Fcst!I14</f>
        <v>4000</v>
      </c>
      <c r="J11" s="9">
        <f>Segments_Fcst!J14</f>
        <v>4000</v>
      </c>
      <c r="K11" s="9">
        <f>Segments_Fcst!K14</f>
        <v>4000</v>
      </c>
      <c r="L11" s="9">
        <f>Segments_Fcst!L14</f>
        <v>4000</v>
      </c>
      <c r="M11" s="1"/>
      <c r="N11" s="1" t="s">
        <v>875</v>
      </c>
    </row>
    <row r="12">
      <c r="A12" s="6" t="s">
        <v>876</v>
      </c>
      <c r="B12" s="8"/>
      <c r="C12" s="20">
        <f>Interim_Bridge!C57</f>
        <v>1600</v>
      </c>
      <c r="D12" s="9">
        <f>Segments_Fcst!D25</f>
        <v>7707.674720869566</v>
      </c>
      <c r="E12" s="9">
        <f>Segments_Fcst!E25</f>
        <v>9132.507222101449</v>
      </c>
      <c r="F12" s="9">
        <f>Segments_Fcst!F25</f>
        <v>10182.020562808695</v>
      </c>
      <c r="G12" s="9">
        <f>Segments_Fcst!G25</f>
        <v>11222.05105539855</v>
      </c>
      <c r="H12" s="9">
        <f>Segments_Fcst!H25</f>
        <v>11759.543183308693</v>
      </c>
      <c r="I12" s="9">
        <f>Segments_Fcst!I25</f>
        <v>12613.576219504237</v>
      </c>
      <c r="J12" s="9">
        <f>Segments_Fcst!J25</f>
        <v>13100.791546370503</v>
      </c>
      <c r="K12" s="9">
        <f>Segments_Fcst!K25</f>
        <v>13332.09073871632</v>
      </c>
      <c r="L12" s="9">
        <f>Segments_Fcst!L25</f>
        <v>14253.633269552754</v>
      </c>
      <c r="M12" s="1"/>
      <c r="N12" s="1" t="s">
        <v>875</v>
      </c>
    </row>
    <row r="13">
      <c r="A13" s="6" t="s">
        <v>877</v>
      </c>
      <c r="B13" s="8"/>
      <c r="C13" s="20">
        <f>Interim_Bridge!C58</f>
        <v>20000</v>
      </c>
      <c r="D13" s="9">
        <f>Segments_Fcst!D41</f>
        <v>63000</v>
      </c>
      <c r="E13" s="9">
        <f>Segments_Fcst!E41</f>
        <v>64000</v>
      </c>
      <c r="F13" s="9">
        <f>Segments_Fcst!F41</f>
        <v>59199.999999999985</v>
      </c>
      <c r="G13" s="9">
        <f>Segments_Fcst!G41</f>
        <v>56000.00000000002</v>
      </c>
      <c r="H13" s="9">
        <f>Segments_Fcst!H41</f>
        <v>56100.000000000015</v>
      </c>
      <c r="I13" s="9">
        <f>Segments_Fcst!I41</f>
        <v>52699.99999999997</v>
      </c>
      <c r="J13" s="9">
        <f>Segments_Fcst!J41</f>
        <v>66699.99999999999</v>
      </c>
      <c r="K13" s="9">
        <f>Segments_Fcst!K41</f>
        <v>64400.00000000002</v>
      </c>
      <c r="L13" s="9">
        <f>Segments_Fcst!L41</f>
        <v>62099.99999999998</v>
      </c>
      <c r="M13" s="1"/>
      <c r="N13" s="1" t="s">
        <v>875</v>
      </c>
    </row>
    <row r="14">
      <c r="A14" s="6" t="s">
        <v>878</v>
      </c>
      <c r="B14" s="8"/>
      <c r="C14" s="17"/>
      <c r="D14" s="8">
        <f>SUMPRODUCT($C$11:$L$11,((D5-$C$5:$L$5)=0)*0.5+((D5-$C$5:$L$5)&gt;=1)*((D5-$C$5:$L$5)&lt;=Assumptions!$C$60-1)+((D5-$C$5:$L$5)=Assumptions!$C$60)*0.5)/Assumptions!$C$60</f>
        <v>435</v>
      </c>
      <c r="E14" s="8">
        <f>SUMPRODUCT($C$11:$L$11,((E5-$C$5:$L$5)=0)*0.5+((E5-$C$5:$L$5)&gt;=1)*((E5-$C$5:$L$5)&lt;=Assumptions!$C$60-1)+((E5-$C$5:$L$5)=Assumptions!$C$60)*0.5)/Assumptions!$C$60</f>
        <v>985</v>
      </c>
      <c r="F14" s="8">
        <f>SUMPRODUCT($C$11:$L$11,((F5-$C$5:$L$5)=0)*0.5+((F5-$C$5:$L$5)&gt;=1)*((F5-$C$5:$L$5)&lt;=Assumptions!$C$60-1)+((F5-$C$5:$L$5)=Assumptions!$C$60)*0.5)/Assumptions!$C$60</f>
        <v>1510</v>
      </c>
      <c r="G14" s="8">
        <f>SUMPRODUCT($C$11:$L$11,((G5-$C$5:$L$5)=0)*0.5+((G5-$C$5:$L$5)&gt;=1)*((G5-$C$5:$L$5)&lt;=Assumptions!$C$60-1)+((G5-$C$5:$L$5)=Assumptions!$C$60)*0.5)/Assumptions!$C$60</f>
        <v>1985</v>
      </c>
      <c r="H14" s="8">
        <f>SUMPRODUCT($C$11:$L$11,((H5-$C$5:$L$5)=0)*0.5+((H5-$C$5:$L$5)&gt;=1)*((H5-$C$5:$L$5)&lt;=Assumptions!$C$60-1)+((H5-$C$5:$L$5)=Assumptions!$C$60)*0.5)/Assumptions!$C$60</f>
        <v>2410</v>
      </c>
      <c r="I14" s="8">
        <f>SUMPRODUCT($C$11:$L$11,((I5-$C$5:$L$5)=0)*0.5+((I5-$C$5:$L$5)&gt;=1)*((I5-$C$5:$L$5)&lt;=Assumptions!$C$60-1)+((I5-$C$5:$L$5)=Assumptions!$C$60)*0.5)/Assumptions!$C$60</f>
        <v>2810</v>
      </c>
      <c r="J14" s="8">
        <f>SUMPRODUCT($C$11:$L$11,((J5-$C$5:$L$5)=0)*0.5+((J5-$C$5:$L$5)&gt;=1)*((J5-$C$5:$L$5)&lt;=Assumptions!$C$60-1)+((J5-$C$5:$L$5)=Assumptions!$C$60)*0.5)/Assumptions!$C$60</f>
        <v>3210</v>
      </c>
      <c r="K14" s="8">
        <f>SUMPRODUCT($C$11:$L$11,((K5-$C$5:$L$5)=0)*0.5+((K5-$C$5:$L$5)&gt;=1)*((K5-$C$5:$L$5)&lt;=Assumptions!$C$60-1)+((K5-$C$5:$L$5)=Assumptions!$C$60)*0.5)/Assumptions!$C$60</f>
        <v>3610</v>
      </c>
      <c r="L14" s="8">
        <f>SUMPRODUCT($C$11:$L$11,((L5-$C$5:$L$5)=0)*0.5+((L5-$C$5:$L$5)&gt;=1)*((L5-$C$5:$L$5)&lt;=Assumptions!$C$60-1)+((L5-$C$5:$L$5)=Assumptions!$C$60)*0.5)/Assumptions!$C$60</f>
        <v>4010</v>
      </c>
      <c r="M14" s="1"/>
      <c r="N14" s="1" t="s">
        <v>879</v>
      </c>
    </row>
    <row r="15">
      <c r="A15" s="6" t="s">
        <v>880</v>
      </c>
      <c r="B15" s="8"/>
      <c r="C15" s="17"/>
      <c r="D15" s="8">
        <f>SUMPRODUCT($C$12:$L$12,((D5-$C$5:$L$5)=0)*0.5+((D5-$C$5:$L$5)&gt;=1)*((D5-$C$5:$L$5)&lt;=Assumptions!$C$61-1)+((D5-$C$5:$L$5)=Assumptions!$C$61)*0.5)/Assumptions!$C$61</f>
        <v>1090.7674720869568</v>
      </c>
      <c r="E15" s="8">
        <f>SUMPRODUCT($C$12:$L$12,((E5-$C$5:$L$5)=0)*0.5+((E5-$C$5:$L$5)&gt;=1)*((E5-$C$5:$L$5)&lt;=Assumptions!$C$61-1)+((E5-$C$5:$L$5)=Assumptions!$C$61)*0.5)/Assumptions!$C$61</f>
        <v>2774.7856663840585</v>
      </c>
      <c r="F15" s="8">
        <f>SUMPRODUCT($C$12:$L$12,((F5-$C$5:$L$5)=0)*0.5+((F5-$C$5:$L$5)&gt;=1)*((F5-$C$5:$L$5)&lt;=Assumptions!$C$61-1)+((F5-$C$5:$L$5)=Assumptions!$C$61)*0.5)/Assumptions!$C$61</f>
        <v>4706.238444875073</v>
      </c>
      <c r="G15" s="8">
        <f>SUMPRODUCT($C$12:$L$12,((G5-$C$5:$L$5)=0)*0.5+((G5-$C$5:$L$5)&gt;=1)*((G5-$C$5:$L$5)&lt;=Assumptions!$C$61-1)+((G5-$C$5:$L$5)=Assumptions!$C$61)*0.5)/Assumptions!$C$61</f>
        <v>6846.645606695796</v>
      </c>
      <c r="H15" s="8">
        <f>SUMPRODUCT($C$12:$L$12,((H5-$C$5:$L$5)=0)*0.5+((H5-$C$5:$L$5)&gt;=1)*((H5-$C$5:$L$5)&lt;=Assumptions!$C$61-1)+((H5-$C$5:$L$5)=Assumptions!$C$61)*0.5)/Assumptions!$C$61</f>
        <v>8984.80503056652</v>
      </c>
      <c r="I15" s="8">
        <f>SUMPRODUCT($C$12:$L$12,((I5-$C$5:$L$5)=0)*0.5+((I5-$C$5:$L$5)&gt;=1)*((I5-$C$5:$L$5)&lt;=Assumptions!$C$61-1)+((I5-$C$5:$L$5)=Assumptions!$C$61)*0.5)/Assumptions!$C$61</f>
        <v>10491.349498760857</v>
      </c>
      <c r="J15" s="8">
        <f>SUMPRODUCT($C$12:$L$12,((J5-$C$5:$L$5)=0)*0.5+((J5-$C$5:$L$5)&gt;=1)*((J5-$C$5:$L$5)&lt;=Assumptions!$C$61-1)+((J5-$C$5:$L$5)=Assumptions!$C$61)*0.5)/Assumptions!$C$61</f>
        <v>11378.76808105123</v>
      </c>
      <c r="K15" s="8">
        <f>SUMPRODUCT($C$12:$L$12,((K5-$C$5:$L$5)=0)*0.5+((K5-$C$5:$L$5)&gt;=1)*((K5-$C$5:$L$5)&lt;=Assumptions!$C$61-1)+((K5-$C$5:$L$5)=Assumptions!$C$61)*0.5)/Assumptions!$C$61</f>
        <v>12090.603531068899</v>
      </c>
      <c r="L15" s="8">
        <f>SUMPRODUCT($C$12:$L$12,((L5-$C$5:$L$5)=0)*0.5+((L5-$C$5:$L$5)&gt;=1)*((L5-$C$5:$L$5)&lt;=Assumptions!$C$61-1)+((L5-$C$5:$L$5)=Assumptions!$C$61)*0.5)/Assumptions!$C$61</f>
        <v>12708.768770075081</v>
      </c>
      <c r="M15" s="1"/>
      <c r="N15" s="1" t="s">
        <v>879</v>
      </c>
    </row>
    <row r="16">
      <c r="A16" s="6" t="s">
        <v>881</v>
      </c>
      <c r="B16" s="8"/>
      <c r="C16" s="17"/>
      <c r="D16" s="8">
        <f>SUMPRODUCT($C$13:$L$13,((D5-$C$5:$L$5)=0)*0.5+((D5-$C$5:$L$5)&gt;=1)*((D5-$C$5:$L$5)&lt;=Assumptions!$C$62-1)+((D5-$C$5:$L$5)=Assumptions!$C$62)*0.5)/Assumptions!$C$62</f>
        <v>7357.142857142857</v>
      </c>
      <c r="E16" s="8">
        <f>SUMPRODUCT($C$13:$L$13,((E5-$C$5:$L$5)=0)*0.5+((E5-$C$5:$L$5)&gt;=1)*((E5-$C$5:$L$5)&lt;=Assumptions!$C$62-1)+((E5-$C$5:$L$5)=Assumptions!$C$62)*0.5)/Assumptions!$C$62</f>
        <v>16428.571428571428</v>
      </c>
      <c r="F16" s="8">
        <f>SUMPRODUCT($C$13:$L$13,((F5-$C$5:$L$5)=0)*0.5+((F5-$C$5:$L$5)&gt;=1)*((F5-$C$5:$L$5)&lt;=Assumptions!$C$62-1)+((F5-$C$5:$L$5)=Assumptions!$C$62)*0.5)/Assumptions!$C$62</f>
        <v>25228.571428571428</v>
      </c>
      <c r="G16" s="8">
        <f>SUMPRODUCT($C$13:$L$13,((G5-$C$5:$L$5)=0)*0.5+((G5-$C$5:$L$5)&gt;=1)*((G5-$C$5:$L$5)&lt;=Assumptions!$C$62-1)+((G5-$C$5:$L$5)=Assumptions!$C$62)*0.5)/Assumptions!$C$62</f>
        <v>33457.142857142855</v>
      </c>
      <c r="H16" s="8">
        <f>SUMPRODUCT($C$13:$L$13,((H5-$C$5:$L$5)=0)*0.5+((H5-$C$5:$L$5)&gt;=1)*((H5-$C$5:$L$5)&lt;=Assumptions!$C$62-1)+((H5-$C$5:$L$5)=Assumptions!$C$62)*0.5)/Assumptions!$C$62</f>
        <v>41464.28571428572</v>
      </c>
      <c r="I16" s="8">
        <f>SUMPRODUCT($C$13:$L$13,((I5-$C$5:$L$5)=0)*0.5+((I5-$C$5:$L$5)&gt;=1)*((I5-$C$5:$L$5)&lt;=Assumptions!$C$62-1)+((I5-$C$5:$L$5)=Assumptions!$C$62)*0.5)/Assumptions!$C$62</f>
        <v>49235.71428571428</v>
      </c>
      <c r="J16" s="8">
        <f>SUMPRODUCT($C$13:$L$13,((J5-$C$5:$L$5)=0)*0.5+((J5-$C$5:$L$5)&gt;=1)*((J5-$C$5:$L$5)&lt;=Assumptions!$C$62-1)+((J5-$C$5:$L$5)=Assumptions!$C$62)*0.5)/Assumptions!$C$62</f>
        <v>56335.71428571428</v>
      </c>
      <c r="K16" s="8">
        <f>SUMPRODUCT($C$13:$L$13,((K5-$C$5:$L$5)=0)*0.5+((K5-$C$5:$L$5)&gt;=1)*((K5-$C$5:$L$5)&lt;=Assumptions!$C$62-1)+((K5-$C$5:$L$5)=Assumptions!$C$62)*0.5)/Assumptions!$C$62</f>
        <v>59771.42857142857</v>
      </c>
      <c r="L16" s="8">
        <f>SUMPRODUCT($C$13:$L$13,((L5-$C$5:$L$5)=0)*0.5+((L5-$C$5:$L$5)&gt;=1)*((L5-$C$5:$L$5)&lt;=Assumptions!$C$62-1)+((L5-$C$5:$L$5)=Assumptions!$C$62)*0.5)/Assumptions!$C$62</f>
        <v>59735.71428571428</v>
      </c>
      <c r="M16" s="1"/>
      <c r="N16" s="1" t="s">
        <v>879</v>
      </c>
    </row>
    <row r="17">
      <c r="A17" s="6" t="s">
        <v>882</v>
      </c>
      <c r="B17" s="8"/>
      <c r="C17" s="17"/>
      <c r="D17" s="8">
        <f>C19</f>
        <v>961</v>
      </c>
      <c r="E17" s="8">
        <f>D19</f>
        <v>645</v>
      </c>
      <c r="F17" s="8">
        <f>E19</f>
        <v>329</v>
      </c>
      <c r="G17" s="8">
        <f>F19</f>
        <v>13</v>
      </c>
      <c r="H17" s="8">
        <f>G19</f>
        <v>0</v>
      </c>
      <c r="I17" s="8">
        <f>H19</f>
        <v>0</v>
      </c>
      <c r="J17" s="8">
        <f>I19</f>
        <v>0</v>
      </c>
      <c r="K17" s="8">
        <f>J19</f>
        <v>0</v>
      </c>
      <c r="L17" s="8">
        <f>K19</f>
        <v>0</v>
      </c>
      <c r="M17" s="1"/>
      <c r="N17" s="1"/>
    </row>
    <row r="18">
      <c r="A18" s="6" t="s">
        <v>883</v>
      </c>
      <c r="B18" s="8"/>
      <c r="C18" s="20">
        <f>Interim_Bridge!C51</f>
        <v>79</v>
      </c>
      <c r="D18" s="8">
        <f>MIN(D17,Interim_Bridge!B46*4)</f>
        <v>316</v>
      </c>
      <c r="E18" s="8">
        <f>MIN(E17,Interim_Bridge!B46*4)</f>
        <v>316</v>
      </c>
      <c r="F18" s="8">
        <f>MIN(F17,Interim_Bridge!B46*4)</f>
        <v>316</v>
      </c>
      <c r="G18" s="8">
        <f>MIN(G17,Interim_Bridge!B46*4)</f>
        <v>13</v>
      </c>
      <c r="H18" s="8">
        <f>MIN(H17,Interim_Bridge!B46*4)</f>
        <v>0</v>
      </c>
      <c r="I18" s="8">
        <f>MIN(I17,Interim_Bridge!B46*4)</f>
        <v>0</v>
      </c>
      <c r="J18" s="8">
        <f>MIN(J17,Interim_Bridge!B46*4)</f>
        <v>0</v>
      </c>
      <c r="K18" s="8">
        <f>MIN(K17,Interim_Bridge!B46*4)</f>
        <v>0</v>
      </c>
      <c r="L18" s="8">
        <f>MIN(L17,Interim_Bridge!B46*4)</f>
        <v>0</v>
      </c>
      <c r="M18" s="1"/>
      <c r="N18" s="1"/>
    </row>
    <row r="19">
      <c r="A19" s="16" t="s">
        <v>884</v>
      </c>
      <c r="B19" s="44">
        <f>BS_Hist!C15</f>
        <v>1260</v>
      </c>
      <c r="C19" s="63">
        <f>Interim_Bridge!D86</f>
        <v>961</v>
      </c>
      <c r="D19" s="12">
        <f>D17-D18</f>
        <v>645</v>
      </c>
      <c r="E19" s="12">
        <f>E17-E18</f>
        <v>329</v>
      </c>
      <c r="F19" s="12">
        <f>F17-F18</f>
        <v>13</v>
      </c>
      <c r="G19" s="12">
        <f>G17-G18</f>
        <v>0</v>
      </c>
      <c r="H19" s="12">
        <f>H17-H18</f>
        <v>0</v>
      </c>
      <c r="I19" s="12">
        <f>I17-I18</f>
        <v>0</v>
      </c>
      <c r="J19" s="12">
        <f>J17-J18</f>
        <v>0</v>
      </c>
      <c r="K19" s="12">
        <f>K17-K18</f>
        <v>0</v>
      </c>
      <c r="L19" s="12">
        <f>L17-L18</f>
        <v>0</v>
      </c>
      <c r="M19" s="1"/>
      <c r="N19" s="1"/>
    </row>
    <row r="20">
      <c r="A20" s="6" t="s">
        <v>885</v>
      </c>
      <c r="B20" s="8"/>
      <c r="C20" s="17"/>
      <c r="D20" s="8">
        <f>C22</f>
        <v>5958.1875</v>
      </c>
      <c r="E20" s="8">
        <f>D22</f>
        <v>4374.9375</v>
      </c>
      <c r="F20" s="8">
        <f>E22</f>
        <v>2791.6875</v>
      </c>
      <c r="G20" s="8">
        <f>F22</f>
        <v>1208.4375</v>
      </c>
      <c r="H20" s="8">
        <f>G22</f>
        <v>21</v>
      </c>
      <c r="I20" s="8">
        <f>H22</f>
        <v>21</v>
      </c>
      <c r="J20" s="8">
        <f>I22</f>
        <v>21</v>
      </c>
      <c r="K20" s="8">
        <f>J22</f>
        <v>21</v>
      </c>
      <c r="L20" s="8">
        <f>K22</f>
        <v>21</v>
      </c>
      <c r="M20" s="1"/>
      <c r="N20" s="1"/>
    </row>
    <row r="21">
      <c r="A21" s="6" t="s">
        <v>886</v>
      </c>
      <c r="B21" s="8"/>
      <c r="C21" s="20">
        <f>Interim_Bridge!C52</f>
        <v>395.8125</v>
      </c>
      <c r="D21" s="8">
        <f>MAX(0,MIN(D20-(BS_Hist!D16-Interim_Bridge!B49),Interim_Bridge!B49/Assumptions!$C$63))</f>
        <v>1583.25</v>
      </c>
      <c r="E21" s="8">
        <f>MAX(0,MIN(E20-(BS_Hist!D16-Interim_Bridge!B49),Interim_Bridge!B49/Assumptions!$C$63))</f>
        <v>1583.25</v>
      </c>
      <c r="F21" s="8">
        <f>MAX(0,MIN(F20-(BS_Hist!D16-Interim_Bridge!B49),Interim_Bridge!B49/Assumptions!$C$63))</f>
        <v>1583.25</v>
      </c>
      <c r="G21" s="8">
        <f>MAX(0,MIN(G20-(BS_Hist!D16-Interim_Bridge!B49),Interim_Bridge!B49/Assumptions!$C$63))</f>
        <v>1187.4375</v>
      </c>
      <c r="H21" s="8">
        <f>MAX(0,MIN(H20-(BS_Hist!D16-Interim_Bridge!B49),Interim_Bridge!B49/Assumptions!$C$63))</f>
        <v>0</v>
      </c>
      <c r="I21" s="8">
        <f>MAX(0,MIN(I20-(BS_Hist!D16-Interim_Bridge!B49),Interim_Bridge!B49/Assumptions!$C$63))</f>
        <v>0</v>
      </c>
      <c r="J21" s="8">
        <f>MAX(0,MIN(J20-(BS_Hist!D16-Interim_Bridge!B49),Interim_Bridge!B49/Assumptions!$C$63))</f>
        <v>0</v>
      </c>
      <c r="K21" s="8">
        <f>MAX(0,MIN(K20-(BS_Hist!D16-Interim_Bridge!B49),Interim_Bridge!B49/Assumptions!$C$63))</f>
        <v>0</v>
      </c>
      <c r="L21" s="8">
        <f>MAX(0,MIN(L20-(BS_Hist!D16-Interim_Bridge!B49),Interim_Bridge!B49/Assumptions!$C$63))</f>
        <v>0</v>
      </c>
      <c r="M21" s="1"/>
      <c r="N21" s="1" t="s">
        <v>887</v>
      </c>
    </row>
    <row r="22">
      <c r="A22" s="16" t="s">
        <v>888</v>
      </c>
      <c r="B22" s="44">
        <f>BS_Hist!C16</f>
        <v>1548</v>
      </c>
      <c r="C22" s="63">
        <f>Interim_Bridge!D87</f>
        <v>5958.1875</v>
      </c>
      <c r="D22" s="12">
        <f>D20-D21</f>
        <v>4374.9375</v>
      </c>
      <c r="E22" s="12">
        <f>E20-E21</f>
        <v>2791.6875</v>
      </c>
      <c r="F22" s="12">
        <f>F20-F21</f>
        <v>1208.4375</v>
      </c>
      <c r="G22" s="12">
        <f>G20-G21</f>
        <v>21</v>
      </c>
      <c r="H22" s="12">
        <f>H20-H21</f>
        <v>21</v>
      </c>
      <c r="I22" s="12">
        <f>I20-I21</f>
        <v>21</v>
      </c>
      <c r="J22" s="12">
        <f>J20-J21</f>
        <v>21</v>
      </c>
      <c r="K22" s="12">
        <f>K20-K21</f>
        <v>21</v>
      </c>
      <c r="L22" s="12">
        <f>L20-L21</f>
        <v>21</v>
      </c>
      <c r="M22" s="1"/>
      <c r="N22" s="1"/>
    </row>
    <row r="23">
      <c r="A23" s="16" t="s">
        <v>889</v>
      </c>
      <c r="B23" s="110">
        <f>CF_Hist!D8</f>
        <v>6701</v>
      </c>
      <c r="C23" s="106">
        <f>Interim_Bridge!D32</f>
        <v>12680.8125</v>
      </c>
      <c r="D23" s="33">
        <f>D9+D14+D15+D16+D18+D21</f>
        <v>23870.160329229813</v>
      </c>
      <c r="E23" s="33">
        <f>E9+E14+E15+E16+E18+E21</f>
        <v>35175.607094955485</v>
      </c>
      <c r="F23" s="33">
        <f>F9+F14+F15+F16+F18+F21</f>
        <v>46432.0598734465</v>
      </c>
      <c r="G23" s="33">
        <f>G9+G14+G15+G16+G18+G21</f>
        <v>56577.22596383865</v>
      </c>
      <c r="H23" s="33">
        <f>H9+H14+H15+H16+H18+H21</f>
        <v>65947.09074485223</v>
      </c>
      <c r="I23" s="33">
        <f>I9+I14+I15+I16+I18+I21</f>
        <v>75625.06378447515</v>
      </c>
      <c r="J23" s="33">
        <f>J9+J14+J15+J16+J18+J21</f>
        <v>78607.48236676551</v>
      </c>
      <c r="K23" s="33">
        <f>K9+K14+K15+K16+K18+K21</f>
        <v>75472.03210249747</v>
      </c>
      <c r="L23" s="33">
        <f>L9+L14+L15+L16+L18+L21</f>
        <v>76454.48305578937</v>
      </c>
      <c r="M23" s="1"/>
      <c r="N23" s="1"/>
    </row>
    <row r="24">
      <c r="A24" s="16" t="s">
        <v>890</v>
      </c>
      <c r="B24" s="44">
        <f>BS_Hist!C14</f>
        <v>42602</v>
      </c>
      <c r="C24" s="63">
        <f>Interim_Bridge!D85</f>
        <v>109411</v>
      </c>
      <c r="D24" s="12">
        <f>C24+Segments_Fcst!D48-D9-D14-D15-D16</f>
        <v>163647.76439163974</v>
      </c>
      <c r="E24" s="12">
        <f>D24+Segments_Fcst!E48-E9-E14-E15-E16</f>
        <v>209003.9145187857</v>
      </c>
      <c r="F24" s="12">
        <f>E24+Segments_Fcst!F48-F9-F14-F15-F16</f>
        <v>238853.12520814792</v>
      </c>
      <c r="G24" s="12">
        <f>F24+Segments_Fcst!G48-G9-G14-G15-G16</f>
        <v>255198.38779970782</v>
      </c>
      <c r="H24" s="12">
        <f>G24+Segments_Fcst!H48-H9-H14-H15-H16</f>
        <v>261110.84023816427</v>
      </c>
      <c r="I24" s="12">
        <f>H24+Segments_Fcst!I48-I9-I14-I15-I16</f>
        <v>254799.35267319335</v>
      </c>
      <c r="J24" s="12">
        <f>I24+Segments_Fcst!J48-J9-J14-J15-J16</f>
        <v>259992.66185279828</v>
      </c>
      <c r="K24" s="12">
        <f>J24+Segments_Fcst!K48-K9-K14-K15-K16</f>
        <v>266252.72048901714</v>
      </c>
      <c r="L24" s="12">
        <f>K24+Segments_Fcst!L48-L9-L14-L15-L16</f>
        <v>270151.87070278055</v>
      </c>
      <c r="M24" s="1"/>
      <c r="N24" s="1"/>
    </row>
    <row r="25">
      <c r="A25" s="1"/>
      <c r="B25" s="1"/>
      <c r="C25" s="47"/>
      <c r="D25" s="1"/>
      <c r="E25" s="1"/>
      <c r="F25" s="1"/>
      <c r="G25" s="1"/>
      <c r="H25" s="1"/>
      <c r="I25" s="1"/>
      <c r="J25" s="1"/>
      <c r="K25" s="1"/>
      <c r="L25" s="1"/>
      <c r="M25" s="1"/>
      <c r="N25" s="1"/>
    </row>
    <row r="26">
      <c r="A26" s="16" t="s">
        <v>891</v>
      </c>
      <c r="B26" s="1"/>
      <c r="C26" s="47"/>
      <c r="D26" s="1"/>
      <c r="E26" s="1"/>
      <c r="F26" s="1"/>
      <c r="G26" s="1"/>
      <c r="H26" s="1"/>
      <c r="I26" s="1"/>
      <c r="J26" s="1"/>
      <c r="K26" s="1"/>
      <c r="L26" s="1"/>
      <c r="M26" s="1"/>
      <c r="N26" s="1" t="s">
        <v>892</v>
      </c>
    </row>
    <row r="27">
      <c r="A27" s="6" t="s">
        <v>893</v>
      </c>
      <c r="B27" s="8"/>
      <c r="C27" s="17"/>
      <c r="D27" s="8">
        <f>IF(D5=2027,Assumptions!$C$32*Assumptions!$C$29,0)</f>
        <v>40000</v>
      </c>
      <c r="E27" s="8">
        <f>IF(E5=2027,Assumptions!$C$32*Assumptions!$C$29,0)</f>
        <v>0</v>
      </c>
      <c r="F27" s="8">
        <f>IF(F5=2027,Assumptions!$C$32*Assumptions!$C$29,0)</f>
        <v>0</v>
      </c>
      <c r="G27" s="8">
        <f>IF(G5=2027,Assumptions!$C$32*Assumptions!$C$29,0)</f>
        <v>0</v>
      </c>
      <c r="H27" s="8">
        <f>IF(H5=2027,Assumptions!$C$32*Assumptions!$C$29,0)</f>
        <v>0</v>
      </c>
      <c r="I27" s="8">
        <f>IF(I5=2027,Assumptions!$C$32*Assumptions!$C$29,0)</f>
        <v>0</v>
      </c>
      <c r="J27" s="8">
        <f>IF(J5=2027,Assumptions!$C$32*Assumptions!$C$29,0)</f>
        <v>0</v>
      </c>
      <c r="K27" s="8">
        <f>IF(K5=2027,Assumptions!$C$32*Assumptions!$C$29,0)</f>
        <v>0</v>
      </c>
      <c r="L27" s="8">
        <f>IF(L5=2027,Assumptions!$C$32*Assumptions!$C$29,0)</f>
        <v>0</v>
      </c>
      <c r="M27" s="1"/>
      <c r="N27" s="1"/>
    </row>
    <row r="28">
      <c r="A28" s="31" t="s">
        <v>894</v>
      </c>
      <c r="B28" s="10"/>
      <c r="C28" s="24"/>
      <c r="D28" s="10">
        <f>IF(Assumptions!$C$29=1,MIN(1,MAX(0,(5-Assumptions!$C$33)+4*(D5-2027))/20),0)</f>
        <v>0.15</v>
      </c>
      <c r="E28" s="10">
        <f>IF(Assumptions!$C$29=1,MIN(1,MAX(0,(5-Assumptions!$C$33)+4*(E5-2027))/20),0)</f>
        <v>0.35</v>
      </c>
      <c r="F28" s="10">
        <f>IF(Assumptions!$C$29=1,MIN(1,MAX(0,(5-Assumptions!$C$33)+4*(F5-2027))/20),0)</f>
        <v>0.55</v>
      </c>
      <c r="G28" s="10">
        <f>IF(Assumptions!$C$29=1,MIN(1,MAX(0,(5-Assumptions!$C$33)+4*(G5-2027))/20),0)</f>
        <v>0.75</v>
      </c>
      <c r="H28" s="10">
        <f>IF(Assumptions!$C$29=1,MIN(1,MAX(0,(5-Assumptions!$C$33)+4*(H5-2027))/20),0)</f>
        <v>0.95</v>
      </c>
      <c r="I28" s="10">
        <f>IF(Assumptions!$C$29=1,MIN(1,MAX(0,(5-Assumptions!$C$33)+4*(I5-2027))/20),0)</f>
        <v>1</v>
      </c>
      <c r="J28" s="10">
        <f>IF(Assumptions!$C$29=1,MIN(1,MAX(0,(5-Assumptions!$C$33)+4*(J5-2027))/20),0)</f>
        <v>1</v>
      </c>
      <c r="K28" s="10">
        <f>IF(Assumptions!$C$29=1,MIN(1,MAX(0,(5-Assumptions!$C$33)+4*(K5-2027))/20),0)</f>
        <v>1</v>
      </c>
      <c r="L28" s="10">
        <f>IF(Assumptions!$C$29=1,MIN(1,MAX(0,(5-Assumptions!$C$33)+4*(L5-2027))/20),0)</f>
        <v>1</v>
      </c>
      <c r="M28" s="1"/>
      <c r="N28" s="1" t="s">
        <v>895</v>
      </c>
    </row>
    <row r="29">
      <c r="A29" s="6" t="s">
        <v>896</v>
      </c>
      <c r="B29" s="8"/>
      <c r="C29" s="17"/>
      <c r="D29" s="8">
        <f>Assumptions!$C$32*(D28-0)</f>
        <v>6000</v>
      </c>
      <c r="E29" s="8">
        <f>Assumptions!$C$32*(E28-D28)</f>
        <v>7999.999999999999</v>
      </c>
      <c r="F29" s="8">
        <f>Assumptions!$C$32*(F28-E28)</f>
        <v>8000.000000000003</v>
      </c>
      <c r="G29" s="8">
        <f>Assumptions!$C$32*(G28-F28)</f>
        <v>7999.999999999998</v>
      </c>
      <c r="H29" s="8">
        <f>Assumptions!$C$32*(H28-G28)</f>
        <v>7999.999999999998</v>
      </c>
      <c r="I29" s="8">
        <f>Assumptions!$C$32*(I28-H28)</f>
        <v>2000.0000000000018</v>
      </c>
      <c r="J29" s="8">
        <f>Assumptions!$C$32*(J28-I28)</f>
        <v>0</v>
      </c>
      <c r="K29" s="8">
        <f>Assumptions!$C$32*(K28-J28)</f>
        <v>0</v>
      </c>
      <c r="L29" s="8">
        <f>Assumptions!$C$32*(L28-K28)</f>
        <v>0</v>
      </c>
      <c r="M29" s="1"/>
      <c r="N29" s="1"/>
    </row>
    <row r="30">
      <c r="A30" s="16" t="s">
        <v>897</v>
      </c>
      <c r="B30" s="12"/>
      <c r="C30" s="85">
        <v>0</v>
      </c>
      <c r="D30" s="12">
        <f>C30+D27-D29</f>
        <v>34000</v>
      </c>
      <c r="E30" s="12">
        <f>D30+E27-E29</f>
        <v>26000</v>
      </c>
      <c r="F30" s="12">
        <f>E30+F27-F29</f>
        <v>17999.999999999996</v>
      </c>
      <c r="G30" s="12">
        <f>F30+G27-G29</f>
        <v>9999.999999999998</v>
      </c>
      <c r="H30" s="12">
        <f>G30+H27-H29</f>
        <v>2000</v>
      </c>
      <c r="I30" s="12">
        <f>H30+I27-I29</f>
        <v>0</v>
      </c>
      <c r="J30" s="12">
        <f>I30+J27-J29</f>
        <v>0</v>
      </c>
      <c r="K30" s="12">
        <f>J30+K27-K29</f>
        <v>0</v>
      </c>
      <c r="L30" s="12">
        <f>K30+L27-L29</f>
        <v>0</v>
      </c>
      <c r="M30" s="1"/>
      <c r="N30" s="1"/>
    </row>
    <row r="31">
      <c r="A31" s="6" t="s">
        <v>898</v>
      </c>
      <c r="B31" s="8"/>
      <c r="C31" s="17"/>
      <c r="D31" s="8">
        <f>Assumptions!$C$34*(C30+D27+D30)/2*IF(D5=2027,(5-Assumptions!$C$33)/4,1)</f>
        <v>1803.75</v>
      </c>
      <c r="E31" s="8">
        <f>Assumptions!$C$34*(D30+E27+E30)/2*IF(E5=2027,(5-Assumptions!$C$33)/4,1)</f>
        <v>1950</v>
      </c>
      <c r="F31" s="8">
        <f>Assumptions!$C$34*(E30+F27+F30)/2*IF(F5=2027,(5-Assumptions!$C$33)/4,1)</f>
        <v>1430</v>
      </c>
      <c r="G31" s="8">
        <f>Assumptions!$C$34*(F30+G27+G30)/2*IF(G5=2027,(5-Assumptions!$C$33)/4,1)</f>
        <v>909.9999999999998</v>
      </c>
      <c r="H31" s="8">
        <f>Assumptions!$C$34*(G30+H27+H30)/2*IF(H5=2027,(5-Assumptions!$C$33)/4,1)</f>
        <v>389.99999999999994</v>
      </c>
      <c r="I31" s="8">
        <f>Assumptions!$C$34*(H30+I27+I30)/2*IF(I5=2027,(5-Assumptions!$C$33)/4,1)</f>
        <v>65</v>
      </c>
      <c r="J31" s="8">
        <f>Assumptions!$C$34*(I30+J27+J30)/2*IF(J5=2027,(5-Assumptions!$C$33)/4,1)</f>
        <v>0</v>
      </c>
      <c r="K31" s="8">
        <f>Assumptions!$C$34*(J30+K27+K30)/2*IF(K5=2027,(5-Assumptions!$C$33)/4,1)</f>
        <v>0</v>
      </c>
      <c r="L31" s="8">
        <f>Assumptions!$C$34*(K30+L27+L30)/2*IF(L5=2027,(5-Assumptions!$C$33)/4,1)</f>
        <v>0</v>
      </c>
      <c r="M31" s="1"/>
      <c r="N31" s="1" t="s">
        <v>899</v>
      </c>
    </row>
    <row r="32">
      <c r="A32" s="1"/>
      <c r="B32" s="1"/>
      <c r="C32" s="47"/>
      <c r="D32" s="1"/>
      <c r="E32" s="1"/>
      <c r="F32" s="1"/>
      <c r="G32" s="1"/>
      <c r="H32" s="1"/>
      <c r="I32" s="1"/>
      <c r="J32" s="1"/>
      <c r="K32" s="1"/>
      <c r="L32" s="1"/>
      <c r="M32" s="1"/>
      <c r="N32" s="1"/>
    </row>
    <row r="33">
      <c r="A33" s="16" t="s">
        <v>900</v>
      </c>
      <c r="B33" s="1"/>
      <c r="C33" s="47"/>
      <c r="D33" s="1"/>
      <c r="E33" s="1"/>
      <c r="F33" s="1"/>
      <c r="G33" s="1"/>
      <c r="H33" s="1"/>
      <c r="I33" s="1"/>
      <c r="J33" s="1"/>
      <c r="K33" s="1"/>
      <c r="L33" s="1"/>
      <c r="M33" s="1"/>
      <c r="N33" s="1" t="s">
        <v>901</v>
      </c>
    </row>
    <row r="34">
      <c r="A34" s="6" t="s">
        <v>902</v>
      </c>
      <c r="B34" s="8"/>
      <c r="C34" s="20">
        <f>Interim_Bridge!C60</f>
        <v>385</v>
      </c>
      <c r="D34" s="8">
        <f>IF(D5=2027,Assumptions!$C$41,0)+IF(AND(D5=2028,Assumptions!$C$35=2028),Assumptions!$C$42,0)+IF(D5=Assumptions!$C$35,Assumptions!$C$36,0)</f>
        <v>9328</v>
      </c>
      <c r="E34" s="8">
        <f>IF(E5=2027,Assumptions!$C$41,0)+IF(AND(E5=2028,Assumptions!$C$35=2028),Assumptions!$C$42,0)+IF(E5=Assumptions!$C$35,Assumptions!$C$36,0)</f>
        <v>0</v>
      </c>
      <c r="F34" s="8">
        <f>IF(F5=2027,Assumptions!$C$41,0)+IF(AND(F5=2028,Assumptions!$C$35=2028),Assumptions!$C$42,0)+IF(F5=Assumptions!$C$35,Assumptions!$C$36,0)</f>
        <v>0</v>
      </c>
      <c r="G34" s="8">
        <f>IF(G5=2027,Assumptions!$C$41,0)+IF(AND(G5=2028,Assumptions!$C$35=2028),Assumptions!$C$42,0)+IF(G5=Assumptions!$C$35,Assumptions!$C$36,0)</f>
        <v>0</v>
      </c>
      <c r="H34" s="8">
        <f>IF(H5=2027,Assumptions!$C$41,0)+IF(AND(H5=2028,Assumptions!$C$35=2028),Assumptions!$C$42,0)+IF(H5=Assumptions!$C$35,Assumptions!$C$36,0)</f>
        <v>0</v>
      </c>
      <c r="I34" s="8">
        <f>IF(I5=2027,Assumptions!$C$41,0)+IF(AND(I5=2028,Assumptions!$C$35=2028),Assumptions!$C$42,0)+IF(I5=Assumptions!$C$35,Assumptions!$C$36,0)</f>
        <v>0</v>
      </c>
      <c r="J34" s="8">
        <f>IF(J5=2027,Assumptions!$C$41,0)+IF(AND(J5=2028,Assumptions!$C$35=2028),Assumptions!$C$42,0)+IF(J5=Assumptions!$C$35,Assumptions!$C$36,0)</f>
        <v>0</v>
      </c>
      <c r="K34" s="8">
        <f>IF(K5=2027,Assumptions!$C$41,0)+IF(AND(K5=2028,Assumptions!$C$35=2028),Assumptions!$C$42,0)+IF(K5=Assumptions!$C$35,Assumptions!$C$36,0)</f>
        <v>0</v>
      </c>
      <c r="L34" s="8">
        <f>IF(L5=2027,Assumptions!$C$41,0)+IF(AND(L5=2028,Assumptions!$C$35=2028),Assumptions!$C$42,0)+IF(L5=Assumptions!$C$35,Assumptions!$C$36,0)</f>
        <v>0</v>
      </c>
      <c r="M34" s="1"/>
      <c r="N34" s="1"/>
    </row>
    <row r="35">
      <c r="A35" s="6" t="s">
        <v>903</v>
      </c>
      <c r="B35" s="8"/>
      <c r="C35" s="35">
        <v>0</v>
      </c>
      <c r="D35" s="8">
        <f>IF(D5=Assumptions!$C$48,Assumptions!$C$47,0)</f>
        <v>8000</v>
      </c>
      <c r="E35" s="8">
        <f>IF(E5=Assumptions!$C$48,Assumptions!$C$47,0)</f>
        <v>0</v>
      </c>
      <c r="F35" s="8">
        <f>IF(F5=Assumptions!$C$48,Assumptions!$C$47,0)</f>
        <v>0</v>
      </c>
      <c r="G35" s="8">
        <f>IF(G5=Assumptions!$C$48,Assumptions!$C$47,0)</f>
        <v>0</v>
      </c>
      <c r="H35" s="8">
        <f>IF(H5=Assumptions!$C$48,Assumptions!$C$47,0)</f>
        <v>0</v>
      </c>
      <c r="I35" s="8">
        <f>IF(I5=Assumptions!$C$48,Assumptions!$C$47,0)</f>
        <v>0</v>
      </c>
      <c r="J35" s="8">
        <f>IF(J5=Assumptions!$C$48,Assumptions!$C$47,0)</f>
        <v>0</v>
      </c>
      <c r="K35" s="8">
        <f>IF(K5=Assumptions!$C$48,Assumptions!$C$47,0)</f>
        <v>0</v>
      </c>
      <c r="L35" s="8">
        <f>IF(L5=Assumptions!$C$48,Assumptions!$C$47,0)</f>
        <v>0</v>
      </c>
      <c r="M35" s="1"/>
      <c r="N35" s="1" t="s">
        <v>904</v>
      </c>
    </row>
    <row r="36">
      <c r="A36" s="36" t="s">
        <v>905</v>
      </c>
      <c r="B36" s="33"/>
      <c r="C36" s="53">
        <f>C34+C35</f>
        <v>385</v>
      </c>
      <c r="D36" s="33">
        <f>D34+D35</f>
        <v>17328</v>
      </c>
      <c r="E36" s="33">
        <f>E34+E35</f>
        <v>0</v>
      </c>
      <c r="F36" s="33">
        <f>F34+F35</f>
        <v>0</v>
      </c>
      <c r="G36" s="33">
        <f>G34+G35</f>
        <v>0</v>
      </c>
      <c r="H36" s="33">
        <f>H34+H35</f>
        <v>0</v>
      </c>
      <c r="I36" s="33">
        <f>I34+I35</f>
        <v>0</v>
      </c>
      <c r="J36" s="33">
        <f>J34+J35</f>
        <v>0</v>
      </c>
      <c r="K36" s="33">
        <f>K34+K35</f>
        <v>0</v>
      </c>
      <c r="L36" s="33">
        <f>L34+L35</f>
        <v>0</v>
      </c>
      <c r="M36" s="1"/>
      <c r="N36" s="1"/>
    </row>
    <row r="37">
      <c r="A37" s="6" t="s">
        <v>906</v>
      </c>
      <c r="B37" s="8"/>
      <c r="C37" s="17"/>
      <c r="D37" s="8">
        <f>IF(D5=Assumptions!$C$35,Assumptions!$C$37*Assumptions!$C$38,0)</f>
        <v>11100.32</v>
      </c>
      <c r="E37" s="8">
        <f>IF(E5=Assumptions!$C$35,Assumptions!$C$37*Assumptions!$C$38,0)</f>
        <v>0</v>
      </c>
      <c r="F37" s="8">
        <f>IF(F5=Assumptions!$C$35,Assumptions!$C$37*Assumptions!$C$38,0)</f>
        <v>0</v>
      </c>
      <c r="G37" s="8">
        <f>IF(G5=Assumptions!$C$35,Assumptions!$C$37*Assumptions!$C$38,0)</f>
        <v>0</v>
      </c>
      <c r="H37" s="8">
        <f>IF(H5=Assumptions!$C$35,Assumptions!$C$37*Assumptions!$C$38,0)</f>
        <v>0</v>
      </c>
      <c r="I37" s="8">
        <f>IF(I5=Assumptions!$C$35,Assumptions!$C$37*Assumptions!$C$38,0)</f>
        <v>0</v>
      </c>
      <c r="J37" s="8">
        <f>IF(J5=Assumptions!$C$35,Assumptions!$C$37*Assumptions!$C$38,0)</f>
        <v>0</v>
      </c>
      <c r="K37" s="8">
        <f>IF(K5=Assumptions!$C$35,Assumptions!$C$37*Assumptions!$C$38,0)</f>
        <v>0</v>
      </c>
      <c r="L37" s="8">
        <f>IF(L5=Assumptions!$C$35,Assumptions!$C$37*Assumptions!$C$38,0)</f>
        <v>0</v>
      </c>
      <c r="M37" s="1"/>
      <c r="N37" s="1" t="s">
        <v>907</v>
      </c>
    </row>
    <row r="38">
      <c r="A38" s="16" t="s">
        <v>908</v>
      </c>
      <c r="B38" s="12"/>
      <c r="C38" s="63">
        <f>Interim_Bridge!D88</f>
        <v>385</v>
      </c>
      <c r="D38" s="12">
        <f>C38+D36+D37</f>
        <v>28813.32</v>
      </c>
      <c r="E38" s="12">
        <f>D38+E36+E37</f>
        <v>28813.32</v>
      </c>
      <c r="F38" s="12">
        <f>E38+F36+F37</f>
        <v>28813.32</v>
      </c>
      <c r="G38" s="12">
        <f>F38+G36+G37</f>
        <v>28813.32</v>
      </c>
      <c r="H38" s="12">
        <f>G38+H36+H37</f>
        <v>28813.32</v>
      </c>
      <c r="I38" s="12">
        <f>H38+I36+I37</f>
        <v>28813.32</v>
      </c>
      <c r="J38" s="12">
        <f>I38+J36+J37</f>
        <v>28813.32</v>
      </c>
      <c r="K38" s="12">
        <f>J38+K36+K37</f>
        <v>28813.32</v>
      </c>
      <c r="L38" s="12">
        <f>K38+L36+L37</f>
        <v>28813.32</v>
      </c>
      <c r="M38" s="1"/>
      <c r="N38" s="1" t="s">
        <v>909</v>
      </c>
    </row>
    <row r="39">
      <c r="A39" s="1"/>
      <c r="B39" s="1"/>
      <c r="C39" s="47"/>
      <c r="D39" s="1"/>
      <c r="E39" s="1"/>
      <c r="F39" s="1"/>
      <c r="G39" s="1"/>
      <c r="H39" s="1"/>
      <c r="I39" s="1"/>
      <c r="J39" s="1"/>
      <c r="K39" s="1"/>
      <c r="L39" s="1"/>
      <c r="M39" s="1"/>
      <c r="N39" s="1"/>
    </row>
    <row r="40">
      <c r="A40" s="16" t="s">
        <v>910</v>
      </c>
      <c r="B40" s="1"/>
      <c r="C40" s="47"/>
      <c r="D40" s="1"/>
      <c r="E40" s="1"/>
      <c r="F40" s="1"/>
      <c r="G40" s="1"/>
      <c r="H40" s="1"/>
      <c r="I40" s="1"/>
      <c r="J40" s="1"/>
      <c r="K40" s="1"/>
      <c r="L40" s="1"/>
      <c r="M40" s="1"/>
      <c r="N40" s="1"/>
    </row>
    <row r="41">
      <c r="A41" s="6" t="s">
        <v>911</v>
      </c>
      <c r="B41" s="8"/>
      <c r="C41" s="17"/>
      <c r="D41" s="8">
        <f>C43</f>
        <v>38270</v>
      </c>
      <c r="E41" s="8">
        <f>D43</f>
        <v>35529</v>
      </c>
      <c r="F41" s="8">
        <f>E43</f>
        <v>32346</v>
      </c>
      <c r="G41" s="8">
        <f>F43</f>
        <v>28608</v>
      </c>
      <c r="H41" s="8">
        <f>G43</f>
        <v>24998</v>
      </c>
      <c r="I41" s="8">
        <f>H43</f>
        <v>24998</v>
      </c>
      <c r="J41" s="8">
        <f>I43</f>
        <v>24998</v>
      </c>
      <c r="K41" s="8">
        <f>J43</f>
        <v>24998</v>
      </c>
      <c r="L41" s="8">
        <f>K43</f>
        <v>24998</v>
      </c>
      <c r="M41" s="1"/>
      <c r="N41" s="1"/>
    </row>
    <row r="42">
      <c r="A42" s="6" t="s">
        <v>912</v>
      </c>
      <c r="B42" s="8"/>
      <c r="C42" s="17">
        <f>-Interim_Bridge!C73</f>
        <v>574</v>
      </c>
      <c r="D42" s="8">
        <f>MIN(D41,Debt_Credit!B31+D18)</f>
        <v>2741</v>
      </c>
      <c r="E42" s="8">
        <f>MIN(E41,Debt_Credit!B32+E18)</f>
        <v>3183</v>
      </c>
      <c r="F42" s="8">
        <f>MIN(F41,Debt_Credit!B33+F18)</f>
        <v>3738</v>
      </c>
      <c r="G42" s="8">
        <f>MIN(G41,Debt_Credit!B34+G18)</f>
        <v>3610</v>
      </c>
      <c r="H42" s="8">
        <f>MIN(H41,H18)</f>
        <v>0</v>
      </c>
      <c r="I42" s="8">
        <f>MIN(I41,I18)</f>
        <v>0</v>
      </c>
      <c r="J42" s="8">
        <f>MIN(J41,J18)</f>
        <v>0</v>
      </c>
      <c r="K42" s="8">
        <f>MIN(K41,K18)</f>
        <v>0</v>
      </c>
      <c r="L42" s="8">
        <f>MIN(L41,L18)</f>
        <v>0</v>
      </c>
      <c r="M42" s="1"/>
      <c r="N42" s="1" t="s">
        <v>913</v>
      </c>
    </row>
    <row r="43">
      <c r="A43" s="16" t="s">
        <v>914</v>
      </c>
      <c r="B43" s="44">
        <f>BS_Hist!C48</f>
        <v>22896</v>
      </c>
      <c r="C43" s="63">
        <f>Interim_Bridge!D94</f>
        <v>38270</v>
      </c>
      <c r="D43" s="12">
        <f>D41-D42</f>
        <v>35529</v>
      </c>
      <c r="E43" s="12">
        <f>E41-E42</f>
        <v>32346</v>
      </c>
      <c r="F43" s="12">
        <f>F41-F42</f>
        <v>28608</v>
      </c>
      <c r="G43" s="12">
        <f>G41-G42</f>
        <v>24998</v>
      </c>
      <c r="H43" s="12">
        <f>H41-H42</f>
        <v>24998</v>
      </c>
      <c r="I43" s="12">
        <f>I41-I42</f>
        <v>24998</v>
      </c>
      <c r="J43" s="12">
        <f>J41-J42</f>
        <v>24998</v>
      </c>
      <c r="K43" s="12">
        <f>K41-K42</f>
        <v>24998</v>
      </c>
      <c r="L43" s="12">
        <f>L41-L42</f>
        <v>24998</v>
      </c>
      <c r="M43" s="1"/>
      <c r="N43" s="1"/>
    </row>
    <row r="44">
      <c r="A44" s="1"/>
      <c r="B44" s="1"/>
      <c r="C44" s="47"/>
      <c r="D44" s="1"/>
      <c r="E44" s="1"/>
      <c r="F44" s="1"/>
      <c r="G44" s="1"/>
      <c r="H44" s="1"/>
      <c r="I44" s="1"/>
      <c r="J44" s="1"/>
      <c r="K44" s="1"/>
      <c r="L44" s="1"/>
      <c r="M44" s="1"/>
      <c r="N44" s="1"/>
    </row>
    <row r="45">
      <c r="A45" s="16" t="s">
        <v>915</v>
      </c>
      <c r="B45" s="1"/>
      <c r="C45" s="47"/>
      <c r="D45" s="1"/>
      <c r="E45" s="1"/>
      <c r="F45" s="1"/>
      <c r="G45" s="1"/>
      <c r="H45" s="1"/>
      <c r="I45" s="1"/>
      <c r="J45" s="1"/>
      <c r="K45" s="1"/>
      <c r="L45" s="1"/>
      <c r="M45" s="1"/>
      <c r="N45" s="1"/>
    </row>
    <row r="46">
      <c r="A46" s="6" t="s">
        <v>916</v>
      </c>
      <c r="B46" s="8"/>
      <c r="C46" s="17"/>
      <c r="D46" s="8">
        <f>Interim_Bridge!B53*D41</f>
        <v>2660.1019462465247</v>
      </c>
      <c r="E46" s="8">
        <f>Interim_Bridge!B53*E41</f>
        <v>2469.578313253012</v>
      </c>
      <c r="F46" s="8">
        <f>Interim_Bridge!B53*F41</f>
        <v>2248.3317886932346</v>
      </c>
      <c r="G46" s="8">
        <f>Interim_Bridge!B53*G41</f>
        <v>1988.5078776645041</v>
      </c>
      <c r="H46" s="8">
        <f>Interim_Bridge!B53*H41</f>
        <v>1737.58109360519</v>
      </c>
      <c r="I46" s="8">
        <f>Interim_Bridge!B53*I41</f>
        <v>1737.58109360519</v>
      </c>
      <c r="J46" s="8">
        <f>Interim_Bridge!B53*J41</f>
        <v>1737.58109360519</v>
      </c>
      <c r="K46" s="8">
        <f>Interim_Bridge!B53*K41</f>
        <v>1737.58109360519</v>
      </c>
      <c r="L46" s="8">
        <f>Interim_Bridge!B53*L41</f>
        <v>1737.58109360519</v>
      </c>
      <c r="M46" s="1"/>
      <c r="N46" s="1"/>
    </row>
    <row r="47">
      <c r="A47" s="6" t="s">
        <v>917</v>
      </c>
      <c r="B47" s="8"/>
      <c r="C47" s="17"/>
      <c r="D47" s="8">
        <f>D31</f>
        <v>1803.75</v>
      </c>
      <c r="E47" s="8">
        <f>E31</f>
        <v>1950</v>
      </c>
      <c r="F47" s="8">
        <f>F31</f>
        <v>1430</v>
      </c>
      <c r="G47" s="8">
        <f>G31</f>
        <v>909.9999999999998</v>
      </c>
      <c r="H47" s="8">
        <f>H31</f>
        <v>389.99999999999994</v>
      </c>
      <c r="I47" s="8">
        <f>I31</f>
        <v>65</v>
      </c>
      <c r="J47" s="8">
        <f>J31</f>
        <v>0</v>
      </c>
      <c r="K47" s="8">
        <f>K31</f>
        <v>0</v>
      </c>
      <c r="L47" s="8">
        <f>L31</f>
        <v>0</v>
      </c>
      <c r="M47" s="1"/>
      <c r="N47" s="1"/>
    </row>
    <row r="48">
      <c r="A48" s="6" t="s">
        <v>918</v>
      </c>
      <c r="B48" s="8"/>
      <c r="C48" s="17"/>
      <c r="D48" s="8">
        <f>Interim_Bridge!B53*Forecast_3Stmt!C43</f>
        <v>0</v>
      </c>
      <c r="E48" s="8">
        <f>Interim_Bridge!B53*Forecast_3Stmt!D43</f>
        <v>0</v>
      </c>
      <c r="F48" s="8">
        <f>Interim_Bridge!B53*Forecast_3Stmt!E43</f>
        <v>0</v>
      </c>
      <c r="G48" s="8">
        <f>Interim_Bridge!B53*Forecast_3Stmt!F43</f>
        <v>0</v>
      </c>
      <c r="H48" s="8">
        <f>Interim_Bridge!B53*Forecast_3Stmt!G43</f>
        <v>0</v>
      </c>
      <c r="I48" s="8">
        <f>Interim_Bridge!B53*Forecast_3Stmt!H43</f>
        <v>0</v>
      </c>
      <c r="J48" s="8">
        <f>Interim_Bridge!B53*Forecast_3Stmt!I43</f>
        <v>0</v>
      </c>
      <c r="K48" s="8">
        <f>Interim_Bridge!B53*Forecast_3Stmt!J43</f>
        <v>0</v>
      </c>
      <c r="L48" s="8">
        <f>Interim_Bridge!B53*Forecast_3Stmt!K43</f>
        <v>0</v>
      </c>
      <c r="M48" s="1"/>
      <c r="N48" s="1"/>
    </row>
    <row r="49">
      <c r="A49" s="16" t="s">
        <v>100</v>
      </c>
      <c r="B49" s="12"/>
      <c r="C49" s="37"/>
      <c r="D49" s="12">
        <f>-(D46+D47+D48)</f>
        <v>-4463.851946246525</v>
      </c>
      <c r="E49" s="12">
        <f>-(E46+E47+E48)</f>
        <v>-4419.578313253012</v>
      </c>
      <c r="F49" s="12">
        <f>-(F46+F47+F48)</f>
        <v>-3678.3317886932346</v>
      </c>
      <c r="G49" s="12">
        <f>-(G46+G47+G48)</f>
        <v>-2898.507877664504</v>
      </c>
      <c r="H49" s="12">
        <f>-(H46+H47+H48)</f>
        <v>-2127.58109360519</v>
      </c>
      <c r="I49" s="12">
        <f>-(I46+I47+I48)</f>
        <v>-1802.58109360519</v>
      </c>
      <c r="J49" s="12">
        <f>-(J46+J47+J48)</f>
        <v>-1737.58109360519</v>
      </c>
      <c r="K49" s="12">
        <f>-(K46+K47+K48)</f>
        <v>-1737.58109360519</v>
      </c>
      <c r="L49" s="12">
        <f>-(L46+L47+L48)</f>
        <v>-1737.58109360519</v>
      </c>
      <c r="M49" s="1"/>
      <c r="N49" s="1"/>
    </row>
    <row r="50">
      <c r="A50" s="6" t="s">
        <v>919</v>
      </c>
      <c r="B50" s="8"/>
      <c r="C50" s="17"/>
      <c r="D50" s="8">
        <f>Assumptions!$C$53*Forecast_3Stmt!C28</f>
        <v>3398.0408308402953</v>
      </c>
      <c r="E50" s="8">
        <f>Assumptions!$C$53*Forecast_3Stmt!D28</f>
        <v>2438.403486513004</v>
      </c>
      <c r="F50" s="8">
        <f>Assumptions!$C$53*Forecast_3Stmt!E28</f>
        <v>1731.9699419922376</v>
      </c>
      <c r="G50" s="8">
        <f>Assumptions!$C$53*Forecast_3Stmt!F28</f>
        <v>1506.750225850267</v>
      </c>
      <c r="H50" s="8">
        <f>Assumptions!$C$53*Forecast_3Stmt!G28</f>
        <v>2121.8982473998876</v>
      </c>
      <c r="I50" s="8">
        <f>Assumptions!$C$53*Forecast_3Stmt!H28</f>
        <v>3565.9022935279</v>
      </c>
      <c r="J50" s="8">
        <f>Assumptions!$C$53*Forecast_3Stmt!I28</f>
        <v>6124.465583230655</v>
      </c>
      <c r="K50" s="8">
        <f>Assumptions!$C$53*Forecast_3Stmt!J28</f>
        <v>8784.88403120821</v>
      </c>
      <c r="L50" s="8">
        <f>Assumptions!$C$53*Forecast_3Stmt!K28</f>
        <v>11838.85467433022</v>
      </c>
      <c r="M50" s="1"/>
      <c r="N50" s="1"/>
    </row>
    <row r="51">
      <c r="A51" s="1"/>
      <c r="B51" s="1"/>
      <c r="C51" s="47"/>
      <c r="D51" s="1"/>
      <c r="E51" s="1"/>
      <c r="F51" s="1"/>
      <c r="G51" s="1"/>
      <c r="H51" s="1"/>
      <c r="I51" s="1"/>
      <c r="J51" s="1"/>
      <c r="K51" s="1"/>
      <c r="L51" s="1"/>
      <c r="M51" s="1"/>
      <c r="N51" s="1"/>
    </row>
    <row r="52">
      <c r="A52" s="16" t="s">
        <v>920</v>
      </c>
      <c r="B52" s="1"/>
      <c r="C52" s="47"/>
      <c r="D52" s="1"/>
      <c r="E52" s="1"/>
      <c r="F52" s="1"/>
      <c r="G52" s="1"/>
      <c r="H52" s="1"/>
      <c r="I52" s="1"/>
      <c r="J52" s="1"/>
      <c r="K52" s="1"/>
      <c r="L52" s="1"/>
      <c r="M52" s="1"/>
      <c r="N52" s="1"/>
    </row>
    <row r="53">
      <c r="A53" s="6" t="s">
        <v>921</v>
      </c>
      <c r="B53" s="8"/>
      <c r="C53" s="20">
        <f>Forecast_3Stmt!C21</f>
        <v>2659.5798651156656</v>
      </c>
      <c r="D53" s="9">
        <f>Forecast_3Stmt!D21</f>
        <v>10693.845339086256</v>
      </c>
      <c r="E53" s="9">
        <f>Forecast_3Stmt!E21</f>
        <v>17345.118646638704</v>
      </c>
      <c r="F53" s="9">
        <f>Forecast_3Stmt!F21</f>
        <v>29653.205247753238</v>
      </c>
      <c r="G53" s="9">
        <f>Forecast_3Stmt!G21</f>
        <v>43598.996325750086</v>
      </c>
      <c r="H53" s="9">
        <f>Forecast_3Stmt!H21</f>
        <v>52612.33724170011</v>
      </c>
      <c r="I53" s="9">
        <f>Forecast_3Stmt!I21</f>
        <v>59314.95798858652</v>
      </c>
      <c r="J53" s="9">
        <f>Forecast_3Stmt!J21</f>
        <v>71428.57762431144</v>
      </c>
      <c r="K53" s="9">
        <f>Forecast_3Stmt!K21</f>
        <v>87492.94040886956</v>
      </c>
      <c r="L53" s="9">
        <f>Forecast_3Stmt!L21</f>
        <v>97931.21485749462</v>
      </c>
      <c r="M53" s="1"/>
      <c r="N53" s="1" t="s">
        <v>922</v>
      </c>
    </row>
    <row r="54">
      <c r="A54" s="6" t="s">
        <v>923</v>
      </c>
      <c r="B54" s="8"/>
      <c r="C54" s="20">
        <f>Assumptions!$C$49</f>
        <v>9728</v>
      </c>
      <c r="D54" s="8">
        <f>C57</f>
        <v>7600.3361079074675</v>
      </c>
      <c r="E54" s="8">
        <f>D57</f>
        <v>0</v>
      </c>
      <c r="F54" s="8">
        <f>E57</f>
        <v>0</v>
      </c>
      <c r="G54" s="8">
        <f>F57</f>
        <v>0</v>
      </c>
      <c r="H54" s="8">
        <f>G57</f>
        <v>0</v>
      </c>
      <c r="I54" s="8">
        <f>H57</f>
        <v>0</v>
      </c>
      <c r="J54" s="8">
        <f>I57</f>
        <v>0</v>
      </c>
      <c r="K54" s="8">
        <f>J57</f>
        <v>0</v>
      </c>
      <c r="L54" s="8">
        <f>K57</f>
        <v>0</v>
      </c>
      <c r="M54" s="1"/>
      <c r="N54" s="1"/>
    </row>
    <row r="55">
      <c r="A55" s="28" t="s">
        <v>924</v>
      </c>
      <c r="B55" s="8"/>
      <c r="C55" s="17">
        <f>MIN(C54,MAX(0,C53)*Assumptions!$C$50)</f>
        <v>2127.6638920925325</v>
      </c>
      <c r="D55" s="8">
        <f>MIN(D54,MAX(0,D53)*Assumptions!$C$50)</f>
        <v>7600.3361079074675</v>
      </c>
      <c r="E55" s="8">
        <f>MIN(E54,MAX(0,E53)*Assumptions!$C$50)</f>
        <v>0</v>
      </c>
      <c r="F55" s="8">
        <f>MIN(F54,MAX(0,F53)*Assumptions!$C$50)</f>
        <v>0</v>
      </c>
      <c r="G55" s="8">
        <f>MIN(G54,MAX(0,G53)*Assumptions!$C$50)</f>
        <v>0</v>
      </c>
      <c r="H55" s="8">
        <f>MIN(H54,MAX(0,H53)*Assumptions!$C$50)</f>
        <v>0</v>
      </c>
      <c r="I55" s="8">
        <f>MIN(I54,MAX(0,I53)*Assumptions!$C$50)</f>
        <v>0</v>
      </c>
      <c r="J55" s="8">
        <f>MIN(J54,MAX(0,J53)*Assumptions!$C$50)</f>
        <v>0</v>
      </c>
      <c r="K55" s="8">
        <f>MIN(K54,MAX(0,K53)*Assumptions!$C$50)</f>
        <v>0</v>
      </c>
      <c r="L55" s="8">
        <f>MIN(L54,MAX(0,L53)*Assumptions!$C$50)</f>
        <v>0</v>
      </c>
      <c r="M55" s="1"/>
      <c r="N55" s="1"/>
    </row>
    <row r="56">
      <c r="A56" s="28" t="s">
        <v>925</v>
      </c>
      <c r="B56" s="8"/>
      <c r="C56" s="17">
        <f>MAX(0,-C53)</f>
        <v>0</v>
      </c>
      <c r="D56" s="8">
        <f>MAX(0,-D53)</f>
        <v>0</v>
      </c>
      <c r="E56" s="8">
        <f>MAX(0,-E53)</f>
        <v>0</v>
      </c>
      <c r="F56" s="8">
        <f>MAX(0,-F53)</f>
        <v>0</v>
      </c>
      <c r="G56" s="8">
        <f>MAX(0,-G53)</f>
        <v>0</v>
      </c>
      <c r="H56" s="8">
        <f>MAX(0,-H53)</f>
        <v>0</v>
      </c>
      <c r="I56" s="8">
        <f>MAX(0,-I53)</f>
        <v>0</v>
      </c>
      <c r="J56" s="8">
        <f>MAX(0,-J53)</f>
        <v>0</v>
      </c>
      <c r="K56" s="8">
        <f>MAX(0,-K53)</f>
        <v>0</v>
      </c>
      <c r="L56" s="8">
        <f>MAX(0,-L53)</f>
        <v>0</v>
      </c>
      <c r="M56" s="1"/>
      <c r="N56" s="1"/>
    </row>
    <row r="57">
      <c r="A57" s="16" t="s">
        <v>926</v>
      </c>
      <c r="B57" s="12"/>
      <c r="C57" s="37">
        <f>C54-C55+C56</f>
        <v>7600.3361079074675</v>
      </c>
      <c r="D57" s="12">
        <f>D54-D55+D56</f>
        <v>0</v>
      </c>
      <c r="E57" s="12">
        <f>E54-E55+E56</f>
        <v>0</v>
      </c>
      <c r="F57" s="12">
        <f>F54-F55+F56</f>
        <v>0</v>
      </c>
      <c r="G57" s="12">
        <f>G54-G55+G56</f>
        <v>0</v>
      </c>
      <c r="H57" s="12">
        <f>H54-H55+H56</f>
        <v>0</v>
      </c>
      <c r="I57" s="12">
        <f>I54-I55+I56</f>
        <v>0</v>
      </c>
      <c r="J57" s="12">
        <f>J54-J55+J56</f>
        <v>0</v>
      </c>
      <c r="K57" s="12">
        <f>K54-K55+K56</f>
        <v>0</v>
      </c>
      <c r="L57" s="12">
        <f>L54-L55+L56</f>
        <v>0</v>
      </c>
      <c r="M57" s="1"/>
      <c r="N57" s="1"/>
    </row>
    <row r="58">
      <c r="A58" s="6" t="s">
        <v>927</v>
      </c>
      <c r="B58" s="8"/>
      <c r="C58" s="17">
        <f>MAX(0,C53-C55)*Assumptions!$C$43</f>
        <v>111.70235433485796</v>
      </c>
      <c r="D58" s="8">
        <f>MAX(0,D53-D55)*Assumptions!$C$43</f>
        <v>649.6369385475456</v>
      </c>
      <c r="E58" s="8">
        <f>MAX(0,E53-E55)*Assumptions!$C$43</f>
        <v>3642.474915794128</v>
      </c>
      <c r="F58" s="8">
        <f>MAX(0,F53-F55)*Assumptions!$C$43</f>
        <v>6227.1731020281795</v>
      </c>
      <c r="G58" s="8">
        <f>MAX(0,G53-G55)*Assumptions!$C$43</f>
        <v>9155.789228407517</v>
      </c>
      <c r="H58" s="8">
        <f>MAX(0,H53-H55)*Assumptions!$C$43</f>
        <v>11048.590820757023</v>
      </c>
      <c r="I58" s="8">
        <f>MAX(0,I53-I55)*Assumptions!$C$43</f>
        <v>12456.141177603167</v>
      </c>
      <c r="J58" s="8">
        <f>MAX(0,J53-J55)*Assumptions!$C$43</f>
        <v>15000.001301105402</v>
      </c>
      <c r="K58" s="8">
        <f>MAX(0,K53-K55)*Assumptions!$C$43</f>
        <v>18373.517485862605</v>
      </c>
      <c r="L58" s="8">
        <f>MAX(0,L53-L55)*Assumptions!$C$43</f>
        <v>20565.55512007387</v>
      </c>
      <c r="M58" s="1"/>
      <c r="N58" s="1"/>
    </row>
    <row r="59">
      <c r="A59" s="6" t="s">
        <v>928</v>
      </c>
      <c r="B59" s="8"/>
      <c r="C59" s="20">
        <f>Assumptions!$C$51</f>
        <v>3586</v>
      </c>
      <c r="D59" s="8">
        <f>C61</f>
        <v>3502.2232342488564</v>
      </c>
      <c r="E59" s="8">
        <f>D61</f>
        <v>3014.995530338197</v>
      </c>
      <c r="F59" s="8">
        <f>E61</f>
        <v>283.13934349260126</v>
      </c>
      <c r="G59" s="8">
        <f>F61</f>
        <v>0</v>
      </c>
      <c r="H59" s="8">
        <f>G61</f>
        <v>0</v>
      </c>
      <c r="I59" s="8">
        <f>H61</f>
        <v>0</v>
      </c>
      <c r="J59" s="8">
        <f>I61</f>
        <v>0</v>
      </c>
      <c r="K59" s="8">
        <f>J61</f>
        <v>0</v>
      </c>
      <c r="L59" s="8">
        <f>K61</f>
        <v>0</v>
      </c>
      <c r="M59" s="1"/>
      <c r="N59" s="1"/>
    </row>
    <row r="60">
      <c r="A60" s="28" t="s">
        <v>929</v>
      </c>
      <c r="B60" s="8"/>
      <c r="C60" s="17">
        <f>MIN(C59,C58*Assumptions!$C$52)</f>
        <v>83.77676575114347</v>
      </c>
      <c r="D60" s="8">
        <f>MIN(D59,D58*Assumptions!$C$52)</f>
        <v>487.2277039106592</v>
      </c>
      <c r="E60" s="8">
        <f>MIN(E59,E58*Assumptions!$C$52)</f>
        <v>2731.856186845596</v>
      </c>
      <c r="F60" s="8">
        <f>MIN(F59,F58*Assumptions!$C$52)</f>
        <v>283.13934349260126</v>
      </c>
      <c r="G60" s="8">
        <f>MIN(G59,G58*Assumptions!$C$52)</f>
        <v>0</v>
      </c>
      <c r="H60" s="8">
        <f>MIN(H59,H58*Assumptions!$C$52)</f>
        <v>0</v>
      </c>
      <c r="I60" s="8">
        <f>MIN(I59,I58*Assumptions!$C$52)</f>
        <v>0</v>
      </c>
      <c r="J60" s="8">
        <f>MIN(J59,J58*Assumptions!$C$52)</f>
        <v>0</v>
      </c>
      <c r="K60" s="8">
        <f>MIN(K59,K58*Assumptions!$C$52)</f>
        <v>0</v>
      </c>
      <c r="L60" s="8">
        <f>MIN(L59,L58*Assumptions!$C$52)</f>
        <v>0</v>
      </c>
      <c r="M60" s="1"/>
      <c r="N60" s="1"/>
    </row>
    <row r="61">
      <c r="A61" s="16" t="s">
        <v>930</v>
      </c>
      <c r="B61" s="12"/>
      <c r="C61" s="37">
        <f>C59-C60</f>
        <v>3502.2232342488564</v>
      </c>
      <c r="D61" s="12">
        <f>D59-D60</f>
        <v>3014.995530338197</v>
      </c>
      <c r="E61" s="12">
        <f>E59-E60</f>
        <v>283.13934349260126</v>
      </c>
      <c r="F61" s="12">
        <f>F59-F60</f>
        <v>0</v>
      </c>
      <c r="G61" s="12">
        <f>G59-G60</f>
        <v>0</v>
      </c>
      <c r="H61" s="12">
        <f>H59-H60</f>
        <v>0</v>
      </c>
      <c r="I61" s="12">
        <f>I59-I60</f>
        <v>0</v>
      </c>
      <c r="J61" s="12">
        <f>J59-J60</f>
        <v>0</v>
      </c>
      <c r="K61" s="12">
        <f>K59-K60</f>
        <v>0</v>
      </c>
      <c r="L61" s="12">
        <f>L59-L60</f>
        <v>0</v>
      </c>
      <c r="M61" s="1"/>
      <c r="N61" s="1"/>
    </row>
    <row r="62">
      <c r="A62" s="6" t="s">
        <v>931</v>
      </c>
      <c r="B62" s="8"/>
      <c r="C62" s="20">
        <f>Assumptions!$C$45</f>
        <v>5234</v>
      </c>
      <c r="D62" s="8">
        <f>C65</f>
        <v>3106.3361079074675</v>
      </c>
      <c r="E62" s="8">
        <f>D65</f>
        <v>0</v>
      </c>
      <c r="F62" s="8">
        <f>E65</f>
        <v>0</v>
      </c>
      <c r="G62" s="8">
        <f>F65</f>
        <v>0</v>
      </c>
      <c r="H62" s="8">
        <f>G65</f>
        <v>0</v>
      </c>
      <c r="I62" s="8">
        <f>H65</f>
        <v>0</v>
      </c>
      <c r="J62" s="8">
        <f>I65</f>
        <v>0</v>
      </c>
      <c r="K62" s="8">
        <f>J65</f>
        <v>0</v>
      </c>
      <c r="L62" s="8">
        <f>K65</f>
        <v>0</v>
      </c>
      <c r="M62" s="1"/>
      <c r="N62" s="1"/>
    </row>
    <row r="63">
      <c r="A63" s="28" t="s">
        <v>924</v>
      </c>
      <c r="B63" s="8"/>
      <c r="C63" s="17">
        <f>MIN(C62,MAX(0,C53)*Assumptions!$C$50)</f>
        <v>2127.6638920925325</v>
      </c>
      <c r="D63" s="8">
        <f>MIN(D62,MAX(0,D53)*Assumptions!$C$50)</f>
        <v>3106.3361079074675</v>
      </c>
      <c r="E63" s="8">
        <f>MIN(E62,MAX(0,E53)*Assumptions!$C$50)</f>
        <v>0</v>
      </c>
      <c r="F63" s="8">
        <f>MIN(F62,MAX(0,F53)*Assumptions!$C$50)</f>
        <v>0</v>
      </c>
      <c r="G63" s="8">
        <f>MIN(G62,MAX(0,G53)*Assumptions!$C$50)</f>
        <v>0</v>
      </c>
      <c r="H63" s="8">
        <f>MIN(H62,MAX(0,H53)*Assumptions!$C$50)</f>
        <v>0</v>
      </c>
      <c r="I63" s="8">
        <f>MIN(I62,MAX(0,I53)*Assumptions!$C$50)</f>
        <v>0</v>
      </c>
      <c r="J63" s="8">
        <f>MIN(J62,MAX(0,J53)*Assumptions!$C$50)</f>
        <v>0</v>
      </c>
      <c r="K63" s="8">
        <f>MIN(K62,MAX(0,K53)*Assumptions!$C$50)</f>
        <v>0</v>
      </c>
      <c r="L63" s="8">
        <f>MIN(L62,MAX(0,L53)*Assumptions!$C$50)</f>
        <v>0</v>
      </c>
      <c r="M63" s="1"/>
      <c r="N63" s="1"/>
    </row>
    <row r="64">
      <c r="A64" s="28" t="s">
        <v>925</v>
      </c>
      <c r="B64" s="8"/>
      <c r="C64" s="17">
        <f>MAX(0,-C53)</f>
        <v>0</v>
      </c>
      <c r="D64" s="8">
        <f>MAX(0,-D53)</f>
        <v>0</v>
      </c>
      <c r="E64" s="8">
        <f>MAX(0,-E53)</f>
        <v>0</v>
      </c>
      <c r="F64" s="8">
        <f>MAX(0,-F53)</f>
        <v>0</v>
      </c>
      <c r="G64" s="8">
        <f>MAX(0,-G53)</f>
        <v>0</v>
      </c>
      <c r="H64" s="8">
        <f>MAX(0,-H53)</f>
        <v>0</v>
      </c>
      <c r="I64" s="8">
        <f>MAX(0,-I53)</f>
        <v>0</v>
      </c>
      <c r="J64" s="8">
        <f>MAX(0,-J53)</f>
        <v>0</v>
      </c>
      <c r="K64" s="8">
        <f>MAX(0,-K53)</f>
        <v>0</v>
      </c>
      <c r="L64" s="8">
        <f>MAX(0,-L53)</f>
        <v>0</v>
      </c>
      <c r="M64" s="1"/>
      <c r="N64" s="1"/>
    </row>
    <row r="65">
      <c r="A65" s="16" t="s">
        <v>932</v>
      </c>
      <c r="B65" s="12"/>
      <c r="C65" s="37">
        <f>C62-C63+C64</f>
        <v>3106.3361079074675</v>
      </c>
      <c r="D65" s="12">
        <f>D62-D63+D64</f>
        <v>0</v>
      </c>
      <c r="E65" s="12">
        <f>E62-E63+E64</f>
        <v>0</v>
      </c>
      <c r="F65" s="12">
        <f>F62-F63+F64</f>
        <v>0</v>
      </c>
      <c r="G65" s="12">
        <f>G62-G63+G64</f>
        <v>0</v>
      </c>
      <c r="H65" s="12">
        <f>H62-H63+H64</f>
        <v>0</v>
      </c>
      <c r="I65" s="12">
        <f>I62-I63+I64</f>
        <v>0</v>
      </c>
      <c r="J65" s="12">
        <f>J62-J63+J64</f>
        <v>0</v>
      </c>
      <c r="K65" s="12">
        <f>K62-K63+K64</f>
        <v>0</v>
      </c>
      <c r="L65" s="12">
        <f>L62-L63+L64</f>
        <v>0</v>
      </c>
      <c r="M65" s="1"/>
      <c r="N65" s="1"/>
    </row>
    <row r="66">
      <c r="A66" s="6" t="s">
        <v>933</v>
      </c>
      <c r="B66" s="8"/>
      <c r="C66" s="17">
        <f>MAX(0,C53-C63)*Assumptions!$C$44</f>
        <v>10.638319460462663</v>
      </c>
      <c r="D66" s="8">
        <f>MAX(0,D53-D63)*Assumptions!$C$44</f>
        <v>151.75018462357576</v>
      </c>
      <c r="E66" s="8">
        <f>MAX(0,E53-E63)*Assumptions!$C$44</f>
        <v>346.9023729327741</v>
      </c>
      <c r="F66" s="8">
        <f>MAX(0,F53-F63)*Assumptions!$C$44</f>
        <v>593.0641049550647</v>
      </c>
      <c r="G66" s="8">
        <f>MAX(0,G53-G63)*Assumptions!$C$44</f>
        <v>871.9799265150017</v>
      </c>
      <c r="H66" s="8">
        <f>MAX(0,H53-H63)*Assumptions!$C$44</f>
        <v>1052.2467448340021</v>
      </c>
      <c r="I66" s="8">
        <f>MAX(0,I53-I63)*Assumptions!$C$44</f>
        <v>1186.2991597717303</v>
      </c>
      <c r="J66" s="8">
        <f>MAX(0,J53-J63)*Assumptions!$C$44</f>
        <v>1428.5715524862287</v>
      </c>
      <c r="K66" s="8">
        <f>MAX(0,K53-K63)*Assumptions!$C$44</f>
        <v>1749.8588081773912</v>
      </c>
      <c r="L66" s="8">
        <f>MAX(0,L53-L63)*Assumptions!$C$44</f>
        <v>1958.6242971498923</v>
      </c>
      <c r="M66" s="1"/>
      <c r="N66" s="1"/>
    </row>
    <row r="67">
      <c r="A67" s="6" t="s">
        <v>934</v>
      </c>
      <c r="B67" s="8"/>
      <c r="C67" s="20">
        <f>Assumptions!$C$46</f>
        <v>2104</v>
      </c>
      <c r="D67" s="8">
        <f>C69</f>
        <v>2096.021260404653</v>
      </c>
      <c r="E67" s="8">
        <f>D69</f>
        <v>1982.208621936971</v>
      </c>
      <c r="F67" s="8">
        <f>E69</f>
        <v>1722.0318422373905</v>
      </c>
      <c r="G67" s="8">
        <f>F69</f>
        <v>1277.233763521092</v>
      </c>
      <c r="H67" s="8">
        <f>G69</f>
        <v>623.2488186348407</v>
      </c>
      <c r="I67" s="8">
        <f>H69</f>
        <v>0</v>
      </c>
      <c r="J67" s="8">
        <f>I69</f>
        <v>0</v>
      </c>
      <c r="K67" s="8">
        <f>J69</f>
        <v>0</v>
      </c>
      <c r="L67" s="8">
        <f>K69</f>
        <v>0</v>
      </c>
      <c r="M67" s="1"/>
      <c r="N67" s="1"/>
    </row>
    <row r="68">
      <c r="A68" s="28" t="s">
        <v>929</v>
      </c>
      <c r="B68" s="8"/>
      <c r="C68" s="17">
        <f>MIN(C67,C66*Assumptions!$C$52)</f>
        <v>7.9787395953469975</v>
      </c>
      <c r="D68" s="8">
        <f>MIN(D67,D66*Assumptions!$C$52)</f>
        <v>113.81263846768182</v>
      </c>
      <c r="E68" s="8">
        <f>MIN(E67,E66*Assumptions!$C$52)</f>
        <v>260.17677969958055</v>
      </c>
      <c r="F68" s="8">
        <f>MIN(F67,F66*Assumptions!$C$52)</f>
        <v>444.79807871629856</v>
      </c>
      <c r="G68" s="8">
        <f>MIN(G67,G66*Assumptions!$C$52)</f>
        <v>653.9849448862512</v>
      </c>
      <c r="H68" s="8">
        <f>MIN(H67,H66*Assumptions!$C$52)</f>
        <v>623.2488186348407</v>
      </c>
      <c r="I68" s="8">
        <f>MIN(I67,I66*Assumptions!$C$52)</f>
        <v>0</v>
      </c>
      <c r="J68" s="8">
        <f>MIN(J67,J66*Assumptions!$C$52)</f>
        <v>0</v>
      </c>
      <c r="K68" s="8">
        <f>MIN(K67,K66*Assumptions!$C$52)</f>
        <v>0</v>
      </c>
      <c r="L68" s="8">
        <f>MIN(L67,L66*Assumptions!$C$52)</f>
        <v>0</v>
      </c>
      <c r="M68" s="1"/>
      <c r="N68" s="1"/>
    </row>
    <row r="69">
      <c r="A69" s="16" t="s">
        <v>935</v>
      </c>
      <c r="B69" s="12"/>
      <c r="C69" s="37">
        <f>C67-C68</f>
        <v>2096.021260404653</v>
      </c>
      <c r="D69" s="12">
        <f>D67-D68</f>
        <v>1982.208621936971</v>
      </c>
      <c r="E69" s="12">
        <f>E67-E68</f>
        <v>1722.0318422373905</v>
      </c>
      <c r="F69" s="12">
        <f>F67-F68</f>
        <v>1277.233763521092</v>
      </c>
      <c r="G69" s="12">
        <f>G67-G68</f>
        <v>623.2488186348407</v>
      </c>
      <c r="H69" s="12">
        <f>H67-H68</f>
        <v>0</v>
      </c>
      <c r="I69" s="12">
        <f>I67-I68</f>
        <v>0</v>
      </c>
      <c r="J69" s="12">
        <f>J67-J68</f>
        <v>0</v>
      </c>
      <c r="K69" s="12">
        <f>K67-K68</f>
        <v>0</v>
      </c>
      <c r="L69" s="12">
        <f>L67-L68</f>
        <v>0</v>
      </c>
      <c r="M69" s="1"/>
      <c r="N69" s="1"/>
    </row>
    <row r="70">
      <c r="A70" s="36" t="s">
        <v>936</v>
      </c>
      <c r="B70" s="33"/>
      <c r="C70" s="106">
        <f>Interim_Bridge!D40</f>
        <v>-189.32100674421676</v>
      </c>
      <c r="D70" s="33">
        <f>D58-D60+D66-D68</f>
        <v>200.3467807927803</v>
      </c>
      <c r="E70" s="33">
        <f>E58-E60+E66-E68</f>
        <v>997.3443221817256</v>
      </c>
      <c r="F70" s="33">
        <f>F58-F60+F66-F68</f>
        <v>6092.2997847743445</v>
      </c>
      <c r="G70" s="33">
        <f>G58-G60+G66-G68</f>
        <v>9373.784210036267</v>
      </c>
      <c r="H70" s="33">
        <f>H58-H60+H66-H68</f>
        <v>11477.588746956184</v>
      </c>
      <c r="I70" s="33">
        <f>I58-I60+I66-I68</f>
        <v>13642.440337374897</v>
      </c>
      <c r="J70" s="33">
        <f>J58-J60+J66-J68</f>
        <v>16428.57285359163</v>
      </c>
      <c r="K70" s="33">
        <f>K58-K60+K66-K68</f>
        <v>20123.376294039997</v>
      </c>
      <c r="L70" s="33">
        <f>L58-L60+L66-L68</f>
        <v>22524.179417223764</v>
      </c>
      <c r="M70" s="1"/>
      <c r="N70" s="1" t="s">
        <v>937</v>
      </c>
    </row>
    <row r="71">
      <c r="A71" s="54" t="s">
        <v>938</v>
      </c>
      <c r="B71" s="10"/>
      <c r="C71" s="24">
        <f>IF(Forecast_3Stmt!C21&gt;0,Forecast_3Stmt!C22/Forecast_3Stmt!C21,0)</f>
        <v>-0.07118455408218514</v>
      </c>
      <c r="D71" s="10">
        <f>IF(Forecast_3Stmt!D21&gt;0,Forecast_3Stmt!D22/Forecast_3Stmt!D21,0)</f>
        <v>0.018734774483833996</v>
      </c>
      <c r="E71" s="10">
        <f>IF(Forecast_3Stmt!E21&gt;0,Forecast_3Stmt!E22/Forecast_3Stmt!E21,0)</f>
        <v>0.0575</v>
      </c>
      <c r="F71" s="10">
        <f>IF(Forecast_3Stmt!F21&gt;0,Forecast_3Stmt!F22/Forecast_3Stmt!F21,0)</f>
        <v>0.20545164456499843</v>
      </c>
      <c r="G71" s="10">
        <f>IF(Forecast_3Stmt!G21&gt;0,Forecast_3Stmt!G22/Forecast_3Stmt!G21,0)</f>
        <v>0.21499999999999997</v>
      </c>
      <c r="H71" s="10">
        <f>IF(Forecast_3Stmt!H21&gt;0,Forecast_3Stmt!H22/Forecast_3Stmt!H21,0)</f>
        <v>0.21815394161693202</v>
      </c>
      <c r="I71" s="10">
        <f>IF(Forecast_3Stmt!I21&gt;0,Forecast_3Stmt!I22/Forecast_3Stmt!I21,0)</f>
        <v>0.22999999999999998</v>
      </c>
      <c r="J71" s="10">
        <f>IF(Forecast_3Stmt!J21&gt;0,Forecast_3Stmt!J22/Forecast_3Stmt!J21,0)</f>
        <v>0.23</v>
      </c>
      <c r="K71" s="10">
        <f>IF(Forecast_3Stmt!K21&gt;0,Forecast_3Stmt!K22/Forecast_3Stmt!K21,0)</f>
        <v>0.22999999999999998</v>
      </c>
      <c r="L71" s="10">
        <f>IF(Forecast_3Stmt!L21&gt;0,Forecast_3Stmt!L22/Forecast_3Stmt!L21,0)</f>
        <v>0.23</v>
      </c>
      <c r="M71" s="1"/>
      <c r="N71" s="1"/>
    </row>
    <row r="72">
      <c r="A72" s="1"/>
      <c r="B72" s="1"/>
      <c r="C72" s="47"/>
      <c r="D72" s="1"/>
      <c r="E72" s="1"/>
      <c r="F72" s="1"/>
      <c r="G72" s="1"/>
      <c r="H72" s="1"/>
      <c r="I72" s="1"/>
      <c r="J72" s="1"/>
      <c r="K72" s="1"/>
      <c r="L72" s="1"/>
      <c r="M72" s="1"/>
      <c r="N72" s="1"/>
    </row>
    <row r="73">
      <c r="A73" s="16" t="s">
        <v>939</v>
      </c>
      <c r="B73" s="1"/>
      <c r="C73" s="47"/>
      <c r="D73" s="1"/>
      <c r="E73" s="1"/>
      <c r="F73" s="1"/>
      <c r="G73" s="1"/>
      <c r="H73" s="1"/>
      <c r="I73" s="1"/>
      <c r="J73" s="1"/>
      <c r="K73" s="1"/>
      <c r="L73" s="1"/>
      <c r="M73" s="1"/>
      <c r="N73" s="1"/>
    </row>
    <row r="74">
      <c r="A74" s="31" t="s">
        <v>940</v>
      </c>
      <c r="B74" s="10"/>
      <c r="C74" s="24">
        <f>Interim_Bridge!D82/(Interim_Bridge!C25*4)</f>
        <v>0.081852487135506</v>
      </c>
      <c r="D74" s="10">
        <f>$C$74</f>
        <v>0.081852487135506</v>
      </c>
      <c r="E74" s="10">
        <f>$C$74</f>
        <v>0.081852487135506</v>
      </c>
      <c r="F74" s="10">
        <f>$C$74</f>
        <v>0.081852487135506</v>
      </c>
      <c r="G74" s="10">
        <f>$C$74</f>
        <v>0.081852487135506</v>
      </c>
      <c r="H74" s="10">
        <f>$C$74</f>
        <v>0.081852487135506</v>
      </c>
      <c r="I74" s="10">
        <f>$C$74</f>
        <v>0.081852487135506</v>
      </c>
      <c r="J74" s="10">
        <f>$C$74</f>
        <v>0.081852487135506</v>
      </c>
      <c r="K74" s="10">
        <f>$C$74</f>
        <v>0.081852487135506</v>
      </c>
      <c r="L74" s="10">
        <f>$C$74</f>
        <v>0.081852487135506</v>
      </c>
      <c r="M74" s="1"/>
      <c r="N74" s="1" t="s">
        <v>941</v>
      </c>
    </row>
    <row r="75">
      <c r="A75" s="31" t="s">
        <v>942</v>
      </c>
      <c r="B75" s="10"/>
      <c r="C75" s="24">
        <f>Interim_Bridge!D83/(Interim_Bridge!C25*4)</f>
        <v>0.049588336192109776</v>
      </c>
      <c r="D75" s="10">
        <f>$C$75</f>
        <v>0.049588336192109776</v>
      </c>
      <c r="E75" s="10">
        <f>$C$75</f>
        <v>0.049588336192109776</v>
      </c>
      <c r="F75" s="10">
        <f>$C$75</f>
        <v>0.049588336192109776</v>
      </c>
      <c r="G75" s="10">
        <f>$C$75</f>
        <v>0.049588336192109776</v>
      </c>
      <c r="H75" s="10">
        <f>$C$75</f>
        <v>0.049588336192109776</v>
      </c>
      <c r="I75" s="10">
        <f>$C$75</f>
        <v>0.049588336192109776</v>
      </c>
      <c r="J75" s="10">
        <f>$C$75</f>
        <v>0.049588336192109776</v>
      </c>
      <c r="K75" s="10">
        <f>$C$75</f>
        <v>0.049588336192109776</v>
      </c>
      <c r="L75" s="10">
        <f>$C$75</f>
        <v>0.049588336192109776</v>
      </c>
      <c r="M75" s="1"/>
      <c r="N75" s="1"/>
    </row>
    <row r="76">
      <c r="A76" s="31" t="s">
        <v>943</v>
      </c>
      <c r="B76" s="10"/>
      <c r="C76" s="24">
        <f>Interim_Bridge!D84/(Interim_Bridge!C25*4)</f>
        <v>0.0592967409948542</v>
      </c>
      <c r="D76" s="10">
        <f>$C$76</f>
        <v>0.0592967409948542</v>
      </c>
      <c r="E76" s="10">
        <f>$C$76</f>
        <v>0.0592967409948542</v>
      </c>
      <c r="F76" s="10">
        <f>$C$76</f>
        <v>0.0592967409948542</v>
      </c>
      <c r="G76" s="10">
        <f>$C$76</f>
        <v>0.0592967409948542</v>
      </c>
      <c r="H76" s="10">
        <f>$C$76</f>
        <v>0.0592967409948542</v>
      </c>
      <c r="I76" s="10">
        <f>$C$76</f>
        <v>0.0592967409948542</v>
      </c>
      <c r="J76" s="10">
        <f>$C$76</f>
        <v>0.0592967409948542</v>
      </c>
      <c r="K76" s="10">
        <f>$C$76</f>
        <v>0.0592967409948542</v>
      </c>
      <c r="L76" s="10">
        <f>$C$76</f>
        <v>0.0592967409948542</v>
      </c>
      <c r="M76" s="1"/>
      <c r="N76" s="1"/>
    </row>
    <row r="77">
      <c r="A77" s="31" t="s">
        <v>944</v>
      </c>
      <c r="B77" s="10"/>
      <c r="C77" s="24">
        <f>Interim_Bridge!D93/(Interim_Bridge!C25*4)</f>
        <v>0.10286449399656948</v>
      </c>
      <c r="D77" s="10">
        <f>$C$77</f>
        <v>0.10286449399656948</v>
      </c>
      <c r="E77" s="10">
        <f>$C$77</f>
        <v>0.10286449399656948</v>
      </c>
      <c r="F77" s="10">
        <f>$C$77</f>
        <v>0.10286449399656948</v>
      </c>
      <c r="G77" s="10">
        <f>$C$77</f>
        <v>0.10286449399656948</v>
      </c>
      <c r="H77" s="10">
        <f>$C$77</f>
        <v>0.10286449399656948</v>
      </c>
      <c r="I77" s="10">
        <f>$C$77</f>
        <v>0.10286449399656948</v>
      </c>
      <c r="J77" s="10">
        <f>$C$77</f>
        <v>0.10286449399656948</v>
      </c>
      <c r="K77" s="10">
        <f>$C$77</f>
        <v>0.10286449399656948</v>
      </c>
      <c r="L77" s="10">
        <f>$C$77</f>
        <v>0.10286449399656948</v>
      </c>
      <c r="M77" s="1"/>
      <c r="N77" s="1"/>
    </row>
    <row r="78">
      <c r="A78" s="31" t="s">
        <v>945</v>
      </c>
      <c r="B78" s="10"/>
      <c r="C78" s="24">
        <f>Interim_Bridge!D92/(Interim_Bridge!C25*4)</f>
        <v>0.3005145797598628</v>
      </c>
      <c r="D78" s="19">
        <f>Assumptions!D154</f>
        <v>0.26</v>
      </c>
      <c r="E78" s="19">
        <f>Assumptions!E154</f>
        <v>0.22</v>
      </c>
      <c r="F78" s="19">
        <f>Assumptions!F154</f>
        <v>0.19</v>
      </c>
      <c r="G78" s="19">
        <f>Assumptions!G154</f>
        <v>0.17</v>
      </c>
      <c r="H78" s="19">
        <f>Assumptions!H154</f>
        <v>0.15</v>
      </c>
      <c r="I78" s="19">
        <f>Assumptions!I154</f>
        <v>0.15</v>
      </c>
      <c r="J78" s="19">
        <f>Assumptions!J154</f>
        <v>0.15</v>
      </c>
      <c r="K78" s="19">
        <f>Assumptions!K154</f>
        <v>0.15</v>
      </c>
      <c r="L78" s="19">
        <f>Assumptions!L154</f>
        <v>0.15</v>
      </c>
      <c r="M78" s="1"/>
      <c r="N78" s="1" t="s">
        <v>946</v>
      </c>
    </row>
    <row r="79">
      <c r="A79" s="31" t="s">
        <v>947</v>
      </c>
      <c r="B79" s="10"/>
      <c r="C79" s="24">
        <f>Interim_Bridge!D91/((Interim_Bridge!C59+Interim_Bridge!C25-Interim_Bridge!C31)*4)</f>
        <v>0.13071296186758152</v>
      </c>
      <c r="D79" s="10">
        <f>$C$79</f>
        <v>0.13071296186758152</v>
      </c>
      <c r="E79" s="10">
        <f>$C$79</f>
        <v>0.13071296186758152</v>
      </c>
      <c r="F79" s="10">
        <f>$C$79</f>
        <v>0.13071296186758152</v>
      </c>
      <c r="G79" s="10">
        <f>$C$79</f>
        <v>0.13071296186758152</v>
      </c>
      <c r="H79" s="10">
        <f>$C$79</f>
        <v>0.13071296186758152</v>
      </c>
      <c r="I79" s="10">
        <f>$C$79</f>
        <v>0.13071296186758152</v>
      </c>
      <c r="J79" s="10">
        <f>$C$79</f>
        <v>0.13071296186758152</v>
      </c>
      <c r="K79" s="10">
        <f>$C$79</f>
        <v>0.13071296186758152</v>
      </c>
      <c r="L79" s="10">
        <f>$C$79</f>
        <v>0.13071296186758152</v>
      </c>
      <c r="M79" s="1"/>
      <c r="N79" s="1"/>
    </row>
    <row r="80">
      <c r="A80" s="6" t="s">
        <v>205</v>
      </c>
      <c r="B80" s="9">
        <f>BS_Hist!C9</f>
        <v>1579</v>
      </c>
      <c r="C80" s="20">
        <f>Interim_Bridge!D82</f>
        <v>5612.708048971038</v>
      </c>
      <c r="D80" s="8">
        <f>Forecast_3Stmt!D10*D74</f>
        <v>6734.387362257979</v>
      </c>
      <c r="E80" s="8">
        <f>Forecast_3Stmt!E10*E74</f>
        <v>9374.093917855878</v>
      </c>
      <c r="F80" s="8">
        <f>Forecast_3Stmt!F10*F74</f>
        <v>12038.5218706562</v>
      </c>
      <c r="G80" s="8">
        <f>Forecast_3Stmt!G10*G74</f>
        <v>14634.805999734044</v>
      </c>
      <c r="H80" s="8">
        <f>Forecast_3Stmt!H10*H74</f>
        <v>17024.28386945496</v>
      </c>
      <c r="I80" s="8">
        <f>Forecast_3Stmt!I10*I74</f>
        <v>19080.49106257817</v>
      </c>
      <c r="J80" s="8">
        <f>Forecast_3Stmt!J10*J74</f>
        <v>20845.47325959427</v>
      </c>
      <c r="K80" s="8">
        <f>Forecast_3Stmt!K10*K74</f>
        <v>22296.761164278927</v>
      </c>
      <c r="L80" s="8">
        <f>Forecast_3Stmt!L10*L74</f>
        <v>23481.065920593916</v>
      </c>
      <c r="M80" s="1"/>
      <c r="N80" s="1"/>
    </row>
    <row r="81">
      <c r="A81" s="6" t="s">
        <v>137</v>
      </c>
      <c r="B81" s="9">
        <f>BS_Hist!C10</f>
        <v>2416</v>
      </c>
      <c r="C81" s="20">
        <f>Interim_Bridge!D83</f>
        <v>3400.3224999109957</v>
      </c>
      <c r="D81" s="8">
        <f>Forecast_3Stmt!D10*D75</f>
        <v>4079.8645985515122</v>
      </c>
      <c r="E81" s="8">
        <f>Forecast_3Stmt!E10*E75</f>
        <v>5679.066537410174</v>
      </c>
      <c r="F81" s="8">
        <f>Forecast_3Stmt!F10*F75</f>
        <v>7293.245332788573</v>
      </c>
      <c r="G81" s="8">
        <f>Forecast_3Stmt!G10*G75</f>
        <v>8866.140851892524</v>
      </c>
      <c r="H81" s="8">
        <f>Forecast_3Stmt!H10*H75</f>
        <v>10313.747834575503</v>
      </c>
      <c r="I81" s="8">
        <f>Forecast_3Stmt!I10*I75</f>
        <v>11559.450893108442</v>
      </c>
      <c r="J81" s="8">
        <f>Forecast_3Stmt!J10*J75</f>
        <v>12628.722379188399</v>
      </c>
      <c r="K81" s="8">
        <f>Forecast_3Stmt!K10*K75</f>
        <v>13507.949816833692</v>
      </c>
      <c r="L81" s="8">
        <f>Forecast_3Stmt!L10*L75</f>
        <v>14225.432015179591</v>
      </c>
      <c r="M81" s="1"/>
      <c r="N81" s="1"/>
    </row>
    <row r="82">
      <c r="A82" s="6" t="s">
        <v>138</v>
      </c>
      <c r="B82" s="9">
        <f>BS_Hist!C11</f>
        <v>2210</v>
      </c>
      <c r="C82" s="20">
        <f>Interim_Bridge!D84</f>
        <v>4066.0376624670744</v>
      </c>
      <c r="D82" s="8">
        <f>Forecast_3Stmt!D10*D76</f>
        <v>4878.6205178805185</v>
      </c>
      <c r="E82" s="8">
        <f>Forecast_3Stmt!E10*E76</f>
        <v>6790.914223392241</v>
      </c>
      <c r="F82" s="8">
        <f>Forecast_3Stmt!F10*F76</f>
        <v>8721.116954496747</v>
      </c>
      <c r="G82" s="8">
        <f>Forecast_3Stmt!G10*G76</f>
        <v>10601.953969212194</v>
      </c>
      <c r="H82" s="8">
        <f>Forecast_3Stmt!H10*H76</f>
        <v>12332.973456979422</v>
      </c>
      <c r="I82" s="8">
        <f>Forecast_3Stmt!I10*I76</f>
        <v>13822.560268929743</v>
      </c>
      <c r="J82" s="8">
        <f>Forecast_3Stmt!J10*J76</f>
        <v>15101.173733951675</v>
      </c>
      <c r="K82" s="8">
        <f>Forecast_3Stmt!K10*K76</f>
        <v>16152.536325421679</v>
      </c>
      <c r="L82" s="8">
        <f>Forecast_3Stmt!L10*L76</f>
        <v>17010.487193523295</v>
      </c>
      <c r="M82" s="1"/>
      <c r="N82" s="1"/>
    </row>
    <row r="83">
      <c r="A83" s="6" t="s">
        <v>153</v>
      </c>
      <c r="B83" s="9">
        <f>BS_Hist!C26</f>
        <v>2569</v>
      </c>
      <c r="C83" s="20">
        <f>Interim_Bridge!D93</f>
        <v>7053.522667577393</v>
      </c>
      <c r="D83" s="8">
        <f>Forecast_3Stmt!D10*D77</f>
        <v>8463.143548084892</v>
      </c>
      <c r="E83" s="8">
        <f>Forecast_3Stmt!E10*E77</f>
        <v>11780.478043877141</v>
      </c>
      <c r="F83" s="8">
        <f>Forecast_3Stmt!F10*F77</f>
        <v>15128.880062515766</v>
      </c>
      <c r="G83" s="8">
        <f>Forecast_3Stmt!G10*G77</f>
        <v>18391.645343756303</v>
      </c>
      <c r="H83" s="8">
        <f>Forecast_3Stmt!H10*H77</f>
        <v>21394.516002749668</v>
      </c>
      <c r="I83" s="8">
        <f>Forecast_3Stmt!I10*I77</f>
        <v>23978.56347491226</v>
      </c>
      <c r="J83" s="8">
        <f>Forecast_3Stmt!J10*J77</f>
        <v>26196.626810097834</v>
      </c>
      <c r="K83" s="8">
        <f>Forecast_3Stmt!K10*K77</f>
        <v>28020.468713784732</v>
      </c>
      <c r="L83" s="8">
        <f>Forecast_3Stmt!L10*L77</f>
        <v>29508.791350754764</v>
      </c>
      <c r="M83" s="1"/>
      <c r="N83" s="1"/>
    </row>
    <row r="84">
      <c r="A84" s="6" t="s">
        <v>207</v>
      </c>
      <c r="B84" s="9">
        <f>BS_Hist!C47</f>
        <v>12116</v>
      </c>
      <c r="C84" s="20">
        <f>Interim_Bridge!D92</f>
        <v>20606.58948406802</v>
      </c>
      <c r="D84" s="8">
        <f>Forecast_3Stmt!D10*D78</f>
        <v>21391.417358991293</v>
      </c>
      <c r="E84" s="8">
        <f>Forecast_3Stmt!E10*E78</f>
        <v>25195.33289824382</v>
      </c>
      <c r="F84" s="8">
        <f>Forecast_3Stmt!F10*F78</f>
        <v>27944.406278553797</v>
      </c>
      <c r="G84" s="8">
        <f>Forecast_3Stmt!G10*G78</f>
        <v>30395.13039886088</v>
      </c>
      <c r="H84" s="8">
        <f>Forecast_3Stmt!H10*H78</f>
        <v>31198.106127071173</v>
      </c>
      <c r="I84" s="8">
        <f>Forecast_3Stmt!I10*I78</f>
        <v>34966.2393843768</v>
      </c>
      <c r="J84" s="8">
        <f>Forecast_3Stmt!J10*J78</f>
        <v>38200.683917676426</v>
      </c>
      <c r="K84" s="8">
        <f>Forecast_3Stmt!K10*K78</f>
        <v>40860.26328198223</v>
      </c>
      <c r="L84" s="8">
        <f>Forecast_3Stmt!L10*L78</f>
        <v>43030.5786830666</v>
      </c>
      <c r="M84" s="1"/>
      <c r="N84" s="1"/>
    </row>
    <row r="85">
      <c r="A85" s="6" t="s">
        <v>150</v>
      </c>
      <c r="B85" s="9">
        <f>BS_Hist!C23</f>
        <v>11792</v>
      </c>
      <c r="C85" s="20">
        <f>Interim_Bridge!D91</f>
        <v>15935.777491342275</v>
      </c>
      <c r="D85" s="8">
        <f>(Segments_Fcst!D49+Forecast_3Stmt!D10-Forecast_3Stmt!D12)*D79</f>
        <v>9221.259960364623</v>
      </c>
      <c r="E85" s="8">
        <f>(Segments_Fcst!E49+Forecast_3Stmt!E10-Forecast_3Stmt!E12)*E79</f>
        <v>16367.804554170814</v>
      </c>
      <c r="F85" s="8">
        <f>(Segments_Fcst!F49+Forecast_3Stmt!F10-Forecast_3Stmt!F12)*F79</f>
        <v>17466.294260297396</v>
      </c>
      <c r="G85" s="8">
        <f>(Segments_Fcst!G49+Forecast_3Stmt!G10-Forecast_3Stmt!G12)*G79</f>
        <v>18651.580868320827</v>
      </c>
      <c r="H85" s="8">
        <f>(Segments_Fcst!H49+Forecast_3Stmt!H10-Forecast_3Stmt!H12)*H79</f>
        <v>20130.09002716793</v>
      </c>
      <c r="I85" s="8">
        <f>(Segments_Fcst!I49+Forecast_3Stmt!I10-Forecast_3Stmt!I12)*I79</f>
        <v>21056.07379673322</v>
      </c>
      <c r="J85" s="8">
        <f>(Segments_Fcst!J49+Forecast_3Stmt!J10-Forecast_3Stmt!J12)*J79</f>
        <v>24039.335755428863</v>
      </c>
      <c r="K85" s="8">
        <f>(Segments_Fcst!K49+Forecast_3Stmt!K10-Forecast_3Stmt!K12)*K79</f>
        <v>24663.198095992535</v>
      </c>
      <c r="L85" s="8">
        <f>(Segments_Fcst!L49+Forecast_3Stmt!L10-Forecast_3Stmt!L12)*L79</f>
        <v>25214.43428740373</v>
      </c>
      <c r="M85" s="1"/>
      <c r="N85" s="1"/>
    </row>
    <row r="86">
      <c r="A86" s="16" t="s">
        <v>948</v>
      </c>
      <c r="B86" s="12">
        <f>B80+B81+B82-B85-B84-B83</f>
        <v>-20272</v>
      </c>
      <c r="C86" s="37">
        <f>C80+C81+C82-C85-C84-C83</f>
        <v>-30516.821431638575</v>
      </c>
      <c r="D86" s="12">
        <f>D80+D81+D82-D85-D84-D83</f>
        <v>-23382.9483887508</v>
      </c>
      <c r="E86" s="12">
        <f>E80+E81+E82-E85-E84-E83</f>
        <v>-31499.540817633482</v>
      </c>
      <c r="F86" s="12">
        <f>F80+F81+F82-F85-F84-F83</f>
        <v>-32486.69644342544</v>
      </c>
      <c r="G86" s="12">
        <f>G80+G81+G82-G85-G84-G83</f>
        <v>-33335.455790099244</v>
      </c>
      <c r="H86" s="12">
        <f>H80+H81+H82-H85-H84-H83</f>
        <v>-33051.70699597888</v>
      </c>
      <c r="I86" s="12">
        <f>I80+I81+I82-I85-I84-I83</f>
        <v>-35538.37443140592</v>
      </c>
      <c r="J86" s="12">
        <f>J80+J81+J82-J85-J84-J83</f>
        <v>-39861.277110468785</v>
      </c>
      <c r="K86" s="12">
        <f>K80+K81+K82-K85-K84-K83</f>
        <v>-41586.6827852252</v>
      </c>
      <c r="L86" s="12">
        <f>L80+L81+L82-L85-L84-L83</f>
        <v>-43036.81919192828</v>
      </c>
      <c r="M86" s="1"/>
      <c r="N86" s="1"/>
    </row>
    <row r="87">
      <c r="A87" s="36" t="s">
        <v>949</v>
      </c>
      <c r="B87" s="33"/>
      <c r="C87" s="53">
        <f>Interim_Bridge!B67-(C86-Interim_Bridge!B99)</f>
        <v>5235.821431638575</v>
      </c>
      <c r="D87" s="33">
        <f>-(D86-C86)</f>
        <v>-7133.873042887775</v>
      </c>
      <c r="E87" s="33">
        <f>-(E86-D86)</f>
        <v>8116.592428882683</v>
      </c>
      <c r="F87" s="33">
        <f>-(F86-E86)</f>
        <v>987.1556257919583</v>
      </c>
      <c r="G87" s="33">
        <f>-(G86-F86)</f>
        <v>848.7593466738035</v>
      </c>
      <c r="H87" s="33">
        <f>-(H86-G86)</f>
        <v>-283.74879412036535</v>
      </c>
      <c r="I87" s="33">
        <f>-(I86-H86)</f>
        <v>2486.6674354270435</v>
      </c>
      <c r="J87" s="33">
        <f>-(J86-I86)</f>
        <v>4322.902679062863</v>
      </c>
      <c r="K87" s="33">
        <f>-(K86-J86)</f>
        <v>1725.4056747564173</v>
      </c>
      <c r="L87" s="33">
        <f>-(L86-K86)</f>
        <v>1450.1364067030809</v>
      </c>
      <c r="M87" s="1"/>
      <c r="N87" s="1" t="s">
        <v>950</v>
      </c>
    </row>
    <row r="88">
      <c r="A88" s="1"/>
      <c r="B88" s="1"/>
      <c r="C88" s="47"/>
      <c r="D88" s="1"/>
      <c r="E88" s="1"/>
      <c r="F88" s="1"/>
      <c r="G88" s="1"/>
      <c r="H88" s="1"/>
      <c r="I88" s="1"/>
      <c r="J88" s="1"/>
      <c r="K88" s="1"/>
      <c r="L88" s="1"/>
      <c r="M88" s="1"/>
      <c r="N88" s="1"/>
    </row>
    <row r="89">
      <c r="A89" s="16" t="s">
        <v>951</v>
      </c>
      <c r="B89" s="1"/>
      <c r="C89" s="47"/>
      <c r="D89" s="1"/>
      <c r="E89" s="1"/>
      <c r="F89" s="1"/>
      <c r="G89" s="1"/>
      <c r="H89" s="1"/>
      <c r="I89" s="1"/>
      <c r="J89" s="1"/>
      <c r="K89" s="1"/>
      <c r="L89" s="1"/>
      <c r="M89" s="1"/>
      <c r="N89" s="1" t="s">
        <v>952</v>
      </c>
    </row>
    <row r="90">
      <c r="A90" s="6" t="s">
        <v>953</v>
      </c>
      <c r="B90" s="8"/>
      <c r="C90" s="17">
        <f>Assumptions!$C$54*MAX(0,1-0.75/Assumptions!$C$55)</f>
        <v>3707.15625</v>
      </c>
      <c r="D90" s="8">
        <f>C92</f>
        <v>3328.875</v>
      </c>
      <c r="E90" s="8">
        <f>D92</f>
        <v>1815.75</v>
      </c>
      <c r="F90" s="8">
        <f>E92</f>
        <v>302.625</v>
      </c>
      <c r="G90" s="8">
        <f>F92</f>
        <v>0</v>
      </c>
      <c r="H90" s="8">
        <f>G92</f>
        <v>0</v>
      </c>
      <c r="I90" s="8">
        <f>H92</f>
        <v>0</v>
      </c>
      <c r="J90" s="8">
        <f>I92</f>
        <v>0</v>
      </c>
      <c r="K90" s="8">
        <f>J92</f>
        <v>0</v>
      </c>
      <c r="L90" s="8">
        <f>K92</f>
        <v>0</v>
      </c>
      <c r="M90" s="1"/>
      <c r="N90" s="1" t="s">
        <v>954</v>
      </c>
    </row>
    <row r="91">
      <c r="A91" s="28" t="s">
        <v>955</v>
      </c>
      <c r="B91" s="8"/>
      <c r="C91" s="17">
        <f>MIN(C90,Assumptions!$C$54/Assumptions!$C$55/4)</f>
        <v>378.28125</v>
      </c>
      <c r="D91" s="8">
        <f>MIN(D90,Assumptions!$C$54/Assumptions!$C$55)</f>
        <v>1513.125</v>
      </c>
      <c r="E91" s="8">
        <f>MIN(E90,Assumptions!$C$54/Assumptions!$C$55)</f>
        <v>1513.125</v>
      </c>
      <c r="F91" s="8">
        <f>MIN(F90,Assumptions!$C$54/Assumptions!$C$55)</f>
        <v>302.625</v>
      </c>
      <c r="G91" s="8">
        <f>MIN(G90,Assumptions!$C$54/Assumptions!$C$55)</f>
        <v>0</v>
      </c>
      <c r="H91" s="8">
        <f>MIN(H90,Assumptions!$C$54/Assumptions!$C$55)</f>
        <v>0</v>
      </c>
      <c r="I91" s="8">
        <f>MIN(I90,Assumptions!$C$54/Assumptions!$C$55)</f>
        <v>0</v>
      </c>
      <c r="J91" s="8">
        <f>MIN(J90,Assumptions!$C$54/Assumptions!$C$55)</f>
        <v>0</v>
      </c>
      <c r="K91" s="8">
        <f>MIN(K90,Assumptions!$C$54/Assumptions!$C$55)</f>
        <v>0</v>
      </c>
      <c r="L91" s="8">
        <f>MIN(L90,Assumptions!$C$54/Assumptions!$C$55)</f>
        <v>0</v>
      </c>
      <c r="M91" s="1"/>
      <c r="N91" s="1"/>
    </row>
    <row r="92">
      <c r="A92" s="28" t="s">
        <v>956</v>
      </c>
      <c r="B92" s="8"/>
      <c r="C92" s="17">
        <f>C90-C91</f>
        <v>3328.875</v>
      </c>
      <c r="D92" s="8">
        <f>D90-D91</f>
        <v>1815.75</v>
      </c>
      <c r="E92" s="8">
        <f>E90-E91</f>
        <v>302.625</v>
      </c>
      <c r="F92" s="8">
        <f>F90-F91</f>
        <v>0</v>
      </c>
      <c r="G92" s="8">
        <f>G90-G91</f>
        <v>0</v>
      </c>
      <c r="H92" s="8">
        <f>H90-H91</f>
        <v>0</v>
      </c>
      <c r="I92" s="8">
        <f>I90-I91</f>
        <v>0</v>
      </c>
      <c r="J92" s="8">
        <f>J90-J91</f>
        <v>0</v>
      </c>
      <c r="K92" s="8">
        <f>K90-K91</f>
        <v>0</v>
      </c>
      <c r="L92" s="8">
        <f>L90-L91</f>
        <v>0</v>
      </c>
      <c r="M92" s="1"/>
      <c r="N92" s="1"/>
    </row>
    <row r="93">
      <c r="A93" s="6" t="s">
        <v>957</v>
      </c>
      <c r="B93" s="8"/>
      <c r="C93" s="17">
        <f>Assumptions!$C$56-Assumptions!$C$57</f>
        <v>22159</v>
      </c>
      <c r="D93" s="8">
        <f>C95</f>
        <v>20180.51785714286</v>
      </c>
      <c r="E93" s="8">
        <f>D95</f>
        <v>12266.589285714286</v>
      </c>
      <c r="F93" s="8">
        <f>E95</f>
        <v>4352.660714285715</v>
      </c>
      <c r="G93" s="8">
        <f>F95</f>
        <v>0</v>
      </c>
      <c r="H93" s="8">
        <f>G95</f>
        <v>0</v>
      </c>
      <c r="I93" s="8">
        <f>H95</f>
        <v>0</v>
      </c>
      <c r="J93" s="8">
        <f>I95</f>
        <v>0</v>
      </c>
      <c r="K93" s="8">
        <f>J95</f>
        <v>0</v>
      </c>
      <c r="L93" s="8">
        <f>K95</f>
        <v>0</v>
      </c>
      <c r="M93" s="1"/>
      <c r="N93" s="1" t="s">
        <v>958</v>
      </c>
    </row>
    <row r="94">
      <c r="A94" s="28" t="s">
        <v>955</v>
      </c>
      <c r="B94" s="8"/>
      <c r="C94" s="17">
        <f>MIN(C93,$C$93/Assumptions!$C$58/4)</f>
        <v>1978.482142857143</v>
      </c>
      <c r="D94" s="8">
        <f>MIN(D93,$C$93/Assumptions!$C$58)</f>
        <v>7913.928571428572</v>
      </c>
      <c r="E94" s="8">
        <f>MIN(E93,$C$93/Assumptions!$C$58)</f>
        <v>7913.928571428572</v>
      </c>
      <c r="F94" s="8">
        <f>MIN(F93,$C$93/Assumptions!$C$58)</f>
        <v>4352.660714285715</v>
      </c>
      <c r="G94" s="8">
        <f>MIN(G93,$C$93/Assumptions!$C$58)</f>
        <v>0</v>
      </c>
      <c r="H94" s="8">
        <f>MIN(H93,$C$93/Assumptions!$C$58)</f>
        <v>0</v>
      </c>
      <c r="I94" s="8">
        <f>MIN(I93,$C$93/Assumptions!$C$58)</f>
        <v>0</v>
      </c>
      <c r="J94" s="8">
        <f>MIN(J93,$C$93/Assumptions!$C$58)</f>
        <v>0</v>
      </c>
      <c r="K94" s="8">
        <f>MIN(K93,$C$93/Assumptions!$C$58)</f>
        <v>0</v>
      </c>
      <c r="L94" s="8">
        <f>MIN(L93,$C$93/Assumptions!$C$58)</f>
        <v>0</v>
      </c>
      <c r="M94" s="1"/>
      <c r="N94" s="1"/>
    </row>
    <row r="95">
      <c r="A95" s="28" t="s">
        <v>956</v>
      </c>
      <c r="B95" s="8"/>
      <c r="C95" s="17">
        <f>C93-C94</f>
        <v>20180.51785714286</v>
      </c>
      <c r="D95" s="8">
        <f>D93-D94</f>
        <v>12266.589285714286</v>
      </c>
      <c r="E95" s="8">
        <f>E93-E94</f>
        <v>4352.660714285715</v>
      </c>
      <c r="F95" s="8">
        <f>F93-F94</f>
        <v>0</v>
      </c>
      <c r="G95" s="8">
        <f>G93-G94</f>
        <v>0</v>
      </c>
      <c r="H95" s="8">
        <f>H93-H94</f>
        <v>0</v>
      </c>
      <c r="I95" s="8">
        <f>I93-I94</f>
        <v>0</v>
      </c>
      <c r="J95" s="8">
        <f>J93-J94</f>
        <v>0</v>
      </c>
      <c r="K95" s="8">
        <f>K93-K94</f>
        <v>0</v>
      </c>
      <c r="L95" s="8">
        <f>L93-L94</f>
        <v>0</v>
      </c>
      <c r="M95" s="1"/>
      <c r="N95" s="1"/>
    </row>
    <row r="96">
      <c r="A96" s="16" t="s">
        <v>959</v>
      </c>
      <c r="B96" s="12"/>
      <c r="C96" s="37">
        <f>C91+C94</f>
        <v>2356.763392857143</v>
      </c>
      <c r="D96" s="12">
        <f>D91+D94</f>
        <v>9427.053571428572</v>
      </c>
      <c r="E96" s="12">
        <f>E91+E94</f>
        <v>9427.053571428572</v>
      </c>
      <c r="F96" s="12">
        <f>F91+F94</f>
        <v>4655.285714285715</v>
      </c>
      <c r="G96" s="12">
        <f>G91+G94</f>
        <v>0</v>
      </c>
      <c r="H96" s="12">
        <f>H91+H94</f>
        <v>0</v>
      </c>
      <c r="I96" s="12">
        <f>I91+I94</f>
        <v>0</v>
      </c>
      <c r="J96" s="12">
        <f>J91+J94</f>
        <v>0</v>
      </c>
      <c r="K96" s="12">
        <f>K91+K94</f>
        <v>0</v>
      </c>
      <c r="L96" s="12">
        <f>L91+L94</f>
        <v>0</v>
      </c>
      <c r="M96" s="1"/>
      <c r="N96" s="1"/>
    </row>
    <row r="97">
      <c r="A97" s="6" t="s">
        <v>960</v>
      </c>
      <c r="B97" s="8"/>
      <c r="C97" s="17">
        <f>Interim_Bridge!C25*Assumptions!$C$64</f>
        <v>599.9963733196461</v>
      </c>
      <c r="D97" s="8">
        <f>Forecast_3Stmt!D10*Assumptions!$C$64</f>
        <v>2879.613875248828</v>
      </c>
      <c r="E97" s="8">
        <f>Forecast_3Stmt!E10*Assumptions!$C$64</f>
        <v>4008.348415629699</v>
      </c>
      <c r="F97" s="8">
        <f>Forecast_3Stmt!F10*Assumptions!$C$64</f>
        <v>5147.653788154647</v>
      </c>
      <c r="G97" s="8">
        <f>Forecast_3Stmt!G10*Assumptions!$C$64</f>
        <v>6257.820964471359</v>
      </c>
      <c r="H97" s="8">
        <f>Forecast_3Stmt!H10*Assumptions!$C$64</f>
        <v>7279.558096316608</v>
      </c>
      <c r="I97" s="8">
        <f>Forecast_3Stmt!I10*Assumptions!$C$64</f>
        <v>8158.789189687921</v>
      </c>
      <c r="J97" s="8">
        <f>Forecast_3Stmt!J10*Assumptions!$C$64</f>
        <v>8913.4929141245</v>
      </c>
      <c r="K97" s="8">
        <f>Forecast_3Stmt!K10*Assumptions!$C$64</f>
        <v>9534.061432462522</v>
      </c>
      <c r="L97" s="8">
        <f>Forecast_3Stmt!L10*Assumptions!$C$64</f>
        <v>10040.468359382206</v>
      </c>
      <c r="M97" s="1"/>
      <c r="N97" s="1"/>
    </row>
    <row r="98">
      <c r="A98" s="36" t="s">
        <v>961</v>
      </c>
      <c r="B98" s="33"/>
      <c r="C98" s="53">
        <f>C96+C97</f>
        <v>2956.759766176789</v>
      </c>
      <c r="D98" s="33">
        <f>D96+D97</f>
        <v>12306.6674466774</v>
      </c>
      <c r="E98" s="33">
        <f>E96+E97</f>
        <v>13435.40198705827</v>
      </c>
      <c r="F98" s="33">
        <f>F96+F97</f>
        <v>9802.939502440362</v>
      </c>
      <c r="G98" s="33">
        <f>G96+G97</f>
        <v>6257.820964471359</v>
      </c>
      <c r="H98" s="33">
        <f>H96+H97</f>
        <v>7279.558096316608</v>
      </c>
      <c r="I98" s="33">
        <f>I96+I97</f>
        <v>8158.789189687921</v>
      </c>
      <c r="J98" s="33">
        <f>J96+J97</f>
        <v>8913.4929141245</v>
      </c>
      <c r="K98" s="33">
        <f>K96+K97</f>
        <v>9534.061432462522</v>
      </c>
      <c r="L98" s="33">
        <f>L96+L97</f>
        <v>10040.468359382206</v>
      </c>
      <c r="M98" s="1"/>
      <c r="N98" s="1" t="s">
        <v>962</v>
      </c>
    </row>
    <row r="99">
      <c r="A99" s="1"/>
      <c r="B99" s="1"/>
      <c r="C99" s="47"/>
      <c r="D99" s="1"/>
      <c r="E99" s="1"/>
      <c r="F99" s="1"/>
      <c r="G99" s="1"/>
      <c r="H99" s="1"/>
      <c r="I99" s="1"/>
      <c r="J99" s="1"/>
      <c r="K99" s="1"/>
      <c r="L99" s="1"/>
      <c r="M99" s="1"/>
      <c r="N99" s="1"/>
    </row>
    <row r="100">
      <c r="A100" s="16" t="s">
        <v>963</v>
      </c>
      <c r="B100" s="1"/>
      <c r="C100" s="47"/>
      <c r="D100" s="1"/>
      <c r="E100" s="1"/>
      <c r="F100" s="1"/>
      <c r="G100" s="1"/>
      <c r="H100" s="1"/>
      <c r="I100" s="1"/>
      <c r="J100" s="1"/>
      <c r="K100" s="1"/>
      <c r="L100" s="1"/>
      <c r="M100" s="1"/>
      <c r="N100" s="1" t="s">
        <v>964</v>
      </c>
    </row>
    <row r="101">
      <c r="A101" s="6" t="s">
        <v>810</v>
      </c>
      <c r="B101" s="8"/>
      <c r="C101" s="17"/>
      <c r="D101" s="9">
        <f>Forecast_3Stmt!D16</f>
        <v>11759.656454492486</v>
      </c>
      <c r="E101" s="9">
        <f>Forecast_3Stmt!E16</f>
        <v>19326.29347337871</v>
      </c>
      <c r="F101" s="9">
        <f>Forecast_3Stmt!F16</f>
        <v>31599.567094454236</v>
      </c>
      <c r="G101" s="9">
        <f>Forecast_3Stmt!G16</f>
        <v>44990.75397756432</v>
      </c>
      <c r="H101" s="9">
        <f>Forecast_3Stmt!H16</f>
        <v>52618.02008790541</v>
      </c>
      <c r="I101" s="9">
        <f>Forecast_3Stmt!I16</f>
        <v>57551.63678866381</v>
      </c>
      <c r="J101" s="9">
        <f>Forecast_3Stmt!J16</f>
        <v>67041.69313468598</v>
      </c>
      <c r="K101" s="9">
        <f>Forecast_3Stmt!K16</f>
        <v>80445.63747126654</v>
      </c>
      <c r="L101" s="9">
        <f>Forecast_3Stmt!L16</f>
        <v>87829.94127676959</v>
      </c>
      <c r="M101" s="1"/>
      <c r="N101" s="1"/>
    </row>
    <row r="102">
      <c r="A102" s="6" t="s">
        <v>811</v>
      </c>
      <c r="B102" s="8"/>
      <c r="C102" s="17"/>
      <c r="D102" s="8">
        <f>-IF(AND(D53&gt;0,D101&gt;0),D70*D101/D53,0)</f>
        <v>-220.31451168227957</v>
      </c>
      <c r="E102" s="8">
        <f>-IF(AND(E53&gt;0,E101&gt;0),E70*E101/E53,0)</f>
        <v>-1111.261874719276</v>
      </c>
      <c r="F102" s="8">
        <f>-IF(AND(F53&gt;0,F101&gt;0),F70*F101/F53,0)</f>
        <v>-6492.1830270976325</v>
      </c>
      <c r="G102" s="8">
        <f>-IF(AND(G53&gt;0,G101&gt;0),G70*G101/G53,0)</f>
        <v>-9673.012105176327</v>
      </c>
      <c r="H102" s="8">
        <f>-IF(AND(H53&gt;0,H101&gt;0),H70*H101/H53,0)</f>
        <v>-11478.828482255474</v>
      </c>
      <c r="I102" s="8">
        <f>-IF(AND(I53&gt;0,I101&gt;0),I70*I101/I53,0)</f>
        <v>-13236.876461392676</v>
      </c>
      <c r="J102" s="8">
        <f>-IF(AND(J53&gt;0,J101&gt;0),J70*J101/J53,0)</f>
        <v>-15419.589420977778</v>
      </c>
      <c r="K102" s="8">
        <f>-IF(AND(K53&gt;0,K101&gt;0),K70*K101/K53,0)</f>
        <v>-18502.496618391302</v>
      </c>
      <c r="L102" s="8">
        <f>-IF(AND(L53&gt;0,L101&gt;0),L70*L101/L53,0)</f>
        <v>-20200.88649365701</v>
      </c>
      <c r="M102" s="1"/>
      <c r="N102" s="1" t="s">
        <v>965</v>
      </c>
    </row>
    <row r="103">
      <c r="A103" s="16" t="s">
        <v>966</v>
      </c>
      <c r="B103" s="12"/>
      <c r="C103" s="37"/>
      <c r="D103" s="12">
        <f>D101+D102</f>
        <v>11539.341942810206</v>
      </c>
      <c r="E103" s="12">
        <f>E101+E102</f>
        <v>18215.031598659436</v>
      </c>
      <c r="F103" s="12">
        <f>F101+F102</f>
        <v>25107.384067356605</v>
      </c>
      <c r="G103" s="12">
        <f>G101+G102</f>
        <v>35317.741872388</v>
      </c>
      <c r="H103" s="12">
        <f>H101+H102</f>
        <v>41139.19160564993</v>
      </c>
      <c r="I103" s="12">
        <f>I101+I102</f>
        <v>44314.760327271135</v>
      </c>
      <c r="J103" s="12">
        <f>J101+J102</f>
        <v>51622.1037137082</v>
      </c>
      <c r="K103" s="12">
        <f>K101+K102</f>
        <v>61943.140852875236</v>
      </c>
      <c r="L103" s="12">
        <f>L101+L102</f>
        <v>67629.05478311257</v>
      </c>
      <c r="M103" s="1"/>
      <c r="N103" s="1"/>
    </row>
    <row r="104">
      <c r="A104" s="6" t="s">
        <v>190</v>
      </c>
      <c r="B104" s="8"/>
      <c r="C104" s="17"/>
      <c r="D104" s="8">
        <f>D23</f>
        <v>23870.160329229813</v>
      </c>
      <c r="E104" s="8">
        <f>E23</f>
        <v>35175.607094955485</v>
      </c>
      <c r="F104" s="8">
        <f>F23</f>
        <v>46432.0598734465</v>
      </c>
      <c r="G104" s="8">
        <f>G23</f>
        <v>56577.22596383865</v>
      </c>
      <c r="H104" s="8">
        <f>H23</f>
        <v>65947.09074485223</v>
      </c>
      <c r="I104" s="8">
        <f>I23</f>
        <v>75625.06378447515</v>
      </c>
      <c r="J104" s="8">
        <f>J23</f>
        <v>78607.48236676551</v>
      </c>
      <c r="K104" s="8">
        <f>K23</f>
        <v>75472.03210249747</v>
      </c>
      <c r="L104" s="8">
        <f>L23</f>
        <v>76454.48305578937</v>
      </c>
      <c r="M104" s="1"/>
      <c r="N104" s="1"/>
    </row>
    <row r="105">
      <c r="A105" s="6" t="s">
        <v>812</v>
      </c>
      <c r="B105" s="8"/>
      <c r="C105" s="17"/>
      <c r="D105" s="8">
        <f>D96</f>
        <v>9427.053571428572</v>
      </c>
      <c r="E105" s="8">
        <f>E96</f>
        <v>9427.053571428572</v>
      </c>
      <c r="F105" s="8">
        <f>F96</f>
        <v>4655.285714285715</v>
      </c>
      <c r="G105" s="8">
        <f>G96</f>
        <v>0</v>
      </c>
      <c r="H105" s="8">
        <f>H96</f>
        <v>0</v>
      </c>
      <c r="I105" s="8">
        <f>I96</f>
        <v>0</v>
      </c>
      <c r="J105" s="8">
        <f>J96</f>
        <v>0</v>
      </c>
      <c r="K105" s="8">
        <f>K96</f>
        <v>0</v>
      </c>
      <c r="L105" s="8">
        <f>L96</f>
        <v>0</v>
      </c>
      <c r="M105" s="1"/>
      <c r="N105" s="1"/>
    </row>
    <row r="106">
      <c r="A106" s="6" t="s">
        <v>967</v>
      </c>
      <c r="B106" s="8"/>
      <c r="C106" s="17"/>
      <c r="D106" s="8">
        <f>-Segments_Fcst!D48</f>
        <v>-76207.67472086957</v>
      </c>
      <c r="E106" s="8">
        <f>-Segments_Fcst!E48</f>
        <v>-78632.50722210144</v>
      </c>
      <c r="F106" s="8">
        <f>-Segments_Fcst!F48</f>
        <v>-74382.02056280868</v>
      </c>
      <c r="G106" s="8">
        <f>-Segments_Fcst!G48</f>
        <v>-71722.05105539857</v>
      </c>
      <c r="H106" s="8">
        <f>-Segments_Fcst!H48</f>
        <v>-71859.5431833087</v>
      </c>
      <c r="I106" s="8">
        <f>-Segments_Fcst!I48</f>
        <v>-69313.5762195042</v>
      </c>
      <c r="J106" s="8">
        <f>-Segments_Fcst!J48</f>
        <v>-83800.79154637048</v>
      </c>
      <c r="K106" s="8">
        <f>-Segments_Fcst!K48</f>
        <v>-81732.09073871635</v>
      </c>
      <c r="L106" s="8">
        <f>-Segments_Fcst!L48</f>
        <v>-80353.63326955272</v>
      </c>
      <c r="M106" s="1"/>
      <c r="N106" s="1"/>
    </row>
    <row r="107">
      <c r="A107" s="6" t="s">
        <v>968</v>
      </c>
      <c r="B107" s="8"/>
      <c r="C107" s="17"/>
      <c r="D107" s="8">
        <f>-D36</f>
        <v>-17328</v>
      </c>
      <c r="E107" s="8">
        <f>-E36</f>
        <v>0</v>
      </c>
      <c r="F107" s="8">
        <f>-F36</f>
        <v>0</v>
      </c>
      <c r="G107" s="8">
        <f>-G36</f>
        <v>0</v>
      </c>
      <c r="H107" s="8">
        <f>-H36</f>
        <v>0</v>
      </c>
      <c r="I107" s="8">
        <f>-I36</f>
        <v>0</v>
      </c>
      <c r="J107" s="8">
        <f>-J36</f>
        <v>0</v>
      </c>
      <c r="K107" s="8">
        <f>-K36</f>
        <v>0</v>
      </c>
      <c r="L107" s="8">
        <f>-L36</f>
        <v>0</v>
      </c>
      <c r="M107" s="1"/>
      <c r="N107" s="1"/>
    </row>
    <row r="108">
      <c r="A108" s="6" t="s">
        <v>814</v>
      </c>
      <c r="B108" s="8"/>
      <c r="C108" s="17"/>
      <c r="D108" s="8">
        <f>D87</f>
        <v>-7133.873042887775</v>
      </c>
      <c r="E108" s="8">
        <f>E87</f>
        <v>8116.592428882683</v>
      </c>
      <c r="F108" s="8">
        <f>F87</f>
        <v>987.1556257919583</v>
      </c>
      <c r="G108" s="8">
        <f>G87</f>
        <v>848.7593466738035</v>
      </c>
      <c r="H108" s="8">
        <f>H87</f>
        <v>-283.74879412036535</v>
      </c>
      <c r="I108" s="8">
        <f>I87</f>
        <v>2486.6674354270435</v>
      </c>
      <c r="J108" s="8">
        <f>J87</f>
        <v>4322.902679062863</v>
      </c>
      <c r="K108" s="8">
        <f>K87</f>
        <v>1725.4056747564173</v>
      </c>
      <c r="L108" s="8">
        <f>L87</f>
        <v>1450.1364067030809</v>
      </c>
      <c r="M108" s="1"/>
      <c r="N108" s="1"/>
    </row>
    <row r="109">
      <c r="A109" s="67" t="s">
        <v>969</v>
      </c>
      <c r="B109" s="32"/>
      <c r="C109" s="68"/>
      <c r="D109" s="32">
        <f>D103+D104+D105+D106+D107+D108</f>
        <v>-55832.99192028876</v>
      </c>
      <c r="E109" s="32">
        <f>E103+E104+E105+E106+E107+E108</f>
        <v>-7698.222528175265</v>
      </c>
      <c r="F109" s="32">
        <f>F103+F104+F105+F106+F107+F108</f>
        <v>2799.8647180720873</v>
      </c>
      <c r="G109" s="32">
        <f>G103+G104+G105+G106+G107+G108</f>
        <v>21021.676127501894</v>
      </c>
      <c r="H109" s="32">
        <f>H103+H104+H105+H106+H107+H108</f>
        <v>34942.990373073095</v>
      </c>
      <c r="I109" s="32">
        <f>I103+I104+I105+I106+I107+I108</f>
        <v>53112.915327669114</v>
      </c>
      <c r="J109" s="32">
        <f>J103+J104+J105+J106+J107+J108</f>
        <v>50751.697213166095</v>
      </c>
      <c r="K109" s="32">
        <f>K103+K104+K105+K106+K107+K108</f>
        <v>57408.48789141279</v>
      </c>
      <c r="L109" s="32">
        <f>L103+L104+L105+L106+L107+L108</f>
        <v>65180.0409760523</v>
      </c>
      <c r="M109" s="1"/>
      <c r="N109" s="1"/>
    </row>
    <row r="110">
      <c r="A110" s="54" t="s">
        <v>970</v>
      </c>
      <c r="B110" s="10"/>
      <c r="C110" s="24"/>
      <c r="D110" s="10">
        <f>D109/Forecast_3Stmt!D10</f>
        <v>-0.6786169263895659</v>
      </c>
      <c r="E110" s="10">
        <f>E109/Forecast_3Stmt!E10</f>
        <v>-0.06721915376306091</v>
      </c>
      <c r="F110" s="10">
        <f>F109/Forecast_3Stmt!F10</f>
        <v>0.019036879550451045</v>
      </c>
      <c r="G110" s="10">
        <f>G109/Forecast_3Stmt!G10</f>
        <v>0.117574259257307</v>
      </c>
      <c r="H110" s="10">
        <f>H109/Forecast_3Stmt!H10</f>
        <v>0.16800534412609303</v>
      </c>
      <c r="I110" s="10">
        <f>I109/Forecast_3Stmt!I10</f>
        <v>0.22784655826357064</v>
      </c>
      <c r="J110" s="10">
        <f>J109/Forecast_3Stmt!J10</f>
        <v>0.1992832012741086</v>
      </c>
      <c r="K110" s="10">
        <f>K109/Forecast_3Stmt!K10</f>
        <v>0.21074933179662478</v>
      </c>
      <c r="L110" s="10">
        <f>L109/Forecast_3Stmt!L10</f>
        <v>0.22721065915516714</v>
      </c>
      <c r="M110" s="1"/>
      <c r="N110" s="1"/>
    </row>
    <row r="111">
      <c r="A111" s="1"/>
      <c r="B111" s="1"/>
      <c r="C111" s="47"/>
      <c r="D111" s="1"/>
      <c r="E111" s="1"/>
      <c r="F111" s="1"/>
      <c r="G111" s="1"/>
      <c r="H111" s="1"/>
      <c r="I111" s="1"/>
      <c r="J111" s="1"/>
      <c r="K111" s="1"/>
      <c r="L111" s="1"/>
      <c r="M111" s="1"/>
      <c r="N111" s="1"/>
    </row>
    <row r="112">
      <c r="A112" s="16" t="s">
        <v>971</v>
      </c>
      <c r="B112" s="1"/>
      <c r="C112" s="47"/>
      <c r="D112" s="1"/>
      <c r="E112" s="1"/>
      <c r="F112" s="1"/>
      <c r="G112" s="1"/>
      <c r="H112" s="1"/>
      <c r="I112" s="1"/>
      <c r="J112" s="1"/>
      <c r="K112" s="1"/>
      <c r="L112" s="1"/>
      <c r="M112" s="1"/>
      <c r="N112" s="1"/>
    </row>
    <row r="113">
      <c r="A113" s="6" t="s">
        <v>972</v>
      </c>
      <c r="B113" s="1"/>
      <c r="C113" s="57">
        <f>C53-Forecast_3Stmt!C21</f>
        <v>0</v>
      </c>
      <c r="D113" s="14">
        <f>D53-Forecast_3Stmt!D21</f>
        <v>0</v>
      </c>
      <c r="E113" s="14">
        <f>E53-Forecast_3Stmt!E21</f>
        <v>0</v>
      </c>
      <c r="F113" s="14">
        <f>F53-Forecast_3Stmt!F21</f>
        <v>0</v>
      </c>
      <c r="G113" s="14">
        <f>G53-Forecast_3Stmt!G21</f>
        <v>0</v>
      </c>
      <c r="H113" s="14">
        <f>H53-Forecast_3Stmt!H21</f>
        <v>0</v>
      </c>
      <c r="I113" s="14">
        <f>I53-Forecast_3Stmt!I21</f>
        <v>0</v>
      </c>
      <c r="J113" s="14">
        <f>J53-Forecast_3Stmt!J21</f>
        <v>0</v>
      </c>
      <c r="K113" s="14">
        <f>K53-Forecast_3Stmt!K21</f>
        <v>0</v>
      </c>
      <c r="L113" s="14">
        <f>L53-Forecast_3Stmt!L21</f>
        <v>0</v>
      </c>
      <c r="M113" s="1"/>
      <c r="N113" s="1"/>
    </row>
    <row r="114">
      <c r="A114" s="6" t="s">
        <v>973</v>
      </c>
      <c r="B114" s="1"/>
      <c r="C114" s="57">
        <f>C70-Forecast_3Stmt!C22</f>
        <v>0</v>
      </c>
      <c r="D114" s="14">
        <f>D70-Forecast_3Stmt!D22</f>
        <v>0</v>
      </c>
      <c r="E114" s="14">
        <f>E70-Forecast_3Stmt!E22</f>
        <v>0</v>
      </c>
      <c r="F114" s="14">
        <f>F70-Forecast_3Stmt!F22</f>
        <v>0</v>
      </c>
      <c r="G114" s="14">
        <f>G70-Forecast_3Stmt!G22</f>
        <v>0</v>
      </c>
      <c r="H114" s="14">
        <f>H70-Forecast_3Stmt!H22</f>
        <v>0</v>
      </c>
      <c r="I114" s="14">
        <f>I70-Forecast_3Stmt!I22</f>
        <v>0</v>
      </c>
      <c r="J114" s="14">
        <f>J70-Forecast_3Stmt!J22</f>
        <v>0</v>
      </c>
      <c r="K114" s="14">
        <f>K70-Forecast_3Stmt!K22</f>
        <v>0</v>
      </c>
      <c r="L114" s="14">
        <f>L70-Forecast_3Stmt!L22</f>
        <v>0</v>
      </c>
      <c r="M114" s="1"/>
      <c r="N114" s="1"/>
    </row>
    <row r="115">
      <c r="A115" s="6" t="s">
        <v>974</v>
      </c>
      <c r="B115" s="1"/>
      <c r="C115" s="57">
        <f>C87-Forecast_3Stmt!C55</f>
        <v>0</v>
      </c>
      <c r="D115" s="14">
        <f>D87-Forecast_3Stmt!D55</f>
        <v>0</v>
      </c>
      <c r="E115" s="14">
        <f>E87-Forecast_3Stmt!E55</f>
        <v>0</v>
      </c>
      <c r="F115" s="14">
        <f>F87-Forecast_3Stmt!F55</f>
        <v>0</v>
      </c>
      <c r="G115" s="14">
        <f>G87-Forecast_3Stmt!G55</f>
        <v>0</v>
      </c>
      <c r="H115" s="14">
        <f>H87-Forecast_3Stmt!H55</f>
        <v>0</v>
      </c>
      <c r="I115" s="14">
        <f>I87-Forecast_3Stmt!I55</f>
        <v>0</v>
      </c>
      <c r="J115" s="14">
        <f>J87-Forecast_3Stmt!J55</f>
        <v>0</v>
      </c>
      <c r="K115" s="14">
        <f>K87-Forecast_3Stmt!K55</f>
        <v>0</v>
      </c>
      <c r="L115" s="14">
        <f>L87-Forecast_3Stmt!L55</f>
        <v>0</v>
      </c>
      <c r="M115" s="1"/>
      <c r="N115" s="1"/>
    </row>
    <row r="116">
      <c r="A116" s="6" t="s">
        <v>975</v>
      </c>
      <c r="B116" s="1"/>
      <c r="C116" s="57">
        <f>C23-Forecast_3Stmt!C13</f>
        <v>0</v>
      </c>
      <c r="D116" s="14">
        <f>D23-Forecast_3Stmt!D13</f>
        <v>0</v>
      </c>
      <c r="E116" s="14">
        <f>E23-Forecast_3Stmt!E13</f>
        <v>0</v>
      </c>
      <c r="F116" s="14">
        <f>F23-Forecast_3Stmt!F13</f>
        <v>0</v>
      </c>
      <c r="G116" s="14">
        <f>G23-Forecast_3Stmt!G13</f>
        <v>0</v>
      </c>
      <c r="H116" s="14">
        <f>H23-Forecast_3Stmt!H13</f>
        <v>0</v>
      </c>
      <c r="I116" s="14">
        <f>I23-Forecast_3Stmt!I13</f>
        <v>0</v>
      </c>
      <c r="J116" s="14">
        <f>J23-Forecast_3Stmt!J13</f>
        <v>0</v>
      </c>
      <c r="K116" s="14">
        <f>K23-Forecast_3Stmt!K13</f>
        <v>0</v>
      </c>
      <c r="L116" s="14">
        <f>L23-Forecast_3Stmt!L13</f>
        <v>0</v>
      </c>
      <c r="M116" s="1"/>
      <c r="N116" s="1"/>
    </row>
    <row r="117">
      <c r="A117" s="6" t="s">
        <v>976</v>
      </c>
      <c r="B117" s="1"/>
      <c r="C117" s="57">
        <f>C24-Forecast_3Stmt!C32</f>
        <v>0</v>
      </c>
      <c r="D117" s="14">
        <f>D24-Forecast_3Stmt!D32</f>
        <v>0</v>
      </c>
      <c r="E117" s="14">
        <f>E24-Forecast_3Stmt!E32</f>
        <v>0</v>
      </c>
      <c r="F117" s="14">
        <f>F24-Forecast_3Stmt!F32</f>
        <v>0</v>
      </c>
      <c r="G117" s="14">
        <f>G24-Forecast_3Stmt!G32</f>
        <v>0</v>
      </c>
      <c r="H117" s="14">
        <f>H24-Forecast_3Stmt!H32</f>
        <v>0</v>
      </c>
      <c r="I117" s="14">
        <f>I24-Forecast_3Stmt!I32</f>
        <v>0</v>
      </c>
      <c r="J117" s="14">
        <f>J24-Forecast_3Stmt!J32</f>
        <v>0</v>
      </c>
      <c r="K117" s="14">
        <f>K24-Forecast_3Stmt!K32</f>
        <v>0</v>
      </c>
      <c r="L117" s="14">
        <f>L24-Forecast_3Stmt!L32</f>
        <v>0</v>
      </c>
      <c r="M117" s="1"/>
      <c r="N117" s="1"/>
    </row>
    <row r="118">
      <c r="A118" s="6" t="s">
        <v>977</v>
      </c>
      <c r="B118" s="1"/>
      <c r="C118" s="57">
        <f>C98-Interim_Bridge!C33</f>
        <v>0</v>
      </c>
      <c r="D118" s="14">
        <f>D98-Forecast_3Stmt!D14</f>
        <v>0</v>
      </c>
      <c r="E118" s="14">
        <f>E98-Forecast_3Stmt!E14</f>
        <v>0</v>
      </c>
      <c r="F118" s="14">
        <f>F98-Forecast_3Stmt!F14</f>
        <v>0</v>
      </c>
      <c r="G118" s="14">
        <f>G98-Forecast_3Stmt!G14</f>
        <v>0</v>
      </c>
      <c r="H118" s="14">
        <f>H98-Forecast_3Stmt!H14</f>
        <v>0</v>
      </c>
      <c r="I118" s="14">
        <f>I98-Forecast_3Stmt!I14</f>
        <v>0</v>
      </c>
      <c r="J118" s="14">
        <f>J98-Forecast_3Stmt!J14</f>
        <v>0</v>
      </c>
      <c r="K118" s="14">
        <f>K98-Forecast_3Stmt!K14</f>
        <v>0</v>
      </c>
      <c r="L118" s="14">
        <f>L98-Forecast_3Stmt!L14</f>
        <v>0</v>
      </c>
      <c r="M118" s="1"/>
      <c r="N118" s="1"/>
    </row>
    <row r="119">
      <c r="A119" s="6" t="s">
        <v>978</v>
      </c>
      <c r="B119" s="1"/>
      <c r="C119" s="47"/>
      <c r="D119" s="14">
        <f>MIN(0,D30)</f>
        <v>0</v>
      </c>
      <c r="E119" s="14">
        <f>MIN(0,E30)</f>
        <v>0</v>
      </c>
      <c r="F119" s="14">
        <f>MIN(0,F30)</f>
        <v>0</v>
      </c>
      <c r="G119" s="14">
        <f>MIN(0,G30)</f>
        <v>0</v>
      </c>
      <c r="H119" s="14">
        <f>MIN(0,H30)</f>
        <v>0</v>
      </c>
      <c r="I119" s="14">
        <f>MIN(0,I30)</f>
        <v>0</v>
      </c>
      <c r="J119" s="14">
        <f>MIN(0,J30)</f>
        <v>0</v>
      </c>
      <c r="K119" s="14">
        <f>MIN(0,K30)</f>
        <v>0</v>
      </c>
      <c r="L119" s="14">
        <f>MIN(0,L30)</f>
        <v>0</v>
      </c>
      <c r="M119" s="1"/>
      <c r="N119" s="1"/>
    </row>
  </sheetData>
</worksheet>
</file>

<file path=xl/worksheets/sheet14.xml><?xml version="1.0" encoding="utf-8"?>
<worksheet xmlns="http://schemas.openxmlformats.org/spreadsheetml/2006/main" xmlns:r="http://schemas.openxmlformats.org/officeDocument/2006/relationships">
  <sheetPr>
    <tabColor rgb="FF5A2331"/>
  </sheetPr>
  <dimension ref="A1:N80"/>
  <sheetViews>
    <sheetView showGridLines="0" workbookViewId="0"/>
  </sheetViews>
  <sheetFormatPr defaultColWidth="8.375" defaultRowHeight="15"/>
  <cols>
    <col min="1" max="1" width="92.70703125" customWidth="1"/>
    <col min="2" max="12" width="11.375" customWidth="1"/>
    <col min="13" max="13" width="17.70703125" customWidth="1"/>
    <col min="14" max="14" width="86.0390625" customWidth="1"/>
  </cols>
  <sheetData>
    <row r="1">
      <c r="A1" s="56" t="s">
        <v>979</v>
      </c>
      <c r="B1" s="1"/>
      <c r="C1" s="1"/>
      <c r="D1" s="1"/>
      <c r="E1" s="1"/>
      <c r="F1" s="1"/>
      <c r="G1" s="1"/>
      <c r="H1" s="1"/>
      <c r="I1" s="1"/>
      <c r="J1" s="1"/>
      <c r="K1" s="1"/>
      <c r="L1" s="1"/>
      <c r="M1" s="1"/>
      <c r="N1" s="1"/>
    </row>
    <row r="2">
      <c r="A2" s="1" t="s">
        <v>980</v>
      </c>
      <c r="B2" s="1"/>
      <c r="C2" s="1"/>
      <c r="D2" s="1"/>
      <c r="E2" s="1"/>
      <c r="F2" s="1"/>
      <c r="G2" s="1"/>
      <c r="H2" s="1"/>
      <c r="I2" s="1"/>
      <c r="J2" s="1"/>
      <c r="K2" s="1"/>
      <c r="L2" s="1"/>
      <c r="M2" s="1"/>
      <c r="N2" s="1"/>
    </row>
    <row r="3">
      <c r="A3" s="1"/>
      <c r="B3" s="1" t="s">
        <v>564</v>
      </c>
      <c r="C3" s="47" t="s">
        <v>565</v>
      </c>
      <c r="D3" s="1"/>
      <c r="E3" s="1"/>
      <c r="F3" s="1"/>
      <c r="G3" s="1"/>
      <c r="H3" s="1"/>
      <c r="I3" s="1"/>
      <c r="J3" s="1"/>
      <c r="K3" s="1"/>
      <c r="L3" s="1"/>
      <c r="M3" s="1"/>
      <c r="N3" s="1"/>
    </row>
    <row r="4">
      <c r="A4" s="4" t="s">
        <v>81</v>
      </c>
      <c r="B4" s="11" t="s">
        <v>566</v>
      </c>
      <c r="C4" s="107" t="s">
        <v>567</v>
      </c>
      <c r="D4" s="30" t="s">
        <v>568</v>
      </c>
      <c r="E4" s="30" t="s">
        <v>569</v>
      </c>
      <c r="F4" s="30" t="s">
        <v>570</v>
      </c>
      <c r="G4" s="30" t="s">
        <v>571</v>
      </c>
      <c r="H4" s="30" t="s">
        <v>572</v>
      </c>
      <c r="I4" s="30" t="s">
        <v>573</v>
      </c>
      <c r="J4" s="30" t="s">
        <v>574</v>
      </c>
      <c r="K4" s="30" t="s">
        <v>575</v>
      </c>
      <c r="L4" s="30" t="s">
        <v>576</v>
      </c>
      <c r="M4" s="40" t="s">
        <v>87</v>
      </c>
      <c r="N4" s="40" t="s">
        <v>88</v>
      </c>
    </row>
    <row r="5">
      <c r="A5" s="1"/>
      <c r="B5" s="1"/>
      <c r="C5" s="47"/>
      <c r="D5" s="1"/>
      <c r="E5" s="1"/>
      <c r="F5" s="1"/>
      <c r="G5" s="1"/>
      <c r="H5" s="1"/>
      <c r="I5" s="1"/>
      <c r="J5" s="1"/>
      <c r="K5" s="1"/>
      <c r="L5" s="1"/>
      <c r="M5" s="1"/>
      <c r="N5" s="1"/>
    </row>
    <row r="6">
      <c r="A6" s="16" t="s">
        <v>751</v>
      </c>
      <c r="B6" s="1"/>
      <c r="C6" s="47"/>
      <c r="D6" s="1"/>
      <c r="E6" s="1"/>
      <c r="F6" s="1"/>
      <c r="G6" s="1"/>
      <c r="H6" s="1"/>
      <c r="I6" s="1"/>
      <c r="J6" s="1"/>
      <c r="K6" s="1"/>
      <c r="L6" s="1"/>
      <c r="M6" s="1"/>
      <c r="N6" s="1"/>
    </row>
    <row r="7">
      <c r="A7" s="28" t="s">
        <v>981</v>
      </c>
      <c r="B7" s="9">
        <f>Segments_Fcst!B11</f>
        <v>4086</v>
      </c>
      <c r="C7" s="20">
        <f>Interim_Bridge!D11</f>
        <v>4929.9655172413795</v>
      </c>
      <c r="D7" s="9">
        <f>Segments_Fcst!D11</f>
        <v>5620.936551724138</v>
      </c>
      <c r="E7" s="9">
        <f>Segments_Fcst!E11</f>
        <v>6199.388468965517</v>
      </c>
      <c r="F7" s="9">
        <f>Segments_Fcst!F11</f>
        <v>6812.556558344828</v>
      </c>
      <c r="G7" s="9">
        <f>Segments_Fcst!G11</f>
        <v>7415.119026984828</v>
      </c>
      <c r="H7" s="9">
        <f>Segments_Fcst!H11</f>
        <v>7965.564741611133</v>
      </c>
      <c r="I7" s="9">
        <f>Segments_Fcst!I11</f>
        <v>8518.05201455316</v>
      </c>
      <c r="J7" s="9">
        <f>Segments_Fcst!J11</f>
        <v>9008.183100053284</v>
      </c>
      <c r="K7" s="9">
        <f>Segments_Fcst!K11</f>
        <v>9491.881191968365</v>
      </c>
      <c r="L7" s="9">
        <f>Segments_Fcst!L11</f>
        <v>9996.786708989464</v>
      </c>
      <c r="M7" s="1"/>
      <c r="N7" s="1"/>
    </row>
    <row r="8">
      <c r="A8" s="28" t="s">
        <v>982</v>
      </c>
      <c r="B8" s="9">
        <f>Segments_Fcst!B22</f>
        <v>11387</v>
      </c>
      <c r="C8" s="20">
        <f>Interim_Bridge!D18</f>
        <v>18604.285</v>
      </c>
      <c r="D8" s="9">
        <f>Segments_Fcst!D22</f>
        <v>27527.409717391303</v>
      </c>
      <c r="E8" s="9">
        <f>Segments_Fcst!E22</f>
        <v>36530.028888405795</v>
      </c>
      <c r="F8" s="9">
        <f>Segments_Fcst!F22</f>
        <v>46281.91164913043</v>
      </c>
      <c r="G8" s="9">
        <f>Segments_Fcst!G22</f>
        <v>56110.25527699274</v>
      </c>
      <c r="H8" s="9">
        <f>Segments_Fcst!H22</f>
        <v>65330.79546282608</v>
      </c>
      <c r="I8" s="9">
        <f>Segments_Fcst!I22</f>
        <v>74197.50717355433</v>
      </c>
      <c r="J8" s="9">
        <f>Segments_Fcst!J22</f>
        <v>81879.94716481565</v>
      </c>
      <c r="K8" s="9">
        <f>Segments_Fcst!K22</f>
        <v>88880.60492477547</v>
      </c>
      <c r="L8" s="9">
        <f>Segments_Fcst!L22</f>
        <v>95024.22179701837</v>
      </c>
      <c r="M8" s="1"/>
      <c r="N8" s="1"/>
    </row>
    <row r="9">
      <c r="A9" s="28" t="s">
        <v>983</v>
      </c>
      <c r="B9" s="9">
        <f>Segments_Fcst!B36</f>
        <v>3201</v>
      </c>
      <c r="C9" s="20">
        <f>Interim_Bridge!D24</f>
        <v>20691.503006177078</v>
      </c>
      <c r="D9" s="9">
        <f>Segments_Fcst!D36</f>
        <v>49126.335880851075</v>
      </c>
      <c r="E9" s="9">
        <f>Segments_Fcst!E36</f>
        <v>71794.8230891915</v>
      </c>
      <c r="F9" s="9">
        <f>Segments_Fcst!F36</f>
        <v>93981.35431122893</v>
      </c>
      <c r="G9" s="9">
        <f>Segments_Fcst!G36</f>
        <v>115269.5103952041</v>
      </c>
      <c r="H9" s="9">
        <f>Segments_Fcst!H36</f>
        <v>134691.01397603727</v>
      </c>
      <c r="I9" s="9">
        <f>Segments_Fcst!I36</f>
        <v>150392.70337440452</v>
      </c>
      <c r="J9" s="9">
        <f>Segments_Fcst!J36</f>
        <v>163783.0958529739</v>
      </c>
      <c r="K9" s="9">
        <f>Segments_Fcst!K36</f>
        <v>174029.26909647105</v>
      </c>
      <c r="L9" s="9">
        <f>Segments_Fcst!L36</f>
        <v>181849.5160477695</v>
      </c>
      <c r="M9" s="1"/>
      <c r="N9" s="1"/>
    </row>
    <row r="10">
      <c r="A10" s="16" t="s">
        <v>89</v>
      </c>
      <c r="B10" s="33">
        <f>B7+B8+B9</f>
        <v>18674</v>
      </c>
      <c r="C10" s="53">
        <f>C7+C8+C9</f>
        <v>44225.75352341846</v>
      </c>
      <c r="D10" s="33">
        <f>D7+D8+D9</f>
        <v>82274.68214996651</v>
      </c>
      <c r="E10" s="33">
        <f>E7+E8+E9</f>
        <v>114524.24044656282</v>
      </c>
      <c r="F10" s="33">
        <f>F7+F8+F9</f>
        <v>147075.8225187042</v>
      </c>
      <c r="G10" s="33">
        <f>G7+G8+G9</f>
        <v>178794.88469918165</v>
      </c>
      <c r="H10" s="33">
        <f>H7+H8+H9</f>
        <v>207987.3741804745</v>
      </c>
      <c r="I10" s="33">
        <f>I7+I8+I9</f>
        <v>233108.262562512</v>
      </c>
      <c r="J10" s="33">
        <f>J7+J8+J9</f>
        <v>254671.22611784283</v>
      </c>
      <c r="K10" s="33">
        <f>K7+K8+K9</f>
        <v>272401.7552132149</v>
      </c>
      <c r="L10" s="33">
        <f>L7+L8+L9</f>
        <v>286870.5245537773</v>
      </c>
      <c r="M10" s="1"/>
      <c r="N10" s="1"/>
    </row>
    <row r="11">
      <c r="A11" s="54" t="s">
        <v>857</v>
      </c>
      <c r="B11" s="10"/>
      <c r="C11" s="24">
        <f>C10/B10-1</f>
        <v>1.3683063898157042</v>
      </c>
      <c r="D11" s="10">
        <f>D10/C10-1</f>
        <v>0.8603342079044587</v>
      </c>
      <c r="E11" s="10">
        <f>E10/D10-1</f>
        <v>0.3919742678289939</v>
      </c>
      <c r="F11" s="10">
        <f>F10/E10-1</f>
        <v>0.28423311907779025</v>
      </c>
      <c r="G11" s="10">
        <f>G10/F10-1</f>
        <v>0.21566469347090433</v>
      </c>
      <c r="H11" s="10">
        <f>H10/G10-1</f>
        <v>0.16327362793632805</v>
      </c>
      <c r="I11" s="10">
        <f>I10/H10-1</f>
        <v>0.12078083336077738</v>
      </c>
      <c r="J11" s="10">
        <f>J10/I10-1</f>
        <v>0.09250192729461193</v>
      </c>
      <c r="K11" s="10">
        <f>K10/J10-1</f>
        <v>0.06962124997649988</v>
      </c>
      <c r="L11" s="10">
        <f>L10/K10-1</f>
        <v>0.05311555106991639</v>
      </c>
      <c r="M11" s="1"/>
      <c r="N11" s="1"/>
    </row>
    <row r="12">
      <c r="A12" s="6" t="s">
        <v>858</v>
      </c>
      <c r="B12" s="9">
        <f>Segments_Fcst!B46</f>
        <v>6584</v>
      </c>
      <c r="C12" s="20">
        <f>Interim_Bridge!D31</f>
        <v>23338.181881292454</v>
      </c>
      <c r="D12" s="9">
        <f>Segments_Fcst!D46</f>
        <v>47936.4842303997</v>
      </c>
      <c r="E12" s="9">
        <f>Segments_Fcst!E46</f>
        <v>67937.30255539247</v>
      </c>
      <c r="F12" s="9">
        <f>Segments_Fcst!F46</f>
        <v>87834.5664703411</v>
      </c>
      <c r="G12" s="9">
        <f>Segments_Fcst!G46</f>
        <v>107825.80090587433</v>
      </c>
      <c r="H12" s="9">
        <f>Segments_Fcst!H46</f>
        <v>125844.66892907425</v>
      </c>
      <c r="I12" s="9">
        <f>Segments_Fcst!I46</f>
        <v>141335.48976282688</v>
      </c>
      <c r="J12" s="9">
        <f>Segments_Fcst!J46</f>
        <v>154562.668415576</v>
      </c>
      <c r="K12" s="9">
        <f>Segments_Fcst!K46</f>
        <v>165451.73100622653</v>
      </c>
      <c r="L12" s="9">
        <f>Segments_Fcst!L46</f>
        <v>174324.89269194118</v>
      </c>
      <c r="M12" s="1"/>
      <c r="N12" s="1"/>
    </row>
    <row r="13">
      <c r="A13" s="6" t="s">
        <v>190</v>
      </c>
      <c r="B13" s="9">
        <f>CF_Hist!D8</f>
        <v>6701</v>
      </c>
      <c r="C13" s="20">
        <f>Interim_Bridge!D32</f>
        <v>12680.8125</v>
      </c>
      <c r="D13" s="9">
        <f>Schedules!D23</f>
        <v>23870.160329229813</v>
      </c>
      <c r="E13" s="9">
        <f>Schedules!E23</f>
        <v>35175.607094955485</v>
      </c>
      <c r="F13" s="9">
        <f>Schedules!F23</f>
        <v>46432.0598734465</v>
      </c>
      <c r="G13" s="9">
        <f>Schedules!G23</f>
        <v>56577.22596383865</v>
      </c>
      <c r="H13" s="9">
        <f>Schedules!H23</f>
        <v>65947.09074485223</v>
      </c>
      <c r="I13" s="9">
        <f>Schedules!I23</f>
        <v>75625.06378447515</v>
      </c>
      <c r="J13" s="9">
        <f>Schedules!J23</f>
        <v>78607.48236676551</v>
      </c>
      <c r="K13" s="9">
        <f>Schedules!K23</f>
        <v>75472.03210249747</v>
      </c>
      <c r="L13" s="9">
        <f>Schedules!L23</f>
        <v>76454.48305578937</v>
      </c>
      <c r="M13" s="1"/>
      <c r="N13" s="1"/>
    </row>
    <row r="14">
      <c r="A14" s="6" t="s">
        <v>191</v>
      </c>
      <c r="B14" s="9">
        <f>CF_Hist!D9</f>
        <v>1947</v>
      </c>
      <c r="C14" s="20">
        <f>Interim_Bridge!D33</f>
        <v>6789.759766176789</v>
      </c>
      <c r="D14" s="9">
        <f>Schedules!D98</f>
        <v>12306.6674466774</v>
      </c>
      <c r="E14" s="9">
        <f>Schedules!E98</f>
        <v>13435.40198705827</v>
      </c>
      <c r="F14" s="9">
        <f>Schedules!F98</f>
        <v>9802.939502440362</v>
      </c>
      <c r="G14" s="9">
        <f>Schedules!G98</f>
        <v>6257.820964471359</v>
      </c>
      <c r="H14" s="9">
        <f>Schedules!H98</f>
        <v>7279.558096316608</v>
      </c>
      <c r="I14" s="9">
        <f>Schedules!I98</f>
        <v>8158.789189687921</v>
      </c>
      <c r="J14" s="9">
        <f>Schedules!J98</f>
        <v>8913.4929141245</v>
      </c>
      <c r="K14" s="9">
        <f>Schedules!K98</f>
        <v>9534.061432462522</v>
      </c>
      <c r="L14" s="9">
        <f>Schedules!L98</f>
        <v>10040.468359382206</v>
      </c>
      <c r="M14" s="1"/>
      <c r="N14" s="1" t="s">
        <v>984</v>
      </c>
    </row>
    <row r="15">
      <c r="A15" s="6" t="s">
        <v>758</v>
      </c>
      <c r="B15" s="9">
        <f>Interim_Bridge!G34</f>
        <v>525</v>
      </c>
      <c r="C15" s="20">
        <f>Interim_Bridge!D34</f>
        <v>2</v>
      </c>
      <c r="D15" s="8">
        <f>0</f>
        <v>0</v>
      </c>
      <c r="E15" s="8">
        <f>0</f>
        <v>0</v>
      </c>
      <c r="F15" s="8">
        <f>0</f>
        <v>0</v>
      </c>
      <c r="G15" s="8">
        <f>0</f>
        <v>0</v>
      </c>
      <c r="H15" s="8">
        <f>0</f>
        <v>0</v>
      </c>
      <c r="I15" s="8">
        <f>0</f>
        <v>0</v>
      </c>
      <c r="J15" s="8">
        <f>0</f>
        <v>0</v>
      </c>
      <c r="K15" s="8">
        <f>0</f>
        <v>0</v>
      </c>
      <c r="L15" s="8">
        <f>0</f>
        <v>0</v>
      </c>
      <c r="M15" s="1"/>
      <c r="N15" s="1"/>
    </row>
    <row r="16">
      <c r="A16" s="16" t="s">
        <v>99</v>
      </c>
      <c r="B16" s="12">
        <f>B12-B13-B14-B15</f>
        <v>-2589</v>
      </c>
      <c r="C16" s="37">
        <f>C12-C13-C14-C15</f>
        <v>3865.6096151156653</v>
      </c>
      <c r="D16" s="12">
        <f>D12-D13-D14-D15</f>
        <v>11759.656454492486</v>
      </c>
      <c r="E16" s="12">
        <f>E12-E13-E14-E15</f>
        <v>19326.29347337871</v>
      </c>
      <c r="F16" s="12">
        <f>F12-F13-F14-F15</f>
        <v>31599.567094454236</v>
      </c>
      <c r="G16" s="12">
        <f>G12-G13-G14-G15</f>
        <v>44990.75397756432</v>
      </c>
      <c r="H16" s="12">
        <f>H12-H13-H14-H15</f>
        <v>52618.02008790541</v>
      </c>
      <c r="I16" s="12">
        <f>I12-I13-I14-I15</f>
        <v>57551.63678866381</v>
      </c>
      <c r="J16" s="12">
        <f>J12-J13-J14-J15</f>
        <v>67041.69313468598</v>
      </c>
      <c r="K16" s="12">
        <f>K12-K13-K14-K15</f>
        <v>80445.63747126654</v>
      </c>
      <c r="L16" s="12">
        <f>L12-L13-L14-L15</f>
        <v>87829.94127676959</v>
      </c>
      <c r="M16" s="1"/>
      <c r="N16" s="1"/>
    </row>
    <row r="17">
      <c r="A17" s="54" t="s">
        <v>344</v>
      </c>
      <c r="B17" s="10">
        <f>B16/B10</f>
        <v>-0.13864196208632323</v>
      </c>
      <c r="C17" s="24">
        <f>C16/C10</f>
        <v>0.08740630305074948</v>
      </c>
      <c r="D17" s="10">
        <f>D16/D10</f>
        <v>0.14293165463778426</v>
      </c>
      <c r="E17" s="10">
        <f>E16/E10</f>
        <v>0.16875286313203175</v>
      </c>
      <c r="F17" s="10">
        <f>F16/F10</f>
        <v>0.21485222080220287</v>
      </c>
      <c r="G17" s="10">
        <f>G16/G10</f>
        <v>0.25163333980868774</v>
      </c>
      <c r="H17" s="10">
        <f>H16/H10</f>
        <v>0.2529866069766705</v>
      </c>
      <c r="I17" s="10">
        <f>I16/I10</f>
        <v>0.24688801742164906</v>
      </c>
      <c r="J17" s="10">
        <f>J16/J10</f>
        <v>0.2632480086449346</v>
      </c>
      <c r="K17" s="10">
        <f>K16/K10</f>
        <v>0.2953198205653996</v>
      </c>
      <c r="L17" s="10">
        <f>L16/L10</f>
        <v>0.3061657917396279</v>
      </c>
      <c r="M17" s="1"/>
      <c r="N17" s="1"/>
    </row>
    <row r="18">
      <c r="A18" s="6" t="s">
        <v>100</v>
      </c>
      <c r="B18" s="9">
        <f>IS_Hist!D15</f>
        <v>-1945</v>
      </c>
      <c r="C18" s="20">
        <f>Interim_Bridge!D36</f>
        <v>-2643</v>
      </c>
      <c r="D18" s="9">
        <f>Schedules!D49</f>
        <v>-4463.851946246525</v>
      </c>
      <c r="E18" s="9">
        <f>Schedules!E49</f>
        <v>-4419.578313253012</v>
      </c>
      <c r="F18" s="9">
        <f>Schedules!F49</f>
        <v>-3678.3317886932346</v>
      </c>
      <c r="G18" s="9">
        <f>Schedules!G49</f>
        <v>-2898.507877664504</v>
      </c>
      <c r="H18" s="9">
        <f>Schedules!H49</f>
        <v>-2127.58109360519</v>
      </c>
      <c r="I18" s="9">
        <f>Schedules!I49</f>
        <v>-1802.58109360519</v>
      </c>
      <c r="J18" s="9">
        <f>Schedules!J49</f>
        <v>-1737.58109360519</v>
      </c>
      <c r="K18" s="9">
        <f>Schedules!K49</f>
        <v>-1737.58109360519</v>
      </c>
      <c r="L18" s="9">
        <f>Schedules!L49</f>
        <v>-1737.58109360519</v>
      </c>
      <c r="M18" s="1"/>
      <c r="N18" s="1"/>
    </row>
    <row r="19">
      <c r="A19" s="6" t="s">
        <v>101</v>
      </c>
      <c r="B19" s="9">
        <f>IS_Hist!D16</f>
        <v>492</v>
      </c>
      <c r="C19" s="20">
        <f>Interim_Bridge!D37</f>
        <v>2373.9702500000003</v>
      </c>
      <c r="D19" s="9">
        <f>Schedules!D50</f>
        <v>3398.0408308402953</v>
      </c>
      <c r="E19" s="9">
        <f>Schedules!E50</f>
        <v>2438.403486513004</v>
      </c>
      <c r="F19" s="9">
        <f>Schedules!F50</f>
        <v>1731.9699419922376</v>
      </c>
      <c r="G19" s="9">
        <f>Schedules!G50</f>
        <v>1506.750225850267</v>
      </c>
      <c r="H19" s="9">
        <f>Schedules!H50</f>
        <v>2121.8982473998876</v>
      </c>
      <c r="I19" s="9">
        <f>Schedules!I50</f>
        <v>3565.9022935279</v>
      </c>
      <c r="J19" s="9">
        <f>Schedules!J50</f>
        <v>6124.465583230655</v>
      </c>
      <c r="K19" s="9">
        <f>Schedules!K50</f>
        <v>8784.88403120821</v>
      </c>
      <c r="L19" s="9">
        <f>Schedules!L50</f>
        <v>11838.85467433022</v>
      </c>
      <c r="M19" s="1"/>
      <c r="N19" s="1"/>
    </row>
    <row r="20">
      <c r="A20" s="6" t="s">
        <v>102</v>
      </c>
      <c r="B20" s="9">
        <f>IS_Hist!D17</f>
        <v>-177</v>
      </c>
      <c r="C20" s="20">
        <f>Interim_Bridge!D38</f>
        <v>-937</v>
      </c>
      <c r="D20" s="8">
        <f>0</f>
        <v>0</v>
      </c>
      <c r="E20" s="8">
        <f>0</f>
        <v>0</v>
      </c>
      <c r="F20" s="8">
        <f>0</f>
        <v>0</v>
      </c>
      <c r="G20" s="8">
        <f>0</f>
        <v>0</v>
      </c>
      <c r="H20" s="8">
        <f>0</f>
        <v>0</v>
      </c>
      <c r="I20" s="8">
        <f>0</f>
        <v>0</v>
      </c>
      <c r="J20" s="8">
        <f>0</f>
        <v>0</v>
      </c>
      <c r="K20" s="8">
        <f>0</f>
        <v>0</v>
      </c>
      <c r="L20" s="8">
        <f>0</f>
        <v>0</v>
      </c>
      <c r="M20" s="1"/>
      <c r="N20" s="1"/>
    </row>
    <row r="21">
      <c r="A21" s="16" t="s">
        <v>103</v>
      </c>
      <c r="B21" s="12">
        <f>B16+B18+B19+B20</f>
        <v>-4219</v>
      </c>
      <c r="C21" s="37">
        <f>C16+C18+C19+C20</f>
        <v>2659.5798651156656</v>
      </c>
      <c r="D21" s="12">
        <f>D16+D18+D19+D20</f>
        <v>10693.845339086256</v>
      </c>
      <c r="E21" s="12">
        <f>E16+E18+E19+E20</f>
        <v>17345.118646638704</v>
      </c>
      <c r="F21" s="12">
        <f>F16+F18+F19+F20</f>
        <v>29653.205247753238</v>
      </c>
      <c r="G21" s="12">
        <f>G16+G18+G19+G20</f>
        <v>43598.996325750086</v>
      </c>
      <c r="H21" s="12">
        <f>H16+H18+H19+H20</f>
        <v>52612.33724170011</v>
      </c>
      <c r="I21" s="12">
        <f>I16+I18+I19+I20</f>
        <v>59314.95798858652</v>
      </c>
      <c r="J21" s="12">
        <f>J16+J18+J19+J20</f>
        <v>71428.57762431144</v>
      </c>
      <c r="K21" s="12">
        <f>K16+K18+K19+K20</f>
        <v>87492.94040886956</v>
      </c>
      <c r="L21" s="12">
        <f>L16+L18+L19+L20</f>
        <v>97931.21485749462</v>
      </c>
      <c r="M21" s="1"/>
      <c r="N21" s="1"/>
    </row>
    <row r="22">
      <c r="A22" s="6" t="s">
        <v>104</v>
      </c>
      <c r="B22" s="9">
        <f>IS_Hist!D19</f>
        <v>718</v>
      </c>
      <c r="C22" s="20">
        <f>Interim_Bridge!D40</f>
        <v>-189.32100674421676</v>
      </c>
      <c r="D22" s="9">
        <f>Schedules!D70</f>
        <v>200.3467807927803</v>
      </c>
      <c r="E22" s="9">
        <f>Schedules!E70</f>
        <v>997.3443221817256</v>
      </c>
      <c r="F22" s="9">
        <f>Schedules!F70</f>
        <v>6092.2997847743445</v>
      </c>
      <c r="G22" s="9">
        <f>Schedules!G70</f>
        <v>9373.784210036267</v>
      </c>
      <c r="H22" s="9">
        <f>Schedules!H70</f>
        <v>11477.588746956184</v>
      </c>
      <c r="I22" s="9">
        <f>Schedules!I70</f>
        <v>13642.440337374897</v>
      </c>
      <c r="J22" s="9">
        <f>Schedules!J70</f>
        <v>16428.57285359163</v>
      </c>
      <c r="K22" s="9">
        <f>Schedules!K70</f>
        <v>20123.376294039997</v>
      </c>
      <c r="L22" s="9">
        <f>Schedules!L70</f>
        <v>22524.179417223764</v>
      </c>
      <c r="M22" s="1"/>
      <c r="N22" s="1"/>
    </row>
    <row r="23">
      <c r="A23" s="67" t="s">
        <v>105</v>
      </c>
      <c r="B23" s="32">
        <f>B21-B22</f>
        <v>-4937</v>
      </c>
      <c r="C23" s="68">
        <f>C21-C22</f>
        <v>2848.9008718598825</v>
      </c>
      <c r="D23" s="32">
        <f>D21-D22</f>
        <v>10493.498558293475</v>
      </c>
      <c r="E23" s="32">
        <f>E21-E22</f>
        <v>16347.77432445698</v>
      </c>
      <c r="F23" s="32">
        <f>F21-F22</f>
        <v>23560.905462978895</v>
      </c>
      <c r="G23" s="32">
        <f>G21-G22</f>
        <v>34225.21211571382</v>
      </c>
      <c r="H23" s="32">
        <f>H21-H22</f>
        <v>41134.74849474392</v>
      </c>
      <c r="I23" s="32">
        <f>I21-I22</f>
        <v>45672.517651211616</v>
      </c>
      <c r="J23" s="32">
        <f>J21-J22</f>
        <v>55000.00477071981</v>
      </c>
      <c r="K23" s="32">
        <f>K21-K22</f>
        <v>67369.56411482955</v>
      </c>
      <c r="L23" s="32">
        <f>L21-L22</f>
        <v>75407.03544027085</v>
      </c>
      <c r="M23" s="1"/>
      <c r="N23" s="1"/>
    </row>
    <row r="24">
      <c r="A24" s="54" t="s">
        <v>985</v>
      </c>
      <c r="B24" s="10">
        <f>B23/B10</f>
        <v>-0.2643782799614437</v>
      </c>
      <c r="C24" s="24">
        <f>C23/C10</f>
        <v>0.06441723757971314</v>
      </c>
      <c r="D24" s="10">
        <f>D23/D10</f>
        <v>0.12754225582016115</v>
      </c>
      <c r="E24" s="10">
        <f>E23/E10</f>
        <v>0.14274510147993408</v>
      </c>
      <c r="F24" s="10">
        <f>F23/F10</f>
        <v>0.1601956396333093</v>
      </c>
      <c r="G24" s="10">
        <f>G23/G10</f>
        <v>0.19142165153828064</v>
      </c>
      <c r="H24" s="10">
        <f>H23/H10</f>
        <v>0.1977752190815705</v>
      </c>
      <c r="I24" s="10">
        <f>I23/I10</f>
        <v>0.1959283516986608</v>
      </c>
      <c r="J24" s="10">
        <f>J23/J10</f>
        <v>0.21596473857344964</v>
      </c>
      <c r="K24" s="10">
        <f>K23/K10</f>
        <v>0.24731692371841693</v>
      </c>
      <c r="L24" s="10">
        <f>L23/L10</f>
        <v>0.26286086922860175</v>
      </c>
      <c r="M24" s="1"/>
      <c r="N24" s="1"/>
    </row>
    <row r="25">
      <c r="A25" s="54" t="s">
        <v>345</v>
      </c>
      <c r="B25" s="10">
        <f>B12/B10</f>
        <v>0.35257577380314875</v>
      </c>
      <c r="C25" s="24">
        <f>C12/C10</f>
        <v>0.5277056923164554</v>
      </c>
      <c r="D25" s="10">
        <f>D12/D10</f>
        <v>0.582639555422691</v>
      </c>
      <c r="E25" s="10">
        <f>E12/E10</f>
        <v>0.5932132995642273</v>
      </c>
      <c r="F25" s="10">
        <f>F12/F10</f>
        <v>0.5972060190869974</v>
      </c>
      <c r="G25" s="10">
        <f>G12/G10</f>
        <v>0.6030698310373297</v>
      </c>
      <c r="H25" s="10">
        <f>H12/H10</f>
        <v>0.605059174504874</v>
      </c>
      <c r="I25" s="10">
        <f>I12/I10</f>
        <v>0.6063083659461677</v>
      </c>
      <c r="J25" s="10">
        <f>J12/J10</f>
        <v>0.6069106069488036</v>
      </c>
      <c r="K25" s="10">
        <f>K12/K10</f>
        <v>0.6073812956040749</v>
      </c>
      <c r="L25" s="10">
        <f>L12/L10</f>
        <v>0.607677951449006</v>
      </c>
      <c r="M25" s="1"/>
      <c r="N25" s="1"/>
    </row>
    <row r="26">
      <c r="A26" s="1"/>
      <c r="B26" s="1"/>
      <c r="C26" s="47"/>
      <c r="D26" s="1"/>
      <c r="E26" s="1"/>
      <c r="F26" s="1"/>
      <c r="G26" s="1"/>
      <c r="H26" s="1"/>
      <c r="I26" s="1"/>
      <c r="J26" s="1"/>
      <c r="K26" s="1"/>
      <c r="L26" s="1"/>
      <c r="M26" s="1"/>
      <c r="N26" s="1"/>
    </row>
    <row r="27">
      <c r="A27" s="16" t="s">
        <v>986</v>
      </c>
      <c r="B27" s="1"/>
      <c r="C27" s="47"/>
      <c r="D27" s="1"/>
      <c r="E27" s="1"/>
      <c r="F27" s="1"/>
      <c r="G27" s="1"/>
      <c r="H27" s="1"/>
      <c r="I27" s="1"/>
      <c r="J27" s="1"/>
      <c r="K27" s="1"/>
      <c r="L27" s="1"/>
      <c r="M27" s="1"/>
      <c r="N27" s="1"/>
    </row>
    <row r="28">
      <c r="A28" s="6" t="s">
        <v>800</v>
      </c>
      <c r="B28" s="9">
        <f>BS_Hist!C46</f>
        <v>24747</v>
      </c>
      <c r="C28" s="20">
        <f>Interim_Bridge!D81</f>
        <v>80522.29456967524</v>
      </c>
      <c r="D28" s="8">
        <f>C28+D68</f>
        <v>57782.07314011858</v>
      </c>
      <c r="E28" s="8">
        <f>D28+E68</f>
        <v>41041.94175337056</v>
      </c>
      <c r="F28" s="8">
        <f>E28+F68</f>
        <v>35704.9816552196</v>
      </c>
      <c r="G28" s="8">
        <f>F28+G68</f>
        <v>50281.948990518664</v>
      </c>
      <c r="H28" s="8">
        <f>G28+H68</f>
        <v>84500.05434900237</v>
      </c>
      <c r="I28" s="8">
        <f>H28+I68</f>
        <v>145129.51619029988</v>
      </c>
      <c r="J28" s="8">
        <f>I28+J68</f>
        <v>208172.6073746021</v>
      </c>
      <c r="K28" s="8">
        <f>J28+K68</f>
        <v>280541.5799604317</v>
      </c>
      <c r="L28" s="8">
        <f>K28+L68</f>
        <v>363540.0699530245</v>
      </c>
      <c r="M28" s="1"/>
      <c r="N28" s="1"/>
    </row>
    <row r="29">
      <c r="A29" s="6" t="s">
        <v>205</v>
      </c>
      <c r="B29" s="9">
        <f>BS_Hist!C9</f>
        <v>1579</v>
      </c>
      <c r="C29" s="20">
        <f>Interim_Bridge!D82</f>
        <v>5612.708048971038</v>
      </c>
      <c r="D29" s="9">
        <f>Schedules!D80</f>
        <v>6734.387362257979</v>
      </c>
      <c r="E29" s="9">
        <f>Schedules!E80</f>
        <v>9374.093917855878</v>
      </c>
      <c r="F29" s="9">
        <f>Schedules!F80</f>
        <v>12038.5218706562</v>
      </c>
      <c r="G29" s="9">
        <f>Schedules!G80</f>
        <v>14634.805999734044</v>
      </c>
      <c r="H29" s="9">
        <f>Schedules!H80</f>
        <v>17024.28386945496</v>
      </c>
      <c r="I29" s="9">
        <f>Schedules!I80</f>
        <v>19080.49106257817</v>
      </c>
      <c r="J29" s="9">
        <f>Schedules!J80</f>
        <v>20845.47325959427</v>
      </c>
      <c r="K29" s="9">
        <f>Schedules!K80</f>
        <v>22296.761164278927</v>
      </c>
      <c r="L29" s="9">
        <f>Schedules!L80</f>
        <v>23481.065920593916</v>
      </c>
      <c r="M29" s="1"/>
      <c r="N29" s="1"/>
    </row>
    <row r="30">
      <c r="A30" s="6" t="s">
        <v>137</v>
      </c>
      <c r="B30" s="9">
        <f>BS_Hist!C10</f>
        <v>2416</v>
      </c>
      <c r="C30" s="20">
        <f>Interim_Bridge!D83</f>
        <v>3400.3224999109957</v>
      </c>
      <c r="D30" s="9">
        <f>Schedules!D81</f>
        <v>4079.8645985515122</v>
      </c>
      <c r="E30" s="9">
        <f>Schedules!E81</f>
        <v>5679.066537410174</v>
      </c>
      <c r="F30" s="9">
        <f>Schedules!F81</f>
        <v>7293.245332788573</v>
      </c>
      <c r="G30" s="9">
        <f>Schedules!G81</f>
        <v>8866.140851892524</v>
      </c>
      <c r="H30" s="9">
        <f>Schedules!H81</f>
        <v>10313.747834575503</v>
      </c>
      <c r="I30" s="9">
        <f>Schedules!I81</f>
        <v>11559.450893108442</v>
      </c>
      <c r="J30" s="9">
        <f>Schedules!J81</f>
        <v>12628.722379188399</v>
      </c>
      <c r="K30" s="9">
        <f>Schedules!K81</f>
        <v>13507.949816833692</v>
      </c>
      <c r="L30" s="9">
        <f>Schedules!L81</f>
        <v>14225.432015179591</v>
      </c>
      <c r="M30" s="1"/>
      <c r="N30" s="1"/>
    </row>
    <row r="31">
      <c r="A31" s="6" t="s">
        <v>138</v>
      </c>
      <c r="B31" s="9">
        <f>BS_Hist!C11</f>
        <v>2210</v>
      </c>
      <c r="C31" s="20">
        <f>Interim_Bridge!D84</f>
        <v>4066.0376624670744</v>
      </c>
      <c r="D31" s="9">
        <f>Schedules!D82</f>
        <v>4878.6205178805185</v>
      </c>
      <c r="E31" s="9">
        <f>Schedules!E82</f>
        <v>6790.914223392241</v>
      </c>
      <c r="F31" s="9">
        <f>Schedules!F82</f>
        <v>8721.116954496747</v>
      </c>
      <c r="G31" s="9">
        <f>Schedules!G82</f>
        <v>10601.953969212194</v>
      </c>
      <c r="H31" s="9">
        <f>Schedules!H82</f>
        <v>12332.973456979422</v>
      </c>
      <c r="I31" s="9">
        <f>Schedules!I82</f>
        <v>13822.560268929743</v>
      </c>
      <c r="J31" s="9">
        <f>Schedules!J82</f>
        <v>15101.173733951675</v>
      </c>
      <c r="K31" s="9">
        <f>Schedules!K82</f>
        <v>16152.536325421679</v>
      </c>
      <c r="L31" s="9">
        <f>Schedules!L82</f>
        <v>17010.487193523295</v>
      </c>
      <c r="M31" s="1"/>
      <c r="N31" s="1"/>
    </row>
    <row r="32">
      <c r="A32" s="6" t="s">
        <v>987</v>
      </c>
      <c r="B32" s="9">
        <f>BS_Hist!C14</f>
        <v>42602</v>
      </c>
      <c r="C32" s="20">
        <f>Interim_Bridge!D85</f>
        <v>109411</v>
      </c>
      <c r="D32" s="9">
        <f>Schedules!D24</f>
        <v>163647.76439163974</v>
      </c>
      <c r="E32" s="9">
        <f>Schedules!E24</f>
        <v>209003.9145187857</v>
      </c>
      <c r="F32" s="9">
        <f>Schedules!F24</f>
        <v>238853.12520814792</v>
      </c>
      <c r="G32" s="9">
        <f>Schedules!G24</f>
        <v>255198.38779970782</v>
      </c>
      <c r="H32" s="9">
        <f>Schedules!H24</f>
        <v>261110.84023816427</v>
      </c>
      <c r="I32" s="9">
        <f>Schedules!I24</f>
        <v>254799.35267319335</v>
      </c>
      <c r="J32" s="9">
        <f>Schedules!J24</f>
        <v>259992.66185279828</v>
      </c>
      <c r="K32" s="9">
        <f>Schedules!K24</f>
        <v>266252.72048901714</v>
      </c>
      <c r="L32" s="9">
        <f>Schedules!L24</f>
        <v>270151.87070278055</v>
      </c>
      <c r="M32" s="1"/>
      <c r="N32" s="1"/>
    </row>
    <row r="33">
      <c r="A33" s="6" t="s">
        <v>988</v>
      </c>
      <c r="B33" s="9">
        <f>BS_Hist!C15</f>
        <v>1260</v>
      </c>
      <c r="C33" s="20">
        <f>Interim_Bridge!D86</f>
        <v>961</v>
      </c>
      <c r="D33" s="9">
        <f>Schedules!D19</f>
        <v>645</v>
      </c>
      <c r="E33" s="9">
        <f>Schedules!E19</f>
        <v>329</v>
      </c>
      <c r="F33" s="9">
        <f>Schedules!F19</f>
        <v>13</v>
      </c>
      <c r="G33" s="9">
        <f>Schedules!G19</f>
        <v>0</v>
      </c>
      <c r="H33" s="9">
        <f>Schedules!H19</f>
        <v>0</v>
      </c>
      <c r="I33" s="9">
        <f>Schedules!I19</f>
        <v>0</v>
      </c>
      <c r="J33" s="9">
        <f>Schedules!J19</f>
        <v>0</v>
      </c>
      <c r="K33" s="9">
        <f>Schedules!K19</f>
        <v>0</v>
      </c>
      <c r="L33" s="9">
        <f>Schedules!L19</f>
        <v>0</v>
      </c>
      <c r="M33" s="1"/>
      <c r="N33" s="1"/>
    </row>
    <row r="34">
      <c r="A34" s="6" t="s">
        <v>143</v>
      </c>
      <c r="B34" s="9">
        <f>BS_Hist!C16</f>
        <v>1548</v>
      </c>
      <c r="C34" s="20">
        <f>Interim_Bridge!D87</f>
        <v>5958.1875</v>
      </c>
      <c r="D34" s="9">
        <f>Schedules!D22</f>
        <v>4374.9375</v>
      </c>
      <c r="E34" s="9">
        <f>Schedules!E22</f>
        <v>2791.6875</v>
      </c>
      <c r="F34" s="9">
        <f>Schedules!F22</f>
        <v>1208.4375</v>
      </c>
      <c r="G34" s="9">
        <f>Schedules!G22</f>
        <v>21</v>
      </c>
      <c r="H34" s="9">
        <f>Schedules!H22</f>
        <v>21</v>
      </c>
      <c r="I34" s="9">
        <f>Schedules!I22</f>
        <v>21</v>
      </c>
      <c r="J34" s="9">
        <f>Schedules!J22</f>
        <v>21</v>
      </c>
      <c r="K34" s="9">
        <f>Schedules!K22</f>
        <v>21</v>
      </c>
      <c r="L34" s="9">
        <f>Schedules!L22</f>
        <v>21</v>
      </c>
      <c r="M34" s="1"/>
      <c r="N34" s="1"/>
    </row>
    <row r="35">
      <c r="A35" s="6" t="s">
        <v>989</v>
      </c>
      <c r="B35" s="5">
        <v>0</v>
      </c>
      <c r="C35" s="20">
        <f>Interim_Bridge!D88</f>
        <v>385</v>
      </c>
      <c r="D35" s="9">
        <f>Schedules!D38</f>
        <v>28813.32</v>
      </c>
      <c r="E35" s="9">
        <f>Schedules!E38</f>
        <v>28813.32</v>
      </c>
      <c r="F35" s="9">
        <f>Schedules!F38</f>
        <v>28813.32</v>
      </c>
      <c r="G35" s="9">
        <f>Schedules!G38</f>
        <v>28813.32</v>
      </c>
      <c r="H35" s="9">
        <f>Schedules!H38</f>
        <v>28813.32</v>
      </c>
      <c r="I35" s="9">
        <f>Schedules!I38</f>
        <v>28813.32</v>
      </c>
      <c r="J35" s="9">
        <f>Schedules!J38</f>
        <v>28813.32</v>
      </c>
      <c r="K35" s="9">
        <f>Schedules!K38</f>
        <v>28813.32</v>
      </c>
      <c r="L35" s="9">
        <f>Schedules!L38</f>
        <v>28813.32</v>
      </c>
      <c r="M35" s="1"/>
      <c r="N35" s="1"/>
    </row>
    <row r="36">
      <c r="A36" s="6" t="s">
        <v>803</v>
      </c>
      <c r="B36" s="8">
        <f>BS_Hist!C18+BS_Hist!C17+BS_Hist!C19+BS_Hist!C20</f>
        <v>15717</v>
      </c>
      <c r="C36" s="20">
        <f>Interim_Bridge!D89</f>
        <v>56193</v>
      </c>
      <c r="D36" s="8">
        <f>C36</f>
        <v>56193</v>
      </c>
      <c r="E36" s="8">
        <f>D36</f>
        <v>56193</v>
      </c>
      <c r="F36" s="8">
        <f>E36</f>
        <v>56193</v>
      </c>
      <c r="G36" s="8">
        <f>F36</f>
        <v>56193</v>
      </c>
      <c r="H36" s="8">
        <f>G36</f>
        <v>56193</v>
      </c>
      <c r="I36" s="8">
        <f>H36</f>
        <v>56193</v>
      </c>
      <c r="J36" s="8">
        <f>I36</f>
        <v>56193</v>
      </c>
      <c r="K36" s="8">
        <f>J36</f>
        <v>56193</v>
      </c>
      <c r="L36" s="8">
        <f>K36</f>
        <v>56193</v>
      </c>
      <c r="M36" s="1"/>
      <c r="N36" s="1" t="s">
        <v>804</v>
      </c>
    </row>
    <row r="37">
      <c r="A37" s="16" t="s">
        <v>148</v>
      </c>
      <c r="B37" s="12">
        <f>B28+B29+B30+B31+B32+B33+B34+B35+B36</f>
        <v>92079</v>
      </c>
      <c r="C37" s="37">
        <f>C28+C29+C30+C31+C32+C33+C34+C35+C36</f>
        <v>266509.55028102436</v>
      </c>
      <c r="D37" s="12">
        <f>D28+D29+D30+D31+D32+D33+D34+D35+D36</f>
        <v>327148.9675104483</v>
      </c>
      <c r="E37" s="12">
        <f>E28+E29+E30+E31+E32+E33+E34+E35+E36</f>
        <v>360016.9384508145</v>
      </c>
      <c r="F37" s="12">
        <f>F28+F29+F30+F31+F32+F33+F34+F35+F36</f>
        <v>388838.74852130905</v>
      </c>
      <c r="G37" s="12">
        <f>G28+G29+G30+G31+G32+G33+G34+G35+G36</f>
        <v>424610.5576110653</v>
      </c>
      <c r="H37" s="12">
        <f>H28+H29+H30+H31+H32+H33+H34+H35+H36</f>
        <v>470309.2197481765</v>
      </c>
      <c r="I37" s="12">
        <f>I28+I29+I30+I31+I32+I33+I34+I35+I36</f>
        <v>529418.6910881095</v>
      </c>
      <c r="J37" s="12">
        <f>J28+J29+J30+J31+J32+J33+J34+J35+J36</f>
        <v>601767.9586001347</v>
      </c>
      <c r="K37" s="12">
        <f>K28+K29+K30+K31+K32+K33+K34+K35+K36</f>
        <v>683778.8677559831</v>
      </c>
      <c r="L37" s="12">
        <f>L28+L29+L30+L31+L32+L33+L34+L35+L36</f>
        <v>773436.2457851018</v>
      </c>
      <c r="M37" s="1"/>
      <c r="N37" s="1"/>
    </row>
    <row r="38">
      <c r="A38" s="6" t="s">
        <v>150</v>
      </c>
      <c r="B38" s="9">
        <f>BS_Hist!C23</f>
        <v>11792</v>
      </c>
      <c r="C38" s="20">
        <f>Interim_Bridge!D91</f>
        <v>15935.777491342275</v>
      </c>
      <c r="D38" s="9">
        <f>Schedules!D85</f>
        <v>9221.259960364623</v>
      </c>
      <c r="E38" s="9">
        <f>Schedules!E85</f>
        <v>16367.804554170814</v>
      </c>
      <c r="F38" s="9">
        <f>Schedules!F85</f>
        <v>17466.294260297396</v>
      </c>
      <c r="G38" s="9">
        <f>Schedules!G85</f>
        <v>18651.580868320827</v>
      </c>
      <c r="H38" s="9">
        <f>Schedules!H85</f>
        <v>20130.09002716793</v>
      </c>
      <c r="I38" s="9">
        <f>Schedules!I85</f>
        <v>21056.07379673322</v>
      </c>
      <c r="J38" s="9">
        <f>Schedules!J85</f>
        <v>24039.335755428863</v>
      </c>
      <c r="K38" s="9">
        <f>Schedules!K85</f>
        <v>24663.198095992535</v>
      </c>
      <c r="L38" s="9">
        <f>Schedules!L85</f>
        <v>25214.43428740373</v>
      </c>
      <c r="M38" s="1"/>
      <c r="N38" s="1"/>
    </row>
    <row r="39">
      <c r="A39" s="6" t="s">
        <v>173</v>
      </c>
      <c r="B39" s="9">
        <f>BS_Hist!C47</f>
        <v>12116</v>
      </c>
      <c r="C39" s="20">
        <f>Interim_Bridge!D92</f>
        <v>20606.58948406802</v>
      </c>
      <c r="D39" s="9">
        <f>Schedules!D84</f>
        <v>21391.417358991293</v>
      </c>
      <c r="E39" s="9">
        <f>Schedules!E84</f>
        <v>25195.33289824382</v>
      </c>
      <c r="F39" s="9">
        <f>Schedules!F84</f>
        <v>27944.406278553797</v>
      </c>
      <c r="G39" s="9">
        <f>Schedules!G84</f>
        <v>30395.13039886088</v>
      </c>
      <c r="H39" s="9">
        <f>Schedules!H84</f>
        <v>31198.106127071173</v>
      </c>
      <c r="I39" s="9">
        <f>Schedules!I84</f>
        <v>34966.2393843768</v>
      </c>
      <c r="J39" s="9">
        <f>Schedules!J84</f>
        <v>38200.683917676426</v>
      </c>
      <c r="K39" s="9">
        <f>Schedules!K84</f>
        <v>40860.26328198223</v>
      </c>
      <c r="L39" s="9">
        <f>Schedules!L84</f>
        <v>43030.5786830666</v>
      </c>
      <c r="M39" s="1"/>
      <c r="N39" s="1"/>
    </row>
    <row r="40">
      <c r="A40" s="6" t="s">
        <v>153</v>
      </c>
      <c r="B40" s="9">
        <f>BS_Hist!C26</f>
        <v>2569</v>
      </c>
      <c r="C40" s="20">
        <f>Interim_Bridge!D93</f>
        <v>7053.522667577393</v>
      </c>
      <c r="D40" s="9">
        <f>Schedules!D83</f>
        <v>8463.143548084892</v>
      </c>
      <c r="E40" s="9">
        <f>Schedules!E83</f>
        <v>11780.478043877141</v>
      </c>
      <c r="F40" s="9">
        <f>Schedules!F83</f>
        <v>15128.880062515766</v>
      </c>
      <c r="G40" s="9">
        <f>Schedules!G83</f>
        <v>18391.645343756303</v>
      </c>
      <c r="H40" s="9">
        <f>Schedules!H83</f>
        <v>21394.516002749668</v>
      </c>
      <c r="I40" s="9">
        <f>Schedules!I83</f>
        <v>23978.56347491226</v>
      </c>
      <c r="J40" s="9">
        <f>Schedules!J83</f>
        <v>26196.626810097834</v>
      </c>
      <c r="K40" s="9">
        <f>Schedules!K83</f>
        <v>28020.468713784732</v>
      </c>
      <c r="L40" s="9">
        <f>Schedules!L83</f>
        <v>29508.791350754764</v>
      </c>
      <c r="M40" s="1"/>
      <c r="N40" s="1"/>
    </row>
    <row r="41">
      <c r="A41" s="6" t="s">
        <v>990</v>
      </c>
      <c r="B41" s="9">
        <f>BS_Hist!C48</f>
        <v>22896</v>
      </c>
      <c r="C41" s="20">
        <f>Interim_Bridge!D94</f>
        <v>38270</v>
      </c>
      <c r="D41" s="9">
        <f>Schedules!D43</f>
        <v>35529</v>
      </c>
      <c r="E41" s="9">
        <f>Schedules!E43</f>
        <v>32346</v>
      </c>
      <c r="F41" s="9">
        <f>Schedules!F43</f>
        <v>28608</v>
      </c>
      <c r="G41" s="9">
        <f>Schedules!G43</f>
        <v>24998</v>
      </c>
      <c r="H41" s="9">
        <f>Schedules!H43</f>
        <v>24998</v>
      </c>
      <c r="I41" s="9">
        <f>Schedules!I43</f>
        <v>24998</v>
      </c>
      <c r="J41" s="9">
        <f>Schedules!J43</f>
        <v>24998</v>
      </c>
      <c r="K41" s="9">
        <f>Schedules!K43</f>
        <v>24998</v>
      </c>
      <c r="L41" s="9">
        <f>Schedules!L43</f>
        <v>24998</v>
      </c>
      <c r="M41" s="1"/>
      <c r="N41" s="1"/>
    </row>
    <row r="42">
      <c r="A42" s="6" t="s">
        <v>991</v>
      </c>
      <c r="B42" s="5">
        <v>0</v>
      </c>
      <c r="C42" s="35">
        <v>0</v>
      </c>
      <c r="D42" s="9">
        <f>Schedules!D30</f>
        <v>34000</v>
      </c>
      <c r="E42" s="9">
        <f>Schedules!E30</f>
        <v>26000</v>
      </c>
      <c r="F42" s="9">
        <f>Schedules!F30</f>
        <v>17999.999999999996</v>
      </c>
      <c r="G42" s="9">
        <f>Schedules!G30</f>
        <v>9999.999999999998</v>
      </c>
      <c r="H42" s="9">
        <f>Schedules!H30</f>
        <v>2000</v>
      </c>
      <c r="I42" s="9">
        <f>Schedules!I30</f>
        <v>0</v>
      </c>
      <c r="J42" s="9">
        <f>Schedules!J30</f>
        <v>0</v>
      </c>
      <c r="K42" s="9">
        <f>Schedules!K30</f>
        <v>0</v>
      </c>
      <c r="L42" s="9">
        <f>Schedules!L30</f>
        <v>0</v>
      </c>
      <c r="M42" s="1"/>
      <c r="N42" s="1"/>
    </row>
    <row r="43">
      <c r="A43" s="6" t="s">
        <v>992</v>
      </c>
      <c r="B43" s="5">
        <v>0</v>
      </c>
      <c r="C43" s="35">
        <v>0</v>
      </c>
      <c r="D43" s="8">
        <f>C43+D66+D67</f>
        <v>0</v>
      </c>
      <c r="E43" s="8">
        <f>D43+E66+E67</f>
        <v>0</v>
      </c>
      <c r="F43" s="8">
        <f>E43+F66+F67</f>
        <v>0</v>
      </c>
      <c r="G43" s="8">
        <f>F43+G66+G67</f>
        <v>0</v>
      </c>
      <c r="H43" s="8">
        <f>G43+H66+H67</f>
        <v>0</v>
      </c>
      <c r="I43" s="8">
        <f>H43+I66+I67</f>
        <v>0</v>
      </c>
      <c r="J43" s="8">
        <f>I43+J66+J67</f>
        <v>0</v>
      </c>
      <c r="K43" s="8">
        <f>J43+K66+K67</f>
        <v>0</v>
      </c>
      <c r="L43" s="8">
        <f>K43+L66+L67</f>
        <v>0</v>
      </c>
      <c r="M43" s="1"/>
      <c r="N43" s="1"/>
    </row>
    <row r="44">
      <c r="A44" s="6" t="s">
        <v>158</v>
      </c>
      <c r="B44" s="9">
        <f>BS_Hist!C31</f>
        <v>1381</v>
      </c>
      <c r="C44" s="20">
        <f>Interim_Bridge!D95</f>
        <v>1657</v>
      </c>
      <c r="D44" s="8">
        <f>C44</f>
        <v>1657</v>
      </c>
      <c r="E44" s="8">
        <f>D44</f>
        <v>1657</v>
      </c>
      <c r="F44" s="8">
        <f>E44</f>
        <v>1657</v>
      </c>
      <c r="G44" s="8">
        <f>F44</f>
        <v>1657</v>
      </c>
      <c r="H44" s="8">
        <f>G44</f>
        <v>1657</v>
      </c>
      <c r="I44" s="8">
        <f>H44</f>
        <v>1657</v>
      </c>
      <c r="J44" s="8">
        <f>I44</f>
        <v>1657</v>
      </c>
      <c r="K44" s="8">
        <f>J44</f>
        <v>1657</v>
      </c>
      <c r="L44" s="8">
        <f>K44</f>
        <v>1657</v>
      </c>
      <c r="M44" s="1"/>
      <c r="N44" s="1" t="s">
        <v>804</v>
      </c>
    </row>
    <row r="45">
      <c r="A45" s="16" t="s">
        <v>159</v>
      </c>
      <c r="B45" s="12">
        <f>B38+B39+B40+B41+B42+B43+B44</f>
        <v>50754</v>
      </c>
      <c r="C45" s="37">
        <f>C38+C39+C40+C41+C42+C43+C44</f>
        <v>83522.88964298769</v>
      </c>
      <c r="D45" s="12">
        <f>D38+D39+D40+D41+D42+D43+D44</f>
        <v>110261.82086744081</v>
      </c>
      <c r="E45" s="12">
        <f>E38+E39+E40+E41+E42+E43+E44</f>
        <v>113346.61549629178</v>
      </c>
      <c r="F45" s="12">
        <f>F38+F39+F40+F41+F42+F43+F44</f>
        <v>108804.58060136696</v>
      </c>
      <c r="G45" s="12">
        <f>G38+G39+G40+G41+G42+G43+G44</f>
        <v>104093.356610938</v>
      </c>
      <c r="H45" s="12">
        <f>H38+H39+H40+H41+H42+H43+H44</f>
        <v>101377.71215698877</v>
      </c>
      <c r="I45" s="12">
        <f>I38+I39+I40+I41+I42+I43+I44</f>
        <v>106655.87665602227</v>
      </c>
      <c r="J45" s="12">
        <f>J38+J39+J40+J41+J42+J43+J44</f>
        <v>115091.64648320312</v>
      </c>
      <c r="K45" s="12">
        <f>K38+K39+K40+K41+K42+K43+K44</f>
        <v>120198.9300917595</v>
      </c>
      <c r="L45" s="12">
        <f>L38+L39+L40+L41+L42+L43+L44</f>
        <v>124408.80432122509</v>
      </c>
      <c r="M45" s="1"/>
      <c r="N45" s="1"/>
    </row>
    <row r="46">
      <c r="A46" s="6" t="s">
        <v>160</v>
      </c>
      <c r="B46" s="9">
        <f>BS_Hist!C34</f>
        <v>38752</v>
      </c>
      <c r="C46" s="35">
        <v>0</v>
      </c>
      <c r="D46" s="8">
        <f>0</f>
        <v>0</v>
      </c>
      <c r="E46" s="8">
        <f>0</f>
        <v>0</v>
      </c>
      <c r="F46" s="8">
        <f>0</f>
        <v>0</v>
      </c>
      <c r="G46" s="8">
        <f>0</f>
        <v>0</v>
      </c>
      <c r="H46" s="8">
        <f>0</f>
        <v>0</v>
      </c>
      <c r="I46" s="8">
        <f>0</f>
        <v>0</v>
      </c>
      <c r="J46" s="8">
        <f>0</f>
        <v>0</v>
      </c>
      <c r="K46" s="8">
        <f>0</f>
        <v>0</v>
      </c>
      <c r="L46" s="8">
        <f>0</f>
        <v>0</v>
      </c>
      <c r="M46" s="1"/>
      <c r="N46" s="1" t="s">
        <v>993</v>
      </c>
    </row>
    <row r="47">
      <c r="A47" s="6" t="s">
        <v>162</v>
      </c>
      <c r="B47" s="9">
        <f>BS_Hist!C42</f>
        <v>2573</v>
      </c>
      <c r="C47" s="20">
        <f>Interim_Bridge!D97</f>
        <v>182986.66063803667</v>
      </c>
      <c r="D47" s="8">
        <f>C47+D23+D14+Schedules!D37</f>
        <v>216887.14664300755</v>
      </c>
      <c r="E47" s="8">
        <f>D47+E23+E14+Schedules!E37</f>
        <v>246670.3229545228</v>
      </c>
      <c r="F47" s="8">
        <f>E47+F23+F14+Schedules!F37</f>
        <v>280034.167919942</v>
      </c>
      <c r="G47" s="8">
        <f>F47+G23+G14+Schedules!G37</f>
        <v>320517.2010001272</v>
      </c>
      <c r="H47" s="8">
        <f>G47+H23+H14+Schedules!H37</f>
        <v>368931.50759118766</v>
      </c>
      <c r="I47" s="8">
        <f>H47+I23+I14+Schedules!I37</f>
        <v>422762.81443208724</v>
      </c>
      <c r="J47" s="8">
        <f>I47+J23+J14+Schedules!J37</f>
        <v>486676.31211693154</v>
      </c>
      <c r="K47" s="8">
        <f>J47+K23+K14+Schedules!K37</f>
        <v>563579.9376642236</v>
      </c>
      <c r="L47" s="8">
        <f>K47+L23+L14+Schedules!L37</f>
        <v>649027.4414638766</v>
      </c>
      <c r="M47" s="1"/>
      <c r="N47" s="1" t="s">
        <v>994</v>
      </c>
    </row>
    <row r="48">
      <c r="A48" s="16" t="s">
        <v>995</v>
      </c>
      <c r="B48" s="32">
        <f>B45+B46+B47</f>
        <v>92079</v>
      </c>
      <c r="C48" s="68">
        <f>C45+C46+C47</f>
        <v>266509.55028102436</v>
      </c>
      <c r="D48" s="32">
        <f>D45+D46+D47</f>
        <v>327148.96751044836</v>
      </c>
      <c r="E48" s="32">
        <f>E45+E46+E47</f>
        <v>360016.9384508146</v>
      </c>
      <c r="F48" s="32">
        <f>F45+F46+F47</f>
        <v>388838.748521309</v>
      </c>
      <c r="G48" s="32">
        <f>G45+G46+G47</f>
        <v>424610.5576110652</v>
      </c>
      <c r="H48" s="32">
        <f>H45+H46+H47</f>
        <v>470309.2197481764</v>
      </c>
      <c r="I48" s="32">
        <f>I45+I46+I47</f>
        <v>529418.6910881095</v>
      </c>
      <c r="J48" s="32">
        <f>J45+J46+J47</f>
        <v>601767.9586001347</v>
      </c>
      <c r="K48" s="32">
        <f>K45+K46+K47</f>
        <v>683778.8677559831</v>
      </c>
      <c r="L48" s="32">
        <f>L45+L46+L47</f>
        <v>773436.2457851018</v>
      </c>
      <c r="M48" s="1"/>
      <c r="N48" s="1"/>
    </row>
    <row r="49">
      <c r="A49" s="1"/>
      <c r="B49" s="1"/>
      <c r="C49" s="47"/>
      <c r="D49" s="1"/>
      <c r="E49" s="1"/>
      <c r="F49" s="1"/>
      <c r="G49" s="1"/>
      <c r="H49" s="1"/>
      <c r="I49" s="1"/>
      <c r="J49" s="1"/>
      <c r="K49" s="1"/>
      <c r="L49" s="1"/>
      <c r="M49" s="1"/>
      <c r="N49" s="1"/>
    </row>
    <row r="50">
      <c r="A50" s="16" t="s">
        <v>996</v>
      </c>
      <c r="B50" s="1"/>
      <c r="C50" s="47"/>
      <c r="D50" s="1"/>
      <c r="E50" s="1"/>
      <c r="F50" s="1"/>
      <c r="G50" s="1"/>
      <c r="H50" s="1"/>
      <c r="I50" s="1"/>
      <c r="J50" s="1"/>
      <c r="K50" s="1"/>
      <c r="L50" s="1"/>
      <c r="M50" s="1"/>
      <c r="N50" s="1"/>
    </row>
    <row r="51">
      <c r="A51" s="6" t="s">
        <v>105</v>
      </c>
      <c r="B51" s="9">
        <f>CF_Hist!D7</f>
        <v>-4937</v>
      </c>
      <c r="C51" s="20">
        <f>Interim_Bridge!D63</f>
        <v>2848.9008718598816</v>
      </c>
      <c r="D51" s="8">
        <f>D23</f>
        <v>10493.498558293475</v>
      </c>
      <c r="E51" s="8">
        <f>E23</f>
        <v>16347.77432445698</v>
      </c>
      <c r="F51" s="8">
        <f>F23</f>
        <v>23560.905462978895</v>
      </c>
      <c r="G51" s="8">
        <f>G23</f>
        <v>34225.21211571382</v>
      </c>
      <c r="H51" s="8">
        <f>H23</f>
        <v>41134.74849474392</v>
      </c>
      <c r="I51" s="8">
        <f>I23</f>
        <v>45672.517651211616</v>
      </c>
      <c r="J51" s="8">
        <f>J23</f>
        <v>55000.00477071981</v>
      </c>
      <c r="K51" s="8">
        <f>K23</f>
        <v>67369.56411482955</v>
      </c>
      <c r="L51" s="8">
        <f>L23</f>
        <v>75407.03544027085</v>
      </c>
      <c r="M51" s="1"/>
      <c r="N51" s="1"/>
    </row>
    <row r="52">
      <c r="A52" s="6" t="s">
        <v>190</v>
      </c>
      <c r="B52" s="9">
        <f>CF_Hist!D8</f>
        <v>6701</v>
      </c>
      <c r="C52" s="20">
        <f>Interim_Bridge!D64</f>
        <v>12680.8125</v>
      </c>
      <c r="D52" s="8">
        <f>D13</f>
        <v>23870.160329229813</v>
      </c>
      <c r="E52" s="8">
        <f>E13</f>
        <v>35175.607094955485</v>
      </c>
      <c r="F52" s="8">
        <f>F13</f>
        <v>46432.0598734465</v>
      </c>
      <c r="G52" s="8">
        <f>G13</f>
        <v>56577.22596383865</v>
      </c>
      <c r="H52" s="8">
        <f>H13</f>
        <v>65947.09074485223</v>
      </c>
      <c r="I52" s="8">
        <f>I13</f>
        <v>75625.06378447515</v>
      </c>
      <c r="J52" s="8">
        <f>J13</f>
        <v>78607.48236676551</v>
      </c>
      <c r="K52" s="8">
        <f>K13</f>
        <v>75472.03210249747</v>
      </c>
      <c r="L52" s="8">
        <f>L13</f>
        <v>76454.48305578937</v>
      </c>
      <c r="M52" s="1"/>
      <c r="N52" s="1"/>
    </row>
    <row r="53">
      <c r="A53" s="6" t="s">
        <v>191</v>
      </c>
      <c r="B53" s="9">
        <f>CF_Hist!D9</f>
        <v>1947</v>
      </c>
      <c r="C53" s="20">
        <f>Interim_Bridge!D65</f>
        <v>6789.759766176789</v>
      </c>
      <c r="D53" s="8">
        <f>D14</f>
        <v>12306.6674466774</v>
      </c>
      <c r="E53" s="8">
        <f>E14</f>
        <v>13435.40198705827</v>
      </c>
      <c r="F53" s="8">
        <f>F14</f>
        <v>9802.939502440362</v>
      </c>
      <c r="G53" s="8">
        <f>G14</f>
        <v>6257.820964471359</v>
      </c>
      <c r="H53" s="8">
        <f>H14</f>
        <v>7279.558096316608</v>
      </c>
      <c r="I53" s="8">
        <f>I14</f>
        <v>8158.789189687921</v>
      </c>
      <c r="J53" s="8">
        <f>J14</f>
        <v>8913.4929141245</v>
      </c>
      <c r="K53" s="8">
        <f>K14</f>
        <v>9534.061432462522</v>
      </c>
      <c r="L53" s="8">
        <f>L14</f>
        <v>10040.468359382206</v>
      </c>
      <c r="M53" s="1"/>
      <c r="N53" s="1"/>
    </row>
    <row r="54">
      <c r="A54" s="6" t="s">
        <v>997</v>
      </c>
      <c r="B54" s="8">
        <f>CF_Hist!D10+CF_Hist!D11+CF_Hist!D12+CF_Hist!D14+CF_Hist!D15+CF_Hist!D17</f>
        <v>985</v>
      </c>
      <c r="C54" s="20">
        <f>Interim_Bridge!D66</f>
        <v>368</v>
      </c>
      <c r="D54" s="8">
        <f>0</f>
        <v>0</v>
      </c>
      <c r="E54" s="8">
        <f>0</f>
        <v>0</v>
      </c>
      <c r="F54" s="8">
        <f>0</f>
        <v>0</v>
      </c>
      <c r="G54" s="8">
        <f>0</f>
        <v>0</v>
      </c>
      <c r="H54" s="8">
        <f>0</f>
        <v>0</v>
      </c>
      <c r="I54" s="8">
        <f>0</f>
        <v>0</v>
      </c>
      <c r="J54" s="8">
        <f>0</f>
        <v>0</v>
      </c>
      <c r="K54" s="8">
        <f>0</f>
        <v>0</v>
      </c>
      <c r="L54" s="8">
        <f>0</f>
        <v>0</v>
      </c>
      <c r="M54" s="1"/>
      <c r="N54" s="1"/>
    </row>
    <row r="55">
      <c r="A55" s="6" t="s">
        <v>204</v>
      </c>
      <c r="B55" s="8">
        <f>CF_Hist!D20+CF_Hist!D21+CF_Hist!D22+CF_Hist!D23+CF_Hist!D24+CF_Hist!D25+CF_Hist!D26</f>
        <v>2089</v>
      </c>
      <c r="C55" s="20">
        <f>Interim_Bridge!D67</f>
        <v>5235.821431638578</v>
      </c>
      <c r="D55" s="9">
        <f>Schedules!D87</f>
        <v>-7133.873042887775</v>
      </c>
      <c r="E55" s="9">
        <f>Schedules!E87</f>
        <v>8116.592428882683</v>
      </c>
      <c r="F55" s="9">
        <f>Schedules!F87</f>
        <v>987.1556257919583</v>
      </c>
      <c r="G55" s="9">
        <f>Schedules!G87</f>
        <v>848.7593466738035</v>
      </c>
      <c r="H55" s="9">
        <f>Schedules!H87</f>
        <v>-283.74879412036535</v>
      </c>
      <c r="I55" s="9">
        <f>Schedules!I87</f>
        <v>2486.6674354270435</v>
      </c>
      <c r="J55" s="9">
        <f>Schedules!J87</f>
        <v>4322.902679062863</v>
      </c>
      <c r="K55" s="9">
        <f>Schedules!K87</f>
        <v>1725.4056747564173</v>
      </c>
      <c r="L55" s="9">
        <f>Schedules!L87</f>
        <v>1450.1364067030809</v>
      </c>
      <c r="M55" s="1"/>
      <c r="N55" s="1"/>
    </row>
    <row r="56">
      <c r="A56" s="16" t="s">
        <v>210</v>
      </c>
      <c r="B56" s="12">
        <f>B51+B52+B53+B54+B55</f>
        <v>6785</v>
      </c>
      <c r="C56" s="37">
        <f>C51+C52+C53+C54+C55</f>
        <v>27923.29456967525</v>
      </c>
      <c r="D56" s="12">
        <f>D51+D52+D53+D54+D55</f>
        <v>39536.45329131291</v>
      </c>
      <c r="E56" s="12">
        <f>E51+E52+E53+E54+E55</f>
        <v>73075.37583535342</v>
      </c>
      <c r="F56" s="12">
        <f>F51+F52+F53+F54+F55</f>
        <v>80783.06046465773</v>
      </c>
      <c r="G56" s="12">
        <f>G51+G52+G53+G54+G55</f>
        <v>97909.01839069763</v>
      </c>
      <c r="H56" s="12">
        <f>H51+H52+H53+H54+H55</f>
        <v>114077.64854179241</v>
      </c>
      <c r="I56" s="12">
        <f>I51+I52+I53+I54+I55</f>
        <v>131943.03806080171</v>
      </c>
      <c r="J56" s="12">
        <f>J51+J52+J53+J54+J55</f>
        <v>146843.8827306727</v>
      </c>
      <c r="K56" s="12">
        <f>K51+K52+K53+K54+K55</f>
        <v>154101.06332454598</v>
      </c>
      <c r="L56" s="12">
        <f>L51+L52+L53+L54+L55</f>
        <v>163352.1232621455</v>
      </c>
      <c r="M56" s="1"/>
      <c r="N56" s="1"/>
    </row>
    <row r="57">
      <c r="A57" s="6" t="s">
        <v>860</v>
      </c>
      <c r="B57" s="9">
        <f>CF_Hist!D30</f>
        <v>-20737</v>
      </c>
      <c r="C57" s="20">
        <f>Interim_Bridge!D69</f>
        <v>-71269</v>
      </c>
      <c r="D57" s="8">
        <f>-Segments_Fcst!D49</f>
        <v>-36207.674720869574</v>
      </c>
      <c r="E57" s="8">
        <f>-Segments_Fcst!E49</f>
        <v>-78632.50722210144</v>
      </c>
      <c r="F57" s="8">
        <f>-Segments_Fcst!F49</f>
        <v>-74382.02056280868</v>
      </c>
      <c r="G57" s="8">
        <f>-Segments_Fcst!G49</f>
        <v>-71722.05105539857</v>
      </c>
      <c r="H57" s="8">
        <f>-Segments_Fcst!H49</f>
        <v>-71859.5431833087</v>
      </c>
      <c r="I57" s="8">
        <f>-Segments_Fcst!I49</f>
        <v>-69313.5762195042</v>
      </c>
      <c r="J57" s="8">
        <f>-Segments_Fcst!J49</f>
        <v>-83800.79154637048</v>
      </c>
      <c r="K57" s="8">
        <f>-Segments_Fcst!K49</f>
        <v>-81732.09073871635</v>
      </c>
      <c r="L57" s="8">
        <f>-Segments_Fcst!L49</f>
        <v>-80353.63326955272</v>
      </c>
      <c r="M57" s="1"/>
      <c r="N57" s="1"/>
    </row>
    <row r="58">
      <c r="A58" s="6" t="s">
        <v>787</v>
      </c>
      <c r="B58" s="5">
        <v>0</v>
      </c>
      <c r="C58" s="20">
        <f>Interim_Bridge!D70</f>
        <v>-385</v>
      </c>
      <c r="D58" s="8">
        <f>-Schedules!D36</f>
        <v>-17328</v>
      </c>
      <c r="E58" s="8">
        <f>-Schedules!E36</f>
        <v>0</v>
      </c>
      <c r="F58" s="8">
        <f>-Schedules!F36</f>
        <v>0</v>
      </c>
      <c r="G58" s="8">
        <f>-Schedules!G36</f>
        <v>0</v>
      </c>
      <c r="H58" s="8">
        <f>-Schedules!H36</f>
        <v>0</v>
      </c>
      <c r="I58" s="8">
        <f>-Schedules!I36</f>
        <v>0</v>
      </c>
      <c r="J58" s="8">
        <f>-Schedules!J36</f>
        <v>0</v>
      </c>
      <c r="K58" s="8">
        <f>-Schedules!K36</f>
        <v>0</v>
      </c>
      <c r="L58" s="8">
        <f>-Schedules!L36</f>
        <v>0</v>
      </c>
      <c r="M58" s="1"/>
      <c r="N58" s="1"/>
    </row>
    <row r="59">
      <c r="A59" s="6" t="s">
        <v>998</v>
      </c>
      <c r="B59" s="8">
        <f>CF_Hist!D31+CF_Hist!D32+CF_Hist!D38+CF_Hist!D39</f>
        <v>-232</v>
      </c>
      <c r="C59" s="20">
        <f>Interim_Bridge!D71</f>
        <v>1057</v>
      </c>
      <c r="D59" s="8">
        <f>0</f>
        <v>0</v>
      </c>
      <c r="E59" s="8">
        <f>0</f>
        <v>0</v>
      </c>
      <c r="F59" s="8">
        <f>0</f>
        <v>0</v>
      </c>
      <c r="G59" s="8">
        <f>0</f>
        <v>0</v>
      </c>
      <c r="H59" s="8">
        <f>0</f>
        <v>0</v>
      </c>
      <c r="I59" s="8">
        <f>0</f>
        <v>0</v>
      </c>
      <c r="J59" s="8">
        <f>0</f>
        <v>0</v>
      </c>
      <c r="K59" s="8">
        <f>0</f>
        <v>0</v>
      </c>
      <c r="L59" s="8">
        <f>0</f>
        <v>0</v>
      </c>
      <c r="M59" s="1"/>
      <c r="N59" s="1"/>
    </row>
    <row r="60">
      <c r="A60" s="6" t="s">
        <v>999</v>
      </c>
      <c r="B60" s="8">
        <f>-(CF_Hist!D33+CF_Hist!D34+CF_Hist!D35)</f>
        <v>-1394</v>
      </c>
      <c r="C60" s="20">
        <f>Interim_Bridge!D72</f>
        <v>37599</v>
      </c>
      <c r="D60" s="8">
        <f>0</f>
        <v>0</v>
      </c>
      <c r="E60" s="8">
        <f>0</f>
        <v>0</v>
      </c>
      <c r="F60" s="8">
        <f>0</f>
        <v>0</v>
      </c>
      <c r="G60" s="8">
        <f>0</f>
        <v>0</v>
      </c>
      <c r="H60" s="8">
        <f>0</f>
        <v>0</v>
      </c>
      <c r="I60" s="8">
        <f>0</f>
        <v>0</v>
      </c>
      <c r="J60" s="8">
        <f>0</f>
        <v>0</v>
      </c>
      <c r="K60" s="8">
        <f>0</f>
        <v>0</v>
      </c>
      <c r="L60" s="8">
        <f>0</f>
        <v>0</v>
      </c>
      <c r="M60" s="1"/>
      <c r="N60" s="1"/>
    </row>
    <row r="61">
      <c r="A61" s="6" t="s">
        <v>1000</v>
      </c>
      <c r="B61" s="8">
        <f>CF_Hist!D43+CF_Hist!D44+CF_Hist!D45+CF_Hist!D46</f>
        <v>8836</v>
      </c>
      <c r="C61" s="20">
        <f>Interim_Bridge!D73</f>
        <v>9868</v>
      </c>
      <c r="D61" s="8">
        <f>-Schedules!D42</f>
        <v>-2741</v>
      </c>
      <c r="E61" s="8">
        <f>-Schedules!E42</f>
        <v>-3183</v>
      </c>
      <c r="F61" s="8">
        <f>-Schedules!F42</f>
        <v>-3738</v>
      </c>
      <c r="G61" s="8">
        <f>-Schedules!G42</f>
        <v>-3610</v>
      </c>
      <c r="H61" s="8">
        <f>-Schedules!H42</f>
        <v>0</v>
      </c>
      <c r="I61" s="8">
        <f>-Schedules!I42</f>
        <v>0</v>
      </c>
      <c r="J61" s="8">
        <f>-Schedules!J42</f>
        <v>0</v>
      </c>
      <c r="K61" s="8">
        <f>-Schedules!K42</f>
        <v>0</v>
      </c>
      <c r="L61" s="8">
        <f>-Schedules!L42</f>
        <v>0</v>
      </c>
      <c r="M61" s="1"/>
      <c r="N61" s="1"/>
    </row>
    <row r="62">
      <c r="A62" s="6" t="s">
        <v>1001</v>
      </c>
      <c r="B62" s="5">
        <v>0</v>
      </c>
      <c r="C62" s="35">
        <v>0</v>
      </c>
      <c r="D62" s="8">
        <f>-Schedules!D29</f>
        <v>-6000</v>
      </c>
      <c r="E62" s="8">
        <f>-Schedules!E29</f>
        <v>-7999.999999999999</v>
      </c>
      <c r="F62" s="8">
        <f>-Schedules!F29</f>
        <v>-8000.000000000003</v>
      </c>
      <c r="G62" s="8">
        <f>-Schedules!G29</f>
        <v>-7999.999999999998</v>
      </c>
      <c r="H62" s="8">
        <f>-Schedules!H29</f>
        <v>-7999.999999999998</v>
      </c>
      <c r="I62" s="8">
        <f>-Schedules!I29</f>
        <v>-2000.0000000000018</v>
      </c>
      <c r="J62" s="8">
        <f>-Schedules!J29</f>
        <v>0</v>
      </c>
      <c r="K62" s="8">
        <f>-Schedules!K29</f>
        <v>0</v>
      </c>
      <c r="L62" s="8">
        <f>-Schedules!L29</f>
        <v>0</v>
      </c>
      <c r="M62" s="1"/>
      <c r="N62" s="1"/>
    </row>
    <row r="63">
      <c r="A63" s="6" t="s">
        <v>1002</v>
      </c>
      <c r="B63" s="8">
        <f>CF_Hist!D48+CF_Hist!D49+CF_Hist!D50+CF_Hist!D51</f>
        <v>17514</v>
      </c>
      <c r="C63" s="20">
        <f>Interim_Bridge!D74</f>
        <v>89377</v>
      </c>
      <c r="D63" s="8">
        <f>0</f>
        <v>0</v>
      </c>
      <c r="E63" s="8">
        <f>0</f>
        <v>0</v>
      </c>
      <c r="F63" s="8">
        <f>0</f>
        <v>0</v>
      </c>
      <c r="G63" s="8">
        <f>0</f>
        <v>0</v>
      </c>
      <c r="H63" s="8">
        <f>0</f>
        <v>0</v>
      </c>
      <c r="I63" s="8">
        <f>0</f>
        <v>0</v>
      </c>
      <c r="J63" s="8">
        <f>0</f>
        <v>0</v>
      </c>
      <c r="K63" s="8">
        <f>0</f>
        <v>0</v>
      </c>
      <c r="L63" s="8">
        <f>0</f>
        <v>0</v>
      </c>
      <c r="M63" s="1"/>
      <c r="N63" s="1"/>
    </row>
    <row r="64">
      <c r="A64" s="6" t="s">
        <v>1003</v>
      </c>
      <c r="B64" s="8">
        <f>B28-BS_Hist!B46-(B56+B57+B58+B59+B60+B61+B63)</f>
        <v>1790</v>
      </c>
      <c r="C64" s="20">
        <f>Interim_Bridge!D75</f>
        <v>-38395</v>
      </c>
      <c r="D64" s="8">
        <f>0</f>
        <v>0</v>
      </c>
      <c r="E64" s="8">
        <f>0</f>
        <v>0</v>
      </c>
      <c r="F64" s="8">
        <f>0</f>
        <v>0</v>
      </c>
      <c r="G64" s="8">
        <f>0</f>
        <v>0</v>
      </c>
      <c r="H64" s="8">
        <f>0</f>
        <v>0</v>
      </c>
      <c r="I64" s="8">
        <f>0</f>
        <v>0</v>
      </c>
      <c r="J64" s="8">
        <f>0</f>
        <v>0</v>
      </c>
      <c r="K64" s="8">
        <f>0</f>
        <v>0</v>
      </c>
      <c r="L64" s="8">
        <f>0</f>
        <v>0</v>
      </c>
      <c r="M64" s="1"/>
      <c r="N64" s="1"/>
    </row>
    <row r="65">
      <c r="A65" s="6" t="s">
        <v>1004</v>
      </c>
      <c r="B65" s="8"/>
      <c r="C65" s="17"/>
      <c r="D65" s="8">
        <f>C28+D56+D57+D58+D59+D60+D61+D62+D63+D64</f>
        <v>57782.07314011858</v>
      </c>
      <c r="E65" s="8">
        <f>D28+E56+E57+E58+E59+E60+E61+E62+E63+E64</f>
        <v>41041.94175337056</v>
      </c>
      <c r="F65" s="8">
        <f>E28+F56+F57+F58+F59+F60+F61+F62+F63+F64</f>
        <v>35704.9816552196</v>
      </c>
      <c r="G65" s="8">
        <f>F28+G56+G57+G58+G59+G60+G61+G62+G63+G64</f>
        <v>50281.948990518664</v>
      </c>
      <c r="H65" s="8">
        <f>G28+H56+H57+H58+H59+H60+H61+H62+H63+H64</f>
        <v>84500.05434900237</v>
      </c>
      <c r="I65" s="8">
        <f>H28+I56+I57+I58+I59+I60+I61+I62+I63+I64</f>
        <v>145129.51619029988</v>
      </c>
      <c r="J65" s="8">
        <f>I28+J56+J57+J58+J59+J60+J61+J62+J63+J64</f>
        <v>208172.6073746021</v>
      </c>
      <c r="K65" s="8">
        <f>J28+K56+K57+K58+K59+K60+K61+K62+K63+K64</f>
        <v>280541.5799604317</v>
      </c>
      <c r="L65" s="8">
        <f>K28+L56+L57+L58+L59+L60+L61+L62+L63+L64</f>
        <v>363540.0699530245</v>
      </c>
      <c r="M65" s="1"/>
      <c r="N65" s="1"/>
    </row>
    <row r="66">
      <c r="A66" s="6" t="s">
        <v>1005</v>
      </c>
      <c r="B66" s="8"/>
      <c r="C66" s="17"/>
      <c r="D66" s="8">
        <f>MAX(0,Assumptions!$C$59-D65)</f>
        <v>0</v>
      </c>
      <c r="E66" s="8">
        <f>MAX(0,Assumptions!$C$59-E65)</f>
        <v>0</v>
      </c>
      <c r="F66" s="8">
        <f>MAX(0,Assumptions!$C$59-F65)</f>
        <v>0</v>
      </c>
      <c r="G66" s="8">
        <f>MAX(0,Assumptions!$C$59-G65)</f>
        <v>0</v>
      </c>
      <c r="H66" s="8">
        <f>MAX(0,Assumptions!$C$59-H65)</f>
        <v>0</v>
      </c>
      <c r="I66" s="8">
        <f>MAX(0,Assumptions!$C$59-I65)</f>
        <v>0</v>
      </c>
      <c r="J66" s="8">
        <f>MAX(0,Assumptions!$C$59-J65)</f>
        <v>0</v>
      </c>
      <c r="K66" s="8">
        <f>MAX(0,Assumptions!$C$59-K65)</f>
        <v>0</v>
      </c>
      <c r="L66" s="8">
        <f>MAX(0,Assumptions!$C$59-L65)</f>
        <v>0</v>
      </c>
      <c r="M66" s="1"/>
      <c r="N66" s="1"/>
    </row>
    <row r="67">
      <c r="A67" s="6" t="s">
        <v>1006</v>
      </c>
      <c r="B67" s="8"/>
      <c r="C67" s="17"/>
      <c r="D67" s="8">
        <f>-MIN(C43,MAX(0,D65-Assumptions!$C$59))</f>
        <v>0</v>
      </c>
      <c r="E67" s="8">
        <f>-MIN(D43,MAX(0,E65-Assumptions!$C$59))</f>
        <v>0</v>
      </c>
      <c r="F67" s="8">
        <f>-MIN(E43,MAX(0,F65-Assumptions!$C$59))</f>
        <v>0</v>
      </c>
      <c r="G67" s="8">
        <f>-MIN(F43,MAX(0,G65-Assumptions!$C$59))</f>
        <v>0</v>
      </c>
      <c r="H67" s="8">
        <f>-MIN(G43,MAX(0,H65-Assumptions!$C$59))</f>
        <v>0</v>
      </c>
      <c r="I67" s="8">
        <f>-MIN(H43,MAX(0,I65-Assumptions!$C$59))</f>
        <v>0</v>
      </c>
      <c r="J67" s="8">
        <f>-MIN(I43,MAX(0,J65-Assumptions!$C$59))</f>
        <v>0</v>
      </c>
      <c r="K67" s="8">
        <f>-MIN(J43,MAX(0,K65-Assumptions!$C$59))</f>
        <v>0</v>
      </c>
      <c r="L67" s="8">
        <f>-MIN(K43,MAX(0,L65-Assumptions!$C$59))</f>
        <v>0</v>
      </c>
      <c r="M67" s="1"/>
      <c r="N67" s="1"/>
    </row>
    <row r="68">
      <c r="A68" s="16" t="s">
        <v>796</v>
      </c>
      <c r="B68" s="32">
        <f>B56+B57+B58+B59+B60+B61+B62+B63+B64</f>
        <v>12562</v>
      </c>
      <c r="C68" s="68">
        <f>C56+C57+C58+C59+C60+C61+C62+C63+C64</f>
        <v>55775.29456967526</v>
      </c>
      <c r="D68" s="32">
        <f>D65-C28+D66+D67</f>
        <v>-22740.221429556666</v>
      </c>
      <c r="E68" s="32">
        <f>E65-D28+E66+E67</f>
        <v>-16740.13138674802</v>
      </c>
      <c r="F68" s="32">
        <f>F65-E28+F66+F67</f>
        <v>-5336.9600981509575</v>
      </c>
      <c r="G68" s="32">
        <f>G65-F28+G66+G67</f>
        <v>14576.967335299065</v>
      </c>
      <c r="H68" s="32">
        <f>H65-G28+H66+H67</f>
        <v>34218.10535848371</v>
      </c>
      <c r="I68" s="32">
        <f>I65-H28+I66+I67</f>
        <v>60629.46184129751</v>
      </c>
      <c r="J68" s="32">
        <f>J65-I28+J66+J67</f>
        <v>63043.09118430223</v>
      </c>
      <c r="K68" s="32">
        <f>K65-J28+K66+K67</f>
        <v>72368.97258582962</v>
      </c>
      <c r="L68" s="32">
        <f>L65-K28+L66+L67</f>
        <v>82998.48999259277</v>
      </c>
      <c r="M68" s="1"/>
      <c r="N68" s="1"/>
    </row>
    <row r="69">
      <c r="A69" s="16" t="s">
        <v>1007</v>
      </c>
      <c r="B69" s="33">
        <f>B56+B57</f>
        <v>-13952</v>
      </c>
      <c r="C69" s="53">
        <f>C56+C57</f>
        <v>-43345.70543032475</v>
      </c>
      <c r="D69" s="33">
        <f>D56+D57</f>
        <v>3328.7785704433336</v>
      </c>
      <c r="E69" s="33">
        <f>E56+E57</f>
        <v>-5557.13138674802</v>
      </c>
      <c r="F69" s="33">
        <f>F56+F57</f>
        <v>6401.0399018490425</v>
      </c>
      <c r="G69" s="33">
        <f>G56+G57</f>
        <v>26186.967335299065</v>
      </c>
      <c r="H69" s="33">
        <f>H56+H57</f>
        <v>42218.10535848371</v>
      </c>
      <c r="I69" s="33">
        <f>I56+I57</f>
        <v>62629.46184129751</v>
      </c>
      <c r="J69" s="33">
        <f>J56+J57</f>
        <v>63043.091184302204</v>
      </c>
      <c r="K69" s="33">
        <f>K56+K57</f>
        <v>72368.97258582963</v>
      </c>
      <c r="L69" s="33">
        <f>L56+L57</f>
        <v>82998.48999259277</v>
      </c>
      <c r="M69" s="1"/>
      <c r="N69" s="1"/>
    </row>
    <row r="70">
      <c r="A70" s="6" t="s">
        <v>1008</v>
      </c>
      <c r="B70" s="8">
        <f>B69+B62</f>
        <v>-13952</v>
      </c>
      <c r="C70" s="17">
        <f>C69+C62</f>
        <v>-43345.70543032475</v>
      </c>
      <c r="D70" s="8">
        <f>D69+D62</f>
        <v>-2671.2214295566664</v>
      </c>
      <c r="E70" s="8">
        <f>E69+E62</f>
        <v>-13557.13138674802</v>
      </c>
      <c r="F70" s="8">
        <f>F69+F62</f>
        <v>-1598.9600981509602</v>
      </c>
      <c r="G70" s="8">
        <f>G69+G62</f>
        <v>18186.967335299065</v>
      </c>
      <c r="H70" s="8">
        <f>H69+H62</f>
        <v>34218.10535848371</v>
      </c>
      <c r="I70" s="8">
        <f>I69+I62</f>
        <v>60629.46184129751</v>
      </c>
      <c r="J70" s="8">
        <f>J69+J62</f>
        <v>63043.091184302204</v>
      </c>
      <c r="K70" s="8">
        <f>K69+K62</f>
        <v>72368.97258582963</v>
      </c>
      <c r="L70" s="8">
        <f>L69+L62</f>
        <v>82998.48999259277</v>
      </c>
      <c r="M70" s="1"/>
      <c r="N70" s="1"/>
    </row>
    <row r="71">
      <c r="A71" s="1"/>
      <c r="B71" s="1"/>
      <c r="C71" s="47"/>
      <c r="D71" s="1"/>
      <c r="E71" s="1"/>
      <c r="F71" s="1"/>
      <c r="G71" s="1"/>
      <c r="H71" s="1"/>
      <c r="I71" s="1"/>
      <c r="J71" s="1"/>
      <c r="K71" s="1"/>
      <c r="L71" s="1"/>
      <c r="M71" s="1"/>
      <c r="N71" s="1"/>
    </row>
    <row r="72">
      <c r="A72" s="16" t="s">
        <v>315</v>
      </c>
      <c r="B72" s="1"/>
      <c r="C72" s="47"/>
      <c r="D72" s="1"/>
      <c r="E72" s="1"/>
      <c r="F72" s="1"/>
      <c r="G72" s="1"/>
      <c r="H72" s="1"/>
      <c r="I72" s="1"/>
      <c r="J72" s="1"/>
      <c r="K72" s="1"/>
      <c r="L72" s="1"/>
      <c r="M72" s="1"/>
      <c r="N72" s="1"/>
    </row>
    <row r="73">
      <c r="A73" s="6" t="s">
        <v>817</v>
      </c>
      <c r="B73" s="14">
        <f>B37-B48</f>
        <v>0</v>
      </c>
      <c r="C73" s="57">
        <f>C37-C48</f>
        <v>0</v>
      </c>
      <c r="D73" s="14">
        <f>D37-D48</f>
        <v>0</v>
      </c>
      <c r="E73" s="14">
        <f>E37-E48</f>
        <v>0</v>
      </c>
      <c r="F73" s="14">
        <f>F37-F48</f>
        <v>0</v>
      </c>
      <c r="G73" s="14">
        <f>G37-G48</f>
        <v>0</v>
      </c>
      <c r="H73" s="14">
        <f>H37-H48</f>
        <v>0</v>
      </c>
      <c r="I73" s="14">
        <f>I37-I48</f>
        <v>0</v>
      </c>
      <c r="J73" s="14">
        <f>J37-J48</f>
        <v>0</v>
      </c>
      <c r="K73" s="14">
        <f>K37-K48</f>
        <v>0</v>
      </c>
      <c r="L73" s="14">
        <f>L37-L48</f>
        <v>0</v>
      </c>
      <c r="M73" s="1"/>
      <c r="N73" s="1"/>
    </row>
    <row r="74">
      <c r="A74" s="6" t="s">
        <v>1009</v>
      </c>
      <c r="B74" s="1"/>
      <c r="C74" s="57">
        <f>B28+C68-C28</f>
        <v>0</v>
      </c>
      <c r="D74" s="14">
        <f>C28+D68-D28</f>
        <v>0</v>
      </c>
      <c r="E74" s="14">
        <f>D28+E68-E28</f>
        <v>0</v>
      </c>
      <c r="F74" s="14">
        <f>E28+F68-F28</f>
        <v>0</v>
      </c>
      <c r="G74" s="14">
        <f>F28+G68-G28</f>
        <v>0</v>
      </c>
      <c r="H74" s="14">
        <f>G28+H68-H28</f>
        <v>0</v>
      </c>
      <c r="I74" s="14">
        <f>H28+I68-I28</f>
        <v>0</v>
      </c>
      <c r="J74" s="14">
        <f>I28+J68-J28</f>
        <v>0</v>
      </c>
      <c r="K74" s="14">
        <f>J28+K68-K28</f>
        <v>0</v>
      </c>
      <c r="L74" s="14">
        <f>K28+L68-L28</f>
        <v>0</v>
      </c>
      <c r="M74" s="1"/>
      <c r="N74" s="1"/>
    </row>
    <row r="75">
      <c r="A75" s="6" t="s">
        <v>1010</v>
      </c>
      <c r="B75" s="1"/>
      <c r="C75" s="47"/>
      <c r="D75" s="14">
        <f>MIN(0,D28-Assumptions!$C$59+0.001)</f>
        <v>0</v>
      </c>
      <c r="E75" s="14">
        <f>MIN(0,E28-Assumptions!$C$59+0.001)</f>
        <v>0</v>
      </c>
      <c r="F75" s="14">
        <f>MIN(0,F28-Assumptions!$C$59+0.001)</f>
        <v>0</v>
      </c>
      <c r="G75" s="14">
        <f>MIN(0,G28-Assumptions!$C$59+0.001)</f>
        <v>0</v>
      </c>
      <c r="H75" s="14">
        <f>MIN(0,H28-Assumptions!$C$59+0.001)</f>
        <v>0</v>
      </c>
      <c r="I75" s="14">
        <f>MIN(0,I28-Assumptions!$C$59+0.001)</f>
        <v>0</v>
      </c>
      <c r="J75" s="14">
        <f>MIN(0,J28-Assumptions!$C$59+0.001)</f>
        <v>0</v>
      </c>
      <c r="K75" s="14">
        <f>MIN(0,K28-Assumptions!$C$59+0.001)</f>
        <v>0</v>
      </c>
      <c r="L75" s="14">
        <f>MIN(0,L28-Assumptions!$C$59+0.001)</f>
        <v>0</v>
      </c>
      <c r="M75" s="1"/>
      <c r="N75" s="1"/>
    </row>
    <row r="76">
      <c r="A76" s="6" t="s">
        <v>1011</v>
      </c>
      <c r="B76" s="14">
        <f>B16-IS_Hist!D14</f>
        <v>0</v>
      </c>
      <c r="C76" s="47"/>
      <c r="D76" s="1"/>
      <c r="E76" s="1"/>
      <c r="F76" s="1"/>
      <c r="G76" s="1"/>
      <c r="H76" s="1"/>
      <c r="I76" s="1"/>
      <c r="J76" s="1"/>
      <c r="K76" s="1"/>
      <c r="L76" s="1"/>
      <c r="M76" s="1"/>
      <c r="N76" s="1"/>
    </row>
    <row r="77">
      <c r="A77" s="6" t="s">
        <v>1012</v>
      </c>
      <c r="B77" s="14">
        <f>B23-IS_Hist!D20</f>
        <v>0</v>
      </c>
      <c r="C77" s="47"/>
      <c r="D77" s="1"/>
      <c r="E77" s="1"/>
      <c r="F77" s="1"/>
      <c r="G77" s="1"/>
      <c r="H77" s="1"/>
      <c r="I77" s="1"/>
      <c r="J77" s="1"/>
      <c r="K77" s="1"/>
      <c r="L77" s="1"/>
      <c r="M77" s="1"/>
      <c r="N77" s="1"/>
    </row>
    <row r="78">
      <c r="A78" s="6" t="s">
        <v>1013</v>
      </c>
      <c r="B78" s="14">
        <f>B56-CF_Hist!D27</f>
        <v>0</v>
      </c>
      <c r="C78" s="47"/>
      <c r="D78" s="1"/>
      <c r="E78" s="1"/>
      <c r="F78" s="1"/>
      <c r="G78" s="1"/>
      <c r="H78" s="1"/>
      <c r="I78" s="1"/>
      <c r="J78" s="1"/>
      <c r="K78" s="1"/>
      <c r="L78" s="1"/>
      <c r="M78" s="1"/>
      <c r="N78" s="1"/>
    </row>
    <row r="79">
      <c r="A79" s="6" t="s">
        <v>1014</v>
      </c>
      <c r="B79" s="14">
        <f>B37-BS_Hist!C21</f>
        <v>0</v>
      </c>
      <c r="C79" s="47"/>
      <c r="D79" s="1"/>
      <c r="E79" s="1"/>
      <c r="F79" s="1"/>
      <c r="G79" s="1"/>
      <c r="H79" s="1"/>
      <c r="I79" s="1"/>
      <c r="J79" s="1"/>
      <c r="K79" s="1"/>
      <c r="L79" s="1"/>
      <c r="M79" s="1"/>
      <c r="N79" s="1"/>
    </row>
    <row r="80">
      <c r="A80" s="6" t="s">
        <v>1015</v>
      </c>
      <c r="B80" s="1"/>
      <c r="C80" s="57">
        <f>C23-Interim_Bridge!D41</f>
        <v>0</v>
      </c>
      <c r="D80" s="1"/>
      <c r="E80" s="1"/>
      <c r="F80" s="1"/>
      <c r="G80" s="1"/>
      <c r="H80" s="1"/>
      <c r="I80" s="1"/>
      <c r="J80" s="1"/>
      <c r="K80" s="1"/>
      <c r="L80" s="1"/>
      <c r="M80" s="1"/>
      <c r="N80" s="1"/>
    </row>
  </sheetData>
</worksheet>
</file>

<file path=xl/worksheets/sheet15.xml><?xml version="1.0" encoding="utf-8"?>
<worksheet xmlns="http://schemas.openxmlformats.org/spreadsheetml/2006/main" xmlns:r="http://schemas.openxmlformats.org/officeDocument/2006/relationships">
  <sheetPr>
    <tabColor rgb="FF5A2331"/>
  </sheetPr>
  <dimension ref="A1:N65"/>
  <sheetViews>
    <sheetView showGridLines="0" workbookViewId="0"/>
  </sheetViews>
  <sheetFormatPr defaultColWidth="8.375" defaultRowHeight="15"/>
  <cols>
    <col min="1" max="1" width="99.375" customWidth="1"/>
    <col min="2" max="4" width="14.375" customWidth="1"/>
    <col min="5" max="12" width="11.375" customWidth="1"/>
    <col min="13" max="13" width="17.70703125" customWidth="1"/>
    <col min="14" max="14" width="69.375" customWidth="1"/>
  </cols>
  <sheetData>
    <row r="1">
      <c r="A1" s="56" t="s">
        <v>1016</v>
      </c>
      <c r="B1" s="1"/>
      <c r="C1" s="1"/>
      <c r="D1" s="1"/>
      <c r="E1" s="1"/>
      <c r="F1" s="1"/>
      <c r="G1" s="1"/>
      <c r="H1" s="1"/>
      <c r="I1" s="1"/>
      <c r="J1" s="1"/>
      <c r="K1" s="1"/>
      <c r="L1" s="1"/>
      <c r="M1" s="1"/>
      <c r="N1" s="1"/>
    </row>
    <row r="2">
      <c r="A2" s="1" t="s">
        <v>1017</v>
      </c>
      <c r="B2" s="1"/>
      <c r="C2" s="1"/>
      <c r="D2" s="1"/>
      <c r="E2" s="1"/>
      <c r="F2" s="1"/>
      <c r="G2" s="1"/>
      <c r="H2" s="1"/>
      <c r="I2" s="1"/>
      <c r="J2" s="1"/>
      <c r="K2" s="1"/>
      <c r="L2" s="1"/>
      <c r="M2" s="1"/>
      <c r="N2" s="1"/>
    </row>
    <row r="3">
      <c r="A3" s="1"/>
      <c r="B3" s="1"/>
      <c r="C3" s="1"/>
      <c r="D3" s="1"/>
      <c r="E3" s="1"/>
      <c r="F3" s="1"/>
      <c r="G3" s="1"/>
      <c r="H3" s="1"/>
      <c r="I3" s="1"/>
      <c r="J3" s="1"/>
      <c r="K3" s="1"/>
      <c r="L3" s="1"/>
      <c r="M3" s="1"/>
      <c r="N3" s="1"/>
    </row>
    <row r="4">
      <c r="A4" s="4" t="s">
        <v>482</v>
      </c>
      <c r="B4" s="11" t="s">
        <v>130</v>
      </c>
      <c r="C4" s="40" t="s">
        <v>87</v>
      </c>
      <c r="D4" s="40" t="s">
        <v>88</v>
      </c>
      <c r="E4" s="1"/>
      <c r="F4" s="1"/>
      <c r="G4" s="1"/>
      <c r="H4" s="1"/>
      <c r="I4" s="1"/>
      <c r="J4" s="1"/>
      <c r="K4" s="1"/>
      <c r="L4" s="1"/>
      <c r="M4" s="1"/>
      <c r="N4" s="1"/>
    </row>
    <row r="5">
      <c r="A5" s="1"/>
      <c r="B5" s="1"/>
      <c r="C5" s="1"/>
      <c r="D5" s="1"/>
      <c r="E5" s="1"/>
      <c r="F5" s="1"/>
      <c r="G5" s="1"/>
      <c r="H5" s="1"/>
      <c r="I5" s="1"/>
      <c r="J5" s="1"/>
      <c r="K5" s="1"/>
      <c r="L5" s="1"/>
      <c r="M5" s="1"/>
      <c r="N5" s="1"/>
    </row>
    <row r="6">
      <c r="A6" s="16" t="s">
        <v>1018</v>
      </c>
      <c r="B6" s="1"/>
      <c r="C6" s="1"/>
      <c r="D6" s="1"/>
      <c r="E6" s="1"/>
      <c r="F6" s="1"/>
      <c r="G6" s="1"/>
      <c r="H6" s="1"/>
      <c r="I6" s="1"/>
      <c r="J6" s="1"/>
      <c r="K6" s="1"/>
      <c r="L6" s="1"/>
      <c r="M6" s="1"/>
      <c r="N6" s="1"/>
    </row>
    <row r="7">
      <c r="A7" s="6" t="s">
        <v>132</v>
      </c>
      <c r="B7" s="9">
        <f>BS_Hist!D7</f>
        <v>51294</v>
      </c>
      <c r="C7" s="1"/>
      <c r="D7" s="1"/>
      <c r="E7" s="1"/>
      <c r="F7" s="1"/>
      <c r="G7" s="1"/>
      <c r="H7" s="1"/>
      <c r="I7" s="1"/>
      <c r="J7" s="1"/>
      <c r="K7" s="1"/>
      <c r="L7" s="1"/>
      <c r="M7" s="1"/>
      <c r="N7" s="1"/>
    </row>
    <row r="8">
      <c r="A8" s="6" t="s">
        <v>134</v>
      </c>
      <c r="B8" s="9">
        <f>BS_Hist!D8</f>
        <v>38561</v>
      </c>
      <c r="C8" s="1"/>
      <c r="D8" s="1"/>
      <c r="E8" s="1"/>
      <c r="F8" s="1"/>
      <c r="G8" s="1"/>
      <c r="H8" s="1"/>
      <c r="I8" s="1"/>
      <c r="J8" s="1"/>
      <c r="K8" s="1"/>
      <c r="L8" s="1"/>
      <c r="M8" s="1"/>
      <c r="N8" s="1"/>
    </row>
    <row r="9">
      <c r="A9" s="6" t="s">
        <v>1019</v>
      </c>
      <c r="B9" s="5">
        <v>5000</v>
      </c>
      <c r="C9" s="1"/>
      <c r="D9" s="1" t="s">
        <v>1020</v>
      </c>
      <c r="E9" s="1"/>
      <c r="F9" s="1"/>
      <c r="G9" s="1"/>
      <c r="H9" s="1"/>
      <c r="I9" s="1"/>
      <c r="J9" s="1"/>
      <c r="K9" s="1"/>
      <c r="L9" s="1"/>
      <c r="M9" s="1"/>
      <c r="N9" s="1"/>
    </row>
    <row r="10">
      <c r="A10" s="6" t="s">
        <v>1021</v>
      </c>
      <c r="B10" s="5">
        <v>250</v>
      </c>
      <c r="C10" s="1"/>
      <c r="D10" s="1" t="s">
        <v>1020</v>
      </c>
      <c r="E10" s="1"/>
      <c r="F10" s="1"/>
      <c r="G10" s="1"/>
      <c r="H10" s="1"/>
      <c r="I10" s="1"/>
      <c r="J10" s="1"/>
      <c r="K10" s="1"/>
      <c r="L10" s="1"/>
      <c r="M10" s="1"/>
      <c r="N10" s="1"/>
    </row>
    <row r="11">
      <c r="A11" s="16" t="s">
        <v>1022</v>
      </c>
      <c r="B11" s="12">
        <f>B7+B8+B9+B10</f>
        <v>95105</v>
      </c>
      <c r="C11" s="1"/>
      <c r="D11" s="1"/>
      <c r="E11" s="1"/>
      <c r="F11" s="1"/>
      <c r="G11" s="1"/>
      <c r="H11" s="1"/>
      <c r="I11" s="1"/>
      <c r="J11" s="1"/>
      <c r="K11" s="1"/>
      <c r="L11" s="1"/>
      <c r="M11" s="1"/>
      <c r="N11" s="1"/>
    </row>
    <row r="12">
      <c r="A12" s="1"/>
      <c r="B12" s="1"/>
      <c r="C12" s="1"/>
      <c r="D12" s="1"/>
      <c r="E12" s="1"/>
      <c r="F12" s="1"/>
      <c r="G12" s="1"/>
      <c r="H12" s="1"/>
      <c r="I12" s="1"/>
      <c r="J12" s="1"/>
      <c r="K12" s="1"/>
      <c r="L12" s="1"/>
      <c r="M12" s="1"/>
      <c r="N12" s="1"/>
    </row>
    <row r="13">
      <c r="A13" s="16" t="s">
        <v>1023</v>
      </c>
      <c r="B13" s="1"/>
      <c r="C13" s="1"/>
      <c r="D13" s="1"/>
      <c r="E13" s="1"/>
      <c r="F13" s="1"/>
      <c r="G13" s="1"/>
      <c r="H13" s="1"/>
      <c r="I13" s="1"/>
      <c r="J13" s="1"/>
      <c r="K13" s="1"/>
      <c r="L13" s="1"/>
      <c r="M13" s="1"/>
      <c r="N13" s="1"/>
    </row>
    <row r="14">
      <c r="A14" s="6" t="s">
        <v>1024</v>
      </c>
      <c r="B14" s="5">
        <v>25000</v>
      </c>
      <c r="C14" s="1"/>
      <c r="D14" s="1" t="s">
        <v>1025</v>
      </c>
      <c r="E14" s="1"/>
      <c r="F14" s="1"/>
      <c r="G14" s="1"/>
      <c r="H14" s="1"/>
      <c r="I14" s="1"/>
      <c r="J14" s="1"/>
      <c r="K14" s="1"/>
      <c r="L14" s="1"/>
      <c r="M14" s="1"/>
      <c r="N14" s="1"/>
    </row>
    <row r="15">
      <c r="A15" s="6" t="s">
        <v>1026</v>
      </c>
      <c r="B15" s="5">
        <v>27</v>
      </c>
      <c r="C15" s="1"/>
      <c r="D15" s="1" t="s">
        <v>1027</v>
      </c>
      <c r="E15" s="1"/>
      <c r="F15" s="1"/>
      <c r="G15" s="1"/>
      <c r="H15" s="1"/>
      <c r="I15" s="1"/>
      <c r="J15" s="1"/>
      <c r="K15" s="1"/>
      <c r="L15" s="1"/>
      <c r="M15" s="1"/>
      <c r="N15" s="1"/>
    </row>
    <row r="16">
      <c r="A16" s="6" t="s">
        <v>1028</v>
      </c>
      <c r="B16" s="5">
        <v>12979</v>
      </c>
      <c r="C16" s="1"/>
      <c r="D16" s="1" t="s">
        <v>1029</v>
      </c>
      <c r="E16" s="1"/>
      <c r="F16" s="1"/>
      <c r="G16" s="1"/>
      <c r="H16" s="1"/>
      <c r="I16" s="1"/>
      <c r="J16" s="1"/>
      <c r="K16" s="1"/>
      <c r="L16" s="1"/>
      <c r="M16" s="1"/>
      <c r="N16" s="1"/>
    </row>
    <row r="17">
      <c r="A17" s="16" t="s">
        <v>1030</v>
      </c>
      <c r="B17" s="12">
        <f>B14+B15+B16</f>
        <v>38006</v>
      </c>
      <c r="C17" s="1"/>
      <c r="D17" s="1"/>
      <c r="E17" s="1"/>
      <c r="F17" s="1"/>
      <c r="G17" s="1"/>
      <c r="H17" s="1"/>
      <c r="I17" s="1"/>
      <c r="J17" s="1"/>
      <c r="K17" s="1"/>
      <c r="L17" s="1"/>
      <c r="M17" s="1"/>
      <c r="N17" s="1"/>
    </row>
    <row r="18">
      <c r="A18" s="6" t="s">
        <v>1031</v>
      </c>
      <c r="B18" s="5">
        <v>983</v>
      </c>
      <c r="C18" s="1"/>
      <c r="D18" s="1" t="s">
        <v>1027</v>
      </c>
      <c r="E18" s="1"/>
      <c r="F18" s="1"/>
      <c r="G18" s="1"/>
      <c r="H18" s="1"/>
      <c r="I18" s="1"/>
      <c r="J18" s="1"/>
      <c r="K18" s="1"/>
      <c r="L18" s="1"/>
      <c r="M18" s="1"/>
      <c r="N18" s="1"/>
    </row>
    <row r="19">
      <c r="A19" s="16" t="s">
        <v>1032</v>
      </c>
      <c r="B19" s="12">
        <f>B17+B18</f>
        <v>38989</v>
      </c>
      <c r="C19" s="1"/>
      <c r="D19" s="1"/>
      <c r="E19" s="1"/>
      <c r="F19" s="1"/>
      <c r="G19" s="1"/>
      <c r="H19" s="1"/>
      <c r="I19" s="1"/>
      <c r="J19" s="1"/>
      <c r="K19" s="1"/>
      <c r="L19" s="1"/>
      <c r="M19" s="1"/>
      <c r="N19" s="1"/>
    </row>
    <row r="20">
      <c r="A20" s="6" t="s">
        <v>1033</v>
      </c>
      <c r="B20" s="8">
        <f>-145</f>
        <v>-145</v>
      </c>
      <c r="C20" s="1"/>
      <c r="D20" s="1" t="s">
        <v>1027</v>
      </c>
      <c r="E20" s="1"/>
      <c r="F20" s="1"/>
      <c r="G20" s="1"/>
      <c r="H20" s="1"/>
      <c r="I20" s="1"/>
      <c r="J20" s="1"/>
      <c r="K20" s="1"/>
      <c r="L20" s="1"/>
      <c r="M20" s="1"/>
      <c r="N20" s="1"/>
    </row>
    <row r="21">
      <c r="A21" s="6" t="s">
        <v>1034</v>
      </c>
      <c r="B21" s="8">
        <f>B19+B20</f>
        <v>38844</v>
      </c>
      <c r="C21" s="1"/>
      <c r="D21" s="1"/>
      <c r="E21" s="1"/>
      <c r="F21" s="1"/>
      <c r="G21" s="1"/>
      <c r="H21" s="1"/>
      <c r="I21" s="1"/>
      <c r="J21" s="1"/>
      <c r="K21" s="1"/>
      <c r="L21" s="1"/>
      <c r="M21" s="1"/>
      <c r="N21" s="1"/>
    </row>
    <row r="22">
      <c r="A22" s="6" t="s">
        <v>1035</v>
      </c>
      <c r="B22" s="5">
        <v>350</v>
      </c>
      <c r="C22" s="1"/>
      <c r="D22" s="1" t="s">
        <v>1036</v>
      </c>
      <c r="E22" s="1"/>
      <c r="F22" s="1"/>
      <c r="G22" s="1"/>
      <c r="H22" s="1"/>
      <c r="I22" s="1"/>
      <c r="J22" s="1"/>
      <c r="K22" s="1"/>
      <c r="L22" s="1"/>
      <c r="M22" s="1"/>
      <c r="N22" s="1"/>
    </row>
    <row r="23">
      <c r="A23" s="6" t="s">
        <v>1037</v>
      </c>
      <c r="B23" s="5">
        <v>249</v>
      </c>
      <c r="C23" s="1"/>
      <c r="D23" s="1" t="s">
        <v>767</v>
      </c>
      <c r="E23" s="1"/>
      <c r="F23" s="1"/>
      <c r="G23" s="1"/>
      <c r="H23" s="1"/>
      <c r="I23" s="1"/>
      <c r="J23" s="1"/>
      <c r="K23" s="1"/>
      <c r="L23" s="1"/>
      <c r="M23" s="1"/>
      <c r="N23" s="1"/>
    </row>
    <row r="24">
      <c r="A24" s="16" t="s">
        <v>1038</v>
      </c>
      <c r="B24" s="32">
        <f>B19+B22+B23</f>
        <v>39588</v>
      </c>
      <c r="C24" s="1"/>
      <c r="D24" s="1" t="s">
        <v>1039</v>
      </c>
      <c r="E24" s="1"/>
      <c r="F24" s="1"/>
      <c r="G24" s="1"/>
      <c r="H24" s="1"/>
      <c r="I24" s="1"/>
      <c r="J24" s="1"/>
      <c r="K24" s="1"/>
      <c r="L24" s="1"/>
      <c r="M24" s="1"/>
      <c r="N24" s="1"/>
    </row>
    <row r="25">
      <c r="A25" s="6" t="s">
        <v>1040</v>
      </c>
      <c r="B25" s="9">
        <f>BS_Hist!D17</f>
        <v>1573</v>
      </c>
      <c r="C25" s="1"/>
      <c r="D25" s="1"/>
      <c r="E25" s="1"/>
      <c r="F25" s="1"/>
      <c r="G25" s="1"/>
      <c r="H25" s="1"/>
      <c r="I25" s="1"/>
      <c r="J25" s="1"/>
      <c r="K25" s="1"/>
      <c r="L25" s="1"/>
      <c r="M25" s="1"/>
      <c r="N25" s="1"/>
    </row>
    <row r="26">
      <c r="A26" s="16" t="s">
        <v>1041</v>
      </c>
      <c r="B26" s="12">
        <f>B24-B7-B8-B25</f>
        <v>-51840</v>
      </c>
      <c r="C26" s="1"/>
      <c r="D26" s="1"/>
      <c r="E26" s="1"/>
      <c r="F26" s="1"/>
      <c r="G26" s="1"/>
      <c r="H26" s="1"/>
      <c r="I26" s="1"/>
      <c r="J26" s="1"/>
      <c r="K26" s="1"/>
      <c r="L26" s="1"/>
      <c r="M26" s="1"/>
      <c r="N26" s="1"/>
    </row>
    <row r="27">
      <c r="A27" s="6" t="s">
        <v>1042</v>
      </c>
      <c r="B27" s="74">
        <v>3.75</v>
      </c>
      <c r="C27" s="1"/>
      <c r="D27" s="1" t="s">
        <v>1043</v>
      </c>
      <c r="E27" s="1"/>
      <c r="F27" s="1"/>
      <c r="G27" s="1"/>
      <c r="H27" s="1"/>
      <c r="I27" s="1"/>
      <c r="J27" s="1"/>
      <c r="K27" s="1"/>
      <c r="L27" s="1"/>
      <c r="M27" s="1"/>
      <c r="N27" s="1"/>
    </row>
    <row r="28">
      <c r="A28" s="1"/>
      <c r="B28" s="1"/>
      <c r="C28" s="1"/>
      <c r="D28" s="1"/>
      <c r="E28" s="1"/>
      <c r="F28" s="1"/>
      <c r="G28" s="1"/>
      <c r="H28" s="1"/>
      <c r="I28" s="1"/>
      <c r="J28" s="1"/>
      <c r="K28" s="1"/>
      <c r="L28" s="1"/>
      <c r="M28" s="1"/>
      <c r="N28" s="1"/>
    </row>
    <row r="29">
      <c r="A29" s="16" t="s">
        <v>1044</v>
      </c>
      <c r="B29" s="1"/>
      <c r="C29" s="1"/>
      <c r="D29" s="1"/>
      <c r="E29" s="1"/>
      <c r="F29" s="1"/>
      <c r="G29" s="1"/>
      <c r="H29" s="1"/>
      <c r="I29" s="1"/>
      <c r="J29" s="1"/>
      <c r="K29" s="1"/>
      <c r="L29" s="1"/>
      <c r="M29" s="1"/>
      <c r="N29" s="1"/>
    </row>
    <row r="30">
      <c r="A30" s="6" t="s">
        <v>1045</v>
      </c>
      <c r="B30" s="5">
        <v>495</v>
      </c>
      <c r="C30" s="1"/>
      <c r="D30" s="1" t="s">
        <v>1046</v>
      </c>
      <c r="E30" s="1"/>
      <c r="F30" s="1"/>
      <c r="G30" s="1"/>
      <c r="H30" s="1"/>
      <c r="I30" s="1"/>
      <c r="J30" s="1"/>
      <c r="K30" s="1"/>
      <c r="L30" s="1"/>
      <c r="M30" s="1"/>
      <c r="N30" s="1"/>
    </row>
    <row r="31">
      <c r="A31" s="6" t="s">
        <v>1047</v>
      </c>
      <c r="B31" s="5">
        <v>2425</v>
      </c>
      <c r="C31" s="1"/>
      <c r="D31" s="1" t="s">
        <v>1046</v>
      </c>
      <c r="E31" s="1"/>
      <c r="F31" s="1"/>
      <c r="G31" s="1"/>
      <c r="H31" s="1"/>
      <c r="I31" s="1"/>
      <c r="J31" s="1"/>
      <c r="K31" s="1"/>
      <c r="L31" s="1"/>
      <c r="M31" s="1"/>
      <c r="N31" s="1"/>
    </row>
    <row r="32">
      <c r="A32" s="6" t="s">
        <v>1048</v>
      </c>
      <c r="B32" s="5">
        <v>2867</v>
      </c>
      <c r="C32" s="1"/>
      <c r="D32" s="1" t="s">
        <v>1046</v>
      </c>
      <c r="E32" s="1"/>
      <c r="F32" s="1"/>
      <c r="G32" s="1"/>
      <c r="H32" s="1"/>
      <c r="I32" s="1"/>
      <c r="J32" s="1"/>
      <c r="K32" s="1"/>
      <c r="L32" s="1"/>
      <c r="M32" s="1"/>
      <c r="N32" s="1"/>
    </row>
    <row r="33">
      <c r="A33" s="6" t="s">
        <v>1049</v>
      </c>
      <c r="B33" s="5">
        <v>3422</v>
      </c>
      <c r="C33" s="1"/>
      <c r="D33" s="1" t="s">
        <v>1046</v>
      </c>
      <c r="E33" s="1"/>
      <c r="F33" s="1"/>
      <c r="G33" s="1"/>
      <c r="H33" s="1"/>
      <c r="I33" s="1"/>
      <c r="J33" s="1"/>
      <c r="K33" s="1"/>
      <c r="L33" s="1"/>
      <c r="M33" s="1"/>
      <c r="N33" s="1"/>
    </row>
    <row r="34">
      <c r="A34" s="6" t="s">
        <v>1050</v>
      </c>
      <c r="B34" s="5">
        <v>3597</v>
      </c>
      <c r="C34" s="1"/>
      <c r="D34" s="1" t="s">
        <v>1046</v>
      </c>
      <c r="E34" s="1"/>
      <c r="F34" s="1"/>
      <c r="G34" s="1"/>
      <c r="H34" s="1"/>
      <c r="I34" s="1"/>
      <c r="J34" s="1"/>
      <c r="K34" s="1"/>
      <c r="L34" s="1"/>
      <c r="M34" s="1"/>
      <c r="N34" s="1"/>
    </row>
    <row r="35">
      <c r="A35" s="6" t="s">
        <v>1051</v>
      </c>
      <c r="B35" s="5">
        <v>25200</v>
      </c>
      <c r="C35" s="1"/>
      <c r="D35" s="1" t="s">
        <v>1046</v>
      </c>
      <c r="E35" s="1"/>
      <c r="F35" s="1"/>
      <c r="G35" s="1"/>
      <c r="H35" s="1"/>
      <c r="I35" s="1"/>
      <c r="J35" s="1"/>
      <c r="K35" s="1"/>
      <c r="L35" s="1"/>
      <c r="M35" s="1"/>
      <c r="N35" s="1"/>
    </row>
    <row r="36">
      <c r="A36" s="16" t="s">
        <v>856</v>
      </c>
      <c r="B36" s="12">
        <f>SUM(B30:B35)</f>
        <v>38006</v>
      </c>
      <c r="C36" s="1"/>
      <c r="D36" s="1"/>
      <c r="E36" s="1"/>
      <c r="F36" s="1"/>
      <c r="G36" s="1"/>
      <c r="H36" s="1"/>
      <c r="I36" s="1"/>
      <c r="J36" s="1"/>
      <c r="K36" s="1"/>
      <c r="L36" s="1"/>
      <c r="M36" s="1"/>
      <c r="N36" s="1"/>
    </row>
    <row r="37">
      <c r="A37" s="6" t="s">
        <v>1052</v>
      </c>
      <c r="B37" s="14">
        <f>B36-B17</f>
        <v>0</v>
      </c>
      <c r="C37" s="1"/>
      <c r="D37" s="1"/>
      <c r="E37" s="1"/>
      <c r="F37" s="1"/>
      <c r="G37" s="1"/>
      <c r="H37" s="1"/>
      <c r="I37" s="1"/>
      <c r="J37" s="1"/>
      <c r="K37" s="1"/>
      <c r="L37" s="1"/>
      <c r="M37" s="1"/>
      <c r="N37" s="1"/>
    </row>
    <row r="38">
      <c r="A38" s="1"/>
      <c r="B38" s="1"/>
      <c r="C38" s="1"/>
      <c r="D38" s="1"/>
      <c r="E38" s="1"/>
      <c r="F38" s="1"/>
      <c r="G38" s="1"/>
      <c r="H38" s="1"/>
      <c r="I38" s="1"/>
      <c r="J38" s="1"/>
      <c r="K38" s="1"/>
      <c r="L38" s="1"/>
      <c r="M38" s="1"/>
      <c r="N38" s="1"/>
    </row>
    <row r="39">
      <c r="A39" s="16" t="s">
        <v>1053</v>
      </c>
      <c r="B39" s="1"/>
      <c r="C39" s="1"/>
      <c r="D39" s="1"/>
      <c r="E39" s="1"/>
      <c r="F39" s="1"/>
      <c r="G39" s="1"/>
      <c r="H39" s="1"/>
      <c r="I39" s="1"/>
      <c r="J39" s="1"/>
      <c r="K39" s="1"/>
      <c r="L39" s="1"/>
      <c r="M39" s="1"/>
      <c r="N39" s="1"/>
    </row>
    <row r="40">
      <c r="A40" s="6" t="s">
        <v>1045</v>
      </c>
      <c r="B40" s="5">
        <v>2309</v>
      </c>
      <c r="C40" s="1"/>
      <c r="D40" s="1" t="s">
        <v>1054</v>
      </c>
      <c r="E40" s="1"/>
      <c r="F40" s="1"/>
      <c r="G40" s="1"/>
      <c r="H40" s="1"/>
      <c r="I40" s="1"/>
      <c r="J40" s="1"/>
      <c r="K40" s="1"/>
      <c r="L40" s="1"/>
      <c r="M40" s="1"/>
      <c r="N40" s="1"/>
    </row>
    <row r="41">
      <c r="A41" s="6" t="s">
        <v>1047</v>
      </c>
      <c r="B41" s="5">
        <v>25569</v>
      </c>
      <c r="C41" s="1"/>
      <c r="D41" s="1" t="s">
        <v>1054</v>
      </c>
      <c r="E41" s="1"/>
      <c r="F41" s="1"/>
      <c r="G41" s="1"/>
      <c r="H41" s="1"/>
      <c r="I41" s="1"/>
      <c r="J41" s="1"/>
      <c r="K41" s="1"/>
      <c r="L41" s="1"/>
      <c r="M41" s="1"/>
      <c r="N41" s="1"/>
    </row>
    <row r="42">
      <c r="A42" s="6" t="s">
        <v>1048</v>
      </c>
      <c r="B42" s="5">
        <v>4637</v>
      </c>
      <c r="C42" s="1"/>
      <c r="D42" s="1" t="s">
        <v>1054</v>
      </c>
      <c r="E42" s="1"/>
      <c r="F42" s="1"/>
      <c r="G42" s="1"/>
      <c r="H42" s="1"/>
      <c r="I42" s="1"/>
      <c r="J42" s="1"/>
      <c r="K42" s="1"/>
      <c r="L42" s="1"/>
      <c r="M42" s="1"/>
      <c r="N42" s="1"/>
    </row>
    <row r="43">
      <c r="A43" s="6" t="s">
        <v>1049</v>
      </c>
      <c r="B43" s="5">
        <v>2071</v>
      </c>
      <c r="C43" s="1"/>
      <c r="D43" s="1" t="s">
        <v>1054</v>
      </c>
      <c r="E43" s="1"/>
      <c r="F43" s="1"/>
      <c r="G43" s="1"/>
      <c r="H43" s="1"/>
      <c r="I43" s="1"/>
      <c r="J43" s="1"/>
      <c r="K43" s="1"/>
      <c r="L43" s="1"/>
      <c r="M43" s="1"/>
      <c r="N43" s="1"/>
    </row>
    <row r="44">
      <c r="A44" s="6" t="s">
        <v>1050</v>
      </c>
      <c r="B44" s="5">
        <v>1221</v>
      </c>
      <c r="C44" s="1"/>
      <c r="D44" s="1" t="s">
        <v>1054</v>
      </c>
      <c r="E44" s="1"/>
      <c r="F44" s="1"/>
      <c r="G44" s="1"/>
      <c r="H44" s="1"/>
      <c r="I44" s="1"/>
      <c r="J44" s="1"/>
      <c r="K44" s="1"/>
      <c r="L44" s="1"/>
      <c r="M44" s="1"/>
      <c r="N44" s="1"/>
    </row>
    <row r="45">
      <c r="A45" s="6" t="s">
        <v>1051</v>
      </c>
      <c r="B45" s="5">
        <v>2033</v>
      </c>
      <c r="C45" s="1"/>
      <c r="D45" s="1" t="s">
        <v>1054</v>
      </c>
      <c r="E45" s="1"/>
      <c r="F45" s="1"/>
      <c r="G45" s="1"/>
      <c r="H45" s="1"/>
      <c r="I45" s="1"/>
      <c r="J45" s="1"/>
      <c r="K45" s="1"/>
      <c r="L45" s="1"/>
      <c r="M45" s="1"/>
      <c r="N45" s="1"/>
    </row>
    <row r="46">
      <c r="A46" s="16" t="s">
        <v>856</v>
      </c>
      <c r="B46" s="12">
        <f>SUM(B40:B45)</f>
        <v>37840</v>
      </c>
      <c r="C46" s="1"/>
      <c r="D46" s="1"/>
      <c r="E46" s="1"/>
      <c r="F46" s="1"/>
      <c r="G46" s="1"/>
      <c r="H46" s="1"/>
      <c r="I46" s="1"/>
      <c r="J46" s="1"/>
      <c r="K46" s="1"/>
      <c r="L46" s="1"/>
      <c r="M46" s="1"/>
      <c r="N46" s="1"/>
    </row>
    <row r="47">
      <c r="A47" s="6" t="s">
        <v>1055</v>
      </c>
      <c r="B47" s="14">
        <f>B46-37840</f>
        <v>0</v>
      </c>
      <c r="C47" s="1"/>
      <c r="D47" s="1"/>
      <c r="E47" s="1"/>
      <c r="F47" s="1"/>
      <c r="G47" s="1"/>
      <c r="H47" s="1"/>
      <c r="I47" s="1"/>
      <c r="J47" s="1"/>
      <c r="K47" s="1"/>
      <c r="L47" s="1"/>
      <c r="M47" s="1"/>
      <c r="N47" s="1"/>
    </row>
    <row r="48">
      <c r="A48" s="1"/>
      <c r="B48" s="1"/>
      <c r="C48" s="1"/>
      <c r="D48" s="1"/>
      <c r="E48" s="1"/>
      <c r="F48" s="1"/>
      <c r="G48" s="1"/>
      <c r="H48" s="1"/>
      <c r="I48" s="1"/>
      <c r="J48" s="1"/>
      <c r="K48" s="1"/>
      <c r="L48" s="1"/>
      <c r="M48" s="1"/>
      <c r="N48" s="1"/>
    </row>
    <row r="49">
      <c r="A49" s="16" t="s">
        <v>1056</v>
      </c>
      <c r="B49" s="1"/>
      <c r="C49" s="1"/>
      <c r="D49" s="1"/>
      <c r="E49" s="1"/>
      <c r="F49" s="1"/>
      <c r="G49" s="1"/>
      <c r="H49" s="1"/>
      <c r="I49" s="1"/>
      <c r="J49" s="1"/>
      <c r="K49" s="1"/>
      <c r="L49" s="1"/>
      <c r="M49" s="1"/>
      <c r="N49" s="1"/>
    </row>
    <row r="50">
      <c r="A50" s="6" t="s">
        <v>1057</v>
      </c>
      <c r="B50" s="9">
        <f>Assumptions!$C$32</f>
        <v>40000</v>
      </c>
      <c r="C50" s="1"/>
      <c r="D50" s="1" t="s">
        <v>1058</v>
      </c>
      <c r="E50" s="1"/>
      <c r="F50" s="1"/>
      <c r="G50" s="1"/>
      <c r="H50" s="1"/>
      <c r="I50" s="1"/>
      <c r="J50" s="1"/>
      <c r="K50" s="1"/>
      <c r="L50" s="1"/>
      <c r="M50" s="1"/>
      <c r="N50" s="1"/>
    </row>
    <row r="51">
      <c r="A51" s="6" t="s">
        <v>1059</v>
      </c>
      <c r="B51" s="8">
        <f>Assumptions!$C$39-Assumptions!$C$40+Assumptions!$C$41+Assumptions!$C$36</f>
        <v>9713</v>
      </c>
      <c r="C51" s="1"/>
      <c r="D51" s="1" t="s">
        <v>1060</v>
      </c>
      <c r="E51" s="1"/>
      <c r="F51" s="1"/>
      <c r="G51" s="1"/>
      <c r="H51" s="1"/>
      <c r="I51" s="1"/>
      <c r="J51" s="1"/>
      <c r="K51" s="1"/>
      <c r="L51" s="1"/>
      <c r="M51" s="1"/>
      <c r="N51" s="1"/>
    </row>
    <row r="52">
      <c r="A52" s="6" t="s">
        <v>1061</v>
      </c>
      <c r="B52" s="9">
        <f>Assumptions!$C$47</f>
        <v>8000</v>
      </c>
      <c r="C52" s="1"/>
      <c r="D52" s="1" t="s">
        <v>1062</v>
      </c>
      <c r="E52" s="1"/>
      <c r="F52" s="1"/>
      <c r="G52" s="1"/>
      <c r="H52" s="1"/>
      <c r="I52" s="1"/>
      <c r="J52" s="1"/>
      <c r="K52" s="1"/>
      <c r="L52" s="1"/>
      <c r="M52" s="1"/>
      <c r="N52" s="1"/>
    </row>
    <row r="53">
      <c r="A53" s="6" t="s">
        <v>1063</v>
      </c>
      <c r="B53" s="13">
        <f>(B7+B8)/(B30+B31+B40+B41+B51+B52)</f>
        <v>1.8522603120941643</v>
      </c>
      <c r="C53" s="1"/>
      <c r="D53" s="1"/>
      <c r="E53" s="1"/>
      <c r="F53" s="1"/>
      <c r="G53" s="1"/>
      <c r="H53" s="1"/>
      <c r="I53" s="1"/>
      <c r="J53" s="1"/>
      <c r="K53" s="1"/>
      <c r="L53" s="1"/>
      <c r="M53" s="1"/>
      <c r="N53" s="1"/>
    </row>
    <row r="54">
      <c r="A54" s="1"/>
      <c r="B54" s="1"/>
      <c r="C54" s="1"/>
      <c r="D54" s="1"/>
      <c r="E54" s="1"/>
      <c r="F54" s="1"/>
      <c r="G54" s="1"/>
      <c r="H54" s="1"/>
      <c r="I54" s="1"/>
      <c r="J54" s="1"/>
      <c r="K54" s="1"/>
      <c r="L54" s="1"/>
      <c r="M54" s="1"/>
      <c r="N54" s="1"/>
    </row>
    <row r="55">
      <c r="A55" s="16" t="s">
        <v>1064</v>
      </c>
      <c r="B55" s="1"/>
      <c r="C55" s="1"/>
      <c r="D55" s="1"/>
      <c r="E55" s="1"/>
      <c r="F55" s="1"/>
      <c r="G55" s="1"/>
      <c r="H55" s="1"/>
      <c r="I55" s="1"/>
      <c r="J55" s="1"/>
      <c r="K55" s="1"/>
      <c r="L55" s="1"/>
      <c r="M55" s="1"/>
      <c r="N55" s="1"/>
    </row>
    <row r="56">
      <c r="A56" s="4" t="s">
        <v>81</v>
      </c>
      <c r="B56" s="11" t="s">
        <v>566</v>
      </c>
      <c r="C56" s="30" t="s">
        <v>567</v>
      </c>
      <c r="D56" s="30" t="s">
        <v>568</v>
      </c>
      <c r="E56" s="30" t="s">
        <v>569</v>
      </c>
      <c r="F56" s="30" t="s">
        <v>570</v>
      </c>
      <c r="G56" s="30" t="s">
        <v>571</v>
      </c>
      <c r="H56" s="30" t="s">
        <v>572</v>
      </c>
      <c r="I56" s="30" t="s">
        <v>573</v>
      </c>
      <c r="J56" s="30" t="s">
        <v>574</v>
      </c>
      <c r="K56" s="30" t="s">
        <v>575</v>
      </c>
      <c r="L56" s="30" t="s">
        <v>576</v>
      </c>
      <c r="M56" s="40" t="s">
        <v>87</v>
      </c>
      <c r="N56" s="40" t="s">
        <v>88</v>
      </c>
    </row>
    <row r="57">
      <c r="A57" s="6" t="s">
        <v>1065</v>
      </c>
      <c r="B57" s="9">
        <f>Forecast_3Stmt!B12</f>
        <v>6584</v>
      </c>
      <c r="C57" s="9">
        <f>Forecast_3Stmt!C12</f>
        <v>23338.181881292454</v>
      </c>
      <c r="D57" s="9">
        <f>Forecast_3Stmt!D12</f>
        <v>47936.4842303997</v>
      </c>
      <c r="E57" s="9">
        <f>Forecast_3Stmt!E12</f>
        <v>67937.30255539247</v>
      </c>
      <c r="F57" s="9">
        <f>Forecast_3Stmt!F12</f>
        <v>87834.5664703411</v>
      </c>
      <c r="G57" s="9">
        <f>Forecast_3Stmt!G12</f>
        <v>107825.80090587433</v>
      </c>
      <c r="H57" s="9">
        <f>Forecast_3Stmt!H12</f>
        <v>125844.66892907425</v>
      </c>
      <c r="I57" s="9">
        <f>Forecast_3Stmt!I12</f>
        <v>141335.48976282688</v>
      </c>
      <c r="J57" s="9">
        <f>Forecast_3Stmt!J12</f>
        <v>154562.668415576</v>
      </c>
      <c r="K57" s="9">
        <f>Forecast_3Stmt!K12</f>
        <v>165451.73100622653</v>
      </c>
      <c r="L57" s="9">
        <f>Forecast_3Stmt!L12</f>
        <v>174324.89269194118</v>
      </c>
      <c r="M57" s="1"/>
      <c r="N57" s="1"/>
    </row>
    <row r="58">
      <c r="A58" s="6" t="s">
        <v>1066</v>
      </c>
      <c r="B58" s="8">
        <f>Forecast_3Stmt!B41+Forecast_3Stmt!B42+Forecast_3Stmt!B43</f>
        <v>22896</v>
      </c>
      <c r="C58" s="8">
        <f>Forecast_3Stmt!C41+Forecast_3Stmt!C42+Forecast_3Stmt!C43</f>
        <v>38270</v>
      </c>
      <c r="D58" s="8">
        <f>Forecast_3Stmt!D41+Forecast_3Stmt!D42+Forecast_3Stmt!D43</f>
        <v>69529</v>
      </c>
      <c r="E58" s="8">
        <f>Forecast_3Stmt!E41+Forecast_3Stmt!E42+Forecast_3Stmt!E43</f>
        <v>58346</v>
      </c>
      <c r="F58" s="8">
        <f>Forecast_3Stmt!F41+Forecast_3Stmt!F42+Forecast_3Stmt!F43</f>
        <v>46608</v>
      </c>
      <c r="G58" s="8">
        <f>Forecast_3Stmt!G41+Forecast_3Stmt!G42+Forecast_3Stmt!G43</f>
        <v>34998</v>
      </c>
      <c r="H58" s="8">
        <f>Forecast_3Stmt!H41+Forecast_3Stmt!H42+Forecast_3Stmt!H43</f>
        <v>26998</v>
      </c>
      <c r="I58" s="8">
        <f>Forecast_3Stmt!I41+Forecast_3Stmt!I42+Forecast_3Stmt!I43</f>
        <v>24998</v>
      </c>
      <c r="J58" s="8">
        <f>Forecast_3Stmt!J41+Forecast_3Stmt!J42+Forecast_3Stmt!J43</f>
        <v>24998</v>
      </c>
      <c r="K58" s="8">
        <f>Forecast_3Stmt!K41+Forecast_3Stmt!K42+Forecast_3Stmt!K43</f>
        <v>24998</v>
      </c>
      <c r="L58" s="8">
        <f>Forecast_3Stmt!L41+Forecast_3Stmt!L42+Forecast_3Stmt!L43</f>
        <v>24998</v>
      </c>
      <c r="M58" s="1"/>
      <c r="N58" s="1" t="s">
        <v>1067</v>
      </c>
    </row>
    <row r="59">
      <c r="A59" s="6" t="s">
        <v>800</v>
      </c>
      <c r="B59" s="9">
        <f>Forecast_3Stmt!B28</f>
        <v>24747</v>
      </c>
      <c r="C59" s="9">
        <f>Forecast_3Stmt!C28</f>
        <v>80522.29456967524</v>
      </c>
      <c r="D59" s="9">
        <f>Forecast_3Stmt!D28</f>
        <v>57782.07314011858</v>
      </c>
      <c r="E59" s="9">
        <f>Forecast_3Stmt!E28</f>
        <v>41041.94175337056</v>
      </c>
      <c r="F59" s="9">
        <f>Forecast_3Stmt!F28</f>
        <v>35704.9816552196</v>
      </c>
      <c r="G59" s="9">
        <f>Forecast_3Stmt!G28</f>
        <v>50281.948990518664</v>
      </c>
      <c r="H59" s="9">
        <f>Forecast_3Stmt!H28</f>
        <v>84500.05434900237</v>
      </c>
      <c r="I59" s="9">
        <f>Forecast_3Stmt!I28</f>
        <v>145129.51619029988</v>
      </c>
      <c r="J59" s="9">
        <f>Forecast_3Stmt!J28</f>
        <v>208172.6073746021</v>
      </c>
      <c r="K59" s="9">
        <f>Forecast_3Stmt!K28</f>
        <v>280541.5799604317</v>
      </c>
      <c r="L59" s="9">
        <f>Forecast_3Stmt!L28</f>
        <v>363540.0699530245</v>
      </c>
      <c r="M59" s="1"/>
      <c r="N59" s="1"/>
    </row>
    <row r="60">
      <c r="A60" s="16" t="s">
        <v>1068</v>
      </c>
      <c r="B60" s="12">
        <f>B58-B59</f>
        <v>-1851</v>
      </c>
      <c r="C60" s="12">
        <f>C58-C59</f>
        <v>-42252.29456967524</v>
      </c>
      <c r="D60" s="12">
        <f>D58-D59</f>
        <v>11746.926859881423</v>
      </c>
      <c r="E60" s="12">
        <f>E58-E59</f>
        <v>17304.058246629444</v>
      </c>
      <c r="F60" s="12">
        <f>F58-F59</f>
        <v>10903.018344780401</v>
      </c>
      <c r="G60" s="12">
        <f>G58-G59</f>
        <v>-15283.948990518664</v>
      </c>
      <c r="H60" s="12">
        <f>H58-H59</f>
        <v>-57502.05434900237</v>
      </c>
      <c r="I60" s="12">
        <f>I58-I59</f>
        <v>-120131.51619029988</v>
      </c>
      <c r="J60" s="12">
        <f>J58-J59</f>
        <v>-183174.6073746021</v>
      </c>
      <c r="K60" s="12">
        <f>K58-K59</f>
        <v>-255543.57996043173</v>
      </c>
      <c r="L60" s="12">
        <f>L58-L59</f>
        <v>-338542.0699530245</v>
      </c>
      <c r="M60" s="1"/>
      <c r="N60" s="1"/>
    </row>
    <row r="61">
      <c r="A61" s="6" t="s">
        <v>1069</v>
      </c>
      <c r="B61" s="13">
        <f>IF(B57&gt;0,B58/B57,0)</f>
        <v>3.4775212636695016</v>
      </c>
      <c r="C61" s="13">
        <f>IF(C57&gt;0,C58/C57,0)</f>
        <v>1.6398021146058799</v>
      </c>
      <c r="D61" s="13">
        <f>IF(D57&gt;0,D58/D57,0)</f>
        <v>1.4504401212616893</v>
      </c>
      <c r="E61" s="13">
        <f>IF(E57&gt;0,E58/E57,0)</f>
        <v>0.8588212632143847</v>
      </c>
      <c r="F61" s="13">
        <f>IF(F57&gt;0,F58/F57,0)</f>
        <v>0.530633916383455</v>
      </c>
      <c r="G61" s="13">
        <f>IF(G57&gt;0,G58/G57,0)</f>
        <v>0.32457908687876313</v>
      </c>
      <c r="H61" s="13">
        <f>IF(H57&gt;0,H58/H57,0)</f>
        <v>0.2145343162308767</v>
      </c>
      <c r="I61" s="13">
        <f>IF(I57&gt;0,I58/I57,0)</f>
        <v>0.17686994287102834</v>
      </c>
      <c r="J61" s="13">
        <f>IF(J57&gt;0,J58/J57,0)</f>
        <v>0.16173375017560732</v>
      </c>
      <c r="K61" s="13">
        <f>IF(K57&gt;0,K58/K57,0)</f>
        <v>0.15108938327794974</v>
      </c>
      <c r="L61" s="13">
        <f>IF(L57&gt;0,L58/L57,0)</f>
        <v>0.14339891230666238</v>
      </c>
      <c r="M61" s="1"/>
      <c r="N61" s="1"/>
    </row>
    <row r="62">
      <c r="A62" s="6" t="s">
        <v>1070</v>
      </c>
      <c r="B62" s="13">
        <f>IF(B57&gt;0,B60/B57,0)</f>
        <v>-0.28113608748481167</v>
      </c>
      <c r="C62" s="13">
        <f>IF(C57&gt;0,C60/C57,0)</f>
        <v>-1.8104364249360858</v>
      </c>
      <c r="D62" s="13">
        <f>IF(D57&gt;0,D60/D57,0)</f>
        <v>0.24505190667345436</v>
      </c>
      <c r="E62" s="13">
        <f>IF(E57&gt;0,E60/E57,0)</f>
        <v>0.2547062894132518</v>
      </c>
      <c r="F62" s="13">
        <f>IF(F57&gt;0,F60/F57,0)</f>
        <v>0.12413129344085734</v>
      </c>
      <c r="G62" s="13">
        <f>IF(G57&gt;0,G60/G57,0)</f>
        <v>-0.14174667715995604</v>
      </c>
      <c r="H62" s="13">
        <f>IF(H57&gt;0,H60/H57,0)</f>
        <v>-0.4569288062683878</v>
      </c>
      <c r="I62" s="13">
        <f>IF(I57&gt;0,I60/I57,0)</f>
        <v>-0.8499741741574668</v>
      </c>
      <c r="J62" s="13">
        <f>IF(J57&gt;0,J60/J57,0)</f>
        <v>-1.1851154567420936</v>
      </c>
      <c r="K62" s="13">
        <f>IF(K57&gt;0,K60/K57,0)</f>
        <v>-1.5445204375094432</v>
      </c>
      <c r="L62" s="13">
        <f>IF(L57&gt;0,L60/L57,0)</f>
        <v>-1.9420179454880278</v>
      </c>
      <c r="M62" s="1"/>
      <c r="N62" s="1"/>
    </row>
    <row r="63">
      <c r="A63" s="6" t="s">
        <v>1071</v>
      </c>
      <c r="B63" s="13">
        <f>IF(Forecast_3Stmt!B18&lt;0,-B57/Forecast_3Stmt!B18,0)</f>
        <v>3.385089974293059</v>
      </c>
      <c r="C63" s="13">
        <f>IF(Forecast_3Stmt!C18&lt;0,-C57/Forecast_3Stmt!C18,0)</f>
        <v>8.830186107185945</v>
      </c>
      <c r="D63" s="13">
        <f>IF(Forecast_3Stmt!D18&lt;0,-D57/Forecast_3Stmt!D18,0)</f>
        <v>10.738815894355005</v>
      </c>
      <c r="E63" s="13">
        <f>IF(Forecast_3Stmt!E18&lt;0,-E57/Forecast_3Stmt!E18,0)</f>
        <v>15.371896986567368</v>
      </c>
      <c r="F63" s="13">
        <f>IF(Forecast_3Stmt!F18&lt;0,-F57/Forecast_3Stmt!F18,0)</f>
        <v>23.87891346298188</v>
      </c>
      <c r="G63" s="13">
        <f>IF(Forecast_3Stmt!G18&lt;0,-G57/Forecast_3Stmt!G18,0)</f>
        <v>37.20045121725038</v>
      </c>
      <c r="H63" s="13">
        <f>IF(Forecast_3Stmt!H18&lt;0,-H57/Forecast_3Stmt!H18,0)</f>
        <v>59.14917617350615</v>
      </c>
      <c r="I63" s="13">
        <f>IF(Forecast_3Stmt!I18&lt;0,-I57/Forecast_3Stmt!I18,0)</f>
        <v>78.40728512255374</v>
      </c>
      <c r="J63" s="13">
        <f>IF(Forecast_3Stmt!J18&lt;0,-J57/Forecast_3Stmt!J18,0)</f>
        <v>88.95277980660131</v>
      </c>
      <c r="K63" s="13">
        <f>IF(Forecast_3Stmt!K18&lt;0,-K57/Forecast_3Stmt!K18,0)</f>
        <v>95.21957370227933</v>
      </c>
      <c r="L63" s="13">
        <f>IF(Forecast_3Stmt!L18&lt;0,-L57/Forecast_3Stmt!L18,0)</f>
        <v>100.32619100973652</v>
      </c>
      <c r="M63" s="1"/>
      <c r="N63" s="1"/>
    </row>
    <row r="64">
      <c r="A64" s="6" t="s">
        <v>1008</v>
      </c>
      <c r="B64" s="9">
        <f>Forecast_3Stmt!B70</f>
        <v>-13952</v>
      </c>
      <c r="C64" s="9">
        <f>Forecast_3Stmt!C70</f>
        <v>-43345.70543032475</v>
      </c>
      <c r="D64" s="9">
        <f>Forecast_3Stmt!D70</f>
        <v>-2671.2214295566664</v>
      </c>
      <c r="E64" s="9">
        <f>Forecast_3Stmt!E70</f>
        <v>-13557.13138674802</v>
      </c>
      <c r="F64" s="9">
        <f>Forecast_3Stmt!F70</f>
        <v>-1598.9600981509602</v>
      </c>
      <c r="G64" s="9">
        <f>Forecast_3Stmt!G70</f>
        <v>18186.967335299065</v>
      </c>
      <c r="H64" s="9">
        <f>Forecast_3Stmt!H70</f>
        <v>34218.10535848371</v>
      </c>
      <c r="I64" s="9">
        <f>Forecast_3Stmt!I70</f>
        <v>60629.46184129751</v>
      </c>
      <c r="J64" s="9">
        <f>Forecast_3Stmt!J70</f>
        <v>63043.091184302204</v>
      </c>
      <c r="K64" s="9">
        <f>Forecast_3Stmt!K70</f>
        <v>72368.97258582963</v>
      </c>
      <c r="L64" s="9">
        <f>Forecast_3Stmt!L70</f>
        <v>82998.48999259277</v>
      </c>
      <c r="M64" s="1"/>
      <c r="N64" s="1"/>
    </row>
    <row r="65">
      <c r="A65" s="6" t="s">
        <v>1072</v>
      </c>
      <c r="B65" s="13">
        <f>$B$27-B61</f>
        <v>0.27247873633049835</v>
      </c>
      <c r="C65" s="13">
        <f>$B$27-C61</f>
        <v>2.11019788539412</v>
      </c>
      <c r="D65" s="13">
        <f>$B$27-D61</f>
        <v>2.299559878738311</v>
      </c>
      <c r="E65" s="13">
        <f>$B$27-E61</f>
        <v>2.891178736785615</v>
      </c>
      <c r="F65" s="13">
        <f>$B$27-F61</f>
        <v>3.2193660836165447</v>
      </c>
      <c r="G65" s="13">
        <f>$B$27-G61</f>
        <v>3.4254209131212368</v>
      </c>
      <c r="H65" s="13">
        <f>$B$27-H61</f>
        <v>3.5354656837691234</v>
      </c>
      <c r="I65" s="13">
        <f>$B$27-I61</f>
        <v>3.5731300571289717</v>
      </c>
      <c r="J65" s="13">
        <f>$B$27-J61</f>
        <v>3.5882662498243927</v>
      </c>
      <c r="K65" s="13">
        <f>$B$27-K61</f>
        <v>3.5989106167220504</v>
      </c>
      <c r="L65" s="13">
        <f>$B$27-L61</f>
        <v>3.6066010876933374</v>
      </c>
      <c r="M65" s="1"/>
      <c r="N65" s="1" t="s">
        <v>1073</v>
      </c>
    </row>
  </sheetData>
</worksheet>
</file>

<file path=xl/worksheets/sheet16.xml><?xml version="1.0" encoding="utf-8"?>
<worksheet xmlns="http://schemas.openxmlformats.org/spreadsheetml/2006/main" xmlns:r="http://schemas.openxmlformats.org/officeDocument/2006/relationships">
  <sheetPr>
    <tabColor rgb="FFC0873A"/>
  </sheetPr>
  <dimension ref="A1:P59"/>
  <sheetViews>
    <sheetView showGridLines="0" workbookViewId="0"/>
  </sheetViews>
  <sheetFormatPr defaultColWidth="8.375" defaultRowHeight="15"/>
  <cols>
    <col min="1" max="1" width="99.375" customWidth="1"/>
    <col min="2" max="2" width="16.0390625" customWidth="1"/>
    <col min="3" max="3" width="17.70703125" customWidth="1"/>
    <col min="4" max="8" width="16.0390625" customWidth="1"/>
    <col min="9" max="10" width="17.70703125" customWidth="1"/>
    <col min="11" max="14" width="14.375" customWidth="1"/>
    <col min="15" max="15" width="11.0390625" customWidth="1"/>
    <col min="16" max="16" width="86.0390625" customWidth="1"/>
  </cols>
  <sheetData>
    <row r="1">
      <c r="A1" s="56" t="s">
        <v>1074</v>
      </c>
      <c r="B1" s="1"/>
      <c r="C1" s="1"/>
      <c r="D1" s="1"/>
      <c r="E1" s="1"/>
      <c r="F1" s="1"/>
      <c r="G1" s="1"/>
      <c r="H1" s="1"/>
      <c r="I1" s="1"/>
      <c r="J1" s="1"/>
      <c r="K1" s="1"/>
      <c r="L1" s="1"/>
      <c r="M1" s="1"/>
      <c r="N1" s="1"/>
      <c r="O1" s="1"/>
      <c r="P1" s="1"/>
    </row>
    <row r="2">
      <c r="A2" s="1" t="s">
        <v>1075</v>
      </c>
      <c r="B2" s="1"/>
      <c r="C2" s="1"/>
      <c r="D2" s="1"/>
      <c r="E2" s="1"/>
      <c r="F2" s="1"/>
      <c r="G2" s="1"/>
      <c r="H2" s="1"/>
      <c r="I2" s="1"/>
      <c r="J2" s="1"/>
      <c r="K2" s="1"/>
      <c r="L2" s="1"/>
      <c r="M2" s="1"/>
      <c r="N2" s="1"/>
      <c r="O2" s="1"/>
      <c r="P2" s="1"/>
    </row>
    <row r="3">
      <c r="A3" s="1"/>
      <c r="B3" s="1"/>
      <c r="C3" s="1"/>
      <c r="D3" s="1"/>
      <c r="E3" s="1"/>
      <c r="F3" s="1"/>
      <c r="G3" s="1"/>
      <c r="H3" s="1"/>
      <c r="I3" s="1"/>
      <c r="J3" s="1"/>
      <c r="K3" s="1"/>
      <c r="L3" s="1"/>
      <c r="M3" s="1"/>
      <c r="N3" s="1"/>
      <c r="O3" s="1"/>
      <c r="P3" s="1"/>
    </row>
    <row r="4">
      <c r="A4" s="4" t="s">
        <v>482</v>
      </c>
      <c r="B4" s="11" t="s">
        <v>15</v>
      </c>
      <c r="C4" s="40" t="s">
        <v>87</v>
      </c>
      <c r="D4" s="40" t="s">
        <v>88</v>
      </c>
      <c r="E4" s="1"/>
      <c r="F4" s="1"/>
      <c r="G4" s="1"/>
      <c r="H4" s="1"/>
      <c r="I4" s="1"/>
      <c r="J4" s="1"/>
      <c r="K4" s="1"/>
      <c r="L4" s="1"/>
      <c r="M4" s="1"/>
      <c r="N4" s="1"/>
      <c r="O4" s="1"/>
      <c r="P4" s="1"/>
    </row>
    <row r="5">
      <c r="A5" s="1"/>
      <c r="B5" s="1"/>
      <c r="C5" s="1"/>
      <c r="D5" s="1"/>
      <c r="E5" s="1"/>
      <c r="F5" s="1"/>
      <c r="G5" s="1"/>
      <c r="H5" s="1"/>
      <c r="I5" s="1"/>
      <c r="J5" s="1"/>
      <c r="K5" s="1"/>
      <c r="L5" s="1"/>
      <c r="M5" s="1"/>
      <c r="N5" s="1"/>
      <c r="O5" s="1"/>
      <c r="P5" s="1"/>
    </row>
    <row r="6">
      <c r="A6" s="16" t="s">
        <v>1076</v>
      </c>
      <c r="B6" s="1"/>
      <c r="C6" s="1"/>
      <c r="D6" s="1"/>
      <c r="E6" s="1"/>
      <c r="F6" s="1"/>
      <c r="G6" s="1"/>
      <c r="H6" s="1"/>
      <c r="I6" s="1"/>
      <c r="J6" s="1"/>
      <c r="K6" s="1"/>
      <c r="L6" s="1"/>
      <c r="M6" s="1"/>
      <c r="N6" s="1"/>
      <c r="O6" s="1"/>
      <c r="P6" s="1"/>
    </row>
    <row r="7">
      <c r="A7" s="6" t="s">
        <v>1077</v>
      </c>
      <c r="B7" s="71">
        <f>DATE(2026,10,27)</f>
        <v>46322</v>
      </c>
      <c r="C7" s="1"/>
      <c r="D7" s="1" t="s">
        <v>1078</v>
      </c>
      <c r="E7" s="1"/>
      <c r="F7" s="1"/>
      <c r="G7" s="1"/>
      <c r="H7" s="1"/>
      <c r="I7" s="1"/>
      <c r="J7" s="1"/>
      <c r="K7" s="1"/>
      <c r="L7" s="1"/>
      <c r="M7" s="1"/>
      <c r="N7" s="1"/>
      <c r="O7" s="1"/>
      <c r="P7" s="1"/>
    </row>
    <row r="8">
      <c r="A8" s="6" t="s">
        <v>1079</v>
      </c>
      <c r="B8" s="71">
        <f>DATE(2026,9,30)</f>
        <v>46295</v>
      </c>
      <c r="C8" s="1"/>
      <c r="D8" s="1" t="s">
        <v>1080</v>
      </c>
      <c r="E8" s="1"/>
      <c r="F8" s="1"/>
      <c r="G8" s="1"/>
      <c r="H8" s="1"/>
      <c r="I8" s="1"/>
      <c r="J8" s="1"/>
      <c r="K8" s="1"/>
      <c r="L8" s="1"/>
      <c r="M8" s="1"/>
      <c r="N8" s="1"/>
      <c r="O8" s="1"/>
      <c r="P8" s="1"/>
    </row>
    <row r="9">
      <c r="A9" s="6" t="s">
        <v>1081</v>
      </c>
      <c r="B9" s="38">
        <f>(B7-B8)/365</f>
        <v>0.07397260273972603</v>
      </c>
      <c r="C9" s="1"/>
      <c r="D9" s="1"/>
      <c r="E9" s="1"/>
      <c r="F9" s="1"/>
      <c r="G9" s="1"/>
      <c r="H9" s="1"/>
      <c r="I9" s="1"/>
      <c r="J9" s="1"/>
      <c r="K9" s="1"/>
      <c r="L9" s="1"/>
      <c r="M9" s="1"/>
      <c r="N9" s="1"/>
      <c r="O9" s="1"/>
      <c r="P9" s="1"/>
    </row>
    <row r="10">
      <c r="A10" s="36" t="s">
        <v>1082</v>
      </c>
      <c r="B10" s="75">
        <f>Cap_Table!C61</f>
        <v>148.58</v>
      </c>
      <c r="C10" s="1"/>
      <c r="D10" s="1"/>
      <c r="E10" s="1"/>
      <c r="F10" s="1"/>
      <c r="G10" s="1"/>
      <c r="H10" s="1"/>
      <c r="I10" s="1"/>
      <c r="J10" s="1"/>
      <c r="K10" s="1"/>
      <c r="L10" s="1"/>
      <c r="M10" s="1"/>
      <c r="N10" s="1"/>
      <c r="O10" s="1"/>
      <c r="P10" s="1"/>
    </row>
    <row r="11">
      <c r="A11" s="6" t="s">
        <v>1083</v>
      </c>
      <c r="B11" s="2">
        <v>104.83</v>
      </c>
      <c r="C11" s="1"/>
      <c r="D11" s="1" t="s">
        <v>1084</v>
      </c>
      <c r="E11" s="1"/>
      <c r="F11" s="1"/>
      <c r="G11" s="1"/>
      <c r="H11" s="1"/>
      <c r="I11" s="1"/>
      <c r="J11" s="1"/>
      <c r="K11" s="1"/>
      <c r="L11" s="1"/>
      <c r="M11" s="1"/>
      <c r="N11" s="1"/>
      <c r="O11" s="1"/>
      <c r="P11" s="1"/>
    </row>
    <row r="12">
      <c r="A12" s="6" t="s">
        <v>1085</v>
      </c>
      <c r="B12" s="2">
        <v>225.64</v>
      </c>
      <c r="C12" s="1"/>
      <c r="D12" s="1" t="s">
        <v>1084</v>
      </c>
      <c r="E12" s="1"/>
      <c r="F12" s="1"/>
      <c r="G12" s="1"/>
      <c r="H12" s="1"/>
      <c r="I12" s="1"/>
      <c r="J12" s="1"/>
      <c r="K12" s="1"/>
      <c r="L12" s="1"/>
      <c r="M12" s="1"/>
      <c r="N12" s="1"/>
      <c r="O12" s="1"/>
      <c r="P12" s="1"/>
    </row>
    <row r="13">
      <c r="A13" s="6" t="s">
        <v>30</v>
      </c>
      <c r="B13" s="48">
        <f>Cap_Table!B56</f>
        <v>14444.097387826221</v>
      </c>
      <c r="C13" s="1"/>
      <c r="D13" s="1"/>
      <c r="E13" s="1"/>
      <c r="F13" s="1"/>
      <c r="G13" s="1"/>
      <c r="H13" s="1"/>
      <c r="I13" s="1"/>
      <c r="J13" s="1"/>
      <c r="K13" s="1"/>
      <c r="L13" s="1"/>
      <c r="M13" s="1"/>
      <c r="N13" s="1"/>
      <c r="O13" s="1"/>
      <c r="P13" s="1"/>
    </row>
    <row r="14">
      <c r="A14" s="6" t="s">
        <v>1086</v>
      </c>
      <c r="B14" s="8">
        <f>B10*B13</f>
        <v>2146103.9898832203</v>
      </c>
      <c r="C14" s="1"/>
      <c r="D14" s="1"/>
      <c r="E14" s="1"/>
      <c r="F14" s="1"/>
      <c r="G14" s="1"/>
      <c r="H14" s="1"/>
      <c r="I14" s="1"/>
      <c r="J14" s="1"/>
      <c r="K14" s="1"/>
      <c r="L14" s="1"/>
      <c r="M14" s="1"/>
      <c r="N14" s="1"/>
      <c r="O14" s="1"/>
      <c r="P14" s="1"/>
    </row>
    <row r="15">
      <c r="A15" s="1"/>
      <c r="B15" s="1"/>
      <c r="C15" s="1"/>
      <c r="D15" s="1"/>
      <c r="E15" s="1"/>
      <c r="F15" s="1"/>
      <c r="G15" s="1"/>
      <c r="H15" s="1"/>
      <c r="I15" s="1"/>
      <c r="J15" s="1"/>
      <c r="K15" s="1"/>
      <c r="L15" s="1"/>
      <c r="M15" s="1"/>
      <c r="N15" s="1"/>
      <c r="O15" s="1"/>
      <c r="P15" s="1"/>
    </row>
    <row r="16">
      <c r="A16" s="16" t="s">
        <v>1087</v>
      </c>
      <c r="B16" s="1"/>
      <c r="C16" s="1"/>
      <c r="D16" s="1"/>
      <c r="E16" s="1"/>
      <c r="F16" s="1"/>
      <c r="G16" s="1"/>
      <c r="H16" s="1"/>
      <c r="I16" s="1"/>
      <c r="J16" s="1"/>
      <c r="K16" s="1"/>
      <c r="L16" s="1"/>
      <c r="M16" s="1"/>
      <c r="N16" s="1"/>
      <c r="O16" s="1"/>
      <c r="P16" s="1"/>
    </row>
    <row r="17">
      <c r="A17" s="6" t="s">
        <v>1088</v>
      </c>
      <c r="B17" s="8">
        <f>Debt_Credit!B7+Debt_Credit!B8</f>
        <v>89855</v>
      </c>
      <c r="C17" s="1"/>
      <c r="D17" s="1"/>
      <c r="E17" s="1"/>
      <c r="F17" s="1"/>
      <c r="G17" s="1"/>
      <c r="H17" s="1"/>
      <c r="I17" s="1"/>
      <c r="J17" s="1"/>
      <c r="K17" s="1"/>
      <c r="L17" s="1"/>
      <c r="M17" s="1"/>
      <c r="N17" s="1"/>
      <c r="O17" s="1"/>
      <c r="P17" s="1"/>
    </row>
    <row r="18">
      <c r="A18" s="6" t="s">
        <v>1089</v>
      </c>
      <c r="B18" s="9">
        <f>Debt_Credit!B25</f>
        <v>1573</v>
      </c>
      <c r="C18" s="1"/>
      <c r="D18" s="1"/>
      <c r="E18" s="1"/>
      <c r="F18" s="1"/>
      <c r="G18" s="1"/>
      <c r="H18" s="1"/>
      <c r="I18" s="1"/>
      <c r="J18" s="1"/>
      <c r="K18" s="1"/>
      <c r="L18" s="1"/>
      <c r="M18" s="1"/>
      <c r="N18" s="1"/>
      <c r="O18" s="1"/>
      <c r="P18" s="1"/>
    </row>
    <row r="19">
      <c r="A19" s="6" t="s">
        <v>1090</v>
      </c>
      <c r="B19" s="9">
        <f>Debt_Credit!B24</f>
        <v>39588</v>
      </c>
      <c r="C19" s="1"/>
      <c r="D19" s="1"/>
      <c r="E19" s="1"/>
      <c r="F19" s="1"/>
      <c r="G19" s="1"/>
      <c r="H19" s="1"/>
      <c r="I19" s="1"/>
      <c r="J19" s="1"/>
      <c r="K19" s="1"/>
      <c r="L19" s="1"/>
      <c r="M19" s="1"/>
      <c r="N19" s="1"/>
      <c r="O19" s="1"/>
      <c r="P19" s="1"/>
    </row>
    <row r="20">
      <c r="A20" s="16" t="s">
        <v>1091</v>
      </c>
      <c r="B20" s="12">
        <f>B14-B17-B18+B19</f>
        <v>2094263.9898832203</v>
      </c>
      <c r="C20" s="1"/>
      <c r="D20" s="1"/>
      <c r="E20" s="1"/>
      <c r="F20" s="1"/>
      <c r="G20" s="1"/>
      <c r="H20" s="1"/>
      <c r="I20" s="1"/>
      <c r="J20" s="1"/>
      <c r="K20" s="1"/>
      <c r="L20" s="1"/>
      <c r="M20" s="1"/>
      <c r="N20" s="1"/>
      <c r="O20" s="1"/>
      <c r="P20" s="1"/>
    </row>
    <row r="21">
      <c r="A21" s="6" t="s">
        <v>1092</v>
      </c>
      <c r="B21" s="8">
        <f>Interim_Bridge!C25*(DATE(2026,12,31)-B7)/92+Forecast_3Stmt!D10*(B7+365-DATE(2026,12,31))/365</f>
        <v>79734.75445748</v>
      </c>
      <c r="C21" s="1"/>
      <c r="D21" s="1" t="s">
        <v>1093</v>
      </c>
      <c r="E21" s="1"/>
      <c r="F21" s="1"/>
      <c r="G21" s="1"/>
      <c r="H21" s="1"/>
      <c r="I21" s="1"/>
      <c r="J21" s="1"/>
      <c r="K21" s="1"/>
      <c r="L21" s="1"/>
      <c r="M21" s="1"/>
      <c r="N21" s="1"/>
      <c r="O21" s="1"/>
      <c r="P21" s="1"/>
    </row>
    <row r="22">
      <c r="A22" s="6" t="s">
        <v>1094</v>
      </c>
      <c r="B22" s="13">
        <f>B20/B21</f>
        <v>26.265384575806582</v>
      </c>
      <c r="C22" s="1"/>
      <c r="D22" s="1"/>
      <c r="E22" s="1"/>
      <c r="F22" s="1"/>
      <c r="G22" s="1"/>
      <c r="H22" s="1"/>
      <c r="I22" s="1"/>
      <c r="J22" s="1"/>
      <c r="K22" s="1"/>
      <c r="L22" s="1"/>
      <c r="M22" s="1"/>
      <c r="N22" s="1"/>
      <c r="O22" s="1"/>
      <c r="P22" s="1"/>
    </row>
    <row r="23">
      <c r="A23" s="6" t="s">
        <v>1095</v>
      </c>
      <c r="B23" s="13">
        <f>B20/Forecast_3Stmt!D10</f>
        <v>25.454537594759614</v>
      </c>
      <c r="C23" s="1"/>
      <c r="D23" s="1"/>
      <c r="E23" s="1"/>
      <c r="F23" s="1"/>
      <c r="G23" s="1"/>
      <c r="H23" s="1"/>
      <c r="I23" s="1"/>
      <c r="J23" s="1"/>
      <c r="K23" s="1"/>
      <c r="L23" s="1"/>
      <c r="M23" s="1"/>
      <c r="N23" s="1"/>
      <c r="O23" s="1"/>
      <c r="P23" s="1"/>
    </row>
    <row r="24">
      <c r="A24" s="6" t="s">
        <v>1096</v>
      </c>
      <c r="B24" s="13">
        <f>IF(Forecast_3Stmt!D12&gt;0,B20/Forecast_3Stmt!D12,0)</f>
        <v>43.6883101359175</v>
      </c>
      <c r="C24" s="1"/>
      <c r="D24" s="1"/>
      <c r="E24" s="1"/>
      <c r="F24" s="1"/>
      <c r="G24" s="1"/>
      <c r="H24" s="1"/>
      <c r="I24" s="1"/>
      <c r="J24" s="1"/>
      <c r="K24" s="1"/>
      <c r="L24" s="1"/>
      <c r="M24" s="1"/>
      <c r="N24" s="1"/>
      <c r="O24" s="1"/>
      <c r="P24" s="1"/>
    </row>
    <row r="25">
      <c r="A25" s="6" t="s">
        <v>1097</v>
      </c>
      <c r="B25" s="13">
        <f>IF(Forecast_3Stmt!G12&gt;0,B20/Forecast_3Stmt!G12,0)</f>
        <v>19.422661109759723</v>
      </c>
      <c r="C25" s="1"/>
      <c r="D25" s="1"/>
      <c r="E25" s="1"/>
      <c r="F25" s="1"/>
      <c r="G25" s="1"/>
      <c r="H25" s="1"/>
      <c r="I25" s="1"/>
      <c r="J25" s="1"/>
      <c r="K25" s="1"/>
      <c r="L25" s="1"/>
      <c r="M25" s="1"/>
      <c r="N25" s="1"/>
      <c r="O25" s="1"/>
      <c r="P25" s="1"/>
    </row>
    <row r="26">
      <c r="A26" s="6" t="s">
        <v>1098</v>
      </c>
      <c r="B26" s="13">
        <f>IF(Forecast_3Stmt!G23&gt;0,B14/Forecast_3Stmt!G23,0)</f>
        <v>62.70535249357534</v>
      </c>
      <c r="C26" s="1"/>
      <c r="D26" s="1"/>
      <c r="E26" s="1"/>
      <c r="F26" s="1"/>
      <c r="G26" s="1"/>
      <c r="H26" s="1"/>
      <c r="I26" s="1"/>
      <c r="J26" s="1"/>
      <c r="K26" s="1"/>
      <c r="L26" s="1"/>
      <c r="M26" s="1"/>
      <c r="N26" s="1"/>
      <c r="O26" s="1"/>
      <c r="P26" s="1"/>
    </row>
    <row r="27">
      <c r="A27" s="1"/>
      <c r="B27" s="1"/>
      <c r="C27" s="1"/>
      <c r="D27" s="1"/>
      <c r="E27" s="1"/>
      <c r="F27" s="1"/>
      <c r="G27" s="1"/>
      <c r="H27" s="1"/>
      <c r="I27" s="1"/>
      <c r="J27" s="1"/>
      <c r="K27" s="1"/>
      <c r="L27" s="1"/>
      <c r="M27" s="1"/>
      <c r="N27" s="1"/>
      <c r="O27" s="1"/>
      <c r="P27" s="1"/>
    </row>
    <row r="28">
      <c r="A28" s="16" t="s">
        <v>1099</v>
      </c>
      <c r="B28" s="1"/>
      <c r="C28" s="1"/>
      <c r="D28" s="1"/>
      <c r="E28" s="1"/>
      <c r="F28" s="1"/>
      <c r="G28" s="1"/>
      <c r="H28" s="1"/>
      <c r="I28" s="1"/>
      <c r="J28" s="1"/>
      <c r="K28" s="1"/>
      <c r="L28" s="1"/>
      <c r="M28" s="1"/>
      <c r="N28" s="1"/>
      <c r="O28" s="1"/>
      <c r="P28" s="1"/>
    </row>
    <row r="29">
      <c r="A29" s="4" t="s">
        <v>1100</v>
      </c>
      <c r="B29" s="4" t="s">
        <v>1101</v>
      </c>
      <c r="C29" s="4" t="s">
        <v>1102</v>
      </c>
      <c r="D29" s="11" t="s">
        <v>1103</v>
      </c>
      <c r="E29" s="11" t="s">
        <v>1104</v>
      </c>
      <c r="F29" s="11" t="s">
        <v>1105</v>
      </c>
      <c r="G29" s="11" t="s">
        <v>1106</v>
      </c>
      <c r="H29" s="11" t="s">
        <v>1107</v>
      </c>
      <c r="I29" s="11" t="s">
        <v>1108</v>
      </c>
      <c r="J29" s="11" t="s">
        <v>1109</v>
      </c>
      <c r="K29" s="11" t="s">
        <v>1110</v>
      </c>
      <c r="L29" s="11" t="s">
        <v>1111</v>
      </c>
      <c r="M29" s="11" t="s">
        <v>1112</v>
      </c>
      <c r="N29" s="11" t="s">
        <v>1113</v>
      </c>
      <c r="O29" s="11" t="s">
        <v>1114</v>
      </c>
      <c r="P29" s="40" t="s">
        <v>1115</v>
      </c>
    </row>
    <row r="30">
      <c r="A30" s="6" t="s">
        <v>1116</v>
      </c>
      <c r="B30" s="1" t="s">
        <v>1117</v>
      </c>
      <c r="C30" s="1" t="s">
        <v>750</v>
      </c>
      <c r="D30" s="1" t="s">
        <v>1118</v>
      </c>
      <c r="E30" s="5">
        <v>7590</v>
      </c>
      <c r="F30" s="5">
        <v>3760</v>
      </c>
      <c r="G30" s="5">
        <v>35770</v>
      </c>
      <c r="H30" s="5">
        <v>5539</v>
      </c>
      <c r="I30" s="5">
        <v>32855</v>
      </c>
      <c r="J30" s="8">
        <f>I30+G30-H30</f>
        <v>63086</v>
      </c>
      <c r="K30" s="13">
        <f>J30/E30</f>
        <v>8.311725955204215</v>
      </c>
      <c r="L30" s="13">
        <f>J30/F30</f>
        <v>16.778191489361703</v>
      </c>
      <c r="M30" s="45">
        <v>1.875</v>
      </c>
      <c r="N30" s="39">
        <f>M30/(1+(1-$B$38)*G30/I30)</f>
        <v>1.008015031097977</v>
      </c>
      <c r="O30" s="50">
        <v>1</v>
      </c>
      <c r="P30" s="1" t="s">
        <v>1119</v>
      </c>
    </row>
    <row r="31">
      <c r="A31" s="6" t="s">
        <v>1120</v>
      </c>
      <c r="B31" s="1" t="s">
        <v>1121</v>
      </c>
      <c r="C31" s="1" t="s">
        <v>750</v>
      </c>
      <c r="D31" s="1" t="s">
        <v>1122</v>
      </c>
      <c r="E31" s="5">
        <v>71776</v>
      </c>
      <c r="F31" s="5">
        <v>33938</v>
      </c>
      <c r="G31" s="5">
        <v>134527</v>
      </c>
      <c r="H31" s="5">
        <v>37077</v>
      </c>
      <c r="I31" s="5">
        <v>394688</v>
      </c>
      <c r="J31" s="8">
        <f>I31+G31-H31</f>
        <v>492138</v>
      </c>
      <c r="K31" s="13">
        <f>J31/E31</f>
        <v>6.856581587160053</v>
      </c>
      <c r="L31" s="13">
        <f>J31/F31</f>
        <v>14.50109022334846</v>
      </c>
      <c r="M31" s="45">
        <v>1.875</v>
      </c>
      <c r="N31" s="39">
        <f>M31/(1+(1-$B$38)*G31/I31)</f>
        <v>1.4772309238064913</v>
      </c>
      <c r="O31" s="50">
        <v>1</v>
      </c>
      <c r="P31" s="1" t="s">
        <v>1119</v>
      </c>
    </row>
    <row r="32">
      <c r="A32" s="6" t="s">
        <v>1123</v>
      </c>
      <c r="B32" s="1" t="s">
        <v>1124</v>
      </c>
      <c r="C32" s="1" t="s">
        <v>750</v>
      </c>
      <c r="D32" s="1" t="s">
        <v>1118</v>
      </c>
      <c r="E32" s="5">
        <v>331839</v>
      </c>
      <c r="F32" s="5">
        <v>194237</v>
      </c>
      <c r="G32" s="5">
        <v>106880</v>
      </c>
      <c r="H32" s="5">
        <v>76843</v>
      </c>
      <c r="I32" s="5">
        <v>3945415</v>
      </c>
      <c r="J32" s="8">
        <f>I32+G32-H32</f>
        <v>3975452</v>
      </c>
      <c r="K32" s="13">
        <f>J32/E32</f>
        <v>11.980062620728727</v>
      </c>
      <c r="L32" s="13">
        <f>J32/F32</f>
        <v>20.46701709766934</v>
      </c>
      <c r="M32" s="45">
        <v>1.128</v>
      </c>
      <c r="N32" s="39">
        <f>M32/(1+(1-$B$38)*G32/I32)</f>
        <v>1.104365646147343</v>
      </c>
      <c r="O32" s="50">
        <v>1</v>
      </c>
      <c r="P32" s="1" t="s">
        <v>1125</v>
      </c>
    </row>
    <row r="33">
      <c r="A33" s="6" t="s">
        <v>1126</v>
      </c>
      <c r="B33" s="1" t="s">
        <v>1127</v>
      </c>
      <c r="C33" s="1" t="s">
        <v>750</v>
      </c>
      <c r="D33" s="1" t="s">
        <v>1118</v>
      </c>
      <c r="E33" s="5">
        <v>445866</v>
      </c>
      <c r="F33" s="5">
        <v>172865</v>
      </c>
      <c r="G33" s="5">
        <v>102760</v>
      </c>
      <c r="H33" s="5">
        <v>242474</v>
      </c>
      <c r="I33" s="5">
        <v>3906096</v>
      </c>
      <c r="J33" s="8">
        <f>I33+G33-H33</f>
        <v>3766382</v>
      </c>
      <c r="K33" s="13">
        <f>J33/E33</f>
        <v>8.447340680832358</v>
      </c>
      <c r="L33" s="13">
        <f>J33/F33</f>
        <v>21.787996413386168</v>
      </c>
      <c r="M33" s="45">
        <v>1.234</v>
      </c>
      <c r="N33" s="39">
        <f>M33/(1+(1-$B$38)*G33/I33)</f>
        <v>1.2088759294439684</v>
      </c>
      <c r="O33" s="50">
        <v>1</v>
      </c>
      <c r="P33" s="1" t="s">
        <v>1125</v>
      </c>
    </row>
    <row r="34">
      <c r="A34" s="6" t="s">
        <v>1128</v>
      </c>
      <c r="B34" s="1" t="s">
        <v>1129</v>
      </c>
      <c r="C34" s="1" t="s">
        <v>361</v>
      </c>
      <c r="D34" s="1" t="s">
        <v>1118</v>
      </c>
      <c r="E34" s="5">
        <v>92189</v>
      </c>
      <c r="F34" s="5">
        <v>32668</v>
      </c>
      <c r="G34" s="5">
        <v>86921</v>
      </c>
      <c r="H34" s="5">
        <v>2825</v>
      </c>
      <c r="I34" s="5">
        <v>157500</v>
      </c>
      <c r="J34" s="8">
        <f>I34+G34-H34</f>
        <v>241596</v>
      </c>
      <c r="K34" s="13">
        <f>J34/E34</f>
        <v>2.620659731638265</v>
      </c>
      <c r="L34" s="13">
        <f>J34/F34</f>
        <v>7.395494061466879</v>
      </c>
      <c r="M34" s="45">
        <v>0.355</v>
      </c>
      <c r="N34" s="39">
        <f>M34/(1+(1-$B$38)*G34/I34)</f>
        <v>0.24721711895148196</v>
      </c>
      <c r="O34" s="50">
        <v>1</v>
      </c>
      <c r="P34" s="1" t="s">
        <v>1130</v>
      </c>
    </row>
    <row r="35">
      <c r="A35" s="6" t="s">
        <v>1131</v>
      </c>
      <c r="B35" s="1" t="s">
        <v>1132</v>
      </c>
      <c r="C35" s="1" t="s">
        <v>361</v>
      </c>
      <c r="D35" s="1" t="s">
        <v>1133</v>
      </c>
      <c r="E35" s="5">
        <v>903</v>
      </c>
      <c r="F35" s="5">
        <v>394</v>
      </c>
      <c r="G35" s="5">
        <v>2090</v>
      </c>
      <c r="H35" s="5">
        <v>98</v>
      </c>
      <c r="I35" s="5">
        <v>4838</v>
      </c>
      <c r="J35" s="8">
        <f>I35+G35-H35</f>
        <v>6830</v>
      </c>
      <c r="K35" s="13">
        <f>J35/E35</f>
        <v>7.563676633444075</v>
      </c>
      <c r="L35" s="13">
        <f>J35/F35</f>
        <v>17.33502538071066</v>
      </c>
      <c r="M35" s="45">
        <v>1.069</v>
      </c>
      <c r="N35" s="39">
        <f>M35/(1+(1-$B$38)*G35/I35)</f>
        <v>0.7970014331725509</v>
      </c>
      <c r="O35" s="50">
        <v>1</v>
      </c>
      <c r="P35" s="1" t="s">
        <v>1119</v>
      </c>
    </row>
    <row r="36">
      <c r="A36" s="6" t="s">
        <v>1134</v>
      </c>
      <c r="B36" s="1" t="s">
        <v>1135</v>
      </c>
      <c r="C36" s="1" t="s">
        <v>361</v>
      </c>
      <c r="D36" s="1" t="s">
        <v>1136</v>
      </c>
      <c r="E36" s="8"/>
      <c r="F36" s="8"/>
      <c r="G36" s="5">
        <v>2970</v>
      </c>
      <c r="H36" s="5">
        <v>4588</v>
      </c>
      <c r="I36" s="5">
        <v>17133</v>
      </c>
      <c r="J36" s="8">
        <f>I36+G36-H36</f>
        <v>15515</v>
      </c>
      <c r="K36" s="13" t="s">
        <v>1137</v>
      </c>
      <c r="L36" s="13" t="s">
        <v>1137</v>
      </c>
      <c r="M36" s="45">
        <v>1.481</v>
      </c>
      <c r="N36" s="39">
        <f>M36/(1+(1-$B$38)*G36/I36)</f>
        <v>1.302612157521061</v>
      </c>
      <c r="O36" s="50">
        <v>0</v>
      </c>
      <c r="P36" s="1" t="s">
        <v>1138</v>
      </c>
    </row>
    <row r="37">
      <c r="A37" s="6" t="s">
        <v>1139</v>
      </c>
      <c r="B37" s="1" t="s">
        <v>1140</v>
      </c>
      <c r="C37" s="1" t="s">
        <v>358</v>
      </c>
      <c r="D37" s="1" t="s">
        <v>1118</v>
      </c>
      <c r="E37" s="5">
        <v>769</v>
      </c>
      <c r="F37" s="5">
        <v>-161</v>
      </c>
      <c r="G37" s="5">
        <v>10</v>
      </c>
      <c r="H37" s="5">
        <v>2302</v>
      </c>
      <c r="I37" s="5">
        <v>34896</v>
      </c>
      <c r="J37" s="8">
        <f>I37+G37-H37</f>
        <v>32604</v>
      </c>
      <c r="K37" s="13">
        <f>J37/E37</f>
        <v>42.39791937581274</v>
      </c>
      <c r="L37" s="13" t="s">
        <v>1137</v>
      </c>
      <c r="M37" s="45">
        <v>2.846</v>
      </c>
      <c r="N37" s="39">
        <f>M37/(1+(1-$B$38)*G37/I37)</f>
        <v>2.8453558484868453</v>
      </c>
      <c r="O37" s="50">
        <v>1</v>
      </c>
      <c r="P37" s="1" t="s">
        <v>1119</v>
      </c>
    </row>
    <row r="38">
      <c r="A38" s="31" t="s">
        <v>1141</v>
      </c>
      <c r="B38" s="62">
        <v>0.21</v>
      </c>
      <c r="C38" s="1"/>
      <c r="D38" s="1" t="s">
        <v>1142</v>
      </c>
      <c r="E38" s="1"/>
      <c r="F38" s="1"/>
      <c r="G38" s="1"/>
      <c r="H38" s="1"/>
      <c r="I38" s="1"/>
      <c r="J38" s="1"/>
      <c r="K38" s="1"/>
      <c r="L38" s="1"/>
      <c r="M38" s="1"/>
      <c r="N38" s="1"/>
      <c r="O38" s="1"/>
      <c r="P38" s="1"/>
    </row>
    <row r="39">
      <c r="A39" s="1"/>
      <c r="B39" s="1"/>
      <c r="C39" s="1"/>
      <c r="D39" s="1"/>
      <c r="E39" s="1"/>
      <c r="F39" s="1"/>
      <c r="G39" s="1"/>
      <c r="H39" s="1"/>
      <c r="I39" s="1"/>
      <c r="J39" s="1"/>
      <c r="K39" s="1"/>
      <c r="L39" s="1"/>
      <c r="M39" s="1"/>
      <c r="N39" s="1"/>
      <c r="O39" s="1"/>
      <c r="P39" s="1"/>
    </row>
    <row r="40">
      <c r="A40" s="16" t="s">
        <v>1143</v>
      </c>
      <c r="B40" s="1"/>
      <c r="C40" s="1"/>
      <c r="D40" s="1"/>
      <c r="E40" s="1"/>
      <c r="F40" s="1"/>
      <c r="G40" s="1"/>
      <c r="H40" s="1"/>
      <c r="I40" s="1"/>
      <c r="J40" s="1"/>
      <c r="K40" s="1"/>
      <c r="L40" s="1"/>
      <c r="M40" s="1"/>
      <c r="N40" s="1"/>
      <c r="O40" s="1"/>
      <c r="P40" s="1"/>
    </row>
    <row r="41">
      <c r="A41" s="4" t="s">
        <v>1102</v>
      </c>
      <c r="B41" s="4"/>
      <c r="C41" s="4"/>
      <c r="D41" s="4"/>
      <c r="E41" s="4"/>
      <c r="F41" s="4"/>
      <c r="G41" s="4"/>
      <c r="H41" s="4"/>
      <c r="I41" s="4"/>
      <c r="J41" s="4"/>
      <c r="K41" s="11" t="s">
        <v>1110</v>
      </c>
      <c r="L41" s="11" t="s">
        <v>1111</v>
      </c>
      <c r="M41" s="11"/>
      <c r="N41" s="11" t="s">
        <v>1113</v>
      </c>
      <c r="O41" s="1"/>
      <c r="P41" s="40" t="s">
        <v>88</v>
      </c>
    </row>
    <row r="42">
      <c r="A42" s="6" t="s">
        <v>1144</v>
      </c>
      <c r="B42" s="1"/>
      <c r="C42" s="1"/>
      <c r="D42" s="1"/>
      <c r="E42" s="1"/>
      <c r="F42" s="1"/>
      <c r="G42" s="1"/>
      <c r="H42" s="1"/>
      <c r="I42" s="1"/>
      <c r="J42" s="1"/>
      <c r="K42" s="13">
        <f>MEDIAN(K30,K31,K32,K33)</f>
        <v>8.379533318018286</v>
      </c>
      <c r="L42" s="13">
        <f>MEDIAN(L30,L31,L32,L33)</f>
        <v>18.622604293515522</v>
      </c>
      <c r="M42" s="1"/>
      <c r="N42" s="39">
        <f>MEDIAN(N30,N31,N32,N33)</f>
        <v>1.1566207877956556</v>
      </c>
      <c r="O42" s="1"/>
      <c r="P42" s="1" t="s">
        <v>1145</v>
      </c>
    </row>
    <row r="43">
      <c r="A43" s="6" t="s">
        <v>1146</v>
      </c>
      <c r="B43" s="1"/>
      <c r="C43" s="1"/>
      <c r="D43" s="1"/>
      <c r="E43" s="1"/>
      <c r="F43" s="1"/>
      <c r="G43" s="1"/>
      <c r="H43" s="1"/>
      <c r="I43" s="1"/>
      <c r="J43" s="1"/>
      <c r="K43" s="13">
        <f>MEDIAN(K34,K35)</f>
        <v>5.09216818254117</v>
      </c>
      <c r="L43" s="13">
        <f>MEDIAN(L34,L35)</f>
        <v>12.36525972108877</v>
      </c>
      <c r="M43" s="1"/>
      <c r="N43" s="39">
        <f>MEDIAN(N34,N35,N36)</f>
        <v>0.7970014331725509</v>
      </c>
      <c r="O43" s="1"/>
      <c r="P43" s="1" t="s">
        <v>1147</v>
      </c>
    </row>
    <row r="44">
      <c r="A44" s="6" t="s">
        <v>1148</v>
      </c>
      <c r="B44" s="1"/>
      <c r="C44" s="1"/>
      <c r="D44" s="1"/>
      <c r="E44" s="1"/>
      <c r="F44" s="1"/>
      <c r="G44" s="1"/>
      <c r="H44" s="1"/>
      <c r="I44" s="1"/>
      <c r="J44" s="1"/>
      <c r="K44" s="13">
        <f>MEDIAN(K37)</f>
        <v>42.39791937581274</v>
      </c>
      <c r="L44" s="13" t="s">
        <v>1137</v>
      </c>
      <c r="M44" s="1"/>
      <c r="N44" s="39">
        <f>MEDIAN(N37)</f>
        <v>2.8453558484868453</v>
      </c>
      <c r="O44" s="1"/>
      <c r="P44" s="1" t="s">
        <v>1149</v>
      </c>
    </row>
    <row r="45">
      <c r="A45" s="1"/>
      <c r="B45" s="1"/>
      <c r="C45" s="1"/>
      <c r="D45" s="1"/>
      <c r="E45" s="1"/>
      <c r="F45" s="1"/>
      <c r="G45" s="1"/>
      <c r="H45" s="1"/>
      <c r="I45" s="1"/>
      <c r="J45" s="1"/>
      <c r="K45" s="1"/>
      <c r="L45" s="1"/>
      <c r="M45" s="1"/>
      <c r="N45" s="1"/>
      <c r="O45" s="1"/>
      <c r="P45" s="1"/>
    </row>
    <row r="46">
      <c r="A46" s="16" t="s">
        <v>1150</v>
      </c>
      <c r="B46" s="1"/>
      <c r="C46" s="1"/>
      <c r="D46" s="1"/>
      <c r="E46" s="1"/>
      <c r="F46" s="1"/>
      <c r="G46" s="1"/>
      <c r="H46" s="1"/>
      <c r="I46" s="1"/>
      <c r="J46" s="1"/>
      <c r="K46" s="1"/>
      <c r="L46" s="1"/>
      <c r="M46" s="1"/>
      <c r="N46" s="1"/>
      <c r="O46" s="1"/>
      <c r="P46" s="1"/>
    </row>
    <row r="47">
      <c r="A47" s="31" t="s">
        <v>1151</v>
      </c>
      <c r="B47" s="62">
        <v>0.0499</v>
      </c>
      <c r="C47" s="1"/>
      <c r="D47" s="1" t="s">
        <v>1152</v>
      </c>
      <c r="E47" s="1"/>
      <c r="F47" s="1"/>
      <c r="G47" s="1"/>
      <c r="H47" s="1"/>
      <c r="I47" s="1"/>
      <c r="J47" s="1"/>
      <c r="K47" s="1"/>
      <c r="L47" s="1"/>
      <c r="M47" s="1"/>
      <c r="N47" s="1"/>
      <c r="O47" s="1"/>
      <c r="P47" s="1"/>
    </row>
    <row r="48">
      <c r="A48" s="31" t="s">
        <v>1153</v>
      </c>
      <c r="B48" s="62">
        <v>0.0446</v>
      </c>
      <c r="C48" s="1"/>
      <c r="D48" s="1" t="s">
        <v>1154</v>
      </c>
      <c r="E48" s="1"/>
      <c r="F48" s="1"/>
      <c r="G48" s="1"/>
      <c r="H48" s="1"/>
      <c r="I48" s="1"/>
      <c r="J48" s="1"/>
      <c r="K48" s="1"/>
      <c r="L48" s="1"/>
      <c r="M48" s="1"/>
      <c r="N48" s="1"/>
      <c r="O48" s="1"/>
      <c r="P48" s="1"/>
    </row>
    <row r="49">
      <c r="A49" s="31" t="s">
        <v>1155</v>
      </c>
      <c r="B49" s="10">
        <f>SUM(Segments_Hist!E98:Segments_Hist!H98)/(SUM(Segments_Hist!E98:Segments_Hist!H98)+SUM(Segments_Hist!E95:Segments_Hist!H95)+SUM(Segments_Hist!E92:Segments_Hist!H92))</f>
        <v>0.3701900571107574</v>
      </c>
      <c r="C49" s="1"/>
      <c r="D49" s="1"/>
      <c r="E49" s="1"/>
      <c r="F49" s="1"/>
      <c r="G49" s="1"/>
      <c r="H49" s="1"/>
      <c r="I49" s="1"/>
      <c r="J49" s="1"/>
      <c r="K49" s="1"/>
      <c r="L49" s="1"/>
      <c r="M49" s="1"/>
      <c r="N49" s="1"/>
      <c r="O49" s="1"/>
      <c r="P49" s="1"/>
    </row>
    <row r="50">
      <c r="A50" s="31" t="s">
        <v>1156</v>
      </c>
      <c r="B50" s="10">
        <f>SUM(Segments_Hist!E95:Segments_Hist!H95)/(SUM(Segments_Hist!E98:Segments_Hist!H98)+SUM(Segments_Hist!E95:Segments_Hist!H95)+SUM(Segments_Hist!E92:Segments_Hist!H92))</f>
        <v>0.5000780201604095</v>
      </c>
      <c r="C50" s="1"/>
      <c r="D50" s="1"/>
      <c r="E50" s="1"/>
      <c r="F50" s="1"/>
      <c r="G50" s="1"/>
      <c r="H50" s="1"/>
      <c r="I50" s="1"/>
      <c r="J50" s="1"/>
      <c r="K50" s="1"/>
      <c r="L50" s="1"/>
      <c r="M50" s="1"/>
      <c r="N50" s="1"/>
      <c r="O50" s="1"/>
      <c r="P50" s="1"/>
    </row>
    <row r="51">
      <c r="A51" s="31" t="s">
        <v>1157</v>
      </c>
      <c r="B51" s="10">
        <f>SUM(Segments_Hist!E92:Segments_Hist!H92)/(SUM(Segments_Hist!E98:Segments_Hist!H98)+SUM(Segments_Hist!E95:Segments_Hist!H95)+SUM(Segments_Hist!E92:Segments_Hist!H92))</f>
        <v>0.12973192272883313</v>
      </c>
      <c r="C51" s="1"/>
      <c r="D51" s="1"/>
      <c r="E51" s="1"/>
      <c r="F51" s="1"/>
      <c r="G51" s="1"/>
      <c r="H51" s="1"/>
      <c r="I51" s="1"/>
      <c r="J51" s="1"/>
      <c r="K51" s="1"/>
      <c r="L51" s="1"/>
      <c r="M51" s="1"/>
      <c r="N51" s="1"/>
      <c r="O51" s="1"/>
      <c r="P51" s="1"/>
    </row>
    <row r="52">
      <c r="A52" s="6" t="s">
        <v>1158</v>
      </c>
      <c r="B52" s="39">
        <f>B49*N42+B50*N43+B51*N44</f>
        <v>1.19586589932743</v>
      </c>
      <c r="C52" s="1"/>
      <c r="D52" s="1" t="s">
        <v>1159</v>
      </c>
      <c r="E52" s="1"/>
      <c r="F52" s="1"/>
      <c r="G52" s="1"/>
      <c r="H52" s="1"/>
      <c r="I52" s="1"/>
      <c r="J52" s="1"/>
      <c r="K52" s="1"/>
      <c r="L52" s="1"/>
      <c r="M52" s="1"/>
      <c r="N52" s="1"/>
      <c r="O52" s="1"/>
      <c r="P52" s="1"/>
    </row>
    <row r="53">
      <c r="A53" s="31" t="s">
        <v>1160</v>
      </c>
      <c r="B53" s="10">
        <f>Debt_Credit!B19/B14</f>
        <v>0.01816733959947653</v>
      </c>
      <c r="C53" s="1"/>
      <c r="D53" s="1" t="s">
        <v>1161</v>
      </c>
      <c r="E53" s="1"/>
      <c r="F53" s="1"/>
      <c r="G53" s="1"/>
      <c r="H53" s="1"/>
      <c r="I53" s="1"/>
      <c r="J53" s="1"/>
      <c r="K53" s="1"/>
      <c r="L53" s="1"/>
      <c r="M53" s="1"/>
      <c r="N53" s="1"/>
      <c r="O53" s="1"/>
      <c r="P53" s="1"/>
    </row>
    <row r="54">
      <c r="A54" s="36" t="s">
        <v>1162</v>
      </c>
      <c r="B54" s="59">
        <f>B52*(1+(1-B38)*B53)</f>
        <v>1.2130292038351567</v>
      </c>
      <c r="C54" s="1"/>
      <c r="D54" s="1"/>
      <c r="E54" s="1"/>
      <c r="F54" s="1"/>
      <c r="G54" s="1"/>
      <c r="H54" s="1"/>
      <c r="I54" s="1"/>
      <c r="J54" s="1"/>
      <c r="K54" s="1"/>
      <c r="L54" s="1"/>
      <c r="M54" s="1"/>
      <c r="N54" s="1"/>
      <c r="O54" s="1"/>
      <c r="P54" s="1"/>
    </row>
    <row r="55">
      <c r="A55" s="31" t="s">
        <v>1163</v>
      </c>
      <c r="B55" s="10">
        <f>B47+B54*B48</f>
        <v>0.10400110249104799</v>
      </c>
      <c r="C55" s="1"/>
      <c r="D55" s="1"/>
      <c r="E55" s="1"/>
      <c r="F55" s="1"/>
      <c r="G55" s="1"/>
      <c r="H55" s="1"/>
      <c r="I55" s="1"/>
      <c r="J55" s="1"/>
      <c r="K55" s="1"/>
      <c r="L55" s="1"/>
      <c r="M55" s="1"/>
      <c r="N55" s="1"/>
      <c r="O55" s="1"/>
      <c r="P55" s="1"/>
    </row>
    <row r="56">
      <c r="A56" s="31" t="s">
        <v>1164</v>
      </c>
      <c r="B56" s="62">
        <v>0.05855</v>
      </c>
      <c r="C56" s="1"/>
      <c r="D56" s="1" t="s">
        <v>1165</v>
      </c>
      <c r="E56" s="1"/>
      <c r="F56" s="1"/>
      <c r="G56" s="1"/>
      <c r="H56" s="1"/>
      <c r="I56" s="1"/>
      <c r="J56" s="1"/>
      <c r="K56" s="1"/>
      <c r="L56" s="1"/>
      <c r="M56" s="1"/>
      <c r="N56" s="1"/>
      <c r="O56" s="1"/>
      <c r="P56" s="1"/>
    </row>
    <row r="57">
      <c r="A57" s="31" t="s">
        <v>1166</v>
      </c>
      <c r="B57" s="19">
        <f>Assumptions!$C$67</f>
        <v>0.22999999999999998</v>
      </c>
      <c r="C57" s="1"/>
      <c r="D57" s="1"/>
      <c r="E57" s="1"/>
      <c r="F57" s="1"/>
      <c r="G57" s="1"/>
      <c r="H57" s="1"/>
      <c r="I57" s="1"/>
      <c r="J57" s="1"/>
      <c r="K57" s="1"/>
      <c r="L57" s="1"/>
      <c r="M57" s="1"/>
      <c r="N57" s="1"/>
      <c r="O57" s="1"/>
      <c r="P57" s="1"/>
    </row>
    <row r="58">
      <c r="A58" s="31" t="s">
        <v>1167</v>
      </c>
      <c r="B58" s="10">
        <f>Debt_Credit!B19/(Debt_Credit!B19+B14)</f>
        <v>0.017843176551531437</v>
      </c>
      <c r="C58" s="1"/>
      <c r="D58" s="1"/>
      <c r="E58" s="1"/>
      <c r="F58" s="1"/>
      <c r="G58" s="1"/>
      <c r="H58" s="1"/>
      <c r="I58" s="1"/>
      <c r="J58" s="1"/>
      <c r="K58" s="1"/>
      <c r="L58" s="1"/>
      <c r="M58" s="1"/>
      <c r="N58" s="1"/>
      <c r="O58" s="1"/>
      <c r="P58" s="1"/>
    </row>
    <row r="59">
      <c r="A59" s="77" t="s">
        <v>29</v>
      </c>
      <c r="B59" s="21">
        <f>B55*(1-B58)+B56*(1-B57)*B58</f>
        <v>0.10294982530780727</v>
      </c>
      <c r="C59" s="1"/>
      <c r="D59" s="1"/>
      <c r="E59" s="1"/>
      <c r="F59" s="1"/>
      <c r="G59" s="1"/>
      <c r="H59" s="1"/>
      <c r="I59" s="1"/>
      <c r="J59" s="1"/>
      <c r="K59" s="1"/>
      <c r="L59" s="1"/>
      <c r="M59" s="1"/>
      <c r="N59" s="1"/>
      <c r="O59" s="1"/>
      <c r="P59" s="1"/>
    </row>
  </sheetData>
</worksheet>
</file>

<file path=xl/worksheets/sheet17.xml><?xml version="1.0" encoding="utf-8"?>
<worksheet xmlns="http://schemas.openxmlformats.org/spreadsheetml/2006/main" xmlns:r="http://schemas.openxmlformats.org/officeDocument/2006/relationships">
  <sheetPr>
    <tabColor rgb="FFC0873A"/>
  </sheetPr>
  <dimension ref="A1:N50"/>
  <sheetViews>
    <sheetView showGridLines="0" workbookViewId="0"/>
  </sheetViews>
  <sheetFormatPr defaultColWidth="8.375" defaultRowHeight="15"/>
  <cols>
    <col min="1" max="1" width="99.375" customWidth="1"/>
    <col min="2" max="2" width="6.0390625" customWidth="1"/>
    <col min="3" max="12" width="12.70703125" customWidth="1"/>
    <col min="13" max="13" width="17.70703125" customWidth="1"/>
    <col min="14" max="14" width="86.0390625" customWidth="1"/>
  </cols>
  <sheetData>
    <row r="1">
      <c r="A1" s="56" t="s">
        <v>1168</v>
      </c>
      <c r="B1" s="1"/>
      <c r="C1" s="1"/>
      <c r="D1" s="1"/>
      <c r="E1" s="1"/>
      <c r="F1" s="1"/>
      <c r="G1" s="1"/>
      <c r="H1" s="1"/>
      <c r="I1" s="1"/>
      <c r="J1" s="1"/>
      <c r="K1" s="1"/>
      <c r="L1" s="1"/>
      <c r="M1" s="1"/>
      <c r="N1" s="1"/>
    </row>
    <row r="2">
      <c r="A2" s="1" t="s">
        <v>1169</v>
      </c>
      <c r="B2" s="1"/>
      <c r="C2" s="1"/>
      <c r="D2" s="1"/>
      <c r="E2" s="1"/>
      <c r="F2" s="1"/>
      <c r="G2" s="1"/>
      <c r="H2" s="1"/>
      <c r="I2" s="1"/>
      <c r="J2" s="1"/>
      <c r="K2" s="1"/>
      <c r="L2" s="1"/>
      <c r="M2" s="1"/>
      <c r="N2" s="1"/>
    </row>
    <row r="3">
      <c r="A3" s="1"/>
      <c r="B3" s="1"/>
      <c r="C3" s="1" t="s">
        <v>565</v>
      </c>
      <c r="D3" s="1"/>
      <c r="E3" s="1"/>
      <c r="F3" s="1"/>
      <c r="G3" s="1"/>
      <c r="H3" s="1"/>
      <c r="I3" s="1"/>
      <c r="J3" s="1"/>
      <c r="K3" s="1"/>
      <c r="L3" s="1"/>
      <c r="M3" s="1"/>
      <c r="N3" s="1"/>
    </row>
    <row r="4">
      <c r="A4" s="4" t="s">
        <v>81</v>
      </c>
      <c r="B4" s="1"/>
      <c r="C4" s="30" t="s">
        <v>729</v>
      </c>
      <c r="D4" s="30" t="s">
        <v>568</v>
      </c>
      <c r="E4" s="30" t="s">
        <v>569</v>
      </c>
      <c r="F4" s="30" t="s">
        <v>570</v>
      </c>
      <c r="G4" s="30" t="s">
        <v>571</v>
      </c>
      <c r="H4" s="30" t="s">
        <v>572</v>
      </c>
      <c r="I4" s="30" t="s">
        <v>573</v>
      </c>
      <c r="J4" s="30" t="s">
        <v>574</v>
      </c>
      <c r="K4" s="30" t="s">
        <v>575</v>
      </c>
      <c r="L4" s="30" t="s">
        <v>576</v>
      </c>
      <c r="M4" s="40" t="s">
        <v>87</v>
      </c>
      <c r="N4" s="40" t="s">
        <v>88</v>
      </c>
    </row>
    <row r="5">
      <c r="A5" s="6" t="s">
        <v>89</v>
      </c>
      <c r="B5" s="1"/>
      <c r="C5" s="9">
        <f>Interim_Bridge!C25</f>
        <v>17142.753523418458</v>
      </c>
      <c r="D5" s="9">
        <f>Forecast_3Stmt!D10</f>
        <v>82274.68214996651</v>
      </c>
      <c r="E5" s="9">
        <f>Forecast_3Stmt!E10</f>
        <v>114524.24044656282</v>
      </c>
      <c r="F5" s="9">
        <f>Forecast_3Stmt!F10</f>
        <v>147075.8225187042</v>
      </c>
      <c r="G5" s="9">
        <f>Forecast_3Stmt!G10</f>
        <v>178794.88469918165</v>
      </c>
      <c r="H5" s="9">
        <f>Forecast_3Stmt!H10</f>
        <v>207987.3741804745</v>
      </c>
      <c r="I5" s="9">
        <f>Forecast_3Stmt!I10</f>
        <v>233108.262562512</v>
      </c>
      <c r="J5" s="9">
        <f>Forecast_3Stmt!J10</f>
        <v>254671.22611784283</v>
      </c>
      <c r="K5" s="9">
        <f>Forecast_3Stmt!K10</f>
        <v>272401.7552132149</v>
      </c>
      <c r="L5" s="9">
        <f>Forecast_3Stmt!L10</f>
        <v>286870.5245537773</v>
      </c>
      <c r="M5" s="1"/>
      <c r="N5" s="1"/>
    </row>
    <row r="6">
      <c r="A6" s="6" t="s">
        <v>810</v>
      </c>
      <c r="B6" s="1"/>
      <c r="C6" s="9">
        <f>Interim_Bridge!C102</f>
        <v>3160.609615115665</v>
      </c>
      <c r="D6" s="9">
        <f>Schedules!D101</f>
        <v>11759.656454492486</v>
      </c>
      <c r="E6" s="9">
        <f>Schedules!E101</f>
        <v>19326.29347337871</v>
      </c>
      <c r="F6" s="9">
        <f>Schedules!F101</f>
        <v>31599.567094454236</v>
      </c>
      <c r="G6" s="9">
        <f>Schedules!G101</f>
        <v>44990.75397756432</v>
      </c>
      <c r="H6" s="9">
        <f>Schedules!H101</f>
        <v>52618.02008790541</v>
      </c>
      <c r="I6" s="9">
        <f>Schedules!I101</f>
        <v>57551.63678866381</v>
      </c>
      <c r="J6" s="9">
        <f>Schedules!J101</f>
        <v>67041.69313468598</v>
      </c>
      <c r="K6" s="9">
        <f>Schedules!K101</f>
        <v>80445.63747126654</v>
      </c>
      <c r="L6" s="9">
        <f>Schedules!L101</f>
        <v>87829.94127676959</v>
      </c>
      <c r="M6" s="1"/>
      <c r="N6" s="1"/>
    </row>
    <row r="7">
      <c r="A7" s="6" t="s">
        <v>811</v>
      </c>
      <c r="B7" s="1"/>
      <c r="C7" s="9">
        <f>Interim_Bridge!C103</f>
        <v>-158.03048075578326</v>
      </c>
      <c r="D7" s="9">
        <f>Schedules!D102</f>
        <v>-220.31451168227957</v>
      </c>
      <c r="E7" s="9">
        <f>Schedules!E102</f>
        <v>-1111.261874719276</v>
      </c>
      <c r="F7" s="9">
        <f>Schedules!F102</f>
        <v>-6492.1830270976325</v>
      </c>
      <c r="G7" s="9">
        <f>Schedules!G102</f>
        <v>-9673.012105176327</v>
      </c>
      <c r="H7" s="9">
        <f>Schedules!H102</f>
        <v>-11478.828482255474</v>
      </c>
      <c r="I7" s="9">
        <f>Schedules!I102</f>
        <v>-13236.876461392676</v>
      </c>
      <c r="J7" s="9">
        <f>Schedules!J102</f>
        <v>-15419.589420977778</v>
      </c>
      <c r="K7" s="9">
        <f>Schedules!K102</f>
        <v>-18502.496618391302</v>
      </c>
      <c r="L7" s="9">
        <f>Schedules!L102</f>
        <v>-20200.88649365701</v>
      </c>
      <c r="M7" s="1"/>
      <c r="N7" s="1"/>
    </row>
    <row r="8">
      <c r="A8" s="16" t="s">
        <v>966</v>
      </c>
      <c r="B8" s="41"/>
      <c r="C8" s="12">
        <f>C6+C7</f>
        <v>3002.5791343598817</v>
      </c>
      <c r="D8" s="12">
        <f>D6+D7</f>
        <v>11539.341942810206</v>
      </c>
      <c r="E8" s="12">
        <f>E6+E7</f>
        <v>18215.031598659436</v>
      </c>
      <c r="F8" s="12">
        <f>F6+F7</f>
        <v>25107.384067356605</v>
      </c>
      <c r="G8" s="12">
        <f>G6+G7</f>
        <v>35317.741872388</v>
      </c>
      <c r="H8" s="12">
        <f>H6+H7</f>
        <v>41139.19160564993</v>
      </c>
      <c r="I8" s="12">
        <f>I6+I7</f>
        <v>44314.760327271135</v>
      </c>
      <c r="J8" s="12">
        <f>J6+J7</f>
        <v>51622.1037137082</v>
      </c>
      <c r="K8" s="12">
        <f>K6+K7</f>
        <v>61943.140852875236</v>
      </c>
      <c r="L8" s="12">
        <f>L6+L7</f>
        <v>67629.05478311257</v>
      </c>
      <c r="M8" s="1"/>
      <c r="N8" s="1"/>
    </row>
    <row r="9">
      <c r="A9" s="6" t="s">
        <v>190</v>
      </c>
      <c r="B9" s="1"/>
      <c r="C9" s="9">
        <f>Interim_Bridge!C104</f>
        <v>3746.8125</v>
      </c>
      <c r="D9" s="9">
        <f>Schedules!D104</f>
        <v>23870.160329229813</v>
      </c>
      <c r="E9" s="9">
        <f>Schedules!E104</f>
        <v>35175.607094955485</v>
      </c>
      <c r="F9" s="9">
        <f>Schedules!F104</f>
        <v>46432.0598734465</v>
      </c>
      <c r="G9" s="9">
        <f>Schedules!G104</f>
        <v>56577.22596383865</v>
      </c>
      <c r="H9" s="9">
        <f>Schedules!H104</f>
        <v>65947.09074485223</v>
      </c>
      <c r="I9" s="9">
        <f>Schedules!I104</f>
        <v>75625.06378447515</v>
      </c>
      <c r="J9" s="9">
        <f>Schedules!J104</f>
        <v>78607.48236676551</v>
      </c>
      <c r="K9" s="9">
        <f>Schedules!K104</f>
        <v>75472.03210249747</v>
      </c>
      <c r="L9" s="9">
        <f>Schedules!L104</f>
        <v>76454.48305578937</v>
      </c>
      <c r="M9" s="1"/>
      <c r="N9" s="1"/>
    </row>
    <row r="10">
      <c r="A10" s="6" t="s">
        <v>1170</v>
      </c>
      <c r="B10" s="1"/>
      <c r="C10" s="9">
        <f>Interim_Bridge!C105</f>
        <v>2356.763392857143</v>
      </c>
      <c r="D10" s="9">
        <f>Schedules!D105</f>
        <v>9427.053571428572</v>
      </c>
      <c r="E10" s="9">
        <f>Schedules!E105</f>
        <v>9427.053571428572</v>
      </c>
      <c r="F10" s="9">
        <f>Schedules!F105</f>
        <v>4655.285714285715</v>
      </c>
      <c r="G10" s="9">
        <f>Schedules!G105</f>
        <v>0</v>
      </c>
      <c r="H10" s="9">
        <f>Schedules!H105</f>
        <v>0</v>
      </c>
      <c r="I10" s="9">
        <f>Schedules!I105</f>
        <v>0</v>
      </c>
      <c r="J10" s="9">
        <f>Schedules!J105</f>
        <v>0</v>
      </c>
      <c r="K10" s="9">
        <f>Schedules!K105</f>
        <v>0</v>
      </c>
      <c r="L10" s="9">
        <f>Schedules!L105</f>
        <v>0</v>
      </c>
      <c r="M10" s="1"/>
      <c r="N10" s="1"/>
    </row>
    <row r="11">
      <c r="A11" s="6" t="s">
        <v>1171</v>
      </c>
      <c r="B11" s="1"/>
      <c r="C11" s="9">
        <f>Interim_Bridge!C106</f>
        <v>-23200</v>
      </c>
      <c r="D11" s="9">
        <f>Schedules!D106</f>
        <v>-76207.67472086957</v>
      </c>
      <c r="E11" s="9">
        <f>Schedules!E106</f>
        <v>-78632.50722210144</v>
      </c>
      <c r="F11" s="9">
        <f>Schedules!F106</f>
        <v>-74382.02056280868</v>
      </c>
      <c r="G11" s="9">
        <f>Schedules!G106</f>
        <v>-71722.05105539857</v>
      </c>
      <c r="H11" s="9">
        <f>Schedules!H106</f>
        <v>-71859.5431833087</v>
      </c>
      <c r="I11" s="9">
        <f>Schedules!I106</f>
        <v>-69313.5762195042</v>
      </c>
      <c r="J11" s="9">
        <f>Schedules!J106</f>
        <v>-83800.79154637048</v>
      </c>
      <c r="K11" s="9">
        <f>Schedules!K106</f>
        <v>-81732.09073871635</v>
      </c>
      <c r="L11" s="9">
        <f>Schedules!L106</f>
        <v>-80353.63326955272</v>
      </c>
      <c r="M11" s="1"/>
      <c r="N11" s="1"/>
    </row>
    <row r="12">
      <c r="A12" s="6" t="s">
        <v>968</v>
      </c>
      <c r="B12" s="1"/>
      <c r="C12" s="9">
        <f>Interim_Bridge!C107</f>
        <v>-385</v>
      </c>
      <c r="D12" s="9">
        <f>Schedules!D107</f>
        <v>-17328</v>
      </c>
      <c r="E12" s="9">
        <f>Schedules!E107</f>
        <v>0</v>
      </c>
      <c r="F12" s="9">
        <f>Schedules!F107</f>
        <v>0</v>
      </c>
      <c r="G12" s="9">
        <f>Schedules!G107</f>
        <v>0</v>
      </c>
      <c r="H12" s="9">
        <f>Schedules!H107</f>
        <v>0</v>
      </c>
      <c r="I12" s="9">
        <f>Schedules!I107</f>
        <v>0</v>
      </c>
      <c r="J12" s="9">
        <f>Schedules!J107</f>
        <v>0</v>
      </c>
      <c r="K12" s="9">
        <f>Schedules!K107</f>
        <v>0</v>
      </c>
      <c r="L12" s="9">
        <f>Schedules!L107</f>
        <v>0</v>
      </c>
      <c r="M12" s="1"/>
      <c r="N12" s="1"/>
    </row>
    <row r="13">
      <c r="A13" s="6" t="s">
        <v>814</v>
      </c>
      <c r="B13" s="1"/>
      <c r="C13" s="9">
        <f>Interim_Bridge!C108</f>
        <v>4860.821431638578</v>
      </c>
      <c r="D13" s="9">
        <f>Schedules!D108</f>
        <v>-7133.873042887775</v>
      </c>
      <c r="E13" s="9">
        <f>Schedules!E108</f>
        <v>8116.592428882683</v>
      </c>
      <c r="F13" s="9">
        <f>Schedules!F108</f>
        <v>987.1556257919583</v>
      </c>
      <c r="G13" s="9">
        <f>Schedules!G108</f>
        <v>848.7593466738035</v>
      </c>
      <c r="H13" s="9">
        <f>Schedules!H108</f>
        <v>-283.74879412036535</v>
      </c>
      <c r="I13" s="9">
        <f>Schedules!I108</f>
        <v>2486.6674354270435</v>
      </c>
      <c r="J13" s="9">
        <f>Schedules!J108</f>
        <v>4322.902679062863</v>
      </c>
      <c r="K13" s="9">
        <f>Schedules!K108</f>
        <v>1725.4056747564173</v>
      </c>
      <c r="L13" s="9">
        <f>Schedules!L108</f>
        <v>1450.1364067030809</v>
      </c>
      <c r="M13" s="1"/>
      <c r="N13" s="1"/>
    </row>
    <row r="14">
      <c r="A14" s="67" t="s">
        <v>969</v>
      </c>
      <c r="B14" s="41"/>
      <c r="C14" s="32">
        <f>C8+C9+C10+C11+C12+C13</f>
        <v>-9618.023541144397</v>
      </c>
      <c r="D14" s="32">
        <f>D8+D9+D10+D11+D12+D13</f>
        <v>-55832.99192028876</v>
      </c>
      <c r="E14" s="32">
        <f>E8+E9+E10+E11+E12+E13</f>
        <v>-7698.222528175265</v>
      </c>
      <c r="F14" s="32">
        <f>F8+F9+F10+F11+F12+F13</f>
        <v>2799.8647180720873</v>
      </c>
      <c r="G14" s="32">
        <f>G8+G9+G10+G11+G12+G13</f>
        <v>21021.676127501894</v>
      </c>
      <c r="H14" s="32">
        <f>H8+H9+H10+H11+H12+H13</f>
        <v>34942.990373073095</v>
      </c>
      <c r="I14" s="32">
        <f>I8+I9+I10+I11+I12+I13</f>
        <v>53112.915327669114</v>
      </c>
      <c r="J14" s="32">
        <f>J8+J9+J10+J11+J12+J13</f>
        <v>50751.697213166095</v>
      </c>
      <c r="K14" s="32">
        <f>K8+K9+K10+K11+K12+K13</f>
        <v>57408.48789141279</v>
      </c>
      <c r="L14" s="32">
        <f>L8+L9+L10+L11+L12+L13</f>
        <v>65180.0409760523</v>
      </c>
      <c r="M14" s="1"/>
      <c r="N14" s="1"/>
    </row>
    <row r="15">
      <c r="A15" s="6" t="s">
        <v>1172</v>
      </c>
      <c r="B15" s="1"/>
      <c r="C15" s="39">
        <f>0.25/2</f>
        <v>0.125</v>
      </c>
      <c r="D15" s="39">
        <f>0.25+0.5</f>
        <v>0.75</v>
      </c>
      <c r="E15" s="39">
        <f>D15+1</f>
        <v>1.75</v>
      </c>
      <c r="F15" s="39">
        <f>E15+1</f>
        <v>2.75</v>
      </c>
      <c r="G15" s="39">
        <f>F15+1</f>
        <v>3.75</v>
      </c>
      <c r="H15" s="39">
        <f>G15+1</f>
        <v>4.75</v>
      </c>
      <c r="I15" s="39">
        <f>H15+1</f>
        <v>5.75</v>
      </c>
      <c r="J15" s="39">
        <f>I15+1</f>
        <v>6.75</v>
      </c>
      <c r="K15" s="39">
        <f>J15+1</f>
        <v>7.75</v>
      </c>
      <c r="L15" s="39">
        <f>K15+1</f>
        <v>8.75</v>
      </c>
      <c r="M15" s="1"/>
      <c r="N15" s="1" t="s">
        <v>1173</v>
      </c>
    </row>
    <row r="16">
      <c r="A16" s="6" t="s">
        <v>1174</v>
      </c>
      <c r="B16" s="1"/>
      <c r="C16" s="38">
        <f>1/(1+$C$20)^C15</f>
        <v>0.9878261766841924</v>
      </c>
      <c r="D16" s="38">
        <f>1/(1+$C$20)^D15</f>
        <v>0.9291443338803907</v>
      </c>
      <c r="E16" s="38">
        <f>1/(1+$C$20)^E15</f>
        <v>0.8424175901393235</v>
      </c>
      <c r="F16" s="38">
        <f>1/(1+$C$20)^F15</f>
        <v>0.76378595907953</v>
      </c>
      <c r="G16" s="38">
        <f>1/(1+$C$20)^G15</f>
        <v>0.6924938392971551</v>
      </c>
      <c r="H16" s="38">
        <f>1/(1+$C$20)^H15</f>
        <v>0.6278561575581161</v>
      </c>
      <c r="I16" s="38">
        <f>1/(1+$C$20)^I15</f>
        <v>0.5692517856674906</v>
      </c>
      <c r="J16" s="38">
        <f>1/(1+$C$20)^J15</f>
        <v>0.5161175718112344</v>
      </c>
      <c r="K16" s="38">
        <f>1/(1+$C$20)^K15</f>
        <v>0.46794292901510565</v>
      </c>
      <c r="L16" s="38">
        <f>1/(1+$C$20)^L15</f>
        <v>0.4242649287192315</v>
      </c>
      <c r="M16" s="1"/>
      <c r="N16" s="1"/>
    </row>
    <row r="17">
      <c r="A17" s="6" t="s">
        <v>1175</v>
      </c>
      <c r="B17" s="1"/>
      <c r="C17" s="8">
        <f>C14*C16</f>
        <v>-9500.935421907227</v>
      </c>
      <c r="D17" s="8">
        <f>D14*D16</f>
        <v>-51876.90808632594</v>
      </c>
      <c r="E17" s="8">
        <f>E14*E16</f>
        <v>-6485.118070541657</v>
      </c>
      <c r="F17" s="8">
        <f>F14*F16</f>
        <v>2138.4973589856268</v>
      </c>
      <c r="G17" s="8">
        <f>G14*G16</f>
        <v>14557.38120999514</v>
      </c>
      <c r="H17" s="8">
        <f>H14*H16</f>
        <v>21939.171669227915</v>
      </c>
      <c r="I17" s="8">
        <f>I14*I16</f>
        <v>30234.621892281873</v>
      </c>
      <c r="J17" s="8">
        <f>J14*J16</f>
        <v>26193.842730958277</v>
      </c>
      <c r="K17" s="8">
        <f>K14*K16</f>
        <v>26863.89597423593</v>
      </c>
      <c r="L17" s="8">
        <f>L14*L16</f>
        <v>27653.60543862142</v>
      </c>
      <c r="M17" s="1"/>
      <c r="N17" s="1"/>
    </row>
    <row r="18">
      <c r="A18" s="1"/>
      <c r="B18" s="1"/>
      <c r="C18" s="1"/>
      <c r="D18" s="1"/>
      <c r="E18" s="1"/>
      <c r="F18" s="1"/>
      <c r="G18" s="1"/>
      <c r="H18" s="1"/>
      <c r="I18" s="1"/>
      <c r="J18" s="1"/>
      <c r="K18" s="1"/>
      <c r="L18" s="1"/>
      <c r="M18" s="1"/>
      <c r="N18" s="1"/>
    </row>
    <row r="19">
      <c r="A19" s="16" t="s">
        <v>1176</v>
      </c>
      <c r="B19" s="1"/>
      <c r="C19" s="1"/>
      <c r="D19" s="1"/>
      <c r="E19" s="1"/>
      <c r="F19" s="1"/>
      <c r="G19" s="1"/>
      <c r="H19" s="1"/>
      <c r="I19" s="1"/>
      <c r="J19" s="1"/>
      <c r="K19" s="1"/>
      <c r="L19" s="1"/>
      <c r="M19" s="1"/>
      <c r="N19" s="1"/>
    </row>
    <row r="20">
      <c r="A20" s="31" t="s">
        <v>29</v>
      </c>
      <c r="B20" s="29"/>
      <c r="C20" s="19">
        <f>Market_Package!B59</f>
        <v>0.10294982530780727</v>
      </c>
      <c r="D20" s="1"/>
      <c r="E20" s="1"/>
      <c r="F20" s="1"/>
      <c r="G20" s="1"/>
      <c r="H20" s="1"/>
      <c r="I20" s="1"/>
      <c r="J20" s="1"/>
      <c r="K20" s="1"/>
      <c r="L20" s="1"/>
      <c r="M20" s="1"/>
      <c r="N20" s="1"/>
    </row>
    <row r="21">
      <c r="A21" s="31" t="s">
        <v>1177</v>
      </c>
      <c r="B21" s="29"/>
      <c r="C21" s="19">
        <f>Assumptions!$C$26</f>
        <v>0.03</v>
      </c>
      <c r="D21" s="1"/>
      <c r="E21" s="1"/>
      <c r="F21" s="1"/>
      <c r="G21" s="1"/>
      <c r="H21" s="1"/>
      <c r="I21" s="1"/>
      <c r="J21" s="1"/>
      <c r="K21" s="1"/>
      <c r="L21" s="1"/>
      <c r="M21" s="1"/>
      <c r="N21" s="1"/>
    </row>
    <row r="22">
      <c r="A22" s="31" t="s">
        <v>1178</v>
      </c>
      <c r="B22" s="29"/>
      <c r="C22" s="19">
        <f>Assumptions!$C$27</f>
        <v>0.15</v>
      </c>
      <c r="D22" s="1"/>
      <c r="E22" s="1"/>
      <c r="F22" s="1"/>
      <c r="G22" s="1"/>
      <c r="H22" s="1"/>
      <c r="I22" s="1"/>
      <c r="J22" s="1"/>
      <c r="K22" s="1"/>
      <c r="L22" s="1"/>
      <c r="M22" s="1"/>
      <c r="N22" s="1"/>
    </row>
    <row r="23">
      <c r="A23" s="6" t="s">
        <v>1179</v>
      </c>
      <c r="B23" s="1"/>
      <c r="C23" s="8">
        <f>SUM(C17:L17)</f>
        <v>81718.05469553136</v>
      </c>
      <c r="D23" s="1"/>
      <c r="E23" s="1"/>
      <c r="F23" s="1"/>
      <c r="G23" s="1"/>
      <c r="H23" s="1"/>
      <c r="I23" s="1"/>
      <c r="J23" s="1"/>
      <c r="K23" s="1"/>
      <c r="L23" s="1"/>
      <c r="M23" s="1"/>
      <c r="N23" s="1"/>
    </row>
    <row r="24">
      <c r="A24" s="6" t="s">
        <v>1180</v>
      </c>
      <c r="B24" s="1"/>
      <c r="C24" s="8">
        <f>Forecast_3Stmt!L16*(1-Assumptions!$C$67)*(1+C21)</f>
        <v>69657.92642660596</v>
      </c>
      <c r="D24" s="1"/>
      <c r="E24" s="1"/>
      <c r="F24" s="1"/>
      <c r="G24" s="1"/>
      <c r="H24" s="1"/>
      <c r="I24" s="1"/>
      <c r="J24" s="1"/>
      <c r="K24" s="1"/>
      <c r="L24" s="1"/>
      <c r="M24" s="1"/>
      <c r="N24" s="1" t="s">
        <v>1181</v>
      </c>
    </row>
    <row r="25">
      <c r="A25" s="31" t="s">
        <v>1182</v>
      </c>
      <c r="B25" s="29"/>
      <c r="C25" s="10">
        <f>C21/C22</f>
        <v>0.2</v>
      </c>
      <c r="D25" s="1"/>
      <c r="E25" s="1"/>
      <c r="F25" s="1"/>
      <c r="G25" s="1"/>
      <c r="H25" s="1"/>
      <c r="I25" s="1"/>
      <c r="J25" s="1"/>
      <c r="K25" s="1"/>
      <c r="L25" s="1"/>
      <c r="M25" s="1"/>
      <c r="N25" s="1"/>
    </row>
    <row r="26">
      <c r="A26" s="6" t="s">
        <v>1183</v>
      </c>
      <c r="B26" s="1"/>
      <c r="C26" s="8">
        <f>C24*(1-C25)/(C20-C21)</f>
        <v>763899.5831196432</v>
      </c>
      <c r="D26" s="1"/>
      <c r="E26" s="1"/>
      <c r="F26" s="1"/>
      <c r="G26" s="1"/>
      <c r="H26" s="1"/>
      <c r="I26" s="1"/>
      <c r="J26" s="1"/>
      <c r="K26" s="1"/>
      <c r="L26" s="1"/>
      <c r="M26" s="1"/>
      <c r="N26" s="1"/>
    </row>
    <row r="27">
      <c r="A27" s="6" t="s">
        <v>1184</v>
      </c>
      <c r="B27" s="1"/>
      <c r="C27" s="39">
        <f>L15</f>
        <v>8.75</v>
      </c>
      <c r="D27" s="1"/>
      <c r="E27" s="1"/>
      <c r="F27" s="1"/>
      <c r="G27" s="1"/>
      <c r="H27" s="1"/>
      <c r="I27" s="1"/>
      <c r="J27" s="1"/>
      <c r="K27" s="1"/>
      <c r="L27" s="1"/>
      <c r="M27" s="1"/>
      <c r="N27" s="1" t="s">
        <v>1185</v>
      </c>
    </row>
    <row r="28">
      <c r="A28" s="6" t="s">
        <v>1186</v>
      </c>
      <c r="B28" s="1"/>
      <c r="C28" s="8">
        <f>C26/(1+C20)^C27</f>
        <v>324095.80218090606</v>
      </c>
      <c r="D28" s="1"/>
      <c r="E28" s="1"/>
      <c r="F28" s="1"/>
      <c r="G28" s="1"/>
      <c r="H28" s="1"/>
      <c r="I28" s="1"/>
      <c r="J28" s="1"/>
      <c r="K28" s="1"/>
      <c r="L28" s="1"/>
      <c r="M28" s="1"/>
      <c r="N28" s="1"/>
    </row>
    <row r="29">
      <c r="A29" s="36" t="s">
        <v>1187</v>
      </c>
      <c r="B29" s="41"/>
      <c r="C29" s="12">
        <f>C23+C28</f>
        <v>405813.85687643744</v>
      </c>
      <c r="D29" s="1"/>
      <c r="E29" s="1"/>
      <c r="F29" s="1"/>
      <c r="G29" s="1"/>
      <c r="H29" s="1"/>
      <c r="I29" s="1"/>
      <c r="J29" s="1"/>
      <c r="K29" s="1"/>
      <c r="L29" s="1"/>
      <c r="M29" s="1"/>
      <c r="N29" s="1"/>
    </row>
    <row r="30">
      <c r="A30" s="36" t="s">
        <v>1188</v>
      </c>
      <c r="B30" s="41"/>
      <c r="C30" s="33">
        <f>C29*(1+C20)^Market_Package!B9</f>
        <v>408766.0631859558</v>
      </c>
      <c r="D30" s="1"/>
      <c r="E30" s="1"/>
      <c r="F30" s="1"/>
      <c r="G30" s="1"/>
      <c r="H30" s="1"/>
      <c r="I30" s="1"/>
      <c r="J30" s="1"/>
      <c r="K30" s="1"/>
      <c r="L30" s="1"/>
      <c r="M30" s="1"/>
      <c r="N30" s="1"/>
    </row>
    <row r="31">
      <c r="A31" s="6" t="s">
        <v>1189</v>
      </c>
      <c r="B31" s="1"/>
      <c r="C31" s="8">
        <f>Market_Package!B17*(1+Assumptions!$C$53)^Market_Package!B9</f>
        <v>90130.15870821186</v>
      </c>
      <c r="D31" s="1"/>
      <c r="E31" s="1"/>
      <c r="F31" s="1"/>
      <c r="G31" s="1"/>
      <c r="H31" s="1"/>
      <c r="I31" s="1"/>
      <c r="J31" s="1"/>
      <c r="K31" s="1"/>
      <c r="L31" s="1"/>
      <c r="M31" s="1"/>
      <c r="N31" s="1" t="s">
        <v>1190</v>
      </c>
    </row>
    <row r="32">
      <c r="A32" s="6" t="s">
        <v>1191</v>
      </c>
      <c r="B32" s="1"/>
      <c r="C32" s="9">
        <f>Market_Package!B18</f>
        <v>1573</v>
      </c>
      <c r="D32" s="1"/>
      <c r="E32" s="1"/>
      <c r="F32" s="1"/>
      <c r="G32" s="1"/>
      <c r="H32" s="1"/>
      <c r="I32" s="1"/>
      <c r="J32" s="1"/>
      <c r="K32" s="1"/>
      <c r="L32" s="1"/>
      <c r="M32" s="1"/>
      <c r="N32" s="1"/>
    </row>
    <row r="33">
      <c r="A33" s="6" t="s">
        <v>1192</v>
      </c>
      <c r="B33" s="1"/>
      <c r="C33" s="8">
        <f>-Debt_Credit!B19*(1+Interim_Bridge!B53)^Market_Package!B9</f>
        <v>-39183.2937314606</v>
      </c>
      <c r="D33" s="1"/>
      <c r="E33" s="1"/>
      <c r="F33" s="1"/>
      <c r="G33" s="1"/>
      <c r="H33" s="1"/>
      <c r="I33" s="1"/>
      <c r="J33" s="1"/>
      <c r="K33" s="1"/>
      <c r="L33" s="1"/>
      <c r="M33" s="1"/>
      <c r="N33" s="1"/>
    </row>
    <row r="34">
      <c r="A34" s="6" t="s">
        <v>1193</v>
      </c>
      <c r="B34" s="1"/>
      <c r="C34" s="8">
        <f>-Debt_Credit!B22-Debt_Credit!B23</f>
        <v>-599</v>
      </c>
      <c r="D34" s="1"/>
      <c r="E34" s="1"/>
      <c r="F34" s="1"/>
      <c r="G34" s="1"/>
      <c r="H34" s="1"/>
      <c r="I34" s="1"/>
      <c r="J34" s="1"/>
      <c r="K34" s="1"/>
      <c r="L34" s="1"/>
      <c r="M34" s="1"/>
      <c r="N34" s="1"/>
    </row>
    <row r="35">
      <c r="A35" s="36" t="s">
        <v>1194</v>
      </c>
      <c r="B35" s="41"/>
      <c r="C35" s="12">
        <f>C30+C31+C32+C33+C34</f>
        <v>460686.9281627071</v>
      </c>
      <c r="D35" s="1"/>
      <c r="E35" s="1"/>
      <c r="F35" s="1"/>
      <c r="G35" s="1"/>
      <c r="H35" s="1"/>
      <c r="I35" s="1"/>
      <c r="J35" s="1"/>
      <c r="K35" s="1"/>
      <c r="L35" s="1"/>
      <c r="M35" s="1"/>
      <c r="N35" s="1"/>
    </row>
    <row r="36">
      <c r="A36" s="6" t="s">
        <v>30</v>
      </c>
      <c r="B36" s="1"/>
      <c r="C36" s="48">
        <f>Market_Package!B13</f>
        <v>14444.097387826221</v>
      </c>
      <c r="D36" s="1"/>
      <c r="E36" s="1"/>
      <c r="F36" s="1"/>
      <c r="G36" s="1"/>
      <c r="H36" s="1"/>
      <c r="I36" s="1"/>
      <c r="J36" s="1"/>
      <c r="K36" s="1"/>
      <c r="L36" s="1"/>
      <c r="M36" s="1"/>
      <c r="N36" s="1"/>
    </row>
    <row r="37">
      <c r="A37" s="36" t="s">
        <v>1195</v>
      </c>
      <c r="B37" s="41"/>
      <c r="C37" s="61">
        <f>C35/C36</f>
        <v>31.894476739749994</v>
      </c>
      <c r="D37" s="1"/>
      <c r="E37" s="1"/>
      <c r="F37" s="1"/>
      <c r="G37" s="1"/>
      <c r="H37" s="1"/>
      <c r="I37" s="1"/>
      <c r="J37" s="1"/>
      <c r="K37" s="1"/>
      <c r="L37" s="1"/>
      <c r="M37" s="1"/>
      <c r="N37" s="1"/>
    </row>
    <row r="38">
      <c r="A38" s="36" t="s">
        <v>1196</v>
      </c>
      <c r="B38" s="41"/>
      <c r="C38" s="73">
        <f>C35/Cap_Table!B57</f>
        <v>35.05448548136127</v>
      </c>
      <c r="D38" s="1"/>
      <c r="E38" s="1"/>
      <c r="F38" s="1"/>
      <c r="G38" s="1"/>
      <c r="H38" s="1"/>
      <c r="I38" s="1"/>
      <c r="J38" s="1"/>
      <c r="K38" s="1"/>
      <c r="L38" s="1"/>
      <c r="M38" s="1"/>
      <c r="N38" s="1" t="s">
        <v>1197</v>
      </c>
    </row>
    <row r="39">
      <c r="A39" s="6" t="s">
        <v>17</v>
      </c>
      <c r="B39" s="1"/>
      <c r="C39" s="34">
        <f>Market_Package!B10</f>
        <v>148.58</v>
      </c>
      <c r="D39" s="1"/>
      <c r="E39" s="1"/>
      <c r="F39" s="1"/>
      <c r="G39" s="1"/>
      <c r="H39" s="1"/>
      <c r="I39" s="1"/>
      <c r="J39" s="1"/>
      <c r="K39" s="1"/>
      <c r="L39" s="1"/>
      <c r="M39" s="1"/>
      <c r="N39" s="1"/>
    </row>
    <row r="40">
      <c r="A40" s="31" t="s">
        <v>1198</v>
      </c>
      <c r="B40" s="29"/>
      <c r="C40" s="10">
        <f>C37/C39-1</f>
        <v>-0.7853380216735093</v>
      </c>
      <c r="D40" s="1"/>
      <c r="E40" s="1"/>
      <c r="F40" s="1"/>
      <c r="G40" s="1"/>
      <c r="H40" s="1"/>
      <c r="I40" s="1"/>
      <c r="J40" s="1"/>
      <c r="K40" s="1"/>
      <c r="L40" s="1"/>
      <c r="M40" s="1"/>
      <c r="N40" s="1"/>
    </row>
    <row r="41">
      <c r="A41" s="31" t="s">
        <v>1199</v>
      </c>
      <c r="B41" s="29"/>
      <c r="C41" s="10">
        <f>C28/C29</f>
        <v>0.7986316797447038</v>
      </c>
      <c r="D41" s="1"/>
      <c r="E41" s="1"/>
      <c r="F41" s="1"/>
      <c r="G41" s="1"/>
      <c r="H41" s="1"/>
      <c r="I41" s="1"/>
      <c r="J41" s="1"/>
      <c r="K41" s="1"/>
      <c r="L41" s="1"/>
      <c r="M41" s="1"/>
      <c r="N41" s="1"/>
    </row>
    <row r="42">
      <c r="A42" s="6" t="s">
        <v>1200</v>
      </c>
      <c r="B42" s="1"/>
      <c r="C42" s="13">
        <f>C26/Forecast_3Stmt!L12</f>
        <v>4.382045336861735</v>
      </c>
      <c r="D42" s="1"/>
      <c r="E42" s="1"/>
      <c r="F42" s="1"/>
      <c r="G42" s="1"/>
      <c r="H42" s="1"/>
      <c r="I42" s="1"/>
      <c r="J42" s="1"/>
      <c r="K42" s="1"/>
      <c r="L42" s="1"/>
      <c r="M42" s="1"/>
      <c r="N42" s="1"/>
    </row>
    <row r="43">
      <c r="A43" s="1"/>
      <c r="B43" s="1"/>
      <c r="C43" s="1"/>
      <c r="D43" s="1"/>
      <c r="E43" s="1"/>
      <c r="F43" s="1"/>
      <c r="G43" s="1"/>
      <c r="H43" s="1"/>
      <c r="I43" s="1"/>
      <c r="J43" s="1"/>
      <c r="K43" s="1"/>
      <c r="L43" s="1"/>
      <c r="M43" s="1"/>
      <c r="N43" s="1"/>
    </row>
    <row r="44">
      <c r="A44" s="16" t="s">
        <v>1201</v>
      </c>
      <c r="B44" s="1"/>
      <c r="C44" s="1"/>
      <c r="D44" s="1"/>
      <c r="E44" s="1"/>
      <c r="F44" s="1"/>
      <c r="G44" s="1"/>
      <c r="H44" s="1"/>
      <c r="I44" s="1"/>
      <c r="J44" s="1"/>
      <c r="K44" s="1"/>
      <c r="L44" s="1"/>
      <c r="M44" s="1"/>
      <c r="N44" s="1"/>
    </row>
    <row r="45">
      <c r="A45" s="6" t="s">
        <v>1202</v>
      </c>
      <c r="B45" s="1"/>
      <c r="C45" s="66">
        <f>Assumptions!$C$28</f>
        <v>12</v>
      </c>
      <c r="D45" s="1"/>
      <c r="E45" s="1"/>
      <c r="F45" s="1"/>
      <c r="G45" s="1"/>
      <c r="H45" s="1"/>
      <c r="I45" s="1"/>
      <c r="J45" s="1"/>
      <c r="K45" s="1"/>
      <c r="L45" s="1"/>
      <c r="M45" s="1"/>
      <c r="N45" s="1"/>
    </row>
    <row r="46">
      <c r="A46" s="6" t="s">
        <v>1203</v>
      </c>
      <c r="B46" s="1"/>
      <c r="C46" s="8">
        <f>Forecast_3Stmt!L12*C45</f>
        <v>2091898.712303294</v>
      </c>
      <c r="D46" s="1"/>
      <c r="E46" s="1"/>
      <c r="F46" s="1"/>
      <c r="G46" s="1"/>
      <c r="H46" s="1"/>
      <c r="I46" s="1"/>
      <c r="J46" s="1"/>
      <c r="K46" s="1"/>
      <c r="L46" s="1"/>
      <c r="M46" s="1"/>
      <c r="N46" s="1"/>
    </row>
    <row r="47">
      <c r="A47" s="6" t="s">
        <v>1204</v>
      </c>
      <c r="B47" s="1"/>
      <c r="C47" s="39">
        <f>L15+0.5</f>
        <v>9.25</v>
      </c>
      <c r="D47" s="1"/>
      <c r="E47" s="1"/>
      <c r="F47" s="1"/>
      <c r="G47" s="1"/>
      <c r="H47" s="1"/>
      <c r="I47" s="1"/>
      <c r="J47" s="1"/>
      <c r="K47" s="1"/>
      <c r="L47" s="1"/>
      <c r="M47" s="1"/>
      <c r="N47" s="1"/>
    </row>
    <row r="48">
      <c r="A48" s="36" t="s">
        <v>1205</v>
      </c>
      <c r="B48" s="41"/>
      <c r="C48" s="33">
        <f>(C23+C46/(1+C20)^C47)*(1+C20)^Market_Package!B9</f>
        <v>933544.3902922487</v>
      </c>
      <c r="D48" s="1"/>
      <c r="E48" s="1"/>
      <c r="F48" s="1"/>
      <c r="G48" s="1"/>
      <c r="H48" s="1"/>
      <c r="I48" s="1"/>
      <c r="J48" s="1"/>
      <c r="K48" s="1"/>
      <c r="L48" s="1"/>
      <c r="M48" s="1"/>
      <c r="N48" s="1"/>
    </row>
    <row r="49">
      <c r="A49" s="36" t="s">
        <v>1195</v>
      </c>
      <c r="B49" s="41"/>
      <c r="C49" s="61">
        <f>(C48+C31+C32+C33+C34)/C36</f>
        <v>68.22615694211326</v>
      </c>
      <c r="D49" s="1"/>
      <c r="E49" s="1"/>
      <c r="F49" s="1"/>
      <c r="G49" s="1"/>
      <c r="H49" s="1"/>
      <c r="I49" s="1"/>
      <c r="J49" s="1"/>
      <c r="K49" s="1"/>
      <c r="L49" s="1"/>
      <c r="M49" s="1"/>
      <c r="N49" s="1"/>
    </row>
    <row r="50">
      <c r="A50" s="31" t="s">
        <v>1198</v>
      </c>
      <c r="B50" s="29"/>
      <c r="C50" s="10">
        <f>C49/C39-1</f>
        <v>-0.5408119737372913</v>
      </c>
      <c r="D50" s="1"/>
      <c r="E50" s="1"/>
      <c r="F50" s="1"/>
      <c r="G50" s="1"/>
      <c r="H50" s="1"/>
      <c r="I50" s="1"/>
      <c r="J50" s="1"/>
      <c r="K50" s="1"/>
      <c r="L50" s="1"/>
      <c r="M50" s="1"/>
      <c r="N50" s="1"/>
    </row>
  </sheetData>
</worksheet>
</file>

<file path=xl/worksheets/sheet18.xml><?xml version="1.0" encoding="utf-8"?>
<worksheet xmlns="http://schemas.openxmlformats.org/spreadsheetml/2006/main" xmlns:r="http://schemas.openxmlformats.org/officeDocument/2006/relationships">
  <sheetPr>
    <tabColor rgb="FFC0873A"/>
  </sheetPr>
  <dimension ref="A1:H51"/>
  <sheetViews>
    <sheetView showGridLines="0" workbookViewId="0"/>
  </sheetViews>
  <sheetFormatPr defaultColWidth="8.375" defaultRowHeight="15"/>
  <cols>
    <col min="1" max="1" width="92.70703125" customWidth="1"/>
    <col min="2" max="3" width="14.375" customWidth="1"/>
    <col min="4" max="4" width="17.70703125" customWidth="1"/>
    <col min="5" max="5" width="22.70703125" customWidth="1"/>
    <col min="6" max="7" width="14.375" customWidth="1"/>
    <col min="8" max="8" width="86.0390625" customWidth="1"/>
  </cols>
  <sheetData>
    <row r="1">
      <c r="A1" s="56" t="s">
        <v>1206</v>
      </c>
      <c r="B1" s="1"/>
      <c r="C1" s="1"/>
      <c r="D1" s="1"/>
      <c r="E1" s="1"/>
      <c r="F1" s="1"/>
      <c r="G1" s="1"/>
      <c r="H1" s="1"/>
    </row>
    <row r="2">
      <c r="A2" s="1" t="s">
        <v>1207</v>
      </c>
      <c r="B2" s="1"/>
      <c r="C2" s="1"/>
      <c r="D2" s="1"/>
      <c r="E2" s="1"/>
      <c r="F2" s="1"/>
      <c r="G2" s="1"/>
      <c r="H2" s="1"/>
    </row>
    <row r="3">
      <c r="A3" s="1"/>
      <c r="B3" s="1"/>
      <c r="C3" s="1"/>
      <c r="D3" s="1"/>
      <c r="E3" s="1"/>
      <c r="F3" s="1"/>
      <c r="G3" s="1"/>
      <c r="H3" s="1"/>
    </row>
    <row r="4">
      <c r="A4" s="16" t="s">
        <v>1208</v>
      </c>
      <c r="B4" s="1"/>
      <c r="C4" s="1"/>
      <c r="D4" s="1"/>
      <c r="E4" s="1"/>
      <c r="F4" s="1"/>
      <c r="G4" s="1"/>
      <c r="H4" s="1"/>
    </row>
    <row r="5">
      <c r="A5" s="6" t="s">
        <v>1082</v>
      </c>
      <c r="B5" s="1"/>
      <c r="C5" s="34">
        <f>Market_Package!B10</f>
        <v>148.58</v>
      </c>
      <c r="D5" s="1"/>
      <c r="E5" s="1"/>
      <c r="F5" s="1"/>
      <c r="G5" s="1"/>
      <c r="H5" s="1"/>
    </row>
    <row r="6">
      <c r="A6" s="6" t="s">
        <v>1209</v>
      </c>
      <c r="B6" s="1"/>
      <c r="C6" s="9">
        <f>Market_Package!B20</f>
        <v>2094263.9898832203</v>
      </c>
      <c r="D6" s="1"/>
      <c r="E6" s="1"/>
      <c r="F6" s="1"/>
      <c r="G6" s="1"/>
      <c r="H6" s="1"/>
    </row>
    <row r="7">
      <c r="A7" s="6" t="s">
        <v>1094</v>
      </c>
      <c r="B7" s="1"/>
      <c r="C7" s="66">
        <f>Market_Package!B22</f>
        <v>26.265384575806582</v>
      </c>
      <c r="D7" s="1"/>
      <c r="E7" s="1"/>
      <c r="F7" s="1"/>
      <c r="G7" s="1"/>
      <c r="H7" s="1"/>
    </row>
    <row r="8">
      <c r="A8" s="6" t="s">
        <v>1097</v>
      </c>
      <c r="B8" s="1"/>
      <c r="C8" s="66">
        <f>Market_Package!B25</f>
        <v>19.422661109759723</v>
      </c>
      <c r="D8" s="1"/>
      <c r="E8" s="1"/>
      <c r="F8" s="1"/>
      <c r="G8" s="1"/>
      <c r="H8" s="1"/>
    </row>
    <row r="9">
      <c r="A9" s="6" t="s">
        <v>1210</v>
      </c>
      <c r="B9" s="1"/>
      <c r="C9" s="34">
        <f>DCF!C37</f>
        <v>31.894476739749994</v>
      </c>
      <c r="D9" s="1"/>
      <c r="E9" s="1"/>
      <c r="F9" s="1"/>
      <c r="G9" s="1"/>
      <c r="H9" s="1"/>
    </row>
    <row r="10">
      <c r="A10" s="6" t="s">
        <v>1211</v>
      </c>
      <c r="B10" s="1"/>
      <c r="C10" s="34">
        <f>DCF!C38</f>
        <v>35.05448548136127</v>
      </c>
      <c r="D10" s="1"/>
      <c r="E10" s="1"/>
      <c r="F10" s="1"/>
      <c r="G10" s="1"/>
      <c r="H10" s="1"/>
    </row>
    <row r="11">
      <c r="A11" s="1"/>
      <c r="B11" s="1"/>
      <c r="C11" s="1"/>
      <c r="D11" s="1"/>
      <c r="E11" s="1"/>
      <c r="F11" s="1"/>
      <c r="G11" s="1"/>
      <c r="H11" s="1"/>
    </row>
    <row r="12">
      <c r="A12" s="16" t="s">
        <v>1212</v>
      </c>
      <c r="B12" s="1"/>
      <c r="C12" s="1"/>
      <c r="D12" s="1"/>
      <c r="E12" s="1"/>
      <c r="F12" s="1"/>
      <c r="G12" s="1"/>
      <c r="H12" s="1"/>
    </row>
    <row r="13">
      <c r="A13" s="4" t="s">
        <v>1102</v>
      </c>
      <c r="B13" s="11" t="s">
        <v>1104</v>
      </c>
      <c r="C13" s="11" t="s">
        <v>1213</v>
      </c>
      <c r="D13" s="11" t="s">
        <v>1110</v>
      </c>
      <c r="E13" s="11" t="s">
        <v>1111</v>
      </c>
      <c r="F13" s="11" t="s">
        <v>1214</v>
      </c>
      <c r="G13" s="11" t="s">
        <v>1215</v>
      </c>
      <c r="H13" s="40" t="s">
        <v>88</v>
      </c>
    </row>
    <row r="14">
      <c r="A14" s="6" t="s">
        <v>750</v>
      </c>
      <c r="B14" s="8">
        <f>SUM(Segments_Hist!E98:Segments_Hist!H98)</f>
        <v>11862</v>
      </c>
      <c r="C14" s="8">
        <f>SUM(Segments_Hist!E109:Segments_Hist!H109)</f>
        <v>5066</v>
      </c>
      <c r="D14" s="66">
        <f>Market_Package!K42</f>
        <v>8.379533318018286</v>
      </c>
      <c r="E14" s="66">
        <f>Market_Package!L42</f>
        <v>18.622604293515522</v>
      </c>
      <c r="F14" s="8">
        <f>B14*D14</f>
        <v>99398.02421833291</v>
      </c>
      <c r="G14" s="8">
        <f>C14*E14</f>
        <v>94342.11335094963</v>
      </c>
      <c r="H14" s="1" t="s">
        <v>1216</v>
      </c>
    </row>
    <row r="15">
      <c r="A15" s="6" t="s">
        <v>361</v>
      </c>
      <c r="B15" s="8">
        <f>SUM(Segments_Hist!E95:Segments_Hist!H95)</f>
        <v>16024</v>
      </c>
      <c r="C15" s="8">
        <f>SUM(Segments_Hist!E108:Segments_Hist!H108)</f>
        <v>10228</v>
      </c>
      <c r="D15" s="66">
        <f>Market_Package!K43</f>
        <v>5.09216818254117</v>
      </c>
      <c r="E15" s="66">
        <f>Market_Package!L43</f>
        <v>12.36525972108877</v>
      </c>
      <c r="F15" s="8">
        <f>B15*D15</f>
        <v>81596.90295703971</v>
      </c>
      <c r="G15" s="8">
        <f>C15*E15</f>
        <v>126471.87642729594</v>
      </c>
      <c r="H15" s="1" t="s">
        <v>1216</v>
      </c>
    </row>
    <row r="16">
      <c r="A16" s="6" t="s">
        <v>358</v>
      </c>
      <c r="B16" s="8">
        <f>SUM(Segments_Hist!E92:Segments_Hist!H92)</f>
        <v>4157</v>
      </c>
      <c r="C16" s="8">
        <f>SUM(Segments_Hist!E107:Segments_Hist!H107)</f>
        <v>-349</v>
      </c>
      <c r="D16" s="66">
        <f>Market_Package!K44</f>
        <v>42.39791937581274</v>
      </c>
      <c r="E16" s="13" t="s">
        <v>1137</v>
      </c>
      <c r="F16" s="8">
        <f>B16*D16</f>
        <v>176248.15084525358</v>
      </c>
      <c r="G16" s="8">
        <f>F16</f>
        <v>176248.15084525358</v>
      </c>
      <c r="H16" s="1" t="s">
        <v>1217</v>
      </c>
    </row>
    <row r="17">
      <c r="A17" s="36" t="s">
        <v>1218</v>
      </c>
      <c r="B17" s="41"/>
      <c r="C17" s="41"/>
      <c r="D17" s="41"/>
      <c r="E17" s="41"/>
      <c r="F17" s="12">
        <f>SUM(F14:F16)</f>
        <v>357243.0780206262</v>
      </c>
      <c r="G17" s="12">
        <f>SUM(G14:G16)</f>
        <v>397062.1406234992</v>
      </c>
      <c r="H17" s="1"/>
    </row>
    <row r="18">
      <c r="A18" s="6" t="s">
        <v>1219</v>
      </c>
      <c r="B18" s="1"/>
      <c r="C18" s="1"/>
      <c r="D18" s="1"/>
      <c r="E18" s="1"/>
      <c r="F18" s="8">
        <f>DCF!C31+DCF!C32+DCF!C33+DCF!C34</f>
        <v>51920.86497675126</v>
      </c>
      <c r="G18" s="8">
        <f>DCF!C31+DCF!C32+DCF!C33+DCF!C34</f>
        <v>51920.86497675126</v>
      </c>
      <c r="H18" s="1"/>
    </row>
    <row r="19">
      <c r="A19" s="36" t="s">
        <v>1195</v>
      </c>
      <c r="B19" s="41"/>
      <c r="C19" s="41"/>
      <c r="D19" s="41"/>
      <c r="E19" s="41"/>
      <c r="F19" s="61">
        <f>(F17+F18)/Market_Package!B13</f>
        <v>28.327415137911572</v>
      </c>
      <c r="G19" s="61">
        <f>(G17+G18)/Market_Package!B13</f>
        <v>31.084185708873886</v>
      </c>
      <c r="H19" s="1"/>
    </row>
    <row r="20">
      <c r="A20" s="31" t="s">
        <v>1220</v>
      </c>
      <c r="B20" s="29"/>
      <c r="C20" s="29"/>
      <c r="D20" s="29"/>
      <c r="E20" s="29"/>
      <c r="F20" s="10">
        <f>F16/F17</f>
        <v>0.49335637746094413</v>
      </c>
      <c r="G20" s="1"/>
      <c r="H20" s="1"/>
    </row>
    <row r="21">
      <c r="A21" s="1"/>
      <c r="B21" s="1"/>
      <c r="C21" s="1"/>
      <c r="D21" s="1"/>
      <c r="E21" s="1"/>
      <c r="F21" s="1"/>
      <c r="G21" s="1"/>
      <c r="H21" s="1"/>
    </row>
    <row r="22">
      <c r="A22" s="16" t="s">
        <v>1221</v>
      </c>
      <c r="B22" s="1"/>
      <c r="C22" s="1"/>
      <c r="D22" s="1"/>
      <c r="E22" s="1"/>
      <c r="F22" s="1"/>
      <c r="G22" s="1"/>
      <c r="H22" s="1"/>
    </row>
    <row r="23">
      <c r="A23" s="4" t="s">
        <v>1222</v>
      </c>
      <c r="B23" s="11" t="s">
        <v>1223</v>
      </c>
      <c r="C23" s="11" t="s">
        <v>1224</v>
      </c>
      <c r="D23" s="11" t="s">
        <v>1225</v>
      </c>
      <c r="E23" s="11" t="s">
        <v>1226</v>
      </c>
      <c r="F23" s="1"/>
      <c r="G23" s="1"/>
      <c r="H23" s="40" t="s">
        <v>88</v>
      </c>
    </row>
    <row r="24">
      <c r="A24" s="6" t="s">
        <v>1227</v>
      </c>
      <c r="B24" s="62">
        <v>-0.2</v>
      </c>
      <c r="C24" s="2">
        <v>23.032383886705595</v>
      </c>
      <c r="D24" s="5">
        <v>253206.52455377733</v>
      </c>
      <c r="E24" s="7">
        <f>Assumptions!L126*(1+B24)</f>
        <v>10.240000000000002</v>
      </c>
      <c r="F24" s="1"/>
      <c r="G24" s="1"/>
      <c r="H24" s="1"/>
    </row>
    <row r="25">
      <c r="A25" s="6" t="s">
        <v>1228</v>
      </c>
      <c r="B25" s="62">
        <v>-0.1</v>
      </c>
      <c r="C25" s="2">
        <v>27.46092306436584</v>
      </c>
      <c r="D25" s="5">
        <v>270038.5245537773</v>
      </c>
      <c r="E25" s="7">
        <f>Assumptions!L126*(1+B25)</f>
        <v>11.520000000000001</v>
      </c>
      <c r="F25" s="1"/>
      <c r="G25" s="1"/>
      <c r="H25" s="1"/>
    </row>
    <row r="26">
      <c r="A26" s="6" t="s">
        <v>1229</v>
      </c>
      <c r="B26" s="62">
        <v>0</v>
      </c>
      <c r="C26" s="2">
        <v>31.894476739749994</v>
      </c>
      <c r="D26" s="5">
        <v>286870.5245537773</v>
      </c>
      <c r="E26" s="7">
        <f>Assumptions!L126*(1+B26)</f>
        <v>12.8</v>
      </c>
      <c r="F26" s="1"/>
      <c r="G26" s="1"/>
      <c r="H26" s="1"/>
    </row>
    <row r="27">
      <c r="A27" s="6" t="s">
        <v>1230</v>
      </c>
      <c r="B27" s="62">
        <v>0.1</v>
      </c>
      <c r="C27" s="2">
        <v>36.32412123098089</v>
      </c>
      <c r="D27" s="5">
        <v>303702.5245537773</v>
      </c>
      <c r="E27" s="7">
        <f>Assumptions!L126*(1+B27)</f>
        <v>14.080000000000002</v>
      </c>
      <c r="F27" s="1"/>
      <c r="G27" s="1"/>
      <c r="H27" s="1"/>
    </row>
    <row r="28">
      <c r="A28" s="6" t="s">
        <v>1231</v>
      </c>
      <c r="B28" s="62">
        <v>0.25</v>
      </c>
      <c r="C28" s="2">
        <v>42.96956811212365</v>
      </c>
      <c r="D28" s="5">
        <v>328950.5245537773</v>
      </c>
      <c r="E28" s="7">
        <f>Assumptions!L126*(1+B28)</f>
        <v>16</v>
      </c>
      <c r="F28" s="1"/>
      <c r="G28" s="1"/>
      <c r="H28" s="1"/>
    </row>
    <row r="29">
      <c r="A29" s="6" t="s">
        <v>1232</v>
      </c>
      <c r="B29" s="62">
        <v>0.5</v>
      </c>
      <c r="C29" s="2">
        <v>54.048437887940565</v>
      </c>
      <c r="D29" s="5">
        <v>371030.52455377736</v>
      </c>
      <c r="E29" s="7">
        <f>Assumptions!L126*(1+B29)</f>
        <v>19.200000000000003</v>
      </c>
      <c r="F29" s="1"/>
      <c r="G29" s="1"/>
      <c r="H29" s="1"/>
    </row>
    <row r="30">
      <c r="A30" s="6" t="s">
        <v>1233</v>
      </c>
      <c r="B30" s="62">
        <v>1</v>
      </c>
      <c r="C30" s="2">
        <v>76.20642694889</v>
      </c>
      <c r="D30" s="5">
        <v>455190.52455377736</v>
      </c>
      <c r="E30" s="7">
        <f>Assumptions!L126*(1+B30)</f>
        <v>25.6</v>
      </c>
      <c r="F30" s="1"/>
      <c r="G30" s="1"/>
      <c r="H30" s="1"/>
    </row>
    <row r="31">
      <c r="A31" s="6" t="s">
        <v>1234</v>
      </c>
      <c r="B31" s="62">
        <v>1.5</v>
      </c>
      <c r="C31" s="2">
        <v>98.35848789966082</v>
      </c>
      <c r="D31" s="5">
        <v>539350.5245537773</v>
      </c>
      <c r="E31" s="7">
        <f>Assumptions!L126*(1+B31)</f>
        <v>32</v>
      </c>
      <c r="F31" s="1"/>
      <c r="G31" s="1"/>
      <c r="H31" s="1"/>
    </row>
    <row r="32">
      <c r="A32" s="6" t="s">
        <v>1235</v>
      </c>
      <c r="B32" s="62">
        <v>2</v>
      </c>
      <c r="C32" s="2">
        <v>120.51093992176138</v>
      </c>
      <c r="D32" s="5">
        <v>623510.5245537774</v>
      </c>
      <c r="E32" s="7">
        <f>Assumptions!L126*(1+B32)</f>
        <v>38.400000000000006</v>
      </c>
      <c r="F32" s="1"/>
      <c r="G32" s="1"/>
      <c r="H32" s="1"/>
    </row>
    <row r="33">
      <c r="A33" s="6" t="s">
        <v>1236</v>
      </c>
      <c r="B33" s="62">
        <v>3</v>
      </c>
      <c r="C33" s="2">
        <v>164.81405162690933</v>
      </c>
      <c r="D33" s="5">
        <v>791830.5245537774</v>
      </c>
      <c r="E33" s="7">
        <f>Assumptions!L126*(1+B33)</f>
        <v>51.2</v>
      </c>
      <c r="F33" s="1"/>
      <c r="G33" s="1"/>
      <c r="H33" s="1"/>
    </row>
    <row r="34">
      <c r="A34" s="6" t="s">
        <v>1237</v>
      </c>
      <c r="B34" s="60" t="s">
        <v>1238</v>
      </c>
      <c r="C34" s="1"/>
      <c r="D34" s="1"/>
      <c r="E34" s="1"/>
      <c r="F34" s="1"/>
      <c r="G34" s="1"/>
      <c r="H34" s="1"/>
    </row>
    <row r="35">
      <c r="A35" s="77" t="s">
        <v>1239</v>
      </c>
      <c r="B35" s="58"/>
      <c r="C35" s="21">
        <f>IFERROR(INDEX($B$24:$B$33,MATCH(Market_Package!B10,$C$24:$C$33,1))+(Market_Package!B10-INDEX($C$24:$C$33,MATCH(Market_Package!B10,$C$24:$C$33,1)))*(INDEX($B$24:$B$33,MATCH(Market_Package!B10,$C$24:$C$33,1)+1)-INDEX($B$24:$B$33,MATCH(Market_Package!B10,$C$24:$C$33,1)))/(INDEX($C$24:$C$33,MATCH(Market_Package!B10,$C$24:$C$33,1)+1)-INDEX($C$24:$C$33,MATCH(Market_Package!B10,$C$24:$C$33,1))),"outside grid")</f>
        <v>2.633568591412893</v>
      </c>
      <c r="D35" s="1"/>
      <c r="E35" s="1"/>
      <c r="F35" s="1"/>
      <c r="G35" s="1"/>
      <c r="H35" s="1" t="s">
        <v>1240</v>
      </c>
    </row>
    <row r="36">
      <c r="A36" s="6" t="s">
        <v>1241</v>
      </c>
      <c r="B36" s="1"/>
      <c r="C36" s="8">
        <f>IFERROR(INDEX($D$24:$D$33,MATCH(Market_Package!B10,$C$24:$C$33,1))+(Market_Package!B10-INDEX($C$24:$C$33,MATCH(Market_Package!B10,$C$24:$C$33,1)))*(INDEX($D$24:$D$33,MATCH(Market_Package!B10,$C$24:$C$33,1)+1)-INDEX($D$24:$D$33,MATCH(Market_Package!B10,$C$24:$C$33,1)))/(INDEX($C$24:$C$33,MATCH(Market_Package!B10,$C$24:$C$33,1)+1)-INDEX($C$24:$C$33,MATCH(Market_Package!B10,$C$24:$C$33,1))),"outside grid")</f>
        <v>730152.7898603955</v>
      </c>
      <c r="D36" s="1"/>
      <c r="E36" s="1"/>
      <c r="F36" s="1"/>
      <c r="G36" s="1"/>
      <c r="H36" s="1"/>
    </row>
    <row r="37">
      <c r="A37" s="1"/>
      <c r="B37" s="1"/>
      <c r="C37" s="1"/>
      <c r="D37" s="1"/>
      <c r="E37" s="1"/>
      <c r="F37" s="1"/>
      <c r="G37" s="1"/>
      <c r="H37" s="1"/>
    </row>
    <row r="38">
      <c r="A38" s="16" t="s">
        <v>1242</v>
      </c>
      <c r="B38" s="1"/>
      <c r="C38" s="1"/>
      <c r="D38" s="1"/>
      <c r="E38" s="1"/>
      <c r="F38" s="1"/>
      <c r="G38" s="1"/>
      <c r="H38" s="1"/>
    </row>
    <row r="39">
      <c r="A39" s="4" t="s">
        <v>1243</v>
      </c>
      <c r="B39" s="11" t="s">
        <v>1244</v>
      </c>
      <c r="C39" s="11" t="s">
        <v>1245</v>
      </c>
      <c r="D39" s="11" t="s">
        <v>1246</v>
      </c>
      <c r="E39" s="4" t="s">
        <v>1247</v>
      </c>
      <c r="F39" s="4" t="s">
        <v>1248</v>
      </c>
      <c r="G39" s="4" t="s">
        <v>1249</v>
      </c>
      <c r="H39" s="40" t="s">
        <v>88</v>
      </c>
    </row>
    <row r="40">
      <c r="A40" s="6" t="s">
        <v>1250</v>
      </c>
      <c r="B40" s="34">
        <f>Scenario_Summary!F23</f>
        <v>3.408500903735506</v>
      </c>
      <c r="C40" s="34">
        <f>Scenario_Summary!D23</f>
        <v>31.894476739749994</v>
      </c>
      <c r="D40" s="34">
        <f>Scenario_Summary!E23</f>
        <v>67.79059072852147</v>
      </c>
      <c r="E40" s="1" t="s">
        <v>22</v>
      </c>
      <c r="F40" s="1" t="s">
        <v>581</v>
      </c>
      <c r="G40" s="1" t="s">
        <v>21</v>
      </c>
      <c r="H40" s="1" t="s">
        <v>1251</v>
      </c>
    </row>
    <row r="41">
      <c r="A41" s="6" t="s">
        <v>1252</v>
      </c>
      <c r="B41" s="34">
        <f>Scenario_Summary!F24</f>
        <v>14.308793133768775</v>
      </c>
      <c r="C41" s="34">
        <f>Scenario_Summary!D24</f>
        <v>68.22615694211326</v>
      </c>
      <c r="D41" s="34">
        <f>Scenario_Summary!E24</f>
        <v>141.95477790515818</v>
      </c>
      <c r="E41" s="1" t="s">
        <v>22</v>
      </c>
      <c r="F41" s="1" t="s">
        <v>581</v>
      </c>
      <c r="G41" s="1" t="s">
        <v>21</v>
      </c>
      <c r="H41" s="1" t="s">
        <v>1251</v>
      </c>
    </row>
    <row r="42">
      <c r="A42" s="6" t="s">
        <v>1253</v>
      </c>
      <c r="B42" s="7">
        <f>MIN(F19,G19)</f>
        <v>28.327415137911572</v>
      </c>
      <c r="C42" s="7">
        <f>AVERAGE(F19,G19)</f>
        <v>29.70580042339273</v>
      </c>
      <c r="D42" s="7">
        <f>MAX(F19,G19)</f>
        <v>31.084185708873886</v>
      </c>
      <c r="E42" s="1" t="s">
        <v>1254</v>
      </c>
      <c r="F42" s="1" t="s">
        <v>1255</v>
      </c>
      <c r="G42" s="1" t="s">
        <v>1256</v>
      </c>
      <c r="H42" s="1" t="s">
        <v>1257</v>
      </c>
    </row>
    <row r="43">
      <c r="A43" s="6" t="s">
        <v>1258</v>
      </c>
      <c r="B43" s="34">
        <f>Market_Package!B11</f>
        <v>104.83</v>
      </c>
      <c r="C43" s="34">
        <f>Market_Package!B10</f>
        <v>148.58</v>
      </c>
      <c r="D43" s="34">
        <f>Market_Package!B12</f>
        <v>225.64</v>
      </c>
      <c r="E43" s="1" t="s">
        <v>1244</v>
      </c>
      <c r="F43" s="1" t="s">
        <v>1259</v>
      </c>
      <c r="G43" s="1" t="s">
        <v>1246</v>
      </c>
      <c r="H43" s="1" t="s">
        <v>1260</v>
      </c>
    </row>
    <row r="44">
      <c r="A44" s="1"/>
      <c r="B44" s="1"/>
      <c r="C44" s="1"/>
      <c r="D44" s="1"/>
      <c r="E44" s="1"/>
      <c r="F44" s="1"/>
      <c r="G44" s="1"/>
      <c r="H44" s="1"/>
    </row>
    <row r="45">
      <c r="A45" s="16" t="s">
        <v>1261</v>
      </c>
      <c r="B45" s="1"/>
      <c r="C45" s="1"/>
      <c r="D45" s="1"/>
      <c r="E45" s="1"/>
      <c r="F45" s="1"/>
      <c r="G45" s="1"/>
      <c r="H45" s="1"/>
    </row>
    <row r="46">
      <c r="A46" s="31" t="s">
        <v>1262</v>
      </c>
      <c r="B46" s="29"/>
      <c r="C46" s="18">
        <v>0.25</v>
      </c>
      <c r="D46" s="1"/>
      <c r="E46" s="1"/>
      <c r="F46" s="1"/>
      <c r="G46" s="1"/>
      <c r="H46" s="1"/>
    </row>
    <row r="47">
      <c r="A47" s="31" t="s">
        <v>1263</v>
      </c>
      <c r="B47" s="29"/>
      <c r="C47" s="18">
        <v>0.5</v>
      </c>
      <c r="D47" s="1"/>
      <c r="E47" s="1"/>
      <c r="F47" s="1"/>
      <c r="G47" s="1"/>
      <c r="H47" s="1"/>
    </row>
    <row r="48">
      <c r="A48" s="31" t="s">
        <v>1264</v>
      </c>
      <c r="B48" s="29"/>
      <c r="C48" s="18">
        <v>0.25</v>
      </c>
      <c r="D48" s="1"/>
      <c r="E48" s="1"/>
      <c r="F48" s="1"/>
      <c r="G48" s="1"/>
      <c r="H48" s="1"/>
    </row>
    <row r="49">
      <c r="A49" s="36" t="s">
        <v>1265</v>
      </c>
      <c r="B49" s="41"/>
      <c r="C49" s="61">
        <f>C46*Scenario_Summary!F23+C47*Scenario_Summary!D23+C48*Scenario_Summary!E23</f>
        <v>33.74701127793924</v>
      </c>
      <c r="D49" s="1"/>
      <c r="E49" s="1"/>
      <c r="F49" s="1"/>
      <c r="G49" s="1"/>
      <c r="H49" s="1"/>
    </row>
    <row r="50">
      <c r="A50" s="31" t="s">
        <v>19</v>
      </c>
      <c r="B50" s="29"/>
      <c r="C50" s="10">
        <f>C49/Market_Package!B10-1</f>
        <v>-0.7728697585278016</v>
      </c>
      <c r="D50" s="1"/>
      <c r="E50" s="1"/>
      <c r="F50" s="1"/>
      <c r="G50" s="1"/>
      <c r="H50" s="1"/>
    </row>
    <row r="51">
      <c r="A51" s="6" t="s">
        <v>1266</v>
      </c>
      <c r="B51" s="1"/>
      <c r="C51" s="14">
        <f>C46+C47+C48-1</f>
        <v>0</v>
      </c>
      <c r="D51" s="1"/>
      <c r="E51" s="1"/>
      <c r="F51" s="1"/>
      <c r="G51" s="1"/>
      <c r="H51" s="1"/>
    </row>
  </sheetData>
</worksheet>
</file>

<file path=xl/worksheets/sheet19.xml><?xml version="1.0" encoding="utf-8"?>
<worksheet xmlns="http://schemas.openxmlformats.org/spreadsheetml/2006/main" xmlns:r="http://schemas.openxmlformats.org/officeDocument/2006/relationships">
  <sheetPr>
    <tabColor rgb="FFC0873A"/>
  </sheetPr>
  <dimension ref="A1:H29"/>
  <sheetViews>
    <sheetView showGridLines="0" workbookViewId="0"/>
  </sheetViews>
  <sheetFormatPr defaultColWidth="8.375" defaultRowHeight="15"/>
  <cols>
    <col min="1" max="1" width="76.0390625" customWidth="1"/>
    <col min="2" max="6" width="17.70703125" customWidth="1"/>
    <col min="7" max="7" width="6.0390625" customWidth="1"/>
    <col min="8" max="8" width="86.0390625" customWidth="1"/>
  </cols>
  <sheetData>
    <row r="1">
      <c r="A1" s="56" t="s">
        <v>1267</v>
      </c>
      <c r="B1" s="1"/>
      <c r="C1" s="1"/>
      <c r="D1" s="1"/>
      <c r="E1" s="1"/>
      <c r="F1" s="1"/>
      <c r="G1" s="1"/>
      <c r="H1" s="1"/>
    </row>
    <row r="2">
      <c r="A2" s="1" t="s">
        <v>1268</v>
      </c>
      <c r="B2" s="1"/>
      <c r="C2" s="1"/>
      <c r="D2" s="1"/>
      <c r="E2" s="1"/>
      <c r="F2" s="1"/>
      <c r="G2" s="1"/>
      <c r="H2" s="1"/>
    </row>
    <row r="3">
      <c r="A3" s="1"/>
      <c r="B3" s="1"/>
      <c r="C3" s="1"/>
      <c r="D3" s="1"/>
      <c r="E3" s="1"/>
      <c r="F3" s="1"/>
      <c r="G3" s="1"/>
      <c r="H3" s="1"/>
    </row>
    <row r="4">
      <c r="A4" s="16" t="s">
        <v>1269</v>
      </c>
      <c r="B4" s="1"/>
      <c r="C4" s="1"/>
      <c r="D4" s="1"/>
      <c r="E4" s="1"/>
      <c r="F4" s="1"/>
      <c r="G4" s="1"/>
      <c r="H4" s="1"/>
    </row>
    <row r="5">
      <c r="A5" s="4" t="s">
        <v>1270</v>
      </c>
      <c r="B5" s="43">
        <f>DCF!C21+-0.01</f>
        <v>0.019999999999999997</v>
      </c>
      <c r="C5" s="43">
        <f>DCF!C21+-0.005</f>
        <v>0.024999999999999998</v>
      </c>
      <c r="D5" s="43">
        <f>DCF!C21+0.0</f>
        <v>0.03</v>
      </c>
      <c r="E5" s="43">
        <f>DCF!C21+0.005</f>
        <v>0.034999999999999996</v>
      </c>
      <c r="F5" s="43">
        <f>DCF!C21+0.01</f>
        <v>0.04</v>
      </c>
      <c r="G5" s="1"/>
      <c r="H5" s="1"/>
    </row>
    <row r="6">
      <c r="A6" s="21">
        <f>DCF!C20+-0.02</f>
        <v>0.08294982530780727</v>
      </c>
      <c r="B6" s="7">
        <f>((SUMPRODUCT(DCF!$C$14:$L$14,1/(1+$A6)^DCF!$C$15:$L$15)+Forecast_3Stmt!$L$16*(1-Assumptions!$C$67)*(1+B$5)*(1-B$5/DCF!$C$22)/($A6-B$5)/(1+$A6)^DCF!$C$27)*(1+$A6)^Market_Package!$B$9+DCF!$C$31+DCF!$C$32+DCF!$C$33+DCF!$C$34)/DCF!$C$36</f>
        <v>43.46436135791226</v>
      </c>
      <c r="C6" s="7">
        <f>((SUMPRODUCT(DCF!$C$14:$L$14,1/(1+$A6)^DCF!$C$15:$L$15)+Forecast_3Stmt!$L$16*(1-Assumptions!$C$67)*(1+C$5)*(1-C$5/DCF!$C$22)/($A6-C$5)/(1+$A6)^DCF!$C$27)*(1+$A6)^Market_Package!$B$9+DCF!$C$31+DCF!$C$32+DCF!$C$33+DCF!$C$34)/DCF!$C$36</f>
        <v>45.098573355397136</v>
      </c>
      <c r="D6" s="7">
        <f>((SUMPRODUCT(DCF!$C$14:$L$14,1/(1+$A6)^DCF!$C$15:$L$15)+Forecast_3Stmt!$L$16*(1-Assumptions!$C$67)*(1+D$5)*(1-D$5/DCF!$C$22)/($A6-D$5)/(1+$A6)^DCF!$C$27)*(1+$A6)^Market_Package!$B$9+DCF!$C$31+DCF!$C$32+DCF!$C$33+DCF!$C$34)/DCF!$C$36</f>
        <v>47.02665575319825</v>
      </c>
      <c r="E6" s="7">
        <f>((SUMPRODUCT(DCF!$C$14:$L$14,1/(1+$A6)^DCF!$C$15:$L$15)+Forecast_3Stmt!$L$16*(1-Assumptions!$C$67)*(1+E$5)*(1-E$5/DCF!$C$22)/($A6-E$5)/(1+$A6)^DCF!$C$27)*(1+$A6)^Market_Package!$B$9+DCF!$C$31+DCF!$C$32+DCF!$C$33+DCF!$C$34)/DCF!$C$36</f>
        <v>49.340539147025744</v>
      </c>
      <c r="F6" s="7">
        <f>((SUMPRODUCT(DCF!$C$14:$L$14,1/(1+$A6)^DCF!$C$15:$L$15)+Forecast_3Stmt!$L$16*(1-Assumptions!$C$67)*(1+F$5)*(1-F$5/DCF!$C$22)/($A6-F$5)/(1+$A6)^DCF!$C$27)*(1+$A6)^Market_Package!$B$9+DCF!$C$31+DCF!$C$32+DCF!$C$33+DCF!$C$34)/DCF!$C$36</f>
        <v>52.17496250028449</v>
      </c>
      <c r="G6" s="1"/>
      <c r="H6" s="1"/>
    </row>
    <row r="7">
      <c r="A7" s="21">
        <f>DCF!C20+-0.01</f>
        <v>0.09294982530780728</v>
      </c>
      <c r="B7" s="7">
        <f>((SUMPRODUCT(DCF!$C$14:$L$14,1/(1+$A7)^DCF!$C$15:$L$15)+Forecast_3Stmt!$L$16*(1-Assumptions!$C$67)*(1+B$5)*(1-B$5/DCF!$C$22)/($A7-B$5)/(1+$A7)^DCF!$C$27)*(1+$A7)^Market_Package!$B$9+DCF!$C$31+DCF!$C$32+DCF!$C$33+DCF!$C$34)/DCF!$C$36</f>
        <v>36.12975418369901</v>
      </c>
      <c r="C7" s="7">
        <f>((SUMPRODUCT(DCF!$C$14:$L$14,1/(1+$A7)^DCF!$C$15:$L$15)+Forecast_3Stmt!$L$16*(1-Assumptions!$C$67)*(1+C$5)*(1-C$5/DCF!$C$22)/($A7-C$5)/(1+$A7)^DCF!$C$27)*(1+$A7)^Market_Package!$B$9+DCF!$C$31+DCF!$C$32+DCF!$C$33+DCF!$C$34)/DCF!$C$36</f>
        <v>37.109901670844756</v>
      </c>
      <c r="D7" s="7">
        <f>((SUMPRODUCT(DCF!$C$14:$L$14,1/(1+$A7)^DCF!$C$15:$L$15)+Forecast_3Stmt!$L$16*(1-Assumptions!$C$67)*(1+D$5)*(1-D$5/DCF!$C$22)/($A7-D$5)/(1+$A7)^DCF!$C$27)*(1+$A7)^Market_Package!$B$9+DCF!$C$31+DCF!$C$32+DCF!$C$33+DCF!$C$34)/DCF!$C$36</f>
        <v>38.23428563922591</v>
      </c>
      <c r="E7" s="7">
        <f>((SUMPRODUCT(DCF!$C$14:$L$14,1/(1+$A7)^DCF!$C$15:$L$15)+Forecast_3Stmt!$L$16*(1-Assumptions!$C$67)*(1+E$5)*(1-E$5/DCF!$C$22)/($A7-E$5)/(1+$A7)^DCF!$C$27)*(1+$A7)^Market_Package!$B$9+DCF!$C$31+DCF!$C$32+DCF!$C$33+DCF!$C$34)/DCF!$C$36</f>
        <v>39.54024092474642</v>
      </c>
      <c r="F7" s="7">
        <f>((SUMPRODUCT(DCF!$C$14:$L$14,1/(1+$A7)^DCF!$C$15:$L$15)+Forecast_3Stmt!$L$16*(1-Assumptions!$C$67)*(1+F$5)*(1-F$5/DCF!$C$22)/($A7-F$5)/(1+$A7)^DCF!$C$27)*(1+$A7)^Market_Package!$B$9+DCF!$C$31+DCF!$C$32+DCF!$C$33+DCF!$C$34)/DCF!$C$36</f>
        <v>41.07920433085671</v>
      </c>
      <c r="G7" s="1"/>
      <c r="H7" s="1"/>
    </row>
    <row r="8">
      <c r="A8" s="21">
        <f>DCF!C20+0.0</f>
        <v>0.10294982530780727</v>
      </c>
      <c r="B8" s="7">
        <f>((SUMPRODUCT(DCF!$C$14:$L$14,1/(1+$A8)^DCF!$C$15:$L$15)+Forecast_3Stmt!$L$16*(1-Assumptions!$C$67)*(1+B$5)*(1-B$5/DCF!$C$22)/($A8-B$5)/(1+$A8)^DCF!$C$27)*(1+$A8)^Market_Package!$B$9+DCF!$C$31+DCF!$C$32+DCF!$C$33+DCF!$C$34)/DCF!$C$36</f>
        <v>30.617114254951723</v>
      </c>
      <c r="C8" s="7">
        <f>((SUMPRODUCT(DCF!$C$14:$L$14,1/(1+$A8)^DCF!$C$15:$L$15)+Forecast_3Stmt!$L$16*(1-Assumptions!$C$67)*(1+C$5)*(1-C$5/DCF!$C$22)/($A8-C$5)/(1+$A8)^DCF!$C$27)*(1+$A8)^Market_Package!$B$9+DCF!$C$31+DCF!$C$32+DCF!$C$33+DCF!$C$34)/DCF!$C$36</f>
        <v>31.219106244272727</v>
      </c>
      <c r="D8" s="7">
        <f>((SUMPRODUCT(DCF!$C$14:$L$14,1/(1+$A8)^DCF!$C$15:$L$15)+Forecast_3Stmt!$L$16*(1-Assumptions!$C$67)*(1+D$5)*(1-D$5/DCF!$C$22)/($A8-D$5)/(1+$A8)^DCF!$C$27)*(1+$A8)^Market_Package!$B$9+DCF!$C$31+DCF!$C$32+DCF!$C$33+DCF!$C$34)/DCF!$C$36</f>
        <v>31.894476739749994</v>
      </c>
      <c r="E8" s="7">
        <f>((SUMPRODUCT(DCF!$C$14:$L$14,1/(1+$A8)^DCF!$C$15:$L$15)+Forecast_3Stmt!$L$16*(1-Assumptions!$C$67)*(1+E$5)*(1-E$5/DCF!$C$22)/($A8-E$5)/(1+$A8)^DCF!$C$27)*(1+$A8)^Market_Package!$B$9+DCF!$C$31+DCF!$C$32+DCF!$C$33+DCF!$C$34)/DCF!$C$36</f>
        <v>32.6594241287577</v>
      </c>
      <c r="F8" s="7">
        <f>((SUMPRODUCT(DCF!$C$14:$L$14,1/(1+$A8)^DCF!$C$15:$L$15)+Forecast_3Stmt!$L$16*(1-Assumptions!$C$67)*(1+F$5)*(1-F$5/DCF!$C$22)/($A8-F$5)/(1+$A8)^DCF!$C$27)*(1+$A8)^Market_Package!$B$9+DCF!$C$31+DCF!$C$32+DCF!$C$33+DCF!$C$34)/DCF!$C$36</f>
        <v>33.53529324261804</v>
      </c>
      <c r="G8" s="1"/>
      <c r="H8" s="1"/>
    </row>
    <row r="9">
      <c r="A9" s="21">
        <f>DCF!C20+0.01</f>
        <v>0.11294982530780727</v>
      </c>
      <c r="B9" s="7">
        <f>((SUMPRODUCT(DCF!$C$14:$L$14,1/(1+$A9)^DCF!$C$15:$L$15)+Forecast_3Stmt!$L$16*(1-Assumptions!$C$67)*(1+B$5)*(1-B$5/DCF!$C$22)/($A9-B$5)/(1+$A9)^DCF!$C$27)*(1+$A9)^Market_Package!$B$9+DCF!$C$31+DCF!$C$32+DCF!$C$33+DCF!$C$34)/DCF!$C$36</f>
        <v>26.336101472291276</v>
      </c>
      <c r="C9" s="7">
        <f>((SUMPRODUCT(DCF!$C$14:$L$14,1/(1+$A9)^DCF!$C$15:$L$15)+Forecast_3Stmt!$L$16*(1-Assumptions!$C$67)*(1+C$5)*(1-C$5/DCF!$C$22)/($A9-C$5)/(1+$A9)^DCF!$C$27)*(1+$A9)^Market_Package!$B$9+DCF!$C$31+DCF!$C$32+DCF!$C$33+DCF!$C$34)/DCF!$C$36</f>
        <v>26.708860930834636</v>
      </c>
      <c r="D9" s="7">
        <f>((SUMPRODUCT(DCF!$C$14:$L$14,1/(1+$A9)^DCF!$C$15:$L$15)+Forecast_3Stmt!$L$16*(1-Assumptions!$C$67)*(1+D$5)*(1-D$5/DCF!$C$22)/($A9-D$5)/(1+$A9)^DCF!$C$27)*(1+$A9)^Market_Package!$B$9+DCF!$C$31+DCF!$C$32+DCF!$C$33+DCF!$C$34)/DCF!$C$36</f>
        <v>27.119123303155448</v>
      </c>
      <c r="E9" s="7">
        <f>((SUMPRODUCT(DCF!$C$14:$L$14,1/(1+$A9)^DCF!$C$15:$L$15)+Forecast_3Stmt!$L$16*(1-Assumptions!$C$67)*(1+E$5)*(1-E$5/DCF!$C$22)/($A9-E$5)/(1+$A9)^DCF!$C$27)*(1+$A9)^Market_Package!$B$9+DCF!$C$31+DCF!$C$32+DCF!$C$33+DCF!$C$34)/DCF!$C$36</f>
        <v>27.574105330336057</v>
      </c>
      <c r="F9" s="7">
        <f>((SUMPRODUCT(DCF!$C$14:$L$14,1/(1+$A9)^DCF!$C$15:$L$15)+Forecast_3Stmt!$L$16*(1-Assumptions!$C$67)*(1+F$5)*(1-F$5/DCF!$C$22)/($A9-F$5)/(1+$A9)^DCF!$C$27)*(1+$A9)^Market_Package!$B$9+DCF!$C$31+DCF!$C$32+DCF!$C$33+DCF!$C$34)/DCF!$C$36</f>
        <v>28.08300230270194</v>
      </c>
      <c r="G9" s="1"/>
      <c r="H9" s="1"/>
    </row>
    <row r="10">
      <c r="A10" s="21">
        <f>DCF!C20+0.02</f>
        <v>0.12294982530780728</v>
      </c>
      <c r="B10" s="7">
        <f>((SUMPRODUCT(DCF!$C$14:$L$14,1/(1+$A10)^DCF!$C$15:$L$15)+Forecast_3Stmt!$L$16*(1-Assumptions!$C$67)*(1+B$5)*(1-B$5/DCF!$C$22)/($A10-B$5)/(1+$A10)^DCF!$C$27)*(1+$A10)^Market_Package!$B$9+DCF!$C$31+DCF!$C$32+DCF!$C$33+DCF!$C$34)/DCF!$C$36</f>
        <v>22.92586062232228</v>
      </c>
      <c r="C10" s="7">
        <f>((SUMPRODUCT(DCF!$C$14:$L$14,1/(1+$A10)^DCF!$C$15:$L$15)+Forecast_3Stmt!$L$16*(1-Assumptions!$C$67)*(1+C$5)*(1-C$5/DCF!$C$22)/($A10-C$5)/(1+$A10)^DCF!$C$27)*(1+$A10)^Market_Package!$B$9+DCF!$C$31+DCF!$C$32+DCF!$C$33+DCF!$C$34)/DCF!$C$36</f>
        <v>23.154836353932644</v>
      </c>
      <c r="D10" s="7">
        <f>((SUMPRODUCT(DCF!$C$14:$L$14,1/(1+$A10)^DCF!$C$15:$L$15)+Forecast_3Stmt!$L$16*(1-Assumptions!$C$67)*(1+D$5)*(1-D$5/DCF!$C$22)/($A10-D$5)/(1+$A10)^DCF!$C$27)*(1+$A10)^Market_Package!$B$9+DCF!$C$31+DCF!$C$32+DCF!$C$33+DCF!$C$34)/DCF!$C$36</f>
        <v>23.402306748887238</v>
      </c>
      <c r="E10" s="7">
        <f>((SUMPRODUCT(DCF!$C$14:$L$14,1/(1+$A10)^DCF!$C$15:$L$15)+Forecast_3Stmt!$L$16*(1-Assumptions!$C$67)*(1+E$5)*(1-E$5/DCF!$C$22)/($A10-E$5)/(1+$A10)^DCF!$C$27)*(1+$A10)^Market_Package!$B$9+DCF!$C$31+DCF!$C$32+DCF!$C$33+DCF!$C$34)/DCF!$C$36</f>
        <v>23.67142610509617</v>
      </c>
      <c r="F10" s="7">
        <f>((SUMPRODUCT(DCF!$C$14:$L$14,1/(1+$A10)^DCF!$C$15:$L$15)+Forecast_3Stmt!$L$16*(1-Assumptions!$C$67)*(1+F$5)*(1-F$5/DCF!$C$22)/($A10-F$5)/(1+$A10)^DCF!$C$27)*(1+$A10)^Market_Package!$B$9+DCF!$C$31+DCF!$C$32+DCF!$C$33+DCF!$C$34)/DCF!$C$36</f>
        <v>23.966109252007374</v>
      </c>
      <c r="G10" s="1"/>
      <c r="H10" s="1"/>
    </row>
    <row r="11">
      <c r="A11" s="6" t="s">
        <v>1271</v>
      </c>
      <c r="B11" s="1"/>
      <c r="C11" s="1"/>
      <c r="D11" s="14">
        <f>D8-DCF!C37</f>
        <v>0</v>
      </c>
      <c r="E11" s="1"/>
      <c r="F11" s="1"/>
      <c r="G11" s="1"/>
      <c r="H11" s="1"/>
    </row>
    <row r="12">
      <c r="A12" s="1"/>
      <c r="B12" s="1"/>
      <c r="C12" s="1"/>
      <c r="D12" s="1"/>
      <c r="E12" s="1"/>
      <c r="F12" s="1"/>
      <c r="G12" s="1"/>
      <c r="H12" s="1"/>
    </row>
    <row r="13">
      <c r="A13" s="16" t="s">
        <v>1272</v>
      </c>
      <c r="B13" s="1"/>
      <c r="C13" s="1"/>
      <c r="D13" s="1"/>
      <c r="E13" s="1"/>
      <c r="F13" s="1"/>
      <c r="G13" s="1"/>
      <c r="H13" s="1"/>
    </row>
    <row r="14">
      <c r="A14" s="4" t="s">
        <v>1273</v>
      </c>
      <c r="B14" s="25">
        <v>-0.2</v>
      </c>
      <c r="C14" s="25">
        <v>-0.1</v>
      </c>
      <c r="D14" s="25">
        <v>0</v>
      </c>
      <c r="E14" s="25">
        <v>0.1</v>
      </c>
      <c r="F14" s="25">
        <v>0.2</v>
      </c>
      <c r="G14" s="1"/>
      <c r="H14" s="1"/>
    </row>
    <row r="15">
      <c r="A15" s="21">
        <v>-0.3</v>
      </c>
      <c r="B15" s="2">
        <v>24.22761465392977</v>
      </c>
      <c r="C15" s="2">
        <v>27.613645630665573</v>
      </c>
      <c r="D15" s="2">
        <v>31.0027198934069</v>
      </c>
      <c r="E15" s="2">
        <v>34.389233323804596</v>
      </c>
      <c r="F15" s="2">
        <v>37.7727937430654</v>
      </c>
      <c r="G15" s="1"/>
      <c r="H15" s="1"/>
    </row>
    <row r="16">
      <c r="A16" s="21">
        <v>-0.15</v>
      </c>
      <c r="B16" s="2">
        <v>23.62998813513217</v>
      </c>
      <c r="C16" s="2">
        <v>27.5374425223544</v>
      </c>
      <c r="D16" s="2">
        <v>31.448788423860996</v>
      </c>
      <c r="E16" s="2">
        <v>35.35684104722416</v>
      </c>
      <c r="F16" s="2">
        <v>39.26362540814307</v>
      </c>
      <c r="G16" s="1"/>
      <c r="H16" s="1"/>
    </row>
    <row r="17">
      <c r="A17" s="21">
        <v>0</v>
      </c>
      <c r="B17" s="2">
        <v>23.032383886705595</v>
      </c>
      <c r="C17" s="2">
        <v>27.46092306436584</v>
      </c>
      <c r="D17" s="2">
        <v>31.894476739749994</v>
      </c>
      <c r="E17" s="2">
        <v>36.32412123098089</v>
      </c>
      <c r="F17" s="2">
        <v>40.7541534716672</v>
      </c>
      <c r="G17" s="1"/>
      <c r="H17" s="1"/>
    </row>
    <row r="18">
      <c r="A18" s="21">
        <v>0.15</v>
      </c>
      <c r="B18" s="2">
        <v>22.436133394055883</v>
      </c>
      <c r="C18" s="2">
        <v>27.38429715433878</v>
      </c>
      <c r="D18" s="2">
        <v>32.339817220840914</v>
      </c>
      <c r="E18" s="2">
        <v>37.29111301380467</v>
      </c>
      <c r="F18" s="2">
        <v>42.24437354955083</v>
      </c>
      <c r="G18" s="1"/>
      <c r="H18" s="1"/>
    </row>
    <row r="19">
      <c r="A19" s="21">
        <v>0.3</v>
      </c>
      <c r="B19" s="2">
        <v>21.84275684499633</v>
      </c>
      <c r="C19" s="2">
        <v>27.30867522850739</v>
      </c>
      <c r="D19" s="2">
        <v>32.785164312159836</v>
      </c>
      <c r="E19" s="2">
        <v>38.25787647526395</v>
      </c>
      <c r="F19" s="2">
        <v>43.73387319122778</v>
      </c>
      <c r="G19" s="1"/>
      <c r="H19" s="1"/>
    </row>
    <row r="20">
      <c r="A20" s="6" t="s">
        <v>1237</v>
      </c>
      <c r="B20" s="60" t="s">
        <v>1274</v>
      </c>
      <c r="C20" s="1"/>
      <c r="D20" s="1"/>
      <c r="E20" s="1"/>
      <c r="F20" s="1"/>
      <c r="G20" s="1"/>
      <c r="H20" s="1"/>
    </row>
    <row r="21">
      <c r="A21" s="6" t="s">
        <v>1275</v>
      </c>
      <c r="B21" s="1"/>
      <c r="C21" s="1"/>
      <c r="D21" s="14">
        <f>D17-Scenario_Summary!D23</f>
        <v>0</v>
      </c>
      <c r="E21" s="1"/>
      <c r="F21" s="1"/>
      <c r="G21" s="1"/>
      <c r="H21" s="1"/>
    </row>
    <row r="22">
      <c r="A22" s="1"/>
      <c r="B22" s="1"/>
      <c r="C22" s="1"/>
      <c r="D22" s="1"/>
      <c r="E22" s="1"/>
      <c r="F22" s="1"/>
      <c r="G22" s="1"/>
      <c r="H22" s="1"/>
    </row>
    <row r="23">
      <c r="A23" s="16" t="s">
        <v>1276</v>
      </c>
      <c r="B23" s="1"/>
      <c r="C23" s="1"/>
      <c r="D23" s="1"/>
      <c r="E23" s="1"/>
      <c r="F23" s="1"/>
      <c r="G23" s="1"/>
      <c r="H23" s="1"/>
    </row>
    <row r="24">
      <c r="A24" s="4" t="s">
        <v>1277</v>
      </c>
      <c r="B24" s="11" t="s">
        <v>1224</v>
      </c>
      <c r="C24" s="11" t="s">
        <v>1278</v>
      </c>
      <c r="D24" s="11" t="s">
        <v>1279</v>
      </c>
      <c r="E24" s="1"/>
      <c r="F24" s="1"/>
      <c r="G24" s="1"/>
      <c r="H24" s="1"/>
    </row>
    <row r="25">
      <c r="A25" s="21">
        <v>0.055</v>
      </c>
      <c r="B25" s="2">
        <v>31.887676764295747</v>
      </c>
      <c r="C25" s="5">
        <v>5541.25</v>
      </c>
      <c r="D25" s="5">
        <v>16640.926834797603</v>
      </c>
      <c r="E25" s="1"/>
      <c r="F25" s="1"/>
      <c r="G25" s="1"/>
      <c r="H25" s="1" t="s">
        <v>1280</v>
      </c>
    </row>
    <row r="26">
      <c r="A26" s="21">
        <v>0.065</v>
      </c>
      <c r="B26" s="2">
        <v>31.894476739749994</v>
      </c>
      <c r="C26" s="5">
        <v>6548.75</v>
      </c>
      <c r="D26" s="5">
        <v>16347.77432445698</v>
      </c>
      <c r="E26" s="1"/>
      <c r="F26" s="1"/>
      <c r="G26" s="1"/>
      <c r="H26" s="1"/>
    </row>
    <row r="27">
      <c r="A27" s="21">
        <v>0.075</v>
      </c>
      <c r="B27" s="2">
        <v>31.90140756316183</v>
      </c>
      <c r="C27" s="5">
        <v>7556.25</v>
      </c>
      <c r="D27" s="5">
        <v>16054.621814116354</v>
      </c>
      <c r="E27" s="1"/>
      <c r="F27" s="1"/>
      <c r="G27" s="1"/>
      <c r="H27" s="1"/>
    </row>
    <row r="28">
      <c r="A28" s="6" t="s">
        <v>1237</v>
      </c>
      <c r="B28" s="60" t="s">
        <v>1281</v>
      </c>
      <c r="C28" s="1"/>
      <c r="D28" s="1"/>
      <c r="E28" s="1"/>
      <c r="F28" s="1"/>
      <c r="G28" s="1"/>
      <c r="H28" s="1"/>
    </row>
    <row r="29">
      <c r="A29" s="6" t="s">
        <v>1282</v>
      </c>
      <c r="B29" s="14">
        <f>B26-Scenario_Summary!D23</f>
        <v>0</v>
      </c>
      <c r="C29" s="1"/>
      <c r="D29" s="1"/>
      <c r="E29" s="1"/>
      <c r="F29" s="1"/>
      <c r="G29" s="1"/>
      <c r="H29" s="1"/>
    </row>
  </sheetData>
</worksheet>
</file>

<file path=xl/worksheets/sheet20.xml><?xml version="1.0" encoding="utf-8"?>
<worksheet xmlns="http://schemas.openxmlformats.org/spreadsheetml/2006/main" xmlns:r="http://schemas.openxmlformats.org/officeDocument/2006/relationships">
  <sheetPr>
    <tabColor rgb="FFC0873A"/>
  </sheetPr>
  <dimension ref="A1:G35"/>
  <sheetViews>
    <sheetView showGridLines="0" workbookViewId="0"/>
  </sheetViews>
  <sheetFormatPr defaultColWidth="8.375" defaultRowHeight="15"/>
  <cols>
    <col min="1" max="1" width="77.70703125" customWidth="1"/>
    <col min="2" max="2" width="2.70703125" customWidth="1"/>
    <col min="3" max="6" width="15.20703125" customWidth="1"/>
    <col min="7" max="7" width="69.375" customWidth="1"/>
  </cols>
  <sheetData>
    <row r="1">
      <c r="A1" s="56" t="s">
        <v>1283</v>
      </c>
      <c r="B1" s="1"/>
      <c r="C1" s="1"/>
      <c r="D1" s="1"/>
      <c r="E1" s="1"/>
      <c r="F1" s="1"/>
      <c r="G1" s="1"/>
    </row>
    <row r="2">
      <c r="A2" s="1" t="s">
        <v>1284</v>
      </c>
      <c r="B2" s="1"/>
      <c r="C2" s="1"/>
      <c r="D2" s="1"/>
      <c r="E2" s="1"/>
      <c r="F2" s="1"/>
      <c r="G2" s="1"/>
    </row>
    <row r="3">
      <c r="A3" s="1"/>
      <c r="B3" s="1"/>
      <c r="C3" s="1"/>
      <c r="D3" s="1"/>
      <c r="E3" s="1"/>
      <c r="F3" s="1"/>
      <c r="G3" s="1"/>
    </row>
    <row r="4">
      <c r="A4" s="4" t="s">
        <v>1285</v>
      </c>
      <c r="B4" s="4"/>
      <c r="C4" s="11" t="s">
        <v>1286</v>
      </c>
      <c r="D4" s="11" t="s">
        <v>581</v>
      </c>
      <c r="E4" s="11" t="s">
        <v>21</v>
      </c>
      <c r="F4" s="11" t="s">
        <v>22</v>
      </c>
      <c r="G4" s="40" t="s">
        <v>88</v>
      </c>
    </row>
    <row r="5">
      <c r="A5" s="6" t="s">
        <v>1287</v>
      </c>
      <c r="B5" s="1"/>
      <c r="C5" s="9">
        <f>Forecast_3Stmt!C10</f>
        <v>44225.75352341846</v>
      </c>
      <c r="D5" s="5">
        <v>44225.75352341846</v>
      </c>
      <c r="E5" s="5">
        <v>45394.8160717579</v>
      </c>
      <c r="F5" s="5">
        <v>42468.60018225466</v>
      </c>
      <c r="G5" s="1"/>
    </row>
    <row r="6">
      <c r="A6" s="6" t="s">
        <v>1288</v>
      </c>
      <c r="B6" s="1"/>
      <c r="C6" s="9">
        <f>Forecast_3Stmt!D10</f>
        <v>82274.68214996651</v>
      </c>
      <c r="D6" s="5">
        <v>82274.68214996651</v>
      </c>
      <c r="E6" s="5">
        <v>96093.009929397</v>
      </c>
      <c r="F6" s="5">
        <v>64483.326015622486</v>
      </c>
      <c r="G6" s="1"/>
    </row>
    <row r="7">
      <c r="A7" s="6" t="s">
        <v>1289</v>
      </c>
      <c r="B7" s="1"/>
      <c r="C7" s="9">
        <f>Forecast_3Stmt!G10</f>
        <v>178794.88469918165</v>
      </c>
      <c r="D7" s="5">
        <v>178794.88469918165</v>
      </c>
      <c r="E7" s="5">
        <v>254587.2201711415</v>
      </c>
      <c r="F7" s="5">
        <v>89022.72131428952</v>
      </c>
      <c r="G7" s="1"/>
    </row>
    <row r="8">
      <c r="A8" s="6" t="s">
        <v>1225</v>
      </c>
      <c r="B8" s="1"/>
      <c r="C8" s="9">
        <f>Forecast_3Stmt!L10</f>
        <v>286870.5245537773</v>
      </c>
      <c r="D8" s="5">
        <v>286870.5245537773</v>
      </c>
      <c r="E8" s="5">
        <v>457319.2883238552</v>
      </c>
      <c r="F8" s="5">
        <v>105719.299278327</v>
      </c>
      <c r="G8" s="1"/>
    </row>
    <row r="9">
      <c r="A9" s="6" t="s">
        <v>1290</v>
      </c>
      <c r="B9" s="1"/>
      <c r="C9" s="9">
        <f>Segments_Fcst!L36</f>
        <v>181849.5160477695</v>
      </c>
      <c r="D9" s="5">
        <v>181849.5160477695</v>
      </c>
      <c r="E9" s="5">
        <v>296111.6484085632</v>
      </c>
      <c r="F9" s="5">
        <v>55071.93455458239</v>
      </c>
      <c r="G9" s="1"/>
    </row>
    <row r="10">
      <c r="A10" s="6" t="s">
        <v>1291</v>
      </c>
      <c r="B10" s="1"/>
      <c r="C10" s="9">
        <f>Segments_Fcst!L22</f>
        <v>95024.22179701837</v>
      </c>
      <c r="D10" s="5">
        <v>95024.22179701836</v>
      </c>
      <c r="E10" s="5">
        <v>145432.8773404421</v>
      </c>
      <c r="F10" s="5">
        <v>44999.48834443427</v>
      </c>
      <c r="G10" s="1"/>
    </row>
    <row r="11">
      <c r="A11" s="31" t="s">
        <v>1292</v>
      </c>
      <c r="B11" s="29"/>
      <c r="C11" s="19">
        <f>Forecast_3Stmt!D25</f>
        <v>0.582639555422691</v>
      </c>
      <c r="D11" s="62">
        <v>0.582639555422691</v>
      </c>
      <c r="E11" s="62">
        <v>0.605539935930555</v>
      </c>
      <c r="F11" s="62">
        <v>0.5039912931843857</v>
      </c>
      <c r="G11" s="1"/>
    </row>
    <row r="12">
      <c r="A12" s="31" t="s">
        <v>1293</v>
      </c>
      <c r="B12" s="29"/>
      <c r="C12" s="19">
        <f>Forecast_3Stmt!G25</f>
        <v>0.6030698310373297</v>
      </c>
      <c r="D12" s="62">
        <v>0.6030698310373297</v>
      </c>
      <c r="E12" s="62">
        <v>0.6280409915246904</v>
      </c>
      <c r="F12" s="62">
        <v>0.5003853899865904</v>
      </c>
      <c r="G12" s="1"/>
    </row>
    <row r="13">
      <c r="A13" s="31" t="s">
        <v>1294</v>
      </c>
      <c r="B13" s="29"/>
      <c r="C13" s="19">
        <f>Forecast_3Stmt!L25</f>
        <v>0.607677951449006</v>
      </c>
      <c r="D13" s="62">
        <v>0.607677951449006</v>
      </c>
      <c r="E13" s="62">
        <v>0.6322575636109071</v>
      </c>
      <c r="F13" s="62">
        <v>0.5066364209605753</v>
      </c>
      <c r="G13" s="1"/>
    </row>
    <row r="14">
      <c r="A14" s="31" t="s">
        <v>1295</v>
      </c>
      <c r="B14" s="29"/>
      <c r="C14" s="19">
        <f>Forecast_3Stmt!L17</f>
        <v>0.3061657917396279</v>
      </c>
      <c r="D14" s="62">
        <v>0.3061657917396279</v>
      </c>
      <c r="E14" s="62">
        <v>0.37565273376948827</v>
      </c>
      <c r="F14" s="62">
        <v>0.1068928134080769</v>
      </c>
      <c r="G14" s="1"/>
    </row>
    <row r="15">
      <c r="A15" s="6" t="s">
        <v>1296</v>
      </c>
      <c r="B15" s="1"/>
      <c r="C15" s="9">
        <f>Forecast_3Stmt!G23</f>
        <v>34225.21211571382</v>
      </c>
      <c r="D15" s="5">
        <v>34225.21211571382</v>
      </c>
      <c r="E15" s="5">
        <v>63437.09415000144</v>
      </c>
      <c r="F15" s="5">
        <v>1722.031076379086</v>
      </c>
      <c r="G15" s="1"/>
    </row>
    <row r="16">
      <c r="A16" s="6" t="s">
        <v>1297</v>
      </c>
      <c r="B16" s="1"/>
      <c r="C16" s="9">
        <f>Segments_Fcst!D48</f>
        <v>76207.67472086957</v>
      </c>
      <c r="D16" s="5">
        <v>76207.67472086957</v>
      </c>
      <c r="E16" s="5">
        <v>89702.99192456523</v>
      </c>
      <c r="F16" s="5">
        <v>54200.454695652166</v>
      </c>
      <c r="G16" s="1"/>
    </row>
    <row r="17">
      <c r="A17" s="6" t="s">
        <v>1298</v>
      </c>
      <c r="B17" s="1"/>
      <c r="C17" s="8">
        <f>SUM(Schedules!D109:Schedules!G109)</f>
        <v>-39709.67360289005</v>
      </c>
      <c r="D17" s="5">
        <v>-39709.67360289005</v>
      </c>
      <c r="E17" s="5">
        <v>-19125.76045714196</v>
      </c>
      <c r="F17" s="5">
        <v>-43526.56633224937</v>
      </c>
      <c r="G17" s="1"/>
    </row>
    <row r="18">
      <c r="A18" s="6" t="s">
        <v>1299</v>
      </c>
      <c r="B18" s="1"/>
      <c r="C18" s="9">
        <f>Schedules!L109</f>
        <v>65180.0409760523</v>
      </c>
      <c r="D18" s="5">
        <v>65180.0409760523</v>
      </c>
      <c r="E18" s="5">
        <v>131587.15662331233</v>
      </c>
      <c r="F18" s="5">
        <v>11639.112233959991</v>
      </c>
      <c r="G18" s="1"/>
    </row>
    <row r="19">
      <c r="A19" s="6" t="s">
        <v>1300</v>
      </c>
      <c r="B19" s="1"/>
      <c r="C19" s="9">
        <f>Forecast_3Stmt!G28</f>
        <v>50281.948990518664</v>
      </c>
      <c r="D19" s="5">
        <v>50281.948990518664</v>
      </c>
      <c r="E19" s="5">
        <v>78772.15899322342</v>
      </c>
      <c r="F19" s="5">
        <v>28904.16536230715</v>
      </c>
      <c r="G19" s="1"/>
    </row>
    <row r="20">
      <c r="A20" s="6" t="s">
        <v>1301</v>
      </c>
      <c r="B20" s="1"/>
      <c r="C20" s="9">
        <f>Forecast_3Stmt!G43</f>
        <v>0</v>
      </c>
      <c r="D20" s="5">
        <v>0</v>
      </c>
      <c r="E20" s="5">
        <v>0</v>
      </c>
      <c r="F20" s="5">
        <v>0</v>
      </c>
      <c r="G20" s="1"/>
    </row>
    <row r="21">
      <c r="A21" s="6" t="s">
        <v>1302</v>
      </c>
      <c r="B21" s="1"/>
      <c r="C21" s="9">
        <f>DCF!C30</f>
        <v>408766.0631859558</v>
      </c>
      <c r="D21" s="5">
        <v>408766.0631859558</v>
      </c>
      <c r="E21" s="5">
        <v>927253.029484282</v>
      </c>
      <c r="F21" s="5">
        <v>-2688.1459767019214</v>
      </c>
      <c r="G21" s="1"/>
    </row>
    <row r="22">
      <c r="A22" s="31" t="s">
        <v>1199</v>
      </c>
      <c r="B22" s="29"/>
      <c r="C22" s="19">
        <f>DCF!C41</f>
        <v>0.7986316797447038</v>
      </c>
      <c r="D22" s="62">
        <v>0.7986316797447038</v>
      </c>
      <c r="E22" s="62">
        <v>0.7480508698363322</v>
      </c>
      <c r="F22" s="62">
        <v>-14.400475457351645</v>
      </c>
      <c r="G22" s="1"/>
    </row>
    <row r="23">
      <c r="A23" s="36" t="s">
        <v>18</v>
      </c>
      <c r="B23" s="41"/>
      <c r="C23" s="75">
        <f>DCF!C37</f>
        <v>31.894476739749994</v>
      </c>
      <c r="D23" s="69">
        <v>31.894476739749994</v>
      </c>
      <c r="E23" s="69">
        <v>67.79059072852147</v>
      </c>
      <c r="F23" s="69">
        <v>3.408500903735506</v>
      </c>
      <c r="G23" s="1"/>
    </row>
    <row r="24">
      <c r="A24" s="6" t="s">
        <v>1303</v>
      </c>
      <c r="B24" s="1"/>
      <c r="C24" s="34">
        <f>DCF!C49</f>
        <v>68.22615694211326</v>
      </c>
      <c r="D24" s="2">
        <v>68.22615694211326</v>
      </c>
      <c r="E24" s="2">
        <v>141.95477790515818</v>
      </c>
      <c r="F24" s="2">
        <v>14.308793133768775</v>
      </c>
      <c r="G24" s="1"/>
    </row>
    <row r="25">
      <c r="A25" s="31" t="s">
        <v>1304</v>
      </c>
      <c r="B25" s="29"/>
      <c r="C25" s="19">
        <f>DCF!C40</f>
        <v>-0.7853380216735093</v>
      </c>
      <c r="D25" s="62">
        <v>-0.7853380216735093</v>
      </c>
      <c r="E25" s="62">
        <v>-0.5437435002791664</v>
      </c>
      <c r="F25" s="62">
        <v>-0.9770594904850216</v>
      </c>
      <c r="G25" s="1"/>
    </row>
    <row r="26">
      <c r="A26" s="6" t="s">
        <v>1237</v>
      </c>
      <c r="B26" s="1"/>
      <c r="C26" s="1"/>
      <c r="D26" s="60" t="s">
        <v>1305</v>
      </c>
      <c r="E26" s="1"/>
      <c r="F26" s="1"/>
      <c r="G26" s="1"/>
    </row>
    <row r="27">
      <c r="A27" s="1"/>
      <c r="B27" s="1"/>
      <c r="C27" s="1"/>
      <c r="D27" s="1"/>
      <c r="E27" s="1"/>
      <c r="F27" s="1"/>
      <c r="G27" s="1"/>
    </row>
    <row r="28">
      <c r="A28" s="16" t="s">
        <v>315</v>
      </c>
      <c r="B28" s="1"/>
      <c r="C28" s="1"/>
      <c r="D28" s="1"/>
      <c r="E28" s="1"/>
      <c r="F28" s="1"/>
      <c r="G28" s="1"/>
    </row>
    <row r="29">
      <c r="A29" s="6" t="s">
        <v>1306</v>
      </c>
      <c r="B29" s="1"/>
      <c r="C29" s="14">
        <f>IF(Assumptions!$C$5=1,SUMPRODUCT((C5:C25-D5:D25)^2),0)</f>
        <v>0</v>
      </c>
      <c r="D29" s="1"/>
      <c r="E29" s="1"/>
      <c r="F29" s="1"/>
      <c r="G29" s="1"/>
    </row>
    <row r="30">
      <c r="A30" s="6" t="s">
        <v>1307</v>
      </c>
      <c r="B30" s="1"/>
      <c r="C30" s="1"/>
      <c r="D30" s="14">
        <f>MAX(0,F7-D7)+MAX(0,D7-E7)</f>
        <v>0</v>
      </c>
      <c r="E30" s="1"/>
      <c r="F30" s="1"/>
      <c r="G30" s="1" t="s">
        <v>1308</v>
      </c>
    </row>
    <row r="31">
      <c r="A31" s="6" t="s">
        <v>1309</v>
      </c>
      <c r="B31" s="1"/>
      <c r="C31" s="1"/>
      <c r="D31" s="14">
        <f>MAX(0,F8-D8)+MAX(0,D8-E8)</f>
        <v>0</v>
      </c>
      <c r="E31" s="1"/>
      <c r="F31" s="1"/>
      <c r="G31" s="1" t="s">
        <v>1308</v>
      </c>
    </row>
    <row r="32">
      <c r="A32" s="6" t="s">
        <v>1310</v>
      </c>
      <c r="B32" s="1"/>
      <c r="C32" s="1"/>
      <c r="D32" s="14">
        <f>MAX(0,F12-D12)+MAX(0,D12-E12)</f>
        <v>0</v>
      </c>
      <c r="E32" s="1"/>
      <c r="F32" s="1"/>
      <c r="G32" s="1" t="s">
        <v>1308</v>
      </c>
    </row>
    <row r="33">
      <c r="A33" s="6" t="s">
        <v>1311</v>
      </c>
      <c r="B33" s="1"/>
      <c r="C33" s="1"/>
      <c r="D33" s="14">
        <f>MAX(0,F13-D13)+MAX(0,D13-E13)</f>
        <v>0</v>
      </c>
      <c r="E33" s="1"/>
      <c r="F33" s="1"/>
      <c r="G33" s="1" t="s">
        <v>1308</v>
      </c>
    </row>
    <row r="34">
      <c r="A34" s="6" t="s">
        <v>1312</v>
      </c>
      <c r="B34" s="1"/>
      <c r="C34" s="1"/>
      <c r="D34" s="14">
        <f>MAX(0,F23-D23)+MAX(0,D23-E23)</f>
        <v>0</v>
      </c>
      <c r="E34" s="1"/>
      <c r="F34" s="1"/>
      <c r="G34" s="1" t="s">
        <v>1308</v>
      </c>
    </row>
    <row r="35">
      <c r="A35" s="6" t="s">
        <v>1313</v>
      </c>
      <c r="B35" s="1"/>
      <c r="C35" s="1"/>
      <c r="D35" s="14">
        <f>MAX(0,F24-D24)+MAX(0,D24-E24)</f>
        <v>0</v>
      </c>
      <c r="E35" s="1"/>
      <c r="F35" s="1"/>
      <c r="G35" s="1" t="s">
        <v>1308</v>
      </c>
    </row>
  </sheetData>
</worksheet>
</file>

<file path=xl/worksheets/sheet21.xml><?xml version="1.0" encoding="utf-8"?>
<worksheet xmlns="http://schemas.openxmlformats.org/spreadsheetml/2006/main" xmlns:r="http://schemas.openxmlformats.org/officeDocument/2006/relationships">
  <sheetPr>
    <tabColor rgb="FF6A7689"/>
  </sheetPr>
  <dimension ref="A1:E18"/>
  <sheetViews>
    <sheetView showGridLines="0" workbookViewId="0"/>
  </sheetViews>
  <sheetFormatPr defaultColWidth="8.375" defaultRowHeight="15"/>
  <cols>
    <col min="1" max="1" width="4.375" customWidth="1"/>
    <col min="2" max="2" width="199.375" customWidth="1"/>
    <col min="3" max="3" width="2.70703125" customWidth="1"/>
    <col min="4" max="4" width="17.70703125" customWidth="1"/>
    <col min="5" max="5" width="69.375" customWidth="1"/>
  </cols>
  <sheetData>
    <row r="1">
      <c r="A1" s="56" t="s">
        <v>1314</v>
      </c>
      <c r="B1" s="1"/>
      <c r="C1" s="1"/>
      <c r="D1" s="1"/>
      <c r="E1" s="1"/>
    </row>
    <row r="2">
      <c r="A2" s="1" t="s">
        <v>1315</v>
      </c>
      <c r="B2" s="1"/>
      <c r="C2" s="1"/>
      <c r="D2" s="1"/>
      <c r="E2" s="1"/>
    </row>
    <row r="3">
      <c r="A3" s="1"/>
      <c r="B3" s="1"/>
      <c r="C3" s="1"/>
      <c r="D3" s="1"/>
      <c r="E3" s="1"/>
    </row>
    <row r="4">
      <c r="A4" s="4" t="s">
        <v>1316</v>
      </c>
      <c r="B4" s="4" t="s">
        <v>1317</v>
      </c>
      <c r="C4" s="1"/>
      <c r="D4" s="40" t="s">
        <v>87</v>
      </c>
      <c r="E4" s="40" t="s">
        <v>1318</v>
      </c>
    </row>
    <row r="5">
      <c r="A5" s="78">
        <v>1</v>
      </c>
      <c r="B5" s="1" t="s">
        <v>1319</v>
      </c>
      <c r="C5" s="1"/>
      <c r="D5" s="1"/>
      <c r="E5" s="1" t="s">
        <v>1320</v>
      </c>
    </row>
    <row r="6">
      <c r="A6" s="78">
        <v>2</v>
      </c>
      <c r="B6" s="1" t="s">
        <v>1321</v>
      </c>
      <c r="C6" s="1"/>
      <c r="D6" s="1"/>
      <c r="E6" s="1" t="s">
        <v>1322</v>
      </c>
    </row>
    <row r="7">
      <c r="A7" s="78">
        <v>3</v>
      </c>
      <c r="B7" s="1" t="s">
        <v>1323</v>
      </c>
      <c r="C7" s="1"/>
      <c r="D7" s="1"/>
      <c r="E7" s="1" t="s">
        <v>1324</v>
      </c>
    </row>
    <row r="8">
      <c r="A8" s="78">
        <v>4</v>
      </c>
      <c r="B8" s="1" t="s">
        <v>1325</v>
      </c>
      <c r="C8" s="1"/>
      <c r="D8" s="1"/>
      <c r="E8" s="1" t="s">
        <v>1326</v>
      </c>
    </row>
    <row r="9">
      <c r="A9" s="78">
        <v>5</v>
      </c>
      <c r="B9" s="1" t="s">
        <v>1327</v>
      </c>
      <c r="C9" s="1"/>
      <c r="D9" s="1"/>
      <c r="E9" s="1" t="s">
        <v>1328</v>
      </c>
    </row>
    <row r="10">
      <c r="A10" s="78">
        <v>6</v>
      </c>
      <c r="B10" s="1" t="s">
        <v>1329</v>
      </c>
      <c r="C10" s="1"/>
      <c r="D10" s="1"/>
      <c r="E10" s="1" t="s">
        <v>1330</v>
      </c>
    </row>
    <row r="11">
      <c r="A11" s="78">
        <v>7</v>
      </c>
      <c r="B11" s="1" t="s">
        <v>1331</v>
      </c>
      <c r="C11" s="1"/>
      <c r="D11" s="1"/>
      <c r="E11" s="1" t="s">
        <v>1332</v>
      </c>
    </row>
    <row r="12">
      <c r="A12" s="78">
        <v>8</v>
      </c>
      <c r="B12" s="1" t="s">
        <v>1333</v>
      </c>
      <c r="C12" s="1"/>
      <c r="D12" s="1"/>
      <c r="E12" s="1" t="s">
        <v>1334</v>
      </c>
    </row>
    <row r="13">
      <c r="A13" s="78">
        <v>9</v>
      </c>
      <c r="B13" s="1" t="s">
        <v>1335</v>
      </c>
      <c r="C13" s="1"/>
      <c r="D13" s="1"/>
      <c r="E13" s="1" t="s">
        <v>1336</v>
      </c>
    </row>
    <row r="14">
      <c r="A14" s="78">
        <v>10</v>
      </c>
      <c r="B14" s="1" t="s">
        <v>1337</v>
      </c>
      <c r="C14" s="1"/>
      <c r="D14" s="1"/>
      <c r="E14" s="1" t="s">
        <v>1338</v>
      </c>
    </row>
    <row r="15">
      <c r="A15" s="78">
        <v>11</v>
      </c>
      <c r="B15" s="1" t="s">
        <v>1339</v>
      </c>
      <c r="C15" s="1"/>
      <c r="D15" s="1"/>
      <c r="E15" s="1" t="s">
        <v>1340</v>
      </c>
    </row>
    <row r="16">
      <c r="A16" s="78">
        <v>12</v>
      </c>
      <c r="B16" s="1" t="s">
        <v>1341</v>
      </c>
      <c r="C16" s="1"/>
      <c r="D16" s="1"/>
      <c r="E16" s="1" t="s">
        <v>1342</v>
      </c>
    </row>
    <row r="17">
      <c r="A17" s="78">
        <v>13</v>
      </c>
      <c r="B17" s="1" t="s">
        <v>1343</v>
      </c>
      <c r="C17" s="1"/>
      <c r="D17" s="1"/>
      <c r="E17" s="1" t="s">
        <v>1342</v>
      </c>
    </row>
    <row r="18">
      <c r="A18" s="78">
        <v>14</v>
      </c>
      <c r="B18" s="1" t="s">
        <v>1344</v>
      </c>
      <c r="C18" s="1"/>
      <c r="D18" s="1"/>
      <c r="E18" s="1" t="s">
        <v>1345</v>
      </c>
    </row>
  </sheetData>
</worksheet>
</file>

<file path=xl/worksheets/sheet22.xml><?xml version="1.0" encoding="utf-8"?>
<worksheet xmlns="http://schemas.openxmlformats.org/spreadsheetml/2006/main" xmlns:r="http://schemas.openxmlformats.org/officeDocument/2006/relationships">
  <sheetPr>
    <tabColor rgb="FF0E1A2B"/>
  </sheetPr>
  <dimension ref="A1:D123"/>
  <sheetViews>
    <sheetView showGridLines="0" workbookViewId="0"/>
  </sheetViews>
  <sheetFormatPr defaultColWidth="8.375" defaultRowHeight="15"/>
  <cols>
    <col min="1" max="1" width="106.0390625" customWidth="1"/>
    <col min="2" max="2" width="22.70703125" customWidth="1"/>
    <col min="3" max="3" width="17.70703125" customWidth="1"/>
    <col min="4" max="4" width="26.0390625" customWidth="1"/>
  </cols>
  <sheetData>
    <row r="1">
      <c r="A1" s="56" t="s">
        <v>1346</v>
      </c>
      <c r="B1" s="1"/>
      <c r="C1" s="1"/>
      <c r="D1" s="1"/>
    </row>
    <row r="2">
      <c r="A2" s="1" t="s">
        <v>1347</v>
      </c>
      <c r="B2" s="1"/>
      <c r="C2" s="1"/>
      <c r="D2" s="1"/>
    </row>
    <row r="3">
      <c r="A3" s="1"/>
      <c r="B3" s="1"/>
      <c r="C3" s="1"/>
      <c r="D3" s="1"/>
    </row>
    <row r="4">
      <c r="A4" s="41" t="s">
        <v>1348</v>
      </c>
      <c r="B4" s="41"/>
      <c r="C4" s="79" t="str">
        <f>IF(MAX(MAX(C7:C123),-MIN(C7:C123))&lt;0.5,"OK","ERROR")</f>
        <v>OK</v>
      </c>
      <c r="D4" s="1"/>
    </row>
    <row r="5">
      <c r="A5" s="1"/>
      <c r="B5" s="1"/>
      <c r="C5" s="1"/>
      <c r="D5" s="1"/>
    </row>
    <row r="6">
      <c r="A6" s="4" t="s">
        <v>1349</v>
      </c>
      <c r="B6" s="4" t="s">
        <v>31</v>
      </c>
      <c r="C6" s="11" t="s">
        <v>1350</v>
      </c>
      <c r="D6" s="4" t="s">
        <v>1351</v>
      </c>
    </row>
    <row r="7">
      <c r="A7" s="6" t="s">
        <v>98</v>
      </c>
      <c r="B7" s="1" t="s">
        <v>33</v>
      </c>
      <c r="C7" s="14">
        <f>MAX(MAX(IS_Hist!B31:F31),-MIN(IS_Hist!B31:F31))</f>
        <v>0</v>
      </c>
      <c r="D7" s="1" t="s">
        <v>1352</v>
      </c>
    </row>
    <row r="8">
      <c r="A8" s="6" t="s">
        <v>99</v>
      </c>
      <c r="B8" s="1" t="s">
        <v>33</v>
      </c>
      <c r="C8" s="14">
        <f>MAX(MAX(IS_Hist!B32:F32),-MIN(IS_Hist!B32:F32))</f>
        <v>0</v>
      </c>
      <c r="D8" s="1" t="s">
        <v>1353</v>
      </c>
    </row>
    <row r="9">
      <c r="A9" s="6" t="s">
        <v>103</v>
      </c>
      <c r="B9" s="1" t="s">
        <v>33</v>
      </c>
      <c r="C9" s="14">
        <f>MAX(MAX(IS_Hist!B33:F33),-MIN(IS_Hist!B33:F33))</f>
        <v>0</v>
      </c>
      <c r="D9" s="1" t="s">
        <v>1354</v>
      </c>
    </row>
    <row r="10">
      <c r="A10" s="6" t="s">
        <v>105</v>
      </c>
      <c r="B10" s="1" t="s">
        <v>33</v>
      </c>
      <c r="C10" s="14">
        <f>MAX(MAX(IS_Hist!B34:F34),-MIN(IS_Hist!B34:F34))</f>
        <v>0</v>
      </c>
      <c r="D10" s="1" t="s">
        <v>1355</v>
      </c>
    </row>
    <row r="11">
      <c r="A11" s="6" t="s">
        <v>115</v>
      </c>
      <c r="B11" s="1" t="s">
        <v>33</v>
      </c>
      <c r="C11" s="14">
        <f>MAX(MAX(IS_Hist!B35:F35),-MIN(IS_Hist!B35:F35))</f>
        <v>0</v>
      </c>
      <c r="D11" s="1" t="s">
        <v>1356</v>
      </c>
    </row>
    <row r="12">
      <c r="A12" s="6" t="s">
        <v>116</v>
      </c>
      <c r="B12" s="1" t="s">
        <v>33</v>
      </c>
      <c r="C12" s="14">
        <f>MAX(MAX(IS_Hist!B36:F36),-MIN(IS_Hist!B36:F36))</f>
        <v>0</v>
      </c>
      <c r="D12" s="1" t="s">
        <v>1357</v>
      </c>
    </row>
    <row r="13">
      <c r="A13" s="6" t="s">
        <v>123</v>
      </c>
      <c r="B13" s="1" t="s">
        <v>35</v>
      </c>
      <c r="C13" s="14">
        <f>MAX(MAX(CI_Hist!B13:F13),-MIN(CI_Hist!B13:F13))</f>
        <v>0</v>
      </c>
      <c r="D13" s="1" t="s">
        <v>1358</v>
      </c>
    </row>
    <row r="14">
      <c r="A14" s="6" t="s">
        <v>124</v>
      </c>
      <c r="B14" s="1" t="s">
        <v>35</v>
      </c>
      <c r="C14" s="14">
        <f>MAX(MAX(CI_Hist!B14:F14),-MIN(CI_Hist!B14:F14))</f>
        <v>0</v>
      </c>
      <c r="D14" s="1" t="s">
        <v>1359</v>
      </c>
    </row>
    <row r="15">
      <c r="A15" s="6" t="s">
        <v>125</v>
      </c>
      <c r="B15" s="1" t="s">
        <v>35</v>
      </c>
      <c r="C15" s="14">
        <f>MAX(MAX(CI_Hist!B15:F15),-MIN(CI_Hist!B15:F15))</f>
        <v>0</v>
      </c>
      <c r="D15" s="1" t="s">
        <v>1360</v>
      </c>
    </row>
    <row r="16">
      <c r="A16" s="6" t="s">
        <v>139</v>
      </c>
      <c r="B16" s="1" t="s">
        <v>37</v>
      </c>
      <c r="C16" s="14">
        <f>MAX(MAX(BS_Hist!B57:D57),-MIN(BS_Hist!B57:D57))</f>
        <v>0</v>
      </c>
      <c r="D16" s="1" t="s">
        <v>1361</v>
      </c>
    </row>
    <row r="17">
      <c r="A17" s="6" t="s">
        <v>148</v>
      </c>
      <c r="B17" s="1" t="s">
        <v>37</v>
      </c>
      <c r="C17" s="14">
        <f>MAX(MAX(BS_Hist!B58:D58),-MIN(BS_Hist!B58:D58))</f>
        <v>0</v>
      </c>
      <c r="D17" s="1" t="s">
        <v>1362</v>
      </c>
    </row>
    <row r="18">
      <c r="A18" s="6" t="s">
        <v>154</v>
      </c>
      <c r="B18" s="1" t="s">
        <v>37</v>
      </c>
      <c r="C18" s="14">
        <f>MAX(MAX(BS_Hist!B59:D59),-MIN(BS_Hist!B59:D59))</f>
        <v>0</v>
      </c>
      <c r="D18" s="1" t="s">
        <v>1363</v>
      </c>
    </row>
    <row r="19">
      <c r="A19" s="6" t="s">
        <v>159</v>
      </c>
      <c r="B19" s="1" t="s">
        <v>37</v>
      </c>
      <c r="C19" s="14">
        <f>MAX(MAX(BS_Hist!B60:D60),-MIN(BS_Hist!B60:D60))</f>
        <v>0</v>
      </c>
      <c r="D19" s="1" t="s">
        <v>1364</v>
      </c>
    </row>
    <row r="20">
      <c r="A20" s="6" t="s">
        <v>169</v>
      </c>
      <c r="B20" s="1" t="s">
        <v>37</v>
      </c>
      <c r="C20" s="14">
        <f>MAX(MAX(BS_Hist!B61:D61),-MIN(BS_Hist!B61:D61))</f>
        <v>0</v>
      </c>
      <c r="D20" s="1" t="s">
        <v>1365</v>
      </c>
    </row>
    <row r="21">
      <c r="A21" s="6" t="s">
        <v>183</v>
      </c>
      <c r="B21" s="1" t="s">
        <v>37</v>
      </c>
      <c r="C21" s="14">
        <f>MAX(MAX(BS_Hist!B62:D62),-MIN(BS_Hist!B62:D62))</f>
        <v>0</v>
      </c>
      <c r="D21" s="1" t="s">
        <v>1366</v>
      </c>
    </row>
    <row r="22">
      <c r="A22" s="6" t="s">
        <v>184</v>
      </c>
      <c r="B22" s="1" t="s">
        <v>37</v>
      </c>
      <c r="C22" s="14">
        <f>MAX(MAX(BS_Hist!B63:D63),-MIN(BS_Hist!B63:D63))</f>
        <v>0</v>
      </c>
      <c r="D22" s="1" t="s">
        <v>1367</v>
      </c>
    </row>
    <row r="23">
      <c r="A23" s="6" t="s">
        <v>185</v>
      </c>
      <c r="B23" s="1" t="s">
        <v>37</v>
      </c>
      <c r="C23" s="14">
        <f>MAX(MAX(BS_Hist!C64:C64),-MIN(BS_Hist!C64:C64))</f>
        <v>0</v>
      </c>
      <c r="D23" s="1" t="s">
        <v>1368</v>
      </c>
    </row>
    <row r="24">
      <c r="A24" s="6" t="s">
        <v>210</v>
      </c>
      <c r="B24" s="1" t="s">
        <v>39</v>
      </c>
      <c r="C24" s="14">
        <f>MAX(MAX(CF_Hist!B68:F68),-MIN(CF_Hist!B68:F68))</f>
        <v>0</v>
      </c>
      <c r="D24" s="1" t="s">
        <v>1369</v>
      </c>
    </row>
    <row r="25">
      <c r="A25" s="6" t="s">
        <v>225</v>
      </c>
      <c r="B25" s="1" t="s">
        <v>39</v>
      </c>
      <c r="C25" s="14">
        <f>MAX(MAX(CF_Hist!B69:F69),-MIN(CF_Hist!B69:F69))</f>
        <v>0</v>
      </c>
      <c r="D25" s="1" t="s">
        <v>1370</v>
      </c>
    </row>
    <row r="26">
      <c r="A26" s="6" t="s">
        <v>237</v>
      </c>
      <c r="B26" s="1" t="s">
        <v>39</v>
      </c>
      <c r="C26" s="14">
        <f>MAX(MAX(CF_Hist!B70:F70),-MIN(CF_Hist!B70:F70))</f>
        <v>0</v>
      </c>
      <c r="D26" s="1" t="s">
        <v>1371</v>
      </c>
    </row>
    <row r="27">
      <c r="A27" s="6" t="s">
        <v>249</v>
      </c>
      <c r="B27" s="1" t="s">
        <v>39</v>
      </c>
      <c r="C27" s="14">
        <f>MAX(MAX(CF_Hist!B71:F71),-MIN(CF_Hist!B71:F71))</f>
        <v>0</v>
      </c>
      <c r="D27" s="1" t="s">
        <v>1372</v>
      </c>
    </row>
    <row r="28">
      <c r="A28" s="6" t="s">
        <v>250</v>
      </c>
      <c r="B28" s="1" t="s">
        <v>39</v>
      </c>
      <c r="C28" s="14">
        <f>MAX(MAX(CF_Hist!B72:F72),-MIN(CF_Hist!B72:F72))</f>
        <v>0</v>
      </c>
      <c r="D28" s="1" t="s">
        <v>1373</v>
      </c>
    </row>
    <row r="29">
      <c r="A29" s="6" t="s">
        <v>125</v>
      </c>
      <c r="B29" s="1" t="s">
        <v>39</v>
      </c>
      <c r="C29" s="14">
        <f>MAX(MAX(CF_Hist!B73:F73),-MIN(CF_Hist!B73:F73))</f>
        <v>0</v>
      </c>
      <c r="D29" s="1" t="s">
        <v>1374</v>
      </c>
    </row>
    <row r="30">
      <c r="A30" s="6" t="s">
        <v>251</v>
      </c>
      <c r="B30" s="1" t="s">
        <v>39</v>
      </c>
      <c r="C30" s="14">
        <f>MAX(MAX(CF_Hist!C74:F74),-MIN(CF_Hist!C74:F74))</f>
        <v>0</v>
      </c>
      <c r="D30" s="1" t="s">
        <v>1375</v>
      </c>
    </row>
    <row r="31">
      <c r="A31" s="6" t="s">
        <v>253</v>
      </c>
      <c r="B31" s="1" t="s">
        <v>39</v>
      </c>
      <c r="C31" s="14">
        <f>MAX(MAX(CF_Hist!C75:F75),-MIN(CF_Hist!C75:F75))</f>
        <v>0</v>
      </c>
      <c r="D31" s="1" t="s">
        <v>1376</v>
      </c>
    </row>
    <row r="32">
      <c r="A32" s="6" t="s">
        <v>275</v>
      </c>
      <c r="B32" s="1" t="s">
        <v>41</v>
      </c>
      <c r="C32" s="14">
        <f>MAX(MAX(SCE_Hist!B15:I15),-MIN(SCE_Hist!B15:I15))</f>
        <v>0</v>
      </c>
      <c r="D32" s="1" t="s">
        <v>1377</v>
      </c>
    </row>
    <row r="33">
      <c r="A33" s="6" t="s">
        <v>283</v>
      </c>
      <c r="B33" s="1" t="s">
        <v>41</v>
      </c>
      <c r="C33" s="14">
        <f>MAX(MAX(SCE_Hist!B25:I25),-MIN(SCE_Hist!B25:I25))</f>
        <v>0</v>
      </c>
      <c r="D33" s="1" t="s">
        <v>1378</v>
      </c>
    </row>
    <row r="34">
      <c r="A34" s="6" t="s">
        <v>286</v>
      </c>
      <c r="B34" s="1" t="s">
        <v>41</v>
      </c>
      <c r="C34" s="14">
        <f>MAX(MAX(SCE_Hist!B35:I35),-MIN(SCE_Hist!B35:I35))</f>
        <v>0</v>
      </c>
      <c r="D34" s="1" t="s">
        <v>1379</v>
      </c>
    </row>
    <row r="35">
      <c r="A35" s="6" t="s">
        <v>297</v>
      </c>
      <c r="B35" s="1" t="s">
        <v>41</v>
      </c>
      <c r="C35" s="14">
        <f>MAX(MAX(SCE_Hist!B48:I48),-MIN(SCE_Hist!B48:I48))</f>
        <v>0</v>
      </c>
      <c r="D35" s="1" t="s">
        <v>1380</v>
      </c>
    </row>
    <row r="36">
      <c r="A36" s="6" t="s">
        <v>314</v>
      </c>
      <c r="B36" s="1" t="s">
        <v>41</v>
      </c>
      <c r="C36" s="14">
        <f>MAX(MAX(SCE_Hist!B64:I64),-MIN(SCE_Hist!B64:I64))</f>
        <v>0</v>
      </c>
      <c r="D36" s="1" t="s">
        <v>1381</v>
      </c>
    </row>
    <row r="37">
      <c r="A37" s="6" t="s">
        <v>316</v>
      </c>
      <c r="B37" s="1" t="s">
        <v>41</v>
      </c>
      <c r="C37" s="14">
        <f>MAX(MAX(SCE_Hist!I67:I67),-MIN(SCE_Hist!I67:I67))</f>
        <v>0</v>
      </c>
      <c r="D37" s="1" t="s">
        <v>1382</v>
      </c>
    </row>
    <row r="38">
      <c r="A38" s="6" t="s">
        <v>317</v>
      </c>
      <c r="B38" s="1" t="s">
        <v>41</v>
      </c>
      <c r="C38" s="14">
        <f>MAX(MAX(SCE_Hist!I68:I68),-MIN(SCE_Hist!I68:I68))</f>
        <v>0</v>
      </c>
      <c r="D38" s="1" t="s">
        <v>1383</v>
      </c>
    </row>
    <row r="39">
      <c r="A39" s="6" t="s">
        <v>318</v>
      </c>
      <c r="B39" s="1" t="s">
        <v>41</v>
      </c>
      <c r="C39" s="14">
        <f>MAX(MAX(SCE_Hist!I69:I69),-MIN(SCE_Hist!I69:I69))</f>
        <v>0</v>
      </c>
      <c r="D39" s="1" t="s">
        <v>1384</v>
      </c>
    </row>
    <row r="40">
      <c r="A40" s="6" t="s">
        <v>319</v>
      </c>
      <c r="B40" s="1" t="s">
        <v>41</v>
      </c>
      <c r="C40" s="14">
        <f>MAX(MAX(SCE_Hist!I70:I70),-MIN(SCE_Hist!I70:I70))</f>
        <v>0</v>
      </c>
      <c r="D40" s="1" t="s">
        <v>1385</v>
      </c>
    </row>
    <row r="41">
      <c r="A41" s="6" t="s">
        <v>320</v>
      </c>
      <c r="B41" s="1" t="s">
        <v>41</v>
      </c>
      <c r="C41" s="14">
        <f>MAX(MAX(SCE_Hist!I71:I71),-MIN(SCE_Hist!I71:I71))</f>
        <v>0</v>
      </c>
      <c r="D41" s="1" t="s">
        <v>1386</v>
      </c>
    </row>
    <row r="42">
      <c r="A42" s="6" t="s">
        <v>321</v>
      </c>
      <c r="B42" s="1" t="s">
        <v>41</v>
      </c>
      <c r="C42" s="14">
        <f>MAX(MAX(SCE_Hist!I72:I72),-MIN(SCE_Hist!I72:I72))</f>
        <v>0</v>
      </c>
      <c r="D42" s="1" t="s">
        <v>1387</v>
      </c>
    </row>
    <row r="43">
      <c r="A43" s="6" t="s">
        <v>322</v>
      </c>
      <c r="B43" s="1" t="s">
        <v>41</v>
      </c>
      <c r="C43" s="14">
        <f>MAX(MAX(SCE_Hist!I73:I73),-MIN(SCE_Hist!I73:I73))</f>
        <v>0</v>
      </c>
      <c r="D43" s="1" t="s">
        <v>1388</v>
      </c>
    </row>
    <row r="44">
      <c r="A44" s="6" t="s">
        <v>323</v>
      </c>
      <c r="B44" s="1" t="s">
        <v>41</v>
      </c>
      <c r="C44" s="14">
        <f>MAX(MAX(SCE_Hist!I74:I74),-MIN(SCE_Hist!I74:I74))</f>
        <v>0</v>
      </c>
      <c r="D44" s="1" t="s">
        <v>1389</v>
      </c>
    </row>
    <row r="45">
      <c r="A45" s="6" t="s">
        <v>324</v>
      </c>
      <c r="B45" s="1" t="s">
        <v>41</v>
      </c>
      <c r="C45" s="14">
        <f>MAX(MAX(SCE_Hist!I75:I75),-MIN(SCE_Hist!I75:I75))</f>
        <v>0</v>
      </c>
      <c r="D45" s="1" t="s">
        <v>1390</v>
      </c>
    </row>
    <row r="46">
      <c r="A46" s="6" t="s">
        <v>325</v>
      </c>
      <c r="B46" s="1" t="s">
        <v>41</v>
      </c>
      <c r="C46" s="14">
        <f>MAX(MAX(SCE_Hist!I76:I76),-MIN(SCE_Hist!I76:I76))</f>
        <v>0</v>
      </c>
      <c r="D46" s="1" t="s">
        <v>1391</v>
      </c>
    </row>
    <row r="47">
      <c r="A47" s="6" t="s">
        <v>326</v>
      </c>
      <c r="B47" s="1" t="s">
        <v>41</v>
      </c>
      <c r="C47" s="14">
        <f>MAX(MAX(SCE_Hist!I77:I77),-MIN(SCE_Hist!I77:I77))</f>
        <v>0</v>
      </c>
      <c r="D47" s="1" t="s">
        <v>1392</v>
      </c>
    </row>
    <row r="48">
      <c r="A48" s="6" t="s">
        <v>98</v>
      </c>
      <c r="B48" s="1" t="s">
        <v>43</v>
      </c>
      <c r="C48" s="14">
        <f>MAX(MAX(Quarterly_Hist!B29:H29),-MIN(Quarterly_Hist!B29:H29))</f>
        <v>0</v>
      </c>
      <c r="D48" s="1" t="s">
        <v>1393</v>
      </c>
    </row>
    <row r="49">
      <c r="A49" s="6" t="s">
        <v>346</v>
      </c>
      <c r="B49" s="1" t="s">
        <v>43</v>
      </c>
      <c r="C49" s="14">
        <f>MAX(MAX(Quarterly_Hist!B30:H30),-MIN(Quarterly_Hist!B30:H30))</f>
        <v>0</v>
      </c>
      <c r="D49" s="1" t="s">
        <v>1394</v>
      </c>
    </row>
    <row r="50">
      <c r="A50" s="6" t="s">
        <v>105</v>
      </c>
      <c r="B50" s="1" t="s">
        <v>43</v>
      </c>
      <c r="C50" s="14">
        <f>MAX(MAX(Quarterly_Hist!B31:H31),-MIN(Quarterly_Hist!B31:H31))</f>
        <v>0</v>
      </c>
      <c r="D50" s="1" t="s">
        <v>1395</v>
      </c>
    </row>
    <row r="51">
      <c r="A51" s="6" t="s">
        <v>347</v>
      </c>
      <c r="B51" s="1" t="s">
        <v>43</v>
      </c>
      <c r="C51" s="14">
        <f>MAX(MAX(Quarterly_Hist!B32:F32),-MIN(Quarterly_Hist!B32:F32))</f>
        <v>0</v>
      </c>
      <c r="D51" s="1" t="s">
        <v>1353</v>
      </c>
    </row>
    <row r="52">
      <c r="A52" s="6" t="s">
        <v>349</v>
      </c>
      <c r="B52" s="1" t="s">
        <v>43</v>
      </c>
      <c r="C52" s="14">
        <f>MAX(MAX(Quarterly_Hist!B33:F33),-MIN(Quarterly_Hist!B33:F33))</f>
        <v>0</v>
      </c>
      <c r="D52" s="1" t="s">
        <v>1354</v>
      </c>
    </row>
    <row r="53">
      <c r="A53" s="6" t="s">
        <v>350</v>
      </c>
      <c r="B53" s="1" t="s">
        <v>43</v>
      </c>
      <c r="C53" s="14">
        <f>MAX(MAX(Quarterly_Hist!B34:F34),-MIN(Quarterly_Hist!B34:F34))</f>
        <v>0</v>
      </c>
      <c r="D53" s="1" t="s">
        <v>1355</v>
      </c>
    </row>
    <row r="54">
      <c r="A54" s="6" t="s">
        <v>351</v>
      </c>
      <c r="B54" s="1" t="s">
        <v>43</v>
      </c>
      <c r="C54" s="14">
        <f>MAX(MAX(Quarterly_Hist!B35:F35),-MIN(Quarterly_Hist!B35:F35))</f>
        <v>0</v>
      </c>
      <c r="D54" s="1" t="s">
        <v>1356</v>
      </c>
    </row>
    <row r="55">
      <c r="A55" s="6" t="s">
        <v>403</v>
      </c>
      <c r="B55" s="1" t="s">
        <v>45</v>
      </c>
      <c r="C55" s="14">
        <f>MAX(MAX(Segments_Hist!B76:F76),-MIN(Segments_Hist!B76:F76))</f>
        <v>0</v>
      </c>
      <c r="D55" s="1" t="s">
        <v>1396</v>
      </c>
    </row>
    <row r="56">
      <c r="A56" s="6" t="s">
        <v>404</v>
      </c>
      <c r="B56" s="1" t="s">
        <v>45</v>
      </c>
      <c r="C56" s="14">
        <f>MAX(MAX(Segments_Hist!B77:F77),-MIN(Segments_Hist!B77:F77))</f>
        <v>0</v>
      </c>
      <c r="D56" s="1" t="s">
        <v>1397</v>
      </c>
    </row>
    <row r="57">
      <c r="A57" s="6" t="s">
        <v>405</v>
      </c>
      <c r="B57" s="1" t="s">
        <v>45</v>
      </c>
      <c r="C57" s="14">
        <f>MAX(MAX(Segments_Hist!B78:F78),-MIN(Segments_Hist!B78:F78))</f>
        <v>0</v>
      </c>
      <c r="D57" s="1" t="s">
        <v>1398</v>
      </c>
    </row>
    <row r="58">
      <c r="A58" s="6" t="s">
        <v>406</v>
      </c>
      <c r="B58" s="1" t="s">
        <v>45</v>
      </c>
      <c r="C58" s="14">
        <f>MAX(MAX(Segments_Hist!B79:F79),-MIN(Segments_Hist!B79:F79))</f>
        <v>0</v>
      </c>
      <c r="D58" s="1" t="s">
        <v>1399</v>
      </c>
    </row>
    <row r="59">
      <c r="A59" s="6" t="s">
        <v>407</v>
      </c>
      <c r="B59" s="1" t="s">
        <v>45</v>
      </c>
      <c r="C59" s="14">
        <f>MAX(MAX(Segments_Hist!B80:F80),-MIN(Segments_Hist!B80:F80))</f>
        <v>0</v>
      </c>
      <c r="D59" s="1" t="s">
        <v>1400</v>
      </c>
    </row>
    <row r="60">
      <c r="A60" s="6" t="s">
        <v>408</v>
      </c>
      <c r="B60" s="1" t="s">
        <v>45</v>
      </c>
      <c r="C60" s="14">
        <f>MAX(MAX(Segments_Hist!B81:F81),-MIN(Segments_Hist!B81:F81))</f>
        <v>0</v>
      </c>
      <c r="D60" s="1" t="s">
        <v>1401</v>
      </c>
    </row>
    <row r="61">
      <c r="A61" s="6" t="s">
        <v>409</v>
      </c>
      <c r="B61" s="1" t="s">
        <v>45</v>
      </c>
      <c r="C61" s="14">
        <f>MAX(MAX(Segments_Hist!B82:F82),-MIN(Segments_Hist!B82:F82))</f>
        <v>0</v>
      </c>
      <c r="D61" s="1" t="s">
        <v>1402</v>
      </c>
    </row>
    <row r="62">
      <c r="A62" s="6" t="s">
        <v>410</v>
      </c>
      <c r="B62" s="1" t="s">
        <v>45</v>
      </c>
      <c r="C62" s="14">
        <f>MAX(MAX(Segments_Hist!B83:F83),-MIN(Segments_Hist!B83:F83))</f>
        <v>0</v>
      </c>
      <c r="D62" s="1" t="s">
        <v>1403</v>
      </c>
    </row>
    <row r="63">
      <c r="A63" s="6" t="s">
        <v>411</v>
      </c>
      <c r="B63" s="1" t="s">
        <v>45</v>
      </c>
      <c r="C63" s="14">
        <f>MAX(MAX(Segments_Hist!B84:F84),-MIN(Segments_Hist!B84:F84))</f>
        <v>0</v>
      </c>
      <c r="D63" s="1" t="s">
        <v>1404</v>
      </c>
    </row>
    <row r="64">
      <c r="A64" s="6" t="s">
        <v>455</v>
      </c>
      <c r="B64" s="1" t="s">
        <v>45</v>
      </c>
      <c r="C64" s="14">
        <f>MAX(MAX(Segments_Hist!B149:H149),-MIN(Segments_Hist!B149:H149))</f>
        <v>0</v>
      </c>
      <c r="D64" s="1" t="s">
        <v>1405</v>
      </c>
    </row>
    <row r="65">
      <c r="A65" s="6" t="s">
        <v>456</v>
      </c>
      <c r="B65" s="1" t="s">
        <v>45</v>
      </c>
      <c r="C65" s="14">
        <f>MAX(MAX(Segments_Hist!B150:H150),-MIN(Segments_Hist!B150:H150))</f>
        <v>0</v>
      </c>
      <c r="D65" s="1" t="s">
        <v>1406</v>
      </c>
    </row>
    <row r="66">
      <c r="A66" s="6" t="s">
        <v>457</v>
      </c>
      <c r="B66" s="1" t="s">
        <v>45</v>
      </c>
      <c r="C66" s="14">
        <f>MAX(MAX(Segments_Hist!F151:F151),-MIN(Segments_Hist!F151:F151))</f>
        <v>0</v>
      </c>
      <c r="D66" s="1" t="s">
        <v>1407</v>
      </c>
    </row>
    <row r="67">
      <c r="A67" s="6" t="s">
        <v>458</v>
      </c>
      <c r="B67" s="1" t="s">
        <v>45</v>
      </c>
      <c r="C67" s="14">
        <f>MAX(MAX(Segments_Hist!B152:B152),-MIN(Segments_Hist!B152:B152))</f>
        <v>0</v>
      </c>
      <c r="D67" s="1" t="s">
        <v>1408</v>
      </c>
    </row>
    <row r="68">
      <c r="A68" s="6" t="s">
        <v>460</v>
      </c>
      <c r="B68" s="1" t="s">
        <v>45</v>
      </c>
      <c r="C68" s="14">
        <f>MAX(MAX(Segments_Hist!F153:F153),-MIN(Segments_Hist!F153:F153))</f>
        <v>0</v>
      </c>
      <c r="D68" s="1" t="s">
        <v>1409</v>
      </c>
    </row>
    <row r="69">
      <c r="A69" s="6" t="s">
        <v>461</v>
      </c>
      <c r="B69" s="1" t="s">
        <v>45</v>
      </c>
      <c r="C69" s="14">
        <f>MAX(MAX(Segments_Hist!B154:B154),-MIN(Segments_Hist!B154:B154))</f>
        <v>0</v>
      </c>
      <c r="D69" s="1" t="s">
        <v>1410</v>
      </c>
    </row>
    <row r="70">
      <c r="A70" s="6" t="s">
        <v>462</v>
      </c>
      <c r="B70" s="1" t="s">
        <v>45</v>
      </c>
      <c r="C70" s="14">
        <f>MAX(MAX(Segments_Hist!F155:F155),-MIN(Segments_Hist!F155:F155))</f>
        <v>0</v>
      </c>
      <c r="D70" s="1" t="s">
        <v>1411</v>
      </c>
    </row>
    <row r="71">
      <c r="A71" s="6" t="s">
        <v>463</v>
      </c>
      <c r="B71" s="1" t="s">
        <v>45</v>
      </c>
      <c r="C71" s="14">
        <f>MAX(MAX(Segments_Hist!B156:B156),-MIN(Segments_Hist!B156:B156))</f>
        <v>0</v>
      </c>
      <c r="D71" s="1" t="s">
        <v>1412</v>
      </c>
    </row>
    <row r="72">
      <c r="A72" s="6" t="s">
        <v>464</v>
      </c>
      <c r="B72" s="1" t="s">
        <v>45</v>
      </c>
      <c r="C72" s="14">
        <f>MAX(MAX(Segments_Hist!F157:F157),-MIN(Segments_Hist!F157:F157))</f>
        <v>0</v>
      </c>
      <c r="D72" s="1" t="s">
        <v>1413</v>
      </c>
    </row>
    <row r="73">
      <c r="A73" s="6" t="s">
        <v>465</v>
      </c>
      <c r="B73" s="1" t="s">
        <v>45</v>
      </c>
      <c r="C73" s="14">
        <f>MAX(MAX(Segments_Hist!B158:B158),-MIN(Segments_Hist!B158:B158))</f>
        <v>0</v>
      </c>
      <c r="D73" s="1" t="s">
        <v>1414</v>
      </c>
    </row>
    <row r="74">
      <c r="A74" s="6" t="s">
        <v>466</v>
      </c>
      <c r="B74" s="1" t="s">
        <v>45</v>
      </c>
      <c r="C74" s="14">
        <f>MAX(MAX(Segments_Hist!F159:F159),-MIN(Segments_Hist!F159:F159))</f>
        <v>0</v>
      </c>
      <c r="D74" s="1" t="s">
        <v>1415</v>
      </c>
    </row>
    <row r="75">
      <c r="A75" s="6" t="s">
        <v>467</v>
      </c>
      <c r="B75" s="1" t="s">
        <v>45</v>
      </c>
      <c r="C75" s="14">
        <f>MAX(MAX(Segments_Hist!B160:B160),-MIN(Segments_Hist!B160:B160))</f>
        <v>0</v>
      </c>
      <c r="D75" s="1" t="s">
        <v>1416</v>
      </c>
    </row>
    <row r="76">
      <c r="A76" s="6" t="s">
        <v>468</v>
      </c>
      <c r="B76" s="1" t="s">
        <v>45</v>
      </c>
      <c r="C76" s="14">
        <f>MAX(MAX(Segments_Hist!F161:F161),-MIN(Segments_Hist!F161:F161))</f>
        <v>0</v>
      </c>
      <c r="D76" s="1" t="s">
        <v>1417</v>
      </c>
    </row>
    <row r="77">
      <c r="A77" s="6" t="s">
        <v>469</v>
      </c>
      <c r="B77" s="1" t="s">
        <v>45</v>
      </c>
      <c r="C77" s="14">
        <f>MAX(MAX(Segments_Hist!B162:B162),-MIN(Segments_Hist!B162:B162))</f>
        <v>0</v>
      </c>
      <c r="D77" s="1" t="s">
        <v>1418</v>
      </c>
    </row>
    <row r="78">
      <c r="A78" s="6" t="s">
        <v>470</v>
      </c>
      <c r="B78" s="1" t="s">
        <v>45</v>
      </c>
      <c r="C78" s="14">
        <f>MAX(MAX(Segments_Hist!F163:F163),-MIN(Segments_Hist!F163:F163))</f>
        <v>0</v>
      </c>
      <c r="D78" s="1" t="s">
        <v>1419</v>
      </c>
    </row>
    <row r="79">
      <c r="A79" s="6" t="s">
        <v>471</v>
      </c>
      <c r="B79" s="1" t="s">
        <v>45</v>
      </c>
      <c r="C79" s="14">
        <f>MAX(MAX(Segments_Hist!B164:B164),-MIN(Segments_Hist!B164:B164))</f>
        <v>0</v>
      </c>
      <c r="D79" s="1" t="s">
        <v>1420</v>
      </c>
    </row>
    <row r="80">
      <c r="A80" s="6" t="s">
        <v>472</v>
      </c>
      <c r="B80" s="1" t="s">
        <v>45</v>
      </c>
      <c r="C80" s="14">
        <f>MAX(MAX(Segments_Hist!F165:F165),-MIN(Segments_Hist!F165:F165))</f>
        <v>0</v>
      </c>
      <c r="D80" s="1" t="s">
        <v>1421</v>
      </c>
    </row>
    <row r="81">
      <c r="A81" s="6" t="s">
        <v>473</v>
      </c>
      <c r="B81" s="1" t="s">
        <v>45</v>
      </c>
      <c r="C81" s="14">
        <f>MAX(MAX(Segments_Hist!B166:B166),-MIN(Segments_Hist!B166:B166))</f>
        <v>0</v>
      </c>
      <c r="D81" s="1" t="s">
        <v>1422</v>
      </c>
    </row>
    <row r="82">
      <c r="A82" s="6" t="s">
        <v>474</v>
      </c>
      <c r="B82" s="1" t="s">
        <v>45</v>
      </c>
      <c r="C82" s="14">
        <f>MAX(MAX(Segments_Hist!F167:F167),-MIN(Segments_Hist!F167:F167))</f>
        <v>0</v>
      </c>
      <c r="D82" s="1" t="s">
        <v>1423</v>
      </c>
    </row>
    <row r="83">
      <c r="A83" s="6" t="s">
        <v>475</v>
      </c>
      <c r="B83" s="1" t="s">
        <v>45</v>
      </c>
      <c r="C83" s="14">
        <f>MAX(MAX(Segments_Hist!B168:B168),-MIN(Segments_Hist!B168:B168))</f>
        <v>0</v>
      </c>
      <c r="D83" s="1" t="s">
        <v>1424</v>
      </c>
    </row>
    <row r="84">
      <c r="A84" s="6" t="s">
        <v>561</v>
      </c>
      <c r="B84" s="1" t="s">
        <v>47</v>
      </c>
      <c r="C84" s="14">
        <f>MAX(MAX(Cap_Table!B67:B67),-MIN(Cap_Table!B67:B67))</f>
        <v>0</v>
      </c>
      <c r="D84" s="1" t="s">
        <v>1425</v>
      </c>
    </row>
    <row r="85">
      <c r="A85" s="6" t="s">
        <v>817</v>
      </c>
      <c r="B85" s="1" t="s">
        <v>51</v>
      </c>
      <c r="C85" s="14">
        <f>MAX(MAX(Interim_Bridge!B112:D112),-MIN(Interim_Bridge!B112:D112))</f>
        <v>0</v>
      </c>
      <c r="D85" s="1" t="s">
        <v>1426</v>
      </c>
    </row>
    <row r="86">
      <c r="A86" s="6" t="s">
        <v>818</v>
      </c>
      <c r="B86" s="1" t="s">
        <v>51</v>
      </c>
      <c r="C86" s="14">
        <f>MAX(MAX(Interim_Bridge!B113:B113),-MIN(Interim_Bridge!B113:B113))</f>
        <v>0</v>
      </c>
      <c r="D86" s="1" t="s">
        <v>1427</v>
      </c>
    </row>
    <row r="87">
      <c r="A87" s="6" t="s">
        <v>819</v>
      </c>
      <c r="B87" s="1" t="s">
        <v>51</v>
      </c>
      <c r="C87" s="14">
        <f>MAX(MAX(Interim_Bridge!B114:G114),-MIN(Interim_Bridge!B114:G114))</f>
        <v>0</v>
      </c>
      <c r="D87" s="1" t="s">
        <v>1428</v>
      </c>
    </row>
    <row r="88">
      <c r="A88" s="6" t="s">
        <v>820</v>
      </c>
      <c r="B88" s="1" t="s">
        <v>51</v>
      </c>
      <c r="C88" s="14">
        <f>MAX(MAX(Interim_Bridge!B115:G115),-MIN(Interim_Bridge!B115:G115))</f>
        <v>0</v>
      </c>
      <c r="D88" s="1" t="s">
        <v>1429</v>
      </c>
    </row>
    <row r="89">
      <c r="A89" s="6" t="s">
        <v>821</v>
      </c>
      <c r="B89" s="1" t="s">
        <v>51</v>
      </c>
      <c r="C89" s="14">
        <f>MAX(MAX(Interim_Bridge!B116:G116),-MIN(Interim_Bridge!B116:G116))</f>
        <v>0</v>
      </c>
      <c r="D89" s="1" t="s">
        <v>1430</v>
      </c>
    </row>
    <row r="90">
      <c r="A90" s="6" t="s">
        <v>822</v>
      </c>
      <c r="B90" s="1" t="s">
        <v>51</v>
      </c>
      <c r="C90" s="14">
        <f>MAX(MAX(Interim_Bridge!B117:B117),-MIN(Interim_Bridge!B117:B117))</f>
        <v>0</v>
      </c>
      <c r="D90" s="1" t="s">
        <v>1431</v>
      </c>
    </row>
    <row r="91">
      <c r="A91" s="6" t="s">
        <v>823</v>
      </c>
      <c r="B91" s="1" t="s">
        <v>51</v>
      </c>
      <c r="C91" s="14">
        <f>MAX(MAX(Interim_Bridge!B118:E118),-MIN(Interim_Bridge!B118:E118))</f>
        <v>0</v>
      </c>
      <c r="D91" s="1" t="s">
        <v>1432</v>
      </c>
    </row>
    <row r="92">
      <c r="A92" s="6" t="s">
        <v>824</v>
      </c>
      <c r="B92" s="1" t="s">
        <v>51</v>
      </c>
      <c r="C92" s="14">
        <f>MAX(MAX(Interim_Bridge!C119:C119),-MIN(Interim_Bridge!C119:C119))</f>
        <v>0</v>
      </c>
      <c r="D92" s="1" t="s">
        <v>1433</v>
      </c>
    </row>
    <row r="93">
      <c r="A93" s="6" t="s">
        <v>865</v>
      </c>
      <c r="B93" s="1" t="s">
        <v>53</v>
      </c>
      <c r="C93" s="14">
        <f>MAX(MAX(Segments_Fcst!B55:B55),-MIN(Segments_Fcst!B55:B55))</f>
        <v>0</v>
      </c>
      <c r="D93" s="1" t="s">
        <v>1434</v>
      </c>
    </row>
    <row r="94">
      <c r="A94" s="6" t="s">
        <v>866</v>
      </c>
      <c r="B94" s="1" t="s">
        <v>53</v>
      </c>
      <c r="C94" s="14">
        <f>MAX(MAX(Segments_Fcst!C56:C56),-MIN(Segments_Fcst!C56:C56))</f>
        <v>0</v>
      </c>
      <c r="D94" s="1" t="s">
        <v>1435</v>
      </c>
    </row>
    <row r="95">
      <c r="A95" s="6" t="s">
        <v>867</v>
      </c>
      <c r="B95" s="1" t="s">
        <v>53</v>
      </c>
      <c r="C95" s="14">
        <f>MAX(MAX(Segments_Fcst!C57:L57),-MIN(Segments_Fcst!C57:L57))</f>
        <v>0</v>
      </c>
      <c r="D95" s="1" t="s">
        <v>1436</v>
      </c>
    </row>
    <row r="96">
      <c r="A96" s="6" t="s">
        <v>972</v>
      </c>
      <c r="B96" s="1" t="s">
        <v>55</v>
      </c>
      <c r="C96" s="14">
        <f>MAX(MAX(Schedules!C113:L113),-MIN(Schedules!C113:L113))</f>
        <v>0</v>
      </c>
      <c r="D96" s="1" t="s">
        <v>1437</v>
      </c>
    </row>
    <row r="97">
      <c r="A97" s="6" t="s">
        <v>973</v>
      </c>
      <c r="B97" s="1" t="s">
        <v>55</v>
      </c>
      <c r="C97" s="14">
        <f>MAX(MAX(Schedules!C114:L114),-MIN(Schedules!C114:L114))</f>
        <v>0</v>
      </c>
      <c r="D97" s="1" t="s">
        <v>1438</v>
      </c>
    </row>
    <row r="98">
      <c r="A98" s="6" t="s">
        <v>974</v>
      </c>
      <c r="B98" s="1" t="s">
        <v>55</v>
      </c>
      <c r="C98" s="14">
        <f>MAX(MAX(Schedules!C115:L115),-MIN(Schedules!C115:L115))</f>
        <v>0</v>
      </c>
      <c r="D98" s="1" t="s">
        <v>1439</v>
      </c>
    </row>
    <row r="99">
      <c r="A99" s="6" t="s">
        <v>975</v>
      </c>
      <c r="B99" s="1" t="s">
        <v>55</v>
      </c>
      <c r="C99" s="14">
        <f>MAX(MAX(Schedules!C116:L116),-MIN(Schedules!C116:L116))</f>
        <v>0</v>
      </c>
      <c r="D99" s="1" t="s">
        <v>1440</v>
      </c>
    </row>
    <row r="100">
      <c r="A100" s="6" t="s">
        <v>976</v>
      </c>
      <c r="B100" s="1" t="s">
        <v>55</v>
      </c>
      <c r="C100" s="14">
        <f>MAX(MAX(Schedules!C117:L117),-MIN(Schedules!C117:L117))</f>
        <v>0</v>
      </c>
      <c r="D100" s="1" t="s">
        <v>1441</v>
      </c>
    </row>
    <row r="101">
      <c r="A101" s="6" t="s">
        <v>977</v>
      </c>
      <c r="B101" s="1" t="s">
        <v>55</v>
      </c>
      <c r="C101" s="14">
        <f>MAX(MAX(Schedules!C118:L118),-MIN(Schedules!C118:L118))</f>
        <v>0</v>
      </c>
      <c r="D101" s="1" t="s">
        <v>1442</v>
      </c>
    </row>
    <row r="102">
      <c r="A102" s="6" t="s">
        <v>978</v>
      </c>
      <c r="B102" s="1" t="s">
        <v>55</v>
      </c>
      <c r="C102" s="14">
        <f>MAX(MAX(Schedules!D119:L119),-MIN(Schedules!D119:L119))</f>
        <v>0</v>
      </c>
      <c r="D102" s="1" t="s">
        <v>1443</v>
      </c>
    </row>
    <row r="103">
      <c r="A103" s="6" t="s">
        <v>817</v>
      </c>
      <c r="B103" s="1" t="s">
        <v>57</v>
      </c>
      <c r="C103" s="14">
        <f>MAX(MAX(Forecast_3Stmt!B73:L73),-MIN(Forecast_3Stmt!B73:L73))</f>
        <v>0</v>
      </c>
      <c r="D103" s="1" t="s">
        <v>1444</v>
      </c>
    </row>
    <row r="104">
      <c r="A104" s="6" t="s">
        <v>1009</v>
      </c>
      <c r="B104" s="1" t="s">
        <v>57</v>
      </c>
      <c r="C104" s="14">
        <f>MAX(MAX(Forecast_3Stmt!C74:L74),-MIN(Forecast_3Stmt!C74:L74))</f>
        <v>0</v>
      </c>
      <c r="D104" s="1" t="s">
        <v>1445</v>
      </c>
    </row>
    <row r="105">
      <c r="A105" s="6" t="s">
        <v>1010</v>
      </c>
      <c r="B105" s="1" t="s">
        <v>57</v>
      </c>
      <c r="C105" s="14">
        <f>MAX(MAX(Forecast_3Stmt!D75:L75),-MIN(Forecast_3Stmt!D75:L75))</f>
        <v>0</v>
      </c>
      <c r="D105" s="1" t="s">
        <v>1446</v>
      </c>
    </row>
    <row r="106">
      <c r="A106" s="6" t="s">
        <v>1011</v>
      </c>
      <c r="B106" s="1" t="s">
        <v>57</v>
      </c>
      <c r="C106" s="14">
        <f>MAX(MAX(Forecast_3Stmt!B76:B76),-MIN(Forecast_3Stmt!B76:B76))</f>
        <v>0</v>
      </c>
      <c r="D106" s="1" t="s">
        <v>1447</v>
      </c>
    </row>
    <row r="107">
      <c r="A107" s="6" t="s">
        <v>1012</v>
      </c>
      <c r="B107" s="1" t="s">
        <v>57</v>
      </c>
      <c r="C107" s="14">
        <f>MAX(MAX(Forecast_3Stmt!B77:B77),-MIN(Forecast_3Stmt!B77:B77))</f>
        <v>0</v>
      </c>
      <c r="D107" s="1" t="s">
        <v>1448</v>
      </c>
    </row>
    <row r="108">
      <c r="A108" s="6" t="s">
        <v>1013</v>
      </c>
      <c r="B108" s="1" t="s">
        <v>57</v>
      </c>
      <c r="C108" s="14">
        <f>MAX(MAX(Forecast_3Stmt!B78:B78),-MIN(Forecast_3Stmt!B78:B78))</f>
        <v>0</v>
      </c>
      <c r="D108" s="1" t="s">
        <v>1449</v>
      </c>
    </row>
    <row r="109">
      <c r="A109" s="6" t="s">
        <v>1014</v>
      </c>
      <c r="B109" s="1" t="s">
        <v>57</v>
      </c>
      <c r="C109" s="14">
        <f>MAX(MAX(Forecast_3Stmt!B79:B79),-MIN(Forecast_3Stmt!B79:B79))</f>
        <v>0</v>
      </c>
      <c r="D109" s="1" t="s">
        <v>1450</v>
      </c>
    </row>
    <row r="110">
      <c r="A110" s="6" t="s">
        <v>1015</v>
      </c>
      <c r="B110" s="1" t="s">
        <v>57</v>
      </c>
      <c r="C110" s="14">
        <f>MAX(MAX(Forecast_3Stmt!C80:C80),-MIN(Forecast_3Stmt!C80:C80))</f>
        <v>0</v>
      </c>
      <c r="D110" s="1" t="s">
        <v>1451</v>
      </c>
    </row>
    <row r="111">
      <c r="A111" s="6" t="s">
        <v>1052</v>
      </c>
      <c r="B111" s="1" t="s">
        <v>59</v>
      </c>
      <c r="C111" s="14">
        <f>MAX(MAX(Debt_Credit!B37:B37),-MIN(Debt_Credit!B37:B37))</f>
        <v>0</v>
      </c>
      <c r="D111" s="1" t="s">
        <v>1452</v>
      </c>
    </row>
    <row r="112">
      <c r="A112" s="6" t="s">
        <v>1055</v>
      </c>
      <c r="B112" s="1" t="s">
        <v>59</v>
      </c>
      <c r="C112" s="14">
        <f>MAX(MAX(Debt_Credit!B47:B47),-MIN(Debt_Credit!B47:B47))</f>
        <v>0</v>
      </c>
      <c r="D112" s="1" t="s">
        <v>1453</v>
      </c>
    </row>
    <row r="113">
      <c r="A113" s="6" t="s">
        <v>1266</v>
      </c>
      <c r="B113" s="1" t="s">
        <v>65</v>
      </c>
      <c r="C113" s="14">
        <f>MAX(MAX(Valuation!C51:C51),-MIN(Valuation!C51:C51))</f>
        <v>0</v>
      </c>
      <c r="D113" s="1" t="s">
        <v>1454</v>
      </c>
    </row>
    <row r="114">
      <c r="A114" s="6" t="s">
        <v>1271</v>
      </c>
      <c r="B114" s="1" t="s">
        <v>67</v>
      </c>
      <c r="C114" s="14">
        <f>MAX(MAX(Sensitivity!D11:D11),-MIN(Sensitivity!D11:D11))</f>
        <v>0</v>
      </c>
      <c r="D114" s="1" t="s">
        <v>1455</v>
      </c>
    </row>
    <row r="115">
      <c r="A115" s="6" t="s">
        <v>1275</v>
      </c>
      <c r="B115" s="1" t="s">
        <v>67</v>
      </c>
      <c r="C115" s="14">
        <f>MAX(MAX(Sensitivity!D21:D21),-MIN(Sensitivity!D21:D21))</f>
        <v>0</v>
      </c>
      <c r="D115" s="1" t="s">
        <v>1456</v>
      </c>
    </row>
    <row r="116">
      <c r="A116" s="6" t="s">
        <v>1282</v>
      </c>
      <c r="B116" s="1" t="s">
        <v>67</v>
      </c>
      <c r="C116" s="14">
        <f>MAX(MAX(Sensitivity!B29:B29),-MIN(Sensitivity!B29:B29))</f>
        <v>0</v>
      </c>
      <c r="D116" s="1" t="s">
        <v>1457</v>
      </c>
    </row>
    <row r="117">
      <c r="A117" s="6" t="s">
        <v>1306</v>
      </c>
      <c r="B117" s="1" t="s">
        <v>69</v>
      </c>
      <c r="C117" s="14">
        <f>MAX(MAX(Scenario_Summary!C29:C29),-MIN(Scenario_Summary!C29:C29))</f>
        <v>0</v>
      </c>
      <c r="D117" s="1" t="s">
        <v>1458</v>
      </c>
    </row>
    <row r="118">
      <c r="A118" s="6" t="s">
        <v>1307</v>
      </c>
      <c r="B118" s="1" t="s">
        <v>69</v>
      </c>
      <c r="C118" s="14">
        <f>MAX(MAX(Scenario_Summary!D30:D30),-MIN(Scenario_Summary!D30:D30))</f>
        <v>0</v>
      </c>
      <c r="D118" s="1" t="s">
        <v>1459</v>
      </c>
    </row>
    <row r="119">
      <c r="A119" s="6" t="s">
        <v>1309</v>
      </c>
      <c r="B119" s="1" t="s">
        <v>69</v>
      </c>
      <c r="C119" s="14">
        <f>MAX(MAX(Scenario_Summary!D31:D31),-MIN(Scenario_Summary!D31:D31))</f>
        <v>0</v>
      </c>
      <c r="D119" s="1" t="s">
        <v>1460</v>
      </c>
    </row>
    <row r="120">
      <c r="A120" s="6" t="s">
        <v>1310</v>
      </c>
      <c r="B120" s="1" t="s">
        <v>69</v>
      </c>
      <c r="C120" s="14">
        <f>MAX(MAX(Scenario_Summary!D32:D32),-MIN(Scenario_Summary!D32:D32))</f>
        <v>0</v>
      </c>
      <c r="D120" s="1" t="s">
        <v>1461</v>
      </c>
    </row>
    <row r="121">
      <c r="A121" s="6" t="s">
        <v>1311</v>
      </c>
      <c r="B121" s="1" t="s">
        <v>69</v>
      </c>
      <c r="C121" s="14">
        <f>MAX(MAX(Scenario_Summary!D33:D33),-MIN(Scenario_Summary!D33:D33))</f>
        <v>0</v>
      </c>
      <c r="D121" s="1" t="s">
        <v>1462</v>
      </c>
    </row>
    <row r="122">
      <c r="A122" s="6" t="s">
        <v>1312</v>
      </c>
      <c r="B122" s="1" t="s">
        <v>69</v>
      </c>
      <c r="C122" s="14">
        <f>MAX(MAX(Scenario_Summary!D34:D34),-MIN(Scenario_Summary!D34:D34))</f>
        <v>0</v>
      </c>
      <c r="D122" s="1" t="s">
        <v>1463</v>
      </c>
    </row>
    <row r="123">
      <c r="A123" s="6" t="s">
        <v>1313</v>
      </c>
      <c r="B123" s="1" t="s">
        <v>69</v>
      </c>
      <c r="C123" s="14">
        <f>MAX(MAX(Scenario_Summary!D35:D35),-MIN(Scenario_Summary!D35:D35))</f>
        <v>0</v>
      </c>
      <c r="D123" s="1" t="s">
        <v>1464</v>
      </c>
    </row>
  </sheetData>
</worksheet>
</file>

<file path=xl/worksheets/sheet23.xml><?xml version="1.0" encoding="utf-8"?>
<worksheet xmlns="http://schemas.openxmlformats.org/spreadsheetml/2006/main" xmlns:r="http://schemas.openxmlformats.org/officeDocument/2006/relationships">
  <sheetPr>
    <tabColor rgb="FF0E1A2B"/>
  </sheetPr>
  <dimension ref="A1:F17"/>
  <sheetViews>
    <sheetView showGridLines="0" workbookViewId="0"/>
  </sheetViews>
  <sheetFormatPr defaultColWidth="8.375" defaultRowHeight="15"/>
  <cols>
    <col min="1" max="1" width="42.70703125" customWidth="1"/>
    <col min="2" max="2" width="66.0390625" customWidth="1"/>
    <col min="3" max="3" width="12.70703125" customWidth="1"/>
    <col min="4" max="4" width="32.70703125" customWidth="1"/>
    <col min="5" max="5" width="36.0390625" customWidth="1"/>
    <col min="6" max="6" width="9.375" customWidth="1"/>
  </cols>
  <sheetData>
    <row r="1">
      <c r="A1" s="56" t="s">
        <v>1465</v>
      </c>
      <c r="B1" s="1"/>
      <c r="C1" s="1"/>
      <c r="D1" s="1"/>
      <c r="E1" s="1"/>
      <c r="F1" s="1"/>
    </row>
    <row r="2">
      <c r="A2" s="1" t="s">
        <v>1466</v>
      </c>
      <c r="B2" s="1"/>
      <c r="C2" s="1"/>
      <c r="D2" s="1"/>
      <c r="E2" s="1"/>
      <c r="F2" s="1"/>
    </row>
    <row r="3">
      <c r="A3" s="1"/>
      <c r="B3" s="1"/>
      <c r="C3" s="1"/>
      <c r="D3" s="1"/>
      <c r="E3" s="1"/>
      <c r="F3" s="1"/>
    </row>
    <row r="4">
      <c r="A4" s="4" t="s">
        <v>1467</v>
      </c>
      <c r="B4" s="4" t="s">
        <v>1468</v>
      </c>
      <c r="C4" s="4" t="s">
        <v>1469</v>
      </c>
      <c r="D4" s="4" t="s">
        <v>1470</v>
      </c>
      <c r="E4" s="4" t="s">
        <v>1471</v>
      </c>
      <c r="F4" s="4" t="s">
        <v>1472</v>
      </c>
    </row>
    <row r="5">
      <c r="A5" s="1" t="s">
        <v>1473</v>
      </c>
      <c r="B5" s="1" t="s">
        <v>1474</v>
      </c>
      <c r="C5" s="1" t="s">
        <v>1475</v>
      </c>
      <c r="D5" s="1" t="s">
        <v>1476</v>
      </c>
      <c r="E5" s="1" t="s">
        <v>1477</v>
      </c>
      <c r="F5" s="100"/>
    </row>
    <row r="6">
      <c r="A6" s="1" t="s">
        <v>1478</v>
      </c>
      <c r="B6" s="1" t="s">
        <v>1479</v>
      </c>
      <c r="C6" s="1" t="s">
        <v>1480</v>
      </c>
      <c r="D6" s="1" t="s">
        <v>1481</v>
      </c>
      <c r="E6" s="1"/>
      <c r="F6" s="99"/>
    </row>
    <row r="7">
      <c r="A7" s="1" t="s">
        <v>1482</v>
      </c>
      <c r="B7" s="1" t="s">
        <v>1483</v>
      </c>
      <c r="C7" s="1" t="s">
        <v>1484</v>
      </c>
      <c r="D7" s="1" t="s">
        <v>1485</v>
      </c>
      <c r="E7" s="1"/>
      <c r="F7" s="97"/>
    </row>
    <row r="8">
      <c r="A8" s="1" t="s">
        <v>1486</v>
      </c>
      <c r="B8" s="1" t="s">
        <v>1487</v>
      </c>
      <c r="C8" s="1" t="s">
        <v>1488</v>
      </c>
      <c r="D8" s="1" t="s">
        <v>1489</v>
      </c>
      <c r="E8" s="1"/>
      <c r="F8" s="94"/>
    </row>
    <row r="9">
      <c r="A9" s="1" t="s">
        <v>1490</v>
      </c>
      <c r="B9" s="1" t="s">
        <v>1491</v>
      </c>
      <c r="C9" s="1" t="s">
        <v>1492</v>
      </c>
      <c r="D9" s="1" t="s">
        <v>1493</v>
      </c>
      <c r="E9" s="1" t="s">
        <v>1494</v>
      </c>
      <c r="F9" s="92"/>
    </row>
    <row r="10">
      <c r="A10" s="1" t="s">
        <v>1495</v>
      </c>
      <c r="B10" s="1" t="s">
        <v>1496</v>
      </c>
      <c r="C10" s="1" t="s">
        <v>1497</v>
      </c>
      <c r="D10" s="1" t="s">
        <v>1498</v>
      </c>
      <c r="E10" s="1"/>
      <c r="F10" s="90"/>
    </row>
    <row r="11">
      <c r="A11" s="1" t="s">
        <v>1499</v>
      </c>
      <c r="B11" s="1" t="s">
        <v>1500</v>
      </c>
      <c r="C11" s="1" t="s">
        <v>1501</v>
      </c>
      <c r="D11" s="1" t="s">
        <v>1502</v>
      </c>
      <c r="E11" s="1"/>
      <c r="F11" s="87"/>
    </row>
    <row r="12">
      <c r="A12" s="1" t="s">
        <v>1503</v>
      </c>
      <c r="B12" s="1" t="s">
        <v>1504</v>
      </c>
      <c r="C12" s="1" t="s">
        <v>1475</v>
      </c>
      <c r="D12" s="1" t="s">
        <v>1476</v>
      </c>
      <c r="E12" s="1"/>
      <c r="F12" s="100"/>
    </row>
    <row r="13">
      <c r="A13" s="1" t="s">
        <v>1505</v>
      </c>
      <c r="B13" s="1" t="s">
        <v>1506</v>
      </c>
      <c r="C13" s="1" t="s">
        <v>1507</v>
      </c>
      <c r="D13" s="1" t="s">
        <v>1508</v>
      </c>
      <c r="E13" s="1"/>
      <c r="F13" s="98"/>
    </row>
    <row r="14">
      <c r="A14" s="1" t="s">
        <v>1509</v>
      </c>
      <c r="B14" s="1" t="s">
        <v>1510</v>
      </c>
      <c r="C14" s="1" t="s">
        <v>1511</v>
      </c>
      <c r="D14" s="1" t="s">
        <v>1512</v>
      </c>
      <c r="E14" s="1" t="s">
        <v>1513</v>
      </c>
      <c r="F14" s="95"/>
    </row>
    <row r="15">
      <c r="A15" s="1" t="s">
        <v>1514</v>
      </c>
      <c r="B15" s="1" t="s">
        <v>1515</v>
      </c>
      <c r="C15" s="1" t="s">
        <v>1516</v>
      </c>
      <c r="D15" s="1" t="s">
        <v>1512</v>
      </c>
      <c r="E15" s="1" t="s">
        <v>1517</v>
      </c>
      <c r="F15" s="93"/>
    </row>
    <row r="16">
      <c r="A16" s="1" t="s">
        <v>1518</v>
      </c>
      <c r="B16" s="1" t="s">
        <v>1519</v>
      </c>
      <c r="C16" s="1" t="s">
        <v>1520</v>
      </c>
      <c r="D16" s="1" t="s">
        <v>1512</v>
      </c>
      <c r="E16" s="1" t="s">
        <v>1521</v>
      </c>
      <c r="F16" s="91"/>
    </row>
    <row r="17">
      <c r="A17" s="1" t="s">
        <v>1522</v>
      </c>
      <c r="B17" s="1" t="s">
        <v>1523</v>
      </c>
      <c r="C17" s="1" t="s">
        <v>1524</v>
      </c>
      <c r="D17" s="1" t="s">
        <v>1512</v>
      </c>
      <c r="E17" s="1"/>
      <c r="F17" s="88"/>
    </row>
  </sheetData>
</worksheet>
</file>

<file path=xl/worksheets/sheet24.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41" t="s">
        <v>1525</v>
      </c>
      <c r="B1" s="41" t="s">
        <v>1526</v>
      </c>
      <c r="C1" s="41" t="s">
        <v>1527</v>
      </c>
      <c r="D1" s="41" t="s">
        <v>1528</v>
      </c>
      <c r="E1" s="41" t="s">
        <v>1529</v>
      </c>
      <c r="F1" s="41" t="s">
        <v>1530</v>
      </c>
    </row>
    <row r="2">
      <c r="A2" s="115">
        <v>1</v>
      </c>
      <c r="B2" s="116">
        <v>46324.35933334491</v>
      </c>
      <c r="C2" s="115" t="s">
        <v>1531</v>
      </c>
      <c r="D2" s="115" t="s">
        <v>1532</v>
      </c>
      <c r="E2" s="115" t="s">
        <v>1533</v>
      </c>
      <c r="F2" s="115" t="s">
        <v>1534</v>
      </c>
    </row>
  </sheetData>
</worksheet>
</file>