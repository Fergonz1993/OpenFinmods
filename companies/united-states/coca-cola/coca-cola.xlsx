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Calc"/>
  <workbookPr/>
  <workbookProtection/>
  <bookViews>
    <workbookView xWindow="0" yWindow="0" windowWidth="16384" windowHeight="8192" tabRatio="600"/>
  </bookViews>
  <sheets>
    <sheet name="00_Cover" sheetId="1" r:id="rId3"/>
    <sheet name="Sources" sheetId="2" r:id="rId4"/>
    <sheet name="Historical" sheetId="3" r:id="rId5"/>
    <sheet name="Assumptions" sheetId="4" r:id="rId6"/>
    <sheet name="Forecast" sheetId="5" r:id="rId7"/>
    <sheet name="Valuation" sheetId="6" r:id="rId8"/>
    <sheet name="Sensitivity" sheetId="7" r:id="rId9"/>
    <sheet name="Checks" sheetId="8" r:id="rId10"/>
    <sheet name="Sector_KPIs" sheetId="9" r:id="rId11"/>
    <sheet name="Change_Log" sheetId="10" r:id="rId12"/>
    <sheet name="Gate_9of10" sheetId="11" r:id="rId13"/>
    <sheet name="IS_Hist" sheetId="12" r:id="rId15"/>
    <sheet name="BS_Hist" sheetId="13" r:id="rId16"/>
    <sheet name="CF_Hist" sheetId="14" r:id="rId17"/>
    <sheet name="Checks_TieOut" sheetId="15" r:id="rId18"/>
    <sheet name="Sources_Audited" sheetId="16" r:id="rId19"/>
    <sheet name="Forecast_IG" sheetId="17" r:id="rId20"/>
    <sheet name="Drivers_MDA" sheetId="18" r:id="rId21"/>
    <sheet name="Market_Package" sheetId="19" r:id="rId22"/>
    <sheet name="Claude Code Log" sheetId="20" r:id="rId23"/>
  </sheets>
  <calcPr calcId="0" iterateCount="100" iterateDelta="0.001"/>
  <extLst>
    <ext xmlns:loext="http://schemas.libreoffice.org/" uri="{7626C862-2A13-11E5-B345-FEFF819CDC9F}">
      <loext:extCalcPr stringRefSyntax="CalcA1ExcelA1"/>
    </ext>
  </extLst>
</workbook>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tc={24A41B32-B48F-EFB2-5165-856737A1BAEC}</author>
    <author>tc={83FDA24F-AAA4-239F-13F9-8697A5260908}</author>
    <author>tc={F88603BA-9A28-75B0-E329-521E0805AABA}</author>
    <author>tc={413A55EA-7957-E12C-B3F1-3734CA6904EC}</author>
    <author>tc={7839D58A-ED5F-673F-BE93-2D78ECFE4CEE}</author>
    <author>tc={2F8C8216-B60E-66F4-EC6A-FF6A921B0FB3}</author>
    <author>tc={5BB7B670-4C1C-41F0-B68D-5715572C4A2A}</author>
    <author>tc={D7260695-F41A-AD11-BCA6-C765759B325C}</author>
    <author>tc={FA6E02D2-BABB-027D-BADD-954FA2118001}</author>
    <author>tc={AB444EB3-5E74-2132-7C7A-A638AC30D8B9}</author>
    <author>tc={7C6E0F8D-3CBD-70BD-52CE-50662B1C4842}</author>
    <author>tc={DFCF2BF8-2ED9-05C2-7156-4CCCE9C4B81C}</author>
    <author>tc={93B38CB4-472D-A5DD-9A68-1B59CDF8D243}</author>
    <author>tc={2C3EB2FE-40F1-F79A-3BB8-18C48E24794B}</author>
    <author>tc={E0979AC0-5EBA-1840-34B2-82D980A8194A}</author>
    <author>tc={179770CC-EB46-9778-74E8-74ABC4492469}</author>
    <author>tc={A9D1D0F0-CEB2-7FBF-162D-D14DDC8CE4EF}</author>
    <author>tc={67E619AF-B00E-4446-740A-30060EAC923D}</author>
    <author>tc={90985416-0BAB-6C1B-740C-1FAB5813E394}</author>
    <author>tc={C4A45FE3-2B8B-36BC-D854-E125F3C3BBA5}</author>
    <author>tc={6C849AA5-9CD0-2AD2-3F1C-4D9E697F8A36}</author>
    <author>tc={ADC17164-0523-C4D7-8445-B1881A3831A2}</author>
    <author>tc={EBE1E323-A425-A58C-8AD4-528FC25FFA12}</author>
    <author>tc={3D0890EA-BB82-8147-1622-2D4D8866BC36}</author>
    <author>tc={50005F2F-6F6E-D4EB-E381-1FC9E1CA9CBA}</author>
    <author>tc={A608F5C2-3A14-800B-4DFC-B96B4C998EEC}</author>
    <author>tc={666FF48E-4BD5-6C94-68AB-F6FF0384F935}</author>
    <author>tc={A758DB69-566A-835F-9D27-84EA7E92CC4A}</author>
    <author>tc={CE1A477B-C741-F6BE-F767-3A5DA11A45E3}</author>
    <author>tc={BD074FA9-4FA9-F11F-22C2-983484A8BB88}</author>
    <author>tc={4B68B64B-136F-F9C9-8CEC-2CD01276FE18}</author>
    <author>tc={0BEDD33B-E6A3-3ADB-12DF-206BE66FA850}</author>
    <author>tc={D5B530A0-57A3-0990-F78A-05145187BEFA}</author>
    <author>tc={2E85D2DC-F4E8-8421-535C-987375C9F5B0}</author>
    <author>tc={495C3D8C-C7B7-3A06-D5C5-FDCC46404388}</author>
    <author>tc={DE0FDE5A-9CE2-D57D-B915-65035D28E33B}</author>
    <author>tc={734943DE-D098-1C72-EA16-026A46E79DF8}</author>
    <author>tc={C7C4C81E-28FA-3975-E27B-D21F8CA02B84}</author>
    <author>tc={C84CE4C7-8DF1-56F3-EC96-5EB2AD517E36}</author>
    <author>tc={284EA2B3-510D-836F-C67A-75F66714D3BF}</author>
    <author>tc={D2AB67E7-5B50-7D0C-6C35-EACB93F13A4F}</author>
    <author>tc={F382DFB9-4F38-749F-027D-8CE11592954A}</author>
    <author>tc={EBC24FFB-34AF-C8CF-7CFF-3B031D95129B}</author>
    <author>tc={F4B5D2E2-0FA0-EEFC-DE72-695C3966FE2D}</author>
    <author>tc={08F660D1-E8FB-7155-68D8-CB4108B40CCF}</author>
    <author>tc={0B5F96FF-1B79-1A3F-CF6E-E357820C3E56}</author>
    <author>tc={D95B799A-EF26-3F8E-46D8-50C82E00E38A}</author>
    <author>tc={37047290-FDA9-B884-565C-CE8296D53851}</author>
    <author>tc={A784EFF4-4BF6-477D-9838-ADA569706A38}</author>
    <author>tc={26836AA9-3AD4-D65B-8265-6B8EA4205DC6}</author>
    <author>tc={3D152FE1-26D2-A462-77A2-532242A34CB8}</author>
    <author>tc={344987BF-FDBE-881E-30CF-B25CCD332B66}</author>
    <author>tc={C1BAB1ED-31AD-317C-5E72-E08871F8B4B4}</author>
  </authors>
  <commentList>
    <comment ref="B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Historical!B5. SEC Company Facts / 10-K; exact accession, tag, filed date, scale and sign are stated there.</t>
        </r>
      </text>
      <commentPr locked="0" textHAlign="justify" textVAlign="top">
        <anchor>
          <from>
            <xdr:col>1</xdr:col>
            <xdr:colOff>15</xdr:colOff>
            <xdr:row>4</xdr:row>
            <xdr:rowOff>2</xdr:rowOff>
          </from>
          <to>
            <xdr:col>3</xdr:col>
            <xdr:colOff>15</xdr:colOff>
            <xdr:row>8</xdr:row>
            <xdr:rowOff>2</xdr:rowOff>
          </to>
        </anchor>
      </commentPr>
    </comment>
    <comment ref="B6"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Historical!B6. SEC Company Facts / 10-K; exact accession, tag, filed date, scale and sign are stated there.</t>
        </r>
      </text>
      <commentPr locked="0" textHAlign="justify" textVAlign="top">
        <anchor>
          <from>
            <xdr:col>1</xdr:col>
            <xdr:colOff>15</xdr:colOff>
            <xdr:row>5</xdr:row>
            <xdr:rowOff>2</xdr:rowOff>
          </from>
          <to>
            <xdr:col>3</xdr:col>
            <xdr:colOff>15</xdr:colOff>
            <xdr:row>9</xdr:row>
            <xdr:rowOff>2</xdr:rowOff>
          </to>
        </anchor>
      </commentPr>
    </comment>
    <comment ref="B7" authorId="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Historical!B7. SEC Company Facts / 10-K; exact accession, tag, filed date, scale and sign are stated there.</t>
        </r>
      </text>
      <commentPr locked="0" textHAlign="justify" textVAlign="top">
        <anchor>
          <from>
            <xdr:col>1</xdr:col>
            <xdr:colOff>15</xdr:colOff>
            <xdr:row>6</xdr:row>
            <xdr:rowOff>2</xdr:rowOff>
          </from>
          <to>
            <xdr:col>3</xdr:col>
            <xdr:colOff>15</xdr:colOff>
            <xdr:row>10</xdr:row>
            <xdr:rowOff>2</xdr:rowOff>
          </to>
        </anchor>
      </commentPr>
    </comment>
    <comment ref="B8" authorId="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Historical!B8. SEC Company Facts / 10-K; exact accession, tag, filed date, scale and sign are stated there.</t>
        </r>
      </text>
      <commentPr locked="0" textHAlign="justify" textVAlign="top">
        <anchor>
          <from>
            <xdr:col>1</xdr:col>
            <xdr:colOff>15</xdr:colOff>
            <xdr:row>7</xdr:row>
            <xdr:rowOff>2</xdr:rowOff>
          </from>
          <to>
            <xdr:col>3</xdr:col>
            <xdr:colOff>15</xdr:colOff>
            <xdr:row>11</xdr:row>
            <xdr:rowOff>2</xdr:rowOff>
          </to>
        </anchor>
      </commentPr>
    </comment>
    <comment ref="B9" authorId="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Historical!B9. SEC Company Facts / 10-K; exact accession, tag, filed date, scale and sign are stated there.</t>
        </r>
      </text>
      <commentPr locked="0" textHAlign="justify" textVAlign="top">
        <anchor>
          <from>
            <xdr:col>1</xdr:col>
            <xdr:colOff>15</xdr:colOff>
            <xdr:row>8</xdr:row>
            <xdr:rowOff>2</xdr:rowOff>
          </from>
          <to>
            <xdr:col>3</xdr:col>
            <xdr:colOff>15</xdr:colOff>
            <xdr:row>12</xdr:row>
            <xdr:rowOff>2</xdr:rowOff>
          </to>
        </anchor>
      </commentPr>
    </comment>
    <comment ref="B10" authorId="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Historical!B10. SEC Company Facts / 10-K; exact accession, tag, filed date, scale and sign are stated there.</t>
        </r>
      </text>
      <commentPr locked="0" textHAlign="justify" textVAlign="top">
        <anchor>
          <from>
            <xdr:col>1</xdr:col>
            <xdr:colOff>15</xdr:colOff>
            <xdr:row>9</xdr:row>
            <xdr:rowOff>2</xdr:rowOff>
          </from>
          <to>
            <xdr:col>3</xdr:col>
            <xdr:colOff>15</xdr:colOff>
            <xdr:row>13</xdr:row>
            <xdr:rowOff>2</xdr:rowOff>
          </to>
        </anchor>
      </commentPr>
    </comment>
    <comment ref="B11" authorId="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Historical!B11. SEC Company Facts / 10-K; exact accession, tag, filed date, scale and sign are stated there.</t>
        </r>
      </text>
      <commentPr locked="0" textHAlign="justify" textVAlign="top">
        <anchor>
          <from>
            <xdr:col>1</xdr:col>
            <xdr:colOff>15</xdr:colOff>
            <xdr:row>10</xdr:row>
            <xdr:rowOff>2</xdr:rowOff>
          </from>
          <to>
            <xdr:col>3</xdr:col>
            <xdr:colOff>15</xdr:colOff>
            <xdr:row>14</xdr:row>
            <xdr:rowOff>2</xdr:rowOff>
          </to>
        </anchor>
      </commentPr>
    </comment>
    <comment ref="B12" authorId="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Historical!B12. SEC Company Facts / 10-K; exact accession, tag, filed date, scale and sign are stated there.</t>
        </r>
      </text>
      <commentPr locked="0" textHAlign="justify" textVAlign="top">
        <anchor>
          <from>
            <xdr:col>1</xdr:col>
            <xdr:colOff>15</xdr:colOff>
            <xdr:row>11</xdr:row>
            <xdr:rowOff>2</xdr:rowOff>
          </from>
          <to>
            <xdr:col>3</xdr:col>
            <xdr:colOff>15</xdr:colOff>
            <xdr:row>15</xdr:row>
            <xdr:rowOff>2</xdr:rowOff>
          </to>
        </anchor>
      </commentPr>
    </comment>
    <comment ref="B13" authorId="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Historical!B13. SEC Company Facts / 10-K; exact accession, tag, filed date, scale and sign are stated there.</t>
        </r>
      </text>
      <commentPr locked="0" textHAlign="justify" textVAlign="top">
        <anchor>
          <from>
            <xdr:col>1</xdr:col>
            <xdr:colOff>15</xdr:colOff>
            <xdr:row>12</xdr:row>
            <xdr:rowOff>2</xdr:rowOff>
          </from>
          <to>
            <xdr:col>3</xdr:col>
            <xdr:colOff>15</xdr:colOff>
            <xdr:row>16</xdr:row>
            <xdr:rowOff>2</xdr:rowOff>
          </to>
        </anchor>
      </commentPr>
    </comment>
    <comment ref="B15" authorId="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Historical!B15. SEC Company Facts / 10-K; exact accession, tag, filed date, scale and sign are stated there.</t>
        </r>
      </text>
      <commentPr locked="0" textHAlign="justify" textVAlign="top">
        <anchor>
          <from>
            <xdr:col>1</xdr:col>
            <xdr:colOff>15</xdr:colOff>
            <xdr:row>14</xdr:row>
            <xdr:rowOff>2</xdr:rowOff>
          </from>
          <to>
            <xdr:col>3</xdr:col>
            <xdr:colOff>15</xdr:colOff>
            <xdr:row>18</xdr:row>
            <xdr:rowOff>2</xdr:rowOff>
          </to>
        </anchor>
      </commentPr>
    </comment>
    <comment ref="C5" authorId="1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Historical!C5. SEC Company Facts / 10-K; exact accession, tag, filed date, scale and sign are stated there.</t>
        </r>
      </text>
      <commentPr locked="0" textHAlign="justify" textVAlign="top">
        <anchor>
          <from>
            <xdr:col>2</xdr:col>
            <xdr:colOff>15</xdr:colOff>
            <xdr:row>4</xdr:row>
            <xdr:rowOff>2</xdr:rowOff>
          </from>
          <to>
            <xdr:col>4</xdr:col>
            <xdr:colOff>15</xdr:colOff>
            <xdr:row>8</xdr:row>
            <xdr:rowOff>2</xdr:rowOff>
          </to>
        </anchor>
      </commentPr>
    </comment>
    <comment ref="C6" authorId="1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Historical!C6. SEC Company Facts / 10-K; exact accession, tag, filed date, scale and sign are stated there.</t>
        </r>
      </text>
      <commentPr locked="0" textHAlign="justify" textVAlign="top">
        <anchor>
          <from>
            <xdr:col>2</xdr:col>
            <xdr:colOff>15</xdr:colOff>
            <xdr:row>5</xdr:row>
            <xdr:rowOff>2</xdr:rowOff>
          </from>
          <to>
            <xdr:col>4</xdr:col>
            <xdr:colOff>15</xdr:colOff>
            <xdr:row>9</xdr:row>
            <xdr:rowOff>2</xdr:rowOff>
          </to>
        </anchor>
      </commentPr>
    </comment>
    <comment ref="C7" authorId="1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Historical!C7. SEC Company Facts / 10-K; exact accession, tag, filed date, scale and sign are stated there.</t>
        </r>
      </text>
      <commentPr locked="0" textHAlign="justify" textVAlign="top">
        <anchor>
          <from>
            <xdr:col>2</xdr:col>
            <xdr:colOff>15</xdr:colOff>
            <xdr:row>6</xdr:row>
            <xdr:rowOff>2</xdr:rowOff>
          </from>
          <to>
            <xdr:col>4</xdr:col>
            <xdr:colOff>15</xdr:colOff>
            <xdr:row>10</xdr:row>
            <xdr:rowOff>2</xdr:rowOff>
          </to>
        </anchor>
      </commentPr>
    </comment>
    <comment ref="C8" authorId="1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Historical!C8. SEC Company Facts / 10-K; exact accession, tag, filed date, scale and sign are stated there.</t>
        </r>
      </text>
      <commentPr locked="0" textHAlign="justify" textVAlign="top">
        <anchor>
          <from>
            <xdr:col>2</xdr:col>
            <xdr:colOff>15</xdr:colOff>
            <xdr:row>7</xdr:row>
            <xdr:rowOff>2</xdr:rowOff>
          </from>
          <to>
            <xdr:col>4</xdr:col>
            <xdr:colOff>15</xdr:colOff>
            <xdr:row>11</xdr:row>
            <xdr:rowOff>2</xdr:rowOff>
          </to>
        </anchor>
      </commentPr>
    </comment>
    <comment ref="C9" authorId="1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Historical!C9. SEC Company Facts / 10-K; exact accession, tag, filed date, scale and sign are stated there.</t>
        </r>
      </text>
      <commentPr locked="0" textHAlign="justify" textVAlign="top">
        <anchor>
          <from>
            <xdr:col>2</xdr:col>
            <xdr:colOff>15</xdr:colOff>
            <xdr:row>8</xdr:row>
            <xdr:rowOff>2</xdr:rowOff>
          </from>
          <to>
            <xdr:col>4</xdr:col>
            <xdr:colOff>15</xdr:colOff>
            <xdr:row>12</xdr:row>
            <xdr:rowOff>2</xdr:rowOff>
          </to>
        </anchor>
      </commentPr>
    </comment>
    <comment ref="C10" authorId="1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Historical!C10. SEC Company Facts / 10-K; exact accession, tag, filed date, scale and sign are stated there.</t>
        </r>
      </text>
      <commentPr locked="0" textHAlign="justify" textVAlign="top">
        <anchor>
          <from>
            <xdr:col>2</xdr:col>
            <xdr:colOff>15</xdr:colOff>
            <xdr:row>9</xdr:row>
            <xdr:rowOff>2</xdr:rowOff>
          </from>
          <to>
            <xdr:col>4</xdr:col>
            <xdr:colOff>15</xdr:colOff>
            <xdr:row>13</xdr:row>
            <xdr:rowOff>2</xdr:rowOff>
          </to>
        </anchor>
      </commentPr>
    </comment>
    <comment ref="C11" authorId="1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Historical!C11. SEC Company Facts / 10-K; exact accession, tag, filed date, scale and sign are stated there.</t>
        </r>
      </text>
      <commentPr locked="0" textHAlign="justify" textVAlign="top">
        <anchor>
          <from>
            <xdr:col>2</xdr:col>
            <xdr:colOff>15</xdr:colOff>
            <xdr:row>10</xdr:row>
            <xdr:rowOff>2</xdr:rowOff>
          </from>
          <to>
            <xdr:col>4</xdr:col>
            <xdr:colOff>15</xdr:colOff>
            <xdr:row>14</xdr:row>
            <xdr:rowOff>2</xdr:rowOff>
          </to>
        </anchor>
      </commentPr>
    </comment>
    <comment ref="C12" authorId="1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Historical!C12. SEC Company Facts / 10-K; exact accession, tag, filed date, scale and sign are stated there.</t>
        </r>
      </text>
      <commentPr locked="0" textHAlign="justify" textVAlign="top">
        <anchor>
          <from>
            <xdr:col>2</xdr:col>
            <xdr:colOff>15</xdr:colOff>
            <xdr:row>11</xdr:row>
            <xdr:rowOff>2</xdr:rowOff>
          </from>
          <to>
            <xdr:col>4</xdr:col>
            <xdr:colOff>15</xdr:colOff>
            <xdr:row>15</xdr:row>
            <xdr:rowOff>2</xdr:rowOff>
          </to>
        </anchor>
      </commentPr>
    </comment>
    <comment ref="C13" authorId="1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Historical!C13. SEC Company Facts / 10-K; exact accession, tag, filed date, scale and sign are stated there.</t>
        </r>
      </text>
      <commentPr locked="0" textHAlign="justify" textVAlign="top">
        <anchor>
          <from>
            <xdr:col>2</xdr:col>
            <xdr:colOff>15</xdr:colOff>
            <xdr:row>12</xdr:row>
            <xdr:rowOff>2</xdr:rowOff>
          </from>
          <to>
            <xdr:col>4</xdr:col>
            <xdr:colOff>15</xdr:colOff>
            <xdr:row>16</xdr:row>
            <xdr:rowOff>2</xdr:rowOff>
          </to>
        </anchor>
      </commentPr>
    </comment>
    <comment ref="C15" authorId="1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Historical!C15. SEC Company Facts / 10-K; exact accession, tag, filed date, scale and sign are stated there.</t>
        </r>
      </text>
      <commentPr locked="0" textHAlign="justify" textVAlign="top">
        <anchor>
          <from>
            <xdr:col>2</xdr:col>
            <xdr:colOff>15</xdr:colOff>
            <xdr:row>14</xdr:row>
            <xdr:rowOff>2</xdr:rowOff>
          </from>
          <to>
            <xdr:col>4</xdr:col>
            <xdr:colOff>15</xdr:colOff>
            <xdr:row>18</xdr:row>
            <xdr:rowOff>2</xdr:rowOff>
          </to>
        </anchor>
      </commentPr>
    </comment>
    <comment ref="D5" authorId="2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Historical!D5. SEC Company Facts / 10-K; exact accession, tag, filed date, scale and sign are stated there.</t>
        </r>
      </text>
      <commentPr locked="0" textHAlign="justify" textVAlign="top">
        <anchor>
          <from>
            <xdr:col>3</xdr:col>
            <xdr:colOff>15</xdr:colOff>
            <xdr:row>4</xdr:row>
            <xdr:rowOff>2</xdr:rowOff>
          </from>
          <to>
            <xdr:col>5</xdr:col>
            <xdr:colOff>15</xdr:colOff>
            <xdr:row>8</xdr:row>
            <xdr:rowOff>2</xdr:rowOff>
          </to>
        </anchor>
      </commentPr>
    </comment>
    <comment ref="D6" authorId="2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Historical!D6. SEC Company Facts / 10-K; exact accession, tag, filed date, scale and sign are stated there.</t>
        </r>
      </text>
      <commentPr locked="0" textHAlign="justify" textVAlign="top">
        <anchor>
          <from>
            <xdr:col>3</xdr:col>
            <xdr:colOff>15</xdr:colOff>
            <xdr:row>5</xdr:row>
            <xdr:rowOff>2</xdr:rowOff>
          </from>
          <to>
            <xdr:col>5</xdr:col>
            <xdr:colOff>15</xdr:colOff>
            <xdr:row>9</xdr:row>
            <xdr:rowOff>2</xdr:rowOff>
          </to>
        </anchor>
      </commentPr>
    </comment>
    <comment ref="D7" authorId="2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Historical!D7. SEC Company Facts / 10-K; exact accession, tag, filed date, scale and sign are stated there.</t>
        </r>
      </text>
      <commentPr locked="0" textHAlign="justify" textVAlign="top">
        <anchor>
          <from>
            <xdr:col>3</xdr:col>
            <xdr:colOff>15</xdr:colOff>
            <xdr:row>6</xdr:row>
            <xdr:rowOff>2</xdr:rowOff>
          </from>
          <to>
            <xdr:col>5</xdr:col>
            <xdr:colOff>15</xdr:colOff>
            <xdr:row>10</xdr:row>
            <xdr:rowOff>2</xdr:rowOff>
          </to>
        </anchor>
      </commentPr>
    </comment>
    <comment ref="D8" authorId="2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Historical!D8. SEC Company Facts / 10-K; exact accession, tag, filed date, scale and sign are stated there.</t>
        </r>
      </text>
      <commentPr locked="0" textHAlign="justify" textVAlign="top">
        <anchor>
          <from>
            <xdr:col>3</xdr:col>
            <xdr:colOff>15</xdr:colOff>
            <xdr:row>7</xdr:row>
            <xdr:rowOff>2</xdr:rowOff>
          </from>
          <to>
            <xdr:col>5</xdr:col>
            <xdr:colOff>15</xdr:colOff>
            <xdr:row>11</xdr:row>
            <xdr:rowOff>2</xdr:rowOff>
          </to>
        </anchor>
      </commentPr>
    </comment>
    <comment ref="D9" authorId="2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Historical!D9. SEC Company Facts / 10-K; exact accession, tag, filed date, scale and sign are stated there.</t>
        </r>
      </text>
      <commentPr locked="0" textHAlign="justify" textVAlign="top">
        <anchor>
          <from>
            <xdr:col>3</xdr:col>
            <xdr:colOff>15</xdr:colOff>
            <xdr:row>8</xdr:row>
            <xdr:rowOff>2</xdr:rowOff>
          </from>
          <to>
            <xdr:col>5</xdr:col>
            <xdr:colOff>15</xdr:colOff>
            <xdr:row>12</xdr:row>
            <xdr:rowOff>2</xdr:rowOff>
          </to>
        </anchor>
      </commentPr>
    </comment>
    <comment ref="D10" authorId="2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Historical!D10. SEC Company Facts / 10-K; exact accession, tag, filed date, scale and sign are stated there.</t>
        </r>
      </text>
      <commentPr locked="0" textHAlign="justify" textVAlign="top">
        <anchor>
          <from>
            <xdr:col>3</xdr:col>
            <xdr:colOff>15</xdr:colOff>
            <xdr:row>9</xdr:row>
            <xdr:rowOff>2</xdr:rowOff>
          </from>
          <to>
            <xdr:col>5</xdr:col>
            <xdr:colOff>15</xdr:colOff>
            <xdr:row>13</xdr:row>
            <xdr:rowOff>2</xdr:rowOff>
          </to>
        </anchor>
      </commentPr>
    </comment>
    <comment ref="D11" authorId="2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Historical!D11. SEC Company Facts / 10-K; exact accession, tag, filed date, scale and sign are stated there.</t>
        </r>
      </text>
      <commentPr locked="0" textHAlign="justify" textVAlign="top">
        <anchor>
          <from>
            <xdr:col>3</xdr:col>
            <xdr:colOff>15</xdr:colOff>
            <xdr:row>10</xdr:row>
            <xdr:rowOff>2</xdr:rowOff>
          </from>
          <to>
            <xdr:col>5</xdr:col>
            <xdr:colOff>15</xdr:colOff>
            <xdr:row>14</xdr:row>
            <xdr:rowOff>2</xdr:rowOff>
          </to>
        </anchor>
      </commentPr>
    </comment>
    <comment ref="D12" authorId="2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Historical!D12. SEC Company Facts / 10-K; exact accession, tag, filed date, scale and sign are stated there.</t>
        </r>
      </text>
      <commentPr locked="0" textHAlign="justify" textVAlign="top">
        <anchor>
          <from>
            <xdr:col>3</xdr:col>
            <xdr:colOff>15</xdr:colOff>
            <xdr:row>11</xdr:row>
            <xdr:rowOff>2</xdr:rowOff>
          </from>
          <to>
            <xdr:col>5</xdr:col>
            <xdr:colOff>15</xdr:colOff>
            <xdr:row>15</xdr:row>
            <xdr:rowOff>2</xdr:rowOff>
          </to>
        </anchor>
      </commentPr>
    </comment>
    <comment ref="D13" authorId="2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Historical!D13. SEC Company Facts / 10-K; exact accession, tag, filed date, scale and sign are stated there.</t>
        </r>
      </text>
      <commentPr locked="0" textHAlign="justify" textVAlign="top">
        <anchor>
          <from>
            <xdr:col>3</xdr:col>
            <xdr:colOff>15</xdr:colOff>
            <xdr:row>12</xdr:row>
            <xdr:rowOff>2</xdr:rowOff>
          </from>
          <to>
            <xdr:col>5</xdr:col>
            <xdr:colOff>15</xdr:colOff>
            <xdr:row>16</xdr:row>
            <xdr:rowOff>2</xdr:rowOff>
          </to>
        </anchor>
      </commentPr>
    </comment>
    <comment ref="D14" authorId="2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Historical!D14. SEC Company Facts / 10-K; exact accession, tag, filed date, scale and sign are stated there.</t>
        </r>
      </text>
      <commentPr locked="0" textHAlign="justify" textVAlign="top">
        <anchor>
          <from>
            <xdr:col>3</xdr:col>
            <xdr:colOff>15</xdr:colOff>
            <xdr:row>13</xdr:row>
            <xdr:rowOff>2</xdr:rowOff>
          </from>
          <to>
            <xdr:col>5</xdr:col>
            <xdr:colOff>15</xdr:colOff>
            <xdr:row>17</xdr:row>
            <xdr:rowOff>2</xdr:rowOff>
          </to>
        </anchor>
      </commentPr>
    </comment>
    <comment ref="D15" authorId="3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Historical!D15. SEC Company Facts / 10-K; exact accession, tag, filed date, scale and sign are stated there.</t>
        </r>
      </text>
      <commentPr locked="0" textHAlign="justify" textVAlign="top">
        <anchor>
          <from>
            <xdr:col>3</xdr:col>
            <xdr:colOff>15</xdr:colOff>
            <xdr:row>14</xdr:row>
            <xdr:rowOff>2</xdr:rowOff>
          </from>
          <to>
            <xdr:col>5</xdr:col>
            <xdr:colOff>15</xdr:colOff>
            <xdr:row>18</xdr:row>
            <xdr:rowOff>2</xdr:rowOff>
          </to>
        </anchor>
      </commentPr>
    </comment>
    <comment ref="E5" authorId="3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Historical!E5. SEC Company Facts / 10-K; exact accession, tag, filed date, scale and sign are stated there.</t>
        </r>
      </text>
      <commentPr locked="0" textHAlign="justify" textVAlign="top">
        <anchor>
          <from>
            <xdr:col>4</xdr:col>
            <xdr:colOff>15</xdr:colOff>
            <xdr:row>4</xdr:row>
            <xdr:rowOff>2</xdr:rowOff>
          </from>
          <to>
            <xdr:col>6</xdr:col>
            <xdr:colOff>15</xdr:colOff>
            <xdr:row>8</xdr:row>
            <xdr:rowOff>2</xdr:rowOff>
          </to>
        </anchor>
      </commentPr>
    </comment>
    <comment ref="E6" authorId="3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Historical!E6. SEC Company Facts / 10-K; exact accession, tag, filed date, scale and sign are stated there.</t>
        </r>
      </text>
      <commentPr locked="0" textHAlign="justify" textVAlign="top">
        <anchor>
          <from>
            <xdr:col>4</xdr:col>
            <xdr:colOff>15</xdr:colOff>
            <xdr:row>5</xdr:row>
            <xdr:rowOff>2</xdr:rowOff>
          </from>
          <to>
            <xdr:col>6</xdr:col>
            <xdr:colOff>15</xdr:colOff>
            <xdr:row>9</xdr:row>
            <xdr:rowOff>2</xdr:rowOff>
          </to>
        </anchor>
      </commentPr>
    </comment>
    <comment ref="E7" authorId="3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Historical!E7. SEC Company Facts / 10-K; exact accession, tag, filed date, scale and sign are stated there.</t>
        </r>
      </text>
      <commentPr locked="0" textHAlign="justify" textVAlign="top">
        <anchor>
          <from>
            <xdr:col>4</xdr:col>
            <xdr:colOff>15</xdr:colOff>
            <xdr:row>6</xdr:row>
            <xdr:rowOff>2</xdr:rowOff>
          </from>
          <to>
            <xdr:col>6</xdr:col>
            <xdr:colOff>15</xdr:colOff>
            <xdr:row>10</xdr:row>
            <xdr:rowOff>2</xdr:rowOff>
          </to>
        </anchor>
      </commentPr>
    </comment>
    <comment ref="E8" authorId="3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Historical!E8. SEC Company Facts / 10-K; exact accession, tag, filed date, scale and sign are stated there.</t>
        </r>
      </text>
      <commentPr locked="0" textHAlign="justify" textVAlign="top">
        <anchor>
          <from>
            <xdr:col>4</xdr:col>
            <xdr:colOff>15</xdr:colOff>
            <xdr:row>7</xdr:row>
            <xdr:rowOff>2</xdr:rowOff>
          </from>
          <to>
            <xdr:col>6</xdr:col>
            <xdr:colOff>15</xdr:colOff>
            <xdr:row>11</xdr:row>
            <xdr:rowOff>2</xdr:rowOff>
          </to>
        </anchor>
      </commentPr>
    </comment>
    <comment ref="E9" authorId="3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Historical!E9. SEC Company Facts / 10-K; exact accession, tag, filed date, scale and sign are stated there.</t>
        </r>
      </text>
      <commentPr locked="0" textHAlign="justify" textVAlign="top">
        <anchor>
          <from>
            <xdr:col>4</xdr:col>
            <xdr:colOff>15</xdr:colOff>
            <xdr:row>8</xdr:row>
            <xdr:rowOff>2</xdr:rowOff>
          </from>
          <to>
            <xdr:col>6</xdr:col>
            <xdr:colOff>15</xdr:colOff>
            <xdr:row>12</xdr:row>
            <xdr:rowOff>2</xdr:rowOff>
          </to>
        </anchor>
      </commentPr>
    </comment>
    <comment ref="E10" authorId="3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Historical!E10. SEC Company Facts / 10-K; exact accession, tag, filed date, scale and sign are stated there.</t>
        </r>
      </text>
      <commentPr locked="0" textHAlign="justify" textVAlign="top">
        <anchor>
          <from>
            <xdr:col>4</xdr:col>
            <xdr:colOff>15</xdr:colOff>
            <xdr:row>9</xdr:row>
            <xdr:rowOff>2</xdr:rowOff>
          </from>
          <to>
            <xdr:col>6</xdr:col>
            <xdr:colOff>15</xdr:colOff>
            <xdr:row>13</xdr:row>
            <xdr:rowOff>2</xdr:rowOff>
          </to>
        </anchor>
      </commentPr>
    </comment>
    <comment ref="E11" authorId="3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Historical!E11. SEC Company Facts / 10-K; exact accession, tag, filed date, scale and sign are stated there.</t>
        </r>
      </text>
      <commentPr locked="0" textHAlign="justify" textVAlign="top">
        <anchor>
          <from>
            <xdr:col>4</xdr:col>
            <xdr:colOff>15</xdr:colOff>
            <xdr:row>10</xdr:row>
            <xdr:rowOff>2</xdr:rowOff>
          </from>
          <to>
            <xdr:col>6</xdr:col>
            <xdr:colOff>15</xdr:colOff>
            <xdr:row>14</xdr:row>
            <xdr:rowOff>2</xdr:rowOff>
          </to>
        </anchor>
      </commentPr>
    </comment>
    <comment ref="E12" authorId="3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Historical!E12. SEC Company Facts / 10-K; exact accession, tag, filed date, scale and sign are stated there.</t>
        </r>
      </text>
      <commentPr locked="0" textHAlign="justify" textVAlign="top">
        <anchor>
          <from>
            <xdr:col>4</xdr:col>
            <xdr:colOff>15</xdr:colOff>
            <xdr:row>11</xdr:row>
            <xdr:rowOff>2</xdr:rowOff>
          </from>
          <to>
            <xdr:col>6</xdr:col>
            <xdr:colOff>15</xdr:colOff>
            <xdr:row>15</xdr:row>
            <xdr:rowOff>2</xdr:rowOff>
          </to>
        </anchor>
      </commentPr>
    </comment>
    <comment ref="E13" authorId="3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Historical!E13. SEC Company Facts / 10-K; exact accession, tag, filed date, scale and sign are stated there.</t>
        </r>
      </text>
      <commentPr locked="0" textHAlign="justify" textVAlign="top">
        <anchor>
          <from>
            <xdr:col>4</xdr:col>
            <xdr:colOff>15</xdr:colOff>
            <xdr:row>12</xdr:row>
            <xdr:rowOff>2</xdr:rowOff>
          </from>
          <to>
            <xdr:col>6</xdr:col>
            <xdr:colOff>15</xdr:colOff>
            <xdr:row>16</xdr:row>
            <xdr:rowOff>2</xdr:rowOff>
          </to>
        </anchor>
      </commentPr>
    </comment>
    <comment ref="E14" authorId="4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Historical!E14. SEC Company Facts / 10-K; exact accession, tag, filed date, scale and sign are stated there.</t>
        </r>
      </text>
      <commentPr locked="0" textHAlign="justify" textVAlign="top">
        <anchor>
          <from>
            <xdr:col>4</xdr:col>
            <xdr:colOff>15</xdr:colOff>
            <xdr:row>13</xdr:row>
            <xdr:rowOff>2</xdr:rowOff>
          </from>
          <to>
            <xdr:col>6</xdr:col>
            <xdr:colOff>15</xdr:colOff>
            <xdr:row>17</xdr:row>
            <xdr:rowOff>2</xdr:rowOff>
          </to>
        </anchor>
      </commentPr>
    </comment>
    <comment ref="E15" authorId="4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Historical!E15. SEC Company Facts / 10-K; exact accession, tag, filed date, scale and sign are stated there.</t>
        </r>
      </text>
      <commentPr locked="0" textHAlign="justify" textVAlign="top">
        <anchor>
          <from>
            <xdr:col>4</xdr:col>
            <xdr:colOff>15</xdr:colOff>
            <xdr:row>14</xdr:row>
            <xdr:rowOff>2</xdr:rowOff>
          </from>
          <to>
            <xdr:col>6</xdr:col>
            <xdr:colOff>15</xdr:colOff>
            <xdr:row>18</xdr:row>
            <xdr:rowOff>2</xdr:rowOff>
          </to>
        </anchor>
      </commentPr>
    </comment>
    <comment ref="F5" authorId="4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Historical!F5. SEC Company Facts / 10-K; exact accession, tag, filed date, scale and sign are stated there.</t>
        </r>
      </text>
      <commentPr locked="0" textHAlign="justify" textVAlign="top">
        <anchor>
          <from>
            <xdr:col>5</xdr:col>
            <xdr:colOff>15</xdr:colOff>
            <xdr:row>4</xdr:row>
            <xdr:rowOff>2</xdr:rowOff>
          </from>
          <to>
            <xdr:col>7</xdr:col>
            <xdr:colOff>15</xdr:colOff>
            <xdr:row>8</xdr:row>
            <xdr:rowOff>2</xdr:rowOff>
          </to>
        </anchor>
      </commentPr>
    </comment>
    <comment ref="F6" authorId="4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Historical!F6. SEC Company Facts / 10-K; exact accession, tag, filed date, scale and sign are stated there.</t>
        </r>
      </text>
      <commentPr locked="0" textHAlign="justify" textVAlign="top">
        <anchor>
          <from>
            <xdr:col>5</xdr:col>
            <xdr:colOff>15</xdr:colOff>
            <xdr:row>5</xdr:row>
            <xdr:rowOff>2</xdr:rowOff>
          </from>
          <to>
            <xdr:col>7</xdr:col>
            <xdr:colOff>15</xdr:colOff>
            <xdr:row>9</xdr:row>
            <xdr:rowOff>2</xdr:rowOff>
          </to>
        </anchor>
      </commentPr>
    </comment>
    <comment ref="F7" authorId="4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Historical!F7. SEC Company Facts / 10-K; exact accession, tag, filed date, scale and sign are stated there.</t>
        </r>
      </text>
      <commentPr locked="0" textHAlign="justify" textVAlign="top">
        <anchor>
          <from>
            <xdr:col>5</xdr:col>
            <xdr:colOff>15</xdr:colOff>
            <xdr:row>6</xdr:row>
            <xdr:rowOff>2</xdr:rowOff>
          </from>
          <to>
            <xdr:col>7</xdr:col>
            <xdr:colOff>15</xdr:colOff>
            <xdr:row>10</xdr:row>
            <xdr:rowOff>2</xdr:rowOff>
          </to>
        </anchor>
      </commentPr>
    </comment>
    <comment ref="F8" authorId="4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Historical!F8. SEC Company Facts / 10-K; exact accession, tag, filed date, scale and sign are stated there.</t>
        </r>
      </text>
      <commentPr locked="0" textHAlign="justify" textVAlign="top">
        <anchor>
          <from>
            <xdr:col>5</xdr:col>
            <xdr:colOff>15</xdr:colOff>
            <xdr:row>7</xdr:row>
            <xdr:rowOff>2</xdr:rowOff>
          </from>
          <to>
            <xdr:col>7</xdr:col>
            <xdr:colOff>15</xdr:colOff>
            <xdr:row>11</xdr:row>
            <xdr:rowOff>2</xdr:rowOff>
          </to>
        </anchor>
      </commentPr>
    </comment>
    <comment ref="F9" authorId="4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Historical!F9. SEC Company Facts / 10-K; exact accession, tag, filed date, scale and sign are stated there.</t>
        </r>
      </text>
      <commentPr locked="0" textHAlign="justify" textVAlign="top">
        <anchor>
          <from>
            <xdr:col>5</xdr:col>
            <xdr:colOff>15</xdr:colOff>
            <xdr:row>8</xdr:row>
            <xdr:rowOff>2</xdr:rowOff>
          </from>
          <to>
            <xdr:col>7</xdr:col>
            <xdr:colOff>15</xdr:colOff>
            <xdr:row>12</xdr:row>
            <xdr:rowOff>2</xdr:rowOff>
          </to>
        </anchor>
      </commentPr>
    </comment>
    <comment ref="F10" authorId="4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Historical!F10. SEC Company Facts / 10-K; exact accession, tag, filed date, scale and sign are stated there.</t>
        </r>
      </text>
      <commentPr locked="0" textHAlign="justify" textVAlign="top">
        <anchor>
          <from>
            <xdr:col>5</xdr:col>
            <xdr:colOff>15</xdr:colOff>
            <xdr:row>9</xdr:row>
            <xdr:rowOff>2</xdr:rowOff>
          </from>
          <to>
            <xdr:col>7</xdr:col>
            <xdr:colOff>15</xdr:colOff>
            <xdr:row>13</xdr:row>
            <xdr:rowOff>2</xdr:rowOff>
          </to>
        </anchor>
      </commentPr>
    </comment>
    <comment ref="F11" authorId="4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Historical!F11. SEC Company Facts / 10-K; exact accession, tag, filed date, scale and sign are stated there.</t>
        </r>
      </text>
      <commentPr locked="0" textHAlign="justify" textVAlign="top">
        <anchor>
          <from>
            <xdr:col>5</xdr:col>
            <xdr:colOff>15</xdr:colOff>
            <xdr:row>10</xdr:row>
            <xdr:rowOff>2</xdr:rowOff>
          </from>
          <to>
            <xdr:col>7</xdr:col>
            <xdr:colOff>15</xdr:colOff>
            <xdr:row>14</xdr:row>
            <xdr:rowOff>2</xdr:rowOff>
          </to>
        </anchor>
      </commentPr>
    </comment>
    <comment ref="F12" authorId="4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Historical!F12. SEC Company Facts / 10-K; exact accession, tag, filed date, scale and sign are stated there.</t>
        </r>
      </text>
      <commentPr locked="0" textHAlign="justify" textVAlign="top">
        <anchor>
          <from>
            <xdr:col>5</xdr:col>
            <xdr:colOff>15</xdr:colOff>
            <xdr:row>11</xdr:row>
            <xdr:rowOff>2</xdr:rowOff>
          </from>
          <to>
            <xdr:col>7</xdr:col>
            <xdr:colOff>15</xdr:colOff>
            <xdr:row>15</xdr:row>
            <xdr:rowOff>2</xdr:rowOff>
          </to>
        </anchor>
      </commentPr>
    </comment>
    <comment ref="F13" authorId="5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Historical!F13. SEC Company Facts / 10-K; exact accession, tag, filed date, scale and sign are stated there.</t>
        </r>
      </text>
      <commentPr locked="0" textHAlign="justify" textVAlign="top">
        <anchor>
          <from>
            <xdr:col>5</xdr:col>
            <xdr:colOff>15</xdr:colOff>
            <xdr:row>12</xdr:row>
            <xdr:rowOff>2</xdr:rowOff>
          </from>
          <to>
            <xdr:col>7</xdr:col>
            <xdr:colOff>15</xdr:colOff>
            <xdr:row>16</xdr:row>
            <xdr:rowOff>2</xdr:rowOff>
          </to>
        </anchor>
      </commentPr>
    </comment>
    <comment ref="F14" authorId="5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Historical!F14. SEC Company Facts / 10-K; exact accession, tag, filed date, scale and sign are stated there.</t>
        </r>
      </text>
      <commentPr locked="0" textHAlign="justify" textVAlign="top">
        <anchor>
          <from>
            <xdr:col>5</xdr:col>
            <xdr:colOff>15</xdr:colOff>
            <xdr:row>13</xdr:row>
            <xdr:rowOff>2</xdr:rowOff>
          </from>
          <to>
            <xdr:col>7</xdr:col>
            <xdr:colOff>15</xdr:colOff>
            <xdr:row>17</xdr:row>
            <xdr:rowOff>2</xdr:rowOff>
          </to>
        </anchor>
      </commentPr>
    </comment>
    <comment ref="F15" authorId="5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lineage is recorded on Sources for Historical!F15. SEC Company Facts / 10-K; exact accession, tag, filed date, scale and sign are stated there.</t>
        </r>
      </text>
      <commentPr locked="0" textHAlign="justify" textVAlign="top">
        <anchor>
          <from>
            <xdr:col>5</xdr:col>
            <xdr:colOff>15</xdr:colOff>
            <xdr:row>14</xdr:row>
            <xdr:rowOff>2</xdr:rowOff>
          </from>
          <to>
            <xdr:col>7</xdr:col>
            <xdr:colOff>15</xdr:colOff>
            <xdr:row>18</xdr:row>
            <xdr:rowOff>2</xdr:rowOff>
          </to>
        </anchor>
      </commentPr>
    </comment>
  </commentList>
</comments>
</file>

<file path=xl/sharedStrings.xml><?xml version="1.0" encoding="utf-8"?>
<sst xmlns="http://schemas.openxmlformats.org/spreadsheetml/2006/main" count="2959" uniqueCount="1208">
  <si>
    <t>The Coca-Cola Company (KO) — 9/10 Re-gated Institutional Model</t>
  </si>
  <si>
    <t>Owner-prepared submission; independent reviewer reproduction is required before certification</t>
  </si>
  <si>
    <t>Model snapshot</t>
  </si>
  <si>
    <t>Legal entity</t>
  </si>
  <si>
    <t>The Coca-Cola Company</t>
  </si>
  <si>
    <t>Ticker</t>
  </si>
  <si>
    <t>KO</t>
  </si>
  <si>
    <t>Latest filing</t>
  </si>
  <si>
    <t>2025-12-31 10-K filed 2026-02-20</t>
  </si>
  <si>
    <t>SEC accession</t>
  </si>
  <si>
    <t>0001628280-26-010047</t>
  </si>
  <si>
    <t>Market price</t>
  </si>
  <si>
    <t>Market as-of</t>
  </si>
  <si>
    <t>2026-07-15</t>
  </si>
  <si>
    <t>Active scenario</t>
  </si>
  <si>
    <t>DCF value / share</t>
  </si>
  <si>
    <t>Upside / (downside)</t>
  </si>
  <si>
    <t>Gate decision</t>
  </si>
  <si>
    <t>What changed in the 9/10 re-gate</t>
  </si>
  <si>
    <t>1</t>
  </si>
  <si>
    <t>Replaced generic Sources sheet with target-cell provenance ledger</t>
  </si>
  <si>
    <t>2</t>
  </si>
  <si>
    <t>Replaced generic assumptions with company-specific operating drivers</t>
  </si>
  <si>
    <t>3</t>
  </si>
  <si>
    <t>Scenario selector now changes multiple operating outputs and the DCF</t>
  </si>
  <si>
    <t>4</t>
  </si>
  <si>
    <t>Debt, liquid assets and share-count valuation bridges are explicit</t>
  </si>
  <si>
    <t>5</t>
  </si>
  <si>
    <t>Checks are formula-driven; Gate_9of10 states owner evidence and review status</t>
  </si>
  <si>
    <t>6</t>
  </si>
  <si>
    <t>All original workbook files remain preserved; this is a new derivative output</t>
  </si>
  <si>
    <t>The Coca-Cola Company — Source Provenance Ledger</t>
  </si>
  <si>
    <t>Every populated hardcoded historical or driver input is mapped to a target cell with period, value, unit, taxonomy/locator, accession and exact URL.</t>
  </si>
  <si>
    <t>Source ID</t>
  </si>
  <si>
    <t>Legal Entity</t>
  </si>
  <si>
    <t>Target Cell</t>
  </si>
  <si>
    <t>Metric</t>
  </si>
  <si>
    <t>Period / As-of</t>
  </si>
  <si>
    <t>Reported Value</t>
  </si>
  <si>
    <t>Units</t>
  </si>
  <si>
    <t>Currency</t>
  </si>
  <si>
    <t>Taxonomy / Locator</t>
  </si>
  <si>
    <t>Start</t>
  </si>
  <si>
    <t>End</t>
  </si>
  <si>
    <t>FY / FP</t>
  </si>
  <si>
    <t>Form</t>
  </si>
  <si>
    <t>Filed</t>
  </si>
  <si>
    <t>Accession</t>
  </si>
  <si>
    <t>Exact URL</t>
  </si>
  <si>
    <t>Retrieved</t>
  </si>
  <si>
    <t>Source Class</t>
  </si>
  <si>
    <t>Transform / Mapping</t>
  </si>
  <si>
    <t>Verification</t>
  </si>
  <si>
    <t>Limitation / Disposition</t>
  </si>
  <si>
    <t>Complete?</t>
  </si>
  <si>
    <t>Historical!B5</t>
  </si>
  <si>
    <t>Revenue</t>
  </si>
  <si>
    <t>2021A</t>
  </si>
  <si>
    <t>USD millions</t>
  </si>
  <si>
    <t>USD</t>
  </si>
  <si>
    <t>us-gaap:Revenues</t>
  </si>
  <si>
    <t>2021-01-01</t>
  </si>
  <si>
    <t>2021-12-31</t>
  </si>
  <si>
    <t>2023/FY</t>
  </si>
  <si>
    <t>10-K</t>
  </si>
  <si>
    <t>2024-02-20</t>
  </si>
  <si>
    <t>0000021344-24-000009</t>
  </si>
  <si>
    <t>https://www.sec.gov/Archives/edgar/data/21344/000002134424000009/0000021344-24-000009-index.htm</t>
  </si>
  <si>
    <t>2026-07-16</t>
  </si>
  <si>
    <t>Primary - SEC filing / Company Facts</t>
  </si>
  <si>
    <t>USD divided by 1,000,000; sign as presented</t>
  </si>
  <si>
    <t>Matched legal entity, period, form, filed date, accession and target</t>
  </si>
  <si>
    <t>None identified</t>
  </si>
  <si>
    <t>Historical!C5</t>
  </si>
  <si>
    <t>2022A</t>
  </si>
  <si>
    <t>2022-01-01</t>
  </si>
  <si>
    <t>2022-12-31</t>
  </si>
  <si>
    <t>2024/FY</t>
  </si>
  <si>
    <t>2025-02-20</t>
  </si>
  <si>
    <t>0000021344-25-000011</t>
  </si>
  <si>
    <t>https://www.sec.gov/Archives/edgar/data/21344/000002134425000011/0000021344-25-000011-index.htm</t>
  </si>
  <si>
    <t>Historical!D5</t>
  </si>
  <si>
    <t>2023A</t>
  </si>
  <si>
    <t>2023-01-01</t>
  </si>
  <si>
    <t>2023-12-31</t>
  </si>
  <si>
    <t>2025/FY</t>
  </si>
  <si>
    <t>2026-02-20</t>
  </si>
  <si>
    <t>https://www.sec.gov/Archives/edgar/data/21344/000162828026010047/0001628280-26-010047-index.htm</t>
  </si>
  <si>
    <t>Historical!E5</t>
  </si>
  <si>
    <t>2024A</t>
  </si>
  <si>
    <t>2024-01-01</t>
  </si>
  <si>
    <t>2024-12-31</t>
  </si>
  <si>
    <t>Historical!F5</t>
  </si>
  <si>
    <t>2025A</t>
  </si>
  <si>
    <t>2025-01-01</t>
  </si>
  <si>
    <t>2025-12-31</t>
  </si>
  <si>
    <t>Historical!B6</t>
  </si>
  <si>
    <t>Gross profit</t>
  </si>
  <si>
    <t>us-gaap:GrossProfit</t>
  </si>
  <si>
    <t>Historical!C6</t>
  </si>
  <si>
    <t>Historical!D6</t>
  </si>
  <si>
    <t>Historical!E6</t>
  </si>
  <si>
    <t>Historical!F6</t>
  </si>
  <si>
    <t>Historical!B7</t>
  </si>
  <si>
    <t>Operating income / EBIT</t>
  </si>
  <si>
    <t>us-gaap:OperatingIncomeLoss</t>
  </si>
  <si>
    <t>Historical!C7</t>
  </si>
  <si>
    <t>Historical!D7</t>
  </si>
  <si>
    <t>Historical!E7</t>
  </si>
  <si>
    <t>Historical!F7</t>
  </si>
  <si>
    <t>Historical!B8</t>
  </si>
  <si>
    <t>Net income</t>
  </si>
  <si>
    <t>us-gaap:NetIncomeLoss</t>
  </si>
  <si>
    <t>Historical!C8</t>
  </si>
  <si>
    <t>Historical!D8</t>
  </si>
  <si>
    <t>Historical!E8</t>
  </si>
  <si>
    <t>Historical!F8</t>
  </si>
  <si>
    <t>Historical!B9</t>
  </si>
  <si>
    <t>Cash from operations</t>
  </si>
  <si>
    <t>us-gaap:NetCashProvidedByUsedInOperatingActivities</t>
  </si>
  <si>
    <t>Historical!C9</t>
  </si>
  <si>
    <t>Historical!D9</t>
  </si>
  <si>
    <t>Historical!E9</t>
  </si>
  <si>
    <t>Historical!F9</t>
  </si>
  <si>
    <t>Historical!B10</t>
  </si>
  <si>
    <t>Capital expenditures</t>
  </si>
  <si>
    <t>us-gaap:PaymentsToAcquirePropertyPlantAndEquipment</t>
  </si>
  <si>
    <t>Historical!C10</t>
  </si>
  <si>
    <t>Historical!D10</t>
  </si>
  <si>
    <t>Historical!E10</t>
  </si>
  <si>
    <t>Historical!F10</t>
  </si>
  <si>
    <t>Historical!B11</t>
  </si>
  <si>
    <t>Total assets</t>
  </si>
  <si>
    <t>us-gaap:Assets</t>
  </si>
  <si>
    <t>N/A - instant</t>
  </si>
  <si>
    <t>2022/FY</t>
  </si>
  <si>
    <t>2023-02-21</t>
  </si>
  <si>
    <t>0000021344-23-000011</t>
  </si>
  <si>
    <t>https://www.sec.gov/Archives/edgar/data/21344/000002134423000011/0000021344-23-000011-index.htm</t>
  </si>
  <si>
    <t>Historical!C11</t>
  </si>
  <si>
    <t>Historical!D11</t>
  </si>
  <si>
    <t>Historical!E11</t>
  </si>
  <si>
    <t>Historical!F11</t>
  </si>
  <si>
    <t>Historical!B12</t>
  </si>
  <si>
    <t>Shareholders' equity</t>
  </si>
  <si>
    <t>us-gaap:StockholdersEquity</t>
  </si>
  <si>
    <t>Historical!C12</t>
  </si>
  <si>
    <t>Historical!D12</t>
  </si>
  <si>
    <t>Historical!E12</t>
  </si>
  <si>
    <t>Historical!F12</t>
  </si>
  <si>
    <t>Historical!B13</t>
  </si>
  <si>
    <t>Cash and equivalents</t>
  </si>
  <si>
    <t>us-gaap:CashAndCashEquivalentsAtCarryingValue</t>
  </si>
  <si>
    <t>Historical!C13</t>
  </si>
  <si>
    <t>Historical!D13</t>
  </si>
  <si>
    <t>Historical!E13</t>
  </si>
  <si>
    <t>Historical!F13</t>
  </si>
  <si>
    <t>Historical!D14</t>
  </si>
  <si>
    <t>Total debt</t>
  </si>
  <si>
    <t>us-gaap:LongTermDebtAndCapitalLeaseObligationsIncludingCurrentMaturities</t>
  </si>
  <si>
    <t>Historical!E14</t>
  </si>
  <si>
    <t>Historical!F14</t>
  </si>
  <si>
    <t>Historical!B15</t>
  </si>
  <si>
    <t>Diluted weighted-average shares</t>
  </si>
  <si>
    <t>million shares</t>
  </si>
  <si>
    <t>N/A</t>
  </si>
  <si>
    <t>us-gaap:WeightedAverageNumberOfDilutedSharesOutstanding</t>
  </si>
  <si>
    <t>Shares divided by 1,000,000; sign as presented</t>
  </si>
  <si>
    <t>Historical!C15</t>
  </si>
  <si>
    <t>Historical!D15</t>
  </si>
  <si>
    <t>Historical!E15</t>
  </si>
  <si>
    <t>Historical!F15</t>
  </si>
  <si>
    <t>Historical!B20</t>
  </si>
  <si>
    <t>Share count used in DCF</t>
  </si>
  <si>
    <t>2026-02-18</t>
  </si>
  <si>
    <t>dei:EntityCommonStockSharesOutstanding</t>
  </si>
  <si>
    <t>FY</t>
  </si>
  <si>
    <t>https://www.sec.gov/Archives/edgar/data/21344/000162828026010047/0001628280-26-010047-index.html</t>
  </si>
  <si>
    <t>Shares divided by 1,000,000; used as per-share denominator</t>
  </si>
  <si>
    <t>Point-in-time cover shares; not weighted-average shares</t>
  </si>
  <si>
    <t>Historical!B25</t>
  </si>
  <si>
    <t>Other short-term borrowings</t>
  </si>
  <si>
    <t>us-gaap:OtherShortTermBorrowings</t>
  </si>
  <si>
    <t>USD divided by 1,000,000; added to debt in DCF bridge</t>
  </si>
  <si>
    <t>Sector_KPIs!B5</t>
  </si>
  <si>
    <t>System unit cases</t>
  </si>
  <si>
    <t>billion cases</t>
  </si>
  <si>
    <t>10-K operating table:2025 Form 10-K, operating review</t>
  </si>
  <si>
    <t>Annual period</t>
  </si>
  <si>
    <t>https://www.sec.gov/Archives/edgar/data/21344/000162828026010047/ko-20251231.htm</t>
  </si>
  <si>
    <t>Reported operating driver transcribed exactly; sign as presented</t>
  </si>
  <si>
    <t>Sector_KPIs!C5</t>
  </si>
  <si>
    <t>Sector_KPIs!B6</t>
  </si>
  <si>
    <t>Consolidated revenue</t>
  </si>
  <si>
    <t>USD m</t>
  </si>
  <si>
    <t>10-K operating table:2025 Form 10-K</t>
  </si>
  <si>
    <t>Sector_KPIs!C6</t>
  </si>
  <si>
    <t>Sector_KPIs!C7</t>
  </si>
  <si>
    <t>Volume contribution</t>
  </si>
  <si>
    <t>%</t>
  </si>
  <si>
    <t>10-K operating table:2025 Form 10-K revenue contribution bridge</t>
  </si>
  <si>
    <t>Sector_KPIs!C8</t>
  </si>
  <si>
    <t>Price / mix contribution</t>
  </si>
  <si>
    <t>Sector_KPIs!C9</t>
  </si>
  <si>
    <t>FX contribution</t>
  </si>
  <si>
    <t>Sector_KPIs!C10</t>
  </si>
  <si>
    <t>Acquisition / divestiture contribution</t>
  </si>
  <si>
    <t>Sector_KPIs!C11</t>
  </si>
  <si>
    <t>Total reported revenue growth</t>
  </si>
  <si>
    <t>Valuation!G19</t>
  </si>
  <si>
    <t>Market close</t>
  </si>
  <si>
    <t>USD per share</t>
  </si>
  <si>
    <t>Secondary market:Historical daily close</t>
  </si>
  <si>
    <t>Market data</t>
  </si>
  <si>
    <t>N/A - market data</t>
  </si>
  <si>
    <t>https://ph.investing.com/equities/coca-cola-co-historical-data</t>
  </si>
  <si>
    <t>Secondary - dated market close</t>
  </si>
  <si>
    <t>Closing price as displayed; no FX</t>
  </si>
  <si>
    <t>Date and close matched on cited historical-price surface</t>
  </si>
  <si>
    <t>Secondary market source; refresh before transaction use</t>
  </si>
  <si>
    <t>Ledger completeness</t>
  </si>
  <si>
    <t>The Coca-Cola Company — Historical Financials</t>
  </si>
  <si>
    <t>SEC 10-K / Company Facts lineage; USD millions except per-share data and shares</t>
  </si>
  <si>
    <t>Bridge policy</t>
  </si>
  <si>
    <t>Latest balance-sheet cash policy</t>
  </si>
  <si>
    <t>Liquid assets used in DCF</t>
  </si>
  <si>
    <t>Debt used in DCF</t>
  </si>
  <si>
    <t>Coca-Cola valuation bridge</t>
  </si>
  <si>
    <t>Policy</t>
  </si>
  <si>
    <t>Source</t>
  </si>
  <si>
    <t>Status</t>
  </si>
  <si>
    <t>Included</t>
  </si>
  <si>
    <t>Historical latest balance</t>
  </si>
  <si>
    <t>Formula link</t>
  </si>
  <si>
    <t>Debt including current maturities</t>
  </si>
  <si>
    <t>OK</t>
  </si>
  <si>
    <t>The Coca-Cola Company — Scenario Assumptions</t>
  </si>
  <si>
    <t>Selector drives operating revenues/margins and the DCF; blue/amber cells are editable inputs</t>
  </si>
  <si>
    <t>Scenario selector (1 Base / 2 Bull / 3 Bear)</t>
  </si>
  <si>
    <t>Input</t>
  </si>
  <si>
    <t>Formula</t>
  </si>
  <si>
    <t>Assumption</t>
  </si>
  <si>
    <t>Base</t>
  </si>
  <si>
    <t>Bull</t>
  </si>
  <si>
    <t>Bear</t>
  </si>
  <si>
    <t>Active</t>
  </si>
  <si>
    <t>Rationale / evidence</t>
  </si>
  <si>
    <t>Unit case volume contribution</t>
  </si>
  <si>
    <t>2025 system unit cases 33.8bn; driver contribution</t>
  </si>
  <si>
    <t>2025 reported price/mix contribution +4%</t>
  </si>
  <si>
    <t>Foreign-exchange contribution</t>
  </si>
  <si>
    <t>Scenario FX translation contribution</t>
  </si>
  <si>
    <t>Structural / acquisition contribution</t>
  </si>
  <si>
    <t>Scenario portfolio contribution</t>
  </si>
  <si>
    <t>Operating margin</t>
  </si>
  <si>
    <t>Normalized consolidated operating margin</t>
  </si>
  <si>
    <t>Cash tax rate</t>
  </si>
  <si>
    <t>Normalized cash tax rate</t>
  </si>
  <si>
    <t>D&amp;A as % revenue</t>
  </si>
  <si>
    <t>Normalized D&amp;A intensity</t>
  </si>
  <si>
    <t>Capex as % revenue</t>
  </si>
  <si>
    <t>Normalized capex intensity</t>
  </si>
  <si>
    <t>NWC investment / revenue growth</t>
  </si>
  <si>
    <t>FCFF working-capital policy</t>
  </si>
  <si>
    <t>WACC</t>
  </si>
  <si>
    <t>DCF discount-rate scenario</t>
  </si>
  <si>
    <t>Terminal growth</t>
  </si>
  <si>
    <t>DCF perpetual-growth scenario</t>
  </si>
  <si>
    <t>The Coca-Cola Company — Operating Forecast</t>
  </si>
  <si>
    <t>Scenario-linked driver build; USD millions except shares and per-share data</t>
  </si>
  <si>
    <t>2026E</t>
  </si>
  <si>
    <t>2027E</t>
  </si>
  <si>
    <t>2028E</t>
  </si>
  <si>
    <t>2029E</t>
  </si>
  <si>
    <t>2030E</t>
  </si>
  <si>
    <t>Structural contribution</t>
  </si>
  <si>
    <t>Revenue growth</t>
  </si>
  <si>
    <t>EBIT</t>
  </si>
  <si>
    <t>Cash taxes</t>
  </si>
  <si>
    <t>NOPAT</t>
  </si>
  <si>
    <t>D&amp;A</t>
  </si>
  <si>
    <t>Change in NWC</t>
  </si>
  <si>
    <t>FCFF</t>
  </si>
  <si>
    <t>The Coca-Cola Company — DCF Valuation</t>
  </si>
  <si>
    <t>Unlevered FCFF; liquid-asset and debt bridge policies are explicit</t>
  </si>
  <si>
    <t>DCF item</t>
  </si>
  <si>
    <t>Year 1</t>
  </si>
  <si>
    <t>Year 2</t>
  </si>
  <si>
    <t>Year 3</t>
  </si>
  <si>
    <t>Year 4</t>
  </si>
  <si>
    <t>Year 5</t>
  </si>
  <si>
    <t>Bridge / output</t>
  </si>
  <si>
    <t>Discount period</t>
  </si>
  <si>
    <t>Discount factor</t>
  </si>
  <si>
    <t>Present value of FCFF</t>
  </si>
  <si>
    <t>Terminal value</t>
  </si>
  <si>
    <t>PV of terminal value</t>
  </si>
  <si>
    <t>Enterprise value</t>
  </si>
  <si>
    <t>Liquid assets</t>
  </si>
  <si>
    <t>Debt</t>
  </si>
  <si>
    <t>Equity value</t>
  </si>
  <si>
    <t>Shares outstanding / diluted policy</t>
  </si>
  <si>
    <t>Per-share outputs</t>
  </si>
  <si>
    <t>The Coca-Cola Company — DCF Sensitivity</t>
  </si>
  <si>
    <t>Implied value per share across WACC and terminal-growth assumptions</t>
  </si>
  <si>
    <t>WACC / TGR</t>
  </si>
  <si>
    <t>Central cross-check</t>
  </si>
  <si>
    <t>Active WACC</t>
  </si>
  <si>
    <t>Active TGR</t>
  </si>
  <si>
    <t>Active DCF value/share</t>
  </si>
  <si>
    <t>The Coca-Cola Company — Model Checks</t>
  </si>
  <si>
    <t>Overall status is formula-driven from assertions; source completeness is linked to the provenance ledger</t>
  </si>
  <si>
    <t>Assertion</t>
  </si>
  <si>
    <t>Actual</t>
  </si>
  <si>
    <t>Expected</t>
  </si>
  <si>
    <t>Difference</t>
  </si>
  <si>
    <t>Tolerance</t>
  </si>
  <si>
    <t>Fix hint</t>
  </si>
  <si>
    <t>Source ledger complete</t>
  </si>
  <si>
    <t>Complete every mandatory provenance field</t>
  </si>
  <si>
    <t>Scenario selector valid</t>
  </si>
  <si>
    <t>Set Assumptions!B3 to 1, 2 or 3</t>
  </si>
  <si>
    <t>Forecast revenue positive</t>
  </si>
  <si>
    <t>Inspect revenue-driver formulas</t>
  </si>
  <si>
    <t>Five EBIT periods populated</t>
  </si>
  <si>
    <t>Inspect margin and opex build</t>
  </si>
  <si>
    <t>Five FCFF periods populated</t>
  </si>
  <si>
    <t>Inspect NOPAT, D&amp;A, capex and NWC</t>
  </si>
  <si>
    <t>Latest historical capex source present</t>
  </si>
  <si>
    <t>Historical inputs are positive as reported; forecast expense/capex anchors are negative model outflows</t>
  </si>
  <si>
    <t>DCF equity bridge</t>
  </si>
  <si>
    <t>Inspect EV, liquid assets and total debt</t>
  </si>
  <si>
    <t>DCF per-share identity</t>
  </si>
  <si>
    <t>Inspect shares bridge</t>
  </si>
  <si>
    <t>Market price positive and sourced</t>
  </si>
  <si>
    <t>Update the dated market source row in Sources</t>
  </si>
  <si>
    <t>Overall status</t>
  </si>
  <si>
    <t>The Coca-Cola Company — Company Operating Drivers</t>
  </si>
  <si>
    <t>Company-specific reported driver history; formulas reconcile the model totals to historical revenue where applicable</t>
  </si>
  <si>
    <t>Source / locator</t>
  </si>
  <si>
    <t>Model use</t>
  </si>
  <si>
    <t>2025 Form 10-K, operating review</t>
  </si>
  <si>
    <t>Reported</t>
  </si>
  <si>
    <t>Volume anchor</t>
  </si>
  <si>
    <t>2025 Form 10-K</t>
  </si>
  <si>
    <t>Revenue anchor</t>
  </si>
  <si>
    <t>2025 Form 10-K revenue contribution bridge</t>
  </si>
  <si>
    <t>Scenario driver</t>
  </si>
  <si>
    <t>Cross-check</t>
  </si>
  <si>
    <t>The Coca-Cola Company — Change Log</t>
  </si>
  <si>
    <t>Re-gating work performed without overwriting the prior workbook</t>
  </si>
  <si>
    <t>Timestamp (UTC)</t>
  </si>
  <si>
    <t>Scope</t>
  </si>
  <si>
    <t>Change</t>
  </si>
  <si>
    <t>Evidence</t>
  </si>
  <si>
    <t>Prior hash</t>
  </si>
  <si>
    <t>Preparer</t>
  </si>
  <si>
    <t>Disposition</t>
  </si>
  <si>
    <t>Build 2026-07-17T02:33:12.208Z</t>
  </si>
  <si>
    <t>Source lineage</t>
  </si>
  <si>
    <t>Added line-item target-cell provenance ledger</t>
  </si>
  <si>
    <t>Sources + SEC Company Facts / 10-K</t>
  </si>
  <si>
    <t>2d7d208c175d48f0001dbe569fc7cd0c298f02fd51e1cb5f8d76b241a6261b48</t>
  </si>
  <si>
    <t>Codex</t>
  </si>
  <si>
    <t>Ready for independent review</t>
  </si>
  <si>
    <t>Operating model</t>
  </si>
  <si>
    <t>Added company-specific revenue and margin drivers</t>
  </si>
  <si>
    <t>Sector_KPIs, Assumptions, Forecast</t>
  </si>
  <si>
    <t>Valuation</t>
  </si>
  <si>
    <t>Rebuilt FCFF DCF, bridge and sensitivity</t>
  </si>
  <si>
    <t>Valuation + Sensitivity</t>
  </si>
  <si>
    <t>Governance</t>
  </si>
  <si>
    <t>Added formula-driven checks and Gate_9of10</t>
  </si>
  <si>
    <t>Checks + Gate_9of10</t>
  </si>
  <si>
    <t>Owner submission only</t>
  </si>
  <si>
    <t>Ola 2 elevation: added IS_Hist/BS_Hist/CF_Hist (full 5-yr FY2021A-FY2025A audited line-item detail, USD mm, R3/R5/R7.htm + companyfacts.json cited), Checks_TieOut (24 cross-statement/subtotal/continuity checks), Sources_Audited (per-block citation + gap register), Forecast_IG (driver-built Base/Bull/Bear FY2026E-FY2030E). Root untouched; v2 saved under the maintainer's archive. Built via Mog SDK only. Known gaps: FY2021-22 CF custom-tag (ko:) line splits and FY2021-22 BS non-current-asset residual ($1,603mm/$1,136mm) — both disclosed and quantified in Sources_Audited, not estimated.</t>
  </si>
  <si>
    <t>Claude (run 24e4a1f1)</t>
  </si>
  <si>
    <t>Build 2026-08-14 (UTC)</t>
  </si>
  <si>
    <t>Capa de cobertura (Ola 1 flota internacional, plantilla del piloto Apple)</t>
  </si>
  <si>
    <t>Agregadas 2 hojas nuevas: Drivers_MDA (drivers del MD&amp;A FY2021A-FY2025A: volumen, bridge de ingresos, segmentos con quiebre de presentación declarado, concentrado vs producto terminado en dólares por la Nota 3, FX, commodities, working capital con detalle de la Nota 21, dividendos, NOT_AVAILABLE declarados, memo dual-vintage FY2023, puente al motor) y Market_Package (precio 87.42 al 2026-08-13, acciones 4,302.549m del 10-Q Q2 FY2026, EV, WACC fechado 5.88%, múltiplos, LTM al Q2 FY2026, control de procedencia, hallazgos H1-H4). Agregados 21 checks (32-52) en Checks_TieOut más el conteo mecanizado B3. ÚNICA celda preexistente modificada: Checks_TieOut!B2 (rango del MASTER ampliado de H5:H30 a H5:H52 para que los checks nuevos puedan reprobarlo). Todo lo demás es estrictamente aditivo; cero cambios en hojas históricas, Forecast, Valuation, Assumptions o Gate_9of10.</t>
  </si>
  <si>
    <t>Drivers_MDA!A1:I177; Market_Package!A1:F107; Checks_TieOut!A31:H52; fuentes: 5 10-K locales (pdftotext) + 10-Q Q2 FY2026 descargado de EDGAR (accn 0001628280-26-050503) + Treasury/FRED/Damodaran/stockanalysis con fecha</t>
  </si>
  <si>
    <t>e5f93ad944a76f3ffa8e7f049359a4ac43155bfb1a66f44b4955c0f992f2b2d2</t>
  </si>
  <si>
    <t>Claude (builder de cobertura KO, corrida 2026-08-14)</t>
  </si>
  <si>
    <t>Aditivo; pendiente revisión independiente</t>
  </si>
  <si>
    <t>The Coca-Cola Company — Gate 9/10 Owner Submission</t>
  </si>
  <si>
    <t>Independent review is a separate role; this sheet does not self-certify the workbook</t>
  </si>
  <si>
    <t>Gate</t>
  </si>
  <si>
    <t>Weight</t>
  </si>
  <si>
    <t>Owner status</t>
  </si>
  <si>
    <t>Blocker class</t>
  </si>
  <si>
    <t>Exact evidence range</t>
  </si>
  <si>
    <t>Native / visual evidence</t>
  </si>
  <si>
    <t>Independent action</t>
  </si>
  <si>
    <t>Notes</t>
  </si>
  <si>
    <t>H0 Controlled lineage / package</t>
  </si>
  <si>
    <t>PASS</t>
  </si>
  <si>
    <t>Change_Log!A4:G8; final .xlsx</t>
  </si>
  <si>
    <t>Prior hash preserved; OOXML integrity PASS 2026-07-17T02:36:50.241Z</t>
  </si>
  <si>
    <t>Reproduce lineage and package test</t>
  </si>
  <si>
    <t>Final JSON carries prior and final hashes</t>
  </si>
  <si>
    <t>H1 Source fidelity</t>
  </si>
  <si>
    <t>Sources!A4:V500</t>
  </si>
  <si>
    <t>SEC target-cell ledger + formula completeness</t>
  </si>
  <si>
    <t>Sample and reproduce ledger mappings</t>
  </si>
  <si>
    <t>Every populated hardcoded historical/driver cell mapped</t>
  </si>
  <si>
    <t>H2 Historical / formula / schedule mechanics</t>
  </si>
  <si>
    <t>Historical!A4:F26; Forecast!A4:G30</t>
  </si>
  <si>
    <t>Five-year historicals and formula-driven operating build</t>
  </si>
  <si>
    <t>Reperform historical and forecast ties</t>
  </si>
  <si>
    <t>Reported values preserved; forecast cells formula-driven</t>
  </si>
  <si>
    <t>H3 Scenario / sensitivity</t>
  </si>
  <si>
    <t>Assumptions!A3:G30; Sensitivity!A4:G14</t>
  </si>
  <si>
    <t>Base/Bull/Bear selector + dynamic DCF sensitivity</t>
  </si>
  <si>
    <t>Perturb selector 1/2/3 and reset to 1</t>
  </si>
  <si>
    <t>Evidence JSON records exact outputs</t>
  </si>
  <si>
    <t>H4 Valuation fit / mechanics</t>
  </si>
  <si>
    <t>Valuation!A4:G21; Historical!A17:F26</t>
  </si>
  <si>
    <t>FCFF, bridge and per-share DCF</t>
  </si>
  <si>
    <t>Reperform DCF and balance-sheet bridge</t>
  </si>
  <si>
    <t>Debt/liquid asset/share policies explicit</t>
  </si>
  <si>
    <t>H5 Checks / error state</t>
  </si>
  <si>
    <t>Checks!A4:G14</t>
  </si>
  <si>
    <t>Formula-driven checks OK and zero formula-error matches 2026-07-17T02:33:56.001Z</t>
  </si>
  <si>
    <t>Reproduce checks and formula-error scan</t>
  </si>
  <si>
    <t>Final scan repeated after gate promotion</t>
  </si>
  <si>
    <t>H6 Native recalc / reproducibility</t>
  </si>
  <si>
    <t>LibreOfficeDev 26.8.0.0.alpha0 2c87e51eeaa2b413ff4ae097b2705eea1995d8e5; save/reopen completed 2026-07-17T02:33:56.001Z</t>
  </si>
  <si>
    <t>Reopen and reproduce in native engine</t>
  </si>
  <si>
    <t>Final recalc repeated after gate promotion; evidence JSON carries hashes</t>
  </si>
  <si>
    <t>H7 Post-recalc all-sheet visual QA</t>
  </si>
  <si>
    <t>internal QA evidence (not published)</t>
  </si>
  <si>
    <t>All 11 sheets rendered in preflight 2026-07-17T02:33:56.001Z; final render repeated after promotion</t>
  </si>
  <si>
    <t>Inspect preview manifest</t>
  </si>
  <si>
    <t>Final JSON carries per-sheet manifest</t>
  </si>
  <si>
    <t>H8 Material economic upgrade</t>
  </si>
  <si>
    <t>Sector_KPIs!A4:G40; Assumptions!A6:G30; Forecast!A4:G30</t>
  </si>
  <si>
    <t>Company-specific driver and margin build</t>
  </si>
  <si>
    <t>Challenge economic usefulness</t>
  </si>
  <si>
    <t>No relabel-only sector shell</t>
  </si>
  <si>
    <t>H9 Governance / limitations / handoff</t>
  </si>
  <si>
    <t>Change_Log!A4:G8; Gate_9of10!A4:H26</t>
  </si>
  <si>
    <t>Owner/reviewer separation and limitations explicit</t>
  </si>
  <si>
    <t>Assign independent reviewer</t>
  </si>
  <si>
    <t>No self-certification; evidence JSON is handoff surface</t>
  </si>
  <si>
    <t>Owner score</t>
  </si>
  <si>
    <t>Decision</t>
  </si>
  <si>
    <t>Overall model status</t>
  </si>
  <si>
    <t>Native recalculation / review metadata</t>
  </si>
  <si>
    <t>Build timestamp UTC</t>
  </si>
  <si>
    <t>Required native engine</t>
  </si>
  <si>
    <t>LibreOfficeDev 26.8.0.0.alpha0 2c87e51eeaa2b413ff4ae097b2705eea1995d8e5</t>
  </si>
  <si>
    <t>Final native timestamp</t>
  </si>
  <si>
    <t>Native preflight 2026-07-17T02:33:56.001Z; final recalc after promotion 2026-07-17T02:36:52.392Z</t>
  </si>
  <si>
    <t>Visual manifest</t>
  </si>
  <si>
    <t>Evidence manifest</t>
  </si>
  <si>
    <t>Independent certification</t>
  </si>
  <si>
    <t>Not performed by owner-preparer</t>
  </si>
  <si>
    <t>The Coca-Cola Company — Consolidated Statements of Income (audited), Ola 2</t>
  </si>
  <si>
    <t>USD millions except per-share data and shares. FY2023-FY2025 per FY2025 10-K (R3.htm); FY2021-FY2022 per SEC companyfacts.json us-gaap tags. All tie-outs in Checks_TieOut.</t>
  </si>
  <si>
    <t>Line item</t>
  </si>
  <si>
    <t>FY2021A</t>
  </si>
  <si>
    <t>FY2022A</t>
  </si>
  <si>
    <t>FY2023A</t>
  </si>
  <si>
    <t>FY2024A</t>
  </si>
  <si>
    <t>FY2025A</t>
  </si>
  <si>
    <t>Net operating revenues</t>
  </si>
  <si>
    <t>R3/us-gaap:Revenues</t>
  </si>
  <si>
    <t>Cost of goods sold</t>
  </si>
  <si>
    <t>R3/us-gaap:CostOfGoodsAndServicesSold</t>
  </si>
  <si>
    <t>R3/us-gaap:GrossProfit</t>
  </si>
  <si>
    <t>Selling, general and administrative expenses</t>
  </si>
  <si>
    <t>R3/us-gaap:SellingGeneralAndAdministrativeExpense</t>
  </si>
  <si>
    <t>Other operating charges</t>
  </si>
  <si>
    <t>us-gaap:OtherCostAndExpenseOperating (21-22) / R3 (23-25)</t>
  </si>
  <si>
    <t>Operating income</t>
  </si>
  <si>
    <t>R3/us-gaap:OperatingIncomeLoss</t>
  </si>
  <si>
    <t>Interest income</t>
  </si>
  <si>
    <t>R3/us-gaap:InvestmentIncomeInterest</t>
  </si>
  <si>
    <t>Interest expense</t>
  </si>
  <si>
    <t>R3/us-gaap:InterestExpense</t>
  </si>
  <si>
    <t>Equity income (loss) — net</t>
  </si>
  <si>
    <t>R3/us-gaap:IncomeLossFromEquityMethodInvestments</t>
  </si>
  <si>
    <t>Other income (loss) — net</t>
  </si>
  <si>
    <t>R3/us-gaap:OtherNonoperatingIncomeExpense</t>
  </si>
  <si>
    <t>Income before income taxes</t>
  </si>
  <si>
    <t>R3/us-gaap:IncomeLossFromContinuingOperationsBeforeIncomeTaxes...</t>
  </si>
  <si>
    <t>Income taxes</t>
  </si>
  <si>
    <t>R3/us-gaap:IncomeTaxExpenseBenefit</t>
  </si>
  <si>
    <t>Consolidated net income</t>
  </si>
  <si>
    <t>R3/us-gaap:ProfitLoss</t>
  </si>
  <si>
    <t>Net income (loss) attributable to noncontrolling interest</t>
  </si>
  <si>
    <t>R3/us-gaap:NetIncomeLossAttributableToNoncontrollingInterest</t>
  </si>
  <si>
    <t>Net income attributable to shareowners of The Coca-Cola Company</t>
  </si>
  <si>
    <t>R3/us-gaap:NetIncomeLoss</t>
  </si>
  <si>
    <t>Basic net income per share ($)</t>
  </si>
  <si>
    <t>R3/us-gaap:EarningsPerShareBasic</t>
  </si>
  <si>
    <t>Diluted net income per share ($)</t>
  </si>
  <si>
    <t>R3/us-gaap:EarningsPerShareDiluted</t>
  </si>
  <si>
    <t>Average shares outstanding — basic (millions)</t>
  </si>
  <si>
    <t>R3/us-gaap:WeightedAverageNumberOfSharesOutstandingBasic</t>
  </si>
  <si>
    <t>Average shares outstanding — diluted (millions)</t>
  </si>
  <si>
    <t>R3/us-gaap:WeightedAverageNumberOfDilutedSharesOutstanding</t>
  </si>
  <si>
    <t>The Coca-Cola Company — Consolidated Balance Sheets (audited), Ola 2</t>
  </si>
  <si>
    <t>USD millions, as of Dec 31. FY2024-FY2025 per FY2025 10-K (R5.htm); FY2021-FY2023 per companyfacts.json. See Sources_Audited for the held-for-sale presentation note and the FY21/22 non-current-asset reconciling residual.</t>
  </si>
  <si>
    <t>Current assets</t>
  </si>
  <si>
    <t>Cash and cash equivalents</t>
  </si>
  <si>
    <t>R5/us-gaap:CashAndCashEquivalentsAtCarryingValue</t>
  </si>
  <si>
    <t>Short-term investments</t>
  </si>
  <si>
    <t>us-gaap:OtherShortTermInvestments</t>
  </si>
  <si>
    <t>Marketable securities</t>
  </si>
  <si>
    <t>us-gaap:MarketableSecurities</t>
  </si>
  <si>
    <t>Trade accounts receivable, net</t>
  </si>
  <si>
    <t>us-gaap:AccountsReceivableNetCurrent</t>
  </si>
  <si>
    <t>Inventories</t>
  </si>
  <si>
    <t>us-gaap:InventoryNet</t>
  </si>
  <si>
    <t>Prepaid expenses and other current assets</t>
  </si>
  <si>
    <t>us-gaap:PrepaidExpenseAndOtherAssetsCurrent</t>
  </si>
  <si>
    <t>Assets held for sale (memo FY21-23; on-subtotal FY24-25)</t>
  </si>
  <si>
    <t>us-gaap:AssetsOfDisposalGroupIncludingDiscontinuedOperation</t>
  </si>
  <si>
    <t>Total current assets (published)</t>
  </si>
  <si>
    <t>R5/us-gaap:AssetsCurrent</t>
  </si>
  <si>
    <t>Non-current assets</t>
  </si>
  <si>
    <t>Equity method investments</t>
  </si>
  <si>
    <t>us-gaap:EquityMethodInvestments</t>
  </si>
  <si>
    <t>Deferred income tax assets</t>
  </si>
  <si>
    <t>us-gaap:DeferredIncomeTaxAssetsNet</t>
  </si>
  <si>
    <t>Property, plant and equipment — net</t>
  </si>
  <si>
    <t>R5/us-gaap:PropertyPlantAndEquipmentNet</t>
  </si>
  <si>
    <t>Trademarks with indefinite lives</t>
  </si>
  <si>
    <t>us-gaap:IndefiniteLivedTrademarks</t>
  </si>
  <si>
    <t>Goodwill</t>
  </si>
  <si>
    <t>R5/us-gaap:Goodwill</t>
  </si>
  <si>
    <t>Other noncurrent assets</t>
  </si>
  <si>
    <t>us-gaap:OtherAssetsNoncurrent</t>
  </si>
  <si>
    <t>Unallocated non-current assets (reconciling residual — GAP, see Sources_Audited)</t>
  </si>
  <si>
    <t>plug = Assets − TotalCA − sum(above NCA lines)</t>
  </si>
  <si>
    <t>Total non-current assets (published)</t>
  </si>
  <si>
    <t>Derived: Assets − Total current assets</t>
  </si>
  <si>
    <t>R5/us-gaap:Assets</t>
  </si>
  <si>
    <t>Current liabilities</t>
  </si>
  <si>
    <t>Accounts payable and accrued expenses</t>
  </si>
  <si>
    <t>us-gaap:AccountsPayableAndAccruedLiabilitiesCurrent</t>
  </si>
  <si>
    <t>Loans and notes payable</t>
  </si>
  <si>
    <t>us-gaap:ShortTermBorrowings (21) / NotesAndLoansPayable (22-25)</t>
  </si>
  <si>
    <t>Current maturities of long-term debt</t>
  </si>
  <si>
    <t>us-gaap:LongTermDebtCurrent (21-22) / LongTermDebtAndCapitalLeaseObligationsCurrent (23-25)</t>
  </si>
  <si>
    <t>Accrued income taxes</t>
  </si>
  <si>
    <t>us-gaap:AccruedIncomeTaxesCurrent</t>
  </si>
  <si>
    <t>Liabilities held for sale (memo FY21-23; on-subtotal FY24-25)</t>
  </si>
  <si>
    <t>us-gaap:LiabilitiesOfDisposalGroupIncludingDiscontinuedOperation</t>
  </si>
  <si>
    <t>Total current liabilities (published)</t>
  </si>
  <si>
    <t>R5/us-gaap:LiabilitiesCurrent</t>
  </si>
  <si>
    <t>Non-current liabilities</t>
  </si>
  <si>
    <t>Long-term debt</t>
  </si>
  <si>
    <t>us-gaap:LongTermDebtNoncurrent (21-23) / LongTermDebtAndCapitalLeaseObligations (24-25)</t>
  </si>
  <si>
    <t>Other noncurrent liabilities</t>
  </si>
  <si>
    <t>us-gaap:OtherLiabilitiesNoncurrent</t>
  </si>
  <si>
    <t>Deferred income tax liabilities</t>
  </si>
  <si>
    <t>us-gaap:DeferredIncomeTaxLiabilitiesNet</t>
  </si>
  <si>
    <t>Total non-current liabilities (published)</t>
  </si>
  <si>
    <t>Derived: Total liabilities − Total current liabilities</t>
  </si>
  <si>
    <t>Total liabilities</t>
  </si>
  <si>
    <t>Derived: LiabilitiesAndStockholdersEquity − StockholdersEquityIncl.NCI</t>
  </si>
  <si>
    <t>Shareowners' equity</t>
  </si>
  <si>
    <t>Common stock, $0.25 par value</t>
  </si>
  <si>
    <t>R5/us-gaap:CommonStockValue</t>
  </si>
  <si>
    <t>Capital surplus</t>
  </si>
  <si>
    <t>us-gaap:AdditionalPaidInCapitalCommonStock</t>
  </si>
  <si>
    <t>Reinvested earnings</t>
  </si>
  <si>
    <t>us-gaap:RetainedEarningsAccumulatedDeficit</t>
  </si>
  <si>
    <t>Accumulated other comprehensive income (loss)</t>
  </si>
  <si>
    <t>us-gaap:AccumulatedOtherComprehensiveIncomeLossNetOfTax</t>
  </si>
  <si>
    <t>Treasury stock, at cost</t>
  </si>
  <si>
    <t>us-gaap:TreasuryStockValue</t>
  </si>
  <si>
    <t>Equity attributable to shareowners of The Coca-Cola Company</t>
  </si>
  <si>
    <t>R5/us-gaap:StockholdersEquity</t>
  </si>
  <si>
    <t>Equity attributable to noncontrolling interests</t>
  </si>
  <si>
    <t>us-gaap:MinorityInterest</t>
  </si>
  <si>
    <t>Total equity</t>
  </si>
  <si>
    <t>us-gaap:StockholdersEquityIncludingPortionAttributableToNCI</t>
  </si>
  <si>
    <t>Total liabilities and equity</t>
  </si>
  <si>
    <t>R5/us-gaap:LiabilitiesAndStockholdersEquity</t>
  </si>
  <si>
    <t>The Coca-Cola Company — Consolidated Statements of Cash Flows (audited), Ola 2</t>
  </si>
  <si>
    <t>USD millions. FY2023-FY2025 full line detail per FY2025 10-K (R7.htm); FY2021-FY2022 combines 3 custom-tagged (ko:) line items per section into one sized reconciling row (GAP in granularity only — subtotals are exact). See Sources_Audited.</t>
  </si>
  <si>
    <t>Operating activities</t>
  </si>
  <si>
    <t>R7/us-gaap:ProfitLoss (=IS)</t>
  </si>
  <si>
    <t>Depreciation and amortization</t>
  </si>
  <si>
    <t>R7/us-gaap:DepreciationDepletionAndAmortization</t>
  </si>
  <si>
    <t>Stock-based compensation expense</t>
  </si>
  <si>
    <t>R7/us-gaap:ShareBasedCompensation</t>
  </si>
  <si>
    <t>Deferred income taxes</t>
  </si>
  <si>
    <t>R7/us-gaap:DeferredIncomeTaxExpenseBenefit</t>
  </si>
  <si>
    <t>Equity (income) loss — net of dividends</t>
  </si>
  <si>
    <t>R7/us-gaap:IncomeLossFromEquityMethodInvestmentsNetOfDividendsOrDistributions (sign flipped)</t>
  </si>
  <si>
    <t>Foreign currency adjustments</t>
  </si>
  <si>
    <t>us-gaap:ForeignCurrencyTransactionGainLossBeforeTax (sign flipped; 21 n/a)</t>
  </si>
  <si>
    <t>Significant (gains) losses — net</t>
  </si>
  <si>
    <t>R7 (23-25 only; custom tag not in companyfacts pull for 21-22)</t>
  </si>
  <si>
    <t>R7/us-gaap:OtherOperatingActivitiesCashFlowStatement</t>
  </si>
  <si>
    <t>Other items</t>
  </si>
  <si>
    <t>Net change in operating assets and liabilities</t>
  </si>
  <si>
    <t>us-gaap:IncreaseDecreaseInOperatingCapital (sign flipped)</t>
  </si>
  <si>
    <t>Significant gains/losses + other items, net (GAP reconciling — FY21-22 combined, see note)</t>
  </si>
  <si>
    <t>plug = published CFO − sum(tagged lines above, incl. FX where available)</t>
  </si>
  <si>
    <t>Net cash provided by operating activities</t>
  </si>
  <si>
    <t>R7/us-gaap:NetCashProvidedByUsedInOperatingActivities</t>
  </si>
  <si>
    <t>Investing activities</t>
  </si>
  <si>
    <t>Purchases of investments</t>
  </si>
  <si>
    <t>R7 (23-25 only)</t>
  </si>
  <si>
    <t>Proceeds from disposals of investments</t>
  </si>
  <si>
    <t>Acquisitions of businesses, equity method investments and nonmarketable securities</t>
  </si>
  <si>
    <t>Proceeds from disposals of businesses, equity method investments and nonmarketable securities</t>
  </si>
  <si>
    <t>Purchases of property, plant and equipment</t>
  </si>
  <si>
    <t>R7/us-gaap:PaymentsToAcquirePropertyPlantAndEquipment</t>
  </si>
  <si>
    <t>Proceeds from disposals of property, plant and equipment</t>
  </si>
  <si>
    <t>R7/us-gaap:ProceedsFromSaleOfPropertyPlantAndEquipment</t>
  </si>
  <si>
    <t>Collateral (paid) received associated with hedging activities — net</t>
  </si>
  <si>
    <t>Other investing activities</t>
  </si>
  <si>
    <t>Other investing activities, net (GAP reconciling — FY21-22 combined, see note)</t>
  </si>
  <si>
    <t>plug = published CFI − sum(tagged lines above)</t>
  </si>
  <si>
    <t>Net cash provided by (used in) investing activities</t>
  </si>
  <si>
    <t>R7/us-gaap:NetCashProvidedByUsedInInvestingActivities</t>
  </si>
  <si>
    <t>Financing activities</t>
  </si>
  <si>
    <t>Issuances of loans, notes payable and long-term debt</t>
  </si>
  <si>
    <t>Payments of loans, notes payable and long-term debt</t>
  </si>
  <si>
    <t>Issuances of stock</t>
  </si>
  <si>
    <t>R7/us-gaap:ProceedsFromIssuanceOfCommonStock</t>
  </si>
  <si>
    <t>Purchases of stock for treasury</t>
  </si>
  <si>
    <t>R7/us-gaap:PaymentsForRepurchaseOfCommonStock</t>
  </si>
  <si>
    <t>Dividends</t>
  </si>
  <si>
    <t>R7/us-gaap:PaymentsOfDividends</t>
  </si>
  <si>
    <t>Proceeds from noncontrolling interests</t>
  </si>
  <si>
    <t>R7/us-gaap:ProceedsFromMinorityShareholders</t>
  </si>
  <si>
    <t>Other financing activities</t>
  </si>
  <si>
    <t>R7/us-gaap:ProceedsFromPaymentsForOtherFinancingActivities</t>
  </si>
  <si>
    <t>Net debt issuances/(repayments), net (GAP reconciling — FY21-22 combined, see note)</t>
  </si>
  <si>
    <t>plug = published CFF − sum(tagged lines above)</t>
  </si>
  <si>
    <t>Net cash provided by (used in) financing activities</t>
  </si>
  <si>
    <t>R7/us-gaap:NetCashProvidedByUsedInFinancingActivities</t>
  </si>
  <si>
    <t>Cash and cash equivalents (incl. restricted cash)</t>
  </si>
  <si>
    <t>Effect of exchange rate changes on cash</t>
  </si>
  <si>
    <t>R7/us-gaap:EffectOfExchangeRateOnCash...</t>
  </si>
  <si>
    <t>Net increase (decrease) in cash, cash equivalents, restricted cash and restricted cash equivalents</t>
  </si>
  <si>
    <t>R7/us-gaap:CashCashEquivalentsRestrictedCash...PeriodIncreaseDecrease</t>
  </si>
  <si>
    <t>Cash, cash equivalents, restricted cash and restricted cash equivalents — beginning of year</t>
  </si>
  <si>
    <t>derived by chain from R7 begin/end (FY23-25 exact; FY21-22 backed out)</t>
  </si>
  <si>
    <t>Cash, cash equivalents, restricted cash and restricted cash equivalents — end of year</t>
  </si>
  <si>
    <t>R7 (23-25 exact) / chained (21-22)</t>
  </si>
  <si>
    <t>Restricted cash and restricted cash equivalents (memo; FY23-25 only)</t>
  </si>
  <si>
    <t>R7/us-gaap:RestrictedCashAndCashEquivalents (memo)</t>
  </si>
  <si>
    <t>Cash and cash equivalents (BS figure)</t>
  </si>
  <si>
    <t>R5-BS/us-gaap:CashAndCashEquivalentsAtCarryingValue</t>
  </si>
  <si>
    <t>Checks_TieOut — Ola 2 statement-grade tie-outs (all deltas must be 0; USD millions)</t>
  </si>
  <si>
    <t>MASTER</t>
  </si>
  <si>
    <t>Conteo mecanizado</t>
  </si>
  <si>
    <t>Check</t>
  </si>
  <si>
    <t>IS: Gross profit = Revenue − COGS</t>
  </si>
  <si>
    <t>IS: Operating income = GP − SG&amp;A − Other opg charges</t>
  </si>
  <si>
    <t>IS: Pretax income chain</t>
  </si>
  <si>
    <t>IS: Consolidated NI = Pretax − tax</t>
  </si>
  <si>
    <t>IS: NI attributable = Consolidated − NCI</t>
  </si>
  <si>
    <t>BS: Total current assets (published, FY21-23 excl. AHFS)</t>
  </si>
  <si>
    <t>BS: Total non-current assets (published) = TA − TCA</t>
  </si>
  <si>
    <t>BS: Non-current asset detail sum = published NCA (incl. residual line)</t>
  </si>
  <si>
    <t>BS: Total assets = TCA + TNCA</t>
  </si>
  <si>
    <t>BS: Total current liabilities (published, FY21-23 excl. LHFS)</t>
  </si>
  <si>
    <t>BS: Non-current liabilities sum = published NCL</t>
  </si>
  <si>
    <t>BS: Total liabilities = TCL + TNCL</t>
  </si>
  <si>
    <t>BS: Parent equity sum = published</t>
  </si>
  <si>
    <t>BS: Total equity = parent + NCI</t>
  </si>
  <si>
    <t>BS: TL&amp;E = TL + TE</t>
  </si>
  <si>
    <t>BS: Balance (TA − TL&amp;E)</t>
  </si>
  <si>
    <t>X: RE rollforward = RE(t-1) + NI attrib − dividends paid (±$5mm decl-vs-paid timing)</t>
  </si>
  <si>
    <t>CF: Net cash from operations chain (sum of section)</t>
  </si>
  <si>
    <t>CF: Net cash from investing chain (sum of section)</t>
  </si>
  <si>
    <t>CF: Net cash from financing chain (sum of section)</t>
  </si>
  <si>
    <t>CF: Net change (incl. restricted) = CFO+CFI+CFF+FX</t>
  </si>
  <si>
    <t>CF: End cash(incl.restr.) = Begin + net change</t>
  </si>
  <si>
    <t>CF: Beginning cash continuity (t begin = t-1 end), FY22-25</t>
  </si>
  <si>
    <t>X: CF Consolidated NI = IS Consolidated NI</t>
  </si>
  <si>
    <t>X: BS cash = CF Hist BS-figure cash (all 5 yrs, direct tag match)</t>
  </si>
  <si>
    <t>X: FY23-25 end cash(incl.restr.) = BS cash + memo restricted</t>
  </si>
  <si>
    <t>COBERTURA — drivers de negocio (Drivers_MDA) y paquete de mercado (Market_Package), agregados 2026-08-14. Plantilla del piloto Apple con los checks endurecidos post-refutación: cada check compara contra celdas INDEPENDIENTES (otra hoja, otro documento u otro vintage), nunca contra su propia definición.</t>
  </si>
  <si>
    <t>DRV: Ventas netas a terceros por segmento suman a IS_Hist ventas netas (FY21-22 presentación original con Global Ventures; FY23-25 re-presentada)</t>
  </si>
  <si>
    <t>DRV: Utilidad operativa por segmento + Corporate = IS_Hist utilidad operativa (conciliación del emisor reproducida)</t>
  </si>
  <si>
    <t>DRV: COGS por segmento (FY23-25, incl. Corporate y eliminaciones) = IS_Hist costo de ventas</t>
  </si>
  <si>
    <t>DRV: bridge de ingresos del MD&amp;A — la suma de componentes coincide con el total reportado (±1.5pp de redondeo a 1%) Y el total reportado coincide con el crecimiento real de IS_Hist (±1.5pp). FY2021 solo el primer término (FY2020 fuera de ventana). F es conteo de incumplimientos</t>
  </si>
  <si>
    <t>XREF: Sector_KPIs (bridge FY2025 C7:C11, unit cases B5:C5 y ancla de ingresos B6:C6) = Drivers_MDA / IS_Hist — constantes preexistentes de otra hoja contra la serie del filing</t>
  </si>
  <si>
    <t>FCST: anclas del motor — Forecast!B5:B9 = bridge FY2025 reportado del MD&amp;A y Forecast!B10 = IS_Hist!F5 (suma de |deltas| de Drivers_MDA!F162:F167)</t>
  </si>
  <si>
    <t>DRV: splits concentrado/producto terminado — el split de volumen suma 100% cada año, el % de ingresos REPORTADO coincide con el calculado desde la Nota 3 (±0.5pp de redondeo) y el % de concentrado queda en banda [40%,70%]. F es conteo de incumplimientos</t>
  </si>
  <si>
    <t>DRV: Nota 3 en dólares — concentrado + producto terminado = IS_Hist ventas netas Y EE.UU. + Internacional = IS_Hist ventas netas (dos particiones independientes del mismo total). F es conteo de incumplimientos</t>
  </si>
  <si>
    <t>DRV: FX y commodities — Item 7A vs Nota 3 Internacional (±50 por redondeo a 0.1bn) todos los años; y en FY2025 la composición de la Nota 16 = notional total del Item 7A (FX y commodities, dos secciones independientes del filing). F es conteo de incumplimientos</t>
  </si>
  <si>
    <t>DRV: detalle de working capital de la Nota 21 (seis líneas, FY23-25) suma exactamente al cambio neto en activos y pasivos operativos de CF_Hist</t>
  </si>
  <si>
    <t>DRV: dividendos — DPS declarado × acciones diluidas promedio (IS_Hist) dentro de ±2% de los dividendos pagados del CF (timing declarado-vs-pagado; deriva real 0.2%-0.6%). F es conteo de incumplimientos</t>
  </si>
  <si>
    <t>DRV: ventas internacionales (Nota 3) en banda [50%,70%] de las ventas totales (serie real: 60%-66%). F es conteo de incumplimientos</t>
  </si>
  <si>
    <t>DRV: BANDAS DE PLAUSIBILIDAD (NO es tie) para constantes sin tie mecanizado — empleados [30k,150k], unit cases [25,40]bn, ingreso por caja [1.0,2.0] USD, notional FX/ventas [10%,100%], notional commodities/COGS [0.5%,15%]. Caza un valor absurdo; una cifra plausible y equivocada pasa igual — limitación declarada en Drivers_MDA!A175</t>
  </si>
  <si>
    <t>MKT: enterprise value contra ancla de vintage DISTINTO — B23 = precio × acciones + deuda − caja de la columna comparativa del 10-Q Q2 FY2026 (Market_Package!B107 y B106, constantes del filing, independientes de BS_Hist); EV &gt; 0; y dentro de ±25% del EV construido con el precio fechado independiente de Valuation!G19 (deriva real +5.6%). F es conteo de incumplimientos</t>
  </si>
  <si>
    <t>MKT: efectivo e inversiones del paquete (B17, balance FY2025A) — tie EXACTO contra el ancla de vintage distinto (B106, caja al 2025-12-31 según el 10-Q Q2 FY2026) y banda ±15% contra la posición al 2026-07-03 (B82; deriva real −3.5%). F es conteo de incumplimientos</t>
  </si>
  <si>
    <t>MKT: deuda bruta del paquete (B21) — (1) la brecha contra la deuda del DCF es EXACTAMENTE los loans/notes payable del balance menos los 56 ya incluidos (mecaniza el hallazgo H1: B21−B24 = BS_Hist!F27−Historical!B25; equivale a exigir BS_Hist!F28+F33 = tag combinado de Historical); (2) tie EXACTO contra el ancla de vintage distinto (B107); (3) banda ±25% contra la deuda al 2026-07-03 (B83; deriva real +4.5%). F es conteo de incumplimientos</t>
  </si>
  <si>
    <t>MKT: activos líquidos — la brecha del paquete vs los del DCF es EXACTAMENTE las inversiones de corto plazo + valores negociables (mecaniza el hallazgo H2: B17−B26 = BS_Hist!F7+F8; equivale a exigir BS_Hist!F6 = caja de Historical, dos constantes de builds distintos). F es conteo de incumplimientos</t>
  </si>
  <si>
    <t>MKT: costo de capital — guardia del enlace vivo de la tasa efectiva (B37 debe ser exactamente IS_Hist!F16/IS_Hist!F15: una tasa tecleada en duro cae) + BANDAS DE PLAUSIBILIDAD para Rf [0.5%,12%], beta [0.1x,1.5x], Kd [1%,15%] y WACC [3%,20%]. Una cifra plausible y equivocada dentro de banda pasa igual — limitación declarada. F es conteo de incumplimientos</t>
  </si>
  <si>
    <t>MKT: precio, acciones y capitalización — cableado (B11 = B7 × B8), precio dentro de ±25% del precio fechado independiente de Valuation!G19 (deriva real +6.0%), y acciones dentro de ±3% del conteo del DCF (Historical!B20; deriva real +0.04%). Un error de precio DENTRO de la banda es indetectable sin feed vivo — limitación declarada. F es conteo de incumplimientos</t>
  </si>
  <si>
    <t>MKT: procedencia de los inputs de mercado — fuente presente, fecha con serial válido, desfase relativo ≤5 días entre inputs de cotización diaria (precio, Rf, beta, Kd), y frescura ABSOLUTA: si la observación más reciente es anterior a HOY()−10 al recalcular, cae en FAIL. 0 significa completo</t>
  </si>
  <si>
    <t>DRV: dual-vintage FY2023 — la presentación ORIGINAL del 10-K FY2023 (memo con Global Ventures, constantes independientes) suma al mismo total consolidado de IS_Hist FY2023</t>
  </si>
  <si>
    <t>Sources_Audited — Ola 2 citation register (EDGAR: CIK 0000021344, The Coca-Cola Company)</t>
  </si>
  <si>
    <t>Block</t>
  </si>
  <si>
    <t>Years</t>
  </si>
  <si>
    <t>Primary source</t>
  </si>
  <si>
    <t>Locator</t>
  </si>
  <si>
    <t>Notes / gaps</t>
  </si>
  <si>
    <t>IS_Hist</t>
  </si>
  <si>
    <t>FY2023-FY2025</t>
  </si>
  <si>
    <t>10-K filed 2026-02-20, accession 0001628280-26-010047</t>
  </si>
  <si>
    <t>R3.htm ("CONSOLIDATED STATEMENTS OF INCOME")</t>
  </si>
  <si>
    <t>Exact published $mm values; validated bit-for-bit against companyfacts.json us-gaap tags for the same years.</t>
  </si>
  <si>
    <t>FY2021-FY2022</t>
  </si>
  <si>
    <t>SEC companyfacts API (frames aggregated from FY2021/FY2022/FY2023 10-Ks)</t>
  </si>
  <si>
    <t>companyfacts.json — us-gaap:Revenues, CostOfGoodsAndServicesSold, GrossProfit, SellingGeneralAndAdministrativeExpense, OtherCostAndExpenseOperating, OperatingIncomeLoss, InvestmentIncomeInterest, InterestExpense, IncomeLossFromEquityMethodInvestments, OtherNonoperatingIncomeExpense, IncomeLossFromContinuingOperationsBeforeIncomeTaxes..., IncomeTaxExpenseBenefit, ProfitLoss, NetIncomeLossAttributableToNoncontrollingInterest, NetIncomeLoss, EarningsPerShareBasic/Diluted (USD/shares unit), WeightedAverageNumberOfSharesOutstandingBasic/Diluted</t>
  </si>
  <si>
    <t>No gaps — every IS line has a direct tag for both years; all internal tie-outs (Gross profit, Operating income, Pretax, NI chains) PASS exactly.</t>
  </si>
  <si>
    <t>BS_Hist</t>
  </si>
  <si>
    <t>FY2024-FY2025</t>
  </si>
  <si>
    <t>R5.htm ("CONSOLIDATED BALANCE SHEETS")</t>
  </si>
  <si>
    <t>Exact; ties in full with no residual.</t>
  </si>
  <si>
    <t>FY2021-FY2023</t>
  </si>
  <si>
    <t>SEC companyfacts API</t>
  </si>
  <si>
    <t>companyfacts.json — us-gaap:CashAndCashEquivalentsAtCarryingValue, OtherShortTermInvestments, MarketableSecurities, AccountsReceivableNetCurrent, InventoryNet, PrepaidExpenseAndOtherAssetsCurrent, AssetsOfDisposalGroupIncludingDiscontinuedOperation, AssetsCurrent, EquityMethodInvestments, DeferredIncomeTaxAssetsNet, PropertyPlantAndEquipmentNet, IndefiniteLivedTrademarks, Goodwill, OtherAssetsNoncurrent, Assets, AccountsPayableAndAccruedLiabilitiesCurrent, ShortTermBorrowings/NotesAndLoansPayable, LongTermDebtCurrent/LongTermDebtAndCapitalLeaseObligationsCurrent, AccruedIncomeTaxesCurrent, LiabilitiesOfDisposalGroupIncludingDiscontinuedOperation, LiabilitiesCurrent, LongTermDebtNoncurrent/LongTermDebtAndCapitalLeaseObligations, OtherLiabilitiesNoncurrent, DeferredIncomeTaxLiabilitiesNet, CommonStockValue, AdditionalPaidInCapitalCommonStock, RetainedEarningsAccumulatedDeficit, AccumulatedOtherComprehensiveIncomeLossNetOfTax, TreasuryStockValue, StockholdersEquity, MinorityInterest, StockholdersEquityIncludingPortionAttributableToNCI, LiabilitiesAndStockholdersEquity</t>
  </si>
  <si>
    <t>GAPS (both quantified, not estimated): (1) FY2021-FY2023 'Assets held for sale'/'Liabilities held for sale' verified NOT included in that year's published current subtotal (unlike FY24-25) — confirmed by exact reconciliation of tagged components to the published AssetsCurrent/LiabilitiesCurrent totals; treated as memo lines for FY21-23, on-subtotal for FY24-25 (see Checks_TieOut, year-conditional formula). (2) FY2021 non-current assets short by $1,603mm and FY2022 by $1,136mm vs. the audited Total Assets constant after summing all identified non-current tags — likely a component (e.g. 'other investments'/finance-lease assets) reclassified into 'Other noncurrent assets' starting the FY2023 10-K and not separately resolvable from this companyfacts pull. Booked as a single labeled 'Unallocated non-current assets (reconciling residual)' row so BS_Hist ties exactly to the audited Total Assets constant every year. FY2023-FY2025 have zero residual.</t>
  </si>
  <si>
    <t>CF_Hist</t>
  </si>
  <si>
    <t>R7.htm ("CONSOLIDATED STATEMENTS OF CASH FLOWS")</t>
  </si>
  <si>
    <t>Exact, full line-item detail.</t>
  </si>
  <si>
    <t>companyfacts.json — us-gaap:DepreciationDepletionAndAmortization, ShareBasedCompensation, DeferredIncomeTaxExpenseBenefit, IncomeLossFromEquityMethodInvestmentsNetOfDividendsOrDistributions, ForeignCurrencyTransactionGainLossBeforeTax (FY22 only), OtherOperatingActivitiesCashFlowStatement, IncreaseDecreaseInOperatingCapital, NetCashProvidedByUsedInOperatingActivities, PaymentsToAcquirePropertyPlantAndEquipment, ProceedsFromSaleOfPropertyPlantAndEquipment, NetCashProvidedByUsedInInvestingActivities, ProceedsFromIssuanceOfCommonStock, PaymentsForRepurchaseOfCommonStock, PaymentsOfDividends, ProceedsFromPaymentsForOtherFinancingActivities, NetCashProvidedByUsedInFinancingActivities, EffectOfExchangeRateOnCash..., CashCashEquivalentsRestrictedCash...PeriodIncreaseDecrease</t>
  </si>
  <si>
    <t>GAP (disclosed, not estimated): this companyfacts.json pull contains only the 'dei' and 'us-gaap' taxonomies — Coca-Cola's custom 'ko:' namespace tags (used for e.g. 'Significant gains/losses — net', 'Other items', FY2021 FX adjustment, and most FY21-22 CFI/CFF sub-lines) were not fetched, so those individual line items cannot be split for FY2021-FY2022. Each CF section combines its unavailable custom-tag lines into ONE row labeled '...GAP reconciling — FY21-22 combined', computed as published section subtotal minus the sum of available tagged lines — i.e. the total is exact and audited; only the internal split of that residual is unresolved. Recommend re-pulling company facts with the ko: namespace, or sourcing the FY2021/FY2022 10-Ks' own R-files, to close this gap in a future pass.</t>
  </si>
  <si>
    <t>CF_Hist beginning/end cash FY21-22</t>
  </si>
  <si>
    <t>Derived, not directly tagged</t>
  </si>
  <si>
    <t>Chained backward from the FY2023 10-K R7.htm beginning-of-2023 balance ($9,825mm) using the tagged net-change-in-cash figures for FY2022 and FY2021</t>
  </si>
  <si>
    <t>Exact by construction (chain identity verified in Checks_TieOut); FY2021/FY2022 restricted-cash memo split not available (companyfacts pull has no tag before FY2023), so BS-cash vs. CF-end-cash(incl. restricted) cross-check is only run for FY2023-FY2025.</t>
  </si>
  <si>
    <t>Excluded/ignored</t>
  </si>
  <si>
    <t>n/a</t>
  </si>
  <si>
    <t>Gate_9of10 sheet</t>
  </si>
  <si>
    <t>Self-certifying legacy sheet per Ola 2 build rules — not read, not replicated, not relied upon.</t>
  </si>
  <si>
    <t>Unit/scale check performed (Ola 1 "/1000" lesson): companyfacts.json values are absolute USD (e.g. Revenues FY2025 = 47,941,000,000); this workbook presents USD MILLIONS throughout IS_Hist/BS_Hist/CF_Hist, i.e. every value above was divided by 1,000,000 before being entered as a constant. Cross-checked against R3/R5/R7.htm which are natively labeled "$ in Millions" — exact match confirms no scale error.</t>
  </si>
  <si>
    <t>Forecast_IG — 5-year driver-built forecast (Base/Bull/Bear), anchored to audited FY2025A</t>
  </si>
  <si>
    <t>USD millions. Scenario toggle in B5 (1=Base, 2=Bull, 3=Bear). Revenue and margins normalized off FY2023-FY2025 3-yr average to avoid over-anchoring on FY2025A one-off items (large other income, low other operating charges). PARTIAL: driver set is revenue growth / gross margin / opex ratio / tax rate only — no segment, FX, or working-capital schedule build in this pass.</t>
  </si>
  <si>
    <t>Scenario (1=Base,2=Bull,3=Bear)</t>
  </si>
  <si>
    <t>Value</t>
  </si>
  <si>
    <t>Driver</t>
  </si>
  <si>
    <t>Selected</t>
  </si>
  <si>
    <t>Revenue growth, %/yr</t>
  </si>
  <si>
    <t>Gross margin, % of revenue</t>
  </si>
  <si>
    <t>SG&amp;A, % of revenue</t>
  </si>
  <si>
    <t>Other operating charges, % of revenue</t>
  </si>
  <si>
    <t>Net interest + equity income + other, % of revenue</t>
  </si>
  <si>
    <t>Effective tax rate, %</t>
  </si>
  <si>
    <t>NCI, % of consolidated net income</t>
  </si>
  <si>
    <t>FY2026E</t>
  </si>
  <si>
    <t>FY2027E</t>
  </si>
  <si>
    <t>FY2028E</t>
  </si>
  <si>
    <t>FY2029E</t>
  </si>
  <si>
    <t>FY2030E</t>
  </si>
  <si>
    <t>SG&amp;A</t>
  </si>
  <si>
    <t>Net interest + equity income + other</t>
  </si>
  <si>
    <t>Pretax income</t>
  </si>
  <si>
    <t>NCI</t>
  </si>
  <si>
    <t>Net income attributable to shareowners</t>
  </si>
  <si>
    <t>The Coca-Cola Company (KO) — Drivers de negocio del MD&amp;A y disclosures (FY2021A–FY2025A)</t>
  </si>
  <si>
    <t>USD millones salvo indicación. CAPA DE COBERTURA ADITIVA: no altera ninguna hoja histórica. Todo dato 'Reportado' es una constante publicada; todo 'Calculado' es fórmula viva. Los 'Tie' deben ser 0. Año fiscal de KO = año calendario (cierre 31-dic). Fuentes primarias: los cinco 10-K locales leídos con pdftotext (accessions en la fila 173).</t>
  </si>
  <si>
    <t>Métrica</t>
  </si>
  <si>
    <t>Unidad</t>
  </si>
  <si>
    <t>Fuente (documento - sección - accession)</t>
  </si>
  <si>
    <t>Estado</t>
  </si>
  <si>
    <t>1. VOLUMEN DEL SISTEMA</t>
  </si>
  <si>
    <t>Unit cases vendidos por el sistema Coca-Cola</t>
  </si>
  <si>
    <t>miles de millones de cajas unidad</t>
  </si>
  <si>
    <t>Item 7 MD&amp;A, 'Unit Case Volume' de cada 10-K: 31.3 (FY21, accn 0000021344-22-000009), 32.7 (FY22, 0000021344-23-000011), 33.3 (FY23, 0000021344-24-000009), 33.7 (FY24, 0000021344-25-000011), 33.8 (FY25, 0001628280-26-010047)</t>
  </si>
  <si>
    <t>Reportado</t>
  </si>
  <si>
    <t>Crecimiento interanual de unit cases (calc)</t>
  </si>
  <si>
    <t>n.a.</t>
  </si>
  <si>
    <t>Calculado (FY2020 fuera de la ventana del modelo)</t>
  </si>
  <si>
    <t>Calculado</t>
  </si>
  <si>
    <t>Ingreso por unit case (calc)</t>
  </si>
  <si>
    <t>USD/caja unidad</t>
  </si>
  <si>
    <t>Calculado: IS_Hist ventas netas / unit cases</t>
  </si>
  <si>
    <t>% del volumen mundial atribuible a operaciones de concentrado</t>
  </si>
  <si>
    <t>Item 7 MD&amp;A, tabla '% of total worldwide unit case volume attributable to concentrate operations and finished product operations' de cada 10-K</t>
  </si>
  <si>
    <t>% del volumen mundial atribuible a operaciones de producto terminado</t>
  </si>
  <si>
    <t>Misma tabla del Item 7 MD&amp;A</t>
  </si>
  <si>
    <t>Suma de los dos splits de volumen (calc, debe ser 100%)</t>
  </si>
  <si>
    <t>2. BRIDGE DE INGRESOS DEL MD&amp;A (contribución % al cambio de ventas netas vs año anterior; el emisor redondea cada componente a 1%)</t>
  </si>
  <si>
    <t>Volumen (concentrate sales / unit cases según segmento)</t>
  </si>
  <si>
    <t>Item 7 MD&amp;A 'Net Operating Revenues', tabla de factores (consolidado) de cada 10-K. FY2021 10-K accn 0000021344-22-000009 | FY2022 10-K 0000021344-23-000011 | FY2023 10-K 0000021344-24-000009 | FY2024 10-K 0000021344-25-000011 | FY2025 10-K 0001628280-26-010047</t>
  </si>
  <si>
    <t>Precio / mix</t>
  </si>
  <si>
    <t>Tipo de cambio (FX)</t>
  </si>
  <si>
    <t>Adquisiciones y desinversiones (incl. cambios estructurales)</t>
  </si>
  <si>
    <t>Total reportado</t>
  </si>
  <si>
    <t>Item 7 MD&amp;A 'Net Operating Revenues', tabla de factores (consolidado) de cada 10-K. FY2021 10-K accn 0000021344-22-000009 | FY2022 10-K 0000021344-23-000011 | FY2023 10-K 0000021344-24-000009 | FY2024 10-K 0000021344-25-000011 | FY2025 10-K 0001628280-26-010047. FY2021 es el cambio vs FY2020 (fuera de la ventana del modelo)</t>
  </si>
  <si>
    <t>Suma de componentes (calc; puede diferir del total por redondeo, declarado por el emisor)</t>
  </si>
  <si>
    <t>Crecimiento real de ventas netas (calc, IS_Hist)</t>
  </si>
  <si>
    <t>Calculado. FY2021 n.a. (FY2020 fuera de ventana)</t>
  </si>
  <si>
    <t>Delta total reportado − crecimiento real (calc; tolerancia de redondeo ±1.5pp)</t>
  </si>
  <si>
    <t>3. VENTAS NETAS A TERCEROS POR SEGMENTO OPERATIVO. QUIEBRE DE PRESENTACIÓN DECLARADO: FY2023–FY2025 según el 10-K FY2025 (Global Ventures disuelto y absorbido en los segmentos geográficos; los fees de Monster re-asignados; períodos anteriores re-presentados). FY2021–FY2022 según la presentación original del 10-K FY2023 (incluye Global Ventures). Las líneas NO son comparables entre vintages; los totales sí (ver bloque 10).</t>
  </si>
  <si>
    <t>EMEA (Europe, Middle East &amp; Africa)</t>
  </si>
  <si>
    <t>FY21-22: 10-K FY2023 (0000021344-24-000009), Nota 20 'Operating Segments', fila 'Third party' | FY23-25: 10-K FY2025 (0001628280-26-010047), Nota 20 'Operating Segments', fila 'Third party'</t>
  </si>
  <si>
    <t>Latin America</t>
  </si>
  <si>
    <t>North America</t>
  </si>
  <si>
    <t>Asia Pacific</t>
  </si>
  <si>
    <t>Global Ventures (solo FY21-22; absorbido en la re-presentación del 10-K FY2025)</t>
  </si>
  <si>
    <t>n.a. (recast)</t>
  </si>
  <si>
    <t>Reportado (FY21-22)</t>
  </si>
  <si>
    <t>Bottling Investments</t>
  </si>
  <si>
    <t>Corporate</t>
  </si>
  <si>
    <t>Total ventas netas a terceros (calc)</t>
  </si>
  <si>
    <t>Suma de los segmentos divulgados (SUM ignora las celdas de texto del recast)</t>
  </si>
  <si>
    <t>Tie: segmentos − IS_Hist ventas netas</t>
  </si>
  <si>
    <t>IS_Hist!B5:F5 (estados auditados, sin modificar)</t>
  </si>
  <si>
    <t>Tie (debe ser 0)</t>
  </si>
  <si>
    <t>Mix por segmento (% de ventas netas consolidadas; recordar el quiebre de presentación FY22→FY23)</t>
  </si>
  <si>
    <t>Mix - EMEA</t>
  </si>
  <si>
    <t>Calculado sobre el total a terceros</t>
  </si>
  <si>
    <t>Mix - Latin America</t>
  </si>
  <si>
    <t>Mix - North America</t>
  </si>
  <si>
    <t>Mix - Asia Pacific</t>
  </si>
  <si>
    <t>Mix - Bottling Investments</t>
  </si>
  <si>
    <t>UTILIDAD OPERATIVA POR SEGMENTO Y RECONCILIACIÓN AL ESTADO DE RESULTADOS (la conciliación del emisor: suma de segmentos + Corporate = utilidad operativa consolidada)</t>
  </si>
  <si>
    <t>EMEA - utilidad operativa</t>
  </si>
  <si>
    <t>FY21-22: 10-K FY2023 (0000021344-24-000009), Nota 20, fila 'Operating income (loss)' | FY23-25: 10-K FY2025 (0001628280-26-010047), Nota 20, fila 'Operating income (loss)'</t>
  </si>
  <si>
    <t>Latin America - utilidad operativa</t>
  </si>
  <si>
    <t>North America - utilidad operativa</t>
  </si>
  <si>
    <t>Asia Pacific - utilidad operativa</t>
  </si>
  <si>
    <t>Global Ventures - utilidad operativa (solo FY21-22)</t>
  </si>
  <si>
    <t>Bottling Investments - utilidad operativa</t>
  </si>
  <si>
    <t>Corporate - utilidad (pérdida) operativa</t>
  </si>
  <si>
    <t>Utilidad operativa consolidada (calc)</t>
  </si>
  <si>
    <t>Conciliación del emisor reproducida como fórmula viva</t>
  </si>
  <si>
    <t>Tie: reconciliación − IS_Hist utilidad operativa</t>
  </si>
  <si>
    <t>IS_Hist!B10:F10</t>
  </si>
  <si>
    <t>Margen operativo por segmento (calc; utilidad operativa del segmento / ventas a terceros del segmento)</t>
  </si>
  <si>
    <t>Margen operativo - EMEA</t>
  </si>
  <si>
    <t>Margen operativo - Latin America</t>
  </si>
  <si>
    <t>Margen operativo - North America</t>
  </si>
  <si>
    <t>Margen operativo - Asia Pacific</t>
  </si>
  <si>
    <t>Margen operativo - Bottling Investments</t>
  </si>
  <si>
    <t>COGS POR SEGMENTO (solo FY2023–FY2025; el 10-K FY2025 divulga el costo por segmento con Corporate y eliminaciones en la nueva presentación)</t>
  </si>
  <si>
    <t>COGS - EMEA</t>
  </si>
  <si>
    <t>10-K FY2025 (0001628280-26-010047), Nota 20, fila 'Cost of goods sold' por segmento</t>
  </si>
  <si>
    <t>Reportado (solo FY23-25)</t>
  </si>
  <si>
    <t>COGS - Latin America</t>
  </si>
  <si>
    <t>COGS - North America</t>
  </si>
  <si>
    <t>COGS - Asia Pacific</t>
  </si>
  <si>
    <t>COGS - Bottling Investments</t>
  </si>
  <si>
    <t>COGS - Corporate</t>
  </si>
  <si>
    <t>COGS - Eliminaciones</t>
  </si>
  <si>
    <t>Total COGS por segmento (calc)</t>
  </si>
  <si>
    <t>Tie: COGS segmentos − IS_Hist costo de ventas</t>
  </si>
  <si>
    <t>IS_Hist!D6:F6</t>
  </si>
  <si>
    <t>4. OPERACIONES DE CONCENTRADO VS PRODUCTO TERMINADO (Nota 3 'Revenue Recognition' — dólares; Item 7 MD&amp;A — porcentajes redondeados)</t>
  </si>
  <si>
    <t>Ventas netas - operaciones de concentrado</t>
  </si>
  <si>
    <t>FY21-22: 10-K FY2023 (0000021344-24-000009), Nota 3 'Revenue Recognition', tabla de desagregación EE.UU./Internacional × línea de negocio | FY23-25: 10-K FY2025 (0001628280-26-010047), Nota 3, misma tabla</t>
  </si>
  <si>
    <t>Ventas netas - operaciones de producto terminado</t>
  </si>
  <si>
    <t>Total (calc)</t>
  </si>
  <si>
    <t>Tie: concentrado + producto terminado − IS_Hist ventas netas</t>
  </si>
  <si>
    <t>IS_Hist!B5:F5</t>
  </si>
  <si>
    <t>% de ventas de concentrado reportado (MD&amp;A, redondeado a 1%)</t>
  </si>
  <si>
    <t>Item 7 MD&amp;A, tabla '% of total net operating revenues attributable to concentrate operations...' de cada 10-K</t>
  </si>
  <si>
    <t>% de concentrado calculado desde la Nota 3 (calc)</t>
  </si>
  <si>
    <t>Delta % reportado − calculado (redondeo del emisor a 1% → tolerancia ±0.5pp)</t>
  </si>
  <si>
    <t>Ventas netas - Estados Unidos (Nota 3)</t>
  </si>
  <si>
    <t>Ventas netas - Internacional (Nota 3)</t>
  </si>
  <si>
    <t>Tie: EE.UU. + Internacional − IS_Hist ventas netas</t>
  </si>
  <si>
    <t>% internacional de las ventas netas (calc)</t>
  </si>
  <si>
    <t>Memo cualitativo: las operaciones de producto terminado generan más ingreso por caja pero MENOR margen bruto que las de concentrado (declaración del emisor, Item 1)</t>
  </si>
  <si>
    <t>texto</t>
  </si>
  <si>
    <t>10-K FY2025, Item 1 'Business' — 'Generally, finished product operations generate higher net operating revenues but lower gross profit margins than concentrate operations'</t>
  </si>
  <si>
    <t>Reportado (cualitativo)</t>
  </si>
  <si>
    <t>5. DRIVERS DE TIPO DE CAMBIO (FX)</t>
  </si>
  <si>
    <t>Ventas netas generadas fuera de EE.UU. según Item 7A (redondeado a USD 0.1bn por el emisor)</t>
  </si>
  <si>
    <t>Item 7A 'Quantitative and Qualitative Disclosures About Market Risk' - 'Foreign Currency Exchange Rates' de cada 10-K: 25.6/27.6/29.2/28.7/28.8 USD bn</t>
  </si>
  <si>
    <t>Tie: Item 7A − Nota 3 Internacional (dos secciones independientes del filing; tolerancia ±50 por el redondeo a 0.1bn)</t>
  </si>
  <si>
    <t>Fila 81 (Nota 3) vs fila 87 (Item 7A)</t>
  </si>
  <si>
    <t>Tie (±50)</t>
  </si>
  <si>
    <t>Notional total de derivados FX</t>
  </si>
  <si>
    <t>Item 7A 'Foreign Currency Exchange Rates' de cada 10-K (incluye designados y económicos)</t>
  </si>
  <si>
    <t>Notional FX / ventas netas (calc)</t>
  </si>
  <si>
    <t>x</t>
  </si>
  <si>
    <t>Composición del notional FX FY2025 (Nota 16 'Hedging Transactions and Derivative Financial Instruments'):</t>
  </si>
  <si>
    <t>Designado - cash flow hedge de flujos pronosticados</t>
  </si>
  <si>
    <t>10-K FY2025 (0001628280-26-010047), Nota 16, 'foreign currency cash flow hedging program'</t>
  </si>
  <si>
    <t>Reportado (solo FY2025)</t>
  </si>
  <si>
    <t>Designado - cross-currency swaps (activos/pasivos en moneda extranjera)</t>
  </si>
  <si>
    <t>10-K FY2025, Nota 16</t>
  </si>
  <si>
    <t>Designado - net investment hedge (solo CONTRATOS FX; la deuda en moneda extranjera del programa no es un derivado)</t>
  </si>
  <si>
    <t>10-K FY2025, Nota 16, tabla de net investment hedges</t>
  </si>
  <si>
    <t>Económico (no designado)</t>
  </si>
  <si>
    <t>10-K FY2025, Nota 16, economic (non-designated) hedging</t>
  </si>
  <si>
    <t>Suma de la composición (calc)</t>
  </si>
  <si>
    <t>Tie: composición de la Nota 16 − notional total del Item 7A (dos secciones independientes del filing)</t>
  </si>
  <si>
    <t>Fila 89 vs fila 96</t>
  </si>
  <si>
    <t>Sensibilidad FY2025: Δ valor razonable si el USD se debilita 10% - derivados designados</t>
  </si>
  <si>
    <t>10-K FY2025, Item 7A</t>
  </si>
  <si>
    <t>Sensibilidad FY2025: ídem - derivados NO designados</t>
  </si>
  <si>
    <t>Memo: deuda denominada en moneda extranjera designada como net investment hedge (no es derivado; fuera del notional)</t>
  </si>
  <si>
    <t>Guía del emisor para 2026: espera impacto FX FAVORABLE en ventas netas (spot + coberturas vigentes)</t>
  </si>
  <si>
    <t>10-K FY2025, Item 7 MD&amp;A 'Net Operating Revenues'</t>
  </si>
  <si>
    <t>6. COBERTURAS DE COMMODITIES (sweeteners, metales, jugos, PET, combustibles)</t>
  </si>
  <si>
    <t>Notional total de derivados de commodities</t>
  </si>
  <si>
    <t>Item 7A 'Commodity Prices' de cada 10-K</t>
  </si>
  <si>
    <t>Notional commodities / costo de ventas (calc)</t>
  </si>
  <si>
    <t>FY2025 - designado cash flow hedge</t>
  </si>
  <si>
    <t>10-K FY2025, Nota 16, commodity cash flow hedging program</t>
  </si>
  <si>
    <t>FY2025 - económico (no designado)</t>
  </si>
  <si>
    <t>Tie: composición de la Nota 16 − notional total del Item 7A</t>
  </si>
  <si>
    <t>Fila 104 vs 106+107</t>
  </si>
  <si>
    <t>Sensibilidad FY2025: Δ valor razonable si commodities caen 10% - designados</t>
  </si>
  <si>
    <t>Sensibilidad FY2025: ídem - NO designados</t>
  </si>
  <si>
    <t>Gestión primaria del riesgo de commodities: supplier pricing agreements (los derivados son complemento)</t>
  </si>
  <si>
    <t>10-K FY2025, Item 7A 'Commodity Prices'</t>
  </si>
  <si>
    <t>7. WORKING CAPITAL (enlaces vivos a las hojas históricas auditadas + detalle de la Nota 21 del 10-K FY2025)</t>
  </si>
  <si>
    <t>Cuentas por cobrar comerciales, neto</t>
  </si>
  <si>
    <t>BS_Hist!B9:F9</t>
  </si>
  <si>
    <t>Enlace vivo</t>
  </si>
  <si>
    <t>Inventarios</t>
  </si>
  <si>
    <t>BS_Hist!B10:F10</t>
  </si>
  <si>
    <t>Cuentas por pagar y gastos acumulados (línea COMBINADA del balance)</t>
  </si>
  <si>
    <t>BS_Hist!B26:F26</t>
  </si>
  <si>
    <t>DSO - días de cobro (calc)</t>
  </si>
  <si>
    <t>días</t>
  </si>
  <si>
    <t>Calculado: AR/ventas × 365</t>
  </si>
  <si>
    <t>DIO - días de inventario (calc)</t>
  </si>
  <si>
    <t>Calculado: inventario/COGS × 365</t>
  </si>
  <si>
    <t>DPO - días de pago (calc; SOBRESTIMADO: el balance de KO combina payables comerciales con gastos acumulados y no publica el split)</t>
  </si>
  <si>
    <t>Calculado: (AP+accrued)/COGS × 365</t>
  </si>
  <si>
    <t>Calculado (limitación declarada)</t>
  </si>
  <si>
    <t>Ciclo de conversión de caja (calc; hereda la sobrestimación del DPO)</t>
  </si>
  <si>
    <t>Calculado: DSO + DIO − DPO</t>
  </si>
  <si>
    <t>Cambio neto en activos y pasivos operativos (CF)</t>
  </si>
  <si>
    <t>CF_Hist!B15:F15</t>
  </si>
  <si>
    <t>Detalle de la Nota 21 del 10-K FY2025 (solo FY2023–FY2025):</t>
  </si>
  <si>
    <t>(Aumento) disminución en cuentas por cobrar comerciales</t>
  </si>
  <si>
    <t>10-K FY2025 (0001628280-26-010047), Nota 21 'Net Change in Operating Assets and Liabilities'</t>
  </si>
  <si>
    <t>(Aumento) disminución en inventarios</t>
  </si>
  <si>
    <t>(Aumento) disminución en prepagados y otros activos</t>
  </si>
  <si>
    <t>Aumento (disminución) en cuentas por pagar y gastos acumulados</t>
  </si>
  <si>
    <t>Aumento (disminución) en impuestos acumulados</t>
  </si>
  <si>
    <t>Aumento (disminución) en otros pasivos no corrientes</t>
  </si>
  <si>
    <t>Suma del detalle (calc)</t>
  </si>
  <si>
    <t>Tie: detalle Nota 21 − CF_Hist cambio neto en activos y pasivos operativos</t>
  </si>
  <si>
    <t>CF_Hist!D15:F15</t>
  </si>
  <si>
    <t>8. OTRAS MÉTRICAS DIVULGADAS</t>
  </si>
  <si>
    <t>Empleados (aprox.)</t>
  </si>
  <si>
    <t>personas</t>
  </si>
  <si>
    <t>Item 1 'Business' - 'Human Capital' de cada 10-K: 79,000/82,500/79,100/69,700/65,900. La caída FY24-25 refleja principalmente el refranchising de embotelladoras (Filipinas, Bangladesh, India)</t>
  </si>
  <si>
    <t>Empleados en EE.UU. (aprox.)</t>
  </si>
  <si>
    <t>Item 1 'Human Capital' de cada 10-K</t>
  </si>
  <si>
    <t>Ventas netas por empleado (calc)</t>
  </si>
  <si>
    <t>USD miles</t>
  </si>
  <si>
    <t>Dividendo por acción declarado (anualizado)</t>
  </si>
  <si>
    <t>USD/acción</t>
  </si>
  <si>
    <t>Estados de cambios en el patrimonio: 10-K FY2023 'Dividends (per share — $1.84, $1.76 and $1.68...)' y 10-K FY2025 '($2.04, $1.94 and $1.84...)'</t>
  </si>
  <si>
    <t>Dividendos pagados (CF)</t>
  </si>
  <si>
    <t>CF_Hist!B36:F36 (publicado como salida negativa; signo invertido)</t>
  </si>
  <si>
    <t>Payout sobre utilidad neta atribuible (calc)</t>
  </si>
  <si>
    <t>DPS × acciones diluidas promedio vs dividendos pagados - delta % (calc; declarado-vs-pagado, banda ±2% en el check 42)</t>
  </si>
  <si>
    <t>Calculado: IS_Hist!B24:F24 (diluidas promedio)</t>
  </si>
  <si>
    <t>Memo: dividendo 2026 anunciado en feb-2026: USD 2.12/acción (64º aumento anual consecutivo)</t>
  </si>
  <si>
    <t>10-K FY2025, Item 7 MD&amp;A (junta de febrero 2026: dividendo trimestral 0.53)</t>
  </si>
  <si>
    <t>Reportado (evento posterior al cierre)</t>
  </si>
  <si>
    <t>9. MÉTRICAS QUE KO NO DIVULGA EN EL 10-K (declaradas, no inventadas)</t>
  </si>
  <si>
    <t>Unit cases en valor absoluto por segmento</t>
  </si>
  <si>
    <t>NOT_AVAILABLE</t>
  </si>
  <si>
    <t>El 10-K solo divulga el total mundial (fila 7) y los % de crecimiento por segmento; no hay serie de cajas por segmento</t>
  </si>
  <si>
    <t>Volumen por marca / categoría en unidades</t>
  </si>
  <si>
    <t>Solo % cualitativos en el Item 1/MD&amp;A (p.ej. Trademark Coca-Cola = 47% del volumen mundial en 2025; sparkling = 69%); sin serie en unidades</t>
  </si>
  <si>
    <t>Impacto FX en DÓLARES sobre ventas netas o utilidad operativa</t>
  </si>
  <si>
    <t>KO divulga la contribución FX solo como % redondeado (bridge, fila 18) y narrativa; no publica un puente FX en dólares</t>
  </si>
  <si>
    <t>Split de cuentas por pagar comerciales vs gastos acumulados</t>
  </si>
  <si>
    <t>El balance publica una sola línea combinada (BS_Hist!26); el DPO real no es computable (limitación declarada en las filas 119-120)</t>
  </si>
  <si>
    <t>Detalle de líneas del CF FY2021-FY2022 con custom tags ko:</t>
  </si>
  <si>
    <t>GAP heredado de Ola 2, ya declarado y cuantificado en Sources_Audited!A9 (filas GAP de CF_Hist); no se re-estima aquí</t>
  </si>
  <si>
    <t>10. MEMO DUAL-VINTAGE FY2023 — el mismo año en la presentación ORIGINAL del 10-K FY2023 (con Global Ventures), tecleado como constantes independientes del bloque 3</t>
  </si>
  <si>
    <t>EMEA (presentación original)</t>
  </si>
  <si>
    <t>10-K FY2023 (0000021344-24-000009), Nota 20 'Operating Segments', fila 'Third party', año 2023 (presentación original)</t>
  </si>
  <si>
    <t>Reportado (memo)</t>
  </si>
  <si>
    <t>Latin America (presentación original)</t>
  </si>
  <si>
    <t>North America (presentación original)</t>
  </si>
  <si>
    <t>Asia Pacific (presentación original)</t>
  </si>
  <si>
    <t>Global Ventures (presentación original)</t>
  </si>
  <si>
    <t>Bottling Investments (presentación original)</t>
  </si>
  <si>
    <t>Corporate (presentación original)</t>
  </si>
  <si>
    <t>Suma de la presentación original (calc)</t>
  </si>
  <si>
    <t>Tie: presentación original − IS_Hist FY2023 (el total consolidado debe coincidir entre vintages)</t>
  </si>
  <si>
    <t>IS_Hist!D5</t>
  </si>
  <si>
    <t>El total consolidado coincide entre ambos vintages (45,754); las líneas NO son comparables: en el 10-K FY2025 Global Ventures se disolvió, sus negocios (Costa y otros) y los fees de Monster se re-asignaron a los segmentos geográficos, y FY2023-FY2024 se re-presentaron.</t>
  </si>
  <si>
    <t>11. PUENTE AL MOTOR DE PRONÓSTICO (Forecast!B5:B10 y Sector_KPIs!C7:C11 usan el bridge FY2025 y las anclas FY2025A)</t>
  </si>
  <si>
    <t>Delta: Forecast!B5 (contribución de volumen FY2025A) − bridge reportado</t>
  </si>
  <si>
    <t>mixta</t>
  </si>
  <si>
    <t>Anclas del motor vs serie del filing</t>
  </si>
  <si>
    <t>Delta: Forecast!B6 (precio/mix) − bridge reportado</t>
  </si>
  <si>
    <t>Delta: Forecast!B7 (FX) − bridge reportado</t>
  </si>
  <si>
    <t>Delta: Forecast!B8 (estructural) − bridge reportado</t>
  </si>
  <si>
    <t>Delta: Forecast!B9 (crecimiento total FY2025A) − bridge total reportado</t>
  </si>
  <si>
    <t>Delta: Forecast!B10 (ancla de ventas FY2025A) − IS_Hist!F5</t>
  </si>
  <si>
    <t>Delta: Sector_KPIs!C7:C11 (bridge FY2025) − este bloque (suma de |deltas|)</t>
  </si>
  <si>
    <t>Delta: Sector_KPIs!B5/C5 (unit cases FY24/FY25) − serie del bloque 1 (suma de |deltas|)</t>
  </si>
  <si>
    <t>Delta: Sector_KPIs!B6/C6 (ancla de ingresos FY24/FY25) − IS_Hist (suma de |deltas|)</t>
  </si>
  <si>
    <t>NOTA DE CABLEADO: el motor Forecast construye el crecimiento como suma de contribuciones (volumen + precio/mix + FX + estructural) ancladas al bridge FY2025 del MD&amp;A; este bloque verifica esas anclas. Los ESCENARIOS de Assumptions son SUPUESTOS, no historia (Base: volumen 1.5% vs 1.0% reportado FY2025; FX 0% vs −2%): NO deben igualar el bridge y por eso NO tienen tie.</t>
  </si>
  <si>
    <t>Forecast_IG ancla por fórmula viva (=IS_Hist!F5×(1+E7)): un tie sería tautológico y no se agrega (regla anti-Amazon).</t>
  </si>
  <si>
    <t>MAPA DE ACCESSIONS: FY2021 10-K accn 0000021344-22-000009 | FY2022 10-K 0000021344-23-000011 | FY2023 10-K 0000021344-24-000009 | FY2024 10-K 0000021344-25-000011 | FY2025 10-K 0001628280-26-010047 | 10-Q Q2 FY2026 accn 0001628280-26-050503 (radicado 2026-07-29; descargado de EDGAR el 2026-08-14 — no estaba en el paquete local, cuyo pull es del 2026-07-16/21)</t>
  </si>
  <si>
    <t>COBERTURA DECLARADA — MECANIZADO CON TIE (delta 0 contra hoja histórica auditada o contra sección independiente del filing): filas 34 (segmentos), 52 (utilidad operativa), 70 (COGS FY23-25), 76 y 82 (Nota 3 en dólares), 88 (Item 7A vs Nota 3), 97 y 108 (composición de notionales), 130 (Nota 21), 158 (dual-vintage FY2023) y 162-170 (puente al motor). Son los checks 32-41 y 52 de Checks_TieOut.</t>
  </si>
  <si>
    <t>SIN TIE MECANIZADO, EXIGEN VERIFICACIÓN MANUAL CONTRA EL FILING: filas 7 (unit cases), 10-11 (split de volumen), 16-20 (bridge: amarrado solo por redondeo, checks 35/38), 73-74 y 80-81 (amarradas en SUMA por 76/82, no línea a línea), 89 y 104 (notionales: amarrados en conjunto por 97/108), 92-95, 106-107 (composición), 98-99, 109-110 (sensibilidades), 123-128 (Nota 21: amarradas en suma por el check 41), 133-134 (empleados), 136 (DPS: banda ±2% del check 42). El check 44 les aplica BANDAS DE PLAUSIBILIDAD: caza un valor absurdo; una cifra plausible y equivocada pasa igual.</t>
  </si>
  <si>
    <t>LÍMITE ESTRUCTURAL DE LOS TIES DE SUMA: un tie de total NO caza permutaciones que conserven la suma (intercambiar EMEA y North America pasaría). KO no ofrece un cruce línea-a-línea independiente como el de Apple (China segmento vs China país); el dual-vintage FY2023 amarra solo el total y el split EE.UU./Internacional de la Nota 3 amarra solo esa partición. La verificación línea por línea es humana; accessions en la fila 173.</t>
  </si>
  <si>
    <t>REGLA DE LECTURA: "47 de 47 PASS" significa que los asserts mecanizados están en verde, NO que las series estén verificadas cifra por cifra contra el filing. Lo que el instrumento caza: roturas de suma, roturas de cableado, anclas rotas, valores fuera de banda, desfases de procedencia. Lo que NO caza: una cifra plausible y equivocada dentro de banda, o una permutación que conserve totales.</t>
  </si>
  <si>
    <t>The Coca-Cola Company (KO) — Paquete de mercado fechado y costo de capital</t>
  </si>
  <si>
    <t>Cada input de mercado lleva su fuente y su FECHA (serial). Los enlaces al balance y al estado de resultados son fórmulas vivas contra las hojas históricas auditadas (que esta hoja NO modifica). Fechas: 46247 = 2026-08-13, 46248 = 2026-08-14, 46230 = 2026-07-27, 46206 = 2026-07-03, 46023 = 2026-01-01, 46022 = 2025-12-31, 45835 = 2025-06-27.</t>
  </si>
  <si>
    <t>Concepto</t>
  </si>
  <si>
    <t>Valor</t>
  </si>
  <si>
    <t>Fecha del dato (as-of)</t>
  </si>
  <si>
    <t>Fuente</t>
  </si>
  <si>
    <t>Nota / método</t>
  </si>
  <si>
    <t>1. PRECIO Y ACCIONES</t>
  </si>
  <si>
    <t>Precio de la acción (cierre)</t>
  </si>
  <si>
    <t>stockanalysis.com/stocks/ko/history/ — histórico diario de KO</t>
  </si>
  <si>
    <t>Recuperado 2026-08-14. Cierre del 2026-08-13: apertura 87.14, máx 87.75, mín 86.91, volumen 9,974,842. CONFIRMADO de forma independiente contra Yahoo Finance (chart API v8): cierre 2026-08-13 = 87.42; los cierres del 08-11 (86.48) y 08-12 (86.71) también coinciden entre ambas fuentes</t>
  </si>
  <si>
    <t>Acciones en circulación</t>
  </si>
  <si>
    <t>millones de acciones</t>
  </si>
  <si>
    <t>SEC Form 10-Q Q2 FY2026, portada (accn 0001628280-26-050503), 'Shares Outstanding as of July 27, 2026'</t>
  </si>
  <si>
    <t>4,302,549,243 acciones de USD 0.25 par. Es el conteo más reciente publicado por la compañía. Descargado de EDGAR el 2026-08-14 (no estaba en el paquete local)</t>
  </si>
  <si>
    <t>Memo — acciones usadas hoy en el DCF (Historical!B20)</t>
  </si>
  <si>
    <t>Historical!B20 (política de acciones del DCF)</t>
  </si>
  <si>
    <t>Enlace vivo. 4,300.723m; deriva vs el conteo del 10-Q: +0.04%</t>
  </si>
  <si>
    <t>Memo — acciones diluidas promedio, 6M FY2026</t>
  </si>
  <si>
    <t>10-Q Q2 FY2026, Estado Condensado de Resultados</t>
  </si>
  <si>
    <t>Base diluida promedio del semestre</t>
  </si>
  <si>
    <t>Capitalización de mercado</t>
  </si>
  <si>
    <t>Calculado: precio de cierre × acciones en circulación</t>
  </si>
  <si>
    <t>Usa el conteo primario más reciente (B8), no el del DCF</t>
  </si>
  <si>
    <t>2. PUENTE A ENTERPRISE VALUE (balance FY2025A del propio modelo, 2025-12-31)</t>
  </si>
  <si>
    <t>Efectivo y equivalentes</t>
  </si>
  <si>
    <t>BS_Hist!F6 — 10-K FY2025, balance auditado</t>
  </si>
  <si>
    <t>Enlace vivo a la hoja histórica</t>
  </si>
  <si>
    <t>Inversiones de corto plazo</t>
  </si>
  <si>
    <t>BS_Hist!F7</t>
  </si>
  <si>
    <t>Valores negociables (marketable securities)</t>
  </si>
  <si>
    <t>BS_Hist!F8</t>
  </si>
  <si>
    <t>Total efectivo e inversiones</t>
  </si>
  <si>
    <t>Loans and notes payable (papel comercial y similares)</t>
  </si>
  <si>
    <t>BS_Hist!F27</t>
  </si>
  <si>
    <t>Porción corriente de la deuda de largo plazo</t>
  </si>
  <si>
    <t>BS_Hist!F28</t>
  </si>
  <si>
    <t>Deuda de largo plazo</t>
  </si>
  <si>
    <t>BS_Hist!F33</t>
  </si>
  <si>
    <t>Deuda bruta total</t>
  </si>
  <si>
    <t>Incluye loans and notes payable</t>
  </si>
  <si>
    <t>Deuda neta</t>
  </si>
  <si>
    <t>Positivo = deuda neta</t>
  </si>
  <si>
    <t>Calculado: cap. de mercado + deuda bruta − efectivo e inversiones</t>
  </si>
  <si>
    <t>Precio al 2026-08-13 contra balance al 2025-12-31</t>
  </si>
  <si>
    <t>Memo — deuda usada hoy en Valuation!G13 (vía Historical!B19)</t>
  </si>
  <si>
    <t>Historical!B19</t>
  </si>
  <si>
    <t>Tag combinado LongTermDebtAndCapitalLeaseObligationsIncludingCurrentMaturities (43,941) + other short-term borrowings (56)</t>
  </si>
  <si>
    <t>Memo — diferencia vs la deuda bruta de esta hoja</t>
  </si>
  <si>
    <t>HALLAZGO H1: son los loans and notes payable del balance (BS_Hist!F27 = 1,551) menos los 56 de other short-term borrowings ya incluidos (Historical!B25). El puente de deuda del DCF subestima la deuda bruta en 1,495. NO se corrige aquí: se expone y el check 47 lo mecaniza</t>
  </si>
  <si>
    <t>Memo — activos líquidos usados hoy en Valuation!G12 (vía Historical!B18)</t>
  </si>
  <si>
    <t>Historical!B18</t>
  </si>
  <si>
    <t>Política declarada del DCF: solo caja</t>
  </si>
  <si>
    <t>Memo — diferencia de activos líquidos</t>
  </si>
  <si>
    <t>HALLAZGO H2: el DCF omite las inversiones de corto plazo (3,602) y los valores negociables (1,934) = 5,536 (exactamente BS_Hist!F7+F8). El check 48 lo mecaniza</t>
  </si>
  <si>
    <t>3. COSTO DE CAPITAL</t>
  </si>
  <si>
    <t>Tasa libre de riesgo (UST 10 años, par yield)</t>
  </si>
  <si>
    <t>home.treasury.gov — Daily Treasury Par Yield Curve Rates, columna '10 Yr' (CSV primario descargado 2026-08-14)</t>
  </si>
  <si>
    <t>Fuente primaria del Tesoro de EE.UU. Misma fecha: 20Y 5.20%, 30Y 5.21%, 2Y 4.15%. Mismo Rf fechado que el resto de la flota USD de esta corrida (un solo Rf del Tesoro por corrida, patrón del playbook)</t>
  </si>
  <si>
    <t>Prima de riesgo de mercado (ERP implícita, S&amp;P 500)</t>
  </si>
  <si>
    <t>A. Damodaran (NYU Stern), 'Implied Equity Risk Premiums — United States' (histimpl.html), actualización de enero 2026</t>
  </si>
  <si>
    <t>ERP implícita FCFE del cierre de 2025; misma ERP fechada que el resto de la flota USD de esta corrida</t>
  </si>
  <si>
    <t>Beta (5 años, mensual, vs S&amp;P 500)</t>
  </si>
  <si>
    <t>stockanalysis.com/stocks/ko/</t>
  </si>
  <si>
    <t>PROVEEDOR ÚNICO en esta corrida: los cross-checks intentados quedaron inaccesibles desde esta sesión (investing.com 403, WSJ 401, Yahoo quoteSummary bloqueado por crumb). Limitación L1. Nivel plausible para un consumer staple defensivo. NO es una beta propia: es de proveedor</t>
  </si>
  <si>
    <t>Costo de capital propio (CAPM)</t>
  </si>
  <si>
    <t>Calculado: Rf + beta × ERP</t>
  </si>
  <si>
    <t>Costo de deuda antes de impuestos</t>
  </si>
  <si>
    <t>FRED (Federal Reserve Bank of St. Louis) — serie primaria BAMLC0A3CAEY, ICE BofA Single-A US Corporate Index Effective Yield; fredgraph.csv descargado 2026-08-14</t>
  </si>
  <si>
    <t>Benchmark de índice para emisor calificado A+/A1 (la calificación del propio KO según su 10-K FY2025: S&amp;P 'A+', Moody's 'A1'; papel comercial A-1/P-1). Observación del 2026-08-13. Referencia AA misma fecha: 5.20% (BAMLC0A2CAAEY). Es el costo MARGINAL de mercado, no el cupón promedio de la deuda viva</t>
  </si>
  <si>
    <t>Memo — calificación crediticia del emisor</t>
  </si>
  <si>
    <t>A+ (S&amp;P) / A1 (Moody's)</t>
  </si>
  <si>
    <t>rating</t>
  </si>
  <si>
    <t>10-K FY2025, Item 7 MD&amp;A 'Liquidity, Capital Resources and Financial Position'</t>
  </si>
  <si>
    <t>Divulgada al 2025-12-31 en el propio filing</t>
  </si>
  <si>
    <t>Tasa efectiva de impuestos (FY2025A del modelo)</t>
  </si>
  <si>
    <t>IS_Hist!F16 / IS_Hist!F15</t>
  </si>
  <si>
    <t>Enlace vivo: 2,861 / 15,998 = 17.9%. El check 49 exige que siga siendo enlace vivo</t>
  </si>
  <si>
    <t>Memo — tasa estatutaria federal de EE.UU.</t>
  </si>
  <si>
    <t>10-K FY2025, nota de impuestos</t>
  </si>
  <si>
    <t>Referencia para una versión marginal del escudo fiscal</t>
  </si>
  <si>
    <t>Costo de deuda después de impuestos</t>
  </si>
  <si>
    <t>Calculado: Kd × (1 − t)</t>
  </si>
  <si>
    <t>Valor de mercado del capital (E)</t>
  </si>
  <si>
    <t>Deuda bruta (D)</t>
  </si>
  <si>
    <t>Valor en libros como proxy del valor de mercado</t>
  </si>
  <si>
    <t>Capital total (D+E)</t>
  </si>
  <si>
    <t>Peso del capital propio</t>
  </si>
  <si>
    <t>Peso de la deuda</t>
  </si>
  <si>
    <t>Calculado: We × Ke + Wd × Kd × (1 − t)</t>
  </si>
  <si>
    <t>Fórmula viva: mover B30, B31, B32 o B34 mueve el WACC</t>
  </si>
  <si>
    <t>Memo — WACC usado hoy en el DCF (escenario activo)</t>
  </si>
  <si>
    <t>Assumptions!F16 (selector Assumptions!B3)</t>
  </si>
  <si>
    <t>Escenario Base: 7.5%</t>
  </si>
  <si>
    <t>Memo — diferencia (este paquete − modelo)</t>
  </si>
  <si>
    <t>HALLAZGO H4 (contraste, no error): la beta de proveedor 0.34 produce Ke 6.07% y WACC 5.88%, muy por debajo del 7.5% del escenario Base. Cablearlo movería outputs gateados y rompería el diseño Base/Bull/Bear: se deja como contraste declarado</t>
  </si>
  <si>
    <t>4. MÚLTIPLOS IMPLÍCITOS vs FY2025A DEL MODELO</t>
  </si>
  <si>
    <t>Ventas netas FY2025A</t>
  </si>
  <si>
    <t>IS_Hist!F5</t>
  </si>
  <si>
    <t>Utilidad operativa FY2025A</t>
  </si>
  <si>
    <t>IS_Hist!F10</t>
  </si>
  <si>
    <t>Depreciación y amortización FY2025A</t>
  </si>
  <si>
    <t>CF_Hist!F7</t>
  </si>
  <si>
    <t>EBITDA FY2025A (calc)</t>
  </si>
  <si>
    <t>Calculado: EBIT + D&amp;A</t>
  </si>
  <si>
    <t>KO no publica EBITDA; es una construcción del analista</t>
  </si>
  <si>
    <t>Utilidad neta atribuible FY2025A</t>
  </si>
  <si>
    <t>IS_Hist!F19</t>
  </si>
  <si>
    <t>UPA diluida FY2025A</t>
  </si>
  <si>
    <t>IS_Hist!F22</t>
  </si>
  <si>
    <t>Flujo de efectivo de operación FY2025A</t>
  </si>
  <si>
    <t>CF_Hist!F17</t>
  </si>
  <si>
    <t>Capex FY2025A</t>
  </si>
  <si>
    <t>CF_Hist!F24 (publicado como salida negativa)</t>
  </si>
  <si>
    <t>Enlace vivo con signo invertido</t>
  </si>
  <si>
    <t>Flujo de caja libre FY2025A (CFO − capex)</t>
  </si>
  <si>
    <t>NOTA: el CFO FY2024-FY2025 está deprimido por salidas grandes de working capital (Nota 21: prepagados −5,667 en FY2024; payables/acumulados −6,612 en FY2025). El FCF yield resultante subestima la generación normalizada — declarado, no ajustado</t>
  </si>
  <si>
    <t>P/E (cap. de mercado / utilidad neta atribuible)</t>
  </si>
  <si>
    <t>P/E (precio / UPA diluida)</t>
  </si>
  <si>
    <t>Difiere levemente del anterior porque usa acciones diluidas promedio y no acciones en circulación</t>
  </si>
  <si>
    <t>EV / Ventas</t>
  </si>
  <si>
    <t>EV / EBITDA</t>
  </si>
  <si>
    <t>EV / EBIT</t>
  </si>
  <si>
    <t>FCF yield (FCF / cap. de mercado)</t>
  </si>
  <si>
    <t>Ver la nota de B58: FCF deprimido por working capital</t>
  </si>
  <si>
    <t>Dividend yield (dividendos pagados FY2025A / cap. de mercado)</t>
  </si>
  <si>
    <t>CF_Hist!F36</t>
  </si>
  <si>
    <t>Sobre dividendos efectivamente pagados (8,779), no sobre el dividendo declarado corriente (2.04 → 2.33% también, coincide)</t>
  </si>
  <si>
    <t>Buyback yield (recompras FY2025A / cap. de mercado)</t>
  </si>
  <si>
    <t>CF_Hist!F35</t>
  </si>
  <si>
    <t>KO recompra poco: 746 en FY2025</t>
  </si>
  <si>
    <t>Rendimiento total al accionista</t>
  </si>
  <si>
    <t>5. MEMO LTM — al Q2 FY2026 (10-Q del período terminado 2026-07-03, accn 0001628280-26-050503). FUERA del perímetro auditado del modelo.</t>
  </si>
  <si>
    <t>Ventas netas 6M FY2026</t>
  </si>
  <si>
    <t>Ventas netas 6M FY2025</t>
  </si>
  <si>
    <t>10-Q Q2 FY2026, columna comparativa</t>
  </si>
  <si>
    <t>Ventas netas LTM</t>
  </si>
  <si>
    <t>Calculado: FY2025A − 6M FY2025 + 6M FY2026</t>
  </si>
  <si>
    <t>Utilidad operativa 6M FY2026</t>
  </si>
  <si>
    <t>10-Q Q2 FY2026</t>
  </si>
  <si>
    <t>Utilidad operativa 6M FY2025</t>
  </si>
  <si>
    <t>Utilidad operativa LTM</t>
  </si>
  <si>
    <t>Utilidad neta atribuible 6M FY2026</t>
  </si>
  <si>
    <t>Utilidad neta atribuible 6M FY2025</t>
  </si>
  <si>
    <t>Utilidad neta atribuible LTM</t>
  </si>
  <si>
    <t>P/E LTM</t>
  </si>
  <si>
    <t>EV / Ventas LTM</t>
  </si>
  <si>
    <t>Usa el EV construido con el balance FY2025A</t>
  </si>
  <si>
    <t>EV / EBIT LTM</t>
  </si>
  <si>
    <t>Efectivo e inversiones al 2026-07-03</t>
  </si>
  <si>
    <t>10-Q Q2 FY2026, balance condensado: 12,907 + 622 + 2,842</t>
  </si>
  <si>
    <t>Ancla de vintage distinto: el check 46 exige que B17 (posición FY2025A del modelo) quede dentro de ±15% de esta cifra (deriva real −3.5%)</t>
  </si>
  <si>
    <t>Deuda bruta al 2026-07-03</t>
  </si>
  <si>
    <t>10-Q Q2 FY2026, balance condensado: 48 + 6,494 + 37,001</t>
  </si>
  <si>
    <t>Ancla de vintage distinto: el check 47 exige ±25% (deriva real +4.5% del modelo sobre esta cifra)</t>
  </si>
  <si>
    <t>EV con el balance al 2026-07-03</t>
  </si>
  <si>
    <t>Referencia: no se usa en los múltiplos de arriba para no mezclar perímetros</t>
  </si>
  <si>
    <t>Memo — diferencia vs el EV con balance FY2025A</t>
  </si>
  <si>
    <t>6. CONTROL DE PROCEDENCIA (todo input de mercado debe traer fuente y fecha con serial válido)</t>
  </si>
  <si>
    <t>Inputs de mercado sujetos a control</t>
  </si>
  <si>
    <t>conteo</t>
  </si>
  <si>
    <t>B7 precio, B8 acciones, B30 Rf, B31 ERP, B32 beta, B34 Kd</t>
  </si>
  <si>
    <t>Los demás valores de la hoja son enlaces vivos a hojas históricas o cálculos</t>
  </si>
  <si>
    <t>Inputs sin fuente</t>
  </si>
  <si>
    <t>Debe ser 0</t>
  </si>
  <si>
    <t>Inputs sin fecha válida (ausente o escrita como texto en vez de serial de fecha)</t>
  </si>
  <si>
    <t>Debe ser 0. Una fecha escrita como texto (p.ej. "2026-08") cuenta como inválida</t>
  </si>
  <si>
    <t>Estado de procedencia</t>
  </si>
  <si>
    <t>estado</t>
  </si>
  <si>
    <t>Inputs de cotización diaria desfasados (más de 5 días entre sí) o paquete entero obsoleto (más de 10 días contra HOY() al recalcular)</t>
  </si>
  <si>
    <t>Debe ser 0. Cubre precio (D7), Rf (D30), beta (D32) y Kd (D34) entre sí, y la frescura ABSOLUTA contra HOY(): el libro caduca solo a los 10 días — es diseño, no defecto (patrón Apple post-refutación). Excluye a propósito la ERP (D31, serie anual de Damodaran) y el conteo de acciones (D8, del 10-Q): observaciones de baja frecuencia, desfase declarado en L2</t>
  </si>
  <si>
    <t>7. LIMITACIONES, HALLAZGOS Y CABLEADO PENDIENTE</t>
  </si>
  <si>
    <t>H1 — El puente de deuda del DCF (Valuation!G13 vía Historical!B19) usa el tag combinado de deuda (43,941) + other short-term borrowings (56) y OMITE los loans and notes payable del balance (1,551): subestima la deuda bruta en 1,495 (cuantificado en B25). Esta hoja NO corrige Valuation: lo expone, y el check 47 lo mecaniza.</t>
  </si>
  <si>
    <t>H2 — Los activos líquidos del DCF (Valuation!G12 vía Historical!B18) son SOLO caja (10,270) y omiten las inversiones de corto plazo (3,602) y los valores negociables (1,934) = 5,536 (cuantificado en B27; exactamente BS_Hist!F7+F8). Check 48. Nota: incluir los 5,536 de líquidos y los 1,495 de deuda elevaría el equity value neto en ~4,041 (+0.9% del equity), direccionalmente favorable al DCF.</t>
  </si>
  <si>
    <t>H3 — Valuation!G19 tiene el precio en duro (USD 82.45, as-of 2026-07-15, hoy desfasado ~1 mes; la deriva real vs B7 es +6.0%) y Historical!B20 el conteo de acciones del 10-K FY2025. Para refrescar el DCF bastaría apuntar Valuation!G19 a B7 y Historical!B20 a B8; NO se hizo para no mover outputs ya gateados.</t>
  </si>
  <si>
    <t>H4 — El WACC de esta hoja (B45, 5.88%, inputs fechados) queda 1.62pp POR DEBAJO del WACC del escenario Base del DCF (7.5%). Un WACC de 5.88% con TGR 2.5% subiría el DCF sustancialmente: el escenario Base del modelo es conservador contra el mercado de hoy. Se deja como contraste (cablearlo rompería el diseño Base/Bull/Bear).</t>
  </si>
  <si>
    <t>L1 — La beta es de proveedor único (stockanalysis.com, 0.34): los cross-checks intentados (investing.com, WSJ, Yahoo quoteSummary) estuvieron inaccesibles desde esta sesión. Una beta calculada con retornos propios sería reproducible; el paquete local no trae la serie de precios para hacerlo.</t>
  </si>
  <si>
    <t>L2 — La ERP es la implícita de Damodaran al 2026-01-01, no al 2026-08-13. Es la observación citable más reciente de esa serie; usarla con un Rf de agosto mezcla fechas y está declarado a propósito (igual que en el resto de la flota USD de esta corrida).</t>
  </si>
  <si>
    <t>L3 — El costo de deuda es un benchmark de índice Single-A (BAMLC0A3CAEY), no una curva propia de KO. El memo B35 (rating A+/A1 divulgado en el propio 10-K) es el amarre del emisor a la elección del índice.</t>
  </si>
  <si>
    <t>L4 — El EV mezcla precio del 2026-08-13 con balance del 2025-12-31 (el balance más reciente DEL MODELO, como pide el alcance). El bloque 5 muestra el mismo EV con el balance del 2026-07-03 para dimensionar el desfase (−2,514).</t>
  </si>
  <si>
    <t>L5 — EBITDA (B53) no es una métrica GAAP: es EBIT + D&amp;A del CF, construcción del analista. L6 — El FCF FY2025A está deprimido por working capital (ver B58): los yields sobre FCF corriente subestiman la generación normalizada.</t>
  </si>
  <si>
    <t>8. ANCLAS DE VINTAGE DISTINTO — 10-Q Q2 FY2026 (accn 0001628280-26-050503, radicado 2026-07-29), balance condensado, columna comparativa "December 31, 2025"</t>
  </si>
  <si>
    <t>Efectivo e inversiones al 2025-12-31 según el 10-Q Q2 FY2026 (columna comparativa)</t>
  </si>
  <si>
    <t>10-Q Q2 FY2026 (accn 0001628280-26-050503), balance condensado, columna "December 31, 2025": 10,270 + 3,602 + 1,934</t>
  </si>
  <si>
    <t>Constante tecleada del filing, NO fórmula contra BS_Hist: mismo período que el balance FY2025A del modelo pero publicada en un documento distinto (vintage independiente). Los checks 45 y 46 exigen tie EXACTO contra esta ancla</t>
  </si>
  <si>
    <t>Deuda bruta al 2025-12-31 según el 10-Q Q2 FY2026 (columna comparativa)</t>
  </si>
  <si>
    <t>10-Q Q2 FY2026 (accn 0001628280-26-050503), balance condensado, columna "December 31, 2025": 1,551 + 1,822 + 42,119</t>
  </si>
  <si>
    <t>Constante tecleada del filing. Los checks 45 y 47 exigen tie EXACTO; incluye loans and notes payable, porción corriente y deuda de largo plazo</t>
  </si>
  <si>
    <t>Turn #</t>
  </si>
  <si>
    <t>Date</t>
  </si>
  <si>
    <t>User Request</t>
  </si>
  <si>
    <t>Action Taken</t>
  </si>
  <si>
    <t>Details</t>
  </si>
  <si>
    <t>Outcome</t>
  </si>
  <si>
    <t>Prepare a public model copy</t>
  </si>
  <si>
    <t>Remove local paths and private build references; preserve financial formulas and inputs</t>
  </si>
  <si>
    <t>Agent run with MOG as the tool, checked by guard v1. The guard measured every sheet before and after the run.
Changed: Change_Log: 1 cell written, at B9; Gate_9of10: 3 cells written, at E12, B24, B25; Sources_Audited: 6 cells written, at D4, D5, D6, D7, D8, D9.
Agent: OpenFinmods export</t>
  </si>
  <si>
    <t>Compare against source and review public copy</t>
  </si>
</sst>
</file>

<file path=xl/styles.xml><?xml version="1.0" encoding="utf-8"?>
<styleSheet xmlns="http://schemas.openxmlformats.org/spreadsheetml/2006/main">
  <numFmts count="9">
    <numFmt numFmtId="164" formatCode="General"/>
    <numFmt numFmtId="165" formatCode="\$#,##0.00"/>
    <numFmt numFmtId="166" formatCode="0.0%"/>
    <numFmt numFmtId="167" formatCode="#,##0.000;[RED]\(#,##0.000\);\-"/>
    <numFmt numFmtId="168" formatCode="#,##0.0;[RED]\(#,##0.0\);\-"/>
    <numFmt numFmtId="169" formatCode="#,##0.0"/>
    <numFmt numFmtId="170" formatCode="0.0%;[RED]\(0.0%\);\-"/>
    <numFmt numFmtId="171" formatCode="0"/>
    <numFmt numFmtId="172" formatCode="yyyy\-mm\-dd hh:mm"/>
  </numFmts>
  <fonts count="14">
    <font>
      <sz val="11"/>
      <color theme="1"/>
      <name val="Calibri"/>
      <family val="2"/>
      <scheme val="minor"/>
    </font>
    <font>
      <sz val="10"/>
      <name val="Arial"/>
      <family val="2"/>
    </font>
    <font>
      <b/>
      <i val="0"/>
      <strike val="0"/>
      <sz val="16"/>
      <color rgb="FFFFFFFF"/>
      <name val="Calibri"/>
      <family val="0"/>
    </font>
    <font>
      <b val="0"/>
      <i/>
      <strike val="0"/>
      <sz val="10"/>
      <color rgb="FF666666"/>
      <name val="Calibri"/>
      <family val="0"/>
    </font>
    <font>
      <b val="0"/>
      <i val="0"/>
      <strike val="0"/>
      <sz val="11"/>
      <name val="Calibri"/>
      <family val="0"/>
    </font>
    <font>
      <b/>
      <i val="0"/>
      <strike val="0"/>
      <sz val="11"/>
      <color rgb="FFFFFFFF"/>
      <name val="Calibri"/>
      <family val="0"/>
    </font>
    <font>
      <b val="0"/>
      <i val="0"/>
      <strike val="0"/>
      <sz val="11"/>
      <color rgb="FF008000"/>
      <name val="Calibri"/>
      <family val="0"/>
    </font>
    <font>
      <b val="0"/>
      <i/>
      <strike val="0"/>
      <sz val="11"/>
      <color rgb="FF666666"/>
      <name val="Calibri"/>
      <family val="0"/>
    </font>
    <font>
      <b/>
      <i val="0"/>
      <strike val="0"/>
      <sz val="11"/>
      <color rgb="FF17365D"/>
      <name val="Calibri"/>
      <family val="0"/>
    </font>
    <font>
      <b/>
      <i val="0"/>
      <strike val="0"/>
      <sz val="11"/>
      <name val="Calibri"/>
      <family val="0"/>
    </font>
    <font>
      <b val="0"/>
      <i val="0"/>
      <strike val="0"/>
      <sz val="11"/>
      <color rgb="FF0000FF"/>
      <name val="Calibri"/>
      <family val="0"/>
    </font>
    <font>
      <b val="0"/>
      <i val="0"/>
      <strike val="0"/>
      <sz val="11"/>
      <color rgb="FF000000"/>
      <name val="Calibri"/>
      <family val="0"/>
    </font>
    <font>
      <b/>
      <i val="0"/>
      <strike val="0"/>
      <sz val="10"/>
      <color rgb="FF000000"/>
      <name val="Arial"/>
      <family val="2"/>
    </font>
    <font>
      <b val="0"/>
      <i val="0"/>
      <strike val="0"/>
      <sz val="10"/>
      <color rgb="FF000000"/>
      <name val="Arial"/>
      <family val="2"/>
    </font>
  </fonts>
  <fills count="7">
    <fill>
      <patternFill patternType="none"/>
    </fill>
    <fill>
      <patternFill patternType="gray125"/>
    </fill>
    <fill>
      <patternFill patternType="solid">
        <fgColor rgb="FF17365D"/>
        <bgColor rgb="FF17365D"/>
      </patternFill>
    </fill>
    <fill>
      <patternFill patternType="solid">
        <fgColor rgb="FFEAF3F8"/>
        <bgColor rgb="FFEAF3F8"/>
      </patternFill>
    </fill>
    <fill>
      <patternFill patternType="solid">
        <fgColor rgb="FF1F4E78"/>
        <bgColor rgb="FF1F4E78"/>
      </patternFill>
    </fill>
    <fill>
      <patternFill patternType="solid">
        <fgColor rgb="FFD9EAF7"/>
        <bgColor rgb="FFD9EAF7"/>
      </patternFill>
    </fill>
    <fill>
      <patternFill patternType="solid">
        <fgColor rgb="FFFFF2CC"/>
        <bgColor rgb="FFFFF2CC"/>
      </patternFill>
    </fill>
  </fills>
  <borders count="2">
    <border/>
    <border diagonalUp="0" diagonalDown="0"/>
  </borders>
  <cellStyleXfs count="1">
    <xf numFmtId="0" fontId="1" fillId="0" borderId="1">
      <alignment horizontal="general" vertical="bottom" textRotation="0" indent="0"/>
      <protection locked="1"/>
    </xf>
  </cellStyleXfs>
  <cellXfs count="39">
    <xf numFmtId="0" fontId="1" fillId="0" borderId="1" xfId="0" applyFont="1" applyBorder="1" applyAlignment="1" applyProtection="1">
      <alignment horizontal="general" vertical="bottom" textRotation="0" indent="0"/>
      <protection locked="1"/>
    </xf>
    <xf numFmtId="164" fontId="2" fillId="2" borderId="1" xfId="0" applyNumberFormat="1" applyFont="1" applyFill="1" applyBorder="1" applyAlignment="1" applyProtection="1">
      <alignment horizontal="general" vertical="center" textRotation="0" wrapText="1" indent="0" readingOrder="0"/>
      <protection locked="1"/>
    </xf>
    <xf numFmtId="164" fontId="3" fillId="3" borderId="1" xfId="0" applyNumberFormat="1" applyFont="1" applyFill="1" applyBorder="1" applyAlignment="1" applyProtection="1">
      <alignment horizontal="general" vertical="bottom" textRotation="0" wrapText="1" indent="0" readingOrder="0"/>
      <protection locked="1"/>
    </xf>
    <xf numFmtId="164" fontId="4" fillId="0" borderId="1" xfId="0" applyNumberFormat="1" applyFont="1" applyBorder="1" applyAlignment="1" applyProtection="1">
      <alignment horizontal="general" vertical="bottom" textRotation="0" wrapText="1" indent="0" readingOrder="0"/>
      <protection locked="1"/>
    </xf>
    <xf numFmtId="164" fontId="5" fillId="4" borderId="1" xfId="0" applyNumberFormat="1" applyFont="1" applyFill="1" applyBorder="1" applyAlignment="1" applyProtection="1">
      <alignment horizontal="general" vertical="bottom" textRotation="0" wrapText="1" indent="0" readingOrder="0"/>
      <protection locked="1"/>
    </xf>
    <xf numFmtId="165" fontId="4" fillId="0" borderId="1" xfId="0" applyNumberFormat="1" applyFont="1" applyBorder="1" applyAlignment="1" applyProtection="1">
      <alignment horizontal="general" vertical="bottom" textRotation="0" wrapText="1" indent="0" readingOrder="0"/>
      <protection locked="1"/>
    </xf>
    <xf numFmtId="164" fontId="6" fillId="0" borderId="1" xfId="0" applyNumberFormat="1" applyFont="1" applyBorder="1" applyAlignment="1" applyProtection="1">
      <alignment horizontal="general" vertical="bottom" textRotation="0" wrapText="1" indent="0" readingOrder="0"/>
      <protection locked="1"/>
    </xf>
    <xf numFmtId="165" fontId="6" fillId="0" borderId="1" xfId="0" applyNumberFormat="1" applyFont="1" applyBorder="1" applyAlignment="1" applyProtection="1">
      <alignment horizontal="general" vertical="bottom" textRotation="0" wrapText="1" indent="0" readingOrder="0"/>
      <protection locked="1"/>
    </xf>
    <xf numFmtId="166" fontId="6" fillId="0" borderId="1" xfId="0" applyNumberFormat="1" applyFont="1" applyBorder="1" applyAlignment="1" applyProtection="1">
      <alignment horizontal="general" vertical="bottom" textRotation="0" wrapText="1" indent="0" readingOrder="0"/>
      <protection locked="1"/>
    </xf>
    <xf numFmtId="164" fontId="2" fillId="2" borderId="1" xfId="0" applyNumberFormat="1" applyFont="1" applyFill="1" applyBorder="1" applyAlignment="1" applyProtection="1">
      <alignment horizontal="general" vertical="bottom" textRotation="0" indent="0" readingOrder="0"/>
      <protection locked="1"/>
    </xf>
    <xf numFmtId="164" fontId="7" fillId="3" borderId="1" xfId="0" applyNumberFormat="1" applyFont="1" applyFill="1" applyBorder="1" applyAlignment="1" applyProtection="1">
      <alignment horizontal="general" vertical="bottom" textRotation="0" wrapText="1" indent="0" readingOrder="0"/>
      <protection locked="1"/>
    </xf>
    <xf numFmtId="164" fontId="8" fillId="5" borderId="1" xfId="0" applyNumberFormat="1" applyFont="1" applyFill="1" applyBorder="1" applyAlignment="1" applyProtection="1">
      <alignment horizontal="general" vertical="center" textRotation="0" wrapText="1" indent="0" readingOrder="0"/>
      <protection locked="1"/>
    </xf>
    <xf numFmtId="167" fontId="4" fillId="0" borderId="1" xfId="0" applyNumberFormat="1" applyFont="1" applyBorder="1" applyAlignment="1" applyProtection="1">
      <alignment horizontal="general" vertical="bottom" textRotation="0" wrapText="1" indent="0" readingOrder="0"/>
      <protection locked="1"/>
    </xf>
    <xf numFmtId="164" fontId="8" fillId="5" borderId="1" xfId="0" applyNumberFormat="1" applyFont="1" applyFill="1" applyBorder="1" applyAlignment="1" applyProtection="1">
      <alignment horizontal="general" vertical="bottom" textRotation="0" wrapText="1" indent="0" readingOrder="0"/>
      <protection locked="1"/>
    </xf>
    <xf numFmtId="164" fontId="2" fillId="2" borderId="1" xfId="0" applyNumberFormat="1" applyFont="1" applyFill="1" applyBorder="1" applyAlignment="1" applyProtection="1">
      <alignment horizontal="general" vertical="center" textRotation="0" indent="0" readingOrder="0"/>
      <protection locked="1"/>
    </xf>
    <xf numFmtId="164" fontId="3" fillId="3" borderId="1" xfId="0" applyNumberFormat="1" applyFont="1" applyFill="1" applyBorder="1" applyAlignment="1" applyProtection="1">
      <alignment horizontal="general" vertical="bottom" textRotation="0" indent="0" readingOrder="0"/>
      <protection locked="1"/>
    </xf>
    <xf numFmtId="164" fontId="9" fillId="0" borderId="1" xfId="0" applyNumberFormat="1" applyFont="1" applyBorder="1" applyAlignment="1" applyProtection="1">
      <alignment horizontal="general" vertical="bottom" textRotation="0" indent="0" readingOrder="0"/>
      <protection locked="1"/>
    </xf>
    <xf numFmtId="168" fontId="4" fillId="0" borderId="1" xfId="0" applyNumberFormat="1" applyFont="1" applyBorder="1" applyAlignment="1" applyProtection="1">
      <alignment horizontal="general" vertical="bottom" textRotation="0" indent="0" readingOrder="0"/>
      <protection locked="1"/>
    </xf>
    <xf numFmtId="164" fontId="8" fillId="5" borderId="1" xfId="0" applyNumberFormat="1" applyFont="1" applyFill="1" applyBorder="1" applyAlignment="1" applyProtection="1">
      <alignment horizontal="general" vertical="bottom" textRotation="0" indent="0" readingOrder="0"/>
      <protection locked="1"/>
    </xf>
    <xf numFmtId="169" fontId="4" fillId="0" borderId="1" xfId="0" applyNumberFormat="1" applyFont="1" applyBorder="1" applyAlignment="1" applyProtection="1">
      <alignment horizontal="general" vertical="bottom" textRotation="0" indent="0" readingOrder="0"/>
      <protection locked="1"/>
    </xf>
    <xf numFmtId="164" fontId="10" fillId="6" borderId="1" xfId="0" applyNumberFormat="1" applyFont="1" applyFill="1" applyBorder="1" applyAlignment="1" applyProtection="1">
      <alignment horizontal="general" vertical="bottom" textRotation="0" wrapText="1" indent="0" readingOrder="0"/>
      <protection locked="1"/>
    </xf>
    <xf numFmtId="170" fontId="10" fillId="6" borderId="1" xfId="0" applyNumberFormat="1" applyFont="1" applyFill="1" applyBorder="1" applyAlignment="1" applyProtection="1">
      <alignment horizontal="general" vertical="bottom" textRotation="0" wrapText="1" indent="0" readingOrder="0"/>
      <protection locked="1"/>
    </xf>
    <xf numFmtId="170" fontId="11" fillId="0" borderId="1" xfId="0" applyNumberFormat="1" applyFont="1" applyBorder="1" applyAlignment="1" applyProtection="1">
      <alignment horizontal="general" vertical="bottom" textRotation="0" wrapText="1" indent="0" readingOrder="0"/>
      <protection locked="1"/>
    </xf>
    <xf numFmtId="168" fontId="6" fillId="0" borderId="1" xfId="0" applyNumberFormat="1" applyFont="1" applyBorder="1" applyAlignment="1" applyProtection="1">
      <alignment horizontal="general" vertical="bottom" textRotation="0" indent="0" readingOrder="0"/>
      <protection locked="1"/>
    </xf>
    <xf numFmtId="165" fontId="4" fillId="0" borderId="1" xfId="0" applyNumberFormat="1" applyFont="1" applyBorder="1" applyAlignment="1" applyProtection="1">
      <alignment horizontal="general" vertical="bottom" textRotation="0" indent="0" readingOrder="0"/>
      <protection locked="1"/>
    </xf>
    <xf numFmtId="166" fontId="4" fillId="0" borderId="1" xfId="0" applyNumberFormat="1" applyFont="1" applyBorder="1" applyAlignment="1" applyProtection="1">
      <alignment horizontal="general" vertical="bottom" textRotation="0" indent="0" readingOrder="0"/>
      <protection locked="1"/>
    </xf>
    <xf numFmtId="166" fontId="8" fillId="5" borderId="1" xfId="0" applyNumberFormat="1" applyFont="1" applyFill="1" applyBorder="1" applyAlignment="1" applyProtection="1">
      <alignment horizontal="general" vertical="center" textRotation="0" wrapText="1" indent="0" readingOrder="0"/>
      <protection locked="1"/>
    </xf>
    <xf numFmtId="167" fontId="8" fillId="5" borderId="1" xfId="0" applyNumberFormat="1" applyFont="1" applyFill="1" applyBorder="1" applyAlignment="1" applyProtection="1">
      <alignment horizontal="general" vertical="bottom" textRotation="0" wrapText="1" indent="0" readingOrder="0"/>
      <protection locked="1"/>
    </xf>
    <xf numFmtId="169" fontId="4" fillId="0" borderId="1" xfId="0" applyNumberFormat="1" applyFont="1" applyBorder="1" applyAlignment="1" applyProtection="1">
      <alignment horizontal="general" vertical="bottom" textRotation="0" wrapText="1" indent="0" readingOrder="0"/>
      <protection locked="1"/>
    </xf>
    <xf numFmtId="166" fontId="4" fillId="0" borderId="1" xfId="0" applyNumberFormat="1" applyFont="1" applyBorder="1" applyAlignment="1" applyProtection="1">
      <alignment horizontal="general" vertical="bottom" textRotation="0" wrapText="1" indent="0" readingOrder="0"/>
      <protection locked="1"/>
    </xf>
    <xf numFmtId="171" fontId="4" fillId="0" borderId="1" xfId="0" applyNumberFormat="1" applyFont="1" applyBorder="1" applyAlignment="1" applyProtection="1">
      <alignment horizontal="general" vertical="bottom" textRotation="0" wrapText="1" indent="0" readingOrder="0"/>
      <protection locked="1"/>
    </xf>
    <xf numFmtId="165" fontId="1" fillId="0" borderId="1" xfId="0" applyNumberFormat="1" applyFont="1" applyBorder="1" applyAlignment="1" applyProtection="1">
      <alignment horizontal="general" vertical="bottom" textRotation="0" indent="0"/>
      <protection locked="1"/>
    </xf>
    <xf numFmtId="169" fontId="1" fillId="0" borderId="1" xfId="0" applyNumberFormat="1" applyFont="1" applyBorder="1" applyAlignment="1" applyProtection="1">
      <alignment horizontal="general" vertical="bottom" textRotation="0" indent="0"/>
      <protection locked="1"/>
    </xf>
    <xf numFmtId="168" fontId="1" fillId="0" borderId="1" xfId="0" applyNumberFormat="1" applyFont="1" applyBorder="1" applyAlignment="1" applyProtection="1">
      <alignment horizontal="general" vertical="bottom" textRotation="0" indent="0"/>
      <protection locked="1"/>
    </xf>
    <xf numFmtId="166" fontId="1" fillId="0" borderId="1" xfId="0" applyNumberFormat="1" applyFont="1" applyBorder="1" applyAlignment="1" applyProtection="1">
      <alignment horizontal="general" vertical="bottom" textRotation="0" indent="0"/>
      <protection locked="1"/>
    </xf>
    <xf numFmtId="170" fontId="1" fillId="0" borderId="1" xfId="0" applyNumberFormat="1" applyFont="1" applyBorder="1" applyAlignment="1" applyProtection="1">
      <alignment horizontal="general" vertical="bottom" textRotation="0" indent="0"/>
      <protection locked="1"/>
    </xf>
    <xf numFmtId="0" fontId="12" fillId="0" borderId="1" xfId="0" applyFont="1" applyFill="1" applyBorder="1" applyProtection="1">
      <protection locked="1" hidden="0"/>
    </xf>
    <xf numFmtId="0" fontId="13" fillId="0" borderId="1" xfId="0" applyFont="1" applyFill="1" applyBorder="1" applyAlignment="1" applyProtection="1">
      <alignment vertical="top" textRotation="0" indent="0"/>
      <protection locked="1" hidden="0"/>
    </xf>
    <xf numFmtId="172" fontId="13" fillId="0" borderId="1" xfId="0" applyNumberFormat="1" applyFont="1" applyFill="1" applyBorder="1" applyAlignment="1" applyProtection="1">
      <alignment vertical="top" textRotation="0" indent="0"/>
      <protection locked="1" hidden="0"/>
    </xf>
  </cellXfs>
  <cellStyles count="1">
    <cellStyle name="Normal" xfId="0" builtinId="0"/>
  </cellStyles>
  <dxfs count="10">
    <dxf>
      <font>
        <b/>
        <color rgb="FF006100"/>
      </font>
      <fill>
        <patternFill patternType="solid">
          <fgColor rgb="FFE2F0D9"/>
          <bgColor rgb="FFE2F0D9"/>
        </patternFill>
      </fill>
    </dxf>
    <dxf>
      <font>
        <b/>
        <color rgb="FF9C0006"/>
      </font>
      <fill>
        <patternFill patternType="solid">
          <fgColor rgb="FFFCE4D6"/>
          <bgColor rgb="FFFCE4D6"/>
        </patternFill>
      </fill>
    </dxf>
    <dxf>
      <font>
        <b/>
        <color rgb="FF006100"/>
      </font>
      <fill>
        <patternFill patternType="solid">
          <fgColor rgb="FFE2F0D9"/>
          <bgColor rgb="FFE2F0D9"/>
        </patternFill>
      </fill>
    </dxf>
    <dxf>
      <font>
        <b/>
        <color rgb="FF9C0006"/>
      </font>
      <fill>
        <patternFill patternType="solid">
          <fgColor rgb="FFFCE4D6"/>
          <bgColor rgb="FFFCE4D6"/>
        </patternFill>
      </fill>
    </dxf>
    <dxf>
      <font>
        <b/>
        <color rgb="FF006100"/>
      </font>
      <fill>
        <patternFill patternType="solid">
          <fgColor rgb="FFE2F0D9"/>
          <bgColor rgb="FFE2F0D9"/>
        </patternFill>
      </fill>
    </dxf>
    <dxf>
      <font>
        <b/>
        <color rgb="FF9C0006"/>
      </font>
      <fill>
        <patternFill patternType="solid">
          <fgColor rgb="FFFCE4D6"/>
          <bgColor rgb="FFFCE4D6"/>
        </patternFill>
      </fill>
    </dxf>
    <dxf>
      <font>
        <b/>
        <color rgb="FF006100"/>
      </font>
      <fill>
        <patternFill patternType="solid">
          <fgColor rgb="FFE2F0D9"/>
          <bgColor rgb="FFE2F0D9"/>
        </patternFill>
      </fill>
    </dxf>
    <dxf>
      <font>
        <b/>
        <color rgb="FF9C0006"/>
      </font>
      <fill>
        <patternFill patternType="solid">
          <fgColor rgb="FFFCE4D6"/>
          <bgColor rgb="FFFCE4D6"/>
        </patternFill>
      </fill>
    </dxf>
    <dxf>
      <font>
        <b/>
        <color rgb="FF006100"/>
      </font>
      <fill>
        <patternFill patternType="solid">
          <fgColor rgb="FFE2F0D9"/>
          <bgColor rgb="FFE2F0D9"/>
        </patternFill>
      </fill>
    </dxf>
    <dxf>
      <font>
        <b/>
        <color rgb="FF9C0006"/>
      </font>
      <fill>
        <patternFill patternType="solid">
          <fgColor rgb="FFFCE4D6"/>
          <bgColor rgb="FFFCE4D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AF3F8"/>
      <rgbColor rgb="FFE2F0D9"/>
      <rgbColor rgb="FFFFFF99"/>
      <rgbColor rgb="FF99CCFF"/>
      <rgbColor rgb="FFFF99CC"/>
      <rgbColor rgb="FFCC99FF"/>
      <rgbColor rgb="FFFCE4D6"/>
      <rgbColor rgb="FF3366FF"/>
      <rgbColor rgb="FF33CCCC"/>
      <rgbColor rgb="FF99CC00"/>
      <rgbColor rgb="FFFFCC00"/>
      <rgbColor rgb="FFFF9900"/>
      <rgbColor rgb="FFFF6600"/>
      <rgbColor rgb="FF666666"/>
      <rgbColor rgb="FF969696"/>
      <rgbColor rgb="FF17365D"/>
      <rgbColor rgb="FF339966"/>
      <rgbColor rgb="FF006100"/>
      <rgbColor rgb="FF333300"/>
      <rgbColor rgb="FF993300"/>
      <rgbColor rgb="FF993366"/>
      <rgbColor rgb="FF1F4E78"/>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H30"/>
  <sheetViews>
    <sheetView showGridLines="0" tabSelected="1" topLeftCell="A1" zoomScaleNormal="100" zoomScalePageLayoutView="100" workbookViewId="0">
      <selection activeCell="A1" sqref="A1"/>
    </sheetView>
  </sheetViews>
  <sheetFormatPr defaultColWidth="8.6796875" defaultRowHeight="15"/>
  <cols>
    <col min="1" max="1" width="22" customWidth="1"/>
    <col min="2" max="2" width="30" customWidth="1"/>
    <col min="3" max="8" width="13" customWidth="1"/>
  </cols>
  <sheetData>
    <row r="1" ht="28" hidden="0" outlineLevel="0" collapsed="0">
      <c r="A1" s="1" t="s">
        <v>0</v>
      </c>
      <c r="B1" s="1"/>
      <c r="C1" s="1"/>
      <c r="D1" s="1"/>
      <c r="E1" s="1"/>
      <c r="F1" s="1"/>
      <c r="G1" s="1"/>
      <c r="H1" s="1"/>
    </row>
    <row r="2" ht="22" hidden="0" outlineLevel="0" collapsed="0">
      <c r="A2" s="2" t="s">
        <v>1</v>
      </c>
      <c r="B2" s="2"/>
      <c r="C2" s="2"/>
      <c r="D2" s="2"/>
      <c r="E2" s="2"/>
      <c r="F2" s="2"/>
      <c r="G2" s="2"/>
      <c r="H2" s="2"/>
    </row>
    <row r="3" hidden="0" outlineLevel="0" collapsed="0">
      <c r="A3" s="3"/>
      <c r="B3" s="3"/>
      <c r="C3" s="3"/>
      <c r="D3" s="3"/>
      <c r="E3" s="3"/>
      <c r="F3" s="3"/>
      <c r="G3" s="3"/>
      <c r="H3" s="3"/>
    </row>
    <row r="4" ht="21" hidden="0" outlineLevel="0" collapsed="0">
      <c r="A4" s="4" t="s">
        <v>2</v>
      </c>
      <c r="B4" s="4"/>
      <c r="C4" s="4"/>
      <c r="D4" s="4"/>
      <c r="E4" s="4"/>
      <c r="F4" s="4"/>
      <c r="G4" s="4"/>
      <c r="H4" s="4"/>
    </row>
    <row r="5" hidden="0" outlineLevel="0" collapsed="0">
      <c r="A5" s="3" t="s">
        <v>3</v>
      </c>
      <c r="B5" s="3" t="s">
        <v>4</v>
      </c>
      <c r="C5" s="3"/>
      <c r="D5" s="3"/>
      <c r="E5" s="3"/>
      <c r="F5" s="3"/>
      <c r="G5" s="3"/>
      <c r="H5" s="3"/>
    </row>
    <row r="6" hidden="0" outlineLevel="0" collapsed="0">
      <c r="A6" s="3" t="s">
        <v>5</v>
      </c>
      <c r="B6" s="3" t="s">
        <v>6</v>
      </c>
      <c r="C6" s="3"/>
      <c r="D6" s="3"/>
      <c r="E6" s="3"/>
      <c r="F6" s="3"/>
      <c r="G6" s="3"/>
      <c r="H6" s="3"/>
    </row>
    <row r="7" hidden="0" outlineLevel="0" collapsed="0">
      <c r="A7" s="3" t="s">
        <v>7</v>
      </c>
      <c r="B7" s="3" t="s">
        <v>8</v>
      </c>
      <c r="C7" s="3"/>
      <c r="D7" s="3"/>
      <c r="E7" s="3"/>
      <c r="F7" s="3"/>
      <c r="G7" s="3"/>
      <c r="H7" s="3"/>
    </row>
    <row r="8" hidden="0" outlineLevel="0" collapsed="0">
      <c r="A8" s="3" t="s">
        <v>9</v>
      </c>
      <c r="B8" s="3" t="s">
        <v>10</v>
      </c>
      <c r="C8" s="3"/>
      <c r="D8" s="3"/>
      <c r="E8" s="3"/>
      <c r="F8" s="3"/>
      <c r="G8" s="3"/>
      <c r="H8" s="3"/>
    </row>
    <row r="9" hidden="0" outlineLevel="0" collapsed="0">
      <c r="A9" s="3" t="s">
        <v>11</v>
      </c>
      <c r="B9" s="5">
        <v>82.45</v>
      </c>
      <c r="C9" s="3"/>
      <c r="D9" s="3"/>
      <c r="E9" s="3"/>
      <c r="F9" s="3"/>
      <c r="G9" s="3"/>
      <c r="H9" s="3"/>
    </row>
    <row r="10" hidden="0" outlineLevel="0" collapsed="0">
      <c r="A10" s="3" t="s">
        <v>12</v>
      </c>
      <c r="B10" s="5" t="s">
        <v>13</v>
      </c>
      <c r="C10" s="3"/>
      <c r="D10" s="3"/>
      <c r="E10" s="3"/>
      <c r="F10" s="3"/>
      <c r="G10" s="3"/>
      <c r="H10" s="3"/>
    </row>
    <row r="11" hidden="0" outlineLevel="0" collapsed="0">
      <c r="A11" s="3" t="s">
        <v>14</v>
      </c>
      <c r="B11" s="6" t="str">
        <f>Assumptions!B4</f>
        <v>Base</v>
      </c>
      <c r="C11" s="3"/>
      <c r="D11" s="3"/>
      <c r="E11" s="3"/>
      <c r="F11" s="3"/>
      <c r="G11" s="3"/>
      <c r="H11" s="3"/>
    </row>
    <row r="12" hidden="0" outlineLevel="0" collapsed="0">
      <c r="A12" s="3" t="s">
        <v>15</v>
      </c>
      <c r="B12" s="7">
        <f>Valuation!G18</f>
        <v>53.269184379687864</v>
      </c>
      <c r="C12" s="3"/>
      <c r="D12" s="3"/>
      <c r="E12" s="3"/>
      <c r="F12" s="3"/>
      <c r="G12" s="3"/>
      <c r="H12" s="3"/>
    </row>
    <row r="13" hidden="0" outlineLevel="0" collapsed="0">
      <c r="A13" s="3" t="s">
        <v>16</v>
      </c>
      <c r="B13" s="8">
        <f>Valuation!G20</f>
        <v>-0.3539213537939616</v>
      </c>
      <c r="C13" s="3"/>
      <c r="D13" s="3"/>
      <c r="E13" s="3"/>
      <c r="F13" s="3"/>
      <c r="G13" s="3"/>
      <c r="H13" s="3"/>
    </row>
    <row r="14" ht="23.85" hidden="0" outlineLevel="0" collapsed="0">
      <c r="A14" s="3" t="s">
        <v>17</v>
      </c>
      <c r="B14" s="6" t="str">
        <f>Gate_9of10!B17</f>
        <v>OWNER READY — INDEPENDENT REVIEW REQUIRED</v>
      </c>
      <c r="C14" s="3"/>
      <c r="D14" s="3"/>
      <c r="E14" s="3"/>
      <c r="F14" s="3"/>
      <c r="G14" s="3"/>
      <c r="H14" s="3"/>
    </row>
    <row r="15" ht="45" hidden="0" outlineLevel="0" collapsed="0">
      <c r="A15" s="3" t="s">
        <v>18</v>
      </c>
      <c r="B15" s="3"/>
      <c r="C15" s="3"/>
      <c r="D15" s="3"/>
      <c r="E15" s="3"/>
      <c r="F15" s="3"/>
      <c r="G15" s="3"/>
      <c r="H15" s="3"/>
    </row>
    <row r="16" ht="21" hidden="0" outlineLevel="0" collapsed="0">
      <c r="A16" s="4" t="s">
        <v>18</v>
      </c>
      <c r="B16" s="4"/>
      <c r="C16" s="4"/>
      <c r="D16" s="4"/>
      <c r="E16" s="4"/>
      <c r="F16" s="4"/>
      <c r="G16" s="4"/>
      <c r="H16" s="4"/>
    </row>
    <row r="17" hidden="0" outlineLevel="0" collapsed="0">
      <c r="A17" s="3" t="s">
        <v>19</v>
      </c>
      <c r="B17" s="3" t="s">
        <v>20</v>
      </c>
      <c r="C17" s="3"/>
      <c r="D17" s="3"/>
      <c r="E17" s="3"/>
      <c r="F17" s="3"/>
      <c r="G17" s="3"/>
      <c r="H17" s="3"/>
    </row>
    <row r="18" hidden="0" outlineLevel="0" collapsed="0">
      <c r="A18" s="3" t="s">
        <v>21</v>
      </c>
      <c r="B18" s="3" t="s">
        <v>22</v>
      </c>
      <c r="C18" s="3"/>
      <c r="D18" s="3"/>
      <c r="E18" s="3"/>
      <c r="F18" s="3"/>
      <c r="G18" s="3"/>
      <c r="H18" s="3"/>
    </row>
    <row r="19" hidden="0" outlineLevel="0" collapsed="0">
      <c r="A19" s="3" t="s">
        <v>23</v>
      </c>
      <c r="B19" s="3" t="s">
        <v>24</v>
      </c>
      <c r="C19" s="3"/>
      <c r="D19" s="3"/>
      <c r="E19" s="3"/>
      <c r="F19" s="3"/>
      <c r="G19" s="3"/>
      <c r="H19" s="3"/>
    </row>
    <row r="20" hidden="0" outlineLevel="0" collapsed="0">
      <c r="A20" s="3" t="s">
        <v>25</v>
      </c>
      <c r="B20" s="3" t="s">
        <v>26</v>
      </c>
      <c r="C20" s="3"/>
      <c r="D20" s="3"/>
      <c r="E20" s="3"/>
      <c r="F20" s="3"/>
      <c r="G20" s="3"/>
      <c r="H20" s="3"/>
    </row>
    <row r="21" hidden="0" outlineLevel="0" collapsed="0">
      <c r="A21" s="3" t="s">
        <v>27</v>
      </c>
      <c r="B21" s="3" t="s">
        <v>28</v>
      </c>
      <c r="C21" s="3"/>
      <c r="D21" s="3"/>
      <c r="E21" s="3"/>
      <c r="F21" s="3"/>
      <c r="G21" s="3"/>
      <c r="H21" s="3"/>
    </row>
    <row r="22" hidden="0" outlineLevel="0" collapsed="0">
      <c r="A22" s="3" t="s">
        <v>29</v>
      </c>
      <c r="B22" s="3" t="s">
        <v>30</v>
      </c>
      <c r="C22" s="3"/>
      <c r="D22" s="3"/>
      <c r="E22" s="3"/>
      <c r="F22" s="3"/>
      <c r="G22" s="3"/>
      <c r="H22" s="3"/>
    </row>
    <row r="23" hidden="0" outlineLevel="0" collapsed="0">
      <c r="A23" s="3"/>
      <c r="B23" s="3"/>
      <c r="C23" s="3"/>
      <c r="D23" s="3"/>
      <c r="E23" s="3"/>
      <c r="F23" s="3"/>
      <c r="G23" s="3"/>
      <c r="H23" s="3"/>
    </row>
    <row r="24" hidden="0" outlineLevel="0" collapsed="0">
      <c r="A24" s="3"/>
      <c r="B24" s="3"/>
      <c r="C24" s="3"/>
      <c r="D24" s="3"/>
      <c r="E24" s="3"/>
      <c r="F24" s="3"/>
      <c r="G24" s="3"/>
      <c r="H24" s="3"/>
    </row>
    <row r="25" hidden="0" outlineLevel="0" collapsed="0">
      <c r="A25" s="3"/>
      <c r="B25" s="3"/>
      <c r="C25" s="3"/>
      <c r="D25" s="3"/>
      <c r="E25" s="3"/>
      <c r="F25" s="3"/>
      <c r="G25" s="3"/>
      <c r="H25" s="3"/>
    </row>
    <row r="26" hidden="0" outlineLevel="0" collapsed="0">
      <c r="A26" s="3"/>
      <c r="B26" s="3"/>
      <c r="C26" s="3"/>
      <c r="D26" s="3"/>
      <c r="E26" s="3"/>
      <c r="F26" s="3"/>
      <c r="G26" s="3"/>
      <c r="H26" s="3"/>
    </row>
    <row r="27" hidden="0" outlineLevel="0" collapsed="0">
      <c r="A27" s="3"/>
      <c r="B27" s="3"/>
      <c r="C27" s="3"/>
      <c r="D27" s="3"/>
      <c r="E27" s="3"/>
      <c r="F27" s="3"/>
      <c r="G27" s="3"/>
      <c r="H27" s="3"/>
    </row>
    <row r="28" hidden="0" outlineLevel="0" collapsed="0">
      <c r="A28" s="3"/>
      <c r="B28" s="3"/>
      <c r="C28" s="3"/>
      <c r="D28" s="3"/>
      <c r="E28" s="3"/>
      <c r="F28" s="3"/>
      <c r="G28" s="3"/>
      <c r="H28" s="3"/>
    </row>
    <row r="29" hidden="0" outlineLevel="0" collapsed="0">
      <c r="A29" s="3"/>
      <c r="B29" s="3"/>
      <c r="C29" s="3"/>
      <c r="D29" s="3"/>
      <c r="E29" s="3"/>
      <c r="F29" s="3"/>
      <c r="G29" s="3"/>
      <c r="H29" s="3"/>
    </row>
    <row r="30" hidden="0" outlineLevel="0" collapsed="0">
      <c r="A30" s="3"/>
      <c r="B30" s="3"/>
      <c r="C30" s="3"/>
      <c r="D30" s="3"/>
      <c r="E30" s="3"/>
      <c r="F30" s="3"/>
      <c r="G30" s="3"/>
      <c r="H30" s="3"/>
    </row>
  </sheetData>
  <mergeCells count="11">
    <mergeCell ref="A1:H1"/>
    <mergeCell ref="A2:H2"/>
    <mergeCell ref="A4:H4"/>
    <mergeCell ref="A15:H15"/>
    <mergeCell ref="A16:H16"/>
    <mergeCell ref="B17:H17"/>
    <mergeCell ref="B18:H18"/>
    <mergeCell ref="B19:H19"/>
    <mergeCell ref="B20:H20"/>
    <mergeCell ref="B21:H21"/>
    <mergeCell ref="B22:H22"/>
  </mergeCells>
  <printOptions/>
  <pageMargins left="0.7" right="0.7" top="0.75" bottom="0.75" header="0.511811023622047" footer="0.511811023622047"/>
  <pageSetup paperSize="1" scale="100" fitToWidth="1" fitToHeight="1" pageOrder="downThenOver" orientation="portrait" copies="1"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V71"/>
  <sheetViews>
    <sheetView showGridLines="0" topLeftCell="A1" zoomScaleNormal="100" zoomScalePageLayoutView="100" workbookViewId="0">
      <selection activeCell="A1" sqref="A1"/>
    </sheetView>
  </sheetViews>
  <sheetFormatPr defaultColWidth="8.6796875" defaultRowHeight="15"/>
  <cols>
    <col min="1" max="1" width="10" customWidth="1"/>
    <col min="2" max="2" width="24" customWidth="1"/>
    <col min="3" max="3" width="22" customWidth="1"/>
    <col min="4" max="4" width="28" customWidth="1"/>
    <col min="5" max="7" width="16" customWidth="1"/>
    <col min="8" max="8" width="10" customWidth="1"/>
    <col min="9" max="9" width="35" customWidth="1"/>
    <col min="10" max="11" width="15" customWidth="1"/>
    <col min="12" max="12" width="14" customWidth="1"/>
    <col min="13" max="13" width="10" customWidth="1"/>
    <col min="14" max="14" width="13" customWidth="1"/>
    <col min="15" max="15" width="24" customWidth="1"/>
    <col min="16" max="16" width="45" customWidth="1"/>
    <col min="17" max="17" width="13" customWidth="1"/>
    <col min="18" max="18" width="27" customWidth="1"/>
    <col min="19" max="21" width="36" customWidth="1"/>
    <col min="22" max="22" width="12" customWidth="1"/>
  </cols>
  <sheetData>
    <row r="1" ht="28" hidden="0" outlineLevel="0" collapsed="0">
      <c r="A1" s="9" t="s">
        <v>31</v>
      </c>
      <c r="B1" s="9"/>
      <c r="C1" s="9"/>
      <c r="D1" s="9"/>
      <c r="E1" s="9"/>
      <c r="F1" s="9"/>
      <c r="G1" s="9"/>
      <c r="H1" s="9"/>
      <c r="I1" s="9"/>
      <c r="J1" s="9"/>
      <c r="K1" s="9"/>
      <c r="L1" s="9"/>
      <c r="M1" s="9"/>
      <c r="N1" s="9"/>
      <c r="O1" s="9"/>
      <c r="P1" s="9"/>
      <c r="Q1" s="9"/>
      <c r="R1" s="9"/>
      <c r="S1" s="9"/>
      <c r="T1" s="9"/>
      <c r="U1" s="9"/>
      <c r="V1" s="9"/>
    </row>
    <row r="2" ht="26" hidden="0" outlineLevel="0" collapsed="0">
      <c r="A2" s="10" t="s">
        <v>32</v>
      </c>
      <c r="B2" s="10"/>
      <c r="C2" s="10"/>
      <c r="D2" s="10"/>
      <c r="E2" s="10"/>
      <c r="F2" s="10"/>
      <c r="G2" s="10"/>
      <c r="H2" s="10"/>
      <c r="I2" s="10"/>
      <c r="J2" s="10"/>
      <c r="K2" s="10"/>
      <c r="L2" s="10"/>
      <c r="M2" s="10"/>
      <c r="N2" s="10"/>
      <c r="O2" s="10"/>
      <c r="P2" s="10"/>
      <c r="Q2" s="10"/>
      <c r="R2" s="10"/>
      <c r="S2" s="10"/>
      <c r="T2" s="10"/>
      <c r="U2" s="10"/>
      <c r="V2" s="10"/>
    </row>
    <row r="4" hidden="0" outlineLevel="0" collapsed="0">
      <c r="A4" s="11" t="s">
        <v>33</v>
      </c>
      <c r="B4" s="11" t="s">
        <v>34</v>
      </c>
      <c r="C4" s="11" t="s">
        <v>35</v>
      </c>
      <c r="D4" s="11" t="s">
        <v>36</v>
      </c>
      <c r="E4" s="11" t="s">
        <v>37</v>
      </c>
      <c r="F4" s="11" t="s">
        <v>38</v>
      </c>
      <c r="G4" s="11" t="s">
        <v>39</v>
      </c>
      <c r="H4" s="11" t="s">
        <v>40</v>
      </c>
      <c r="I4" s="11" t="s">
        <v>41</v>
      </c>
      <c r="J4" s="11" t="s">
        <v>42</v>
      </c>
      <c r="K4" s="11" t="s">
        <v>43</v>
      </c>
      <c r="L4" s="11" t="s">
        <v>44</v>
      </c>
      <c r="M4" s="11" t="s">
        <v>45</v>
      </c>
      <c r="N4" s="11" t="s">
        <v>46</v>
      </c>
      <c r="O4" s="11" t="s">
        <v>47</v>
      </c>
      <c r="P4" s="11" t="s">
        <v>48</v>
      </c>
      <c r="Q4" s="11" t="s">
        <v>49</v>
      </c>
      <c r="R4" s="11" t="s">
        <v>50</v>
      </c>
      <c r="S4" s="11" t="s">
        <v>51</v>
      </c>
      <c r="T4" s="11" t="s">
        <v>52</v>
      </c>
      <c r="U4" s="11" t="s">
        <v>53</v>
      </c>
      <c r="V4" s="11" t="s">
        <v>54</v>
      </c>
    </row>
    <row r="5" ht="35.05" hidden="0" outlineLevel="0" collapsed="0">
      <c r="A5" s="3">
        <v>1</v>
      </c>
      <c r="B5" s="3" t="s">
        <v>4</v>
      </c>
      <c r="C5" s="3" t="s">
        <v>55</v>
      </c>
      <c r="D5" s="3" t="s">
        <v>56</v>
      </c>
      <c r="E5" s="3" t="s">
        <v>57</v>
      </c>
      <c r="F5" s="12">
        <v>38655</v>
      </c>
      <c r="G5" s="3" t="s">
        <v>58</v>
      </c>
      <c r="H5" s="3" t="s">
        <v>59</v>
      </c>
      <c r="I5" s="3" t="s">
        <v>60</v>
      </c>
      <c r="J5" s="3" t="s">
        <v>61</v>
      </c>
      <c r="K5" s="3" t="s">
        <v>62</v>
      </c>
      <c r="L5" s="3" t="s">
        <v>63</v>
      </c>
      <c r="M5" s="3" t="s">
        <v>64</v>
      </c>
      <c r="N5" s="3" t="s">
        <v>65</v>
      </c>
      <c r="O5" s="3" t="s">
        <v>66</v>
      </c>
      <c r="P5" s="3" t="s">
        <v>67</v>
      </c>
      <c r="Q5" s="3" t="s">
        <v>68</v>
      </c>
      <c r="R5" s="3" t="s">
        <v>69</v>
      </c>
      <c r="S5" s="3" t="s">
        <v>70</v>
      </c>
      <c r="T5" s="3" t="s">
        <v>71</v>
      </c>
      <c r="U5" s="3" t="s">
        <v>72</v>
      </c>
      <c r="V5" s="3" t="str">
        <f>IF(COUNTA(A5:U5)=21,"OK","MISSING")</f>
        <v>OK</v>
      </c>
    </row>
    <row r="6" ht="35.05" hidden="0" outlineLevel="0" collapsed="0">
      <c r="A6" s="3">
        <v>2</v>
      </c>
      <c r="B6" s="3" t="s">
        <v>4</v>
      </c>
      <c r="C6" s="3" t="s">
        <v>73</v>
      </c>
      <c r="D6" s="3" t="s">
        <v>56</v>
      </c>
      <c r="E6" s="3" t="s">
        <v>74</v>
      </c>
      <c r="F6" s="12">
        <v>43004</v>
      </c>
      <c r="G6" s="3" t="s">
        <v>58</v>
      </c>
      <c r="H6" s="3" t="s">
        <v>59</v>
      </c>
      <c r="I6" s="3" t="s">
        <v>60</v>
      </c>
      <c r="J6" s="3" t="s">
        <v>75</v>
      </c>
      <c r="K6" s="3" t="s">
        <v>76</v>
      </c>
      <c r="L6" s="3" t="s">
        <v>77</v>
      </c>
      <c r="M6" s="3" t="s">
        <v>64</v>
      </c>
      <c r="N6" s="3" t="s">
        <v>78</v>
      </c>
      <c r="O6" s="3" t="s">
        <v>79</v>
      </c>
      <c r="P6" s="3" t="s">
        <v>80</v>
      </c>
      <c r="Q6" s="3" t="s">
        <v>68</v>
      </c>
      <c r="R6" s="3" t="s">
        <v>69</v>
      </c>
      <c r="S6" s="3" t="s">
        <v>70</v>
      </c>
      <c r="T6" s="3" t="s">
        <v>71</v>
      </c>
      <c r="U6" s="3" t="s">
        <v>72</v>
      </c>
      <c r="V6" s="3" t="str">
        <f>IF(COUNTA(A6:U6)=21,"OK","MISSING")</f>
        <v>OK</v>
      </c>
    </row>
    <row r="7" ht="35.05" hidden="0" outlineLevel="0" collapsed="0">
      <c r="A7" s="3">
        <v>3</v>
      </c>
      <c r="B7" s="3" t="s">
        <v>4</v>
      </c>
      <c r="C7" s="3" t="s">
        <v>81</v>
      </c>
      <c r="D7" s="3" t="s">
        <v>56</v>
      </c>
      <c r="E7" s="3" t="s">
        <v>82</v>
      </c>
      <c r="F7" s="12">
        <v>45754</v>
      </c>
      <c r="G7" s="3" t="s">
        <v>58</v>
      </c>
      <c r="H7" s="3" t="s">
        <v>59</v>
      </c>
      <c r="I7" s="3" t="s">
        <v>60</v>
      </c>
      <c r="J7" s="3" t="s">
        <v>83</v>
      </c>
      <c r="K7" s="3" t="s">
        <v>84</v>
      </c>
      <c r="L7" s="3" t="s">
        <v>85</v>
      </c>
      <c r="M7" s="3" t="s">
        <v>64</v>
      </c>
      <c r="N7" s="3" t="s">
        <v>86</v>
      </c>
      <c r="O7" s="3" t="s">
        <v>10</v>
      </c>
      <c r="P7" s="3" t="s">
        <v>87</v>
      </c>
      <c r="Q7" s="3" t="s">
        <v>68</v>
      </c>
      <c r="R7" s="3" t="s">
        <v>69</v>
      </c>
      <c r="S7" s="3" t="s">
        <v>70</v>
      </c>
      <c r="T7" s="3" t="s">
        <v>71</v>
      </c>
      <c r="U7" s="3" t="s">
        <v>72</v>
      </c>
      <c r="V7" s="3" t="str">
        <f>IF(COUNTA(A7:U7)=21,"OK","MISSING")</f>
        <v>OK</v>
      </c>
    </row>
    <row r="8" ht="35.05" hidden="0" outlineLevel="0" collapsed="0">
      <c r="A8" s="3">
        <v>4</v>
      </c>
      <c r="B8" s="3" t="s">
        <v>4</v>
      </c>
      <c r="C8" s="3" t="s">
        <v>88</v>
      </c>
      <c r="D8" s="3" t="s">
        <v>56</v>
      </c>
      <c r="E8" s="3" t="s">
        <v>89</v>
      </c>
      <c r="F8" s="12">
        <v>47061</v>
      </c>
      <c r="G8" s="3" t="s">
        <v>58</v>
      </c>
      <c r="H8" s="3" t="s">
        <v>59</v>
      </c>
      <c r="I8" s="3" t="s">
        <v>60</v>
      </c>
      <c r="J8" s="3" t="s">
        <v>90</v>
      </c>
      <c r="K8" s="3" t="s">
        <v>91</v>
      </c>
      <c r="L8" s="3" t="s">
        <v>85</v>
      </c>
      <c r="M8" s="3" t="s">
        <v>64</v>
      </c>
      <c r="N8" s="3" t="s">
        <v>86</v>
      </c>
      <c r="O8" s="3" t="s">
        <v>10</v>
      </c>
      <c r="P8" s="3" t="s">
        <v>87</v>
      </c>
      <c r="Q8" s="3" t="s">
        <v>68</v>
      </c>
      <c r="R8" s="3" t="s">
        <v>69</v>
      </c>
      <c r="S8" s="3" t="s">
        <v>70</v>
      </c>
      <c r="T8" s="3" t="s">
        <v>71</v>
      </c>
      <c r="U8" s="3" t="s">
        <v>72</v>
      </c>
      <c r="V8" s="3" t="str">
        <f>IF(COUNTA(A8:U8)=21,"OK","MISSING")</f>
        <v>OK</v>
      </c>
    </row>
    <row r="9" ht="35.05" hidden="0" outlineLevel="0" collapsed="0">
      <c r="A9" s="3">
        <v>5</v>
      </c>
      <c r="B9" s="3" t="s">
        <v>4</v>
      </c>
      <c r="C9" s="3" t="s">
        <v>92</v>
      </c>
      <c r="D9" s="3" t="s">
        <v>56</v>
      </c>
      <c r="E9" s="3" t="s">
        <v>93</v>
      </c>
      <c r="F9" s="12">
        <v>47941</v>
      </c>
      <c r="G9" s="3" t="s">
        <v>58</v>
      </c>
      <c r="H9" s="3" t="s">
        <v>59</v>
      </c>
      <c r="I9" s="3" t="s">
        <v>60</v>
      </c>
      <c r="J9" s="3" t="s">
        <v>94</v>
      </c>
      <c r="K9" s="3" t="s">
        <v>95</v>
      </c>
      <c r="L9" s="3" t="s">
        <v>85</v>
      </c>
      <c r="M9" s="3" t="s">
        <v>64</v>
      </c>
      <c r="N9" s="3" t="s">
        <v>86</v>
      </c>
      <c r="O9" s="3" t="s">
        <v>10</v>
      </c>
      <c r="P9" s="3" t="s">
        <v>87</v>
      </c>
      <c r="Q9" s="3" t="s">
        <v>68</v>
      </c>
      <c r="R9" s="3" t="s">
        <v>69</v>
      </c>
      <c r="S9" s="3" t="s">
        <v>70</v>
      </c>
      <c r="T9" s="3" t="s">
        <v>71</v>
      </c>
      <c r="U9" s="3" t="s">
        <v>72</v>
      </c>
      <c r="V9" s="3" t="str">
        <f>IF(COUNTA(A9:U9)=21,"OK","MISSING")</f>
        <v>OK</v>
      </c>
    </row>
    <row r="10" ht="35.05" hidden="0" outlineLevel="0" collapsed="0">
      <c r="A10" s="3">
        <v>6</v>
      </c>
      <c r="B10" s="3" t="s">
        <v>4</v>
      </c>
      <c r="C10" s="3" t="s">
        <v>96</v>
      </c>
      <c r="D10" s="3" t="s">
        <v>97</v>
      </c>
      <c r="E10" s="3" t="s">
        <v>57</v>
      </c>
      <c r="F10" s="12">
        <v>23298</v>
      </c>
      <c r="G10" s="3" t="s">
        <v>58</v>
      </c>
      <c r="H10" s="3" t="s">
        <v>59</v>
      </c>
      <c r="I10" s="3" t="s">
        <v>98</v>
      </c>
      <c r="J10" s="3" t="s">
        <v>61</v>
      </c>
      <c r="K10" s="3" t="s">
        <v>62</v>
      </c>
      <c r="L10" s="3" t="s">
        <v>63</v>
      </c>
      <c r="M10" s="3" t="s">
        <v>64</v>
      </c>
      <c r="N10" s="3" t="s">
        <v>65</v>
      </c>
      <c r="O10" s="3" t="s">
        <v>66</v>
      </c>
      <c r="P10" s="3" t="s">
        <v>67</v>
      </c>
      <c r="Q10" s="3" t="s">
        <v>68</v>
      </c>
      <c r="R10" s="3" t="s">
        <v>69</v>
      </c>
      <c r="S10" s="3" t="s">
        <v>70</v>
      </c>
      <c r="T10" s="3" t="s">
        <v>71</v>
      </c>
      <c r="U10" s="3" t="s">
        <v>72</v>
      </c>
      <c r="V10" s="3" t="str">
        <f>IF(COUNTA(A10:U10)=21,"OK","MISSING")</f>
        <v>OK</v>
      </c>
    </row>
    <row r="11" ht="35.05" hidden="0" outlineLevel="0" collapsed="0">
      <c r="A11" s="3">
        <v>7</v>
      </c>
      <c r="B11" s="3" t="s">
        <v>4</v>
      </c>
      <c r="C11" s="3" t="s">
        <v>99</v>
      </c>
      <c r="D11" s="3" t="s">
        <v>97</v>
      </c>
      <c r="E11" s="3" t="s">
        <v>74</v>
      </c>
      <c r="F11" s="12">
        <v>25004</v>
      </c>
      <c r="G11" s="3" t="s">
        <v>58</v>
      </c>
      <c r="H11" s="3" t="s">
        <v>59</v>
      </c>
      <c r="I11" s="3" t="s">
        <v>98</v>
      </c>
      <c r="J11" s="3" t="s">
        <v>75</v>
      </c>
      <c r="K11" s="3" t="s">
        <v>76</v>
      </c>
      <c r="L11" s="3" t="s">
        <v>77</v>
      </c>
      <c r="M11" s="3" t="s">
        <v>64</v>
      </c>
      <c r="N11" s="3" t="s">
        <v>78</v>
      </c>
      <c r="O11" s="3" t="s">
        <v>79</v>
      </c>
      <c r="P11" s="3" t="s">
        <v>80</v>
      </c>
      <c r="Q11" s="3" t="s">
        <v>68</v>
      </c>
      <c r="R11" s="3" t="s">
        <v>69</v>
      </c>
      <c r="S11" s="3" t="s">
        <v>70</v>
      </c>
      <c r="T11" s="3" t="s">
        <v>71</v>
      </c>
      <c r="U11" s="3" t="s">
        <v>72</v>
      </c>
      <c r="V11" s="3" t="str">
        <f>IF(COUNTA(A11:U11)=21,"OK","MISSING")</f>
        <v>OK</v>
      </c>
    </row>
    <row r="12" ht="35.05" hidden="0" outlineLevel="0" collapsed="0">
      <c r="A12" s="3">
        <v>8</v>
      </c>
      <c r="B12" s="3" t="s">
        <v>4</v>
      </c>
      <c r="C12" s="3" t="s">
        <v>100</v>
      </c>
      <c r="D12" s="3" t="s">
        <v>97</v>
      </c>
      <c r="E12" s="3" t="s">
        <v>82</v>
      </c>
      <c r="F12" s="12">
        <v>27234</v>
      </c>
      <c r="G12" s="3" t="s">
        <v>58</v>
      </c>
      <c r="H12" s="3" t="s">
        <v>59</v>
      </c>
      <c r="I12" s="3" t="s">
        <v>98</v>
      </c>
      <c r="J12" s="3" t="s">
        <v>83</v>
      </c>
      <c r="K12" s="3" t="s">
        <v>84</v>
      </c>
      <c r="L12" s="3" t="s">
        <v>85</v>
      </c>
      <c r="M12" s="3" t="s">
        <v>64</v>
      </c>
      <c r="N12" s="3" t="s">
        <v>86</v>
      </c>
      <c r="O12" s="3" t="s">
        <v>10</v>
      </c>
      <c r="P12" s="3" t="s">
        <v>87</v>
      </c>
      <c r="Q12" s="3" t="s">
        <v>68</v>
      </c>
      <c r="R12" s="3" t="s">
        <v>69</v>
      </c>
      <c r="S12" s="3" t="s">
        <v>70</v>
      </c>
      <c r="T12" s="3" t="s">
        <v>71</v>
      </c>
      <c r="U12" s="3" t="s">
        <v>72</v>
      </c>
      <c r="V12" s="3" t="str">
        <f>IF(COUNTA(A12:U12)=21,"OK","MISSING")</f>
        <v>OK</v>
      </c>
    </row>
    <row r="13" ht="35.05" hidden="0" outlineLevel="0" collapsed="0">
      <c r="A13" s="3">
        <v>9</v>
      </c>
      <c r="B13" s="3" t="s">
        <v>4</v>
      </c>
      <c r="C13" s="3" t="s">
        <v>101</v>
      </c>
      <c r="D13" s="3" t="s">
        <v>97</v>
      </c>
      <c r="E13" s="3" t="s">
        <v>89</v>
      </c>
      <c r="F13" s="12">
        <v>28737</v>
      </c>
      <c r="G13" s="3" t="s">
        <v>58</v>
      </c>
      <c r="H13" s="3" t="s">
        <v>59</v>
      </c>
      <c r="I13" s="3" t="s">
        <v>98</v>
      </c>
      <c r="J13" s="3" t="s">
        <v>90</v>
      </c>
      <c r="K13" s="3" t="s">
        <v>91</v>
      </c>
      <c r="L13" s="3" t="s">
        <v>85</v>
      </c>
      <c r="M13" s="3" t="s">
        <v>64</v>
      </c>
      <c r="N13" s="3" t="s">
        <v>86</v>
      </c>
      <c r="O13" s="3" t="s">
        <v>10</v>
      </c>
      <c r="P13" s="3" t="s">
        <v>87</v>
      </c>
      <c r="Q13" s="3" t="s">
        <v>68</v>
      </c>
      <c r="R13" s="3" t="s">
        <v>69</v>
      </c>
      <c r="S13" s="3" t="s">
        <v>70</v>
      </c>
      <c r="T13" s="3" t="s">
        <v>71</v>
      </c>
      <c r="U13" s="3" t="s">
        <v>72</v>
      </c>
      <c r="V13" s="3" t="str">
        <f>IF(COUNTA(A13:U13)=21,"OK","MISSING")</f>
        <v>OK</v>
      </c>
    </row>
    <row r="14" ht="35.05" hidden="0" outlineLevel="0" collapsed="0">
      <c r="A14" s="3">
        <v>10</v>
      </c>
      <c r="B14" s="3" t="s">
        <v>4</v>
      </c>
      <c r="C14" s="3" t="s">
        <v>102</v>
      </c>
      <c r="D14" s="3" t="s">
        <v>97</v>
      </c>
      <c r="E14" s="3" t="s">
        <v>93</v>
      </c>
      <c r="F14" s="12">
        <v>29544</v>
      </c>
      <c r="G14" s="3" t="s">
        <v>58</v>
      </c>
      <c r="H14" s="3" t="s">
        <v>59</v>
      </c>
      <c r="I14" s="3" t="s">
        <v>98</v>
      </c>
      <c r="J14" s="3" t="s">
        <v>94</v>
      </c>
      <c r="K14" s="3" t="s">
        <v>95</v>
      </c>
      <c r="L14" s="3" t="s">
        <v>85</v>
      </c>
      <c r="M14" s="3" t="s">
        <v>64</v>
      </c>
      <c r="N14" s="3" t="s">
        <v>86</v>
      </c>
      <c r="O14" s="3" t="s">
        <v>10</v>
      </c>
      <c r="P14" s="3" t="s">
        <v>87</v>
      </c>
      <c r="Q14" s="3" t="s">
        <v>68</v>
      </c>
      <c r="R14" s="3" t="s">
        <v>69</v>
      </c>
      <c r="S14" s="3" t="s">
        <v>70</v>
      </c>
      <c r="T14" s="3" t="s">
        <v>71</v>
      </c>
      <c r="U14" s="3" t="s">
        <v>72</v>
      </c>
      <c r="V14" s="3" t="str">
        <f>IF(COUNTA(A14:U14)=21,"OK","MISSING")</f>
        <v>OK</v>
      </c>
    </row>
    <row r="15" ht="35.05" hidden="0" outlineLevel="0" collapsed="0">
      <c r="A15" s="3">
        <v>11</v>
      </c>
      <c r="B15" s="3" t="s">
        <v>4</v>
      </c>
      <c r="C15" s="3" t="s">
        <v>103</v>
      </c>
      <c r="D15" s="3" t="s">
        <v>104</v>
      </c>
      <c r="E15" s="3" t="s">
        <v>57</v>
      </c>
      <c r="F15" s="12">
        <v>10308</v>
      </c>
      <c r="G15" s="3" t="s">
        <v>58</v>
      </c>
      <c r="H15" s="3" t="s">
        <v>59</v>
      </c>
      <c r="I15" s="3" t="s">
        <v>105</v>
      </c>
      <c r="J15" s="3" t="s">
        <v>61</v>
      </c>
      <c r="K15" s="3" t="s">
        <v>62</v>
      </c>
      <c r="L15" s="3" t="s">
        <v>63</v>
      </c>
      <c r="M15" s="3" t="s">
        <v>64</v>
      </c>
      <c r="N15" s="3" t="s">
        <v>65</v>
      </c>
      <c r="O15" s="3" t="s">
        <v>66</v>
      </c>
      <c r="P15" s="3" t="s">
        <v>67</v>
      </c>
      <c r="Q15" s="3" t="s">
        <v>68</v>
      </c>
      <c r="R15" s="3" t="s">
        <v>69</v>
      </c>
      <c r="S15" s="3" t="s">
        <v>70</v>
      </c>
      <c r="T15" s="3" t="s">
        <v>71</v>
      </c>
      <c r="U15" s="3" t="s">
        <v>72</v>
      </c>
      <c r="V15" s="3" t="str">
        <f>IF(COUNTA(A15:U15)=21,"OK","MISSING")</f>
        <v>OK</v>
      </c>
    </row>
    <row r="16" ht="35.05" hidden="0" outlineLevel="0" collapsed="0">
      <c r="A16" s="3">
        <v>12</v>
      </c>
      <c r="B16" s="3" t="s">
        <v>4</v>
      </c>
      <c r="C16" s="3" t="s">
        <v>106</v>
      </c>
      <c r="D16" s="3" t="s">
        <v>104</v>
      </c>
      <c r="E16" s="3" t="s">
        <v>74</v>
      </c>
      <c r="F16" s="12">
        <v>10909</v>
      </c>
      <c r="G16" s="3" t="s">
        <v>58</v>
      </c>
      <c r="H16" s="3" t="s">
        <v>59</v>
      </c>
      <c r="I16" s="3" t="s">
        <v>105</v>
      </c>
      <c r="J16" s="3" t="s">
        <v>75</v>
      </c>
      <c r="K16" s="3" t="s">
        <v>76</v>
      </c>
      <c r="L16" s="3" t="s">
        <v>77</v>
      </c>
      <c r="M16" s="3" t="s">
        <v>64</v>
      </c>
      <c r="N16" s="3" t="s">
        <v>78</v>
      </c>
      <c r="O16" s="3" t="s">
        <v>79</v>
      </c>
      <c r="P16" s="3" t="s">
        <v>80</v>
      </c>
      <c r="Q16" s="3" t="s">
        <v>68</v>
      </c>
      <c r="R16" s="3" t="s">
        <v>69</v>
      </c>
      <c r="S16" s="3" t="s">
        <v>70</v>
      </c>
      <c r="T16" s="3" t="s">
        <v>71</v>
      </c>
      <c r="U16" s="3" t="s">
        <v>72</v>
      </c>
      <c r="V16" s="3" t="str">
        <f>IF(COUNTA(A16:U16)=21,"OK","MISSING")</f>
        <v>OK</v>
      </c>
    </row>
    <row r="17" ht="35.05" hidden="0" outlineLevel="0" collapsed="0">
      <c r="A17" s="3">
        <v>13</v>
      </c>
      <c r="B17" s="3" t="s">
        <v>4</v>
      </c>
      <c r="C17" s="3" t="s">
        <v>107</v>
      </c>
      <c r="D17" s="3" t="s">
        <v>104</v>
      </c>
      <c r="E17" s="3" t="s">
        <v>82</v>
      </c>
      <c r="F17" s="12">
        <v>11311</v>
      </c>
      <c r="G17" s="3" t="s">
        <v>58</v>
      </c>
      <c r="H17" s="3" t="s">
        <v>59</v>
      </c>
      <c r="I17" s="3" t="s">
        <v>105</v>
      </c>
      <c r="J17" s="3" t="s">
        <v>83</v>
      </c>
      <c r="K17" s="3" t="s">
        <v>84</v>
      </c>
      <c r="L17" s="3" t="s">
        <v>85</v>
      </c>
      <c r="M17" s="3" t="s">
        <v>64</v>
      </c>
      <c r="N17" s="3" t="s">
        <v>86</v>
      </c>
      <c r="O17" s="3" t="s">
        <v>10</v>
      </c>
      <c r="P17" s="3" t="s">
        <v>87</v>
      </c>
      <c r="Q17" s="3" t="s">
        <v>68</v>
      </c>
      <c r="R17" s="3" t="s">
        <v>69</v>
      </c>
      <c r="S17" s="3" t="s">
        <v>70</v>
      </c>
      <c r="T17" s="3" t="s">
        <v>71</v>
      </c>
      <c r="U17" s="3" t="s">
        <v>72</v>
      </c>
      <c r="V17" s="3" t="str">
        <f>IF(COUNTA(A17:U17)=21,"OK","MISSING")</f>
        <v>OK</v>
      </c>
    </row>
    <row r="18" ht="35.05" hidden="0" outlineLevel="0" collapsed="0">
      <c r="A18" s="3">
        <v>14</v>
      </c>
      <c r="B18" s="3" t="s">
        <v>4</v>
      </c>
      <c r="C18" s="3" t="s">
        <v>108</v>
      </c>
      <c r="D18" s="3" t="s">
        <v>104</v>
      </c>
      <c r="E18" s="3" t="s">
        <v>89</v>
      </c>
      <c r="F18" s="12">
        <v>9992</v>
      </c>
      <c r="G18" s="3" t="s">
        <v>58</v>
      </c>
      <c r="H18" s="3" t="s">
        <v>59</v>
      </c>
      <c r="I18" s="3" t="s">
        <v>105</v>
      </c>
      <c r="J18" s="3" t="s">
        <v>90</v>
      </c>
      <c r="K18" s="3" t="s">
        <v>91</v>
      </c>
      <c r="L18" s="3" t="s">
        <v>85</v>
      </c>
      <c r="M18" s="3" t="s">
        <v>64</v>
      </c>
      <c r="N18" s="3" t="s">
        <v>86</v>
      </c>
      <c r="O18" s="3" t="s">
        <v>10</v>
      </c>
      <c r="P18" s="3" t="s">
        <v>87</v>
      </c>
      <c r="Q18" s="3" t="s">
        <v>68</v>
      </c>
      <c r="R18" s="3" t="s">
        <v>69</v>
      </c>
      <c r="S18" s="3" t="s">
        <v>70</v>
      </c>
      <c r="T18" s="3" t="s">
        <v>71</v>
      </c>
      <c r="U18" s="3" t="s">
        <v>72</v>
      </c>
      <c r="V18" s="3" t="str">
        <f>IF(COUNTA(A18:U18)=21,"OK","MISSING")</f>
        <v>OK</v>
      </c>
    </row>
    <row r="19" ht="35.05" hidden="0" outlineLevel="0" collapsed="0">
      <c r="A19" s="3">
        <v>15</v>
      </c>
      <c r="B19" s="3" t="s">
        <v>4</v>
      </c>
      <c r="C19" s="3" t="s">
        <v>109</v>
      </c>
      <c r="D19" s="3" t="s">
        <v>104</v>
      </c>
      <c r="E19" s="3" t="s">
        <v>93</v>
      </c>
      <c r="F19" s="12">
        <v>13762</v>
      </c>
      <c r="G19" s="3" t="s">
        <v>58</v>
      </c>
      <c r="H19" s="3" t="s">
        <v>59</v>
      </c>
      <c r="I19" s="3" t="s">
        <v>105</v>
      </c>
      <c r="J19" s="3" t="s">
        <v>94</v>
      </c>
      <c r="K19" s="3" t="s">
        <v>95</v>
      </c>
      <c r="L19" s="3" t="s">
        <v>85</v>
      </c>
      <c r="M19" s="3" t="s">
        <v>64</v>
      </c>
      <c r="N19" s="3" t="s">
        <v>86</v>
      </c>
      <c r="O19" s="3" t="s">
        <v>10</v>
      </c>
      <c r="P19" s="3" t="s">
        <v>87</v>
      </c>
      <c r="Q19" s="3" t="s">
        <v>68</v>
      </c>
      <c r="R19" s="3" t="s">
        <v>69</v>
      </c>
      <c r="S19" s="3" t="s">
        <v>70</v>
      </c>
      <c r="T19" s="3" t="s">
        <v>71</v>
      </c>
      <c r="U19" s="3" t="s">
        <v>72</v>
      </c>
      <c r="V19" s="3" t="str">
        <f>IF(COUNTA(A19:U19)=21,"OK","MISSING")</f>
        <v>OK</v>
      </c>
    </row>
    <row r="20" ht="35.05" hidden="0" outlineLevel="0" collapsed="0">
      <c r="A20" s="3">
        <v>16</v>
      </c>
      <c r="B20" s="3" t="s">
        <v>4</v>
      </c>
      <c r="C20" s="3" t="s">
        <v>110</v>
      </c>
      <c r="D20" s="3" t="s">
        <v>111</v>
      </c>
      <c r="E20" s="3" t="s">
        <v>57</v>
      </c>
      <c r="F20" s="12">
        <v>9771</v>
      </c>
      <c r="G20" s="3" t="s">
        <v>58</v>
      </c>
      <c r="H20" s="3" t="s">
        <v>59</v>
      </c>
      <c r="I20" s="3" t="s">
        <v>112</v>
      </c>
      <c r="J20" s="3" t="s">
        <v>61</v>
      </c>
      <c r="K20" s="3" t="s">
        <v>62</v>
      </c>
      <c r="L20" s="3" t="s">
        <v>63</v>
      </c>
      <c r="M20" s="3" t="s">
        <v>64</v>
      </c>
      <c r="N20" s="3" t="s">
        <v>65</v>
      </c>
      <c r="O20" s="3" t="s">
        <v>66</v>
      </c>
      <c r="P20" s="3" t="s">
        <v>67</v>
      </c>
      <c r="Q20" s="3" t="s">
        <v>68</v>
      </c>
      <c r="R20" s="3" t="s">
        <v>69</v>
      </c>
      <c r="S20" s="3" t="s">
        <v>70</v>
      </c>
      <c r="T20" s="3" t="s">
        <v>71</v>
      </c>
      <c r="U20" s="3" t="s">
        <v>72</v>
      </c>
      <c r="V20" s="3" t="str">
        <f>IF(COUNTA(A20:U20)=21,"OK","MISSING")</f>
        <v>OK</v>
      </c>
    </row>
    <row r="21" ht="35.05" hidden="0" outlineLevel="0" collapsed="0">
      <c r="A21" s="3">
        <v>17</v>
      </c>
      <c r="B21" s="3" t="s">
        <v>4</v>
      </c>
      <c r="C21" s="3" t="s">
        <v>113</v>
      </c>
      <c r="D21" s="3" t="s">
        <v>111</v>
      </c>
      <c r="E21" s="3" t="s">
        <v>74</v>
      </c>
      <c r="F21" s="12">
        <v>9542</v>
      </c>
      <c r="G21" s="3" t="s">
        <v>58</v>
      </c>
      <c r="H21" s="3" t="s">
        <v>59</v>
      </c>
      <c r="I21" s="3" t="s">
        <v>112</v>
      </c>
      <c r="J21" s="3" t="s">
        <v>75</v>
      </c>
      <c r="K21" s="3" t="s">
        <v>76</v>
      </c>
      <c r="L21" s="3" t="s">
        <v>77</v>
      </c>
      <c r="M21" s="3" t="s">
        <v>64</v>
      </c>
      <c r="N21" s="3" t="s">
        <v>78</v>
      </c>
      <c r="O21" s="3" t="s">
        <v>79</v>
      </c>
      <c r="P21" s="3" t="s">
        <v>80</v>
      </c>
      <c r="Q21" s="3" t="s">
        <v>68</v>
      </c>
      <c r="R21" s="3" t="s">
        <v>69</v>
      </c>
      <c r="S21" s="3" t="s">
        <v>70</v>
      </c>
      <c r="T21" s="3" t="s">
        <v>71</v>
      </c>
      <c r="U21" s="3" t="s">
        <v>72</v>
      </c>
      <c r="V21" s="3" t="str">
        <f>IF(COUNTA(A21:U21)=21,"OK","MISSING")</f>
        <v>OK</v>
      </c>
    </row>
    <row r="22" ht="35.05" hidden="0" outlineLevel="0" collapsed="0">
      <c r="A22" s="3">
        <v>18</v>
      </c>
      <c r="B22" s="3" t="s">
        <v>4</v>
      </c>
      <c r="C22" s="3" t="s">
        <v>114</v>
      </c>
      <c r="D22" s="3" t="s">
        <v>111</v>
      </c>
      <c r="E22" s="3" t="s">
        <v>82</v>
      </c>
      <c r="F22" s="12">
        <v>10714</v>
      </c>
      <c r="G22" s="3" t="s">
        <v>58</v>
      </c>
      <c r="H22" s="3" t="s">
        <v>59</v>
      </c>
      <c r="I22" s="3" t="s">
        <v>112</v>
      </c>
      <c r="J22" s="3" t="s">
        <v>83</v>
      </c>
      <c r="K22" s="3" t="s">
        <v>84</v>
      </c>
      <c r="L22" s="3" t="s">
        <v>85</v>
      </c>
      <c r="M22" s="3" t="s">
        <v>64</v>
      </c>
      <c r="N22" s="3" t="s">
        <v>86</v>
      </c>
      <c r="O22" s="3" t="s">
        <v>10</v>
      </c>
      <c r="P22" s="3" t="s">
        <v>87</v>
      </c>
      <c r="Q22" s="3" t="s">
        <v>68</v>
      </c>
      <c r="R22" s="3" t="s">
        <v>69</v>
      </c>
      <c r="S22" s="3" t="s">
        <v>70</v>
      </c>
      <c r="T22" s="3" t="s">
        <v>71</v>
      </c>
      <c r="U22" s="3" t="s">
        <v>72</v>
      </c>
      <c r="V22" s="3" t="str">
        <f>IF(COUNTA(A22:U22)=21,"OK","MISSING")</f>
        <v>OK</v>
      </c>
    </row>
    <row r="23" ht="35.05" hidden="0" outlineLevel="0" collapsed="0">
      <c r="A23" s="3">
        <v>19</v>
      </c>
      <c r="B23" s="3" t="s">
        <v>4</v>
      </c>
      <c r="C23" s="3" t="s">
        <v>115</v>
      </c>
      <c r="D23" s="3" t="s">
        <v>111</v>
      </c>
      <c r="E23" s="3" t="s">
        <v>89</v>
      </c>
      <c r="F23" s="12">
        <v>10631</v>
      </c>
      <c r="G23" s="3" t="s">
        <v>58</v>
      </c>
      <c r="H23" s="3" t="s">
        <v>59</v>
      </c>
      <c r="I23" s="3" t="s">
        <v>112</v>
      </c>
      <c r="J23" s="3" t="s">
        <v>90</v>
      </c>
      <c r="K23" s="3" t="s">
        <v>91</v>
      </c>
      <c r="L23" s="3" t="s">
        <v>85</v>
      </c>
      <c r="M23" s="3" t="s">
        <v>64</v>
      </c>
      <c r="N23" s="3" t="s">
        <v>86</v>
      </c>
      <c r="O23" s="3" t="s">
        <v>10</v>
      </c>
      <c r="P23" s="3" t="s">
        <v>87</v>
      </c>
      <c r="Q23" s="3" t="s">
        <v>68</v>
      </c>
      <c r="R23" s="3" t="s">
        <v>69</v>
      </c>
      <c r="S23" s="3" t="s">
        <v>70</v>
      </c>
      <c r="T23" s="3" t="s">
        <v>71</v>
      </c>
      <c r="U23" s="3" t="s">
        <v>72</v>
      </c>
      <c r="V23" s="3" t="str">
        <f>IF(COUNTA(A23:U23)=21,"OK","MISSING")</f>
        <v>OK</v>
      </c>
    </row>
    <row r="24" ht="35.05" hidden="0" outlineLevel="0" collapsed="0">
      <c r="A24" s="3">
        <v>20</v>
      </c>
      <c r="B24" s="3" t="s">
        <v>4</v>
      </c>
      <c r="C24" s="3" t="s">
        <v>116</v>
      </c>
      <c r="D24" s="3" t="s">
        <v>111</v>
      </c>
      <c r="E24" s="3" t="s">
        <v>93</v>
      </c>
      <c r="F24" s="12">
        <v>13107</v>
      </c>
      <c r="G24" s="3" t="s">
        <v>58</v>
      </c>
      <c r="H24" s="3" t="s">
        <v>59</v>
      </c>
      <c r="I24" s="3" t="s">
        <v>112</v>
      </c>
      <c r="J24" s="3" t="s">
        <v>94</v>
      </c>
      <c r="K24" s="3" t="s">
        <v>95</v>
      </c>
      <c r="L24" s="3" t="s">
        <v>85</v>
      </c>
      <c r="M24" s="3" t="s">
        <v>64</v>
      </c>
      <c r="N24" s="3" t="s">
        <v>86</v>
      </c>
      <c r="O24" s="3" t="s">
        <v>10</v>
      </c>
      <c r="P24" s="3" t="s">
        <v>87</v>
      </c>
      <c r="Q24" s="3" t="s">
        <v>68</v>
      </c>
      <c r="R24" s="3" t="s">
        <v>69</v>
      </c>
      <c r="S24" s="3" t="s">
        <v>70</v>
      </c>
      <c r="T24" s="3" t="s">
        <v>71</v>
      </c>
      <c r="U24" s="3" t="s">
        <v>72</v>
      </c>
      <c r="V24" s="3" t="str">
        <f>IF(COUNTA(A24:U24)=21,"OK","MISSING")</f>
        <v>OK</v>
      </c>
    </row>
    <row r="25" ht="35.05" hidden="0" outlineLevel="0" collapsed="0">
      <c r="A25" s="3">
        <v>21</v>
      </c>
      <c r="B25" s="3" t="s">
        <v>4</v>
      </c>
      <c r="C25" s="3" t="s">
        <v>117</v>
      </c>
      <c r="D25" s="3" t="s">
        <v>118</v>
      </c>
      <c r="E25" s="3" t="s">
        <v>57</v>
      </c>
      <c r="F25" s="12">
        <v>12625</v>
      </c>
      <c r="G25" s="3" t="s">
        <v>58</v>
      </c>
      <c r="H25" s="3" t="s">
        <v>59</v>
      </c>
      <c r="I25" s="3" t="s">
        <v>119</v>
      </c>
      <c r="J25" s="3" t="s">
        <v>61</v>
      </c>
      <c r="K25" s="3" t="s">
        <v>62</v>
      </c>
      <c r="L25" s="3" t="s">
        <v>63</v>
      </c>
      <c r="M25" s="3" t="s">
        <v>64</v>
      </c>
      <c r="N25" s="3" t="s">
        <v>65</v>
      </c>
      <c r="O25" s="3" t="s">
        <v>66</v>
      </c>
      <c r="P25" s="3" t="s">
        <v>67</v>
      </c>
      <c r="Q25" s="3" t="s">
        <v>68</v>
      </c>
      <c r="R25" s="3" t="s">
        <v>69</v>
      </c>
      <c r="S25" s="3" t="s">
        <v>70</v>
      </c>
      <c r="T25" s="3" t="s">
        <v>71</v>
      </c>
      <c r="U25" s="3" t="s">
        <v>72</v>
      </c>
      <c r="V25" s="3" t="str">
        <f>IF(COUNTA(A25:U25)=21,"OK","MISSING")</f>
        <v>OK</v>
      </c>
    </row>
    <row r="26" ht="35.05" hidden="0" outlineLevel="0" collapsed="0">
      <c r="A26" s="3">
        <v>22</v>
      </c>
      <c r="B26" s="3" t="s">
        <v>4</v>
      </c>
      <c r="C26" s="3" t="s">
        <v>120</v>
      </c>
      <c r="D26" s="3" t="s">
        <v>118</v>
      </c>
      <c r="E26" s="3" t="s">
        <v>74</v>
      </c>
      <c r="F26" s="12">
        <v>11018</v>
      </c>
      <c r="G26" s="3" t="s">
        <v>58</v>
      </c>
      <c r="H26" s="3" t="s">
        <v>59</v>
      </c>
      <c r="I26" s="3" t="s">
        <v>119</v>
      </c>
      <c r="J26" s="3" t="s">
        <v>75</v>
      </c>
      <c r="K26" s="3" t="s">
        <v>76</v>
      </c>
      <c r="L26" s="3" t="s">
        <v>77</v>
      </c>
      <c r="M26" s="3" t="s">
        <v>64</v>
      </c>
      <c r="N26" s="3" t="s">
        <v>78</v>
      </c>
      <c r="O26" s="3" t="s">
        <v>79</v>
      </c>
      <c r="P26" s="3" t="s">
        <v>80</v>
      </c>
      <c r="Q26" s="3" t="s">
        <v>68</v>
      </c>
      <c r="R26" s="3" t="s">
        <v>69</v>
      </c>
      <c r="S26" s="3" t="s">
        <v>70</v>
      </c>
      <c r="T26" s="3" t="s">
        <v>71</v>
      </c>
      <c r="U26" s="3" t="s">
        <v>72</v>
      </c>
      <c r="V26" s="3" t="str">
        <f>IF(COUNTA(A26:U26)=21,"OK","MISSING")</f>
        <v>OK</v>
      </c>
    </row>
    <row r="27" ht="35.05" hidden="0" outlineLevel="0" collapsed="0">
      <c r="A27" s="3">
        <v>23</v>
      </c>
      <c r="B27" s="3" t="s">
        <v>4</v>
      </c>
      <c r="C27" s="3" t="s">
        <v>121</v>
      </c>
      <c r="D27" s="3" t="s">
        <v>118</v>
      </c>
      <c r="E27" s="3" t="s">
        <v>82</v>
      </c>
      <c r="F27" s="12">
        <v>11599</v>
      </c>
      <c r="G27" s="3" t="s">
        <v>58</v>
      </c>
      <c r="H27" s="3" t="s">
        <v>59</v>
      </c>
      <c r="I27" s="3" t="s">
        <v>119</v>
      </c>
      <c r="J27" s="3" t="s">
        <v>83</v>
      </c>
      <c r="K27" s="3" t="s">
        <v>84</v>
      </c>
      <c r="L27" s="3" t="s">
        <v>85</v>
      </c>
      <c r="M27" s="3" t="s">
        <v>64</v>
      </c>
      <c r="N27" s="3" t="s">
        <v>86</v>
      </c>
      <c r="O27" s="3" t="s">
        <v>10</v>
      </c>
      <c r="P27" s="3" t="s">
        <v>87</v>
      </c>
      <c r="Q27" s="3" t="s">
        <v>68</v>
      </c>
      <c r="R27" s="3" t="s">
        <v>69</v>
      </c>
      <c r="S27" s="3" t="s">
        <v>70</v>
      </c>
      <c r="T27" s="3" t="s">
        <v>71</v>
      </c>
      <c r="U27" s="3" t="s">
        <v>72</v>
      </c>
      <c r="V27" s="3" t="str">
        <f>IF(COUNTA(A27:U27)=21,"OK","MISSING")</f>
        <v>OK</v>
      </c>
    </row>
    <row r="28" ht="35.05" hidden="0" outlineLevel="0" collapsed="0">
      <c r="A28" s="3">
        <v>24</v>
      </c>
      <c r="B28" s="3" t="s">
        <v>4</v>
      </c>
      <c r="C28" s="3" t="s">
        <v>122</v>
      </c>
      <c r="D28" s="3" t="s">
        <v>118</v>
      </c>
      <c r="E28" s="3" t="s">
        <v>89</v>
      </c>
      <c r="F28" s="12">
        <v>6805</v>
      </c>
      <c r="G28" s="3" t="s">
        <v>58</v>
      </c>
      <c r="H28" s="3" t="s">
        <v>59</v>
      </c>
      <c r="I28" s="3" t="s">
        <v>119</v>
      </c>
      <c r="J28" s="3" t="s">
        <v>90</v>
      </c>
      <c r="K28" s="3" t="s">
        <v>91</v>
      </c>
      <c r="L28" s="3" t="s">
        <v>85</v>
      </c>
      <c r="M28" s="3" t="s">
        <v>64</v>
      </c>
      <c r="N28" s="3" t="s">
        <v>86</v>
      </c>
      <c r="O28" s="3" t="s">
        <v>10</v>
      </c>
      <c r="P28" s="3" t="s">
        <v>87</v>
      </c>
      <c r="Q28" s="3" t="s">
        <v>68</v>
      </c>
      <c r="R28" s="3" t="s">
        <v>69</v>
      </c>
      <c r="S28" s="3" t="s">
        <v>70</v>
      </c>
      <c r="T28" s="3" t="s">
        <v>71</v>
      </c>
      <c r="U28" s="3" t="s">
        <v>72</v>
      </c>
      <c r="V28" s="3" t="str">
        <f>IF(COUNTA(A28:U28)=21,"OK","MISSING")</f>
        <v>OK</v>
      </c>
    </row>
    <row r="29" ht="35.05" hidden="0" outlineLevel="0" collapsed="0">
      <c r="A29" s="3">
        <v>25</v>
      </c>
      <c r="B29" s="3" t="s">
        <v>4</v>
      </c>
      <c r="C29" s="3" t="s">
        <v>123</v>
      </c>
      <c r="D29" s="3" t="s">
        <v>118</v>
      </c>
      <c r="E29" s="3" t="s">
        <v>93</v>
      </c>
      <c r="F29" s="12">
        <v>7408</v>
      </c>
      <c r="G29" s="3" t="s">
        <v>58</v>
      </c>
      <c r="H29" s="3" t="s">
        <v>59</v>
      </c>
      <c r="I29" s="3" t="s">
        <v>119</v>
      </c>
      <c r="J29" s="3" t="s">
        <v>94</v>
      </c>
      <c r="K29" s="3" t="s">
        <v>95</v>
      </c>
      <c r="L29" s="3" t="s">
        <v>85</v>
      </c>
      <c r="M29" s="3" t="s">
        <v>64</v>
      </c>
      <c r="N29" s="3" t="s">
        <v>86</v>
      </c>
      <c r="O29" s="3" t="s">
        <v>10</v>
      </c>
      <c r="P29" s="3" t="s">
        <v>87</v>
      </c>
      <c r="Q29" s="3" t="s">
        <v>68</v>
      </c>
      <c r="R29" s="3" t="s">
        <v>69</v>
      </c>
      <c r="S29" s="3" t="s">
        <v>70</v>
      </c>
      <c r="T29" s="3" t="s">
        <v>71</v>
      </c>
      <c r="U29" s="3" t="s">
        <v>72</v>
      </c>
      <c r="V29" s="3" t="str">
        <f>IF(COUNTA(A29:U29)=21,"OK","MISSING")</f>
        <v>OK</v>
      </c>
    </row>
    <row r="30" ht="35.05" hidden="0" outlineLevel="0" collapsed="0">
      <c r="A30" s="3">
        <v>26</v>
      </c>
      <c r="B30" s="3" t="s">
        <v>4</v>
      </c>
      <c r="C30" s="3" t="s">
        <v>124</v>
      </c>
      <c r="D30" s="3" t="s">
        <v>125</v>
      </c>
      <c r="E30" s="3" t="s">
        <v>57</v>
      </c>
      <c r="F30" s="12">
        <v>1367</v>
      </c>
      <c r="G30" s="3" t="s">
        <v>58</v>
      </c>
      <c r="H30" s="3" t="s">
        <v>59</v>
      </c>
      <c r="I30" s="3" t="s">
        <v>126</v>
      </c>
      <c r="J30" s="3" t="s">
        <v>61</v>
      </c>
      <c r="K30" s="3" t="s">
        <v>62</v>
      </c>
      <c r="L30" s="3" t="s">
        <v>63</v>
      </c>
      <c r="M30" s="3" t="s">
        <v>64</v>
      </c>
      <c r="N30" s="3" t="s">
        <v>65</v>
      </c>
      <c r="O30" s="3" t="s">
        <v>66</v>
      </c>
      <c r="P30" s="3" t="s">
        <v>67</v>
      </c>
      <c r="Q30" s="3" t="s">
        <v>68</v>
      </c>
      <c r="R30" s="3" t="s">
        <v>69</v>
      </c>
      <c r="S30" s="3" t="s">
        <v>70</v>
      </c>
      <c r="T30" s="3" t="s">
        <v>71</v>
      </c>
      <c r="U30" s="3" t="s">
        <v>72</v>
      </c>
      <c r="V30" s="3" t="str">
        <f>IF(COUNTA(A30:U30)=21,"OK","MISSING")</f>
        <v>OK</v>
      </c>
    </row>
    <row r="31" ht="35.05" hidden="0" outlineLevel="0" collapsed="0">
      <c r="A31" s="3">
        <v>27</v>
      </c>
      <c r="B31" s="3" t="s">
        <v>4</v>
      </c>
      <c r="C31" s="3" t="s">
        <v>127</v>
      </c>
      <c r="D31" s="3" t="s">
        <v>125</v>
      </c>
      <c r="E31" s="3" t="s">
        <v>74</v>
      </c>
      <c r="F31" s="12">
        <v>1484</v>
      </c>
      <c r="G31" s="3" t="s">
        <v>58</v>
      </c>
      <c r="H31" s="3" t="s">
        <v>59</v>
      </c>
      <c r="I31" s="3" t="s">
        <v>126</v>
      </c>
      <c r="J31" s="3" t="s">
        <v>75</v>
      </c>
      <c r="K31" s="3" t="s">
        <v>76</v>
      </c>
      <c r="L31" s="3" t="s">
        <v>77</v>
      </c>
      <c r="M31" s="3" t="s">
        <v>64</v>
      </c>
      <c r="N31" s="3" t="s">
        <v>78</v>
      </c>
      <c r="O31" s="3" t="s">
        <v>79</v>
      </c>
      <c r="P31" s="3" t="s">
        <v>80</v>
      </c>
      <c r="Q31" s="3" t="s">
        <v>68</v>
      </c>
      <c r="R31" s="3" t="s">
        <v>69</v>
      </c>
      <c r="S31" s="3" t="s">
        <v>70</v>
      </c>
      <c r="T31" s="3" t="s">
        <v>71</v>
      </c>
      <c r="U31" s="3" t="s">
        <v>72</v>
      </c>
      <c r="V31" s="3" t="str">
        <f>IF(COUNTA(A31:U31)=21,"OK","MISSING")</f>
        <v>OK</v>
      </c>
    </row>
    <row r="32" ht="35.05" hidden="0" outlineLevel="0" collapsed="0">
      <c r="A32" s="3">
        <v>28</v>
      </c>
      <c r="B32" s="3" t="s">
        <v>4</v>
      </c>
      <c r="C32" s="3" t="s">
        <v>128</v>
      </c>
      <c r="D32" s="3" t="s">
        <v>125</v>
      </c>
      <c r="E32" s="3" t="s">
        <v>82</v>
      </c>
      <c r="F32" s="12">
        <v>1852</v>
      </c>
      <c r="G32" s="3" t="s">
        <v>58</v>
      </c>
      <c r="H32" s="3" t="s">
        <v>59</v>
      </c>
      <c r="I32" s="3" t="s">
        <v>126</v>
      </c>
      <c r="J32" s="3" t="s">
        <v>83</v>
      </c>
      <c r="K32" s="3" t="s">
        <v>84</v>
      </c>
      <c r="L32" s="3" t="s">
        <v>85</v>
      </c>
      <c r="M32" s="3" t="s">
        <v>64</v>
      </c>
      <c r="N32" s="3" t="s">
        <v>86</v>
      </c>
      <c r="O32" s="3" t="s">
        <v>10</v>
      </c>
      <c r="P32" s="3" t="s">
        <v>87</v>
      </c>
      <c r="Q32" s="3" t="s">
        <v>68</v>
      </c>
      <c r="R32" s="3" t="s">
        <v>69</v>
      </c>
      <c r="S32" s="3" t="s">
        <v>70</v>
      </c>
      <c r="T32" s="3" t="s">
        <v>71</v>
      </c>
      <c r="U32" s="3" t="s">
        <v>72</v>
      </c>
      <c r="V32" s="3" t="str">
        <f>IF(COUNTA(A32:U32)=21,"OK","MISSING")</f>
        <v>OK</v>
      </c>
    </row>
    <row r="33" ht="35.05" hidden="0" outlineLevel="0" collapsed="0">
      <c r="A33" s="3">
        <v>29</v>
      </c>
      <c r="B33" s="3" t="s">
        <v>4</v>
      </c>
      <c r="C33" s="3" t="s">
        <v>129</v>
      </c>
      <c r="D33" s="3" t="s">
        <v>125</v>
      </c>
      <c r="E33" s="3" t="s">
        <v>89</v>
      </c>
      <c r="F33" s="12">
        <v>2064</v>
      </c>
      <c r="G33" s="3" t="s">
        <v>58</v>
      </c>
      <c r="H33" s="3" t="s">
        <v>59</v>
      </c>
      <c r="I33" s="3" t="s">
        <v>126</v>
      </c>
      <c r="J33" s="3" t="s">
        <v>90</v>
      </c>
      <c r="K33" s="3" t="s">
        <v>91</v>
      </c>
      <c r="L33" s="3" t="s">
        <v>85</v>
      </c>
      <c r="M33" s="3" t="s">
        <v>64</v>
      </c>
      <c r="N33" s="3" t="s">
        <v>86</v>
      </c>
      <c r="O33" s="3" t="s">
        <v>10</v>
      </c>
      <c r="P33" s="3" t="s">
        <v>87</v>
      </c>
      <c r="Q33" s="3" t="s">
        <v>68</v>
      </c>
      <c r="R33" s="3" t="s">
        <v>69</v>
      </c>
      <c r="S33" s="3" t="s">
        <v>70</v>
      </c>
      <c r="T33" s="3" t="s">
        <v>71</v>
      </c>
      <c r="U33" s="3" t="s">
        <v>72</v>
      </c>
      <c r="V33" s="3" t="str">
        <f>IF(COUNTA(A33:U33)=21,"OK","MISSING")</f>
        <v>OK</v>
      </c>
    </row>
    <row r="34" ht="35.05" hidden="0" outlineLevel="0" collapsed="0">
      <c r="A34" s="3">
        <v>30</v>
      </c>
      <c r="B34" s="3" t="s">
        <v>4</v>
      </c>
      <c r="C34" s="3" t="s">
        <v>130</v>
      </c>
      <c r="D34" s="3" t="s">
        <v>125</v>
      </c>
      <c r="E34" s="3" t="s">
        <v>93</v>
      </c>
      <c r="F34" s="12">
        <v>2112</v>
      </c>
      <c r="G34" s="3" t="s">
        <v>58</v>
      </c>
      <c r="H34" s="3" t="s">
        <v>59</v>
      </c>
      <c r="I34" s="3" t="s">
        <v>126</v>
      </c>
      <c r="J34" s="3" t="s">
        <v>94</v>
      </c>
      <c r="K34" s="3" t="s">
        <v>95</v>
      </c>
      <c r="L34" s="3" t="s">
        <v>85</v>
      </c>
      <c r="M34" s="3" t="s">
        <v>64</v>
      </c>
      <c r="N34" s="3" t="s">
        <v>86</v>
      </c>
      <c r="O34" s="3" t="s">
        <v>10</v>
      </c>
      <c r="P34" s="3" t="s">
        <v>87</v>
      </c>
      <c r="Q34" s="3" t="s">
        <v>68</v>
      </c>
      <c r="R34" s="3" t="s">
        <v>69</v>
      </c>
      <c r="S34" s="3" t="s">
        <v>70</v>
      </c>
      <c r="T34" s="3" t="s">
        <v>71</v>
      </c>
      <c r="U34" s="3" t="s">
        <v>72</v>
      </c>
      <c r="V34" s="3" t="str">
        <f>IF(COUNTA(A34:U34)=21,"OK","MISSING")</f>
        <v>OK</v>
      </c>
    </row>
    <row r="35" ht="35.05" hidden="0" outlineLevel="0" collapsed="0">
      <c r="A35" s="3">
        <v>31</v>
      </c>
      <c r="B35" s="3" t="s">
        <v>4</v>
      </c>
      <c r="C35" s="3" t="s">
        <v>131</v>
      </c>
      <c r="D35" s="3" t="s">
        <v>132</v>
      </c>
      <c r="E35" s="3" t="s">
        <v>57</v>
      </c>
      <c r="F35" s="12">
        <v>94354</v>
      </c>
      <c r="G35" s="3" t="s">
        <v>58</v>
      </c>
      <c r="H35" s="3" t="s">
        <v>59</v>
      </c>
      <c r="I35" s="3" t="s">
        <v>133</v>
      </c>
      <c r="J35" s="3" t="s">
        <v>134</v>
      </c>
      <c r="K35" s="3" t="s">
        <v>62</v>
      </c>
      <c r="L35" s="3" t="s">
        <v>135</v>
      </c>
      <c r="M35" s="3" t="s">
        <v>64</v>
      </c>
      <c r="N35" s="3" t="s">
        <v>136</v>
      </c>
      <c r="O35" s="3" t="s">
        <v>137</v>
      </c>
      <c r="P35" s="3" t="s">
        <v>138</v>
      </c>
      <c r="Q35" s="3" t="s">
        <v>68</v>
      </c>
      <c r="R35" s="3" t="s">
        <v>69</v>
      </c>
      <c r="S35" s="3" t="s">
        <v>70</v>
      </c>
      <c r="T35" s="3" t="s">
        <v>71</v>
      </c>
      <c r="U35" s="3" t="s">
        <v>72</v>
      </c>
      <c r="V35" s="3" t="str">
        <f>IF(COUNTA(A35:U35)=21,"OK","MISSING")</f>
        <v>OK</v>
      </c>
    </row>
    <row r="36" ht="35.05" hidden="0" outlineLevel="0" collapsed="0">
      <c r="A36" s="3">
        <v>32</v>
      </c>
      <c r="B36" s="3" t="s">
        <v>4</v>
      </c>
      <c r="C36" s="3" t="s">
        <v>139</v>
      </c>
      <c r="D36" s="3" t="s">
        <v>132</v>
      </c>
      <c r="E36" s="3" t="s">
        <v>74</v>
      </c>
      <c r="F36" s="12">
        <v>92763</v>
      </c>
      <c r="G36" s="3" t="s">
        <v>58</v>
      </c>
      <c r="H36" s="3" t="s">
        <v>59</v>
      </c>
      <c r="I36" s="3" t="s">
        <v>133</v>
      </c>
      <c r="J36" s="3" t="s">
        <v>134</v>
      </c>
      <c r="K36" s="3" t="s">
        <v>76</v>
      </c>
      <c r="L36" s="3" t="s">
        <v>63</v>
      </c>
      <c r="M36" s="3" t="s">
        <v>64</v>
      </c>
      <c r="N36" s="3" t="s">
        <v>65</v>
      </c>
      <c r="O36" s="3" t="s">
        <v>66</v>
      </c>
      <c r="P36" s="3" t="s">
        <v>67</v>
      </c>
      <c r="Q36" s="3" t="s">
        <v>68</v>
      </c>
      <c r="R36" s="3" t="s">
        <v>69</v>
      </c>
      <c r="S36" s="3" t="s">
        <v>70</v>
      </c>
      <c r="T36" s="3" t="s">
        <v>71</v>
      </c>
      <c r="U36" s="3" t="s">
        <v>72</v>
      </c>
      <c r="V36" s="3" t="str">
        <f>IF(COUNTA(A36:U36)=21,"OK","MISSING")</f>
        <v>OK</v>
      </c>
    </row>
    <row r="37" ht="35.05" hidden="0" outlineLevel="0" collapsed="0">
      <c r="A37" s="3">
        <v>33</v>
      </c>
      <c r="B37" s="3" t="s">
        <v>4</v>
      </c>
      <c r="C37" s="3" t="s">
        <v>140</v>
      </c>
      <c r="D37" s="3" t="s">
        <v>132</v>
      </c>
      <c r="E37" s="3" t="s">
        <v>82</v>
      </c>
      <c r="F37" s="12">
        <v>97703</v>
      </c>
      <c r="G37" s="3" t="s">
        <v>58</v>
      </c>
      <c r="H37" s="3" t="s">
        <v>59</v>
      </c>
      <c r="I37" s="3" t="s">
        <v>133</v>
      </c>
      <c r="J37" s="3" t="s">
        <v>134</v>
      </c>
      <c r="K37" s="3" t="s">
        <v>84</v>
      </c>
      <c r="L37" s="3" t="s">
        <v>77</v>
      </c>
      <c r="M37" s="3" t="s">
        <v>64</v>
      </c>
      <c r="N37" s="3" t="s">
        <v>78</v>
      </c>
      <c r="O37" s="3" t="s">
        <v>79</v>
      </c>
      <c r="P37" s="3" t="s">
        <v>80</v>
      </c>
      <c r="Q37" s="3" t="s">
        <v>68</v>
      </c>
      <c r="R37" s="3" t="s">
        <v>69</v>
      </c>
      <c r="S37" s="3" t="s">
        <v>70</v>
      </c>
      <c r="T37" s="3" t="s">
        <v>71</v>
      </c>
      <c r="U37" s="3" t="s">
        <v>72</v>
      </c>
      <c r="V37" s="3" t="str">
        <f>IF(COUNTA(A37:U37)=21,"OK","MISSING")</f>
        <v>OK</v>
      </c>
    </row>
    <row r="38" ht="35.05" hidden="0" outlineLevel="0" collapsed="0">
      <c r="A38" s="3">
        <v>34</v>
      </c>
      <c r="B38" s="3" t="s">
        <v>4</v>
      </c>
      <c r="C38" s="3" t="s">
        <v>141</v>
      </c>
      <c r="D38" s="3" t="s">
        <v>132</v>
      </c>
      <c r="E38" s="3" t="s">
        <v>89</v>
      </c>
      <c r="F38" s="12">
        <v>100549</v>
      </c>
      <c r="G38" s="3" t="s">
        <v>58</v>
      </c>
      <c r="H38" s="3" t="s">
        <v>59</v>
      </c>
      <c r="I38" s="3" t="s">
        <v>133</v>
      </c>
      <c r="J38" s="3" t="s">
        <v>134</v>
      </c>
      <c r="K38" s="3" t="s">
        <v>91</v>
      </c>
      <c r="L38" s="3" t="s">
        <v>85</v>
      </c>
      <c r="M38" s="3" t="s">
        <v>64</v>
      </c>
      <c r="N38" s="3" t="s">
        <v>86</v>
      </c>
      <c r="O38" s="3" t="s">
        <v>10</v>
      </c>
      <c r="P38" s="3" t="s">
        <v>87</v>
      </c>
      <c r="Q38" s="3" t="s">
        <v>68</v>
      </c>
      <c r="R38" s="3" t="s">
        <v>69</v>
      </c>
      <c r="S38" s="3" t="s">
        <v>70</v>
      </c>
      <c r="T38" s="3" t="s">
        <v>71</v>
      </c>
      <c r="U38" s="3" t="s">
        <v>72</v>
      </c>
      <c r="V38" s="3" t="str">
        <f>IF(COUNTA(A38:U38)=21,"OK","MISSING")</f>
        <v>OK</v>
      </c>
    </row>
    <row r="39" ht="35.05" hidden="0" outlineLevel="0" collapsed="0">
      <c r="A39" s="3">
        <v>35</v>
      </c>
      <c r="B39" s="3" t="s">
        <v>4</v>
      </c>
      <c r="C39" s="3" t="s">
        <v>142</v>
      </c>
      <c r="D39" s="3" t="s">
        <v>132</v>
      </c>
      <c r="E39" s="3" t="s">
        <v>93</v>
      </c>
      <c r="F39" s="12">
        <v>104816</v>
      </c>
      <c r="G39" s="3" t="s">
        <v>58</v>
      </c>
      <c r="H39" s="3" t="s">
        <v>59</v>
      </c>
      <c r="I39" s="3" t="s">
        <v>133</v>
      </c>
      <c r="J39" s="3" t="s">
        <v>134</v>
      </c>
      <c r="K39" s="3" t="s">
        <v>95</v>
      </c>
      <c r="L39" s="3" t="s">
        <v>85</v>
      </c>
      <c r="M39" s="3" t="s">
        <v>64</v>
      </c>
      <c r="N39" s="3" t="s">
        <v>86</v>
      </c>
      <c r="O39" s="3" t="s">
        <v>10</v>
      </c>
      <c r="P39" s="3" t="s">
        <v>87</v>
      </c>
      <c r="Q39" s="3" t="s">
        <v>68</v>
      </c>
      <c r="R39" s="3" t="s">
        <v>69</v>
      </c>
      <c r="S39" s="3" t="s">
        <v>70</v>
      </c>
      <c r="T39" s="3" t="s">
        <v>71</v>
      </c>
      <c r="U39" s="3" t="s">
        <v>72</v>
      </c>
      <c r="V39" s="3" t="str">
        <f>IF(COUNTA(A39:U39)=21,"OK","MISSING")</f>
        <v>OK</v>
      </c>
    </row>
    <row r="40" ht="35.05" hidden="0" outlineLevel="0" collapsed="0">
      <c r="A40" s="3">
        <v>36</v>
      </c>
      <c r="B40" s="3" t="s">
        <v>4</v>
      </c>
      <c r="C40" s="3" t="s">
        <v>143</v>
      </c>
      <c r="D40" s="3" t="s">
        <v>144</v>
      </c>
      <c r="E40" s="3" t="s">
        <v>57</v>
      </c>
      <c r="F40" s="12">
        <v>22999</v>
      </c>
      <c r="G40" s="3" t="s">
        <v>58</v>
      </c>
      <c r="H40" s="3" t="s">
        <v>59</v>
      </c>
      <c r="I40" s="3" t="s">
        <v>145</v>
      </c>
      <c r="J40" s="3" t="s">
        <v>134</v>
      </c>
      <c r="K40" s="3" t="s">
        <v>62</v>
      </c>
      <c r="L40" s="3" t="s">
        <v>135</v>
      </c>
      <c r="M40" s="3" t="s">
        <v>64</v>
      </c>
      <c r="N40" s="3" t="s">
        <v>136</v>
      </c>
      <c r="O40" s="3" t="s">
        <v>137</v>
      </c>
      <c r="P40" s="3" t="s">
        <v>138</v>
      </c>
      <c r="Q40" s="3" t="s">
        <v>68</v>
      </c>
      <c r="R40" s="3" t="s">
        <v>69</v>
      </c>
      <c r="S40" s="3" t="s">
        <v>70</v>
      </c>
      <c r="T40" s="3" t="s">
        <v>71</v>
      </c>
      <c r="U40" s="3" t="s">
        <v>72</v>
      </c>
      <c r="V40" s="3" t="str">
        <f>IF(COUNTA(A40:U40)=21,"OK","MISSING")</f>
        <v>OK</v>
      </c>
    </row>
    <row r="41" ht="35.05" hidden="0" outlineLevel="0" collapsed="0">
      <c r="A41" s="3">
        <v>37</v>
      </c>
      <c r="B41" s="3" t="s">
        <v>4</v>
      </c>
      <c r="C41" s="3" t="s">
        <v>146</v>
      </c>
      <c r="D41" s="3" t="s">
        <v>144</v>
      </c>
      <c r="E41" s="3" t="s">
        <v>74</v>
      </c>
      <c r="F41" s="12">
        <v>24105</v>
      </c>
      <c r="G41" s="3" t="s">
        <v>58</v>
      </c>
      <c r="H41" s="3" t="s">
        <v>59</v>
      </c>
      <c r="I41" s="3" t="s">
        <v>145</v>
      </c>
      <c r="J41" s="3" t="s">
        <v>134</v>
      </c>
      <c r="K41" s="3" t="s">
        <v>76</v>
      </c>
      <c r="L41" s="3" t="s">
        <v>63</v>
      </c>
      <c r="M41" s="3" t="s">
        <v>64</v>
      </c>
      <c r="N41" s="3" t="s">
        <v>65</v>
      </c>
      <c r="O41" s="3" t="s">
        <v>66</v>
      </c>
      <c r="P41" s="3" t="s">
        <v>67</v>
      </c>
      <c r="Q41" s="3" t="s">
        <v>68</v>
      </c>
      <c r="R41" s="3" t="s">
        <v>69</v>
      </c>
      <c r="S41" s="3" t="s">
        <v>70</v>
      </c>
      <c r="T41" s="3" t="s">
        <v>71</v>
      </c>
      <c r="U41" s="3" t="s">
        <v>72</v>
      </c>
      <c r="V41" s="3" t="str">
        <f>IF(COUNTA(A41:U41)=21,"OK","MISSING")</f>
        <v>OK</v>
      </c>
    </row>
    <row r="42" ht="35.05" hidden="0" outlineLevel="0" collapsed="0">
      <c r="A42" s="3">
        <v>38</v>
      </c>
      <c r="B42" s="3" t="s">
        <v>4</v>
      </c>
      <c r="C42" s="3" t="s">
        <v>147</v>
      </c>
      <c r="D42" s="3" t="s">
        <v>144</v>
      </c>
      <c r="E42" s="3" t="s">
        <v>82</v>
      </c>
      <c r="F42" s="12">
        <v>25941</v>
      </c>
      <c r="G42" s="3" t="s">
        <v>58</v>
      </c>
      <c r="H42" s="3" t="s">
        <v>59</v>
      </c>
      <c r="I42" s="3" t="s">
        <v>145</v>
      </c>
      <c r="J42" s="3" t="s">
        <v>134</v>
      </c>
      <c r="K42" s="3" t="s">
        <v>84</v>
      </c>
      <c r="L42" s="3" t="s">
        <v>77</v>
      </c>
      <c r="M42" s="3" t="s">
        <v>64</v>
      </c>
      <c r="N42" s="3" t="s">
        <v>78</v>
      </c>
      <c r="O42" s="3" t="s">
        <v>79</v>
      </c>
      <c r="P42" s="3" t="s">
        <v>80</v>
      </c>
      <c r="Q42" s="3" t="s">
        <v>68</v>
      </c>
      <c r="R42" s="3" t="s">
        <v>69</v>
      </c>
      <c r="S42" s="3" t="s">
        <v>70</v>
      </c>
      <c r="T42" s="3" t="s">
        <v>71</v>
      </c>
      <c r="U42" s="3" t="s">
        <v>72</v>
      </c>
      <c r="V42" s="3" t="str">
        <f>IF(COUNTA(A42:U42)=21,"OK","MISSING")</f>
        <v>OK</v>
      </c>
    </row>
    <row r="43" ht="35.05" hidden="0" outlineLevel="0" collapsed="0">
      <c r="A43" s="3">
        <v>39</v>
      </c>
      <c r="B43" s="3" t="s">
        <v>4</v>
      </c>
      <c r="C43" s="3" t="s">
        <v>148</v>
      </c>
      <c r="D43" s="3" t="s">
        <v>144</v>
      </c>
      <c r="E43" s="3" t="s">
        <v>89</v>
      </c>
      <c r="F43" s="12">
        <v>24856</v>
      </c>
      <c r="G43" s="3" t="s">
        <v>58</v>
      </c>
      <c r="H43" s="3" t="s">
        <v>59</v>
      </c>
      <c r="I43" s="3" t="s">
        <v>145</v>
      </c>
      <c r="J43" s="3" t="s">
        <v>134</v>
      </c>
      <c r="K43" s="3" t="s">
        <v>91</v>
      </c>
      <c r="L43" s="3" t="s">
        <v>85</v>
      </c>
      <c r="M43" s="3" t="s">
        <v>64</v>
      </c>
      <c r="N43" s="3" t="s">
        <v>86</v>
      </c>
      <c r="O43" s="3" t="s">
        <v>10</v>
      </c>
      <c r="P43" s="3" t="s">
        <v>87</v>
      </c>
      <c r="Q43" s="3" t="s">
        <v>68</v>
      </c>
      <c r="R43" s="3" t="s">
        <v>69</v>
      </c>
      <c r="S43" s="3" t="s">
        <v>70</v>
      </c>
      <c r="T43" s="3" t="s">
        <v>71</v>
      </c>
      <c r="U43" s="3" t="s">
        <v>72</v>
      </c>
      <c r="V43" s="3" t="str">
        <f>IF(COUNTA(A43:U43)=21,"OK","MISSING")</f>
        <v>OK</v>
      </c>
    </row>
    <row r="44" ht="35.05" hidden="0" outlineLevel="0" collapsed="0">
      <c r="A44" s="3">
        <v>40</v>
      </c>
      <c r="B44" s="3" t="s">
        <v>4</v>
      </c>
      <c r="C44" s="3" t="s">
        <v>149</v>
      </c>
      <c r="D44" s="3" t="s">
        <v>144</v>
      </c>
      <c r="E44" s="3" t="s">
        <v>93</v>
      </c>
      <c r="F44" s="12">
        <v>32169</v>
      </c>
      <c r="G44" s="3" t="s">
        <v>58</v>
      </c>
      <c r="H44" s="3" t="s">
        <v>59</v>
      </c>
      <c r="I44" s="3" t="s">
        <v>145</v>
      </c>
      <c r="J44" s="3" t="s">
        <v>134</v>
      </c>
      <c r="K44" s="3" t="s">
        <v>95</v>
      </c>
      <c r="L44" s="3" t="s">
        <v>85</v>
      </c>
      <c r="M44" s="3" t="s">
        <v>64</v>
      </c>
      <c r="N44" s="3" t="s">
        <v>86</v>
      </c>
      <c r="O44" s="3" t="s">
        <v>10</v>
      </c>
      <c r="P44" s="3" t="s">
        <v>87</v>
      </c>
      <c r="Q44" s="3" t="s">
        <v>68</v>
      </c>
      <c r="R44" s="3" t="s">
        <v>69</v>
      </c>
      <c r="S44" s="3" t="s">
        <v>70</v>
      </c>
      <c r="T44" s="3" t="s">
        <v>71</v>
      </c>
      <c r="U44" s="3" t="s">
        <v>72</v>
      </c>
      <c r="V44" s="3" t="str">
        <f>IF(COUNTA(A44:U44)=21,"OK","MISSING")</f>
        <v>OK</v>
      </c>
    </row>
    <row r="45" ht="35.05" hidden="0" outlineLevel="0" collapsed="0">
      <c r="A45" s="3">
        <v>41</v>
      </c>
      <c r="B45" s="3" t="s">
        <v>4</v>
      </c>
      <c r="C45" s="3" t="s">
        <v>150</v>
      </c>
      <c r="D45" s="3" t="s">
        <v>151</v>
      </c>
      <c r="E45" s="3" t="s">
        <v>57</v>
      </c>
      <c r="F45" s="12">
        <v>9684</v>
      </c>
      <c r="G45" s="3" t="s">
        <v>58</v>
      </c>
      <c r="H45" s="3" t="s">
        <v>59</v>
      </c>
      <c r="I45" s="3" t="s">
        <v>152</v>
      </c>
      <c r="J45" s="3" t="s">
        <v>134</v>
      </c>
      <c r="K45" s="3" t="s">
        <v>62</v>
      </c>
      <c r="L45" s="3" t="s">
        <v>63</v>
      </c>
      <c r="M45" s="3" t="s">
        <v>64</v>
      </c>
      <c r="N45" s="3" t="s">
        <v>65</v>
      </c>
      <c r="O45" s="3" t="s">
        <v>66</v>
      </c>
      <c r="P45" s="3" t="s">
        <v>67</v>
      </c>
      <c r="Q45" s="3" t="s">
        <v>68</v>
      </c>
      <c r="R45" s="3" t="s">
        <v>69</v>
      </c>
      <c r="S45" s="3" t="s">
        <v>70</v>
      </c>
      <c r="T45" s="3" t="s">
        <v>71</v>
      </c>
      <c r="U45" s="3" t="s">
        <v>72</v>
      </c>
      <c r="V45" s="3" t="str">
        <f>IF(COUNTA(A45:U45)=21,"OK","MISSING")</f>
        <v>OK</v>
      </c>
    </row>
    <row r="46" ht="35.05" hidden="0" outlineLevel="0" collapsed="0">
      <c r="A46" s="3">
        <v>42</v>
      </c>
      <c r="B46" s="3" t="s">
        <v>4</v>
      </c>
      <c r="C46" s="3" t="s">
        <v>153</v>
      </c>
      <c r="D46" s="3" t="s">
        <v>151</v>
      </c>
      <c r="E46" s="3" t="s">
        <v>74</v>
      </c>
      <c r="F46" s="12">
        <v>9519</v>
      </c>
      <c r="G46" s="3" t="s">
        <v>58</v>
      </c>
      <c r="H46" s="3" t="s">
        <v>59</v>
      </c>
      <c r="I46" s="3" t="s">
        <v>152</v>
      </c>
      <c r="J46" s="3" t="s">
        <v>134</v>
      </c>
      <c r="K46" s="3" t="s">
        <v>76</v>
      </c>
      <c r="L46" s="3" t="s">
        <v>77</v>
      </c>
      <c r="M46" s="3" t="s">
        <v>64</v>
      </c>
      <c r="N46" s="3" t="s">
        <v>78</v>
      </c>
      <c r="O46" s="3" t="s">
        <v>79</v>
      </c>
      <c r="P46" s="3" t="s">
        <v>80</v>
      </c>
      <c r="Q46" s="3" t="s">
        <v>68</v>
      </c>
      <c r="R46" s="3" t="s">
        <v>69</v>
      </c>
      <c r="S46" s="3" t="s">
        <v>70</v>
      </c>
      <c r="T46" s="3" t="s">
        <v>71</v>
      </c>
      <c r="U46" s="3" t="s">
        <v>72</v>
      </c>
      <c r="V46" s="3" t="str">
        <f>IF(COUNTA(A46:U46)=21,"OK","MISSING")</f>
        <v>OK</v>
      </c>
    </row>
    <row r="47" ht="35.05" hidden="0" outlineLevel="0" collapsed="0">
      <c r="A47" s="3">
        <v>43</v>
      </c>
      <c r="B47" s="3" t="s">
        <v>4</v>
      </c>
      <c r="C47" s="3" t="s">
        <v>154</v>
      </c>
      <c r="D47" s="3" t="s">
        <v>151</v>
      </c>
      <c r="E47" s="3" t="s">
        <v>82</v>
      </c>
      <c r="F47" s="12">
        <v>9366</v>
      </c>
      <c r="G47" s="3" t="s">
        <v>58</v>
      </c>
      <c r="H47" s="3" t="s">
        <v>59</v>
      </c>
      <c r="I47" s="3" t="s">
        <v>152</v>
      </c>
      <c r="J47" s="3" t="s">
        <v>134</v>
      </c>
      <c r="K47" s="3" t="s">
        <v>84</v>
      </c>
      <c r="L47" s="3" t="s">
        <v>85</v>
      </c>
      <c r="M47" s="3" t="s">
        <v>64</v>
      </c>
      <c r="N47" s="3" t="s">
        <v>86</v>
      </c>
      <c r="O47" s="3" t="s">
        <v>10</v>
      </c>
      <c r="P47" s="3" t="s">
        <v>87</v>
      </c>
      <c r="Q47" s="3" t="s">
        <v>68</v>
      </c>
      <c r="R47" s="3" t="s">
        <v>69</v>
      </c>
      <c r="S47" s="3" t="s">
        <v>70</v>
      </c>
      <c r="T47" s="3" t="s">
        <v>71</v>
      </c>
      <c r="U47" s="3" t="s">
        <v>72</v>
      </c>
      <c r="V47" s="3" t="str">
        <f>IF(COUNTA(A47:U47)=21,"OK","MISSING")</f>
        <v>OK</v>
      </c>
    </row>
    <row r="48" ht="35.05" hidden="0" outlineLevel="0" collapsed="0">
      <c r="A48" s="3">
        <v>44</v>
      </c>
      <c r="B48" s="3" t="s">
        <v>4</v>
      </c>
      <c r="C48" s="3" t="s">
        <v>155</v>
      </c>
      <c r="D48" s="3" t="s">
        <v>151</v>
      </c>
      <c r="E48" s="3" t="s">
        <v>89</v>
      </c>
      <c r="F48" s="12">
        <v>10828</v>
      </c>
      <c r="G48" s="3" t="s">
        <v>58</v>
      </c>
      <c r="H48" s="3" t="s">
        <v>59</v>
      </c>
      <c r="I48" s="3" t="s">
        <v>152</v>
      </c>
      <c r="J48" s="3" t="s">
        <v>134</v>
      </c>
      <c r="K48" s="3" t="s">
        <v>91</v>
      </c>
      <c r="L48" s="3" t="s">
        <v>85</v>
      </c>
      <c r="M48" s="3" t="s">
        <v>64</v>
      </c>
      <c r="N48" s="3" t="s">
        <v>86</v>
      </c>
      <c r="O48" s="3" t="s">
        <v>10</v>
      </c>
      <c r="P48" s="3" t="s">
        <v>87</v>
      </c>
      <c r="Q48" s="3" t="s">
        <v>68</v>
      </c>
      <c r="R48" s="3" t="s">
        <v>69</v>
      </c>
      <c r="S48" s="3" t="s">
        <v>70</v>
      </c>
      <c r="T48" s="3" t="s">
        <v>71</v>
      </c>
      <c r="U48" s="3" t="s">
        <v>72</v>
      </c>
      <c r="V48" s="3" t="str">
        <f>IF(COUNTA(A48:U48)=21,"OK","MISSING")</f>
        <v>OK</v>
      </c>
    </row>
    <row r="49" ht="35.05" hidden="0" outlineLevel="0" collapsed="0">
      <c r="A49" s="3">
        <v>45</v>
      </c>
      <c r="B49" s="3" t="s">
        <v>4</v>
      </c>
      <c r="C49" s="3" t="s">
        <v>156</v>
      </c>
      <c r="D49" s="3" t="s">
        <v>151</v>
      </c>
      <c r="E49" s="3" t="s">
        <v>93</v>
      </c>
      <c r="F49" s="12">
        <v>10270</v>
      </c>
      <c r="G49" s="3" t="s">
        <v>58</v>
      </c>
      <c r="H49" s="3" t="s">
        <v>59</v>
      </c>
      <c r="I49" s="3" t="s">
        <v>152</v>
      </c>
      <c r="J49" s="3" t="s">
        <v>134</v>
      </c>
      <c r="K49" s="3" t="s">
        <v>95</v>
      </c>
      <c r="L49" s="3" t="s">
        <v>85</v>
      </c>
      <c r="M49" s="3" t="s">
        <v>64</v>
      </c>
      <c r="N49" s="3" t="s">
        <v>86</v>
      </c>
      <c r="O49" s="3" t="s">
        <v>10</v>
      </c>
      <c r="P49" s="3" t="s">
        <v>87</v>
      </c>
      <c r="Q49" s="3" t="s">
        <v>68</v>
      </c>
      <c r="R49" s="3" t="s">
        <v>69</v>
      </c>
      <c r="S49" s="3" t="s">
        <v>70</v>
      </c>
      <c r="T49" s="3" t="s">
        <v>71</v>
      </c>
      <c r="U49" s="3" t="s">
        <v>72</v>
      </c>
      <c r="V49" s="3" t="str">
        <f>IF(COUNTA(A49:U49)=21,"OK","MISSING")</f>
        <v>OK</v>
      </c>
    </row>
    <row r="50" ht="35.05" hidden="0" outlineLevel="0" collapsed="0">
      <c r="A50" s="3">
        <v>46</v>
      </c>
      <c r="B50" s="3" t="s">
        <v>4</v>
      </c>
      <c r="C50" s="3" t="s">
        <v>157</v>
      </c>
      <c r="D50" s="3" t="s">
        <v>158</v>
      </c>
      <c r="E50" s="3" t="s">
        <v>82</v>
      </c>
      <c r="F50" s="12">
        <v>37507</v>
      </c>
      <c r="G50" s="3" t="s">
        <v>58</v>
      </c>
      <c r="H50" s="3" t="s">
        <v>59</v>
      </c>
      <c r="I50" s="3" t="s">
        <v>159</v>
      </c>
      <c r="J50" s="3" t="s">
        <v>134</v>
      </c>
      <c r="K50" s="3" t="s">
        <v>84</v>
      </c>
      <c r="L50" s="3" t="s">
        <v>77</v>
      </c>
      <c r="M50" s="3" t="s">
        <v>64</v>
      </c>
      <c r="N50" s="3" t="s">
        <v>78</v>
      </c>
      <c r="O50" s="3" t="s">
        <v>79</v>
      </c>
      <c r="P50" s="3" t="s">
        <v>80</v>
      </c>
      <c r="Q50" s="3" t="s">
        <v>68</v>
      </c>
      <c r="R50" s="3" t="s">
        <v>69</v>
      </c>
      <c r="S50" s="3" t="s">
        <v>70</v>
      </c>
      <c r="T50" s="3" t="s">
        <v>71</v>
      </c>
      <c r="U50" s="3" t="s">
        <v>72</v>
      </c>
      <c r="V50" s="3" t="str">
        <f>IF(COUNTA(A50:U50)=21,"OK","MISSING")</f>
        <v>OK</v>
      </c>
    </row>
    <row r="51" ht="35.05" hidden="0" outlineLevel="0" collapsed="0">
      <c r="A51" s="3">
        <v>47</v>
      </c>
      <c r="B51" s="3" t="s">
        <v>4</v>
      </c>
      <c r="C51" s="3" t="s">
        <v>160</v>
      </c>
      <c r="D51" s="3" t="s">
        <v>158</v>
      </c>
      <c r="E51" s="3" t="s">
        <v>89</v>
      </c>
      <c r="F51" s="12">
        <v>43023</v>
      </c>
      <c r="G51" s="3" t="s">
        <v>58</v>
      </c>
      <c r="H51" s="3" t="s">
        <v>59</v>
      </c>
      <c r="I51" s="3" t="s">
        <v>159</v>
      </c>
      <c r="J51" s="3" t="s">
        <v>134</v>
      </c>
      <c r="K51" s="3" t="s">
        <v>91</v>
      </c>
      <c r="L51" s="3" t="s">
        <v>85</v>
      </c>
      <c r="M51" s="3" t="s">
        <v>64</v>
      </c>
      <c r="N51" s="3" t="s">
        <v>86</v>
      </c>
      <c r="O51" s="3" t="s">
        <v>10</v>
      </c>
      <c r="P51" s="3" t="s">
        <v>87</v>
      </c>
      <c r="Q51" s="3" t="s">
        <v>68</v>
      </c>
      <c r="R51" s="3" t="s">
        <v>69</v>
      </c>
      <c r="S51" s="3" t="s">
        <v>70</v>
      </c>
      <c r="T51" s="3" t="s">
        <v>71</v>
      </c>
      <c r="U51" s="3" t="s">
        <v>72</v>
      </c>
      <c r="V51" s="3" t="str">
        <f>IF(COUNTA(A51:U51)=21,"OK","MISSING")</f>
        <v>OK</v>
      </c>
    </row>
    <row r="52" ht="35.05" hidden="0" outlineLevel="0" collapsed="0">
      <c r="A52" s="3">
        <v>48</v>
      </c>
      <c r="B52" s="3" t="s">
        <v>4</v>
      </c>
      <c r="C52" s="3" t="s">
        <v>161</v>
      </c>
      <c r="D52" s="3" t="s">
        <v>158</v>
      </c>
      <c r="E52" s="3" t="s">
        <v>93</v>
      </c>
      <c r="F52" s="12">
        <v>43941</v>
      </c>
      <c r="G52" s="3" t="s">
        <v>58</v>
      </c>
      <c r="H52" s="3" t="s">
        <v>59</v>
      </c>
      <c r="I52" s="3" t="s">
        <v>159</v>
      </c>
      <c r="J52" s="3" t="s">
        <v>134</v>
      </c>
      <c r="K52" s="3" t="s">
        <v>95</v>
      </c>
      <c r="L52" s="3" t="s">
        <v>85</v>
      </c>
      <c r="M52" s="3" t="s">
        <v>64</v>
      </c>
      <c r="N52" s="3" t="s">
        <v>86</v>
      </c>
      <c r="O52" s="3" t="s">
        <v>10</v>
      </c>
      <c r="P52" s="3" t="s">
        <v>87</v>
      </c>
      <c r="Q52" s="3" t="s">
        <v>68</v>
      </c>
      <c r="R52" s="3" t="s">
        <v>69</v>
      </c>
      <c r="S52" s="3" t="s">
        <v>70</v>
      </c>
      <c r="T52" s="3" t="s">
        <v>71</v>
      </c>
      <c r="U52" s="3" t="s">
        <v>72</v>
      </c>
      <c r="V52" s="3" t="str">
        <f>IF(COUNTA(A52:U52)=21,"OK","MISSING")</f>
        <v>OK</v>
      </c>
    </row>
    <row r="53" ht="35.05" hidden="0" outlineLevel="0" collapsed="0">
      <c r="A53" s="3">
        <v>49</v>
      </c>
      <c r="B53" s="3" t="s">
        <v>4</v>
      </c>
      <c r="C53" s="3" t="s">
        <v>162</v>
      </c>
      <c r="D53" s="3" t="s">
        <v>163</v>
      </c>
      <c r="E53" s="3" t="s">
        <v>57</v>
      </c>
      <c r="F53" s="12">
        <v>4340</v>
      </c>
      <c r="G53" s="3" t="s">
        <v>164</v>
      </c>
      <c r="H53" s="3" t="s">
        <v>165</v>
      </c>
      <c r="I53" s="3" t="s">
        <v>166</v>
      </c>
      <c r="J53" s="3" t="s">
        <v>61</v>
      </c>
      <c r="K53" s="3" t="s">
        <v>62</v>
      </c>
      <c r="L53" s="3" t="s">
        <v>63</v>
      </c>
      <c r="M53" s="3" t="s">
        <v>64</v>
      </c>
      <c r="N53" s="3" t="s">
        <v>65</v>
      </c>
      <c r="O53" s="3" t="s">
        <v>66</v>
      </c>
      <c r="P53" s="3" t="s">
        <v>67</v>
      </c>
      <c r="Q53" s="3" t="s">
        <v>68</v>
      </c>
      <c r="R53" s="3" t="s">
        <v>69</v>
      </c>
      <c r="S53" s="3" t="s">
        <v>167</v>
      </c>
      <c r="T53" s="3" t="s">
        <v>71</v>
      </c>
      <c r="U53" s="3" t="s">
        <v>72</v>
      </c>
      <c r="V53" s="3" t="str">
        <f>IF(COUNTA(A53:U53)=21,"OK","MISSING")</f>
        <v>OK</v>
      </c>
    </row>
    <row r="54" ht="35.05" hidden="0" outlineLevel="0" collapsed="0">
      <c r="A54" s="3">
        <v>50</v>
      </c>
      <c r="B54" s="3" t="s">
        <v>4</v>
      </c>
      <c r="C54" s="3" t="s">
        <v>168</v>
      </c>
      <c r="D54" s="3" t="s">
        <v>163</v>
      </c>
      <c r="E54" s="3" t="s">
        <v>74</v>
      </c>
      <c r="F54" s="12">
        <v>4350</v>
      </c>
      <c r="G54" s="3" t="s">
        <v>164</v>
      </c>
      <c r="H54" s="3" t="s">
        <v>165</v>
      </c>
      <c r="I54" s="3" t="s">
        <v>166</v>
      </c>
      <c r="J54" s="3" t="s">
        <v>75</v>
      </c>
      <c r="K54" s="3" t="s">
        <v>76</v>
      </c>
      <c r="L54" s="3" t="s">
        <v>77</v>
      </c>
      <c r="M54" s="3" t="s">
        <v>64</v>
      </c>
      <c r="N54" s="3" t="s">
        <v>78</v>
      </c>
      <c r="O54" s="3" t="s">
        <v>79</v>
      </c>
      <c r="P54" s="3" t="s">
        <v>80</v>
      </c>
      <c r="Q54" s="3" t="s">
        <v>68</v>
      </c>
      <c r="R54" s="3" t="s">
        <v>69</v>
      </c>
      <c r="S54" s="3" t="s">
        <v>167</v>
      </c>
      <c r="T54" s="3" t="s">
        <v>71</v>
      </c>
      <c r="U54" s="3" t="s">
        <v>72</v>
      </c>
      <c r="V54" s="3" t="str">
        <f>IF(COUNTA(A54:U54)=21,"OK","MISSING")</f>
        <v>OK</v>
      </c>
    </row>
    <row r="55" ht="35.05" hidden="0" outlineLevel="0" collapsed="0">
      <c r="A55" s="3">
        <v>51</v>
      </c>
      <c r="B55" s="3" t="s">
        <v>4</v>
      </c>
      <c r="C55" s="3" t="s">
        <v>169</v>
      </c>
      <c r="D55" s="3" t="s">
        <v>163</v>
      </c>
      <c r="E55" s="3" t="s">
        <v>82</v>
      </c>
      <c r="F55" s="12">
        <v>4339</v>
      </c>
      <c r="G55" s="3" t="s">
        <v>164</v>
      </c>
      <c r="H55" s="3" t="s">
        <v>165</v>
      </c>
      <c r="I55" s="3" t="s">
        <v>166</v>
      </c>
      <c r="J55" s="3" t="s">
        <v>83</v>
      </c>
      <c r="K55" s="3" t="s">
        <v>84</v>
      </c>
      <c r="L55" s="3" t="s">
        <v>85</v>
      </c>
      <c r="M55" s="3" t="s">
        <v>64</v>
      </c>
      <c r="N55" s="3" t="s">
        <v>86</v>
      </c>
      <c r="O55" s="3" t="s">
        <v>10</v>
      </c>
      <c r="P55" s="3" t="s">
        <v>87</v>
      </c>
      <c r="Q55" s="3" t="s">
        <v>68</v>
      </c>
      <c r="R55" s="3" t="s">
        <v>69</v>
      </c>
      <c r="S55" s="3" t="s">
        <v>167</v>
      </c>
      <c r="T55" s="3" t="s">
        <v>71</v>
      </c>
      <c r="U55" s="3" t="s">
        <v>72</v>
      </c>
      <c r="V55" s="3" t="str">
        <f>IF(COUNTA(A55:U55)=21,"OK","MISSING")</f>
        <v>OK</v>
      </c>
    </row>
    <row r="56" ht="35.05" hidden="0" outlineLevel="0" collapsed="0">
      <c r="A56" s="3">
        <v>52</v>
      </c>
      <c r="B56" s="3" t="s">
        <v>4</v>
      </c>
      <c r="C56" s="3" t="s">
        <v>170</v>
      </c>
      <c r="D56" s="3" t="s">
        <v>163</v>
      </c>
      <c r="E56" s="3" t="s">
        <v>89</v>
      </c>
      <c r="F56" s="12">
        <v>4320</v>
      </c>
      <c r="G56" s="3" t="s">
        <v>164</v>
      </c>
      <c r="H56" s="3" t="s">
        <v>165</v>
      </c>
      <c r="I56" s="3" t="s">
        <v>166</v>
      </c>
      <c r="J56" s="3" t="s">
        <v>90</v>
      </c>
      <c r="K56" s="3" t="s">
        <v>91</v>
      </c>
      <c r="L56" s="3" t="s">
        <v>85</v>
      </c>
      <c r="M56" s="3" t="s">
        <v>64</v>
      </c>
      <c r="N56" s="3" t="s">
        <v>86</v>
      </c>
      <c r="O56" s="3" t="s">
        <v>10</v>
      </c>
      <c r="P56" s="3" t="s">
        <v>87</v>
      </c>
      <c r="Q56" s="3" t="s">
        <v>68</v>
      </c>
      <c r="R56" s="3" t="s">
        <v>69</v>
      </c>
      <c r="S56" s="3" t="s">
        <v>167</v>
      </c>
      <c r="T56" s="3" t="s">
        <v>71</v>
      </c>
      <c r="U56" s="3" t="s">
        <v>72</v>
      </c>
      <c r="V56" s="3" t="str">
        <f>IF(COUNTA(A56:U56)=21,"OK","MISSING")</f>
        <v>OK</v>
      </c>
    </row>
    <row r="57" ht="35.05" hidden="0" outlineLevel="0" collapsed="0">
      <c r="A57" s="3">
        <v>53</v>
      </c>
      <c r="B57" s="3" t="s">
        <v>4</v>
      </c>
      <c r="C57" s="3" t="s">
        <v>171</v>
      </c>
      <c r="D57" s="3" t="s">
        <v>163</v>
      </c>
      <c r="E57" s="3" t="s">
        <v>93</v>
      </c>
      <c r="F57" s="12">
        <v>4313</v>
      </c>
      <c r="G57" s="3" t="s">
        <v>164</v>
      </c>
      <c r="H57" s="3" t="s">
        <v>165</v>
      </c>
      <c r="I57" s="3" t="s">
        <v>166</v>
      </c>
      <c r="J57" s="3" t="s">
        <v>94</v>
      </c>
      <c r="K57" s="3" t="s">
        <v>95</v>
      </c>
      <c r="L57" s="3" t="s">
        <v>85</v>
      </c>
      <c r="M57" s="3" t="s">
        <v>64</v>
      </c>
      <c r="N57" s="3" t="s">
        <v>86</v>
      </c>
      <c r="O57" s="3" t="s">
        <v>10</v>
      </c>
      <c r="P57" s="3" t="s">
        <v>87</v>
      </c>
      <c r="Q57" s="3" t="s">
        <v>68</v>
      </c>
      <c r="R57" s="3" t="s">
        <v>69</v>
      </c>
      <c r="S57" s="3" t="s">
        <v>167</v>
      </c>
      <c r="T57" s="3" t="s">
        <v>71</v>
      </c>
      <c r="U57" s="3" t="s">
        <v>72</v>
      </c>
      <c r="V57" s="3" t="str">
        <f>IF(COUNTA(A57:U57)=21,"OK","MISSING")</f>
        <v>OK</v>
      </c>
    </row>
    <row r="58" ht="35.05" hidden="0" outlineLevel="0" collapsed="0">
      <c r="A58" s="3">
        <v>54</v>
      </c>
      <c r="B58" s="3" t="s">
        <v>4</v>
      </c>
      <c r="C58" s="3" t="s">
        <v>172</v>
      </c>
      <c r="D58" s="3" t="s">
        <v>173</v>
      </c>
      <c r="E58" s="3" t="s">
        <v>174</v>
      </c>
      <c r="F58" s="12">
        <v>4300.723</v>
      </c>
      <c r="G58" s="3" t="s">
        <v>164</v>
      </c>
      <c r="H58" s="3" t="s">
        <v>165</v>
      </c>
      <c r="I58" s="3" t="s">
        <v>175</v>
      </c>
      <c r="J58" s="3" t="s">
        <v>134</v>
      </c>
      <c r="K58" s="3" t="s">
        <v>174</v>
      </c>
      <c r="L58" s="3" t="s">
        <v>176</v>
      </c>
      <c r="M58" s="3" t="s">
        <v>64</v>
      </c>
      <c r="N58" s="3" t="s">
        <v>86</v>
      </c>
      <c r="O58" s="3" t="s">
        <v>10</v>
      </c>
      <c r="P58" s="3" t="s">
        <v>177</v>
      </c>
      <c r="Q58" s="3" t="s">
        <v>68</v>
      </c>
      <c r="R58" s="3" t="s">
        <v>69</v>
      </c>
      <c r="S58" s="3" t="s">
        <v>178</v>
      </c>
      <c r="T58" s="3" t="s">
        <v>71</v>
      </c>
      <c r="U58" s="3" t="s">
        <v>179</v>
      </c>
      <c r="V58" s="3" t="str">
        <f>IF(COUNTA(A58:U58)=21,"OK","MISSING")</f>
        <v>OK</v>
      </c>
    </row>
    <row r="59" ht="35.05" hidden="0" outlineLevel="0" collapsed="0">
      <c r="A59" s="3">
        <v>55</v>
      </c>
      <c r="B59" s="3" t="s">
        <v>4</v>
      </c>
      <c r="C59" s="3" t="s">
        <v>180</v>
      </c>
      <c r="D59" s="3" t="s">
        <v>181</v>
      </c>
      <c r="E59" s="3" t="s">
        <v>93</v>
      </c>
      <c r="F59" s="12">
        <v>56</v>
      </c>
      <c r="G59" s="3" t="s">
        <v>58</v>
      </c>
      <c r="H59" s="3" t="s">
        <v>59</v>
      </c>
      <c r="I59" s="3" t="s">
        <v>182</v>
      </c>
      <c r="J59" s="3" t="s">
        <v>134</v>
      </c>
      <c r="K59" s="3" t="s">
        <v>95</v>
      </c>
      <c r="L59" s="3" t="s">
        <v>176</v>
      </c>
      <c r="M59" s="3" t="s">
        <v>64</v>
      </c>
      <c r="N59" s="3" t="s">
        <v>86</v>
      </c>
      <c r="O59" s="3" t="s">
        <v>10</v>
      </c>
      <c r="P59" s="3" t="s">
        <v>177</v>
      </c>
      <c r="Q59" s="3" t="s">
        <v>68</v>
      </c>
      <c r="R59" s="3" t="s">
        <v>69</v>
      </c>
      <c r="S59" s="3" t="s">
        <v>183</v>
      </c>
      <c r="T59" s="3" t="s">
        <v>71</v>
      </c>
      <c r="U59" s="3" t="s">
        <v>72</v>
      </c>
      <c r="V59" s="3" t="str">
        <f>IF(COUNTA(A59:U59)=21,"OK","MISSING")</f>
        <v>OK</v>
      </c>
    </row>
    <row r="60" ht="23.85" hidden="0" outlineLevel="0" collapsed="0">
      <c r="A60" s="3">
        <v>56</v>
      </c>
      <c r="B60" s="3" t="s">
        <v>4</v>
      </c>
      <c r="C60" s="3" t="s">
        <v>184</v>
      </c>
      <c r="D60" s="3" t="s">
        <v>185</v>
      </c>
      <c r="E60" s="3" t="s">
        <v>89</v>
      </c>
      <c r="F60" s="12">
        <v>33.7</v>
      </c>
      <c r="G60" s="3" t="s">
        <v>186</v>
      </c>
      <c r="H60" s="3" t="s">
        <v>165</v>
      </c>
      <c r="I60" s="3" t="s">
        <v>187</v>
      </c>
      <c r="J60" s="3" t="s">
        <v>188</v>
      </c>
      <c r="K60" s="3" t="s">
        <v>91</v>
      </c>
      <c r="L60" s="3" t="s">
        <v>176</v>
      </c>
      <c r="M60" s="3" t="s">
        <v>64</v>
      </c>
      <c r="N60" s="3" t="s">
        <v>86</v>
      </c>
      <c r="O60" s="3" t="s">
        <v>10</v>
      </c>
      <c r="P60" s="3" t="s">
        <v>189</v>
      </c>
      <c r="Q60" s="3" t="s">
        <v>68</v>
      </c>
      <c r="R60" s="3" t="s">
        <v>69</v>
      </c>
      <c r="S60" s="3" t="s">
        <v>190</v>
      </c>
      <c r="T60" s="3" t="s">
        <v>71</v>
      </c>
      <c r="U60" s="3" t="s">
        <v>72</v>
      </c>
      <c r="V60" s="3" t="str">
        <f>IF(COUNTA(A60:U60)=21,"OK","MISSING")</f>
        <v>OK</v>
      </c>
    </row>
    <row r="61" ht="23.85" hidden="0" outlineLevel="0" collapsed="0">
      <c r="A61" s="3">
        <v>57</v>
      </c>
      <c r="B61" s="3" t="s">
        <v>4</v>
      </c>
      <c r="C61" s="3" t="s">
        <v>191</v>
      </c>
      <c r="D61" s="3" t="s">
        <v>185</v>
      </c>
      <c r="E61" s="3" t="s">
        <v>93</v>
      </c>
      <c r="F61" s="12">
        <v>33.8</v>
      </c>
      <c r="G61" s="3" t="s">
        <v>186</v>
      </c>
      <c r="H61" s="3" t="s">
        <v>165</v>
      </c>
      <c r="I61" s="3" t="s">
        <v>187</v>
      </c>
      <c r="J61" s="3" t="s">
        <v>188</v>
      </c>
      <c r="K61" s="3" t="s">
        <v>95</v>
      </c>
      <c r="L61" s="3" t="s">
        <v>176</v>
      </c>
      <c r="M61" s="3" t="s">
        <v>64</v>
      </c>
      <c r="N61" s="3" t="s">
        <v>86</v>
      </c>
      <c r="O61" s="3" t="s">
        <v>10</v>
      </c>
      <c r="P61" s="3" t="s">
        <v>189</v>
      </c>
      <c r="Q61" s="3" t="s">
        <v>68</v>
      </c>
      <c r="R61" s="3" t="s">
        <v>69</v>
      </c>
      <c r="S61" s="3" t="s">
        <v>190</v>
      </c>
      <c r="T61" s="3" t="s">
        <v>71</v>
      </c>
      <c r="U61" s="3" t="s">
        <v>72</v>
      </c>
      <c r="V61" s="3" t="str">
        <f>IF(COUNTA(A61:U61)=21,"OK","MISSING")</f>
        <v>OK</v>
      </c>
    </row>
    <row r="62" ht="23.85" hidden="0" outlineLevel="0" collapsed="0">
      <c r="A62" s="3">
        <v>58</v>
      </c>
      <c r="B62" s="3" t="s">
        <v>4</v>
      </c>
      <c r="C62" s="3" t="s">
        <v>192</v>
      </c>
      <c r="D62" s="3" t="s">
        <v>193</v>
      </c>
      <c r="E62" s="3" t="s">
        <v>89</v>
      </c>
      <c r="F62" s="12">
        <v>47061</v>
      </c>
      <c r="G62" s="3" t="s">
        <v>194</v>
      </c>
      <c r="H62" s="3" t="s">
        <v>59</v>
      </c>
      <c r="I62" s="3" t="s">
        <v>195</v>
      </c>
      <c r="J62" s="3" t="s">
        <v>188</v>
      </c>
      <c r="K62" s="3" t="s">
        <v>91</v>
      </c>
      <c r="L62" s="3" t="s">
        <v>176</v>
      </c>
      <c r="M62" s="3" t="s">
        <v>64</v>
      </c>
      <c r="N62" s="3" t="s">
        <v>86</v>
      </c>
      <c r="O62" s="3" t="s">
        <v>10</v>
      </c>
      <c r="P62" s="3" t="s">
        <v>189</v>
      </c>
      <c r="Q62" s="3" t="s">
        <v>68</v>
      </c>
      <c r="R62" s="3" t="s">
        <v>69</v>
      </c>
      <c r="S62" s="3" t="s">
        <v>190</v>
      </c>
      <c r="T62" s="3" t="s">
        <v>71</v>
      </c>
      <c r="U62" s="3" t="s">
        <v>72</v>
      </c>
      <c r="V62" s="3" t="str">
        <f>IF(COUNTA(A62:U62)=21,"OK","MISSING")</f>
        <v>OK</v>
      </c>
    </row>
    <row r="63" ht="23.85" hidden="0" outlineLevel="0" collapsed="0">
      <c r="A63" s="3">
        <v>59</v>
      </c>
      <c r="B63" s="3" t="s">
        <v>4</v>
      </c>
      <c r="C63" s="3" t="s">
        <v>196</v>
      </c>
      <c r="D63" s="3" t="s">
        <v>193</v>
      </c>
      <c r="E63" s="3" t="s">
        <v>93</v>
      </c>
      <c r="F63" s="12">
        <v>47941</v>
      </c>
      <c r="G63" s="3" t="s">
        <v>194</v>
      </c>
      <c r="H63" s="3" t="s">
        <v>59</v>
      </c>
      <c r="I63" s="3" t="s">
        <v>195</v>
      </c>
      <c r="J63" s="3" t="s">
        <v>188</v>
      </c>
      <c r="K63" s="3" t="s">
        <v>95</v>
      </c>
      <c r="L63" s="3" t="s">
        <v>176</v>
      </c>
      <c r="M63" s="3" t="s">
        <v>64</v>
      </c>
      <c r="N63" s="3" t="s">
        <v>86</v>
      </c>
      <c r="O63" s="3" t="s">
        <v>10</v>
      </c>
      <c r="P63" s="3" t="s">
        <v>189</v>
      </c>
      <c r="Q63" s="3" t="s">
        <v>68</v>
      </c>
      <c r="R63" s="3" t="s">
        <v>69</v>
      </c>
      <c r="S63" s="3" t="s">
        <v>190</v>
      </c>
      <c r="T63" s="3" t="s">
        <v>71</v>
      </c>
      <c r="U63" s="3" t="s">
        <v>72</v>
      </c>
      <c r="V63" s="3" t="str">
        <f>IF(COUNTA(A63:U63)=21,"OK","MISSING")</f>
        <v>OK</v>
      </c>
    </row>
    <row r="64" ht="23.85" hidden="0" outlineLevel="0" collapsed="0">
      <c r="A64" s="3">
        <v>60</v>
      </c>
      <c r="B64" s="3" t="s">
        <v>4</v>
      </c>
      <c r="C64" s="3" t="s">
        <v>197</v>
      </c>
      <c r="D64" s="3" t="s">
        <v>198</v>
      </c>
      <c r="E64" s="3" t="s">
        <v>93</v>
      </c>
      <c r="F64" s="12">
        <v>0.01</v>
      </c>
      <c r="G64" s="3" t="s">
        <v>199</v>
      </c>
      <c r="H64" s="3" t="s">
        <v>165</v>
      </c>
      <c r="I64" s="3" t="s">
        <v>200</v>
      </c>
      <c r="J64" s="3" t="s">
        <v>188</v>
      </c>
      <c r="K64" s="3" t="s">
        <v>95</v>
      </c>
      <c r="L64" s="3" t="s">
        <v>176</v>
      </c>
      <c r="M64" s="3" t="s">
        <v>64</v>
      </c>
      <c r="N64" s="3" t="s">
        <v>86</v>
      </c>
      <c r="O64" s="3" t="s">
        <v>10</v>
      </c>
      <c r="P64" s="3" t="s">
        <v>189</v>
      </c>
      <c r="Q64" s="3" t="s">
        <v>68</v>
      </c>
      <c r="R64" s="3" t="s">
        <v>69</v>
      </c>
      <c r="S64" s="3" t="s">
        <v>190</v>
      </c>
      <c r="T64" s="3" t="s">
        <v>71</v>
      </c>
      <c r="U64" s="3" t="s">
        <v>72</v>
      </c>
      <c r="V64" s="3" t="str">
        <f>IF(COUNTA(A64:U64)=21,"OK","MISSING")</f>
        <v>OK</v>
      </c>
    </row>
    <row r="65" ht="23.85" hidden="0" outlineLevel="0" collapsed="0">
      <c r="A65" s="3">
        <v>61</v>
      </c>
      <c r="B65" s="3" t="s">
        <v>4</v>
      </c>
      <c r="C65" s="3" t="s">
        <v>201</v>
      </c>
      <c r="D65" s="3" t="s">
        <v>202</v>
      </c>
      <c r="E65" s="3" t="s">
        <v>93</v>
      </c>
      <c r="F65" s="12">
        <v>0.04</v>
      </c>
      <c r="G65" s="3" t="s">
        <v>199</v>
      </c>
      <c r="H65" s="3" t="s">
        <v>165</v>
      </c>
      <c r="I65" s="3" t="s">
        <v>200</v>
      </c>
      <c r="J65" s="3" t="s">
        <v>188</v>
      </c>
      <c r="K65" s="3" t="s">
        <v>95</v>
      </c>
      <c r="L65" s="3" t="s">
        <v>176</v>
      </c>
      <c r="M65" s="3" t="s">
        <v>64</v>
      </c>
      <c r="N65" s="3" t="s">
        <v>86</v>
      </c>
      <c r="O65" s="3" t="s">
        <v>10</v>
      </c>
      <c r="P65" s="3" t="s">
        <v>189</v>
      </c>
      <c r="Q65" s="3" t="s">
        <v>68</v>
      </c>
      <c r="R65" s="3" t="s">
        <v>69</v>
      </c>
      <c r="S65" s="3" t="s">
        <v>190</v>
      </c>
      <c r="T65" s="3" t="s">
        <v>71</v>
      </c>
      <c r="U65" s="3" t="s">
        <v>72</v>
      </c>
      <c r="V65" s="3" t="str">
        <f>IF(COUNTA(A65:U65)=21,"OK","MISSING")</f>
        <v>OK</v>
      </c>
    </row>
    <row r="66" ht="23.85" hidden="0" outlineLevel="0" collapsed="0">
      <c r="A66" s="3">
        <v>62</v>
      </c>
      <c r="B66" s="3" t="s">
        <v>4</v>
      </c>
      <c r="C66" s="3" t="s">
        <v>203</v>
      </c>
      <c r="D66" s="3" t="s">
        <v>204</v>
      </c>
      <c r="E66" s="3" t="s">
        <v>93</v>
      </c>
      <c r="F66" s="12">
        <v>-0.02</v>
      </c>
      <c r="G66" s="3" t="s">
        <v>199</v>
      </c>
      <c r="H66" s="3" t="s">
        <v>165</v>
      </c>
      <c r="I66" s="3" t="s">
        <v>200</v>
      </c>
      <c r="J66" s="3" t="s">
        <v>188</v>
      </c>
      <c r="K66" s="3" t="s">
        <v>95</v>
      </c>
      <c r="L66" s="3" t="s">
        <v>176</v>
      </c>
      <c r="M66" s="3" t="s">
        <v>64</v>
      </c>
      <c r="N66" s="3" t="s">
        <v>86</v>
      </c>
      <c r="O66" s="3" t="s">
        <v>10</v>
      </c>
      <c r="P66" s="3" t="s">
        <v>189</v>
      </c>
      <c r="Q66" s="3" t="s">
        <v>68</v>
      </c>
      <c r="R66" s="3" t="s">
        <v>69</v>
      </c>
      <c r="S66" s="3" t="s">
        <v>190</v>
      </c>
      <c r="T66" s="3" t="s">
        <v>71</v>
      </c>
      <c r="U66" s="3" t="s">
        <v>72</v>
      </c>
      <c r="V66" s="3" t="str">
        <f>IF(COUNTA(A66:U66)=21,"OK","MISSING")</f>
        <v>OK</v>
      </c>
    </row>
    <row r="67" ht="23.85" hidden="0" outlineLevel="0" collapsed="0">
      <c r="A67" s="3">
        <v>63</v>
      </c>
      <c r="B67" s="3" t="s">
        <v>4</v>
      </c>
      <c r="C67" s="3" t="s">
        <v>205</v>
      </c>
      <c r="D67" s="3" t="s">
        <v>206</v>
      </c>
      <c r="E67" s="3" t="s">
        <v>93</v>
      </c>
      <c r="F67" s="12">
        <v>-0.01</v>
      </c>
      <c r="G67" s="3" t="s">
        <v>199</v>
      </c>
      <c r="H67" s="3" t="s">
        <v>165</v>
      </c>
      <c r="I67" s="3" t="s">
        <v>200</v>
      </c>
      <c r="J67" s="3" t="s">
        <v>188</v>
      </c>
      <c r="K67" s="3" t="s">
        <v>95</v>
      </c>
      <c r="L67" s="3" t="s">
        <v>176</v>
      </c>
      <c r="M67" s="3" t="s">
        <v>64</v>
      </c>
      <c r="N67" s="3" t="s">
        <v>86</v>
      </c>
      <c r="O67" s="3" t="s">
        <v>10</v>
      </c>
      <c r="P67" s="3" t="s">
        <v>189</v>
      </c>
      <c r="Q67" s="3" t="s">
        <v>68</v>
      </c>
      <c r="R67" s="3" t="s">
        <v>69</v>
      </c>
      <c r="S67" s="3" t="s">
        <v>190</v>
      </c>
      <c r="T67" s="3" t="s">
        <v>71</v>
      </c>
      <c r="U67" s="3" t="s">
        <v>72</v>
      </c>
      <c r="V67" s="3" t="str">
        <f>IF(COUNTA(A67:U67)=21,"OK","MISSING")</f>
        <v>OK</v>
      </c>
    </row>
    <row r="68" ht="23.85" hidden="0" outlineLevel="0" collapsed="0">
      <c r="A68" s="3">
        <v>64</v>
      </c>
      <c r="B68" s="3" t="s">
        <v>4</v>
      </c>
      <c r="C68" s="3" t="s">
        <v>207</v>
      </c>
      <c r="D68" s="3" t="s">
        <v>208</v>
      </c>
      <c r="E68" s="3" t="s">
        <v>93</v>
      </c>
      <c r="F68" s="12">
        <v>0.02</v>
      </c>
      <c r="G68" s="3" t="s">
        <v>199</v>
      </c>
      <c r="H68" s="3" t="s">
        <v>165</v>
      </c>
      <c r="I68" s="3" t="s">
        <v>200</v>
      </c>
      <c r="J68" s="3" t="s">
        <v>188</v>
      </c>
      <c r="K68" s="3" t="s">
        <v>95</v>
      </c>
      <c r="L68" s="3" t="s">
        <v>176</v>
      </c>
      <c r="M68" s="3" t="s">
        <v>64</v>
      </c>
      <c r="N68" s="3" t="s">
        <v>86</v>
      </c>
      <c r="O68" s="3" t="s">
        <v>10</v>
      </c>
      <c r="P68" s="3" t="s">
        <v>189</v>
      </c>
      <c r="Q68" s="3" t="s">
        <v>68</v>
      </c>
      <c r="R68" s="3" t="s">
        <v>69</v>
      </c>
      <c r="S68" s="3" t="s">
        <v>190</v>
      </c>
      <c r="T68" s="3" t="s">
        <v>71</v>
      </c>
      <c r="U68" s="3" t="s">
        <v>72</v>
      </c>
      <c r="V68" s="3" t="str">
        <f>IF(COUNTA(A68:U68)=21,"OK","MISSING")</f>
        <v>OK</v>
      </c>
    </row>
    <row r="69" ht="23.85" hidden="0" outlineLevel="0" collapsed="0">
      <c r="A69" s="3">
        <v>65</v>
      </c>
      <c r="B69" s="3" t="s">
        <v>4</v>
      </c>
      <c r="C69" s="3" t="s">
        <v>209</v>
      </c>
      <c r="D69" s="3" t="s">
        <v>210</v>
      </c>
      <c r="E69" s="3" t="s">
        <v>13</v>
      </c>
      <c r="F69" s="12">
        <v>82.45</v>
      </c>
      <c r="G69" s="3" t="s">
        <v>211</v>
      </c>
      <c r="H69" s="3" t="s">
        <v>59</v>
      </c>
      <c r="I69" s="3" t="s">
        <v>212</v>
      </c>
      <c r="J69" s="3" t="s">
        <v>134</v>
      </c>
      <c r="K69" s="3" t="s">
        <v>13</v>
      </c>
      <c r="L69" s="3" t="s">
        <v>165</v>
      </c>
      <c r="M69" s="3" t="s">
        <v>213</v>
      </c>
      <c r="N69" s="3" t="s">
        <v>13</v>
      </c>
      <c r="O69" s="3" t="s">
        <v>214</v>
      </c>
      <c r="P69" s="3" t="s">
        <v>215</v>
      </c>
      <c r="Q69" s="3" t="s">
        <v>68</v>
      </c>
      <c r="R69" s="3" t="s">
        <v>216</v>
      </c>
      <c r="S69" s="3" t="s">
        <v>217</v>
      </c>
      <c r="T69" s="3" t="s">
        <v>218</v>
      </c>
      <c r="U69" s="3" t="s">
        <v>219</v>
      </c>
      <c r="V69" s="3" t="str">
        <f>IF(COUNTA(A69:U69)=21,"OK","MISSING")</f>
        <v>OK</v>
      </c>
    </row>
    <row r="70" hidden="0" outlineLevel="0" collapsed="0">
      <c r="A70" s="3"/>
      <c r="B70" s="3"/>
      <c r="C70" s="3"/>
      <c r="D70" s="3"/>
      <c r="E70" s="3"/>
      <c r="F70" s="3"/>
      <c r="G70" s="3"/>
      <c r="H70" s="3"/>
      <c r="I70" s="3"/>
      <c r="J70" s="3"/>
      <c r="K70" s="3"/>
      <c r="L70" s="3"/>
      <c r="M70" s="3"/>
      <c r="N70" s="3"/>
      <c r="O70" s="3"/>
      <c r="P70" s="3"/>
      <c r="Q70" s="3"/>
      <c r="R70" s="3"/>
      <c r="S70" s="3"/>
      <c r="T70" s="3"/>
      <c r="U70" s="3"/>
      <c r="V70" s="3"/>
    </row>
    <row r="71" ht="35.05" hidden="0" outlineLevel="0" collapsed="0">
      <c r="A71" s="13" t="s">
        <v>220</v>
      </c>
      <c r="B71" s="13"/>
      <c r="C71" s="13"/>
      <c r="D71" s="13"/>
      <c r="E71" s="13"/>
      <c r="F71" s="13"/>
      <c r="G71" s="13">
        <f>COUNTIF(V5:V69,"OK")</f>
        <v>65</v>
      </c>
      <c r="H71" s="13">
        <v>65</v>
      </c>
      <c r="I71" s="13" t="str">
        <f>IF(G71=H71,"OK","REVIEW")</f>
        <v>OK</v>
      </c>
      <c r="J71" s="3"/>
      <c r="K71" s="3"/>
      <c r="L71" s="3"/>
      <c r="M71" s="3"/>
      <c r="N71" s="3"/>
      <c r="O71" s="3"/>
      <c r="P71" s="3"/>
      <c r="Q71" s="3"/>
      <c r="R71" s="3"/>
      <c r="S71" s="3"/>
      <c r="T71" s="3"/>
      <c r="U71" s="3"/>
      <c r="V71" s="3"/>
    </row>
  </sheetData>
  <mergeCells count="2">
    <mergeCell ref="A1:V1"/>
    <mergeCell ref="A2:V2"/>
  </mergeCells>
  <conditionalFormatting sqref="V5:V69">
    <cfRule type="containsText" priority="2" operator="containsText" text="OK" dxfId="0">
      <formula>NOT(ISERROR(SEARCH("OK",V5)))</formula>
    </cfRule>
    <cfRule type="containsText" priority="3" operator="containsText" text="REVIEW" dxfId="1">
      <formula>NOT(ISERROR(SEARCH("REVIEW",V5)))</formula>
    </cfRule>
  </conditionalFormatting>
  <conditionalFormatting sqref="I71">
    <cfRule type="containsText" priority="4" operator="containsText" text="OK" dxfId="2">
      <formula>NOT(ISERROR(SEARCH("OK",I71)))</formula>
    </cfRule>
    <cfRule type="containsText" priority="5" operator="containsText" text="REVIEW" dxfId="3">
      <formula>NOT(ISERROR(SEARCH("REVIEW",I71)))</formula>
    </cfRule>
  </conditionalFormatting>
  <printOptions/>
  <pageMargins left="0.7" right="0.7" top="0.75" bottom="0.75" header="0.511811023622047" footer="0.511811023622047"/>
  <pageSetup paperSize="1" scale="100" fitToWidth="1" fitToHeight="1" pageOrder="downThenOver" orientation="portrait" copies="1"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H25"/>
  <sheetViews>
    <sheetView showGridLines="0" topLeftCell="A1" zoomScaleNormal="100" zoomScalePageLayoutView="100" workbookViewId="0">
      <selection activeCell="A1" sqref="A1"/>
    </sheetView>
  </sheetViews>
  <sheetFormatPr defaultColWidth="8.6796875" defaultRowHeight="15"/>
  <cols>
    <col min="1" max="1" width="34" customWidth="1"/>
    <col min="2" max="2" width="14" customWidth="1"/>
    <col min="3" max="3" width="17" customWidth="1"/>
    <col min="4" max="4" width="14" customWidth="1"/>
    <col min="5" max="5" width="40" customWidth="1"/>
    <col min="6" max="6" width="18" customWidth="1"/>
    <col min="7" max="7" width="36" customWidth="1"/>
    <col min="8" max="8" width="22" customWidth="1"/>
  </cols>
  <sheetData>
    <row r="1" ht="28" hidden="0" outlineLevel="0" collapsed="0">
      <c r="A1" s="14" t="s">
        <v>221</v>
      </c>
      <c r="B1" s="14"/>
      <c r="C1" s="14"/>
      <c r="D1" s="14"/>
      <c r="E1" s="14"/>
      <c r="F1" s="14"/>
      <c r="G1" s="14"/>
      <c r="H1" s="14"/>
    </row>
    <row r="2" ht="22" hidden="0" outlineLevel="0" collapsed="0">
      <c r="A2" s="15" t="s">
        <v>222</v>
      </c>
      <c r="B2" s="15"/>
      <c r="C2" s="15"/>
      <c r="D2" s="15"/>
      <c r="E2" s="15"/>
      <c r="F2" s="15"/>
      <c r="G2" s="15"/>
      <c r="H2" s="15"/>
    </row>
    <row r="4" hidden="0" outlineLevel="0" collapsed="0">
      <c r="A4" s="11" t="s">
        <v>36</v>
      </c>
      <c r="B4" s="11" t="s">
        <v>57</v>
      </c>
      <c r="C4" s="11" t="s">
        <v>74</v>
      </c>
      <c r="D4" s="11" t="s">
        <v>82</v>
      </c>
      <c r="E4" s="11" t="s">
        <v>89</v>
      </c>
      <c r="F4" s="11" t="s">
        <v>93</v>
      </c>
    </row>
    <row r="5" hidden="0" outlineLevel="0" collapsed="0">
      <c r="A5" s="16" t="s">
        <v>56</v>
      </c>
      <c r="B5" s="17">
        <v>38655</v>
      </c>
      <c r="C5" s="17">
        <v>43004</v>
      </c>
      <c r="D5" s="17">
        <v>45754</v>
      </c>
      <c r="E5" s="17">
        <v>47061</v>
      </c>
      <c r="F5" s="17">
        <v>47941</v>
      </c>
    </row>
    <row r="6" hidden="0" outlineLevel="0" collapsed="0">
      <c r="A6" s="16" t="s">
        <v>97</v>
      </c>
      <c r="B6" s="17">
        <v>23298</v>
      </c>
      <c r="C6" s="17">
        <v>25004</v>
      </c>
      <c r="D6" s="17">
        <v>27234</v>
      </c>
      <c r="E6" s="17">
        <v>28737</v>
      </c>
      <c r="F6" s="17">
        <v>29544</v>
      </c>
    </row>
    <row r="7" hidden="0" outlineLevel="0" collapsed="0">
      <c r="A7" s="16" t="s">
        <v>104</v>
      </c>
      <c r="B7" s="17">
        <v>10308</v>
      </c>
      <c r="C7" s="17">
        <v>10909</v>
      </c>
      <c r="D7" s="17">
        <v>11311</v>
      </c>
      <c r="E7" s="17">
        <v>9992</v>
      </c>
      <c r="F7" s="17">
        <v>13762</v>
      </c>
    </row>
    <row r="8" hidden="0" outlineLevel="0" collapsed="0">
      <c r="A8" s="16" t="s">
        <v>111</v>
      </c>
      <c r="B8" s="17">
        <v>9771</v>
      </c>
      <c r="C8" s="17">
        <v>9542</v>
      </c>
      <c r="D8" s="17">
        <v>10714</v>
      </c>
      <c r="E8" s="17">
        <v>10631</v>
      </c>
      <c r="F8" s="17">
        <v>13107</v>
      </c>
    </row>
    <row r="9" hidden="0" outlineLevel="0" collapsed="0">
      <c r="A9" s="16" t="s">
        <v>118</v>
      </c>
      <c r="B9" s="17">
        <v>12625</v>
      </c>
      <c r="C9" s="17">
        <v>11018</v>
      </c>
      <c r="D9" s="17">
        <v>11599</v>
      </c>
      <c r="E9" s="17">
        <v>6805</v>
      </c>
      <c r="F9" s="17">
        <v>7408</v>
      </c>
    </row>
    <row r="10" hidden="0" outlineLevel="0" collapsed="0">
      <c r="A10" s="16" t="s">
        <v>125</v>
      </c>
      <c r="B10" s="17">
        <v>1367</v>
      </c>
      <c r="C10" s="17">
        <v>1484</v>
      </c>
      <c r="D10" s="17">
        <v>1852</v>
      </c>
      <c r="E10" s="17">
        <v>2064</v>
      </c>
      <c r="F10" s="17">
        <v>2112</v>
      </c>
    </row>
    <row r="11" hidden="0" outlineLevel="0" collapsed="0">
      <c r="A11" s="16" t="s">
        <v>132</v>
      </c>
      <c r="B11" s="17">
        <v>94354</v>
      </c>
      <c r="C11" s="17">
        <v>92763</v>
      </c>
      <c r="D11" s="17">
        <v>97703</v>
      </c>
      <c r="E11" s="17">
        <v>100549</v>
      </c>
      <c r="F11" s="17">
        <v>104816</v>
      </c>
    </row>
    <row r="12" hidden="0" outlineLevel="0" collapsed="0">
      <c r="A12" s="16" t="s">
        <v>144</v>
      </c>
      <c r="B12" s="17">
        <v>22999</v>
      </c>
      <c r="C12" s="17">
        <v>24105</v>
      </c>
      <c r="D12" s="17">
        <v>25941</v>
      </c>
      <c r="E12" s="17">
        <v>24856</v>
      </c>
      <c r="F12" s="17">
        <v>32169</v>
      </c>
    </row>
    <row r="13" hidden="0" outlineLevel="0" collapsed="0">
      <c r="A13" s="16" t="s">
        <v>151</v>
      </c>
      <c r="B13" s="17">
        <v>9684</v>
      </c>
      <c r="C13" s="17">
        <v>9519</v>
      </c>
      <c r="D13" s="17">
        <v>9366</v>
      </c>
      <c r="E13" s="17">
        <v>10828</v>
      </c>
      <c r="F13" s="17">
        <v>10270</v>
      </c>
    </row>
    <row r="14" hidden="0" outlineLevel="0" collapsed="0">
      <c r="A14" s="16" t="s">
        <v>158</v>
      </c>
      <c r="B14" s="17"/>
      <c r="C14" s="17"/>
      <c r="D14" s="17">
        <v>37507</v>
      </c>
      <c r="E14" s="17">
        <v>43023</v>
      </c>
      <c r="F14" s="17">
        <v>43941</v>
      </c>
    </row>
    <row r="15" hidden="0" outlineLevel="0" collapsed="0">
      <c r="A15" s="16" t="s">
        <v>163</v>
      </c>
      <c r="B15" s="17">
        <v>4340</v>
      </c>
      <c r="C15" s="17">
        <v>4350</v>
      </c>
      <c r="D15" s="17">
        <v>4339</v>
      </c>
      <c r="E15" s="17">
        <v>4320</v>
      </c>
      <c r="F15" s="17">
        <v>4313</v>
      </c>
    </row>
    <row r="17" hidden="0" outlineLevel="0" collapsed="0">
      <c r="A17" s="18" t="s">
        <v>223</v>
      </c>
      <c r="B17" s="18" t="s">
        <v>224</v>
      </c>
      <c r="C17" s="18"/>
      <c r="D17" s="18"/>
      <c r="E17" s="18"/>
      <c r="F17" s="18"/>
    </row>
    <row r="18" hidden="0" outlineLevel="0" collapsed="0">
      <c r="A18" s="0" t="s">
        <v>225</v>
      </c>
      <c r="B18" s="19">
        <f>B23</f>
        <v>10270</v>
      </c>
      <c r="F18" s="0" t="s">
        <v>58</v>
      </c>
    </row>
    <row r="19" hidden="0" outlineLevel="0" collapsed="0">
      <c r="A19" s="0" t="s">
        <v>226</v>
      </c>
      <c r="B19" s="19">
        <f>SUM(B24:B25)</f>
        <v>43997</v>
      </c>
      <c r="F19" s="0" t="s">
        <v>58</v>
      </c>
    </row>
    <row r="20" hidden="0" outlineLevel="0" collapsed="0">
      <c r="A20" s="0" t="s">
        <v>173</v>
      </c>
      <c r="B20" s="19">
        <v>4300.723</v>
      </c>
      <c r="F20" s="0" t="s">
        <v>164</v>
      </c>
    </row>
    <row r="22" hidden="0" outlineLevel="0" collapsed="0">
      <c r="A22" s="11" t="s">
        <v>227</v>
      </c>
      <c r="B22" s="11" t="s">
        <v>93</v>
      </c>
      <c r="C22" s="11" t="s">
        <v>228</v>
      </c>
      <c r="D22" s="11" t="s">
        <v>194</v>
      </c>
      <c r="E22" s="11" t="s">
        <v>229</v>
      </c>
      <c r="F22" s="11" t="s">
        <v>230</v>
      </c>
    </row>
    <row r="23" hidden="0" outlineLevel="0" collapsed="0">
      <c r="A23" s="0" t="s">
        <v>151</v>
      </c>
      <c r="B23" s="0">
        <f>F13</f>
        <v>10270</v>
      </c>
      <c r="C23" s="0" t="s">
        <v>231</v>
      </c>
      <c r="D23" s="0" t="s">
        <v>194</v>
      </c>
      <c r="E23" s="0" t="s">
        <v>232</v>
      </c>
      <c r="F23" s="0" t="s">
        <v>233</v>
      </c>
    </row>
    <row r="24" hidden="0" outlineLevel="0" collapsed="0">
      <c r="A24" s="0" t="s">
        <v>234</v>
      </c>
      <c r="B24" s="0">
        <f>F14</f>
        <v>43941</v>
      </c>
      <c r="C24" s="0" t="s">
        <v>231</v>
      </c>
      <c r="D24" s="0" t="s">
        <v>194</v>
      </c>
      <c r="E24" s="0" t="s">
        <v>232</v>
      </c>
      <c r="F24" s="0" t="s">
        <v>233</v>
      </c>
    </row>
    <row r="25" hidden="0" outlineLevel="0" collapsed="0">
      <c r="A25" s="0" t="s">
        <v>181</v>
      </c>
      <c r="B25" s="0">
        <v>56</v>
      </c>
      <c r="C25" s="0" t="s">
        <v>231</v>
      </c>
      <c r="D25" s="0" t="s">
        <v>194</v>
      </c>
      <c r="E25" s="0" t="s">
        <v>182</v>
      </c>
      <c r="F25" s="0" t="s">
        <v>235</v>
      </c>
    </row>
  </sheetData>
  <mergeCells count="2">
    <mergeCell ref="A1:H1"/>
    <mergeCell ref="A2:H2"/>
  </mergeCells>
  <printOptions/>
  <pageMargins left="0.7" right="0.7" top="0.75" bottom="0.75" header="0.511811023622047" footer="0.511811023622047"/>
  <pageSetup paperSize="1" scale="100" fitToWidth="1" fitToHeight="1" pageOrder="downThenOver" orientation="portrait" copies="1" horizontalDpi="300" verticalDpi="300"/>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H19"/>
  <sheetViews>
    <sheetView showGridLines="0" topLeftCell="A1" zoomScaleNormal="100" zoomScalePageLayoutView="100" workbookViewId="0">
      <selection activeCell="A1" sqref="A1"/>
    </sheetView>
  </sheetViews>
  <sheetFormatPr defaultColWidth="8.6796875" defaultRowHeight="15"/>
  <cols>
    <col min="1" max="1" width="37" customWidth="1"/>
    <col min="2" max="2" width="12" customWidth="1"/>
    <col min="3" max="6" width="13" customWidth="1"/>
    <col min="7" max="7" width="55" customWidth="1"/>
    <col min="8" max="8" width="15" customWidth="1"/>
  </cols>
  <sheetData>
    <row r="1" ht="28" hidden="0" outlineLevel="0" collapsed="0">
      <c r="A1" s="1" t="s">
        <v>236</v>
      </c>
      <c r="B1" s="1"/>
      <c r="C1" s="1"/>
      <c r="D1" s="1"/>
      <c r="E1" s="1"/>
      <c r="F1" s="1"/>
      <c r="G1" s="1"/>
      <c r="H1" s="1"/>
    </row>
    <row r="2" ht="22" hidden="0" outlineLevel="0" collapsed="0">
      <c r="A2" s="2" t="s">
        <v>237</v>
      </c>
      <c r="B2" s="2"/>
      <c r="C2" s="2"/>
      <c r="D2" s="2"/>
      <c r="E2" s="2"/>
      <c r="F2" s="2"/>
      <c r="G2" s="2"/>
      <c r="H2" s="2"/>
    </row>
    <row r="3" hidden="0" outlineLevel="0" collapsed="0">
      <c r="A3" s="3" t="s">
        <v>238</v>
      </c>
      <c r="B3" s="20">
        <v>1</v>
      </c>
      <c r="C3" s="3"/>
      <c r="D3" s="3"/>
      <c r="E3" s="3"/>
      <c r="F3" s="3"/>
      <c r="G3" s="3" t="s">
        <v>239</v>
      </c>
    </row>
    <row r="4" hidden="0" outlineLevel="0" collapsed="0">
      <c r="A4" s="3" t="s">
        <v>14</v>
      </c>
      <c r="B4" s="3" t="str">
        <f>CHOOSE(B3,"Base","Bull","Bear")</f>
        <v>Base</v>
      </c>
      <c r="C4" s="3"/>
      <c r="D4" s="3"/>
      <c r="E4" s="3"/>
      <c r="F4" s="3"/>
      <c r="G4" s="3" t="s">
        <v>240</v>
      </c>
    </row>
    <row r="5" hidden="0" outlineLevel="0" collapsed="0">
      <c r="A5" s="3"/>
      <c r="B5" s="3"/>
      <c r="C5" s="3"/>
      <c r="D5" s="3"/>
      <c r="E5" s="3"/>
      <c r="F5" s="3"/>
      <c r="G5" s="3"/>
    </row>
    <row r="6" hidden="0" outlineLevel="0" collapsed="0">
      <c r="A6" s="11" t="s">
        <v>241</v>
      </c>
      <c r="B6" s="11" t="s">
        <v>39</v>
      </c>
      <c r="C6" s="11" t="s">
        <v>242</v>
      </c>
      <c r="D6" s="11" t="s">
        <v>243</v>
      </c>
      <c r="E6" s="11" t="s">
        <v>244</v>
      </c>
      <c r="F6" s="11" t="s">
        <v>245</v>
      </c>
      <c r="G6" s="11" t="s">
        <v>246</v>
      </c>
    </row>
    <row r="7" hidden="0" outlineLevel="0" collapsed="0">
      <c r="A7" s="3" t="s">
        <v>247</v>
      </c>
      <c r="B7" s="3" t="s">
        <v>199</v>
      </c>
      <c r="C7" s="21">
        <v>0.015</v>
      </c>
      <c r="D7" s="21">
        <v>0.025</v>
      </c>
      <c r="E7" s="21">
        <v>0</v>
      </c>
      <c r="F7" s="22">
        <f>CHOOSE($B$3,C7,D7,E7)</f>
        <v>0.015</v>
      </c>
      <c r="G7" s="3" t="s">
        <v>248</v>
      </c>
    </row>
    <row r="8" hidden="0" outlineLevel="0" collapsed="0">
      <c r="A8" s="3" t="s">
        <v>202</v>
      </c>
      <c r="B8" s="3" t="s">
        <v>199</v>
      </c>
      <c r="C8" s="21">
        <v>0.04</v>
      </c>
      <c r="D8" s="21">
        <v>0.05</v>
      </c>
      <c r="E8" s="21">
        <v>0.025</v>
      </c>
      <c r="F8" s="22">
        <f>CHOOSE($B$3,C8,D8,E8)</f>
        <v>0.04</v>
      </c>
      <c r="G8" s="3" t="s">
        <v>249</v>
      </c>
    </row>
    <row r="9" hidden="0" outlineLevel="0" collapsed="0">
      <c r="A9" s="3" t="s">
        <v>250</v>
      </c>
      <c r="B9" s="3" t="s">
        <v>199</v>
      </c>
      <c r="C9" s="21">
        <v>0</v>
      </c>
      <c r="D9" s="21">
        <v>0.01</v>
      </c>
      <c r="E9" s="21">
        <v>-0.02</v>
      </c>
      <c r="F9" s="22">
        <f>CHOOSE($B$3,C9,D9,E9)</f>
        <v>0</v>
      </c>
      <c r="G9" s="3" t="s">
        <v>251</v>
      </c>
    </row>
    <row r="10" hidden="0" outlineLevel="0" collapsed="0">
      <c r="A10" s="3" t="s">
        <v>252</v>
      </c>
      <c r="B10" s="3" t="s">
        <v>199</v>
      </c>
      <c r="C10" s="21">
        <v>0</v>
      </c>
      <c r="D10" s="21">
        <v>0.005</v>
      </c>
      <c r="E10" s="21">
        <v>-0.01</v>
      </c>
      <c r="F10" s="22">
        <f>CHOOSE($B$3,C10,D10,E10)</f>
        <v>0</v>
      </c>
      <c r="G10" s="3" t="s">
        <v>253</v>
      </c>
    </row>
    <row r="11" hidden="0" outlineLevel="0" collapsed="0">
      <c r="A11" s="3" t="s">
        <v>254</v>
      </c>
      <c r="B11" s="3" t="s">
        <v>199</v>
      </c>
      <c r="C11" s="21">
        <v>0.29</v>
      </c>
      <c r="D11" s="21">
        <v>0.31</v>
      </c>
      <c r="E11" s="21">
        <v>0.27</v>
      </c>
      <c r="F11" s="22">
        <f>CHOOSE($B$3,C11,D11,E11)</f>
        <v>0.29</v>
      </c>
      <c r="G11" s="3" t="s">
        <v>255</v>
      </c>
    </row>
    <row r="12" hidden="0" outlineLevel="0" collapsed="0">
      <c r="A12" s="3" t="s">
        <v>256</v>
      </c>
      <c r="B12" s="3" t="s">
        <v>199</v>
      </c>
      <c r="C12" s="21">
        <v>0.19</v>
      </c>
      <c r="D12" s="21">
        <v>0.175</v>
      </c>
      <c r="E12" s="21">
        <v>0.21</v>
      </c>
      <c r="F12" s="22">
        <f>CHOOSE($B$3,C12,D12,E12)</f>
        <v>0.19</v>
      </c>
      <c r="G12" s="3" t="s">
        <v>257</v>
      </c>
    </row>
    <row r="13" hidden="0" outlineLevel="0" collapsed="0">
      <c r="A13" s="3" t="s">
        <v>258</v>
      </c>
      <c r="B13" s="3" t="s">
        <v>199</v>
      </c>
      <c r="C13" s="21">
        <v>0.045</v>
      </c>
      <c r="D13" s="21">
        <v>0.047</v>
      </c>
      <c r="E13" s="21">
        <v>0.043</v>
      </c>
      <c r="F13" s="22">
        <f>CHOOSE($B$3,C13,D13,E13)</f>
        <v>0.045</v>
      </c>
      <c r="G13" s="3" t="s">
        <v>259</v>
      </c>
    </row>
    <row r="14" hidden="0" outlineLevel="0" collapsed="0">
      <c r="A14" s="3" t="s">
        <v>260</v>
      </c>
      <c r="B14" s="3" t="s">
        <v>199</v>
      </c>
      <c r="C14" s="21">
        <v>0.045</v>
      </c>
      <c r="D14" s="21">
        <v>0.04</v>
      </c>
      <c r="E14" s="21">
        <v>0.05</v>
      </c>
      <c r="F14" s="22">
        <f>CHOOSE($B$3,C14,D14,E14)</f>
        <v>0.045</v>
      </c>
      <c r="G14" s="3" t="s">
        <v>261</v>
      </c>
    </row>
    <row r="15" hidden="0" outlineLevel="0" collapsed="0">
      <c r="A15" s="3" t="s">
        <v>262</v>
      </c>
      <c r="B15" s="3" t="s">
        <v>199</v>
      </c>
      <c r="C15" s="21">
        <v>0.01</v>
      </c>
      <c r="D15" s="21">
        <v>0.005</v>
      </c>
      <c r="E15" s="21">
        <v>0.015</v>
      </c>
      <c r="F15" s="22">
        <f>CHOOSE($B$3,C15,D15,E15)</f>
        <v>0.01</v>
      </c>
      <c r="G15" s="3" t="s">
        <v>263</v>
      </c>
    </row>
    <row r="16" hidden="0" outlineLevel="0" collapsed="0">
      <c r="A16" s="3" t="s">
        <v>264</v>
      </c>
      <c r="B16" s="3" t="s">
        <v>199</v>
      </c>
      <c r="C16" s="21">
        <v>0.075</v>
      </c>
      <c r="D16" s="21">
        <v>0.068</v>
      </c>
      <c r="E16" s="21">
        <v>0.085</v>
      </c>
      <c r="F16" s="22">
        <f>CHOOSE($B$3,C16,D16,E16)</f>
        <v>0.075</v>
      </c>
      <c r="G16" s="3" t="s">
        <v>265</v>
      </c>
    </row>
    <row r="17" hidden="0" outlineLevel="0" collapsed="0">
      <c r="A17" s="3" t="s">
        <v>266</v>
      </c>
      <c r="B17" s="3" t="s">
        <v>199</v>
      </c>
      <c r="C17" s="21">
        <v>0.025</v>
      </c>
      <c r="D17" s="21">
        <v>0.03</v>
      </c>
      <c r="E17" s="21">
        <v>0.02</v>
      </c>
      <c r="F17" s="22">
        <f>CHOOSE($B$3,C17,D17,E17)</f>
        <v>0.025</v>
      </c>
      <c r="G17" s="3" t="s">
        <v>267</v>
      </c>
    </row>
    <row r="18" hidden="0" outlineLevel="0" collapsed="0">
      <c r="A18" s="3"/>
      <c r="B18" s="3"/>
      <c r="C18" s="3"/>
      <c r="D18" s="3"/>
      <c r="E18" s="3"/>
      <c r="F18" s="3"/>
      <c r="G18" s="3"/>
    </row>
    <row r="19" hidden="0" outlineLevel="0" collapsed="0">
      <c r="A19" s="3"/>
      <c r="B19" s="3"/>
      <c r="C19" s="3"/>
      <c r="D19" s="3"/>
      <c r="E19" s="3"/>
      <c r="F19" s="3"/>
      <c r="G19" s="3"/>
    </row>
  </sheetData>
  <mergeCells count="2">
    <mergeCell ref="A1:H1"/>
    <mergeCell ref="A2:H2"/>
  </mergeCells>
  <dataValidations count="1">
    <dataValidation sqref="B3" type="whole">
      <formula1>1</formula1>
      <formula2>3</formula2>
    </dataValidation>
  </dataValidations>
  <printOptions/>
  <pageMargins left="0.7" right="0.7" top="0.75" bottom="0.75" header="0.511811023622047" footer="0.511811023622047"/>
  <pageSetup paperSize="1" scale="100" fitToWidth="1" fitToHeight="1" pageOrder="downThenOver" orientation="portrait" copies="1"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H30"/>
  <sheetViews>
    <sheetView showGridLines="0" topLeftCell="A1" zoomScaleNormal="100" zoomScalePageLayoutView="100" workbookViewId="0">
      <selection activeCell="A1" sqref="A1"/>
    </sheetView>
  </sheetViews>
  <sheetFormatPr defaultColWidth="8.6796875" defaultRowHeight="15"/>
  <cols>
    <col min="1" max="1" width="37" customWidth="1"/>
    <col min="2" max="7" width="14" customWidth="1"/>
    <col min="8" max="8" width="15" customWidth="1"/>
  </cols>
  <sheetData>
    <row r="1" ht="28" hidden="0" outlineLevel="0" collapsed="0">
      <c r="A1" s="14" t="s">
        <v>268</v>
      </c>
      <c r="B1" s="14"/>
      <c r="C1" s="14"/>
      <c r="D1" s="14"/>
      <c r="E1" s="14"/>
      <c r="F1" s="14"/>
      <c r="G1" s="14"/>
      <c r="H1" s="14"/>
    </row>
    <row r="2" ht="22" hidden="0" outlineLevel="0" collapsed="0">
      <c r="A2" s="15" t="s">
        <v>269</v>
      </c>
      <c r="B2" s="15"/>
      <c r="C2" s="15"/>
      <c r="D2" s="15"/>
      <c r="E2" s="15"/>
      <c r="F2" s="15"/>
      <c r="G2" s="15"/>
      <c r="H2" s="15"/>
    </row>
    <row r="4" hidden="0" outlineLevel="0" collapsed="0">
      <c r="A4" s="11" t="s">
        <v>36</v>
      </c>
      <c r="B4" s="11" t="s">
        <v>93</v>
      </c>
      <c r="C4" s="11" t="s">
        <v>270</v>
      </c>
      <c r="D4" s="11" t="s">
        <v>271</v>
      </c>
      <c r="E4" s="11" t="s">
        <v>272</v>
      </c>
      <c r="F4" s="11" t="s">
        <v>273</v>
      </c>
      <c r="G4" s="11" t="s">
        <v>274</v>
      </c>
    </row>
    <row r="5" hidden="0" outlineLevel="0" collapsed="0">
      <c r="A5" s="16" t="s">
        <v>247</v>
      </c>
      <c r="B5" s="17">
        <v>0.01</v>
      </c>
      <c r="C5" s="23">
        <f>Assumptions!F7</f>
        <v>0.015</v>
      </c>
      <c r="D5" s="23">
        <f>Assumptions!F7</f>
        <v>0.015</v>
      </c>
      <c r="E5" s="23">
        <f>Assumptions!F7</f>
        <v>0.015</v>
      </c>
      <c r="F5" s="23">
        <f>Assumptions!F7</f>
        <v>0.015</v>
      </c>
      <c r="G5" s="23">
        <f>Assumptions!F7</f>
        <v>0.015</v>
      </c>
    </row>
    <row r="6" hidden="0" outlineLevel="0" collapsed="0">
      <c r="A6" s="16" t="s">
        <v>202</v>
      </c>
      <c r="B6" s="17">
        <v>0.04</v>
      </c>
      <c r="C6" s="23">
        <f>Assumptions!F8</f>
        <v>0.04</v>
      </c>
      <c r="D6" s="23">
        <f>Assumptions!F8</f>
        <v>0.04</v>
      </c>
      <c r="E6" s="23">
        <f>Assumptions!F8</f>
        <v>0.04</v>
      </c>
      <c r="F6" s="23">
        <f>Assumptions!F8</f>
        <v>0.04</v>
      </c>
      <c r="G6" s="23">
        <f>Assumptions!F8</f>
        <v>0.04</v>
      </c>
    </row>
    <row r="7" hidden="0" outlineLevel="0" collapsed="0">
      <c r="A7" s="16" t="s">
        <v>204</v>
      </c>
      <c r="B7" s="17">
        <v>-0.02</v>
      </c>
      <c r="C7" s="23">
        <f>Assumptions!F9</f>
        <v>0</v>
      </c>
      <c r="D7" s="23">
        <f>Assumptions!F9</f>
        <v>0</v>
      </c>
      <c r="E7" s="23">
        <f>Assumptions!F9</f>
        <v>0</v>
      </c>
      <c r="F7" s="23">
        <f>Assumptions!F9</f>
        <v>0</v>
      </c>
      <c r="G7" s="23">
        <f>Assumptions!F9</f>
        <v>0</v>
      </c>
    </row>
    <row r="8" hidden="0" outlineLevel="0" collapsed="0">
      <c r="A8" s="16" t="s">
        <v>275</v>
      </c>
      <c r="B8" s="17">
        <v>-0.01</v>
      </c>
      <c r="C8" s="23">
        <f>Assumptions!F10</f>
        <v>0</v>
      </c>
      <c r="D8" s="23">
        <f>Assumptions!F10</f>
        <v>0</v>
      </c>
      <c r="E8" s="23">
        <f>Assumptions!F10</f>
        <v>0</v>
      </c>
      <c r="F8" s="23">
        <f>Assumptions!F10</f>
        <v>0</v>
      </c>
      <c r="G8" s="23">
        <f>Assumptions!F10</f>
        <v>0</v>
      </c>
    </row>
    <row r="9" hidden="0" outlineLevel="0" collapsed="0">
      <c r="A9" s="16" t="s">
        <v>276</v>
      </c>
      <c r="B9" s="17">
        <v>0.02</v>
      </c>
      <c r="C9" s="23">
        <f>SUM(C5:C8)</f>
        <v>0.055</v>
      </c>
      <c r="D9" s="23">
        <f>SUM(D5:D8)</f>
        <v>0.055</v>
      </c>
      <c r="E9" s="23">
        <f>SUM(E5:E8)</f>
        <v>0.055</v>
      </c>
      <c r="F9" s="23">
        <f>SUM(F5:F8)</f>
        <v>0.055</v>
      </c>
      <c r="G9" s="23">
        <f>SUM(G5:G8)</f>
        <v>0.055</v>
      </c>
    </row>
    <row r="10" hidden="0" outlineLevel="0" collapsed="0">
      <c r="A10" s="16" t="s">
        <v>56</v>
      </c>
      <c r="B10" s="17">
        <v>47941</v>
      </c>
      <c r="C10" s="23">
        <f>B10*(1+C9)</f>
        <v>50577.755</v>
      </c>
      <c r="D10" s="23">
        <f>C10*(1+D9)</f>
        <v>53359.53152499999</v>
      </c>
      <c r="E10" s="23">
        <f>D10*(1+E9)</f>
        <v>56294.30575887499</v>
      </c>
      <c r="F10" s="23">
        <f>E10*(1+F9)</f>
        <v>59390.492575613105</v>
      </c>
      <c r="G10" s="23">
        <f>F10*(1+G9)</f>
        <v>62656.96966727182</v>
      </c>
    </row>
    <row r="11" hidden="0" outlineLevel="0" collapsed="0">
      <c r="A11" s="16" t="s">
        <v>277</v>
      </c>
      <c r="B11" s="17">
        <v>13200</v>
      </c>
      <c r="C11" s="23">
        <f>C10*Assumptions!F11</f>
        <v>14667.548949999999</v>
      </c>
      <c r="D11" s="23">
        <f>D10*Assumptions!F11</f>
        <v>15474.264142249996</v>
      </c>
      <c r="E11" s="23">
        <f>E10*Assumptions!F11</f>
        <v>16325.348670073745</v>
      </c>
      <c r="F11" s="23">
        <f>F10*Assumptions!F11</f>
        <v>17223.2428469278</v>
      </c>
      <c r="G11" s="23">
        <f>G10*Assumptions!F11</f>
        <v>18170.521203508826</v>
      </c>
    </row>
    <row r="12" hidden="0" outlineLevel="0" collapsed="0">
      <c r="A12" s="16" t="s">
        <v>278</v>
      </c>
      <c r="B12" s="17">
        <f>-B11*Assumptions!F12</f>
        <v>-2508</v>
      </c>
      <c r="C12" s="23">
        <f>-C11*Assumptions!F12</f>
        <v>-2786.8343004999997</v>
      </c>
      <c r="D12" s="23">
        <f>-D11*Assumptions!F12</f>
        <v>-2940.1101870274993</v>
      </c>
      <c r="E12" s="23">
        <f>-E11*Assumptions!F12</f>
        <v>-3101.8162473140114</v>
      </c>
      <c r="F12" s="23">
        <f>-F11*Assumptions!F12</f>
        <v>-3272.4161409162816</v>
      </c>
      <c r="G12" s="23">
        <f>-G11*Assumptions!F12</f>
        <v>-3452.399028666677</v>
      </c>
    </row>
    <row r="13" hidden="0" outlineLevel="0" collapsed="0">
      <c r="A13" s="16" t="s">
        <v>279</v>
      </c>
      <c r="B13" s="17">
        <f>SUM(B11:B12)</f>
        <v>10692</v>
      </c>
      <c r="C13" s="23">
        <f>SUM(C11:C12)</f>
        <v>11880.714649499998</v>
      </c>
      <c r="D13" s="23">
        <f>SUM(D11:D12)</f>
        <v>12534.153955222497</v>
      </c>
      <c r="E13" s="23">
        <f>SUM(E11:E12)</f>
        <v>13223.532422759734</v>
      </c>
      <c r="F13" s="23">
        <f>SUM(F11:F12)</f>
        <v>13950.826706011518</v>
      </c>
      <c r="G13" s="23">
        <f>SUM(G11:G12)</f>
        <v>14718.122174842149</v>
      </c>
    </row>
    <row r="14" hidden="0" outlineLevel="0" collapsed="0">
      <c r="A14" s="16" t="s">
        <v>280</v>
      </c>
      <c r="B14" s="17">
        <v>0</v>
      </c>
      <c r="C14" s="23">
        <f>C10*Assumptions!F13</f>
        <v>2275.998975</v>
      </c>
      <c r="D14" s="23">
        <f>D10*Assumptions!F13</f>
        <v>2401.1789186249994</v>
      </c>
      <c r="E14" s="23">
        <f>E10*Assumptions!F13</f>
        <v>2533.2437591493745</v>
      </c>
      <c r="F14" s="23">
        <f>F10*Assumptions!F13</f>
        <v>2672.57216590259</v>
      </c>
      <c r="G14" s="23">
        <f>G10*Assumptions!F13</f>
        <v>2819.5636350272316</v>
      </c>
    </row>
    <row r="15" hidden="0" outlineLevel="0" collapsed="0">
      <c r="A15" s="16" t="s">
        <v>125</v>
      </c>
      <c r="B15" s="17">
        <v>0</v>
      </c>
      <c r="C15" s="23">
        <f>-C10*Assumptions!F14</f>
        <v>-2275.998975</v>
      </c>
      <c r="D15" s="23">
        <f>-D10*Assumptions!F14</f>
        <v>-2401.1789186249994</v>
      </c>
      <c r="E15" s="23">
        <f>-E10*Assumptions!F14</f>
        <v>-2533.2437591493745</v>
      </c>
      <c r="F15" s="23">
        <f>-F10*Assumptions!F14</f>
        <v>-2672.57216590259</v>
      </c>
      <c r="G15" s="23">
        <f>-G10*Assumptions!F14</f>
        <v>-2819.5636350272316</v>
      </c>
    </row>
    <row r="16" hidden="0" outlineLevel="0" collapsed="0">
      <c r="A16" s="16" t="s">
        <v>281</v>
      </c>
      <c r="B16" s="17">
        <v>0</v>
      </c>
      <c r="C16" s="23">
        <f>-(C10-B10)*Assumptions!F15</f>
        <v>-26.367549999999973</v>
      </c>
      <c r="D16" s="23">
        <f>-(D10-C10)*Assumptions!F15</f>
        <v>-27.81776524999994</v>
      </c>
      <c r="E16" s="23">
        <f>-(E10-D10)*Assumptions!F15</f>
        <v>-29.34774233874996</v>
      </c>
      <c r="F16" s="23">
        <f>-(F10-E10)*Assumptions!F15</f>
        <v>-30.96186816738118</v>
      </c>
      <c r="G16" s="23">
        <f>-(G10-F10)*Assumptions!F15</f>
        <v>-32.66477091658715</v>
      </c>
    </row>
    <row r="17" hidden="0" outlineLevel="0" collapsed="0">
      <c r="A17" s="16" t="s">
        <v>282</v>
      </c>
      <c r="B17" s="17">
        <v>0</v>
      </c>
      <c r="C17" s="23">
        <f>SUM(C13:C16)</f>
        <v>11854.347099499997</v>
      </c>
      <c r="D17" s="23">
        <f>SUM(D13:D16)</f>
        <v>12506.336189972497</v>
      </c>
      <c r="E17" s="23">
        <f>SUM(E13:E16)</f>
        <v>13194.184680420984</v>
      </c>
      <c r="F17" s="23">
        <f>SUM(F13:F16)</f>
        <v>13919.864837844136</v>
      </c>
      <c r="G17" s="23">
        <f>SUM(G13:G16)</f>
        <v>14685.457403925562</v>
      </c>
    </row>
    <row r="18" hidden="0" outlineLevel="0" collapsed="0">
      <c r="A18" s="16"/>
      <c r="B18" s="17"/>
      <c r="C18" s="23"/>
      <c r="D18" s="23"/>
      <c r="E18" s="23"/>
      <c r="F18" s="23"/>
      <c r="G18" s="23"/>
    </row>
    <row r="19" hidden="0" outlineLevel="0" collapsed="0">
      <c r="A19" s="16"/>
      <c r="B19" s="17"/>
      <c r="C19" s="23"/>
      <c r="D19" s="23"/>
      <c r="E19" s="23"/>
      <c r="F19" s="23"/>
      <c r="G19" s="23"/>
    </row>
    <row r="20" hidden="0" outlineLevel="0" collapsed="0">
      <c r="A20" s="16"/>
      <c r="B20" s="17"/>
      <c r="C20" s="23"/>
      <c r="D20" s="23"/>
      <c r="E20" s="23"/>
      <c r="F20" s="23"/>
      <c r="G20" s="23"/>
    </row>
    <row r="21" hidden="0" outlineLevel="0" collapsed="0">
      <c r="A21" s="16"/>
      <c r="B21" s="17"/>
      <c r="C21" s="23"/>
      <c r="D21" s="23"/>
      <c r="E21" s="23"/>
      <c r="F21" s="23"/>
      <c r="G21" s="23"/>
    </row>
    <row r="22" hidden="0" outlineLevel="0" collapsed="0">
      <c r="A22" s="16"/>
      <c r="B22" s="17"/>
      <c r="C22" s="23"/>
      <c r="D22" s="23"/>
      <c r="E22" s="23"/>
      <c r="F22" s="23"/>
      <c r="G22" s="23"/>
    </row>
    <row r="23" hidden="0" outlineLevel="0" collapsed="0">
      <c r="A23" s="16"/>
      <c r="B23" s="17"/>
      <c r="C23" s="23"/>
      <c r="D23" s="23"/>
      <c r="E23" s="23"/>
      <c r="F23" s="23"/>
      <c r="G23" s="23"/>
    </row>
    <row r="24" hidden="0" outlineLevel="0" collapsed="0">
      <c r="A24" s="16"/>
      <c r="B24" s="17"/>
      <c r="C24" s="23"/>
      <c r="D24" s="23"/>
      <c r="E24" s="23"/>
      <c r="F24" s="23"/>
      <c r="G24" s="23"/>
    </row>
    <row r="25" hidden="0" outlineLevel="0" collapsed="0">
      <c r="A25" s="16"/>
      <c r="B25" s="17"/>
      <c r="C25" s="23"/>
      <c r="D25" s="23"/>
      <c r="E25" s="23"/>
      <c r="F25" s="23"/>
      <c r="G25" s="23"/>
    </row>
    <row r="26" hidden="0" outlineLevel="0" collapsed="0">
      <c r="A26" s="16"/>
      <c r="B26" s="17"/>
      <c r="C26" s="23"/>
      <c r="D26" s="23"/>
      <c r="E26" s="23"/>
      <c r="F26" s="23"/>
      <c r="G26" s="23"/>
    </row>
    <row r="27" hidden="0" outlineLevel="0" collapsed="0">
      <c r="A27" s="16"/>
      <c r="B27" s="17"/>
      <c r="C27" s="23"/>
      <c r="D27" s="23"/>
      <c r="E27" s="23"/>
      <c r="F27" s="23"/>
      <c r="G27" s="23"/>
    </row>
    <row r="28" hidden="0" outlineLevel="0" collapsed="0">
      <c r="A28" s="16"/>
      <c r="B28" s="17"/>
      <c r="C28" s="23"/>
      <c r="D28" s="23"/>
      <c r="E28" s="23"/>
      <c r="F28" s="23"/>
      <c r="G28" s="23"/>
    </row>
    <row r="29" hidden="0" outlineLevel="0" collapsed="0">
      <c r="A29" s="16"/>
      <c r="B29" s="17"/>
      <c r="C29" s="23"/>
      <c r="D29" s="23"/>
      <c r="E29" s="23"/>
      <c r="F29" s="23"/>
      <c r="G29" s="23"/>
    </row>
    <row r="30" hidden="0" outlineLevel="0" collapsed="0">
      <c r="A30" s="16"/>
      <c r="B30" s="17"/>
      <c r="C30" s="23"/>
      <c r="D30" s="23"/>
      <c r="E30" s="23"/>
      <c r="F30" s="23"/>
      <c r="G30" s="23"/>
    </row>
  </sheetData>
  <mergeCells count="2">
    <mergeCell ref="A1:H1"/>
    <mergeCell ref="A2:H2"/>
  </mergeCells>
  <printOptions/>
  <pageMargins left="0.7" right="0.7" top="0.75" bottom="0.75" header="0.511811023622047" footer="0.511811023622047"/>
  <pageSetup paperSize="1" scale="100" fitToWidth="1" fitToHeight="1" pageOrder="downThenOver" orientation="portrait" copies="1"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H21"/>
  <sheetViews>
    <sheetView showGridLines="0" topLeftCell="A1" zoomScaleNormal="100" zoomScalePageLayoutView="100" workbookViewId="0">
      <selection activeCell="A1" sqref="A1"/>
    </sheetView>
  </sheetViews>
  <sheetFormatPr defaultColWidth="8.6796875" defaultRowHeight="15"/>
  <cols>
    <col min="1" max="1" width="34" customWidth="1"/>
    <col min="2" max="6" width="14" customWidth="1"/>
    <col min="7" max="7" width="22" customWidth="1"/>
    <col min="8" max="8" width="15" customWidth="1"/>
  </cols>
  <sheetData>
    <row r="1" ht="28" hidden="0" outlineLevel="0" collapsed="0">
      <c r="A1" s="14" t="s">
        <v>283</v>
      </c>
      <c r="B1" s="14"/>
      <c r="C1" s="14"/>
      <c r="D1" s="14"/>
      <c r="E1" s="14"/>
      <c r="F1" s="14"/>
      <c r="G1" s="14"/>
      <c r="H1" s="14"/>
    </row>
    <row r="2" ht="22" hidden="0" outlineLevel="0" collapsed="0">
      <c r="A2" s="15" t="s">
        <v>284</v>
      </c>
      <c r="B2" s="15"/>
      <c r="C2" s="15"/>
      <c r="D2" s="15"/>
      <c r="E2" s="15"/>
      <c r="F2" s="15"/>
      <c r="G2" s="15"/>
      <c r="H2" s="15"/>
    </row>
    <row r="4" hidden="0" outlineLevel="0" collapsed="0">
      <c r="A4" s="11" t="s">
        <v>285</v>
      </c>
      <c r="B4" s="11" t="s">
        <v>286</v>
      </c>
      <c r="C4" s="11" t="s">
        <v>287</v>
      </c>
      <c r="D4" s="11" t="s">
        <v>288</v>
      </c>
      <c r="E4" s="11" t="s">
        <v>289</v>
      </c>
      <c r="F4" s="11" t="s">
        <v>290</v>
      </c>
      <c r="G4" s="11" t="s">
        <v>291</v>
      </c>
    </row>
    <row r="5" hidden="0" outlineLevel="0" collapsed="0">
      <c r="A5" s="0" t="s">
        <v>282</v>
      </c>
      <c r="B5" s="23">
        <f>Forecast!C17</f>
        <v>11854.347099499997</v>
      </c>
      <c r="C5" s="23">
        <f>Forecast!D17</f>
        <v>12506.336189972497</v>
      </c>
      <c r="D5" s="23">
        <f>Forecast!E17</f>
        <v>13194.184680420984</v>
      </c>
      <c r="E5" s="23">
        <f>Forecast!F17</f>
        <v>13919.864837844136</v>
      </c>
      <c r="F5" s="23">
        <f>Forecast!G17</f>
        <v>14685.457403925562</v>
      </c>
      <c r="G5" s="17"/>
    </row>
    <row r="6" hidden="0" outlineLevel="0" collapsed="0">
      <c r="A6" s="0" t="s">
        <v>292</v>
      </c>
      <c r="B6" s="17">
        <v>1</v>
      </c>
      <c r="C6" s="17">
        <v>2</v>
      </c>
      <c r="D6" s="17">
        <v>3</v>
      </c>
      <c r="E6" s="17">
        <v>4</v>
      </c>
      <c r="F6" s="17">
        <v>5</v>
      </c>
      <c r="G6" s="17"/>
    </row>
    <row r="7" hidden="0" outlineLevel="0" collapsed="0">
      <c r="A7" s="0" t="s">
        <v>293</v>
      </c>
      <c r="B7" s="23">
        <f>1/(1+Assumptions!F16)^B6</f>
        <v>0.9302325581395349</v>
      </c>
      <c r="C7" s="23">
        <f>1/(1+Assumptions!F16)^C6</f>
        <v>0.8653326122228232</v>
      </c>
      <c r="D7" s="23">
        <f>1/(1+Assumptions!F16)^D6</f>
        <v>0.804960569509603</v>
      </c>
      <c r="E7" s="23">
        <f>1/(1+Assumptions!F16)^E6</f>
        <v>0.7488005297763749</v>
      </c>
      <c r="F7" s="23">
        <f>1/(1+Assumptions!F16)^F6</f>
        <v>0.6965586323501163</v>
      </c>
      <c r="G7" s="17"/>
    </row>
    <row r="8" hidden="0" outlineLevel="0" collapsed="0">
      <c r="A8" s="0" t="s">
        <v>294</v>
      </c>
      <c r="B8" s="17">
        <f>B5*B7</f>
        <v>11027.299627441858</v>
      </c>
      <c r="C8" s="17">
        <f>C5*C7</f>
        <v>10822.14056460573</v>
      </c>
      <c r="D8" s="17">
        <f>D5*D7</f>
        <v>10620.798414566554</v>
      </c>
      <c r="E8" s="17">
        <f>E5*E7</f>
        <v>10423.202164993221</v>
      </c>
      <c r="F8" s="17">
        <f>F5*F7</f>
        <v>10229.282124714278</v>
      </c>
      <c r="G8" s="17"/>
    </row>
    <row r="9" hidden="0" outlineLevel="0" collapsed="0">
      <c r="A9" s="0" t="s">
        <v>295</v>
      </c>
      <c r="B9" s="17"/>
      <c r="C9" s="17"/>
      <c r="D9" s="17"/>
      <c r="E9" s="17"/>
      <c r="F9" s="17">
        <f>F5*(1+Assumptions!F17)/(Assumptions!F16-Assumptions!F17)</f>
        <v>301051.87678047403</v>
      </c>
      <c r="G9" s="17"/>
    </row>
    <row r="10" hidden="0" outlineLevel="0" collapsed="0">
      <c r="A10" s="0" t="s">
        <v>296</v>
      </c>
      <c r="B10" s="17"/>
      <c r="C10" s="17"/>
      <c r="D10" s="17"/>
      <c r="E10" s="17"/>
      <c r="F10" s="17">
        <f>F9*F7</f>
        <v>209700.2835566427</v>
      </c>
      <c r="G10" s="17"/>
    </row>
    <row r="11" hidden="0" outlineLevel="0" collapsed="0">
      <c r="A11" s="0" t="s">
        <v>297</v>
      </c>
      <c r="B11" s="17"/>
      <c r="C11" s="17"/>
      <c r="D11" s="17"/>
      <c r="E11" s="17"/>
      <c r="F11" s="17"/>
      <c r="G11" s="17">
        <f>SUM(B8:F8)+F10</f>
        <v>262823.0064529643</v>
      </c>
    </row>
    <row r="12" hidden="0" outlineLevel="0" collapsed="0">
      <c r="A12" s="0" t="s">
        <v>298</v>
      </c>
      <c r="B12" s="17"/>
      <c r="C12" s="17"/>
      <c r="D12" s="17"/>
      <c r="E12" s="17"/>
      <c r="F12" s="17"/>
      <c r="G12" s="17">
        <f>Historical!B18</f>
        <v>10270</v>
      </c>
    </row>
    <row r="13" hidden="0" outlineLevel="0" collapsed="0">
      <c r="A13" s="0" t="s">
        <v>299</v>
      </c>
      <c r="B13" s="17"/>
      <c r="C13" s="17"/>
      <c r="D13" s="17"/>
      <c r="E13" s="17"/>
      <c r="F13" s="17"/>
      <c r="G13" s="17">
        <f>Historical!B19</f>
        <v>43997</v>
      </c>
    </row>
    <row r="14" hidden="0" outlineLevel="0" collapsed="0">
      <c r="A14" s="0" t="s">
        <v>300</v>
      </c>
      <c r="B14" s="17"/>
      <c r="C14" s="17"/>
      <c r="D14" s="17"/>
      <c r="E14" s="17"/>
      <c r="F14" s="17"/>
      <c r="G14" s="17">
        <f>G11+G12-G13</f>
        <v>229096.00645296433</v>
      </c>
    </row>
    <row r="15" hidden="0" outlineLevel="0" collapsed="0">
      <c r="A15" s="0" t="s">
        <v>301</v>
      </c>
      <c r="B15" s="17"/>
      <c r="C15" s="17"/>
      <c r="D15" s="17"/>
      <c r="E15" s="17"/>
      <c r="F15" s="17"/>
      <c r="G15" s="17">
        <f>Historical!B20</f>
        <v>4300.723</v>
      </c>
    </row>
    <row r="17" hidden="0" outlineLevel="0" collapsed="0">
      <c r="A17" s="11" t="s">
        <v>302</v>
      </c>
      <c r="B17" s="11"/>
      <c r="C17" s="11"/>
      <c r="D17" s="11"/>
      <c r="E17" s="11"/>
      <c r="F17" s="11"/>
      <c r="G17" s="11"/>
    </row>
    <row r="18" hidden="0" outlineLevel="0" collapsed="0">
      <c r="A18" s="0" t="s">
        <v>15</v>
      </c>
      <c r="G18" s="24">
        <f>G14/G15</f>
        <v>53.269184379687864</v>
      </c>
    </row>
    <row r="19" hidden="0" outlineLevel="0" collapsed="0">
      <c r="A19" s="0" t="s">
        <v>11</v>
      </c>
      <c r="G19" s="24">
        <v>82.45</v>
      </c>
    </row>
    <row r="20" hidden="0" outlineLevel="0" collapsed="0">
      <c r="A20" s="0" t="s">
        <v>16</v>
      </c>
      <c r="G20" s="25">
        <f>G18/G19-1</f>
        <v>-0.3539213537939616</v>
      </c>
    </row>
    <row r="21" hidden="0" outlineLevel="0" collapsed="0">
      <c r="A21" s="0" t="s">
        <v>12</v>
      </c>
      <c r="G21" s="0" t="s">
        <v>13</v>
      </c>
    </row>
  </sheetData>
  <mergeCells count="2">
    <mergeCell ref="A1:H1"/>
    <mergeCell ref="A2:H2"/>
  </mergeCells>
  <printOptions/>
  <pageMargins left="0.7" right="0.7" top="0.75" bottom="0.75" header="0.511811023622047" footer="0.511811023622047"/>
  <pageSetup paperSize="1" scale="100" fitToWidth="1" fitToHeight="1" pageOrder="downThenOver" orientation="portrait" copies="1"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H14"/>
  <sheetViews>
    <sheetView showGridLines="0" topLeftCell="A1" zoomScaleNormal="100" zoomScalePageLayoutView="100" workbookViewId="0">
      <selection activeCell="A1" sqref="A1"/>
    </sheetView>
  </sheetViews>
  <sheetFormatPr defaultColWidth="8.6796875" defaultRowHeight="15"/>
  <cols>
    <col min="1" max="1" width="20" customWidth="1"/>
    <col min="2" max="7" width="17" customWidth="1"/>
    <col min="8" max="8" width="15" customWidth="1"/>
  </cols>
  <sheetData>
    <row r="1" ht="28" hidden="0" outlineLevel="0" collapsed="0">
      <c r="A1" s="14" t="s">
        <v>303</v>
      </c>
      <c r="B1" s="14"/>
      <c r="C1" s="14"/>
      <c r="D1" s="14"/>
      <c r="E1" s="14"/>
      <c r="F1" s="14"/>
      <c r="G1" s="14"/>
      <c r="H1" s="14"/>
    </row>
    <row r="2" ht="22" hidden="0" outlineLevel="0" collapsed="0">
      <c r="A2" s="15" t="s">
        <v>304</v>
      </c>
      <c r="B2" s="15"/>
      <c r="C2" s="15"/>
      <c r="D2" s="15"/>
      <c r="E2" s="15"/>
      <c r="F2" s="15"/>
      <c r="G2" s="15"/>
      <c r="H2" s="15"/>
    </row>
    <row r="4" hidden="0" outlineLevel="0" collapsed="0">
      <c r="A4" s="26" t="s">
        <v>305</v>
      </c>
      <c r="B4" s="26">
        <v>0.015</v>
      </c>
      <c r="C4" s="26">
        <v>0.02</v>
      </c>
      <c r="D4" s="26">
        <v>0.025</v>
      </c>
      <c r="E4" s="26">
        <v>0.03</v>
      </c>
      <c r="F4" s="26">
        <v>0.035</v>
      </c>
    </row>
    <row r="5" hidden="0" outlineLevel="0" collapsed="0">
      <c r="A5" s="25">
        <v>0.065</v>
      </c>
      <c r="B5" s="24">
        <f>(SUM(Valuation!B8:F8)+Forecast!G17*(1+B$4)/($A5-B$4)*Valuation!F7+Valuation!G12-Valuation!G13)/Valuation!G15</f>
        <v>52.79348379982191</v>
      </c>
      <c r="C5" s="24">
        <f>(SUM(Valuation!B8:F8)+Forecast!G17*(1+C$4)/($A5-C$4)*Valuation!F7+Valuation!G12-Valuation!G13)/Valuation!G15</f>
        <v>58.422607328235735</v>
      </c>
      <c r="D5" s="24">
        <f>(SUM(Valuation!B8:F8)+Forecast!G17*(1+D$4)/($A5-D$4)*Valuation!F7+Valuation!G12-Valuation!G13)/Valuation!G15</f>
        <v>65.45901173875299</v>
      </c>
      <c r="E5" s="24">
        <f>(SUM(Valuation!B8:F8)+Forecast!G17*(1+E$4)/($A5-E$4)*Valuation!F7+Valuation!G12-Valuation!G13)/Valuation!G15</f>
        <v>74.50581740941806</v>
      </c>
      <c r="F5" s="24">
        <f>(SUM(Valuation!B8:F8)+Forecast!G17*(1+F$4)/($A5-F$4)*Valuation!F7+Valuation!G12-Valuation!G13)/Valuation!G15</f>
        <v>86.56822497030481</v>
      </c>
    </row>
    <row r="6" hidden="0" outlineLevel="0" collapsed="0">
      <c r="A6" s="25">
        <v>0.07</v>
      </c>
      <c r="B6" s="24">
        <f>(SUM(Valuation!B8:F8)+Forecast!G17*(1+B$4)/($A6-B$4)*Valuation!F7+Valuation!G12-Valuation!G13)/Valuation!G15</f>
        <v>48.40406481287694</v>
      </c>
      <c r="C6" s="24">
        <f>(SUM(Valuation!B8:F8)+Forecast!G17*(1+C$4)/($A6-C$4)*Valuation!F7+Valuation!G12-Valuation!G13)/Valuation!G15</f>
        <v>53.0313340897549</v>
      </c>
      <c r="D6" s="24">
        <f>(SUM(Valuation!B8:F8)+Forecast!G17*(1+D$4)/($A6-D$4)*Valuation!F7+Valuation!G12-Valuation!G13)/Valuation!G15</f>
        <v>58.686885428161254</v>
      </c>
      <c r="E6" s="24">
        <f>(SUM(Valuation!B8:F8)+Forecast!G17*(1+E$4)/($A6-E$4)*Valuation!F7+Valuation!G12-Valuation!G13)/Valuation!G15</f>
        <v>65.75632460116921</v>
      </c>
      <c r="F6" s="24">
        <f>(SUM(Valuation!B8:F8)+Forecast!G17*(1+F$4)/($A6-F$4)*Valuation!F7+Valuation!G12-Valuation!G13)/Valuation!G15</f>
        <v>74.84560353789374</v>
      </c>
    </row>
    <row r="7" hidden="0" outlineLevel="0" collapsed="0">
      <c r="A7" s="25">
        <v>0.075</v>
      </c>
      <c r="B7" s="24">
        <f>(SUM(Valuation!B8:F8)+Forecast!G17*(1+B$4)/($A7-B$4)*Valuation!F7+Valuation!G12-Valuation!G13)/Valuation!G15</f>
        <v>44.746215657089486</v>
      </c>
      <c r="C7" s="24">
        <f>(SUM(Valuation!B8:F8)+Forecast!G17*(1+C$4)/($A7-C$4)*Valuation!F7+Valuation!G12-Valuation!G13)/Valuation!G15</f>
        <v>48.62029234917966</v>
      </c>
      <c r="D7" s="24">
        <f>(SUM(Valuation!B8:F8)+Forecast!G17*(1+D$4)/($A7-D$4)*Valuation!F7+Valuation!G12-Valuation!G13)/Valuation!G15</f>
        <v>53.269184379687864</v>
      </c>
      <c r="E7" s="24">
        <f>(SUM(Valuation!B8:F8)+Forecast!G17*(1+E$4)/($A7-E$4)*Valuation!F7+Valuation!G12-Valuation!G13)/Valuation!G15</f>
        <v>58.951163528086795</v>
      </c>
      <c r="F7" s="24">
        <f>(SUM(Valuation!B8:F8)+Forecast!G17*(1+F$4)/($A7-F$4)*Valuation!F7+Valuation!G12-Valuation!G13)/Valuation!G15</f>
        <v>66.05363746358545</v>
      </c>
    </row>
    <row r="8" hidden="0" outlineLevel="0" collapsed="0">
      <c r="A8" s="25">
        <v>0.08</v>
      </c>
      <c r="B8" s="24">
        <f>(SUM(Valuation!B8:F8)+Forecast!G17*(1+B$4)/($A8-B$4)*Valuation!F7+Valuation!G12-Valuation!G13)/Valuation!G15</f>
        <v>41.65111252526932</v>
      </c>
      <c r="C8" s="24">
        <f>(SUM(Valuation!B8:F8)+Forecast!G17*(1+C$4)/($A8-C$4)*Valuation!F7+Valuation!G12-Valuation!G13)/Valuation!G15</f>
        <v>44.94442423203363</v>
      </c>
      <c r="D8" s="24">
        <f>(SUM(Valuation!B8:F8)+Forecast!G17*(1+D$4)/($A8-D$4)*Valuation!F7+Valuation!G12-Valuation!G13)/Valuation!G15</f>
        <v>48.83651988548236</v>
      </c>
      <c r="E8" s="24">
        <f>(SUM(Valuation!B8:F8)+Forecast!G17*(1+E$4)/($A8-E$4)*Valuation!F7+Valuation!G12-Valuation!G13)/Valuation!G15</f>
        <v>53.50703466962084</v>
      </c>
      <c r="F8" s="24">
        <f>(SUM(Valuation!B8:F8)+Forecast!G17*(1+F$4)/($A8-F$4)*Valuation!F7+Valuation!G12-Valuation!G13)/Valuation!G15</f>
        <v>59.215441628012314</v>
      </c>
    </row>
    <row r="9" hidden="0" outlineLevel="0" collapsed="0">
      <c r="A9" s="25">
        <v>0.085</v>
      </c>
      <c r="B9" s="24">
        <f>(SUM(Valuation!B8:F8)+Forecast!G17*(1+B$4)/($A9-B$4)*Valuation!F7+Valuation!G12-Valuation!G13)/Valuation!G15</f>
        <v>38.99816698370917</v>
      </c>
      <c r="C9" s="24">
        <f>(SUM(Valuation!B8:F8)+Forecast!G17*(1+C$4)/($A9-C$4)*Valuation!F7+Valuation!G12-Valuation!G13)/Valuation!G15</f>
        <v>41.83407428675623</v>
      </c>
      <c r="D9" s="24">
        <f>(SUM(Valuation!B8:F8)+Forecast!G17*(1+D$4)/($A9-D$4)*Valuation!F7+Valuation!G12-Valuation!G13)/Valuation!G15</f>
        <v>45.14263280697778</v>
      </c>
      <c r="E9" s="24">
        <f>(SUM(Valuation!B8:F8)+Forecast!G17*(1+E$4)/($A9-E$4)*Valuation!F7+Valuation!G12-Valuation!G13)/Valuation!G15</f>
        <v>49.05274742178508</v>
      </c>
      <c r="F9" s="24">
        <f>(SUM(Valuation!B8:F8)+Forecast!G17*(1+F$4)/($A9-F$4)*Valuation!F7+Valuation!G12-Valuation!G13)/Valuation!G15</f>
        <v>53.744884959553815</v>
      </c>
    </row>
    <row r="11" ht="23.85" hidden="0" outlineLevel="0" collapsed="0">
      <c r="B11" s="11" t="s">
        <v>306</v>
      </c>
      <c r="C11" s="11"/>
      <c r="D11" s="11"/>
      <c r="E11" s="11"/>
      <c r="F11" s="11"/>
      <c r="G11" s="11"/>
    </row>
    <row r="12" hidden="0" outlineLevel="0" collapsed="0">
      <c r="B12" s="0" t="s">
        <v>307</v>
      </c>
      <c r="C12" s="25">
        <f>Assumptions!F16</f>
        <v>0.075</v>
      </c>
    </row>
    <row r="13" hidden="0" outlineLevel="0" collapsed="0">
      <c r="B13" s="0" t="s">
        <v>308</v>
      </c>
      <c r="C13" s="25">
        <f>Assumptions!F17</f>
        <v>0.025</v>
      </c>
    </row>
    <row r="14" hidden="0" outlineLevel="0" collapsed="0">
      <c r="B14" s="0" t="s">
        <v>309</v>
      </c>
      <c r="C14" s="24">
        <f>Valuation!G18</f>
        <v>53.269184379687864</v>
      </c>
    </row>
  </sheetData>
  <mergeCells count="2">
    <mergeCell ref="A1:H1"/>
    <mergeCell ref="A2:H2"/>
  </mergeCells>
  <printOptions/>
  <pageMargins left="0.7" right="0.7" top="0.75" bottom="0.75" header="0.511811023622047" footer="0.511811023622047"/>
  <pageSetup paperSize="1" scale="100" fitToWidth="1" fitToHeight="1" pageOrder="downThenOver" orientation="portrait" copies="1"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H20"/>
  <sheetViews>
    <sheetView showGridLines="0" topLeftCell="A1" zoomScaleNormal="100" zoomScalePageLayoutView="100" workbookViewId="0">
      <selection activeCell="A1" sqref="A1"/>
    </sheetView>
  </sheetViews>
  <sheetFormatPr defaultColWidth="8.6796875" defaultRowHeight="15"/>
  <cols>
    <col min="1" max="1" width="38" customWidth="1"/>
    <col min="2" max="3" width="18" customWidth="1"/>
    <col min="4" max="4" width="16" customWidth="1"/>
    <col min="5" max="6" width="14" customWidth="1"/>
    <col min="7" max="7" width="58" customWidth="1"/>
    <col min="8" max="8" width="15" customWidth="1"/>
  </cols>
  <sheetData>
    <row r="1" ht="28" hidden="0" outlineLevel="0" collapsed="0">
      <c r="A1" s="1" t="s">
        <v>310</v>
      </c>
      <c r="B1" s="1"/>
      <c r="C1" s="1"/>
      <c r="D1" s="1"/>
      <c r="E1" s="1"/>
      <c r="F1" s="1"/>
      <c r="G1" s="1"/>
      <c r="H1" s="1"/>
    </row>
    <row r="2" ht="22" hidden="0" outlineLevel="0" collapsed="0">
      <c r="A2" s="2" t="s">
        <v>311</v>
      </c>
      <c r="B2" s="2"/>
      <c r="C2" s="2"/>
      <c r="D2" s="2"/>
      <c r="E2" s="2"/>
      <c r="F2" s="2"/>
      <c r="G2" s="2"/>
      <c r="H2" s="2"/>
    </row>
    <row r="3" hidden="0" outlineLevel="0" collapsed="0">
      <c r="A3" s="3"/>
      <c r="B3" s="3"/>
      <c r="C3" s="3"/>
      <c r="D3" s="3"/>
      <c r="E3" s="3"/>
      <c r="F3" s="3"/>
      <c r="G3" s="3"/>
    </row>
    <row r="4" hidden="0" outlineLevel="0" collapsed="0">
      <c r="A4" s="11" t="s">
        <v>312</v>
      </c>
      <c r="B4" s="11" t="s">
        <v>313</v>
      </c>
      <c r="C4" s="11" t="s">
        <v>314</v>
      </c>
      <c r="D4" s="11" t="s">
        <v>315</v>
      </c>
      <c r="E4" s="11" t="s">
        <v>316</v>
      </c>
      <c r="F4" s="11" t="s">
        <v>230</v>
      </c>
      <c r="G4" s="11" t="s">
        <v>317</v>
      </c>
    </row>
    <row r="5" hidden="0" outlineLevel="0" collapsed="0">
      <c r="A5" s="3" t="s">
        <v>318</v>
      </c>
      <c r="B5" s="12" t="str">
        <f>Sources!I71</f>
        <v>OK</v>
      </c>
      <c r="C5" s="12" t="s">
        <v>235</v>
      </c>
      <c r="D5" s="12"/>
      <c r="E5" s="12"/>
      <c r="F5" s="12" t="str">
        <f>IF(B5=C5,"OK","REVIEW")</f>
        <v>OK</v>
      </c>
      <c r="G5" s="3" t="s">
        <v>319</v>
      </c>
    </row>
    <row r="6" hidden="0" outlineLevel="0" collapsed="0">
      <c r="A6" s="3" t="s">
        <v>320</v>
      </c>
      <c r="B6" s="12">
        <f>Assumptions!B3</f>
        <v>1</v>
      </c>
      <c r="C6" s="12">
        <v>1</v>
      </c>
      <c r="D6" s="12">
        <f>IF(AND(B6&gt;=1,B6&lt;=3),0,1)</f>
        <v>0</v>
      </c>
      <c r="E6" s="12">
        <v>0</v>
      </c>
      <c r="F6" s="12" t="str">
        <f>IF(D6=E6,"OK","REVIEW")</f>
        <v>OK</v>
      </c>
      <c r="G6" s="3" t="s">
        <v>321</v>
      </c>
    </row>
    <row r="7" hidden="0" outlineLevel="0" collapsed="0">
      <c r="A7" s="3" t="s">
        <v>322</v>
      </c>
      <c r="B7" s="12">
        <f>Forecast!C10</f>
        <v>50577.755</v>
      </c>
      <c r="C7" s="12">
        <v>0</v>
      </c>
      <c r="D7" s="12">
        <f>IF(B7&gt;0,0,1)</f>
        <v>0</v>
      </c>
      <c r="E7" s="12">
        <v>0</v>
      </c>
      <c r="F7" s="12" t="str">
        <f>IF(D7=E7,"OK","REVIEW")</f>
        <v>OK</v>
      </c>
      <c r="G7" s="3" t="s">
        <v>323</v>
      </c>
    </row>
    <row r="8" hidden="0" outlineLevel="0" collapsed="0">
      <c r="A8" s="3" t="s">
        <v>324</v>
      </c>
      <c r="B8" s="12">
        <f>COUNT(Forecast!C11:G11)</f>
        <v>5</v>
      </c>
      <c r="C8" s="12">
        <v>5</v>
      </c>
      <c r="D8" s="12">
        <f>ABS(B8-C8)</f>
        <v>0</v>
      </c>
      <c r="E8" s="12">
        <v>0</v>
      </c>
      <c r="F8" s="12" t="str">
        <f>IF(D8=E8,"OK","REVIEW")</f>
        <v>OK</v>
      </c>
      <c r="G8" s="3" t="s">
        <v>325</v>
      </c>
    </row>
    <row r="9" hidden="0" outlineLevel="0" collapsed="0">
      <c r="A9" s="3" t="s">
        <v>326</v>
      </c>
      <c r="B9" s="12">
        <f>COUNT(Forecast!C17:G17)</f>
        <v>5</v>
      </c>
      <c r="C9" s="12">
        <v>5</v>
      </c>
      <c r="D9" s="12">
        <f>ABS(B9-C9)</f>
        <v>0</v>
      </c>
      <c r="E9" s="12">
        <v>0</v>
      </c>
      <c r="F9" s="12" t="str">
        <f>IF(D9=E9,"OK","REVIEW")</f>
        <v>OK</v>
      </c>
      <c r="G9" s="3" t="s">
        <v>327</v>
      </c>
    </row>
    <row r="10" ht="23.85" hidden="0" outlineLevel="0" collapsed="0">
      <c r="A10" s="3" t="s">
        <v>328</v>
      </c>
      <c r="B10" s="12">
        <f>COUNT(Historical!F10)</f>
        <v>1</v>
      </c>
      <c r="C10" s="12">
        <v>1</v>
      </c>
      <c r="D10" s="12">
        <f>ABS(B10-C10)</f>
        <v>0</v>
      </c>
      <c r="E10" s="12">
        <v>0.1</v>
      </c>
      <c r="F10" s="12" t="str">
        <f>IF(D10&lt;=E10,"OK","REVIEW")</f>
        <v>OK</v>
      </c>
      <c r="G10" s="3" t="s">
        <v>329</v>
      </c>
    </row>
    <row r="11" hidden="0" outlineLevel="0" collapsed="0">
      <c r="A11" s="3" t="s">
        <v>330</v>
      </c>
      <c r="B11" s="12">
        <f>Valuation!G14</f>
        <v>229096.00645296433</v>
      </c>
      <c r="C11" s="12">
        <f>Valuation!G11+Valuation!G12-Valuation!G13</f>
        <v>229096.00645296433</v>
      </c>
      <c r="D11" s="12">
        <f>ABS(B11-C11)</f>
        <v>0</v>
      </c>
      <c r="E11" s="12">
        <v>0.1</v>
      </c>
      <c r="F11" s="12" t="str">
        <f>IF(D11&lt;=E11,"OK","REVIEW")</f>
        <v>OK</v>
      </c>
      <c r="G11" s="3" t="s">
        <v>331</v>
      </c>
    </row>
    <row r="12" hidden="0" outlineLevel="0" collapsed="0">
      <c r="A12" s="3" t="s">
        <v>332</v>
      </c>
      <c r="B12" s="12">
        <f>Valuation!G18</f>
        <v>53.269184379687864</v>
      </c>
      <c r="C12" s="12">
        <f>Valuation!G14/Valuation!G15</f>
        <v>53.269184379687864</v>
      </c>
      <c r="D12" s="12">
        <f>ABS(B12-C12)</f>
        <v>0</v>
      </c>
      <c r="E12" s="12">
        <v>0.001</v>
      </c>
      <c r="F12" s="12" t="str">
        <f>IF(D12&lt;=E12,"OK","REVIEW")</f>
        <v>OK</v>
      </c>
      <c r="G12" s="3" t="s">
        <v>333</v>
      </c>
    </row>
    <row r="13" hidden="0" outlineLevel="0" collapsed="0">
      <c r="A13" s="3" t="s">
        <v>334</v>
      </c>
      <c r="B13" s="12">
        <f>Valuation!G19</f>
        <v>82.45</v>
      </c>
      <c r="C13" s="12">
        <v>0</v>
      </c>
      <c r="D13" s="12">
        <f>IF(B13&gt;0,0,1)</f>
        <v>0</v>
      </c>
      <c r="E13" s="12">
        <v>0</v>
      </c>
      <c r="F13" s="12" t="str">
        <f>IF(D13=E13,"OK","REVIEW")</f>
        <v>OK</v>
      </c>
      <c r="G13" s="3" t="s">
        <v>335</v>
      </c>
    </row>
    <row r="14" hidden="0" outlineLevel="0" collapsed="0">
      <c r="A14" s="3"/>
      <c r="B14" s="12"/>
      <c r="C14" s="12"/>
      <c r="D14" s="12"/>
      <c r="E14" s="12"/>
      <c r="F14" s="12"/>
      <c r="G14" s="3"/>
    </row>
    <row r="15" hidden="0" outlineLevel="0" collapsed="0">
      <c r="A15" s="13" t="s">
        <v>336</v>
      </c>
      <c r="B15" s="27"/>
      <c r="C15" s="27"/>
      <c r="D15" s="27"/>
      <c r="E15" s="27"/>
      <c r="F15" s="27" t="str">
        <f>IF(COUNTIF(F5:F13,"OK")=9,"OK","REVIEW")</f>
        <v>OK</v>
      </c>
      <c r="G15" s="13"/>
    </row>
    <row r="16" hidden="0" outlineLevel="0" collapsed="0">
      <c r="A16" s="3"/>
      <c r="B16" s="3"/>
      <c r="C16" s="3"/>
      <c r="D16" s="3"/>
      <c r="E16" s="3"/>
      <c r="F16" s="3"/>
      <c r="G16" s="3"/>
    </row>
    <row r="17" hidden="0" outlineLevel="0" collapsed="0">
      <c r="A17" s="3"/>
      <c r="B17" s="3"/>
      <c r="C17" s="3"/>
      <c r="D17" s="3"/>
      <c r="E17" s="3"/>
      <c r="F17" s="3"/>
      <c r="G17" s="3"/>
    </row>
    <row r="18" hidden="0" outlineLevel="0" collapsed="0">
      <c r="A18" s="3"/>
      <c r="B18" s="3"/>
      <c r="C18" s="3"/>
      <c r="D18" s="3"/>
      <c r="E18" s="3"/>
      <c r="F18" s="3"/>
      <c r="G18" s="3"/>
    </row>
    <row r="19" hidden="0" outlineLevel="0" collapsed="0">
      <c r="A19" s="3"/>
      <c r="B19" s="3"/>
      <c r="C19" s="3"/>
      <c r="D19" s="3"/>
      <c r="E19" s="3"/>
      <c r="F19" s="3"/>
      <c r="G19" s="3"/>
    </row>
    <row r="20" hidden="0" outlineLevel="0" collapsed="0">
      <c r="A20" s="3"/>
      <c r="B20" s="3"/>
      <c r="C20" s="3"/>
      <c r="D20" s="3"/>
      <c r="E20" s="3"/>
      <c r="F20" s="3"/>
      <c r="G20" s="3"/>
    </row>
  </sheetData>
  <mergeCells count="2">
    <mergeCell ref="A1:H1"/>
    <mergeCell ref="A2:H2"/>
  </mergeCells>
  <conditionalFormatting sqref="F5:F15">
    <cfRule type="containsText" priority="2" operator="containsText" text="OK" dxfId="4">
      <formula>NOT(ISERROR(SEARCH("OK",F5)))</formula>
    </cfRule>
    <cfRule type="containsText" priority="3" operator="containsText" text="REVIEW" dxfId="5">
      <formula>NOT(ISERROR(SEARCH("REVIEW",F5)))</formula>
    </cfRule>
  </conditionalFormatting>
  <printOptions/>
  <pageMargins left="0.7" right="0.7" top="0.75" bottom="0.75" header="0.511811023622047" footer="0.511811023622047"/>
  <pageSetup paperSize="1" scale="100" fitToWidth="1" fitToHeight="1" pageOrder="downThenOver" orientation="portrait" copies="1"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H40"/>
  <sheetViews>
    <sheetView showGridLines="0" topLeftCell="A1" zoomScaleNormal="100" zoomScalePageLayoutView="100" workbookViewId="0">
      <selection activeCell="A1" sqref="A1"/>
    </sheetView>
  </sheetViews>
  <sheetFormatPr defaultColWidth="8.6796875" defaultRowHeight="15"/>
  <cols>
    <col min="1" max="1" width="38" customWidth="1"/>
    <col min="2" max="4" width="14" customWidth="1"/>
    <col min="5" max="5" width="16" customWidth="1"/>
    <col min="6" max="6" width="49" customWidth="1"/>
    <col min="7" max="7" width="17" customWidth="1"/>
    <col min="8" max="8" width="15" customWidth="1"/>
  </cols>
  <sheetData>
    <row r="1" ht="28" hidden="0" outlineLevel="0" collapsed="0">
      <c r="A1" s="1" t="s">
        <v>337</v>
      </c>
      <c r="B1" s="1"/>
      <c r="C1" s="1"/>
      <c r="D1" s="1"/>
      <c r="E1" s="1"/>
      <c r="F1" s="1"/>
      <c r="G1" s="1"/>
      <c r="H1" s="1"/>
    </row>
    <row r="2" ht="22" hidden="0" outlineLevel="0" collapsed="0">
      <c r="A2" s="2" t="s">
        <v>338</v>
      </c>
      <c r="B2" s="2"/>
      <c r="C2" s="2"/>
      <c r="D2" s="2"/>
      <c r="E2" s="2"/>
      <c r="F2" s="2"/>
      <c r="G2" s="2"/>
      <c r="H2" s="2"/>
    </row>
    <row r="3" hidden="0" outlineLevel="0" collapsed="0">
      <c r="A3" s="3"/>
      <c r="B3" s="3"/>
      <c r="C3" s="3"/>
      <c r="D3" s="3"/>
      <c r="E3" s="3"/>
      <c r="F3" s="3"/>
      <c r="G3" s="3"/>
    </row>
    <row r="4" hidden="0" outlineLevel="0" collapsed="0">
      <c r="A4" s="11" t="s">
        <v>36</v>
      </c>
      <c r="B4" s="11" t="s">
        <v>89</v>
      </c>
      <c r="C4" s="11" t="s">
        <v>93</v>
      </c>
      <c r="D4" s="11" t="s">
        <v>39</v>
      </c>
      <c r="E4" s="11" t="s">
        <v>339</v>
      </c>
      <c r="F4" s="11" t="s">
        <v>230</v>
      </c>
      <c r="G4" s="11" t="s">
        <v>340</v>
      </c>
    </row>
    <row r="5" ht="23.85" hidden="0" outlineLevel="0" collapsed="0">
      <c r="A5" s="3" t="s">
        <v>185</v>
      </c>
      <c r="B5" s="28">
        <v>33.7</v>
      </c>
      <c r="C5" s="28">
        <v>33.8</v>
      </c>
      <c r="D5" s="3" t="s">
        <v>186</v>
      </c>
      <c r="E5" s="3" t="s">
        <v>341</v>
      </c>
      <c r="F5" s="3" t="s">
        <v>342</v>
      </c>
      <c r="G5" s="3" t="s">
        <v>343</v>
      </c>
    </row>
    <row r="6" hidden="0" outlineLevel="0" collapsed="0">
      <c r="A6" s="3" t="s">
        <v>193</v>
      </c>
      <c r="B6" s="28">
        <v>47061</v>
      </c>
      <c r="C6" s="28">
        <v>47941</v>
      </c>
      <c r="D6" s="3" t="s">
        <v>194</v>
      </c>
      <c r="E6" s="3" t="s">
        <v>344</v>
      </c>
      <c r="F6" s="3" t="s">
        <v>342</v>
      </c>
      <c r="G6" s="3" t="s">
        <v>345</v>
      </c>
    </row>
    <row r="7" ht="46.25" hidden="0" outlineLevel="0" collapsed="0">
      <c r="A7" s="3" t="s">
        <v>198</v>
      </c>
      <c r="B7" s="29"/>
      <c r="C7" s="29">
        <v>0.01</v>
      </c>
      <c r="D7" s="3" t="s">
        <v>199</v>
      </c>
      <c r="E7" s="3" t="s">
        <v>346</v>
      </c>
      <c r="F7" s="3" t="s">
        <v>342</v>
      </c>
      <c r="G7" s="3" t="s">
        <v>347</v>
      </c>
    </row>
    <row r="8" ht="46.25" hidden="0" outlineLevel="0" collapsed="0">
      <c r="A8" s="3" t="s">
        <v>202</v>
      </c>
      <c r="B8" s="29"/>
      <c r="C8" s="29">
        <v>0.04</v>
      </c>
      <c r="D8" s="3" t="s">
        <v>199</v>
      </c>
      <c r="E8" s="3" t="s">
        <v>346</v>
      </c>
      <c r="F8" s="3" t="s">
        <v>342</v>
      </c>
      <c r="G8" s="3" t="s">
        <v>347</v>
      </c>
    </row>
    <row r="9" ht="46.25" hidden="0" outlineLevel="0" collapsed="0">
      <c r="A9" s="3" t="s">
        <v>204</v>
      </c>
      <c r="B9" s="29"/>
      <c r="C9" s="29">
        <v>-0.02</v>
      </c>
      <c r="D9" s="3" t="s">
        <v>199</v>
      </c>
      <c r="E9" s="3" t="s">
        <v>346</v>
      </c>
      <c r="F9" s="3" t="s">
        <v>342</v>
      </c>
      <c r="G9" s="3" t="s">
        <v>347</v>
      </c>
    </row>
    <row r="10" ht="46.25" hidden="0" outlineLevel="0" collapsed="0">
      <c r="A10" s="3" t="s">
        <v>206</v>
      </c>
      <c r="B10" s="29"/>
      <c r="C10" s="29">
        <v>-0.01</v>
      </c>
      <c r="D10" s="3" t="s">
        <v>199</v>
      </c>
      <c r="E10" s="3" t="s">
        <v>346</v>
      </c>
      <c r="F10" s="3" t="s">
        <v>342</v>
      </c>
      <c r="G10" s="3" t="s">
        <v>347</v>
      </c>
    </row>
    <row r="11" ht="46.25" hidden="0" outlineLevel="0" collapsed="0">
      <c r="A11" s="3" t="s">
        <v>208</v>
      </c>
      <c r="B11" s="29"/>
      <c r="C11" s="29">
        <v>0.02</v>
      </c>
      <c r="D11" s="3" t="s">
        <v>199</v>
      </c>
      <c r="E11" s="3" t="s">
        <v>346</v>
      </c>
      <c r="F11" s="3" t="s">
        <v>342</v>
      </c>
      <c r="G11" s="3" t="s">
        <v>348</v>
      </c>
    </row>
    <row r="12" hidden="0" outlineLevel="0" collapsed="0">
      <c r="A12" s="3"/>
      <c r="B12" s="3"/>
      <c r="C12" s="3"/>
      <c r="D12" s="3"/>
      <c r="E12" s="3"/>
      <c r="F12" s="3"/>
      <c r="G12" s="3"/>
    </row>
    <row r="13" hidden="0" outlineLevel="0" collapsed="0">
      <c r="A13" s="3"/>
      <c r="B13" s="3"/>
      <c r="C13" s="3"/>
      <c r="D13" s="3"/>
      <c r="E13" s="3"/>
      <c r="F13" s="3"/>
      <c r="G13" s="3"/>
    </row>
    <row r="14" hidden="0" outlineLevel="0" collapsed="0">
      <c r="A14" s="3"/>
      <c r="B14" s="3"/>
      <c r="C14" s="3"/>
      <c r="D14" s="3"/>
      <c r="E14" s="3"/>
      <c r="F14" s="3"/>
      <c r="G14" s="3"/>
    </row>
    <row r="15" hidden="0" outlineLevel="0" collapsed="0">
      <c r="A15" s="3"/>
      <c r="B15" s="3"/>
      <c r="C15" s="3"/>
      <c r="D15" s="3"/>
      <c r="E15" s="3"/>
      <c r="F15" s="3"/>
      <c r="G15" s="3"/>
    </row>
    <row r="16" hidden="0" outlineLevel="0" collapsed="0">
      <c r="A16" s="3"/>
      <c r="B16" s="3"/>
      <c r="C16" s="3"/>
      <c r="D16" s="3"/>
      <c r="E16" s="3"/>
      <c r="F16" s="3"/>
      <c r="G16" s="3"/>
    </row>
    <row r="17" hidden="0" outlineLevel="0" collapsed="0">
      <c r="A17" s="3"/>
      <c r="B17" s="3"/>
      <c r="C17" s="3"/>
      <c r="D17" s="3"/>
      <c r="E17" s="3"/>
      <c r="F17" s="3"/>
      <c r="G17" s="3"/>
    </row>
    <row r="18" hidden="0" outlineLevel="0" collapsed="0">
      <c r="A18" s="3"/>
      <c r="B18" s="3"/>
      <c r="C18" s="3"/>
      <c r="D18" s="3"/>
      <c r="E18" s="3"/>
      <c r="F18" s="3"/>
      <c r="G18" s="3"/>
    </row>
    <row r="19" hidden="0" outlineLevel="0" collapsed="0">
      <c r="A19" s="3"/>
      <c r="B19" s="3"/>
      <c r="C19" s="3"/>
      <c r="D19" s="3"/>
      <c r="E19" s="3"/>
      <c r="F19" s="3"/>
      <c r="G19" s="3"/>
    </row>
    <row r="20" hidden="0" outlineLevel="0" collapsed="0">
      <c r="A20" s="3"/>
      <c r="B20" s="3"/>
      <c r="C20" s="3"/>
      <c r="D20" s="3"/>
      <c r="E20" s="3"/>
      <c r="F20" s="3"/>
      <c r="G20" s="3"/>
    </row>
    <row r="21" hidden="0" outlineLevel="0" collapsed="0">
      <c r="A21" s="3"/>
      <c r="B21" s="3"/>
      <c r="C21" s="3"/>
      <c r="D21" s="3"/>
      <c r="E21" s="3"/>
      <c r="F21" s="3"/>
      <c r="G21" s="3"/>
    </row>
    <row r="22" hidden="0" outlineLevel="0" collapsed="0">
      <c r="A22" s="3"/>
      <c r="B22" s="3"/>
      <c r="C22" s="3"/>
      <c r="D22" s="3"/>
      <c r="E22" s="3"/>
      <c r="F22" s="3"/>
      <c r="G22" s="3"/>
    </row>
    <row r="23" hidden="0" outlineLevel="0" collapsed="0">
      <c r="A23" s="3"/>
      <c r="B23" s="3"/>
      <c r="C23" s="3"/>
      <c r="D23" s="3"/>
      <c r="E23" s="3"/>
      <c r="F23" s="3"/>
      <c r="G23" s="3"/>
    </row>
    <row r="24" hidden="0" outlineLevel="0" collapsed="0">
      <c r="A24" s="3"/>
      <c r="B24" s="3"/>
      <c r="C24" s="3"/>
      <c r="D24" s="3"/>
      <c r="E24" s="3"/>
      <c r="F24" s="3"/>
      <c r="G24" s="3"/>
    </row>
    <row r="25" hidden="0" outlineLevel="0" collapsed="0">
      <c r="A25" s="3"/>
      <c r="B25" s="3"/>
      <c r="C25" s="3"/>
      <c r="D25" s="3"/>
      <c r="E25" s="3"/>
      <c r="F25" s="3"/>
      <c r="G25" s="3"/>
    </row>
    <row r="26" hidden="0" outlineLevel="0" collapsed="0">
      <c r="A26" s="3"/>
      <c r="B26" s="3"/>
      <c r="C26" s="3"/>
      <c r="D26" s="3"/>
      <c r="E26" s="3"/>
      <c r="F26" s="3"/>
      <c r="G26" s="3"/>
    </row>
    <row r="27" hidden="0" outlineLevel="0" collapsed="0">
      <c r="A27" s="3"/>
      <c r="B27" s="3"/>
      <c r="C27" s="3"/>
      <c r="D27" s="3"/>
      <c r="E27" s="3"/>
      <c r="F27" s="3"/>
      <c r="G27" s="3"/>
    </row>
    <row r="28" hidden="0" outlineLevel="0" collapsed="0">
      <c r="A28" s="3"/>
      <c r="B28" s="3"/>
      <c r="C28" s="3"/>
      <c r="D28" s="3"/>
      <c r="E28" s="3"/>
      <c r="F28" s="3"/>
      <c r="G28" s="3"/>
    </row>
    <row r="29" hidden="0" outlineLevel="0" collapsed="0">
      <c r="A29" s="3"/>
      <c r="B29" s="3"/>
      <c r="C29" s="3"/>
      <c r="D29" s="3"/>
      <c r="E29" s="3"/>
      <c r="F29" s="3"/>
      <c r="G29" s="3"/>
    </row>
    <row r="30" hidden="0" outlineLevel="0" collapsed="0">
      <c r="A30" s="3"/>
      <c r="B30" s="3"/>
      <c r="C30" s="3"/>
      <c r="D30" s="3"/>
      <c r="E30" s="3"/>
      <c r="F30" s="3"/>
      <c r="G30" s="3"/>
    </row>
    <row r="31" hidden="0" outlineLevel="0" collapsed="0">
      <c r="A31" s="3"/>
      <c r="B31" s="3"/>
      <c r="C31" s="3"/>
      <c r="D31" s="3"/>
      <c r="E31" s="3"/>
      <c r="F31" s="3"/>
      <c r="G31" s="3"/>
    </row>
    <row r="32" hidden="0" outlineLevel="0" collapsed="0">
      <c r="A32" s="3"/>
      <c r="B32" s="3"/>
      <c r="C32" s="3"/>
      <c r="D32" s="3"/>
      <c r="E32" s="3"/>
      <c r="F32" s="3"/>
      <c r="G32" s="3"/>
    </row>
    <row r="33" hidden="0" outlineLevel="0" collapsed="0">
      <c r="A33" s="3"/>
      <c r="B33" s="3"/>
      <c r="C33" s="3"/>
      <c r="D33" s="3"/>
      <c r="E33" s="3"/>
      <c r="F33" s="3"/>
      <c r="G33" s="3"/>
    </row>
    <row r="34" hidden="0" outlineLevel="0" collapsed="0">
      <c r="A34" s="3"/>
      <c r="B34" s="3"/>
      <c r="C34" s="3"/>
      <c r="D34" s="3"/>
      <c r="E34" s="3"/>
      <c r="F34" s="3"/>
      <c r="G34" s="3"/>
    </row>
    <row r="35" hidden="0" outlineLevel="0" collapsed="0">
      <c r="A35" s="3"/>
      <c r="B35" s="3"/>
      <c r="C35" s="3"/>
      <c r="D35" s="3"/>
      <c r="E35" s="3"/>
      <c r="F35" s="3"/>
      <c r="G35" s="3"/>
    </row>
    <row r="36" hidden="0" outlineLevel="0" collapsed="0">
      <c r="A36" s="3"/>
      <c r="B36" s="3"/>
      <c r="C36" s="3"/>
      <c r="D36" s="3"/>
      <c r="E36" s="3"/>
      <c r="F36" s="3"/>
      <c r="G36" s="3"/>
    </row>
    <row r="37" hidden="0" outlineLevel="0" collapsed="0">
      <c r="A37" s="3"/>
      <c r="B37" s="3"/>
      <c r="C37" s="3"/>
      <c r="D37" s="3"/>
      <c r="E37" s="3"/>
      <c r="F37" s="3"/>
      <c r="G37" s="3"/>
    </row>
    <row r="38" hidden="0" outlineLevel="0" collapsed="0">
      <c r="A38" s="3"/>
      <c r="B38" s="3"/>
      <c r="C38" s="3"/>
      <c r="D38" s="3"/>
      <c r="E38" s="3"/>
      <c r="F38" s="3"/>
      <c r="G38" s="3"/>
    </row>
    <row r="39" hidden="0" outlineLevel="0" collapsed="0">
      <c r="A39" s="3"/>
      <c r="B39" s="3"/>
      <c r="C39" s="3"/>
      <c r="D39" s="3"/>
      <c r="E39" s="3"/>
      <c r="F39" s="3"/>
      <c r="G39" s="3"/>
    </row>
    <row r="40" hidden="0" outlineLevel="0" collapsed="0">
      <c r="A40" s="3"/>
      <c r="B40" s="3"/>
      <c r="C40" s="3"/>
      <c r="D40" s="3"/>
      <c r="E40" s="3"/>
      <c r="F40" s="3"/>
      <c r="G40" s="3"/>
    </row>
  </sheetData>
  <mergeCells count="2">
    <mergeCell ref="A1:H1"/>
    <mergeCell ref="A2:H2"/>
  </mergeCells>
  <printOptions/>
  <pageMargins left="0.7" right="0.7" top="0.75" bottom="0.75" header="0.511811023622047" footer="0.511811023622047"/>
  <pageSetup paperSize="1" scale="100" fitToWidth="1" fitToHeight="1" pageOrder="downThenOver" orientation="portrait" copies="1" horizontalDpi="300" vertic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H10"/>
  <sheetViews>
    <sheetView showGridLines="0" topLeftCell="A1" zoomScaleNormal="100" zoomScalePageLayoutView="100" workbookViewId="0">
      <selection activeCell="A1" sqref="A1"/>
    </sheetView>
  </sheetViews>
  <sheetFormatPr defaultColWidth="8.6796875" defaultRowHeight="15"/>
  <cols>
    <col min="1" max="1" width="34" customWidth="1"/>
    <col min="2" max="2" width="20" customWidth="1"/>
    <col min="3" max="3" width="46" customWidth="1"/>
    <col min="4" max="4" width="39" customWidth="1"/>
    <col min="5" max="5" width="66" customWidth="1"/>
    <col min="6" max="6" width="16" customWidth="1"/>
    <col min="7" max="7" width="28" customWidth="1"/>
    <col min="8" max="8" width="15" customWidth="1"/>
  </cols>
  <sheetData>
    <row r="1" ht="28" hidden="0" outlineLevel="0" collapsed="0">
      <c r="A1" s="1" t="s">
        <v>349</v>
      </c>
      <c r="B1" s="1"/>
      <c r="C1" s="1"/>
      <c r="D1" s="1"/>
      <c r="E1" s="1"/>
      <c r="F1" s="1"/>
      <c r="G1" s="1"/>
      <c r="H1" s="1"/>
    </row>
    <row r="2" ht="22" hidden="0" outlineLevel="0" collapsed="0">
      <c r="A2" s="2" t="s">
        <v>350</v>
      </c>
      <c r="B2" s="2"/>
      <c r="C2" s="2"/>
      <c r="D2" s="2"/>
      <c r="E2" s="2"/>
      <c r="F2" s="2"/>
      <c r="G2" s="2"/>
      <c r="H2" s="2"/>
    </row>
    <row r="3" hidden="0" outlineLevel="0" collapsed="0">
      <c r="A3" s="3"/>
      <c r="B3" s="3"/>
      <c r="C3" s="3"/>
      <c r="D3" s="3"/>
      <c r="E3" s="3"/>
      <c r="F3" s="3"/>
      <c r="G3" s="3"/>
    </row>
    <row r="4" hidden="0" outlineLevel="0" collapsed="0">
      <c r="A4" s="11" t="s">
        <v>351</v>
      </c>
      <c r="B4" s="11" t="s">
        <v>352</v>
      </c>
      <c r="C4" s="11" t="s">
        <v>353</v>
      </c>
      <c r="D4" s="11" t="s">
        <v>354</v>
      </c>
      <c r="E4" s="11" t="s">
        <v>355</v>
      </c>
      <c r="F4" s="11" t="s">
        <v>356</v>
      </c>
      <c r="G4" s="11" t="s">
        <v>357</v>
      </c>
    </row>
    <row r="5" hidden="0" outlineLevel="0" collapsed="0">
      <c r="A5" s="3" t="s">
        <v>358</v>
      </c>
      <c r="B5" s="3" t="s">
        <v>359</v>
      </c>
      <c r="C5" s="3" t="s">
        <v>360</v>
      </c>
      <c r="D5" s="3" t="s">
        <v>361</v>
      </c>
      <c r="E5" s="3" t="s">
        <v>362</v>
      </c>
      <c r="F5" s="3" t="s">
        <v>363</v>
      </c>
      <c r="G5" s="3" t="s">
        <v>364</v>
      </c>
    </row>
    <row r="6" hidden="0" outlineLevel="0" collapsed="0">
      <c r="A6" s="3" t="s">
        <v>358</v>
      </c>
      <c r="B6" s="3" t="s">
        <v>365</v>
      </c>
      <c r="C6" s="3" t="s">
        <v>366</v>
      </c>
      <c r="D6" s="3" t="s">
        <v>367</v>
      </c>
      <c r="E6" s="3" t="s">
        <v>362</v>
      </c>
      <c r="F6" s="3" t="s">
        <v>363</v>
      </c>
      <c r="G6" s="3" t="s">
        <v>364</v>
      </c>
    </row>
    <row r="7" hidden="0" outlineLevel="0" collapsed="0">
      <c r="A7" s="3" t="s">
        <v>358</v>
      </c>
      <c r="B7" s="3" t="s">
        <v>368</v>
      </c>
      <c r="C7" s="3" t="s">
        <v>369</v>
      </c>
      <c r="D7" s="3" t="s">
        <v>370</v>
      </c>
      <c r="E7" s="3" t="s">
        <v>362</v>
      </c>
      <c r="F7" s="3" t="s">
        <v>363</v>
      </c>
      <c r="G7" s="3" t="s">
        <v>364</v>
      </c>
    </row>
    <row r="8" hidden="0" outlineLevel="0" collapsed="0">
      <c r="A8" s="3" t="s">
        <v>358</v>
      </c>
      <c r="B8" s="3" t="s">
        <v>371</v>
      </c>
      <c r="C8" s="3" t="s">
        <v>372</v>
      </c>
      <c r="D8" s="3" t="s">
        <v>373</v>
      </c>
      <c r="E8" s="3" t="s">
        <v>362</v>
      </c>
      <c r="F8" s="3" t="s">
        <v>363</v>
      </c>
      <c r="G8" s="3" t="s">
        <v>374</v>
      </c>
    </row>
    <row r="9" hidden="0" outlineLevel="0" collapsed="0">
      <c r="A9" s="3">
        <v>46224</v>
      </c>
      <c r="B9" s="3" t="s">
        <v>375</v>
      </c>
      <c r="C9" s="3" t="s">
        <v>376</v>
      </c>
      <c r="D9" s="3"/>
      <c r="E9" s="3"/>
      <c r="F9" s="3"/>
      <c r="G9" s="3"/>
    </row>
    <row r="10" hidden="0" outlineLevel="0" collapsed="0">
      <c r="A10" s="3" t="s">
        <v>377</v>
      </c>
      <c r="B10" s="3" t="s">
        <v>378</v>
      </c>
      <c r="C10" s="3" t="s">
        <v>379</v>
      </c>
      <c r="D10" s="3" t="s">
        <v>380</v>
      </c>
      <c r="E10" s="3" t="s">
        <v>381</v>
      </c>
      <c r="F10" s="3" t="s">
        <v>382</v>
      </c>
      <c r="G10" s="3" t="s">
        <v>383</v>
      </c>
    </row>
  </sheetData>
  <mergeCells count="2">
    <mergeCell ref="A1:H1"/>
    <mergeCell ref="A2:H2"/>
  </mergeCells>
  <printOptions/>
  <pageMargins left="0.7" right="0.7" top="0.75" bottom="0.75" header="0.511811023622047" footer="0.511811023622047"/>
  <pageSetup paperSize="1" scale="100" fitToWidth="1" fitToHeight="1" pageOrder="downThenOver" orientation="portrait" copies="1" horizontalDpi="300" verticalDpi="3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H30"/>
  <sheetViews>
    <sheetView topLeftCell="A1" zoomScaleNormal="100" zoomScalePageLayoutView="100" workbookViewId="0">
      <selection activeCell="A1" sqref="A1"/>
    </sheetView>
  </sheetViews>
  <sheetFormatPr defaultColWidth="8.6796875" defaultRowHeight="15"/>
  <cols>
    <col min="1" max="1" width="28" customWidth="1"/>
    <col min="2" max="2" width="13" customWidth="1"/>
    <col min="3" max="3" width="16" customWidth="1"/>
    <col min="4" max="4" width="22" customWidth="1"/>
    <col min="5" max="5" width="38" customWidth="1"/>
    <col min="6" max="6" width="44" customWidth="1"/>
    <col min="7" max="7" width="43" customWidth="1"/>
    <col min="8" max="8" width="45" customWidth="1"/>
  </cols>
  <sheetData>
    <row r="1" ht="28" hidden="0" outlineLevel="0" collapsed="0">
      <c r="A1" s="1" t="s">
        <v>384</v>
      </c>
      <c r="B1" s="1"/>
      <c r="C1" s="1"/>
      <c r="D1" s="1"/>
      <c r="E1" s="1"/>
      <c r="F1" s="1"/>
      <c r="G1" s="1"/>
      <c r="H1" s="1"/>
    </row>
    <row r="2" ht="22" hidden="0" outlineLevel="0" collapsed="0">
      <c r="A2" s="2" t="s">
        <v>385</v>
      </c>
      <c r="B2" s="2"/>
      <c r="C2" s="2"/>
      <c r="D2" s="2"/>
      <c r="E2" s="2"/>
      <c r="F2" s="2"/>
      <c r="G2" s="2"/>
      <c r="H2" s="2"/>
    </row>
    <row r="3" hidden="0" outlineLevel="0" collapsed="0">
      <c r="A3" s="3"/>
      <c r="B3" s="3"/>
      <c r="C3" s="3"/>
      <c r="D3" s="3"/>
      <c r="E3" s="3"/>
      <c r="F3" s="3"/>
      <c r="G3" s="3"/>
      <c r="H3" s="3"/>
    </row>
    <row r="4" hidden="0" outlineLevel="0" collapsed="0">
      <c r="A4" s="11" t="s">
        <v>386</v>
      </c>
      <c r="B4" s="11" t="s">
        <v>387</v>
      </c>
      <c r="C4" s="11" t="s">
        <v>388</v>
      </c>
      <c r="D4" s="11" t="s">
        <v>389</v>
      </c>
      <c r="E4" s="11" t="s">
        <v>390</v>
      </c>
      <c r="F4" s="11" t="s">
        <v>391</v>
      </c>
      <c r="G4" s="11" t="s">
        <v>392</v>
      </c>
      <c r="H4" s="11" t="s">
        <v>393</v>
      </c>
    </row>
    <row r="5" ht="23.85" hidden="0" outlineLevel="0" collapsed="0">
      <c r="A5" s="3" t="s">
        <v>394</v>
      </c>
      <c r="B5" s="30">
        <v>5</v>
      </c>
      <c r="C5" s="3" t="s">
        <v>395</v>
      </c>
      <c r="D5" s="3" t="s">
        <v>72</v>
      </c>
      <c r="E5" s="3" t="s">
        <v>396</v>
      </c>
      <c r="F5" s="3" t="s">
        <v>397</v>
      </c>
      <c r="G5" s="3" t="s">
        <v>398</v>
      </c>
      <c r="H5" s="3" t="s">
        <v>399</v>
      </c>
    </row>
    <row r="6" ht="23.85" hidden="0" outlineLevel="0" collapsed="0">
      <c r="A6" s="3" t="s">
        <v>400</v>
      </c>
      <c r="B6" s="30">
        <v>20</v>
      </c>
      <c r="C6" s="3" t="s">
        <v>395</v>
      </c>
      <c r="D6" s="3" t="s">
        <v>72</v>
      </c>
      <c r="E6" s="3" t="s">
        <v>401</v>
      </c>
      <c r="F6" s="3" t="s">
        <v>402</v>
      </c>
      <c r="G6" s="3" t="s">
        <v>403</v>
      </c>
      <c r="H6" s="3" t="s">
        <v>404</v>
      </c>
    </row>
    <row r="7" ht="23.85" hidden="0" outlineLevel="0" collapsed="0">
      <c r="A7" s="3" t="s">
        <v>405</v>
      </c>
      <c r="B7" s="30">
        <v>15</v>
      </c>
      <c r="C7" s="3" t="s">
        <v>395</v>
      </c>
      <c r="D7" s="3" t="s">
        <v>72</v>
      </c>
      <c r="E7" s="3" t="s">
        <v>406</v>
      </c>
      <c r="F7" s="3" t="s">
        <v>407</v>
      </c>
      <c r="G7" s="3" t="s">
        <v>408</v>
      </c>
      <c r="H7" s="3" t="s">
        <v>409</v>
      </c>
    </row>
    <row r="8" hidden="0" outlineLevel="0" collapsed="0">
      <c r="A8" s="3" t="s">
        <v>410</v>
      </c>
      <c r="B8" s="30">
        <v>10</v>
      </c>
      <c r="C8" s="3" t="s">
        <v>395</v>
      </c>
      <c r="D8" s="3" t="s">
        <v>72</v>
      </c>
      <c r="E8" s="3" t="s">
        <v>411</v>
      </c>
      <c r="F8" s="3" t="s">
        <v>412</v>
      </c>
      <c r="G8" s="3" t="s">
        <v>413</v>
      </c>
      <c r="H8" s="3" t="s">
        <v>414</v>
      </c>
    </row>
    <row r="9" hidden="0" outlineLevel="0" collapsed="0">
      <c r="A9" s="3" t="s">
        <v>415</v>
      </c>
      <c r="B9" s="30">
        <v>15</v>
      </c>
      <c r="C9" s="3" t="s">
        <v>395</v>
      </c>
      <c r="D9" s="3" t="s">
        <v>72</v>
      </c>
      <c r="E9" s="3" t="s">
        <v>416</v>
      </c>
      <c r="F9" s="3" t="s">
        <v>417</v>
      </c>
      <c r="G9" s="3" t="s">
        <v>418</v>
      </c>
      <c r="H9" s="3" t="s">
        <v>419</v>
      </c>
    </row>
    <row r="10" ht="23.85" hidden="0" outlineLevel="0" collapsed="0">
      <c r="A10" s="3" t="s">
        <v>420</v>
      </c>
      <c r="B10" s="30">
        <v>8</v>
      </c>
      <c r="C10" s="3" t="s">
        <v>395</v>
      </c>
      <c r="D10" s="3" t="s">
        <v>72</v>
      </c>
      <c r="E10" s="3" t="s">
        <v>421</v>
      </c>
      <c r="F10" s="3" t="s">
        <v>422</v>
      </c>
      <c r="G10" s="3" t="s">
        <v>423</v>
      </c>
      <c r="H10" s="3" t="s">
        <v>424</v>
      </c>
    </row>
    <row r="11" ht="46.25" hidden="0" outlineLevel="0" collapsed="0">
      <c r="A11" s="3" t="s">
        <v>425</v>
      </c>
      <c r="B11" s="30">
        <v>10</v>
      </c>
      <c r="C11" s="3" t="s">
        <v>395</v>
      </c>
      <c r="D11" s="3" t="s">
        <v>72</v>
      </c>
      <c r="E11" s="3" t="s">
        <v>421</v>
      </c>
      <c r="F11" s="3" t="s">
        <v>426</v>
      </c>
      <c r="G11" s="3" t="s">
        <v>427</v>
      </c>
      <c r="H11" s="3" t="s">
        <v>428</v>
      </c>
    </row>
    <row r="12" ht="35.05" hidden="0" outlineLevel="0" collapsed="0">
      <c r="A12" s="3" t="s">
        <v>429</v>
      </c>
      <c r="B12" s="30">
        <v>7</v>
      </c>
      <c r="C12" s="3" t="s">
        <v>395</v>
      </c>
      <c r="D12" s="3" t="s">
        <v>72</v>
      </c>
      <c r="E12" s="3" t="s">
        <v>430</v>
      </c>
      <c r="F12" s="3" t="s">
        <v>431</v>
      </c>
      <c r="G12" s="3" t="s">
        <v>432</v>
      </c>
      <c r="H12" s="3" t="s">
        <v>433</v>
      </c>
    </row>
    <row r="13" ht="23.85" hidden="0" outlineLevel="0" collapsed="0">
      <c r="A13" s="3" t="s">
        <v>434</v>
      </c>
      <c r="B13" s="30">
        <v>5</v>
      </c>
      <c r="C13" s="3" t="s">
        <v>395</v>
      </c>
      <c r="D13" s="3" t="s">
        <v>72</v>
      </c>
      <c r="E13" s="3" t="s">
        <v>435</v>
      </c>
      <c r="F13" s="3" t="s">
        <v>436</v>
      </c>
      <c r="G13" s="3" t="s">
        <v>437</v>
      </c>
      <c r="H13" s="3" t="s">
        <v>438</v>
      </c>
    </row>
    <row r="14" ht="23.85" hidden="0" outlineLevel="0" collapsed="0">
      <c r="A14" s="3" t="s">
        <v>439</v>
      </c>
      <c r="B14" s="30">
        <v>5</v>
      </c>
      <c r="C14" s="3" t="s">
        <v>395</v>
      </c>
      <c r="D14" s="3" t="s">
        <v>72</v>
      </c>
      <c r="E14" s="3" t="s">
        <v>440</v>
      </c>
      <c r="F14" s="3" t="s">
        <v>441</v>
      </c>
      <c r="G14" s="3" t="s">
        <v>442</v>
      </c>
      <c r="H14" s="3" t="s">
        <v>443</v>
      </c>
    </row>
    <row r="15" hidden="0" outlineLevel="0" collapsed="0">
      <c r="A15" s="3"/>
      <c r="B15" s="3"/>
      <c r="C15" s="3"/>
      <c r="D15" s="3"/>
      <c r="E15" s="3"/>
      <c r="F15" s="3"/>
      <c r="G15" s="3"/>
      <c r="H15" s="3"/>
    </row>
    <row r="16" hidden="0" outlineLevel="0" collapsed="0">
      <c r="A16" s="11" t="s">
        <v>444</v>
      </c>
      <c r="B16" s="3">
        <f>SUMIF(C5:C14,"PASS",B5:B14)</f>
        <v>100</v>
      </c>
      <c r="C16" s="3"/>
      <c r="D16" s="3"/>
      <c r="E16" s="3"/>
      <c r="F16" s="3"/>
      <c r="G16" s="3"/>
      <c r="H16" s="3"/>
    </row>
    <row r="17" hidden="0" outlineLevel="0" collapsed="0">
      <c r="A17" s="11" t="s">
        <v>445</v>
      </c>
      <c r="B17" s="3" t="str">
        <f>IF(B16=100,"OWNER READY — INDEPENDENT REVIEW REQUIRED","PENDING OWNER QA")</f>
        <v>OWNER READY — INDEPENDENT REVIEW REQUIRED</v>
      </c>
      <c r="C17" s="3"/>
      <c r="D17" s="3"/>
      <c r="E17" s="3"/>
      <c r="F17" s="3"/>
      <c r="G17" s="3"/>
      <c r="H17" s="3"/>
    </row>
    <row r="18" hidden="0" outlineLevel="0" collapsed="0">
      <c r="A18" s="11" t="s">
        <v>446</v>
      </c>
      <c r="B18" s="3" t="str">
        <f>Checks!F15</f>
        <v>OK</v>
      </c>
      <c r="C18" s="3"/>
      <c r="D18" s="3"/>
      <c r="E18" s="3"/>
      <c r="F18" s="3"/>
      <c r="G18" s="3"/>
      <c r="H18" s="3"/>
    </row>
    <row r="19" hidden="0" outlineLevel="0" collapsed="0">
      <c r="A19" s="3"/>
      <c r="B19" s="3"/>
      <c r="C19" s="3"/>
      <c r="D19" s="3"/>
      <c r="E19" s="3"/>
      <c r="F19" s="3"/>
      <c r="G19" s="3"/>
      <c r="H19" s="3"/>
    </row>
    <row r="20" ht="21" hidden="0" outlineLevel="0" collapsed="0">
      <c r="A20" s="4" t="s">
        <v>447</v>
      </c>
      <c r="B20" s="4"/>
      <c r="C20" s="4"/>
      <c r="D20" s="4"/>
      <c r="E20" s="4"/>
      <c r="F20" s="4"/>
      <c r="G20" s="4"/>
      <c r="H20" s="4"/>
    </row>
    <row r="21" hidden="0" outlineLevel="0" collapsed="0">
      <c r="A21" s="3" t="s">
        <v>448</v>
      </c>
      <c r="B21" s="3" t="s">
        <v>358</v>
      </c>
      <c r="C21" s="3"/>
      <c r="D21" s="3"/>
      <c r="E21" s="3"/>
      <c r="F21" s="3"/>
      <c r="G21" s="3"/>
      <c r="H21" s="3"/>
    </row>
    <row r="22" hidden="0" outlineLevel="0" collapsed="0">
      <c r="A22" s="3" t="s">
        <v>449</v>
      </c>
      <c r="B22" s="3" t="s">
        <v>450</v>
      </c>
      <c r="C22" s="3"/>
      <c r="D22" s="3"/>
      <c r="E22" s="3"/>
      <c r="F22" s="3"/>
      <c r="G22" s="3"/>
      <c r="H22" s="3"/>
    </row>
    <row r="23" hidden="0" outlineLevel="0" collapsed="0">
      <c r="A23" s="3" t="s">
        <v>451</v>
      </c>
      <c r="B23" s="3" t="s">
        <v>452</v>
      </c>
      <c r="C23" s="3"/>
      <c r="D23" s="3"/>
      <c r="E23" s="3"/>
      <c r="F23" s="3"/>
      <c r="G23" s="3"/>
      <c r="H23" s="3"/>
    </row>
    <row r="24" hidden="0" outlineLevel="0" collapsed="0">
      <c r="A24" s="3" t="s">
        <v>453</v>
      </c>
      <c r="B24" s="3" t="s">
        <v>430</v>
      </c>
      <c r="C24" s="3"/>
      <c r="D24" s="3"/>
      <c r="E24" s="3"/>
      <c r="F24" s="3"/>
      <c r="G24" s="3"/>
      <c r="H24" s="3"/>
    </row>
    <row r="25" hidden="0" outlineLevel="0" collapsed="0">
      <c r="A25" s="3" t="s">
        <v>454</v>
      </c>
      <c r="B25" s="3" t="s">
        <v>430</v>
      </c>
      <c r="C25" s="3"/>
      <c r="D25" s="3"/>
      <c r="E25" s="3"/>
      <c r="F25" s="3"/>
      <c r="G25" s="3"/>
      <c r="H25" s="3"/>
    </row>
    <row r="26" hidden="0" outlineLevel="0" collapsed="0">
      <c r="A26" s="3" t="s">
        <v>455</v>
      </c>
      <c r="B26" s="3" t="s">
        <v>456</v>
      </c>
      <c r="C26" s="3"/>
      <c r="D26" s="3"/>
      <c r="E26" s="3"/>
      <c r="F26" s="3"/>
      <c r="G26" s="3"/>
      <c r="H26" s="3"/>
    </row>
    <row r="27" hidden="0" outlineLevel="0" collapsed="0">
      <c r="A27" s="3"/>
      <c r="B27" s="3"/>
      <c r="C27" s="3"/>
      <c r="D27" s="3"/>
      <c r="E27" s="3"/>
      <c r="F27" s="3"/>
      <c r="G27" s="3"/>
      <c r="H27" s="3"/>
    </row>
    <row r="28" hidden="0" outlineLevel="0" collapsed="0">
      <c r="A28" s="3"/>
      <c r="B28" s="3"/>
      <c r="C28" s="3"/>
      <c r="D28" s="3"/>
      <c r="E28" s="3"/>
      <c r="F28" s="3"/>
      <c r="G28" s="3"/>
      <c r="H28" s="3"/>
    </row>
    <row r="29" hidden="0" outlineLevel="0" collapsed="0">
      <c r="A29" s="3"/>
      <c r="B29" s="3"/>
      <c r="C29" s="3"/>
      <c r="D29" s="3"/>
      <c r="E29" s="3"/>
      <c r="F29" s="3"/>
      <c r="G29" s="3"/>
      <c r="H29" s="3"/>
    </row>
    <row r="30" hidden="0" outlineLevel="0" collapsed="0">
      <c r="A30" s="3"/>
      <c r="B30" s="3"/>
      <c r="C30" s="3"/>
      <c r="D30" s="3"/>
      <c r="E30" s="3"/>
      <c r="F30" s="3"/>
      <c r="G30" s="3"/>
      <c r="H30" s="3"/>
    </row>
  </sheetData>
  <mergeCells count="10">
    <mergeCell ref="A1:H1"/>
    <mergeCell ref="A2:H2"/>
    <mergeCell ref="B17:H17"/>
    <mergeCell ref="A20:H20"/>
    <mergeCell ref="B21:H21"/>
    <mergeCell ref="B22:H22"/>
    <mergeCell ref="B23:H23"/>
    <mergeCell ref="B24:H24"/>
    <mergeCell ref="B25:H25"/>
    <mergeCell ref="B26:H26"/>
  </mergeCells>
  <conditionalFormatting sqref="C5:C14">
    <cfRule type="containsText" priority="2" operator="containsText" text="OK" dxfId="6">
      <formula>NOT(ISERROR(SEARCH("OK",C5)))</formula>
    </cfRule>
    <cfRule type="containsText" priority="3" operator="containsText" text="REVIEW" dxfId="7">
      <formula>NOT(ISERROR(SEARCH("REVIEW",C5)))</formula>
    </cfRule>
  </conditionalFormatting>
  <conditionalFormatting sqref="B18">
    <cfRule type="containsText" priority="4" operator="containsText" text="OK" dxfId="8">
      <formula>NOT(ISERROR(SEARCH("OK",B18)))</formula>
    </cfRule>
    <cfRule type="containsText" priority="5" operator="containsText" text="REVIEW" dxfId="9">
      <formula>NOT(ISERROR(SEARCH("REVIEW",B18)))</formula>
    </cfRule>
  </conditionalFormatting>
  <printOptions/>
  <pageMargins left="0.7" right="0.7" top="0.75" bottom="0.75" header="0.511811023622047" footer="0.511811023622047"/>
  <pageSetup paperSize="1" scale="100" fitToWidth="1" fitToHeight="1" pageOrder="downThenOver" orientation="portrait" copies="1" horizontalDpi="300" verticalDpi="300"/>
  <headerFooter/>
</worksheet>
</file>

<file path=xl/worksheets/sheet12.xml><?xml version="1.0" encoding="utf-8"?>
<worksheet xmlns="http://schemas.openxmlformats.org/spreadsheetml/2006/main" xmlns:r="http://schemas.openxmlformats.org/officeDocument/2006/relationships">
  <dimension ref="A1:H24"/>
  <sheetViews>
    <sheetView workbookViewId="0"/>
  </sheetViews>
  <sheetFormatPr defaultColWidth="8.375" defaultRowHeight="15"/>
  <sheetData>
    <row r="1">
      <c r="A1" t="s">
        <v>457</v>
      </c>
    </row>
    <row r="2">
      <c r="A2" t="s">
        <v>458</v>
      </c>
    </row>
    <row r="4">
      <c r="A4" t="s">
        <v>459</v>
      </c>
      <c r="B4" t="s">
        <v>460</v>
      </c>
      <c r="C4" t="s">
        <v>461</v>
      </c>
      <c r="D4" t="s">
        <v>462</v>
      </c>
      <c r="E4" t="s">
        <v>463</v>
      </c>
      <c r="F4" t="s">
        <v>464</v>
      </c>
      <c r="H4" t="s">
        <v>229</v>
      </c>
    </row>
    <row r="5">
      <c r="A5" t="s">
        <v>465</v>
      </c>
      <c r="B5">
        <v>38655</v>
      </c>
      <c r="C5">
        <v>43004</v>
      </c>
      <c r="D5">
        <v>45754</v>
      </c>
      <c r="E5">
        <v>47061</v>
      </c>
      <c r="F5">
        <v>47941</v>
      </c>
      <c r="H5" t="s">
        <v>466</v>
      </c>
    </row>
    <row r="6">
      <c r="A6" t="s">
        <v>467</v>
      </c>
      <c r="B6">
        <v>15357</v>
      </c>
      <c r="C6">
        <v>18000</v>
      </c>
      <c r="D6">
        <v>18520</v>
      </c>
      <c r="E6">
        <v>18324</v>
      </c>
      <c r="F6">
        <v>18397</v>
      </c>
      <c r="H6" t="s">
        <v>468</v>
      </c>
    </row>
    <row r="7">
      <c r="A7" t="s">
        <v>97</v>
      </c>
      <c r="B7">
        <v>23298</v>
      </c>
      <c r="C7">
        <v>25004</v>
      </c>
      <c r="D7">
        <v>27234</v>
      </c>
      <c r="E7">
        <v>28737</v>
      </c>
      <c r="F7">
        <v>29544</v>
      </c>
      <c r="H7" t="s">
        <v>469</v>
      </c>
    </row>
    <row r="8">
      <c r="A8" t="s">
        <v>470</v>
      </c>
      <c r="B8">
        <v>12144</v>
      </c>
      <c r="C8">
        <v>12880</v>
      </c>
      <c r="D8">
        <v>13972</v>
      </c>
      <c r="E8">
        <v>14582</v>
      </c>
      <c r="F8">
        <v>14521</v>
      </c>
      <c r="H8" t="s">
        <v>471</v>
      </c>
    </row>
    <row r="9">
      <c r="A9" t="s">
        <v>472</v>
      </c>
      <c r="B9">
        <v>846</v>
      </c>
      <c r="C9">
        <v>1215</v>
      </c>
      <c r="D9">
        <v>1951</v>
      </c>
      <c r="E9">
        <v>4163</v>
      </c>
      <c r="F9">
        <v>1261</v>
      </c>
      <c r="H9" t="s">
        <v>473</v>
      </c>
    </row>
    <row r="10">
      <c r="A10" t="s">
        <v>474</v>
      </c>
      <c r="B10">
        <v>10308</v>
      </c>
      <c r="C10">
        <v>10909</v>
      </c>
      <c r="D10">
        <v>11311</v>
      </c>
      <c r="E10">
        <v>9992</v>
      </c>
      <c r="F10">
        <v>13762</v>
      </c>
      <c r="H10" t="s">
        <v>475</v>
      </c>
    </row>
    <row r="11">
      <c r="A11" t="s">
        <v>476</v>
      </c>
      <c r="B11">
        <v>276</v>
      </c>
      <c r="C11">
        <v>449</v>
      </c>
      <c r="D11">
        <v>907</v>
      </c>
      <c r="E11">
        <v>988</v>
      </c>
      <c r="F11">
        <v>786</v>
      </c>
      <c r="H11" t="s">
        <v>477</v>
      </c>
    </row>
    <row r="12">
      <c r="A12" t="s">
        <v>478</v>
      </c>
      <c r="B12">
        <v>1597</v>
      </c>
      <c r="C12">
        <v>882</v>
      </c>
      <c r="D12">
        <v>1527</v>
      </c>
      <c r="E12">
        <v>1656</v>
      </c>
      <c r="F12">
        <v>1654</v>
      </c>
      <c r="H12" t="s">
        <v>479</v>
      </c>
    </row>
    <row r="13">
      <c r="A13" t="s">
        <v>480</v>
      </c>
      <c r="B13">
        <v>1438</v>
      </c>
      <c r="C13">
        <v>1472</v>
      </c>
      <c r="D13">
        <v>1691</v>
      </c>
      <c r="E13">
        <v>1770</v>
      </c>
      <c r="F13">
        <v>2031</v>
      </c>
      <c r="H13" t="s">
        <v>481</v>
      </c>
    </row>
    <row r="14">
      <c r="A14" t="s">
        <v>482</v>
      </c>
      <c r="B14">
        <v>2000</v>
      </c>
      <c r="C14">
        <v>-262</v>
      </c>
      <c r="D14">
        <v>570</v>
      </c>
      <c r="E14">
        <v>1992</v>
      </c>
      <c r="F14">
        <v>1073</v>
      </c>
      <c r="H14" t="s">
        <v>483</v>
      </c>
    </row>
    <row r="15">
      <c r="A15" t="s">
        <v>484</v>
      </c>
      <c r="B15">
        <v>12425</v>
      </c>
      <c r="C15">
        <v>11686</v>
      </c>
      <c r="D15">
        <v>12952</v>
      </c>
      <c r="E15">
        <v>13086</v>
      </c>
      <c r="F15">
        <v>15998</v>
      </c>
      <c r="H15" t="s">
        <v>485</v>
      </c>
    </row>
    <row r="16">
      <c r="A16" t="s">
        <v>486</v>
      </c>
      <c r="B16">
        <v>2621</v>
      </c>
      <c r="C16">
        <v>2115</v>
      </c>
      <c r="D16">
        <v>2249</v>
      </c>
      <c r="E16">
        <v>2437</v>
      </c>
      <c r="F16">
        <v>2861</v>
      </c>
      <c r="H16" t="s">
        <v>487</v>
      </c>
    </row>
    <row r="17">
      <c r="A17" t="s">
        <v>488</v>
      </c>
      <c r="B17">
        <v>9804</v>
      </c>
      <c r="C17">
        <v>9571</v>
      </c>
      <c r="D17">
        <v>10703</v>
      </c>
      <c r="E17">
        <v>10649</v>
      </c>
      <c r="F17">
        <v>13137</v>
      </c>
      <c r="H17" t="s">
        <v>489</v>
      </c>
    </row>
    <row r="18">
      <c r="A18" t="s">
        <v>490</v>
      </c>
      <c r="B18">
        <v>33</v>
      </c>
      <c r="C18">
        <v>29</v>
      </c>
      <c r="D18">
        <v>-11</v>
      </c>
      <c r="E18">
        <v>18</v>
      </c>
      <c r="F18">
        <v>30</v>
      </c>
      <c r="H18" t="s">
        <v>491</v>
      </c>
    </row>
    <row r="19">
      <c r="A19" t="s">
        <v>492</v>
      </c>
      <c r="B19">
        <v>9771</v>
      </c>
      <c r="C19">
        <v>9542</v>
      </c>
      <c r="D19">
        <v>10714</v>
      </c>
      <c r="E19">
        <v>10631</v>
      </c>
      <c r="F19">
        <v>13107</v>
      </c>
      <c r="H19" t="s">
        <v>493</v>
      </c>
    </row>
    <row r="21">
      <c r="A21" t="s">
        <v>494</v>
      </c>
      <c r="B21">
        <v>2.26</v>
      </c>
      <c r="C21">
        <v>2.2</v>
      </c>
      <c r="D21">
        <v>2.48</v>
      </c>
      <c r="E21">
        <v>2.47</v>
      </c>
      <c r="F21">
        <v>3.05</v>
      </c>
      <c r="H21" t="s">
        <v>495</v>
      </c>
    </row>
    <row r="22">
      <c r="A22" t="s">
        <v>496</v>
      </c>
      <c r="B22">
        <v>2.25</v>
      </c>
      <c r="C22">
        <v>2.19</v>
      </c>
      <c r="D22">
        <v>2.47</v>
      </c>
      <c r="E22">
        <v>2.46</v>
      </c>
      <c r="F22">
        <v>3.04</v>
      </c>
      <c r="H22" t="s">
        <v>497</v>
      </c>
    </row>
    <row r="23">
      <c r="A23" t="s">
        <v>498</v>
      </c>
      <c r="B23">
        <v>4315</v>
      </c>
      <c r="C23">
        <v>4328</v>
      </c>
      <c r="D23">
        <v>4323</v>
      </c>
      <c r="E23">
        <v>4309</v>
      </c>
      <c r="F23">
        <v>4303</v>
      </c>
      <c r="H23" t="s">
        <v>499</v>
      </c>
    </row>
    <row r="24">
      <c r="A24" t="s">
        <v>500</v>
      </c>
      <c r="B24">
        <v>4340</v>
      </c>
      <c r="C24">
        <v>4350</v>
      </c>
      <c r="D24">
        <v>4339</v>
      </c>
      <c r="E24">
        <v>4320</v>
      </c>
      <c r="F24">
        <v>4313</v>
      </c>
      <c r="H24" t="s">
        <v>501</v>
      </c>
    </row>
  </sheetData>
</worksheet>
</file>

<file path=xl/worksheets/sheet13.xml><?xml version="1.0" encoding="utf-8"?>
<worksheet xmlns="http://schemas.openxmlformats.org/spreadsheetml/2006/main" xmlns:r="http://schemas.openxmlformats.org/officeDocument/2006/relationships">
  <dimension ref="A1:H48"/>
  <sheetViews>
    <sheetView workbookViewId="0"/>
  </sheetViews>
  <sheetFormatPr defaultColWidth="8.375" defaultRowHeight="15"/>
  <sheetData>
    <row r="1">
      <c r="A1" t="s">
        <v>502</v>
      </c>
    </row>
    <row r="2">
      <c r="A2" t="s">
        <v>503</v>
      </c>
    </row>
    <row r="4">
      <c r="A4" t="s">
        <v>459</v>
      </c>
      <c r="B4" t="s">
        <v>460</v>
      </c>
      <c r="C4" t="s">
        <v>461</v>
      </c>
      <c r="D4" t="s">
        <v>462</v>
      </c>
      <c r="E4" t="s">
        <v>463</v>
      </c>
      <c r="F4" t="s">
        <v>464</v>
      </c>
      <c r="H4" t="s">
        <v>229</v>
      </c>
    </row>
    <row r="5">
      <c r="A5" t="s">
        <v>504</v>
      </c>
    </row>
    <row r="6">
      <c r="A6" t="s">
        <v>505</v>
      </c>
      <c r="B6">
        <v>9684</v>
      </c>
      <c r="C6">
        <v>9519</v>
      </c>
      <c r="D6">
        <v>9366</v>
      </c>
      <c r="E6">
        <v>10828</v>
      </c>
      <c r="F6">
        <v>10270</v>
      </c>
      <c r="H6" t="s">
        <v>506</v>
      </c>
    </row>
    <row r="7">
      <c r="A7" t="s">
        <v>507</v>
      </c>
      <c r="B7">
        <v>1242</v>
      </c>
      <c r="C7">
        <v>1043</v>
      </c>
      <c r="D7">
        <v>2997</v>
      </c>
      <c r="E7">
        <v>2020</v>
      </c>
      <c r="F7">
        <v>3602</v>
      </c>
      <c r="H7" t="s">
        <v>508</v>
      </c>
    </row>
    <row r="8">
      <c r="A8" t="s">
        <v>509</v>
      </c>
      <c r="B8">
        <v>1699</v>
      </c>
      <c r="C8">
        <v>1069</v>
      </c>
      <c r="D8">
        <v>1300</v>
      </c>
      <c r="E8">
        <v>1723</v>
      </c>
      <c r="F8">
        <v>1934</v>
      </c>
      <c r="H8" t="s">
        <v>510</v>
      </c>
    </row>
    <row r="9">
      <c r="A9" t="s">
        <v>511</v>
      </c>
      <c r="B9">
        <v>3512</v>
      </c>
      <c r="C9">
        <v>3487</v>
      </c>
      <c r="D9">
        <v>3410</v>
      </c>
      <c r="E9">
        <v>3569</v>
      </c>
      <c r="F9">
        <v>3038</v>
      </c>
      <c r="H9" t="s">
        <v>512</v>
      </c>
    </row>
    <row r="10">
      <c r="A10" t="s">
        <v>513</v>
      </c>
      <c r="B10">
        <v>3414</v>
      </c>
      <c r="C10">
        <v>4233</v>
      </c>
      <c r="D10">
        <v>4424</v>
      </c>
      <c r="E10">
        <v>4728</v>
      </c>
      <c r="F10">
        <v>4425</v>
      </c>
      <c r="H10" t="s">
        <v>514</v>
      </c>
    </row>
    <row r="11">
      <c r="A11" t="s">
        <v>515</v>
      </c>
      <c r="B11">
        <v>2994</v>
      </c>
      <c r="C11">
        <v>3240</v>
      </c>
      <c r="D11">
        <v>5235</v>
      </c>
      <c r="E11">
        <v>2998</v>
      </c>
      <c r="F11">
        <v>2433</v>
      </c>
      <c r="H11" t="s">
        <v>516</v>
      </c>
    </row>
    <row r="12">
      <c r="A12" t="s">
        <v>517</v>
      </c>
      <c r="B12">
        <v>674</v>
      </c>
      <c r="C12">
        <v>602</v>
      </c>
      <c r="D12">
        <v>2094</v>
      </c>
      <c r="E12">
        <v>131</v>
      </c>
      <c r="F12">
        <v>5342</v>
      </c>
      <c r="H12" t="s">
        <v>518</v>
      </c>
    </row>
    <row r="13">
      <c r="A13" t="s">
        <v>519</v>
      </c>
      <c r="B13">
        <v>22545</v>
      </c>
      <c r="C13">
        <v>22591</v>
      </c>
      <c r="D13">
        <v>26732</v>
      </c>
      <c r="E13">
        <v>25997</v>
      </c>
      <c r="F13">
        <v>31044</v>
      </c>
      <c r="H13" t="s">
        <v>520</v>
      </c>
    </row>
    <row r="14">
      <c r="A14" t="s">
        <v>521</v>
      </c>
    </row>
    <row r="15">
      <c r="A15" t="s">
        <v>522</v>
      </c>
      <c r="B15">
        <v>17598</v>
      </c>
      <c r="C15">
        <v>18264</v>
      </c>
      <c r="D15">
        <v>19671</v>
      </c>
      <c r="E15">
        <v>18087</v>
      </c>
      <c r="F15">
        <v>20235</v>
      </c>
      <c r="H15" t="s">
        <v>523</v>
      </c>
    </row>
    <row r="16">
      <c r="A16" t="s">
        <v>524</v>
      </c>
      <c r="B16">
        <v>2129</v>
      </c>
      <c r="C16">
        <v>1746</v>
      </c>
      <c r="D16">
        <v>1561</v>
      </c>
      <c r="E16">
        <v>1319</v>
      </c>
      <c r="F16">
        <v>1206</v>
      </c>
      <c r="H16" t="s">
        <v>525</v>
      </c>
    </row>
    <row r="17">
      <c r="A17" t="s">
        <v>526</v>
      </c>
      <c r="B17">
        <v>9920</v>
      </c>
      <c r="C17">
        <v>9841</v>
      </c>
      <c r="D17">
        <v>9236</v>
      </c>
      <c r="E17">
        <v>10303</v>
      </c>
      <c r="F17">
        <v>9613</v>
      </c>
      <c r="H17" t="s">
        <v>527</v>
      </c>
    </row>
    <row r="18">
      <c r="A18" t="s">
        <v>528</v>
      </c>
      <c r="B18">
        <v>14465</v>
      </c>
      <c r="C18">
        <v>14214</v>
      </c>
      <c r="D18">
        <v>14349</v>
      </c>
      <c r="E18">
        <v>13301</v>
      </c>
      <c r="F18">
        <v>12531</v>
      </c>
      <c r="H18" t="s">
        <v>529</v>
      </c>
    </row>
    <row r="19">
      <c r="A19" t="s">
        <v>530</v>
      </c>
      <c r="B19">
        <v>19363</v>
      </c>
      <c r="C19">
        <v>18782</v>
      </c>
      <c r="D19">
        <v>18358</v>
      </c>
      <c r="E19">
        <v>18139</v>
      </c>
      <c r="F19">
        <v>15491</v>
      </c>
      <c r="H19" t="s">
        <v>531</v>
      </c>
    </row>
    <row r="20">
      <c r="A20" t="s">
        <v>532</v>
      </c>
      <c r="B20">
        <v>6731</v>
      </c>
      <c r="C20">
        <v>6189</v>
      </c>
      <c r="D20">
        <v>7796</v>
      </c>
      <c r="E20">
        <v>13403</v>
      </c>
      <c r="F20">
        <v>14696</v>
      </c>
      <c r="H20" t="s">
        <v>533</v>
      </c>
    </row>
    <row r="21">
      <c r="A21" t="s">
        <v>534</v>
      </c>
      <c r="B21">
        <v>1603</v>
      </c>
      <c r="C21">
        <v>1136</v>
      </c>
      <c r="D21">
        <v>0</v>
      </c>
      <c r="E21">
        <v>0</v>
      </c>
      <c r="F21">
        <v>0</v>
      </c>
      <c r="H21" t="s">
        <v>535</v>
      </c>
    </row>
    <row r="22">
      <c r="A22" t="s">
        <v>536</v>
      </c>
      <c r="B22">
        <v>71809</v>
      </c>
      <c r="C22">
        <v>70172</v>
      </c>
      <c r="D22">
        <v>70971</v>
      </c>
      <c r="E22">
        <v>74552</v>
      </c>
      <c r="F22">
        <v>73772</v>
      </c>
      <c r="H22" t="s">
        <v>537</v>
      </c>
    </row>
    <row r="23">
      <c r="A23" t="s">
        <v>132</v>
      </c>
      <c r="B23">
        <v>94354</v>
      </c>
      <c r="C23">
        <v>92763</v>
      </c>
      <c r="D23">
        <v>97703</v>
      </c>
      <c r="E23">
        <v>100549</v>
      </c>
      <c r="F23">
        <v>104816</v>
      </c>
      <c r="H23" t="s">
        <v>538</v>
      </c>
    </row>
    <row r="25">
      <c r="A25" t="s">
        <v>539</v>
      </c>
    </row>
    <row r="26">
      <c r="A26" t="s">
        <v>540</v>
      </c>
      <c r="B26">
        <v>14619</v>
      </c>
      <c r="C26">
        <v>15749</v>
      </c>
      <c r="D26">
        <v>15485</v>
      </c>
      <c r="E26">
        <v>21712</v>
      </c>
      <c r="F26">
        <v>14813</v>
      </c>
      <c r="H26" t="s">
        <v>541</v>
      </c>
    </row>
    <row r="27">
      <c r="A27" t="s">
        <v>542</v>
      </c>
      <c r="B27">
        <v>3307</v>
      </c>
      <c r="C27">
        <v>2373</v>
      </c>
      <c r="D27">
        <v>4557</v>
      </c>
      <c r="E27">
        <v>1499</v>
      </c>
      <c r="F27">
        <v>1551</v>
      </c>
      <c r="H27" t="s">
        <v>543</v>
      </c>
    </row>
    <row r="28">
      <c r="A28" t="s">
        <v>544</v>
      </c>
      <c r="B28">
        <v>1338</v>
      </c>
      <c r="C28">
        <v>399</v>
      </c>
      <c r="D28">
        <v>1960</v>
      </c>
      <c r="E28">
        <v>648</v>
      </c>
      <c r="F28">
        <v>1822</v>
      </c>
      <c r="H28" t="s">
        <v>545</v>
      </c>
    </row>
    <row r="29">
      <c r="A29" t="s">
        <v>546</v>
      </c>
      <c r="B29">
        <v>686</v>
      </c>
      <c r="C29">
        <v>1203</v>
      </c>
      <c r="D29">
        <v>1569</v>
      </c>
      <c r="E29">
        <v>1387</v>
      </c>
      <c r="F29">
        <v>525</v>
      </c>
      <c r="H29" t="s">
        <v>547</v>
      </c>
    </row>
    <row r="30">
      <c r="A30" t="s">
        <v>548</v>
      </c>
      <c r="B30">
        <v>157</v>
      </c>
      <c r="C30">
        <v>160</v>
      </c>
      <c r="D30">
        <v>719</v>
      </c>
      <c r="E30">
        <v>3</v>
      </c>
      <c r="F30">
        <v>2570</v>
      </c>
      <c r="H30" t="s">
        <v>549</v>
      </c>
    </row>
    <row r="31">
      <c r="A31" t="s">
        <v>550</v>
      </c>
      <c r="B31">
        <v>19950</v>
      </c>
      <c r="C31">
        <v>19724</v>
      </c>
      <c r="D31">
        <v>23571</v>
      </c>
      <c r="E31">
        <v>25249</v>
      </c>
      <c r="F31">
        <v>21281</v>
      </c>
      <c r="H31" t="s">
        <v>551</v>
      </c>
    </row>
    <row r="32">
      <c r="A32" t="s">
        <v>552</v>
      </c>
    </row>
    <row r="33">
      <c r="A33" t="s">
        <v>553</v>
      </c>
      <c r="B33">
        <v>38116</v>
      </c>
      <c r="C33">
        <v>36377</v>
      </c>
      <c r="D33">
        <v>35547</v>
      </c>
      <c r="E33">
        <v>42375</v>
      </c>
      <c r="F33">
        <v>42119</v>
      </c>
      <c r="H33" t="s">
        <v>554</v>
      </c>
    </row>
    <row r="34">
      <c r="A34" t="s">
        <v>555</v>
      </c>
      <c r="B34">
        <v>8607</v>
      </c>
      <c r="C34">
        <v>7922</v>
      </c>
      <c r="D34">
        <v>8466</v>
      </c>
      <c r="E34">
        <v>4084</v>
      </c>
      <c r="F34">
        <v>4735</v>
      </c>
      <c r="H34" t="s">
        <v>556</v>
      </c>
    </row>
    <row r="35">
      <c r="A35" t="s">
        <v>557</v>
      </c>
      <c r="B35">
        <v>2821</v>
      </c>
      <c r="C35">
        <v>2914</v>
      </c>
      <c r="D35">
        <v>2639</v>
      </c>
      <c r="E35">
        <v>2469</v>
      </c>
      <c r="F35">
        <v>2406</v>
      </c>
      <c r="H35" t="s">
        <v>558</v>
      </c>
    </row>
    <row r="36">
      <c r="A36" t="s">
        <v>559</v>
      </c>
      <c r="B36">
        <v>49544</v>
      </c>
      <c r="C36">
        <v>47213</v>
      </c>
      <c r="D36">
        <v>46652</v>
      </c>
      <c r="E36">
        <v>48928</v>
      </c>
      <c r="F36">
        <v>49260</v>
      </c>
      <c r="H36" t="s">
        <v>560</v>
      </c>
    </row>
    <row r="37">
      <c r="A37" t="s">
        <v>561</v>
      </c>
      <c r="B37">
        <v>69494</v>
      </c>
      <c r="C37">
        <v>66937</v>
      </c>
      <c r="D37">
        <v>70223</v>
      </c>
      <c r="E37">
        <v>74177</v>
      </c>
      <c r="F37">
        <v>70541</v>
      </c>
      <c r="H37" t="s">
        <v>562</v>
      </c>
    </row>
    <row r="39">
      <c r="A39" t="s">
        <v>563</v>
      </c>
    </row>
    <row r="40">
      <c r="A40" t="s">
        <v>564</v>
      </c>
      <c r="B40">
        <v>1760</v>
      </c>
      <c r="C40">
        <v>1760</v>
      </c>
      <c r="D40">
        <v>1760</v>
      </c>
      <c r="E40">
        <v>1760</v>
      </c>
      <c r="F40">
        <v>1760</v>
      </c>
      <c r="H40" t="s">
        <v>565</v>
      </c>
    </row>
    <row r="41">
      <c r="A41" t="s">
        <v>566</v>
      </c>
      <c r="B41">
        <v>18116</v>
      </c>
      <c r="C41">
        <v>18822</v>
      </c>
      <c r="D41">
        <v>19209</v>
      </c>
      <c r="E41">
        <v>19801</v>
      </c>
      <c r="F41">
        <v>20581</v>
      </c>
      <c r="H41" t="s">
        <v>567</v>
      </c>
    </row>
    <row r="42">
      <c r="A42" t="s">
        <v>568</v>
      </c>
      <c r="B42">
        <v>69094</v>
      </c>
      <c r="C42">
        <v>71019</v>
      </c>
      <c r="D42">
        <v>73782</v>
      </c>
      <c r="E42">
        <v>76054</v>
      </c>
      <c r="F42">
        <v>80382</v>
      </c>
      <c r="H42" t="s">
        <v>569</v>
      </c>
    </row>
    <row r="43">
      <c r="A43" t="s">
        <v>570</v>
      </c>
      <c r="B43">
        <v>-14330</v>
      </c>
      <c r="C43">
        <v>-14895</v>
      </c>
      <c r="D43">
        <v>-14275</v>
      </c>
      <c r="E43">
        <v>-16843</v>
      </c>
      <c r="F43">
        <v>-14131</v>
      </c>
      <c r="H43" t="s">
        <v>571</v>
      </c>
    </row>
    <row r="44">
      <c r="A44" t="s">
        <v>572</v>
      </c>
      <c r="B44">
        <v>-51641</v>
      </c>
      <c r="C44">
        <v>-52601</v>
      </c>
      <c r="D44">
        <v>-54535</v>
      </c>
      <c r="E44">
        <v>-55916</v>
      </c>
      <c r="F44">
        <v>-56423</v>
      </c>
      <c r="H44" t="s">
        <v>573</v>
      </c>
    </row>
    <row r="45">
      <c r="A45" t="s">
        <v>574</v>
      </c>
      <c r="B45">
        <v>22999</v>
      </c>
      <c r="C45">
        <v>24105</v>
      </c>
      <c r="D45">
        <v>25941</v>
      </c>
      <c r="E45">
        <v>24856</v>
      </c>
      <c r="F45">
        <v>32169</v>
      </c>
      <c r="H45" t="s">
        <v>575</v>
      </c>
    </row>
    <row r="46">
      <c r="A46" t="s">
        <v>576</v>
      </c>
      <c r="B46">
        <v>1861</v>
      </c>
      <c r="C46">
        <v>1721</v>
      </c>
      <c r="D46">
        <v>1539</v>
      </c>
      <c r="E46">
        <v>1516</v>
      </c>
      <c r="F46">
        <v>2106</v>
      </c>
      <c r="H46" t="s">
        <v>577</v>
      </c>
    </row>
    <row r="47">
      <c r="A47" t="s">
        <v>578</v>
      </c>
      <c r="B47">
        <v>24860</v>
      </c>
      <c r="C47">
        <v>25826</v>
      </c>
      <c r="D47">
        <v>27480</v>
      </c>
      <c r="E47">
        <v>26372</v>
      </c>
      <c r="F47">
        <v>34275</v>
      </c>
      <c r="H47" t="s">
        <v>579</v>
      </c>
    </row>
    <row r="48">
      <c r="A48" t="s">
        <v>580</v>
      </c>
      <c r="B48">
        <v>94354</v>
      </c>
      <c r="C48">
        <v>92763</v>
      </c>
      <c r="D48">
        <v>97703</v>
      </c>
      <c r="E48">
        <v>100549</v>
      </c>
      <c r="F48">
        <v>104816</v>
      </c>
      <c r="H48" t="s">
        <v>581</v>
      </c>
    </row>
  </sheetData>
</worksheet>
</file>

<file path=xl/worksheets/sheet14.xml><?xml version="1.0" encoding="utf-8"?>
<worksheet xmlns="http://schemas.openxmlformats.org/spreadsheetml/2006/main" xmlns:r="http://schemas.openxmlformats.org/officeDocument/2006/relationships">
  <dimension ref="A1:H48"/>
  <sheetViews>
    <sheetView workbookViewId="0"/>
  </sheetViews>
  <sheetFormatPr defaultColWidth="8.375" defaultRowHeight="15"/>
  <sheetData>
    <row r="1">
      <c r="A1" t="s">
        <v>582</v>
      </c>
    </row>
    <row r="2">
      <c r="A2" t="s">
        <v>583</v>
      </c>
    </row>
    <row r="4">
      <c r="A4" t="s">
        <v>459</v>
      </c>
      <c r="B4" t="s">
        <v>460</v>
      </c>
      <c r="C4" t="s">
        <v>461</v>
      </c>
      <c r="D4" t="s">
        <v>462</v>
      </c>
      <c r="E4" t="s">
        <v>463</v>
      </c>
      <c r="F4" t="s">
        <v>464</v>
      </c>
      <c r="H4" t="s">
        <v>229</v>
      </c>
    </row>
    <row r="5">
      <c r="A5" t="s">
        <v>584</v>
      </c>
    </row>
    <row r="6">
      <c r="A6" t="s">
        <v>488</v>
      </c>
      <c r="B6">
        <v>9804</v>
      </c>
      <c r="C6">
        <v>9571</v>
      </c>
      <c r="D6">
        <v>10703</v>
      </c>
      <c r="E6">
        <v>10649</v>
      </c>
      <c r="F6">
        <v>13137</v>
      </c>
      <c r="H6" t="s">
        <v>585</v>
      </c>
    </row>
    <row r="7">
      <c r="A7" t="s">
        <v>586</v>
      </c>
      <c r="B7">
        <v>1452</v>
      </c>
      <c r="C7">
        <v>1260</v>
      </c>
      <c r="D7">
        <v>1128</v>
      </c>
      <c r="E7">
        <v>1075</v>
      </c>
      <c r="F7">
        <v>1050</v>
      </c>
      <c r="H7" t="s">
        <v>587</v>
      </c>
    </row>
    <row r="8">
      <c r="A8" t="s">
        <v>588</v>
      </c>
      <c r="B8">
        <v>337</v>
      </c>
      <c r="C8">
        <v>356</v>
      </c>
      <c r="D8">
        <v>254</v>
      </c>
      <c r="E8">
        <v>286</v>
      </c>
      <c r="F8">
        <v>279</v>
      </c>
      <c r="H8" t="s">
        <v>589</v>
      </c>
    </row>
    <row r="9">
      <c r="A9" t="s">
        <v>590</v>
      </c>
      <c r="B9">
        <v>894</v>
      </c>
      <c r="C9">
        <v>-122</v>
      </c>
      <c r="D9">
        <v>-2</v>
      </c>
      <c r="E9">
        <v>-11</v>
      </c>
      <c r="F9">
        <v>517</v>
      </c>
      <c r="H9" t="s">
        <v>591</v>
      </c>
    </row>
    <row r="10">
      <c r="A10" t="s">
        <v>592</v>
      </c>
      <c r="B10">
        <v>-615</v>
      </c>
      <c r="C10">
        <v>-838</v>
      </c>
      <c r="D10">
        <v>-1019</v>
      </c>
      <c r="E10">
        <v>-802</v>
      </c>
      <c r="F10">
        <v>-1038</v>
      </c>
      <c r="H10" t="s">
        <v>593</v>
      </c>
    </row>
    <row r="11">
      <c r="A11" t="s">
        <v>594</v>
      </c>
      <c r="C11">
        <v>203</v>
      </c>
      <c r="D11">
        <v>175</v>
      </c>
      <c r="E11">
        <v>-110</v>
      </c>
      <c r="F11">
        <v>191</v>
      </c>
      <c r="H11" t="s">
        <v>595</v>
      </c>
    </row>
    <row r="12">
      <c r="A12" t="s">
        <v>596</v>
      </c>
      <c r="D12">
        <v>-492</v>
      </c>
      <c r="E12">
        <v>-1737</v>
      </c>
      <c r="F12">
        <v>-713</v>
      </c>
      <c r="H12" t="s">
        <v>597</v>
      </c>
    </row>
    <row r="13">
      <c r="A13" t="s">
        <v>472</v>
      </c>
      <c r="B13">
        <v>506</v>
      </c>
      <c r="C13">
        <v>1086</v>
      </c>
      <c r="D13">
        <v>1741</v>
      </c>
      <c r="E13">
        <v>4000</v>
      </c>
      <c r="F13">
        <v>1052</v>
      </c>
      <c r="H13" t="s">
        <v>598</v>
      </c>
    </row>
    <row r="14">
      <c r="A14" t="s">
        <v>599</v>
      </c>
      <c r="D14">
        <v>-43</v>
      </c>
      <c r="E14">
        <v>-311</v>
      </c>
      <c r="F14">
        <v>141</v>
      </c>
      <c r="H14" t="s">
        <v>597</v>
      </c>
    </row>
    <row r="15">
      <c r="A15" t="s">
        <v>600</v>
      </c>
      <c r="B15">
        <v>1325</v>
      </c>
      <c r="C15">
        <v>-605</v>
      </c>
      <c r="D15">
        <v>-846</v>
      </c>
      <c r="E15">
        <v>-6234</v>
      </c>
      <c r="F15">
        <v>-7208</v>
      </c>
      <c r="H15" t="s">
        <v>601</v>
      </c>
    </row>
    <row r="16">
      <c r="A16" t="s">
        <v>602</v>
      </c>
      <c r="B16">
        <v>-1078</v>
      </c>
      <c r="C16">
        <v>107</v>
      </c>
      <c r="H16" t="s">
        <v>603</v>
      </c>
    </row>
    <row r="17">
      <c r="A17" t="s">
        <v>604</v>
      </c>
      <c r="B17">
        <v>12625</v>
      </c>
      <c r="C17">
        <v>11018</v>
      </c>
      <c r="D17">
        <v>11599</v>
      </c>
      <c r="E17">
        <v>6805</v>
      </c>
      <c r="F17">
        <v>7408</v>
      </c>
      <c r="H17" t="s">
        <v>605</v>
      </c>
    </row>
    <row r="19">
      <c r="A19" t="s">
        <v>606</v>
      </c>
    </row>
    <row r="20">
      <c r="A20" t="s">
        <v>607</v>
      </c>
      <c r="D20">
        <v>-6698</v>
      </c>
      <c r="E20">
        <v>-5640</v>
      </c>
      <c r="F20">
        <v>-6160</v>
      </c>
      <c r="H20" t="s">
        <v>608</v>
      </c>
    </row>
    <row r="21">
      <c r="A21" t="s">
        <v>609</v>
      </c>
      <c r="D21">
        <v>4354</v>
      </c>
      <c r="E21">
        <v>6589</v>
      </c>
      <c r="F21">
        <v>4665</v>
      </c>
      <c r="H21" t="s">
        <v>608</v>
      </c>
    </row>
    <row r="22">
      <c r="A22" t="s">
        <v>610</v>
      </c>
      <c r="D22">
        <v>-62</v>
      </c>
      <c r="E22">
        <v>-315</v>
      </c>
      <c r="F22">
        <v>-461</v>
      </c>
      <c r="H22" t="s">
        <v>608</v>
      </c>
    </row>
    <row r="23">
      <c r="A23" t="s">
        <v>611</v>
      </c>
      <c r="D23">
        <v>430</v>
      </c>
      <c r="E23">
        <v>3485</v>
      </c>
      <c r="F23">
        <v>3567</v>
      </c>
      <c r="H23" t="s">
        <v>608</v>
      </c>
    </row>
    <row r="24">
      <c r="A24" t="s">
        <v>612</v>
      </c>
      <c r="B24">
        <v>-1367</v>
      </c>
      <c r="C24">
        <v>-1484</v>
      </c>
      <c r="D24">
        <v>-1852</v>
      </c>
      <c r="E24">
        <v>-2064</v>
      </c>
      <c r="F24">
        <v>-2112</v>
      </c>
      <c r="H24" t="s">
        <v>613</v>
      </c>
    </row>
    <row r="25">
      <c r="A25" t="s">
        <v>614</v>
      </c>
      <c r="B25">
        <v>108</v>
      </c>
      <c r="C25">
        <v>75</v>
      </c>
      <c r="D25">
        <v>74</v>
      </c>
      <c r="E25">
        <v>40</v>
      </c>
      <c r="F25">
        <v>13</v>
      </c>
      <c r="H25" t="s">
        <v>615</v>
      </c>
    </row>
    <row r="26">
      <c r="A26" t="s">
        <v>616</v>
      </c>
      <c r="D26">
        <v>366</v>
      </c>
      <c r="E26">
        <v>235</v>
      </c>
      <c r="F26">
        <v>330</v>
      </c>
      <c r="H26" t="s">
        <v>608</v>
      </c>
    </row>
    <row r="27">
      <c r="A27" t="s">
        <v>617</v>
      </c>
      <c r="D27">
        <v>39</v>
      </c>
      <c r="E27">
        <v>194</v>
      </c>
      <c r="F27">
        <v>91</v>
      </c>
      <c r="H27" t="s">
        <v>608</v>
      </c>
    </row>
    <row r="28">
      <c r="A28" t="s">
        <v>618</v>
      </c>
      <c r="B28">
        <v>-1506</v>
      </c>
      <c r="C28">
        <v>646</v>
      </c>
      <c r="H28" t="s">
        <v>619</v>
      </c>
    </row>
    <row r="29">
      <c r="A29" t="s">
        <v>620</v>
      </c>
      <c r="B29">
        <v>-2765</v>
      </c>
      <c r="C29">
        <v>-763</v>
      </c>
      <c r="D29">
        <v>-3349</v>
      </c>
      <c r="E29">
        <v>2524</v>
      </c>
      <c r="F29">
        <v>-67</v>
      </c>
      <c r="H29" t="s">
        <v>621</v>
      </c>
    </row>
    <row r="31">
      <c r="A31" t="s">
        <v>622</v>
      </c>
    </row>
    <row r="32">
      <c r="A32" t="s">
        <v>623</v>
      </c>
      <c r="D32">
        <v>6891</v>
      </c>
      <c r="E32">
        <v>12061</v>
      </c>
      <c r="F32">
        <v>4980</v>
      </c>
      <c r="H32" t="s">
        <v>608</v>
      </c>
    </row>
    <row r="33">
      <c r="A33" t="s">
        <v>624</v>
      </c>
      <c r="D33">
        <v>-5034</v>
      </c>
      <c r="E33">
        <v>-9533</v>
      </c>
      <c r="F33">
        <v>-4967</v>
      </c>
      <c r="H33" t="s">
        <v>608</v>
      </c>
    </row>
    <row r="34">
      <c r="A34" t="s">
        <v>625</v>
      </c>
      <c r="B34">
        <v>702</v>
      </c>
      <c r="C34">
        <v>837</v>
      </c>
      <c r="D34">
        <v>539</v>
      </c>
      <c r="E34">
        <v>747</v>
      </c>
      <c r="F34">
        <v>313</v>
      </c>
      <c r="H34" t="s">
        <v>626</v>
      </c>
    </row>
    <row r="35">
      <c r="A35" t="s">
        <v>627</v>
      </c>
      <c r="B35">
        <v>-111</v>
      </c>
      <c r="C35">
        <v>-1418</v>
      </c>
      <c r="D35">
        <v>-2289</v>
      </c>
      <c r="E35">
        <v>-1795</v>
      </c>
      <c r="F35">
        <v>-746</v>
      </c>
      <c r="H35" t="s">
        <v>628</v>
      </c>
    </row>
    <row r="36">
      <c r="A36" t="s">
        <v>629</v>
      </c>
      <c r="B36">
        <v>-7252</v>
      </c>
      <c r="C36">
        <v>-7616</v>
      </c>
      <c r="D36">
        <v>-7952</v>
      </c>
      <c r="E36">
        <v>-8359</v>
      </c>
      <c r="F36">
        <v>-8779</v>
      </c>
      <c r="H36" t="s">
        <v>630</v>
      </c>
    </row>
    <row r="37">
      <c r="A37" t="s">
        <v>631</v>
      </c>
      <c r="D37">
        <v>0</v>
      </c>
      <c r="E37">
        <v>0</v>
      </c>
      <c r="F37">
        <v>1338</v>
      </c>
      <c r="H37" t="s">
        <v>632</v>
      </c>
    </row>
    <row r="38">
      <c r="A38" t="s">
        <v>633</v>
      </c>
      <c r="B38">
        <v>-353</v>
      </c>
      <c r="C38">
        <v>-1095</v>
      </c>
      <c r="D38">
        <v>-465</v>
      </c>
      <c r="E38">
        <v>-31</v>
      </c>
      <c r="F38">
        <v>-279</v>
      </c>
      <c r="H38" t="s">
        <v>634</v>
      </c>
    </row>
    <row r="39">
      <c r="A39" t="s">
        <v>635</v>
      </c>
      <c r="B39">
        <v>228</v>
      </c>
      <c r="C39">
        <v>-958</v>
      </c>
      <c r="H39" t="s">
        <v>636</v>
      </c>
    </row>
    <row r="40">
      <c r="A40" t="s">
        <v>637</v>
      </c>
      <c r="B40">
        <v>-6786</v>
      </c>
      <c r="C40">
        <v>-10250</v>
      </c>
      <c r="D40">
        <v>-8310</v>
      </c>
      <c r="E40">
        <v>-6910</v>
      </c>
      <c r="F40">
        <v>-8140</v>
      </c>
      <c r="H40" t="s">
        <v>638</v>
      </c>
    </row>
    <row r="42">
      <c r="A42" t="s">
        <v>639</v>
      </c>
    </row>
    <row r="43">
      <c r="A43" t="s">
        <v>640</v>
      </c>
      <c r="B43">
        <v>-159</v>
      </c>
      <c r="C43">
        <v>-205</v>
      </c>
      <c r="D43">
        <v>-73</v>
      </c>
      <c r="E43">
        <v>-623</v>
      </c>
      <c r="F43">
        <v>321</v>
      </c>
      <c r="H43" t="s">
        <v>641</v>
      </c>
    </row>
    <row r="44">
      <c r="A44" t="s">
        <v>642</v>
      </c>
      <c r="B44">
        <v>2915</v>
      </c>
      <c r="C44">
        <v>-200</v>
      </c>
      <c r="D44">
        <v>-133</v>
      </c>
      <c r="E44">
        <v>1796</v>
      </c>
      <c r="F44">
        <v>-478</v>
      </c>
      <c r="H44" t="s">
        <v>643</v>
      </c>
    </row>
    <row r="45">
      <c r="A45" t="s">
        <v>644</v>
      </c>
      <c r="B45">
        <v>7110</v>
      </c>
      <c r="C45">
        <v>10025</v>
      </c>
      <c r="D45">
        <v>9825</v>
      </c>
      <c r="E45">
        <v>9692</v>
      </c>
      <c r="F45">
        <v>11488</v>
      </c>
      <c r="H45" t="s">
        <v>645</v>
      </c>
    </row>
    <row r="46">
      <c r="A46" t="s">
        <v>646</v>
      </c>
      <c r="B46">
        <v>10025</v>
      </c>
      <c r="C46">
        <v>9825</v>
      </c>
      <c r="D46">
        <v>9692</v>
      </c>
      <c r="E46">
        <v>11488</v>
      </c>
      <c r="F46">
        <v>11010</v>
      </c>
      <c r="H46" t="s">
        <v>647</v>
      </c>
    </row>
    <row r="47">
      <c r="A47" t="s">
        <v>648</v>
      </c>
      <c r="D47">
        <v>326</v>
      </c>
      <c r="E47">
        <v>660</v>
      </c>
      <c r="F47">
        <v>740</v>
      </c>
      <c r="H47" t="s">
        <v>649</v>
      </c>
    </row>
    <row r="48">
      <c r="A48" t="s">
        <v>650</v>
      </c>
      <c r="B48">
        <v>9684</v>
      </c>
      <c r="C48">
        <v>9519</v>
      </c>
      <c r="D48">
        <v>9366</v>
      </c>
      <c r="E48">
        <v>10828</v>
      </c>
      <c r="F48">
        <v>10270</v>
      </c>
      <c r="H48" t="s">
        <v>651</v>
      </c>
    </row>
  </sheetData>
</worksheet>
</file>

<file path=xl/worksheets/sheet15.xml><?xml version="1.0" encoding="utf-8"?>
<worksheet xmlns="http://schemas.openxmlformats.org/spreadsheetml/2006/main" xmlns:r="http://schemas.openxmlformats.org/officeDocument/2006/relationships">
  <dimension ref="A1:H52"/>
  <sheetViews>
    <sheetView workbookViewId="0"/>
  </sheetViews>
  <sheetFormatPr defaultColWidth="8.375" defaultRowHeight="15"/>
  <sheetData>
    <row r="1">
      <c r="A1" t="s">
        <v>652</v>
      </c>
    </row>
    <row r="2">
      <c r="A2" t="s">
        <v>653</v>
      </c>
      <c r="B2" t="str">
        <f>IF(COUNTIF(H5:H52,"FAIL")=0,"OK — ALL TIE-OUTS PASS","FAIL")</f>
        <v>FAIL</v>
      </c>
    </row>
    <row r="3">
      <c r="A3" t="s">
        <v>654</v>
      </c>
      <c r="B3" t="str">
        <f>COUNTIF(H5:H52,"PASS")&amp;" PASS / "&amp;(COUNTIF(H5:H52,"PASS")+COUNTIF(H5:H52,"FAIL"))&amp;" checks"</f>
        <v>46 PASS / 47 checks</v>
      </c>
    </row>
    <row r="4">
      <c r="A4" t="s">
        <v>655</v>
      </c>
      <c r="B4" t="s">
        <v>460</v>
      </c>
      <c r="C4" t="s">
        <v>461</v>
      </c>
      <c r="D4" t="s">
        <v>462</v>
      </c>
      <c r="E4" t="s">
        <v>463</v>
      </c>
      <c r="F4" t="s">
        <v>464</v>
      </c>
      <c r="H4" t="s">
        <v>230</v>
      </c>
    </row>
    <row r="5">
      <c r="A5" t="s">
        <v>656</v>
      </c>
      <c r="B5">
        <f>IS_Hist!B5-IS_Hist!B6-IS_Hist!B7</f>
        <v>0</v>
      </c>
      <c r="C5">
        <f>IS_Hist!C5-IS_Hist!C6-IS_Hist!C7</f>
        <v>0</v>
      </c>
      <c r="D5">
        <f>IS_Hist!D5-IS_Hist!D6-IS_Hist!D7</f>
        <v>0</v>
      </c>
      <c r="E5">
        <f>IS_Hist!E5-IS_Hist!E6-IS_Hist!E7</f>
        <v>0</v>
      </c>
      <c r="F5">
        <f>IS_Hist!F5-IS_Hist!F6-IS_Hist!F7</f>
        <v>0</v>
      </c>
      <c r="H5" t="str">
        <f>IF(AND(ABS(N(B5))&lt;=5,ABS(N(C5))&lt;=5,ABS(N(D5))&lt;=5,ABS(N(E5))&lt;=5,ABS(N(F5))&lt;=5),"PASS","FAIL")</f>
        <v>PASS</v>
      </c>
    </row>
    <row r="6">
      <c r="A6" t="s">
        <v>657</v>
      </c>
      <c r="B6">
        <f>IS_Hist!B7-IS_Hist!B8-IS_Hist!B9-IS_Hist!B10</f>
        <v>0</v>
      </c>
      <c r="C6">
        <f>IS_Hist!C7-IS_Hist!C8-IS_Hist!C9-IS_Hist!C10</f>
        <v>0</v>
      </c>
      <c r="D6">
        <f>IS_Hist!D7-IS_Hist!D8-IS_Hist!D9-IS_Hist!D10</f>
        <v>0</v>
      </c>
      <c r="E6">
        <f>IS_Hist!E7-IS_Hist!E8-IS_Hist!E9-IS_Hist!E10</f>
        <v>0</v>
      </c>
      <c r="F6">
        <f>IS_Hist!F7-IS_Hist!F8-IS_Hist!F9-IS_Hist!F10</f>
        <v>0</v>
      </c>
      <c r="H6" t="str">
        <f>IF(AND(ABS(N(B6))&lt;=5,ABS(N(C6))&lt;=5,ABS(N(D6))&lt;=5,ABS(N(E6))&lt;=5,ABS(N(F6))&lt;=5),"PASS","FAIL")</f>
        <v>PASS</v>
      </c>
    </row>
    <row r="7">
      <c r="A7" t="s">
        <v>658</v>
      </c>
      <c r="B7">
        <f>IS_Hist!B10+IS_Hist!B11-IS_Hist!B12+IS_Hist!B13+IS_Hist!B14-IS_Hist!B15</f>
        <v>0</v>
      </c>
      <c r="C7">
        <f>IS_Hist!C10+IS_Hist!C11-IS_Hist!C12+IS_Hist!C13+IS_Hist!C14-IS_Hist!C15</f>
        <v>0</v>
      </c>
      <c r="D7">
        <f>IS_Hist!D10+IS_Hist!D11-IS_Hist!D12+IS_Hist!D13+IS_Hist!D14-IS_Hist!D15</f>
        <v>0</v>
      </c>
      <c r="E7">
        <f>IS_Hist!E10+IS_Hist!E11-IS_Hist!E12+IS_Hist!E13+IS_Hist!E14-IS_Hist!E15</f>
        <v>0</v>
      </c>
      <c r="F7">
        <f>IS_Hist!F10+IS_Hist!F11-IS_Hist!F12+IS_Hist!F13+IS_Hist!F14-IS_Hist!F15</f>
        <v>0</v>
      </c>
      <c r="H7" t="str">
        <f>IF(AND(ABS(N(B7))&lt;=5,ABS(N(C7))&lt;=5,ABS(N(D7))&lt;=5,ABS(N(E7))&lt;=5,ABS(N(F7))&lt;=5),"PASS","FAIL")</f>
        <v>PASS</v>
      </c>
    </row>
    <row r="8">
      <c r="A8" t="s">
        <v>659</v>
      </c>
      <c r="B8">
        <f>IS_Hist!B15-IS_Hist!B16-IS_Hist!B17</f>
        <v>0</v>
      </c>
      <c r="C8">
        <f>IS_Hist!C15-IS_Hist!C16-IS_Hist!C17</f>
        <v>0</v>
      </c>
      <c r="D8">
        <f>IS_Hist!D15-IS_Hist!D16-IS_Hist!D17</f>
        <v>0</v>
      </c>
      <c r="E8">
        <f>IS_Hist!E15-IS_Hist!E16-IS_Hist!E17</f>
        <v>0</v>
      </c>
      <c r="F8">
        <f>IS_Hist!F15-IS_Hist!F16-IS_Hist!F17</f>
        <v>0</v>
      </c>
      <c r="H8" t="str">
        <f>IF(AND(ABS(N(B8))&lt;=5,ABS(N(C8))&lt;=5,ABS(N(D8))&lt;=5,ABS(N(E8))&lt;=5,ABS(N(F8))&lt;=5),"PASS","FAIL")</f>
        <v>PASS</v>
      </c>
    </row>
    <row r="9">
      <c r="A9" t="s">
        <v>660</v>
      </c>
      <c r="B9">
        <f>IS_Hist!B17-IS_Hist!B18-IS_Hist!B19</f>
        <v>0</v>
      </c>
      <c r="C9">
        <f>IS_Hist!C17-IS_Hist!C18-IS_Hist!C19</f>
        <v>0</v>
      </c>
      <c r="D9">
        <f>IS_Hist!D17-IS_Hist!D18-IS_Hist!D19</f>
        <v>0</v>
      </c>
      <c r="E9">
        <f>IS_Hist!E17-IS_Hist!E18-IS_Hist!E19</f>
        <v>0</v>
      </c>
      <c r="F9">
        <f>IS_Hist!F17-IS_Hist!F18-IS_Hist!F19</f>
        <v>0</v>
      </c>
      <c r="H9" t="str">
        <f>IF(AND(ABS(N(B9))&lt;=5,ABS(N(C9))&lt;=5,ABS(N(D9))&lt;=5,ABS(N(E9))&lt;=5,ABS(N(F9))&lt;=5),"PASS","FAIL")</f>
        <v>PASS</v>
      </c>
    </row>
    <row r="10">
      <c r="A10" t="s">
        <v>661</v>
      </c>
      <c r="B10">
        <f>SUM(BS_Hist!B6:B11)-BS_Hist!B13</f>
        <v>0</v>
      </c>
      <c r="C10">
        <f>SUM(BS_Hist!C6:C11)-BS_Hist!C13</f>
        <v>0</v>
      </c>
      <c r="D10">
        <f>SUM(BS_Hist!D6:D11)-BS_Hist!D13</f>
        <v>0</v>
      </c>
      <c r="E10">
        <f>SUM(BS_Hist!E6:E12)-BS_Hist!E13</f>
        <v>0</v>
      </c>
      <c r="F10">
        <f>SUM(BS_Hist!F6:F12)-BS_Hist!F13</f>
        <v>0</v>
      </c>
      <c r="H10" t="str">
        <f>IF(AND(ABS(N(B10))&lt;=5,ABS(N(C10))&lt;=5,ABS(N(D10))&lt;=5,ABS(N(E10))&lt;=5,ABS(N(F10))&lt;=5),"PASS","FAIL")</f>
        <v>PASS</v>
      </c>
    </row>
    <row r="11">
      <c r="A11" t="s">
        <v>662</v>
      </c>
      <c r="B11">
        <f>BS_Hist!B23-BS_Hist!B13-BS_Hist!B22</f>
        <v>0</v>
      </c>
      <c r="C11">
        <f>BS_Hist!C23-BS_Hist!C13-BS_Hist!C22</f>
        <v>0</v>
      </c>
      <c r="D11">
        <f>BS_Hist!D23-BS_Hist!D13-BS_Hist!D22</f>
        <v>0</v>
      </c>
      <c r="E11">
        <f>BS_Hist!E23-BS_Hist!E13-BS_Hist!E22</f>
        <v>0</v>
      </c>
      <c r="F11">
        <f>BS_Hist!F23-BS_Hist!F13-BS_Hist!F22</f>
        <v>0</v>
      </c>
      <c r="H11" t="str">
        <f>IF(AND(ABS(N(B11))&lt;=5,ABS(N(C11))&lt;=5,ABS(N(D11))&lt;=5,ABS(N(E11))&lt;=5,ABS(N(F11))&lt;=5),"PASS","FAIL")</f>
        <v>PASS</v>
      </c>
    </row>
    <row r="12">
      <c r="A12" t="s">
        <v>663</v>
      </c>
      <c r="B12">
        <f>SUM(BS_Hist!B15:B21)-BS_Hist!B22</f>
        <v>0</v>
      </c>
      <c r="C12">
        <f>SUM(BS_Hist!C15:C21)-BS_Hist!C22</f>
        <v>0</v>
      </c>
      <c r="D12">
        <f>SUM(BS_Hist!D15:D21)-BS_Hist!D22</f>
        <v>0</v>
      </c>
      <c r="E12">
        <f>SUM(BS_Hist!E15:E21)-BS_Hist!E22</f>
        <v>0</v>
      </c>
      <c r="F12">
        <f>SUM(BS_Hist!F15:F21)-BS_Hist!F22</f>
        <v>0</v>
      </c>
      <c r="H12" t="str">
        <f>IF(AND(ABS(N(B12))&lt;=5,ABS(N(C12))&lt;=5,ABS(N(D12))&lt;=5,ABS(N(E12))&lt;=5,ABS(N(F12))&lt;=5),"PASS","FAIL")</f>
        <v>PASS</v>
      </c>
    </row>
    <row r="13">
      <c r="A13" t="s">
        <v>664</v>
      </c>
      <c r="B13">
        <f>BS_Hist!B13+BS_Hist!B22-BS_Hist!B23</f>
        <v>0</v>
      </c>
      <c r="C13">
        <f>BS_Hist!C13+BS_Hist!C22-BS_Hist!C23</f>
        <v>0</v>
      </c>
      <c r="D13">
        <f>BS_Hist!D13+BS_Hist!D22-BS_Hist!D23</f>
        <v>0</v>
      </c>
      <c r="E13">
        <f>BS_Hist!E13+BS_Hist!E22-BS_Hist!E23</f>
        <v>0</v>
      </c>
      <c r="F13">
        <f>BS_Hist!F13+BS_Hist!F22-BS_Hist!F23</f>
        <v>0</v>
      </c>
      <c r="H13" t="str">
        <f>IF(AND(ABS(N(B13))&lt;=5,ABS(N(C13))&lt;=5,ABS(N(D13))&lt;=5,ABS(N(E13))&lt;=5,ABS(N(F13))&lt;=5),"PASS","FAIL")</f>
        <v>PASS</v>
      </c>
    </row>
    <row r="14">
      <c r="A14" t="s">
        <v>665</v>
      </c>
      <c r="B14">
        <f>SUM(BS_Hist!B26:B29)-BS_Hist!B31</f>
        <v>0</v>
      </c>
      <c r="C14">
        <f>SUM(BS_Hist!C26:C29)-BS_Hist!C31</f>
        <v>0</v>
      </c>
      <c r="D14">
        <f>SUM(BS_Hist!D26:D29)-BS_Hist!D31</f>
        <v>0</v>
      </c>
      <c r="E14">
        <f>SUM(BS_Hist!E26:E30)-BS_Hist!E31</f>
        <v>0</v>
      </c>
      <c r="F14">
        <f>SUM(BS_Hist!F26:F30)-BS_Hist!F31</f>
        <v>0</v>
      </c>
      <c r="H14" t="str">
        <f>IF(AND(ABS(N(B14))&lt;=5,ABS(N(C14))&lt;=5,ABS(N(D14))&lt;=5,ABS(N(E14))&lt;=5,ABS(N(F14))&lt;=5),"PASS","FAIL")</f>
        <v>PASS</v>
      </c>
    </row>
    <row r="15">
      <c r="A15" t="s">
        <v>666</v>
      </c>
      <c r="B15">
        <f>SUM(BS_Hist!B33:B35)-BS_Hist!B36</f>
        <v>0</v>
      </c>
      <c r="C15">
        <f>SUM(BS_Hist!C33:C35)-BS_Hist!C36</f>
        <v>0</v>
      </c>
      <c r="D15">
        <f>SUM(BS_Hist!D33:D35)-BS_Hist!D36</f>
        <v>0</v>
      </c>
      <c r="E15">
        <f>SUM(BS_Hist!E33:E35)-BS_Hist!E36</f>
        <v>0</v>
      </c>
      <c r="F15">
        <f>SUM(BS_Hist!F33:F35)-BS_Hist!F36</f>
        <v>0</v>
      </c>
      <c r="H15" t="str">
        <f>IF(AND(ABS(N(B15))&lt;=5,ABS(N(C15))&lt;=5,ABS(N(D15))&lt;=5,ABS(N(E15))&lt;=5,ABS(N(F15))&lt;=5),"PASS","FAIL")</f>
        <v>PASS</v>
      </c>
    </row>
    <row r="16">
      <c r="A16" t="s">
        <v>667</v>
      </c>
      <c r="B16">
        <f>BS_Hist!B31+BS_Hist!B36-BS_Hist!B37</f>
        <v>0</v>
      </c>
      <c r="C16">
        <f>BS_Hist!C31+BS_Hist!C36-BS_Hist!C37</f>
        <v>0</v>
      </c>
      <c r="D16">
        <f>BS_Hist!D31+BS_Hist!D36-BS_Hist!D37</f>
        <v>0</v>
      </c>
      <c r="E16">
        <f>BS_Hist!E31+BS_Hist!E36-BS_Hist!E37</f>
        <v>0</v>
      </c>
      <c r="F16">
        <f>BS_Hist!F31+BS_Hist!F36-BS_Hist!F37</f>
        <v>0</v>
      </c>
      <c r="H16" t="str">
        <f>IF(AND(ABS(N(B16))&lt;=5,ABS(N(C16))&lt;=5,ABS(N(D16))&lt;=5,ABS(N(E16))&lt;=5,ABS(N(F16))&lt;=5),"PASS","FAIL")</f>
        <v>PASS</v>
      </c>
    </row>
    <row r="17">
      <c r="A17" t="s">
        <v>668</v>
      </c>
      <c r="B17">
        <f>SUM(BS_Hist!B40:B44)-BS_Hist!B45</f>
        <v>0</v>
      </c>
      <c r="C17">
        <f>SUM(BS_Hist!C40:C44)-BS_Hist!C45</f>
        <v>0</v>
      </c>
      <c r="D17">
        <f>SUM(BS_Hist!D40:D44)-BS_Hist!D45</f>
        <v>0</v>
      </c>
      <c r="E17">
        <f>SUM(BS_Hist!E40:E44)-BS_Hist!E45</f>
        <v>0</v>
      </c>
      <c r="F17">
        <f>SUM(BS_Hist!F40:F44)-BS_Hist!F45</f>
        <v>0</v>
      </c>
      <c r="H17" t="str">
        <f>IF(AND(ABS(N(B17))&lt;=5,ABS(N(C17))&lt;=5,ABS(N(D17))&lt;=5,ABS(N(E17))&lt;=5,ABS(N(F17))&lt;=5),"PASS","FAIL")</f>
        <v>PASS</v>
      </c>
    </row>
    <row r="18">
      <c r="A18" t="s">
        <v>669</v>
      </c>
      <c r="B18">
        <f>BS_Hist!B45+BS_Hist!B46-BS_Hist!B47</f>
        <v>0</v>
      </c>
      <c r="C18">
        <f>BS_Hist!C45+BS_Hist!C46-BS_Hist!C47</f>
        <v>0</v>
      </c>
      <c r="D18">
        <f>BS_Hist!D45+BS_Hist!D46-BS_Hist!D47</f>
        <v>0</v>
      </c>
      <c r="E18">
        <f>BS_Hist!E45+BS_Hist!E46-BS_Hist!E47</f>
        <v>0</v>
      </c>
      <c r="F18">
        <f>BS_Hist!F45+BS_Hist!F46-BS_Hist!F47</f>
        <v>0</v>
      </c>
      <c r="H18" t="str">
        <f>IF(AND(ABS(N(B18))&lt;=5,ABS(N(C18))&lt;=5,ABS(N(D18))&lt;=5,ABS(N(E18))&lt;=5,ABS(N(F18))&lt;=5),"PASS","FAIL")</f>
        <v>PASS</v>
      </c>
    </row>
    <row r="19">
      <c r="A19" t="s">
        <v>670</v>
      </c>
      <c r="B19">
        <f>BS_Hist!B37+BS_Hist!B47-BS_Hist!B48</f>
        <v>0</v>
      </c>
      <c r="C19">
        <f>BS_Hist!C37+BS_Hist!C47-BS_Hist!C48</f>
        <v>0</v>
      </c>
      <c r="D19">
        <f>BS_Hist!D37+BS_Hist!D47-BS_Hist!D48</f>
        <v>0</v>
      </c>
      <c r="E19">
        <f>BS_Hist!E37+BS_Hist!E47-BS_Hist!E48</f>
        <v>0</v>
      </c>
      <c r="F19">
        <f>BS_Hist!F37+BS_Hist!F47-BS_Hist!F48</f>
        <v>0</v>
      </c>
      <c r="H19" t="str">
        <f>IF(AND(ABS(N(B19))&lt;=5,ABS(N(C19))&lt;=5,ABS(N(D19))&lt;=5,ABS(N(E19))&lt;=5,ABS(N(F19))&lt;=5),"PASS","FAIL")</f>
        <v>PASS</v>
      </c>
    </row>
    <row r="20">
      <c r="A20" t="s">
        <v>671</v>
      </c>
      <c r="B20">
        <f>BS_Hist!B23-BS_Hist!B48</f>
        <v>0</v>
      </c>
      <c r="C20">
        <f>BS_Hist!C23-BS_Hist!C48</f>
        <v>0</v>
      </c>
      <c r="D20">
        <f>BS_Hist!D23-BS_Hist!D48</f>
        <v>0</v>
      </c>
      <c r="E20">
        <f>BS_Hist!E23-BS_Hist!E48</f>
        <v>0</v>
      </c>
      <c r="F20">
        <f>BS_Hist!F23-BS_Hist!F48</f>
        <v>0</v>
      </c>
      <c r="H20" t="str">
        <f>IF(AND(ABS(N(B20))&lt;=5,ABS(N(C20))&lt;=5,ABS(N(D20))&lt;=5,ABS(N(E20))&lt;=5,ABS(N(F20))&lt;=5),"PASS","FAIL")</f>
        <v>PASS</v>
      </c>
    </row>
    <row r="21">
      <c r="A21" t="s">
        <v>672</v>
      </c>
      <c r="B21">
        <f>0</f>
        <v>0</v>
      </c>
      <c r="C21">
        <f>BS_Hist!B42+IS_Hist!C19+CF_Hist!C36-BS_Hist!C42</f>
        <v>1</v>
      </c>
      <c r="D21">
        <f>BS_Hist!C42+IS_Hist!D19+CF_Hist!D36-BS_Hist!D42</f>
        <v>-1</v>
      </c>
      <c r="E21">
        <f>BS_Hist!D42+IS_Hist!E19+CF_Hist!E36-BS_Hist!E42</f>
        <v>0</v>
      </c>
      <c r="F21">
        <f>BS_Hist!E42+IS_Hist!F19+CF_Hist!F36-BS_Hist!F42</f>
        <v>0</v>
      </c>
      <c r="H21" t="str">
        <f>IF(AND(ABS(N(B21))&lt;=5,ABS(N(C21))&lt;=5,ABS(N(D21))&lt;=5,ABS(N(E21))&lt;=5,ABS(N(F21))&lt;=5),"PASS","FAIL")</f>
        <v>PASS</v>
      </c>
    </row>
    <row r="22">
      <c r="A22" t="s">
        <v>673</v>
      </c>
      <c r="B22">
        <f>SUM(CF_Hist!B6:B16)-CF_Hist!B17</f>
        <v>0</v>
      </c>
      <c r="C22">
        <f>SUM(CF_Hist!C6:C16)-CF_Hist!C17</f>
        <v>0</v>
      </c>
      <c r="D22">
        <f>SUM(CF_Hist!D6:D16)-CF_Hist!D17</f>
        <v>0</v>
      </c>
      <c r="E22">
        <f>SUM(CF_Hist!E6:E16)-CF_Hist!E17</f>
        <v>0</v>
      </c>
      <c r="F22">
        <f>SUM(CF_Hist!F6:F16)-CF_Hist!F17</f>
        <v>0</v>
      </c>
      <c r="H22" t="str">
        <f>IF(AND(ABS(N(B22))&lt;=5,ABS(N(C22))&lt;=5,ABS(N(D22))&lt;=5,ABS(N(E22))&lt;=5,ABS(N(F22))&lt;=5),"PASS","FAIL")</f>
        <v>PASS</v>
      </c>
    </row>
    <row r="23">
      <c r="A23" t="s">
        <v>674</v>
      </c>
      <c r="B23">
        <f>SUM(CF_Hist!B20:B28)-CF_Hist!B29</f>
        <v>0</v>
      </c>
      <c r="C23">
        <f>SUM(CF_Hist!C20:C28)-CF_Hist!C29</f>
        <v>0</v>
      </c>
      <c r="D23">
        <f>SUM(CF_Hist!D20:D28)-CF_Hist!D29</f>
        <v>0</v>
      </c>
      <c r="E23">
        <f>SUM(CF_Hist!E20:E28)-CF_Hist!E29</f>
        <v>0</v>
      </c>
      <c r="F23">
        <f>SUM(CF_Hist!F20:F28)-CF_Hist!F29</f>
        <v>0</v>
      </c>
      <c r="H23" t="str">
        <f>IF(AND(ABS(N(B23))&lt;=5,ABS(N(C23))&lt;=5,ABS(N(D23))&lt;=5,ABS(N(E23))&lt;=5,ABS(N(F23))&lt;=5),"PASS","FAIL")</f>
        <v>PASS</v>
      </c>
    </row>
    <row r="24">
      <c r="A24" t="s">
        <v>675</v>
      </c>
      <c r="B24">
        <f>SUM(CF_Hist!B32:B39)-CF_Hist!B40</f>
        <v>0</v>
      </c>
      <c r="C24">
        <f>SUM(CF_Hist!C32:C39)-CF_Hist!C40</f>
        <v>0</v>
      </c>
      <c r="D24">
        <f>SUM(CF_Hist!D32:D39)-CF_Hist!D40</f>
        <v>0</v>
      </c>
      <c r="E24">
        <f>SUM(CF_Hist!E32:E39)-CF_Hist!E40</f>
        <v>0</v>
      </c>
      <c r="F24">
        <f>SUM(CF_Hist!F32:F39)-CF_Hist!F40</f>
        <v>0</v>
      </c>
      <c r="H24" t="str">
        <f>IF(AND(ABS(N(B24))&lt;=5,ABS(N(C24))&lt;=5,ABS(N(D24))&lt;=5,ABS(N(E24))&lt;=5,ABS(N(F24))&lt;=5),"PASS","FAIL")</f>
        <v>PASS</v>
      </c>
    </row>
    <row r="25">
      <c r="A25" t="s">
        <v>676</v>
      </c>
      <c r="B25">
        <f>CF_Hist!B17+CF_Hist!B29+CF_Hist!B40+CF_Hist!B43-CF_Hist!B44</f>
        <v>0</v>
      </c>
      <c r="C25">
        <f>CF_Hist!C17+CF_Hist!C29+CF_Hist!C40+CF_Hist!C43-CF_Hist!C44</f>
        <v>0</v>
      </c>
      <c r="D25">
        <f>CF_Hist!D17+CF_Hist!D29+CF_Hist!D40+CF_Hist!D43-CF_Hist!D44</f>
        <v>0</v>
      </c>
      <c r="E25">
        <f>CF_Hist!E17+CF_Hist!E29+CF_Hist!E40+CF_Hist!E43-CF_Hist!E44</f>
        <v>0</v>
      </c>
      <c r="F25">
        <f>CF_Hist!F17+CF_Hist!F29+CF_Hist!F40+CF_Hist!F43-CF_Hist!F44</f>
        <v>0</v>
      </c>
      <c r="H25" t="str">
        <f>IF(AND(ABS(N(B25))&lt;=5,ABS(N(C25))&lt;=5,ABS(N(D25))&lt;=5,ABS(N(E25))&lt;=5,ABS(N(F25))&lt;=5),"PASS","FAIL")</f>
        <v>PASS</v>
      </c>
    </row>
    <row r="26">
      <c r="A26" t="s">
        <v>677</v>
      </c>
      <c r="B26">
        <f>CF_Hist!B45+CF_Hist!B44-CF_Hist!B46</f>
        <v>0</v>
      </c>
      <c r="C26">
        <f>CF_Hist!C45+CF_Hist!C44-CF_Hist!C46</f>
        <v>0</v>
      </c>
      <c r="D26">
        <f>CF_Hist!D45+CF_Hist!D44-CF_Hist!D46</f>
        <v>0</v>
      </c>
      <c r="E26">
        <f>CF_Hist!E45+CF_Hist!E44-CF_Hist!E46</f>
        <v>0</v>
      </c>
      <c r="F26">
        <f>CF_Hist!F45+CF_Hist!F44-CF_Hist!F46</f>
        <v>0</v>
      </c>
      <c r="H26" t="str">
        <f>IF(AND(ABS(N(B26))&lt;=5,ABS(N(C26))&lt;=5,ABS(N(D26))&lt;=5,ABS(N(E26))&lt;=5,ABS(N(F26))&lt;=5),"PASS","FAIL")</f>
        <v>PASS</v>
      </c>
    </row>
    <row r="27">
      <c r="A27" t="s">
        <v>678</v>
      </c>
      <c r="B27">
        <f>0</f>
        <v>0</v>
      </c>
      <c r="C27">
        <f>CF_Hist!C45-CF_Hist!B46</f>
        <v>0</v>
      </c>
      <c r="D27">
        <f>CF_Hist!D45-CF_Hist!C46</f>
        <v>0</v>
      </c>
      <c r="E27">
        <f>CF_Hist!E45-CF_Hist!D46</f>
        <v>0</v>
      </c>
      <c r="F27">
        <f>CF_Hist!F45-CF_Hist!E46</f>
        <v>0</v>
      </c>
      <c r="H27" t="str">
        <f>IF(AND(ABS(N(B27))&lt;=5,ABS(N(C27))&lt;=5,ABS(N(D27))&lt;=5,ABS(N(E27))&lt;=5,ABS(N(F27))&lt;=5),"PASS","FAIL")</f>
        <v>PASS</v>
      </c>
    </row>
    <row r="28">
      <c r="A28" t="s">
        <v>679</v>
      </c>
      <c r="B28">
        <f>CF_Hist!B6-IS_Hist!B17</f>
        <v>0</v>
      </c>
      <c r="C28">
        <f>CF_Hist!C6-IS_Hist!C17</f>
        <v>0</v>
      </c>
      <c r="D28">
        <f>CF_Hist!D6-IS_Hist!D17</f>
        <v>0</v>
      </c>
      <c r="E28">
        <f>CF_Hist!E6-IS_Hist!E17</f>
        <v>0</v>
      </c>
      <c r="F28">
        <f>CF_Hist!F6-IS_Hist!F17</f>
        <v>0</v>
      </c>
      <c r="H28" t="str">
        <f>IF(AND(ABS(N(B28))&lt;=5,ABS(N(C28))&lt;=5,ABS(N(D28))&lt;=5,ABS(N(E28))&lt;=5,ABS(N(F28))&lt;=5),"PASS","FAIL")</f>
        <v>PASS</v>
      </c>
    </row>
    <row r="29">
      <c r="A29" t="s">
        <v>680</v>
      </c>
      <c r="B29">
        <f>BS_Hist!B6-CF_Hist!B48</f>
        <v>0</v>
      </c>
      <c r="C29">
        <f>BS_Hist!C6-CF_Hist!C48</f>
        <v>0</v>
      </c>
      <c r="D29">
        <f>BS_Hist!D6-CF_Hist!D48</f>
        <v>0</v>
      </c>
      <c r="E29">
        <f>BS_Hist!E6-CF_Hist!E48</f>
        <v>0</v>
      </c>
      <c r="F29">
        <f>BS_Hist!F6-CF_Hist!F48</f>
        <v>0</v>
      </c>
      <c r="H29" t="str">
        <f>IF(AND(ABS(N(B29))&lt;=5,ABS(N(C29))&lt;=5,ABS(N(D29))&lt;=5,ABS(N(E29))&lt;=5,ABS(N(F29))&lt;=5),"PASS","FAIL")</f>
        <v>PASS</v>
      </c>
    </row>
    <row r="30">
      <c r="A30" t="s">
        <v>681</v>
      </c>
      <c r="B30">
        <f>0</f>
        <v>0</v>
      </c>
      <c r="C30">
        <f>0</f>
        <v>0</v>
      </c>
      <c r="D30">
        <f>CF_Hist!D46-CF_Hist!D48-CF_Hist!D47</f>
        <v>0</v>
      </c>
      <c r="E30">
        <f>CF_Hist!E46-CF_Hist!E48-CF_Hist!E47</f>
        <v>0</v>
      </c>
      <c r="F30">
        <f>CF_Hist!F46-CF_Hist!F48-CF_Hist!F47</f>
        <v>0</v>
      </c>
      <c r="H30" t="str">
        <f>IF(AND(ABS(N(B30))&lt;=5,ABS(N(C30))&lt;=5,ABS(N(D30))&lt;=5,ABS(N(E30))&lt;=5,ABS(N(F30))&lt;=5),"PASS","FAIL")</f>
        <v>PASS</v>
      </c>
    </row>
    <row r="31">
      <c r="A31" t="s">
        <v>682</v>
      </c>
    </row>
    <row r="32">
      <c r="A32" t="s">
        <v>683</v>
      </c>
      <c r="B32">
        <f>Drivers_MDA!B34</f>
        <v>0</v>
      </c>
      <c r="C32">
        <f>Drivers_MDA!C34</f>
        <v>0</v>
      </c>
      <c r="D32">
        <f>Drivers_MDA!D34</f>
        <v>0</v>
      </c>
      <c r="E32">
        <f>Drivers_MDA!E34</f>
        <v>0</v>
      </c>
      <c r="F32">
        <f>Drivers_MDA!F34</f>
        <v>0</v>
      </c>
      <c r="H32" t="str">
        <f>IF(AND(ABS(N(B32))&lt;=0.5,ABS(N(C32))&lt;=0.5,ABS(N(D32))&lt;=0.5,ABS(N(E32))&lt;=0.5,ABS(N(F32))&lt;=0.5),"PASS","FAIL")</f>
        <v>PASS</v>
      </c>
    </row>
    <row r="33">
      <c r="A33" t="s">
        <v>684</v>
      </c>
      <c r="B33">
        <f>Drivers_MDA!B52</f>
        <v>0</v>
      </c>
      <c r="C33">
        <f>Drivers_MDA!C52</f>
        <v>0</v>
      </c>
      <c r="D33">
        <f>Drivers_MDA!D52</f>
        <v>0</v>
      </c>
      <c r="E33">
        <f>Drivers_MDA!E52</f>
        <v>0</v>
      </c>
      <c r="F33">
        <f>Drivers_MDA!F52</f>
        <v>0</v>
      </c>
      <c r="H33" t="str">
        <f>IF(AND(ABS(N(B33))&lt;=0.5,ABS(N(C33))&lt;=0.5,ABS(N(D33))&lt;=0.5,ABS(N(E33))&lt;=0.5,ABS(N(F33))&lt;=0.5),"PASS","FAIL")</f>
        <v>PASS</v>
      </c>
    </row>
    <row r="34">
      <c r="A34" t="s">
        <v>685</v>
      </c>
      <c r="D34">
        <f>Drivers_MDA!D70</f>
        <v>0</v>
      </c>
      <c r="E34">
        <f>Drivers_MDA!E70</f>
        <v>0</v>
      </c>
      <c r="F34">
        <f>Drivers_MDA!F70</f>
        <v>0</v>
      </c>
      <c r="H34" t="str">
        <f>IF(AND(ABS(N(D34))&lt;=0.5,ABS(N(E34))&lt;=0.5,ABS(N(F34))&lt;=0.5),"PASS","FAIL")</f>
        <v>PASS</v>
      </c>
    </row>
    <row r="35">
      <c r="A35" t="s">
        <v>686</v>
      </c>
      <c r="B35">
        <f>IF(ABS(Drivers_MDA!B21-Drivers_MDA!B20)&gt;0.015,1,0)</f>
        <v>0</v>
      </c>
      <c r="C35">
        <f>IF(ABS(Drivers_MDA!C21-Drivers_MDA!C20)&gt;0.015,1,0)+IF(ABS(Drivers_MDA!C20-Drivers_MDA!C22)&gt;0.015,1,0)</f>
        <v>0</v>
      </c>
      <c r="D35">
        <f>IF(ABS(Drivers_MDA!D21-Drivers_MDA!D20)&gt;0.015,1,0)+IF(ABS(Drivers_MDA!D20-Drivers_MDA!D22)&gt;0.015,1,0)</f>
        <v>0</v>
      </c>
      <c r="E35">
        <f>IF(ABS(Drivers_MDA!E21-Drivers_MDA!E20)&gt;0.015,1,0)+IF(ABS(Drivers_MDA!E20-Drivers_MDA!E22)&gt;0.015,1,0)</f>
        <v>0</v>
      </c>
      <c r="F35">
        <f>IF(ABS(Drivers_MDA!F21-Drivers_MDA!F20)&gt;0.015,1,0)+IF(ABS(Drivers_MDA!F20-Drivers_MDA!F22)&gt;0.015,1,0)</f>
        <v>0</v>
      </c>
      <c r="H35" t="str">
        <f>IF(AND(N(B35)=0,N(C35)=0,N(D35)=0,N(E35)=0,N(F35)=0),"PASS","FAIL")</f>
        <v>PASS</v>
      </c>
    </row>
    <row r="36">
      <c r="A36" t="s">
        <v>687</v>
      </c>
      <c r="F36">
        <f>Drivers_MDA!F168+Drivers_MDA!F169+Drivers_MDA!F170</f>
        <v>0</v>
      </c>
      <c r="H36" t="str">
        <f>IF(AND(ABS(N(F36))&lt;=0.0000001),"PASS","FAIL")</f>
        <v>PASS</v>
      </c>
    </row>
    <row r="37">
      <c r="A37" t="s">
        <v>688</v>
      </c>
      <c r="F37" s="33">
        <f>ABS(Drivers_MDA!F162)+ABS(Drivers_MDA!F163)+ABS(Drivers_MDA!F164)+ABS(Drivers_MDA!F165)+ABS(Drivers_MDA!F166)+ABS(Drivers_MDA!F167)</f>
        <v>0</v>
      </c>
      <c r="H37" s="33" t="str">
        <f>IF(AND(ABS(N(F37))&lt;=0.0000001),"PASS","FAIL")</f>
        <v>PASS</v>
      </c>
    </row>
    <row r="38">
      <c r="A38" t="s">
        <v>689</v>
      </c>
      <c r="B38">
        <f>IF(ABS(Drivers_MDA!B12-1)&gt;0.0000001,1,0)+IF(ABS(Drivers_MDA!B79)&gt;0.005,1,0)+IF(OR(Drivers_MDA!B77&lt;0.4,Drivers_MDA!B77&gt;0.7),1,0)</f>
        <v>0</v>
      </c>
      <c r="C38">
        <f>IF(ABS(Drivers_MDA!C12-1)&gt;0.0000001,1,0)+IF(ABS(Drivers_MDA!C79)&gt;0.005,1,0)+IF(OR(Drivers_MDA!C77&lt;0.4,Drivers_MDA!C77&gt;0.7),1,0)</f>
        <v>0</v>
      </c>
      <c r="D38">
        <f>IF(ABS(Drivers_MDA!D12-1)&gt;0.0000001,1,0)+IF(ABS(Drivers_MDA!D79)&gt;0.005,1,0)+IF(OR(Drivers_MDA!D77&lt;0.4,Drivers_MDA!D77&gt;0.7),1,0)</f>
        <v>0</v>
      </c>
      <c r="E38">
        <f>IF(ABS(Drivers_MDA!E12-1)&gt;0.0000001,1,0)+IF(ABS(Drivers_MDA!E79)&gt;0.005,1,0)+IF(OR(Drivers_MDA!E77&lt;0.4,Drivers_MDA!E77&gt;0.7),1,0)</f>
        <v>0</v>
      </c>
      <c r="F38">
        <f>IF(ABS(Drivers_MDA!F12-1)&gt;0.0000001,1,0)+IF(ABS(Drivers_MDA!F79)&gt;0.005,1,0)+IF(OR(Drivers_MDA!F77&lt;0.4,Drivers_MDA!F77&gt;0.7),1,0)</f>
        <v>0</v>
      </c>
      <c r="H38" t="str">
        <f>IF(AND(N(B38)=0,N(C38)=0,N(D38)=0,N(E38)=0,N(F38)=0),"PASS","FAIL")</f>
        <v>PASS</v>
      </c>
    </row>
    <row r="39">
      <c r="A39" t="s">
        <v>690</v>
      </c>
      <c r="B39">
        <f>IF(ABS(Drivers_MDA!B76)&gt;0.5,1,0)+IF(ABS(Drivers_MDA!B82)&gt;0.5,1,0)</f>
        <v>0</v>
      </c>
      <c r="C39">
        <f>IF(ABS(Drivers_MDA!C76)&gt;0.5,1,0)+IF(ABS(Drivers_MDA!C82)&gt;0.5,1,0)</f>
        <v>0</v>
      </c>
      <c r="D39">
        <f>IF(ABS(Drivers_MDA!D76)&gt;0.5,1,0)+IF(ABS(Drivers_MDA!D82)&gt;0.5,1,0)</f>
        <v>0</v>
      </c>
      <c r="E39">
        <f>IF(ABS(Drivers_MDA!E76)&gt;0.5,1,0)+IF(ABS(Drivers_MDA!E82)&gt;0.5,1,0)</f>
        <v>0</v>
      </c>
      <c r="F39">
        <f>IF(ABS(Drivers_MDA!F76)&gt;0.5,1,0)+IF(ABS(Drivers_MDA!F82)&gt;0.5,1,0)</f>
        <v>0</v>
      </c>
      <c r="H39" t="str">
        <f>IF(AND(N(B39)=0,N(C39)=0,N(D39)=0,N(E39)=0,N(F39)=0),"PASS","FAIL")</f>
        <v>PASS</v>
      </c>
    </row>
    <row r="40">
      <c r="A40" t="s">
        <v>691</v>
      </c>
      <c r="B40">
        <f>IF(ABS(Drivers_MDA!B88)&gt;50,1,0)</f>
        <v>0</v>
      </c>
      <c r="C40">
        <f>IF(ABS(Drivers_MDA!C88)&gt;50,1,0)</f>
        <v>0</v>
      </c>
      <c r="D40">
        <f>IF(ABS(Drivers_MDA!D88)&gt;50,1,0)</f>
        <v>0</v>
      </c>
      <c r="E40">
        <f>IF(ABS(Drivers_MDA!E88)&gt;50,1,0)</f>
        <v>0</v>
      </c>
      <c r="F40">
        <f>IF(ABS(Drivers_MDA!F88)&gt;50,1,0)+IF(ABS(Drivers_MDA!F97)&gt;0.5,1,0)+IF(ABS(Drivers_MDA!F108)&gt;0.5,1,0)</f>
        <v>0</v>
      </c>
      <c r="H40" t="str">
        <f>IF(AND(N(B40)=0,N(C40)=0,N(D40)=0,N(E40)=0,N(F40)=0),"PASS","FAIL")</f>
        <v>PASS</v>
      </c>
    </row>
    <row r="41">
      <c r="A41" t="s">
        <v>692</v>
      </c>
      <c r="D41">
        <f>Drivers_MDA!D130</f>
        <v>0</v>
      </c>
      <c r="E41">
        <f>Drivers_MDA!E130</f>
        <v>0</v>
      </c>
      <c r="F41">
        <f>Drivers_MDA!F130</f>
        <v>0</v>
      </c>
      <c r="H41" t="str">
        <f>IF(AND(ABS(N(D41))&lt;=0.5,ABS(N(E41))&lt;=0.5,ABS(N(F41))&lt;=0.5),"PASS","FAIL")</f>
        <v>PASS</v>
      </c>
    </row>
    <row r="42">
      <c r="A42" t="s">
        <v>693</v>
      </c>
      <c r="B42">
        <f>IF(ABS(Drivers_MDA!B139)&gt;0.02,1,0)</f>
        <v>0</v>
      </c>
      <c r="C42">
        <f>IF(ABS(Drivers_MDA!C139)&gt;0.02,1,0)</f>
        <v>0</v>
      </c>
      <c r="D42">
        <f>IF(ABS(Drivers_MDA!D139)&gt;0.02,1,0)</f>
        <v>0</v>
      </c>
      <c r="E42">
        <f>IF(ABS(Drivers_MDA!E139)&gt;0.02,1,0)</f>
        <v>0</v>
      </c>
      <c r="F42">
        <f>IF(ABS(Drivers_MDA!F139)&gt;0.02,1,0)</f>
        <v>0</v>
      </c>
      <c r="H42" t="str">
        <f>IF(AND(N(B42)=0,N(C42)=0,N(D42)=0,N(E42)=0,N(F42)=0),"PASS","FAIL")</f>
        <v>PASS</v>
      </c>
    </row>
    <row r="43">
      <c r="A43" t="s">
        <v>694</v>
      </c>
      <c r="B43">
        <f>IF(OR(Drivers_MDA!B83&lt;0.5,Drivers_MDA!B83&gt;0.7),1,0)</f>
        <v>0</v>
      </c>
      <c r="C43">
        <f>IF(OR(Drivers_MDA!C83&lt;0.5,Drivers_MDA!C83&gt;0.7),1,0)</f>
        <v>0</v>
      </c>
      <c r="D43">
        <f>IF(OR(Drivers_MDA!D83&lt;0.5,Drivers_MDA!D83&gt;0.7),1,0)</f>
        <v>0</v>
      </c>
      <c r="E43">
        <f>IF(OR(Drivers_MDA!E83&lt;0.5,Drivers_MDA!E83&gt;0.7),1,0)</f>
        <v>0</v>
      </c>
      <c r="F43">
        <f>IF(OR(Drivers_MDA!F83&lt;0.5,Drivers_MDA!F83&gt;0.7),1,0)</f>
        <v>0</v>
      </c>
      <c r="H43" t="str">
        <f>IF(AND(N(B43)=0,N(C43)=0,N(D43)=0,N(E43)=0,N(F43)=0),"PASS","FAIL")</f>
        <v>PASS</v>
      </c>
    </row>
    <row r="44">
      <c r="A44" t="s">
        <v>695</v>
      </c>
      <c r="B44">
        <f>IF(OR(Drivers_MDA!B133&lt;30000,Drivers_MDA!B133&gt;150000),1,0)+IF(OR(Drivers_MDA!B7&lt;25,Drivers_MDA!B7&gt;40),1,0)+IF(OR(Drivers_MDA!B9&lt;1,Drivers_MDA!B9&gt;2),1,0)+IF(OR(Drivers_MDA!B90&lt;0.1,Drivers_MDA!B90&gt;1),1,0)+IF(OR(Drivers_MDA!B105&lt;0.005,Drivers_MDA!B105&gt;0.15),1,0)</f>
        <v>0</v>
      </c>
      <c r="C44">
        <f>IF(OR(Drivers_MDA!C133&lt;30000,Drivers_MDA!C133&gt;150000),1,0)+IF(OR(Drivers_MDA!C7&lt;25,Drivers_MDA!C7&gt;40),1,0)+IF(OR(Drivers_MDA!C9&lt;1,Drivers_MDA!C9&gt;2),1,0)+IF(OR(Drivers_MDA!C90&lt;0.1,Drivers_MDA!C90&gt;1),1,0)+IF(OR(Drivers_MDA!C105&lt;0.005,Drivers_MDA!C105&gt;0.15),1,0)</f>
        <v>0</v>
      </c>
      <c r="D44">
        <f>IF(OR(Drivers_MDA!D133&lt;30000,Drivers_MDA!D133&gt;150000),1,0)+IF(OR(Drivers_MDA!D7&lt;25,Drivers_MDA!D7&gt;40),1,0)+IF(OR(Drivers_MDA!D9&lt;1,Drivers_MDA!D9&gt;2),1,0)+IF(OR(Drivers_MDA!D90&lt;0.1,Drivers_MDA!D90&gt;1),1,0)+IF(OR(Drivers_MDA!D105&lt;0.005,Drivers_MDA!D105&gt;0.15),1,0)</f>
        <v>0</v>
      </c>
      <c r="E44">
        <f>IF(OR(Drivers_MDA!E133&lt;30000,Drivers_MDA!E133&gt;150000),1,0)+IF(OR(Drivers_MDA!E7&lt;25,Drivers_MDA!E7&gt;40),1,0)+IF(OR(Drivers_MDA!E9&lt;1,Drivers_MDA!E9&gt;2),1,0)+IF(OR(Drivers_MDA!E90&lt;0.1,Drivers_MDA!E90&gt;1),1,0)+IF(OR(Drivers_MDA!E105&lt;0.005,Drivers_MDA!E105&gt;0.15),1,0)</f>
        <v>0</v>
      </c>
      <c r="F44">
        <f>IF(OR(Drivers_MDA!F133&lt;30000,Drivers_MDA!F133&gt;150000),1,0)+IF(OR(Drivers_MDA!F7&lt;25,Drivers_MDA!F7&gt;40),1,0)+IF(OR(Drivers_MDA!F9&lt;1,Drivers_MDA!F9&gt;2),1,0)+IF(OR(Drivers_MDA!F90&lt;0.1,Drivers_MDA!F90&gt;1),1,0)+IF(OR(Drivers_MDA!F105&lt;0.005,Drivers_MDA!F105&gt;0.15),1,0)</f>
        <v>0</v>
      </c>
      <c r="H44" t="str">
        <f>IF(AND(N(B44)=0,N(C44)=0,N(D44)=0,N(E44)=0,N(F44)=0),"PASS","FAIL")</f>
        <v>PASS</v>
      </c>
    </row>
    <row r="45">
      <c r="A45" t="s">
        <v>696</v>
      </c>
      <c r="F45" s="31">
        <f>IF(ABS(Market_Package!B23-(Market_Package!B7*Market_Package!B8+Market_Package!B107-Market_Package!B106))&gt;0.5,1,0)+IF(Market_Package!B23&lt;=0,1,0)+IF(ABS(Market_Package!B23/(Valuation!G19*Market_Package!B8+Market_Package!B107-Market_Package!B106)-1)&gt;0.25,1,0)</f>
        <v>0</v>
      </c>
      <c r="H45" s="31" t="str">
        <f>IF(N(F45)=0,"PASS","FAIL")</f>
        <v>PASS</v>
      </c>
    </row>
    <row r="46">
      <c r="A46" t="s">
        <v>697</v>
      </c>
      <c r="F46">
        <f>IF(ABS(Market_Package!B17-Market_Package!B106)&gt;0.5,1,0)+IF(ABS(Market_Package!B17/Market_Package!B82-1)&gt;0.15,1,0)</f>
        <v>0</v>
      </c>
      <c r="H46" t="str">
        <f>IF(N(F46)=0,"PASS","FAIL")</f>
        <v>PASS</v>
      </c>
    </row>
    <row r="47">
      <c r="A47" t="s">
        <v>698</v>
      </c>
      <c r="F47" s="32">
        <f>IF(ABS(Market_Package!B21-Market_Package!B24-(BS_Hist!F27-Historical!B25))&gt;0.5,1,0)+IF(ABS(Market_Package!B21-Market_Package!B107)&gt;0.5,1,0)+IF(ABS(Market_Package!B21/Market_Package!B83-1)&gt;0.25,1,0)</f>
        <v>0</v>
      </c>
      <c r="H47" s="32" t="str">
        <f>IF(N(F47)=0,"PASS","FAIL")</f>
        <v>PASS</v>
      </c>
    </row>
    <row r="48">
      <c r="A48" t="s">
        <v>699</v>
      </c>
      <c r="F48" s="32">
        <f>IF(ABS(Market_Package!B17-Market_Package!B26-(BS_Hist!F7+BS_Hist!F8))&gt;0.5,1,0)</f>
        <v>0</v>
      </c>
      <c r="H48" s="32" t="str">
        <f>IF(N(F48)=0,"PASS","FAIL")</f>
        <v>PASS</v>
      </c>
    </row>
    <row r="49">
      <c r="A49" t="s">
        <v>700</v>
      </c>
      <c r="F49">
        <f>IF(ABS(Market_Package!B37-IS_Hist!F16/IS_Hist!F15)&gt;0.0000001,1,0)+IF(OR(Market_Package!B30&lt;0.005,Market_Package!B30&gt;0.12),1,0)+IF(OR(Market_Package!B32&lt;0.1,Market_Package!B32&gt;1.5),1,0)+IF(OR(Market_Package!B34&lt;0.01,Market_Package!B34&gt;0.15),1,0)+IF(OR(Market_Package!B45&lt;0.03,Market_Package!B45&gt;0.2),1,0)</f>
        <v>0</v>
      </c>
      <c r="H49" t="str">
        <f>IF(N(F49)=0,"PASS","FAIL")</f>
        <v>PASS</v>
      </c>
    </row>
    <row r="50">
      <c r="A50" t="s">
        <v>701</v>
      </c>
      <c r="F50">
        <f>IF(ABS(Market_Package!B11-Market_Package!B7*Market_Package!B8)&gt;0.5,1,0)+IF(ABS(Market_Package!B7/Valuation!G19-1)&gt;0.25,1,0)+IF(ABS(Market_Package!B8/Historical!B20-1)&gt;0.03,1,0)</f>
        <v>0</v>
      </c>
      <c r="H50" t="str">
        <f>IF(N(F50)=0,"PASS","FAIL")</f>
        <v>PASS</v>
      </c>
    </row>
    <row r="51">
      <c r="A51" t="s">
        <v>702</v>
      </c>
      <c r="F51">
        <f>Market_Package!B89+Market_Package!B90+Market_Package!B92</f>
        <v>1</v>
      </c>
      <c r="H51" t="str">
        <f>IF(AND(ABS(N(F51))&lt;=0),"PASS","FAIL")</f>
        <v>FAIL</v>
      </c>
    </row>
    <row r="52">
      <c r="A52" t="s">
        <v>703</v>
      </c>
      <c r="D52">
        <f>Drivers_MDA!D158</f>
        <v>0</v>
      </c>
      <c r="H52" t="str">
        <f>IF(AND(ABS(N(D52))&lt;=0.5),"PASS","FAIL")</f>
        <v>PASS</v>
      </c>
    </row>
  </sheetData>
</worksheet>
</file>

<file path=xl/worksheets/sheet16.xml><?xml version="1.0" encoding="utf-8"?>
<worksheet xmlns="http://schemas.openxmlformats.org/spreadsheetml/2006/main" xmlns:r="http://schemas.openxmlformats.org/officeDocument/2006/relationships">
  <dimension ref="A1:E13"/>
  <sheetViews>
    <sheetView workbookViewId="0"/>
  </sheetViews>
  <sheetFormatPr defaultColWidth="8.375" defaultRowHeight="15"/>
  <sheetData>
    <row r="1">
      <c r="A1" t="s">
        <v>704</v>
      </c>
    </row>
    <row r="3">
      <c r="A3" t="s">
        <v>705</v>
      </c>
      <c r="B3" t="s">
        <v>706</v>
      </c>
      <c r="C3" t="s">
        <v>707</v>
      </c>
      <c r="D3" t="s">
        <v>708</v>
      </c>
      <c r="E3" t="s">
        <v>709</v>
      </c>
    </row>
    <row r="4">
      <c r="A4" t="s">
        <v>710</v>
      </c>
      <c r="B4" t="s">
        <v>711</v>
      </c>
      <c r="C4" t="s">
        <v>712</v>
      </c>
      <c r="D4" t="s">
        <v>713</v>
      </c>
      <c r="E4" t="s">
        <v>714</v>
      </c>
    </row>
    <row r="5">
      <c r="A5" t="s">
        <v>710</v>
      </c>
      <c r="B5" t="s">
        <v>715</v>
      </c>
      <c r="C5" t="s">
        <v>716</v>
      </c>
      <c r="D5" t="s">
        <v>717</v>
      </c>
      <c r="E5" t="s">
        <v>718</v>
      </c>
    </row>
    <row r="6">
      <c r="A6" t="s">
        <v>719</v>
      </c>
      <c r="B6" t="s">
        <v>720</v>
      </c>
      <c r="C6" t="s">
        <v>712</v>
      </c>
      <c r="D6" t="s">
        <v>721</v>
      </c>
      <c r="E6" t="s">
        <v>722</v>
      </c>
    </row>
    <row r="7">
      <c r="A7" t="s">
        <v>719</v>
      </c>
      <c r="B7" t="s">
        <v>723</v>
      </c>
      <c r="C7" t="s">
        <v>724</v>
      </c>
      <c r="D7" t="s">
        <v>725</v>
      </c>
      <c r="E7" t="s">
        <v>726</v>
      </c>
    </row>
    <row r="8">
      <c r="A8" t="s">
        <v>727</v>
      </c>
      <c r="B8" t="s">
        <v>711</v>
      </c>
      <c r="C8" t="s">
        <v>712</v>
      </c>
      <c r="D8" t="s">
        <v>728</v>
      </c>
      <c r="E8" t="s">
        <v>729</v>
      </c>
    </row>
    <row r="9">
      <c r="A9" t="s">
        <v>727</v>
      </c>
      <c r="B9" t="s">
        <v>715</v>
      </c>
      <c r="C9" t="s">
        <v>724</v>
      </c>
      <c r="D9" t="s">
        <v>730</v>
      </c>
      <c r="E9" t="s">
        <v>731</v>
      </c>
    </row>
    <row r="10">
      <c r="A10" t="s">
        <v>732</v>
      </c>
      <c r="B10" t="s">
        <v>715</v>
      </c>
      <c r="C10" t="s">
        <v>733</v>
      </c>
      <c r="D10" t="s">
        <v>734</v>
      </c>
      <c r="E10" t="s">
        <v>735</v>
      </c>
    </row>
    <row r="11">
      <c r="A11" t="s">
        <v>736</v>
      </c>
      <c r="B11" t="s">
        <v>737</v>
      </c>
      <c r="C11" t="s">
        <v>738</v>
      </c>
      <c r="D11" t="s">
        <v>737</v>
      </c>
      <c r="E11" t="s">
        <v>739</v>
      </c>
    </row>
    <row r="13">
      <c r="A13" t="s">
        <v>740</v>
      </c>
    </row>
  </sheetData>
</worksheet>
</file>

<file path=xl/worksheets/sheet17.xml><?xml version="1.0" encoding="utf-8"?>
<worksheet xmlns="http://schemas.openxmlformats.org/spreadsheetml/2006/main" xmlns:r="http://schemas.openxmlformats.org/officeDocument/2006/relationships">
  <dimension ref="A1:F26"/>
  <sheetViews>
    <sheetView workbookViewId="0"/>
  </sheetViews>
  <sheetFormatPr defaultColWidth="8.375" defaultRowHeight="15"/>
  <sheetData>
    <row r="1">
      <c r="A1" t="s">
        <v>741</v>
      </c>
    </row>
    <row r="2">
      <c r="A2" t="s">
        <v>742</v>
      </c>
    </row>
    <row r="4">
      <c r="A4" t="s">
        <v>743</v>
      </c>
      <c r="B4" t="s">
        <v>744</v>
      </c>
    </row>
    <row r="5">
      <c r="B5">
        <v>1</v>
      </c>
    </row>
    <row r="6">
      <c r="A6" t="s">
        <v>745</v>
      </c>
      <c r="B6" t="s">
        <v>242</v>
      </c>
      <c r="C6" t="s">
        <v>243</v>
      </c>
      <c r="D6" t="s">
        <v>244</v>
      </c>
      <c r="E6" t="s">
        <v>746</v>
      </c>
    </row>
    <row r="7">
      <c r="A7" t="s">
        <v>747</v>
      </c>
      <c r="B7">
        <v>0.05</v>
      </c>
      <c r="C7">
        <v>0.07</v>
      </c>
      <c r="D7">
        <v>0.02</v>
      </c>
      <c r="E7">
        <f>CHOOSE($B$5,B7,C7,D7)</f>
        <v>0.05</v>
      </c>
    </row>
    <row r="8">
      <c r="A8" t="s">
        <v>748</v>
      </c>
      <c r="B8">
        <f>AVERAGE(IS_Hist!D7:F7)/AVERAGE(IS_Hist!D5:F5)</f>
        <v>0.6075407087442098</v>
      </c>
      <c r="C8">
        <f>B8+0.01</f>
        <v>0.6175407087442099</v>
      </c>
      <c r="D8">
        <f>B8-0.015</f>
        <v>0.5925407087442098</v>
      </c>
      <c r="E8">
        <f>CHOOSE($B$5,B8,C8,D8)</f>
        <v>0.6075407087442098</v>
      </c>
    </row>
    <row r="9">
      <c r="A9" t="s">
        <v>749</v>
      </c>
      <c r="B9">
        <f>AVERAGE(IS_Hist!D8:F8)/AVERAGE(IS_Hist!D5:F5)</f>
        <v>0.3060260308619171</v>
      </c>
      <c r="C9">
        <f>B9-0.003</f>
        <v>0.3030260308619171</v>
      </c>
      <c r="D9">
        <f>B9+0.005</f>
        <v>0.3110260308619171</v>
      </c>
      <c r="E9">
        <f>CHOOSE($B$5,B9,C9,D9)</f>
        <v>0.3060260308619171</v>
      </c>
    </row>
    <row r="10">
      <c r="A10" t="s">
        <v>750</v>
      </c>
      <c r="B10">
        <f>AVERAGE(IS_Hist!D9:F9)/AVERAGE(IS_Hist!D5:F5)</f>
        <v>0.05239563499957374</v>
      </c>
      <c r="C10">
        <f>B10</f>
        <v>0.05239563499957374</v>
      </c>
      <c r="D10">
        <f>B10+0.005</f>
        <v>0.05739563499957374</v>
      </c>
      <c r="E10">
        <f>CHOOSE($B$5,B10,C10,D10)</f>
        <v>0.05239563499957374</v>
      </c>
    </row>
    <row r="11">
      <c r="A11" t="s">
        <v>751</v>
      </c>
      <c r="B11">
        <f>AVERAGE((IS_Hist!D11:F11-IS_Hist!D12:F12+IS_Hist!D13:F13+IS_Hist!D14:F14))/AVERAGE(IS_Hist!D5:F5)</f>
        <v>0.04952541987552928</v>
      </c>
      <c r="C11">
        <f>B11+0.002</f>
        <v>0.051525419875529284</v>
      </c>
      <c r="D11">
        <f>B11-0.005</f>
        <v>0.044525419875529285</v>
      </c>
      <c r="E11">
        <f>CHOOSE($B$5,B11,C11,D11)</f>
        <v>0.04952541987552928</v>
      </c>
    </row>
    <row r="12">
      <c r="A12" t="s">
        <v>752</v>
      </c>
      <c r="B12">
        <f>AVERAGE(IS_Hist!D16:F16)/AVERAGE(IS_Hist!D15:F15)</f>
        <v>0.1795365876867447</v>
      </c>
      <c r="C12">
        <f>B12-0.01</f>
        <v>0.16953658768674468</v>
      </c>
      <c r="D12">
        <f>B12+0.01</f>
        <v>0.1895365876867447</v>
      </c>
      <c r="E12">
        <f>CHOOSE($B$5,B12,C12,D12)</f>
        <v>0.1795365876867447</v>
      </c>
    </row>
    <row r="13">
      <c r="A13" t="s">
        <v>753</v>
      </c>
      <c r="B13">
        <f>AVERAGE(IS_Hist!D18:F18)/AVERAGE(IS_Hist!D17:F17)</f>
        <v>0.0010728058221461914</v>
      </c>
      <c r="C13">
        <f>B13</f>
        <v>0.0010728058221461914</v>
      </c>
      <c r="D13">
        <f>B13</f>
        <v>0.0010728058221461914</v>
      </c>
      <c r="E13">
        <f>CHOOSE($B$5,B13,C13,D13)</f>
        <v>0.0010728058221461914</v>
      </c>
    </row>
    <row r="15">
      <c r="A15" t="s">
        <v>459</v>
      </c>
      <c r="B15" t="s">
        <v>754</v>
      </c>
      <c r="C15" t="s">
        <v>755</v>
      </c>
      <c r="D15" t="s">
        <v>756</v>
      </c>
      <c r="E15" t="s">
        <v>757</v>
      </c>
      <c r="F15" t="s">
        <v>758</v>
      </c>
    </row>
    <row r="16">
      <c r="A16" t="s">
        <v>56</v>
      </c>
      <c r="B16">
        <f>IS_Hist!F5*(1+$E$7)</f>
        <v>50338.05</v>
      </c>
      <c r="C16">
        <f>B16*(1+$E$7)</f>
        <v>52854.95250000001</v>
      </c>
      <c r="D16">
        <f>C16*(1+$E$7)</f>
        <v>55497.70012500001</v>
      </c>
      <c r="E16">
        <f>D16*(1+$E$7)</f>
        <v>58272.585131250016</v>
      </c>
      <c r="F16">
        <f>E16*(1+$E$7)</f>
        <v>61186.21438781252</v>
      </c>
    </row>
    <row r="17">
      <c r="A17" t="s">
        <v>97</v>
      </c>
      <c r="B17">
        <f>B16*$E$8</f>
        <v>30582.414573801474</v>
      </c>
      <c r="C17">
        <f>C16*$E$8</f>
        <v>32111.53530249155</v>
      </c>
      <c r="D17">
        <f>D16*$E$8</f>
        <v>33717.11206761613</v>
      </c>
      <c r="E17">
        <f>E16*$E$8</f>
        <v>35402.96767099694</v>
      </c>
      <c r="F17">
        <f>F16*$E$8</f>
        <v>37173.11605454679</v>
      </c>
    </row>
    <row r="18">
      <c r="A18" t="s">
        <v>759</v>
      </c>
      <c r="B18">
        <f>-B16*$E$9</f>
        <v>-15404.753642828728</v>
      </c>
      <c r="C18">
        <f>-C16*$E$9</f>
        <v>-16174.991324970164</v>
      </c>
      <c r="D18">
        <f>-D16*$E$9</f>
        <v>-16983.740891218673</v>
      </c>
      <c r="E18">
        <f>-E16*$E$9</f>
        <v>-17832.927935779608</v>
      </c>
      <c r="F18">
        <f>-F16*$E$9</f>
        <v>-18724.57433256859</v>
      </c>
    </row>
    <row r="19">
      <c r="A19" t="s">
        <v>472</v>
      </c>
      <c r="B19">
        <f>-B16*$E$10</f>
        <v>-2637.494094390293</v>
      </c>
      <c r="C19">
        <f>-C16*$E$10</f>
        <v>-2769.3687991098077</v>
      </c>
      <c r="D19">
        <f>-D16*$E$10</f>
        <v>-2907.8372390652985</v>
      </c>
      <c r="E19">
        <f>-E16*$E$10</f>
        <v>-3053.2291010185636</v>
      </c>
      <c r="F19">
        <f>-F16*$E$10</f>
        <v>-3205.890556069492</v>
      </c>
    </row>
    <row r="20">
      <c r="A20" t="s">
        <v>474</v>
      </c>
      <c r="B20">
        <f>B17+B18+B19</f>
        <v>12540.166836582453</v>
      </c>
      <c r="C20">
        <f>C17+C18+C19</f>
        <v>13167.175178411577</v>
      </c>
      <c r="D20">
        <f>D17+D18+D19</f>
        <v>13825.533937332159</v>
      </c>
      <c r="E20">
        <f>E17+E18+E19</f>
        <v>14516.810634198771</v>
      </c>
      <c r="F20">
        <f>F17+F18+F19</f>
        <v>15242.651165908705</v>
      </c>
    </row>
    <row r="21">
      <c r="A21" t="s">
        <v>760</v>
      </c>
      <c r="B21">
        <f>B16*$E$11</f>
        <v>2493.013061965387</v>
      </c>
      <c r="C21">
        <f>C16*$E$11</f>
        <v>2617.6637150636566</v>
      </c>
      <c r="D21">
        <f>D16*$E$11</f>
        <v>2748.5469008168393</v>
      </c>
      <c r="E21">
        <f>E16*$E$11</f>
        <v>2885.9742458576816</v>
      </c>
      <c r="F21">
        <f>F16*$E$11</f>
        <v>3030.272958150566</v>
      </c>
    </row>
    <row r="22">
      <c r="A22" t="s">
        <v>761</v>
      </c>
      <c r="B22">
        <f>B20+B21</f>
        <v>15033.17989854784</v>
      </c>
      <c r="C22">
        <f>C20+C21</f>
        <v>15784.838893475233</v>
      </c>
      <c r="D22">
        <f>D20+D21</f>
        <v>16574.080838149</v>
      </c>
      <c r="E22">
        <f>E20+E21</f>
        <v>17402.784880056453</v>
      </c>
      <c r="F22">
        <f>F20+F21</f>
        <v>18272.92412405927</v>
      </c>
    </row>
    <row r="23">
      <c r="A23" t="s">
        <v>486</v>
      </c>
      <c r="B23">
        <f>-B22*$E$12</f>
        <v>-2699.005821066242</v>
      </c>
      <c r="C23">
        <f>-C22*$E$12</f>
        <v>-2833.9561121195543</v>
      </c>
      <c r="D23">
        <f>-D22*$E$12</f>
        <v>-2975.6539177255327</v>
      </c>
      <c r="E23">
        <f>-E22*$E$12</f>
        <v>-3124.43661361181</v>
      </c>
      <c r="F23">
        <f>-F22*$E$12</f>
        <v>-3280.6584442923995</v>
      </c>
    </row>
    <row r="24">
      <c r="A24" t="s">
        <v>488</v>
      </c>
      <c r="B24">
        <f>B22+B23</f>
        <v>12334.174077481599</v>
      </c>
      <c r="C24">
        <f>C22+C23</f>
        <v>12950.882781355678</v>
      </c>
      <c r="D24">
        <f>D22+D23</f>
        <v>13598.426920423466</v>
      </c>
      <c r="E24">
        <f>E22+E23</f>
        <v>14278.348266444644</v>
      </c>
      <c r="F24">
        <f>F22+F23</f>
        <v>14992.265679766871</v>
      </c>
    </row>
    <row r="25">
      <c r="A25" t="s">
        <v>762</v>
      </c>
      <c r="B25">
        <f>-B24*$E$13</f>
        <v>-13.232173761686889</v>
      </c>
      <c r="C25">
        <f>-C24*$E$13</f>
        <v>-13.893782449771233</v>
      </c>
      <c r="D25">
        <f>-D24*$E$13</f>
        <v>-14.588471572259799</v>
      </c>
      <c r="E25">
        <f>-E24*$E$13</f>
        <v>-15.317895150872793</v>
      </c>
      <c r="F25">
        <f>-F24*$E$13</f>
        <v>-16.083789908416428</v>
      </c>
    </row>
    <row r="26">
      <c r="A26" t="s">
        <v>763</v>
      </c>
      <c r="B26">
        <f>B24+B25</f>
        <v>12320.941903719911</v>
      </c>
      <c r="C26">
        <f>C24+C25</f>
        <v>12936.988998905907</v>
      </c>
      <c r="D26">
        <f>D24+D25</f>
        <v>13583.838448851206</v>
      </c>
      <c r="E26">
        <f>E24+E25</f>
        <v>14263.030371293771</v>
      </c>
      <c r="F26">
        <f>F24+F25</f>
        <v>14976.181889858455</v>
      </c>
    </row>
  </sheetData>
</worksheet>
</file>

<file path=xl/worksheets/sheet18.xml><?xml version="1.0" encoding="utf-8"?>
<worksheet xmlns="http://schemas.openxmlformats.org/spreadsheetml/2006/main" xmlns:r="http://schemas.openxmlformats.org/officeDocument/2006/relationships">
  <dimension ref="A1:I177"/>
  <sheetViews>
    <sheetView workbookViewId="0"/>
  </sheetViews>
  <sheetFormatPr defaultColWidth="8.375" defaultRowHeight="15"/>
  <sheetData>
    <row r="1">
      <c r="A1" t="s">
        <v>764</v>
      </c>
    </row>
    <row r="2">
      <c r="A2" t="s">
        <v>765</v>
      </c>
    </row>
    <row r="4">
      <c r="A4" t="s">
        <v>766</v>
      </c>
      <c r="B4" t="s">
        <v>460</v>
      </c>
      <c r="C4" t="s">
        <v>461</v>
      </c>
      <c r="D4" t="s">
        <v>462</v>
      </c>
      <c r="E4" t="s">
        <v>463</v>
      </c>
      <c r="F4" t="s">
        <v>464</v>
      </c>
      <c r="G4" t="s">
        <v>767</v>
      </c>
      <c r="H4" t="s">
        <v>768</v>
      </c>
      <c r="I4" t="s">
        <v>769</v>
      </c>
    </row>
    <row r="6">
      <c r="A6" t="s">
        <v>770</v>
      </c>
    </row>
    <row r="7">
      <c r="A7" t="s">
        <v>771</v>
      </c>
      <c r="B7">
        <v>31.3</v>
      </c>
      <c r="C7">
        <v>32.7</v>
      </c>
      <c r="D7">
        <v>33.3</v>
      </c>
      <c r="E7">
        <v>33.7</v>
      </c>
      <c r="F7">
        <v>33.8</v>
      </c>
      <c r="G7" t="s">
        <v>772</v>
      </c>
      <c r="H7" t="s">
        <v>773</v>
      </c>
      <c r="I7" t="s">
        <v>774</v>
      </c>
    </row>
    <row r="8">
      <c r="A8" t="s">
        <v>775</v>
      </c>
      <c r="B8" t="s">
        <v>776</v>
      </c>
      <c r="C8">
        <f>C7/B7-1</f>
        <v>0.04472843450479247</v>
      </c>
      <c r="D8">
        <f>D7/C7-1</f>
        <v>0.0183486238532109</v>
      </c>
      <c r="E8">
        <f>E7/D7-1</f>
        <v>0.012012012012012185</v>
      </c>
      <c r="F8">
        <f>F7/E7-1</f>
        <v>0.0029673590504448732</v>
      </c>
      <c r="G8" t="s">
        <v>199</v>
      </c>
      <c r="H8" t="s">
        <v>777</v>
      </c>
      <c r="I8" t="s">
        <v>778</v>
      </c>
    </row>
    <row r="9">
      <c r="A9" t="s">
        <v>779</v>
      </c>
      <c r="B9">
        <f>IS_Hist!B5/(B7*1000)</f>
        <v>1.2349840255591054</v>
      </c>
      <c r="C9">
        <f>IS_Hist!C5/(C7*1000)</f>
        <v>1.3151070336391435</v>
      </c>
      <c r="D9">
        <f>IS_Hist!D5/(D7*1000)</f>
        <v>1.373993993993994</v>
      </c>
      <c r="E9">
        <f>IS_Hist!E5/(E7*1000)</f>
        <v>1.3964688427299703</v>
      </c>
      <c r="F9">
        <f>IS_Hist!F5/(F7*1000)</f>
        <v>1.4183727810650888</v>
      </c>
      <c r="G9" t="s">
        <v>780</v>
      </c>
      <c r="H9" t="s">
        <v>781</v>
      </c>
      <c r="I9" t="s">
        <v>778</v>
      </c>
    </row>
    <row r="10">
      <c r="A10" t="s">
        <v>782</v>
      </c>
      <c r="B10">
        <v>0.83</v>
      </c>
      <c r="C10">
        <v>0.82</v>
      </c>
      <c r="D10">
        <v>0.83</v>
      </c>
      <c r="E10">
        <v>0.85</v>
      </c>
      <c r="F10">
        <v>0.85</v>
      </c>
      <c r="G10" t="s">
        <v>199</v>
      </c>
      <c r="H10" t="s">
        <v>783</v>
      </c>
      <c r="I10" t="s">
        <v>774</v>
      </c>
    </row>
    <row r="11">
      <c r="A11" t="s">
        <v>784</v>
      </c>
      <c r="B11">
        <v>0.17</v>
      </c>
      <c r="C11">
        <v>0.18</v>
      </c>
      <c r="D11">
        <v>0.17</v>
      </c>
      <c r="E11">
        <v>0.15</v>
      </c>
      <c r="F11">
        <v>0.15</v>
      </c>
      <c r="G11" t="s">
        <v>199</v>
      </c>
      <c r="H11" t="s">
        <v>785</v>
      </c>
      <c r="I11" t="s">
        <v>774</v>
      </c>
    </row>
    <row r="12">
      <c r="A12" t="s">
        <v>786</v>
      </c>
      <c r="B12">
        <f>B10+B11</f>
        <v>1</v>
      </c>
      <c r="C12">
        <f>C10+C11</f>
        <v>1</v>
      </c>
      <c r="D12">
        <f>D10+D11</f>
        <v>1</v>
      </c>
      <c r="E12">
        <f>E10+E11</f>
        <v>1</v>
      </c>
      <c r="F12">
        <f>F10+F11</f>
        <v>1</v>
      </c>
      <c r="G12" t="s">
        <v>199</v>
      </c>
      <c r="H12" t="s">
        <v>778</v>
      </c>
      <c r="I12" t="s">
        <v>778</v>
      </c>
    </row>
    <row r="15">
      <c r="A15" t="s">
        <v>787</v>
      </c>
    </row>
    <row r="16">
      <c r="A16" t="s">
        <v>788</v>
      </c>
      <c r="B16">
        <v>0.09</v>
      </c>
      <c r="C16">
        <v>0.05</v>
      </c>
      <c r="D16">
        <v>0.02</v>
      </c>
      <c r="E16">
        <v>0.02</v>
      </c>
      <c r="F16">
        <v>0.01</v>
      </c>
      <c r="G16" t="s">
        <v>199</v>
      </c>
      <c r="H16" t="s">
        <v>789</v>
      </c>
      <c r="I16" t="s">
        <v>774</v>
      </c>
    </row>
    <row r="17">
      <c r="A17" t="s">
        <v>790</v>
      </c>
      <c r="B17">
        <v>0.06</v>
      </c>
      <c r="C17">
        <v>0.11</v>
      </c>
      <c r="D17">
        <v>0.1</v>
      </c>
      <c r="E17">
        <v>0.11</v>
      </c>
      <c r="F17">
        <v>0.04</v>
      </c>
      <c r="G17" t="s">
        <v>199</v>
      </c>
      <c r="H17" t="s">
        <v>789</v>
      </c>
      <c r="I17" t="s">
        <v>774</v>
      </c>
    </row>
    <row r="18">
      <c r="A18" t="s">
        <v>791</v>
      </c>
      <c r="B18">
        <v>0.01</v>
      </c>
      <c r="C18">
        <v>-0.07</v>
      </c>
      <c r="D18">
        <v>-0.04</v>
      </c>
      <c r="E18">
        <v>-0.05</v>
      </c>
      <c r="F18">
        <v>-0.02</v>
      </c>
      <c r="G18" t="s">
        <v>199</v>
      </c>
      <c r="H18" t="s">
        <v>789</v>
      </c>
      <c r="I18" t="s">
        <v>774</v>
      </c>
    </row>
    <row r="19">
      <c r="A19" t="s">
        <v>792</v>
      </c>
      <c r="B19">
        <v>0</v>
      </c>
      <c r="C19">
        <v>0.02</v>
      </c>
      <c r="D19">
        <v>-0.01</v>
      </c>
      <c r="E19">
        <v>-0.04</v>
      </c>
      <c r="F19">
        <v>-0.01</v>
      </c>
      <c r="G19" t="s">
        <v>199</v>
      </c>
      <c r="H19" t="s">
        <v>789</v>
      </c>
      <c r="I19" t="s">
        <v>774</v>
      </c>
    </row>
    <row r="20">
      <c r="A20" t="s">
        <v>793</v>
      </c>
      <c r="B20">
        <v>0.17</v>
      </c>
      <c r="C20">
        <v>0.11</v>
      </c>
      <c r="D20">
        <v>0.06</v>
      </c>
      <c r="E20">
        <v>0.03</v>
      </c>
      <c r="F20">
        <v>0.02</v>
      </c>
      <c r="G20" t="s">
        <v>199</v>
      </c>
      <c r="H20" t="s">
        <v>794</v>
      </c>
      <c r="I20" t="s">
        <v>774</v>
      </c>
    </row>
    <row r="21">
      <c r="A21" t="s">
        <v>795</v>
      </c>
      <c r="B21">
        <f>SUM(B16:B19)</f>
        <v>0.16</v>
      </c>
      <c r="C21">
        <f>SUM(C16:C19)</f>
        <v>0.11</v>
      </c>
      <c r="D21">
        <f>SUM(D16:D19)</f>
        <v>0.07</v>
      </c>
      <c r="E21">
        <f>SUM(E16:E19)</f>
        <v>0.04</v>
      </c>
      <c r="F21">
        <f>SUM(F16:F19)</f>
        <v>0.020000000000000004</v>
      </c>
      <c r="G21" t="s">
        <v>199</v>
      </c>
      <c r="H21" t="s">
        <v>778</v>
      </c>
      <c r="I21" t="s">
        <v>778</v>
      </c>
    </row>
    <row r="22">
      <c r="A22" t="s">
        <v>796</v>
      </c>
      <c r="B22" t="s">
        <v>776</v>
      </c>
      <c r="C22">
        <f>IS_Hist!C5/IS_Hist!B5-1</f>
        <v>0.11250808433579107</v>
      </c>
      <c r="D22">
        <f>IS_Hist!D5/IS_Hist!C5-1</f>
        <v>0.06394753976374301</v>
      </c>
      <c r="E22">
        <f>IS_Hist!E5/IS_Hist!D5-1</f>
        <v>0.028565808453905772</v>
      </c>
      <c r="F22">
        <f>IS_Hist!F5/IS_Hist!E5-1</f>
        <v>0.018699135164998548</v>
      </c>
      <c r="G22" t="s">
        <v>199</v>
      </c>
      <c r="H22" t="s">
        <v>797</v>
      </c>
      <c r="I22" t="s">
        <v>778</v>
      </c>
    </row>
    <row r="23">
      <c r="A23" t="s">
        <v>798</v>
      </c>
      <c r="B23" t="s">
        <v>776</v>
      </c>
      <c r="C23">
        <f>C20-C22</f>
        <v>-0.0025080843357910693</v>
      </c>
      <c r="D23">
        <f>D20-D22</f>
        <v>-0.003947539763743013</v>
      </c>
      <c r="E23">
        <f>E20-E22</f>
        <v>0.0014341915460942267</v>
      </c>
      <c r="F23">
        <f>F20-F22</f>
        <v>0.0013008648350014522</v>
      </c>
      <c r="G23" t="s">
        <v>199</v>
      </c>
      <c r="H23" t="s">
        <v>778</v>
      </c>
      <c r="I23" t="s">
        <v>778</v>
      </c>
    </row>
    <row r="25">
      <c r="A25" t="s">
        <v>799</v>
      </c>
    </row>
    <row r="26">
      <c r="A26" t="s">
        <v>800</v>
      </c>
      <c r="B26">
        <v>6564</v>
      </c>
      <c r="C26">
        <v>6896</v>
      </c>
      <c r="D26">
        <v>10152</v>
      </c>
      <c r="E26">
        <v>10278</v>
      </c>
      <c r="F26">
        <v>10833</v>
      </c>
      <c r="G26" t="s">
        <v>194</v>
      </c>
      <c r="H26" t="s">
        <v>801</v>
      </c>
      <c r="I26" t="s">
        <v>774</v>
      </c>
    </row>
    <row r="27">
      <c r="A27" t="s">
        <v>802</v>
      </c>
      <c r="B27">
        <v>4143</v>
      </c>
      <c r="C27">
        <v>4910</v>
      </c>
      <c r="D27">
        <v>5834</v>
      </c>
      <c r="E27">
        <v>6471</v>
      </c>
      <c r="F27">
        <v>6331</v>
      </c>
      <c r="G27" t="s">
        <v>194</v>
      </c>
      <c r="H27" t="s">
        <v>801</v>
      </c>
      <c r="I27" t="s">
        <v>774</v>
      </c>
    </row>
    <row r="28">
      <c r="A28" t="s">
        <v>803</v>
      </c>
      <c r="B28">
        <v>13184</v>
      </c>
      <c r="C28">
        <v>15667</v>
      </c>
      <c r="D28">
        <v>16965</v>
      </c>
      <c r="E28">
        <v>18860</v>
      </c>
      <c r="F28">
        <v>19579</v>
      </c>
      <c r="G28" t="s">
        <v>194</v>
      </c>
      <c r="H28" t="s">
        <v>801</v>
      </c>
      <c r="I28" t="s">
        <v>774</v>
      </c>
    </row>
    <row r="29">
      <c r="A29" t="s">
        <v>804</v>
      </c>
      <c r="B29">
        <v>4682</v>
      </c>
      <c r="C29">
        <v>4711</v>
      </c>
      <c r="D29">
        <v>4811</v>
      </c>
      <c r="E29">
        <v>5127</v>
      </c>
      <c r="F29">
        <v>5328</v>
      </c>
      <c r="G29" t="s">
        <v>194</v>
      </c>
      <c r="H29" t="s">
        <v>801</v>
      </c>
      <c r="I29" t="s">
        <v>774</v>
      </c>
    </row>
    <row r="30">
      <c r="A30" t="s">
        <v>805</v>
      </c>
      <c r="B30">
        <v>2805</v>
      </c>
      <c r="C30">
        <v>2843</v>
      </c>
      <c r="D30" t="s">
        <v>806</v>
      </c>
      <c r="E30" t="s">
        <v>806</v>
      </c>
      <c r="F30" t="s">
        <v>806</v>
      </c>
      <c r="G30" t="s">
        <v>194</v>
      </c>
      <c r="H30" t="s">
        <v>801</v>
      </c>
      <c r="I30" t="s">
        <v>807</v>
      </c>
    </row>
    <row r="31">
      <c r="A31" t="s">
        <v>808</v>
      </c>
      <c r="B31">
        <v>7194</v>
      </c>
      <c r="C31">
        <v>7883</v>
      </c>
      <c r="D31">
        <v>7852</v>
      </c>
      <c r="E31">
        <v>6215</v>
      </c>
      <c r="F31">
        <v>5726</v>
      </c>
      <c r="G31" t="s">
        <v>194</v>
      </c>
      <c r="H31" t="s">
        <v>801</v>
      </c>
      <c r="I31" t="s">
        <v>774</v>
      </c>
    </row>
    <row r="32">
      <c r="A32" t="s">
        <v>809</v>
      </c>
      <c r="B32">
        <v>83</v>
      </c>
      <c r="C32">
        <v>94</v>
      </c>
      <c r="D32">
        <v>140</v>
      </c>
      <c r="E32">
        <v>110</v>
      </c>
      <c r="F32">
        <v>144</v>
      </c>
      <c r="G32" t="s">
        <v>194</v>
      </c>
      <c r="H32" t="s">
        <v>801</v>
      </c>
      <c r="I32" t="s">
        <v>774</v>
      </c>
    </row>
    <row r="33">
      <c r="A33" t="s">
        <v>810</v>
      </c>
      <c r="B33">
        <f>SUM(B26:B32)</f>
        <v>38655</v>
      </c>
      <c r="C33">
        <f>SUM(C26:C32)</f>
        <v>43004</v>
      </c>
      <c r="D33">
        <f>SUM(D26:D32)</f>
        <v>45754</v>
      </c>
      <c r="E33">
        <f>SUM(E26:E32)</f>
        <v>47061</v>
      </c>
      <c r="F33">
        <f>SUM(F26:F32)</f>
        <v>47941</v>
      </c>
      <c r="G33" t="s">
        <v>194</v>
      </c>
      <c r="H33" t="s">
        <v>811</v>
      </c>
      <c r="I33" t="s">
        <v>778</v>
      </c>
    </row>
    <row r="34">
      <c r="A34" t="s">
        <v>812</v>
      </c>
      <c r="B34">
        <f>B33-IS_Hist!B5</f>
        <v>0</v>
      </c>
      <c r="C34">
        <f>C33-IS_Hist!C5</f>
        <v>0</v>
      </c>
      <c r="D34">
        <f>D33-IS_Hist!D5</f>
        <v>0</v>
      </c>
      <c r="E34">
        <f>E33-IS_Hist!E5</f>
        <v>0</v>
      </c>
      <c r="F34">
        <f>F33-IS_Hist!F5</f>
        <v>0</v>
      </c>
      <c r="G34" t="s">
        <v>194</v>
      </c>
      <c r="H34" t="s">
        <v>813</v>
      </c>
      <c r="I34" t="s">
        <v>814</v>
      </c>
    </row>
    <row r="36">
      <c r="A36" t="s">
        <v>815</v>
      </c>
    </row>
    <row r="37">
      <c r="A37" t="s">
        <v>816</v>
      </c>
      <c r="B37">
        <f>B26/B$33</f>
        <v>0.16980985642219634</v>
      </c>
      <c r="C37">
        <f>C26/C$33</f>
        <v>0.16035717607664404</v>
      </c>
      <c r="D37">
        <f>D26/D$33</f>
        <v>0.22188223980417013</v>
      </c>
      <c r="E37">
        <f>E26/E$33</f>
        <v>0.2183973991202907</v>
      </c>
      <c r="F37">
        <f>F26/F$33</f>
        <v>0.22596524895183664</v>
      </c>
      <c r="G37" t="s">
        <v>199</v>
      </c>
      <c r="H37" t="s">
        <v>817</v>
      </c>
      <c r="I37" t="s">
        <v>778</v>
      </c>
    </row>
    <row r="38">
      <c r="A38" t="s">
        <v>818</v>
      </c>
      <c r="B38">
        <f>B27/B$33</f>
        <v>0.10717889018238262</v>
      </c>
      <c r="C38">
        <f>C27/C$33</f>
        <v>0.11417542554181007</v>
      </c>
      <c r="D38">
        <f>D27/D$33</f>
        <v>0.127507977444595</v>
      </c>
      <c r="E38">
        <f>E27/E$33</f>
        <v>0.13750239051443872</v>
      </c>
      <c r="F38">
        <f>F27/F$33</f>
        <v>0.1320581548152938</v>
      </c>
      <c r="G38" t="s">
        <v>199</v>
      </c>
      <c r="H38" t="s">
        <v>817</v>
      </c>
      <c r="I38" t="s">
        <v>778</v>
      </c>
    </row>
    <row r="39">
      <c r="A39" t="s">
        <v>819</v>
      </c>
      <c r="B39">
        <f>B28/B$33</f>
        <v>0.3410684258181348</v>
      </c>
      <c r="C39">
        <f>C28/C$33</f>
        <v>0.36431494744674914</v>
      </c>
      <c r="D39">
        <f>D28/D$33</f>
        <v>0.37078725357345804</v>
      </c>
      <c r="E39">
        <f>E28/E$33</f>
        <v>0.4007564650134931</v>
      </c>
      <c r="F39">
        <f>F28/F$33</f>
        <v>0.4083978223232724</v>
      </c>
      <c r="G39" t="s">
        <v>199</v>
      </c>
      <c r="H39" t="s">
        <v>817</v>
      </c>
      <c r="I39" t="s">
        <v>778</v>
      </c>
    </row>
    <row r="40">
      <c r="A40" t="s">
        <v>820</v>
      </c>
      <c r="B40">
        <f>B29/B$33</f>
        <v>0.1211227525546501</v>
      </c>
      <c r="C40">
        <f>C29/C$33</f>
        <v>0.1095479490279974</v>
      </c>
      <c r="D40">
        <f>D29/D$33</f>
        <v>0.1051492765659833</v>
      </c>
      <c r="E40">
        <f>E29/E$33</f>
        <v>0.1089437113533499</v>
      </c>
      <c r="F40">
        <f>F29/F$33</f>
        <v>0.11113660541081746</v>
      </c>
      <c r="G40" t="s">
        <v>199</v>
      </c>
      <c r="H40" t="s">
        <v>817</v>
      </c>
      <c r="I40" t="s">
        <v>778</v>
      </c>
    </row>
    <row r="41">
      <c r="A41" t="s">
        <v>821</v>
      </c>
      <c r="B41">
        <f>B31/B$33</f>
        <v>0.1861078773767947</v>
      </c>
      <c r="C41">
        <f>C31/C$33</f>
        <v>0.18330852943912193</v>
      </c>
      <c r="D41">
        <f>D31/D$33</f>
        <v>0.17161341084932466</v>
      </c>
      <c r="E41">
        <f>E31/E$33</f>
        <v>0.13206264210280275</v>
      </c>
      <c r="F41">
        <f>F31/F$33</f>
        <v>0.11943847646064955</v>
      </c>
      <c r="G41" t="s">
        <v>199</v>
      </c>
      <c r="H41" t="s">
        <v>817</v>
      </c>
      <c r="I41" t="s">
        <v>778</v>
      </c>
    </row>
    <row r="43">
      <c r="A43" t="s">
        <v>822</v>
      </c>
    </row>
    <row r="44">
      <c r="A44" t="s">
        <v>823</v>
      </c>
      <c r="B44">
        <v>3735</v>
      </c>
      <c r="C44">
        <v>3958</v>
      </c>
      <c r="D44">
        <v>4323</v>
      </c>
      <c r="E44">
        <v>4255</v>
      </c>
      <c r="F44">
        <v>4298</v>
      </c>
      <c r="G44" t="s">
        <v>194</v>
      </c>
      <c r="H44" t="s">
        <v>824</v>
      </c>
      <c r="I44" t="s">
        <v>774</v>
      </c>
    </row>
    <row r="45">
      <c r="A45" t="s">
        <v>825</v>
      </c>
      <c r="B45">
        <v>2534</v>
      </c>
      <c r="C45">
        <v>2870</v>
      </c>
      <c r="D45">
        <v>3436</v>
      </c>
      <c r="E45">
        <v>3792</v>
      </c>
      <c r="F45">
        <v>3742</v>
      </c>
      <c r="G45" t="s">
        <v>194</v>
      </c>
      <c r="H45" t="s">
        <v>824</v>
      </c>
      <c r="I45" t="s">
        <v>774</v>
      </c>
    </row>
    <row r="46">
      <c r="A46" t="s">
        <v>826</v>
      </c>
      <c r="B46">
        <v>3331</v>
      </c>
      <c r="C46">
        <v>3742</v>
      </c>
      <c r="D46">
        <v>4634</v>
      </c>
      <c r="E46">
        <v>4556</v>
      </c>
      <c r="F46">
        <v>5070</v>
      </c>
      <c r="G46" t="s">
        <v>194</v>
      </c>
      <c r="H46" t="s">
        <v>824</v>
      </c>
      <c r="I46" t="s">
        <v>774</v>
      </c>
    </row>
    <row r="47">
      <c r="A47" t="s">
        <v>827</v>
      </c>
      <c r="B47">
        <v>2325</v>
      </c>
      <c r="C47">
        <v>2303</v>
      </c>
      <c r="D47">
        <v>2057</v>
      </c>
      <c r="E47">
        <v>2156</v>
      </c>
      <c r="F47">
        <v>2042</v>
      </c>
      <c r="G47" t="s">
        <v>194</v>
      </c>
      <c r="H47" t="s">
        <v>824</v>
      </c>
      <c r="I47" t="s">
        <v>774</v>
      </c>
    </row>
    <row r="48">
      <c r="A48" t="s">
        <v>828</v>
      </c>
      <c r="B48">
        <v>293</v>
      </c>
      <c r="C48">
        <v>185</v>
      </c>
      <c r="D48" t="s">
        <v>806</v>
      </c>
      <c r="E48" t="s">
        <v>806</v>
      </c>
      <c r="F48" t="s">
        <v>806</v>
      </c>
      <c r="G48" t="s">
        <v>194</v>
      </c>
      <c r="H48" t="s">
        <v>824</v>
      </c>
      <c r="I48" t="s">
        <v>807</v>
      </c>
    </row>
    <row r="49">
      <c r="A49" t="s">
        <v>829</v>
      </c>
      <c r="B49">
        <v>473</v>
      </c>
      <c r="C49">
        <v>487</v>
      </c>
      <c r="D49">
        <v>578</v>
      </c>
      <c r="E49">
        <v>496</v>
      </c>
      <c r="F49">
        <v>426</v>
      </c>
      <c r="G49" t="s">
        <v>194</v>
      </c>
      <c r="H49" t="s">
        <v>824</v>
      </c>
      <c r="I49" t="s">
        <v>774</v>
      </c>
    </row>
    <row r="50">
      <c r="A50" t="s">
        <v>830</v>
      </c>
      <c r="B50">
        <v>-2383</v>
      </c>
      <c r="C50">
        <v>-2636</v>
      </c>
      <c r="D50">
        <v>-3717</v>
      </c>
      <c r="E50">
        <v>-5263</v>
      </c>
      <c r="F50">
        <v>-1816</v>
      </c>
      <c r="G50" t="s">
        <v>194</v>
      </c>
      <c r="H50" t="s">
        <v>824</v>
      </c>
      <c r="I50" t="s">
        <v>774</v>
      </c>
    </row>
    <row r="51">
      <c r="A51" t="s">
        <v>831</v>
      </c>
      <c r="B51">
        <f>SUM(B44:B50)</f>
        <v>10308</v>
      </c>
      <c r="C51">
        <f>SUM(C44:C50)</f>
        <v>10909</v>
      </c>
      <c r="D51">
        <f>SUM(D44:D50)</f>
        <v>11311</v>
      </c>
      <c r="E51">
        <f>SUM(E44:E50)</f>
        <v>9992</v>
      </c>
      <c r="F51">
        <f>SUM(F44:F50)</f>
        <v>13762</v>
      </c>
      <c r="G51" t="s">
        <v>194</v>
      </c>
      <c r="H51" t="s">
        <v>832</v>
      </c>
      <c r="I51" t="s">
        <v>778</v>
      </c>
    </row>
    <row r="52">
      <c r="A52" t="s">
        <v>833</v>
      </c>
      <c r="B52">
        <f>B51-IS_Hist!B10</f>
        <v>0</v>
      </c>
      <c r="C52">
        <f>C51-IS_Hist!C10</f>
        <v>0</v>
      </c>
      <c r="D52">
        <f>D51-IS_Hist!D10</f>
        <v>0</v>
      </c>
      <c r="E52">
        <f>E51-IS_Hist!E10</f>
        <v>0</v>
      </c>
      <c r="F52">
        <f>F51-IS_Hist!F10</f>
        <v>0</v>
      </c>
      <c r="G52" t="s">
        <v>194</v>
      </c>
      <c r="H52" t="s">
        <v>834</v>
      </c>
      <c r="I52" t="s">
        <v>814</v>
      </c>
    </row>
    <row r="54">
      <c r="A54" t="s">
        <v>835</v>
      </c>
    </row>
    <row r="55">
      <c r="A55" t="s">
        <v>836</v>
      </c>
      <c r="B55">
        <f>B44/B26</f>
        <v>0.5690127970749543</v>
      </c>
      <c r="C55">
        <f>C44/C26</f>
        <v>0.5739559164733179</v>
      </c>
      <c r="D55">
        <f>D44/D26</f>
        <v>0.4258274231678487</v>
      </c>
      <c r="E55">
        <f>E44/E26</f>
        <v>0.4139910488421872</v>
      </c>
      <c r="F55">
        <f>F44/F26</f>
        <v>0.3967506692513616</v>
      </c>
      <c r="G55" t="s">
        <v>199</v>
      </c>
      <c r="H55" t="s">
        <v>778</v>
      </c>
      <c r="I55" t="s">
        <v>778</v>
      </c>
    </row>
    <row r="56">
      <c r="A56" t="s">
        <v>837</v>
      </c>
      <c r="B56">
        <f>B45/B27</f>
        <v>0.6116340815833937</v>
      </c>
      <c r="C56">
        <f>C45/C27</f>
        <v>0.5845213849287169</v>
      </c>
      <c r="D56">
        <f>D45/D27</f>
        <v>0.5889612615701063</v>
      </c>
      <c r="E56">
        <f>E45/E27</f>
        <v>0.5859990727862773</v>
      </c>
      <c r="F56">
        <f>F45/F27</f>
        <v>0.5910598641604802</v>
      </c>
      <c r="G56" t="s">
        <v>199</v>
      </c>
      <c r="H56" t="s">
        <v>778</v>
      </c>
      <c r="I56" t="s">
        <v>778</v>
      </c>
    </row>
    <row r="57">
      <c r="A57" t="s">
        <v>838</v>
      </c>
      <c r="B57">
        <f>B46/B28</f>
        <v>0.25265473300970875</v>
      </c>
      <c r="C57">
        <f>C46/C28</f>
        <v>0.23884598200038298</v>
      </c>
      <c r="D57">
        <f>D46/D28</f>
        <v>0.27315060418508696</v>
      </c>
      <c r="E57">
        <f>E46/E28</f>
        <v>0.2415694591728526</v>
      </c>
      <c r="F57">
        <f>F46/F28</f>
        <v>0.25895091679861076</v>
      </c>
      <c r="G57" t="s">
        <v>199</v>
      </c>
      <c r="H57" t="s">
        <v>778</v>
      </c>
      <c r="I57" t="s">
        <v>778</v>
      </c>
    </row>
    <row r="58">
      <c r="A58" t="s">
        <v>839</v>
      </c>
      <c r="B58">
        <f>B47/B29</f>
        <v>0.4965826569841948</v>
      </c>
      <c r="C58">
        <f>C47/C29</f>
        <v>0.4888558692421991</v>
      </c>
      <c r="D58">
        <f>D47/D29</f>
        <v>0.4275618374558304</v>
      </c>
      <c r="E58">
        <f>E47/E29</f>
        <v>0.42051882192315193</v>
      </c>
      <c r="F58">
        <f>F47/F29</f>
        <v>0.38325825825825827</v>
      </c>
      <c r="G58" t="s">
        <v>199</v>
      </c>
      <c r="H58" t="s">
        <v>778</v>
      </c>
      <c r="I58" t="s">
        <v>778</v>
      </c>
    </row>
    <row r="59">
      <c r="A59" t="s">
        <v>840</v>
      </c>
      <c r="B59">
        <f>B49/B31</f>
        <v>0.06574923547400612</v>
      </c>
      <c r="C59">
        <f>C49/C31</f>
        <v>0.06177851071926931</v>
      </c>
      <c r="D59">
        <f>D49/D31</f>
        <v>0.07361181864493123</v>
      </c>
      <c r="E59">
        <f>E49/E31</f>
        <v>0.07980691874497184</v>
      </c>
      <c r="F59">
        <f>F49/F31</f>
        <v>0.07439748515543136</v>
      </c>
      <c r="G59" t="s">
        <v>199</v>
      </c>
      <c r="H59" t="s">
        <v>778</v>
      </c>
      <c r="I59" t="s">
        <v>778</v>
      </c>
    </row>
    <row r="61">
      <c r="A61" t="s">
        <v>841</v>
      </c>
    </row>
    <row r="62">
      <c r="A62" t="s">
        <v>842</v>
      </c>
      <c r="B62" t="s">
        <v>776</v>
      </c>
      <c r="C62" t="s">
        <v>776</v>
      </c>
      <c r="D62">
        <v>2970</v>
      </c>
      <c r="E62">
        <v>3083</v>
      </c>
      <c r="F62">
        <v>3294</v>
      </c>
      <c r="G62" t="s">
        <v>194</v>
      </c>
      <c r="H62" t="s">
        <v>843</v>
      </c>
      <c r="I62" t="s">
        <v>844</v>
      </c>
    </row>
    <row r="63">
      <c r="A63" t="s">
        <v>845</v>
      </c>
      <c r="B63" t="s">
        <v>776</v>
      </c>
      <c r="C63" t="s">
        <v>776</v>
      </c>
      <c r="D63">
        <v>1040</v>
      </c>
      <c r="E63">
        <v>1099</v>
      </c>
      <c r="F63">
        <v>1109</v>
      </c>
      <c r="G63" t="s">
        <v>194</v>
      </c>
      <c r="H63" t="s">
        <v>843</v>
      </c>
      <c r="I63" t="s">
        <v>844</v>
      </c>
    </row>
    <row r="64">
      <c r="A64" t="s">
        <v>846</v>
      </c>
      <c r="B64" t="s">
        <v>776</v>
      </c>
      <c r="C64" t="s">
        <v>776</v>
      </c>
      <c r="D64">
        <v>8791</v>
      </c>
      <c r="E64">
        <v>9595</v>
      </c>
      <c r="F64">
        <v>9438</v>
      </c>
      <c r="G64" t="s">
        <v>194</v>
      </c>
      <c r="H64" t="s">
        <v>843</v>
      </c>
      <c r="I64" t="s">
        <v>844</v>
      </c>
    </row>
    <row r="65">
      <c r="A65" t="s">
        <v>847</v>
      </c>
      <c r="B65" t="s">
        <v>776</v>
      </c>
      <c r="C65" t="s">
        <v>776</v>
      </c>
      <c r="D65">
        <v>1644</v>
      </c>
      <c r="E65">
        <v>1689</v>
      </c>
      <c r="F65">
        <v>1788</v>
      </c>
      <c r="G65" t="s">
        <v>194</v>
      </c>
      <c r="H65" t="s">
        <v>843</v>
      </c>
      <c r="I65" t="s">
        <v>844</v>
      </c>
    </row>
    <row r="66">
      <c r="A66" t="s">
        <v>848</v>
      </c>
      <c r="B66" t="s">
        <v>776</v>
      </c>
      <c r="C66" t="s">
        <v>776</v>
      </c>
      <c r="D66">
        <v>5615</v>
      </c>
      <c r="E66">
        <v>4251</v>
      </c>
      <c r="F66">
        <v>3948</v>
      </c>
      <c r="G66" t="s">
        <v>194</v>
      </c>
      <c r="H66" t="s">
        <v>843</v>
      </c>
      <c r="I66" t="s">
        <v>844</v>
      </c>
    </row>
    <row r="67">
      <c r="A67" t="s">
        <v>849</v>
      </c>
      <c r="B67" t="s">
        <v>776</v>
      </c>
      <c r="C67" t="s">
        <v>776</v>
      </c>
      <c r="D67">
        <v>-107</v>
      </c>
      <c r="E67">
        <v>-229</v>
      </c>
      <c r="F67">
        <v>-171</v>
      </c>
      <c r="G67" t="s">
        <v>194</v>
      </c>
      <c r="H67" t="s">
        <v>843</v>
      </c>
      <c r="I67" t="s">
        <v>844</v>
      </c>
    </row>
    <row r="68">
      <c r="A68" t="s">
        <v>850</v>
      </c>
      <c r="B68" t="s">
        <v>776</v>
      </c>
      <c r="C68" t="s">
        <v>776</v>
      </c>
      <c r="D68">
        <v>-1433</v>
      </c>
      <c r="E68">
        <v>-1164</v>
      </c>
      <c r="F68">
        <v>-1009</v>
      </c>
      <c r="G68" t="s">
        <v>194</v>
      </c>
      <c r="H68" t="s">
        <v>843</v>
      </c>
      <c r="I68" t="s">
        <v>844</v>
      </c>
    </row>
    <row r="69">
      <c r="A69" t="s">
        <v>851</v>
      </c>
      <c r="D69">
        <f>SUM(D62:D68)</f>
        <v>18520</v>
      </c>
      <c r="E69">
        <f>SUM(E62:E68)</f>
        <v>18324</v>
      </c>
      <c r="F69">
        <f>SUM(F62:F68)</f>
        <v>18397</v>
      </c>
      <c r="G69" t="s">
        <v>194</v>
      </c>
      <c r="H69" t="s">
        <v>778</v>
      </c>
      <c r="I69" t="s">
        <v>778</v>
      </c>
    </row>
    <row r="70">
      <c r="A70" t="s">
        <v>852</v>
      </c>
      <c r="D70">
        <f>D69-IS_Hist!D6</f>
        <v>0</v>
      </c>
      <c r="E70">
        <f>E69-IS_Hist!E6</f>
        <v>0</v>
      </c>
      <c r="F70">
        <f>F69-IS_Hist!F6</f>
        <v>0</v>
      </c>
      <c r="G70" t="s">
        <v>194</v>
      </c>
      <c r="H70" t="s">
        <v>853</v>
      </c>
      <c r="I70" t="s">
        <v>814</v>
      </c>
    </row>
    <row r="72">
      <c r="A72" t="s">
        <v>854</v>
      </c>
    </row>
    <row r="73">
      <c r="A73" t="s">
        <v>855</v>
      </c>
      <c r="B73">
        <v>21799</v>
      </c>
      <c r="C73">
        <v>24071</v>
      </c>
      <c r="D73">
        <v>26539</v>
      </c>
      <c r="E73">
        <v>27725</v>
      </c>
      <c r="F73">
        <v>28462</v>
      </c>
      <c r="G73" t="s">
        <v>194</v>
      </c>
      <c r="H73" t="s">
        <v>856</v>
      </c>
      <c r="I73" t="s">
        <v>774</v>
      </c>
    </row>
    <row r="74">
      <c r="A74" t="s">
        <v>857</v>
      </c>
      <c r="B74">
        <v>16856</v>
      </c>
      <c r="C74">
        <v>18933</v>
      </c>
      <c r="D74">
        <v>19215</v>
      </c>
      <c r="E74">
        <v>19336</v>
      </c>
      <c r="F74">
        <v>19479</v>
      </c>
      <c r="G74" t="s">
        <v>194</v>
      </c>
      <c r="H74" t="s">
        <v>856</v>
      </c>
      <c r="I74" t="s">
        <v>774</v>
      </c>
    </row>
    <row r="75">
      <c r="A75" t="s">
        <v>858</v>
      </c>
      <c r="B75">
        <f>B73+B74</f>
        <v>38655</v>
      </c>
      <c r="C75">
        <f>C73+C74</f>
        <v>43004</v>
      </c>
      <c r="D75">
        <f>D73+D74</f>
        <v>45754</v>
      </c>
      <c r="E75">
        <f>E73+E74</f>
        <v>47061</v>
      </c>
      <c r="F75">
        <f>F73+F74</f>
        <v>47941</v>
      </c>
      <c r="G75" t="s">
        <v>194</v>
      </c>
      <c r="H75" t="s">
        <v>778</v>
      </c>
      <c r="I75" t="s">
        <v>778</v>
      </c>
    </row>
    <row r="76">
      <c r="A76" t="s">
        <v>859</v>
      </c>
      <c r="B76">
        <f>B75-IS_Hist!B5</f>
        <v>0</v>
      </c>
      <c r="C76">
        <f>C75-IS_Hist!C5</f>
        <v>0</v>
      </c>
      <c r="D76">
        <f>D75-IS_Hist!D5</f>
        <v>0</v>
      </c>
      <c r="E76">
        <f>E75-IS_Hist!E5</f>
        <v>0</v>
      </c>
      <c r="F76">
        <f>F75-IS_Hist!F5</f>
        <v>0</v>
      </c>
      <c r="G76" t="s">
        <v>194</v>
      </c>
      <c r="H76" t="s">
        <v>860</v>
      </c>
      <c r="I76" t="s">
        <v>814</v>
      </c>
    </row>
    <row r="77">
      <c r="A77" t="s">
        <v>861</v>
      </c>
      <c r="B77">
        <v>0.56</v>
      </c>
      <c r="C77">
        <v>0.56</v>
      </c>
      <c r="D77">
        <v>0.58</v>
      </c>
      <c r="E77">
        <v>0.59</v>
      </c>
      <c r="F77">
        <v>0.59</v>
      </c>
      <c r="G77" t="s">
        <v>199</v>
      </c>
      <c r="H77" t="s">
        <v>862</v>
      </c>
      <c r="I77" t="s">
        <v>774</v>
      </c>
    </row>
    <row r="78">
      <c r="A78" t="s">
        <v>863</v>
      </c>
      <c r="B78">
        <f>B73/B75</f>
        <v>0.5639373949036347</v>
      </c>
      <c r="C78">
        <f>C73/C75</f>
        <v>0.5597386289647475</v>
      </c>
      <c r="D78">
        <f>D73/D75</f>
        <v>0.5800367181011497</v>
      </c>
      <c r="E78">
        <f>E73/E75</f>
        <v>0.5891290027836212</v>
      </c>
      <c r="F78">
        <f>F73/F75</f>
        <v>0.5936880749254292</v>
      </c>
      <c r="G78" t="s">
        <v>199</v>
      </c>
      <c r="H78" t="s">
        <v>778</v>
      </c>
      <c r="I78" t="s">
        <v>778</v>
      </c>
    </row>
    <row r="79">
      <c r="A79" t="s">
        <v>864</v>
      </c>
      <c r="B79">
        <f>B77-B78</f>
        <v>-0.00393739490363465</v>
      </c>
      <c r="C79">
        <f>C77-C78</f>
        <v>0.00026137103525258887</v>
      </c>
      <c r="D79">
        <f>D77-D78</f>
        <v>-0.000036718101149690874</v>
      </c>
      <c r="E79">
        <f>E77-E78</f>
        <v>0.0008709972163787327</v>
      </c>
      <c r="F79">
        <f>F77-F78</f>
        <v>-0.003688074925429219</v>
      </c>
      <c r="G79" t="s">
        <v>199</v>
      </c>
      <c r="H79" t="s">
        <v>778</v>
      </c>
      <c r="I79" t="s">
        <v>778</v>
      </c>
    </row>
    <row r="80">
      <c r="A80" t="s">
        <v>865</v>
      </c>
      <c r="B80">
        <v>13010</v>
      </c>
      <c r="C80">
        <v>15413</v>
      </c>
      <c r="D80">
        <v>16550</v>
      </c>
      <c r="E80">
        <v>18362</v>
      </c>
      <c r="F80">
        <v>19127</v>
      </c>
      <c r="G80" t="s">
        <v>194</v>
      </c>
      <c r="H80" t="s">
        <v>856</v>
      </c>
      <c r="I80" t="s">
        <v>774</v>
      </c>
    </row>
    <row r="81">
      <c r="A81" t="s">
        <v>866</v>
      </c>
      <c r="B81">
        <v>25645</v>
      </c>
      <c r="C81">
        <v>27591</v>
      </c>
      <c r="D81">
        <v>29204</v>
      </c>
      <c r="E81">
        <v>28699</v>
      </c>
      <c r="F81">
        <v>28814</v>
      </c>
      <c r="G81" t="s">
        <v>194</v>
      </c>
      <c r="H81" t="s">
        <v>856</v>
      </c>
      <c r="I81" t="s">
        <v>774</v>
      </c>
    </row>
    <row r="82">
      <c r="A82" t="s">
        <v>867</v>
      </c>
      <c r="B82">
        <f>B80+B81-IS_Hist!B5</f>
        <v>0</v>
      </c>
      <c r="C82">
        <f>C80+C81-IS_Hist!C5</f>
        <v>0</v>
      </c>
      <c r="D82">
        <f>D80+D81-IS_Hist!D5</f>
        <v>0</v>
      </c>
      <c r="E82">
        <f>E80+E81-IS_Hist!E5</f>
        <v>0</v>
      </c>
      <c r="F82">
        <f>F80+F81-IS_Hist!F5</f>
        <v>0</v>
      </c>
      <c r="G82" t="s">
        <v>194</v>
      </c>
      <c r="H82" t="s">
        <v>860</v>
      </c>
      <c r="I82" t="s">
        <v>814</v>
      </c>
    </row>
    <row r="83">
      <c r="A83" t="s">
        <v>868</v>
      </c>
      <c r="B83">
        <f>B81/IS_Hist!B5</f>
        <v>0.6634329323502781</v>
      </c>
      <c r="C83">
        <f>C81/IS_Hist!C5</f>
        <v>0.6415914798623383</v>
      </c>
      <c r="D83">
        <f>D81/IS_Hist!D5</f>
        <v>0.6382829916510032</v>
      </c>
      <c r="E83">
        <f>E81/IS_Hist!E5</f>
        <v>0.6098255455685174</v>
      </c>
      <c r="F83">
        <f>F81/IS_Hist!F5</f>
        <v>0.6010304332408586</v>
      </c>
      <c r="G83" t="s">
        <v>199</v>
      </c>
      <c r="H83" t="s">
        <v>778</v>
      </c>
      <c r="I83" t="s">
        <v>778</v>
      </c>
    </row>
    <row r="84">
      <c r="A84" t="s">
        <v>869</v>
      </c>
      <c r="G84" t="s">
        <v>870</v>
      </c>
      <c r="H84" t="s">
        <v>871</v>
      </c>
      <c r="I84" t="s">
        <v>872</v>
      </c>
    </row>
    <row r="86">
      <c r="A86" t="s">
        <v>873</v>
      </c>
    </row>
    <row r="87">
      <c r="A87" t="s">
        <v>874</v>
      </c>
      <c r="B87">
        <v>25600</v>
      </c>
      <c r="C87">
        <v>27600</v>
      </c>
      <c r="D87">
        <v>29200</v>
      </c>
      <c r="E87">
        <v>28700</v>
      </c>
      <c r="F87">
        <v>28800</v>
      </c>
      <c r="G87" t="s">
        <v>194</v>
      </c>
      <c r="H87" t="s">
        <v>875</v>
      </c>
      <c r="I87" t="s">
        <v>774</v>
      </c>
    </row>
    <row r="88">
      <c r="A88" t="s">
        <v>876</v>
      </c>
      <c r="B88">
        <f>B87-B81</f>
        <v>-45</v>
      </c>
      <c r="C88">
        <f>C87-C81</f>
        <v>9</v>
      </c>
      <c r="D88">
        <f>D87-D81</f>
        <v>-4</v>
      </c>
      <c r="E88">
        <f>E87-E81</f>
        <v>1</v>
      </c>
      <c r="F88">
        <f>F87-F81</f>
        <v>-14</v>
      </c>
      <c r="G88" t="s">
        <v>194</v>
      </c>
      <c r="H88" t="s">
        <v>877</v>
      </c>
      <c r="I88" t="s">
        <v>878</v>
      </c>
    </row>
    <row r="89">
      <c r="A89" t="s">
        <v>879</v>
      </c>
      <c r="B89">
        <v>13691</v>
      </c>
      <c r="C89">
        <v>11370</v>
      </c>
      <c r="D89">
        <v>17505</v>
      </c>
      <c r="E89">
        <v>18442</v>
      </c>
      <c r="F89">
        <v>21128</v>
      </c>
      <c r="G89" t="s">
        <v>194</v>
      </c>
      <c r="H89" t="s">
        <v>880</v>
      </c>
      <c r="I89" t="s">
        <v>774</v>
      </c>
    </row>
    <row r="90">
      <c r="A90" t="s">
        <v>881</v>
      </c>
      <c r="B90">
        <f>B89/IS_Hist!B5</f>
        <v>0.3541844522054068</v>
      </c>
      <c r="C90">
        <f>C89/IS_Hist!C5</f>
        <v>0.264394009859548</v>
      </c>
      <c r="D90">
        <f>D89/IS_Hist!D5</f>
        <v>0.3825895003715522</v>
      </c>
      <c r="E90">
        <f>E89/IS_Hist!E5</f>
        <v>0.3918743758101188</v>
      </c>
      <c r="F90">
        <f>F89/IS_Hist!F5</f>
        <v>0.44070837070565905</v>
      </c>
      <c r="G90" t="s">
        <v>882</v>
      </c>
      <c r="H90" t="s">
        <v>778</v>
      </c>
      <c r="I90" t="s">
        <v>778</v>
      </c>
    </row>
    <row r="91">
      <c r="A91" t="s">
        <v>883</v>
      </c>
    </row>
    <row r="92">
      <c r="A92" t="s">
        <v>884</v>
      </c>
      <c r="F92">
        <v>9760</v>
      </c>
      <c r="G92" t="s">
        <v>194</v>
      </c>
      <c r="H92" t="s">
        <v>885</v>
      </c>
      <c r="I92" t="s">
        <v>886</v>
      </c>
    </row>
    <row r="93">
      <c r="A93" t="s">
        <v>887</v>
      </c>
      <c r="F93">
        <v>557</v>
      </c>
      <c r="G93" t="s">
        <v>194</v>
      </c>
      <c r="H93" t="s">
        <v>888</v>
      </c>
      <c r="I93" t="s">
        <v>886</v>
      </c>
    </row>
    <row r="94">
      <c r="A94" t="s">
        <v>889</v>
      </c>
      <c r="F94">
        <v>1067</v>
      </c>
      <c r="G94" t="s">
        <v>194</v>
      </c>
      <c r="H94" t="s">
        <v>890</v>
      </c>
      <c r="I94" t="s">
        <v>886</v>
      </c>
    </row>
    <row r="95">
      <c r="A95" t="s">
        <v>891</v>
      </c>
      <c r="F95">
        <v>9744</v>
      </c>
      <c r="G95" t="s">
        <v>194</v>
      </c>
      <c r="H95" t="s">
        <v>892</v>
      </c>
      <c r="I95" t="s">
        <v>886</v>
      </c>
    </row>
    <row r="96">
      <c r="A96" t="s">
        <v>893</v>
      </c>
      <c r="F96">
        <f>SUM(F92:F95)</f>
        <v>21128</v>
      </c>
      <c r="G96" t="s">
        <v>194</v>
      </c>
      <c r="H96" t="s">
        <v>778</v>
      </c>
      <c r="I96" t="s">
        <v>778</v>
      </c>
    </row>
    <row r="97">
      <c r="A97" t="s">
        <v>894</v>
      </c>
      <c r="F97">
        <f>F96-F89</f>
        <v>0</v>
      </c>
      <c r="G97" t="s">
        <v>194</v>
      </c>
      <c r="H97" t="s">
        <v>895</v>
      </c>
      <c r="I97" t="s">
        <v>814</v>
      </c>
    </row>
    <row r="98">
      <c r="A98" t="s">
        <v>896</v>
      </c>
      <c r="F98">
        <v>-609</v>
      </c>
      <c r="G98" t="s">
        <v>194</v>
      </c>
      <c r="H98" t="s">
        <v>897</v>
      </c>
      <c r="I98" t="s">
        <v>886</v>
      </c>
    </row>
    <row r="99">
      <c r="A99" t="s">
        <v>898</v>
      </c>
      <c r="F99">
        <v>-123</v>
      </c>
      <c r="G99" t="s">
        <v>194</v>
      </c>
      <c r="H99" t="s">
        <v>897</v>
      </c>
      <c r="I99" t="s">
        <v>886</v>
      </c>
    </row>
    <row r="100">
      <c r="A100" t="s">
        <v>899</v>
      </c>
      <c r="F100">
        <v>14998</v>
      </c>
      <c r="G100" t="s">
        <v>194</v>
      </c>
      <c r="H100" t="s">
        <v>890</v>
      </c>
      <c r="I100" t="s">
        <v>886</v>
      </c>
    </row>
    <row r="101">
      <c r="A101" t="s">
        <v>900</v>
      </c>
      <c r="G101" t="s">
        <v>870</v>
      </c>
      <c r="H101" t="s">
        <v>901</v>
      </c>
      <c r="I101" t="s">
        <v>872</v>
      </c>
    </row>
    <row r="103">
      <c r="A103" t="s">
        <v>902</v>
      </c>
    </row>
    <row r="104">
      <c r="A104" t="s">
        <v>903</v>
      </c>
      <c r="B104">
        <v>918</v>
      </c>
      <c r="C104">
        <v>371</v>
      </c>
      <c r="D104">
        <v>379</v>
      </c>
      <c r="E104">
        <v>386</v>
      </c>
      <c r="F104">
        <v>535</v>
      </c>
      <c r="G104" t="s">
        <v>194</v>
      </c>
      <c r="H104" t="s">
        <v>904</v>
      </c>
      <c r="I104" t="s">
        <v>774</v>
      </c>
    </row>
    <row r="105">
      <c r="A105" t="s">
        <v>905</v>
      </c>
      <c r="B105">
        <f>B104/IS_Hist!B6</f>
        <v>0.05977730025395585</v>
      </c>
      <c r="C105">
        <f>C104/IS_Hist!C6</f>
        <v>0.02061111111111111</v>
      </c>
      <c r="D105">
        <f>D104/IS_Hist!D6</f>
        <v>0.02046436285097192</v>
      </c>
      <c r="E105">
        <f>E104/IS_Hist!E6</f>
        <v>0.021065269591792186</v>
      </c>
      <c r="F105">
        <f>F104/IS_Hist!F6</f>
        <v>0.02908082839593412</v>
      </c>
      <c r="G105" t="s">
        <v>882</v>
      </c>
      <c r="H105" t="s">
        <v>778</v>
      </c>
      <c r="I105" t="s">
        <v>778</v>
      </c>
    </row>
    <row r="106">
      <c r="A106" t="s">
        <v>906</v>
      </c>
      <c r="F106">
        <v>53</v>
      </c>
      <c r="G106" t="s">
        <v>194</v>
      </c>
      <c r="H106" t="s">
        <v>907</v>
      </c>
      <c r="I106" t="s">
        <v>886</v>
      </c>
    </row>
    <row r="107">
      <c r="A107" t="s">
        <v>908</v>
      </c>
      <c r="F107">
        <v>482</v>
      </c>
      <c r="G107" t="s">
        <v>194</v>
      </c>
      <c r="H107" t="s">
        <v>888</v>
      </c>
      <c r="I107" t="s">
        <v>886</v>
      </c>
    </row>
    <row r="108">
      <c r="A108" t="s">
        <v>909</v>
      </c>
      <c r="F108">
        <f>F106+F107-F104</f>
        <v>0</v>
      </c>
      <c r="G108" t="s">
        <v>194</v>
      </c>
      <c r="H108" t="s">
        <v>910</v>
      </c>
      <c r="I108" t="s">
        <v>814</v>
      </c>
    </row>
    <row r="109">
      <c r="A109" t="s">
        <v>911</v>
      </c>
      <c r="F109">
        <v>3</v>
      </c>
      <c r="G109" t="s">
        <v>194</v>
      </c>
      <c r="H109" t="s">
        <v>897</v>
      </c>
      <c r="I109" t="s">
        <v>886</v>
      </c>
    </row>
    <row r="110">
      <c r="A110" t="s">
        <v>912</v>
      </c>
      <c r="F110">
        <v>-33</v>
      </c>
      <c r="G110" t="s">
        <v>194</v>
      </c>
      <c r="H110" t="s">
        <v>897</v>
      </c>
      <c r="I110" t="s">
        <v>886</v>
      </c>
    </row>
    <row r="111">
      <c r="A111" t="s">
        <v>913</v>
      </c>
      <c r="G111" t="s">
        <v>870</v>
      </c>
      <c r="H111" t="s">
        <v>914</v>
      </c>
      <c r="I111" t="s">
        <v>872</v>
      </c>
    </row>
    <row r="113">
      <c r="A113" t="s">
        <v>915</v>
      </c>
    </row>
    <row r="114">
      <c r="A114" t="s">
        <v>916</v>
      </c>
      <c r="B114">
        <f>BS_Hist!B9</f>
        <v>3512</v>
      </c>
      <c r="C114">
        <f>BS_Hist!C9</f>
        <v>3487</v>
      </c>
      <c r="D114">
        <f>BS_Hist!D9</f>
        <v>3410</v>
      </c>
      <c r="E114">
        <f>BS_Hist!E9</f>
        <v>3569</v>
      </c>
      <c r="F114">
        <f>BS_Hist!F9</f>
        <v>3038</v>
      </c>
      <c r="G114" t="s">
        <v>194</v>
      </c>
      <c r="H114" t="s">
        <v>917</v>
      </c>
      <c r="I114" t="s">
        <v>918</v>
      </c>
    </row>
    <row r="115">
      <c r="A115" t="s">
        <v>919</v>
      </c>
      <c r="B115">
        <f>BS_Hist!B10</f>
        <v>3414</v>
      </c>
      <c r="C115">
        <f>BS_Hist!C10</f>
        <v>4233</v>
      </c>
      <c r="D115">
        <f>BS_Hist!D10</f>
        <v>4424</v>
      </c>
      <c r="E115">
        <f>BS_Hist!E10</f>
        <v>4728</v>
      </c>
      <c r="F115">
        <f>BS_Hist!F10</f>
        <v>4425</v>
      </c>
      <c r="G115" t="s">
        <v>194</v>
      </c>
      <c r="H115" t="s">
        <v>920</v>
      </c>
      <c r="I115" t="s">
        <v>918</v>
      </c>
    </row>
    <row r="116">
      <c r="A116" t="s">
        <v>921</v>
      </c>
      <c r="B116">
        <f>BS_Hist!B26</f>
        <v>14619</v>
      </c>
      <c r="C116">
        <f>BS_Hist!C26</f>
        <v>15749</v>
      </c>
      <c r="D116">
        <f>BS_Hist!D26</f>
        <v>15485</v>
      </c>
      <c r="E116">
        <f>BS_Hist!E26</f>
        <v>21712</v>
      </c>
      <c r="F116">
        <f>BS_Hist!F26</f>
        <v>14813</v>
      </c>
      <c r="G116" t="s">
        <v>194</v>
      </c>
      <c r="H116" t="s">
        <v>922</v>
      </c>
      <c r="I116" t="s">
        <v>918</v>
      </c>
    </row>
    <row r="117">
      <c r="A117" t="s">
        <v>923</v>
      </c>
      <c r="B117">
        <f>B114/IS_Hist!B5*365</f>
        <v>33.1620747639374</v>
      </c>
      <c r="C117">
        <f>C114/IS_Hist!C5*365</f>
        <v>29.59620035345549</v>
      </c>
      <c r="D117">
        <f>D114/IS_Hist!D5*365</f>
        <v>27.203086068977576</v>
      </c>
      <c r="E117">
        <f>E114/IS_Hist!E5*365</f>
        <v>27.680776014109345</v>
      </c>
      <c r="F117">
        <f>F114/IS_Hist!F5*365</f>
        <v>23.129888821676644</v>
      </c>
      <c r="G117" t="s">
        <v>924</v>
      </c>
      <c r="H117" t="s">
        <v>925</v>
      </c>
      <c r="I117" t="s">
        <v>778</v>
      </c>
    </row>
    <row r="118">
      <c r="A118" t="s">
        <v>926</v>
      </c>
      <c r="B118">
        <f>B115/IS_Hist!B6*365</f>
        <v>81.14280132838445</v>
      </c>
      <c r="C118">
        <f>C115/IS_Hist!C6*365</f>
        <v>85.83583333333333</v>
      </c>
      <c r="D118">
        <f>D115/IS_Hist!D6*365</f>
        <v>87.19006479481641</v>
      </c>
      <c r="E118">
        <f>E115/IS_Hist!E6*365</f>
        <v>94.1781270464964</v>
      </c>
      <c r="F118">
        <f>F115/IS_Hist!F6*365</f>
        <v>87.79284665978149</v>
      </c>
      <c r="G118" t="s">
        <v>924</v>
      </c>
      <c r="H118" t="s">
        <v>927</v>
      </c>
      <c r="I118" t="s">
        <v>778</v>
      </c>
    </row>
    <row r="119">
      <c r="A119" t="s">
        <v>928</v>
      </c>
      <c r="B119">
        <f>B116/IS_Hist!B6*365</f>
        <v>347.4594647392069</v>
      </c>
      <c r="C119">
        <f>C116/IS_Hist!C6*365</f>
        <v>319.3547222222222</v>
      </c>
      <c r="D119">
        <f>D116/IS_Hist!D6*365</f>
        <v>305.1849352051836</v>
      </c>
      <c r="E119">
        <f>E116/IS_Hist!E6*365</f>
        <v>432.4863566906789</v>
      </c>
      <c r="F119">
        <f>F116/IS_Hist!F6*365</f>
        <v>293.8927542534109</v>
      </c>
      <c r="G119" t="s">
        <v>924</v>
      </c>
      <c r="H119" t="s">
        <v>929</v>
      </c>
      <c r="I119" t="s">
        <v>930</v>
      </c>
    </row>
    <row r="120">
      <c r="A120" t="s">
        <v>931</v>
      </c>
      <c r="B120">
        <f>B117+B118-B119</f>
        <v>-233.15458864688506</v>
      </c>
      <c r="C120">
        <f>C117+C118-C119</f>
        <v>-203.9226885354334</v>
      </c>
      <c r="D120">
        <f>D117+D118-D119</f>
        <v>-190.79178434138962</v>
      </c>
      <c r="E120">
        <f>E117+E118-E119</f>
        <v>-310.6274536300732</v>
      </c>
      <c r="F120">
        <f>F117+F118-F119</f>
        <v>-182.97001877195277</v>
      </c>
      <c r="G120" t="s">
        <v>924</v>
      </c>
      <c r="H120" t="s">
        <v>932</v>
      </c>
      <c r="I120" t="s">
        <v>930</v>
      </c>
    </row>
    <row r="121">
      <c r="A121" t="s">
        <v>933</v>
      </c>
      <c r="B121">
        <f>CF_Hist!B15</f>
        <v>1325</v>
      </c>
      <c r="C121">
        <f>CF_Hist!C15</f>
        <v>-605</v>
      </c>
      <c r="D121">
        <f>CF_Hist!D15</f>
        <v>-846</v>
      </c>
      <c r="E121">
        <f>CF_Hist!E15</f>
        <v>-6234</v>
      </c>
      <c r="F121">
        <f>CF_Hist!F15</f>
        <v>-7208</v>
      </c>
      <c r="G121" t="s">
        <v>194</v>
      </c>
      <c r="H121" t="s">
        <v>934</v>
      </c>
      <c r="I121" t="s">
        <v>918</v>
      </c>
    </row>
    <row r="122">
      <c r="A122" t="s">
        <v>935</v>
      </c>
    </row>
    <row r="123">
      <c r="A123" t="s">
        <v>936</v>
      </c>
      <c r="B123" t="s">
        <v>776</v>
      </c>
      <c r="C123" t="s">
        <v>776</v>
      </c>
      <c r="D123">
        <v>-2</v>
      </c>
      <c r="E123">
        <v>-295</v>
      </c>
      <c r="F123">
        <v>334</v>
      </c>
      <c r="G123" t="s">
        <v>194</v>
      </c>
      <c r="H123" t="s">
        <v>937</v>
      </c>
      <c r="I123" t="s">
        <v>844</v>
      </c>
    </row>
    <row r="124">
      <c r="A124" t="s">
        <v>938</v>
      </c>
      <c r="B124" t="s">
        <v>776</v>
      </c>
      <c r="C124" t="s">
        <v>776</v>
      </c>
      <c r="D124">
        <v>-597</v>
      </c>
      <c r="E124">
        <v>-520</v>
      </c>
      <c r="F124">
        <v>-154</v>
      </c>
      <c r="G124" t="s">
        <v>194</v>
      </c>
      <c r="H124" t="s">
        <v>937</v>
      </c>
      <c r="I124" t="s">
        <v>844</v>
      </c>
    </row>
    <row r="125">
      <c r="A125" t="s">
        <v>939</v>
      </c>
      <c r="B125" t="s">
        <v>776</v>
      </c>
      <c r="C125" t="s">
        <v>776</v>
      </c>
      <c r="D125">
        <v>-323</v>
      </c>
      <c r="E125">
        <v>-5667</v>
      </c>
      <c r="F125">
        <v>-388</v>
      </c>
      <c r="G125" t="s">
        <v>194</v>
      </c>
      <c r="H125" t="s">
        <v>937</v>
      </c>
      <c r="I125" t="s">
        <v>844</v>
      </c>
    </row>
    <row r="126">
      <c r="A126" t="s">
        <v>940</v>
      </c>
      <c r="B126" t="s">
        <v>776</v>
      </c>
      <c r="C126" t="s">
        <v>776</v>
      </c>
      <c r="D126">
        <v>841</v>
      </c>
      <c r="E126">
        <v>1134</v>
      </c>
      <c r="F126">
        <v>-6612</v>
      </c>
      <c r="G126" t="s">
        <v>194</v>
      </c>
      <c r="H126" t="s">
        <v>937</v>
      </c>
      <c r="I126" t="s">
        <v>844</v>
      </c>
    </row>
    <row r="127">
      <c r="A127" t="s">
        <v>941</v>
      </c>
      <c r="B127" t="s">
        <v>776</v>
      </c>
      <c r="C127" t="s">
        <v>776</v>
      </c>
      <c r="D127">
        <v>-578</v>
      </c>
      <c r="E127">
        <v>-823</v>
      </c>
      <c r="F127">
        <v>-558</v>
      </c>
      <c r="G127" t="s">
        <v>194</v>
      </c>
      <c r="H127" t="s">
        <v>937</v>
      </c>
      <c r="I127" t="s">
        <v>844</v>
      </c>
    </row>
    <row r="128">
      <c r="A128" t="s">
        <v>942</v>
      </c>
      <c r="B128" t="s">
        <v>776</v>
      </c>
      <c r="C128" t="s">
        <v>776</v>
      </c>
      <c r="D128">
        <v>-187</v>
      </c>
      <c r="E128">
        <v>-63</v>
      </c>
      <c r="F128">
        <v>170</v>
      </c>
      <c r="G128" t="s">
        <v>194</v>
      </c>
      <c r="H128" t="s">
        <v>937</v>
      </c>
      <c r="I128" t="s">
        <v>844</v>
      </c>
    </row>
    <row r="129">
      <c r="A129" t="s">
        <v>943</v>
      </c>
      <c r="D129">
        <f>SUM(D123:D128)</f>
        <v>-846</v>
      </c>
      <c r="E129">
        <f>SUM(E123:E128)</f>
        <v>-6234</v>
      </c>
      <c r="F129">
        <f>SUM(F123:F128)</f>
        <v>-7208</v>
      </c>
      <c r="G129" t="s">
        <v>194</v>
      </c>
      <c r="H129" t="s">
        <v>778</v>
      </c>
      <c r="I129" t="s">
        <v>778</v>
      </c>
    </row>
    <row r="130">
      <c r="A130" t="s">
        <v>944</v>
      </c>
      <c r="D130">
        <f>D129-CF_Hist!D15</f>
        <v>0</v>
      </c>
      <c r="E130">
        <f>E129-CF_Hist!E15</f>
        <v>0</v>
      </c>
      <c r="F130">
        <f>F129-CF_Hist!F15</f>
        <v>0</v>
      </c>
      <c r="G130" t="s">
        <v>194</v>
      </c>
      <c r="H130" t="s">
        <v>945</v>
      </c>
      <c r="I130" t="s">
        <v>814</v>
      </c>
    </row>
    <row r="132">
      <c r="A132" t="s">
        <v>946</v>
      </c>
    </row>
    <row r="133">
      <c r="A133" t="s">
        <v>947</v>
      </c>
      <c r="B133">
        <v>79000</v>
      </c>
      <c r="C133">
        <v>82500</v>
      </c>
      <c r="D133">
        <v>79100</v>
      </c>
      <c r="E133">
        <v>69700</v>
      </c>
      <c r="F133">
        <v>65900</v>
      </c>
      <c r="G133" t="s">
        <v>948</v>
      </c>
      <c r="H133" t="s">
        <v>949</v>
      </c>
      <c r="I133" t="s">
        <v>774</v>
      </c>
    </row>
    <row r="134">
      <c r="A134" t="s">
        <v>950</v>
      </c>
      <c r="B134">
        <v>9400</v>
      </c>
      <c r="C134">
        <v>9000</v>
      </c>
      <c r="D134">
        <v>9000</v>
      </c>
      <c r="E134">
        <v>8900</v>
      </c>
      <c r="F134">
        <v>8900</v>
      </c>
      <c r="G134" t="s">
        <v>948</v>
      </c>
      <c r="H134" t="s">
        <v>951</v>
      </c>
      <c r="I134" t="s">
        <v>774</v>
      </c>
    </row>
    <row r="135">
      <c r="A135" t="s">
        <v>952</v>
      </c>
      <c r="B135">
        <f>IS_Hist!B5*1000/B133</f>
        <v>489.30379746835445</v>
      </c>
      <c r="C135">
        <f>IS_Hist!C5*1000/C133</f>
        <v>521.260606060606</v>
      </c>
      <c r="D135">
        <f>IS_Hist!D5*1000/D133</f>
        <v>578.432364096081</v>
      </c>
      <c r="E135">
        <f>IS_Hist!E5*1000/E133</f>
        <v>675.19368723099</v>
      </c>
      <c r="F135">
        <f>IS_Hist!F5*1000/F133</f>
        <v>727.4810318664644</v>
      </c>
      <c r="G135" t="s">
        <v>953</v>
      </c>
      <c r="H135" t="s">
        <v>778</v>
      </c>
      <c r="I135" t="s">
        <v>778</v>
      </c>
    </row>
    <row r="136">
      <c r="A136" t="s">
        <v>954</v>
      </c>
      <c r="B136">
        <v>1.68</v>
      </c>
      <c r="C136">
        <v>1.76</v>
      </c>
      <c r="D136">
        <v>1.84</v>
      </c>
      <c r="E136">
        <v>1.94</v>
      </c>
      <c r="F136">
        <v>2.04</v>
      </c>
      <c r="G136" t="s">
        <v>955</v>
      </c>
      <c r="H136" t="s">
        <v>956</v>
      </c>
      <c r="I136" t="s">
        <v>774</v>
      </c>
    </row>
    <row r="137">
      <c r="A137" t="s">
        <v>957</v>
      </c>
      <c r="B137">
        <f>-CF_Hist!B36</f>
        <v>7252</v>
      </c>
      <c r="C137">
        <f>-CF_Hist!C36</f>
        <v>7616</v>
      </c>
      <c r="D137">
        <f>-CF_Hist!D36</f>
        <v>7952</v>
      </c>
      <c r="E137">
        <f>-CF_Hist!E36</f>
        <v>8359</v>
      </c>
      <c r="F137">
        <f>-CF_Hist!F36</f>
        <v>8779</v>
      </c>
      <c r="G137" t="s">
        <v>194</v>
      </c>
      <c r="H137" t="s">
        <v>958</v>
      </c>
      <c r="I137" t="s">
        <v>918</v>
      </c>
    </row>
    <row r="138">
      <c r="A138" t="s">
        <v>959</v>
      </c>
      <c r="B138">
        <f>B137/IS_Hist!B19</f>
        <v>0.7421962951591444</v>
      </c>
      <c r="C138">
        <f>C137/IS_Hist!C19</f>
        <v>0.7981555229511633</v>
      </c>
      <c r="D138">
        <f>D137/IS_Hist!D19</f>
        <v>0.7422064588389023</v>
      </c>
      <c r="E138">
        <f>E137/IS_Hist!E19</f>
        <v>0.7862853917787602</v>
      </c>
      <c r="F138">
        <f>F137/IS_Hist!F19</f>
        <v>0.6697947661554894</v>
      </c>
      <c r="G138" t="s">
        <v>199</v>
      </c>
      <c r="H138" t="s">
        <v>778</v>
      </c>
      <c r="I138" t="s">
        <v>778</v>
      </c>
    </row>
    <row r="139">
      <c r="A139" t="s">
        <v>960</v>
      </c>
      <c r="B139">
        <f>B136*IS_Hist!B24/B137-1</f>
        <v>0.00540540540540535</v>
      </c>
      <c r="C139">
        <f>C136*IS_Hist!C24/C137-1</f>
        <v>0.005252100840336116</v>
      </c>
      <c r="D139">
        <f>D136*IS_Hist!D24/D137-1</f>
        <v>0.00399396378269623</v>
      </c>
      <c r="E139">
        <f>E136*IS_Hist!E24/E137-1</f>
        <v>0.0026079674602224046</v>
      </c>
      <c r="F139">
        <f>F136*IS_Hist!F24/F137-1</f>
        <v>0.002223487868777907</v>
      </c>
      <c r="G139" t="s">
        <v>199</v>
      </c>
      <c r="H139" t="s">
        <v>961</v>
      </c>
      <c r="I139" t="s">
        <v>778</v>
      </c>
    </row>
    <row r="140">
      <c r="A140" t="s">
        <v>962</v>
      </c>
      <c r="G140" t="s">
        <v>955</v>
      </c>
      <c r="H140" t="s">
        <v>963</v>
      </c>
      <c r="I140" t="s">
        <v>964</v>
      </c>
    </row>
    <row r="142">
      <c r="A142" t="s">
        <v>965</v>
      </c>
    </row>
    <row r="143">
      <c r="A143" t="s">
        <v>966</v>
      </c>
      <c r="B143" t="s">
        <v>967</v>
      </c>
      <c r="C143" t="s">
        <v>967</v>
      </c>
      <c r="D143" t="s">
        <v>967</v>
      </c>
      <c r="E143" t="s">
        <v>967</v>
      </c>
      <c r="F143" t="s">
        <v>967</v>
      </c>
      <c r="G143" t="s">
        <v>737</v>
      </c>
      <c r="H143" t="s">
        <v>968</v>
      </c>
      <c r="I143" t="s">
        <v>967</v>
      </c>
    </row>
    <row r="144">
      <c r="A144" t="s">
        <v>969</v>
      </c>
      <c r="B144" t="s">
        <v>967</v>
      </c>
      <c r="C144" t="s">
        <v>967</v>
      </c>
      <c r="D144" t="s">
        <v>967</v>
      </c>
      <c r="E144" t="s">
        <v>967</v>
      </c>
      <c r="F144" t="s">
        <v>967</v>
      </c>
      <c r="G144" t="s">
        <v>737</v>
      </c>
      <c r="H144" t="s">
        <v>970</v>
      </c>
      <c r="I144" t="s">
        <v>967</v>
      </c>
    </row>
    <row r="145">
      <c r="A145" t="s">
        <v>971</v>
      </c>
      <c r="B145" t="s">
        <v>967</v>
      </c>
      <c r="C145" t="s">
        <v>967</v>
      </c>
      <c r="D145" t="s">
        <v>967</v>
      </c>
      <c r="E145" t="s">
        <v>967</v>
      </c>
      <c r="F145" t="s">
        <v>967</v>
      </c>
      <c r="G145" t="s">
        <v>737</v>
      </c>
      <c r="H145" t="s">
        <v>972</v>
      </c>
      <c r="I145" t="s">
        <v>967</v>
      </c>
    </row>
    <row r="146">
      <c r="A146" t="s">
        <v>973</v>
      </c>
      <c r="B146" t="s">
        <v>967</v>
      </c>
      <c r="C146" t="s">
        <v>967</v>
      </c>
      <c r="D146" t="s">
        <v>967</v>
      </c>
      <c r="E146" t="s">
        <v>967</v>
      </c>
      <c r="F146" t="s">
        <v>967</v>
      </c>
      <c r="G146" t="s">
        <v>737</v>
      </c>
      <c r="H146" t="s">
        <v>974</v>
      </c>
      <c r="I146" t="s">
        <v>967</v>
      </c>
    </row>
    <row r="147">
      <c r="A147" t="s">
        <v>975</v>
      </c>
      <c r="B147" t="s">
        <v>967</v>
      </c>
      <c r="C147" t="s">
        <v>967</v>
      </c>
      <c r="D147" t="s">
        <v>967</v>
      </c>
      <c r="E147" t="s">
        <v>967</v>
      </c>
      <c r="F147" t="s">
        <v>967</v>
      </c>
      <c r="G147" t="s">
        <v>737</v>
      </c>
      <c r="H147" t="s">
        <v>976</v>
      </c>
      <c r="I147" t="s">
        <v>967</v>
      </c>
    </row>
    <row r="149">
      <c r="A149" t="s">
        <v>977</v>
      </c>
    </row>
    <row r="150">
      <c r="A150" t="s">
        <v>978</v>
      </c>
      <c r="D150">
        <v>7392</v>
      </c>
      <c r="G150" t="s">
        <v>194</v>
      </c>
      <c r="H150" t="s">
        <v>979</v>
      </c>
      <c r="I150" t="s">
        <v>980</v>
      </c>
    </row>
    <row r="151">
      <c r="A151" t="s">
        <v>981</v>
      </c>
      <c r="D151">
        <v>5830</v>
      </c>
      <c r="G151" t="s">
        <v>194</v>
      </c>
      <c r="H151" t="s">
        <v>979</v>
      </c>
      <c r="I151" t="s">
        <v>980</v>
      </c>
    </row>
    <row r="152">
      <c r="A152" t="s">
        <v>982</v>
      </c>
      <c r="D152">
        <v>16766</v>
      </c>
      <c r="G152" t="s">
        <v>194</v>
      </c>
      <c r="H152" t="s">
        <v>979</v>
      </c>
      <c r="I152" t="s">
        <v>980</v>
      </c>
    </row>
    <row r="153">
      <c r="A153" t="s">
        <v>983</v>
      </c>
      <c r="D153">
        <v>4724</v>
      </c>
      <c r="G153" t="s">
        <v>194</v>
      </c>
      <c r="H153" t="s">
        <v>979</v>
      </c>
      <c r="I153" t="s">
        <v>980</v>
      </c>
    </row>
    <row r="154">
      <c r="A154" t="s">
        <v>984</v>
      </c>
      <c r="D154">
        <v>3064</v>
      </c>
      <c r="G154" t="s">
        <v>194</v>
      </c>
      <c r="H154" t="s">
        <v>979</v>
      </c>
      <c r="I154" t="s">
        <v>980</v>
      </c>
    </row>
    <row r="155">
      <c r="A155" t="s">
        <v>985</v>
      </c>
      <c r="D155">
        <v>7852</v>
      </c>
      <c r="G155" t="s">
        <v>194</v>
      </c>
      <c r="H155" t="s">
        <v>979</v>
      </c>
      <c r="I155" t="s">
        <v>980</v>
      </c>
    </row>
    <row r="156">
      <c r="A156" t="s">
        <v>986</v>
      </c>
      <c r="D156">
        <v>126</v>
      </c>
      <c r="G156" t="s">
        <v>194</v>
      </c>
      <c r="H156" t="s">
        <v>979</v>
      </c>
      <c r="I156" t="s">
        <v>980</v>
      </c>
    </row>
    <row r="157">
      <c r="A157" t="s">
        <v>987</v>
      </c>
      <c r="D157">
        <f>SUM(D150:D156)</f>
        <v>45754</v>
      </c>
      <c r="G157" t="s">
        <v>194</v>
      </c>
      <c r="H157" t="s">
        <v>778</v>
      </c>
      <c r="I157" t="s">
        <v>778</v>
      </c>
    </row>
    <row r="158">
      <c r="A158" t="s">
        <v>988</v>
      </c>
      <c r="D158">
        <f>D157-IS_Hist!D5</f>
        <v>0</v>
      </c>
      <c r="G158" t="s">
        <v>194</v>
      </c>
      <c r="H158" t="s">
        <v>989</v>
      </c>
      <c r="I158" t="s">
        <v>814</v>
      </c>
    </row>
    <row r="159">
      <c r="A159" t="s">
        <v>990</v>
      </c>
    </row>
    <row r="161">
      <c r="A161" t="s">
        <v>991</v>
      </c>
    </row>
    <row r="162">
      <c r="A162" t="s">
        <v>992</v>
      </c>
      <c r="F162" s="33">
        <f>Forecast!B5-F16</f>
        <v>0</v>
      </c>
      <c r="G162" t="s">
        <v>993</v>
      </c>
      <c r="H162" t="s">
        <v>994</v>
      </c>
      <c r="I162" t="s">
        <v>814</v>
      </c>
    </row>
    <row r="163">
      <c r="A163" t="s">
        <v>995</v>
      </c>
      <c r="F163" s="33">
        <f>Forecast!B6-F17</f>
        <v>0</v>
      </c>
      <c r="G163" t="s">
        <v>993</v>
      </c>
      <c r="H163" t="s">
        <v>994</v>
      </c>
      <c r="I163" t="s">
        <v>814</v>
      </c>
    </row>
    <row r="164">
      <c r="A164" t="s">
        <v>996</v>
      </c>
      <c r="F164" s="33">
        <f>Forecast!B7-F18</f>
        <v>0</v>
      </c>
      <c r="G164" t="s">
        <v>993</v>
      </c>
      <c r="H164" t="s">
        <v>994</v>
      </c>
      <c r="I164" t="s">
        <v>814</v>
      </c>
    </row>
    <row r="165">
      <c r="A165" t="s">
        <v>997</v>
      </c>
      <c r="F165" s="33">
        <f>Forecast!B8-F19</f>
        <v>0</v>
      </c>
      <c r="G165" t="s">
        <v>993</v>
      </c>
      <c r="H165" t="s">
        <v>994</v>
      </c>
      <c r="I165" t="s">
        <v>814</v>
      </c>
    </row>
    <row r="166">
      <c r="A166" t="s">
        <v>998</v>
      </c>
      <c r="F166" s="33">
        <f>Forecast!B9-F20</f>
        <v>0</v>
      </c>
      <c r="G166" t="s">
        <v>993</v>
      </c>
      <c r="H166" t="s">
        <v>994</v>
      </c>
      <c r="I166" t="s">
        <v>814</v>
      </c>
    </row>
    <row r="167">
      <c r="A167" t="s">
        <v>999</v>
      </c>
      <c r="F167" s="33">
        <f>Forecast!B10-IS_Hist!F5</f>
        <v>0</v>
      </c>
      <c r="G167" t="s">
        <v>993</v>
      </c>
      <c r="H167" t="s">
        <v>994</v>
      </c>
      <c r="I167" t="s">
        <v>814</v>
      </c>
    </row>
    <row r="168">
      <c r="A168" t="s">
        <v>1000</v>
      </c>
      <c r="F168" s="34">
        <f>ABS(Sector_KPIs!C7-F16)+ABS(Sector_KPIs!C8-F17)+ABS(Sector_KPIs!C9-F18)+ABS(Sector_KPIs!C10-F19)+ABS(Sector_KPIs!C11-F20)</f>
        <v>0</v>
      </c>
      <c r="G168" t="s">
        <v>993</v>
      </c>
      <c r="H168" t="s">
        <v>994</v>
      </c>
      <c r="I168" t="s">
        <v>814</v>
      </c>
    </row>
    <row r="169">
      <c r="A169" t="s">
        <v>1001</v>
      </c>
      <c r="F169" s="32">
        <f>ABS(Sector_KPIs!B5-E7)+ABS(Sector_KPIs!C5-F7)</f>
        <v>0</v>
      </c>
      <c r="G169" t="s">
        <v>993</v>
      </c>
      <c r="H169" t="s">
        <v>994</v>
      </c>
      <c r="I169" t="s">
        <v>814</v>
      </c>
    </row>
    <row r="170">
      <c r="A170" t="s">
        <v>1002</v>
      </c>
      <c r="F170" s="32">
        <f>ABS(Sector_KPIs!B6-IS_Hist!E5)+ABS(Sector_KPIs!C6-IS_Hist!F5)</f>
        <v>0</v>
      </c>
      <c r="G170" t="s">
        <v>993</v>
      </c>
      <c r="H170" t="s">
        <v>994</v>
      </c>
      <c r="I170" t="s">
        <v>814</v>
      </c>
    </row>
    <row r="171">
      <c r="A171" t="s">
        <v>1003</v>
      </c>
    </row>
    <row r="172">
      <c r="A172" t="s">
        <v>1004</v>
      </c>
    </row>
    <row r="173">
      <c r="A173" t="s">
        <v>1005</v>
      </c>
    </row>
    <row r="174">
      <c r="A174" t="s">
        <v>1006</v>
      </c>
    </row>
    <row r="175">
      <c r="A175" t="s">
        <v>1007</v>
      </c>
    </row>
    <row r="176">
      <c r="A176" t="s">
        <v>1008</v>
      </c>
    </row>
    <row r="177">
      <c r="A177" t="s">
        <v>1009</v>
      </c>
    </row>
  </sheetData>
</worksheet>
</file>

<file path=xl/worksheets/sheet19.xml><?xml version="1.0" encoding="utf-8"?>
<worksheet xmlns="http://schemas.openxmlformats.org/spreadsheetml/2006/main" xmlns:r="http://schemas.openxmlformats.org/officeDocument/2006/relationships">
  <dimension ref="A1:F107"/>
  <sheetViews>
    <sheetView workbookViewId="0"/>
  </sheetViews>
  <sheetFormatPr defaultColWidth="8.375" defaultRowHeight="15"/>
  <sheetData>
    <row r="1">
      <c r="A1" t="s">
        <v>1010</v>
      </c>
    </row>
    <row r="2">
      <c r="A2" t="s">
        <v>1011</v>
      </c>
    </row>
    <row r="4">
      <c r="A4" t="s">
        <v>1012</v>
      </c>
      <c r="B4" t="s">
        <v>1013</v>
      </c>
      <c r="C4" t="s">
        <v>767</v>
      </c>
      <c r="D4" t="s">
        <v>1014</v>
      </c>
      <c r="E4" t="s">
        <v>1015</v>
      </c>
      <c r="F4" t="s">
        <v>1016</v>
      </c>
    </row>
    <row r="6">
      <c r="A6" t="s">
        <v>1017</v>
      </c>
    </row>
    <row r="7">
      <c r="A7" t="s">
        <v>1018</v>
      </c>
      <c r="B7">
        <v>87.42</v>
      </c>
      <c r="C7" t="s">
        <v>955</v>
      </c>
      <c r="D7">
        <v>46247</v>
      </c>
      <c r="E7" t="s">
        <v>1019</v>
      </c>
      <c r="F7" t="s">
        <v>1020</v>
      </c>
    </row>
    <row r="8">
      <c r="A8" t="s">
        <v>1021</v>
      </c>
      <c r="B8">
        <v>4302.549243</v>
      </c>
      <c r="C8" t="s">
        <v>1022</v>
      </c>
      <c r="D8">
        <v>46230</v>
      </c>
      <c r="E8" t="s">
        <v>1023</v>
      </c>
      <c r="F8" t="s">
        <v>1024</v>
      </c>
    </row>
    <row r="9">
      <c r="A9" t="s">
        <v>1025</v>
      </c>
      <c r="B9" s="32">
        <f>Historical!B20</f>
        <v>4300.723</v>
      </c>
      <c r="C9" t="s">
        <v>1022</v>
      </c>
      <c r="E9" t="s">
        <v>1026</v>
      </c>
      <c r="F9" t="s">
        <v>1027</v>
      </c>
    </row>
    <row r="10">
      <c r="A10" t="s">
        <v>1028</v>
      </c>
      <c r="B10">
        <v>4313</v>
      </c>
      <c r="C10" t="s">
        <v>1022</v>
      </c>
      <c r="D10">
        <v>46206</v>
      </c>
      <c r="E10" t="s">
        <v>1029</v>
      </c>
      <c r="F10" t="s">
        <v>1030</v>
      </c>
    </row>
    <row r="11">
      <c r="A11" t="s">
        <v>1031</v>
      </c>
      <c r="B11">
        <f>B7*B8</f>
        <v>376128.85482306004</v>
      </c>
      <c r="C11" t="s">
        <v>194</v>
      </c>
      <c r="D11">
        <f>D7</f>
        <v>46247</v>
      </c>
      <c r="E11" t="s">
        <v>1032</v>
      </c>
      <c r="F11" t="s">
        <v>1033</v>
      </c>
    </row>
    <row r="13">
      <c r="A13" t="s">
        <v>1034</v>
      </c>
    </row>
    <row r="14">
      <c r="A14" t="s">
        <v>1035</v>
      </c>
      <c r="B14">
        <f>BS_Hist!F6</f>
        <v>10270</v>
      </c>
      <c r="C14" t="s">
        <v>194</v>
      </c>
      <c r="D14">
        <v>46022</v>
      </c>
      <c r="E14" t="s">
        <v>1036</v>
      </c>
      <c r="F14" t="s">
        <v>1037</v>
      </c>
    </row>
    <row r="15">
      <c r="A15" t="s">
        <v>1038</v>
      </c>
      <c r="B15">
        <f>BS_Hist!F7</f>
        <v>3602</v>
      </c>
      <c r="C15" t="s">
        <v>194</v>
      </c>
      <c r="D15">
        <v>46022</v>
      </c>
      <c r="E15" t="s">
        <v>1039</v>
      </c>
      <c r="F15" t="s">
        <v>918</v>
      </c>
    </row>
    <row r="16">
      <c r="A16" t="s">
        <v>1040</v>
      </c>
      <c r="B16">
        <f>BS_Hist!F8</f>
        <v>1934</v>
      </c>
      <c r="C16" t="s">
        <v>194</v>
      </c>
      <c r="D16">
        <v>46022</v>
      </c>
      <c r="E16" t="s">
        <v>1041</v>
      </c>
      <c r="F16" t="s">
        <v>918</v>
      </c>
    </row>
    <row r="17">
      <c r="A17" t="s">
        <v>1042</v>
      </c>
      <c r="B17">
        <f>SUM(B14:B16)</f>
        <v>15806</v>
      </c>
      <c r="C17" t="s">
        <v>194</v>
      </c>
      <c r="D17">
        <v>46022</v>
      </c>
      <c r="E17" t="s">
        <v>778</v>
      </c>
    </row>
    <row r="18">
      <c r="A18" t="s">
        <v>1043</v>
      </c>
      <c r="B18">
        <f>BS_Hist!F27</f>
        <v>1551</v>
      </c>
      <c r="C18" t="s">
        <v>194</v>
      </c>
      <c r="D18">
        <v>46022</v>
      </c>
      <c r="E18" t="s">
        <v>1044</v>
      </c>
      <c r="F18" t="s">
        <v>918</v>
      </c>
    </row>
    <row r="19">
      <c r="A19" t="s">
        <v>1045</v>
      </c>
      <c r="B19">
        <f>BS_Hist!F28</f>
        <v>1822</v>
      </c>
      <c r="C19" t="s">
        <v>194</v>
      </c>
      <c r="D19">
        <v>46022</v>
      </c>
      <c r="E19" t="s">
        <v>1046</v>
      </c>
      <c r="F19" t="s">
        <v>918</v>
      </c>
    </row>
    <row r="20">
      <c r="A20" t="s">
        <v>1047</v>
      </c>
      <c r="B20">
        <f>BS_Hist!F33</f>
        <v>42119</v>
      </c>
      <c r="C20" t="s">
        <v>194</v>
      </c>
      <c r="D20">
        <v>46022</v>
      </c>
      <c r="E20" t="s">
        <v>1048</v>
      </c>
      <c r="F20" t="s">
        <v>918</v>
      </c>
    </row>
    <row r="21">
      <c r="A21" t="s">
        <v>1049</v>
      </c>
      <c r="B21">
        <f>SUM(B18:B20)</f>
        <v>45492</v>
      </c>
      <c r="C21" t="s">
        <v>194</v>
      </c>
      <c r="D21">
        <v>46022</v>
      </c>
      <c r="E21" t="s">
        <v>778</v>
      </c>
      <c r="F21" t="s">
        <v>1050</v>
      </c>
    </row>
    <row r="22">
      <c r="A22" t="s">
        <v>1051</v>
      </c>
      <c r="B22">
        <f>B21-B17</f>
        <v>29686</v>
      </c>
      <c r="C22" t="s">
        <v>194</v>
      </c>
      <c r="D22">
        <v>46022</v>
      </c>
      <c r="E22" t="s">
        <v>778</v>
      </c>
      <c r="F22" t="s">
        <v>1052</v>
      </c>
    </row>
    <row r="23">
      <c r="A23" t="s">
        <v>297</v>
      </c>
      <c r="B23">
        <f>B11+B21-B17</f>
        <v>405814.85482306004</v>
      </c>
      <c r="C23" t="s">
        <v>194</v>
      </c>
      <c r="D23">
        <f>D7</f>
        <v>46247</v>
      </c>
      <c r="E23" t="s">
        <v>1053</v>
      </c>
      <c r="F23" t="s">
        <v>1054</v>
      </c>
    </row>
    <row r="24">
      <c r="A24" t="s">
        <v>1055</v>
      </c>
      <c r="B24" s="32">
        <f>Historical!B19</f>
        <v>43997</v>
      </c>
      <c r="C24" t="s">
        <v>194</v>
      </c>
      <c r="D24">
        <v>46022</v>
      </c>
      <c r="E24" t="s">
        <v>1056</v>
      </c>
      <c r="F24" t="s">
        <v>1057</v>
      </c>
    </row>
    <row r="25">
      <c r="A25" t="s">
        <v>1058</v>
      </c>
      <c r="B25" s="32">
        <f>B21-B24</f>
        <v>1495</v>
      </c>
      <c r="C25" t="s">
        <v>194</v>
      </c>
      <c r="D25">
        <v>46022</v>
      </c>
      <c r="E25" t="s">
        <v>778</v>
      </c>
      <c r="F25" t="s">
        <v>1059</v>
      </c>
    </row>
    <row r="26">
      <c r="A26" t="s">
        <v>1060</v>
      </c>
      <c r="B26" s="32">
        <f>Historical!B18</f>
        <v>10270</v>
      </c>
      <c r="C26" t="s">
        <v>194</v>
      </c>
      <c r="D26">
        <v>46022</v>
      </c>
      <c r="E26" t="s">
        <v>1061</v>
      </c>
      <c r="F26" t="s">
        <v>1062</v>
      </c>
    </row>
    <row r="27">
      <c r="A27" t="s">
        <v>1063</v>
      </c>
      <c r="B27" s="32">
        <f>B17-B26</f>
        <v>5536</v>
      </c>
      <c r="C27" t="s">
        <v>194</v>
      </c>
      <c r="D27">
        <v>46022</v>
      </c>
      <c r="E27" t="s">
        <v>778</v>
      </c>
      <c r="F27" t="s">
        <v>1064</v>
      </c>
    </row>
    <row r="29">
      <c r="A29" t="s">
        <v>1065</v>
      </c>
    </row>
    <row r="30">
      <c r="A30" t="s">
        <v>1066</v>
      </c>
      <c r="B30">
        <v>0.0463</v>
      </c>
      <c r="C30" t="s">
        <v>199</v>
      </c>
      <c r="D30">
        <v>46247</v>
      </c>
      <c r="E30" t="s">
        <v>1067</v>
      </c>
      <c r="F30" t="s">
        <v>1068</v>
      </c>
    </row>
    <row r="31">
      <c r="A31" t="s">
        <v>1069</v>
      </c>
      <c r="B31">
        <v>0.0423</v>
      </c>
      <c r="C31" t="s">
        <v>199</v>
      </c>
      <c r="D31">
        <v>46023</v>
      </c>
      <c r="E31" t="s">
        <v>1070</v>
      </c>
      <c r="F31" t="s">
        <v>1071</v>
      </c>
    </row>
    <row r="32">
      <c r="A32" t="s">
        <v>1072</v>
      </c>
      <c r="B32">
        <v>0.34</v>
      </c>
      <c r="C32" t="s">
        <v>882</v>
      </c>
      <c r="D32">
        <v>46248</v>
      </c>
      <c r="E32" t="s">
        <v>1073</v>
      </c>
      <c r="F32" t="s">
        <v>1074</v>
      </c>
    </row>
    <row r="33">
      <c r="A33" t="s">
        <v>1075</v>
      </c>
      <c r="B33">
        <f>B30+B32*B31</f>
        <v>0.060682</v>
      </c>
      <c r="C33" t="s">
        <v>199</v>
      </c>
      <c r="D33">
        <f>D30</f>
        <v>46247</v>
      </c>
      <c r="E33" t="s">
        <v>1076</v>
      </c>
    </row>
    <row r="34">
      <c r="A34" t="s">
        <v>1077</v>
      </c>
      <c r="B34">
        <v>0.0521</v>
      </c>
      <c r="C34" t="s">
        <v>199</v>
      </c>
      <c r="D34">
        <v>46247</v>
      </c>
      <c r="E34" t="s">
        <v>1078</v>
      </c>
      <c r="F34" t="s">
        <v>1079</v>
      </c>
    </row>
    <row r="35">
      <c r="A35" t="s">
        <v>1080</v>
      </c>
      <c r="B35" t="s">
        <v>1081</v>
      </c>
      <c r="C35" t="s">
        <v>1082</v>
      </c>
      <c r="D35">
        <v>46022</v>
      </c>
      <c r="E35" t="s">
        <v>1083</v>
      </c>
      <c r="F35" t="s">
        <v>1084</v>
      </c>
    </row>
    <row r="37">
      <c r="A37" t="s">
        <v>1085</v>
      </c>
      <c r="B37">
        <f>IS_Hist!F16/IS_Hist!F15</f>
        <v>0.1788348543567946</v>
      </c>
      <c r="C37" t="s">
        <v>199</v>
      </c>
      <c r="D37">
        <v>46022</v>
      </c>
      <c r="E37" t="s">
        <v>1086</v>
      </c>
      <c r="F37" t="s">
        <v>1087</v>
      </c>
    </row>
    <row r="38">
      <c r="A38" t="s">
        <v>1088</v>
      </c>
      <c r="B38">
        <v>0.21</v>
      </c>
      <c r="C38" t="s">
        <v>199</v>
      </c>
      <c r="D38">
        <v>46022</v>
      </c>
      <c r="E38" t="s">
        <v>1089</v>
      </c>
      <c r="F38" t="s">
        <v>1090</v>
      </c>
    </row>
    <row r="39">
      <c r="A39" t="s">
        <v>1091</v>
      </c>
      <c r="B39">
        <f>B34*(1-B37)</f>
        <v>0.042782704088011006</v>
      </c>
      <c r="C39" t="s">
        <v>199</v>
      </c>
      <c r="D39">
        <f>D34</f>
        <v>46247</v>
      </c>
      <c r="E39" t="s">
        <v>1092</v>
      </c>
    </row>
    <row r="40">
      <c r="A40" t="s">
        <v>1093</v>
      </c>
      <c r="B40">
        <f>B11</f>
        <v>376128.85482306004</v>
      </c>
      <c r="C40" t="s">
        <v>194</v>
      </c>
      <c r="D40">
        <f>D7</f>
        <v>46247</v>
      </c>
      <c r="E40" t="s">
        <v>778</v>
      </c>
    </row>
    <row r="41">
      <c r="A41" t="s">
        <v>1094</v>
      </c>
      <c r="B41">
        <f>B21</f>
        <v>45492</v>
      </c>
      <c r="C41" t="s">
        <v>194</v>
      </c>
      <c r="D41">
        <v>46022</v>
      </c>
      <c r="E41" t="s">
        <v>778</v>
      </c>
      <c r="F41" t="s">
        <v>1095</v>
      </c>
    </row>
    <row r="42">
      <c r="A42" t="s">
        <v>1096</v>
      </c>
      <c r="B42">
        <f>B40+B41</f>
        <v>421620.85482306004</v>
      </c>
      <c r="C42" t="s">
        <v>194</v>
      </c>
      <c r="E42" t="s">
        <v>778</v>
      </c>
    </row>
    <row r="43">
      <c r="A43" t="s">
        <v>1097</v>
      </c>
      <c r="B43">
        <f>B40/B42</f>
        <v>0.8921021114596159</v>
      </c>
      <c r="C43" t="s">
        <v>199</v>
      </c>
      <c r="E43" t="s">
        <v>778</v>
      </c>
    </row>
    <row r="44">
      <c r="A44" t="s">
        <v>1098</v>
      </c>
      <c r="B44">
        <f>B41/B42</f>
        <v>0.10789788854038411</v>
      </c>
      <c r="C44" t="s">
        <v>199</v>
      </c>
      <c r="E44" t="s">
        <v>778</v>
      </c>
    </row>
    <row r="45">
      <c r="A45" t="s">
        <v>264</v>
      </c>
      <c r="B45">
        <f>B43*B33+B44*B39</f>
        <v>0.05875070376473686</v>
      </c>
      <c r="C45" t="s">
        <v>199</v>
      </c>
      <c r="D45">
        <v>46247</v>
      </c>
      <c r="E45" t="s">
        <v>1099</v>
      </c>
      <c r="F45" t="s">
        <v>1100</v>
      </c>
    </row>
    <row r="46">
      <c r="A46" t="s">
        <v>1101</v>
      </c>
      <c r="B46" s="35">
        <f>Assumptions!F16</f>
        <v>0.075</v>
      </c>
      <c r="C46" t="s">
        <v>199</v>
      </c>
      <c r="E46" t="s">
        <v>1102</v>
      </c>
      <c r="F46" t="s">
        <v>1103</v>
      </c>
    </row>
    <row r="47">
      <c r="A47" t="s">
        <v>1104</v>
      </c>
      <c r="B47" s="35">
        <f>B45-B46</f>
        <v>-0.01624929623526314</v>
      </c>
      <c r="C47" t="s">
        <v>199</v>
      </c>
      <c r="E47" t="s">
        <v>778</v>
      </c>
      <c r="F47" t="s">
        <v>1105</v>
      </c>
    </row>
    <row r="49">
      <c r="A49" t="s">
        <v>1106</v>
      </c>
    </row>
    <row r="50">
      <c r="A50" t="s">
        <v>1107</v>
      </c>
      <c r="B50">
        <f>IS_Hist!F5</f>
        <v>47941</v>
      </c>
      <c r="C50" t="s">
        <v>194</v>
      </c>
      <c r="D50">
        <v>46022</v>
      </c>
      <c r="E50" t="s">
        <v>1108</v>
      </c>
      <c r="F50" t="s">
        <v>918</v>
      </c>
    </row>
    <row r="51">
      <c r="A51" t="s">
        <v>1109</v>
      </c>
      <c r="B51">
        <f>IS_Hist!F10</f>
        <v>13762</v>
      </c>
      <c r="C51" t="s">
        <v>194</v>
      </c>
      <c r="D51">
        <v>46022</v>
      </c>
      <c r="E51" t="s">
        <v>1110</v>
      </c>
      <c r="F51" t="s">
        <v>918</v>
      </c>
    </row>
    <row r="52">
      <c r="A52" t="s">
        <v>1111</v>
      </c>
      <c r="B52">
        <f>CF_Hist!F7</f>
        <v>1050</v>
      </c>
      <c r="C52" t="s">
        <v>194</v>
      </c>
      <c r="D52">
        <v>46022</v>
      </c>
      <c r="E52" t="s">
        <v>1112</v>
      </c>
      <c r="F52" t="s">
        <v>918</v>
      </c>
    </row>
    <row r="53">
      <c r="A53" t="s">
        <v>1113</v>
      </c>
      <c r="B53">
        <f>B51+B52</f>
        <v>14812</v>
      </c>
      <c r="C53" t="s">
        <v>194</v>
      </c>
      <c r="D53">
        <v>46022</v>
      </c>
      <c r="E53" t="s">
        <v>1114</v>
      </c>
      <c r="F53" t="s">
        <v>1115</v>
      </c>
    </row>
    <row r="54">
      <c r="A54" t="s">
        <v>1116</v>
      </c>
      <c r="B54">
        <f>IS_Hist!F19</f>
        <v>13107</v>
      </c>
      <c r="C54" t="s">
        <v>194</v>
      </c>
      <c r="D54">
        <v>46022</v>
      </c>
      <c r="E54" t="s">
        <v>1117</v>
      </c>
      <c r="F54" t="s">
        <v>918</v>
      </c>
    </row>
    <row r="55">
      <c r="A55" t="s">
        <v>1118</v>
      </c>
      <c r="B55">
        <f>IS_Hist!F22</f>
        <v>3.04</v>
      </c>
      <c r="C55" t="s">
        <v>955</v>
      </c>
      <c r="D55">
        <v>46022</v>
      </c>
      <c r="E55" t="s">
        <v>1119</v>
      </c>
      <c r="F55" t="s">
        <v>918</v>
      </c>
    </row>
    <row r="56">
      <c r="A56" t="s">
        <v>1120</v>
      </c>
      <c r="B56">
        <f>CF_Hist!F17</f>
        <v>7408</v>
      </c>
      <c r="C56" t="s">
        <v>194</v>
      </c>
      <c r="D56">
        <v>46022</v>
      </c>
      <c r="E56" t="s">
        <v>1121</v>
      </c>
      <c r="F56" t="s">
        <v>918</v>
      </c>
    </row>
    <row r="57">
      <c r="A57" t="s">
        <v>1122</v>
      </c>
      <c r="B57">
        <f>-CF_Hist!F24</f>
        <v>2112</v>
      </c>
      <c r="C57" t="s">
        <v>194</v>
      </c>
      <c r="D57">
        <v>46022</v>
      </c>
      <c r="E57" t="s">
        <v>1123</v>
      </c>
      <c r="F57" t="s">
        <v>1124</v>
      </c>
    </row>
    <row r="58">
      <c r="A58" t="s">
        <v>1125</v>
      </c>
      <c r="B58">
        <f>B56-B57</f>
        <v>5296</v>
      </c>
      <c r="C58" t="s">
        <v>194</v>
      </c>
      <c r="D58">
        <v>46022</v>
      </c>
      <c r="E58" t="s">
        <v>778</v>
      </c>
      <c r="F58" t="s">
        <v>1126</v>
      </c>
    </row>
    <row r="59">
      <c r="A59" t="s">
        <v>1127</v>
      </c>
      <c r="B59">
        <f>B11/B54</f>
        <v>28.696792158622113</v>
      </c>
      <c r="C59" t="s">
        <v>882</v>
      </c>
      <c r="D59">
        <f>D7</f>
        <v>46247</v>
      </c>
      <c r="E59" t="s">
        <v>778</v>
      </c>
    </row>
    <row r="60">
      <c r="A60" t="s">
        <v>1128</v>
      </c>
      <c r="B60">
        <f>B7/B55</f>
        <v>28.75657894736842</v>
      </c>
      <c r="C60" t="s">
        <v>882</v>
      </c>
      <c r="D60">
        <f>D7</f>
        <v>46247</v>
      </c>
      <c r="E60" t="s">
        <v>778</v>
      </c>
      <c r="F60" t="s">
        <v>1129</v>
      </c>
    </row>
    <row r="61">
      <c r="A61" t="s">
        <v>1130</v>
      </c>
      <c r="B61">
        <f>B23/B50</f>
        <v>8.464880891576314</v>
      </c>
      <c r="C61" t="s">
        <v>882</v>
      </c>
      <c r="D61">
        <f>D7</f>
        <v>46247</v>
      </c>
      <c r="E61" t="s">
        <v>778</v>
      </c>
    </row>
    <row r="62">
      <c r="A62" t="s">
        <v>1131</v>
      </c>
      <c r="B62">
        <f>B23/B53</f>
        <v>27.397708265126926</v>
      </c>
      <c r="C62" t="s">
        <v>882</v>
      </c>
      <c r="D62">
        <f>D7</f>
        <v>46247</v>
      </c>
      <c r="E62" t="s">
        <v>778</v>
      </c>
    </row>
    <row r="63">
      <c r="A63" t="s">
        <v>1132</v>
      </c>
      <c r="B63">
        <f>B23/B51</f>
        <v>29.488072578336002</v>
      </c>
      <c r="C63" t="s">
        <v>882</v>
      </c>
      <c r="D63">
        <f>D7</f>
        <v>46247</v>
      </c>
      <c r="E63" t="s">
        <v>778</v>
      </c>
    </row>
    <row r="64">
      <c r="A64" t="s">
        <v>1133</v>
      </c>
      <c r="B64">
        <f>B58/B11</f>
        <v>0.014080281084766454</v>
      </c>
      <c r="C64" t="s">
        <v>199</v>
      </c>
      <c r="D64">
        <f>D7</f>
        <v>46247</v>
      </c>
      <c r="E64" t="s">
        <v>778</v>
      </c>
      <c r="F64" t="s">
        <v>1134</v>
      </c>
    </row>
    <row r="65">
      <c r="A65" t="s">
        <v>1135</v>
      </c>
      <c r="B65">
        <f>-CF_Hist!F36/B11</f>
        <v>0.0233404055217456</v>
      </c>
      <c r="C65" t="s">
        <v>199</v>
      </c>
      <c r="D65">
        <f>D7</f>
        <v>46247</v>
      </c>
      <c r="E65" t="s">
        <v>1136</v>
      </c>
      <c r="F65" t="s">
        <v>1137</v>
      </c>
    </row>
    <row r="66">
      <c r="A66" t="s">
        <v>1138</v>
      </c>
      <c r="B66">
        <f>-CF_Hist!F35/B11</f>
        <v>0.0019833628567288092</v>
      </c>
      <c r="C66" t="s">
        <v>199</v>
      </c>
      <c r="D66">
        <f>D7</f>
        <v>46247</v>
      </c>
      <c r="E66" t="s">
        <v>1139</v>
      </c>
      <c r="F66" t="s">
        <v>1140</v>
      </c>
    </row>
    <row r="67">
      <c r="A67" t="s">
        <v>1141</v>
      </c>
      <c r="B67">
        <f>B65+B66</f>
        <v>0.025323768378474408</v>
      </c>
      <c r="C67" t="s">
        <v>199</v>
      </c>
      <c r="D67">
        <f>D7</f>
        <v>46247</v>
      </c>
      <c r="E67" t="s">
        <v>778</v>
      </c>
    </row>
    <row r="69">
      <c r="A69" t="s">
        <v>1142</v>
      </c>
    </row>
    <row r="70">
      <c r="A70" t="s">
        <v>1143</v>
      </c>
      <c r="B70">
        <v>25852</v>
      </c>
      <c r="C70" t="s">
        <v>194</v>
      </c>
      <c r="D70">
        <v>46206</v>
      </c>
      <c r="E70" t="s">
        <v>1029</v>
      </c>
    </row>
    <row r="71">
      <c r="A71" t="s">
        <v>1144</v>
      </c>
      <c r="B71">
        <v>23664</v>
      </c>
      <c r="C71" t="s">
        <v>194</v>
      </c>
      <c r="D71">
        <v>45835</v>
      </c>
      <c r="E71" t="s">
        <v>1145</v>
      </c>
    </row>
    <row r="72">
      <c r="A72" t="s">
        <v>1146</v>
      </c>
      <c r="B72">
        <f>IS_Hist!F5-B71+B70</f>
        <v>50129</v>
      </c>
      <c r="C72" t="s">
        <v>194</v>
      </c>
      <c r="D72">
        <v>46206</v>
      </c>
      <c r="E72" t="s">
        <v>1147</v>
      </c>
    </row>
    <row r="73">
      <c r="A73" t="s">
        <v>1148</v>
      </c>
      <c r="B73">
        <v>9031</v>
      </c>
      <c r="C73" t="s">
        <v>194</v>
      </c>
      <c r="D73">
        <v>46206</v>
      </c>
      <c r="E73" t="s">
        <v>1149</v>
      </c>
    </row>
    <row r="74">
      <c r="A74" t="s">
        <v>1150</v>
      </c>
      <c r="B74">
        <v>7939</v>
      </c>
      <c r="C74" t="s">
        <v>194</v>
      </c>
      <c r="D74">
        <v>45835</v>
      </c>
      <c r="E74" t="s">
        <v>1145</v>
      </c>
    </row>
    <row r="75">
      <c r="A75" t="s">
        <v>1151</v>
      </c>
      <c r="B75">
        <f>IS_Hist!F10-B74+B73</f>
        <v>14854</v>
      </c>
      <c r="C75" t="s">
        <v>194</v>
      </c>
      <c r="D75">
        <v>46206</v>
      </c>
      <c r="E75" t="s">
        <v>778</v>
      </c>
    </row>
    <row r="76">
      <c r="A76" t="s">
        <v>1152</v>
      </c>
      <c r="B76">
        <v>8349</v>
      </c>
      <c r="C76" t="s">
        <v>194</v>
      </c>
      <c r="D76">
        <v>46206</v>
      </c>
      <c r="E76" t="s">
        <v>1149</v>
      </c>
    </row>
    <row r="77">
      <c r="A77" t="s">
        <v>1153</v>
      </c>
      <c r="B77">
        <v>7140</v>
      </c>
      <c r="C77" t="s">
        <v>194</v>
      </c>
      <c r="D77">
        <v>45835</v>
      </c>
      <c r="E77" t="s">
        <v>1145</v>
      </c>
    </row>
    <row r="78">
      <c r="A78" t="s">
        <v>1154</v>
      </c>
      <c r="B78">
        <f>IS_Hist!F19-B77+B76</f>
        <v>14316</v>
      </c>
      <c r="C78" t="s">
        <v>194</v>
      </c>
      <c r="D78">
        <v>46206</v>
      </c>
      <c r="E78" t="s">
        <v>778</v>
      </c>
    </row>
    <row r="79">
      <c r="A79" t="s">
        <v>1155</v>
      </c>
      <c r="B79">
        <f>B11/B78</f>
        <v>26.27332039836966</v>
      </c>
      <c r="C79" t="s">
        <v>882</v>
      </c>
      <c r="D79">
        <f>D7</f>
        <v>46247</v>
      </c>
      <c r="E79" t="s">
        <v>778</v>
      </c>
    </row>
    <row r="80">
      <c r="A80" t="s">
        <v>1156</v>
      </c>
      <c r="B80">
        <f>B23/B72</f>
        <v>8.095410936245687</v>
      </c>
      <c r="C80" t="s">
        <v>882</v>
      </c>
      <c r="D80">
        <f>D7</f>
        <v>46247</v>
      </c>
      <c r="E80" t="s">
        <v>778</v>
      </c>
      <c r="F80" t="s">
        <v>1157</v>
      </c>
    </row>
    <row r="81">
      <c r="A81" t="s">
        <v>1158</v>
      </c>
      <c r="B81">
        <f>B23/B75</f>
        <v>27.320240664000274</v>
      </c>
      <c r="C81" t="s">
        <v>882</v>
      </c>
      <c r="D81">
        <f>D7</f>
        <v>46247</v>
      </c>
      <c r="E81" t="s">
        <v>778</v>
      </c>
    </row>
    <row r="82">
      <c r="A82" t="s">
        <v>1159</v>
      </c>
      <c r="B82">
        <v>16371</v>
      </c>
      <c r="C82" t="s">
        <v>194</v>
      </c>
      <c r="D82">
        <v>46206</v>
      </c>
      <c r="E82" t="s">
        <v>1160</v>
      </c>
      <c r="F82" t="s">
        <v>1161</v>
      </c>
    </row>
    <row r="83">
      <c r="A83" t="s">
        <v>1162</v>
      </c>
      <c r="B83">
        <v>43543</v>
      </c>
      <c r="C83" t="s">
        <v>194</v>
      </c>
      <c r="D83">
        <v>46206</v>
      </c>
      <c r="E83" t="s">
        <v>1163</v>
      </c>
      <c r="F83" t="s">
        <v>1164</v>
      </c>
    </row>
    <row r="84">
      <c r="A84" t="s">
        <v>1165</v>
      </c>
      <c r="B84">
        <f>B11+B83-B82</f>
        <v>403300.85482306004</v>
      </c>
      <c r="C84" t="s">
        <v>194</v>
      </c>
      <c r="D84">
        <f>D7</f>
        <v>46247</v>
      </c>
      <c r="E84" t="s">
        <v>778</v>
      </c>
      <c r="F84" t="s">
        <v>1166</v>
      </c>
    </row>
    <row r="85">
      <c r="A85" t="s">
        <v>1167</v>
      </c>
      <c r="B85">
        <f>B84-B23</f>
        <v>-2514</v>
      </c>
      <c r="C85" t="s">
        <v>194</v>
      </c>
      <c r="E85" t="s">
        <v>778</v>
      </c>
    </row>
    <row r="87">
      <c r="A87" t="s">
        <v>1168</v>
      </c>
    </row>
    <row r="88">
      <c r="A88" t="s">
        <v>1169</v>
      </c>
      <c r="B88">
        <v>6</v>
      </c>
      <c r="C88" t="s">
        <v>1170</v>
      </c>
      <c r="E88" t="s">
        <v>1171</v>
      </c>
      <c r="F88" t="s">
        <v>1172</v>
      </c>
    </row>
    <row r="89">
      <c r="A89" t="s">
        <v>1173</v>
      </c>
      <c r="B89">
        <f>IF(LEN(E7)=0,1,0)+IF(LEN(E8)=0,1,0)+IF(LEN(E30)=0,1,0)+IF(LEN(E31)=0,1,0)+IF(LEN(E32)=0,1,0)+IF(LEN(E34)=0,1,0)</f>
        <v>0</v>
      </c>
      <c r="C89" t="s">
        <v>1170</v>
      </c>
      <c r="E89" t="s">
        <v>778</v>
      </c>
      <c r="F89" t="s">
        <v>1174</v>
      </c>
    </row>
    <row r="90">
      <c r="A90" t="s">
        <v>1175</v>
      </c>
      <c r="B90">
        <f>IF(OR(LEN(D7)=0,NOT(ISNUMBER(D7))),1,0)+IF(OR(LEN(D8)=0,NOT(ISNUMBER(D8))),1,0)+IF(OR(LEN(D30)=0,NOT(ISNUMBER(D30))),1,0)+IF(OR(LEN(D31)=0,NOT(ISNUMBER(D31))),1,0)+IF(OR(LEN(D32)=0,NOT(ISNUMBER(D32))),1,0)+IF(OR(LEN(D34)=0,NOT(ISNUMBER(D34))),1,0)</f>
        <v>0</v>
      </c>
      <c r="C90" t="s">
        <v>1170</v>
      </c>
      <c r="E90" t="s">
        <v>778</v>
      </c>
      <c r="F90" t="s">
        <v>1176</v>
      </c>
    </row>
    <row r="91">
      <c r="A91" t="s">
        <v>1177</v>
      </c>
      <c r="B91" t="str">
        <f>IF(AND(B89=0,B90=0,B92=0),"PASS","FAIL")</f>
        <v>FAIL</v>
      </c>
      <c r="C91" t="s">
        <v>1178</v>
      </c>
      <c r="E91" t="s">
        <v>778</v>
      </c>
    </row>
    <row r="92">
      <c r="A92" t="s">
        <v>1179</v>
      </c>
      <c r="B92">
        <f>IF(D7&lt;MAX(D7,D30,D32,D34)-5,1,0)+IF(D30&lt;MAX(D7,D30,D32,D34)-5,1,0)+IF(D34&lt;MAX(D7,D30,D32,D34)-5,1,0)+IF(MAX(D7,D30,D32,D34)&lt;TODAY()-10,1,0)</f>
        <v>1</v>
      </c>
      <c r="C92" t="s">
        <v>1170</v>
      </c>
      <c r="E92" t="s">
        <v>778</v>
      </c>
      <c r="F92" t="s">
        <v>1180</v>
      </c>
    </row>
    <row r="94">
      <c r="A94" t="s">
        <v>1181</v>
      </c>
    </row>
    <row r="95">
      <c r="A95" t="s">
        <v>1182</v>
      </c>
    </row>
    <row r="96">
      <c r="A96" t="s">
        <v>1183</v>
      </c>
    </row>
    <row r="97">
      <c r="A97" t="s">
        <v>1184</v>
      </c>
    </row>
    <row r="98">
      <c r="A98" t="s">
        <v>1185</v>
      </c>
    </row>
    <row r="99">
      <c r="A99" t="s">
        <v>1186</v>
      </c>
    </row>
    <row r="100">
      <c r="A100" t="s">
        <v>1187</v>
      </c>
    </row>
    <row r="101">
      <c r="A101" t="s">
        <v>1188</v>
      </c>
    </row>
    <row r="102">
      <c r="A102" t="s">
        <v>1189</v>
      </c>
    </row>
    <row r="103">
      <c r="A103" t="s">
        <v>1190</v>
      </c>
    </row>
    <row r="105">
      <c r="A105" t="s">
        <v>1191</v>
      </c>
    </row>
    <row r="106">
      <c r="A106" t="s">
        <v>1192</v>
      </c>
      <c r="B106">
        <v>15806</v>
      </c>
      <c r="C106" t="s">
        <v>194</v>
      </c>
      <c r="D106">
        <v>46022</v>
      </c>
      <c r="E106" t="s">
        <v>1193</v>
      </c>
      <c r="F106" t="s">
        <v>1194</v>
      </c>
    </row>
    <row r="107">
      <c r="A107" t="s">
        <v>1195</v>
      </c>
      <c r="B107">
        <v>45492</v>
      </c>
      <c r="C107" t="s">
        <v>194</v>
      </c>
      <c r="D107">
        <v>46022</v>
      </c>
      <c r="E107" t="s">
        <v>1196</v>
      </c>
      <c r="F107" t="s">
        <v>1197</v>
      </c>
    </row>
  </sheetData>
</worksheet>
</file>

<file path=xl/worksheets/sheet20.xml><?xml version="1.0" encoding="utf-8"?>
<worksheet xmlns="http://schemas.openxmlformats.org/spreadsheetml/2006/main" xmlns:r="http://schemas.openxmlformats.org/officeDocument/2006/relationships">
  <dimension ref="A1:F2"/>
  <sheetViews>
    <sheetView showGridLines="0" workbookViewId="0"/>
  </sheetViews>
  <sheetFormatPr defaultColWidth="8.375" defaultRowHeight="15"/>
  <cols>
    <col min="1" max="1" width="8.70703125" customWidth="1"/>
    <col min="2" max="2" width="18.0390625" customWidth="1"/>
    <col min="3" max="4" width="57.70703125" customWidth="1"/>
    <col min="5" max="5" width="81.0390625" customWidth="1"/>
    <col min="6" max="6" width="46.0390625" customWidth="1"/>
  </cols>
  <sheetData>
    <row r="1">
      <c r="A1" s="36" t="s">
        <v>1198</v>
      </c>
      <c r="B1" s="36" t="s">
        <v>1199</v>
      </c>
      <c r="C1" s="36" t="s">
        <v>1200</v>
      </c>
      <c r="D1" s="36" t="s">
        <v>1201</v>
      </c>
      <c r="E1" s="36" t="s">
        <v>1202</v>
      </c>
      <c r="F1" s="36" t="s">
        <v>1203</v>
      </c>
    </row>
    <row r="2">
      <c r="A2" s="37">
        <v>1</v>
      </c>
      <c r="B2" s="38">
        <v>46324.35932567129</v>
      </c>
      <c r="C2" s="37" t="s">
        <v>1204</v>
      </c>
      <c r="D2" s="37" t="s">
        <v>1205</v>
      </c>
      <c r="E2" s="37" t="s">
        <v>1206</v>
      </c>
      <c r="F2" s="37" t="s">
        <v>1207</v>
      </c>
    </row>
  </sheetData>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