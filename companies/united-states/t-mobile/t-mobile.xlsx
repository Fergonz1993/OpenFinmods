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bookViews>
    <workbookView xWindow="0" yWindow="700" windowWidth="30240" windowHeight="17860" activeTab="2" xr2:uid="{00000000-000D-0000-FFFF-FFFF00000000}"/>
  </bookViews>
  <sheets>
    <sheet name="00_Cover" sheetId="1" r:id="rId1"/>
    <sheet name="Sources" sheetId="2" r:id="rId2"/>
    <sheet name="Historical" sheetId="3" r:id="rId3"/>
    <sheet name="Assumptions" sheetId="4" r:id="rId4"/>
    <sheet name="Forecast" sheetId="5" r:id="rId5"/>
    <sheet name="Valuation" sheetId="6" r:id="rId6"/>
    <sheet name="Sensitivity" sheetId="7" r:id="rId7"/>
    <sheet name="Checks" sheetId="8" r:id="rId8"/>
    <sheet name="Sector_KPIs" sheetId="9" r:id="rId9"/>
    <sheet name="Change_Log" sheetId="10" r:id="rId10"/>
    <sheet name="Gate_9of10" sheetId="11" r:id="rId11"/>
    <sheet name="IS_Hist" sheetId="12" r:id="rId15"/>
    <sheet name="BS_Hist" sheetId="13" r:id="rId16"/>
    <sheet name="CF_Hist" sheetId="14" r:id="rId17"/>
    <sheet name="SCE_Hist" sheetId="15" r:id="rId18"/>
    <sheet name="Checks_TieOut" sheetId="16" r:id="rId19"/>
    <sheet name="Sources_Audited" sheetId="17" r:id="rId20"/>
    <sheet name="Drivers_MDA" sheetId="18" r:id="rId21"/>
    <sheet name="Market_Package" sheetId="19" r:id="rId22"/>
    <sheet name="Claude Code Log" sheetId="20" r:id="rId23"/>
  </sheet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<sst xmlns="http://schemas.openxmlformats.org/spreadsheetml/2006/main" count="3494" uniqueCount="1387">
  <si>
    <t>TMUS | 9-of-10 Regated Public-Company Model</t>
  </si>
  <si>
    <t>T-Mobile US, Inc. | Telecommunications | Controlled artifact-tool rebuild; independent certification remains outside owner scope.</t>
  </si>
  <si>
    <t>Company</t>
  </si>
  <si>
    <t>T-Mobile US, Inc.</t>
  </si>
  <si>
    <t>Ticker</t>
  </si>
  <si>
    <t>TMUS</t>
  </si>
  <si>
    <t>Model as of</t>
  </si>
  <si>
    <t>2025-12-31</t>
  </si>
  <si>
    <t>Currency</t>
  </si>
  <si>
    <t>USD millions unless stated</t>
  </si>
  <si>
    <t>Forecast horizon</t>
  </si>
  <si>
    <t>2026E-2030E</t>
  </si>
  <si>
    <t>Active case</t>
  </si>
  <si>
    <t>Overall status</t>
  </si>
  <si>
    <t>Primary valuation</t>
  </si>
  <si>
    <t>Unlevered FCFF DCF</t>
  </si>
  <si>
    <t>Market-price comparison</t>
  </si>
  <si>
    <t>Omitted — no independently refreshed exact-dated quote in this owner lane</t>
  </si>
  <si>
    <t>Debt definition</t>
  </si>
  <si>
    <t>LongTermDebt + ShortTermBorrowings + FinanceLeaseLiability; all carrying values, USD mm.</t>
  </si>
  <si>
    <t>Cash policy</t>
  </si>
  <si>
    <t>Net debt deducts cash and cash equivalents only; restricted cash and non-operating investments are excluded.</t>
  </si>
  <si>
    <t>Acquisition / perimeter</t>
  </si>
  <si>
    <t>2025 customer/revenue perimeter includes UScellular, Metronet and Lumos acquisitions; 2024 includes Ka'ena. Forecast cases normalize acquisition-heavy growth.</t>
  </si>
  <si>
    <t>Known limitation</t>
  </si>
  <si>
    <t>Reported postpaid ARPA is per account while churn is postpaid phone churn; the driver model therefore uses phone customers/ARPU for phone service revenue and treats other postpaid revenue separately.</t>
  </si>
  <si>
    <t>Investor view: begin with operating drivers and the debt bridge, then assess valuation only after Checks!B4 passes. Gate_9of10 is owner preflight, not independent certification.</t>
  </si>
  <si>
    <t>TMUS | Source and Transformation Ledger</t>
  </si>
  <si>
    <t>Every material input identifies target, metric, period, filing metadata, retrieval date, exact URL, scale/sign transform and perimeter note.</t>
  </si>
  <si>
    <t>Source ID</t>
  </si>
  <si>
    <t>Target</t>
  </si>
  <si>
    <t>Metric</t>
  </si>
  <si>
    <t>Value</t>
  </si>
  <si>
    <t>Units</t>
  </si>
  <si>
    <t>Period start</t>
  </si>
  <si>
    <t>Period end / as-of</t>
  </si>
  <si>
    <t>Taxonomy / tag</t>
  </si>
  <si>
    <t>Form</t>
  </si>
  <si>
    <t>Filed</t>
  </si>
  <si>
    <t>Accession</t>
  </si>
  <si>
    <t>Source title</t>
  </si>
  <si>
    <t>Source class</t>
  </si>
  <si>
    <t>Retrieved</t>
  </si>
  <si>
    <t>Exact URL</t>
  </si>
  <si>
    <t>Transform</t>
  </si>
  <si>
    <t>Notes / perimeter</t>
  </si>
  <si>
    <t>SRC-001</t>
  </si>
  <si>
    <t>Historical!C5</t>
  </si>
  <si>
    <t>Revenue</t>
  </si>
  <si>
    <t>USD mm</t>
  </si>
  <si>
    <t>2023-01-01</t>
  </si>
  <si>
    <t>2023-12-31</t>
  </si>
  <si>
    <t>us-gaap:RevenueFromContractWithCustomerExcludingAssessedTax</t>
  </si>
  <si>
    <t>10-K</t>
  </si>
  <si>
    <t>2026-02-11</t>
  </si>
  <si>
    <t>0001283699-26-000010</t>
  </si>
  <si>
    <t>T-Mobile US, Inc. Form 10-K / SEC Company Facts</t>
  </si>
  <si>
    <t>Primary — SEC filed</t>
  </si>
  <si>
    <t>2026-07-16</t>
  </si>
  <si>
    <t>https://data.sec.gov/api/xbrl/companyfacts/CIK0001283699.json</t>
  </si>
  <si>
    <t>Filed USD divided by 1,000,000; sign preserved</t>
  </si>
  <si>
    <t>SRC-002</t>
  </si>
  <si>
    <t>Historical!D5</t>
  </si>
  <si>
    <t>2024-01-01</t>
  </si>
  <si>
    <t>2024-12-31</t>
  </si>
  <si>
    <t>SRC-003</t>
  </si>
  <si>
    <t>Historical!E5</t>
  </si>
  <si>
    <t>2025-01-01</t>
  </si>
  <si>
    <t>SRC-004</t>
  </si>
  <si>
    <t>Historical!C6</t>
  </si>
  <si>
    <t>Operating income (EBIT)</t>
  </si>
  <si>
    <t>us-gaap:OperatingIncomeLoss</t>
  </si>
  <si>
    <t>SRC-005</t>
  </si>
  <si>
    <t>Historical!D6</t>
  </si>
  <si>
    <t>SRC-006</t>
  </si>
  <si>
    <t>Historical!E6</t>
  </si>
  <si>
    <t>SRC-007</t>
  </si>
  <si>
    <t>Historical!C7</t>
  </si>
  <si>
    <t>Net income</t>
  </si>
  <si>
    <t>us-gaap:NetIncomeLoss</t>
  </si>
  <si>
    <t>SRC-008</t>
  </si>
  <si>
    <t>Historical!D7</t>
  </si>
  <si>
    <t>SRC-009</t>
  </si>
  <si>
    <t>Historical!E7</t>
  </si>
  <si>
    <t>SRC-010</t>
  </si>
  <si>
    <t>Historical!C8</t>
  </si>
  <si>
    <t>Cash from operations</t>
  </si>
  <si>
    <t>us-gaap:NetCashProvidedByUsedInOperatingActivities</t>
  </si>
  <si>
    <t>SRC-011</t>
  </si>
  <si>
    <t>Historical!D8</t>
  </si>
  <si>
    <t>SRC-012</t>
  </si>
  <si>
    <t>Historical!E8</t>
  </si>
  <si>
    <t>SRC-013</t>
  </si>
  <si>
    <t>Historical!C9</t>
  </si>
  <si>
    <t>Depreciation &amp; amortization</t>
  </si>
  <si>
    <t>us-gaap:DepreciationDepletionAndAmortization</t>
  </si>
  <si>
    <t>SRC-014</t>
  </si>
  <si>
    <t>Historical!D9</t>
  </si>
  <si>
    <t>SRC-015</t>
  </si>
  <si>
    <t>Historical!E9</t>
  </si>
  <si>
    <t>SRC-016</t>
  </si>
  <si>
    <t>Historical!C10</t>
  </si>
  <si>
    <t>Cash capex / P&amp;E additions</t>
  </si>
  <si>
    <t>us-gaap:PaymentsToAcquirePropertyPlantAndEquipment</t>
  </si>
  <si>
    <t>SRC-017</t>
  </si>
  <si>
    <t>Historical!D10</t>
  </si>
  <si>
    <t>SRC-018</t>
  </si>
  <si>
    <t>Historical!E10</t>
  </si>
  <si>
    <t>SRC-019</t>
  </si>
  <si>
    <t>Historical!C11</t>
  </si>
  <si>
    <t>Total assets</t>
  </si>
  <si>
    <t>Instant</t>
  </si>
  <si>
    <t>us-gaap:Assets</t>
  </si>
  <si>
    <t>2025-01-31</t>
  </si>
  <si>
    <t>0001283699-25-000012</t>
  </si>
  <si>
    <t>SRC-020</t>
  </si>
  <si>
    <t>Historical!D11</t>
  </si>
  <si>
    <t>SRC-021</t>
  </si>
  <si>
    <t>Historical!E11</t>
  </si>
  <si>
    <t>SRC-022</t>
  </si>
  <si>
    <t>Historical!C12</t>
  </si>
  <si>
    <t>Stockholders' equity</t>
  </si>
  <si>
    <t>us-gaap:StockholdersEquity</t>
  </si>
  <si>
    <t>SRC-023</t>
  </si>
  <si>
    <t>Historical!D12</t>
  </si>
  <si>
    <t>SRC-024</t>
  </si>
  <si>
    <t>Historical!E12</t>
  </si>
  <si>
    <t>SRC-025</t>
  </si>
  <si>
    <t>Historical!C13</t>
  </si>
  <si>
    <t>Cash &amp; cash equivalents</t>
  </si>
  <si>
    <t>us-gaap:CashAndCashEquivalentsAtCarryingValue</t>
  </si>
  <si>
    <t>SRC-026</t>
  </si>
  <si>
    <t>Historical!D13</t>
  </si>
  <si>
    <t>SRC-027</t>
  </si>
  <si>
    <t>Historical!E13</t>
  </si>
  <si>
    <t>SRC-028</t>
  </si>
  <si>
    <t>Historical!C14</t>
  </si>
  <si>
    <t>Long-term debt</t>
  </si>
  <si>
    <t>us-gaap:LongTermDebt</t>
  </si>
  <si>
    <t>SRC-029</t>
  </si>
  <si>
    <t>Historical!D14</t>
  </si>
  <si>
    <t>SRC-030</t>
  </si>
  <si>
    <t>Historical!E14</t>
  </si>
  <si>
    <t>SRC-031</t>
  </si>
  <si>
    <t>Historical!C15</t>
  </si>
  <si>
    <t>Short-term borrowings</t>
  </si>
  <si>
    <t>us-gaap:ShortTermBorrowings</t>
  </si>
  <si>
    <t>SRC-032</t>
  </si>
  <si>
    <t>Historical!D15</t>
  </si>
  <si>
    <t>SRC-033</t>
  </si>
  <si>
    <t>Historical!E15</t>
  </si>
  <si>
    <t>SRC-034</t>
  </si>
  <si>
    <t>Historical!C16</t>
  </si>
  <si>
    <t>Finance lease liability</t>
  </si>
  <si>
    <t>us-gaap:FinanceLeaseLiability</t>
  </si>
  <si>
    <t>2024-02-02</t>
  </si>
  <si>
    <t>0001283699-24-000008</t>
  </si>
  <si>
    <t>SRC-035</t>
  </si>
  <si>
    <t>Historical!D16</t>
  </si>
  <si>
    <t>SRC-036</t>
  </si>
  <si>
    <t>Historical!E16</t>
  </si>
  <si>
    <t>SRC-037</t>
  </si>
  <si>
    <t>Historical!C17</t>
  </si>
  <si>
    <t>Diluted weighted-average shares</t>
  </si>
  <si>
    <t>mm shares</t>
  </si>
  <si>
    <t>us-gaap:WeightedAverageNumberOfDilutedSharesOutstanding</t>
  </si>
  <si>
    <t>Filed shares divided by 1,000,000</t>
  </si>
  <si>
    <t>SRC-038</t>
  </si>
  <si>
    <t>Historical!D17</t>
  </si>
  <si>
    <t>SRC-039</t>
  </si>
  <si>
    <t>Historical!E17</t>
  </si>
  <si>
    <t>SRC-040</t>
  </si>
  <si>
    <t>Assumptions!C7</t>
  </si>
  <si>
    <t>Gross phone adds rate — Bear</t>
  </si>
  <si>
    <t>% / year</t>
  </si>
  <si>
    <t>N/A</t>
  </si>
  <si>
    <t>Model assumption</t>
  </si>
  <si>
    <t>TMUS scenario framework</t>
  </si>
  <si>
    <t>Model judgment</t>
  </si>
  <si>
    <t>https://www.sec.gov/Archives/edgar/data/1283699/000128369926000010/tmus-20251231.htm</t>
  </si>
  <si>
    <t>Scenario calibration</t>
  </si>
  <si>
    <t>Gross-add assumption calibrated so churn produces normalized postpaid phone growth after 2025 acquisition effects.</t>
  </si>
  <si>
    <t>SRC-041</t>
  </si>
  <si>
    <t>Assumptions!D7</t>
  </si>
  <si>
    <t>Gross phone adds rate — Base</t>
  </si>
  <si>
    <t>SRC-042</t>
  </si>
  <si>
    <t>Assumptions!E7</t>
  </si>
  <si>
    <t>Gross phone adds rate — Bull</t>
  </si>
  <si>
    <t>SRC-043</t>
  </si>
  <si>
    <t>Assumptions!C8</t>
  </si>
  <si>
    <t>Postpaid phone churn — Bear</t>
  </si>
  <si>
    <t>% / month</t>
  </si>
  <si>
    <t>2025 reported churn was 0.93%; cases frame retention risk.</t>
  </si>
  <si>
    <t>SRC-044</t>
  </si>
  <si>
    <t>Assumptions!D8</t>
  </si>
  <si>
    <t>Postpaid phone churn — Base</t>
  </si>
  <si>
    <t>SRC-045</t>
  </si>
  <si>
    <t>Assumptions!E8</t>
  </si>
  <si>
    <t>Postpaid phone churn — Bull</t>
  </si>
  <si>
    <t>SRC-046</t>
  </si>
  <si>
    <t>Assumptions!C9</t>
  </si>
  <si>
    <t>Postpaid phone ARPU growth — Bear</t>
  </si>
  <si>
    <t>2025 reported ARPU growth was 2%.</t>
  </si>
  <si>
    <t>SRC-047</t>
  </si>
  <si>
    <t>Assumptions!D9</t>
  </si>
  <si>
    <t>Postpaid phone ARPU growth — Base</t>
  </si>
  <si>
    <t>SRC-048</t>
  </si>
  <si>
    <t>Assumptions!E9</t>
  </si>
  <si>
    <t>Postpaid phone ARPU growth — Bull</t>
  </si>
  <si>
    <t>SRC-049</t>
  </si>
  <si>
    <t>Assumptions!C10</t>
  </si>
  <si>
    <t>Other postpaid service revenue growth — Bear</t>
  </si>
  <si>
    <t>Captures broadband, connected-device and fee revenue outside the phone ARPU proxy.</t>
  </si>
  <si>
    <t>SRC-050</t>
  </si>
  <si>
    <t>Assumptions!D10</t>
  </si>
  <si>
    <t>Other postpaid service revenue growth — Base</t>
  </si>
  <si>
    <t>SRC-051</t>
  </si>
  <si>
    <t>Assumptions!E10</t>
  </si>
  <si>
    <t>Other postpaid service revenue growth — Bull</t>
  </si>
  <si>
    <t>SRC-052</t>
  </si>
  <si>
    <t>Assumptions!C11</t>
  </si>
  <si>
    <t>Non-postpaid service revenue growth — Bear</t>
  </si>
  <si>
    <t>Prepaid plus wholesale/other service revenue case.</t>
  </si>
  <si>
    <t>SRC-053</t>
  </si>
  <si>
    <t>Assumptions!D11</t>
  </si>
  <si>
    <t>Non-postpaid service revenue growth — Base</t>
  </si>
  <si>
    <t>SRC-054</t>
  </si>
  <si>
    <t>Assumptions!E11</t>
  </si>
  <si>
    <t>Non-postpaid service revenue growth — Bull</t>
  </si>
  <si>
    <t>SRC-055</t>
  </si>
  <si>
    <t>Assumptions!C12</t>
  </si>
  <si>
    <t>Equipment/other revenue as % service revenue — Bear</t>
  </si>
  <si>
    <t>%</t>
  </si>
  <si>
    <t>Anchored to 2025 equipment revenue and service revenue.</t>
  </si>
  <si>
    <t>SRC-056</t>
  </si>
  <si>
    <t>Assumptions!D12</t>
  </si>
  <si>
    <t>Equipment/other revenue as % service revenue — Base</t>
  </si>
  <si>
    <t>SRC-057</t>
  </si>
  <si>
    <t>Assumptions!E12</t>
  </si>
  <si>
    <t>Equipment/other revenue as % service revenue — Bull</t>
  </si>
  <si>
    <t>SRC-058</t>
  </si>
  <si>
    <t>Assumptions!C13</t>
  </si>
  <si>
    <t>Adjusted EBITDA margin on service revenue — Bear</t>
  </si>
  <si>
    <t>2025 reported Adjusted EBITDA margin was 48%.</t>
  </si>
  <si>
    <t>SRC-059</t>
  </si>
  <si>
    <t>Assumptions!D13</t>
  </si>
  <si>
    <t>Adjusted EBITDA margin on service revenue — Base</t>
  </si>
  <si>
    <t>SRC-060</t>
  </si>
  <si>
    <t>Assumptions!E13</t>
  </si>
  <si>
    <t>Adjusted EBITDA margin on service revenue — Bull</t>
  </si>
  <si>
    <t>SRC-061</t>
  </si>
  <si>
    <t>Assumptions!C14</t>
  </si>
  <si>
    <t>D&amp;A as % total revenue — Bear</t>
  </si>
  <si>
    <t>Anchored to 2025 SEC D&amp;A / revenue.</t>
  </si>
  <si>
    <t>SRC-062</t>
  </si>
  <si>
    <t>Assumptions!D14</t>
  </si>
  <si>
    <t>D&amp;A as % total revenue — Base</t>
  </si>
  <si>
    <t>SRC-063</t>
  </si>
  <si>
    <t>Assumptions!E14</t>
  </si>
  <si>
    <t>D&amp;A as % total revenue — Bull</t>
  </si>
  <si>
    <t>SRC-064</t>
  </si>
  <si>
    <t>Assumptions!C15</t>
  </si>
  <si>
    <t>Cash capex as % total revenue — Bear</t>
  </si>
  <si>
    <t>Anchored to 2025 cash purchases of P&amp;E.</t>
  </si>
  <si>
    <t>SRC-065</t>
  </si>
  <si>
    <t>Assumptions!D15</t>
  </si>
  <si>
    <t>Cash capex as % total revenue — Base</t>
  </si>
  <si>
    <t>SRC-066</t>
  </si>
  <si>
    <t>Assumptions!E15</t>
  </si>
  <si>
    <t>Cash capex as % total revenue — Bull</t>
  </si>
  <si>
    <t>SRC-067</t>
  </si>
  <si>
    <t>Assumptions!C16</t>
  </si>
  <si>
    <t>Cash tax rate — Bear</t>
  </si>
  <si>
    <t>Normalized cash-tax assumption.</t>
  </si>
  <si>
    <t>SRC-068</t>
  </si>
  <si>
    <t>Assumptions!D16</t>
  </si>
  <si>
    <t>Cash tax rate — Base</t>
  </si>
  <si>
    <t>SRC-069</t>
  </si>
  <si>
    <t>Assumptions!E16</t>
  </si>
  <si>
    <t>Cash tax rate — Bull</t>
  </si>
  <si>
    <t>SRC-070</t>
  </si>
  <si>
    <t>Assumptions!C17</t>
  </si>
  <si>
    <t>NWC investment / change in revenue — Bear</t>
  </si>
  <si>
    <t>Working-capital sensitivity assumption.</t>
  </si>
  <si>
    <t>SRC-071</t>
  </si>
  <si>
    <t>Assumptions!D17</t>
  </si>
  <si>
    <t>NWC investment / change in revenue — Base</t>
  </si>
  <si>
    <t>SRC-072</t>
  </si>
  <si>
    <t>Assumptions!E17</t>
  </si>
  <si>
    <t>NWC investment / change in revenue — Bull</t>
  </si>
  <si>
    <t>SRC-073</t>
  </si>
  <si>
    <t>Assumptions!C18</t>
  </si>
  <si>
    <t>Annual net debt reduction — Bear</t>
  </si>
  <si>
    <t>Visible leverage-path assumption; no residual cash plug.</t>
  </si>
  <si>
    <t>SRC-074</t>
  </si>
  <si>
    <t>Assumptions!D18</t>
  </si>
  <si>
    <t>Annual net debt reduction — Base</t>
  </si>
  <si>
    <t>SRC-075</t>
  </si>
  <si>
    <t>Assumptions!E18</t>
  </si>
  <si>
    <t>Annual net debt reduction — Bull</t>
  </si>
  <si>
    <t>SRC-076</t>
  </si>
  <si>
    <t>Assumptions!C19</t>
  </si>
  <si>
    <t>WACC — Bear</t>
  </si>
  <si>
    <t>USD telecom discount-rate assumption.</t>
  </si>
  <si>
    <t>SRC-077</t>
  </si>
  <si>
    <t>Assumptions!D19</t>
  </si>
  <si>
    <t>WACC — Base</t>
  </si>
  <si>
    <t>SRC-078</t>
  </si>
  <si>
    <t>Assumptions!E19</t>
  </si>
  <si>
    <t>WACC — Bull</t>
  </si>
  <si>
    <t>SRC-079</t>
  </si>
  <si>
    <t>Assumptions!C20</t>
  </si>
  <si>
    <t>Terminal growth — Bear</t>
  </si>
  <si>
    <t>Long-run nominal growth assumption.</t>
  </si>
  <si>
    <t>SRC-080</t>
  </si>
  <si>
    <t>Assumptions!D20</t>
  </si>
  <si>
    <t>Terminal growth — Base</t>
  </si>
  <si>
    <t>SRC-081</t>
  </si>
  <si>
    <t>Assumptions!E20</t>
  </si>
  <si>
    <t>Terminal growth — Bull</t>
  </si>
  <si>
    <t>SRC-082</t>
  </si>
  <si>
    <t>Assumptions!C21</t>
  </si>
  <si>
    <t>Exit EV / Adjusted EBITDA — Bear</t>
  </si>
  <si>
    <t>x</t>
  </si>
  <si>
    <t>Telecom DCF cross-check multiple.</t>
  </si>
  <si>
    <t>SRC-083</t>
  </si>
  <si>
    <t>Assumptions!D21</t>
  </si>
  <si>
    <t>Exit EV / Adjusted EBITDA — Base</t>
  </si>
  <si>
    <t>SRC-084</t>
  </si>
  <si>
    <t>Assumptions!E21</t>
  </si>
  <si>
    <t>Exit EV / Adjusted EBITDA — Bull</t>
  </si>
  <si>
    <t>SRC-085</t>
  </si>
  <si>
    <t>Sector_KPIs!C5</t>
  </si>
  <si>
    <t>Operating KPIs 2023</t>
  </si>
  <si>
    <t>mm customers</t>
  </si>
  <si>
    <t>MD&amp;A — Performance Measures — Customers, end of period — row: Postpaid phone customers — column 2023</t>
  </si>
  <si>
    <t>T-Mobile US, Inc. 2025 Form 10-K</t>
  </si>
  <si>
    <t>Transcribed from filed table; USD values in millions unless stated</t>
  </si>
  <si>
    <t>SRC-086</t>
  </si>
  <si>
    <t>Sector_KPIs!D5</t>
  </si>
  <si>
    <t>Operating KPIs 2024</t>
  </si>
  <si>
    <t>MD&amp;A — Performance Measures — Customers, end of period — row: Postpaid phone customers — column 2024</t>
  </si>
  <si>
    <t>SRC-087</t>
  </si>
  <si>
    <t>Sector_KPIs!E5</t>
  </si>
  <si>
    <t>Operating KPIs 2025</t>
  </si>
  <si>
    <t>MD&amp;A — Performance Measures — Customers, end of period — row: Postpaid phone customers — column 2025</t>
  </si>
  <si>
    <t>SRC-088</t>
  </si>
  <si>
    <t>Sector_KPIs!C9</t>
  </si>
  <si>
    <t>Phone ARPU 2023</t>
  </si>
  <si>
    <t>$ per month</t>
  </si>
  <si>
    <t>MD&amp;A — Performance Measures — Postpaid Average Revenue per User — row: Postpaid phone ARPU — column 2023</t>
  </si>
  <si>
    <t>SRC-089</t>
  </si>
  <si>
    <t>Sector_KPIs!D9</t>
  </si>
  <si>
    <t>Phone ARPU 2024</t>
  </si>
  <si>
    <t>MD&amp;A — Performance Measures — Postpaid Average Revenue per User — row: Postpaid phone ARPU — column 2024</t>
  </si>
  <si>
    <t>SRC-090</t>
  </si>
  <si>
    <t>Sector_KPIs!E9</t>
  </si>
  <si>
    <t>Phone ARPU 2025</t>
  </si>
  <si>
    <t>MD&amp;A — Performance Measures — Postpaid Average Revenue per User — row: Postpaid phone ARPU — column 2025</t>
  </si>
  <si>
    <t>SRC-091</t>
  </si>
  <si>
    <t>Sector_KPIs!C7</t>
  </si>
  <si>
    <t>Phone churn 2023</t>
  </si>
  <si>
    <t>% per month</t>
  </si>
  <si>
    <t>MD&amp;A — Performance Measures — Churn — row: Postpaid phone churn — column 2023</t>
  </si>
  <si>
    <t>SRC-092</t>
  </si>
  <si>
    <t>Sector_KPIs!D7</t>
  </si>
  <si>
    <t>Phone churn 2024</t>
  </si>
  <si>
    <t>MD&amp;A — Performance Measures — Churn — row: Postpaid phone churn — column 2024</t>
  </si>
  <si>
    <t>SRC-093</t>
  </si>
  <si>
    <t>Sector_KPIs!E7</t>
  </si>
  <si>
    <t>Phone churn 2025</t>
  </si>
  <si>
    <t>MD&amp;A — Performance Measures — Churn — row: Postpaid phone churn — column 2025</t>
  </si>
  <si>
    <t>SRC-094</t>
  </si>
  <si>
    <t>Sector_KPIs!C18</t>
  </si>
  <si>
    <t>Adjusted EBITDA 2023</t>
  </si>
  <si>
    <t>MD&amp;A — Selected financial data / Non-GAAP Financial Measures — row: Adjusted EBITDA — column 2023</t>
  </si>
  <si>
    <t>SRC-095</t>
  </si>
  <si>
    <t>Sector_KPIs!D18</t>
  </si>
  <si>
    <t>Adjusted EBITDA 2024</t>
  </si>
  <si>
    <t>MD&amp;A — Selected financial data / Non-GAAP Financial Measures — row: Adjusted EBITDA — column 2024</t>
  </si>
  <si>
    <t>SRC-096</t>
  </si>
  <si>
    <t>Sector_KPIs!E18</t>
  </si>
  <si>
    <t>Adjusted EBITDA 2025</t>
  </si>
  <si>
    <t>MD&amp;A — Selected financial data / Non-GAAP Financial Measures — row: Adjusted EBITDA — column 2025</t>
  </si>
  <si>
    <t>SRC-097</t>
  </si>
  <si>
    <t>Historical / Valuation</t>
  </si>
  <si>
    <t>Policy</t>
  </si>
  <si>
    <t>Accounting policy</t>
  </si>
  <si>
    <t>Explicit sum of filed debt components</t>
  </si>
  <si>
    <t>SRC-098</t>
  </si>
  <si>
    <t>Entire model</t>
  </si>
  <si>
    <t>Acquisition / perimeter note</t>
  </si>
  <si>
    <t>Perimeter policy</t>
  </si>
  <si>
    <t>No current-FX restatement; filed values preserved</t>
  </si>
  <si>
    <t>TMUS | Historical Financials</t>
  </si>
  <si>
    <t>Filed values and explicit debt bridge. USD in millions except per-share and share-count data.</t>
  </si>
  <si>
    <t>2023A</t>
  </si>
  <si>
    <t>2024A</t>
  </si>
  <si>
    <t>2025A</t>
  </si>
  <si>
    <t>Source definition</t>
  </si>
  <si>
    <t>Source IDs</t>
  </si>
  <si>
    <t>Policy / transform</t>
  </si>
  <si>
    <t>Quality</t>
  </si>
  <si>
    <t>SEC Company Facts / filed 10-K; RevenueFromContractWithCustomerExcludingAssessedTax or Revenues or SalesRevenueNet</t>
  </si>
  <si>
    <t>SRC-001, SRC-002, SRC-003</t>
  </si>
  <si>
    <t>Filed USD; no FX restatement; sign preserved.</t>
  </si>
  <si>
    <t>SEC Company Facts / filed 10-K; OperatingIncomeLoss</t>
  </si>
  <si>
    <t>SRC-004, SRC-005, SRC-006</t>
  </si>
  <si>
    <t>SEC Company Facts / filed 10-K; NetIncomeLoss or ProfitLoss</t>
  </si>
  <si>
    <t>SRC-007, SRC-008, SRC-009</t>
  </si>
  <si>
    <t>SEC Company Facts / filed 10-K; NetCashProvidedByUsedInOperatingActivities</t>
  </si>
  <si>
    <t>SRC-010, SRC-011, SRC-012</t>
  </si>
  <si>
    <t>SEC Company Facts / filed 10-K; DepreciationDepletionAndAmortization or DepreciationDepletionAndAmortization or DepreciationAndAmortization</t>
  </si>
  <si>
    <t>SRC-013, SRC-014, SRC-015</t>
  </si>
  <si>
    <t>SEC Company Facts / filed 10-K; PaymentsToAcquirePropertyPlantAndEquipment or PaymentsForAdditionsToPropertyPlantAndEquipment</t>
  </si>
  <si>
    <t>SRC-016, SRC-017, SRC-018</t>
  </si>
  <si>
    <t>SEC Company Facts / filed 10-K; Assets</t>
  </si>
  <si>
    <t>SRC-019, SRC-020, SRC-021</t>
  </si>
  <si>
    <t>SEC Company Facts / filed 10-K; StockholdersEquity or StockholdersEquityIncludingPortionAttributableToNoncontrollingInterest</t>
  </si>
  <si>
    <t>SRC-022, SRC-023, SRC-024</t>
  </si>
  <si>
    <t>SEC Company Facts / filed 10-K; CashAndCashEquivalentsAtCarryingValue or CashCashEquivalentsRestrictedCashAndRestrictedCashEquivalents</t>
  </si>
  <si>
    <t>SRC-025, SRC-026, SRC-027</t>
  </si>
  <si>
    <t>SEC Company Facts / filed 10-K; LongTermDebt or LongTermDebtAndCapitalLeaseObligationsIncludingCurrentMaturities</t>
  </si>
  <si>
    <t>SRC-028, SRC-029, SRC-030</t>
  </si>
  <si>
    <t>SEC Company Facts / filed 10-K; ShortTermBorrowings or CommercialPaper</t>
  </si>
  <si>
    <t>SRC-031, SRC-032, SRC-033</t>
  </si>
  <si>
    <t>SEC Company Facts / filed 10-K; FinanceLeaseLiability</t>
  </si>
  <si>
    <t>SRC-034, SRC-035, SRC-036</t>
  </si>
  <si>
    <t>SEC Company Facts / filed 10-K; WeightedAverageNumberOfDilutedSharesOutstanding</t>
  </si>
  <si>
    <t>SRC-037, SRC-038, SRC-039</t>
  </si>
  <si>
    <t>Total debt</t>
  </si>
  <si>
    <t>Formula</t>
  </si>
  <si>
    <t>Modeled</t>
  </si>
  <si>
    <t>Net debt</t>
  </si>
  <si>
    <t>Total debt less cash and cash equivalents</t>
  </si>
  <si>
    <t>Debt policy</t>
  </si>
  <si>
    <t>Perimeter</t>
  </si>
  <si>
    <t>TMUS | Scenario Assumptions</t>
  </si>
  <si>
    <t>Blue cells are inputs; green cells are links/formulas. Selector 1=Base, 2=Bull, 3=Bear.</t>
  </si>
  <si>
    <t>Scenario selector</t>
  </si>
  <si>
    <t>Driver</t>
  </si>
  <si>
    <t>Bear</t>
  </si>
  <si>
    <t>Base</t>
  </si>
  <si>
    <t>Bull</t>
  </si>
  <si>
    <t>Active</t>
  </si>
  <si>
    <t>Rationale / calibration</t>
  </si>
  <si>
    <t>Gross phone adds rate</t>
  </si>
  <si>
    <t>Postpaid phone churn</t>
  </si>
  <si>
    <t>Postpaid phone ARPU growth</t>
  </si>
  <si>
    <t>Other postpaid service revenue growth</t>
  </si>
  <si>
    <t>Non-postpaid service revenue growth</t>
  </si>
  <si>
    <t>Equipment/other revenue as % service revenue</t>
  </si>
  <si>
    <t>Adjusted EBITDA margin on service revenue</t>
  </si>
  <si>
    <t>D&amp;A as % total revenue</t>
  </si>
  <si>
    <t>Cash capex as % total revenue</t>
  </si>
  <si>
    <t>Cash tax rate</t>
  </si>
  <si>
    <t>NWC investment / change in revenue</t>
  </si>
  <si>
    <t>Annual net debt reduction</t>
  </si>
  <si>
    <t>WACC</t>
  </si>
  <si>
    <t>Terminal growth</t>
  </si>
  <si>
    <t>Exit EV / Adjusted EBITDA</t>
  </si>
  <si>
    <t>TMUS | Integrated Forecast</t>
  </si>
  <si>
    <t>Operating drivers flow from Sector_KPIs into FCFF and DCF valuation.</t>
  </si>
  <si>
    <t>2026E</t>
  </si>
  <si>
    <t>2027E</t>
  </si>
  <si>
    <t>2028E</t>
  </si>
  <si>
    <t>2029E</t>
  </si>
  <si>
    <t>2030E</t>
  </si>
  <si>
    <t>Adjusted EBITDA</t>
  </si>
  <si>
    <t>EBIT</t>
  </si>
  <si>
    <t>Cash taxes</t>
  </si>
  <si>
    <t>NOPAT</t>
  </si>
  <si>
    <t>D&amp;A add-back</t>
  </si>
  <si>
    <t>Capital expenditures</t>
  </si>
  <si>
    <t>Change in net working capital</t>
  </si>
  <si>
    <t>FCFF</t>
  </si>
  <si>
    <t>FCFF margin</t>
  </si>
  <si>
    <t>FCFF is derived from operating drivers, normalized cash taxes, explicit capex and a revenue-linked NWC assumption.</t>
  </si>
  <si>
    <t>TMUS | DCF Valuation</t>
  </si>
  <si>
    <t>Primary method: unlevered FCFF DCF. Exit EV / Adjusted EBITDA is an explicit cross-check.</t>
  </si>
  <si>
    <t>Discount period</t>
  </si>
  <si>
    <t>years</t>
  </si>
  <si>
    <t>Discount factor</t>
  </si>
  <si>
    <t>PV of FCFF</t>
  </si>
  <si>
    <t>Terminal value</t>
  </si>
  <si>
    <t>PV of terminal value</t>
  </si>
  <si>
    <t>Enterprise value</t>
  </si>
  <si>
    <t>Equity value</t>
  </si>
  <si>
    <t>DCF value / share</t>
  </si>
  <si>
    <t>Omitted</t>
  </si>
  <si>
    <t>Reason</t>
  </si>
  <si>
    <t>No independently refreshed exact-dated quote was obtained in the controlled owner lane.</t>
  </si>
  <si>
    <t>2030E Adjusted EBITDA</t>
  </si>
  <si>
    <t>Exit-multiple enterprise value</t>
  </si>
  <si>
    <t>Exit-multiple value / share</t>
  </si>
  <si>
    <t>Valuation date / horizon</t>
  </si>
  <si>
    <t>Filed FY2025 actuals with an explicit 2026E-2030E forecast; terminal value is measured at 2030E and discounted to the valuation date.</t>
  </si>
  <si>
    <t>Debt / cash policy</t>
  </si>
  <si>
    <t>LongTermDebt + ShortTermBorrowings + FinanceLeaseLiability; all carrying values, USD mm. Net debt deducts cash and cash equivalents only; restricted cash and non-operating investments are excluded.</t>
  </si>
  <si>
    <t>Share-count basis</t>
  </si>
  <si>
    <t>Per-share valuation uses FY2025 diluted weighted-average shares; this is a period-average share count, not a point-in-time shares-outstanding quote.</t>
  </si>
  <si>
    <t>TMUS | DCF Sensitivity</t>
  </si>
  <si>
    <t>Equity value per share across WACC and terminal-growth assumptions. Center cell equals the active DCF case.</t>
  </si>
  <si>
    <t>Terminal growth → / WACC ↓</t>
  </si>
  <si>
    <t>Base DCF / share</t>
  </si>
  <si>
    <t>TMUS | Formula-Driven Model Checks</t>
  </si>
  <si>
    <t>Overall status is aggregated from check-row formulas. No check status is hardcoded.</t>
  </si>
  <si>
    <t>Overall model status</t>
  </si>
  <si>
    <t>Check ID</t>
  </si>
  <si>
    <t>Category</t>
  </si>
  <si>
    <t>Actual</t>
  </si>
  <si>
    <t>Expected</t>
  </si>
  <si>
    <t>Difference</t>
  </si>
  <si>
    <t>Tolerance</t>
  </si>
  <si>
    <t>Status</t>
  </si>
  <si>
    <t>Evidence / fix hint</t>
  </si>
  <si>
    <t>C01</t>
  </si>
  <si>
    <t>Source ledger exact URLs</t>
  </si>
  <si>
    <t>All material rows require an exact URL.</t>
  </si>
  <si>
    <t>C02</t>
  </si>
  <si>
    <t>Source ledger accession field complete</t>
  </si>
  <si>
    <t>Every source row must carry a filed accession or an explicit N/A.</t>
  </si>
  <si>
    <t>C03</t>
  </si>
  <si>
    <t>Debt bridge</t>
  </si>
  <si>
    <t>C04</t>
  </si>
  <si>
    <t>Net debt bridge</t>
  </si>
  <si>
    <t>C05</t>
  </si>
  <si>
    <t>Operating model historical revenue tie</t>
  </si>
  <si>
    <t>2025 operating schedule revenue must equal filed revenue.</t>
  </si>
  <si>
    <t>C06</t>
  </si>
  <si>
    <t>Forecast operating link</t>
  </si>
  <si>
    <t>2026E revenue must flow from the operating model.</t>
  </si>
  <si>
    <t>C07</t>
  </si>
  <si>
    <t>Selector must be 1, 2 or 3.</t>
  </si>
  <si>
    <t>C08</t>
  </si>
  <si>
    <t>Share count positive</t>
  </si>
  <si>
    <t>Per-share valuation requires a positive share count.</t>
  </si>
  <si>
    <t>C09</t>
  </si>
  <si>
    <t>Sensitivity center reconciliation</t>
  </si>
  <si>
    <t>Center sensitivity cell must equal the active valuation.</t>
  </si>
  <si>
    <t>C10</t>
  </si>
  <si>
    <t>Valuation finite / non-negative</t>
  </si>
  <si>
    <t>Primary equity value per share must be finite and non-negative; equity is floored at zero in downside cases.</t>
  </si>
  <si>
    <t>TMUS | Subscriber-to-Cash-Flow Operating Model</t>
  </si>
  <si>
    <t>Phone customers and ARPU drive phone service revenue; other service revenue is modeled separately to avoid ARPA/customer-unit mismatch.</t>
  </si>
  <si>
    <t>Postpaid phone customers</t>
  </si>
  <si>
    <t>mm</t>
  </si>
  <si>
    <t>Gross phone adds rate (modeled)</t>
  </si>
  <si>
    <t>Net phone customer growth</t>
  </si>
  <si>
    <t>Postpaid phone ARPU</t>
  </si>
  <si>
    <t>$ / month</t>
  </si>
  <si>
    <t>Phone service revenue proxy</t>
  </si>
  <si>
    <t>Reported postpaid service revenue</t>
  </si>
  <si>
    <t>Other postpaid service revenue</t>
  </si>
  <si>
    <t>Prepaid / wholesale / other service revenue</t>
  </si>
  <si>
    <t>Total service revenue</t>
  </si>
  <si>
    <t>Equipment &amp; other revenue</t>
  </si>
  <si>
    <t>Total revenue</t>
  </si>
  <si>
    <t>Cash capex</t>
  </si>
  <si>
    <t>Net leverage</t>
  </si>
  <si>
    <t>Model limitation: Reported postpaid ARPA is per account while churn is postpaid phone churn; the driver model therefore uses phone customers/ARPU for phone service revenue and treats other postpaid revenue separately.</t>
  </si>
  <si>
    <t>Year</t>
  </si>
  <si>
    <t>Adj. EBITDA</t>
  </si>
  <si>
    <t>TMUS | Controlled Change Log</t>
  </si>
  <si>
    <t>Prior workbook is preserved. This output is a new artifact with documented source, model, gate and recalculation changes.</t>
  </si>
  <si>
    <t>Timestamp</t>
  </si>
  <si>
    <t>Version</t>
  </si>
  <si>
    <t>Area</t>
  </si>
  <si>
    <t>Change</t>
  </si>
  <si>
    <t>Evidence</t>
  </si>
  <si>
    <t>Owner scope</t>
  </si>
  <si>
    <t>UTC 2026-07-16T22:00:00Z</t>
  </si>
  <si>
    <t>9of10-regated</t>
  </si>
  <si>
    <t>Preservation</t>
  </si>
  <si>
    <t>Prior workbook preserved without overwrite.</t>
  </si>
  <si>
    <t>Original SHA-256: 8d802deaaeff11ab5a3c232c176fd64ad6e0a8f2da36fd0c8d33693922f63011</t>
  </si>
  <si>
    <t>Controlled rebuild</t>
  </si>
  <si>
    <t>Sources</t>
  </si>
  <si>
    <t>Replaced generic source list with exact SEC accession, filing URL, taxonomy/tag, period, unit, transform and target-cell ledger.</t>
  </si>
  <si>
    <t>Sources!A4:Q*</t>
  </si>
  <si>
    <t>Owner preflight</t>
  </si>
  <si>
    <t>Debt / cash / shares</t>
  </si>
  <si>
    <t>Rebuilt total debt from explicit filed components; documented cash/restricted-cash and share-count policies.</t>
  </si>
  <si>
    <t>Historical!A13:I19</t>
  </si>
  <si>
    <t>Operating model</t>
  </si>
  <si>
    <t>Connected phone customers, churn and ARPU to service revenue, EBITDA, FCFF and valuation.</t>
  </si>
  <si>
    <t>Sector_KPIs</t>
  </si>
  <si>
    <t>Valuation</t>
  </si>
  <si>
    <t>Established formula-driven DCF with exit-multiple cross-check.</t>
  </si>
  <si>
    <t>Valuation + Sensitivity</t>
  </si>
  <si>
    <t>Gate</t>
  </si>
  <si>
    <t>Added formula-driven Checks and H0-H9 owner-preflight gate; independent certification is explicitly excluded.</t>
  </si>
  <si>
    <t>Checks + Gate_9of10</t>
  </si>
  <si>
    <t>Output</t>
  </si>
  <si>
    <t>Authored with artifact-tool; native recalculation and final visual manifest are referenced in Gate_9of10 and support evidence.</t>
  </si>
  <si>
    <t>T_Mobile_US_9of10_Regated.xlsx</t>
  </si>
  <si>
    <t>Elevation Ola 2 (statement-grade IG): added audited FY2021-FY2025 statement sheets IS_Hist/BS_Hist/CF_Hist/SCE_Hist (USD mm, published constants; FY2023-25 full line detail from 10-K R-files, FY2021-22 aggregate per companyfacts.json XBRL — gaps documented, not invented), Checks_TieOut (cross-statement + continuity tie-outs), Sources_Audited (exact R-file/accession/tag citations). Existing Historical/Forecast/Valuation/Sensitivity/Checks/Sector_KPIs/Assumptions sheets and their formulas untouched — pre-existing 5-year FY2026E-2030E Base/Bull/Bear driver-built forecast and DCF valuation already satisfied the forecast requirement and were not rebuilt. Root model untouched; v2 saved under the maintainer's archive. Built via Mog SDK only (no openpyxl/LibreOffice).</t>
  </si>
  <si>
    <t>Claude (run 24e4a1f1)</t>
  </si>
  <si>
    <t>Capa de cobertura Ola 1 de flota (plantilla del piloto Apple post-refutación): se agregaron Drivers_MDA (clientes/adds/ajustes con roll-forward, churn/ARPU/ARPA, ingresos por componente FY2021-25, detalle de opex e intereses FY21-22 que cierra los gaps 1 y 3 de Sources_Audited, no-GAAP reportados con recompute de FCF, espectro, deuda/refi con nota vs XBRL, escalera contractual al 2025-12-31 incl. spectrum leases, leases/torres, empleados, NOT_AVAILABLEs declarados incl. CAC y cohortes, y puente de 9 anclas al motor) y Market_Package (precio/acciones/market cap fechados, puente a EV, CAPM/WACC fechado, múltiplos, memo LTM al 2026-06-30 con el 10-Q Q2 2026 descargado de EDGAR, control de procedencia mecanizado y hallazgos H1-H4). Se agregaron 27 tie-outs (filas 33-59) en Checks_TieOut y se amplió el rango del MASTER de H5:H30 a H5:H59 (endurece; única celda preexistente tocada). HALLAZGOS declarados sin corregir: H1 double-count de la porción corriente de Senior Notes en el puente de deuda del DCF (5,135 FY25); H2 conteo de acciones del DCF vs portada del 10-Q; H3 WACC fechado ~5.5% vs 9.5% de escenario; H4 DCF Base a −0.2% del precio de mercado; y el residual FY23 de IS_Hist!D12 con el gain mal signado (50). NINGUNA hoja histórica ni del DCF fue modificada. Solo Mog SDK.</t>
  </si>
  <si>
    <t>Claude (Fable 5) — builder de cobertura T-Mobile, Ola 1</t>
  </si>
  <si>
    <t>TMUS | H0-H9 Owner Preflight Gate</t>
  </si>
  <si>
    <t>This sheet records owner preflight readiness. Independent certification is still required and is not self-awarded.</t>
  </si>
  <si>
    <t>Control objective</t>
  </si>
  <si>
    <t>Weight</t>
  </si>
  <si>
    <t>Evidence range</t>
  </si>
  <si>
    <t>Owner note</t>
  </si>
  <si>
    <t>Independent certification</t>
  </si>
  <si>
    <t>H0</t>
  </si>
  <si>
    <t>Controlled lineage and package integrity</t>
  </si>
  <si>
    <t>Gate_9of10!A23:B28; internal QA evidence (not published)</t>
  </si>
  <si>
    <t>Original/output paths and original hash recorded; final hash and unzip evidence live beside the immutable reviewed file.</t>
  </si>
  <si>
    <t>Required</t>
  </si>
  <si>
    <t>H1</t>
  </si>
  <si>
    <t>Source fidelity and provenance</t>
  </si>
  <si>
    <t>Sources!A4:Q*; Historical comments; Assumptions comments</t>
  </si>
  <si>
    <t>SEC tags/periods/units/accessions/retrieval/targets/transforms. Undated inherited market price removed from outputs.</t>
  </si>
  <si>
    <t>H2</t>
  </si>
  <si>
    <t>Historical, formula and schedule mechanics</t>
  </si>
  <si>
    <t>Historical!A4:I23; Sector_KPIs!A4:J*; Forecast!A4:G15</t>
  </si>
  <si>
    <t>Historical hardcodes and forecast formulas trace without cash/debt plugs.</t>
  </si>
  <si>
    <t>H3</t>
  </si>
  <si>
    <t>Scenario and sensitivity integrity</t>
  </si>
  <si>
    <t>Assumptions!A3:G*; Sensitivity!A4:H9</t>
  </si>
  <si>
    <t>Editable selector drives Base/Bull/Bear; sensitivity is formula-backed.</t>
  </si>
  <si>
    <t>H4</t>
  </si>
  <si>
    <t>Valuation fit and mechanics</t>
  </si>
  <si>
    <t>Valuation!A4:G31; Sensitivity!A4:H9</t>
  </si>
  <si>
    <t>DCF with explicit PV/terminal/equity bridge plus exit-multiple cross-check; no stale market-price comparison.</t>
  </si>
  <si>
    <t>H5</t>
  </si>
  <si>
    <t>Model checks and error state</t>
  </si>
  <si>
    <t>Checks!A3:H16; post manifest formula_error_scan</t>
  </si>
  <si>
    <t>Transparent Actual/Expected/Difference/Tolerance/Status checks and post-recalc error scan.</t>
  </si>
  <si>
    <t>H6</t>
  </si>
  <si>
    <t>Native recalculation and reproducibility</t>
  </si>
  <si>
    <t>Gate_9of10!A20:B22; support native log; internal QA evidence (not published)</t>
  </si>
  <si>
    <t>Opened/recalculated/saved/closed in LibreOfficeDev, then reopened by artifact-tool.</t>
  </si>
  <si>
    <t>H7</t>
  </si>
  <si>
    <t>Visual QA after recalculation</t>
  </si>
  <si>
    <t>internal QA evidence (not published)</t>
  </si>
  <si>
    <t>Every user-facing sheet rendered after native recalculation and tied to final hash.</t>
  </si>
  <si>
    <t>H8</t>
  </si>
  <si>
    <t>Material economic upgrade</t>
  </si>
  <si>
    <t>Change_Log!A4:F*; Sector_KPIs; Valuation; Checks</t>
  </si>
  <si>
    <t>Source, debt, company-specific operating, scenario, valuation and check mechanics were substantively rebuilt.</t>
  </si>
  <si>
    <t>H9</t>
  </si>
  <si>
    <t>Governance, limitations and reviewer handoff</t>
  </si>
  <si>
    <t>00_Cover!A4:H19; Change_Log!A4:F*; Gate_9of10</t>
  </si>
  <si>
    <t>Purpose, version, as-of, units, horizon, case, status, limitations and reviewer handoff are explicit.</t>
  </si>
  <si>
    <t>Weighted score</t>
  </si>
  <si>
    <t>Owner preflight decision</t>
  </si>
  <si>
    <t>Certification status</t>
  </si>
  <si>
    <t>Independent certification required; not self-certified</t>
  </si>
  <si>
    <t>Build timestamp</t>
  </si>
  <si>
    <t>Native engine</t>
  </si>
  <si>
    <t>LibreOfficeDev 26.8.0.0.alpha0 (2c87e51eeaa2b413ff4ae097b2705eea1995d8e5)</t>
  </si>
  <si>
    <t>Visual manifest</t>
  </si>
  <si>
    <t>Original path</t>
  </si>
  <si>
    <t>T_Mobile_US_Institutional_Model.xlsx</t>
  </si>
  <si>
    <t>Original SHA-256</t>
  </si>
  <si>
    <t>8d802deaaeff11ab5a3c232c176fd64ad6e0a8f2da36fd0c8d33693922f63011</t>
  </si>
  <si>
    <t>Controlled path</t>
  </si>
  <si>
    <t>Calculation mode</t>
  </si>
  <si>
    <t>Automatic; full native recalculation forced during LibreOfficeDev conversion</t>
  </si>
  <si>
    <t>Evidence ledger</t>
  </si>
  <si>
    <t>Open blocker ledger</t>
  </si>
  <si>
    <t>No owner-preflight blocker; independent certification remains required</t>
  </si>
  <si>
    <t>T-Mobile US — Consolidated Statements of Comprehensive Income (audited)</t>
  </si>
  <si>
    <t>USD millions except per-share/share data. FY2023-2025 = FY2025 10-K R5.htm (accn 0001283699-26-000010). FY2021-2022 = SEC companyfacts.json XBRL aggregate tags (accn 0001283699-22-000018 / 0001283699-23-000016) — detailed expense/other-income line splits not in source package for those two years; presented at aggregate level, memo detail included where the underlying tag exists.</t>
  </si>
  <si>
    <t>Line item</t>
  </si>
  <si>
    <t>FY2021A</t>
  </si>
  <si>
    <t>FY2022A</t>
  </si>
  <si>
    <t>FY2023A</t>
  </si>
  <si>
    <t>FY2024A</t>
  </si>
  <si>
    <t>FY2025A</t>
  </si>
  <si>
    <t>XBRL tag / source note</t>
  </si>
  <si>
    <t>Total revenues</t>
  </si>
  <si>
    <t>Operating expenses</t>
  </si>
  <si>
    <t>Selling, general and administrative</t>
  </si>
  <si>
    <t>Gain on disposal group held for sale</t>
  </si>
  <si>
    <t>Impairment expense</t>
  </si>
  <si>
    <t>Depreciation and amortization</t>
  </si>
  <si>
    <t>Total costs and expenses (aggregate FY21-22; us-gaap:CostsAndExpenses)</t>
  </si>
  <si>
    <t>Cost of services and cost of equipment sold (aggregate, derived residual = Total opex − SG&amp;A − gain/loss − impairment − D&amp;A; FY23-25 only — not independently tagged in the R5.htm consolidated table)</t>
  </si>
  <si>
    <t>Total operating expenses (FY23-25 filed total)</t>
  </si>
  <si>
    <t>Operating income</t>
  </si>
  <si>
    <t>Other income (expense)</t>
  </si>
  <si>
    <t>Interest expense, net</t>
  </si>
  <si>
    <t>Other (expense) income, net</t>
  </si>
  <si>
    <t>Total other expense, net (FY21-22 implied = PBT − operating income; us-gaap:IncomeLossFromContinuingOperationsBeforeIncomeTaxesExtraordinaryItemsNoncontrollingInterest less OperatingIncomeLoss)</t>
  </si>
  <si>
    <t>Income before income taxes</t>
  </si>
  <si>
    <t>us-gaap:IncomeLossFromContinuingOperationsBeforeIncomeTaxesExtraordinaryItemsNoncontrollingInterest</t>
  </si>
  <si>
    <t>Income tax expense</t>
  </si>
  <si>
    <t>us-gaap:IncomeTaxExpenseBenefit (sign flipped to expense)</t>
  </si>
  <si>
    <t>Other comprehensive income, net of tax (FY23-25 only; not decomposed for FY21-22)</t>
  </si>
  <si>
    <t>Reclassification of loss from cash flow hedges, net of tax</t>
  </si>
  <si>
    <t>(Losses) gains on fair value hedges, net of tax</t>
  </si>
  <si>
    <t>Unrealized (loss) gain on FX translation, net of tax</t>
  </si>
  <si>
    <t>Actuarial gain (loss), net of amortization/reclassification</t>
  </si>
  <si>
    <t>Other comprehensive income</t>
  </si>
  <si>
    <t>Total comprehensive income</t>
  </si>
  <si>
    <t>Earnings per share — basic ($)</t>
  </si>
  <si>
    <t>Earnings per share — diluted ($)</t>
  </si>
  <si>
    <t>Weighted-average shares — basic (mm)</t>
  </si>
  <si>
    <t>Weighted-average shares — diluted (mm)</t>
  </si>
  <si>
    <t>Memo (FY21-22 only; informational, not additive to subtotals above)</t>
  </si>
  <si>
    <t>Memo: SG&amp;A (us-gaap:SellingGeneralAndAdministrativeExpense)</t>
  </si>
  <si>
    <t>Memo: D&amp;A (us-gaap:DepreciationDepletionAndAmortization)</t>
  </si>
  <si>
    <t>Memo: Restructuring costs (us-gaap:RestructuringCharges)</t>
  </si>
  <si>
    <t>Memo: Asset impairment charges (us-gaap:AssetImpairmentCharges)</t>
  </si>
  <si>
    <t>T-Mobile US — Consolidated Balance Sheets (audited)</t>
  </si>
  <si>
    <t>USD millions, as of December 31. FY2024-2025 = FY2025 10-K R3.htm; FY2023 = FY2024 10-K Financial_Report.xlsx comparative column (accn 0001283699-25-000012); FY2021-2022 = companyfacts.json XBRL instant tags — several intangible/liability sub-lines not separately tagged those years and shown as aggregates (flagged in line labels).</t>
  </si>
  <si>
    <t>Current assets</t>
  </si>
  <si>
    <t>Cash and cash equivalents</t>
  </si>
  <si>
    <t>Accounts receivable, net</t>
  </si>
  <si>
    <t>us-gaap:AccountsReceivableNetCurrent</t>
  </si>
  <si>
    <t>Equipment installment plan receivables, net</t>
  </si>
  <si>
    <t>FY23-25 filed; FY21-22 derived residual = us-gaap:AssetsCurrent less other captured current-asset lines (no separate EIP-current tag in package for those years)</t>
  </si>
  <si>
    <t>Inventory</t>
  </si>
  <si>
    <t>us-gaap:InventoryNet</t>
  </si>
  <si>
    <t>Prepaid expenses</t>
  </si>
  <si>
    <t>us-gaap:PrepaidExpenseCurrent</t>
  </si>
  <si>
    <t>Other current assets</t>
  </si>
  <si>
    <t>us-gaap:OtherAssetsCurrent</t>
  </si>
  <si>
    <t>Total current assets</t>
  </si>
  <si>
    <t>us-gaap:AssetsCurrent</t>
  </si>
  <si>
    <t>Non-current assets</t>
  </si>
  <si>
    <t>Property and equipment, net</t>
  </si>
  <si>
    <t>us-gaap:PropertyPlantAndEquipmentNet</t>
  </si>
  <si>
    <t>Operating lease right-of-use assets</t>
  </si>
  <si>
    <t>us-gaap:OperatingLeaseRightOfUseAsset</t>
  </si>
  <si>
    <t>Financing lease right-of-use assets</t>
  </si>
  <si>
    <t>Goodwill</t>
  </si>
  <si>
    <t>us-gaap:Goodwill</t>
  </si>
  <si>
    <t>Spectrum licenses</t>
  </si>
  <si>
    <t>Other intangible assets, net</t>
  </si>
  <si>
    <t>us-gaap:FiniteLivedIntangibleAssetsNet (FY21-22); filed line (FY23-25)</t>
  </si>
  <si>
    <t>Spectrum licenses + other non-current assets (aggregate, FY21-22 only — source gap, see notes)</t>
  </si>
  <si>
    <t>Equipment installment plan receivables due after one year, net</t>
  </si>
  <si>
    <t>Other assets</t>
  </si>
  <si>
    <t>Current liabilities</t>
  </si>
  <si>
    <t>Accounts payable and accrued liabilities</t>
  </si>
  <si>
    <t>us-gaap:AccountsPayableAndAccruedLiabilitiesCurrent</t>
  </si>
  <si>
    <t>Short-term debt</t>
  </si>
  <si>
    <t>Deferred revenue</t>
  </si>
  <si>
    <t>Short-term operating lease liabilities</t>
  </si>
  <si>
    <t>us-gaap:OperatingLeaseLiabilityCurrent</t>
  </si>
  <si>
    <t>Short-term financing lease liabilities</t>
  </si>
  <si>
    <t>us-gaap:FinanceLeaseLiabilityCurrent</t>
  </si>
  <si>
    <t>Other current liabilities</t>
  </si>
  <si>
    <t>FY23-25 filed; FY21-22 derived residual = us-gaap:LiabilitiesCurrent less other captured current-liability lines (includes deferred revenue, not separately tagged those years)</t>
  </si>
  <si>
    <t>Total current liabilities</t>
  </si>
  <si>
    <t>us-gaap:LiabilitiesCurrent</t>
  </si>
  <si>
    <t>Long-term liabilities</t>
  </si>
  <si>
    <t>Tower obligations</t>
  </si>
  <si>
    <t>Deferred tax liabilities</t>
  </si>
  <si>
    <t>Operating lease liabilities</t>
  </si>
  <si>
    <t>us-gaap:OperatingLeaseLiabilityNoncurrent</t>
  </si>
  <si>
    <t>Financing lease liabilities</t>
  </si>
  <si>
    <t>us-gaap:FinanceLeaseLiabilityNoncurrent</t>
  </si>
  <si>
    <t>Other long-term liabilities (aggregate incl. tower/deferred tax for FY21-22 — source gap, see notes)</t>
  </si>
  <si>
    <t>FY21-22 derived residual = Total LT liabilities less LT debt, op-lease NC and finance-lease NC (all separately tagged)</t>
  </si>
  <si>
    <t>Total long-term liabilities</t>
  </si>
  <si>
    <t>Total liabilities (FY21-22 derived = Assets − Equity; FY23-25 = TCL + TLTL)</t>
  </si>
  <si>
    <t>Common stock</t>
  </si>
  <si>
    <t>us-gaap:CommonStockValue</t>
  </si>
  <si>
    <t>Additional paid-in capital &amp; treasury stock, net (combined plug, FY21 only — source gap, see notes)</t>
  </si>
  <si>
    <t>Additional paid-in capital</t>
  </si>
  <si>
    <t>Treasury stock, at cost</t>
  </si>
  <si>
    <t>Accumulated other comprehensive loss</t>
  </si>
  <si>
    <t>us-gaap:AccumulatedOtherComprehensiveIncomeLossNetOfTax</t>
  </si>
  <si>
    <t>Retained earnings (accumulated deficit)</t>
  </si>
  <si>
    <t>us-gaap:RetainedEarningsAccumulatedDeficit</t>
  </si>
  <si>
    <t>Total stockholders' equity</t>
  </si>
  <si>
    <t>Total liabilities and stockholders' equity</t>
  </si>
  <si>
    <t>us-gaap:LiabilitiesAndStockholdersEquity</t>
  </si>
  <si>
    <t>T-Mobile US — Consolidated Statements of Cash Flows (audited)</t>
  </si>
  <si>
    <t>USD millions. FY2023-2025 = FY2025 10-K R7.htm. FY2021-2022 = companyfacts.json XBRL aggregate tags (CFO/CFI/CFF totals only; line-item detail not in source package). Cash basis = including restricted cash throughout, matching the filed CF presentation.</t>
  </si>
  <si>
    <t>Operating activities</t>
  </si>
  <si>
    <t>Adjustments and working-capital changes (aggregate FY21-22; not decomposed — source gap)</t>
  </si>
  <si>
    <t>Stock-based compensation expense</t>
  </si>
  <si>
    <t>Deferred income tax expense</t>
  </si>
  <si>
    <t>Bad debt expense</t>
  </si>
  <si>
    <t>Losses from sales of receivables</t>
  </si>
  <si>
    <t>Loss on remeasurement of disposal group held for sale</t>
  </si>
  <si>
    <t>Accounts receivable</t>
  </si>
  <si>
    <t>Equipment installment plan receivables</t>
  </si>
  <si>
    <t>Other current and long-term assets</t>
  </si>
  <si>
    <t>Short- and long-term operating lease liabilities</t>
  </si>
  <si>
    <t>Other current and long-term liabilities</t>
  </si>
  <si>
    <t>Other, net (operating)</t>
  </si>
  <si>
    <t>Adjustments + WC changes, net (FY21-22 aggregate plug = CFO − NI)</t>
  </si>
  <si>
    <t>Net cash provided by operating activities</t>
  </si>
  <si>
    <t>Investing activities (FY21-22 aggregate only — source gap)</t>
  </si>
  <si>
    <t>Purchases of property and equipment</t>
  </si>
  <si>
    <t>Purchases of spectrum licenses and other intangible assets</t>
  </si>
  <si>
    <t>Proceeds from sale of property, equipment and intangible assets</t>
  </si>
  <si>
    <t>Proceeds from sales of tower sites</t>
  </si>
  <si>
    <t>Proceeds related to beneficial interests in securitization transactions</t>
  </si>
  <si>
    <t>Acquisition of companies, net of cash acquired</t>
  </si>
  <si>
    <t>Investments in unconsolidated affiliates, net</t>
  </si>
  <si>
    <t>Other, net (investing)</t>
  </si>
  <si>
    <t>Net cash used in investing activities</t>
  </si>
  <si>
    <t>us-gaap:NetCashProvidedByUsedInInvestingActivities</t>
  </si>
  <si>
    <t>Financing activities (FY21-22 aggregate only — source gap)</t>
  </si>
  <si>
    <t>Proceeds from issuance of long-term debt, net</t>
  </si>
  <si>
    <t>Repayments of financing lease obligations</t>
  </si>
  <si>
    <t>Repayments of long-term debt</t>
  </si>
  <si>
    <t>Repurchases of common stock</t>
  </si>
  <si>
    <t>Dividends on common stock</t>
  </si>
  <si>
    <t>Tax withholdings on share-based awards</t>
  </si>
  <si>
    <t>Other, net (financing)</t>
  </si>
  <si>
    <t>Net cash used in (provided by) financing activities</t>
  </si>
  <si>
    <t>us-gaap:NetCashProvidedByUsedInFinancingActivities</t>
  </si>
  <si>
    <t>Effect of exchange rate changes on cash, incl. restricted cash</t>
  </si>
  <si>
    <t>Change in cash, cash equivalents and restricted cash</t>
  </si>
  <si>
    <t>Cash, cash equivalents and restricted cash</t>
  </si>
  <si>
    <t>Beginning of period</t>
  </si>
  <si>
    <t>us-gaap:CashCashEquivalentsRestrictedCashAndRestrictedCashEquivalents</t>
  </si>
  <si>
    <t>End of period</t>
  </si>
  <si>
    <t>T-Mobile US — Consolidated Statement of Stockholders' Equity (audited)</t>
  </si>
  <si>
    <t>USD millions. FY2023-2025 roll-forward = FY2025 10-K R9.htm (accn 0001283699-26-000010), including the audited Dec 31, 2022 opening balance. FY2021 roll-forward is not in the source package (no FY2022 10-K included) and is not fabricated; FY2021/2022 period-end equity levels are in BS_Hist instead.</t>
  </si>
  <si>
    <t>Balance at Dec 31, 2022 (audited anchor; FY2021 roll-forward not in source package)</t>
  </si>
  <si>
    <t>FY2023 activity</t>
  </si>
  <si>
    <t>Dividends declared</t>
  </si>
  <si>
    <t>Stock-based compensation</t>
  </si>
  <si>
    <t>Stock issued — employee stock purchase plan</t>
  </si>
  <si>
    <t>Shares withheld — net share settlement</t>
  </si>
  <si>
    <t>SoftBank contingent shares settlement</t>
  </si>
  <si>
    <t>Other, net</t>
  </si>
  <si>
    <t>Balance at Dec 31, 2023</t>
  </si>
  <si>
    <t>FY2024 activity</t>
  </si>
  <si>
    <t>Ka'ena Acquisition upfront consideration</t>
  </si>
  <si>
    <t>Balance at Dec 31, 2024</t>
  </si>
  <si>
    <t>FY2025 activity</t>
  </si>
  <si>
    <t>Balance at Dec 31, 2025</t>
  </si>
  <si>
    <t>Tie-out checks — audited historical statements (all deltas must be 0 within tolerance; USD millions)</t>
  </si>
  <si>
    <t>MASTER</t>
  </si>
  <si>
    <t>Conteo mecanizado</t>
  </si>
  <si>
    <t>Check</t>
  </si>
  <si>
    <t>IS: Op income = Revenue − Total costs (FY21-22)</t>
  </si>
  <si>
    <t>IS: PBT = Op income + Other expense net (FY21-22)</t>
  </si>
  <si>
    <t>IS: NI = PBT + tax (tax stored as signed expense) (FY21-25)</t>
  </si>
  <si>
    <t>IS: Total opex = SG&amp;A + gain/loss + impairment + D&amp;A + Cost of svcs/equip residual (FY23-25)</t>
  </si>
  <si>
    <t>IS: Op income = Revenue − Total opex (FY23-25)</t>
  </si>
  <si>
    <t>IS: PBT = Op income + Interest exp net + Other net (FY23-25)</t>
  </si>
  <si>
    <t>IS: TCI = NI + OCI (FY23-25)</t>
  </si>
  <si>
    <t>BS: Total current assets sum (FY21-25)</t>
  </si>
  <si>
    <t>BS: Total assets = CA + NCA (FY21-25)</t>
  </si>
  <si>
    <t>BS: Total current liabilities sum (FY21-25)</t>
  </si>
  <si>
    <t>BS: Total long-term liabilities sum (FY21-25)</t>
  </si>
  <si>
    <t>BS: Total liabilities = TCL + TLTL (FY21-25)</t>
  </si>
  <si>
    <t>BS: Total equity components sum (FY22-25; FY21 uses combined plug)</t>
  </si>
  <si>
    <t>BS: Total equity components sum (FY21 combined plug)</t>
  </si>
  <si>
    <t>BS: TL&amp;E = Total liabilities + Total equity (FY21-25)</t>
  </si>
  <si>
    <t>BS: Balance (Total assets − TL&amp;E) (FY21-25)</t>
  </si>
  <si>
    <t>CF: CFO = NI + adjustments/WC (FY21-22 plug)</t>
  </si>
  <si>
    <t>CF: CFO detail sum = reported CFO (FY23-25)</t>
  </si>
  <si>
    <t>CF: CFI detail sum = reported CFI (FY23-25)</t>
  </si>
  <si>
    <t>CF: CFF detail sum = reported CFF (FY23-25)</t>
  </si>
  <si>
    <t>CF: Net change = CFO+CFI+CFF+FX (FY21-25)</t>
  </si>
  <si>
    <t>CF: End cash = Begin + change (FY21-25)</t>
  </si>
  <si>
    <t>CF: Beginning cash = prior-year end cash (FY22-25)</t>
  </si>
  <si>
    <t>X: CF end cash (incl. restricted) vs BS cash (FY21-25; informational — restricted cash sits outside BS cash line, expected non-zero)</t>
  </si>
  <si>
    <t>X: CF net income = IS net income (FY21-25)</t>
  </si>
  <si>
    <t>X: BS total equity = SCE ending balance (FY23-25)</t>
  </si>
  <si>
    <t>COBERTURA — drivers de negocio (Drivers_MDA) y paquete de mercado (Market_Package), agregados 2026-08-14. Patrón del piloto Apple post-refutación: cero tautologías; cada check amarra contra celdas INDEPENDIENTES (otra hoja, otra fuente u otro vintage) y PUEDE fallar.</t>
  </si>
  <si>
    <t>DRV: clientes postpaid phone + other = total postpaid (tabla publicada, constantes)</t>
  </si>
  <si>
    <t>B,C,D,E,F</t>
  </si>
  <si>
    <t>DRV: total postpaid + prepaid = total customers</t>
  </si>
  <si>
    <t>DRV: roll-forward de la base (fin = inicio + adds netos + ajustes, FY22-25) — continuidad entre tablas de años consecutivos</t>
  </si>
  <si>
    <t>C,D,E,F</t>
  </si>
  <si>
    <t>DRV: componentes de adds netos = total reportado</t>
  </si>
  <si>
    <t>DRV: componentes de servicio = total service revenues</t>
  </si>
  <si>
    <t>DRV: servicio + equipo + otros = total revenues</t>
  </si>
  <si>
    <t>DRV: total revenues del MD&amp;A = IS_Hist (dos rutas de fuente; cierra la brecha del split FY21-22)</t>
  </si>
  <si>
    <t>DRV: detalle de opex del PDF = IS_Hist (FY21-22 agregado XBRL, FY23-25 total filed; cierra el gap 1)</t>
  </si>
  <si>
    <t>DRV: intereses + otros FY21-22 del PDF = plug agregado de IS_Hist (cierra el gap 1)</t>
  </si>
  <si>
    <t>B,C</t>
  </si>
  <si>
    <t>DRV: Sector_KPIs FY23-25 = Drivers_MDA en clientes phone, churn y ARPU (entrada de Ola 1 vs extracción nueva del filing)</t>
  </si>
  <si>
    <t>D,E,F</t>
  </si>
  <si>
    <t>DRV: Sector_KPIs FY23-25 = Drivers_MDA en ingresos (postpaid svc, total svc, equipo+otros) y Adjusted EBITDA</t>
  </si>
  <si>
    <t>DRV: Free Cash Flow reportado en el MD&amp;A = recompute desde las líneas de CF_Hist (FY23-25)</t>
  </si>
  <si>
    <t>DRV: spectrum — balance del PDF = BS_Hist y purchases del PDF = CF_Hist (FY23-25)</t>
  </si>
  <si>
    <t>DRV: nota de deuda — consistencia interna (total = corriente + LT), nota vs XBRL (Historical!C14:E14) y terceros + afiliadas = total LT (FY24-25)</t>
  </si>
  <si>
    <t>DRV: emisiones y repagos de deuda LP del PDF = CF_Hist (FY23-25)</t>
  </si>
  <si>
    <t>DRV: escalera contractual — buckets suman al total por fila (9 filas) y filas suman al total por columna (5 columnas), todo constantes publicadas</t>
  </si>
  <si>
    <t>F</t>
  </si>
  <si>
    <t>DRV: tres fuentes de deuda — principal de la escalera (Item 7) + prima − descuento − costos (Nota 9) = carrying XBRL (Historical!E14)</t>
  </si>
  <si>
    <t>DRV: finance leases del balance (BS_Hist) = us-gaap:FinanceLeaseLiability (Historical) FY23-25 — dos rutas de fuente</t>
  </si>
  <si>
    <t>FCST: las 9 anclas FY2025A del motor (Sector_KPIs col E: clientes, churn, ARPU, ingresos x4, EBITDA, capex) = Drivers_MDA</t>
  </si>
  <si>
    <t>MKT: enterprise value — tie EXACTO contra el ancla de vintage distinto (precio x acciones + deuda − caja de la columna comparativa del 10-Q Q2 2026, constantes independientes de BS_Hist), EV positivo, y banda de ±25% contra el EV con balance al 2026-06-30 (deriva real −0.4%). F es el conteo de incumplimientos</t>
  </si>
  <si>
    <t>MKT: caja del paquete — tie EXACTO contra el ancla de vintage distinto (10-Q comparativa, B27), positiva, y tie EXACTO contra la caja XBRL del DCF (Historical!E13, tercera ruta). Sin banda contra la caja al 2026-06-30: se movió −49.5% en 6 meses por razones reales (declarado en B90). F es el conteo de incumplimientos</t>
  </si>
  <si>
    <t>MKT: deuda del paquete — (1) la brecha contra la deuda del DCF debe ser EXACTAMENTE la porción corriente de Senior Notes (BS_Hist!F27): mecaniza el hallazgo H1 del double-count; (2) tie EXACTO contra el ancla de vintage distinto (B28); (3) banda de ±25% contra la deuda al 2026-06-30 (deriva real −1.8%). F es el conteo de incumplimientos</t>
  </si>
  <si>
    <t>MKT: costo de capital — guardia del enlace vivo de la tasa efectiva (B37 debe ser exactamente −IS_Hist!F20/IS_Hist!F19: una tasa en duro cae) más bandas de plausibilidad: Rf [0.5%,12%], beta [0.1x,2.5x], Kd [1%,15%], WACC [3%,20%]. Una cifra plausible y equivocada dentro de banda pasa — limitación declarada (patrón del check 54 del piloto). F es el conteo de incumplimientos</t>
  </si>
  <si>
    <t>MKT: precio, acciones y capitalización — cableado (B11 = B7 x B8), precio dentro de banda absoluta [50,600] USD (caza errores de unidad/magnitud; un precio plausible y equivocado pasa — limitación declarada; el libro no tiene otro precio contra el cual anclar porque la política omitía la comparación de mercado), y acciones dentro de ±8% del promedio diluido FY2025A (Historical!E17; deriva real por buybacks −5.2%). F es el conteo de incumplimientos</t>
  </si>
  <si>
    <t>MKT: procedencia de los inputs de mercado — fuente presente, fecha con serial válido, desfase relativo ≤5 días entre precio/Rf/Kd y frescura absoluta de 10 días contra HOY() al recalcular (el libro caduca solo: es diseño). 0 significa completo</t>
  </si>
  <si>
    <t>XREF: calibración declarada de Assumptions contra lo reportado — churn Base (D8) = churn FY2025A reportado, crecimiento de ARPU Base (D9) ≈ crecimiento FY2025A reportado (±0.5pp), margen Adjusted EBITDA Base (D13) ≈ margen FY2025A reportado (±1pp). Mecaniza las afirmaciones de la columna G de Assumptions (lección M3 del piloto). F es el conteo de incumplimientos</t>
  </si>
  <si>
    <t>DRV: bandas de plausibilidad para constantes reportadas SIN tie posible — churn FY25 (0,5%], ARPU FY25 [20,80], ARPA FY25 [100,250], prepaid ARPU FY25 [20,60], empleados FY25 [30k,120k], FCF FY21 (0,30000], tasa efectiva de interés FY25 [2%,9%]. Caza corrupción gruesa, no un dígito plausible equivocado (patrón del check 61 del piloto). F es el conteo de incumplimientos</t>
  </si>
  <si>
    <t>Audited source register — T-Mobile US consolidated statements (SEC EDGAR, CIK 0001283699)</t>
  </si>
  <si>
    <t>Model years</t>
  </si>
  <si>
    <t>Primary source</t>
  </si>
  <si>
    <t>Accession / file</t>
  </si>
  <si>
    <t>Detail level</t>
  </si>
  <si>
    <t>FY2023A-FY2025A</t>
  </si>
  <si>
    <t>FY2025 Form 10-K (filed 2026-02-11) — Consolidated Balance Sheets (R3.htm), Statements of Comprehensive Income (R5.htm), Cash Flows (R7.htm), Stockholders' Equity (R9.htm)</t>
  </si>
  <si>
    <t>0001283699-26-000010; 10-K_2025-12-31 R-files {R3,R5,R7,R9}.htm</t>
  </si>
  <si>
    <t>Full line-item detail, filed constants</t>
  </si>
  <si>
    <t>FY2023A/FY2024A cross-check</t>
  </si>
  <si>
    <t>FY2024 Form 10-K (filed 2025-01-31) — Consolidated Balance Sheets sheet</t>
  </si>
  <si>
    <t>0001283699-25-000012; .../10-K_2024-12-31_Financial_Report.xlsx, sheet "Consolidated Balance Sheets"</t>
  </si>
  <si>
    <t>Cross-check only; FY2025 10-K comparative column used as primary</t>
  </si>
  <si>
    <t>FY2021A/FY2022A</t>
  </si>
  <si>
    <t>SEC XBRL Company Facts API (aggregate history by us-gaap tag; no FY2021/FY2022 10-K R-files or Financial_Report.xlsx in source package)</t>
  </si>
  <si>
    <t>https://data.sec.gov/api/xbrl/companyfacts/CIK0001283699.json — accn 0001283699-22-000018 (FY2021 10-K) and 0001283699-23-000016 (FY2022 10-K), per individual tag</t>
  </si>
  <si>
    <t>Aggregate/summary level only, per line — see IS_Hist/BS_Hist/CF_Hist notes for exact tags and gaps</t>
  </si>
  <si>
    <t>Known gaps (honest, not filled with invented figures):</t>
  </si>
  <si>
    <t>1) FY2021/FY2022 IS expense detail (SG&amp;A/D&amp;A/interest split, other income/expense split) — only aggregate CostsAndExpenses and an implied "other expense net" plug are available; component memo lines shown where a specific XBRL tag exists.</t>
  </si>
  <si>
    <t>2) FY2021/FY2022 BS: Spectrum licenses vs. other non-current assets not separately tagged; combined into one aggregate line. Tower obligations / deferred tax liabilities (non-current) not separately tagged; folded into "Other long-term liabilities (aggregate)". FY2021 APIC vs. treasury stock split not available; shown as one combined plug (FY2022 has the exact split via the FY2023 10-K SCE opening balance).</t>
  </si>
  <si>
    <t>3) FY2021/FY2022 CF: only CFO/CFI/CFF/FX totals from XBRL; no line-item detail (no 10-K R7 in package for those years).</t>
  </si>
  <si>
    <t>4) FY2021 Stockholders' Equity roll-forward (SCE) not in source package (only FY2022 10-K forward has FY2022 activity, and it is not included either) — FY2021/FY2022 period-end balances are carried in BS_Hist; the audited SCE roll-forward starts at the Dec 31, 2022 opening balance per the FY2025 10-K R9.htm.</t>
  </si>
  <si>
    <t>Scale/units: all statement sheets are USD millions (as filed, "$ in Millions" per R-file headers), consistent with the 00_Cover/Historical/Sector_KPIs USD mm convention already in this workbook — no /1000 or unit-scale mismatch introduced.</t>
  </si>
  <si>
    <t>Currency: native reporting currency is USD; no FX/USD conversion layer required (rule 4 — FX layer only applies to non-USD-native models).</t>
  </si>
  <si>
    <t>ACTUALIZACIÓN 2026-08-14 — capa de cobertura agregada</t>
  </si>
  <si>
    <t>Drivers_MDA y Market_Package son hojas nuevas, aditivas y no destructivas. Drivers_MDA contiene constantes publicadas de los cinco 10-K locales (PDF, pdftotext -layout), enlaces vivos a las hojas históricas y cálculos; lo que T-Mobile no divulga queda NOT_AVAILABLE con razón, sin inventar ceros. Checks_TieOut pasó de 26 a 53 filas de status computables (27 nuevas, filas 33-59); el MASTER B2 amplió su rango (única celda preexistente modificada en el libro).</t>
  </si>
  <si>
    <t>ACTUALIZACIÓN 2026-08-14 — gap 1 (detalle IS FY21-22) parcialmente CERRADO</t>
  </si>
  <si>
    <t>El 10-K FY2022 (accn 0001283699-23-000016, PDF local tmus-20221231.pdf) SÍ trae el detalle FY2021-22: cost of services/equipment, SG&amp;A, impairment, loss on disposal, D&amp;A (suman exactamente al CostsAndExpenses agregado de IS_Hist!B11:C11) e Interest expense net / Other expense net (suman exactamente al plug de IS_Hist!B18:C18). Cargado en Drivers_MDA filas 54-66 con ties (checks 40-41). IS_Hist NO se modificó: la brecha se cierra en la capa de cobertura.</t>
  </si>
  <si>
    <t>ACTUALIZACIÓN 2026-08-14 — gaps 2 y 3 (BS/CF FY21-22) parcialmente CERRADOS</t>
  </si>
  <si>
    <t>Del mismo 10-K FY2022: spectrum licenses FY21-22 (92,606 / 95,798 — deja el residual de "otros activos no corrientes" del agregado BS_Hist!B20:C20 en 9,383 / 9,930), cash capex incl. interés capitalizado (12,326 / 13,970), purchases de spectrum (9,366 / 3,331), emisiones/repagos de deuda LP (14,727 / −11,100 y 3,714 / −5,556) y repagos de finance leases (−1,111 / −1,239). Todo en Drivers_MDA (filas 76, 80-84, 102-105, 131); BS_Hist y CF_Hist intactas. Sigue NO disponible: el roll-forward SCE FY2021 y el detalle línea a línea completo del CF FY21-22.</t>
  </si>
  <si>
    <t>ACTUALIZACIÓN 2026-08-14 — 10-Q Q2 2026 descargado directo de EDGAR</t>
  </si>
  <si>
    <t>Accn 0001283699-26-000101 (filed 2026-07-23, periodo 2026-06-30), tmus-20260630.htm — NO estaba en el paquete local (pull 2026-07-20/21). Solo alimenta Market_Package: acciones en circulación al 2026-07-17 (portada), 6M 2026/2025 para el memo LTM, balance al 2026-06-30 y las anclas de vintage distinto de la columna comparativa al 2025-12-31 (checks 52-54). NO entra en la historia auditada FY2021A-FY2025A.</t>
  </si>
  <si>
    <t>Datos de mercado fechados 2026-08-13 / 2026-08-14</t>
  </si>
  <si>
    <t>Precio (stockanalysis.com, 2026-08-14), Rf (Tesoro EE.UU. CSV primario, 2026-08-13 — pin de flota de la corrida), ERP (Damodaran ene-2026), beta (stockanalysis 0.33; cross-checks Yahoo 0.33, investing.com 0.44), Kd (FRED BAMLC0A4CBBBEY BBB, 2026-08-13). Cada uno con fuente y fecha propias en Market_Package columnas D/E; control mecanizado en Market_Package!B97:B100 y check 57.</t>
  </si>
  <si>
    <t>T-Mobile US — Drivers de negocio del MD&amp;A y disclosures (FY2021A-FY2025A)</t>
  </si>
  <si>
    <t>USD millones salvo indicación. CAPA DE COBERTURA ADITIVA: no altera ninguna hoja histórica ni el DCF. Todo dato 'Reportado' es una constante publicada; todo 'Calculado' es fórmula viva; los 'Tie' deben ser 0. FY2021-22 se cubre desde los PDF locales de los 10-K (el paquete XBRL solo traía agregados — brechas de Sources_Audited cerradas aquí, no reescribiendo historia).</t>
  </si>
  <si>
    <t>Métrica</t>
  </si>
  <si>
    <t>Unidad</t>
  </si>
  <si>
    <t>Fuente (documento - sección - accession)</t>
  </si>
  <si>
    <t>Estado</t>
  </si>
  <si>
    <t>1. CLIENTES (fin de periodo, miles)</t>
  </si>
  <si>
    <t>miles</t>
  </si>
  <si>
    <t>FY21-22: 10-K FY2022 (accn 0001283699-23-000016) Item 7 MD&amp;A (FY2021 confirmado en 10-K FY2021, accn 0001283699-22-000018) | FY23-25: 10-K FY2025 (accn 0001283699-26-000010) Item 7 MD&amp;A — tabla 'ending customers'. FY25 incluye 3,287k adquiridos de UScellular (Q3'25)</t>
  </si>
  <si>
    <t>Reportado</t>
  </si>
  <si>
    <t>Postpaid other customers</t>
  </si>
  <si>
    <t>FY21-22: 10-K FY2022 (accn 0001283699-23-000016) Item 7 MD&amp;A (FY2021 confirmado en 10-K FY2021, accn 0001283699-22-000018) | FY23-25: 10-K FY2025 (accn 0001283699-26-000010) Item 7 MD&amp;A — FY25 incluye 390k de UScellular, 755k fibra Metronet, 97k Lumos</t>
  </si>
  <si>
    <t>Total postpaid customers (reportado)</t>
  </si>
  <si>
    <t>FY21-22: 10-K FY2022 (accn 0001283699-23-000016) Item 7 MD&amp;A (FY2021 confirmado en 10-K FY2021, accn 0001283699-22-000018) | FY23-25: 10-K FY2025 (accn 0001283699-26-000010) Item 7 MD&amp;A</t>
  </si>
  <si>
    <t>Prepaid customers</t>
  </si>
  <si>
    <t>FY21-22: 10-K FY2022 (accn 0001283699-23-000016) Item 7 MD&amp;A (FY2021 confirmado en 10-K FY2021, accn 0001283699-22-000018) | FY23-25: 10-K FY2025 (accn 0001283699-26-000010) Item 7 MD&amp;A — FY24 incluye 3,504k de la Ka'ena Acquisition</t>
  </si>
  <si>
    <t>Total customers (reportado)</t>
  </si>
  <si>
    <t>Tie: phone + other − total postpaid</t>
  </si>
  <si>
    <t>Aditividad de la tabla publicada (constantes independientes)</t>
  </si>
  <si>
    <t>Tie (debe ser 0)</t>
  </si>
  <si>
    <t>Tie: postpaid + prepaid − total customers</t>
  </si>
  <si>
    <t>Aditividad de la tabla publicada</t>
  </si>
  <si>
    <t>Tie: postpaid phone (mm) − Sector_KPIs FY23-25</t>
  </si>
  <si>
    <t>Sector_KPIs!C5:E5 (constantes de la Ola 1, entrada independiente)</t>
  </si>
  <si>
    <t>Memo: clientes 5G broadband dentro de postpaid other</t>
  </si>
  <si>
    <t>10-K FY2025 (accn 0001283699-26-000010) Item 7 — solo divulgado FY2024-25</t>
  </si>
  <si>
    <t>Reportado (solo FY24-25)</t>
  </si>
  <si>
    <t>Memo: clientes de fibra dentro de postpaid other</t>
  </si>
  <si>
    <t>10-K FY2025 (accn 0001283699-26-000010) Item 7 — solo FY2025</t>
  </si>
  <si>
    <t>Reportado (solo FY25)</t>
  </si>
  <si>
    <t>Adiciones netas y ajustes a la base (miles)</t>
  </si>
  <si>
    <t>Postpaid phone net customer additions</t>
  </si>
  <si>
    <t>FY21-22: 10-K FY2022 (accn 0001283699-23-000016) Item 7 MD&amp;A (FY2021 confirmado en 10-K FY2021, accn 0001283699-22-000018) | FY23-25: 10-K FY2025 (accn 0001283699-26-000010) Item 7 MD&amp;A — tabla 'net customer additions'</t>
  </si>
  <si>
    <t>Postpaid other net customer additions</t>
  </si>
  <si>
    <t>Total postpaid net additions (reportado)</t>
  </si>
  <si>
    <t>Prepaid net customer additions</t>
  </si>
  <si>
    <t>Total net customer additions (reportado)</t>
  </si>
  <si>
    <t>Ajustes a la base (adquisiciones / base adjustments)</t>
  </si>
  <si>
    <t>FY21-22: 10-K FY2022 (accn 0001283699-23-000016) Item 7 MD&amp;A (FY2021 confirmado en 10-K FY2021, accn 0001283699-22-000018) | FY23-25: 10-K FY2025 (accn 0001283699-26-000010) Item 7 MD&amp;A — fila 'Adjustments to customers' (FY22 negativo por decomisionar redes legacy Sprint; FY24 Ka'ena; FY25 UScellular/Metronet/Lumos)</t>
  </si>
  <si>
    <t>Tie: componentes − total net additions</t>
  </si>
  <si>
    <t>Tie: roll-forward de la base (fin = inicio + adds netos + ajustes)</t>
  </si>
  <si>
    <t>Continuidad entre tablas publicadas de años consecutivos — todo constantes</t>
  </si>
  <si>
    <t>2. CHURN, ARPU Y ARPA</t>
  </si>
  <si>
    <t>% / mes</t>
  </si>
  <si>
    <t>FY21-22: 10-K FY2022 (accn 0001283699-23-000016) Item 7 MD&amp;A (FY2021 confirmado en 10-K FY2021, accn 0001283699-22-000018) | FY23-25: 10-K FY2025 (accn 0001283699-26-000010) Item 7 MD&amp;A — tabla 'churn'</t>
  </si>
  <si>
    <t>Prepaid churn</t>
  </si>
  <si>
    <t>USD / mes</t>
  </si>
  <si>
    <t>FY21-22: 10-K FY2022 (accn 0001283699-23-000016) Item 7 MD&amp;A (FY2021 confirmado en 10-K FY2021, accn 0001283699-22-000018) | FY23-25: 10-K FY2025 (accn 0001283699-26-000010) Item 7 MD&amp;A — tabla 'ARPU'</t>
  </si>
  <si>
    <t>Prepaid ARPU</t>
  </si>
  <si>
    <t>Postpaid ARPA (por cuenta)</t>
  </si>
  <si>
    <t>FY21-22: 10-K FY2022 (accn 0001283699-23-000016) Item 7 MD&amp;A (FY2021 confirmado en 10-K FY2021, accn 0001283699-22-000018) | FY23-25: 10-K FY2025 (accn 0001283699-26-000010) Item 7 MD&amp;A — tabla 'ARPA'. OJO: ARPA es por CUENTA; churn y ARPU son de postpaid phone (limitación declarada en 00_Cover!B16)</t>
  </si>
  <si>
    <t>Tie: churn postpaid phone − Sector_KPIs FY23-25</t>
  </si>
  <si>
    <t>Sector_KPIs!C7:E7</t>
  </si>
  <si>
    <t>Tie: ARPU postpaid phone − Sector_KPIs FY23-25</t>
  </si>
  <si>
    <t>Sector_KPIs!C9:E9</t>
  </si>
  <si>
    <t>Cuentas postpaid implícitas (ingresos postpaid / ARPA / 12)</t>
  </si>
  <si>
    <t>mm cuentas</t>
  </si>
  <si>
    <t>Derivación del analista: T-Mobile no tabula el conteo de cuentas en el 10-K FY2025</t>
  </si>
  <si>
    <t>Calculado (implícito)</t>
  </si>
  <si>
    <t>3. INGRESOS POR COMPONENTE (USD mm)</t>
  </si>
  <si>
    <t>Postpaid revenues</t>
  </si>
  <si>
    <t>USD m</t>
  </si>
  <si>
    <t>FY21-22: 10-K FY2022 (accn 0001283699-23-000016) Item 7 MD&amp;A (FY2021 confirmado en 10-K FY2021, accn 0001283699-22-000018) | FY23-25: 10-K FY2025 (accn 0001283699-26-000010) Item 7 MD&amp;A — 'Results of Operations', estado de resultados por componente</t>
  </si>
  <si>
    <t>Prepaid revenues</t>
  </si>
  <si>
    <t>Wholesale and other service revenues</t>
  </si>
  <si>
    <t>Total service revenues (reportado)</t>
  </si>
  <si>
    <t>Equipment revenues</t>
  </si>
  <si>
    <t>Other revenues</t>
  </si>
  <si>
    <t>Total revenues (reportado)</t>
  </si>
  <si>
    <t>Tie: componentes de servicio − total service revenues</t>
  </si>
  <si>
    <t>Aditividad del estado publicado</t>
  </si>
  <si>
    <t>Tie: servicio + equipo + otros − total revenues</t>
  </si>
  <si>
    <t>Tie: total revenues − IS_Hist (CIERRE DE BRECHA: el split FY21-22 no estaba en el paquete XBRL)</t>
  </si>
  <si>
    <t>IS_Hist!B5:F5 (XBRL / R5.htm) vs constantes del 10-K FY2022 PDF — dos rutas de fuente</t>
  </si>
  <si>
    <t>Tie: ingresos FY23-25 − Sector_KPIs (postpaid svc, total svc, equipo+otros)</t>
  </si>
  <si>
    <t>Sector_KPIs!C11:E11, C14:E14, C15:E15</t>
  </si>
  <si>
    <t>Mix: servicio / total</t>
  </si>
  <si>
    <t>Calculado</t>
  </si>
  <si>
    <t>YoY ingresos totales</t>
  </si>
  <si>
    <t>n.a.</t>
  </si>
  <si>
    <t>YoY ingresos de servicio</t>
  </si>
  <si>
    <t>4. DETALLE DE OPEX E INTERESES (cierre parcial de los gaps 1 y 3 de Sources_Audited — capa de cobertura; IS_Hist intacta)</t>
  </si>
  <si>
    <t>Cost of services (excl. D&amp;A)</t>
  </si>
  <si>
    <t>FY21-22: 10-K FY2022 (accn 0001283699-23-000016) Item 7 MD&amp;A (FY2021 confirmado en 10-K FY2021, accn 0001283699-22-000018) | FY23-25: 10-K FY2025 (accn 0001283699-26-000010) Item 7 MD&amp;A — estado de resultados</t>
  </si>
  <si>
    <t>Cost of equipment sales (excl. D&amp;A)</t>
  </si>
  <si>
    <t>FY21-22: 10-K FY2022 (accn 0001283699-23-000016); FY23-25: enlace vivo a IS_Hist!D7:F7</t>
  </si>
  <si>
    <t>Reportado FY21-22 / Enlace vivo FY23-25</t>
  </si>
  <si>
    <t>(Gain) / loss on disposal group held for sale</t>
  </si>
  <si>
    <t>FY21-22: 10-K FY2022 (accn 0001283699-23-000016) Item 7 MD&amp;A (FY2021 confirmado en 10-K FY2021, accn 0001283699-22-000018) | FY23-25: 10-K FY2025 (accn 0001283699-26-000010) Item 7 MD&amp;A — FY22 loss 1,087 (wireline); FY23 gain (25)</t>
  </si>
  <si>
    <t>Total opex (calc)</t>
  </si>
  <si>
    <t>Tie: opex detalle − IS_Hist (FY21-22 vs agregado CostsAndExpenses; FY23-25 vs total filed)</t>
  </si>
  <si>
    <t>IS_Hist!B11:C11 (XBRL agregado) y D13:F13 (filed) — constantes del PDF vs dos rutas de fuente</t>
  </si>
  <si>
    <t>HALLAZGO: IS_Hist!D12 (residual FY23) difiere del costo real de servicios+equipo en 50 (resta el gain de -25 con signo invertido); FY24-25 cuadran</t>
  </si>
  <si>
    <t>10-K FY2025 estado de resultados (11,655+18,533=30,188) vs IS_Hist!D12 (30,138). Declarado, NO corregido: IS_Hist es historia gateada</t>
  </si>
  <si>
    <t>Calculado — HALLAZGO declarado</t>
  </si>
  <si>
    <t>FY21-22: 10-K FY2022 (accn 0001283699-23-000016) estado de resultados; FY23-25: enlace vivo</t>
  </si>
  <si>
    <t>Igual que la fila 64</t>
  </si>
  <si>
    <t>Tie FY21-22: intereses + otros − agregado IS_Hist (cierra el plug "other expense net")</t>
  </si>
  <si>
    <t>IS_Hist!B18:C18 (plug implícito del XBRL) vs detalle del PDF</t>
  </si>
  <si>
    <t>5. NO-GAAP REPORTADOS EN EL MD&amp;A: ADJUSTED EBITDA, CORE ADJUSTED EBITDA, FREE CASH FLOW</t>
  </si>
  <si>
    <t>Adjusted EBITDA (reportado)</t>
  </si>
  <si>
    <t>FY21-22: 10-K FY2022 (accn 0001283699-23-000016) Item 7 MD&amp;A (FY2021 confirmado en 10-K FY2021, accn 0001283699-22-000018) | FY23-25: 10-K FY2025 (accn 0001283699-26-000010) Item 7 MD&amp;A — reconciliación a Net income</t>
  </si>
  <si>
    <t>Core Adjusted EBITDA (reportado)</t>
  </si>
  <si>
    <t>FY21-22: 10-K FY2022 (accn 0001283699-23-000016) Item 7 MD&amp;A (FY2021 confirmado en 10-K FY2021, accn 0001283699-22-000018) | FY23-25: 10-K FY2025 (accn 0001283699-26-000010) Item 7 MD&amp;A — Adjusted EBITDA menos lease revenues</t>
  </si>
  <si>
    <t>Margen Adjusted EBITDA / service revenues (calc)</t>
  </si>
  <si>
    <t>Tie: Adjusted EBITDA − Sector_KPIs FY23-25</t>
  </si>
  <si>
    <t>Sector_KPIs!C18:E18</t>
  </si>
  <si>
    <t>Free Cash Flow reportado (definición del año: FY21-22 "Free Cash Flow"; FY23-25 "Adjusted Free Cash Flow")</t>
  </si>
  <si>
    <t>FY21-22: 10-K FY2022 (accn 0001283699-23-000016) — resta ademas debt prepayment costs (FY21 -116); FY23-25: 10-K FY2025 (accn 0001283699-26-000010)</t>
  </si>
  <si>
    <t>Recompute FCF FY23-25 desde CF_Hist (CFO − capex + torres + securitización)</t>
  </si>
  <si>
    <t>CF_Hist filas 25/28/31/32 — líneas del estado auditado</t>
  </si>
  <si>
    <t>Tie: FCF reportado − recompute (FY23-25)</t>
  </si>
  <si>
    <t>Tabla del MD&amp;A vs líneas del CF auditado — dos tablas del filing</t>
  </si>
  <si>
    <t>Cash capex, incl. interés capitalizado</t>
  </si>
  <si>
    <t>FY21-22: 10-K FY2022 (accn 0001283699-23-000016) tabla FCF (cierra parte del gap 3); FY23-25: enlace vivo (salida con signo invertido)</t>
  </si>
  <si>
    <t>Capex / ingresos totales</t>
  </si>
  <si>
    <t>6. ESPECTRO (licencias y leases)</t>
  </si>
  <si>
    <t>Spectrum licenses (balance)</t>
  </si>
  <si>
    <t>FY21-22: 10-K FY2022 (accn 0001283699-23-000016) balance; FY23: 10-K FY2024 (accn 0001283699-25-000012) balance; FY24-25: 10-K FY2025 (accn 0001283699-26-000010) balance — constantes del PDF</t>
  </si>
  <si>
    <t>Tie: spectrum FY23-25 − BS_Hist</t>
  </si>
  <si>
    <t>BS_Hist!D18:F18 (R3/Financial_Report) vs PDF — dos rutas</t>
  </si>
  <si>
    <t>Memo: residual "otros activos no corrientes" FY21-22 (cierra parte del gap 2)</t>
  </si>
  <si>
    <t>BS_Hist!B20:C20 (agregado spectrum+otros) menos el spectrum ahora conocido: 9,383 / 9,930</t>
  </si>
  <si>
    <t>Purchases of spectrum licenses and other intangibles (CF, salida en positivo)</t>
  </si>
  <si>
    <t>FY21-22: 10-K FY2022 (accn 0001283699-23-000016) CF (FY21 incluye C-band Auction 107); FY23-25: 10-K FY2025 (accn 0001283699-26-000010) CF</t>
  </si>
  <si>
    <t>Tie: purchases FY23-25 + CF_Hist (línea negativa)</t>
  </si>
  <si>
    <t>CF_Hist!D29:F29</t>
  </si>
  <si>
    <t>Memo: favorable spectrum leases (intangible, neto FY25)</t>
  </si>
  <si>
    <t>10-K FY2025 (accn 0001283699-26-000010) nota de intangibles — hasta 27 años</t>
  </si>
  <si>
    <t>7. DEUDA Y REFINANCIAMIENTO</t>
  </si>
  <si>
    <t>Nota de deuda (carrying, USD mm) — FY2023 del 10-K FY2024; FY2024-25 del 10-K FY2025:</t>
  </si>
  <si>
    <t>Total debt (nota de deuda)</t>
  </si>
  <si>
    <t>FY23: 10-K FY2024 (accn 0001283699-25-000012) Nota de deuda; FY24-25: 10-K FY2025 (accn 0001283699-26-000010) Nota 9 'Debt'</t>
  </si>
  <si>
    <t>Porción corriente de Senior Notes</t>
  </si>
  <si>
    <t>Misma nota: "Less: Current portion of Senior Notes"</t>
  </si>
  <si>
    <t>Total long-term debt (nota)</t>
  </si>
  <si>
    <t>Misma nota</t>
  </si>
  <si>
    <t>Long-term debt a terceros</t>
  </si>
  <si>
    <t>10-K FY2025 (accn 0001283699-26-000010) Nota 9 — clasificación del LT debt</t>
  </si>
  <si>
    <t>Reportado (FY24-25)</t>
  </si>
  <si>
    <t>Long-term debt a afiliadas (Deutsche Telekom)</t>
  </si>
  <si>
    <t>Misma nota. Redimidas a la par el 2026-02-01 (evento posterior)</t>
  </si>
  <si>
    <t>Tie: total − corriente − LT (nota internamente)</t>
  </si>
  <si>
    <t>Tie: total de la nota − Historical (XBRL us-gaap:LongTermDebt)</t>
  </si>
  <si>
    <t>Historical!C14:E14 — la nota del PDF y el tag XBRL deben coincidir</t>
  </si>
  <si>
    <t>Tie: terceros + afiliadas − total LT (FY24-25)</t>
  </si>
  <si>
    <t>HALLAZGO (verificación): ShortTermBorrowings del modelo ES la porción corriente de la nota</t>
  </si>
  <si>
    <t>Historical!C15:E15 vs fila 90 — cero en los tres años: son la MISMA cifra</t>
  </si>
  <si>
    <t>Calculado — evidencia del hallazgo</t>
  </si>
  <si>
    <t>HALLAZGO cuantificado: exceso del puente de deuda del DCF (double-count de la porción corriente)</t>
  </si>
  <si>
    <t>Historical!E18 (=LongTermDebt+ShortTermBorrowings+FinanceLease) vs total de la nota + finance leases. FY23 3,619 / FY24 4,068 / FY25 5,135. Detalle y efecto en Market_Package (H1)</t>
  </si>
  <si>
    <t>Tasa de interés efectiva aprox. (excl. derivados e interés capitalizado)</t>
  </si>
  <si>
    <t>10-K FY2025 (accn 0001283699-26-000010) Nota 9</t>
  </si>
  <si>
    <t>Deuda promedio ponderada del año</t>
  </si>
  <si>
    <t>USD bn</t>
  </si>
  <si>
    <t>Deuda denominada en EUR</t>
  </si>
  <si>
    <t>EUR bn</t>
  </si>
  <si>
    <t>10-K FY2025 (accn 0001283699-26-000010) Item 7A — exposición FX declarada</t>
  </si>
  <si>
    <t>Proceeds from issuance of long-term debt, net (CF)</t>
  </si>
  <si>
    <t>FY21-22: 10-K FY2022 (accn 0001283699-23-000016) CF; FY23-25: 10-K FY2025 (accn 0001283699-26-000010) CF</t>
  </si>
  <si>
    <t>Tie: emisiones FY23-25 − CF_Hist</t>
  </si>
  <si>
    <t>Repayments of long-term debt (CF)</t>
  </si>
  <si>
    <t>Mismas fuentes que la fila 102</t>
  </si>
  <si>
    <t>Tie: repagos FY23-25 − CF_Hist</t>
  </si>
  <si>
    <t>Refi FY2025: emitió USD 12.0 bn de deuda LP neta (incl. dos ECA facilities por ~2.0 bn) y redimió/repagó USD 6.2 bn de principal agregado</t>
  </si>
  <si>
    <t>10-K FY2025 (accn 0001283699-26-000010) MD&amp;A Liquidity y Nota 9</t>
  </si>
  <si>
    <t>Reportado (narrativa)</t>
  </si>
  <si>
    <t>Refi posterior al cierre: 2026-02-01 redimió a la par las Senior Notes 4.750% a afiliadas due 2028; 2026-02-05 tomó USD 1.0 bn bajo un master receivables financing agreement con vencimiento 2027-02-05</t>
  </si>
  <si>
    <t>10-K FY2025 (accn 0001283699-26-000010) Nota 9 / eventos posteriores</t>
  </si>
  <si>
    <t>8. ESCALERA CONTRACTUAL AL 2025-12-31 — OJO: columnas = buckets de vencimiento, NO años fiscales</t>
  </si>
  <si>
    <t>(USD mm)</t>
  </si>
  <si>
    <t>&lt; 1 año</t>
  </si>
  <si>
    <t>1-3 años</t>
  </si>
  <si>
    <t>3-5 años</t>
  </si>
  <si>
    <t>&gt; 5 años</t>
  </si>
  <si>
    <t>Total</t>
  </si>
  <si>
    <t>10-K FY2025 (accn 0001283699-26-000010) Item 7 MD&amp;A — 'material contractual obligations and borrowings'</t>
  </si>
  <si>
    <t>Long-term debt (principal a vencimiento)</t>
  </si>
  <si>
    <t>Intereses sobre long-term debt</t>
  </si>
  <si>
    <t>Financing lease liabilities (incl. interés imputado)</t>
  </si>
  <si>
    <t>Tower obligations (principal + interés)</t>
  </si>
  <si>
    <t>Operating lease liabilities (incl. interés imputado)</t>
  </si>
  <si>
    <t>Purchase obligations</t>
  </si>
  <si>
    <t>Spectrum leases y service credits</t>
  </si>
  <si>
    <t>IP transit services (venta wireline a Cogent)</t>
  </si>
  <si>
    <t>Total obligaciones contractuales (reportado)</t>
  </si>
  <si>
    <t>Tie de la escalera: B = suma de buckets − total por fila (9 filas); C = suma de filas − total por columna (5 columnas)</t>
  </si>
  <si>
    <t>Aditividad de la tabla publicada — constantes</t>
  </si>
  <si>
    <t>Tie de tres fuentes: principal de la escalera + prima no amortizada (666) − descuento (313) − costos de emisión y consent fees (352) − carrying XBRL</t>
  </si>
  <si>
    <t>Escalera (Item 7) + ajustes de la Nota 9 del 10-K FY2025 vs Historical!E14 (us-gaap:LongTermDebt) — tres tablas independientes</t>
  </si>
  <si>
    <t>Los spectrum leases corren típicamente 5-10 años con renovaciones automáticas hasta 30 años en total</t>
  </si>
  <si>
    <t>10-K FY2025 (accn 0001283699-26-000010) Item 7, nota (7) de la tabla</t>
  </si>
  <si>
    <t>9. LEASES Y TORRES (enlaces vivos al balance auditado)</t>
  </si>
  <si>
    <t>BS_Hist!B15:F15</t>
  </si>
  <si>
    <t>Enlace vivo</t>
  </si>
  <si>
    <t>Operating lease liabilities (corriente + no corriente)</t>
  </si>
  <si>
    <t>BS_Hist!B29:F29 + B37:F37</t>
  </si>
  <si>
    <t>NOT_AVAILABLE</t>
  </si>
  <si>
    <t>BS_Hist!D16:F16; FY21-22 sin tag separado en el paquete</t>
  </si>
  <si>
    <t>Enlace vivo FY23-25 / NOT_AVAILABLE FY21-22</t>
  </si>
  <si>
    <t>Finance lease liabilities (corriente + no corriente)</t>
  </si>
  <si>
    <t>BS_Hist!B30:F30 + B38:F38</t>
  </si>
  <si>
    <t>Tie: finance leases BS − Historical (us-gaap:FinanceLeaseLiability) FY23-25</t>
  </si>
  <si>
    <t>Historical!C16:E16 — dos rutas de fuente</t>
  </si>
  <si>
    <t>Tower obligations (no corriente)</t>
  </si>
  <si>
    <t>BS_Hist!D35:F35; FY21-22 dentro del agregado de otros pasivos LP (gap 2)</t>
  </si>
  <si>
    <t>Repayments of financing lease obligations (CF)</t>
  </si>
  <si>
    <t>FY21-22: 10-K FY2022 (accn 0001283699-23-000016) CF (cierra parte del gap 3); FY23-25: enlace vivo CF_Hist!D40:F40</t>
  </si>
  <si>
    <t>10. EMPLEADOS</t>
  </si>
  <si>
    <t>Empleados (aprox., tiempo completo y parcial)</t>
  </si>
  <si>
    <t>personas</t>
  </si>
  <si>
    <t>10-K FY2021/2022/2023/2024/2025 — Item 1 "Business", Human Capital ("approximately N employees")</t>
  </si>
  <si>
    <t>Ingresos de servicio por empleado</t>
  </si>
  <si>
    <t>USD k</t>
  </si>
  <si>
    <t>11. MÉTRICAS QUE T-MOBILE NO DIVULGA EN EL 10-K (declaradas, no inventadas)</t>
  </si>
  <si>
    <t>CAC / costo de adquisición por cliente</t>
  </si>
  <si>
    <t>No es disclosure del Form 10-K y no se deriva limpiamente: los subsidios de equipo viven en el margen de equipos y las comisiones en SG&amp;A, sin split publicado</t>
  </si>
  <si>
    <t>Cohortes / vintages de clientes (retención por camada)</t>
  </si>
  <si>
    <t>No divulgado en ningún filing; el churn publicado es agregado mensual promedio</t>
  </si>
  <si>
    <t>Churn de postpaid other y churn por marca</t>
  </si>
  <si>
    <t>Solo se publica churn de postpaid phone y de prepaid, consolidados</t>
  </si>
  <si>
    <t>Conteo de cuentas postpaid (tabla)</t>
  </si>
  <si>
    <t>El 10-K FY2025 publica ARPA pero ya no tabula el número de cuentas; la fila 36 lo deriva implícitamente</t>
  </si>
  <si>
    <t>ARPU de postpaid other / 5G broadband</t>
  </si>
  <si>
    <t>Solo phone ARPU, prepaid ARPU y ARPA por cuenta</t>
  </si>
  <si>
    <t>Homes passed / footprint de fibra</t>
  </si>
  <si>
    <t>Las JV de fibra (Lumos, Metronet) no consolidan esa métrica en el 10-K; solo se publican clientes de fibra (fila 16)</t>
  </si>
  <si>
    <t>Torres propias vs arrendadas (conteo de sitios)</t>
  </si>
  <si>
    <t>El 10-K describe la red cualitativamente (Item 1/2) sin tabla de sitios</t>
  </si>
  <si>
    <t>Spectrum holdings por banda (MHz-POP)</t>
  </si>
  <si>
    <t>Descripción cualitativa del portafolio de espectro; sin tabla cuantitativa por banda en el 10-K</t>
  </si>
  <si>
    <t>12. PUENTE AL MOTOR DE PRONÓSTICO (anclas FY2025A de Sector_KPIs columna E — el motor Forecast/Valuation cuelga de ahí)</t>
  </si>
  <si>
    <t>Delta: Sector_KPIs!E5 (clientes phone, mm) − fila 7/1000</t>
  </si>
  <si>
    <t>Delta: Sector_KPIs!E7 (churn) − fila 29</t>
  </si>
  <si>
    <t>%/mes</t>
  </si>
  <si>
    <t>Delta: Sector_KPIs!E9 (ARPU) − fila 31</t>
  </si>
  <si>
    <t>USD/mes</t>
  </si>
  <si>
    <t>Delta: Sector_KPIs!E11 (postpaid service revenue) − fila 39</t>
  </si>
  <si>
    <t>Delta: Sector_KPIs!E14 (total service revenue) − fila 42</t>
  </si>
  <si>
    <t>Delta: Sector_KPIs!E15 (equipment y otros) − filas 43+44</t>
  </si>
  <si>
    <t>Delta: Sector_KPIs!E16 (total revenue) − fila 45</t>
  </si>
  <si>
    <t>Delta: Sector_KPIs!E18 (Adjusted EBITDA) − fila 69</t>
  </si>
  <si>
    <t>Delta: Sector_KPIs!E19 (cash capex) − fila 76</t>
  </si>
  <si>
    <t>NOTA DE CABLEADO: el motor ya está cableado (Sector_KPIs → Forecast → Valuation, checks C05/C06). Esta hoja ancla la serie FY2021A-FY2025A completa contra los filings y mecaniza las 9 anclas FY2025A (check 51 de Checks_TieOut). El desajuste de unidades ARPA-por-cuenta vs churn/ARPU-de-phone ya está declarado en 00_Cover!B16 y Sector_KPIs!A24.</t>
  </si>
  <si>
    <t>MAPA DE ACCESSIONS: FY2021 10-K 0001283699-22-000018 | FY2022 10-K 0001283699-23-000016 | FY2023 10-K 0001283699-24-000008 | FY2024 10-K 0001283699-25-000012 | FY2025 10-K 0001283699-26-000010 | 10-Q Q2 2026 0001283699-26-000101 (solo Market_Package). PDFs locales: 'TMUS Financial Statement/tmus-20211231.pdf' ... 'tmus-20251231.pdf', leídos con pdftotext -layout.</t>
  </si>
  <si>
    <t>BRECHAS CERRADAS EN ESTA CAPA (sin reescribir historia): split de ingresos FY21-22 (fila 39-48), detalle de opex FY21-22 (54-62), intereses/otros FY21-22 (64-66), capex FY21-22 (76), spectrum balance FY21-22 y residual (80-82), purchases de spectrum FY21-22 (83), emisiones/repagos de deuda FY21-22 (102-105), repagos de finance leases FY21-22 (131). IS_Hist/BS_Hist/CF_Hist/SCE_Hist quedaron intactas.</t>
  </si>
  <si>
    <t>13. COBERTURA DECLARADA — QUÉ ESTÁ MECANIZADO Y QUÉ NO</t>
  </si>
  <si>
    <t>Con tie mecanizado (filas de esta hoja citadas por los checks 33-51 de Checks_TieOut): 12-14, 25-26, 34-35, 46-49, 62, 66, 72, 75, 81, 84, 94-98, 103, 105, 120-121, 129, 148-156.</t>
  </si>
  <si>
    <t>SIN tie mecanizado — constantes reportadas cubiertas solo por bandas de plausibilidad (check 59): churn/ARPU/ARPA (29-33), prepaid churn/ARPU (30, 32), empleados (134), FCF FY21-22 (73 B:C), tasa efectiva y deuda promedio (99-100), deuda EUR (101), memos 5G/fibra (15-16), refi narrativa (106-107). La banda caza corrupción gruesa (unidades, ceros, magnitudes), no un dígito plausible equivocado — limitación declarada, patrón del check 61 del piloto Apple.</t>
  </si>
  <si>
    <t>La fila 63 y la fila 98 son HALLAZGOS con valor esperado DISTINTO de cero (50 y 3,619/4,068/5,135): no entran al gate como PASS/FAIL para no fabricar un check que "pasa" sobre un defecto declarado; viven aquí y en Market_Package H1.</t>
  </si>
  <si>
    <t>T-Mobile US — Paquete de mercado fechado y costo de capital</t>
  </si>
  <si>
    <t>Cada input de mercado lleva su fuente y su FECHA. Los enlaces al balance y a resultados son fórmulas vivas contra las hojas auditadas (que esta hoja NO modifica). El libro omitía la comparación de mercado por política de carril; esta hoja la aporta fechada, sin cablearla al DCF.</t>
  </si>
  <si>
    <t>Concepto</t>
  </si>
  <si>
    <t>Valor</t>
  </si>
  <si>
    <t>Fecha del dato (as-of)</t>
  </si>
  <si>
    <t>Fuente</t>
  </si>
  <si>
    <t>Nota / método</t>
  </si>
  <si>
    <t>1. PRECIO Y ACCIONES</t>
  </si>
  <si>
    <t>Precio de la acción (cierre)</t>
  </si>
  <si>
    <t>USD/acción</t>
  </si>
  <si>
    <t>stockanalysis.com/stocks/TMUS/ — cierre diario</t>
  </si>
  <si>
    <t>Recuperado 2026-08-14 tras la campana. Cruce interno: market cap del proveedor 195.88 bn = 182.61 x 1,072.67 mm acciones del 10-Q, consistente</t>
  </si>
  <si>
    <t>Acciones en circulación</t>
  </si>
  <si>
    <t>millones de acciones</t>
  </si>
  <si>
    <t>SEC Form 10-Q Q2 2026, portada (accn 0001283699-26-000101) — "Shares Outstanding as of July 17, 2026"</t>
  </si>
  <si>
    <t>1,072,671,613 acciones. Filing descargado directo de EDGAR el 2026-08-14 (filed 2026-07-23; no estaba en el paquete local, pull 2026-07-20/21)</t>
  </si>
  <si>
    <t>Memo — acciones diluidas promedio FY2025A</t>
  </si>
  <si>
    <t>Historical!E17 (enlace vivo)</t>
  </si>
  <si>
    <t>Es la base por acción de Valuation!B19:B20</t>
  </si>
  <si>
    <t>Memo — brecha de conteo (portada 10-Q − promedio diluido FY25)</t>
  </si>
  <si>
    <t>HALLAZGO H2: los buybacks ya retiraron ~5.2% del conteo FY2025A; el DCF por acción usa el promedio diluido FY2025A</t>
  </si>
  <si>
    <t>Capitalización de mercado</t>
  </si>
  <si>
    <t>Calculado: precio x acciones en circulación</t>
  </si>
  <si>
    <t>2. PUENTE A ENTERPRISE VALUE (balance FY2025A del propio modelo)</t>
  </si>
  <si>
    <t>Caja y equivalentes</t>
  </si>
  <si>
    <t>BS_Hist!F6 — 10-K FY2025, balance auditado (enlace vivo)</t>
  </si>
  <si>
    <t>Deuda de corto plazo (incl. porción corriente de Senior Notes)</t>
  </si>
  <si>
    <t>BS_Hist!F27 (enlace vivo)</t>
  </si>
  <si>
    <t>Deuda de largo plazo (incl. afiliadas 1,498)</t>
  </si>
  <si>
    <t>BS_Hist!F34 (enlace vivo)</t>
  </si>
  <si>
    <t>Finance lease liabilities — corriente</t>
  </si>
  <si>
    <t>BS_Hist!F30 (enlace vivo)</t>
  </si>
  <si>
    <t>Finance lease liabilities — no corriente</t>
  </si>
  <si>
    <t>BS_Hist!F38 (enlace vivo)</t>
  </si>
  <si>
    <t>Deuda bruta (balance, SIN doble conteo)</t>
  </si>
  <si>
    <t>5,135 + 81,147 + 1,163 + 1,107 = 88,552</t>
  </si>
  <si>
    <t>Memo — deuda usada hoy en el DCF (Valuation!B17)</t>
  </si>
  <si>
    <t>Historical!E18 (enlace vivo)</t>
  </si>
  <si>
    <t>= LongTermDebt + ShortTermBorrowings + FinanceLeaseLiability (XBRL)</t>
  </si>
  <si>
    <t>HALLAZGO H1 — diferencia (deuda del DCF − deuda del balance)</t>
  </si>
  <si>
    <t>Es EXACTAMENTE la porción corriente de Senior Notes contada dos veces: us-gaap:LongTermDebt (86,282) YA la incluye y ShortTermBorrowings (5,135) la vuelve a sumar. Nota 9 del 10-K FY2025: Total debt 86,282 − current 5,135 = LT 81,147. Evidencia mecanizada: Drivers_MDA filas 97-98 y check 54</t>
  </si>
  <si>
    <t>Deuda neta (definición de esta hoja)</t>
  </si>
  <si>
    <t>Enterprise value (deuda del balance)</t>
  </si>
  <si>
    <t>Calculado: cap. de mercado + deuda bruta BS − caja</t>
  </si>
  <si>
    <t>Precio del 2026-08-14 contra balance del 2025-12-31</t>
  </si>
  <si>
    <t>Memo — EV con la deuda del DCF</t>
  </si>
  <si>
    <t>5,135 más alto que B23 por el double-count (H1)</t>
  </si>
  <si>
    <t>Memo — tower obligations (no corriente), FUERA de la definición de deuda del modelo</t>
  </si>
  <si>
    <t>BS_Hist!F35 (enlace vivo)</t>
  </si>
  <si>
    <t>Política declarada en 00_Cover!B13; se expone, no se recategoriza</t>
  </si>
  <si>
    <t>Memo — operating lease liabilities (corriente + no corriente), FUERA de la definición de deuda</t>
  </si>
  <si>
    <t>BS_Hist!F29 + F37 (enlace vivo)</t>
  </si>
  <si>
    <t>30,185. Un EV con leases operativos capitalizados sería ~11% más alto; queda como memo, no como definición</t>
  </si>
  <si>
    <t>Ancla de vintage distinto — caja al 2025-12-31 (10-Q Q2 2026, columna comparativa)</t>
  </si>
  <si>
    <t>10-Q Q2 2026 (accn 0001283699-26-000101), balance condensado, columna "December 31, 2025" — constante tecleada del filing, independiente de BS_Hist</t>
  </si>
  <si>
    <t>El check 53 exige tie exacto contra B14</t>
  </si>
  <si>
    <t>Ancla de vintage distinto — deuda del balance al 2025-12-31 (10-Q Q2 2026, columna comparativa)</t>
  </si>
  <si>
    <t>10-Q Q2 2026 (accn 0001283699-26-000101), balance condensado: 5,135 + 79,649 + 1,498 + 1,163 + 1,107</t>
  </si>
  <si>
    <t>El check 54 exige tie exacto contra B19</t>
  </si>
  <si>
    <t>3. COSTO DE CAPITAL</t>
  </si>
  <si>
    <t>Tasa libre de riesgo (UST 10 años, par yield)</t>
  </si>
  <si>
    <t>home.treasury.gov — Daily Treasury Par Yield Curve Rates, columna "10 Yr" (CSV primario descargado 2026-08-14)</t>
  </si>
  <si>
    <t>Pin de flota de la corrida (mismo Rf del piloto Apple). Misma fecha: 20Y 5.20%, 30Y 5.21%. El 2026-08-14 publicó 4.68% tras el cierre del paquete — desfase de un día declarado en L2</t>
  </si>
  <si>
    <t>Prima de riesgo de mercado (ERP implícita, S&amp;P 500)</t>
  </si>
  <si>
    <t>A. Damodaran (NYU Stern), "Implied Equity Risk Premiums — United States" (histimpl.html), actualización de enero 2026</t>
  </si>
  <si>
    <t>Misma ERP de flota que el piloto Apple (verificada en su auditoría)</t>
  </si>
  <si>
    <t>Beta (5 años, mensual, vs S&amp;P 500)</t>
  </si>
  <si>
    <t>stockanalysis.com/stocks/TMUS/statistics/</t>
  </si>
  <si>
    <t>Cross-checks el mismo día: Yahoo Finance 0.33; investing.com 0.44 (ventana distinta). Beta defensivo de telecom — sensibilidad en L1</t>
  </si>
  <si>
    <t>Costo del capital propio (CAPM)</t>
  </si>
  <si>
    <t>Calculado: Rf + beta x ERP</t>
  </si>
  <si>
    <t>Costo de deuda antes de impuestos (benchmark BBB)</t>
  </si>
  <si>
    <t>FRED — serie primaria BAMLC0A4CBBBEY, ICE BofA BBB US Corporate Index Effective Yield (CSV fredgraph descargado 2026-08-14)</t>
  </si>
  <si>
    <t>TMUS es emisor grado de inversión (área BBB/Baa). Es el costo MARGINAL de mercado, no el cupón promedio de la deuda viva (memo B36)</t>
  </si>
  <si>
    <t>Memo — costo efectivo de la deuda propia</t>
  </si>
  <si>
    <t>4.2% FY2025 (FY2024: 4.1%)</t>
  </si>
  <si>
    <t>10-K FY2025 (accn 0001283699-26-000010) Nota 9 — excl. derivados e interés capitalizado, sobre deuda promedio de USD 83.0 bn</t>
  </si>
  <si>
    <t>Tasa efectiva de impuestos (FY2025A del modelo)</t>
  </si>
  <si>
    <t>−IS_Hist!F20 / IS_Hist!F19 (enlace vivo; el impuesto está almacenado con signo)</t>
  </si>
  <si>
    <t>23.0% FY2025. Assumptions usa 24% normalizado (check 58 vigila la calibración de los drivers)</t>
  </si>
  <si>
    <t>Memo — tasa estatutaria federal de EE.UU.</t>
  </si>
  <si>
    <t>Referencia para una versión marginal del escudo fiscal</t>
  </si>
  <si>
    <t>Costo de deuda después de impuestos</t>
  </si>
  <si>
    <t>Calculado: Kd x (1 − t)</t>
  </si>
  <si>
    <t>Valor de mercado del capital (E)</t>
  </si>
  <si>
    <t>Deuda bruta (D — definición del balance de esta hoja)</t>
  </si>
  <si>
    <t>Con la deuda del DCF (B20) el WACC apenas se mueve: memo B48</t>
  </si>
  <si>
    <t>Capital total (D+E)</t>
  </si>
  <si>
    <t>Peso del capital propio (We)</t>
  </si>
  <si>
    <t>Peso de la deuda (Wd)</t>
  </si>
  <si>
    <t>WACC (fechado)</t>
  </si>
  <si>
    <t>Calculado: We x Ke + Wd x Kd x (1 − t)</t>
  </si>
  <si>
    <t>Fórmula viva: mover B31, B32, B33 o B35 mueve el WACC</t>
  </si>
  <si>
    <t>Memo — WACC usado hoy en el DCF (escenario activo)</t>
  </si>
  <si>
    <t>Assumptions!F19 (enlace vivo)</t>
  </si>
  <si>
    <t>Memo — diferencia (este paquete − modelo)</t>
  </si>
  <si>
    <t>HALLAZGO H3: −4.0pp. El 9.5% del modelo es un supuesto normalizado de escenario; el CAPM fechado con beta 0.33 da ~5.5%. No se cablea: ver H3</t>
  </si>
  <si>
    <t>Memo — WACC con la deuda del DCF (D = Historical!E18)</t>
  </si>
  <si>
    <t>Sensibilidad del WACC a la definición de deuda: ~2pb</t>
  </si>
  <si>
    <t>4. MÚLTIPLOS IMPLÍCITOS vs FY2025A DEL MODELO</t>
  </si>
  <si>
    <t>Ingresos totales FY2025A</t>
  </si>
  <si>
    <t>IS_Hist!F5 (enlace vivo)</t>
  </si>
  <si>
    <t>Ingresos de servicio FY2025A</t>
  </si>
  <si>
    <t>Sector_KPIs!E14 (enlace vivo)</t>
  </si>
  <si>
    <t>Adjusted EBITDA FY2025A (no-GAAP reportado)</t>
  </si>
  <si>
    <t>Sector_KPIs!E18 (enlace vivo)</t>
  </si>
  <si>
    <t>No-GAAP de la compañía; amarrado al MD&amp;A vía Drivers_MDA fila 72 (check 43)</t>
  </si>
  <si>
    <t>EBITDA GAAP (calc: utilidad operativa + D&amp;A)</t>
  </si>
  <si>
    <t>IS_Hist!F14 + F10 (enlace vivo)</t>
  </si>
  <si>
    <t>Construcción del analista: 18,279 + 13,508 = 31,787</t>
  </si>
  <si>
    <t>Utilidad neta FY2025A</t>
  </si>
  <si>
    <t>IS_Hist!F21 (enlace vivo)</t>
  </si>
  <si>
    <t>UPA diluida FY2025A</t>
  </si>
  <si>
    <t>IS_Hist!F32 (enlace vivo)</t>
  </si>
  <si>
    <t>CFO FY2025A</t>
  </si>
  <si>
    <t>CF_Hist!F25 (enlace vivo)</t>
  </si>
  <si>
    <t>Capex FY2025A (cash, incl. interés capitalizado)</t>
  </si>
  <si>
    <t>CF_Hist!F28 con signo invertido (enlace vivo)</t>
  </si>
  <si>
    <t>Adjusted Free Cash Flow FY2025A (reportado)</t>
  </si>
  <si>
    <t>Drivers_MDA!F73 (constante del MD&amp;A, con tie contra CF_Hist en el check 44)</t>
  </si>
  <si>
    <t>P/E (cap. de mercado / utilidad neta)</t>
  </si>
  <si>
    <t>P/E (precio / UPA diluida)</t>
  </si>
  <si>
    <t>Difiere del anterior por la base de acciones (en circulación vs diluidas promedio)</t>
  </si>
  <si>
    <t>EV / Ingresos totales</t>
  </si>
  <si>
    <t>EV / Ingresos de servicio</t>
  </si>
  <si>
    <t>El múltiplo de servicio es el estándar del sector para operadores</t>
  </si>
  <si>
    <t>EV / Adjusted EBITDA</t>
  </si>
  <si>
    <t>EV / EBITDA GAAP (calc)</t>
  </si>
  <si>
    <t>Memo — EV (deuda del DCF) / Adjusted EBITDA</t>
  </si>
  <si>
    <t>Sensibilidad del múltiplo al hallazgo H1: +0.15x</t>
  </si>
  <si>
    <t>Adjusted FCF yield</t>
  </si>
  <si>
    <t>Dividend yield (dividendos pagados FY2025A)</t>
  </si>
  <si>
    <t>CF_Hist!F43 (enlace vivo)</t>
  </si>
  <si>
    <t>Sobre dividendos efectivamente pagados (4,121), no el declarado corriente</t>
  </si>
  <si>
    <t>Buyback yield (recompras FY2025A)</t>
  </si>
  <si>
    <t>CF_Hist!F42 (enlace vivo)</t>
  </si>
  <si>
    <t>Retorno total al accionista (FY2025A / cap. actual)</t>
  </si>
  <si>
    <t>Memo — DCF Base por acción vs precio de mercado</t>
  </si>
  <si>
    <t>Valuation!B20 (enlace vivo) − B7</t>
  </si>
  <si>
    <t>HALLAZGO H4: el DCF Base (182.17) está a −0.2% del precio (182.61). El libro omitía la comparación por política de carril; esta hoja la aporta fechada, SIN cablearla a Valuation</t>
  </si>
  <si>
    <t>Memo — lo mismo en %</t>
  </si>
  <si>
    <t>5. MEMO LTM — al 2026-06-30 (10-Q Q2 2026). FUERA del perímetro auditado FY2021A-FY2025A del modelo.</t>
  </si>
  <si>
    <t>Ingresos totales 6M 2026</t>
  </si>
  <si>
    <t>10-Q Q2 2026 (accn 0001283699-26-000101), estado condensado de resultados</t>
  </si>
  <si>
    <t>Ingresos totales 6M 2025</t>
  </si>
  <si>
    <t>10-Q Q2 2026, columna comparativa</t>
  </si>
  <si>
    <t>Ingresos totales LTM</t>
  </si>
  <si>
    <t>Calculado: FY2025A − 6M 2025 + 6M 2026</t>
  </si>
  <si>
    <t>Utilidad operativa 6M 2026</t>
  </si>
  <si>
    <t>10-Q Q2 2026</t>
  </si>
  <si>
    <t>Utilidad operativa 6M 2025</t>
  </si>
  <si>
    <t>Utilidad operativa LTM</t>
  </si>
  <si>
    <t>Utilidad neta 6M 2026</t>
  </si>
  <si>
    <t>Utilidad neta 6M 2025</t>
  </si>
  <si>
    <t>Utilidad neta LTM</t>
  </si>
  <si>
    <t>Ingresos de servicio 6M 2026</t>
  </si>
  <si>
    <t>Ingresos de servicio 6M 2025</t>
  </si>
  <si>
    <t>Ingresos de servicio LTM</t>
  </si>
  <si>
    <t>P/E LTM</t>
  </si>
  <si>
    <t>EV / Ingresos LTM</t>
  </si>
  <si>
    <t>Usa el EV construido con el balance FY2025A</t>
  </si>
  <si>
    <t>EV / EBIT LTM</t>
  </si>
  <si>
    <t>Caja al 2026-06-30</t>
  </si>
  <si>
    <t>10-Q Q2 2026 (accn 0001283699-26-000101), balance condensado</t>
  </si>
  <si>
    <t>Ancla de vintage distinto: la caja se movió −49.5% en 6 meses (dividendos, buybacks, capex) — por eso el check 53 usa tie exacto de vintage y no una banda sobre esta cifra</t>
  </si>
  <si>
    <t>Deuda del balance al 2026-06-30</t>
  </si>
  <si>
    <t>10-Q Q2 2026, balance condensado: 6,117 + 78,504 + 0 (afiliadas redimidas) + 1,178 + 1,121</t>
  </si>
  <si>
    <t>Ancla de vintage distinto: deriva real vs FY2025A = −1.8%; el check 54 usa banda de ±25%</t>
  </si>
  <si>
    <t>EV con el balance al 2026-06-30</t>
  </si>
  <si>
    <t>Referencia: no se usa en los múltiplos de arriba para no mezclar perímetros</t>
  </si>
  <si>
    <t>Memo — diferencia vs el EV con balance FY2025A</t>
  </si>
  <si>
    <t>6. CONTROL DE PROCEDENCIA (todo input de mercado debe traer fuente y fecha con serial válido)</t>
  </si>
  <si>
    <t>Inputs de mercado sujetos a control</t>
  </si>
  <si>
    <t>conteo</t>
  </si>
  <si>
    <t>B7 precio, B8 acciones, B31 Rf, B32 ERP, B33 beta, B35 Kd</t>
  </si>
  <si>
    <t>Los demás valores de la hoja son enlaces vivos, constantes de filing con accession, o cálculos</t>
  </si>
  <si>
    <t>Inputs sin fuente</t>
  </si>
  <si>
    <t>Debe ser 0</t>
  </si>
  <si>
    <t>Inputs sin fecha válida (ausente o texto en vez de serial)</t>
  </si>
  <si>
    <t>Debe ser 0. Una fecha escrita como texto cuenta como inválida (lección M2 del piloto)</t>
  </si>
  <si>
    <t>Inputs de cotización diaria desfasados entre sí (&gt;5 días) o paquete obsoleto (&gt;10 días vs HOY() al recalcular)</t>
  </si>
  <si>
    <t>Debe ser 0. Cubre precio (D7), Rf (D31) y Kd (D35) entre sí, más frescura ABSOLUTA: el libro caduca solo a los 10 días — es diseño, no defecto. Excluye a propósito la ERP (serie anual) y las acciones (del 10-Q): baja frecuencia, desfase declarado en L2</t>
  </si>
  <si>
    <t>Estado de procedencia</t>
  </si>
  <si>
    <t>estado</t>
  </si>
  <si>
    <t>7. LIMITACIONES, HALLAZGOS Y CABLEADO PENDIENTE</t>
  </si>
  <si>
    <t>H1 — El puente de deuda del DCF (Historical!E18 → Valuation!B17) cuenta DOS veces la porción corriente de Senior Notes: us-gaap:LongTermDebt ya la incluye y ShortTermBorrowings la vuelve a sumar (B21 = 5,135; FY23 3,619; FY24 4,068 — Drivers_MDA fila 98). El DCF resta 5,135 de deuda de más: corregirlo subiría el equity value ~5,135 USD mm (~USD 4.5/acción, +2.5%). NO se corrige aquí: Historical y Valuation son outputs gateados. Mecanizado en el check 54.</t>
  </si>
  <si>
    <t>H2 — Valuation!B19 usa el promedio diluido FY2025A (1,131.1 mm); en circulación hoy hay 1,072.7 mm (portada del 10-Q, B8). Con el conteo actual, el mismo equity value daría ~5.4% más por acción. Para refrescar bastaría apuntar Valuation!B19 a B8; se deja sin cablear para no mover outputs gateados.</t>
  </si>
  <si>
    <t>H3 — El WACC fechado de esta hoja (B45, ~5.5%) está 4.0pp por debajo del 9.5% del escenario Base (Assumptions!D19). El driver es el beta defensivo de TMUS (0.33). El 9.5% del modelo es un supuesto normalizado de largo plazo; cablear B45 a Assumptions rompería el diseño Base/Bull/Bear. Queda como contraste declarado, patrón H3 del piloto.</t>
  </si>
  <si>
    <t>H4 — El DCF Base (Valuation!B20 = 182.17) está a −0.2% del precio de mercado fechado (182.61, B7). El libro omitía la comparación por política de carril (00_Cover!B12); esta hoja la aporta con fuente y fecha, sin modificar esa política.</t>
  </si>
  <si>
    <t>L1 — La beta es de proveedor (stockanalysis.com 0.33; Yahoo 0.33; investing.com 0.44, ventana distinta). Con 0.44 el Ke sube a 6.49% y el WACC de esta hoja a ~5.8%: la conclusión de H3 no cambia. No hay serie local de precios para estimar una beta propia.</t>
  </si>
  <si>
    <t>L2 — Fechas mezcladas a propósito y declaradas: ERP de enero 2026 (serie anual), Rf pin de flota del 2026-08-13 (el 10Y del 08-14, 4.68%, publicó tras el cierre del paquete), Kd del 2026-08-13, precio del 2026-08-14, acciones del 2026-07-17 (10-Q).</t>
  </si>
  <si>
    <t>L3 — El Kd es benchmark de índice BBB (FRED), no la curva propia de TMUS. Cross-check del emisor: costo efectivo 4.2% FY2025 sobre deuda promedio de 83.0 bn (B36). El benchmark de mercado (5.53%) refleja el costo MARGINAL de refinanciar hoy.</t>
  </si>
  <si>
    <t>L4 — El EV mezcla precio del 2026-08-14 con balance del 2025-12-31 (el balance auditado más reciente DEL MODELO). El bloque 5 da el mismo EV con el balance del 2026-06-30 (B92) para dimensionar el desfase: +1,141 USD mm.</t>
  </si>
  <si>
    <t>L5 — El control de procedencia (bloque 6) exige serial de fecha, desfase relativo ≤5 días entre precio/Rf/Kd, y frescura absoluta de 10 días contra HOY() — patrón del piloto Apple tras su refutación (M2/L5).</t>
  </si>
  <si>
    <t>L6 — El gate del libro (Checks!B4 → Gate_9of10) NO incluye Checks_TieOut: el MASTER de esa hoja puede caer en FAIL sin que el gate se entere (hallazgo M1 del audit del piloto, vigente aquí). El encargo de esta capa solo permite tocar el MASTER de Checks_TieOut; cablear Checks!F15/B4 queda declarado como pendiente para una corrida con ese alcance.</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</si>
  <si>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</si>
  <si>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</si>
  <si>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</si>
  <si>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</si>
  <si>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</si>
  <si>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</si>
  <si>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</si>
  <si>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</si>
  <si>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Change_Log: 2 cells written, at E11, B12; Gate_9of10: 7 cells written, at E5, E11, E12, B22, B23, B25, B27; Sources_Audited: 1 cell written, at C4.
Agent: OpenFinmods export</t>
  </si>
  <si>
    <t>Compare against source and review public copy</t>
  </si>
</sst>
</file>

<file path=xl/styles.xml><?xml version="1.0" encoding="utf-8"?>
<styleSheet xmlns="http://schemas.openxmlformats.org/spreadsheetml/2006/main">
  <numFmts count="12">
    <numFmt numFmtId="164" formatCode="General"/>
    <numFmt numFmtId="165" formatCode="#,##0.000;\(#,##0.000\);\-"/>
    <numFmt numFmtId="166" formatCode="#,##0.0;\(#,##0.0\);\-"/>
    <numFmt numFmtId="167" formatCode="0.0%;\(0.0%\);\-"/>
    <numFmt numFmtId="168" formatCode="0.000\x"/>
    <numFmt numFmtId="169" formatCode="0.0%"/>
    <numFmt numFmtId="170" formatCode="\$0.00"/>
    <numFmt numFmtId="171" formatCode="0.000;&quot;(-&quot;0.000\);\-"/>
    <numFmt numFmtId="172" formatCode="0.0"/>
    <numFmt numFmtId="173" formatCode="0.0\x"/>
    <numFmt numFmtId="174" formatCode="M/d/yyyy"/>
    <numFmt numFmtId="175" formatCode="yyyy\-mm\-dd hh:mm"/>
  </numFmts>
  <fonts count="15">
    <font>
      <sz val="11"/>
      <color theme="1"/>
      <name val="Calibri"/>
      <family val="2"/>
      <scheme val="minor"/>
    </font>
    <font>
      <sz val="10"/>
      <name val="Arial"/>
      <family val="2"/>
    </font>
    <font>
      <b val="0"/>
      <i/>
      <strike val="0"/>
      <sz val="11"/>
      <color rgb="FF0B1F3A"/>
      <name val="Calibri"/>
    </font>
    <font>
      <b val="0"/>
      <i val="0"/>
      <strike val="0"/>
      <sz val="11"/>
      <name val="Calibri"/>
    </font>
    <font>
      <b/>
      <i val="0"/>
      <strike val="0"/>
      <sz val="16"/>
      <color rgb="FFFFFFFF"/>
      <name val="Calibri"/>
    </font>
    <font>
      <b/>
      <i val="0"/>
      <strike val="0"/>
      <sz val="11"/>
      <color rgb="FFFFFFFF"/>
      <name val="Calibri"/>
    </font>
    <font>
      <b/>
      <i val="0"/>
      <strike val="0"/>
      <sz val="11"/>
      <color rgb="FF0B1F3A"/>
      <name val="Calibri"/>
    </font>
    <font>
      <b val="0"/>
      <i val="0"/>
      <strike val="0"/>
      <sz val="11"/>
      <color rgb="FF008000"/>
      <name val="Calibri"/>
    </font>
    <font>
      <b/>
      <i val="0"/>
      <strike val="0"/>
      <sz val="11"/>
      <color rgb="FF000000"/>
      <name val="Calibri"/>
    </font>
    <font>
      <b/>
      <i val="0"/>
      <strike val="0"/>
      <sz val="11"/>
      <color rgb="FF0000FF"/>
      <name val="Calibri"/>
    </font>
    <font>
      <b/>
      <i val="0"/>
      <strike val="0"/>
      <sz val="11"/>
      <color rgb="FF008000"/>
      <name val="Calibri"/>
    </font>
    <font>
      <b val="0"/>
      <i val="0"/>
      <strike val="0"/>
      <sz val="11"/>
      <color rgb="FF0000FF"/>
      <name val="Calibri"/>
    </font>
    <font>
      <b val="0"/>
      <i val="0"/>
      <strike val="0"/>
      <sz val="10"/>
      <name val="Arial"/>
      <family val="2"/>
    </font>
    <font>
      <b val="0"/>
      <i val="0"/>
      <strike val="0"/>
      <sz val="10"/>
      <color rgb="FF000000"/>
      <name val="Arial"/>
      <family val="2"/>
    </font>
    <font>
      <b/>
      <i val="0"/>
      <strike val="0"/>
      <sz val="10"/>
      <color rgb="FF000000"/>
      <name val="Arial"/>
      <family val="2"/>
    </font>
  </fonts>
  <fills count="8">
    <fill>
      <patternFill patternType="none"/>
    </fill>
    <fill>
      <patternFill patternType="gray125"/>
    </fill>
    <fill>
      <patternFill patternType="solid">
        <fgColor rgb="FFFCE4D6"/>
        <bgColor rgb="FFFCE4D6"/>
      </patternFill>
    </fill>
    <fill>
      <patternFill patternType="solid">
        <fgColor rgb="FFD9EAF7"/>
        <bgColor rgb="FFD9EAF7"/>
      </patternFill>
    </fill>
    <fill>
      <patternFill patternType="solid">
        <fgColor rgb="FF0B1F3A"/>
        <bgColor rgb="FF0B1F3A"/>
      </patternFill>
    </fill>
    <fill>
      <patternFill patternType="solid">
        <fgColor rgb="FF17365D"/>
        <bgColor rgb="FF17365D"/>
      </patternFill>
    </fill>
    <fill>
      <patternFill patternType="solid">
        <fgColor rgb="FFE7E6E6"/>
        <bgColor rgb="FFE7E6E6"/>
      </patternFill>
    </fill>
    <fill>
      <patternFill patternType="solid">
        <fgColor rgb="FFE2F0D9"/>
        <bgColor rgb="FFE2F0D9"/>
      </patternFill>
    </fill>
  </fills>
  <borders count="5">
    <border/>
    <border>
      <left style="thin">
        <color rgb="FF7F8C8D"/>
      </left>
      <top style="thin">
        <color rgb="FF7F8C8D"/>
      </top>
      <bottom style="thin">
        <color rgb="FF7F8C8D"/>
      </bottom>
    </border>
    <border>
      <top style="thin">
        <color rgb="FF7F8C8D"/>
      </top>
      <bottom style="thin">
        <color rgb="FF7F8C8D"/>
      </bottom>
    </border>
    <border>
      <right style="thin">
        <color rgb="FF7F8C8D"/>
      </right>
      <top style="thin">
        <color rgb="FF7F8C8D"/>
      </top>
      <bottom style="thin">
        <color rgb="FF7F8C8D"/>
      </bottom>
    </border>
    <border>
      <top style="thin">
        <color rgb="FF0B1F3A"/>
      </top>
    </border>
  </borders>
  <cellStyleXfs count="1">
    <xf numFmtId="0" fontId="1" fillId="0" borderId="0"/>
  </cellStyleXfs>
  <cellXfs count="68">
    <xf numFmtId="0" fontId="1" fillId="0" borderId="0" xfId="0" applyFont="1"/>
    <xf numFmtId="164" fontId="2" fillId="2" borderId="0" xfId="0" applyNumberFormat="1" applyFont="1" applyFill="1" applyAlignment="1">
      <alignment horizontal="general" vertical="bottom" textRotation="0" wrapText="1" indent="0" readingOrder="0"/>
    </xf>
    <xf numFmtId="164" fontId="2" fillId="3" borderId="0" xfId="0" applyNumberFormat="1" applyFont="1" applyFill="1" applyAlignment="1">
      <alignment horizontal="general" vertical="bottom" textRotation="0" wrapText="1" indent="0" readingOrder="0"/>
    </xf>
    <xf numFmtId="164" fontId="3" fillId="0" borderId="0" xfId="0" applyNumberFormat="1" applyFont="1" applyAlignment="1">
      <alignment horizontal="general" vertical="bottom" textRotation="0" wrapText="1" indent="0" readingOrder="0"/>
    </xf>
    <xf numFmtId="164" fontId="2" fillId="3" borderId="0" xfId="0" applyNumberFormat="1" applyFont="1" applyFill="1" applyAlignment="1">
      <alignment horizontal="general" vertical="center" textRotation="0" wrapText="1" indent="0" readingOrder="0"/>
    </xf>
    <xf numFmtId="164" fontId="4" fillId="4" borderId="0" xfId="0" applyNumberFormat="1" applyFont="1" applyFill="1" applyAlignment="1">
      <alignment horizontal="general" vertical="center" textRotation="0" indent="0" readingOrder="0"/>
    </xf>
    <xf numFmtId="164" fontId="3" fillId="0" borderId="0" xfId="0" applyNumberFormat="1" applyFont="1" applyAlignment="1">
      <alignment horizontal="general" vertical="bottom" textRotation="0" wrapText="1" indent="0" readingOrder="0"/>
    </xf>
    <xf numFmtId="164" fontId="5" fillId="5" borderId="1" xfId="0" applyNumberFormat="1" applyFont="1" applyFill="1" applyBorder="1" applyAlignment="1">
      <alignment horizontal="center" vertical="center" textRotation="0" wrapText="1" indent="0" readingOrder="0"/>
    </xf>
    <xf numFmtId="164" fontId="5" fillId="5" borderId="2" xfId="0" applyNumberFormat="1" applyFont="1" applyFill="1" applyBorder="1" applyAlignment="1">
      <alignment horizontal="center" vertical="center" textRotation="0" wrapText="1" indent="0" readingOrder="0"/>
    </xf>
    <xf numFmtId="164" fontId="5" fillId="5" borderId="3" xfId="0" applyNumberFormat="1" applyFont="1" applyFill="1" applyBorder="1" applyAlignment="1">
      <alignment horizontal="center" vertical="center" textRotation="0" wrapText="1" indent="0" readingOrder="0"/>
    </xf>
    <xf numFmtId="164" fontId="6" fillId="0" borderId="0" xfId="0" applyNumberFormat="1" applyFont="1" applyAlignment="1">
      <alignment horizontal="general" vertical="bottom" textRotation="0" wrapText="1" indent="0" readingOrder="0"/>
    </xf>
    <xf numFmtId="165" fontId="3" fillId="0" borderId="0" xfId="0" applyNumberFormat="1" applyFont="1" applyAlignment="1">
      <alignment horizontal="general" vertical="bottom" textRotation="0" wrapText="1" indent="0" readingOrder="0"/>
    </xf>
    <xf numFmtId="164" fontId="7" fillId="0" borderId="0" xfId="0" applyNumberFormat="1" applyFont="1" applyAlignment="1">
      <alignment horizontal="general" vertical="bottom" textRotation="0" wrapText="1" indent="0" readingOrder="0"/>
    </xf>
    <xf numFmtId="164" fontId="3" fillId="0" borderId="0" xfId="0" applyNumberFormat="1" applyFont="1" applyAlignment="1">
      <alignment horizontal="left" vertical="bottom" textRotation="0" indent="0" readingOrder="0"/>
    </xf>
    <xf numFmtId="166" fontId="3" fillId="6" borderId="0" xfId="0" applyNumberFormat="1" applyFont="1" applyFill="1" applyAlignment="1">
      <alignment horizontal="right" vertical="bottom" textRotation="0" indent="0" readingOrder="0"/>
    </xf>
    <xf numFmtId="164" fontId="3" fillId="3" borderId="0" xfId="0" applyNumberFormat="1" applyFont="1" applyFill="1" applyAlignment="1">
      <alignment horizontal="right" vertical="bottom" textRotation="0" indent="0" readingOrder="0"/>
    </xf>
    <xf numFmtId="164" fontId="8" fillId="0" borderId="4" xfId="0" applyNumberFormat="1" applyFont="1" applyBorder="1"/>
    <xf numFmtId="166" fontId="8" fillId="0" borderId="4" xfId="0" applyNumberFormat="1" applyFont="1" applyBorder="1"/>
    <xf numFmtId="164" fontId="8" fillId="0" borderId="0" xfId="0" applyNumberFormat="1" applyFont="1"/>
    <xf numFmtId="166" fontId="8" fillId="0" borderId="0" xfId="0" applyNumberFormat="1" applyFont="1"/>
    <xf numFmtId="164" fontId="6" fillId="0" borderId="0" xfId="0" applyNumberFormat="1" applyFont="1"/>
    <xf numFmtId="164" fontId="9" fillId="3" borderId="0" xfId="0" applyNumberFormat="1" applyFont="1" applyFill="1" applyAlignment="1">
      <alignment horizontal="center" vertical="bottom" textRotation="0" indent="0" readingOrder="0"/>
    </xf>
    <xf numFmtId="166" fontId="8" fillId="3" borderId="4" xfId="0" applyNumberFormat="1" applyFont="1" applyFill="1" applyBorder="1"/>
    <xf numFmtId="166" fontId="7" fillId="3" borderId="0" xfId="0" applyNumberFormat="1" applyFont="1" applyFill="1"/>
    <xf numFmtId="167" fontId="7" fillId="3" borderId="0" xfId="0" applyNumberFormat="1" applyFont="1" applyFill="1"/>
    <xf numFmtId="166" fontId="3" fillId="0" borderId="0" xfId="0" applyNumberFormat="1" applyFont="1"/>
    <xf numFmtId="168" fontId="3" fillId="0" borderId="0" xfId="0" applyNumberFormat="1" applyFont="1"/>
    <xf numFmtId="169" fontId="3" fillId="0" borderId="0" xfId="0" applyNumberFormat="1" applyFont="1"/>
    <xf numFmtId="170" fontId="8" fillId="0" borderId="0" xfId="0" applyNumberFormat="1" applyFont="1"/>
    <xf numFmtId="169" fontId="5" fillId="5" borderId="2" xfId="0" applyNumberFormat="1" applyFont="1" applyFill="1" applyBorder="1" applyAlignment="1">
      <alignment horizontal="center" vertical="center" textRotation="0" wrapText="1" indent="0" readingOrder="0"/>
    </xf>
    <xf numFmtId="170" fontId="5" fillId="5" borderId="3" xfId="0" applyNumberFormat="1" applyFont="1" applyFill="1" applyBorder="1" applyAlignment="1">
      <alignment horizontal="center" vertical="center" textRotation="0" wrapText="1" indent="0" readingOrder="0"/>
    </xf>
    <xf numFmtId="170" fontId="3" fillId="0" borderId="0" xfId="0" applyNumberFormat="1" applyFont="1"/>
    <xf numFmtId="170" fontId="6" fillId="7" borderId="0" xfId="0" applyNumberFormat="1" applyFont="1" applyFill="1"/>
    <xf numFmtId="164" fontId="6" fillId="7" borderId="0" xfId="0" applyNumberFormat="1" applyFont="1" applyFill="1"/>
    <xf numFmtId="171" fontId="3" fillId="0" borderId="0" xfId="0" applyNumberFormat="1" applyFont="1"/>
    <xf numFmtId="172" fontId="3" fillId="6" borderId="0" xfId="0" applyNumberFormat="1" applyFont="1" applyFill="1" applyAlignment="1">
      <alignment horizontal="right" vertical="bottom" textRotation="0" indent="0" readingOrder="0"/>
    </xf>
    <xf numFmtId="172" fontId="3" fillId="3" borderId="0" xfId="0" applyNumberFormat="1" applyFont="1" applyFill="1" applyAlignment="1">
      <alignment horizontal="right" vertical="bottom" textRotation="0" indent="0" readingOrder="0"/>
    </xf>
    <xf numFmtId="167" fontId="3" fillId="6" borderId="0" xfId="0" applyNumberFormat="1" applyFont="1" applyFill="1" applyAlignment="1">
      <alignment horizontal="right" vertical="bottom" textRotation="0" indent="0" readingOrder="0"/>
    </xf>
    <xf numFmtId="167" fontId="3" fillId="3" borderId="0" xfId="0" applyNumberFormat="1" applyFont="1" applyFill="1" applyAlignment="1">
      <alignment horizontal="right" vertical="bottom" textRotation="0" indent="0" readingOrder="0"/>
    </xf>
    <xf numFmtId="170" fontId="3" fillId="6" borderId="0" xfId="0" applyNumberFormat="1" applyFont="1" applyFill="1" applyAlignment="1">
      <alignment horizontal="right" vertical="bottom" textRotation="0" indent="0" readingOrder="0"/>
    </xf>
    <xf numFmtId="170" fontId="3" fillId="3" borderId="0" xfId="0" applyNumberFormat="1" applyFont="1" applyFill="1" applyAlignment="1">
      <alignment horizontal="right" vertical="bottom" textRotation="0" indent="0" readingOrder="0"/>
    </xf>
    <xf numFmtId="166" fontId="3" fillId="3" borderId="0" xfId="0" applyNumberFormat="1" applyFont="1" applyFill="1" applyAlignment="1">
      <alignment horizontal="right" vertical="bottom" textRotation="0" indent="0" readingOrder="0"/>
    </xf>
    <xf numFmtId="164" fontId="8" fillId="0" borderId="4" xfId="0" applyNumberFormat="1" applyFont="1" applyBorder="1" applyAlignment="1">
      <alignment horizontal="left" vertical="bottom" textRotation="0" indent="0" readingOrder="0"/>
    </xf>
    <xf numFmtId="166" fontId="8" fillId="6" borderId="4" xfId="0" applyNumberFormat="1" applyFont="1" applyFill="1" applyBorder="1" applyAlignment="1">
      <alignment horizontal="right" vertical="bottom" textRotation="0" indent="0" readingOrder="0"/>
    </xf>
    <xf numFmtId="166" fontId="8" fillId="3" borderId="4" xfId="0" applyNumberFormat="1" applyFont="1" applyFill="1" applyBorder="1" applyAlignment="1">
      <alignment horizontal="right" vertical="bottom" textRotation="0" indent="0" readingOrder="0"/>
    </xf>
    <xf numFmtId="173" fontId="3" fillId="6" borderId="0" xfId="0" applyNumberFormat="1" applyFont="1" applyFill="1" applyAlignment="1">
      <alignment horizontal="right" vertical="bottom" textRotation="0" indent="0" readingOrder="0"/>
    </xf>
    <xf numFmtId="173" fontId="3" fillId="3" borderId="0" xfId="0" applyNumberFormat="1" applyFont="1" applyFill="1" applyAlignment="1">
      <alignment horizontal="right" vertical="bottom" textRotation="0" indent="0" readingOrder="0"/>
    </xf>
    <xf numFmtId="164" fontId="5" fillId="5" borderId="0" xfId="0" applyNumberFormat="1" applyFont="1" applyFill="1" applyAlignment="1">
      <alignment horizontal="general" vertical="center" textRotation="0" wrapText="1" indent="0" readingOrder="0"/>
    </xf>
    <xf numFmtId="164" fontId="3" fillId="0" borderId="0" xfId="0" applyNumberFormat="1" applyFont="1" applyAlignment="1">
      <alignment horizontal="general" vertical="center" textRotation="0" wrapText="1" indent="0" readingOrder="0"/>
    </xf>
    <xf numFmtId="164" fontId="6" fillId="7" borderId="0" xfId="0" applyNumberFormat="1" applyFont="1" applyFill="1" applyAlignment="1">
      <alignment horizontal="general" vertical="center" textRotation="0" wrapText="1" indent="0" readingOrder="0"/>
    </xf>
    <xf numFmtId="164" fontId="3" fillId="3" borderId="0" xfId="0" applyNumberFormat="1" applyFont="1" applyFill="1" applyAlignment="1">
      <alignment horizontal="left" vertical="bottom" textRotation="0" indent="0" readingOrder="0"/>
    </xf>
    <xf numFmtId="164" fontId="8" fillId="0" borderId="0" xfId="0" applyNumberFormat="1" applyFont="1" applyAlignment="1">
      <alignment horizontal="left" vertical="bottom" textRotation="0" indent="0" readingOrder="0"/>
    </xf>
    <xf numFmtId="164" fontId="10" fillId="0" borderId="4" xfId="0" applyNumberFormat="1" applyFont="1" applyBorder="1" applyAlignment="1">
      <alignment horizontal="left" vertical="bottom" textRotation="0" indent="0" readingOrder="0"/>
    </xf>
    <xf numFmtId="164" fontId="10" fillId="0" borderId="0" xfId="0" applyNumberFormat="1" applyFont="1" applyAlignment="1">
      <alignment horizontal="left" vertical="bottom" textRotation="0" indent="0" readingOrder="0"/>
    </xf>
    <xf numFmtId="164" fontId="10" fillId="7" borderId="0" xfId="0" applyNumberFormat="1" applyFont="1" applyFill="1" applyAlignment="1">
      <alignment horizontal="center" vertical="bottom" textRotation="0" indent="0" readingOrder="0"/>
    </xf>
    <xf numFmtId="167" fontId="11" fillId="3" borderId="0" xfId="0" applyNumberFormat="1" applyFont="1" applyFill="1" applyAlignment="1">
      <alignment horizontal="center" vertical="bottom" textRotation="0" indent="0" readingOrder="0"/>
    </xf>
    <xf numFmtId="167" fontId="7" fillId="7" borderId="0" xfId="0" applyNumberFormat="1" applyFont="1" applyFill="1" applyAlignment="1">
      <alignment horizontal="center" vertical="bottom" textRotation="0" indent="0" readingOrder="0"/>
    </xf>
    <xf numFmtId="173" fontId="11" fillId="3" borderId="0" xfId="0" applyNumberFormat="1" applyFont="1" applyFill="1" applyAlignment="1">
      <alignment horizontal="center" vertical="bottom" textRotation="0" indent="0" readingOrder="0"/>
    </xf>
    <xf numFmtId="173" fontId="7" fillId="7" borderId="0" xfId="0" applyNumberFormat="1" applyFont="1" applyFill="1" applyAlignment="1">
      <alignment horizontal="center" vertical="bottom" textRotation="0" indent="0" readingOrder="0"/>
    </xf>
    <xf numFmtId="164" fontId="12" fillId="0" borderId="0" xfId="0" applyNumberFormat="1" applyFont="1" applyAlignment="1">
      <alignment horizontal="center" vertical="bottom" textRotation="0" indent="0" readingOrder="0"/>
    </xf>
    <xf numFmtId="174" fontId="0" fillId="0" borderId="0" xfId="0" applyNumberFormat="1"/>
    <xf numFmtId="166" fontId="0" fillId="0" borderId="0" xfId="0" applyNumberFormat="1"/>
    <xf numFmtId="167" fontId="0" fillId="0" borderId="0" xfId="0" applyNumberFormat="1"/>
    <xf numFmtId="170" fontId="0" fillId="0" borderId="0" xfId="0" applyNumberFormat="1"/>
    <xf numFmtId="172" fontId="0" fillId="0" borderId="0" xfId="0" applyNumberFormat="1"/>
    <xf numFmtId="0" fontId="13" fillId="0" borderId="0" xfId="0" applyFont="1" applyFill="1" applyAlignment="1" applyProtection="1">
      <alignment vertical="top"/>
      <protection locked="1" hidden="0"/>
    </xf>
    <xf numFmtId="0" fontId="14" fillId="0" borderId="0" xfId="0" applyFont="1" applyFill="1" applyProtection="1">
      <protection locked="1" hidden="0"/>
    </xf>
    <xf numFmtId="175" fontId="13" fillId="0" borderId="0" xfId="0" applyNumberFormat="1" applyFont="1" applyFill="1" applyAlignment="1" applyProtection="1">
      <alignment vertical="top"/>
      <protection locked="1" hidden="0"/>
    </xf>
  </cellXfs>
  <cellStyles count="1">
    <cellStyle name="Normal" xfId="0" builtinId="0"/>
  </cellStyles>
  <dxfs count="4">
    <dxf>
      <font>
        <b/>
        <color rgb="FF0B1F3A"/>
      </font>
      <fill>
        <patternFill patternType="solid">
          <fgColor rgb="FFE2F0D9"/>
          <bgColor rgb="FFE2F0D9"/>
        </patternFill>
      </fill>
    </dxf>
    <dxf>
      <font>
        <b/>
        <color rgb="FF9C0006"/>
      </font>
      <fill>
        <patternFill patternType="solid">
          <fgColor rgb="FFFCE4D6"/>
          <bgColor rgb="FFFCE4D6"/>
        </patternFill>
      </fill>
    </dxf>
    <dxf>
      <font>
        <b/>
        <color rgb="FF0B1F3A"/>
      </font>
      <fill>
        <patternFill patternType="solid">
          <fgColor rgb="FFE2F0D9"/>
          <bgColor rgb="FFE2F0D9"/>
        </patternFill>
      </fill>
    </dxf>
    <dxf>
      <font>
        <b/>
        <color rgb="FF9C0006"/>
      </font>
      <fill>
        <patternFill patternType="solid">
          <fgColor rgb="FFFCE4D6"/>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CCCCCC"/>
      <rgbColor rgb="FF7F8C8D"/>
      <rgbColor rgb="FF9999FF"/>
      <rgbColor rgb="FF993366"/>
      <rgbColor rgb="FFFCE4D6"/>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7E6E6"/>
      <rgbColor rgb="FFE2F0D9"/>
      <rgbColor rgb="FFFFFF99"/>
      <rgbColor rgb="FF99CCFF"/>
      <rgbColor rgb="FFFF99CC"/>
      <rgbColor rgb="FFCC99FF"/>
      <rgbColor rgb="FFFFCC99"/>
      <rgbColor rgb="FF3366FF"/>
      <rgbColor rgb="FF33CCCC"/>
      <rgbColor rgb="FF99CC00"/>
      <rgbColor rgb="FFFFCC00"/>
      <rgbColor rgb="FFFF9900"/>
      <rgbColor rgb="FFE97132"/>
      <rgbColor rgb="FF666699"/>
      <rgbColor rgb="FF8B8B8B"/>
      <rgbColor rgb="FF17365D"/>
      <rgbColor rgb="FF339966"/>
      <rgbColor rgb="FF0B1F3A"/>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ea typeface="Calibri"/>
              </a:rPr>
              <a:t>Revenue and Adjusted EBITDA</a:t>
            </a:r>
          </a:p>
        </c:rich>
      </c:tx>
      <c:spPr>
        <a:noFill/>
        <a:ln w="0">
          <a:noFill/>
        </a:ln>
      </c:spPr>
      <c:txPr>
        <a:bodyPr rot="0"/>
        <a:p/>
      </c:txPr>
    </c:title>
    <c:autoTitleDeleted val="0"/>
    <c:plotArea>
      <c:layout/>
      <c:lineChart>
        <c:grouping val="standard"/>
        <c:varyColors val="0"/>
        <c:ser>
          <c:idx val="0"/>
          <c:order val="0"/>
          <c:tx>
            <c:v>Revenue</c:v>
          </c:tx>
          <c:spPr>
            <a:ln w="38160">
              <a:solidFill>
                <a:srgbClr val="156082"/>
              </a:solidFill>
            </a:ln>
          </c:spPr>
          <c:marker>
            <c:symbol val="none"/>
          </c:marker>
          <c:dLbls>
            <c:spPr>
              <a:noFill/>
              <a:ln>
                <a:noFill/>
              </a:ln>
            </c:spPr>
            <c:txPr>
              <a:bodyPr wrap="none"/>
              <a:lstStyle/>
              <a:p>
                <a:pPr>
                  <a:defRPr sz="1000" b="0" u="none" strike="noStrike">
                    <a:uFillTx/>
                    <a:latin typeface="Arial"/>
                  </a:defRPr>
                </a:pPr>
                <a:endParaRPr lang="en-PA"/>
              </a:p>
            </c:txPr>
            <c:showBubbleSize val="1"/>
            <c:separator> </c:separator>
            <c:showLeaderLines val="0"/>
          </c:dLbls>
          <c:cat>
            <c:strRef>
              <c:f>Sector_KPIs!$A$28:$A$33</c:f>
              <c:strCache>
                <c:ptCount val="6"/>
                <c:pt idx="0">
                  <c:v>2025A</c:v>
                </c:pt>
                <c:pt idx="1">
                  <c:v>2026E</c:v>
                </c:pt>
                <c:pt idx="2">
                  <c:v>2027E</c:v>
                </c:pt>
                <c:pt idx="3">
                  <c:v>2028E</c:v>
                </c:pt>
                <c:pt idx="4">
                  <c:v>2029E</c:v>
                </c:pt>
                <c:pt idx="5">
                  <c:v>2030E</c:v>
                </c:pt>
              </c:strCache>
            </c:strRef>
          </c:cat>
          <c:val>
            <c:numRef>
              <c:f>Sector_KPIs!$B$28:$B$33</c:f>
              <c:numCache>
                <c:formatCode>General</c:formatCode>
                <c:ptCount val="6"/>
                <c:pt idx="0">
                  <c:v>88309</c:v>
                </c:pt>
                <c:pt idx="1">
                  <c:v>89323.2792250142</c:v>
                </c:pt>
                <c:pt idx="2">
                  <c:v>92499.5705618012</c:v>
                </c:pt>
                <c:pt idx="3">
                  <c:v>95805.9378591128</c:v>
                </c:pt>
                <c:pt idx="4">
                  <c:v>99247.9578700054</c:v>
                </c:pt>
                <c:pt idx="5">
                  <c:v>102831.449958281</c:v>
                </c:pt>
              </c:numCache>
            </c:numRef>
          </c:val>
          <c:smooth val="1"/>
        </c:ser>
        <c:ser>
          <c:idx val="1"/>
          <c:order val="1"/>
          <c:tx>
            <c:v>Adj. EBITDA</c:v>
          </c:tx>
          <c:spPr>
            <a:ln w="38160">
              <a:solidFill>
                <a:srgbClr val="E97132"/>
              </a:solidFill>
            </a:ln>
          </c:spPr>
          <c:marker>
            <c:symbol val="none"/>
          </c:marker>
          <c:dLbls>
            <c:spPr>
              <a:noFill/>
              <a:ln>
                <a:noFill/>
              </a:ln>
            </c:spPr>
            <c:txPr>
              <a:bodyPr wrap="none"/>
              <a:lstStyle/>
              <a:p>
                <a:pPr>
                  <a:defRPr sz="1000" b="0" u="none" strike="noStrike">
                    <a:uFillTx/>
                    <a:latin typeface="Arial"/>
                  </a:defRPr>
                </a:pPr>
                <a:endParaRPr lang="en-PA"/>
              </a:p>
            </c:txPr>
            <c:showBubbleSize val="1"/>
            <c:separator> </c:separator>
            <c:showLeaderLines val="0"/>
          </c:dLbls>
          <c:cat>
            <c:strRef>
              <c:f>Sector_KPIs!$A$28:$A$33</c:f>
              <c:strCache>
                <c:ptCount val="6"/>
                <c:pt idx="0">
                  <c:v>2025A</c:v>
                </c:pt>
                <c:pt idx="1">
                  <c:v>2026E</c:v>
                </c:pt>
                <c:pt idx="2">
                  <c:v>2027E</c:v>
                </c:pt>
                <c:pt idx="3">
                  <c:v>2028E</c:v>
                </c:pt>
                <c:pt idx="4">
                  <c:v>2029E</c:v>
                </c:pt>
                <c:pt idx="5">
                  <c:v>2030E</c:v>
                </c:pt>
              </c:strCache>
            </c:strRef>
          </c:cat>
          <c:val>
            <c:numRef>
              <c:f>Sector_KPIs!$C$28:$C$33</c:f>
              <c:numCache>
                <c:formatCode>General</c:formatCode>
                <c:ptCount val="6"/>
                <c:pt idx="0">
                  <c:v>33937</c:v>
                </c:pt>
                <c:pt idx="1">
                  <c:v>35143.585268858</c:v>
                </c:pt>
                <c:pt idx="2">
                  <c:v>36393.2736636595</c:v>
                </c:pt>
                <c:pt idx="3">
                  <c:v>37694.1394855526</c:v>
                </c:pt>
                <c:pt idx="4">
                  <c:v>39048.3768668874</c:v>
                </c:pt>
                <c:pt idx="5">
                  <c:v>40458.2753934219</c:v>
                </c:pt>
              </c:numCache>
            </c:numRef>
          </c:val>
          <c:smooth val="1"/>
        </c:ser>
        <c:dLbls/>
        <c:hiLowLines>
          <c:spPr>
            <a:ln w="0">
              <a:noFill/>
            </a:ln>
          </c:spPr>
        </c:hiLowLines>
        <c:marker val="0"/>
        <c:smooth val="0"/>
        <c:axId val="98629984"/>
        <c:axId val="10046535"/>
      </c:lineChart>
      <c:catAx>
        <c:axId val="98629984"/>
        <c:scaling>
          <c:orientation val="minMax"/>
        </c:scaling>
        <c:delete val="0"/>
        <c:axPos val="b"/>
        <c:majorGridlines>
          <c:spPr>
            <a:ln w="9360">
              <a:solidFill>
                <a:srgbClr val="CCCCCC"/>
              </a:solidFill>
              <a:prstDash val="dash"/>
            </a:ln>
          </c:spPr>
        </c:majorGridlines>
        <c:numFmt formatCode="General" sourceLinked="0"/>
        <c:majorTickMark val="none"/>
        <c:minorTickMark val="none"/>
        <c:tickLblPos val="nextTo"/>
        <c:spPr>
          <a:ln w="12599">
            <a:solidFill>
              <a:srgbClr val="8B8B8B"/>
            </a:solidFill>
          </a:ln>
        </c:spPr>
        <c:txPr>
          <a:bodyPr/>
          <a:lstStyle/>
          <a:p>
            <a:pPr>
              <a:defRPr sz="1000" b="0" u="none" strike="noStrike">
                <a:solidFill>
                  <a:srgbClr val="000000"/>
                </a:solidFill>
                <a:uFillTx/>
                <a:latin typeface="Calibri"/>
                <a:ea typeface="Calibri"/>
              </a:defRPr>
            </a:pPr>
            <a:endParaRPr lang="en-PA"/>
          </a:p>
        </c:txPr>
        <c:crossAx val="10046535"/>
        <c:crosses val="autoZero"/>
        <c:auto val="1"/>
        <c:lblAlgn val="ctr"/>
        <c:lblOffset val="100"/>
        <c:noMultiLvlLbl val="0"/>
      </c:catAx>
      <c:valAx>
        <c:axId val="10046535"/>
        <c:scaling>
          <c:orientation val="minMax"/>
        </c:scaling>
        <c:delete val="0"/>
        <c:axPos val="l"/>
        <c:majorGridlines>
          <c:spPr>
            <a:ln w="9360">
              <a:solidFill>
                <a:srgbClr val="CCCCCC"/>
              </a:solidFill>
              <a:prstDash val="dash"/>
            </a:ln>
          </c:spPr>
        </c:majorGridlines>
        <c:numFmt formatCode="General" sourceLinked="0"/>
        <c:majorTickMark val="none"/>
        <c:minorTickMark val="none"/>
        <c:tickLblPos val="nextTo"/>
        <c:spPr>
          <a:ln w="12599">
            <a:solidFill>
              <a:srgbClr val="8B8B8B"/>
            </a:solidFill>
          </a:ln>
        </c:spPr>
        <c:txPr>
          <a:bodyPr/>
          <a:lstStyle/>
          <a:p>
            <a:pPr>
              <a:defRPr sz="1000" b="0" u="none" strike="noStrike">
                <a:solidFill>
                  <a:srgbClr val="000000"/>
                </a:solidFill>
                <a:uFillTx/>
                <a:latin typeface="Calibri"/>
                <a:ea typeface="Calibri"/>
              </a:defRPr>
            </a:pPr>
            <a:endParaRPr lang="en-PA"/>
          </a:p>
        </c:txPr>
        <c:crossAx val="98629984"/>
        <c:crosses val="autoZero"/>
        <c:crossBetween val="between"/>
      </c:valAx>
      <c:spPr>
        <a:ln w="0">
          <a:noFill/>
        </a:ln>
      </c:spPr>
    </c:plotArea>
    <c:legend>
      <c:legendPos val="b"/>
      <c:overlay val="0"/>
      <c:spPr>
        <a:noFill/>
        <a:ln w="0">
          <a:noFill/>
        </a:ln>
      </c:spPr>
      <c:txPr>
        <a:bodyPr/>
        <a:lstStyle/>
        <a:p>
          <a:pPr>
            <a:defRPr sz="1000" b="0" u="none" strike="noStrike">
              <a:solidFill>
                <a:srgbClr val="000000"/>
              </a:solidFill>
              <a:uFillTx/>
              <a:latin typeface="Calibri"/>
              <a:ea typeface="Calibri"/>
            </a:defRPr>
          </a:pPr>
          <a:endParaRPr lang="en-PA"/>
        </a:p>
      </c:txPr>
    </c:legend>
    <c:plotVisOnly val="1"/>
    <c:dispBlanksAs val="zero"/>
    <c:showDLblsOverMax val="1"/>
  </c:chart>
  <c:spPr>
    <a:ln w="9360">
      <a:solidFill>
        <a:srgbClr val="D9D9D9"/>
      </a:solidFill>
    </a:ln>
  </c:spPr>
  <c:printSettings>
    <c:headerFooter/>
    <c:pageMargins b="0.75" l="0.69999999999999996" r="0.69999999999999996" t="0.75" header="0.29999999999999999" footer="0.29999999999999999"/>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26</xdr:row>
      <xdr:rowOff>0</xdr:rowOff>
    </xdr:from>
    <xdr:to>
      <xdr:col>9</xdr:col>
      <xdr:colOff>915840</xdr:colOff>
      <xdr:row>41</xdr:row>
      <xdr:rowOff>190080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showGridLines="0" zoomScaleNormal="100" workbookViewId="0">
      <selection activeCell="B14" sqref="B14:H14"/>
    </sheetView>
  </sheetViews>
  <sheetFormatPr baseColWidth="10" defaultColWidth="8.6640625" defaultRowHeight="13" x14ac:dyDescent="0.15"/>
  <cols>
    <col min="1" max="1" width="28" customWidth="1"/>
    <col min="2" max="2" width="19" customWidth="1"/>
    <col min="3" max="8" width="16" customWidth="1"/>
  </cols>
  <sheetData>
    <row r="1" spans="1:8" ht="21" x14ac:dyDescent="0.15">
      <c r="A1" s="5" t="s">
        <v>0</v>
      </c>
      <c r="B1" s="5" t="s">
        <v>0</v>
      </c>
      <c r="C1" s="5" t="s">
        <v>0</v>
      </c>
      <c r="D1" s="5" t="s">
        <v>0</v>
      </c>
      <c r="E1" s="5" t="s">
        <v>0</v>
      </c>
      <c r="F1" s="5" t="s">
        <v>0</v>
      </c>
      <c r="G1" s="5" t="s">
        <v>0</v>
      </c>
      <c r="H1" s="5" t="s">
        <v>0</v>
      </c>
    </row>
    <row r="2" spans="1:8">
      <c r="A2" s="4" t="s">
        <v>1</v>
      </c>
      <c r="B2" s="4" t="s">
        <v>1</v>
      </c>
      <c r="C2" s="4" t="s">
        <v>1</v>
      </c>
      <c r="D2" s="4" t="s">
        <v>1</v>
      </c>
      <c r="E2" s="4" t="s">
        <v>1</v>
      </c>
      <c r="F2" s="4" t="s">
        <v>1</v>
      </c>
      <c r="G2" s="4" t="s">
        <v>1</v>
      </c>
      <c r="H2" s="4" t="s">
        <v>1</v>
      </c>
    </row>
    <row r="4" spans="1:8" ht="16" x14ac:dyDescent="0.15">
      <c r="A4" s="47" t="s">
        <v>2</v>
      </c>
      <c r="B4" s="48" t="s">
        <v>3</v>
      </c>
      <c r="C4" s="48"/>
      <c r="D4" s="48"/>
      <c r="E4" s="48"/>
      <c r="F4" s="48"/>
      <c r="G4" s="48"/>
      <c r="H4" s="48"/>
    </row>
    <row r="5" spans="1:8" ht="16" x14ac:dyDescent="0.15">
      <c r="A5" s="47" t="s">
        <v>4</v>
      </c>
      <c r="B5" s="48" t="s">
        <v>5</v>
      </c>
      <c r="C5" s="48"/>
      <c r="D5" s="48"/>
      <c r="E5" s="48"/>
      <c r="F5" s="48"/>
      <c r="G5" s="48"/>
      <c r="H5" s="48"/>
    </row>
    <row r="6" spans="1:8" ht="16" x14ac:dyDescent="0.15">
      <c r="A6" s="47" t="s">
        <v>6</v>
      </c>
      <c r="B6" s="48" t="s">
        <v>7</v>
      </c>
      <c r="C6" s="48"/>
      <c r="D6" s="48"/>
      <c r="E6" s="48"/>
      <c r="F6" s="48"/>
      <c r="G6" s="48"/>
      <c r="H6" s="48"/>
    </row>
    <row r="7" spans="1:8" ht="16" x14ac:dyDescent="0.15">
      <c r="A7" s="47" t="s">
        <v>8</v>
      </c>
      <c r="B7" s="48" t="s">
        <v>9</v>
      </c>
      <c r="C7" s="48"/>
      <c r="D7" s="48"/>
      <c r="E7" s="48"/>
      <c r="F7" s="48"/>
      <c r="G7" s="48"/>
      <c r="H7" s="48"/>
    </row>
    <row r="8" spans="1:8" ht="16" x14ac:dyDescent="0.15">
      <c r="A8" s="47" t="s">
        <v>10</v>
      </c>
      <c r="B8" s="48" t="s">
        <v>11</v>
      </c>
      <c r="C8" s="48"/>
      <c r="D8" s="48"/>
      <c r="E8" s="48"/>
      <c r="F8" s="48"/>
      <c r="G8" s="48"/>
      <c r="H8" s="48"/>
    </row>
    <row r="9" spans="1:8" ht="16" x14ac:dyDescent="0.15">
      <c r="A9" s="47" t="s">
        <v>12</v>
      </c>
      <c r="B9" s="48" t="str">
        <f>Assumptions!B4</f>
        <v>Base</v>
      </c>
      <c r="C9" s="48"/>
      <c r="D9" s="48"/>
      <c r="E9" s="48"/>
      <c r="F9" s="48"/>
      <c r="G9" s="48"/>
      <c r="H9" s="48"/>
    </row>
    <row r="10" spans="1:8" ht="16" x14ac:dyDescent="0.15">
      <c r="A10" s="47" t="s">
        <v>13</v>
      </c>
      <c r="B10" s="49" t="str">
        <f>Checks!B4</f>
        <v>PASS</v>
      </c>
      <c r="C10" s="49"/>
      <c r="D10" s="49"/>
      <c r="E10" s="49"/>
      <c r="F10" s="49"/>
      <c r="G10" s="49"/>
      <c r="H10" s="49"/>
    </row>
    <row r="11" spans="1:8" ht="16" x14ac:dyDescent="0.15">
      <c r="A11" s="47" t="s">
        <v>14</v>
      </c>
      <c r="B11" s="48" t="s">
        <v>15</v>
      </c>
      <c r="C11" s="48"/>
      <c r="D11" s="48"/>
      <c r="E11" s="48"/>
      <c r="F11" s="48"/>
      <c r="G11" s="48"/>
      <c r="H11" s="48"/>
    </row>
    <row r="12" spans="1:8" ht="16" x14ac:dyDescent="0.15">
      <c r="A12" s="47" t="s">
        <v>16</v>
      </c>
      <c r="B12" s="48" t="s">
        <v>17</v>
      </c>
      <c r="C12" s="48"/>
      <c r="D12" s="48"/>
      <c r="E12" s="48"/>
      <c r="F12" s="48"/>
      <c r="G12" s="48"/>
      <c r="H12" s="48"/>
    </row>
    <row r="13" spans="1:8" ht="16" x14ac:dyDescent="0.15">
      <c r="A13" s="47" t="s">
        <v>18</v>
      </c>
      <c r="B13" s="48" t="s">
        <v>19</v>
      </c>
      <c r="C13" s="48"/>
      <c r="D13" s="48"/>
      <c r="E13" s="48"/>
      <c r="F13" s="48"/>
      <c r="G13" s="48"/>
      <c r="H13" s="48"/>
    </row>
    <row r="14" spans="1:8" ht="16" x14ac:dyDescent="0.15">
      <c r="A14" s="47" t="s">
        <v>20</v>
      </c>
      <c r="B14" s="48" t="s">
        <v>21</v>
      </c>
      <c r="C14" s="48"/>
      <c r="D14" s="48"/>
      <c r="E14" s="48"/>
      <c r="F14" s="48"/>
      <c r="G14" s="48"/>
      <c r="H14" s="48"/>
    </row>
    <row r="15" spans="1:8" ht="36" customHeight="1" x14ac:dyDescent="0.15">
      <c r="A15" s="47" t="s">
        <v>22</v>
      </c>
      <c r="B15" s="48" t="s">
        <v>23</v>
      </c>
      <c r="C15" s="48"/>
      <c r="D15" s="48"/>
      <c r="E15" s="48"/>
      <c r="F15" s="48"/>
      <c r="G15" s="48"/>
      <c r="H15" s="48"/>
    </row>
    <row r="16" spans="1:8" ht="36" customHeight="1" x14ac:dyDescent="0.15">
      <c r="A16" s="47" t="s">
        <v>24</v>
      </c>
      <c r="B16" s="48" t="s">
        <v>25</v>
      </c>
      <c r="C16" s="48"/>
      <c r="D16" s="48"/>
      <c r="E16" s="48"/>
      <c r="F16" s="48"/>
      <c r="G16" s="48"/>
      <c r="H16" s="48"/>
    </row>
    <row r="19" spans="1:8" ht="14" x14ac:dyDescent="0.2">
      <c r="A19" s="2" t="s">
        <v>26</v>
      </c>
      <c r="B19" s="2" t="s">
        <v>26</v>
      </c>
      <c r="C19" s="2" t="s">
        <v>26</v>
      </c>
      <c r="D19" s="2" t="s">
        <v>26</v>
      </c>
      <c r="E19" s="2" t="s">
        <v>26</v>
      </c>
      <c r="F19" s="2" t="s">
        <v>26</v>
      </c>
      <c r="G19" s="2" t="s">
        <v>26</v>
      </c>
      <c r="H19" s="2" t="s">
        <v>26</v>
      </c>
    </row>
  </sheetData>
  <mergeCells count="16">
    <mergeCell ref="A19:H19"/>
    <mergeCell ref="B12:H12"/>
    <mergeCell ref="B13:H13"/>
    <mergeCell ref="B14:H14"/>
    <mergeCell ref="B15:H15"/>
    <mergeCell ref="B16:H16"/>
    <mergeCell ref="B7:H7"/>
    <mergeCell ref="B8:H8"/>
    <mergeCell ref="B9:H9"/>
    <mergeCell ref="B10:H10"/>
    <mergeCell ref="B11:H11"/>
    <mergeCell ref="A1:H1"/>
    <mergeCell ref="A2:H2"/>
    <mergeCell ref="B4:H4"/>
    <mergeCell ref="B5:H5"/>
    <mergeCell ref="B6:H6"/>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2"/>
  <sheetViews>
    <sheetView showGridLines="0" zoomScaleNormal="100" workbookViewId="0">
      <selection activeCell="A5" sqref="A5"/>
    </sheetView>
  </sheetViews>
  <sheetFormatPr baseColWidth="10" defaultColWidth="8.6640625" defaultRowHeight="13" x14ac:dyDescent="0.15"/>
  <cols>
    <col min="1" max="1" width="13" customWidth="1"/>
    <col min="2" max="2" width="28" customWidth="1"/>
    <col min="3" max="3" width="34" customWidth="1"/>
    <col min="4" max="4" width="20" customWidth="1"/>
    <col min="5" max="5" width="16" customWidth="1"/>
    <col min="6" max="6" width="14" customWidth="1"/>
    <col min="7" max="7" width="18" customWidth="1"/>
    <col min="8" max="8" width="40" customWidth="1"/>
    <col min="9" max="9" width="11" customWidth="1"/>
    <col min="10" max="10" width="14" customWidth="1"/>
    <col min="11" max="11" width="24" customWidth="1"/>
    <col min="12" max="12" width="34" customWidth="1"/>
    <col min="13" max="13" width="28" customWidth="1"/>
    <col min="14" max="14" width="14" customWidth="1"/>
    <col min="15" max="15" width="56" customWidth="1"/>
    <col min="16" max="16" width="42" customWidth="1"/>
    <col min="17" max="17" width="58" customWidth="1"/>
  </cols>
  <sheetData>
    <row r="1" spans="1:17" ht="26" customHeight="1" x14ac:dyDescent="0.15">
      <c r="A1" s="5" t="s">
        <v>27</v>
      </c>
      <c r="B1" s="5" t="s">
        <v>27</v>
      </c>
      <c r="C1" s="5" t="s">
        <v>27</v>
      </c>
      <c r="D1" s="5" t="s">
        <v>27</v>
      </c>
      <c r="E1" s="5" t="s">
        <v>27</v>
      </c>
      <c r="F1" s="5" t="s">
        <v>27</v>
      </c>
      <c r="G1" s="5" t="s">
        <v>27</v>
      </c>
      <c r="H1" s="5" t="s">
        <v>27</v>
      </c>
      <c r="I1" s="5" t="s">
        <v>27</v>
      </c>
      <c r="J1" s="5" t="s">
        <v>27</v>
      </c>
      <c r="K1" s="5" t="s">
        <v>27</v>
      </c>
      <c r="L1" s="5" t="s">
        <v>27</v>
      </c>
      <c r="M1" s="5" t="s">
        <v>27</v>
      </c>
      <c r="N1" s="5" t="s">
        <v>27</v>
      </c>
      <c r="O1" s="5" t="s">
        <v>27</v>
      </c>
      <c r="P1" s="5" t="s">
        <v>27</v>
      </c>
      <c r="Q1" s="5" t="s">
        <v>27</v>
      </c>
    </row>
    <row r="2" spans="1:17" ht="30" customHeight="1" x14ac:dyDescent="0.15">
      <c r="A2" s="4" t="s">
        <v>28</v>
      </c>
      <c r="B2" s="4" t="s">
        <v>28</v>
      </c>
      <c r="C2" s="4" t="s">
        <v>28</v>
      </c>
      <c r="D2" s="4" t="s">
        <v>28</v>
      </c>
      <c r="E2" s="4" t="s">
        <v>28</v>
      </c>
      <c r="F2" s="4" t="s">
        <v>28</v>
      </c>
      <c r="G2" s="4" t="s">
        <v>28</v>
      </c>
      <c r="H2" s="4" t="s">
        <v>28</v>
      </c>
      <c r="I2" s="4" t="s">
        <v>28</v>
      </c>
      <c r="J2" s="4" t="s">
        <v>28</v>
      </c>
      <c r="K2" s="4" t="s">
        <v>28</v>
      </c>
      <c r="L2" s="4" t="s">
        <v>28</v>
      </c>
      <c r="M2" s="4" t="s">
        <v>28</v>
      </c>
      <c r="N2" s="4" t="s">
        <v>28</v>
      </c>
      <c r="O2" s="4" t="s">
        <v>28</v>
      </c>
      <c r="P2" s="4" t="s">
        <v>28</v>
      </c>
      <c r="Q2" s="4" t="s">
        <v>28</v>
      </c>
    </row>
    <row r="4" spans="1:17" ht="16" x14ac:dyDescent="0.15">
      <c r="A4" s="7" t="s">
        <v>29</v>
      </c>
      <c r="B4" s="8" t="s">
        <v>30</v>
      </c>
      <c r="C4" s="8" t="s">
        <v>31</v>
      </c>
      <c r="D4" s="8" t="s">
        <v>32</v>
      </c>
      <c r="E4" s="8" t="s">
        <v>33</v>
      </c>
      <c r="F4" s="8" t="s">
        <v>34</v>
      </c>
      <c r="G4" s="8" t="s">
        <v>35</v>
      </c>
      <c r="H4" s="8" t="s">
        <v>36</v>
      </c>
      <c r="I4" s="8" t="s">
        <v>37</v>
      </c>
      <c r="J4" s="8" t="s">
        <v>38</v>
      </c>
      <c r="K4" s="8" t="s">
        <v>39</v>
      </c>
      <c r="L4" s="8" t="s">
        <v>40</v>
      </c>
      <c r="M4" s="8" t="s">
        <v>41</v>
      </c>
      <c r="N4" s="8" t="s">
        <v>42</v>
      </c>
      <c r="O4" s="8" t="s">
        <v>43</v>
      </c>
      <c r="P4" s="8" t="s">
        <v>44</v>
      </c>
      <c r="Q4" s="9" t="s">
        <v>45</v>
      </c>
    </row>
    <row r="5" spans="1:17" ht="48" x14ac:dyDescent="0.2">
      <c r="A5" s="10" t="s">
        <v>46</v>
      </c>
      <c r="B5" s="6" t="s">
        <v>47</v>
      </c>
      <c r="C5" s="6" t="s">
        <v>48</v>
      </c>
      <c r="D5" s="11">
        <v>78558</v>
      </c>
      <c r="E5" s="6" t="s">
        <v>49</v>
      </c>
      <c r="F5" s="6" t="s">
        <v>50</v>
      </c>
      <c r="G5" s="6" t="s">
        <v>51</v>
      </c>
      <c r="H5" s="6" t="s">
        <v>52</v>
      </c>
      <c r="I5" s="6" t="s">
        <v>53</v>
      </c>
      <c r="J5" s="6" t="s">
        <v>54</v>
      </c>
      <c r="K5" s="6" t="s">
        <v>55</v>
      </c>
      <c r="L5" s="6" t="s">
        <v>56</v>
      </c>
      <c r="M5" s="6" t="s">
        <v>57</v>
      </c>
      <c r="N5" s="6" t="s">
        <v>58</v>
      </c>
      <c r="O5" s="12" t="s">
        <v>59</v>
      </c>
      <c r="P5" s="6" t="s">
        <v>60</v>
      </c>
      <c r="Q5" s="6" t="s">
        <v>23</v>
      </c>
    </row>
    <row r="6" spans="1:17" ht="48" x14ac:dyDescent="0.2">
      <c r="A6" s="10" t="s">
        <v>61</v>
      </c>
      <c r="B6" s="6" t="s">
        <v>62</v>
      </c>
      <c r="C6" s="6" t="s">
        <v>48</v>
      </c>
      <c r="D6" s="11">
        <v>81400</v>
      </c>
      <c r="E6" s="6" t="s">
        <v>49</v>
      </c>
      <c r="F6" s="6" t="s">
        <v>63</v>
      </c>
      <c r="G6" s="6" t="s">
        <v>64</v>
      </c>
      <c r="H6" s="6" t="s">
        <v>52</v>
      </c>
      <c r="I6" s="6" t="s">
        <v>53</v>
      </c>
      <c r="J6" s="6" t="s">
        <v>54</v>
      </c>
      <c r="K6" s="6" t="s">
        <v>55</v>
      </c>
      <c r="L6" s="6" t="s">
        <v>56</v>
      </c>
      <c r="M6" s="6" t="s">
        <v>57</v>
      </c>
      <c r="N6" s="6" t="s">
        <v>58</v>
      </c>
      <c r="O6" s="12" t="s">
        <v>59</v>
      </c>
      <c r="P6" s="6" t="s">
        <v>60</v>
      </c>
      <c r="Q6" s="6" t="s">
        <v>23</v>
      </c>
    </row>
    <row r="7" spans="1:17" ht="48" x14ac:dyDescent="0.2">
      <c r="A7" s="10" t="s">
        <v>65</v>
      </c>
      <c r="B7" s="6" t="s">
        <v>66</v>
      </c>
      <c r="C7" s="6" t="s">
        <v>48</v>
      </c>
      <c r="D7" s="11">
        <v>88309</v>
      </c>
      <c r="E7" s="6" t="s">
        <v>49</v>
      </c>
      <c r="F7" s="6" t="s">
        <v>67</v>
      </c>
      <c r="G7" s="6" t="s">
        <v>7</v>
      </c>
      <c r="H7" s="6" t="s">
        <v>52</v>
      </c>
      <c r="I7" s="6" t="s">
        <v>53</v>
      </c>
      <c r="J7" s="6" t="s">
        <v>54</v>
      </c>
      <c r="K7" s="6" t="s">
        <v>55</v>
      </c>
      <c r="L7" s="6" t="s">
        <v>56</v>
      </c>
      <c r="M7" s="6" t="s">
        <v>57</v>
      </c>
      <c r="N7" s="6" t="s">
        <v>58</v>
      </c>
      <c r="O7" s="12" t="s">
        <v>59</v>
      </c>
      <c r="P7" s="6" t="s">
        <v>60</v>
      </c>
      <c r="Q7" s="6" t="s">
        <v>23</v>
      </c>
    </row>
    <row r="8" spans="1:17" ht="48" x14ac:dyDescent="0.2">
      <c r="A8" s="10" t="s">
        <v>68</v>
      </c>
      <c r="B8" s="6" t="s">
        <v>69</v>
      </c>
      <c r="C8" s="6" t="s">
        <v>70</v>
      </c>
      <c r="D8" s="11">
        <v>14266</v>
      </c>
      <c r="E8" s="6" t="s">
        <v>49</v>
      </c>
      <c r="F8" s="6" t="s">
        <v>50</v>
      </c>
      <c r="G8" s="6" t="s">
        <v>51</v>
      </c>
      <c r="H8" s="6" t="s">
        <v>71</v>
      </c>
      <c r="I8" s="6" t="s">
        <v>53</v>
      </c>
      <c r="J8" s="6" t="s">
        <v>54</v>
      </c>
      <c r="K8" s="6" t="s">
        <v>55</v>
      </c>
      <c r="L8" s="6" t="s">
        <v>56</v>
      </c>
      <c r="M8" s="6" t="s">
        <v>57</v>
      </c>
      <c r="N8" s="6" t="s">
        <v>58</v>
      </c>
      <c r="O8" s="12" t="s">
        <v>59</v>
      </c>
      <c r="P8" s="6" t="s">
        <v>60</v>
      </c>
      <c r="Q8" s="6" t="s">
        <v>23</v>
      </c>
    </row>
    <row r="9" spans="1:17" ht="48" x14ac:dyDescent="0.2">
      <c r="A9" s="10" t="s">
        <v>72</v>
      </c>
      <c r="B9" s="6" t="s">
        <v>73</v>
      </c>
      <c r="C9" s="6" t="s">
        <v>70</v>
      </c>
      <c r="D9" s="11">
        <v>18010</v>
      </c>
      <c r="E9" s="6" t="s">
        <v>49</v>
      </c>
      <c r="F9" s="6" t="s">
        <v>63</v>
      </c>
      <c r="G9" s="6" t="s">
        <v>64</v>
      </c>
      <c r="H9" s="6" t="s">
        <v>71</v>
      </c>
      <c r="I9" s="6" t="s">
        <v>53</v>
      </c>
      <c r="J9" s="6" t="s">
        <v>54</v>
      </c>
      <c r="K9" s="6" t="s">
        <v>55</v>
      </c>
      <c r="L9" s="6" t="s">
        <v>56</v>
      </c>
      <c r="M9" s="6" t="s">
        <v>57</v>
      </c>
      <c r="N9" s="6" t="s">
        <v>58</v>
      </c>
      <c r="O9" s="12" t="s">
        <v>59</v>
      </c>
      <c r="P9" s="6" t="s">
        <v>60</v>
      </c>
      <c r="Q9" s="6" t="s">
        <v>23</v>
      </c>
    </row>
    <row r="10" spans="1:17" ht="48" x14ac:dyDescent="0.2">
      <c r="A10" s="10" t="s">
        <v>74</v>
      </c>
      <c r="B10" s="6" t="s">
        <v>75</v>
      </c>
      <c r="C10" s="6" t="s">
        <v>70</v>
      </c>
      <c r="D10" s="11">
        <v>18279</v>
      </c>
      <c r="E10" s="6" t="s">
        <v>49</v>
      </c>
      <c r="F10" s="6" t="s">
        <v>67</v>
      </c>
      <c r="G10" s="6" t="s">
        <v>7</v>
      </c>
      <c r="H10" s="6" t="s">
        <v>71</v>
      </c>
      <c r="I10" s="6" t="s">
        <v>53</v>
      </c>
      <c r="J10" s="6" t="s">
        <v>54</v>
      </c>
      <c r="K10" s="6" t="s">
        <v>55</v>
      </c>
      <c r="L10" s="6" t="s">
        <v>56</v>
      </c>
      <c r="M10" s="6" t="s">
        <v>57</v>
      </c>
      <c r="N10" s="6" t="s">
        <v>58</v>
      </c>
      <c r="O10" s="12" t="s">
        <v>59</v>
      </c>
      <c r="P10" s="6" t="s">
        <v>60</v>
      </c>
      <c r="Q10" s="6" t="s">
        <v>23</v>
      </c>
    </row>
    <row r="11" spans="1:17" ht="48" x14ac:dyDescent="0.2">
      <c r="A11" s="10" t="s">
        <v>76</v>
      </c>
      <c r="B11" s="6" t="s">
        <v>77</v>
      </c>
      <c r="C11" s="6" t="s">
        <v>78</v>
      </c>
      <c r="D11" s="11">
        <v>8317</v>
      </c>
      <c r="E11" s="6" t="s">
        <v>49</v>
      </c>
      <c r="F11" s="6" t="s">
        <v>50</v>
      </c>
      <c r="G11" s="6" t="s">
        <v>51</v>
      </c>
      <c r="H11" s="6" t="s">
        <v>79</v>
      </c>
      <c r="I11" s="6" t="s">
        <v>53</v>
      </c>
      <c r="J11" s="6" t="s">
        <v>54</v>
      </c>
      <c r="K11" s="6" t="s">
        <v>55</v>
      </c>
      <c r="L11" s="6" t="s">
        <v>56</v>
      </c>
      <c r="M11" s="6" t="s">
        <v>57</v>
      </c>
      <c r="N11" s="6" t="s">
        <v>58</v>
      </c>
      <c r="O11" s="12" t="s">
        <v>59</v>
      </c>
      <c r="P11" s="6" t="s">
        <v>60</v>
      </c>
      <c r="Q11" s="6" t="s">
        <v>23</v>
      </c>
    </row>
    <row r="12" spans="1:17" ht="48" x14ac:dyDescent="0.2">
      <c r="A12" s="10" t="s">
        <v>80</v>
      </c>
      <c r="B12" s="6" t="s">
        <v>81</v>
      </c>
      <c r="C12" s="6" t="s">
        <v>78</v>
      </c>
      <c r="D12" s="11">
        <v>11339</v>
      </c>
      <c r="E12" s="6" t="s">
        <v>49</v>
      </c>
      <c r="F12" s="6" t="s">
        <v>63</v>
      </c>
      <c r="G12" s="6" t="s">
        <v>64</v>
      </c>
      <c r="H12" s="6" t="s">
        <v>79</v>
      </c>
      <c r="I12" s="6" t="s">
        <v>53</v>
      </c>
      <c r="J12" s="6" t="s">
        <v>54</v>
      </c>
      <c r="K12" s="6" t="s">
        <v>55</v>
      </c>
      <c r="L12" s="6" t="s">
        <v>56</v>
      </c>
      <c r="M12" s="6" t="s">
        <v>57</v>
      </c>
      <c r="N12" s="6" t="s">
        <v>58</v>
      </c>
      <c r="O12" s="12" t="s">
        <v>59</v>
      </c>
      <c r="P12" s="6" t="s">
        <v>60</v>
      </c>
      <c r="Q12" s="6" t="s">
        <v>23</v>
      </c>
    </row>
    <row r="13" spans="1:17" ht="48" x14ac:dyDescent="0.2">
      <c r="A13" s="10" t="s">
        <v>82</v>
      </c>
      <c r="B13" s="6" t="s">
        <v>83</v>
      </c>
      <c r="C13" s="6" t="s">
        <v>78</v>
      </c>
      <c r="D13" s="11">
        <v>10992</v>
      </c>
      <c r="E13" s="6" t="s">
        <v>49</v>
      </c>
      <c r="F13" s="6" t="s">
        <v>67</v>
      </c>
      <c r="G13" s="6" t="s">
        <v>7</v>
      </c>
      <c r="H13" s="6" t="s">
        <v>79</v>
      </c>
      <c r="I13" s="6" t="s">
        <v>53</v>
      </c>
      <c r="J13" s="6" t="s">
        <v>54</v>
      </c>
      <c r="K13" s="6" t="s">
        <v>55</v>
      </c>
      <c r="L13" s="6" t="s">
        <v>56</v>
      </c>
      <c r="M13" s="6" t="s">
        <v>57</v>
      </c>
      <c r="N13" s="6" t="s">
        <v>58</v>
      </c>
      <c r="O13" s="12" t="s">
        <v>59</v>
      </c>
      <c r="P13" s="6" t="s">
        <v>60</v>
      </c>
      <c r="Q13" s="6" t="s">
        <v>23</v>
      </c>
    </row>
    <row r="14" spans="1:17" ht="48" x14ac:dyDescent="0.2">
      <c r="A14" s="10" t="s">
        <v>84</v>
      </c>
      <c r="B14" s="6" t="s">
        <v>85</v>
      </c>
      <c r="C14" s="6" t="s">
        <v>86</v>
      </c>
      <c r="D14" s="11">
        <v>18559</v>
      </c>
      <c r="E14" s="6" t="s">
        <v>49</v>
      </c>
      <c r="F14" s="6" t="s">
        <v>50</v>
      </c>
      <c r="G14" s="6" t="s">
        <v>51</v>
      </c>
      <c r="H14" s="6" t="s">
        <v>87</v>
      </c>
      <c r="I14" s="6" t="s">
        <v>53</v>
      </c>
      <c r="J14" s="6" t="s">
        <v>54</v>
      </c>
      <c r="K14" s="6" t="s">
        <v>55</v>
      </c>
      <c r="L14" s="6" t="s">
        <v>56</v>
      </c>
      <c r="M14" s="6" t="s">
        <v>57</v>
      </c>
      <c r="N14" s="6" t="s">
        <v>58</v>
      </c>
      <c r="O14" s="12" t="s">
        <v>59</v>
      </c>
      <c r="P14" s="6" t="s">
        <v>60</v>
      </c>
      <c r="Q14" s="6" t="s">
        <v>23</v>
      </c>
    </row>
    <row r="15" spans="1:17" ht="48" x14ac:dyDescent="0.2">
      <c r="A15" s="10" t="s">
        <v>88</v>
      </c>
      <c r="B15" s="6" t="s">
        <v>89</v>
      </c>
      <c r="C15" s="6" t="s">
        <v>86</v>
      </c>
      <c r="D15" s="11">
        <v>22293</v>
      </c>
      <c r="E15" s="6" t="s">
        <v>49</v>
      </c>
      <c r="F15" s="6" t="s">
        <v>63</v>
      </c>
      <c r="G15" s="6" t="s">
        <v>64</v>
      </c>
      <c r="H15" s="6" t="s">
        <v>87</v>
      </c>
      <c r="I15" s="6" t="s">
        <v>53</v>
      </c>
      <c r="J15" s="6" t="s">
        <v>54</v>
      </c>
      <c r="K15" s="6" t="s">
        <v>55</v>
      </c>
      <c r="L15" s="6" t="s">
        <v>56</v>
      </c>
      <c r="M15" s="6" t="s">
        <v>57</v>
      </c>
      <c r="N15" s="6" t="s">
        <v>58</v>
      </c>
      <c r="O15" s="12" t="s">
        <v>59</v>
      </c>
      <c r="P15" s="6" t="s">
        <v>60</v>
      </c>
      <c r="Q15" s="6" t="s">
        <v>23</v>
      </c>
    </row>
    <row r="16" spans="1:17" ht="48" x14ac:dyDescent="0.2">
      <c r="A16" s="10" t="s">
        <v>90</v>
      </c>
      <c r="B16" s="6" t="s">
        <v>91</v>
      </c>
      <c r="C16" s="6" t="s">
        <v>86</v>
      </c>
      <c r="D16" s="11">
        <v>27950</v>
      </c>
      <c r="E16" s="6" t="s">
        <v>49</v>
      </c>
      <c r="F16" s="6" t="s">
        <v>67</v>
      </c>
      <c r="G16" s="6" t="s">
        <v>7</v>
      </c>
      <c r="H16" s="6" t="s">
        <v>87</v>
      </c>
      <c r="I16" s="6" t="s">
        <v>53</v>
      </c>
      <c r="J16" s="6" t="s">
        <v>54</v>
      </c>
      <c r="K16" s="6" t="s">
        <v>55</v>
      </c>
      <c r="L16" s="6" t="s">
        <v>56</v>
      </c>
      <c r="M16" s="6" t="s">
        <v>57</v>
      </c>
      <c r="N16" s="6" t="s">
        <v>58</v>
      </c>
      <c r="O16" s="12" t="s">
        <v>59</v>
      </c>
      <c r="P16" s="6" t="s">
        <v>60</v>
      </c>
      <c r="Q16" s="6" t="s">
        <v>23</v>
      </c>
    </row>
    <row r="17" spans="1:17" ht="48" x14ac:dyDescent="0.2">
      <c r="A17" s="10" t="s">
        <v>92</v>
      </c>
      <c r="B17" s="6" t="s">
        <v>93</v>
      </c>
      <c r="C17" s="6" t="s">
        <v>94</v>
      </c>
      <c r="D17" s="11">
        <v>12818</v>
      </c>
      <c r="E17" s="6" t="s">
        <v>49</v>
      </c>
      <c r="F17" s="6" t="s">
        <v>50</v>
      </c>
      <c r="G17" s="6" t="s">
        <v>51</v>
      </c>
      <c r="H17" s="6" t="s">
        <v>95</v>
      </c>
      <c r="I17" s="6" t="s">
        <v>53</v>
      </c>
      <c r="J17" s="6" t="s">
        <v>54</v>
      </c>
      <c r="K17" s="6" t="s">
        <v>55</v>
      </c>
      <c r="L17" s="6" t="s">
        <v>56</v>
      </c>
      <c r="M17" s="6" t="s">
        <v>57</v>
      </c>
      <c r="N17" s="6" t="s">
        <v>58</v>
      </c>
      <c r="O17" s="12" t="s">
        <v>59</v>
      </c>
      <c r="P17" s="6" t="s">
        <v>60</v>
      </c>
      <c r="Q17" s="6" t="s">
        <v>23</v>
      </c>
    </row>
    <row r="18" spans="1:17" ht="48" x14ac:dyDescent="0.2">
      <c r="A18" s="10" t="s">
        <v>96</v>
      </c>
      <c r="B18" s="6" t="s">
        <v>97</v>
      </c>
      <c r="C18" s="6" t="s">
        <v>94</v>
      </c>
      <c r="D18" s="11">
        <v>12919</v>
      </c>
      <c r="E18" s="6" t="s">
        <v>49</v>
      </c>
      <c r="F18" s="6" t="s">
        <v>63</v>
      </c>
      <c r="G18" s="6" t="s">
        <v>64</v>
      </c>
      <c r="H18" s="6" t="s">
        <v>95</v>
      </c>
      <c r="I18" s="6" t="s">
        <v>53</v>
      </c>
      <c r="J18" s="6" t="s">
        <v>54</v>
      </c>
      <c r="K18" s="6" t="s">
        <v>55</v>
      </c>
      <c r="L18" s="6" t="s">
        <v>56</v>
      </c>
      <c r="M18" s="6" t="s">
        <v>57</v>
      </c>
      <c r="N18" s="6" t="s">
        <v>58</v>
      </c>
      <c r="O18" s="12" t="s">
        <v>59</v>
      </c>
      <c r="P18" s="6" t="s">
        <v>60</v>
      </c>
      <c r="Q18" s="6" t="s">
        <v>23</v>
      </c>
    </row>
    <row r="19" spans="1:17" ht="48" x14ac:dyDescent="0.2">
      <c r="A19" s="10" t="s">
        <v>98</v>
      </c>
      <c r="B19" s="6" t="s">
        <v>99</v>
      </c>
      <c r="C19" s="6" t="s">
        <v>94</v>
      </c>
      <c r="D19" s="11">
        <v>13508</v>
      </c>
      <c r="E19" s="6" t="s">
        <v>49</v>
      </c>
      <c r="F19" s="6" t="s">
        <v>67</v>
      </c>
      <c r="G19" s="6" t="s">
        <v>7</v>
      </c>
      <c r="H19" s="6" t="s">
        <v>95</v>
      </c>
      <c r="I19" s="6" t="s">
        <v>53</v>
      </c>
      <c r="J19" s="6" t="s">
        <v>54</v>
      </c>
      <c r="K19" s="6" t="s">
        <v>55</v>
      </c>
      <c r="L19" s="6" t="s">
        <v>56</v>
      </c>
      <c r="M19" s="6" t="s">
        <v>57</v>
      </c>
      <c r="N19" s="6" t="s">
        <v>58</v>
      </c>
      <c r="O19" s="12" t="s">
        <v>59</v>
      </c>
      <c r="P19" s="6" t="s">
        <v>60</v>
      </c>
      <c r="Q19" s="6" t="s">
        <v>23</v>
      </c>
    </row>
    <row r="20" spans="1:17" ht="48" x14ac:dyDescent="0.2">
      <c r="A20" s="10" t="s">
        <v>100</v>
      </c>
      <c r="B20" s="6" t="s">
        <v>101</v>
      </c>
      <c r="C20" s="6" t="s">
        <v>102</v>
      </c>
      <c r="D20" s="11">
        <v>9801</v>
      </c>
      <c r="E20" s="6" t="s">
        <v>49</v>
      </c>
      <c r="F20" s="6" t="s">
        <v>50</v>
      </c>
      <c r="G20" s="6" t="s">
        <v>51</v>
      </c>
      <c r="H20" s="6" t="s">
        <v>103</v>
      </c>
      <c r="I20" s="6" t="s">
        <v>53</v>
      </c>
      <c r="J20" s="6" t="s">
        <v>54</v>
      </c>
      <c r="K20" s="6" t="s">
        <v>55</v>
      </c>
      <c r="L20" s="6" t="s">
        <v>56</v>
      </c>
      <c r="M20" s="6" t="s">
        <v>57</v>
      </c>
      <c r="N20" s="6" t="s">
        <v>58</v>
      </c>
      <c r="O20" s="12" t="s">
        <v>59</v>
      </c>
      <c r="P20" s="6" t="s">
        <v>60</v>
      </c>
      <c r="Q20" s="6" t="s">
        <v>23</v>
      </c>
    </row>
    <row r="21" spans="1:17" ht="48" x14ac:dyDescent="0.2">
      <c r="A21" s="10" t="s">
        <v>104</v>
      </c>
      <c r="B21" s="6" t="s">
        <v>105</v>
      </c>
      <c r="C21" s="6" t="s">
        <v>102</v>
      </c>
      <c r="D21" s="11">
        <v>8840</v>
      </c>
      <c r="E21" s="6" t="s">
        <v>49</v>
      </c>
      <c r="F21" s="6" t="s">
        <v>63</v>
      </c>
      <c r="G21" s="6" t="s">
        <v>64</v>
      </c>
      <c r="H21" s="6" t="s">
        <v>103</v>
      </c>
      <c r="I21" s="6" t="s">
        <v>53</v>
      </c>
      <c r="J21" s="6" t="s">
        <v>54</v>
      </c>
      <c r="K21" s="6" t="s">
        <v>55</v>
      </c>
      <c r="L21" s="6" t="s">
        <v>56</v>
      </c>
      <c r="M21" s="6" t="s">
        <v>57</v>
      </c>
      <c r="N21" s="6" t="s">
        <v>58</v>
      </c>
      <c r="O21" s="12" t="s">
        <v>59</v>
      </c>
      <c r="P21" s="6" t="s">
        <v>60</v>
      </c>
      <c r="Q21" s="6" t="s">
        <v>23</v>
      </c>
    </row>
    <row r="22" spans="1:17" ht="48" x14ac:dyDescent="0.2">
      <c r="A22" s="10" t="s">
        <v>106</v>
      </c>
      <c r="B22" s="6" t="s">
        <v>107</v>
      </c>
      <c r="C22" s="6" t="s">
        <v>102</v>
      </c>
      <c r="D22" s="11">
        <v>9955</v>
      </c>
      <c r="E22" s="6" t="s">
        <v>49</v>
      </c>
      <c r="F22" s="6" t="s">
        <v>67</v>
      </c>
      <c r="G22" s="6" t="s">
        <v>7</v>
      </c>
      <c r="H22" s="6" t="s">
        <v>103</v>
      </c>
      <c r="I22" s="6" t="s">
        <v>53</v>
      </c>
      <c r="J22" s="6" t="s">
        <v>54</v>
      </c>
      <c r="K22" s="6" t="s">
        <v>55</v>
      </c>
      <c r="L22" s="6" t="s">
        <v>56</v>
      </c>
      <c r="M22" s="6" t="s">
        <v>57</v>
      </c>
      <c r="N22" s="6" t="s">
        <v>58</v>
      </c>
      <c r="O22" s="12" t="s">
        <v>59</v>
      </c>
      <c r="P22" s="6" t="s">
        <v>60</v>
      </c>
      <c r="Q22" s="6" t="s">
        <v>23</v>
      </c>
    </row>
    <row r="23" spans="1:17" ht="48" x14ac:dyDescent="0.2">
      <c r="A23" s="10" t="s">
        <v>108</v>
      </c>
      <c r="B23" s="6" t="s">
        <v>109</v>
      </c>
      <c r="C23" s="6" t="s">
        <v>110</v>
      </c>
      <c r="D23" s="11">
        <v>207682</v>
      </c>
      <c r="E23" s="6" t="s">
        <v>49</v>
      </c>
      <c r="F23" s="6" t="s">
        <v>111</v>
      </c>
      <c r="G23" s="6" t="s">
        <v>51</v>
      </c>
      <c r="H23" s="6" t="s">
        <v>112</v>
      </c>
      <c r="I23" s="6" t="s">
        <v>53</v>
      </c>
      <c r="J23" s="6" t="s">
        <v>113</v>
      </c>
      <c r="K23" s="6" t="s">
        <v>114</v>
      </c>
      <c r="L23" s="6" t="s">
        <v>56</v>
      </c>
      <c r="M23" s="6" t="s">
        <v>57</v>
      </c>
      <c r="N23" s="6" t="s">
        <v>58</v>
      </c>
      <c r="O23" s="12" t="s">
        <v>59</v>
      </c>
      <c r="P23" s="6" t="s">
        <v>60</v>
      </c>
      <c r="Q23" s="6" t="s">
        <v>23</v>
      </c>
    </row>
    <row r="24" spans="1:17" ht="48" x14ac:dyDescent="0.2">
      <c r="A24" s="10" t="s">
        <v>115</v>
      </c>
      <c r="B24" s="6" t="s">
        <v>116</v>
      </c>
      <c r="C24" s="6" t="s">
        <v>110</v>
      </c>
      <c r="D24" s="11">
        <v>208035</v>
      </c>
      <c r="E24" s="6" t="s">
        <v>49</v>
      </c>
      <c r="F24" s="6" t="s">
        <v>111</v>
      </c>
      <c r="G24" s="6" t="s">
        <v>64</v>
      </c>
      <c r="H24" s="6" t="s">
        <v>112</v>
      </c>
      <c r="I24" s="6" t="s">
        <v>53</v>
      </c>
      <c r="J24" s="6" t="s">
        <v>54</v>
      </c>
      <c r="K24" s="6" t="s">
        <v>55</v>
      </c>
      <c r="L24" s="6" t="s">
        <v>56</v>
      </c>
      <c r="M24" s="6" t="s">
        <v>57</v>
      </c>
      <c r="N24" s="6" t="s">
        <v>58</v>
      </c>
      <c r="O24" s="12" t="s">
        <v>59</v>
      </c>
      <c r="P24" s="6" t="s">
        <v>60</v>
      </c>
      <c r="Q24" s="6" t="s">
        <v>23</v>
      </c>
    </row>
    <row r="25" spans="1:17" ht="48" x14ac:dyDescent="0.2">
      <c r="A25" s="10" t="s">
        <v>117</v>
      </c>
      <c r="B25" s="6" t="s">
        <v>118</v>
      </c>
      <c r="C25" s="6" t="s">
        <v>110</v>
      </c>
      <c r="D25" s="11">
        <v>219237</v>
      </c>
      <c r="E25" s="6" t="s">
        <v>49</v>
      </c>
      <c r="F25" s="6" t="s">
        <v>111</v>
      </c>
      <c r="G25" s="6" t="s">
        <v>7</v>
      </c>
      <c r="H25" s="6" t="s">
        <v>112</v>
      </c>
      <c r="I25" s="6" t="s">
        <v>53</v>
      </c>
      <c r="J25" s="6" t="s">
        <v>54</v>
      </c>
      <c r="K25" s="6" t="s">
        <v>55</v>
      </c>
      <c r="L25" s="6" t="s">
        <v>56</v>
      </c>
      <c r="M25" s="6" t="s">
        <v>57</v>
      </c>
      <c r="N25" s="6" t="s">
        <v>58</v>
      </c>
      <c r="O25" s="12" t="s">
        <v>59</v>
      </c>
      <c r="P25" s="6" t="s">
        <v>60</v>
      </c>
      <c r="Q25" s="6" t="s">
        <v>23</v>
      </c>
    </row>
    <row r="26" spans="1:17" ht="48" x14ac:dyDescent="0.2">
      <c r="A26" s="10" t="s">
        <v>119</v>
      </c>
      <c r="B26" s="6" t="s">
        <v>120</v>
      </c>
      <c r="C26" s="6" t="s">
        <v>121</v>
      </c>
      <c r="D26" s="11">
        <v>64715</v>
      </c>
      <c r="E26" s="6" t="s">
        <v>49</v>
      </c>
      <c r="F26" s="6" t="s">
        <v>111</v>
      </c>
      <c r="G26" s="6" t="s">
        <v>51</v>
      </c>
      <c r="H26" s="6" t="s">
        <v>122</v>
      </c>
      <c r="I26" s="6" t="s">
        <v>53</v>
      </c>
      <c r="J26" s="6" t="s">
        <v>54</v>
      </c>
      <c r="K26" s="6" t="s">
        <v>55</v>
      </c>
      <c r="L26" s="6" t="s">
        <v>56</v>
      </c>
      <c r="M26" s="6" t="s">
        <v>57</v>
      </c>
      <c r="N26" s="6" t="s">
        <v>58</v>
      </c>
      <c r="O26" s="12" t="s">
        <v>59</v>
      </c>
      <c r="P26" s="6" t="s">
        <v>60</v>
      </c>
      <c r="Q26" s="6" t="s">
        <v>23</v>
      </c>
    </row>
    <row r="27" spans="1:17" ht="48" x14ac:dyDescent="0.2">
      <c r="A27" s="10" t="s">
        <v>123</v>
      </c>
      <c r="B27" s="6" t="s">
        <v>124</v>
      </c>
      <c r="C27" s="6" t="s">
        <v>121</v>
      </c>
      <c r="D27" s="11">
        <v>61741</v>
      </c>
      <c r="E27" s="6" t="s">
        <v>49</v>
      </c>
      <c r="F27" s="6" t="s">
        <v>111</v>
      </c>
      <c r="G27" s="6" t="s">
        <v>64</v>
      </c>
      <c r="H27" s="6" t="s">
        <v>122</v>
      </c>
      <c r="I27" s="6" t="s">
        <v>53</v>
      </c>
      <c r="J27" s="6" t="s">
        <v>54</v>
      </c>
      <c r="K27" s="6" t="s">
        <v>55</v>
      </c>
      <c r="L27" s="6" t="s">
        <v>56</v>
      </c>
      <c r="M27" s="6" t="s">
        <v>57</v>
      </c>
      <c r="N27" s="6" t="s">
        <v>58</v>
      </c>
      <c r="O27" s="12" t="s">
        <v>59</v>
      </c>
      <c r="P27" s="6" t="s">
        <v>60</v>
      </c>
      <c r="Q27" s="6" t="s">
        <v>23</v>
      </c>
    </row>
    <row r="28" spans="1:17" ht="48" x14ac:dyDescent="0.2">
      <c r="A28" s="10" t="s">
        <v>125</v>
      </c>
      <c r="B28" s="6" t="s">
        <v>126</v>
      </c>
      <c r="C28" s="6" t="s">
        <v>121</v>
      </c>
      <c r="D28" s="11">
        <v>59203</v>
      </c>
      <c r="E28" s="6" t="s">
        <v>49</v>
      </c>
      <c r="F28" s="6" t="s">
        <v>111</v>
      </c>
      <c r="G28" s="6" t="s">
        <v>7</v>
      </c>
      <c r="H28" s="6" t="s">
        <v>122</v>
      </c>
      <c r="I28" s="6" t="s">
        <v>53</v>
      </c>
      <c r="J28" s="6" t="s">
        <v>54</v>
      </c>
      <c r="K28" s="6" t="s">
        <v>55</v>
      </c>
      <c r="L28" s="6" t="s">
        <v>56</v>
      </c>
      <c r="M28" s="6" t="s">
        <v>57</v>
      </c>
      <c r="N28" s="6" t="s">
        <v>58</v>
      </c>
      <c r="O28" s="12" t="s">
        <v>59</v>
      </c>
      <c r="P28" s="6" t="s">
        <v>60</v>
      </c>
      <c r="Q28" s="6" t="s">
        <v>23</v>
      </c>
    </row>
    <row r="29" spans="1:17" ht="48" x14ac:dyDescent="0.2">
      <c r="A29" s="10" t="s">
        <v>127</v>
      </c>
      <c r="B29" s="6" t="s">
        <v>128</v>
      </c>
      <c r="C29" s="6" t="s">
        <v>129</v>
      </c>
      <c r="D29" s="11">
        <v>5135</v>
      </c>
      <c r="E29" s="6" t="s">
        <v>49</v>
      </c>
      <c r="F29" s="6" t="s">
        <v>111</v>
      </c>
      <c r="G29" s="6" t="s">
        <v>51</v>
      </c>
      <c r="H29" s="6" t="s">
        <v>130</v>
      </c>
      <c r="I29" s="6" t="s">
        <v>53</v>
      </c>
      <c r="J29" s="6" t="s">
        <v>113</v>
      </c>
      <c r="K29" s="6" t="s">
        <v>114</v>
      </c>
      <c r="L29" s="6" t="s">
        <v>56</v>
      </c>
      <c r="M29" s="6" t="s">
        <v>57</v>
      </c>
      <c r="N29" s="6" t="s">
        <v>58</v>
      </c>
      <c r="O29" s="12" t="s">
        <v>59</v>
      </c>
      <c r="P29" s="6" t="s">
        <v>60</v>
      </c>
      <c r="Q29" s="6" t="s">
        <v>23</v>
      </c>
    </row>
    <row r="30" spans="1:17" ht="48" x14ac:dyDescent="0.2">
      <c r="A30" s="10" t="s">
        <v>131</v>
      </c>
      <c r="B30" s="6" t="s">
        <v>132</v>
      </c>
      <c r="C30" s="6" t="s">
        <v>129</v>
      </c>
      <c r="D30" s="11">
        <v>5409</v>
      </c>
      <c r="E30" s="6" t="s">
        <v>49</v>
      </c>
      <c r="F30" s="6" t="s">
        <v>111</v>
      </c>
      <c r="G30" s="6" t="s">
        <v>64</v>
      </c>
      <c r="H30" s="6" t="s">
        <v>130</v>
      </c>
      <c r="I30" s="6" t="s">
        <v>53</v>
      </c>
      <c r="J30" s="6" t="s">
        <v>54</v>
      </c>
      <c r="K30" s="6" t="s">
        <v>55</v>
      </c>
      <c r="L30" s="6" t="s">
        <v>56</v>
      </c>
      <c r="M30" s="6" t="s">
        <v>57</v>
      </c>
      <c r="N30" s="6" t="s">
        <v>58</v>
      </c>
      <c r="O30" s="12" t="s">
        <v>59</v>
      </c>
      <c r="P30" s="6" t="s">
        <v>60</v>
      </c>
      <c r="Q30" s="6" t="s">
        <v>23</v>
      </c>
    </row>
    <row r="31" spans="1:17" ht="48" x14ac:dyDescent="0.2">
      <c r="A31" s="10" t="s">
        <v>133</v>
      </c>
      <c r="B31" s="6" t="s">
        <v>134</v>
      </c>
      <c r="C31" s="6" t="s">
        <v>129</v>
      </c>
      <c r="D31" s="11">
        <v>5598</v>
      </c>
      <c r="E31" s="6" t="s">
        <v>49</v>
      </c>
      <c r="F31" s="6" t="s">
        <v>111</v>
      </c>
      <c r="G31" s="6" t="s">
        <v>7</v>
      </c>
      <c r="H31" s="6" t="s">
        <v>130</v>
      </c>
      <c r="I31" s="6" t="s">
        <v>53</v>
      </c>
      <c r="J31" s="6" t="s">
        <v>54</v>
      </c>
      <c r="K31" s="6" t="s">
        <v>55</v>
      </c>
      <c r="L31" s="6" t="s">
        <v>56</v>
      </c>
      <c r="M31" s="6" t="s">
        <v>57</v>
      </c>
      <c r="N31" s="6" t="s">
        <v>58</v>
      </c>
      <c r="O31" s="12" t="s">
        <v>59</v>
      </c>
      <c r="P31" s="6" t="s">
        <v>60</v>
      </c>
      <c r="Q31" s="6" t="s">
        <v>23</v>
      </c>
    </row>
    <row r="32" spans="1:17" ht="48" x14ac:dyDescent="0.2">
      <c r="A32" s="10" t="s">
        <v>135</v>
      </c>
      <c r="B32" s="6" t="s">
        <v>136</v>
      </c>
      <c r="C32" s="6" t="s">
        <v>137</v>
      </c>
      <c r="D32" s="11">
        <v>75018</v>
      </c>
      <c r="E32" s="6" t="s">
        <v>49</v>
      </c>
      <c r="F32" s="6" t="s">
        <v>111</v>
      </c>
      <c r="G32" s="6" t="s">
        <v>51</v>
      </c>
      <c r="H32" s="6" t="s">
        <v>138</v>
      </c>
      <c r="I32" s="6" t="s">
        <v>53</v>
      </c>
      <c r="J32" s="6" t="s">
        <v>113</v>
      </c>
      <c r="K32" s="6" t="s">
        <v>114</v>
      </c>
      <c r="L32" s="6" t="s">
        <v>56</v>
      </c>
      <c r="M32" s="6" t="s">
        <v>57</v>
      </c>
      <c r="N32" s="6" t="s">
        <v>58</v>
      </c>
      <c r="O32" s="12" t="s">
        <v>59</v>
      </c>
      <c r="P32" s="6" t="s">
        <v>60</v>
      </c>
      <c r="Q32" s="6" t="s">
        <v>23</v>
      </c>
    </row>
    <row r="33" spans="1:17" ht="48" x14ac:dyDescent="0.2">
      <c r="A33" s="10" t="s">
        <v>139</v>
      </c>
      <c r="B33" s="6" t="s">
        <v>140</v>
      </c>
      <c r="C33" s="6" t="s">
        <v>137</v>
      </c>
      <c r="D33" s="11">
        <v>78265</v>
      </c>
      <c r="E33" s="6" t="s">
        <v>49</v>
      </c>
      <c r="F33" s="6" t="s">
        <v>111</v>
      </c>
      <c r="G33" s="6" t="s">
        <v>64</v>
      </c>
      <c r="H33" s="6" t="s">
        <v>138</v>
      </c>
      <c r="I33" s="6" t="s">
        <v>53</v>
      </c>
      <c r="J33" s="6" t="s">
        <v>54</v>
      </c>
      <c r="K33" s="6" t="s">
        <v>55</v>
      </c>
      <c r="L33" s="6" t="s">
        <v>56</v>
      </c>
      <c r="M33" s="6" t="s">
        <v>57</v>
      </c>
      <c r="N33" s="6" t="s">
        <v>58</v>
      </c>
      <c r="O33" s="12" t="s">
        <v>59</v>
      </c>
      <c r="P33" s="6" t="s">
        <v>60</v>
      </c>
      <c r="Q33" s="6" t="s">
        <v>23</v>
      </c>
    </row>
    <row r="34" spans="1:17" ht="48" x14ac:dyDescent="0.2">
      <c r="A34" s="10" t="s">
        <v>141</v>
      </c>
      <c r="B34" s="6" t="s">
        <v>142</v>
      </c>
      <c r="C34" s="6" t="s">
        <v>137</v>
      </c>
      <c r="D34" s="11">
        <v>86282</v>
      </c>
      <c r="E34" s="6" t="s">
        <v>49</v>
      </c>
      <c r="F34" s="6" t="s">
        <v>111</v>
      </c>
      <c r="G34" s="6" t="s">
        <v>7</v>
      </c>
      <c r="H34" s="6" t="s">
        <v>138</v>
      </c>
      <c r="I34" s="6" t="s">
        <v>53</v>
      </c>
      <c r="J34" s="6" t="s">
        <v>54</v>
      </c>
      <c r="K34" s="6" t="s">
        <v>55</v>
      </c>
      <c r="L34" s="6" t="s">
        <v>56</v>
      </c>
      <c r="M34" s="6" t="s">
        <v>57</v>
      </c>
      <c r="N34" s="6" t="s">
        <v>58</v>
      </c>
      <c r="O34" s="12" t="s">
        <v>59</v>
      </c>
      <c r="P34" s="6" t="s">
        <v>60</v>
      </c>
      <c r="Q34" s="6" t="s">
        <v>23</v>
      </c>
    </row>
    <row r="35" spans="1:17" ht="48" x14ac:dyDescent="0.2">
      <c r="A35" s="10" t="s">
        <v>143</v>
      </c>
      <c r="B35" s="6" t="s">
        <v>144</v>
      </c>
      <c r="C35" s="6" t="s">
        <v>145</v>
      </c>
      <c r="D35" s="11">
        <v>3619</v>
      </c>
      <c r="E35" s="6" t="s">
        <v>49</v>
      </c>
      <c r="F35" s="6" t="s">
        <v>111</v>
      </c>
      <c r="G35" s="6" t="s">
        <v>51</v>
      </c>
      <c r="H35" s="6" t="s">
        <v>146</v>
      </c>
      <c r="I35" s="6" t="s">
        <v>53</v>
      </c>
      <c r="J35" s="6" t="s">
        <v>113</v>
      </c>
      <c r="K35" s="6" t="s">
        <v>114</v>
      </c>
      <c r="L35" s="6" t="s">
        <v>56</v>
      </c>
      <c r="M35" s="6" t="s">
        <v>57</v>
      </c>
      <c r="N35" s="6" t="s">
        <v>58</v>
      </c>
      <c r="O35" s="12" t="s">
        <v>59</v>
      </c>
      <c r="P35" s="6" t="s">
        <v>60</v>
      </c>
      <c r="Q35" s="6" t="s">
        <v>23</v>
      </c>
    </row>
    <row r="36" spans="1:17" ht="48" x14ac:dyDescent="0.2">
      <c r="A36" s="10" t="s">
        <v>147</v>
      </c>
      <c r="B36" s="6" t="s">
        <v>148</v>
      </c>
      <c r="C36" s="6" t="s">
        <v>145</v>
      </c>
      <c r="D36" s="11">
        <v>4068</v>
      </c>
      <c r="E36" s="6" t="s">
        <v>49</v>
      </c>
      <c r="F36" s="6" t="s">
        <v>111</v>
      </c>
      <c r="G36" s="6" t="s">
        <v>64</v>
      </c>
      <c r="H36" s="6" t="s">
        <v>146</v>
      </c>
      <c r="I36" s="6" t="s">
        <v>53</v>
      </c>
      <c r="J36" s="6" t="s">
        <v>54</v>
      </c>
      <c r="K36" s="6" t="s">
        <v>55</v>
      </c>
      <c r="L36" s="6" t="s">
        <v>56</v>
      </c>
      <c r="M36" s="6" t="s">
        <v>57</v>
      </c>
      <c r="N36" s="6" t="s">
        <v>58</v>
      </c>
      <c r="O36" s="12" t="s">
        <v>59</v>
      </c>
      <c r="P36" s="6" t="s">
        <v>60</v>
      </c>
      <c r="Q36" s="6" t="s">
        <v>23</v>
      </c>
    </row>
    <row r="37" spans="1:17" ht="48" x14ac:dyDescent="0.2">
      <c r="A37" s="10" t="s">
        <v>149</v>
      </c>
      <c r="B37" s="6" t="s">
        <v>150</v>
      </c>
      <c r="C37" s="6" t="s">
        <v>145</v>
      </c>
      <c r="D37" s="11">
        <v>5135</v>
      </c>
      <c r="E37" s="6" t="s">
        <v>49</v>
      </c>
      <c r="F37" s="6" t="s">
        <v>111</v>
      </c>
      <c r="G37" s="6" t="s">
        <v>7</v>
      </c>
      <c r="H37" s="6" t="s">
        <v>146</v>
      </c>
      <c r="I37" s="6" t="s">
        <v>53</v>
      </c>
      <c r="J37" s="6" t="s">
        <v>54</v>
      </c>
      <c r="K37" s="6" t="s">
        <v>55</v>
      </c>
      <c r="L37" s="6" t="s">
        <v>56</v>
      </c>
      <c r="M37" s="6" t="s">
        <v>57</v>
      </c>
      <c r="N37" s="6" t="s">
        <v>58</v>
      </c>
      <c r="O37" s="12" t="s">
        <v>59</v>
      </c>
      <c r="P37" s="6" t="s">
        <v>60</v>
      </c>
      <c r="Q37" s="6" t="s">
        <v>23</v>
      </c>
    </row>
    <row r="38" spans="1:17" ht="48" x14ac:dyDescent="0.2">
      <c r="A38" s="10" t="s">
        <v>151</v>
      </c>
      <c r="B38" s="6" t="s">
        <v>152</v>
      </c>
      <c r="C38" s="6" t="s">
        <v>153</v>
      </c>
      <c r="D38" s="11">
        <v>2496</v>
      </c>
      <c r="E38" s="6" t="s">
        <v>49</v>
      </c>
      <c r="F38" s="6" t="s">
        <v>111</v>
      </c>
      <c r="G38" s="6" t="s">
        <v>51</v>
      </c>
      <c r="H38" s="6" t="s">
        <v>154</v>
      </c>
      <c r="I38" s="6" t="s">
        <v>53</v>
      </c>
      <c r="J38" s="6" t="s">
        <v>155</v>
      </c>
      <c r="K38" s="6" t="s">
        <v>156</v>
      </c>
      <c r="L38" s="6" t="s">
        <v>56</v>
      </c>
      <c r="M38" s="6" t="s">
        <v>57</v>
      </c>
      <c r="N38" s="6" t="s">
        <v>58</v>
      </c>
      <c r="O38" s="12" t="s">
        <v>59</v>
      </c>
      <c r="P38" s="6" t="s">
        <v>60</v>
      </c>
      <c r="Q38" s="6" t="s">
        <v>23</v>
      </c>
    </row>
    <row r="39" spans="1:17" ht="48" x14ac:dyDescent="0.2">
      <c r="A39" s="10" t="s">
        <v>157</v>
      </c>
      <c r="B39" s="6" t="s">
        <v>158</v>
      </c>
      <c r="C39" s="6" t="s">
        <v>153</v>
      </c>
      <c r="D39" s="11">
        <v>2326</v>
      </c>
      <c r="E39" s="6" t="s">
        <v>49</v>
      </c>
      <c r="F39" s="6" t="s">
        <v>111</v>
      </c>
      <c r="G39" s="6" t="s">
        <v>64</v>
      </c>
      <c r="H39" s="6" t="s">
        <v>154</v>
      </c>
      <c r="I39" s="6" t="s">
        <v>53</v>
      </c>
      <c r="J39" s="6" t="s">
        <v>113</v>
      </c>
      <c r="K39" s="6" t="s">
        <v>114</v>
      </c>
      <c r="L39" s="6" t="s">
        <v>56</v>
      </c>
      <c r="M39" s="6" t="s">
        <v>57</v>
      </c>
      <c r="N39" s="6" t="s">
        <v>58</v>
      </c>
      <c r="O39" s="12" t="s">
        <v>59</v>
      </c>
      <c r="P39" s="6" t="s">
        <v>60</v>
      </c>
      <c r="Q39" s="6" t="s">
        <v>23</v>
      </c>
    </row>
    <row r="40" spans="1:17" ht="48" x14ac:dyDescent="0.2">
      <c r="A40" s="10" t="s">
        <v>159</v>
      </c>
      <c r="B40" s="6" t="s">
        <v>160</v>
      </c>
      <c r="C40" s="6" t="s">
        <v>153</v>
      </c>
      <c r="D40" s="11">
        <v>2270</v>
      </c>
      <c r="E40" s="6" t="s">
        <v>49</v>
      </c>
      <c r="F40" s="6" t="s">
        <v>111</v>
      </c>
      <c r="G40" s="6" t="s">
        <v>7</v>
      </c>
      <c r="H40" s="6" t="s">
        <v>154</v>
      </c>
      <c r="I40" s="6" t="s">
        <v>53</v>
      </c>
      <c r="J40" s="6" t="s">
        <v>54</v>
      </c>
      <c r="K40" s="6" t="s">
        <v>55</v>
      </c>
      <c r="L40" s="6" t="s">
        <v>56</v>
      </c>
      <c r="M40" s="6" t="s">
        <v>57</v>
      </c>
      <c r="N40" s="6" t="s">
        <v>58</v>
      </c>
      <c r="O40" s="12" t="s">
        <v>59</v>
      </c>
      <c r="P40" s="6" t="s">
        <v>60</v>
      </c>
      <c r="Q40" s="6" t="s">
        <v>23</v>
      </c>
    </row>
    <row r="41" spans="1:17" ht="48" x14ac:dyDescent="0.2">
      <c r="A41" s="10" t="s">
        <v>161</v>
      </c>
      <c r="B41" s="6" t="s">
        <v>162</v>
      </c>
      <c r="C41" s="6" t="s">
        <v>163</v>
      </c>
      <c r="D41" s="11">
        <v>1200.2862640000001</v>
      </c>
      <c r="E41" s="6" t="s">
        <v>164</v>
      </c>
      <c r="F41" s="6" t="s">
        <v>50</v>
      </c>
      <c r="G41" s="6" t="s">
        <v>51</v>
      </c>
      <c r="H41" s="6" t="s">
        <v>165</v>
      </c>
      <c r="I41" s="6" t="s">
        <v>53</v>
      </c>
      <c r="J41" s="6" t="s">
        <v>54</v>
      </c>
      <c r="K41" s="6" t="s">
        <v>55</v>
      </c>
      <c r="L41" s="6" t="s">
        <v>56</v>
      </c>
      <c r="M41" s="6" t="s">
        <v>57</v>
      </c>
      <c r="N41" s="6" t="s">
        <v>58</v>
      </c>
      <c r="O41" s="12" t="s">
        <v>59</v>
      </c>
      <c r="P41" s="6" t="s">
        <v>166</v>
      </c>
      <c r="Q41" s="6" t="s">
        <v>23</v>
      </c>
    </row>
    <row r="42" spans="1:17" ht="48" x14ac:dyDescent="0.2">
      <c r="A42" s="10" t="s">
        <v>167</v>
      </c>
      <c r="B42" s="6" t="s">
        <v>168</v>
      </c>
      <c r="C42" s="6" t="s">
        <v>163</v>
      </c>
      <c r="D42" s="11">
        <v>1173.213898</v>
      </c>
      <c r="E42" s="6" t="s">
        <v>164</v>
      </c>
      <c r="F42" s="6" t="s">
        <v>63</v>
      </c>
      <c r="G42" s="6" t="s">
        <v>64</v>
      </c>
      <c r="H42" s="6" t="s">
        <v>165</v>
      </c>
      <c r="I42" s="6" t="s">
        <v>53</v>
      </c>
      <c r="J42" s="6" t="s">
        <v>54</v>
      </c>
      <c r="K42" s="6" t="s">
        <v>55</v>
      </c>
      <c r="L42" s="6" t="s">
        <v>56</v>
      </c>
      <c r="M42" s="6" t="s">
        <v>57</v>
      </c>
      <c r="N42" s="6" t="s">
        <v>58</v>
      </c>
      <c r="O42" s="12" t="s">
        <v>59</v>
      </c>
      <c r="P42" s="6" t="s">
        <v>166</v>
      </c>
      <c r="Q42" s="6" t="s">
        <v>23</v>
      </c>
    </row>
    <row r="43" spans="1:17" ht="48" x14ac:dyDescent="0.2">
      <c r="A43" s="10" t="s">
        <v>169</v>
      </c>
      <c r="B43" s="6" t="s">
        <v>170</v>
      </c>
      <c r="C43" s="6" t="s">
        <v>163</v>
      </c>
      <c r="D43" s="11">
        <v>1131.076251</v>
      </c>
      <c r="E43" s="6" t="s">
        <v>164</v>
      </c>
      <c r="F43" s="6" t="s">
        <v>67</v>
      </c>
      <c r="G43" s="6" t="s">
        <v>7</v>
      </c>
      <c r="H43" s="6" t="s">
        <v>165</v>
      </c>
      <c r="I43" s="6" t="s">
        <v>53</v>
      </c>
      <c r="J43" s="6" t="s">
        <v>54</v>
      </c>
      <c r="K43" s="6" t="s">
        <v>55</v>
      </c>
      <c r="L43" s="6" t="s">
        <v>56</v>
      </c>
      <c r="M43" s="6" t="s">
        <v>57</v>
      </c>
      <c r="N43" s="6" t="s">
        <v>58</v>
      </c>
      <c r="O43" s="12" t="s">
        <v>59</v>
      </c>
      <c r="P43" s="6" t="s">
        <v>166</v>
      </c>
      <c r="Q43" s="6" t="s">
        <v>23</v>
      </c>
    </row>
    <row r="44" spans="1:17" ht="32" x14ac:dyDescent="0.2">
      <c r="A44" s="10" t="s">
        <v>171</v>
      </c>
      <c r="B44" s="6" t="s">
        <v>172</v>
      </c>
      <c r="C44" s="6" t="s">
        <v>173</v>
      </c>
      <c r="D44" s="11">
        <v>0.11</v>
      </c>
      <c r="E44" s="6" t="s">
        <v>174</v>
      </c>
      <c r="F44" s="6" t="s">
        <v>175</v>
      </c>
      <c r="G44" s="6" t="s">
        <v>175</v>
      </c>
      <c r="H44" s="6" t="s">
        <v>176</v>
      </c>
      <c r="I44" s="6" t="s">
        <v>175</v>
      </c>
      <c r="J44" s="6" t="s">
        <v>175</v>
      </c>
      <c r="K44" s="6" t="s">
        <v>175</v>
      </c>
      <c r="L44" s="6" t="s">
        <v>177</v>
      </c>
      <c r="M44" s="6" t="s">
        <v>178</v>
      </c>
      <c r="N44" s="6" t="s">
        <v>58</v>
      </c>
      <c r="O44" s="12" t="s">
        <v>179</v>
      </c>
      <c r="P44" s="6" t="s">
        <v>180</v>
      </c>
      <c r="Q44" s="6" t="s">
        <v>181</v>
      </c>
    </row>
    <row r="45" spans="1:17" ht="32" x14ac:dyDescent="0.2">
      <c r="A45" s="10" t="s">
        <v>182</v>
      </c>
      <c r="B45" s="6" t="s">
        <v>183</v>
      </c>
      <c r="C45" s="6" t="s">
        <v>184</v>
      </c>
      <c r="D45" s="11">
        <v>0.13500000000000001</v>
      </c>
      <c r="E45" s="6" t="s">
        <v>174</v>
      </c>
      <c r="F45" s="6" t="s">
        <v>175</v>
      </c>
      <c r="G45" s="6" t="s">
        <v>175</v>
      </c>
      <c r="H45" s="6" t="s">
        <v>176</v>
      </c>
      <c r="I45" s="6" t="s">
        <v>175</v>
      </c>
      <c r="J45" s="6" t="s">
        <v>175</v>
      </c>
      <c r="K45" s="6" t="s">
        <v>175</v>
      </c>
      <c r="L45" s="6" t="s">
        <v>177</v>
      </c>
      <c r="M45" s="6" t="s">
        <v>178</v>
      </c>
      <c r="N45" s="6" t="s">
        <v>58</v>
      </c>
      <c r="O45" s="12" t="s">
        <v>179</v>
      </c>
      <c r="P45" s="6" t="s">
        <v>180</v>
      </c>
      <c r="Q45" s="6" t="s">
        <v>181</v>
      </c>
    </row>
    <row r="46" spans="1:17" ht="32" x14ac:dyDescent="0.2">
      <c r="A46" s="10" t="s">
        <v>185</v>
      </c>
      <c r="B46" s="6" t="s">
        <v>186</v>
      </c>
      <c r="C46" s="6" t="s">
        <v>187</v>
      </c>
      <c r="D46" s="11">
        <v>0.16</v>
      </c>
      <c r="E46" s="6" t="s">
        <v>174</v>
      </c>
      <c r="F46" s="6" t="s">
        <v>175</v>
      </c>
      <c r="G46" s="6" t="s">
        <v>175</v>
      </c>
      <c r="H46" s="6" t="s">
        <v>176</v>
      </c>
      <c r="I46" s="6" t="s">
        <v>175</v>
      </c>
      <c r="J46" s="6" t="s">
        <v>175</v>
      </c>
      <c r="K46" s="6" t="s">
        <v>175</v>
      </c>
      <c r="L46" s="6" t="s">
        <v>177</v>
      </c>
      <c r="M46" s="6" t="s">
        <v>178</v>
      </c>
      <c r="N46" s="6" t="s">
        <v>58</v>
      </c>
      <c r="O46" s="12" t="s">
        <v>179</v>
      </c>
      <c r="P46" s="6" t="s">
        <v>180</v>
      </c>
      <c r="Q46" s="6" t="s">
        <v>181</v>
      </c>
    </row>
    <row r="47" spans="1:17" ht="32" x14ac:dyDescent="0.2">
      <c r="A47" s="10" t="s">
        <v>188</v>
      </c>
      <c r="B47" s="6" t="s">
        <v>189</v>
      </c>
      <c r="C47" s="6" t="s">
        <v>190</v>
      </c>
      <c r="D47" s="11">
        <v>1.0500000000000001E-2</v>
      </c>
      <c r="E47" s="6" t="s">
        <v>191</v>
      </c>
      <c r="F47" s="6" t="s">
        <v>175</v>
      </c>
      <c r="G47" s="6" t="s">
        <v>175</v>
      </c>
      <c r="H47" s="6" t="s">
        <v>176</v>
      </c>
      <c r="I47" s="6" t="s">
        <v>175</v>
      </c>
      <c r="J47" s="6" t="s">
        <v>175</v>
      </c>
      <c r="K47" s="6" t="s">
        <v>175</v>
      </c>
      <c r="L47" s="6" t="s">
        <v>177</v>
      </c>
      <c r="M47" s="6" t="s">
        <v>178</v>
      </c>
      <c r="N47" s="6" t="s">
        <v>58</v>
      </c>
      <c r="O47" s="12" t="s">
        <v>179</v>
      </c>
      <c r="P47" s="6" t="s">
        <v>180</v>
      </c>
      <c r="Q47" s="6" t="s">
        <v>192</v>
      </c>
    </row>
    <row r="48" spans="1:17" ht="32" x14ac:dyDescent="0.2">
      <c r="A48" s="10" t="s">
        <v>193</v>
      </c>
      <c r="B48" s="6" t="s">
        <v>194</v>
      </c>
      <c r="C48" s="6" t="s">
        <v>195</v>
      </c>
      <c r="D48" s="11">
        <v>9.2999999999999992E-3</v>
      </c>
      <c r="E48" s="6" t="s">
        <v>191</v>
      </c>
      <c r="F48" s="6" t="s">
        <v>175</v>
      </c>
      <c r="G48" s="6" t="s">
        <v>175</v>
      </c>
      <c r="H48" s="6" t="s">
        <v>176</v>
      </c>
      <c r="I48" s="6" t="s">
        <v>175</v>
      </c>
      <c r="J48" s="6" t="s">
        <v>175</v>
      </c>
      <c r="K48" s="6" t="s">
        <v>175</v>
      </c>
      <c r="L48" s="6" t="s">
        <v>177</v>
      </c>
      <c r="M48" s="6" t="s">
        <v>178</v>
      </c>
      <c r="N48" s="6" t="s">
        <v>58</v>
      </c>
      <c r="O48" s="12" t="s">
        <v>179</v>
      </c>
      <c r="P48" s="6" t="s">
        <v>180</v>
      </c>
      <c r="Q48" s="6" t="s">
        <v>192</v>
      </c>
    </row>
    <row r="49" spans="1:17" ht="32" x14ac:dyDescent="0.2">
      <c r="A49" s="10" t="s">
        <v>196</v>
      </c>
      <c r="B49" s="6" t="s">
        <v>197</v>
      </c>
      <c r="C49" s="6" t="s">
        <v>198</v>
      </c>
      <c r="D49" s="11">
        <v>8.5000000000000006E-3</v>
      </c>
      <c r="E49" s="6" t="s">
        <v>191</v>
      </c>
      <c r="F49" s="6" t="s">
        <v>175</v>
      </c>
      <c r="G49" s="6" t="s">
        <v>175</v>
      </c>
      <c r="H49" s="6" t="s">
        <v>176</v>
      </c>
      <c r="I49" s="6" t="s">
        <v>175</v>
      </c>
      <c r="J49" s="6" t="s">
        <v>175</v>
      </c>
      <c r="K49" s="6" t="s">
        <v>175</v>
      </c>
      <c r="L49" s="6" t="s">
        <v>177</v>
      </c>
      <c r="M49" s="6" t="s">
        <v>178</v>
      </c>
      <c r="N49" s="6" t="s">
        <v>58</v>
      </c>
      <c r="O49" s="12" t="s">
        <v>179</v>
      </c>
      <c r="P49" s="6" t="s">
        <v>180</v>
      </c>
      <c r="Q49" s="6" t="s">
        <v>192</v>
      </c>
    </row>
    <row r="50" spans="1:17" ht="32" x14ac:dyDescent="0.2">
      <c r="A50" s="10" t="s">
        <v>199</v>
      </c>
      <c r="B50" s="6" t="s">
        <v>200</v>
      </c>
      <c r="C50" s="6" t="s">
        <v>201</v>
      </c>
      <c r="D50" s="11">
        <v>0</v>
      </c>
      <c r="E50" s="6" t="s">
        <v>174</v>
      </c>
      <c r="F50" s="6" t="s">
        <v>175</v>
      </c>
      <c r="G50" s="6" t="s">
        <v>175</v>
      </c>
      <c r="H50" s="6" t="s">
        <v>176</v>
      </c>
      <c r="I50" s="6" t="s">
        <v>175</v>
      </c>
      <c r="J50" s="6" t="s">
        <v>175</v>
      </c>
      <c r="K50" s="6" t="s">
        <v>175</v>
      </c>
      <c r="L50" s="6" t="s">
        <v>177</v>
      </c>
      <c r="M50" s="6" t="s">
        <v>178</v>
      </c>
      <c r="N50" s="6" t="s">
        <v>58</v>
      </c>
      <c r="O50" s="12" t="s">
        <v>179</v>
      </c>
      <c r="P50" s="6" t="s">
        <v>180</v>
      </c>
      <c r="Q50" s="6" t="s">
        <v>202</v>
      </c>
    </row>
    <row r="51" spans="1:17" ht="32" x14ac:dyDescent="0.2">
      <c r="A51" s="10" t="s">
        <v>203</v>
      </c>
      <c r="B51" s="6" t="s">
        <v>204</v>
      </c>
      <c r="C51" s="6" t="s">
        <v>205</v>
      </c>
      <c r="D51" s="11">
        <v>0.02</v>
      </c>
      <c r="E51" s="6" t="s">
        <v>174</v>
      </c>
      <c r="F51" s="6" t="s">
        <v>175</v>
      </c>
      <c r="G51" s="6" t="s">
        <v>175</v>
      </c>
      <c r="H51" s="6" t="s">
        <v>176</v>
      </c>
      <c r="I51" s="6" t="s">
        <v>175</v>
      </c>
      <c r="J51" s="6" t="s">
        <v>175</v>
      </c>
      <c r="K51" s="6" t="s">
        <v>175</v>
      </c>
      <c r="L51" s="6" t="s">
        <v>177</v>
      </c>
      <c r="M51" s="6" t="s">
        <v>178</v>
      </c>
      <c r="N51" s="6" t="s">
        <v>58</v>
      </c>
      <c r="O51" s="12" t="s">
        <v>179</v>
      </c>
      <c r="P51" s="6" t="s">
        <v>180</v>
      </c>
      <c r="Q51" s="6" t="s">
        <v>202</v>
      </c>
    </row>
    <row r="52" spans="1:17" ht="32" x14ac:dyDescent="0.2">
      <c r="A52" s="10" t="s">
        <v>206</v>
      </c>
      <c r="B52" s="6" t="s">
        <v>207</v>
      </c>
      <c r="C52" s="6" t="s">
        <v>208</v>
      </c>
      <c r="D52" s="11">
        <v>3.5000000000000003E-2</v>
      </c>
      <c r="E52" s="6" t="s">
        <v>174</v>
      </c>
      <c r="F52" s="6" t="s">
        <v>175</v>
      </c>
      <c r="G52" s="6" t="s">
        <v>175</v>
      </c>
      <c r="H52" s="6" t="s">
        <v>176</v>
      </c>
      <c r="I52" s="6" t="s">
        <v>175</v>
      </c>
      <c r="J52" s="6" t="s">
        <v>175</v>
      </c>
      <c r="K52" s="6" t="s">
        <v>175</v>
      </c>
      <c r="L52" s="6" t="s">
        <v>177</v>
      </c>
      <c r="M52" s="6" t="s">
        <v>178</v>
      </c>
      <c r="N52" s="6" t="s">
        <v>58</v>
      </c>
      <c r="O52" s="12" t="s">
        <v>179</v>
      </c>
      <c r="P52" s="6" t="s">
        <v>180</v>
      </c>
      <c r="Q52" s="6" t="s">
        <v>202</v>
      </c>
    </row>
    <row r="53" spans="1:17" ht="32" x14ac:dyDescent="0.2">
      <c r="A53" s="10" t="s">
        <v>209</v>
      </c>
      <c r="B53" s="6" t="s">
        <v>210</v>
      </c>
      <c r="C53" s="6" t="s">
        <v>211</v>
      </c>
      <c r="D53" s="11">
        <v>-0.01</v>
      </c>
      <c r="E53" s="6" t="s">
        <v>174</v>
      </c>
      <c r="F53" s="6" t="s">
        <v>175</v>
      </c>
      <c r="G53" s="6" t="s">
        <v>175</v>
      </c>
      <c r="H53" s="6" t="s">
        <v>176</v>
      </c>
      <c r="I53" s="6" t="s">
        <v>175</v>
      </c>
      <c r="J53" s="6" t="s">
        <v>175</v>
      </c>
      <c r="K53" s="6" t="s">
        <v>175</v>
      </c>
      <c r="L53" s="6" t="s">
        <v>177</v>
      </c>
      <c r="M53" s="6" t="s">
        <v>178</v>
      </c>
      <c r="N53" s="6" t="s">
        <v>58</v>
      </c>
      <c r="O53" s="12" t="s">
        <v>179</v>
      </c>
      <c r="P53" s="6" t="s">
        <v>180</v>
      </c>
      <c r="Q53" s="6" t="s">
        <v>212</v>
      </c>
    </row>
    <row r="54" spans="1:17" ht="32" x14ac:dyDescent="0.2">
      <c r="A54" s="10" t="s">
        <v>213</v>
      </c>
      <c r="B54" s="6" t="s">
        <v>214</v>
      </c>
      <c r="C54" s="6" t="s">
        <v>215</v>
      </c>
      <c r="D54" s="11">
        <v>0.02</v>
      </c>
      <c r="E54" s="6" t="s">
        <v>174</v>
      </c>
      <c r="F54" s="6" t="s">
        <v>175</v>
      </c>
      <c r="G54" s="6" t="s">
        <v>175</v>
      </c>
      <c r="H54" s="6" t="s">
        <v>176</v>
      </c>
      <c r="I54" s="6" t="s">
        <v>175</v>
      </c>
      <c r="J54" s="6" t="s">
        <v>175</v>
      </c>
      <c r="K54" s="6" t="s">
        <v>175</v>
      </c>
      <c r="L54" s="6" t="s">
        <v>177</v>
      </c>
      <c r="M54" s="6" t="s">
        <v>178</v>
      </c>
      <c r="N54" s="6" t="s">
        <v>58</v>
      </c>
      <c r="O54" s="12" t="s">
        <v>179</v>
      </c>
      <c r="P54" s="6" t="s">
        <v>180</v>
      </c>
      <c r="Q54" s="6" t="s">
        <v>212</v>
      </c>
    </row>
    <row r="55" spans="1:17" ht="32" x14ac:dyDescent="0.2">
      <c r="A55" s="10" t="s">
        <v>216</v>
      </c>
      <c r="B55" s="6" t="s">
        <v>217</v>
      </c>
      <c r="C55" s="6" t="s">
        <v>218</v>
      </c>
      <c r="D55" s="11">
        <v>0.04</v>
      </c>
      <c r="E55" s="6" t="s">
        <v>174</v>
      </c>
      <c r="F55" s="6" t="s">
        <v>175</v>
      </c>
      <c r="G55" s="6" t="s">
        <v>175</v>
      </c>
      <c r="H55" s="6" t="s">
        <v>176</v>
      </c>
      <c r="I55" s="6" t="s">
        <v>175</v>
      </c>
      <c r="J55" s="6" t="s">
        <v>175</v>
      </c>
      <c r="K55" s="6" t="s">
        <v>175</v>
      </c>
      <c r="L55" s="6" t="s">
        <v>177</v>
      </c>
      <c r="M55" s="6" t="s">
        <v>178</v>
      </c>
      <c r="N55" s="6" t="s">
        <v>58</v>
      </c>
      <c r="O55" s="12" t="s">
        <v>179</v>
      </c>
      <c r="P55" s="6" t="s">
        <v>180</v>
      </c>
      <c r="Q55" s="6" t="s">
        <v>212</v>
      </c>
    </row>
    <row r="56" spans="1:17" ht="32" x14ac:dyDescent="0.2">
      <c r="A56" s="10" t="s">
        <v>219</v>
      </c>
      <c r="B56" s="6" t="s">
        <v>220</v>
      </c>
      <c r="C56" s="6" t="s">
        <v>221</v>
      </c>
      <c r="D56" s="11">
        <v>-0.02</v>
      </c>
      <c r="E56" s="6" t="s">
        <v>174</v>
      </c>
      <c r="F56" s="6" t="s">
        <v>175</v>
      </c>
      <c r="G56" s="6" t="s">
        <v>175</v>
      </c>
      <c r="H56" s="6" t="s">
        <v>176</v>
      </c>
      <c r="I56" s="6" t="s">
        <v>175</v>
      </c>
      <c r="J56" s="6" t="s">
        <v>175</v>
      </c>
      <c r="K56" s="6" t="s">
        <v>175</v>
      </c>
      <c r="L56" s="6" t="s">
        <v>177</v>
      </c>
      <c r="M56" s="6" t="s">
        <v>178</v>
      </c>
      <c r="N56" s="6" t="s">
        <v>58</v>
      </c>
      <c r="O56" s="12" t="s">
        <v>179</v>
      </c>
      <c r="P56" s="6" t="s">
        <v>180</v>
      </c>
      <c r="Q56" s="6" t="s">
        <v>222</v>
      </c>
    </row>
    <row r="57" spans="1:17" ht="32" x14ac:dyDescent="0.2">
      <c r="A57" s="10" t="s">
        <v>223</v>
      </c>
      <c r="B57" s="6" t="s">
        <v>224</v>
      </c>
      <c r="C57" s="6" t="s">
        <v>225</v>
      </c>
      <c r="D57" s="11">
        <v>0.01</v>
      </c>
      <c r="E57" s="6" t="s">
        <v>174</v>
      </c>
      <c r="F57" s="6" t="s">
        <v>175</v>
      </c>
      <c r="G57" s="6" t="s">
        <v>175</v>
      </c>
      <c r="H57" s="6" t="s">
        <v>176</v>
      </c>
      <c r="I57" s="6" t="s">
        <v>175</v>
      </c>
      <c r="J57" s="6" t="s">
        <v>175</v>
      </c>
      <c r="K57" s="6" t="s">
        <v>175</v>
      </c>
      <c r="L57" s="6" t="s">
        <v>177</v>
      </c>
      <c r="M57" s="6" t="s">
        <v>178</v>
      </c>
      <c r="N57" s="6" t="s">
        <v>58</v>
      </c>
      <c r="O57" s="12" t="s">
        <v>179</v>
      </c>
      <c r="P57" s="6" t="s">
        <v>180</v>
      </c>
      <c r="Q57" s="6" t="s">
        <v>222</v>
      </c>
    </row>
    <row r="58" spans="1:17" ht="32" x14ac:dyDescent="0.2">
      <c r="A58" s="10" t="s">
        <v>226</v>
      </c>
      <c r="B58" s="6" t="s">
        <v>227</v>
      </c>
      <c r="C58" s="6" t="s">
        <v>228</v>
      </c>
      <c r="D58" s="11">
        <v>0.03</v>
      </c>
      <c r="E58" s="6" t="s">
        <v>174</v>
      </c>
      <c r="F58" s="6" t="s">
        <v>175</v>
      </c>
      <c r="G58" s="6" t="s">
        <v>175</v>
      </c>
      <c r="H58" s="6" t="s">
        <v>176</v>
      </c>
      <c r="I58" s="6" t="s">
        <v>175</v>
      </c>
      <c r="J58" s="6" t="s">
        <v>175</v>
      </c>
      <c r="K58" s="6" t="s">
        <v>175</v>
      </c>
      <c r="L58" s="6" t="s">
        <v>177</v>
      </c>
      <c r="M58" s="6" t="s">
        <v>178</v>
      </c>
      <c r="N58" s="6" t="s">
        <v>58</v>
      </c>
      <c r="O58" s="12" t="s">
        <v>179</v>
      </c>
      <c r="P58" s="6" t="s">
        <v>180</v>
      </c>
      <c r="Q58" s="6" t="s">
        <v>222</v>
      </c>
    </row>
    <row r="59" spans="1:17" ht="32" x14ac:dyDescent="0.2">
      <c r="A59" s="10" t="s">
        <v>229</v>
      </c>
      <c r="B59" s="6" t="s">
        <v>230</v>
      </c>
      <c r="C59" s="6" t="s">
        <v>231</v>
      </c>
      <c r="D59" s="11">
        <v>0.2</v>
      </c>
      <c r="E59" s="6" t="s">
        <v>232</v>
      </c>
      <c r="F59" s="6" t="s">
        <v>175</v>
      </c>
      <c r="G59" s="6" t="s">
        <v>175</v>
      </c>
      <c r="H59" s="6" t="s">
        <v>176</v>
      </c>
      <c r="I59" s="6" t="s">
        <v>175</v>
      </c>
      <c r="J59" s="6" t="s">
        <v>175</v>
      </c>
      <c r="K59" s="6" t="s">
        <v>175</v>
      </c>
      <c r="L59" s="6" t="s">
        <v>177</v>
      </c>
      <c r="M59" s="6" t="s">
        <v>178</v>
      </c>
      <c r="N59" s="6" t="s">
        <v>58</v>
      </c>
      <c r="O59" s="12" t="s">
        <v>179</v>
      </c>
      <c r="P59" s="6" t="s">
        <v>180</v>
      </c>
      <c r="Q59" s="6" t="s">
        <v>233</v>
      </c>
    </row>
    <row r="60" spans="1:17" ht="32" x14ac:dyDescent="0.2">
      <c r="A60" s="10" t="s">
        <v>234</v>
      </c>
      <c r="B60" s="6" t="s">
        <v>235</v>
      </c>
      <c r="C60" s="6" t="s">
        <v>236</v>
      </c>
      <c r="D60" s="11">
        <v>0.22</v>
      </c>
      <c r="E60" s="6" t="s">
        <v>232</v>
      </c>
      <c r="F60" s="6" t="s">
        <v>175</v>
      </c>
      <c r="G60" s="6" t="s">
        <v>175</v>
      </c>
      <c r="H60" s="6" t="s">
        <v>176</v>
      </c>
      <c r="I60" s="6" t="s">
        <v>175</v>
      </c>
      <c r="J60" s="6" t="s">
        <v>175</v>
      </c>
      <c r="K60" s="6" t="s">
        <v>175</v>
      </c>
      <c r="L60" s="6" t="s">
        <v>177</v>
      </c>
      <c r="M60" s="6" t="s">
        <v>178</v>
      </c>
      <c r="N60" s="6" t="s">
        <v>58</v>
      </c>
      <c r="O60" s="12" t="s">
        <v>179</v>
      </c>
      <c r="P60" s="6" t="s">
        <v>180</v>
      </c>
      <c r="Q60" s="6" t="s">
        <v>233</v>
      </c>
    </row>
    <row r="61" spans="1:17" ht="32" x14ac:dyDescent="0.2">
      <c r="A61" s="10" t="s">
        <v>237</v>
      </c>
      <c r="B61" s="6" t="s">
        <v>238</v>
      </c>
      <c r="C61" s="6" t="s">
        <v>239</v>
      </c>
      <c r="D61" s="11">
        <v>0.24</v>
      </c>
      <c r="E61" s="6" t="s">
        <v>232</v>
      </c>
      <c r="F61" s="6" t="s">
        <v>175</v>
      </c>
      <c r="G61" s="6" t="s">
        <v>175</v>
      </c>
      <c r="H61" s="6" t="s">
        <v>176</v>
      </c>
      <c r="I61" s="6" t="s">
        <v>175</v>
      </c>
      <c r="J61" s="6" t="s">
        <v>175</v>
      </c>
      <c r="K61" s="6" t="s">
        <v>175</v>
      </c>
      <c r="L61" s="6" t="s">
        <v>177</v>
      </c>
      <c r="M61" s="6" t="s">
        <v>178</v>
      </c>
      <c r="N61" s="6" t="s">
        <v>58</v>
      </c>
      <c r="O61" s="12" t="s">
        <v>179</v>
      </c>
      <c r="P61" s="6" t="s">
        <v>180</v>
      </c>
      <c r="Q61" s="6" t="s">
        <v>233</v>
      </c>
    </row>
    <row r="62" spans="1:17" ht="32" x14ac:dyDescent="0.2">
      <c r="A62" s="10" t="s">
        <v>240</v>
      </c>
      <c r="B62" s="6" t="s">
        <v>241</v>
      </c>
      <c r="C62" s="6" t="s">
        <v>242</v>
      </c>
      <c r="D62" s="11">
        <v>0.45</v>
      </c>
      <c r="E62" s="6" t="s">
        <v>232</v>
      </c>
      <c r="F62" s="6" t="s">
        <v>175</v>
      </c>
      <c r="G62" s="6" t="s">
        <v>175</v>
      </c>
      <c r="H62" s="6" t="s">
        <v>176</v>
      </c>
      <c r="I62" s="6" t="s">
        <v>175</v>
      </c>
      <c r="J62" s="6" t="s">
        <v>175</v>
      </c>
      <c r="K62" s="6" t="s">
        <v>175</v>
      </c>
      <c r="L62" s="6" t="s">
        <v>177</v>
      </c>
      <c r="M62" s="6" t="s">
        <v>178</v>
      </c>
      <c r="N62" s="6" t="s">
        <v>58</v>
      </c>
      <c r="O62" s="12" t="s">
        <v>179</v>
      </c>
      <c r="P62" s="6" t="s">
        <v>180</v>
      </c>
      <c r="Q62" s="6" t="s">
        <v>243</v>
      </c>
    </row>
    <row r="63" spans="1:17" ht="32" x14ac:dyDescent="0.2">
      <c r="A63" s="10" t="s">
        <v>244</v>
      </c>
      <c r="B63" s="6" t="s">
        <v>245</v>
      </c>
      <c r="C63" s="6" t="s">
        <v>246</v>
      </c>
      <c r="D63" s="11">
        <v>0.48</v>
      </c>
      <c r="E63" s="6" t="s">
        <v>232</v>
      </c>
      <c r="F63" s="6" t="s">
        <v>175</v>
      </c>
      <c r="G63" s="6" t="s">
        <v>175</v>
      </c>
      <c r="H63" s="6" t="s">
        <v>176</v>
      </c>
      <c r="I63" s="6" t="s">
        <v>175</v>
      </c>
      <c r="J63" s="6" t="s">
        <v>175</v>
      </c>
      <c r="K63" s="6" t="s">
        <v>175</v>
      </c>
      <c r="L63" s="6" t="s">
        <v>177</v>
      </c>
      <c r="M63" s="6" t="s">
        <v>178</v>
      </c>
      <c r="N63" s="6" t="s">
        <v>58</v>
      </c>
      <c r="O63" s="12" t="s">
        <v>179</v>
      </c>
      <c r="P63" s="6" t="s">
        <v>180</v>
      </c>
      <c r="Q63" s="6" t="s">
        <v>243</v>
      </c>
    </row>
    <row r="64" spans="1:17" ht="32" x14ac:dyDescent="0.2">
      <c r="A64" s="10" t="s">
        <v>247</v>
      </c>
      <c r="B64" s="6" t="s">
        <v>248</v>
      </c>
      <c r="C64" s="6" t="s">
        <v>249</v>
      </c>
      <c r="D64" s="11">
        <v>0.5</v>
      </c>
      <c r="E64" s="6" t="s">
        <v>232</v>
      </c>
      <c r="F64" s="6" t="s">
        <v>175</v>
      </c>
      <c r="G64" s="6" t="s">
        <v>175</v>
      </c>
      <c r="H64" s="6" t="s">
        <v>176</v>
      </c>
      <c r="I64" s="6" t="s">
        <v>175</v>
      </c>
      <c r="J64" s="6" t="s">
        <v>175</v>
      </c>
      <c r="K64" s="6" t="s">
        <v>175</v>
      </c>
      <c r="L64" s="6" t="s">
        <v>177</v>
      </c>
      <c r="M64" s="6" t="s">
        <v>178</v>
      </c>
      <c r="N64" s="6" t="s">
        <v>58</v>
      </c>
      <c r="O64" s="12" t="s">
        <v>179</v>
      </c>
      <c r="P64" s="6" t="s">
        <v>180</v>
      </c>
      <c r="Q64" s="6" t="s">
        <v>243</v>
      </c>
    </row>
    <row r="65" spans="1:17" ht="32" x14ac:dyDescent="0.2">
      <c r="A65" s="10" t="s">
        <v>250</v>
      </c>
      <c r="B65" s="6" t="s">
        <v>251</v>
      </c>
      <c r="C65" s="6" t="s">
        <v>252</v>
      </c>
      <c r="D65" s="11">
        <v>0.15</v>
      </c>
      <c r="E65" s="6" t="s">
        <v>232</v>
      </c>
      <c r="F65" s="6" t="s">
        <v>175</v>
      </c>
      <c r="G65" s="6" t="s">
        <v>175</v>
      </c>
      <c r="H65" s="6" t="s">
        <v>176</v>
      </c>
      <c r="I65" s="6" t="s">
        <v>175</v>
      </c>
      <c r="J65" s="6" t="s">
        <v>175</v>
      </c>
      <c r="K65" s="6" t="s">
        <v>175</v>
      </c>
      <c r="L65" s="6" t="s">
        <v>177</v>
      </c>
      <c r="M65" s="6" t="s">
        <v>178</v>
      </c>
      <c r="N65" s="6" t="s">
        <v>58</v>
      </c>
      <c r="O65" s="12" t="s">
        <v>179</v>
      </c>
      <c r="P65" s="6" t="s">
        <v>180</v>
      </c>
      <c r="Q65" s="6" t="s">
        <v>253</v>
      </c>
    </row>
    <row r="66" spans="1:17" ht="32" x14ac:dyDescent="0.2">
      <c r="A66" s="10" t="s">
        <v>254</v>
      </c>
      <c r="B66" s="6" t="s">
        <v>255</v>
      </c>
      <c r="C66" s="6" t="s">
        <v>256</v>
      </c>
      <c r="D66" s="11">
        <v>0.153</v>
      </c>
      <c r="E66" s="6" t="s">
        <v>232</v>
      </c>
      <c r="F66" s="6" t="s">
        <v>175</v>
      </c>
      <c r="G66" s="6" t="s">
        <v>175</v>
      </c>
      <c r="H66" s="6" t="s">
        <v>176</v>
      </c>
      <c r="I66" s="6" t="s">
        <v>175</v>
      </c>
      <c r="J66" s="6" t="s">
        <v>175</v>
      </c>
      <c r="K66" s="6" t="s">
        <v>175</v>
      </c>
      <c r="L66" s="6" t="s">
        <v>177</v>
      </c>
      <c r="M66" s="6" t="s">
        <v>178</v>
      </c>
      <c r="N66" s="6" t="s">
        <v>58</v>
      </c>
      <c r="O66" s="12" t="s">
        <v>179</v>
      </c>
      <c r="P66" s="6" t="s">
        <v>180</v>
      </c>
      <c r="Q66" s="6" t="s">
        <v>253</v>
      </c>
    </row>
    <row r="67" spans="1:17" ht="32" x14ac:dyDescent="0.2">
      <c r="A67" s="10" t="s">
        <v>257</v>
      </c>
      <c r="B67" s="6" t="s">
        <v>258</v>
      </c>
      <c r="C67" s="6" t="s">
        <v>259</v>
      </c>
      <c r="D67" s="11">
        <v>0.155</v>
      </c>
      <c r="E67" s="6" t="s">
        <v>232</v>
      </c>
      <c r="F67" s="6" t="s">
        <v>175</v>
      </c>
      <c r="G67" s="6" t="s">
        <v>175</v>
      </c>
      <c r="H67" s="6" t="s">
        <v>176</v>
      </c>
      <c r="I67" s="6" t="s">
        <v>175</v>
      </c>
      <c r="J67" s="6" t="s">
        <v>175</v>
      </c>
      <c r="K67" s="6" t="s">
        <v>175</v>
      </c>
      <c r="L67" s="6" t="s">
        <v>177</v>
      </c>
      <c r="M67" s="6" t="s">
        <v>178</v>
      </c>
      <c r="N67" s="6" t="s">
        <v>58</v>
      </c>
      <c r="O67" s="12" t="s">
        <v>179</v>
      </c>
      <c r="P67" s="6" t="s">
        <v>180</v>
      </c>
      <c r="Q67" s="6" t="s">
        <v>253</v>
      </c>
    </row>
    <row r="68" spans="1:17" ht="32" x14ac:dyDescent="0.2">
      <c r="A68" s="10" t="s">
        <v>260</v>
      </c>
      <c r="B68" s="6" t="s">
        <v>261</v>
      </c>
      <c r="C68" s="6" t="s">
        <v>262</v>
      </c>
      <c r="D68" s="11">
        <v>0.13</v>
      </c>
      <c r="E68" s="6" t="s">
        <v>232</v>
      </c>
      <c r="F68" s="6" t="s">
        <v>175</v>
      </c>
      <c r="G68" s="6" t="s">
        <v>175</v>
      </c>
      <c r="H68" s="6" t="s">
        <v>176</v>
      </c>
      <c r="I68" s="6" t="s">
        <v>175</v>
      </c>
      <c r="J68" s="6" t="s">
        <v>175</v>
      </c>
      <c r="K68" s="6" t="s">
        <v>175</v>
      </c>
      <c r="L68" s="6" t="s">
        <v>177</v>
      </c>
      <c r="M68" s="6" t="s">
        <v>178</v>
      </c>
      <c r="N68" s="6" t="s">
        <v>58</v>
      </c>
      <c r="O68" s="12" t="s">
        <v>179</v>
      </c>
      <c r="P68" s="6" t="s">
        <v>180</v>
      </c>
      <c r="Q68" s="6" t="s">
        <v>263</v>
      </c>
    </row>
    <row r="69" spans="1:17" ht="32" x14ac:dyDescent="0.2">
      <c r="A69" s="10" t="s">
        <v>264</v>
      </c>
      <c r="B69" s="6" t="s">
        <v>265</v>
      </c>
      <c r="C69" s="6" t="s">
        <v>266</v>
      </c>
      <c r="D69" s="11">
        <v>0.113</v>
      </c>
      <c r="E69" s="6" t="s">
        <v>232</v>
      </c>
      <c r="F69" s="6" t="s">
        <v>175</v>
      </c>
      <c r="G69" s="6" t="s">
        <v>175</v>
      </c>
      <c r="H69" s="6" t="s">
        <v>176</v>
      </c>
      <c r="I69" s="6" t="s">
        <v>175</v>
      </c>
      <c r="J69" s="6" t="s">
        <v>175</v>
      </c>
      <c r="K69" s="6" t="s">
        <v>175</v>
      </c>
      <c r="L69" s="6" t="s">
        <v>177</v>
      </c>
      <c r="M69" s="6" t="s">
        <v>178</v>
      </c>
      <c r="N69" s="6" t="s">
        <v>58</v>
      </c>
      <c r="O69" s="12" t="s">
        <v>179</v>
      </c>
      <c r="P69" s="6" t="s">
        <v>180</v>
      </c>
      <c r="Q69" s="6" t="s">
        <v>263</v>
      </c>
    </row>
    <row r="70" spans="1:17" ht="32" x14ac:dyDescent="0.2">
      <c r="A70" s="10" t="s">
        <v>267</v>
      </c>
      <c r="B70" s="6" t="s">
        <v>268</v>
      </c>
      <c r="C70" s="6" t="s">
        <v>269</v>
      </c>
      <c r="D70" s="11">
        <v>0.105</v>
      </c>
      <c r="E70" s="6" t="s">
        <v>232</v>
      </c>
      <c r="F70" s="6" t="s">
        <v>175</v>
      </c>
      <c r="G70" s="6" t="s">
        <v>175</v>
      </c>
      <c r="H70" s="6" t="s">
        <v>176</v>
      </c>
      <c r="I70" s="6" t="s">
        <v>175</v>
      </c>
      <c r="J70" s="6" t="s">
        <v>175</v>
      </c>
      <c r="K70" s="6" t="s">
        <v>175</v>
      </c>
      <c r="L70" s="6" t="s">
        <v>177</v>
      </c>
      <c r="M70" s="6" t="s">
        <v>178</v>
      </c>
      <c r="N70" s="6" t="s">
        <v>58</v>
      </c>
      <c r="O70" s="12" t="s">
        <v>179</v>
      </c>
      <c r="P70" s="6" t="s">
        <v>180</v>
      </c>
      <c r="Q70" s="6" t="s">
        <v>263</v>
      </c>
    </row>
    <row r="71" spans="1:17" ht="32" x14ac:dyDescent="0.2">
      <c r="A71" s="10" t="s">
        <v>270</v>
      </c>
      <c r="B71" s="6" t="s">
        <v>271</v>
      </c>
      <c r="C71" s="6" t="s">
        <v>272</v>
      </c>
      <c r="D71" s="11">
        <v>0.26</v>
      </c>
      <c r="E71" s="6" t="s">
        <v>232</v>
      </c>
      <c r="F71" s="6" t="s">
        <v>175</v>
      </c>
      <c r="G71" s="6" t="s">
        <v>175</v>
      </c>
      <c r="H71" s="6" t="s">
        <v>176</v>
      </c>
      <c r="I71" s="6" t="s">
        <v>175</v>
      </c>
      <c r="J71" s="6" t="s">
        <v>175</v>
      </c>
      <c r="K71" s="6" t="s">
        <v>175</v>
      </c>
      <c r="L71" s="6" t="s">
        <v>177</v>
      </c>
      <c r="M71" s="6" t="s">
        <v>178</v>
      </c>
      <c r="N71" s="6" t="s">
        <v>58</v>
      </c>
      <c r="O71" s="12" t="s">
        <v>179</v>
      </c>
      <c r="P71" s="6" t="s">
        <v>180</v>
      </c>
      <c r="Q71" s="6" t="s">
        <v>273</v>
      </c>
    </row>
    <row r="72" spans="1:17" ht="32" x14ac:dyDescent="0.2">
      <c r="A72" s="10" t="s">
        <v>274</v>
      </c>
      <c r="B72" s="6" t="s">
        <v>275</v>
      </c>
      <c r="C72" s="6" t="s">
        <v>276</v>
      </c>
      <c r="D72" s="11">
        <v>0.24</v>
      </c>
      <c r="E72" s="6" t="s">
        <v>232</v>
      </c>
      <c r="F72" s="6" t="s">
        <v>175</v>
      </c>
      <c r="G72" s="6" t="s">
        <v>175</v>
      </c>
      <c r="H72" s="6" t="s">
        <v>176</v>
      </c>
      <c r="I72" s="6" t="s">
        <v>175</v>
      </c>
      <c r="J72" s="6" t="s">
        <v>175</v>
      </c>
      <c r="K72" s="6" t="s">
        <v>175</v>
      </c>
      <c r="L72" s="6" t="s">
        <v>177</v>
      </c>
      <c r="M72" s="6" t="s">
        <v>178</v>
      </c>
      <c r="N72" s="6" t="s">
        <v>58</v>
      </c>
      <c r="O72" s="12" t="s">
        <v>179</v>
      </c>
      <c r="P72" s="6" t="s">
        <v>180</v>
      </c>
      <c r="Q72" s="6" t="s">
        <v>273</v>
      </c>
    </row>
    <row r="73" spans="1:17" ht="32" x14ac:dyDescent="0.2">
      <c r="A73" s="10" t="s">
        <v>277</v>
      </c>
      <c r="B73" s="6" t="s">
        <v>278</v>
      </c>
      <c r="C73" s="6" t="s">
        <v>279</v>
      </c>
      <c r="D73" s="11">
        <v>0.22</v>
      </c>
      <c r="E73" s="6" t="s">
        <v>232</v>
      </c>
      <c r="F73" s="6" t="s">
        <v>175</v>
      </c>
      <c r="G73" s="6" t="s">
        <v>175</v>
      </c>
      <c r="H73" s="6" t="s">
        <v>176</v>
      </c>
      <c r="I73" s="6" t="s">
        <v>175</v>
      </c>
      <c r="J73" s="6" t="s">
        <v>175</v>
      </c>
      <c r="K73" s="6" t="s">
        <v>175</v>
      </c>
      <c r="L73" s="6" t="s">
        <v>177</v>
      </c>
      <c r="M73" s="6" t="s">
        <v>178</v>
      </c>
      <c r="N73" s="6" t="s">
        <v>58</v>
      </c>
      <c r="O73" s="12" t="s">
        <v>179</v>
      </c>
      <c r="P73" s="6" t="s">
        <v>180</v>
      </c>
      <c r="Q73" s="6" t="s">
        <v>273</v>
      </c>
    </row>
    <row r="74" spans="1:17" ht="32" x14ac:dyDescent="0.2">
      <c r="A74" s="10" t="s">
        <v>280</v>
      </c>
      <c r="B74" s="6" t="s">
        <v>281</v>
      </c>
      <c r="C74" s="6" t="s">
        <v>282</v>
      </c>
      <c r="D74" s="11">
        <v>0.02</v>
      </c>
      <c r="E74" s="6" t="s">
        <v>232</v>
      </c>
      <c r="F74" s="6" t="s">
        <v>175</v>
      </c>
      <c r="G74" s="6" t="s">
        <v>175</v>
      </c>
      <c r="H74" s="6" t="s">
        <v>176</v>
      </c>
      <c r="I74" s="6" t="s">
        <v>175</v>
      </c>
      <c r="J74" s="6" t="s">
        <v>175</v>
      </c>
      <c r="K74" s="6" t="s">
        <v>175</v>
      </c>
      <c r="L74" s="6" t="s">
        <v>177</v>
      </c>
      <c r="M74" s="6" t="s">
        <v>178</v>
      </c>
      <c r="N74" s="6" t="s">
        <v>58</v>
      </c>
      <c r="O74" s="12" t="s">
        <v>179</v>
      </c>
      <c r="P74" s="6" t="s">
        <v>180</v>
      </c>
      <c r="Q74" s="6" t="s">
        <v>283</v>
      </c>
    </row>
    <row r="75" spans="1:17" ht="32" x14ac:dyDescent="0.2">
      <c r="A75" s="10" t="s">
        <v>284</v>
      </c>
      <c r="B75" s="6" t="s">
        <v>285</v>
      </c>
      <c r="C75" s="6" t="s">
        <v>286</v>
      </c>
      <c r="D75" s="11">
        <v>0.01</v>
      </c>
      <c r="E75" s="6" t="s">
        <v>232</v>
      </c>
      <c r="F75" s="6" t="s">
        <v>175</v>
      </c>
      <c r="G75" s="6" t="s">
        <v>175</v>
      </c>
      <c r="H75" s="6" t="s">
        <v>176</v>
      </c>
      <c r="I75" s="6" t="s">
        <v>175</v>
      </c>
      <c r="J75" s="6" t="s">
        <v>175</v>
      </c>
      <c r="K75" s="6" t="s">
        <v>175</v>
      </c>
      <c r="L75" s="6" t="s">
        <v>177</v>
      </c>
      <c r="M75" s="6" t="s">
        <v>178</v>
      </c>
      <c r="N75" s="6" t="s">
        <v>58</v>
      </c>
      <c r="O75" s="12" t="s">
        <v>179</v>
      </c>
      <c r="P75" s="6" t="s">
        <v>180</v>
      </c>
      <c r="Q75" s="6" t="s">
        <v>283</v>
      </c>
    </row>
    <row r="76" spans="1:17" ht="32" x14ac:dyDescent="0.2">
      <c r="A76" s="10" t="s">
        <v>287</v>
      </c>
      <c r="B76" s="6" t="s">
        <v>288</v>
      </c>
      <c r="C76" s="6" t="s">
        <v>289</v>
      </c>
      <c r="D76" s="11">
        <v>5.0000000000000001E-3</v>
      </c>
      <c r="E76" s="6" t="s">
        <v>232</v>
      </c>
      <c r="F76" s="6" t="s">
        <v>175</v>
      </c>
      <c r="G76" s="6" t="s">
        <v>175</v>
      </c>
      <c r="H76" s="6" t="s">
        <v>176</v>
      </c>
      <c r="I76" s="6" t="s">
        <v>175</v>
      </c>
      <c r="J76" s="6" t="s">
        <v>175</v>
      </c>
      <c r="K76" s="6" t="s">
        <v>175</v>
      </c>
      <c r="L76" s="6" t="s">
        <v>177</v>
      </c>
      <c r="M76" s="6" t="s">
        <v>178</v>
      </c>
      <c r="N76" s="6" t="s">
        <v>58</v>
      </c>
      <c r="O76" s="12" t="s">
        <v>179</v>
      </c>
      <c r="P76" s="6" t="s">
        <v>180</v>
      </c>
      <c r="Q76" s="6" t="s">
        <v>283</v>
      </c>
    </row>
    <row r="77" spans="1:17" ht="32" x14ac:dyDescent="0.2">
      <c r="A77" s="10" t="s">
        <v>290</v>
      </c>
      <c r="B77" s="6" t="s">
        <v>291</v>
      </c>
      <c r="C77" s="6" t="s">
        <v>292</v>
      </c>
      <c r="D77" s="11">
        <v>0.02</v>
      </c>
      <c r="E77" s="6" t="s">
        <v>232</v>
      </c>
      <c r="F77" s="6" t="s">
        <v>175</v>
      </c>
      <c r="G77" s="6" t="s">
        <v>175</v>
      </c>
      <c r="H77" s="6" t="s">
        <v>176</v>
      </c>
      <c r="I77" s="6" t="s">
        <v>175</v>
      </c>
      <c r="J77" s="6" t="s">
        <v>175</v>
      </c>
      <c r="K77" s="6" t="s">
        <v>175</v>
      </c>
      <c r="L77" s="6" t="s">
        <v>177</v>
      </c>
      <c r="M77" s="6" t="s">
        <v>178</v>
      </c>
      <c r="N77" s="6" t="s">
        <v>58</v>
      </c>
      <c r="O77" s="12" t="s">
        <v>179</v>
      </c>
      <c r="P77" s="6" t="s">
        <v>180</v>
      </c>
      <c r="Q77" s="6" t="s">
        <v>293</v>
      </c>
    </row>
    <row r="78" spans="1:17" ht="32" x14ac:dyDescent="0.2">
      <c r="A78" s="10" t="s">
        <v>294</v>
      </c>
      <c r="B78" s="6" t="s">
        <v>295</v>
      </c>
      <c r="C78" s="6" t="s">
        <v>296</v>
      </c>
      <c r="D78" s="11">
        <v>0.05</v>
      </c>
      <c r="E78" s="6" t="s">
        <v>232</v>
      </c>
      <c r="F78" s="6" t="s">
        <v>175</v>
      </c>
      <c r="G78" s="6" t="s">
        <v>175</v>
      </c>
      <c r="H78" s="6" t="s">
        <v>176</v>
      </c>
      <c r="I78" s="6" t="s">
        <v>175</v>
      </c>
      <c r="J78" s="6" t="s">
        <v>175</v>
      </c>
      <c r="K78" s="6" t="s">
        <v>175</v>
      </c>
      <c r="L78" s="6" t="s">
        <v>177</v>
      </c>
      <c r="M78" s="6" t="s">
        <v>178</v>
      </c>
      <c r="N78" s="6" t="s">
        <v>58</v>
      </c>
      <c r="O78" s="12" t="s">
        <v>179</v>
      </c>
      <c r="P78" s="6" t="s">
        <v>180</v>
      </c>
      <c r="Q78" s="6" t="s">
        <v>293</v>
      </c>
    </row>
    <row r="79" spans="1:17" ht="32" x14ac:dyDescent="0.2">
      <c r="A79" s="10" t="s">
        <v>297</v>
      </c>
      <c r="B79" s="6" t="s">
        <v>298</v>
      </c>
      <c r="C79" s="6" t="s">
        <v>299</v>
      </c>
      <c r="D79" s="11">
        <v>0.08</v>
      </c>
      <c r="E79" s="6" t="s">
        <v>232</v>
      </c>
      <c r="F79" s="6" t="s">
        <v>175</v>
      </c>
      <c r="G79" s="6" t="s">
        <v>175</v>
      </c>
      <c r="H79" s="6" t="s">
        <v>176</v>
      </c>
      <c r="I79" s="6" t="s">
        <v>175</v>
      </c>
      <c r="J79" s="6" t="s">
        <v>175</v>
      </c>
      <c r="K79" s="6" t="s">
        <v>175</v>
      </c>
      <c r="L79" s="6" t="s">
        <v>177</v>
      </c>
      <c r="M79" s="6" t="s">
        <v>178</v>
      </c>
      <c r="N79" s="6" t="s">
        <v>58</v>
      </c>
      <c r="O79" s="12" t="s">
        <v>179</v>
      </c>
      <c r="P79" s="6" t="s">
        <v>180</v>
      </c>
      <c r="Q79" s="6" t="s">
        <v>293</v>
      </c>
    </row>
    <row r="80" spans="1:17" ht="32" x14ac:dyDescent="0.2">
      <c r="A80" s="10" t="s">
        <v>300</v>
      </c>
      <c r="B80" s="6" t="s">
        <v>301</v>
      </c>
      <c r="C80" s="6" t="s">
        <v>302</v>
      </c>
      <c r="D80" s="11">
        <v>0.105</v>
      </c>
      <c r="E80" s="6" t="s">
        <v>232</v>
      </c>
      <c r="F80" s="6" t="s">
        <v>175</v>
      </c>
      <c r="G80" s="6" t="s">
        <v>175</v>
      </c>
      <c r="H80" s="6" t="s">
        <v>176</v>
      </c>
      <c r="I80" s="6" t="s">
        <v>175</v>
      </c>
      <c r="J80" s="6" t="s">
        <v>175</v>
      </c>
      <c r="K80" s="6" t="s">
        <v>175</v>
      </c>
      <c r="L80" s="6" t="s">
        <v>177</v>
      </c>
      <c r="M80" s="6" t="s">
        <v>178</v>
      </c>
      <c r="N80" s="6" t="s">
        <v>58</v>
      </c>
      <c r="O80" s="12" t="s">
        <v>179</v>
      </c>
      <c r="P80" s="6" t="s">
        <v>180</v>
      </c>
      <c r="Q80" s="6" t="s">
        <v>303</v>
      </c>
    </row>
    <row r="81" spans="1:17" ht="32" x14ac:dyDescent="0.2">
      <c r="A81" s="10" t="s">
        <v>304</v>
      </c>
      <c r="B81" s="6" t="s">
        <v>305</v>
      </c>
      <c r="C81" s="6" t="s">
        <v>306</v>
      </c>
      <c r="D81" s="11">
        <v>9.5000000000000001E-2</v>
      </c>
      <c r="E81" s="6" t="s">
        <v>232</v>
      </c>
      <c r="F81" s="6" t="s">
        <v>175</v>
      </c>
      <c r="G81" s="6" t="s">
        <v>175</v>
      </c>
      <c r="H81" s="6" t="s">
        <v>176</v>
      </c>
      <c r="I81" s="6" t="s">
        <v>175</v>
      </c>
      <c r="J81" s="6" t="s">
        <v>175</v>
      </c>
      <c r="K81" s="6" t="s">
        <v>175</v>
      </c>
      <c r="L81" s="6" t="s">
        <v>177</v>
      </c>
      <c r="M81" s="6" t="s">
        <v>178</v>
      </c>
      <c r="N81" s="6" t="s">
        <v>58</v>
      </c>
      <c r="O81" s="12" t="s">
        <v>179</v>
      </c>
      <c r="P81" s="6" t="s">
        <v>180</v>
      </c>
      <c r="Q81" s="6" t="s">
        <v>303</v>
      </c>
    </row>
    <row r="82" spans="1:17" ht="32" x14ac:dyDescent="0.2">
      <c r="A82" s="10" t="s">
        <v>307</v>
      </c>
      <c r="B82" s="6" t="s">
        <v>308</v>
      </c>
      <c r="C82" s="6" t="s">
        <v>309</v>
      </c>
      <c r="D82" s="11">
        <v>8.5000000000000006E-2</v>
      </c>
      <c r="E82" s="6" t="s">
        <v>232</v>
      </c>
      <c r="F82" s="6" t="s">
        <v>175</v>
      </c>
      <c r="G82" s="6" t="s">
        <v>175</v>
      </c>
      <c r="H82" s="6" t="s">
        <v>176</v>
      </c>
      <c r="I82" s="6" t="s">
        <v>175</v>
      </c>
      <c r="J82" s="6" t="s">
        <v>175</v>
      </c>
      <c r="K82" s="6" t="s">
        <v>175</v>
      </c>
      <c r="L82" s="6" t="s">
        <v>177</v>
      </c>
      <c r="M82" s="6" t="s">
        <v>178</v>
      </c>
      <c r="N82" s="6" t="s">
        <v>58</v>
      </c>
      <c r="O82" s="12" t="s">
        <v>179</v>
      </c>
      <c r="P82" s="6" t="s">
        <v>180</v>
      </c>
      <c r="Q82" s="6" t="s">
        <v>303</v>
      </c>
    </row>
    <row r="83" spans="1:17" ht="32" x14ac:dyDescent="0.2">
      <c r="A83" s="10" t="s">
        <v>310</v>
      </c>
      <c r="B83" s="6" t="s">
        <v>311</v>
      </c>
      <c r="C83" s="6" t="s">
        <v>312</v>
      </c>
      <c r="D83" s="11">
        <v>0.02</v>
      </c>
      <c r="E83" s="6" t="s">
        <v>232</v>
      </c>
      <c r="F83" s="6" t="s">
        <v>175</v>
      </c>
      <c r="G83" s="6" t="s">
        <v>175</v>
      </c>
      <c r="H83" s="6" t="s">
        <v>176</v>
      </c>
      <c r="I83" s="6" t="s">
        <v>175</v>
      </c>
      <c r="J83" s="6" t="s">
        <v>175</v>
      </c>
      <c r="K83" s="6" t="s">
        <v>175</v>
      </c>
      <c r="L83" s="6" t="s">
        <v>177</v>
      </c>
      <c r="M83" s="6" t="s">
        <v>178</v>
      </c>
      <c r="N83" s="6" t="s">
        <v>58</v>
      </c>
      <c r="O83" s="12" t="s">
        <v>179</v>
      </c>
      <c r="P83" s="6" t="s">
        <v>180</v>
      </c>
      <c r="Q83" s="6" t="s">
        <v>313</v>
      </c>
    </row>
    <row r="84" spans="1:17" ht="32" x14ac:dyDescent="0.2">
      <c r="A84" s="10" t="s">
        <v>314</v>
      </c>
      <c r="B84" s="6" t="s">
        <v>315</v>
      </c>
      <c r="C84" s="6" t="s">
        <v>316</v>
      </c>
      <c r="D84" s="11">
        <v>2.5000000000000001E-2</v>
      </c>
      <c r="E84" s="6" t="s">
        <v>232</v>
      </c>
      <c r="F84" s="6" t="s">
        <v>175</v>
      </c>
      <c r="G84" s="6" t="s">
        <v>175</v>
      </c>
      <c r="H84" s="6" t="s">
        <v>176</v>
      </c>
      <c r="I84" s="6" t="s">
        <v>175</v>
      </c>
      <c r="J84" s="6" t="s">
        <v>175</v>
      </c>
      <c r="K84" s="6" t="s">
        <v>175</v>
      </c>
      <c r="L84" s="6" t="s">
        <v>177</v>
      </c>
      <c r="M84" s="6" t="s">
        <v>178</v>
      </c>
      <c r="N84" s="6" t="s">
        <v>58</v>
      </c>
      <c r="O84" s="12" t="s">
        <v>179</v>
      </c>
      <c r="P84" s="6" t="s">
        <v>180</v>
      </c>
      <c r="Q84" s="6" t="s">
        <v>313</v>
      </c>
    </row>
    <row r="85" spans="1:17" ht="32" x14ac:dyDescent="0.2">
      <c r="A85" s="10" t="s">
        <v>317</v>
      </c>
      <c r="B85" s="6" t="s">
        <v>318</v>
      </c>
      <c r="C85" s="6" t="s">
        <v>319</v>
      </c>
      <c r="D85" s="11">
        <v>0.03</v>
      </c>
      <c r="E85" s="6" t="s">
        <v>232</v>
      </c>
      <c r="F85" s="6" t="s">
        <v>175</v>
      </c>
      <c r="G85" s="6" t="s">
        <v>175</v>
      </c>
      <c r="H85" s="6" t="s">
        <v>176</v>
      </c>
      <c r="I85" s="6" t="s">
        <v>175</v>
      </c>
      <c r="J85" s="6" t="s">
        <v>175</v>
      </c>
      <c r="K85" s="6" t="s">
        <v>175</v>
      </c>
      <c r="L85" s="6" t="s">
        <v>177</v>
      </c>
      <c r="M85" s="6" t="s">
        <v>178</v>
      </c>
      <c r="N85" s="6" t="s">
        <v>58</v>
      </c>
      <c r="O85" s="12" t="s">
        <v>179</v>
      </c>
      <c r="P85" s="6" t="s">
        <v>180</v>
      </c>
      <c r="Q85" s="6" t="s">
        <v>313</v>
      </c>
    </row>
    <row r="86" spans="1:17" ht="32" x14ac:dyDescent="0.2">
      <c r="A86" s="10" t="s">
        <v>320</v>
      </c>
      <c r="B86" s="6" t="s">
        <v>321</v>
      </c>
      <c r="C86" s="6" t="s">
        <v>322</v>
      </c>
      <c r="D86" s="11">
        <v>6.5</v>
      </c>
      <c r="E86" s="6" t="s">
        <v>323</v>
      </c>
      <c r="F86" s="6" t="s">
        <v>175</v>
      </c>
      <c r="G86" s="6" t="s">
        <v>175</v>
      </c>
      <c r="H86" s="6" t="s">
        <v>176</v>
      </c>
      <c r="I86" s="6" t="s">
        <v>175</v>
      </c>
      <c r="J86" s="6" t="s">
        <v>175</v>
      </c>
      <c r="K86" s="6" t="s">
        <v>175</v>
      </c>
      <c r="L86" s="6" t="s">
        <v>177</v>
      </c>
      <c r="M86" s="6" t="s">
        <v>178</v>
      </c>
      <c r="N86" s="6" t="s">
        <v>58</v>
      </c>
      <c r="O86" s="12" t="s">
        <v>179</v>
      </c>
      <c r="P86" s="6" t="s">
        <v>180</v>
      </c>
      <c r="Q86" s="6" t="s">
        <v>324</v>
      </c>
    </row>
    <row r="87" spans="1:17" ht="32" x14ac:dyDescent="0.2">
      <c r="A87" s="10" t="s">
        <v>325</v>
      </c>
      <c r="B87" s="6" t="s">
        <v>326</v>
      </c>
      <c r="C87" s="6" t="s">
        <v>327</v>
      </c>
      <c r="D87" s="11">
        <v>7</v>
      </c>
      <c r="E87" s="6" t="s">
        <v>323</v>
      </c>
      <c r="F87" s="6" t="s">
        <v>175</v>
      </c>
      <c r="G87" s="6" t="s">
        <v>175</v>
      </c>
      <c r="H87" s="6" t="s">
        <v>176</v>
      </c>
      <c r="I87" s="6" t="s">
        <v>175</v>
      </c>
      <c r="J87" s="6" t="s">
        <v>175</v>
      </c>
      <c r="K87" s="6" t="s">
        <v>175</v>
      </c>
      <c r="L87" s="6" t="s">
        <v>177</v>
      </c>
      <c r="M87" s="6" t="s">
        <v>178</v>
      </c>
      <c r="N87" s="6" t="s">
        <v>58</v>
      </c>
      <c r="O87" s="12" t="s">
        <v>179</v>
      </c>
      <c r="P87" s="6" t="s">
        <v>180</v>
      </c>
      <c r="Q87" s="6" t="s">
        <v>324</v>
      </c>
    </row>
    <row r="88" spans="1:17" ht="32" x14ac:dyDescent="0.2">
      <c r="A88" s="10" t="s">
        <v>328</v>
      </c>
      <c r="B88" s="6" t="s">
        <v>329</v>
      </c>
      <c r="C88" s="6" t="s">
        <v>330</v>
      </c>
      <c r="D88" s="11">
        <v>7.5</v>
      </c>
      <c r="E88" s="6" t="s">
        <v>323</v>
      </c>
      <c r="F88" s="6" t="s">
        <v>175</v>
      </c>
      <c r="G88" s="6" t="s">
        <v>175</v>
      </c>
      <c r="H88" s="6" t="s">
        <v>176</v>
      </c>
      <c r="I88" s="6" t="s">
        <v>175</v>
      </c>
      <c r="J88" s="6" t="s">
        <v>175</v>
      </c>
      <c r="K88" s="6" t="s">
        <v>175</v>
      </c>
      <c r="L88" s="6" t="s">
        <v>177</v>
      </c>
      <c r="M88" s="6" t="s">
        <v>178</v>
      </c>
      <c r="N88" s="6" t="s">
        <v>58</v>
      </c>
      <c r="O88" s="12" t="s">
        <v>179</v>
      </c>
      <c r="P88" s="6" t="s">
        <v>180</v>
      </c>
      <c r="Q88" s="6" t="s">
        <v>324</v>
      </c>
    </row>
    <row r="89" spans="1:17" ht="48" x14ac:dyDescent="0.2">
      <c r="A89" s="10" t="s">
        <v>331</v>
      </c>
      <c r="B89" s="6" t="s">
        <v>332</v>
      </c>
      <c r="C89" s="6" t="s">
        <v>333</v>
      </c>
      <c r="D89" s="11">
        <v>75.936000000000007</v>
      </c>
      <c r="E89" s="6" t="s">
        <v>334</v>
      </c>
      <c r="F89" s="6" t="s">
        <v>175</v>
      </c>
      <c r="G89" s="6" t="s">
        <v>7</v>
      </c>
      <c r="H89" s="6" t="s">
        <v>335</v>
      </c>
      <c r="I89" s="6" t="s">
        <v>53</v>
      </c>
      <c r="J89" s="6" t="s">
        <v>54</v>
      </c>
      <c r="K89" s="6" t="s">
        <v>55</v>
      </c>
      <c r="L89" s="6" t="s">
        <v>336</v>
      </c>
      <c r="M89" s="6" t="s">
        <v>57</v>
      </c>
      <c r="N89" s="6" t="s">
        <v>58</v>
      </c>
      <c r="O89" s="12" t="s">
        <v>179</v>
      </c>
      <c r="P89" s="6" t="s">
        <v>337</v>
      </c>
      <c r="Q89" s="6" t="s">
        <v>23</v>
      </c>
    </row>
    <row r="90" spans="1:17" ht="48" x14ac:dyDescent="0.2">
      <c r="A90" s="10" t="s">
        <v>338</v>
      </c>
      <c r="B90" s="6" t="s">
        <v>339</v>
      </c>
      <c r="C90" s="6" t="s">
        <v>340</v>
      </c>
      <c r="D90" s="11">
        <v>79.013000000000005</v>
      </c>
      <c r="E90" s="6" t="s">
        <v>334</v>
      </c>
      <c r="F90" s="6" t="s">
        <v>175</v>
      </c>
      <c r="G90" s="6" t="s">
        <v>7</v>
      </c>
      <c r="H90" s="6" t="s">
        <v>341</v>
      </c>
      <c r="I90" s="6" t="s">
        <v>53</v>
      </c>
      <c r="J90" s="6" t="s">
        <v>54</v>
      </c>
      <c r="K90" s="6" t="s">
        <v>55</v>
      </c>
      <c r="L90" s="6" t="s">
        <v>336</v>
      </c>
      <c r="M90" s="6" t="s">
        <v>57</v>
      </c>
      <c r="N90" s="6" t="s">
        <v>58</v>
      </c>
      <c r="O90" s="12" t="s">
        <v>179</v>
      </c>
      <c r="P90" s="6" t="s">
        <v>337</v>
      </c>
      <c r="Q90" s="6" t="s">
        <v>23</v>
      </c>
    </row>
    <row r="91" spans="1:17" ht="48" x14ac:dyDescent="0.2">
      <c r="A91" s="10" t="s">
        <v>342</v>
      </c>
      <c r="B91" s="6" t="s">
        <v>343</v>
      </c>
      <c r="C91" s="6" t="s">
        <v>344</v>
      </c>
      <c r="D91" s="11">
        <v>85.593999999999994</v>
      </c>
      <c r="E91" s="6" t="s">
        <v>334</v>
      </c>
      <c r="F91" s="6" t="s">
        <v>175</v>
      </c>
      <c r="G91" s="6" t="s">
        <v>7</v>
      </c>
      <c r="H91" s="6" t="s">
        <v>345</v>
      </c>
      <c r="I91" s="6" t="s">
        <v>53</v>
      </c>
      <c r="J91" s="6" t="s">
        <v>54</v>
      </c>
      <c r="K91" s="6" t="s">
        <v>55</v>
      </c>
      <c r="L91" s="6" t="s">
        <v>336</v>
      </c>
      <c r="M91" s="6" t="s">
        <v>57</v>
      </c>
      <c r="N91" s="6" t="s">
        <v>58</v>
      </c>
      <c r="O91" s="12" t="s">
        <v>179</v>
      </c>
      <c r="P91" s="6" t="s">
        <v>337</v>
      </c>
      <c r="Q91" s="6" t="s">
        <v>23</v>
      </c>
    </row>
    <row r="92" spans="1:17" ht="48" x14ac:dyDescent="0.2">
      <c r="A92" s="10" t="s">
        <v>346</v>
      </c>
      <c r="B92" s="6" t="s">
        <v>347</v>
      </c>
      <c r="C92" s="6" t="s">
        <v>348</v>
      </c>
      <c r="D92" s="11">
        <v>48.83</v>
      </c>
      <c r="E92" s="6" t="s">
        <v>349</v>
      </c>
      <c r="F92" s="6" t="s">
        <v>175</v>
      </c>
      <c r="G92" s="6" t="s">
        <v>7</v>
      </c>
      <c r="H92" s="6" t="s">
        <v>350</v>
      </c>
      <c r="I92" s="6" t="s">
        <v>53</v>
      </c>
      <c r="J92" s="6" t="s">
        <v>54</v>
      </c>
      <c r="K92" s="6" t="s">
        <v>55</v>
      </c>
      <c r="L92" s="6" t="s">
        <v>336</v>
      </c>
      <c r="M92" s="6" t="s">
        <v>57</v>
      </c>
      <c r="N92" s="6" t="s">
        <v>58</v>
      </c>
      <c r="O92" s="12" t="s">
        <v>179</v>
      </c>
      <c r="P92" s="6" t="s">
        <v>337</v>
      </c>
      <c r="Q92" s="6" t="s">
        <v>23</v>
      </c>
    </row>
    <row r="93" spans="1:17" ht="48" x14ac:dyDescent="0.2">
      <c r="A93" s="10" t="s">
        <v>351</v>
      </c>
      <c r="B93" s="6" t="s">
        <v>352</v>
      </c>
      <c r="C93" s="6" t="s">
        <v>353</v>
      </c>
      <c r="D93" s="11">
        <v>49.35</v>
      </c>
      <c r="E93" s="6" t="s">
        <v>349</v>
      </c>
      <c r="F93" s="6" t="s">
        <v>175</v>
      </c>
      <c r="G93" s="6" t="s">
        <v>7</v>
      </c>
      <c r="H93" s="6" t="s">
        <v>354</v>
      </c>
      <c r="I93" s="6" t="s">
        <v>53</v>
      </c>
      <c r="J93" s="6" t="s">
        <v>54</v>
      </c>
      <c r="K93" s="6" t="s">
        <v>55</v>
      </c>
      <c r="L93" s="6" t="s">
        <v>336</v>
      </c>
      <c r="M93" s="6" t="s">
        <v>57</v>
      </c>
      <c r="N93" s="6" t="s">
        <v>58</v>
      </c>
      <c r="O93" s="12" t="s">
        <v>179</v>
      </c>
      <c r="P93" s="6" t="s">
        <v>337</v>
      </c>
      <c r="Q93" s="6" t="s">
        <v>23</v>
      </c>
    </row>
    <row r="94" spans="1:17" ht="48" x14ac:dyDescent="0.2">
      <c r="A94" s="10" t="s">
        <v>355</v>
      </c>
      <c r="B94" s="6" t="s">
        <v>356</v>
      </c>
      <c r="C94" s="6" t="s">
        <v>357</v>
      </c>
      <c r="D94" s="11">
        <v>50.37</v>
      </c>
      <c r="E94" s="6" t="s">
        <v>349</v>
      </c>
      <c r="F94" s="6" t="s">
        <v>175</v>
      </c>
      <c r="G94" s="6" t="s">
        <v>7</v>
      </c>
      <c r="H94" s="6" t="s">
        <v>358</v>
      </c>
      <c r="I94" s="6" t="s">
        <v>53</v>
      </c>
      <c r="J94" s="6" t="s">
        <v>54</v>
      </c>
      <c r="K94" s="6" t="s">
        <v>55</v>
      </c>
      <c r="L94" s="6" t="s">
        <v>336</v>
      </c>
      <c r="M94" s="6" t="s">
        <v>57</v>
      </c>
      <c r="N94" s="6" t="s">
        <v>58</v>
      </c>
      <c r="O94" s="12" t="s">
        <v>179</v>
      </c>
      <c r="P94" s="6" t="s">
        <v>337</v>
      </c>
      <c r="Q94" s="6" t="s">
        <v>23</v>
      </c>
    </row>
    <row r="95" spans="1:17" ht="48" x14ac:dyDescent="0.2">
      <c r="A95" s="10" t="s">
        <v>359</v>
      </c>
      <c r="B95" s="6" t="s">
        <v>360</v>
      </c>
      <c r="C95" s="6" t="s">
        <v>361</v>
      </c>
      <c r="D95" s="11">
        <v>8.6999999999999994E-3</v>
      </c>
      <c r="E95" s="6" t="s">
        <v>362</v>
      </c>
      <c r="F95" s="6" t="s">
        <v>175</v>
      </c>
      <c r="G95" s="6" t="s">
        <v>7</v>
      </c>
      <c r="H95" s="6" t="s">
        <v>363</v>
      </c>
      <c r="I95" s="6" t="s">
        <v>53</v>
      </c>
      <c r="J95" s="6" t="s">
        <v>54</v>
      </c>
      <c r="K95" s="6" t="s">
        <v>55</v>
      </c>
      <c r="L95" s="6" t="s">
        <v>336</v>
      </c>
      <c r="M95" s="6" t="s">
        <v>57</v>
      </c>
      <c r="N95" s="6" t="s">
        <v>58</v>
      </c>
      <c r="O95" s="12" t="s">
        <v>179</v>
      </c>
      <c r="P95" s="6" t="s">
        <v>337</v>
      </c>
      <c r="Q95" s="6" t="s">
        <v>23</v>
      </c>
    </row>
    <row r="96" spans="1:17" ht="48" x14ac:dyDescent="0.2">
      <c r="A96" s="10" t="s">
        <v>364</v>
      </c>
      <c r="B96" s="6" t="s">
        <v>365</v>
      </c>
      <c r="C96" s="6" t="s">
        <v>366</v>
      </c>
      <c r="D96" s="11">
        <v>8.6E-3</v>
      </c>
      <c r="E96" s="6" t="s">
        <v>362</v>
      </c>
      <c r="F96" s="6" t="s">
        <v>175</v>
      </c>
      <c r="G96" s="6" t="s">
        <v>7</v>
      </c>
      <c r="H96" s="6" t="s">
        <v>367</v>
      </c>
      <c r="I96" s="6" t="s">
        <v>53</v>
      </c>
      <c r="J96" s="6" t="s">
        <v>54</v>
      </c>
      <c r="K96" s="6" t="s">
        <v>55</v>
      </c>
      <c r="L96" s="6" t="s">
        <v>336</v>
      </c>
      <c r="M96" s="6" t="s">
        <v>57</v>
      </c>
      <c r="N96" s="6" t="s">
        <v>58</v>
      </c>
      <c r="O96" s="12" t="s">
        <v>179</v>
      </c>
      <c r="P96" s="6" t="s">
        <v>337</v>
      </c>
      <c r="Q96" s="6" t="s">
        <v>23</v>
      </c>
    </row>
    <row r="97" spans="1:17" ht="48" x14ac:dyDescent="0.2">
      <c r="A97" s="10" t="s">
        <v>368</v>
      </c>
      <c r="B97" s="6" t="s">
        <v>369</v>
      </c>
      <c r="C97" s="6" t="s">
        <v>370</v>
      </c>
      <c r="D97" s="11">
        <v>9.2999999999999992E-3</v>
      </c>
      <c r="E97" s="6" t="s">
        <v>362</v>
      </c>
      <c r="F97" s="6" t="s">
        <v>175</v>
      </c>
      <c r="G97" s="6" t="s">
        <v>7</v>
      </c>
      <c r="H97" s="6" t="s">
        <v>371</v>
      </c>
      <c r="I97" s="6" t="s">
        <v>53</v>
      </c>
      <c r="J97" s="6" t="s">
        <v>54</v>
      </c>
      <c r="K97" s="6" t="s">
        <v>55</v>
      </c>
      <c r="L97" s="6" t="s">
        <v>336</v>
      </c>
      <c r="M97" s="6" t="s">
        <v>57</v>
      </c>
      <c r="N97" s="6" t="s">
        <v>58</v>
      </c>
      <c r="O97" s="12" t="s">
        <v>179</v>
      </c>
      <c r="P97" s="6" t="s">
        <v>337</v>
      </c>
      <c r="Q97" s="6" t="s">
        <v>23</v>
      </c>
    </row>
    <row r="98" spans="1:17" ht="48" x14ac:dyDescent="0.2">
      <c r="A98" s="10" t="s">
        <v>372</v>
      </c>
      <c r="B98" s="6" t="s">
        <v>373</v>
      </c>
      <c r="C98" s="6" t="s">
        <v>374</v>
      </c>
      <c r="D98" s="11">
        <v>29428</v>
      </c>
      <c r="E98" s="6" t="s">
        <v>49</v>
      </c>
      <c r="F98" s="6" t="s">
        <v>175</v>
      </c>
      <c r="G98" s="6" t="s">
        <v>7</v>
      </c>
      <c r="H98" s="6" t="s">
        <v>375</v>
      </c>
      <c r="I98" s="6" t="s">
        <v>53</v>
      </c>
      <c r="J98" s="6" t="s">
        <v>54</v>
      </c>
      <c r="K98" s="6" t="s">
        <v>55</v>
      </c>
      <c r="L98" s="6" t="s">
        <v>336</v>
      </c>
      <c r="M98" s="6" t="s">
        <v>57</v>
      </c>
      <c r="N98" s="6" t="s">
        <v>58</v>
      </c>
      <c r="O98" s="12" t="s">
        <v>179</v>
      </c>
      <c r="P98" s="6" t="s">
        <v>337</v>
      </c>
      <c r="Q98" s="6" t="s">
        <v>23</v>
      </c>
    </row>
    <row r="99" spans="1:17" ht="48" x14ac:dyDescent="0.2">
      <c r="A99" s="10" t="s">
        <v>376</v>
      </c>
      <c r="B99" s="6" t="s">
        <v>377</v>
      </c>
      <c r="C99" s="6" t="s">
        <v>378</v>
      </c>
      <c r="D99" s="11">
        <v>31864</v>
      </c>
      <c r="E99" s="6" t="s">
        <v>49</v>
      </c>
      <c r="F99" s="6" t="s">
        <v>175</v>
      </c>
      <c r="G99" s="6" t="s">
        <v>7</v>
      </c>
      <c r="H99" s="6" t="s">
        <v>379</v>
      </c>
      <c r="I99" s="6" t="s">
        <v>53</v>
      </c>
      <c r="J99" s="6" t="s">
        <v>54</v>
      </c>
      <c r="K99" s="6" t="s">
        <v>55</v>
      </c>
      <c r="L99" s="6" t="s">
        <v>336</v>
      </c>
      <c r="M99" s="6" t="s">
        <v>57</v>
      </c>
      <c r="N99" s="6" t="s">
        <v>58</v>
      </c>
      <c r="O99" s="12" t="s">
        <v>179</v>
      </c>
      <c r="P99" s="6" t="s">
        <v>337</v>
      </c>
      <c r="Q99" s="6" t="s">
        <v>23</v>
      </c>
    </row>
    <row r="100" spans="1:17" ht="48" x14ac:dyDescent="0.2">
      <c r="A100" s="10" t="s">
        <v>380</v>
      </c>
      <c r="B100" s="6" t="s">
        <v>381</v>
      </c>
      <c r="C100" s="6" t="s">
        <v>382</v>
      </c>
      <c r="D100" s="11">
        <v>33937</v>
      </c>
      <c r="E100" s="6" t="s">
        <v>49</v>
      </c>
      <c r="F100" s="6" t="s">
        <v>175</v>
      </c>
      <c r="G100" s="6" t="s">
        <v>7</v>
      </c>
      <c r="H100" s="6" t="s">
        <v>383</v>
      </c>
      <c r="I100" s="6" t="s">
        <v>53</v>
      </c>
      <c r="J100" s="6" t="s">
        <v>54</v>
      </c>
      <c r="K100" s="6" t="s">
        <v>55</v>
      </c>
      <c r="L100" s="6" t="s">
        <v>336</v>
      </c>
      <c r="M100" s="6" t="s">
        <v>57</v>
      </c>
      <c r="N100" s="6" t="s">
        <v>58</v>
      </c>
      <c r="O100" s="12" t="s">
        <v>179</v>
      </c>
      <c r="P100" s="6" t="s">
        <v>337</v>
      </c>
      <c r="Q100" s="6" t="s">
        <v>23</v>
      </c>
    </row>
    <row r="101" spans="1:17" ht="80" x14ac:dyDescent="0.2">
      <c r="A101" s="10" t="s">
        <v>384</v>
      </c>
      <c r="B101" s="6" t="s">
        <v>385</v>
      </c>
      <c r="C101" s="6" t="s">
        <v>18</v>
      </c>
      <c r="D101" s="11" t="s">
        <v>19</v>
      </c>
      <c r="E101" s="6" t="s">
        <v>386</v>
      </c>
      <c r="F101" s="6" t="s">
        <v>175</v>
      </c>
      <c r="G101" s="6" t="s">
        <v>7</v>
      </c>
      <c r="H101" s="6" t="s">
        <v>387</v>
      </c>
      <c r="I101" s="6" t="s">
        <v>53</v>
      </c>
      <c r="J101" s="6" t="s">
        <v>54</v>
      </c>
      <c r="K101" s="6" t="s">
        <v>55</v>
      </c>
      <c r="L101" s="6" t="s">
        <v>336</v>
      </c>
      <c r="M101" s="6" t="s">
        <v>57</v>
      </c>
      <c r="N101" s="6" t="s">
        <v>58</v>
      </c>
      <c r="O101" s="12" t="s">
        <v>179</v>
      </c>
      <c r="P101" s="6" t="s">
        <v>388</v>
      </c>
      <c r="Q101" s="6" t="s">
        <v>21</v>
      </c>
    </row>
    <row r="102" spans="1:17" ht="128" x14ac:dyDescent="0.2">
      <c r="A102" s="10" t="s">
        <v>389</v>
      </c>
      <c r="B102" s="6" t="s">
        <v>390</v>
      </c>
      <c r="C102" s="6" t="s">
        <v>391</v>
      </c>
      <c r="D102" s="11" t="s">
        <v>23</v>
      </c>
      <c r="E102" s="6" t="s">
        <v>386</v>
      </c>
      <c r="F102" s="6" t="s">
        <v>175</v>
      </c>
      <c r="G102" s="6" t="s">
        <v>7</v>
      </c>
      <c r="H102" s="6" t="s">
        <v>392</v>
      </c>
      <c r="I102" s="6" t="s">
        <v>53</v>
      </c>
      <c r="J102" s="6" t="s">
        <v>54</v>
      </c>
      <c r="K102" s="6" t="s">
        <v>55</v>
      </c>
      <c r="L102" s="6" t="s">
        <v>336</v>
      </c>
      <c r="M102" s="6" t="s">
        <v>57</v>
      </c>
      <c r="N102" s="6" t="s">
        <v>58</v>
      </c>
      <c r="O102" s="12" t="s">
        <v>179</v>
      </c>
      <c r="P102" s="6" t="s">
        <v>393</v>
      </c>
      <c r="Q102" s="6" t="s">
        <v>25</v>
      </c>
    </row>
  </sheetData>
  <mergeCells count="2">
    <mergeCell ref="A1:Q1"/>
    <mergeCell ref="A2:Q2"/>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
  <sheetViews>
    <sheetView showGridLines="0" tabSelected="1" zoomScaleNormal="100" workbookViewId="0">
      <selection activeCell="B5" sqref="B5"/>
    </sheetView>
  </sheetViews>
  <sheetFormatPr baseColWidth="10" defaultColWidth="8.6640625" defaultRowHeight="13" x14ac:dyDescent="0.15"/>
  <cols>
    <col min="1" max="1" width="31" customWidth="1"/>
    <col min="2" max="5" width="14" customWidth="1"/>
    <col min="6" max="6" width="65.6640625" customWidth="1"/>
    <col min="7" max="7" width="24" customWidth="1"/>
    <col min="8" max="8" width="44" customWidth="1"/>
    <col min="9" max="9" width="18" customWidth="1"/>
  </cols>
  <sheetData>
    <row r="1" spans="1:10" ht="26" customHeight="1" x14ac:dyDescent="0.15">
      <c r="A1" s="5" t="s">
        <v>394</v>
      </c>
      <c r="B1" s="5" t="s">
        <v>394</v>
      </c>
      <c r="C1" s="5" t="s">
        <v>394</v>
      </c>
      <c r="D1" s="5" t="s">
        <v>394</v>
      </c>
      <c r="E1" s="5" t="s">
        <v>394</v>
      </c>
      <c r="F1" s="5" t="s">
        <v>394</v>
      </c>
      <c r="G1" s="5" t="s">
        <v>394</v>
      </c>
      <c r="H1" s="5" t="s">
        <v>394</v>
      </c>
      <c r="I1" s="5" t="s">
        <v>394</v>
      </c>
    </row>
    <row r="2" spans="1:10" ht="30" customHeight="1" x14ac:dyDescent="0.15">
      <c r="A2" s="4" t="s">
        <v>395</v>
      </c>
      <c r="B2" s="4" t="s">
        <v>395</v>
      </c>
      <c r="C2" s="4" t="s">
        <v>395</v>
      </c>
      <c r="D2" s="4" t="s">
        <v>395</v>
      </c>
      <c r="E2" s="4" t="s">
        <v>395</v>
      </c>
      <c r="F2" s="4" t="s">
        <v>395</v>
      </c>
      <c r="G2" s="4" t="s">
        <v>395</v>
      </c>
      <c r="H2" s="4" t="s">
        <v>395</v>
      </c>
      <c r="I2" s="4" t="s">
        <v>395</v>
      </c>
    </row>
    <row r="4" spans="1:10" ht="16" x14ac:dyDescent="0.15">
      <c r="A4" s="7" t="s">
        <v>31</v>
      </c>
      <c r="B4" s="8" t="s">
        <v>33</v>
      </c>
      <c r="C4" s="8" t="s">
        <v>396</v>
      </c>
      <c r="D4" s="8" t="s">
        <v>397</v>
      </c>
      <c r="E4" s="8" t="s">
        <v>398</v>
      </c>
      <c r="F4" s="8" t="s">
        <v>399</v>
      </c>
      <c r="G4" s="8" t="s">
        <v>400</v>
      </c>
      <c r="H4" s="8" t="s">
        <v>401</v>
      </c>
      <c r="I4" s="9" t="s">
        <v>402</v>
      </c>
    </row>
    <row r="5" spans="1:10" ht="15" x14ac:dyDescent="0.2">
      <c r="A5" s="13" t="s">
        <v>48</v>
      </c>
      <c r="B5" s="13" t="s">
        <v>49</v>
      </c>
      <c r="C5" s="14">
        <v>78558</v>
      </c>
      <c r="D5" s="14">
        <v>81400</v>
      </c>
      <c r="E5" s="14">
        <v>88309</v>
      </c>
      <c r="F5" s="50" t="s">
        <v>403</v>
      </c>
      <c r="G5" s="50" t="s">
        <v>404</v>
      </c>
      <c r="H5" s="50" t="s">
        <v>405</v>
      </c>
      <c r="I5" s="15" t="s">
        <v>38</v>
      </c>
      <c r="J5" s="15"/>
    </row>
    <row r="6" spans="1:10" ht="15" x14ac:dyDescent="0.2">
      <c r="A6" s="13" t="s">
        <v>70</v>
      </c>
      <c r="B6" s="13" t="s">
        <v>49</v>
      </c>
      <c r="C6" s="14">
        <v>14266</v>
      </c>
      <c r="D6" s="14">
        <v>18010</v>
      </c>
      <c r="E6" s="14">
        <v>18279</v>
      </c>
      <c r="F6" s="50" t="s">
        <v>406</v>
      </c>
      <c r="G6" s="50" t="s">
        <v>407</v>
      </c>
      <c r="H6" s="50" t="s">
        <v>405</v>
      </c>
      <c r="I6" s="15" t="s">
        <v>38</v>
      </c>
      <c r="J6" s="15"/>
    </row>
    <row r="7" spans="1:10" ht="15" x14ac:dyDescent="0.2">
      <c r="A7" s="13" t="s">
        <v>78</v>
      </c>
      <c r="B7" s="13" t="s">
        <v>49</v>
      </c>
      <c r="C7" s="14">
        <v>8317</v>
      </c>
      <c r="D7" s="14">
        <v>11339</v>
      </c>
      <c r="E7" s="14">
        <v>10992</v>
      </c>
      <c r="F7" s="50" t="s">
        <v>408</v>
      </c>
      <c r="G7" s="50" t="s">
        <v>409</v>
      </c>
      <c r="H7" s="50" t="s">
        <v>405</v>
      </c>
      <c r="I7" s="15" t="s">
        <v>38</v>
      </c>
      <c r="J7" s="15"/>
    </row>
    <row r="8" spans="1:10" ht="15" x14ac:dyDescent="0.2">
      <c r="A8" s="13" t="s">
        <v>86</v>
      </c>
      <c r="B8" s="13" t="s">
        <v>49</v>
      </c>
      <c r="C8" s="14">
        <v>18559</v>
      </c>
      <c r="D8" s="14">
        <v>22293</v>
      </c>
      <c r="E8" s="14">
        <v>27950</v>
      </c>
      <c r="F8" s="50" t="s">
        <v>410</v>
      </c>
      <c r="G8" s="50" t="s">
        <v>411</v>
      </c>
      <c r="H8" s="50" t="s">
        <v>405</v>
      </c>
      <c r="I8" s="15" t="s">
        <v>38</v>
      </c>
      <c r="J8" s="15"/>
    </row>
    <row r="9" spans="1:10" ht="15" x14ac:dyDescent="0.2">
      <c r="A9" s="13" t="s">
        <v>94</v>
      </c>
      <c r="B9" s="13" t="s">
        <v>49</v>
      </c>
      <c r="C9" s="14">
        <v>12818</v>
      </c>
      <c r="D9" s="14">
        <v>12919</v>
      </c>
      <c r="E9" s="14">
        <v>13508</v>
      </c>
      <c r="F9" s="50" t="s">
        <v>412</v>
      </c>
      <c r="G9" s="50" t="s">
        <v>413</v>
      </c>
      <c r="H9" s="50" t="s">
        <v>405</v>
      </c>
      <c r="I9" s="15" t="s">
        <v>38</v>
      </c>
      <c r="J9" s="15"/>
    </row>
    <row r="10" spans="1:10" ht="15" x14ac:dyDescent="0.2">
      <c r="A10" s="13" t="s">
        <v>102</v>
      </c>
      <c r="B10" s="13" t="s">
        <v>49</v>
      </c>
      <c r="C10" s="14">
        <v>9801</v>
      </c>
      <c r="D10" s="14">
        <v>8840</v>
      </c>
      <c r="E10" s="14">
        <v>9955</v>
      </c>
      <c r="F10" s="50" t="s">
        <v>414</v>
      </c>
      <c r="G10" s="50" t="s">
        <v>415</v>
      </c>
      <c r="H10" s="50" t="s">
        <v>405</v>
      </c>
      <c r="I10" s="15" t="s">
        <v>38</v>
      </c>
      <c r="J10" s="15"/>
    </row>
    <row r="11" spans="1:10" ht="15" x14ac:dyDescent="0.2">
      <c r="A11" s="13" t="s">
        <v>110</v>
      </c>
      <c r="B11" s="13" t="s">
        <v>49</v>
      </c>
      <c r="C11" s="14">
        <v>207682</v>
      </c>
      <c r="D11" s="14">
        <v>208035</v>
      </c>
      <c r="E11" s="14">
        <v>219237</v>
      </c>
      <c r="F11" s="50" t="s">
        <v>416</v>
      </c>
      <c r="G11" s="50" t="s">
        <v>417</v>
      </c>
      <c r="H11" s="50" t="s">
        <v>405</v>
      </c>
      <c r="I11" s="15" t="s">
        <v>38</v>
      </c>
      <c r="J11" s="15"/>
    </row>
    <row r="12" spans="1:10" ht="15" x14ac:dyDescent="0.2">
      <c r="A12" s="13" t="s">
        <v>121</v>
      </c>
      <c r="B12" s="13" t="s">
        <v>49</v>
      </c>
      <c r="C12" s="14">
        <v>64715</v>
      </c>
      <c r="D12" s="14">
        <v>61741</v>
      </c>
      <c r="E12" s="14">
        <v>59203</v>
      </c>
      <c r="F12" s="50" t="s">
        <v>418</v>
      </c>
      <c r="G12" s="50" t="s">
        <v>419</v>
      </c>
      <c r="H12" s="50" t="s">
        <v>405</v>
      </c>
      <c r="I12" s="15" t="s">
        <v>38</v>
      </c>
      <c r="J12" s="15"/>
    </row>
    <row r="13" spans="1:10" ht="15" x14ac:dyDescent="0.2">
      <c r="A13" s="13" t="s">
        <v>129</v>
      </c>
      <c r="B13" s="13" t="s">
        <v>49</v>
      </c>
      <c r="C13" s="14">
        <v>5135</v>
      </c>
      <c r="D13" s="14">
        <v>5409</v>
      </c>
      <c r="E13" s="14">
        <v>5598</v>
      </c>
      <c r="F13" s="50" t="s">
        <v>420</v>
      </c>
      <c r="G13" s="50" t="s">
        <v>421</v>
      </c>
      <c r="H13" s="50" t="s">
        <v>405</v>
      </c>
      <c r="I13" s="15" t="s">
        <v>38</v>
      </c>
      <c r="J13" s="15"/>
    </row>
    <row r="14" spans="1:10" ht="15" x14ac:dyDescent="0.2">
      <c r="A14" s="13" t="s">
        <v>137</v>
      </c>
      <c r="B14" s="13" t="s">
        <v>49</v>
      </c>
      <c r="C14" s="14">
        <v>75018</v>
      </c>
      <c r="D14" s="14">
        <v>78265</v>
      </c>
      <c r="E14" s="14">
        <v>86282</v>
      </c>
      <c r="F14" s="50" t="s">
        <v>422</v>
      </c>
      <c r="G14" s="50" t="s">
        <v>423</v>
      </c>
      <c r="H14" s="50" t="s">
        <v>19</v>
      </c>
      <c r="I14" s="15" t="s">
        <v>38</v>
      </c>
      <c r="J14" s="15"/>
    </row>
    <row r="15" spans="1:10" ht="15" x14ac:dyDescent="0.2">
      <c r="A15" s="13" t="s">
        <v>145</v>
      </c>
      <c r="B15" s="13" t="s">
        <v>49</v>
      </c>
      <c r="C15" s="14">
        <v>3619</v>
      </c>
      <c r="D15" s="14">
        <v>4068</v>
      </c>
      <c r="E15" s="14">
        <v>5135</v>
      </c>
      <c r="F15" s="50" t="s">
        <v>424</v>
      </c>
      <c r="G15" s="50" t="s">
        <v>425</v>
      </c>
      <c r="H15" s="50" t="s">
        <v>19</v>
      </c>
      <c r="I15" s="15" t="s">
        <v>38</v>
      </c>
      <c r="J15" s="15"/>
    </row>
    <row r="16" spans="1:10" ht="15" x14ac:dyDescent="0.2">
      <c r="A16" s="13" t="s">
        <v>153</v>
      </c>
      <c r="B16" s="13" t="s">
        <v>49</v>
      </c>
      <c r="C16" s="14">
        <v>2496</v>
      </c>
      <c r="D16" s="14">
        <v>2326</v>
      </c>
      <c r="E16" s="14">
        <v>2270</v>
      </c>
      <c r="F16" s="50" t="s">
        <v>426</v>
      </c>
      <c r="G16" s="50" t="s">
        <v>427</v>
      </c>
      <c r="H16" s="50" t="s">
        <v>19</v>
      </c>
      <c r="I16" s="15" t="s">
        <v>38</v>
      </c>
      <c r="J16" s="15"/>
    </row>
    <row r="17" spans="1:10" ht="15" x14ac:dyDescent="0.2">
      <c r="A17" s="13" t="s">
        <v>163</v>
      </c>
      <c r="B17" s="13" t="s">
        <v>164</v>
      </c>
      <c r="C17" s="14">
        <v>1200.2862640000001</v>
      </c>
      <c r="D17" s="14">
        <v>1173.213898</v>
      </c>
      <c r="E17" s="14">
        <v>1131.076251</v>
      </c>
      <c r="F17" s="50" t="s">
        <v>428</v>
      </c>
      <c r="G17" s="50" t="s">
        <v>429</v>
      </c>
      <c r="H17" s="50" t="s">
        <v>405</v>
      </c>
      <c r="I17" s="15" t="s">
        <v>38</v>
      </c>
      <c r="J17" s="15"/>
    </row>
    <row r="18" spans="1:10" ht="15" x14ac:dyDescent="0.2">
      <c r="A18" s="16" t="s">
        <v>430</v>
      </c>
      <c r="B18" s="16" t="s">
        <v>49</v>
      </c>
      <c r="C18" s="17">
        <f>C14+C15+C16</f>
        <v>81133</v>
      </c>
      <c r="D18" s="17">
        <f>D14+D15+D16</f>
        <v>84659</v>
      </c>
      <c r="E18" s="17">
        <f>E14+E15+E16</f>
        <v>93687</v>
      </c>
      <c r="F18" s="42" t="s">
        <v>19</v>
      </c>
      <c r="G18" s="52" t="s">
        <v>431</v>
      </c>
      <c r="H18" s="42" t="s">
        <v>19</v>
      </c>
      <c r="I18" s="16" t="s">
        <v>432</v>
      </c>
    </row>
    <row r="19" spans="1:10" ht="15" x14ac:dyDescent="0.2">
      <c r="A19" s="18" t="s">
        <v>433</v>
      </c>
      <c r="B19" s="18" t="s">
        <v>49</v>
      </c>
      <c r="C19" s="19">
        <f>C18-C13</f>
        <v>75998</v>
      </c>
      <c r="D19" s="19">
        <f>D18-D13</f>
        <v>79250</v>
      </c>
      <c r="E19" s="19">
        <f>E18-E13</f>
        <v>88089</v>
      </c>
      <c r="F19" s="51" t="s">
        <v>434</v>
      </c>
      <c r="G19" s="53" t="s">
        <v>431</v>
      </c>
      <c r="H19" s="51" t="s">
        <v>21</v>
      </c>
      <c r="I19" s="18" t="s">
        <v>432</v>
      </c>
    </row>
    <row r="21" spans="1:10" ht="15" customHeight="1" x14ac:dyDescent="0.2">
      <c r="A21" s="20" t="s">
        <v>435</v>
      </c>
      <c r="B21" s="6" t="s">
        <v>19</v>
      </c>
      <c r="C21" s="3"/>
      <c r="D21" s="3"/>
      <c r="E21" s="3"/>
      <c r="F21" s="3"/>
      <c r="G21" s="3"/>
      <c r="H21" s="3"/>
      <c r="I21" s="3"/>
    </row>
    <row r="22" spans="1:10" ht="15" customHeight="1" x14ac:dyDescent="0.2">
      <c r="A22" s="20" t="s">
        <v>20</v>
      </c>
      <c r="B22" s="6" t="s">
        <v>21</v>
      </c>
      <c r="C22" s="3"/>
      <c r="D22" s="3"/>
      <c r="E22" s="3"/>
      <c r="F22" s="3"/>
      <c r="G22" s="3"/>
      <c r="H22" s="3"/>
      <c r="I22" s="3"/>
    </row>
    <row r="23" spans="1:10" ht="15" customHeight="1" x14ac:dyDescent="0.2">
      <c r="A23" s="20" t="s">
        <v>436</v>
      </c>
      <c r="B23" s="6" t="s">
        <v>23</v>
      </c>
      <c r="C23" s="3"/>
      <c r="D23" s="3"/>
      <c r="E23" s="3"/>
      <c r="F23" s="3"/>
      <c r="G23" s="3"/>
      <c r="H23" s="3"/>
      <c r="I23" s="3"/>
    </row>
  </sheetData>
  <mergeCells count="5">
    <mergeCell ref="A1:I1"/>
    <mergeCell ref="A2:I2"/>
    <mergeCell ref="B21:I21"/>
    <mergeCell ref="B22:I22"/>
    <mergeCell ref="B23:I23"/>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5"/>
  <sheetViews>
    <sheetView showGridLines="0" zoomScaleNormal="100" workbookViewId="0">
      <selection activeCell="A12" sqref="A12"/>
    </sheetView>
  </sheetViews>
  <sheetFormatPr baseColWidth="10" defaultColWidth="8.6640625" defaultRowHeight="13" x14ac:dyDescent="0.15"/>
  <cols>
    <col min="1" max="1" width="39.6640625" customWidth="1"/>
    <col min="2" max="2" width="15" customWidth="1"/>
    <col min="3" max="6" width="14" customWidth="1"/>
    <col min="7" max="7" width="58" customWidth="1"/>
    <col min="8" max="8" width="15" customWidth="1"/>
  </cols>
  <sheetData>
    <row r="1" spans="1:7" ht="26" customHeight="1" x14ac:dyDescent="0.15">
      <c r="A1" s="5" t="s">
        <v>437</v>
      </c>
      <c r="B1" s="5" t="s">
        <v>437</v>
      </c>
      <c r="C1" s="5" t="s">
        <v>437</v>
      </c>
      <c r="D1" s="5" t="s">
        <v>437</v>
      </c>
      <c r="E1" s="5" t="s">
        <v>437</v>
      </c>
      <c r="F1" s="5" t="s">
        <v>437</v>
      </c>
      <c r="G1" s="5" t="s">
        <v>437</v>
      </c>
    </row>
    <row r="2" spans="1:7" ht="30" customHeight="1" x14ac:dyDescent="0.15">
      <c r="A2" s="4" t="s">
        <v>438</v>
      </c>
      <c r="B2" s="4" t="s">
        <v>438</v>
      </c>
      <c r="C2" s="4" t="s">
        <v>438</v>
      </c>
      <c r="D2" s="4" t="s">
        <v>438</v>
      </c>
      <c r="E2" s="4" t="s">
        <v>438</v>
      </c>
      <c r="F2" s="4" t="s">
        <v>438</v>
      </c>
      <c r="G2" s="4" t="s">
        <v>438</v>
      </c>
    </row>
    <row r="3" spans="1:7" ht="15" x14ac:dyDescent="0.2">
      <c r="A3" t="s">
        <v>439</v>
      </c>
      <c r="B3" s="21">
        <v>1</v>
      </c>
    </row>
    <row r="4" spans="1:7" ht="15" x14ac:dyDescent="0.2">
      <c r="A4" t="s">
        <v>12</v>
      </c>
      <c r="B4" s="54" t="str">
        <f>CHOOSE(B3,"Base","Bull","Bear")</f>
        <v>Base</v>
      </c>
    </row>
    <row r="6" spans="1:7" ht="16" x14ac:dyDescent="0.15">
      <c r="A6" s="7" t="s">
        <v>440</v>
      </c>
      <c r="B6" s="8" t="s">
        <v>33</v>
      </c>
      <c r="C6" s="8" t="s">
        <v>441</v>
      </c>
      <c r="D6" s="8" t="s">
        <v>442</v>
      </c>
      <c r="E6" s="8" t="s">
        <v>443</v>
      </c>
      <c r="F6" s="8" t="s">
        <v>444</v>
      </c>
      <c r="G6" s="9" t="s">
        <v>445</v>
      </c>
    </row>
    <row r="7" spans="1:7" ht="15" x14ac:dyDescent="0.2">
      <c r="A7" t="s">
        <v>446</v>
      </c>
      <c r="B7" s="59" t="s">
        <v>174</v>
      </c>
      <c r="C7" s="55">
        <v>0.11</v>
      </c>
      <c r="D7" s="55">
        <v>0.13500000000000001</v>
      </c>
      <c r="E7" s="55">
        <v>0.16</v>
      </c>
      <c r="F7" s="56">
        <f t="shared" si="0" ref="F7:F21">CHOOSE($B$3,D7,E7,C7)</f>
        <v>0.13500000000000001</v>
      </c>
      <c r="G7" t="s">
        <v>181</v>
      </c>
    </row>
    <row r="8" spans="1:7" ht="15" x14ac:dyDescent="0.2">
      <c r="A8" t="s">
        <v>447</v>
      </c>
      <c r="B8" s="59" t="s">
        <v>191</v>
      </c>
      <c r="C8" s="55">
        <v>1.0500000000000001E-2</v>
      </c>
      <c r="D8" s="55">
        <v>9.2999999999999992E-3</v>
      </c>
      <c r="E8" s="55">
        <v>8.5000000000000006E-3</v>
      </c>
      <c r="F8" s="56">
        <f t="shared" si="0"/>
        <v>9.2999999999999992E-3</v>
      </c>
      <c r="G8" t="s">
        <v>192</v>
      </c>
    </row>
    <row r="9" spans="1:7" ht="15" x14ac:dyDescent="0.2">
      <c r="A9" t="s">
        <v>448</v>
      </c>
      <c r="B9" s="59" t="s">
        <v>174</v>
      </c>
      <c r="C9" s="55">
        <v>0</v>
      </c>
      <c r="D9" s="55">
        <v>0.02</v>
      </c>
      <c r="E9" s="55">
        <v>3.5000000000000003E-2</v>
      </c>
      <c r="F9" s="56">
        <f t="shared" si="0"/>
        <v>0.02</v>
      </c>
      <c r="G9" t="s">
        <v>202</v>
      </c>
    </row>
    <row r="10" spans="1:7" ht="15" x14ac:dyDescent="0.2">
      <c r="A10" t="s">
        <v>449</v>
      </c>
      <c r="B10" s="59" t="s">
        <v>174</v>
      </c>
      <c r="C10" s="55">
        <v>-0.01</v>
      </c>
      <c r="D10" s="55">
        <v>0.02</v>
      </c>
      <c r="E10" s="55">
        <v>0.04</v>
      </c>
      <c r="F10" s="56">
        <f t="shared" si="0"/>
        <v>0.02</v>
      </c>
      <c r="G10" t="s">
        <v>212</v>
      </c>
    </row>
    <row r="11" spans="1:7" ht="15" x14ac:dyDescent="0.2">
      <c r="A11" t="s">
        <v>450</v>
      </c>
      <c r="B11" s="59" t="s">
        <v>174</v>
      </c>
      <c r="C11" s="55">
        <v>-0.02</v>
      </c>
      <c r="D11" s="55">
        <v>0.01</v>
      </c>
      <c r="E11" s="55">
        <v>0.03</v>
      </c>
      <c r="F11" s="56">
        <f t="shared" si="0"/>
        <v>0.01</v>
      </c>
      <c r="G11" t="s">
        <v>222</v>
      </c>
    </row>
    <row r="12" spans="1:7" ht="15" x14ac:dyDescent="0.2">
      <c r="A12" t="s">
        <v>451</v>
      </c>
      <c r="B12" s="59" t="s">
        <v>232</v>
      </c>
      <c r="C12" s="55">
        <v>0.2</v>
      </c>
      <c r="D12" s="55">
        <v>0.22</v>
      </c>
      <c r="E12" s="55">
        <v>0.24</v>
      </c>
      <c r="F12" s="56">
        <f t="shared" si="0"/>
        <v>0.22</v>
      </c>
      <c r="G12" t="s">
        <v>233</v>
      </c>
    </row>
    <row r="13" spans="1:7" ht="15" x14ac:dyDescent="0.2">
      <c r="A13" t="s">
        <v>452</v>
      </c>
      <c r="B13" s="59" t="s">
        <v>232</v>
      </c>
      <c r="C13" s="55">
        <v>0.45</v>
      </c>
      <c r="D13" s="55">
        <v>0.48</v>
      </c>
      <c r="E13" s="55">
        <v>0.5</v>
      </c>
      <c r="F13" s="56">
        <f t="shared" si="0"/>
        <v>0.48</v>
      </c>
      <c r="G13" t="s">
        <v>243</v>
      </c>
    </row>
    <row r="14" spans="1:7" ht="15" x14ac:dyDescent="0.2">
      <c r="A14" t="s">
        <v>453</v>
      </c>
      <c r="B14" s="59" t="s">
        <v>232</v>
      </c>
      <c r="C14" s="55">
        <v>0.15</v>
      </c>
      <c r="D14" s="55">
        <v>0.153</v>
      </c>
      <c r="E14" s="55">
        <v>0.155</v>
      </c>
      <c r="F14" s="56">
        <f t="shared" si="0"/>
        <v>0.153</v>
      </c>
      <c r="G14" t="s">
        <v>253</v>
      </c>
    </row>
    <row r="15" spans="1:7" ht="15" x14ac:dyDescent="0.2">
      <c r="A15" t="s">
        <v>454</v>
      </c>
      <c r="B15" s="59" t="s">
        <v>232</v>
      </c>
      <c r="C15" s="55">
        <v>0.13</v>
      </c>
      <c r="D15" s="55">
        <v>0.113</v>
      </c>
      <c r="E15" s="55">
        <v>0.105</v>
      </c>
      <c r="F15" s="56">
        <f t="shared" si="0"/>
        <v>0.113</v>
      </c>
      <c r="G15" t="s">
        <v>263</v>
      </c>
    </row>
    <row r="16" spans="1:7" ht="15" x14ac:dyDescent="0.2">
      <c r="A16" t="s">
        <v>455</v>
      </c>
      <c r="B16" s="59" t="s">
        <v>232</v>
      </c>
      <c r="C16" s="55">
        <v>0.26</v>
      </c>
      <c r="D16" s="55">
        <v>0.24</v>
      </c>
      <c r="E16" s="55">
        <v>0.22</v>
      </c>
      <c r="F16" s="56">
        <f t="shared" si="0"/>
        <v>0.24</v>
      </c>
      <c r="G16" t="s">
        <v>273</v>
      </c>
    </row>
    <row r="17" spans="1:7" ht="15" x14ac:dyDescent="0.2">
      <c r="A17" t="s">
        <v>456</v>
      </c>
      <c r="B17" s="59" t="s">
        <v>232</v>
      </c>
      <c r="C17" s="55">
        <v>0.02</v>
      </c>
      <c r="D17" s="55">
        <v>0.01</v>
      </c>
      <c r="E17" s="55">
        <v>5.0000000000000001E-3</v>
      </c>
      <c r="F17" s="56">
        <f t="shared" si="0"/>
        <v>0.01</v>
      </c>
      <c r="G17" t="s">
        <v>283</v>
      </c>
    </row>
    <row r="18" spans="1:7" ht="15" x14ac:dyDescent="0.2">
      <c r="A18" t="s">
        <v>457</v>
      </c>
      <c r="B18" s="59" t="s">
        <v>232</v>
      </c>
      <c r="C18" s="55">
        <v>0.02</v>
      </c>
      <c r="D18" s="55">
        <v>0.05</v>
      </c>
      <c r="E18" s="55">
        <v>0.08</v>
      </c>
      <c r="F18" s="56">
        <f t="shared" si="0"/>
        <v>0.05</v>
      </c>
      <c r="G18" t="s">
        <v>293</v>
      </c>
    </row>
    <row r="19" spans="1:7" ht="15" x14ac:dyDescent="0.2">
      <c r="A19" t="s">
        <v>458</v>
      </c>
      <c r="B19" s="59" t="s">
        <v>232</v>
      </c>
      <c r="C19" s="55">
        <v>0.105</v>
      </c>
      <c r="D19" s="55">
        <v>9.5000000000000001E-2</v>
      </c>
      <c r="E19" s="55">
        <v>8.5000000000000006E-2</v>
      </c>
      <c r="F19" s="56">
        <f t="shared" si="0"/>
        <v>9.5000000000000001E-2</v>
      </c>
      <c r="G19" t="s">
        <v>303</v>
      </c>
    </row>
    <row r="20" spans="1:7" ht="15" x14ac:dyDescent="0.2">
      <c r="A20" t="s">
        <v>459</v>
      </c>
      <c r="B20" s="59" t="s">
        <v>232</v>
      </c>
      <c r="C20" s="55">
        <v>0.02</v>
      </c>
      <c r="D20" s="55">
        <v>2.5000000000000001E-2</v>
      </c>
      <c r="E20" s="55">
        <v>0.03</v>
      </c>
      <c r="F20" s="56">
        <f t="shared" si="0"/>
        <v>2.5000000000000001E-2</v>
      </c>
      <c r="G20" t="s">
        <v>313</v>
      </c>
    </row>
    <row r="21" spans="1:7" ht="15" x14ac:dyDescent="0.2">
      <c r="A21" t="s">
        <v>460</v>
      </c>
      <c r="B21" s="59" t="s">
        <v>323</v>
      </c>
      <c r="C21" s="57">
        <v>6.5</v>
      </c>
      <c r="D21" s="57">
        <v>7</v>
      </c>
      <c r="E21" s="57">
        <v>7.5</v>
      </c>
      <c r="F21" s="58">
        <f t="shared" si="0"/>
        <v>7</v>
      </c>
      <c r="G21" t="s">
        <v>324</v>
      </c>
    </row>
    <row r="23" spans="1:7" ht="29" customHeight="1" x14ac:dyDescent="0.2">
      <c r="A23" s="20" t="s">
        <v>18</v>
      </c>
      <c r="B23" s="6" t="s">
        <v>19</v>
      </c>
      <c r="C23" s="3"/>
      <c r="D23" s="3"/>
      <c r="E23" s="3"/>
      <c r="F23" s="3"/>
      <c r="G23" s="3"/>
    </row>
    <row r="24" spans="1:7" ht="29" customHeight="1" x14ac:dyDescent="0.2">
      <c r="A24" s="20" t="s">
        <v>20</v>
      </c>
      <c r="B24" s="6" t="s">
        <v>21</v>
      </c>
      <c r="C24" s="3"/>
      <c r="D24" s="3"/>
      <c r="E24" s="3"/>
      <c r="F24" s="3"/>
      <c r="G24" s="3"/>
    </row>
    <row r="25" spans="1:7" ht="38" customHeight="1" x14ac:dyDescent="0.2">
      <c r="A25" s="20" t="s">
        <v>24</v>
      </c>
      <c r="B25" s="6" t="s">
        <v>25</v>
      </c>
      <c r="C25" s="3"/>
      <c r="D25" s="3"/>
      <c r="E25" s="3"/>
      <c r="F25" s="3"/>
      <c r="G25" s="3"/>
    </row>
  </sheetData>
  <mergeCells count="5">
    <mergeCell ref="A1:G1"/>
    <mergeCell ref="A2:G2"/>
    <mergeCell ref="B23:G23"/>
    <mergeCell ref="B24:G24"/>
    <mergeCell ref="B25:G25"/>
  </mergeCells>
  <dataValidations count="1">
    <dataValidation sqref="B3" xr:uid="{00000000-0002-0000-0300-000000000000}">
      <formula1>1</formula1>
    </dataValidation>
  </dataValidation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8"/>
  <sheetViews>
    <sheetView showGridLines="0" zoomScaleNormal="100" workbookViewId="0">
      <selection activeCell="A5" sqref="A5"/>
    </sheetView>
  </sheetViews>
  <sheetFormatPr baseColWidth="10" defaultColWidth="8.6640625" defaultRowHeight="13" x14ac:dyDescent="0.15"/>
  <cols>
    <col min="1" max="1" width="38" customWidth="1"/>
    <col min="2" max="8" width="15" customWidth="1"/>
  </cols>
  <sheetData>
    <row r="1" spans="1:7" ht="26" customHeight="1" x14ac:dyDescent="0.15">
      <c r="A1" s="5" t="s">
        <v>461</v>
      </c>
      <c r="B1" s="5" t="s">
        <v>461</v>
      </c>
      <c r="C1" s="5" t="s">
        <v>461</v>
      </c>
      <c r="D1" s="5" t="s">
        <v>461</v>
      </c>
      <c r="E1" s="5" t="s">
        <v>461</v>
      </c>
      <c r="F1" s="5" t="s">
        <v>461</v>
      </c>
      <c r="G1" s="5" t="s">
        <v>461</v>
      </c>
    </row>
    <row r="2" spans="1:7" ht="30" customHeight="1" x14ac:dyDescent="0.15">
      <c r="A2" s="4" t="s">
        <v>462</v>
      </c>
      <c r="B2" s="4" t="s">
        <v>462</v>
      </c>
      <c r="C2" s="4" t="s">
        <v>462</v>
      </c>
      <c r="D2" s="4" t="s">
        <v>462</v>
      </c>
      <c r="E2" s="4" t="s">
        <v>462</v>
      </c>
      <c r="F2" s="4" t="s">
        <v>462</v>
      </c>
      <c r="G2" s="4" t="s">
        <v>462</v>
      </c>
    </row>
    <row r="4" spans="1:7" ht="16" x14ac:dyDescent="0.15">
      <c r="A4" s="7" t="s">
        <v>31</v>
      </c>
      <c r="B4" s="8" t="s">
        <v>33</v>
      </c>
      <c r="C4" s="8" t="s">
        <v>463</v>
      </c>
      <c r="D4" s="8" t="s">
        <v>464</v>
      </c>
      <c r="E4" s="8" t="s">
        <v>465</v>
      </c>
      <c r="F4" s="8" t="s">
        <v>466</v>
      </c>
      <c r="G4" s="9" t="s">
        <v>467</v>
      </c>
    </row>
    <row r="5" spans="1:7" ht="15" x14ac:dyDescent="0.2">
      <c r="A5" s="16" t="s">
        <v>48</v>
      </c>
      <c r="B5" s="16" t="s">
        <v>49</v>
      </c>
      <c r="C5" s="22">
        <f>Sector_KPIs!F16</f>
        <v>89323.279225014194</v>
      </c>
      <c r="D5" s="22">
        <f>Sector_KPIs!G16</f>
        <v>92499.570561801214</v>
      </c>
      <c r="E5" s="22">
        <f>Sector_KPIs!H16</f>
        <v>95805.937859112848</v>
      </c>
      <c r="F5" s="22">
        <f>Sector_KPIs!I16</f>
        <v>99247.957870005397</v>
      </c>
      <c r="G5" s="22">
        <f>Sector_KPIs!J16</f>
        <v>102831.44995828063</v>
      </c>
    </row>
    <row r="6" spans="1:7" ht="15" x14ac:dyDescent="0.2">
      <c r="A6" s="16" t="s">
        <v>468</v>
      </c>
      <c r="B6" s="16" t="s">
        <v>49</v>
      </c>
      <c r="C6" s="22">
        <f>Sector_KPIs!F18</f>
        <v>35143.585268858042</v>
      </c>
      <c r="D6" s="22">
        <f>Sector_KPIs!G18</f>
        <v>36393.273663659493</v>
      </c>
      <c r="E6" s="22">
        <f>Sector_KPIs!H18</f>
        <v>37694.139485552594</v>
      </c>
      <c r="F6" s="22">
        <f>Sector_KPIs!I18</f>
        <v>39048.376866887374</v>
      </c>
      <c r="G6" s="22">
        <f>Sector_KPIs!J18</f>
        <v>40458.275393421885</v>
      </c>
    </row>
    <row r="7" spans="1:7" ht="15" x14ac:dyDescent="0.2">
      <c r="A7" t="s">
        <v>94</v>
      </c>
      <c r="B7" t="s">
        <v>49</v>
      </c>
      <c r="C7" s="23">
        <f>C5*Assumptions!$F$14</f>
        <v>13666.461721427171</v>
      </c>
      <c r="D7" s="23">
        <f>D5*Assumptions!$F$14</f>
        <v>14152.434295955585</v>
      </c>
      <c r="E7" s="23">
        <f>E5*Assumptions!$F$14</f>
        <v>14658.308492444265</v>
      </c>
      <c r="F7" s="23">
        <f>F5*Assumptions!$F$14</f>
        <v>15184.937554110826</v>
      </c>
      <c r="G7" s="23">
        <f>G5*Assumptions!$F$14</f>
        <v>15733.211843616937</v>
      </c>
    </row>
    <row r="8" spans="1:7" ht="15" x14ac:dyDescent="0.2">
      <c r="A8" s="16" t="s">
        <v>469</v>
      </c>
      <c r="B8" s="16" t="s">
        <v>49</v>
      </c>
      <c r="C8" s="22">
        <f>C6-C7</f>
        <v>21477.123547430871</v>
      </c>
      <c r="D8" s="22">
        <f>D6-D7</f>
        <v>22240.839367703906</v>
      </c>
      <c r="E8" s="22">
        <f>E6-E7</f>
        <v>23035.830993108328</v>
      </c>
      <c r="F8" s="22">
        <f>F6-F7</f>
        <v>23863.439312776551</v>
      </c>
      <c r="G8" s="22">
        <f>G6-G7</f>
        <v>24725.063549804949</v>
      </c>
    </row>
    <row r="9" spans="1:7" ht="15" x14ac:dyDescent="0.2">
      <c r="A9" t="s">
        <v>470</v>
      </c>
      <c r="B9" t="s">
        <v>49</v>
      </c>
      <c r="C9" s="23">
        <f>MAX(0,C8*Assumptions!$F$16)</f>
        <v>5154.5096513834087</v>
      </c>
      <c r="D9" s="23">
        <f>MAX(0,D8*Assumptions!$F$16)</f>
        <v>5337.801448248937</v>
      </c>
      <c r="E9" s="23">
        <f>MAX(0,E8*Assumptions!$F$16)</f>
        <v>5528.5994383459984</v>
      </c>
      <c r="F9" s="23">
        <f>MAX(0,F8*Assumptions!$F$16)</f>
        <v>5727.2254350663716</v>
      </c>
      <c r="G9" s="23">
        <f>MAX(0,G8*Assumptions!$F$16)</f>
        <v>5934.0152519531875</v>
      </c>
    </row>
    <row r="10" spans="1:7" ht="15" x14ac:dyDescent="0.2">
      <c r="A10" s="16" t="s">
        <v>471</v>
      </c>
      <c r="B10" s="16" t="s">
        <v>49</v>
      </c>
      <c r="C10" s="22">
        <f>C8-C9</f>
        <v>16322.613896047462</v>
      </c>
      <c r="D10" s="22">
        <f>D8-D9</f>
        <v>16903.037919454968</v>
      </c>
      <c r="E10" s="22">
        <f>E8-E9</f>
        <v>17507.231554762329</v>
      </c>
      <c r="F10" s="22">
        <f>F8-F9</f>
        <v>18136.213877710179</v>
      </c>
      <c r="G10" s="22">
        <f>G8-G9</f>
        <v>18791.048297851761</v>
      </c>
    </row>
    <row r="11" spans="1:7" ht="15" x14ac:dyDescent="0.2">
      <c r="A11" t="s">
        <v>472</v>
      </c>
      <c r="B11" t="s">
        <v>49</v>
      </c>
      <c r="C11" s="23">
        <f>C7</f>
        <v>13666.461721427171</v>
      </c>
      <c r="D11" s="23">
        <f>D7</f>
        <v>14152.434295955585</v>
      </c>
      <c r="E11" s="23">
        <f>E7</f>
        <v>14658.308492444265</v>
      </c>
      <c r="F11" s="23">
        <f>F7</f>
        <v>15184.937554110826</v>
      </c>
      <c r="G11" s="23">
        <f>G7</f>
        <v>15733.211843616937</v>
      </c>
    </row>
    <row r="12" spans="1:7" ht="15" x14ac:dyDescent="0.2">
      <c r="A12" t="s">
        <v>473</v>
      </c>
      <c r="B12" t="s">
        <v>49</v>
      </c>
      <c r="C12" s="23">
        <f>Sector_KPIs!F19</f>
        <v>10093.530552426604</v>
      </c>
      <c r="D12" s="23">
        <f>Sector_KPIs!G19</f>
        <v>10452.451473483537</v>
      </c>
      <c r="E12" s="23">
        <f>Sector_KPIs!H19</f>
        <v>10826.070978079752</v>
      </c>
      <c r="F12" s="23">
        <f>Sector_KPIs!I19</f>
        <v>11215.01923931061</v>
      </c>
      <c r="G12" s="23">
        <f>Sector_KPIs!J19</f>
        <v>11619.953845285712</v>
      </c>
    </row>
    <row r="13" spans="1:7" ht="15" x14ac:dyDescent="0.2">
      <c r="A13" t="s">
        <v>474</v>
      </c>
      <c r="B13" t="s">
        <v>49</v>
      </c>
      <c r="C13" s="23">
        <f>MAX(0,(Sector_KPIs!F16-Sector_KPIs!E16)*Assumptions!$F$17)</f>
        <v>10.142792250141937</v>
      </c>
      <c r="D13" s="23">
        <f>MAX(0,(Sector_KPIs!G16-Sector_KPIs!F16)*Assumptions!$F$17)</f>
        <v>31.762913367870205</v>
      </c>
      <c r="E13" s="23">
        <f>MAX(0,(Sector_KPIs!H16-Sector_KPIs!G16)*Assumptions!$F$17)</f>
        <v>33.06367297311634</v>
      </c>
      <c r="F13" s="23">
        <f>MAX(0,(Sector_KPIs!I16-Sector_KPIs!H16)*Assumptions!$F$17)</f>
        <v>34.420200108925492</v>
      </c>
      <c r="G13" s="23">
        <f>MAX(0,(Sector_KPIs!J16-Sector_KPIs!I16)*Assumptions!$F$17)</f>
        <v>35.834920882752343</v>
      </c>
    </row>
    <row r="14" spans="1:7" ht="15" x14ac:dyDescent="0.2">
      <c r="A14" s="16" t="s">
        <v>475</v>
      </c>
      <c r="B14" s="16" t="s">
        <v>49</v>
      </c>
      <c r="C14" s="22">
        <f>C10+C11-C12-C13</f>
        <v>19885.402272797888</v>
      </c>
      <c r="D14" s="22">
        <f>D10+D11-D12-D13</f>
        <v>20571.257828559144</v>
      </c>
      <c r="E14" s="22">
        <f>E10+E11-E12-E13</f>
        <v>21306.405396153728</v>
      </c>
      <c r="F14" s="22">
        <f>F10+F11-F12-F13</f>
        <v>22071.711992401466</v>
      </c>
      <c r="G14" s="22">
        <f>G10+G11-G12-G13</f>
        <v>22868.471375300229</v>
      </c>
    </row>
    <row r="15" spans="1:7" ht="15" x14ac:dyDescent="0.2">
      <c r="A15" t="s">
        <v>476</v>
      </c>
      <c r="B15" t="s">
        <v>232</v>
      </c>
      <c r="C15" s="24">
        <f>IFERROR(C14/C5,0)</f>
        <v>0.22262284194363924</v>
      </c>
      <c r="D15" s="24">
        <f>IFERROR(D14/D5,0)</f>
        <v>0.22239300900121461</v>
      </c>
      <c r="E15" s="24">
        <f>IFERROR(E14/E5,0)</f>
        <v>0.22239128254749516</v>
      </c>
      <c r="F15" s="24">
        <f>IFERROR(F14/F5,0)</f>
        <v>0.22238958328302241</v>
      </c>
      <c r="G15" s="24">
        <f>IFERROR(G14/G5,0)</f>
        <v>0.22238791133041605</v>
      </c>
    </row>
    <row r="18" spans="1:7" ht="35" customHeight="1" x14ac:dyDescent="0.2">
      <c r="A18" s="2" t="s">
        <v>477</v>
      </c>
      <c r="B18" s="2" t="s">
        <v>477</v>
      </c>
      <c r="C18" s="2" t="s">
        <v>477</v>
      </c>
      <c r="D18" s="2" t="s">
        <v>477</v>
      </c>
      <c r="E18" s="2" t="s">
        <v>477</v>
      </c>
      <c r="F18" s="2" t="s">
        <v>477</v>
      </c>
      <c r="G18" s="2" t="s">
        <v>477</v>
      </c>
    </row>
  </sheetData>
  <mergeCells count="3">
    <mergeCell ref="A1:G1"/>
    <mergeCell ref="A2:G2"/>
    <mergeCell ref="A18:G18"/>
  </mergeCell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1"/>
  <sheetViews>
    <sheetView showGridLines="0" zoomScaleNormal="100" workbookViewId="0">
      <selection activeCell="A5" sqref="A5"/>
    </sheetView>
  </sheetViews>
  <sheetFormatPr baseColWidth="10" defaultColWidth="8.6640625" defaultRowHeight="13" x14ac:dyDescent="0.15"/>
  <cols>
    <col min="1" max="1" width="38" customWidth="1"/>
    <col min="2" max="2" width="20" customWidth="1"/>
    <col min="3" max="5" width="15" customWidth="1"/>
    <col min="6" max="6" width="20" customWidth="1"/>
    <col min="7" max="8" width="15" customWidth="1"/>
  </cols>
  <sheetData>
    <row r="1" spans="1:7" ht="26" customHeight="1" x14ac:dyDescent="0.15">
      <c r="A1" s="5" t="s">
        <v>478</v>
      </c>
      <c r="B1" s="5" t="s">
        <v>478</v>
      </c>
      <c r="C1" s="5" t="s">
        <v>478</v>
      </c>
      <c r="D1" s="5" t="s">
        <v>478</v>
      </c>
      <c r="E1" s="5" t="s">
        <v>478</v>
      </c>
      <c r="F1" s="5" t="s">
        <v>478</v>
      </c>
      <c r="G1" s="5" t="s">
        <v>478</v>
      </c>
    </row>
    <row r="2" spans="1:7" ht="30" customHeight="1" x14ac:dyDescent="0.15">
      <c r="A2" s="4" t="s">
        <v>479</v>
      </c>
      <c r="B2" s="4" t="s">
        <v>479</v>
      </c>
      <c r="C2" s="4" t="s">
        <v>479</v>
      </c>
      <c r="D2" s="4" t="s">
        <v>479</v>
      </c>
      <c r="E2" s="4" t="s">
        <v>479</v>
      </c>
      <c r="F2" s="4" t="s">
        <v>479</v>
      </c>
      <c r="G2" s="4" t="s">
        <v>479</v>
      </c>
    </row>
    <row r="4" spans="1:7" ht="16" x14ac:dyDescent="0.15">
      <c r="A4" s="7" t="s">
        <v>31</v>
      </c>
      <c r="B4" s="8" t="s">
        <v>33</v>
      </c>
      <c r="C4" s="8" t="s">
        <v>463</v>
      </c>
      <c r="D4" s="8" t="s">
        <v>464</v>
      </c>
      <c r="E4" s="8" t="s">
        <v>465</v>
      </c>
      <c r="F4" s="8" t="s">
        <v>466</v>
      </c>
      <c r="G4" s="9" t="s">
        <v>467</v>
      </c>
    </row>
    <row r="5" spans="1:7" ht="15" x14ac:dyDescent="0.2">
      <c r="A5" t="s">
        <v>475</v>
      </c>
      <c r="B5" t="s">
        <v>49</v>
      </c>
      <c r="C5" s="25">
        <f>Forecast!C14</f>
        <v>19885.402272797888</v>
      </c>
      <c r="D5" s="25">
        <f>Forecast!D14</f>
        <v>20571.257828559144</v>
      </c>
      <c r="E5" s="25">
        <f>Forecast!E14</f>
        <v>21306.405396153728</v>
      </c>
      <c r="F5" s="25">
        <f>Forecast!F14</f>
        <v>22071.711992401466</v>
      </c>
      <c r="G5" s="25">
        <f>Forecast!G14</f>
        <v>22868.471375300229</v>
      </c>
    </row>
    <row r="6" spans="1:7" ht="15" x14ac:dyDescent="0.2">
      <c r="A6" t="s">
        <v>480</v>
      </c>
      <c r="B6" t="s">
        <v>481</v>
      </c>
      <c r="C6" s="25">
        <v>1</v>
      </c>
      <c r="D6" s="25">
        <v>2</v>
      </c>
      <c r="E6" s="25">
        <v>3</v>
      </c>
      <c r="F6" s="25">
        <v>4</v>
      </c>
      <c r="G6" s="25">
        <v>5</v>
      </c>
    </row>
    <row r="7" spans="1:7" ht="15" x14ac:dyDescent="0.2">
      <c r="A7" t="s">
        <v>482</v>
      </c>
      <c r="B7" t="s">
        <v>323</v>
      </c>
      <c r="C7" s="26">
        <f>1/(1+Assumptions!$F$19)^C6</f>
        <v>0.91324200913242015</v>
      </c>
      <c r="D7" s="26">
        <f>1/(1+Assumptions!$F$19)^D6</f>
        <v>0.8340109672442193</v>
      </c>
      <c r="E7" s="26">
        <f>1/(1+Assumptions!$F$19)^E6</f>
        <v>0.76165385136458386</v>
      </c>
      <c r="F7" s="26">
        <f>1/(1+Assumptions!$F$19)^F6</f>
        <v>0.6955742934836383</v>
      </c>
      <c r="G7" s="26">
        <f>1/(1+Assumptions!$F$19)^G6</f>
        <v>0.6352276652818615</v>
      </c>
    </row>
    <row r="8" spans="1:7" ht="15" x14ac:dyDescent="0.2">
      <c r="A8" t="s">
        <v>483</v>
      </c>
      <c r="B8" t="s">
        <v>49</v>
      </c>
      <c r="C8" s="25">
        <f>C5*C7</f>
        <v>18160.184724016337</v>
      </c>
      <c r="D8" s="25">
        <f>D5*D7</f>
        <v>17156.65463902683</v>
      </c>
      <c r="E8" s="25">
        <f>E5*E7</f>
        <v>16228.10572871564</v>
      </c>
      <c r="F8" s="25">
        <f>F5*F7</f>
        <v>15352.515475088996</v>
      </c>
      <c r="G8" s="25">
        <f>G5*G7</f>
        <v>14526.685680297043</v>
      </c>
    </row>
    <row r="11" spans="1:7" ht="15" x14ac:dyDescent="0.2">
      <c r="A11" t="s">
        <v>458</v>
      </c>
      <c r="B11" s="27">
        <f>Assumptions!$F$19</f>
        <v>9.5000000000000001E-2</v>
      </c>
    </row>
    <row r="12" spans="1:7" ht="15" x14ac:dyDescent="0.2">
      <c r="A12" t="s">
        <v>459</v>
      </c>
      <c r="B12" s="27">
        <f>Assumptions!$F$20</f>
        <v>2.5000000000000001E-2</v>
      </c>
    </row>
    <row r="13" spans="1:7" ht="15" x14ac:dyDescent="0.2">
      <c r="A13" t="s">
        <v>484</v>
      </c>
      <c r="B13" s="25">
        <f>IFERROR(G5*(1+B12)/(B11-B12),0)</f>
        <v>334859.75942403899</v>
      </c>
    </row>
    <row r="14" spans="1:7" ht="15" x14ac:dyDescent="0.2">
      <c r="A14" t="s">
        <v>485</v>
      </c>
      <c r="B14" s="25">
        <f>B13*G7</f>
        <v>212712.1831757781</v>
      </c>
    </row>
    <row r="15" spans="1:7" ht="15" x14ac:dyDescent="0.2">
      <c r="A15" s="16" t="s">
        <v>486</v>
      </c>
      <c r="B15" s="17">
        <f>SUM(C8:G8)+B14</f>
        <v>294136.32942292292</v>
      </c>
    </row>
    <row r="16" spans="1:7" ht="15" x14ac:dyDescent="0.2">
      <c r="A16" s="18" t="s">
        <v>129</v>
      </c>
      <c r="B16" s="19">
        <f>Historical!E13</f>
        <v>5598</v>
      </c>
    </row>
    <row r="17" spans="1:6" ht="15" x14ac:dyDescent="0.2">
      <c r="A17" s="18" t="s">
        <v>430</v>
      </c>
      <c r="B17" s="19">
        <f>Historical!E18</f>
        <v>93687</v>
      </c>
    </row>
    <row r="18" spans="1:6" ht="15" x14ac:dyDescent="0.2">
      <c r="A18" s="18" t="s">
        <v>487</v>
      </c>
      <c r="B18" s="19">
        <f>MAX(0,B15+B16-B17)</f>
        <v>206047.32942292292</v>
      </c>
    </row>
    <row r="19" spans="1:6" ht="15" x14ac:dyDescent="0.2">
      <c r="A19" s="18" t="s">
        <v>163</v>
      </c>
      <c r="B19" s="19">
        <f>Historical!E17</f>
        <v>1131.076251</v>
      </c>
    </row>
    <row r="20" spans="1:6" ht="15" x14ac:dyDescent="0.2">
      <c r="A20" s="18" t="s">
        <v>488</v>
      </c>
      <c r="B20" s="28">
        <f>IFERROR(B18/B19,0)</f>
        <v>182.16926510547248</v>
      </c>
    </row>
    <row r="21" spans="1:6" ht="15" x14ac:dyDescent="0.2">
      <c r="A21" s="18" t="s">
        <v>16</v>
      </c>
      <c r="B21" s="18" t="s">
        <v>489</v>
      </c>
    </row>
    <row r="22" spans="1:6" ht="15" x14ac:dyDescent="0.2">
      <c r="A22" s="18" t="s">
        <v>490</v>
      </c>
      <c r="B22" s="18" t="s">
        <v>491</v>
      </c>
    </row>
    <row r="23" spans="1:6" ht="15" x14ac:dyDescent="0.2">
      <c r="A23" s="18" t="s">
        <v>492</v>
      </c>
      <c r="B23" s="19">
        <f>Sector_KPIs!J18</f>
        <v>40458.275393421885</v>
      </c>
    </row>
    <row r="24" spans="1:6" ht="15" x14ac:dyDescent="0.2">
      <c r="A24" s="18" t="s">
        <v>493</v>
      </c>
      <c r="B24" s="19">
        <f>B23*Assumptions!$F$21</f>
        <v>283207.9277539532</v>
      </c>
    </row>
    <row r="25" spans="1:6" ht="15" x14ac:dyDescent="0.2">
      <c r="A25" s="18" t="s">
        <v>494</v>
      </c>
      <c r="B25" s="28">
        <f>IFERROR(MAX(0,B24+B16-B17)/B19,0)</f>
        <v>172.50731556024263</v>
      </c>
    </row>
    <row r="29" spans="1:6" ht="23.75" customHeight="1" x14ac:dyDescent="0.2">
      <c r="A29" s="20" t="s">
        <v>495</v>
      </c>
      <c r="B29" s="6" t="s">
        <v>496</v>
      </c>
      <c r="C29" s="3"/>
      <c r="D29" s="3"/>
      <c r="E29" s="3"/>
      <c r="F29" s="3"/>
    </row>
    <row r="30" spans="1:6" ht="35" customHeight="1" x14ac:dyDescent="0.2">
      <c r="A30" s="20" t="s">
        <v>497</v>
      </c>
      <c r="B30" s="6" t="s">
        <v>498</v>
      </c>
      <c r="C30" s="3"/>
      <c r="D30" s="3"/>
      <c r="E30" s="3"/>
      <c r="F30" s="3"/>
    </row>
    <row r="31" spans="1:6" ht="23.75" customHeight="1" x14ac:dyDescent="0.2">
      <c r="A31" s="20" t="s">
        <v>499</v>
      </c>
      <c r="B31" s="6" t="s">
        <v>500</v>
      </c>
      <c r="C31" s="3"/>
      <c r="D31" s="3"/>
      <c r="E31" s="3"/>
      <c r="F31" s="3"/>
    </row>
  </sheetData>
  <mergeCells count="5">
    <mergeCell ref="A1:G1"/>
    <mergeCell ref="A2:G2"/>
    <mergeCell ref="B29:F29"/>
    <mergeCell ref="B30:F30"/>
    <mergeCell ref="B31:F31"/>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
  <sheetViews>
    <sheetView showGridLines="0" zoomScaleNormal="100" workbookViewId="0">
      <selection sqref="A1:H1"/>
    </sheetView>
  </sheetViews>
  <sheetFormatPr baseColWidth="10" defaultColWidth="8.6640625" defaultRowHeight="13" x14ac:dyDescent="0.15"/>
  <cols>
    <col min="1" max="1" width="27" customWidth="1"/>
    <col min="2" max="6" width="14" customWidth="1"/>
    <col min="7" max="7" width="18" customWidth="1"/>
    <col min="8" max="8" width="16" customWidth="1"/>
  </cols>
  <sheetData>
    <row r="1" spans="1:8" ht="26" customHeight="1" x14ac:dyDescent="0.15">
      <c r="A1" s="5" t="s">
        <v>501</v>
      </c>
      <c r="B1" s="5" t="s">
        <v>501</v>
      </c>
      <c r="C1" s="5" t="s">
        <v>501</v>
      </c>
      <c r="D1" s="5" t="s">
        <v>501</v>
      </c>
      <c r="E1" s="5" t="s">
        <v>501</v>
      </c>
      <c r="F1" s="5" t="s">
        <v>501</v>
      </c>
      <c r="G1" s="5" t="s">
        <v>501</v>
      </c>
      <c r="H1" s="5" t="s">
        <v>501</v>
      </c>
    </row>
    <row r="2" spans="1:8" ht="30" customHeight="1" x14ac:dyDescent="0.15">
      <c r="A2" s="4" t="s">
        <v>502</v>
      </c>
      <c r="B2" s="4" t="s">
        <v>502</v>
      </c>
      <c r="C2" s="4" t="s">
        <v>502</v>
      </c>
      <c r="D2" s="4" t="s">
        <v>502</v>
      </c>
      <c r="E2" s="4" t="s">
        <v>502</v>
      </c>
      <c r="F2" s="4" t="s">
        <v>502</v>
      </c>
      <c r="G2" s="4" t="s">
        <v>502</v>
      </c>
      <c r="H2" s="4" t="s">
        <v>502</v>
      </c>
    </row>
    <row r="4" spans="1:8" ht="16" x14ac:dyDescent="0.15">
      <c r="A4" s="7" t="s">
        <v>503</v>
      </c>
      <c r="B4" s="29">
        <f>Assumptions!$F$20+-0.01</f>
        <v>1.5000000000000001E-2</v>
      </c>
      <c r="C4" s="29">
        <f>Assumptions!$F$20+-0.005</f>
        <v>0.02</v>
      </c>
      <c r="D4" s="29">
        <f>Assumptions!$F$20+0</f>
        <v>2.5000000000000001E-2</v>
      </c>
      <c r="E4" s="29">
        <f>Assumptions!$F$20+0.005</f>
        <v>3.0000000000000002E-2</v>
      </c>
      <c r="F4" s="29">
        <f>Assumptions!$F$20+0.01</f>
        <v>3.5000000000000003E-2</v>
      </c>
      <c r="G4" s="8" t="s">
        <v>504</v>
      </c>
      <c r="H4" s="30">
        <f>Valuation!B20</f>
        <v>182.16926510547248</v>
      </c>
    </row>
    <row r="5" spans="1:8" ht="15" x14ac:dyDescent="0.2">
      <c r="A5" s="27">
        <f>Assumptions!$F$19+0.02</f>
        <v>0.115</v>
      </c>
      <c r="B5" s="31">
        <f>IFERROR(MAX(0,Forecast!C14/(1+$A5)+Forecast!D14/(1+$A5)^2+Forecast!E14/(1+$A5)^3+Forecast!F14/(1+$A5)^4+Forecast!G14/(1+$A5)^5+Forecast!G14*(1+B$4)/($A5-B$4)/(1+$A5)^5+Historical!E13-Historical!E18)/Historical!E17,0)</f>
        <v>109.54217442613097</v>
      </c>
      <c r="C5" s="31">
        <f>IFERROR(MAX(0,Forecast!C14/(1+$A5)+Forecast!D14/(1+$A5)^2+Forecast!E14/(1+$A5)^3+Forecast!F14/(1+$A5)^4+Forecast!G14/(1+$A5)^5+Forecast!G14*(1+C$4)/($A5-C$4)/(1+$A5)^5+Historical!E13-Historical!E18)/Historical!E17,0)</f>
        <v>116.42698794228082</v>
      </c>
      <c r="D5" s="31">
        <f>IFERROR(MAX(0,Forecast!C14/(1+$A5)+Forecast!D14/(1+$A5)^2+Forecast!E14/(1+$A5)^3+Forecast!F14/(1+$A5)^4+Forecast!G14/(1+$A5)^5+Forecast!G14*(1+D$4)/($A5-D$4)/(1+$A5)^5+Historical!E13-Historical!E18)/Historical!E17,0)</f>
        <v>124.07678073800284</v>
      </c>
      <c r="E5" s="31">
        <f>IFERROR(MAX(0,Forecast!C14/(1+$A5)+Forecast!D14/(1+$A5)^2+Forecast!E14/(1+$A5)^3+Forecast!F14/(1+$A5)^4+Forecast!G14/(1+$A5)^5+Forecast!G14*(1+E$4)/($A5-E$4)/(1+$A5)^5+Historical!E13-Historical!E18)/Historical!E17,0)</f>
        <v>132.62654915675097</v>
      </c>
      <c r="F5" s="31">
        <f>IFERROR(MAX(0,Forecast!C14/(1+$A5)+Forecast!D14/(1+$A5)^2+Forecast!E14/(1+$A5)^3+Forecast!F14/(1+$A5)^4+Forecast!G14/(1+$A5)^5+Forecast!G14*(1+F$4)/($A5-F$4)/(1+$A5)^5+Historical!E13-Historical!E18)/Historical!E17,0)</f>
        <v>142.24503862784263</v>
      </c>
    </row>
    <row r="6" spans="1:8" ht="15" x14ac:dyDescent="0.2">
      <c r="A6" s="27">
        <f>Assumptions!$F$19+0.01</f>
        <v>0.105</v>
      </c>
      <c r="B6" s="31">
        <f>IFERROR(MAX(0,Forecast!C14/(1+$A6)+Forecast!D14/(1+$A6)^2+Forecast!E14/(1+$A6)^3+Forecast!F14/(1+$A6)^4+Forecast!G14/(1+$A6)^5+Forecast!G14*(1+B$4)/($A6-B$4)/(1+$A6)^5+Historical!E13-Historical!E18)/Historical!E17,0)</f>
        <v>130.65425861697128</v>
      </c>
      <c r="C6" s="31">
        <f>IFERROR(MAX(0,Forecast!C14/(1+$A6)+Forecast!D14/(1+$A6)^2+Forecast!E14/(1+$A6)^3+Forecast!F14/(1+$A6)^4+Forecast!G14/(1+$A6)^5+Forecast!G14*(1+C$4)/($A6-C$4)/(1+$A6)^5+Historical!E13-Historical!E18)/Historical!E17,0)</f>
        <v>139.51774759391364</v>
      </c>
      <c r="D6" s="31">
        <f>IFERROR(MAX(0,Forecast!C14/(1+$A6)+Forecast!D14/(1+$A6)^2+Forecast!E14/(1+$A6)^3+Forecast!F14/(1+$A6)^4+Forecast!G14/(1+$A6)^5+Forecast!G14*(1+D$4)/($A6-D$4)/(1+$A6)^5+Historical!E13-Historical!E18)/Historical!E17,0)</f>
        <v>149.48917269297377</v>
      </c>
      <c r="E6" s="31">
        <f>IFERROR(MAX(0,Forecast!C14/(1+$A6)+Forecast!D14/(1+$A6)^2+Forecast!E14/(1+$A6)^3+Forecast!F14/(1+$A6)^4+Forecast!G14/(1+$A6)^5+Forecast!G14*(1+E$4)/($A6-E$4)/(1+$A6)^5+Historical!E13-Historical!E18)/Historical!E17,0)</f>
        <v>160.79012113857536</v>
      </c>
      <c r="F6" s="31">
        <f>IFERROR(MAX(0,Forecast!C14/(1+$A6)+Forecast!D14/(1+$A6)^2+Forecast!E14/(1+$A6)^3+Forecast!F14/(1+$A6)^4+Forecast!G14/(1+$A6)^5+Forecast!G14*(1+F$4)/($A6-F$4)/(1+$A6)^5+Historical!E13-Historical!E18)/Historical!E17,0)</f>
        <v>173.70549079069133</v>
      </c>
    </row>
    <row r="7" spans="1:8" ht="15" x14ac:dyDescent="0.2">
      <c r="A7" s="27">
        <f>Assumptions!$F$19+0</f>
        <v>9.5000000000000001E-2</v>
      </c>
      <c r="B7" s="31">
        <f>IFERROR(MAX(0,Forecast!C14/(1+$A7)+Forecast!D14/(1+$A7)^2+Forecast!E14/(1+$A7)^3+Forecast!F14/(1+$A7)^4+Forecast!G14/(1+$A7)^5+Forecast!G14*(1+B$4)/($A7-B$4)/(1+$A7)^5+Historical!E13-Historical!E18)/Historical!E17,0)</f>
        <v>157.0561406968429</v>
      </c>
      <c r="C7" s="31">
        <f>IFERROR(MAX(0,Forecast!C14/(1+$A7)+Forecast!D14/(1+$A7)^2+Forecast!E14/(1+$A7)^3+Forecast!F14/(1+$A7)^4+Forecast!G14/(1+$A7)^5+Forecast!G14*(1+C$4)/($A7-C$4)/(1+$A7)^5+Historical!E13-Historical!E18)/Historical!E17,0)</f>
        <v>168.7755987542034</v>
      </c>
      <c r="D7" s="32">
        <f>IFERROR(MAX(0,Forecast!C14/(1+$A7)+Forecast!D14/(1+$A7)^2+Forecast!E14/(1+$A7)^3+Forecast!F14/(1+$A7)^4+Forecast!G14/(1+$A7)^5+Forecast!G14*(1+D$4)/($A7-D$4)/(1+$A7)^5+Historical!E13-Historical!E18)/Historical!E17,0)</f>
        <v>182.16926510547248</v>
      </c>
      <c r="E7" s="31">
        <f>IFERROR(MAX(0,Forecast!C14/(1+$A7)+Forecast!D14/(1+$A7)^2+Forecast!E14/(1+$A7)^3+Forecast!F14/(1+$A7)^4+Forecast!G14/(1+$A7)^5+Forecast!G14*(1+E$4)/($A7-E$4)/(1+$A7)^5+Historical!E13-Historical!E18)/Historical!E17,0)</f>
        <v>197.6234955107831</v>
      </c>
      <c r="F7" s="31">
        <f>IFERROR(MAX(0,Forecast!C14/(1+$A7)+Forecast!D14/(1+$A7)^2+Forecast!E14/(1+$A7)^3+Forecast!F14/(1+$A7)^4+Forecast!G14/(1+$A7)^5+Forecast!G14*(1+F$4)/($A7-F$4)/(1+$A7)^5+Historical!E13-Historical!E18)/Historical!E17,0)</f>
        <v>215.6534309836454</v>
      </c>
    </row>
    <row r="8" spans="1:8" ht="15" x14ac:dyDescent="0.2">
      <c r="A8" s="27">
        <f>Assumptions!$F$19+-0.01</f>
        <v>8.5000000000000006E-2</v>
      </c>
      <c r="B8" s="31">
        <f>IFERROR(MAX(0,Forecast!C14/(1+$A8)+Forecast!D14/(1+$A8)^2+Forecast!E14/(1+$A8)^3+Forecast!F14/(1+$A8)^4+Forecast!G14/(1+$A8)^5+Forecast!G14*(1+B$4)/($A8-B$4)/(1+$A8)^5+Historical!E13-Historical!E18)/Historical!E17,0)</f>
        <v>191.01553042211108</v>
      </c>
      <c r="C8" s="31">
        <f>IFERROR(MAX(0,Forecast!C14/(1+$A8)+Forecast!D14/(1+$A8)^2+Forecast!E14/(1+$A8)^3+Forecast!F14/(1+$A8)^4+Forecast!G14/(1+$A8)^5+Forecast!G14*(1+C$4)/($A8-C$4)/(1+$A8)^5+Historical!E13-Historical!E18)/Historical!E17,0)</f>
        <v>207.04742715563566</v>
      </c>
      <c r="D8" s="31">
        <f>IFERROR(MAX(0,Forecast!C14/(1+$A8)+Forecast!D14/(1+$A8)^2+Forecast!E14/(1+$A8)^3+Forecast!F14/(1+$A8)^4+Forecast!G14/(1+$A8)^5+Forecast!G14*(1+D$4)/($A8-D$4)/(1+$A8)^5+Historical!E13-Historical!E18)/Historical!E17,0)</f>
        <v>225.75130667808097</v>
      </c>
      <c r="E8" s="31">
        <f>IFERROR(MAX(0,Forecast!C14/(1+$A8)+Forecast!D14/(1+$A8)^2+Forecast!E14/(1+$A8)^3+Forecast!F14/(1+$A8)^4+Forecast!G14/(1+$A8)^5+Forecast!G14*(1+E$4)/($A8-E$4)/(1+$A8)^5+Historical!E13-Historical!E18)/Historical!E17,0)</f>
        <v>247.85589156824363</v>
      </c>
      <c r="F8" s="31">
        <f>IFERROR(MAX(0,Forecast!C14/(1+$A8)+Forecast!D14/(1+$A8)^2+Forecast!E14/(1+$A8)^3+Forecast!F14/(1+$A8)^4+Forecast!G14/(1+$A8)^5+Forecast!G14*(1+F$4)/($A8-F$4)/(1+$A8)^5+Historical!E13-Historical!E18)/Historical!E17,0)</f>
        <v>274.38139343643877</v>
      </c>
    </row>
    <row r="9" spans="1:8" ht="15" x14ac:dyDescent="0.2">
      <c r="A9" s="27">
        <f>Assumptions!$F$19+-0.02</f>
        <v>7.4999999999999997E-2</v>
      </c>
      <c r="B9" s="31">
        <f>IFERROR(MAX(0,Forecast!C14/(1+$A9)+Forecast!D14/(1+$A9)^2+Forecast!E14/(1+$A9)^3+Forecast!F14/(1+$A9)^4+Forecast!G14/(1+$A9)^5+Forecast!G14*(1+B$4)/($A9-B$4)/(1+$A9)^5+Historical!E13-Historical!E18)/Historical!E17,0)</f>
        <v>236.31198975423592</v>
      </c>
      <c r="C9" s="31">
        <f>IFERROR(MAX(0,Forecast!C14/(1+$A9)+Forecast!D14/(1+$A9)^2+Forecast!E14/(1+$A9)^3+Forecast!F14/(1+$A9)^4+Forecast!G14/(1+$A9)^5+Forecast!G14*(1+C$4)/($A9-C$4)/(1+$A9)^5+Historical!E13-Historical!E18)/Historical!E17,0)</f>
        <v>259.25061885606544</v>
      </c>
      <c r="D9" s="31">
        <f>IFERROR(MAX(0,Forecast!C14/(1+$A9)+Forecast!D14/(1+$A9)^2+Forecast!E14/(1+$A9)^3+Forecast!F14/(1+$A9)^4+Forecast!G14/(1+$A9)^5+Forecast!G14*(1+D$4)/($A9-D$4)/(1+$A9)^5+Historical!E13-Historical!E18)/Historical!E17,0)</f>
        <v>286.7769737782608</v>
      </c>
      <c r="E9" s="31">
        <f>IFERROR(MAX(0,Forecast!C14/(1+$A9)+Forecast!D14/(1+$A9)^2+Forecast!E14/(1+$A9)^3+Forecast!F14/(1+$A9)^4+Forecast!G14/(1+$A9)^5+Forecast!G14*(1+E$4)/($A9-E$4)/(1+$A9)^5+Historical!E13-Historical!E18)/Historical!E17,0)</f>
        <v>320.42029646094403</v>
      </c>
      <c r="F9" s="31">
        <f>IFERROR(MAX(0,Forecast!C14/(1+$A9)+Forecast!D14/(1+$A9)^2+Forecast!E14/(1+$A9)^3+Forecast!F14/(1+$A9)^4+Forecast!G14/(1+$A9)^5+Forecast!G14*(1+F$4)/($A9-F$4)/(1+$A9)^5+Historical!E13-Historical!E18)/Historical!E17,0)</f>
        <v>362.4744498142981</v>
      </c>
    </row>
  </sheetData>
  <mergeCells count="2">
    <mergeCell ref="A1:H1"/>
    <mergeCell ref="A2:H2"/>
  </mergeCells>
  <conditionalFormatting sqref="B5:F9">
    <cfRule type="colorScale" priority="2">
      <colorScale>
        <cfvo type="min"/>
        <cfvo type="percentile" val="50"/>
        <cfvo type="max"/>
        <color rgb="FFF8696B"/>
        <color rgb="FFFFEB84"/>
        <color rgb="FF63BE7B"/>
      </colorScale>
    </cfRule>
  </conditionalFormatting>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6"/>
  <sheetViews>
    <sheetView showGridLines="0" zoomScaleNormal="100" workbookViewId="0">
      <selection sqref="A1:H1"/>
    </sheetView>
  </sheetViews>
  <sheetFormatPr baseColWidth="10" defaultColWidth="8.6640625" defaultRowHeight="13" x14ac:dyDescent="0.15"/>
  <cols>
    <col min="1" max="1" width="12" customWidth="1"/>
    <col min="2" max="2" width="34" customWidth="1"/>
    <col min="3" max="5" width="16" customWidth="1"/>
    <col min="6" max="6" width="13" customWidth="1"/>
    <col min="7" max="7" width="16" customWidth="1"/>
    <col min="8" max="8" width="66" customWidth="1"/>
  </cols>
  <sheetData>
    <row r="1" spans="1:8" ht="26" customHeight="1" x14ac:dyDescent="0.15">
      <c r="A1" s="5" t="s">
        <v>505</v>
      </c>
      <c r="B1" s="5" t="s">
        <v>505</v>
      </c>
      <c r="C1" s="5" t="s">
        <v>505</v>
      </c>
      <c r="D1" s="5" t="s">
        <v>505</v>
      </c>
      <c r="E1" s="5" t="s">
        <v>505</v>
      </c>
      <c r="F1" s="5" t="s">
        <v>505</v>
      </c>
      <c r="G1" s="5" t="s">
        <v>505</v>
      </c>
      <c r="H1" s="5" t="s">
        <v>505</v>
      </c>
    </row>
    <row r="2" spans="1:8" ht="30" customHeight="1" x14ac:dyDescent="0.15">
      <c r="A2" s="4" t="s">
        <v>506</v>
      </c>
      <c r="B2" s="4" t="s">
        <v>506</v>
      </c>
      <c r="C2" s="4" t="s">
        <v>506</v>
      </c>
      <c r="D2" s="4" t="s">
        <v>506</v>
      </c>
      <c r="E2" s="4" t="s">
        <v>506</v>
      </c>
      <c r="F2" s="4" t="s">
        <v>506</v>
      </c>
      <c r="G2" s="4" t="s">
        <v>506</v>
      </c>
      <c r="H2" s="4" t="s">
        <v>506</v>
      </c>
    </row>
    <row r="3" spans="1:8">
      <c r="A3" t="s">
        <v>6</v>
      </c>
      <c r="B3" t="s">
        <v>7</v>
      </c>
    </row>
    <row r="4" spans="1:8" ht="15" x14ac:dyDescent="0.2">
      <c r="A4" t="s">
        <v>507</v>
      </c>
      <c r="B4" s="33" t="str">
        <f>IF(COUNTIF(G7:G16,"&lt;&gt;PASS")=0,"PASS","REMEDIATE")</f>
        <v>PASS</v>
      </c>
    </row>
    <row r="6" spans="1:8" ht="16" x14ac:dyDescent="0.15">
      <c r="A6" s="7" t="s">
        <v>508</v>
      </c>
      <c r="B6" s="8" t="s">
        <v>509</v>
      </c>
      <c r="C6" s="8" t="s">
        <v>510</v>
      </c>
      <c r="D6" s="8" t="s">
        <v>511</v>
      </c>
      <c r="E6" s="8" t="s">
        <v>512</v>
      </c>
      <c r="F6" s="8" t="s">
        <v>513</v>
      </c>
      <c r="G6" s="8" t="s">
        <v>514</v>
      </c>
      <c r="H6" s="9" t="s">
        <v>515</v>
      </c>
    </row>
    <row r="7" spans="1:8" ht="15" x14ac:dyDescent="0.2">
      <c r="A7" t="s">
        <v>516</v>
      </c>
      <c r="B7" t="s">
        <v>517</v>
      </c>
      <c r="C7" s="34">
        <f>COUNTBLANK(Sources!O5:O102)</f>
        <v>0</v>
      </c>
      <c r="D7" s="34">
        <v>0</v>
      </c>
      <c r="E7" s="34">
        <f t="shared" si="0" ref="E7:E16">C7-D7</f>
        <v>0</v>
      </c>
      <c r="F7" s="34">
        <v>0.01</v>
      </c>
      <c r="G7" t="str">
        <f t="shared" si="1" ref="G7:G16">IF(ABS(E7)&lt;=F7,"PASS","FAIL")</f>
        <v>PASS</v>
      </c>
      <c r="H7" t="s">
        <v>518</v>
      </c>
    </row>
    <row r="8" spans="1:8" ht="15" x14ac:dyDescent="0.2">
      <c r="A8" t="s">
        <v>519</v>
      </c>
      <c r="B8" t="s">
        <v>520</v>
      </c>
      <c r="C8" s="34">
        <f>COUNTBLANK(Sources!K5:K102)</f>
        <v>0</v>
      </c>
      <c r="D8" s="34">
        <v>0</v>
      </c>
      <c r="E8" s="34">
        <f t="shared" si="0"/>
        <v>0</v>
      </c>
      <c r="F8" s="34">
        <v>0.01</v>
      </c>
      <c r="G8" t="str">
        <f t="shared" si="1"/>
        <v>PASS</v>
      </c>
      <c r="H8" t="s">
        <v>521</v>
      </c>
    </row>
    <row r="9" spans="1:8" ht="15" x14ac:dyDescent="0.2">
      <c r="A9" t="s">
        <v>522</v>
      </c>
      <c r="B9" t="s">
        <v>523</v>
      </c>
      <c r="C9" s="34">
        <f>Historical!E18-SUM(Historical!E14:E16)</f>
        <v>0</v>
      </c>
      <c r="D9" s="34">
        <v>0</v>
      </c>
      <c r="E9" s="34">
        <f t="shared" si="0"/>
        <v>0</v>
      </c>
      <c r="F9" s="34">
        <v>0.01</v>
      </c>
      <c r="G9" t="str">
        <f t="shared" si="1"/>
        <v>PASS</v>
      </c>
      <c r="H9" t="s">
        <v>19</v>
      </c>
    </row>
    <row r="10" spans="1:8" ht="15" x14ac:dyDescent="0.2">
      <c r="A10" t="s">
        <v>524</v>
      </c>
      <c r="B10" t="s">
        <v>525</v>
      </c>
      <c r="C10" s="34">
        <f>Historical!E19-(Historical!E18-Historical!E13)</f>
        <v>0</v>
      </c>
      <c r="D10" s="34">
        <v>0</v>
      </c>
      <c r="E10" s="34">
        <f t="shared" si="0"/>
        <v>0</v>
      </c>
      <c r="F10" s="34">
        <v>0.01</v>
      </c>
      <c r="G10" t="str">
        <f t="shared" si="1"/>
        <v>PASS</v>
      </c>
      <c r="H10" t="s">
        <v>21</v>
      </c>
    </row>
    <row r="11" spans="1:8" ht="15" x14ac:dyDescent="0.2">
      <c r="A11" t="s">
        <v>526</v>
      </c>
      <c r="B11" t="s">
        <v>527</v>
      </c>
      <c r="C11" s="34">
        <f>Sector_KPIs!E16-Historical!E5</f>
        <v>0</v>
      </c>
      <c r="D11" s="34">
        <v>0</v>
      </c>
      <c r="E11" s="34">
        <f t="shared" si="0"/>
        <v>0</v>
      </c>
      <c r="F11" s="34">
        <v>0.01</v>
      </c>
      <c r="G11" t="str">
        <f t="shared" si="1"/>
        <v>PASS</v>
      </c>
      <c r="H11" t="s">
        <v>528</v>
      </c>
    </row>
    <row r="12" spans="1:8" ht="15" x14ac:dyDescent="0.2">
      <c r="A12" t="s">
        <v>529</v>
      </c>
      <c r="B12" t="s">
        <v>530</v>
      </c>
      <c r="C12" s="34">
        <f>Forecast!C5-Sector_KPIs!F16</f>
        <v>0</v>
      </c>
      <c r="D12" s="34">
        <v>0</v>
      </c>
      <c r="E12" s="34">
        <f t="shared" si="0"/>
        <v>0</v>
      </c>
      <c r="F12" s="34">
        <v>0.01</v>
      </c>
      <c r="G12" t="str">
        <f t="shared" si="1"/>
        <v>PASS</v>
      </c>
      <c r="H12" t="s">
        <v>531</v>
      </c>
    </row>
    <row r="13" spans="1:8" ht="15" x14ac:dyDescent="0.2">
      <c r="A13" t="s">
        <v>532</v>
      </c>
      <c r="B13" t="s">
        <v>439</v>
      </c>
      <c r="C13" s="34">
        <f>IF(AND(Assumptions!B3&gt;=1,Assumptions!B3&lt;=3),1,0)</f>
        <v>1</v>
      </c>
      <c r="D13" s="34">
        <v>1</v>
      </c>
      <c r="E13" s="34">
        <f t="shared" si="0"/>
        <v>0</v>
      </c>
      <c r="F13" s="34">
        <v>0.01</v>
      </c>
      <c r="G13" t="str">
        <f t="shared" si="1"/>
        <v>PASS</v>
      </c>
      <c r="H13" t="s">
        <v>533</v>
      </c>
    </row>
    <row r="14" spans="1:8" ht="15" x14ac:dyDescent="0.2">
      <c r="A14" t="s">
        <v>534</v>
      </c>
      <c r="B14" t="s">
        <v>535</v>
      </c>
      <c r="C14" s="34">
        <f>IF(Historical!E17&gt;0,1,0)</f>
        <v>1</v>
      </c>
      <c r="D14" s="34">
        <v>1</v>
      </c>
      <c r="E14" s="34">
        <f t="shared" si="0"/>
        <v>0</v>
      </c>
      <c r="F14" s="34">
        <v>0.01</v>
      </c>
      <c r="G14" t="str">
        <f t="shared" si="1"/>
        <v>PASS</v>
      </c>
      <c r="H14" t="s">
        <v>536</v>
      </c>
    </row>
    <row r="15" spans="1:8" ht="15" x14ac:dyDescent="0.2">
      <c r="A15" t="s">
        <v>537</v>
      </c>
      <c r="B15" t="s">
        <v>538</v>
      </c>
      <c r="C15" s="34">
        <f>Sensitivity!D7-Valuation!B20</f>
        <v>0</v>
      </c>
      <c r="D15" s="34">
        <v>0</v>
      </c>
      <c r="E15" s="34">
        <f t="shared" si="0"/>
        <v>0</v>
      </c>
      <c r="F15" s="34">
        <v>0.01</v>
      </c>
      <c r="G15" t="str">
        <f t="shared" si="1"/>
        <v>PASS</v>
      </c>
      <c r="H15" t="s">
        <v>539</v>
      </c>
    </row>
    <row r="16" spans="1:8" ht="15" x14ac:dyDescent="0.2">
      <c r="A16" t="s">
        <v>540</v>
      </c>
      <c r="B16" t="s">
        <v>541</v>
      </c>
      <c r="C16" s="34">
        <f>IF(AND(ISNUMBER(Valuation!B20),Valuation!B20&gt;=0),1,0)</f>
        <v>1</v>
      </c>
      <c r="D16" s="34">
        <v>1</v>
      </c>
      <c r="E16" s="34">
        <f t="shared" si="0"/>
        <v>0</v>
      </c>
      <c r="F16" s="34">
        <v>0.01</v>
      </c>
      <c r="G16" t="str">
        <f t="shared" si="1"/>
        <v>PASS</v>
      </c>
      <c r="H16" t="s">
        <v>542</v>
      </c>
    </row>
  </sheetData>
  <mergeCells count="2">
    <mergeCell ref="A1:H1"/>
    <mergeCell ref="A2:H2"/>
  </mergeCells>
  <conditionalFormatting sqref="G7:G16">
    <cfRule type="expression" priority="2" dxfId="0">
      <formula>G7="PASS"</formula>
    </cfRule>
    <cfRule type="expression" priority="3" dxfId="1">
      <formula>G7="FAIL"</formula>
    </cfRule>
  </conditionalFormatting>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3"/>
  <sheetViews>
    <sheetView showGridLines="0" zoomScaleNormal="100" workbookViewId="0">
      <selection sqref="A1:J1"/>
    </sheetView>
  </sheetViews>
  <sheetFormatPr baseColWidth="10" defaultColWidth="8.6640625" defaultRowHeight="13" x14ac:dyDescent="0.15"/>
  <cols>
    <col min="1" max="1" width="39" customWidth="1"/>
    <col min="2" max="2" width="14" customWidth="1"/>
    <col min="3" max="10" width="13" customWidth="1"/>
  </cols>
  <sheetData>
    <row r="1" spans="1:10" ht="26" customHeight="1" x14ac:dyDescent="0.15">
      <c r="A1" s="5" t="s">
        <v>543</v>
      </c>
      <c r="B1" s="5" t="s">
        <v>543</v>
      </c>
      <c r="C1" s="5" t="s">
        <v>543</v>
      </c>
      <c r="D1" s="5" t="s">
        <v>543</v>
      </c>
      <c r="E1" s="5" t="s">
        <v>543</v>
      </c>
      <c r="F1" s="5" t="s">
        <v>543</v>
      </c>
      <c r="G1" s="5" t="s">
        <v>543</v>
      </c>
      <c r="H1" s="5" t="s">
        <v>543</v>
      </c>
      <c r="I1" s="5" t="s">
        <v>543</v>
      </c>
      <c r="J1" s="5" t="s">
        <v>543</v>
      </c>
    </row>
    <row r="2" spans="1:10" ht="30" customHeight="1" x14ac:dyDescent="0.15">
      <c r="A2" s="4" t="s">
        <v>544</v>
      </c>
      <c r="B2" s="4" t="s">
        <v>544</v>
      </c>
      <c r="C2" s="4" t="s">
        <v>544</v>
      </c>
      <c r="D2" s="4" t="s">
        <v>544</v>
      </c>
      <c r="E2" s="4" t="s">
        <v>544</v>
      </c>
      <c r="F2" s="4" t="s">
        <v>544</v>
      </c>
      <c r="G2" s="4" t="s">
        <v>544</v>
      </c>
      <c r="H2" s="4" t="s">
        <v>544</v>
      </c>
      <c r="I2" s="4" t="s">
        <v>544</v>
      </c>
      <c r="J2" s="4" t="s">
        <v>544</v>
      </c>
    </row>
    <row r="4" spans="1:10" ht="16" x14ac:dyDescent="0.15">
      <c r="A4" s="7" t="s">
        <v>31</v>
      </c>
      <c r="B4" s="8" t="s">
        <v>33</v>
      </c>
      <c r="C4" s="8" t="s">
        <v>396</v>
      </c>
      <c r="D4" s="8" t="s">
        <v>397</v>
      </c>
      <c r="E4" s="8" t="s">
        <v>398</v>
      </c>
      <c r="F4" s="8" t="s">
        <v>463</v>
      </c>
      <c r="G4" s="8" t="s">
        <v>464</v>
      </c>
      <c r="H4" s="8" t="s">
        <v>465</v>
      </c>
      <c r="I4" s="8" t="s">
        <v>466</v>
      </c>
      <c r="J4" s="9" t="s">
        <v>467</v>
      </c>
    </row>
    <row r="5" spans="1:10" ht="15" x14ac:dyDescent="0.2">
      <c r="A5" s="13" t="s">
        <v>545</v>
      </c>
      <c r="B5" s="13" t="s">
        <v>546</v>
      </c>
      <c r="C5" s="35">
        <v>75.936000000000007</v>
      </c>
      <c r="D5" s="35">
        <v>79.013000000000005</v>
      </c>
      <c r="E5" s="35">
        <v>85.593999999999994</v>
      </c>
      <c r="F5" s="36">
        <f>E5*(1+F8)</f>
        <v>87.5968996</v>
      </c>
      <c r="G5" s="36">
        <f>F5*(1+G8)</f>
        <v>89.646667050640005</v>
      </c>
      <c r="H5" s="36">
        <f>G5*(1+H8)</f>
        <v>91.744399059624982</v>
      </c>
      <c r="I5" s="36">
        <f>H5*(1+I8)</f>
        <v>93.891217997620217</v>
      </c>
      <c r="J5" s="36">
        <f>I5*(1+J8)</f>
        <v>96.088272498764539</v>
      </c>
    </row>
    <row r="6" spans="1:10" ht="15" x14ac:dyDescent="0.2">
      <c r="A6" s="13" t="s">
        <v>547</v>
      </c>
      <c r="B6" s="13" t="s">
        <v>174</v>
      </c>
      <c r="C6" s="35"/>
      <c r="D6" s="35"/>
      <c r="E6" s="35"/>
      <c r="F6" s="36">
        <f>Assumptions!$F$7</f>
        <v>0.13500000000000001</v>
      </c>
      <c r="G6" s="36">
        <f>Assumptions!$F$7</f>
        <v>0.13500000000000001</v>
      </c>
      <c r="H6" s="36">
        <f>Assumptions!$F$7</f>
        <v>0.13500000000000001</v>
      </c>
      <c r="I6" s="36">
        <f>Assumptions!$F$7</f>
        <v>0.13500000000000001</v>
      </c>
      <c r="J6" s="36">
        <f>Assumptions!$F$7</f>
        <v>0.13500000000000001</v>
      </c>
    </row>
    <row r="7" spans="1:10" ht="15" x14ac:dyDescent="0.2">
      <c r="A7" s="13" t="s">
        <v>447</v>
      </c>
      <c r="B7" s="13" t="s">
        <v>191</v>
      </c>
      <c r="C7" s="37">
        <v>8.6999999999999994E-3</v>
      </c>
      <c r="D7" s="37">
        <v>8.6E-3</v>
      </c>
      <c r="E7" s="37">
        <v>9.2999999999999992E-3</v>
      </c>
      <c r="F7" s="38">
        <f>Assumptions!$F$8</f>
        <v>9.2999999999999992E-3</v>
      </c>
      <c r="G7" s="38">
        <f>Assumptions!$F$8</f>
        <v>9.2999999999999992E-3</v>
      </c>
      <c r="H7" s="38">
        <f>Assumptions!$F$8</f>
        <v>9.2999999999999992E-3</v>
      </c>
      <c r="I7" s="38">
        <f>Assumptions!$F$8</f>
        <v>9.2999999999999992E-3</v>
      </c>
      <c r="J7" s="38">
        <f>Assumptions!$F$8</f>
        <v>9.2999999999999992E-3</v>
      </c>
    </row>
    <row r="8" spans="1:10" ht="15" x14ac:dyDescent="0.2">
      <c r="A8" s="13" t="s">
        <v>548</v>
      </c>
      <c r="B8" s="13" t="s">
        <v>174</v>
      </c>
      <c r="C8" s="37"/>
      <c r="D8" s="37">
        <f>IFERROR(D5/C5-1,0)</f>
        <v>4.052096502317748E-2</v>
      </c>
      <c r="E8" s="37">
        <f>IFERROR(E5/D5-1,0)</f>
        <v>8.3290091503929631E-2</v>
      </c>
      <c r="F8" s="38">
        <f>F6-F7*12</f>
        <v>2.3400000000000018E-2</v>
      </c>
      <c r="G8" s="38">
        <f>G6-G7*12</f>
        <v>2.3400000000000018E-2</v>
      </c>
      <c r="H8" s="38">
        <f>H6-H7*12</f>
        <v>2.3400000000000018E-2</v>
      </c>
      <c r="I8" s="38">
        <f>I6-I7*12</f>
        <v>2.3400000000000018E-2</v>
      </c>
      <c r="J8" s="38">
        <f>J6-J7*12</f>
        <v>2.3400000000000018E-2</v>
      </c>
    </row>
    <row r="9" spans="1:10" ht="15" x14ac:dyDescent="0.2">
      <c r="A9" s="13" t="s">
        <v>549</v>
      </c>
      <c r="B9" s="13" t="s">
        <v>550</v>
      </c>
      <c r="C9" s="39">
        <v>48.83</v>
      </c>
      <c r="D9" s="39">
        <v>49.35</v>
      </c>
      <c r="E9" s="39">
        <v>50.37</v>
      </c>
      <c r="F9" s="40">
        <f>E9*(1+Assumptions!$F$9)</f>
        <v>51.377400000000002</v>
      </c>
      <c r="G9" s="40">
        <f>F9*(1+Assumptions!$F$9)</f>
        <v>52.404948000000005</v>
      </c>
      <c r="H9" s="40">
        <f>G9*(1+Assumptions!$F$9)</f>
        <v>53.453046960000009</v>
      </c>
      <c r="I9" s="40">
        <f>H9*(1+Assumptions!$F$9)</f>
        <v>54.522107899200009</v>
      </c>
      <c r="J9" s="40">
        <f>I9*(1+Assumptions!$F$9)</f>
        <v>55.612550057184009</v>
      </c>
    </row>
    <row r="10" spans="1:10" ht="15" x14ac:dyDescent="0.2">
      <c r="A10" s="13" t="s">
        <v>551</v>
      </c>
      <c r="B10" s="13" t="s">
        <v>49</v>
      </c>
      <c r="C10" s="14">
        <f>C5*C9*12</f>
        <v>44495.458559999999</v>
      </c>
      <c r="D10" s="14">
        <f>D5*D9*12</f>
        <v>46791.498600000006</v>
      </c>
      <c r="E10" s="14">
        <f>E5*E9*12</f>
        <v>51736.437359999989</v>
      </c>
      <c r="F10" s="41">
        <f>AVERAGE(E5,F5)*F9*12</f>
        <v>53388.588750654235</v>
      </c>
      <c r="G10" s="41">
        <f>AVERAGE(F5,G5)*G9*12</f>
        <v>55730.639361967944</v>
      </c>
      <c r="H10" s="41">
        <f>AVERAGE(G5,H5)*H9*12</f>
        <v>58175.431049498766</v>
      </c>
      <c r="I10" s="41">
        <f>AVERAGE(H5,I5)*I9*12</f>
        <v>60727.470858778186</v>
      </c>
      <c r="J10" s="41">
        <f>AVERAGE(I5,J5)*J9*12</f>
        <v>63391.463550411063</v>
      </c>
    </row>
    <row r="11" spans="1:10" ht="15" x14ac:dyDescent="0.2">
      <c r="A11" s="13" t="s">
        <v>552</v>
      </c>
      <c r="B11" s="13" t="s">
        <v>49</v>
      </c>
      <c r="C11" s="14">
        <v>48692</v>
      </c>
      <c r="D11" s="14">
        <v>52340</v>
      </c>
      <c r="E11" s="14">
        <v>57932</v>
      </c>
      <c r="F11" s="41">
        <f>F10+F12</f>
        <v>59708.06264345425</v>
      </c>
      <c r="G11" s="41">
        <f>G10+G12</f>
        <v>62176.502732623958</v>
      </c>
      <c r="H11" s="41">
        <f>H10+H12</f>
        <v>64750.211687567898</v>
      </c>
      <c r="I11" s="41">
        <f>I10+I12</f>
        <v>67433.747109608696</v>
      </c>
      <c r="J11" s="41">
        <f>J10+J12</f>
        <v>70231.865326258194</v>
      </c>
    </row>
    <row r="12" spans="1:10" ht="15" x14ac:dyDescent="0.2">
      <c r="A12" s="13" t="s">
        <v>553</v>
      </c>
      <c r="B12" s="13" t="s">
        <v>49</v>
      </c>
      <c r="C12" s="14">
        <f>C11-C10</f>
        <v>4196.5414400000009</v>
      </c>
      <c r="D12" s="14">
        <f>D11-D10</f>
        <v>5548.5013999999937</v>
      </c>
      <c r="E12" s="14">
        <f>E11-E10</f>
        <v>6195.562640000011</v>
      </c>
      <c r="F12" s="41">
        <f>E12*(1+Assumptions!$F$10)</f>
        <v>6319.4738928000115</v>
      </c>
      <c r="G12" s="41">
        <f>F12*(1+Assumptions!$F$10)</f>
        <v>6445.8633706560122</v>
      </c>
      <c r="H12" s="41">
        <f>G12*(1+Assumptions!$F$10)</f>
        <v>6574.7806380691327</v>
      </c>
      <c r="I12" s="41">
        <f>H12*(1+Assumptions!$F$10)</f>
        <v>6706.2762508305159</v>
      </c>
      <c r="J12" s="41">
        <f>I12*(1+Assumptions!$F$10)</f>
        <v>6840.4017758471264</v>
      </c>
    </row>
    <row r="13" spans="1:10" ht="15" x14ac:dyDescent="0.2">
      <c r="A13" s="13" t="s">
        <v>554</v>
      </c>
      <c r="B13" s="13" t="s">
        <v>49</v>
      </c>
      <c r="C13" s="14">
        <f>C14-C11</f>
        <v>14549</v>
      </c>
      <c r="D13" s="14">
        <f>D14-D11</f>
        <v>13838</v>
      </c>
      <c r="E13" s="14">
        <f>E14-E11</f>
        <v>13374</v>
      </c>
      <c r="F13" s="41">
        <f>E13*(1+Assumptions!$F$11)</f>
        <v>13507.74</v>
      </c>
      <c r="G13" s="41">
        <f>F13*(1+Assumptions!$F$11)</f>
        <v>13642.8174</v>
      </c>
      <c r="H13" s="41">
        <f>G13*(1+Assumptions!$F$11)</f>
        <v>13779.245574</v>
      </c>
      <c r="I13" s="41">
        <f>H13*(1+Assumptions!$F$11)</f>
        <v>13917.038029740001</v>
      </c>
      <c r="J13" s="41">
        <f>I13*(1+Assumptions!$F$11)</f>
        <v>14056.208410037401</v>
      </c>
    </row>
    <row r="14" spans="1:10" ht="15" x14ac:dyDescent="0.2">
      <c r="A14" s="13" t="s">
        <v>555</v>
      </c>
      <c r="B14" s="13" t="s">
        <v>49</v>
      </c>
      <c r="C14" s="14">
        <v>63241</v>
      </c>
      <c r="D14" s="14">
        <v>66178</v>
      </c>
      <c r="E14" s="14">
        <v>71306</v>
      </c>
      <c r="F14" s="41">
        <f>F11+F13</f>
        <v>73215.802643454255</v>
      </c>
      <c r="G14" s="41">
        <f>G11+G13</f>
        <v>75819.32013262395</v>
      </c>
      <c r="H14" s="41">
        <f>H11+H13</f>
        <v>78529.457261567906</v>
      </c>
      <c r="I14" s="41">
        <f>I11+I13</f>
        <v>81350.785139348693</v>
      </c>
      <c r="J14" s="41">
        <f>J11+J13</f>
        <v>84288.073736295599</v>
      </c>
    </row>
    <row r="15" spans="1:10" ht="15" x14ac:dyDescent="0.2">
      <c r="A15" s="13" t="s">
        <v>556</v>
      </c>
      <c r="B15" s="13" t="s">
        <v>49</v>
      </c>
      <c r="C15" s="14">
        <v>15317</v>
      </c>
      <c r="D15" s="14">
        <v>15222</v>
      </c>
      <c r="E15" s="14">
        <v>17003</v>
      </c>
      <c r="F15" s="41">
        <f>F14*Assumptions!$F$12</f>
        <v>16107.476581559937</v>
      </c>
      <c r="G15" s="41">
        <f>G14*Assumptions!$F$12</f>
        <v>16680.250429177268</v>
      </c>
      <c r="H15" s="41">
        <f>H14*Assumptions!$F$12</f>
        <v>17276.480597544938</v>
      </c>
      <c r="I15" s="41">
        <f>I14*Assumptions!$F$12</f>
        <v>17897.172730656712</v>
      </c>
      <c r="J15" s="41">
        <f>J14*Assumptions!$F$12</f>
        <v>18543.376221985032</v>
      </c>
    </row>
    <row r="16" spans="1:10" ht="15" x14ac:dyDescent="0.2">
      <c r="A16" s="42" t="s">
        <v>557</v>
      </c>
      <c r="B16" s="42" t="s">
        <v>49</v>
      </c>
      <c r="C16" s="43">
        <f t="shared" si="0" ref="C16:J16">C14+C15</f>
        <v>78558</v>
      </c>
      <c r="D16" s="43">
        <f t="shared" si="0"/>
        <v>81400</v>
      </c>
      <c r="E16" s="43">
        <f t="shared" si="0"/>
        <v>88309</v>
      </c>
      <c r="F16" s="44">
        <f t="shared" si="0"/>
        <v>89323.279225014194</v>
      </c>
      <c r="G16" s="44">
        <f t="shared" si="0"/>
        <v>92499.570561801214</v>
      </c>
      <c r="H16" s="44">
        <f t="shared" si="0"/>
        <v>95805.937859112848</v>
      </c>
      <c r="I16" s="44">
        <f t="shared" si="0"/>
        <v>99247.957870005397</v>
      </c>
      <c r="J16" s="44">
        <f t="shared" si="0"/>
        <v>102831.44995828063</v>
      </c>
    </row>
    <row r="17" spans="1:10" ht="15" x14ac:dyDescent="0.2">
      <c r="A17" s="13" t="s">
        <v>452</v>
      </c>
      <c r="B17" s="13" t="s">
        <v>232</v>
      </c>
      <c r="C17" s="14">
        <v>0.46533103524612202</v>
      </c>
      <c r="D17" s="14">
        <v>0.48148931669134798</v>
      </c>
      <c r="E17" s="14">
        <v>0.47593470395198201</v>
      </c>
      <c r="F17" s="41">
        <f>Assumptions!$F$13</f>
        <v>0.48</v>
      </c>
      <c r="G17" s="41">
        <f>Assumptions!$F$13</f>
        <v>0.48</v>
      </c>
      <c r="H17" s="41">
        <f>Assumptions!$F$13</f>
        <v>0.48</v>
      </c>
      <c r="I17" s="41">
        <f>Assumptions!$F$13</f>
        <v>0.48</v>
      </c>
      <c r="J17" s="41">
        <f>Assumptions!$F$13</f>
        <v>0.48</v>
      </c>
    </row>
    <row r="18" spans="1:10" ht="15" x14ac:dyDescent="0.2">
      <c r="A18" s="42" t="s">
        <v>468</v>
      </c>
      <c r="B18" s="42" t="s">
        <v>49</v>
      </c>
      <c r="C18" s="43">
        <v>29428</v>
      </c>
      <c r="D18" s="43">
        <v>31864</v>
      </c>
      <c r="E18" s="43">
        <v>33937</v>
      </c>
      <c r="F18" s="44">
        <f>F14*F17</f>
        <v>35143.585268858042</v>
      </c>
      <c r="G18" s="44">
        <f>G14*G17</f>
        <v>36393.273663659493</v>
      </c>
      <c r="H18" s="44">
        <f>H14*H17</f>
        <v>37694.139485552594</v>
      </c>
      <c r="I18" s="44">
        <f>I14*I17</f>
        <v>39048.376866887374</v>
      </c>
      <c r="J18" s="44">
        <f>J14*J17</f>
        <v>40458.275393421885</v>
      </c>
    </row>
    <row r="19" spans="1:10" ht="15" x14ac:dyDescent="0.2">
      <c r="A19" s="13" t="s">
        <v>558</v>
      </c>
      <c r="B19" s="13" t="s">
        <v>49</v>
      </c>
      <c r="C19" s="14">
        <v>9801</v>
      </c>
      <c r="D19" s="14">
        <v>8840</v>
      </c>
      <c r="E19" s="14">
        <v>9955</v>
      </c>
      <c r="F19" s="41">
        <f>F16*Assumptions!$F$15</f>
        <v>10093.530552426604</v>
      </c>
      <c r="G19" s="41">
        <f>G16*Assumptions!$F$15</f>
        <v>10452.451473483537</v>
      </c>
      <c r="H19" s="41">
        <f>H16*Assumptions!$F$15</f>
        <v>10826.070978079752</v>
      </c>
      <c r="I19" s="41">
        <f>I16*Assumptions!$F$15</f>
        <v>11215.01923931061</v>
      </c>
      <c r="J19" s="41">
        <f>J16*Assumptions!$F$15</f>
        <v>11619.953845285712</v>
      </c>
    </row>
    <row r="20" spans="1:10" ht="15" x14ac:dyDescent="0.2">
      <c r="A20" s="13" t="s">
        <v>433</v>
      </c>
      <c r="B20" s="13" t="s">
        <v>49</v>
      </c>
      <c r="C20" s="14">
        <f>Historical!C19</f>
        <v>75998</v>
      </c>
      <c r="D20" s="14">
        <f>Historical!D19</f>
        <v>79250</v>
      </c>
      <c r="E20" s="14">
        <f>Historical!E19</f>
        <v>88089</v>
      </c>
      <c r="F20" s="41">
        <f>E20*(1-Assumptions!$F$18)</f>
        <v>83684.55</v>
      </c>
      <c r="G20" s="41">
        <f>F20*(1-Assumptions!$F$18)</f>
        <v>79500.322499999995</v>
      </c>
      <c r="H20" s="41">
        <f>G20*(1-Assumptions!$F$18)</f>
        <v>75525.306374999986</v>
      </c>
      <c r="I20" s="41">
        <f>H20*(1-Assumptions!$F$18)</f>
        <v>71749.041056249989</v>
      </c>
      <c r="J20" s="41">
        <f>I20*(1-Assumptions!$F$18)</f>
        <v>68161.58900343749</v>
      </c>
    </row>
    <row r="21" spans="1:10" ht="15" x14ac:dyDescent="0.2">
      <c r="A21" s="13" t="s">
        <v>559</v>
      </c>
      <c r="B21" s="13" t="s">
        <v>323</v>
      </c>
      <c r="C21" s="45">
        <f t="shared" si="1" ref="C21:J21">IFERROR(C20/C18,0)</f>
        <v>2.5825064564360471</v>
      </c>
      <c r="D21" s="45">
        <f t="shared" si="1"/>
        <v>2.4871328144614613</v>
      </c>
      <c r="E21" s="45">
        <f t="shared" si="1"/>
        <v>2.5956625511978078</v>
      </c>
      <c r="F21" s="46">
        <f t="shared" si="1"/>
        <v>2.3812183463864116</v>
      </c>
      <c r="G21" s="46">
        <f t="shared" si="1"/>
        <v>2.1844784625513105</v>
      </c>
      <c r="H21" s="46">
        <f t="shared" si="1"/>
        <v>2.0036352442518899</v>
      </c>
      <c r="I21" s="46">
        <f t="shared" si="1"/>
        <v>1.8374397814494678</v>
      </c>
      <c r="J21" s="46">
        <f t="shared" si="1"/>
        <v>1.6847378772482202</v>
      </c>
    </row>
    <row r="24" spans="1:10" ht="35" customHeight="1" x14ac:dyDescent="0.2">
      <c r="A24" s="1" t="s">
        <v>560</v>
      </c>
      <c r="B24" s="1" t="s">
        <v>560</v>
      </c>
      <c r="C24" s="1" t="s">
        <v>560</v>
      </c>
      <c r="D24" s="1" t="s">
        <v>560</v>
      </c>
      <c r="E24" s="1" t="s">
        <v>560</v>
      </c>
      <c r="F24" s="1" t="s">
        <v>560</v>
      </c>
      <c r="G24" s="1" t="s">
        <v>560</v>
      </c>
      <c r="H24" s="1" t="s">
        <v>560</v>
      </c>
      <c r="I24" s="1" t="s">
        <v>560</v>
      </c>
      <c r="J24" s="1" t="s">
        <v>560</v>
      </c>
    </row>
    <row r="27" spans="1:10" ht="16" x14ac:dyDescent="0.15">
      <c r="A27" s="7" t="s">
        <v>561</v>
      </c>
      <c r="B27" s="8" t="s">
        <v>48</v>
      </c>
      <c r="C27" s="9" t="s">
        <v>562</v>
      </c>
    </row>
    <row r="28" spans="1:10">
      <c r="A28" t="s">
        <v>398</v>
      </c>
      <c r="B28">
        <f>E16</f>
        <v>88309</v>
      </c>
      <c r="C28">
        <f>E18</f>
        <v>33937</v>
      </c>
    </row>
    <row r="29" spans="1:10">
      <c r="A29" t="s">
        <v>463</v>
      </c>
      <c r="B29">
        <f>F16</f>
        <v>89323.279225014194</v>
      </c>
      <c r="C29">
        <f>F18</f>
        <v>35143.585268858042</v>
      </c>
    </row>
    <row r="30" spans="1:10">
      <c r="A30" t="s">
        <v>464</v>
      </c>
      <c r="B30">
        <f>G16</f>
        <v>92499.570561801214</v>
      </c>
      <c r="C30">
        <f>G18</f>
        <v>36393.273663659493</v>
      </c>
    </row>
    <row r="31" spans="1:10">
      <c r="A31" t="s">
        <v>465</v>
      </c>
      <c r="B31">
        <f>H16</f>
        <v>95805.937859112848</v>
      </c>
      <c r="C31">
        <f>H18</f>
        <v>37694.139485552594</v>
      </c>
    </row>
    <row r="32" spans="1:10">
      <c r="A32" t="s">
        <v>466</v>
      </c>
      <c r="B32">
        <f>I16</f>
        <v>99247.957870005397</v>
      </c>
      <c r="C32">
        <f>I18</f>
        <v>39048.376866887374</v>
      </c>
    </row>
    <row r="33" spans="1:3">
      <c r="A33" t="s">
        <v>467</v>
      </c>
      <c r="B33">
        <f>J16</f>
        <v>102831.44995828063</v>
      </c>
      <c r="C33">
        <f>J18</f>
        <v>40458.275393421885</v>
      </c>
    </row>
  </sheetData>
  <mergeCells count="3">
    <mergeCell ref="A1:J1"/>
    <mergeCell ref="A2:J2"/>
    <mergeCell ref="A24:J24"/>
  </mergeCells>
  <pageMargins left="0.7" right="0.7" top="0.75" bottom="0.75" header="0.511811023622047" footer="0.511811023622047"/>
  <pageSetup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3"/>
  <sheetViews>
    <sheetView showGridLines="0" zoomScaleNormal="100" workbookViewId="0">
      <selection sqref="A1:F1"/>
    </sheetView>
  </sheetViews>
  <sheetFormatPr baseColWidth="10" defaultColWidth="8.6640625" defaultRowHeight="13" x14ac:dyDescent="0.15"/>
  <cols>
    <col min="1" max="1" width="24" customWidth="1"/>
    <col min="2" max="2" width="18" customWidth="1"/>
    <col min="3" max="3" width="22" customWidth="1"/>
    <col min="4" max="4" width="74" customWidth="1"/>
    <col min="5" max="5" width="62" customWidth="1"/>
    <col min="6" max="6" width="22" customWidth="1"/>
    <col min="7" max="8" width="15" customWidth="1"/>
  </cols>
  <sheetData>
    <row r="1" spans="1:6" ht="26" customHeight="1" x14ac:dyDescent="0.15">
      <c r="A1" s="5" t="s">
        <v>563</v>
      </c>
      <c r="B1" s="5" t="s">
        <v>563</v>
      </c>
      <c r="C1" s="5" t="s">
        <v>563</v>
      </c>
      <c r="D1" s="5" t="s">
        <v>563</v>
      </c>
      <c r="E1" s="5" t="s">
        <v>563</v>
      </c>
      <c r="F1" s="5" t="s">
        <v>563</v>
      </c>
    </row>
    <row r="2" spans="1:6" ht="30" customHeight="1" x14ac:dyDescent="0.15">
      <c r="A2" s="4" t="s">
        <v>564</v>
      </c>
      <c r="B2" s="4" t="s">
        <v>564</v>
      </c>
      <c r="C2" s="4" t="s">
        <v>564</v>
      </c>
      <c r="D2" s="4" t="s">
        <v>564</v>
      </c>
      <c r="E2" s="4" t="s">
        <v>564</v>
      </c>
      <c r="F2" s="4" t="s">
        <v>564</v>
      </c>
    </row>
    <row r="4" spans="1:6" ht="16" x14ac:dyDescent="0.15">
      <c r="A4" s="7" t="s">
        <v>565</v>
      </c>
      <c r="B4" s="8" t="s">
        <v>566</v>
      </c>
      <c r="C4" s="8" t="s">
        <v>567</v>
      </c>
      <c r="D4" s="8" t="s">
        <v>568</v>
      </c>
      <c r="E4" s="8" t="s">
        <v>569</v>
      </c>
      <c r="F4" s="9" t="s">
        <v>570</v>
      </c>
    </row>
    <row r="5" spans="1:6" ht="32" x14ac:dyDescent="0.2">
      <c r="A5" s="6" t="s">
        <v>571</v>
      </c>
      <c r="B5" s="6" t="s">
        <v>572</v>
      </c>
      <c r="C5" s="6" t="s">
        <v>573</v>
      </c>
      <c r="D5" s="6" t="s">
        <v>574</v>
      </c>
      <c r="E5" s="6" t="s">
        <v>575</v>
      </c>
      <c r="F5" s="6" t="s">
        <v>576</v>
      </c>
    </row>
    <row r="6" spans="1:6" ht="32" x14ac:dyDescent="0.2">
      <c r="A6" s="6" t="s">
        <v>571</v>
      </c>
      <c r="B6" s="6" t="s">
        <v>572</v>
      </c>
      <c r="C6" s="6" t="s">
        <v>577</v>
      </c>
      <c r="D6" s="6" t="s">
        <v>578</v>
      </c>
      <c r="E6" s="6" t="s">
        <v>579</v>
      </c>
      <c r="F6" s="6" t="s">
        <v>580</v>
      </c>
    </row>
    <row r="7" spans="1:6" ht="32" x14ac:dyDescent="0.2">
      <c r="A7" s="6" t="s">
        <v>571</v>
      </c>
      <c r="B7" s="6" t="s">
        <v>572</v>
      </c>
      <c r="C7" s="6" t="s">
        <v>581</v>
      </c>
      <c r="D7" s="6" t="s">
        <v>582</v>
      </c>
      <c r="E7" s="6" t="s">
        <v>583</v>
      </c>
      <c r="F7" s="6" t="s">
        <v>580</v>
      </c>
    </row>
    <row r="8" spans="1:6" ht="16" x14ac:dyDescent="0.2">
      <c r="A8" s="6" t="s">
        <v>571</v>
      </c>
      <c r="B8" s="6" t="s">
        <v>572</v>
      </c>
      <c r="C8" s="6" t="s">
        <v>584</v>
      </c>
      <c r="D8" s="6" t="s">
        <v>585</v>
      </c>
      <c r="E8" s="6" t="s">
        <v>586</v>
      </c>
      <c r="F8" s="6" t="s">
        <v>580</v>
      </c>
    </row>
    <row r="9" spans="1:6" ht="16" x14ac:dyDescent="0.2">
      <c r="A9" s="6" t="s">
        <v>571</v>
      </c>
      <c r="B9" s="6" t="s">
        <v>572</v>
      </c>
      <c r="C9" s="6" t="s">
        <v>587</v>
      </c>
      <c r="D9" s="6" t="s">
        <v>588</v>
      </c>
      <c r="E9" s="6" t="s">
        <v>589</v>
      </c>
      <c r="F9" s="6" t="s">
        <v>580</v>
      </c>
    </row>
    <row r="10" spans="1:6" ht="32" x14ac:dyDescent="0.2">
      <c r="A10" s="6" t="s">
        <v>571</v>
      </c>
      <c r="B10" s="6" t="s">
        <v>572</v>
      </c>
      <c r="C10" s="6" t="s">
        <v>590</v>
      </c>
      <c r="D10" s="6" t="s">
        <v>591</v>
      </c>
      <c r="E10" s="6" t="s">
        <v>592</v>
      </c>
      <c r="F10" s="6" t="s">
        <v>580</v>
      </c>
    </row>
    <row r="11" spans="1:6" ht="48" x14ac:dyDescent="0.2">
      <c r="A11" s="6" t="s">
        <v>571</v>
      </c>
      <c r="B11" s="6" t="s">
        <v>572</v>
      </c>
      <c r="C11" s="6" t="s">
        <v>593</v>
      </c>
      <c r="D11" s="6" t="s">
        <v>594</v>
      </c>
      <c r="E11" s="6" t="s">
        <v>595</v>
      </c>
      <c r="F11" s="6" t="s">
        <v>580</v>
      </c>
    </row>
    <row r="12">
      <c r="A12">
        <v>46224</v>
      </c>
      <c r="B12" t="s">
        <v>596</v>
      </c>
      <c r="C12" t="s">
        <v>597</v>
      </c>
    </row>
    <row r="13">
      <c r="A13" s="60">
        <v>46248</v>
      </c>
      <c r="B13" t="s">
        <v>598</v>
      </c>
      <c r="C13" t="s">
        <v>599</v>
      </c>
    </row>
  </sheetData>
  <mergeCells count="2">
    <mergeCell ref="A1:F1"/>
    <mergeCell ref="A2:F2"/>
  </mergeCells>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8"/>
  <sheetViews>
    <sheetView showGridLines="0" zoomScaleNormal="100" workbookViewId="0">
      <selection sqref="A1:G1"/>
    </sheetView>
  </sheetViews>
  <sheetFormatPr baseColWidth="10" defaultColWidth="8.6640625" defaultRowHeight="13" x14ac:dyDescent="0.15"/>
  <cols>
    <col min="1" max="1" width="28" customWidth="1"/>
    <col min="2" max="2" width="42" customWidth="1"/>
    <col min="3" max="3" width="11" customWidth="1"/>
    <col min="4" max="4" width="18" customWidth="1"/>
    <col min="5" max="5" width="50" customWidth="1"/>
    <col min="6" max="6" width="62" customWidth="1"/>
    <col min="7" max="7" width="24" customWidth="1"/>
  </cols>
  <sheetData>
    <row r="1" spans="1:7" ht="26" customHeight="1" x14ac:dyDescent="0.15">
      <c r="A1" s="5" t="s">
        <v>600</v>
      </c>
      <c r="B1" s="5" t="s">
        <v>600</v>
      </c>
      <c r="C1" s="5" t="s">
        <v>600</v>
      </c>
      <c r="D1" s="5" t="s">
        <v>600</v>
      </c>
      <c r="E1" s="5" t="s">
        <v>600</v>
      </c>
      <c r="F1" s="5" t="s">
        <v>600</v>
      </c>
      <c r="G1" s="5" t="s">
        <v>600</v>
      </c>
    </row>
    <row r="2" spans="1:7" ht="30" customHeight="1" x14ac:dyDescent="0.15">
      <c r="A2" s="4" t="s">
        <v>601</v>
      </c>
      <c r="B2" s="4" t="s">
        <v>601</v>
      </c>
      <c r="C2" s="4" t="s">
        <v>601</v>
      </c>
      <c r="D2" s="4" t="s">
        <v>601</v>
      </c>
      <c r="E2" s="4" t="s">
        <v>601</v>
      </c>
      <c r="F2" s="4" t="s">
        <v>601</v>
      </c>
      <c r="G2" s="4" t="s">
        <v>601</v>
      </c>
    </row>
    <row r="4" spans="1:7" ht="16" x14ac:dyDescent="0.15">
      <c r="A4" s="7" t="s">
        <v>590</v>
      </c>
      <c r="B4" s="8" t="s">
        <v>602</v>
      </c>
      <c r="C4" s="8" t="s">
        <v>603</v>
      </c>
      <c r="D4" s="8" t="s">
        <v>514</v>
      </c>
      <c r="E4" s="8" t="s">
        <v>604</v>
      </c>
      <c r="F4" s="8" t="s">
        <v>605</v>
      </c>
      <c r="G4" s="9" t="s">
        <v>606</v>
      </c>
    </row>
    <row r="5" spans="1:7" ht="44" customHeight="1" x14ac:dyDescent="0.2">
      <c r="A5" s="6" t="s">
        <v>607</v>
      </c>
      <c r="B5" s="6" t="s">
        <v>608</v>
      </c>
      <c r="C5" s="6">
        <v>5</v>
      </c>
      <c r="D5" s="6" t="str">
        <f>IF(AND(B23&lt;&gt;"",B24&lt;&gt;"",B25&lt;&gt;""),"PASS","FAIL")</f>
        <v>PASS</v>
      </c>
      <c r="E5" s="6" t="s">
        <v>609</v>
      </c>
      <c r="F5" s="6" t="s">
        <v>610</v>
      </c>
      <c r="G5" s="6" t="s">
        <v>611</v>
      </c>
    </row>
    <row r="6" spans="1:7" ht="44" customHeight="1" x14ac:dyDescent="0.2">
      <c r="A6" s="6" t="s">
        <v>612</v>
      </c>
      <c r="B6" s="6" t="s">
        <v>613</v>
      </c>
      <c r="C6" s="6">
        <v>20</v>
      </c>
      <c r="D6" s="6" t="str">
        <f>IF(AND(Checks!G7="PASS",Checks!G8="PASS"),"PASS","FAIL")</f>
        <v>PASS</v>
      </c>
      <c r="E6" s="6" t="s">
        <v>614</v>
      </c>
      <c r="F6" s="6" t="s">
        <v>615</v>
      </c>
      <c r="G6" s="6" t="s">
        <v>611</v>
      </c>
    </row>
    <row r="7" spans="1:7" ht="44" customHeight="1" x14ac:dyDescent="0.2">
      <c r="A7" s="6" t="s">
        <v>616</v>
      </c>
      <c r="B7" s="6" t="s">
        <v>617</v>
      </c>
      <c r="C7" s="6">
        <v>15</v>
      </c>
      <c r="D7" s="6" t="str">
        <f>IF(AND(Checks!G9="PASS",Checks!G10="PASS",Checks!G11="PASS",Checks!G12="PASS"),"PASS","FAIL")</f>
        <v>PASS</v>
      </c>
      <c r="E7" s="6" t="s">
        <v>618</v>
      </c>
      <c r="F7" s="6" t="s">
        <v>619</v>
      </c>
      <c r="G7" s="6" t="s">
        <v>611</v>
      </c>
    </row>
    <row r="8" spans="1:7" ht="44" customHeight="1" x14ac:dyDescent="0.2">
      <c r="A8" s="6" t="s">
        <v>620</v>
      </c>
      <c r="B8" s="6" t="s">
        <v>621</v>
      </c>
      <c r="C8" s="6">
        <v>10</v>
      </c>
      <c r="D8" s="6" t="str">
        <f>IF(AND(Checks!G13="PASS",Checks!G15="PASS"),"PASS","FAIL")</f>
        <v>PASS</v>
      </c>
      <c r="E8" s="6" t="s">
        <v>622</v>
      </c>
      <c r="F8" s="6" t="s">
        <v>623</v>
      </c>
      <c r="G8" s="6" t="s">
        <v>611</v>
      </c>
    </row>
    <row r="9" spans="1:7" ht="44" customHeight="1" x14ac:dyDescent="0.2">
      <c r="A9" s="6" t="s">
        <v>624</v>
      </c>
      <c r="B9" s="6" t="s">
        <v>625</v>
      </c>
      <c r="C9" s="6">
        <v>15</v>
      </c>
      <c r="D9" s="6" t="str">
        <f>IF(AND(Checks!G14="PASS",Checks!G15="PASS",Checks!G16="PASS"),"PASS","FAIL")</f>
        <v>PASS</v>
      </c>
      <c r="E9" s="6" t="s">
        <v>626</v>
      </c>
      <c r="F9" s="6" t="s">
        <v>627</v>
      </c>
      <c r="G9" s="6" t="s">
        <v>611</v>
      </c>
    </row>
    <row r="10" spans="1:7" ht="44" customHeight="1" x14ac:dyDescent="0.2">
      <c r="A10" s="6" t="s">
        <v>628</v>
      </c>
      <c r="B10" s="6" t="s">
        <v>629</v>
      </c>
      <c r="C10" s="6">
        <v>8</v>
      </c>
      <c r="D10" s="6" t="str">
        <f>IF(Checks!B4="PASS","PASS","FAIL")</f>
        <v>PASS</v>
      </c>
      <c r="E10" s="6" t="s">
        <v>630</v>
      </c>
      <c r="F10" s="6" t="s">
        <v>631</v>
      </c>
      <c r="G10" s="6" t="s">
        <v>611</v>
      </c>
    </row>
    <row r="11" spans="1:7" ht="44" customHeight="1" x14ac:dyDescent="0.2">
      <c r="A11" s="6" t="s">
        <v>632</v>
      </c>
      <c r="B11" s="6" t="s">
        <v>633</v>
      </c>
      <c r="C11" s="6">
        <v>10</v>
      </c>
      <c r="D11" s="6" t="str">
        <f>IF(B21&lt;&gt;"","PASS","FAIL")</f>
        <v>PASS</v>
      </c>
      <c r="E11" s="6" t="s">
        <v>634</v>
      </c>
      <c r="F11" s="6" t="s">
        <v>635</v>
      </c>
      <c r="G11" s="6" t="s">
        <v>611</v>
      </c>
    </row>
    <row r="12" spans="1:7" ht="44" customHeight="1" x14ac:dyDescent="0.2">
      <c r="A12" s="6" t="s">
        <v>636</v>
      </c>
      <c r="B12" s="6" t="s">
        <v>637</v>
      </c>
      <c r="C12" s="6">
        <v>7</v>
      </c>
      <c r="D12" s="6" t="str">
        <f>IF(B22&lt;&gt;"","PASS","FAIL")</f>
        <v>PASS</v>
      </c>
      <c r="E12" s="6" t="s">
        <v>638</v>
      </c>
      <c r="F12" s="6" t="s">
        <v>639</v>
      </c>
      <c r="G12" s="6" t="s">
        <v>611</v>
      </c>
    </row>
    <row r="13" spans="1:7" ht="44" customHeight="1" x14ac:dyDescent="0.2">
      <c r="A13" s="6" t="s">
        <v>640</v>
      </c>
      <c r="B13" s="6" t="s">
        <v>641</v>
      </c>
      <c r="C13" s="6">
        <v>5</v>
      </c>
      <c r="D13" s="6" t="str">
        <f>IF(AND(COUNTA(Change_Log!A5:A20)&gt;=6,COUNTA(Sector_KPIs!F5:J20)&gt;0),"PASS","FAIL")</f>
        <v>PASS</v>
      </c>
      <c r="E13" s="6" t="s">
        <v>642</v>
      </c>
      <c r="F13" s="6" t="s">
        <v>643</v>
      </c>
      <c r="G13" s="6" t="s">
        <v>611</v>
      </c>
    </row>
    <row r="14" spans="1:7" ht="44" customHeight="1" x14ac:dyDescent="0.2">
      <c r="A14" s="6" t="s">
        <v>644</v>
      </c>
      <c r="B14" s="6" t="s">
        <v>645</v>
      </c>
      <c r="C14" s="6">
        <v>5</v>
      </c>
      <c r="D14" s="6" t="str">
        <f>IF(AND('00_Cover'!B4&lt;&gt;"",'00_Cover'!B16&lt;&gt;"",COUNTA(Change_Log!A5:A20)&gt;=6),"PASS","FAIL")</f>
        <v>PASS</v>
      </c>
      <c r="E14" s="6" t="s">
        <v>646</v>
      </c>
      <c r="F14" s="6" t="s">
        <v>647</v>
      </c>
      <c r="G14" s="6" t="s">
        <v>611</v>
      </c>
    </row>
    <row r="16" spans="1:7" ht="44" customHeight="1" x14ac:dyDescent="0.2">
      <c r="A16" s="20" t="s">
        <v>648</v>
      </c>
      <c r="B16" s="6">
        <f>SUMPRODUCT(C5:C14,--(D5:D14="PASS"))</f>
        <v>100</v>
      </c>
    </row>
    <row r="17" spans="1:2" ht="44" customHeight="1" x14ac:dyDescent="0.2">
      <c r="A17" s="20" t="s">
        <v>649</v>
      </c>
      <c r="B17" s="6" t="str">
        <f>IF(AND(B16&gt;=90,COUNTIF(D5:D14,"FAIL")=0),"OWNER PRE-FLIGHT 9/10 READY — INDEPENDENT CERTIFICATION REQUIRED","REMEDIATE BEFORE INDEPENDENT CERTIFICATION")</f>
        <v>OWNER PRE-FLIGHT 9/10 READY — INDEPENDENT CERTIFICATION REQUIRED</v>
      </c>
    </row>
    <row r="18" spans="1:2" ht="44" customHeight="1" x14ac:dyDescent="0.2">
      <c r="A18" s="20" t="s">
        <v>650</v>
      </c>
      <c r="B18" s="6" t="s">
        <v>651</v>
      </c>
    </row>
    <row r="19" spans="1:2" ht="15" x14ac:dyDescent="0.2">
      <c r="A19" s="20"/>
      <c r="B19" s="6"/>
    </row>
    <row r="20" spans="1:2" ht="58" customHeight="1" x14ac:dyDescent="0.2">
      <c r="A20" s="20" t="s">
        <v>652</v>
      </c>
      <c r="B20" s="6" t="s">
        <v>571</v>
      </c>
    </row>
    <row r="21" spans="1:2" ht="58" customHeight="1" x14ac:dyDescent="0.2">
      <c r="A21" s="20" t="s">
        <v>653</v>
      </c>
      <c r="B21" s="6" t="s">
        <v>654</v>
      </c>
    </row>
    <row r="22" spans="1:2" ht="58" customHeight="1" x14ac:dyDescent="0.2">
      <c r="A22" s="20" t="s">
        <v>655</v>
      </c>
      <c r="B22" s="6" t="s">
        <v>638</v>
      </c>
    </row>
    <row r="23" spans="1:2" ht="58" customHeight="1" x14ac:dyDescent="0.2">
      <c r="A23" s="20" t="s">
        <v>656</v>
      </c>
      <c r="B23" s="6" t="s">
        <v>657</v>
      </c>
    </row>
    <row r="24" spans="1:2" ht="58" customHeight="1" x14ac:dyDescent="0.2">
      <c r="A24" s="20" t="s">
        <v>658</v>
      </c>
      <c r="B24" s="6" t="s">
        <v>659</v>
      </c>
    </row>
    <row r="25" spans="1:2" ht="58" customHeight="1" x14ac:dyDescent="0.2">
      <c r="A25" s="20" t="s">
        <v>660</v>
      </c>
      <c r="B25" s="6" t="s">
        <v>595</v>
      </c>
    </row>
    <row r="26" spans="1:2" ht="58" customHeight="1" x14ac:dyDescent="0.2">
      <c r="A26" s="20" t="s">
        <v>661</v>
      </c>
      <c r="B26" s="6" t="s">
        <v>662</v>
      </c>
    </row>
    <row r="27" spans="1:2" ht="58" customHeight="1" x14ac:dyDescent="0.2">
      <c r="A27" s="20" t="s">
        <v>663</v>
      </c>
      <c r="B27" s="6" t="s">
        <v>638</v>
      </c>
    </row>
    <row r="28" spans="1:2" ht="58" customHeight="1" x14ac:dyDescent="0.2">
      <c r="A28" s="20" t="s">
        <v>664</v>
      </c>
      <c r="B28" s="6" t="s">
        <v>665</v>
      </c>
    </row>
  </sheetData>
  <mergeCells count="2">
    <mergeCell ref="A1:G1"/>
    <mergeCell ref="A2:G2"/>
  </mergeCells>
  <conditionalFormatting sqref="D5:D14">
    <cfRule type="expression" priority="2" dxfId="2">
      <formula>D5="PASS"</formula>
    </cfRule>
    <cfRule type="expression" priority="3" dxfId="3">
      <formula>D5="FAIL"</formula>
    </cfRule>
  </conditionalFormatting>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dimension ref="A1:G40"/>
  <sheetViews>
    <sheetView workbookViewId="0"/>
  </sheetViews>
  <sheetFormatPr defaultColWidth="8.375" defaultRowHeight="15"/>
  <sheetData>
    <row r="1">
      <c r="A1" t="s">
        <v>666</v>
      </c>
    </row>
    <row r="2">
      <c r="A2" t="s">
        <v>667</v>
      </c>
    </row>
    <row r="4">
      <c r="A4" t="s">
        <v>668</v>
      </c>
      <c r="B4" t="s">
        <v>669</v>
      </c>
      <c r="C4" t="s">
        <v>670</v>
      </c>
      <c r="D4" t="s">
        <v>671</v>
      </c>
      <c r="E4" t="s">
        <v>672</v>
      </c>
      <c r="F4" t="s">
        <v>673</v>
      </c>
      <c r="G4" t="s">
        <v>674</v>
      </c>
    </row>
    <row r="5">
      <c r="A5" t="s">
        <v>675</v>
      </c>
      <c r="B5">
        <v>80118</v>
      </c>
      <c r="C5">
        <v>79571</v>
      </c>
      <c r="D5">
        <v>78558</v>
      </c>
      <c r="E5">
        <v>81400</v>
      </c>
      <c r="F5">
        <v>88309</v>
      </c>
      <c r="G5" t="s">
        <v>52</v>
      </c>
    </row>
    <row r="6">
      <c r="A6" t="s">
        <v>676</v>
      </c>
    </row>
    <row r="7">
      <c r="A7" t="s">
        <v>677</v>
      </c>
      <c r="D7">
        <v>21311</v>
      </c>
      <c r="E7">
        <v>20818</v>
      </c>
      <c r="F7">
        <v>23470</v>
      </c>
    </row>
    <row r="8">
      <c r="A8" t="s">
        <v>678</v>
      </c>
      <c r="D8">
        <v>-25</v>
      </c>
      <c r="E8">
        <v>0</v>
      </c>
      <c r="F8">
        <v>0</v>
      </c>
    </row>
    <row r="9">
      <c r="A9" t="s">
        <v>679</v>
      </c>
      <c r="D9">
        <v>0</v>
      </c>
      <c r="E9">
        <v>0</v>
      </c>
      <c r="F9">
        <v>278</v>
      </c>
    </row>
    <row r="10">
      <c r="A10" t="s">
        <v>680</v>
      </c>
      <c r="D10">
        <v>12818</v>
      </c>
      <c r="E10">
        <v>12919</v>
      </c>
      <c r="F10">
        <v>13508</v>
      </c>
    </row>
    <row r="11">
      <c r="A11" t="s">
        <v>681</v>
      </c>
      <c r="B11">
        <v>73226</v>
      </c>
      <c r="C11">
        <v>73028</v>
      </c>
    </row>
    <row r="12">
      <c r="A12" t="s">
        <v>682</v>
      </c>
      <c r="D12">
        <v>30138</v>
      </c>
      <c r="E12">
        <v>29653</v>
      </c>
      <c r="F12">
        <v>32774</v>
      </c>
    </row>
    <row r="13">
      <c r="A13" t="s">
        <v>683</v>
      </c>
      <c r="D13">
        <v>64292</v>
      </c>
      <c r="E13">
        <v>63390</v>
      </c>
      <c r="F13">
        <v>70030</v>
      </c>
    </row>
    <row r="14">
      <c r="A14" t="s">
        <v>684</v>
      </c>
      <c r="B14">
        <v>6892</v>
      </c>
      <c r="C14">
        <v>6543</v>
      </c>
      <c r="D14">
        <v>14266</v>
      </c>
      <c r="E14">
        <v>18010</v>
      </c>
      <c r="F14">
        <v>18279</v>
      </c>
      <c r="G14" t="s">
        <v>71</v>
      </c>
    </row>
    <row r="15">
      <c r="A15" t="s">
        <v>685</v>
      </c>
    </row>
    <row r="16">
      <c r="A16" t="s">
        <v>686</v>
      </c>
      <c r="D16">
        <v>-3335</v>
      </c>
      <c r="E16">
        <v>-3411</v>
      </c>
      <c r="F16">
        <v>-3774</v>
      </c>
    </row>
    <row r="17">
      <c r="A17" t="s">
        <v>687</v>
      </c>
      <c r="D17">
        <v>68</v>
      </c>
      <c r="E17">
        <v>113</v>
      </c>
      <c r="F17">
        <v>-224</v>
      </c>
    </row>
    <row r="18">
      <c r="A18" t="s">
        <v>688</v>
      </c>
      <c r="B18">
        <v>-3541</v>
      </c>
      <c r="C18">
        <v>-3397</v>
      </c>
      <c r="D18">
        <v>-3267</v>
      </c>
      <c r="E18">
        <v>-3298</v>
      </c>
      <c r="F18">
        <v>-3998</v>
      </c>
    </row>
    <row r="19">
      <c r="A19" t="s">
        <v>689</v>
      </c>
      <c r="B19">
        <v>3351</v>
      </c>
      <c r="C19">
        <v>3146</v>
      </c>
      <c r="D19">
        <v>10999</v>
      </c>
      <c r="E19">
        <v>14712</v>
      </c>
      <c r="F19">
        <v>14281</v>
      </c>
      <c r="G19" t="s">
        <v>690</v>
      </c>
    </row>
    <row r="20">
      <c r="A20" t="s">
        <v>691</v>
      </c>
      <c r="B20">
        <v>-327</v>
      </c>
      <c r="C20">
        <v>-556</v>
      </c>
      <c r="D20">
        <v>-2682</v>
      </c>
      <c r="E20">
        <v>-3373</v>
      </c>
      <c r="F20">
        <v>-3289</v>
      </c>
      <c r="G20" t="s">
        <v>692</v>
      </c>
    </row>
    <row r="21">
      <c r="A21" t="s">
        <v>78</v>
      </c>
      <c r="B21">
        <v>3024</v>
      </c>
      <c r="C21">
        <v>2590</v>
      </c>
      <c r="D21">
        <v>8317</v>
      </c>
      <c r="E21">
        <v>11339</v>
      </c>
      <c r="F21">
        <v>10992</v>
      </c>
      <c r="G21" t="s">
        <v>79</v>
      </c>
    </row>
    <row r="23">
      <c r="A23" t="s">
        <v>693</v>
      </c>
    </row>
    <row r="24">
      <c r="A24" t="s">
        <v>694</v>
      </c>
      <c r="D24">
        <v>163</v>
      </c>
      <c r="E24">
        <v>176</v>
      </c>
      <c r="F24">
        <v>190</v>
      </c>
    </row>
    <row r="25">
      <c r="A25" t="s">
        <v>695</v>
      </c>
      <c r="D25">
        <v>0</v>
      </c>
      <c r="E25">
        <v>16</v>
      </c>
      <c r="F25">
        <v>-187</v>
      </c>
    </row>
    <row r="26">
      <c r="A26" t="s">
        <v>696</v>
      </c>
      <c r="D26">
        <v>9</v>
      </c>
      <c r="E26">
        <v>0</v>
      </c>
      <c r="F26">
        <v>-1</v>
      </c>
    </row>
    <row r="27">
      <c r="A27" t="s">
        <v>697</v>
      </c>
      <c r="D27">
        <v>-90</v>
      </c>
      <c r="E27">
        <v>-85</v>
      </c>
      <c r="F27">
        <v>7</v>
      </c>
    </row>
    <row r="28">
      <c r="A28" t="s">
        <v>698</v>
      </c>
      <c r="D28">
        <v>82</v>
      </c>
      <c r="E28">
        <v>107</v>
      </c>
      <c r="F28">
        <v>9</v>
      </c>
    </row>
    <row r="29">
      <c r="A29" t="s">
        <v>699</v>
      </c>
      <c r="D29">
        <v>8399</v>
      </c>
      <c r="E29">
        <v>11446</v>
      </c>
      <c r="F29">
        <v>11001</v>
      </c>
    </row>
    <row r="31">
      <c r="A31" t="s">
        <v>700</v>
      </c>
      <c r="B31">
        <v>2.42</v>
      </c>
      <c r="C31">
        <v>2.07</v>
      </c>
      <c r="D31">
        <v>7.02</v>
      </c>
      <c r="E31">
        <v>9.7</v>
      </c>
      <c r="F31">
        <v>9.75</v>
      </c>
    </row>
    <row r="32">
      <c r="A32" t="s">
        <v>701</v>
      </c>
      <c r="B32">
        <v>2.41</v>
      </c>
      <c r="C32">
        <v>2.06</v>
      </c>
      <c r="D32">
        <v>6.93</v>
      </c>
      <c r="E32">
        <v>9.66</v>
      </c>
      <c r="F32">
        <v>9.72</v>
      </c>
    </row>
    <row r="33">
      <c r="A33" t="s">
        <v>702</v>
      </c>
      <c r="B33">
        <v>1247.154988</v>
      </c>
      <c r="C33">
        <v>1249.763934</v>
      </c>
      <c r="D33">
        <v>1185.121562</v>
      </c>
      <c r="E33">
        <v>1169.195373</v>
      </c>
      <c r="F33">
        <v>1127.984348</v>
      </c>
    </row>
    <row r="34">
      <c r="A34" t="s">
        <v>703</v>
      </c>
      <c r="B34">
        <v>1254.769926</v>
      </c>
      <c r="C34">
        <v>1255.376769</v>
      </c>
      <c r="D34">
        <v>1200.286264</v>
      </c>
      <c r="E34">
        <v>1173.213898</v>
      </c>
      <c r="F34">
        <v>1131.076251</v>
      </c>
    </row>
    <row r="36">
      <c r="A36" t="s">
        <v>704</v>
      </c>
    </row>
    <row r="37">
      <c r="A37" t="s">
        <v>705</v>
      </c>
      <c r="B37">
        <v>20238</v>
      </c>
      <c r="C37">
        <v>21607</v>
      </c>
    </row>
    <row r="38">
      <c r="A38" t="s">
        <v>706</v>
      </c>
      <c r="B38">
        <v>16383</v>
      </c>
      <c r="C38">
        <v>13651</v>
      </c>
    </row>
    <row r="39">
      <c r="A39" t="s">
        <v>707</v>
      </c>
      <c r="B39">
        <v>215</v>
      </c>
      <c r="C39">
        <v>1196</v>
      </c>
    </row>
    <row r="40">
      <c r="A40" t="s">
        <v>708</v>
      </c>
      <c r="B40">
        <v>0</v>
      </c>
      <c r="C40">
        <v>477</v>
      </c>
    </row>
  </sheetData>
</worksheet>
</file>

<file path=xl/worksheets/sheet13.xml><?xml version="1.0" encoding="utf-8"?>
<worksheet xmlns="http://schemas.openxmlformats.org/spreadsheetml/2006/main" xmlns:r="http://schemas.openxmlformats.org/officeDocument/2006/relationships">
  <dimension ref="A1:G51"/>
  <sheetViews>
    <sheetView workbookViewId="0"/>
  </sheetViews>
  <sheetFormatPr defaultColWidth="8.375" defaultRowHeight="15"/>
  <sheetData>
    <row r="1">
      <c r="A1" t="s">
        <v>709</v>
      </c>
    </row>
    <row r="2">
      <c r="A2" t="s">
        <v>710</v>
      </c>
    </row>
    <row r="4">
      <c r="A4" t="s">
        <v>668</v>
      </c>
      <c r="B4" t="s">
        <v>669</v>
      </c>
      <c r="C4" t="s">
        <v>670</v>
      </c>
      <c r="D4" t="s">
        <v>671</v>
      </c>
      <c r="E4" t="s">
        <v>672</v>
      </c>
      <c r="F4" t="s">
        <v>673</v>
      </c>
      <c r="G4" t="s">
        <v>674</v>
      </c>
    </row>
    <row r="5">
      <c r="A5" t="s">
        <v>711</v>
      </c>
    </row>
    <row r="6">
      <c r="A6" t="s">
        <v>712</v>
      </c>
      <c r="B6">
        <v>6631</v>
      </c>
      <c r="C6">
        <v>4507</v>
      </c>
      <c r="D6">
        <v>5135</v>
      </c>
      <c r="E6">
        <v>5409</v>
      </c>
      <c r="F6">
        <v>5598</v>
      </c>
      <c r="G6" t="s">
        <v>130</v>
      </c>
    </row>
    <row r="7">
      <c r="A7" t="s">
        <v>713</v>
      </c>
      <c r="B7">
        <v>4194</v>
      </c>
      <c r="C7">
        <v>4445</v>
      </c>
      <c r="D7">
        <v>4692</v>
      </c>
      <c r="E7">
        <v>4276</v>
      </c>
      <c r="F7">
        <v>4874</v>
      </c>
      <c r="G7" t="s">
        <v>714</v>
      </c>
    </row>
    <row r="8">
      <c r="A8" t="s">
        <v>715</v>
      </c>
      <c r="B8">
        <v>4748</v>
      </c>
      <c r="C8">
        <v>5123</v>
      </c>
      <c r="D8">
        <v>4456</v>
      </c>
      <c r="E8">
        <v>4379</v>
      </c>
      <c r="F8">
        <v>4997</v>
      </c>
      <c r="G8" t="s">
        <v>716</v>
      </c>
    </row>
    <row r="9">
      <c r="A9" t="s">
        <v>717</v>
      </c>
      <c r="B9">
        <v>2567</v>
      </c>
      <c r="C9">
        <v>1884</v>
      </c>
      <c r="D9">
        <v>1678</v>
      </c>
      <c r="E9">
        <v>1607</v>
      </c>
      <c r="F9">
        <v>2405</v>
      </c>
      <c r="G9" t="s">
        <v>718</v>
      </c>
    </row>
    <row r="10">
      <c r="A10" t="s">
        <v>719</v>
      </c>
      <c r="B10">
        <v>746</v>
      </c>
      <c r="C10">
        <v>673</v>
      </c>
      <c r="D10">
        <v>702</v>
      </c>
      <c r="E10">
        <v>880</v>
      </c>
      <c r="F10">
        <v>1215</v>
      </c>
      <c r="G10" t="s">
        <v>720</v>
      </c>
    </row>
    <row r="11">
      <c r="A11" t="s">
        <v>721</v>
      </c>
      <c r="B11">
        <v>2005</v>
      </c>
      <c r="C11">
        <v>2435</v>
      </c>
      <c r="D11">
        <v>2352</v>
      </c>
      <c r="E11">
        <v>1853</v>
      </c>
      <c r="F11">
        <v>5372</v>
      </c>
      <c r="G11" t="s">
        <v>722</v>
      </c>
    </row>
    <row r="12">
      <c r="A12" t="s">
        <v>723</v>
      </c>
      <c r="B12">
        <v>20891</v>
      </c>
      <c r="C12">
        <v>19067</v>
      </c>
      <c r="D12">
        <v>19015</v>
      </c>
      <c r="E12">
        <v>18404</v>
      </c>
      <c r="F12">
        <v>24461</v>
      </c>
      <c r="G12" t="s">
        <v>724</v>
      </c>
    </row>
    <row r="13">
      <c r="A13" t="s">
        <v>725</v>
      </c>
    </row>
    <row r="14">
      <c r="A14" t="s">
        <v>726</v>
      </c>
      <c r="B14">
        <v>39803</v>
      </c>
      <c r="C14">
        <v>42086</v>
      </c>
      <c r="D14">
        <v>40432</v>
      </c>
      <c r="E14">
        <v>38533</v>
      </c>
      <c r="F14">
        <v>38333</v>
      </c>
      <c r="G14" t="s">
        <v>727</v>
      </c>
    </row>
    <row r="15">
      <c r="A15" t="s">
        <v>728</v>
      </c>
      <c r="B15">
        <v>26959</v>
      </c>
      <c r="C15">
        <v>28715</v>
      </c>
      <c r="D15">
        <v>27135</v>
      </c>
      <c r="E15">
        <v>25398</v>
      </c>
      <c r="F15">
        <v>25692</v>
      </c>
      <c r="G15" t="s">
        <v>729</v>
      </c>
    </row>
    <row r="16">
      <c r="A16" t="s">
        <v>730</v>
      </c>
      <c r="D16">
        <v>3270</v>
      </c>
      <c r="E16">
        <v>3091</v>
      </c>
      <c r="F16">
        <v>2760</v>
      </c>
    </row>
    <row r="17">
      <c r="A17" t="s">
        <v>731</v>
      </c>
      <c r="B17">
        <v>12188</v>
      </c>
      <c r="C17">
        <v>12234</v>
      </c>
      <c r="D17">
        <v>12234</v>
      </c>
      <c r="E17">
        <v>13005</v>
      </c>
      <c r="F17">
        <v>13678</v>
      </c>
      <c r="G17" t="s">
        <v>732</v>
      </c>
    </row>
    <row r="18">
      <c r="A18" t="s">
        <v>733</v>
      </c>
      <c r="D18">
        <v>96707</v>
      </c>
      <c r="E18">
        <v>100558</v>
      </c>
      <c r="F18">
        <v>98032</v>
      </c>
    </row>
    <row r="19">
      <c r="A19" t="s">
        <v>734</v>
      </c>
      <c r="B19">
        <v>4733</v>
      </c>
      <c r="C19">
        <v>3508</v>
      </c>
      <c r="D19">
        <v>2618</v>
      </c>
      <c r="E19">
        <v>2512</v>
      </c>
      <c r="F19">
        <v>3843</v>
      </c>
      <c r="G19" t="s">
        <v>735</v>
      </c>
    </row>
    <row r="20">
      <c r="A20" t="s">
        <v>736</v>
      </c>
      <c r="B20">
        <v>101989</v>
      </c>
      <c r="C20">
        <v>105728</v>
      </c>
    </row>
    <row r="21">
      <c r="A21" t="s">
        <v>737</v>
      </c>
      <c r="D21">
        <v>2042</v>
      </c>
      <c r="E21">
        <v>2209</v>
      </c>
      <c r="F21">
        <v>2683</v>
      </c>
    </row>
    <row r="22">
      <c r="A22" t="s">
        <v>738</v>
      </c>
      <c r="D22">
        <v>4229</v>
      </c>
      <c r="E22">
        <v>4325</v>
      </c>
      <c r="F22">
        <v>9755</v>
      </c>
    </row>
    <row r="23">
      <c r="A23" t="s">
        <v>110</v>
      </c>
      <c r="B23">
        <v>206563</v>
      </c>
      <c r="C23">
        <v>211338</v>
      </c>
      <c r="D23">
        <v>207682</v>
      </c>
      <c r="E23">
        <v>208035</v>
      </c>
      <c r="F23">
        <v>219237</v>
      </c>
      <c r="G23" t="s">
        <v>112</v>
      </c>
    </row>
    <row r="25">
      <c r="A25" t="s">
        <v>739</v>
      </c>
    </row>
    <row r="26">
      <c r="A26" t="s">
        <v>740</v>
      </c>
      <c r="B26">
        <v>11405</v>
      </c>
      <c r="C26">
        <v>12275</v>
      </c>
      <c r="D26">
        <v>10373</v>
      </c>
      <c r="E26">
        <v>8463</v>
      </c>
      <c r="F26">
        <v>10280</v>
      </c>
      <c r="G26" t="s">
        <v>741</v>
      </c>
    </row>
    <row r="27">
      <c r="A27" t="s">
        <v>742</v>
      </c>
      <c r="B27">
        <v>3378</v>
      </c>
      <c r="C27">
        <v>5164</v>
      </c>
      <c r="D27">
        <v>3619</v>
      </c>
      <c r="E27">
        <v>4068</v>
      </c>
      <c r="F27">
        <v>5135</v>
      </c>
      <c r="G27" t="s">
        <v>146</v>
      </c>
    </row>
    <row r="28">
      <c r="A28" t="s">
        <v>743</v>
      </c>
      <c r="D28">
        <v>825</v>
      </c>
      <c r="E28">
        <v>1222</v>
      </c>
      <c r="F28">
        <v>1533</v>
      </c>
    </row>
    <row r="29">
      <c r="A29" t="s">
        <v>744</v>
      </c>
      <c r="B29">
        <v>3425</v>
      </c>
      <c r="C29">
        <v>3512</v>
      </c>
      <c r="D29">
        <v>3555</v>
      </c>
      <c r="E29">
        <v>3281</v>
      </c>
      <c r="F29">
        <v>3814</v>
      </c>
      <c r="G29" t="s">
        <v>745</v>
      </c>
    </row>
    <row r="30">
      <c r="A30" t="s">
        <v>746</v>
      </c>
      <c r="B30">
        <v>1120</v>
      </c>
      <c r="C30">
        <v>1161</v>
      </c>
      <c r="D30">
        <v>1260</v>
      </c>
      <c r="E30">
        <v>1175</v>
      </c>
      <c r="F30">
        <v>1163</v>
      </c>
      <c r="G30" t="s">
        <v>747</v>
      </c>
    </row>
    <row r="31">
      <c r="A31" t="s">
        <v>748</v>
      </c>
      <c r="B31">
        <v>4171</v>
      </c>
      <c r="C31">
        <v>2630</v>
      </c>
      <c r="D31">
        <v>1296</v>
      </c>
      <c r="E31">
        <v>1965</v>
      </c>
      <c r="F31">
        <v>2575</v>
      </c>
      <c r="G31" t="s">
        <v>749</v>
      </c>
    </row>
    <row r="32">
      <c r="A32" t="s">
        <v>750</v>
      </c>
      <c r="B32">
        <v>23499</v>
      </c>
      <c r="C32">
        <v>24742</v>
      </c>
      <c r="D32">
        <v>20928</v>
      </c>
      <c r="E32">
        <v>20174</v>
      </c>
      <c r="F32">
        <v>24500</v>
      </c>
      <c r="G32" t="s">
        <v>751</v>
      </c>
    </row>
    <row r="33">
      <c r="A33" t="s">
        <v>752</v>
      </c>
    </row>
    <row r="34">
      <c r="A34" t="s">
        <v>137</v>
      </c>
      <c r="B34">
        <v>74193</v>
      </c>
      <c r="C34">
        <v>71960</v>
      </c>
      <c r="D34">
        <v>71399</v>
      </c>
      <c r="E34">
        <v>74197</v>
      </c>
      <c r="F34">
        <v>81147</v>
      </c>
      <c r="G34" t="s">
        <v>138</v>
      </c>
    </row>
    <row r="35">
      <c r="A35" t="s">
        <v>753</v>
      </c>
      <c r="D35">
        <v>3777</v>
      </c>
      <c r="E35">
        <v>3664</v>
      </c>
      <c r="F35">
        <v>3532</v>
      </c>
    </row>
    <row r="36">
      <c r="A36" t="s">
        <v>754</v>
      </c>
      <c r="D36">
        <v>13458</v>
      </c>
      <c r="E36">
        <v>16700</v>
      </c>
      <c r="F36">
        <v>19583</v>
      </c>
    </row>
    <row r="37">
      <c r="A37" t="s">
        <v>755</v>
      </c>
      <c r="B37">
        <v>25818</v>
      </c>
      <c r="C37">
        <v>29855</v>
      </c>
      <c r="D37">
        <v>28240</v>
      </c>
      <c r="E37">
        <v>26408</v>
      </c>
      <c r="F37">
        <v>26371</v>
      </c>
      <c r="G37" t="s">
        <v>756</v>
      </c>
    </row>
    <row r="38">
      <c r="A38" t="s">
        <v>757</v>
      </c>
      <c r="B38">
        <v>1455</v>
      </c>
      <c r="C38">
        <v>1370</v>
      </c>
      <c r="D38">
        <v>1236</v>
      </c>
      <c r="E38">
        <v>1151</v>
      </c>
      <c r="F38">
        <v>1107</v>
      </c>
      <c r="G38" t="s">
        <v>758</v>
      </c>
    </row>
    <row r="39">
      <c r="A39" t="s">
        <v>759</v>
      </c>
      <c r="B39">
        <v>12496</v>
      </c>
      <c r="C39">
        <v>13755</v>
      </c>
      <c r="D39">
        <v>3929</v>
      </c>
      <c r="E39">
        <v>4000</v>
      </c>
      <c r="F39">
        <v>3794</v>
      </c>
      <c r="G39" t="s">
        <v>760</v>
      </c>
    </row>
    <row r="40">
      <c r="A40" t="s">
        <v>761</v>
      </c>
      <c r="B40">
        <v>113962</v>
      </c>
      <c r="C40">
        <v>116940</v>
      </c>
      <c r="D40">
        <v>122039</v>
      </c>
      <c r="E40">
        <v>126120</v>
      </c>
      <c r="F40">
        <v>135534</v>
      </c>
    </row>
    <row r="41">
      <c r="A41" t="s">
        <v>762</v>
      </c>
      <c r="B41">
        <v>137461</v>
      </c>
      <c r="C41">
        <v>141682</v>
      </c>
      <c r="D41">
        <v>142967</v>
      </c>
      <c r="E41">
        <v>146294</v>
      </c>
      <c r="F41">
        <v>160034</v>
      </c>
    </row>
    <row r="43">
      <c r="A43" t="s">
        <v>121</v>
      </c>
    </row>
    <row r="44">
      <c r="A44" t="s">
        <v>763</v>
      </c>
      <c r="B44">
        <v>0</v>
      </c>
      <c r="C44">
        <v>0</v>
      </c>
      <c r="D44">
        <v>0</v>
      </c>
      <c r="E44">
        <v>0</v>
      </c>
      <c r="F44">
        <v>0</v>
      </c>
      <c r="G44" t="s">
        <v>764</v>
      </c>
    </row>
    <row r="45">
      <c r="A45" t="s">
        <v>765</v>
      </c>
      <c r="B45">
        <v>73279</v>
      </c>
    </row>
    <row r="46">
      <c r="A46" t="s">
        <v>766</v>
      </c>
      <c r="C46">
        <v>73941</v>
      </c>
      <c r="D46">
        <v>67705</v>
      </c>
      <c r="E46">
        <v>68798</v>
      </c>
      <c r="F46">
        <v>69460</v>
      </c>
    </row>
    <row r="47">
      <c r="A47" t="s">
        <v>767</v>
      </c>
      <c r="C47">
        <v>-3016</v>
      </c>
      <c r="D47">
        <v>-9373</v>
      </c>
      <c r="E47">
        <v>-20584</v>
      </c>
      <c r="F47">
        <v>-30545</v>
      </c>
    </row>
    <row r="48">
      <c r="A48" t="s">
        <v>768</v>
      </c>
      <c r="B48">
        <v>-1365</v>
      </c>
      <c r="C48">
        <v>-1046</v>
      </c>
      <c r="D48">
        <v>-964</v>
      </c>
      <c r="E48">
        <v>-857</v>
      </c>
      <c r="F48">
        <v>-848</v>
      </c>
      <c r="G48" t="s">
        <v>769</v>
      </c>
    </row>
    <row r="49">
      <c r="A49" t="s">
        <v>770</v>
      </c>
      <c r="B49">
        <v>-2812</v>
      </c>
      <c r="C49">
        <v>-223</v>
      </c>
      <c r="D49">
        <v>7347</v>
      </c>
      <c r="E49">
        <v>14384</v>
      </c>
      <c r="F49">
        <v>21136</v>
      </c>
      <c r="G49" t="s">
        <v>771</v>
      </c>
    </row>
    <row r="50">
      <c r="A50" t="s">
        <v>772</v>
      </c>
      <c r="B50">
        <v>69102</v>
      </c>
      <c r="C50">
        <v>69656</v>
      </c>
      <c r="D50">
        <v>64715</v>
      </c>
      <c r="E50">
        <v>61741</v>
      </c>
      <c r="F50">
        <v>59203</v>
      </c>
      <c r="G50" t="s">
        <v>122</v>
      </c>
    </row>
    <row r="51">
      <c r="A51" t="s">
        <v>773</v>
      </c>
      <c r="B51">
        <v>206563</v>
      </c>
      <c r="C51">
        <v>211338</v>
      </c>
      <c r="D51">
        <v>207682</v>
      </c>
      <c r="E51">
        <v>208035</v>
      </c>
      <c r="F51">
        <v>219237</v>
      </c>
      <c r="G51" t="s">
        <v>774</v>
      </c>
    </row>
  </sheetData>
</worksheet>
</file>

<file path=xl/worksheets/sheet14.xml><?xml version="1.0" encoding="utf-8"?>
<worksheet xmlns="http://schemas.openxmlformats.org/spreadsheetml/2006/main" xmlns:r="http://schemas.openxmlformats.org/officeDocument/2006/relationships">
  <dimension ref="A1:G52"/>
  <sheetViews>
    <sheetView workbookViewId="0"/>
  </sheetViews>
  <sheetFormatPr defaultColWidth="8.375" defaultRowHeight="15"/>
  <sheetData>
    <row r="1">
      <c r="A1" t="s">
        <v>775</v>
      </c>
    </row>
    <row r="2">
      <c r="A2" t="s">
        <v>776</v>
      </c>
    </row>
    <row r="4">
      <c r="A4" t="s">
        <v>668</v>
      </c>
      <c r="B4" t="s">
        <v>669</v>
      </c>
      <c r="C4" t="s">
        <v>670</v>
      </c>
      <c r="D4" t="s">
        <v>671</v>
      </c>
      <c r="E4" t="s">
        <v>672</v>
      </c>
      <c r="F4" t="s">
        <v>673</v>
      </c>
      <c r="G4" t="s">
        <v>674</v>
      </c>
    </row>
    <row r="5">
      <c r="A5" t="s">
        <v>777</v>
      </c>
    </row>
    <row r="6">
      <c r="A6" t="s">
        <v>78</v>
      </c>
      <c r="B6">
        <v>3024</v>
      </c>
      <c r="C6">
        <v>2590</v>
      </c>
      <c r="D6">
        <v>8317</v>
      </c>
      <c r="E6">
        <v>11339</v>
      </c>
      <c r="F6">
        <v>10992</v>
      </c>
    </row>
    <row r="7">
      <c r="A7" t="s">
        <v>778</v>
      </c>
    </row>
    <row r="8">
      <c r="A8" t="s">
        <v>680</v>
      </c>
      <c r="D8">
        <v>12818</v>
      </c>
      <c r="E8">
        <v>12919</v>
      </c>
      <c r="F8">
        <v>13508</v>
      </c>
    </row>
    <row r="9">
      <c r="A9" t="s">
        <v>779</v>
      </c>
      <c r="D9">
        <v>667</v>
      </c>
      <c r="E9">
        <v>649</v>
      </c>
      <c r="F9">
        <v>829</v>
      </c>
    </row>
    <row r="10">
      <c r="A10" t="s">
        <v>780</v>
      </c>
      <c r="D10">
        <v>2600</v>
      </c>
      <c r="E10">
        <v>3120</v>
      </c>
      <c r="F10">
        <v>2864</v>
      </c>
    </row>
    <row r="11">
      <c r="A11" t="s">
        <v>781</v>
      </c>
      <c r="D11">
        <v>898</v>
      </c>
      <c r="E11">
        <v>1192</v>
      </c>
      <c r="F11">
        <v>1370</v>
      </c>
    </row>
    <row r="12">
      <c r="A12" t="s">
        <v>782</v>
      </c>
      <c r="D12">
        <v>165</v>
      </c>
      <c r="E12">
        <v>62</v>
      </c>
      <c r="F12">
        <v>58</v>
      </c>
    </row>
    <row r="13">
      <c r="A13" t="s">
        <v>679</v>
      </c>
      <c r="D13">
        <v>0</v>
      </c>
      <c r="E13">
        <v>0</v>
      </c>
      <c r="F13">
        <v>278</v>
      </c>
    </row>
    <row r="14">
      <c r="A14" t="s">
        <v>783</v>
      </c>
      <c r="D14">
        <v>9</v>
      </c>
      <c r="E14">
        <v>0</v>
      </c>
      <c r="F14">
        <v>0</v>
      </c>
    </row>
    <row r="15">
      <c r="A15" t="s">
        <v>784</v>
      </c>
      <c r="D15">
        <v>-5038</v>
      </c>
      <c r="E15">
        <v>-3088</v>
      </c>
      <c r="F15">
        <v>-755</v>
      </c>
    </row>
    <row r="16">
      <c r="A16" t="s">
        <v>785</v>
      </c>
      <c r="D16">
        <v>170</v>
      </c>
      <c r="E16">
        <v>-523</v>
      </c>
      <c r="F16">
        <v>-877</v>
      </c>
    </row>
    <row r="17">
      <c r="A17" t="s">
        <v>717</v>
      </c>
      <c r="D17">
        <v>197</v>
      </c>
      <c r="E17">
        <v>131</v>
      </c>
      <c r="F17">
        <v>-615</v>
      </c>
    </row>
    <row r="18">
      <c r="A18" t="s">
        <v>728</v>
      </c>
      <c r="D18">
        <v>3721</v>
      </c>
      <c r="E18">
        <v>3480</v>
      </c>
      <c r="F18">
        <v>3635</v>
      </c>
    </row>
    <row r="19">
      <c r="A19" t="s">
        <v>786</v>
      </c>
      <c r="D19">
        <v>-358</v>
      </c>
      <c r="E19">
        <v>-411</v>
      </c>
      <c r="F19">
        <v>-1488</v>
      </c>
    </row>
    <row r="20">
      <c r="A20" t="s">
        <v>740</v>
      </c>
      <c r="D20">
        <v>-1126</v>
      </c>
      <c r="E20">
        <v>-2041</v>
      </c>
      <c r="F20">
        <v>1542</v>
      </c>
    </row>
    <row r="21">
      <c r="A21" t="s">
        <v>787</v>
      </c>
      <c r="D21">
        <v>-3785</v>
      </c>
      <c r="E21">
        <v>-3879</v>
      </c>
      <c r="F21">
        <v>-3457</v>
      </c>
    </row>
    <row r="22">
      <c r="A22" t="s">
        <v>788</v>
      </c>
      <c r="D22">
        <v>-839</v>
      </c>
      <c r="E22">
        <v>-678</v>
      </c>
      <c r="F22">
        <v>-379</v>
      </c>
    </row>
    <row r="23">
      <c r="A23" t="s">
        <v>789</v>
      </c>
      <c r="D23">
        <v>143</v>
      </c>
      <c r="E23">
        <v>21</v>
      </c>
      <c r="F23">
        <v>445</v>
      </c>
    </row>
    <row r="24">
      <c r="A24" t="s">
        <v>790</v>
      </c>
      <c r="B24">
        <v>10893</v>
      </c>
      <c r="C24">
        <v>14191</v>
      </c>
    </row>
    <row r="25">
      <c r="A25" t="s">
        <v>791</v>
      </c>
      <c r="B25">
        <v>13917</v>
      </c>
      <c r="C25">
        <v>16781</v>
      </c>
      <c r="D25">
        <v>18559</v>
      </c>
      <c r="E25">
        <v>22293</v>
      </c>
      <c r="F25">
        <v>27950</v>
      </c>
      <c r="G25" t="s">
        <v>87</v>
      </c>
    </row>
    <row r="27">
      <c r="A27" t="s">
        <v>792</v>
      </c>
    </row>
    <row r="28">
      <c r="A28" t="s">
        <v>793</v>
      </c>
      <c r="D28">
        <v>-9801</v>
      </c>
      <c r="E28">
        <v>-8840</v>
      </c>
      <c r="F28">
        <v>-9955</v>
      </c>
    </row>
    <row r="29">
      <c r="A29" t="s">
        <v>794</v>
      </c>
      <c r="D29">
        <v>-1010</v>
      </c>
      <c r="E29">
        <v>-3471</v>
      </c>
      <c r="F29">
        <v>-2568</v>
      </c>
    </row>
    <row r="30">
      <c r="A30" t="s">
        <v>795</v>
      </c>
      <c r="D30">
        <v>153</v>
      </c>
      <c r="E30">
        <v>99</v>
      </c>
      <c r="F30">
        <v>2168</v>
      </c>
    </row>
    <row r="31">
      <c r="A31" t="s">
        <v>796</v>
      </c>
      <c r="D31">
        <v>12</v>
      </c>
      <c r="E31">
        <v>0</v>
      </c>
      <c r="F31">
        <v>0</v>
      </c>
    </row>
    <row r="32">
      <c r="A32" t="s">
        <v>797</v>
      </c>
      <c r="D32">
        <v>4816</v>
      </c>
      <c r="E32">
        <v>3579</v>
      </c>
      <c r="F32">
        <v>0</v>
      </c>
    </row>
    <row r="33">
      <c r="A33" t="s">
        <v>798</v>
      </c>
      <c r="D33">
        <v>0</v>
      </c>
      <c r="E33">
        <v>-373</v>
      </c>
      <c r="F33">
        <v>-3523</v>
      </c>
    </row>
    <row r="34">
      <c r="A34" t="s">
        <v>799</v>
      </c>
      <c r="D34">
        <v>-7</v>
      </c>
      <c r="E34">
        <v>-18</v>
      </c>
      <c r="F34">
        <v>-4056</v>
      </c>
    </row>
    <row r="35">
      <c r="A35" t="s">
        <v>800</v>
      </c>
      <c r="D35">
        <v>8</v>
      </c>
      <c r="E35">
        <v>-48</v>
      </c>
      <c r="F35">
        <v>327</v>
      </c>
    </row>
    <row r="36">
      <c r="A36" t="s">
        <v>801</v>
      </c>
      <c r="B36">
        <v>-19386</v>
      </c>
      <c r="C36">
        <v>-12359</v>
      </c>
      <c r="D36">
        <v>-5829</v>
      </c>
      <c r="E36">
        <v>-9072</v>
      </c>
      <c r="F36">
        <v>-17607</v>
      </c>
      <c r="G36" t="s">
        <v>802</v>
      </c>
    </row>
    <row r="38">
      <c r="A38" t="s">
        <v>803</v>
      </c>
    </row>
    <row r="39">
      <c r="A39" t="s">
        <v>804</v>
      </c>
      <c r="D39">
        <v>8446</v>
      </c>
      <c r="E39">
        <v>8587</v>
      </c>
      <c r="F39">
        <v>12010</v>
      </c>
    </row>
    <row r="40">
      <c r="A40" t="s">
        <v>805</v>
      </c>
      <c r="D40">
        <v>-1227</v>
      </c>
      <c r="E40">
        <v>-1367</v>
      </c>
      <c r="F40">
        <v>-1252</v>
      </c>
    </row>
    <row r="41">
      <c r="A41" t="s">
        <v>806</v>
      </c>
      <c r="D41">
        <v>-5051</v>
      </c>
      <c r="E41">
        <v>-5073</v>
      </c>
      <c r="F41">
        <v>-6199</v>
      </c>
    </row>
    <row r="42">
      <c r="A42" t="s">
        <v>807</v>
      </c>
      <c r="D42">
        <v>-13074</v>
      </c>
      <c r="E42">
        <v>-11228</v>
      </c>
      <c r="F42">
        <v>-9974</v>
      </c>
    </row>
    <row r="43">
      <c r="A43" t="s">
        <v>808</v>
      </c>
      <c r="D43">
        <v>-747</v>
      </c>
      <c r="E43">
        <v>-3300</v>
      </c>
      <c r="F43">
        <v>-4121</v>
      </c>
    </row>
    <row r="44">
      <c r="A44" t="s">
        <v>809</v>
      </c>
      <c r="D44">
        <v>-297</v>
      </c>
      <c r="E44">
        <v>-269</v>
      </c>
      <c r="F44">
        <v>-434</v>
      </c>
    </row>
    <row r="45">
      <c r="A45" t="s">
        <v>810</v>
      </c>
      <c r="D45">
        <v>-147</v>
      </c>
      <c r="E45">
        <v>-165</v>
      </c>
      <c r="F45">
        <v>-111</v>
      </c>
    </row>
    <row r="46">
      <c r="A46" t="s">
        <v>811</v>
      </c>
      <c r="B46">
        <v>1709</v>
      </c>
      <c r="C46">
        <v>-6451</v>
      </c>
      <c r="D46">
        <v>-12097</v>
      </c>
      <c r="E46">
        <v>-12815</v>
      </c>
      <c r="F46">
        <v>-10081</v>
      </c>
      <c r="G46" t="s">
        <v>812</v>
      </c>
    </row>
    <row r="48">
      <c r="A48" t="s">
        <v>813</v>
      </c>
      <c r="B48">
        <v>0</v>
      </c>
      <c r="C48">
        <v>0</v>
      </c>
      <c r="D48">
        <v>0</v>
      </c>
      <c r="E48">
        <v>0</v>
      </c>
      <c r="F48">
        <v>1</v>
      </c>
    </row>
    <row r="49">
      <c r="A49" t="s">
        <v>814</v>
      </c>
      <c r="B49">
        <v>-3760</v>
      </c>
      <c r="C49">
        <v>-2029</v>
      </c>
      <c r="D49">
        <v>633</v>
      </c>
      <c r="E49">
        <v>406</v>
      </c>
      <c r="F49">
        <v>263</v>
      </c>
    </row>
    <row r="50">
      <c r="A50" t="s">
        <v>815</v>
      </c>
    </row>
    <row r="51">
      <c r="A51" t="s">
        <v>816</v>
      </c>
      <c r="B51">
        <v>10463</v>
      </c>
      <c r="C51">
        <v>6703</v>
      </c>
      <c r="D51">
        <v>4674</v>
      </c>
      <c r="E51">
        <v>5307</v>
      </c>
      <c r="F51">
        <v>5713</v>
      </c>
      <c r="G51" t="s">
        <v>817</v>
      </c>
    </row>
    <row r="52">
      <c r="A52" t="s">
        <v>818</v>
      </c>
      <c r="B52">
        <v>6703</v>
      </c>
      <c r="C52">
        <v>4674</v>
      </c>
      <c r="D52">
        <v>5307</v>
      </c>
      <c r="E52">
        <v>5713</v>
      </c>
      <c r="F52">
        <v>5976</v>
      </c>
      <c r="G52" t="s">
        <v>817</v>
      </c>
    </row>
  </sheetData>
</worksheet>
</file>

<file path=xl/worksheets/sheet15.xml><?xml version="1.0" encoding="utf-8"?>
<worksheet xmlns="http://schemas.openxmlformats.org/spreadsheetml/2006/main" xmlns:r="http://schemas.openxmlformats.org/officeDocument/2006/relationships">
  <dimension ref="A1:G40"/>
  <sheetViews>
    <sheetView workbookViewId="0"/>
  </sheetViews>
  <sheetFormatPr defaultColWidth="8.375" defaultRowHeight="15"/>
  <sheetData>
    <row r="1">
      <c r="A1" t="s">
        <v>819</v>
      </c>
    </row>
    <row r="2">
      <c r="A2" t="s">
        <v>820</v>
      </c>
    </row>
    <row r="4">
      <c r="A4" t="s">
        <v>668</v>
      </c>
      <c r="B4" t="s">
        <v>669</v>
      </c>
      <c r="C4" t="s">
        <v>670</v>
      </c>
      <c r="D4" t="s">
        <v>671</v>
      </c>
      <c r="E4" t="s">
        <v>672</v>
      </c>
      <c r="F4" t="s">
        <v>673</v>
      </c>
      <c r="G4" t="s">
        <v>674</v>
      </c>
    </row>
    <row r="5">
      <c r="A5" t="s">
        <v>821</v>
      </c>
      <c r="C5">
        <v>69656</v>
      </c>
    </row>
    <row r="7">
      <c r="A7" t="s">
        <v>822</v>
      </c>
    </row>
    <row r="8">
      <c r="A8" t="s">
        <v>78</v>
      </c>
      <c r="D8">
        <v>8317</v>
      </c>
    </row>
    <row r="9">
      <c r="A9" t="s">
        <v>823</v>
      </c>
      <c r="D9">
        <v>-747</v>
      </c>
    </row>
    <row r="10">
      <c r="A10" t="s">
        <v>698</v>
      </c>
      <c r="D10">
        <v>82</v>
      </c>
    </row>
    <row r="11">
      <c r="A11" t="s">
        <v>824</v>
      </c>
      <c r="D11">
        <v>687</v>
      </c>
    </row>
    <row r="12">
      <c r="A12" t="s">
        <v>825</v>
      </c>
      <c r="D12">
        <v>210</v>
      </c>
    </row>
    <row r="13">
      <c r="A13" t="s">
        <v>826</v>
      </c>
      <c r="D13">
        <v>-297</v>
      </c>
    </row>
    <row r="14">
      <c r="A14" t="s">
        <v>807</v>
      </c>
      <c r="D14">
        <v>-13255</v>
      </c>
    </row>
    <row r="15">
      <c r="A15" t="s">
        <v>827</v>
      </c>
      <c r="D15">
        <v>52</v>
      </c>
    </row>
    <row r="16">
      <c r="A16" t="s">
        <v>828</v>
      </c>
      <c r="D16">
        <v>10</v>
      </c>
    </row>
    <row r="17">
      <c r="A17" t="s">
        <v>829</v>
      </c>
      <c r="D17">
        <v>64715</v>
      </c>
    </row>
    <row r="19">
      <c r="A19" t="s">
        <v>830</v>
      </c>
    </row>
    <row r="20">
      <c r="A20" t="s">
        <v>78</v>
      </c>
      <c r="E20">
        <v>11339</v>
      </c>
    </row>
    <row r="21">
      <c r="A21" t="s">
        <v>823</v>
      </c>
      <c r="E21">
        <v>-4302</v>
      </c>
    </row>
    <row r="22">
      <c r="A22" t="s">
        <v>698</v>
      </c>
      <c r="E22">
        <v>107</v>
      </c>
    </row>
    <row r="23">
      <c r="A23" t="s">
        <v>824</v>
      </c>
      <c r="E23">
        <v>619</v>
      </c>
    </row>
    <row r="24">
      <c r="A24" t="s">
        <v>825</v>
      </c>
      <c r="E24">
        <v>191</v>
      </c>
    </row>
    <row r="25">
      <c r="A25" t="s">
        <v>826</v>
      </c>
      <c r="E25">
        <v>-269</v>
      </c>
    </row>
    <row r="26">
      <c r="A26" t="s">
        <v>807</v>
      </c>
      <c r="E26">
        <v>-11206</v>
      </c>
    </row>
    <row r="27">
      <c r="A27" t="s">
        <v>831</v>
      </c>
      <c r="E27">
        <v>536</v>
      </c>
    </row>
    <row r="28">
      <c r="A28" t="s">
        <v>828</v>
      </c>
      <c r="E28">
        <v>11</v>
      </c>
    </row>
    <row r="29">
      <c r="A29" t="s">
        <v>832</v>
      </c>
      <c r="E29">
        <v>61741</v>
      </c>
    </row>
    <row r="31">
      <c r="A31" t="s">
        <v>833</v>
      </c>
    </row>
    <row r="32">
      <c r="A32" t="s">
        <v>78</v>
      </c>
      <c r="F32">
        <v>10992</v>
      </c>
    </row>
    <row r="33">
      <c r="A33" t="s">
        <v>823</v>
      </c>
      <c r="F33">
        <v>-4240</v>
      </c>
    </row>
    <row r="34">
      <c r="A34" t="s">
        <v>698</v>
      </c>
      <c r="F34">
        <v>9</v>
      </c>
    </row>
    <row r="35">
      <c r="A35" t="s">
        <v>824</v>
      </c>
      <c r="F35">
        <v>829</v>
      </c>
    </row>
    <row r="36">
      <c r="A36" t="s">
        <v>825</v>
      </c>
      <c r="F36">
        <v>214</v>
      </c>
    </row>
    <row r="37">
      <c r="A37" t="s">
        <v>826</v>
      </c>
      <c r="F37">
        <v>-434</v>
      </c>
    </row>
    <row r="38">
      <c r="A38" t="s">
        <v>807</v>
      </c>
      <c r="F38">
        <v>-9957</v>
      </c>
    </row>
    <row r="39">
      <c r="A39" t="s">
        <v>828</v>
      </c>
      <c r="F39">
        <v>49</v>
      </c>
    </row>
    <row r="40">
      <c r="A40" t="s">
        <v>834</v>
      </c>
      <c r="F40">
        <v>59203</v>
      </c>
    </row>
  </sheetData>
</worksheet>
</file>

<file path=xl/worksheets/sheet16.xml><?xml version="1.0" encoding="utf-8"?>
<worksheet xmlns="http://schemas.openxmlformats.org/spreadsheetml/2006/main" xmlns:r="http://schemas.openxmlformats.org/officeDocument/2006/relationships">
  <dimension ref="A1:I59"/>
  <sheetViews>
    <sheetView workbookViewId="0"/>
  </sheetViews>
  <sheetFormatPr defaultColWidth="8.375" defaultRowHeight="15"/>
  <sheetData>
    <row r="1">
      <c r="A1" t="s">
        <v>835</v>
      </c>
    </row>
    <row r="2">
      <c r="A2" t="s">
        <v>836</v>
      </c>
      <c r="B2" t="str">
        <f>IF(COUNTIF(H5:H59,"FAIL")=0,"OK — ALL TIE-OUTS PASS (INFO rows are memo reconciling items, not failures)","FAIL")</f>
        <v>FAIL</v>
      </c>
    </row>
    <row r="3">
      <c r="A3" t="s">
        <v>837</v>
      </c>
      <c r="B3" t="str">
        <f>COUNTIF(H5:H59,"PASS")&amp;" PASS / "&amp;(COUNTIF(H5:H59,"PASS")+COUNTIF(H5:H59,"FAIL"))&amp;" checks computables (la fila 28 es INFO, fuera del conteo)"</f>
        <v>51 PASS / 52 checks computables (la fila 28 es INFO, fuera del conteo)</v>
      </c>
    </row>
    <row r="4">
      <c r="A4" t="s">
        <v>838</v>
      </c>
      <c r="B4" t="s">
        <v>669</v>
      </c>
      <c r="C4" t="s">
        <v>670</v>
      </c>
      <c r="D4" t="s">
        <v>671</v>
      </c>
      <c r="E4" t="s">
        <v>672</v>
      </c>
      <c r="F4" t="s">
        <v>673</v>
      </c>
      <c r="H4" t="s">
        <v>514</v>
      </c>
    </row>
    <row r="5">
      <c r="A5" t="s">
        <v>839</v>
      </c>
      <c r="B5">
        <f>IS_Hist!B5-IS_Hist!B11-IS_Hist!B14</f>
        <v>0</v>
      </c>
      <c r="C5">
        <f>IS_Hist!C5-IS_Hist!C11-IS_Hist!C14</f>
        <v>0</v>
      </c>
      <c r="H5" t="str">
        <f>IF(AND(ABS(N(B5))&lt;=1,ABS(N(C5))&lt;=1),"PASS","FAIL")</f>
        <v>PASS</v>
      </c>
    </row>
    <row r="6">
      <c r="A6" t="s">
        <v>840</v>
      </c>
      <c r="B6">
        <f>IS_Hist!B14+IS_Hist!B18-IS_Hist!B19</f>
        <v>0</v>
      </c>
      <c r="C6">
        <f>IS_Hist!C14+IS_Hist!C18-IS_Hist!C19</f>
        <v>0</v>
      </c>
      <c r="H6" t="str">
        <f>IF(AND(ABS(N(B6))&lt;=1,ABS(N(C6))&lt;=1),"PASS","FAIL")</f>
        <v>PASS</v>
      </c>
    </row>
    <row r="7">
      <c r="A7" t="s">
        <v>841</v>
      </c>
      <c r="B7">
        <f>IS_Hist!B19+IS_Hist!B20-IS_Hist!B21</f>
        <v>0</v>
      </c>
      <c r="C7">
        <f>IS_Hist!C19+IS_Hist!C20-IS_Hist!C21</f>
        <v>0</v>
      </c>
      <c r="D7">
        <f>IS_Hist!D19+IS_Hist!D20-IS_Hist!D21</f>
        <v>0</v>
      </c>
      <c r="E7">
        <f>IS_Hist!E19+IS_Hist!E20-IS_Hist!E21</f>
        <v>0</v>
      </c>
      <c r="F7">
        <f>IS_Hist!F19+IS_Hist!F20-IS_Hist!F21</f>
        <v>0</v>
      </c>
      <c r="H7" t="str">
        <f>IF(AND(ABS(N(B7))&lt;=1,ABS(N(C7))&lt;=1,ABS(N(D7))&lt;=1,ABS(N(E7))&lt;=1,ABS(N(F7))&lt;=1),"PASS","FAIL")</f>
        <v>PASS</v>
      </c>
    </row>
    <row r="8">
      <c r="A8" t="s">
        <v>842</v>
      </c>
      <c r="D8">
        <f>IS_Hist!D7-IS_Hist!D8+IS_Hist!D9+IS_Hist!D10+IS_Hist!D12-IS_Hist!D13</f>
        <v>0</v>
      </c>
      <c r="E8">
        <f>IS_Hist!E7-IS_Hist!E8+IS_Hist!E9+IS_Hist!E10+IS_Hist!E12-IS_Hist!E13</f>
        <v>0</v>
      </c>
      <c r="F8">
        <f>IS_Hist!F7-IS_Hist!F8+IS_Hist!F9+IS_Hist!F10+IS_Hist!F12-IS_Hist!F13</f>
        <v>0</v>
      </c>
      <c r="H8" t="str">
        <f>IF(AND(ABS(N(D8))&lt;=1,ABS(N(E8))&lt;=1,ABS(N(F8))&lt;=1),"PASS","FAIL")</f>
        <v>PASS</v>
      </c>
    </row>
    <row r="9">
      <c r="A9" t="s">
        <v>843</v>
      </c>
      <c r="D9">
        <f>IS_Hist!D5-IS_Hist!D13-IS_Hist!D14</f>
        <v>0</v>
      </c>
      <c r="E9">
        <f>IS_Hist!E5-IS_Hist!E13-IS_Hist!E14</f>
        <v>0</v>
      </c>
      <c r="F9">
        <f>IS_Hist!F5-IS_Hist!F13-IS_Hist!F14</f>
        <v>0</v>
      </c>
      <c r="H9" t="str">
        <f>IF(AND(ABS(N(D9))&lt;=1,ABS(N(E9))&lt;=1,ABS(N(F9))&lt;=1),"PASS","FAIL")</f>
        <v>PASS</v>
      </c>
    </row>
    <row r="10">
      <c r="A10" t="s">
        <v>844</v>
      </c>
      <c r="D10">
        <f>IS_Hist!D14+IS_Hist!D16+IS_Hist!D17-IS_Hist!D19</f>
        <v>0</v>
      </c>
      <c r="E10">
        <f>IS_Hist!E14+IS_Hist!E16+IS_Hist!E17-IS_Hist!E19</f>
        <v>0</v>
      </c>
      <c r="F10">
        <f>IS_Hist!F14+IS_Hist!F16+IS_Hist!F17-IS_Hist!F19</f>
        <v>0</v>
      </c>
      <c r="H10" t="str">
        <f>IF(AND(ABS(N(D10))&lt;=1,ABS(N(E10))&lt;=1,ABS(N(F10))&lt;=1),"PASS","FAIL")</f>
        <v>PASS</v>
      </c>
    </row>
    <row r="11">
      <c r="A11" t="s">
        <v>845</v>
      </c>
      <c r="D11">
        <f>IS_Hist!D21+IS_Hist!D28-IS_Hist!D29</f>
        <v>0</v>
      </c>
      <c r="E11">
        <f>IS_Hist!E21+IS_Hist!E28-IS_Hist!E29</f>
        <v>0</v>
      </c>
      <c r="F11">
        <f>IS_Hist!F21+IS_Hist!F28-IS_Hist!F29</f>
        <v>0</v>
      </c>
      <c r="H11" t="str">
        <f>IF(AND(ABS(N(D11))&lt;=1,ABS(N(E11))&lt;=1,ABS(N(F11))&lt;=1),"PASS","FAIL")</f>
        <v>PASS</v>
      </c>
    </row>
    <row r="12">
      <c r="A12" t="s">
        <v>846</v>
      </c>
      <c r="B12">
        <f>SUM(BS_Hist!B6:B11)-BS_Hist!B12</f>
        <v>0</v>
      </c>
      <c r="C12">
        <f>SUM(BS_Hist!C6:C11)-BS_Hist!C12</f>
        <v>0</v>
      </c>
      <c r="D12">
        <f>SUM(BS_Hist!D6:D11)-BS_Hist!D12</f>
        <v>0</v>
      </c>
      <c r="E12">
        <f>SUM(BS_Hist!E6:E11)-BS_Hist!E12</f>
        <v>0</v>
      </c>
      <c r="F12">
        <f>SUM(BS_Hist!F6:F11)-BS_Hist!F12</f>
        <v>0</v>
      </c>
      <c r="H12" t="str">
        <f>IF(AND(ABS(N(B12))&lt;=1,ABS(N(C12))&lt;=1,ABS(N(D12))&lt;=1,ABS(N(E12))&lt;=1,ABS(N(F12))&lt;=1),"PASS","FAIL")</f>
        <v>PASS</v>
      </c>
    </row>
    <row r="13">
      <c r="A13" t="s">
        <v>847</v>
      </c>
      <c r="B13">
        <f>BS_Hist!B12+SUM(BS_Hist!B14:B22)-BS_Hist!B23</f>
        <v>0</v>
      </c>
      <c r="C13">
        <f>BS_Hist!C12+SUM(BS_Hist!C14:C22)-BS_Hist!C23</f>
        <v>0</v>
      </c>
      <c r="D13">
        <f>BS_Hist!D12+SUM(BS_Hist!D14:D22)-BS_Hist!D23</f>
        <v>0</v>
      </c>
      <c r="E13">
        <f>BS_Hist!E12+SUM(BS_Hist!E14:E22)-BS_Hist!E23</f>
        <v>0</v>
      </c>
      <c r="F13">
        <f>BS_Hist!F12+SUM(BS_Hist!F14:F22)-BS_Hist!F23</f>
        <v>0</v>
      </c>
      <c r="H13" t="str">
        <f>IF(AND(ABS(N(B13))&lt;=1,ABS(N(C13))&lt;=1,ABS(N(D13))&lt;=1,ABS(N(E13))&lt;=1,ABS(N(F13))&lt;=1),"PASS","FAIL")</f>
        <v>PASS</v>
      </c>
    </row>
    <row r="14">
      <c r="A14" t="s">
        <v>848</v>
      </c>
      <c r="B14">
        <f>SUM(BS_Hist!B26:B31)-BS_Hist!B32</f>
        <v>0</v>
      </c>
      <c r="C14">
        <f>SUM(BS_Hist!C26:C31)-BS_Hist!C32</f>
        <v>0</v>
      </c>
      <c r="D14">
        <f>SUM(BS_Hist!D26:D31)-BS_Hist!D32</f>
        <v>0</v>
      </c>
      <c r="E14">
        <f>SUM(BS_Hist!E26:E31)-BS_Hist!E32</f>
        <v>0</v>
      </c>
      <c r="F14">
        <f>SUM(BS_Hist!F26:F31)-BS_Hist!F32</f>
        <v>0</v>
      </c>
      <c r="H14" t="str">
        <f>IF(AND(ABS(N(B14))&lt;=1,ABS(N(C14))&lt;=1,ABS(N(D14))&lt;=1,ABS(N(E14))&lt;=1,ABS(N(F14))&lt;=1),"PASS","FAIL")</f>
        <v>PASS</v>
      </c>
    </row>
    <row r="15">
      <c r="A15" t="s">
        <v>849</v>
      </c>
      <c r="B15">
        <f>SUM(BS_Hist!B34:B39)-BS_Hist!B40</f>
        <v>0</v>
      </c>
      <c r="C15">
        <f>SUM(BS_Hist!C34:C39)-BS_Hist!C40</f>
        <v>0</v>
      </c>
      <c r="D15">
        <f>SUM(BS_Hist!D34:D39)-BS_Hist!D40</f>
        <v>0</v>
      </c>
      <c r="E15">
        <f>SUM(BS_Hist!E34:E39)-BS_Hist!E40</f>
        <v>0</v>
      </c>
      <c r="F15">
        <f>SUM(BS_Hist!F34:F39)-BS_Hist!F40</f>
        <v>0</v>
      </c>
      <c r="H15" t="str">
        <f>IF(AND(ABS(N(B15))&lt;=1,ABS(N(C15))&lt;=1,ABS(N(D15))&lt;=1,ABS(N(E15))&lt;=1,ABS(N(F15))&lt;=1),"PASS","FAIL")</f>
        <v>PASS</v>
      </c>
    </row>
    <row r="16">
      <c r="A16" t="s">
        <v>850</v>
      </c>
      <c r="B16">
        <f>BS_Hist!B32+BS_Hist!B40-BS_Hist!B41</f>
        <v>0</v>
      </c>
      <c r="C16">
        <f>BS_Hist!C32+BS_Hist!C40-BS_Hist!C41</f>
        <v>0</v>
      </c>
      <c r="D16">
        <f>BS_Hist!D32+BS_Hist!D40-BS_Hist!D41</f>
        <v>0</v>
      </c>
      <c r="E16">
        <f>BS_Hist!E32+BS_Hist!E40-BS_Hist!E41</f>
        <v>0</v>
      </c>
      <c r="F16">
        <f>BS_Hist!F32+BS_Hist!F40-BS_Hist!F41</f>
        <v>0</v>
      </c>
      <c r="H16" t="str">
        <f>IF(AND(ABS(N(B16))&lt;=1,ABS(N(C16))&lt;=1,ABS(N(D16))&lt;=1,ABS(N(E16))&lt;=1,ABS(N(F16))&lt;=1),"PASS","FAIL")</f>
        <v>PASS</v>
      </c>
    </row>
    <row r="17">
      <c r="A17" t="s">
        <v>851</v>
      </c>
      <c r="C17">
        <f>BS_Hist!C44+N(BS_Hist!C46)+N(BS_Hist!C47)+BS_Hist!C48+BS_Hist!C49-BS_Hist!C50</f>
        <v>0</v>
      </c>
      <c r="D17">
        <f>BS_Hist!D44+N(BS_Hist!D46)+N(BS_Hist!D47)+BS_Hist!D48+BS_Hist!D49-BS_Hist!D50</f>
        <v>0</v>
      </c>
      <c r="E17">
        <f>BS_Hist!E44+N(BS_Hist!E46)+N(BS_Hist!E47)+BS_Hist!E48+BS_Hist!E49-BS_Hist!E50</f>
        <v>0</v>
      </c>
      <c r="F17">
        <f>BS_Hist!F44+N(BS_Hist!F46)+N(BS_Hist!F47)+BS_Hist!F48+BS_Hist!F49-BS_Hist!F50</f>
        <v>0</v>
      </c>
      <c r="H17" t="str">
        <f>IF(AND(ABS(N(C17))&lt;=1,ABS(N(D17))&lt;=1,ABS(N(E17))&lt;=1,ABS(N(F17))&lt;=1),"PASS","FAIL")</f>
        <v>PASS</v>
      </c>
    </row>
    <row r="18">
      <c r="A18" t="s">
        <v>852</v>
      </c>
      <c r="B18">
        <f>BS_Hist!B44+BS_Hist!B45+BS_Hist!B48+BS_Hist!B49-BS_Hist!B50</f>
        <v>0</v>
      </c>
      <c r="H18" t="str">
        <f>IF(AND(ABS(N(B18))&lt;=1),"PASS","FAIL")</f>
        <v>PASS</v>
      </c>
    </row>
    <row r="19">
      <c r="A19" t="s">
        <v>853</v>
      </c>
      <c r="B19">
        <f>BS_Hist!B41+BS_Hist!B50-BS_Hist!B51</f>
        <v>0</v>
      </c>
      <c r="C19">
        <f>BS_Hist!C41+BS_Hist!C50-BS_Hist!C51</f>
        <v>0</v>
      </c>
      <c r="D19">
        <f>BS_Hist!D41+BS_Hist!D50-BS_Hist!D51</f>
        <v>0</v>
      </c>
      <c r="E19">
        <f>BS_Hist!E41+BS_Hist!E50-BS_Hist!E51</f>
        <v>0</v>
      </c>
      <c r="F19">
        <f>BS_Hist!F41+BS_Hist!F50-BS_Hist!F51</f>
        <v>0</v>
      </c>
      <c r="H19" t="str">
        <f>IF(AND(ABS(N(B19))&lt;=1,ABS(N(C19))&lt;=1,ABS(N(D19))&lt;=1,ABS(N(E19))&lt;=1,ABS(N(F19))&lt;=1),"PASS","FAIL")</f>
        <v>PASS</v>
      </c>
    </row>
    <row r="20">
      <c r="A20" t="s">
        <v>854</v>
      </c>
      <c r="B20">
        <f>BS_Hist!B23-BS_Hist!B51</f>
        <v>0</v>
      </c>
      <c r="C20">
        <f>BS_Hist!C23-BS_Hist!C51</f>
        <v>0</v>
      </c>
      <c r="D20">
        <f>BS_Hist!D23-BS_Hist!D51</f>
        <v>0</v>
      </c>
      <c r="E20">
        <f>BS_Hist!E23-BS_Hist!E51</f>
        <v>0</v>
      </c>
      <c r="F20">
        <f>BS_Hist!F23-BS_Hist!F51</f>
        <v>0</v>
      </c>
      <c r="H20" t="str">
        <f>IF(AND(ABS(N(B20))&lt;=1,ABS(N(C20))&lt;=1,ABS(N(D20))&lt;=1,ABS(N(E20))&lt;=1,ABS(N(F20))&lt;=1),"PASS","FAIL")</f>
        <v>PASS</v>
      </c>
    </row>
    <row r="21">
      <c r="A21" t="s">
        <v>855</v>
      </c>
      <c r="B21">
        <f>CF_Hist!B6+CF_Hist!B24-CF_Hist!B25</f>
        <v>0</v>
      </c>
      <c r="C21">
        <f>CF_Hist!C6+CF_Hist!C24-CF_Hist!C25</f>
        <v>0</v>
      </c>
      <c r="H21" t="str">
        <f>IF(AND(ABS(N(B21))&lt;=1,ABS(N(C21))&lt;=1),"PASS","FAIL")</f>
        <v>PASS</v>
      </c>
    </row>
    <row r="22">
      <c r="A22" t="s">
        <v>856</v>
      </c>
      <c r="D22">
        <f>SUM(CF_Hist!D6:D23)-CF_Hist!D25</f>
        <v>0</v>
      </c>
      <c r="E22">
        <f>SUM(CF_Hist!E6:E23)-CF_Hist!E25</f>
        <v>0</v>
      </c>
      <c r="F22">
        <f>SUM(CF_Hist!F6:F23)-CF_Hist!F25</f>
        <v>0</v>
      </c>
      <c r="H22" t="str">
        <f>IF(AND(ABS(N(D22))&lt;=1,ABS(N(E22))&lt;=1,ABS(N(F22))&lt;=1),"PASS","FAIL")</f>
        <v>PASS</v>
      </c>
    </row>
    <row r="23">
      <c r="A23" t="s">
        <v>857</v>
      </c>
      <c r="D23">
        <f>SUM(CF_Hist!D28:D35)-CF_Hist!D36</f>
        <v>0</v>
      </c>
      <c r="E23">
        <f>SUM(CF_Hist!E28:E35)-CF_Hist!E36</f>
        <v>0</v>
      </c>
      <c r="F23">
        <f>SUM(CF_Hist!F28:F35)-CF_Hist!F36</f>
        <v>0</v>
      </c>
      <c r="H23" t="str">
        <f>IF(AND(ABS(N(D23))&lt;=1,ABS(N(E23))&lt;=1,ABS(N(F23))&lt;=1),"PASS","FAIL")</f>
        <v>PASS</v>
      </c>
    </row>
    <row r="24">
      <c r="A24" t="s">
        <v>858</v>
      </c>
      <c r="D24">
        <f>SUM(CF_Hist!D39:D45)-CF_Hist!D46</f>
        <v>0</v>
      </c>
      <c r="E24">
        <f>SUM(CF_Hist!E39:E45)-CF_Hist!E46</f>
        <v>0</v>
      </c>
      <c r="F24">
        <f>SUM(CF_Hist!F39:F45)-CF_Hist!F46</f>
        <v>0</v>
      </c>
      <c r="H24" t="str">
        <f>IF(AND(ABS(N(D24))&lt;=1,ABS(N(E24))&lt;=1,ABS(N(F24))&lt;=1),"PASS","FAIL")</f>
        <v>PASS</v>
      </c>
    </row>
    <row r="25">
      <c r="A25" t="s">
        <v>859</v>
      </c>
      <c r="B25">
        <f>CF_Hist!B25+CF_Hist!B36+CF_Hist!B46+CF_Hist!B48-CF_Hist!B49</f>
        <v>0</v>
      </c>
      <c r="C25">
        <f>CF_Hist!C25+CF_Hist!C36+CF_Hist!C46+CF_Hist!C48-CF_Hist!C49</f>
        <v>0</v>
      </c>
      <c r="D25">
        <f>CF_Hist!D25+CF_Hist!D36+CF_Hist!D46+CF_Hist!D48-CF_Hist!D49</f>
        <v>0</v>
      </c>
      <c r="E25">
        <f>CF_Hist!E25+CF_Hist!E36+CF_Hist!E46+CF_Hist!E48-CF_Hist!E49</f>
        <v>0</v>
      </c>
      <c r="F25">
        <f>CF_Hist!F25+CF_Hist!F36+CF_Hist!F46+CF_Hist!F48-CF_Hist!F49</f>
        <v>0</v>
      </c>
      <c r="H25" t="str">
        <f>IF(AND(ABS(N(B25))&lt;=1,ABS(N(C25))&lt;=1,ABS(N(D25))&lt;=1,ABS(N(E25))&lt;=1,ABS(N(F25))&lt;=1),"PASS","FAIL")</f>
        <v>PASS</v>
      </c>
    </row>
    <row r="26">
      <c r="A26" t="s">
        <v>860</v>
      </c>
      <c r="B26">
        <f>CF_Hist!B51+CF_Hist!B49-CF_Hist!B52</f>
        <v>0</v>
      </c>
      <c r="C26">
        <f>CF_Hist!C51+CF_Hist!C49-CF_Hist!C52</f>
        <v>0</v>
      </c>
      <c r="D26">
        <f>CF_Hist!D51+CF_Hist!D49-CF_Hist!D52</f>
        <v>0</v>
      </c>
      <c r="E26">
        <f>CF_Hist!E51+CF_Hist!E49-CF_Hist!E52</f>
        <v>0</v>
      </c>
      <c r="F26">
        <f>CF_Hist!F51+CF_Hist!F49-CF_Hist!F52</f>
        <v>0</v>
      </c>
      <c r="H26" t="str">
        <f>IF(AND(ABS(N(B26))&lt;=1,ABS(N(C26))&lt;=1,ABS(N(D26))&lt;=1,ABS(N(E26))&lt;=1,ABS(N(F26))&lt;=1),"PASS","FAIL")</f>
        <v>PASS</v>
      </c>
    </row>
    <row r="27">
      <c r="A27" t="s">
        <v>861</v>
      </c>
      <c r="C27">
        <f>CF_Hist!C51-CF_Hist!B52</f>
        <v>0</v>
      </c>
      <c r="D27">
        <f>CF_Hist!D51-CF_Hist!C52</f>
        <v>0</v>
      </c>
      <c r="E27">
        <f>CF_Hist!E51-CF_Hist!D52</f>
        <v>0</v>
      </c>
      <c r="F27">
        <f>CF_Hist!F51-CF_Hist!E52</f>
        <v>0</v>
      </c>
      <c r="H27" t="str">
        <f>IF(AND(ABS(N(C27))&lt;=1,ABS(N(D27))&lt;=1,ABS(N(E27))&lt;=1,ABS(N(F27))&lt;=1),"PASS","FAIL")</f>
        <v>PASS</v>
      </c>
    </row>
    <row r="28">
      <c r="A28" t="s">
        <v>862</v>
      </c>
      <c r="B28">
        <f>CF_Hist!B52-BS_Hist!B6</f>
        <v>72</v>
      </c>
      <c r="C28">
        <f>CF_Hist!C52-BS_Hist!C6</f>
        <v>167</v>
      </c>
      <c r="D28">
        <f>CF_Hist!D52-BS_Hist!D6</f>
        <v>172</v>
      </c>
      <c r="E28">
        <f>CF_Hist!E52-BS_Hist!E6</f>
        <v>304</v>
      </c>
      <c r="F28">
        <f>CF_Hist!F52-BS_Hist!F6</f>
        <v>378</v>
      </c>
      <c r="H28" t="str">
        <f>IF(AND(ABS(N(B28))&lt;=500,ABS(N(C28))&lt;=500,ABS(N(D28))&lt;=500,ABS(N(E28))&lt;=500,ABS(N(F28))&lt;=500),"INFO","INFO")</f>
        <v>INFO</v>
      </c>
    </row>
    <row r="29">
      <c r="A29" t="s">
        <v>863</v>
      </c>
      <c r="B29">
        <f>CF_Hist!B6-IS_Hist!B21</f>
        <v>0</v>
      </c>
      <c r="C29">
        <f>CF_Hist!C6-IS_Hist!C21</f>
        <v>0</v>
      </c>
      <c r="D29">
        <f>CF_Hist!D6-IS_Hist!D21</f>
        <v>0</v>
      </c>
      <c r="E29">
        <f>CF_Hist!E6-IS_Hist!E21</f>
        <v>0</v>
      </c>
      <c r="F29">
        <f>CF_Hist!F6-IS_Hist!F21</f>
        <v>0</v>
      </c>
      <c r="H29" t="str">
        <f>IF(AND(ABS(N(B29))&lt;=1,ABS(N(C29))&lt;=1,ABS(N(D29))&lt;=1,ABS(N(E29))&lt;=1,ABS(N(F29))&lt;=1),"PASS","FAIL")</f>
        <v>PASS</v>
      </c>
    </row>
    <row r="30">
      <c r="A30" t="s">
        <v>864</v>
      </c>
      <c r="D30">
        <f>SCE_Hist!D17-BS_Hist!D50</f>
        <v>0</v>
      </c>
      <c r="E30">
        <f>SCE_Hist!E29-BS_Hist!E50</f>
        <v>0</v>
      </c>
      <c r="F30">
        <f>SCE_Hist!F40-BS_Hist!F50</f>
        <v>0</v>
      </c>
      <c r="H30" t="str">
        <f>IF(AND(ABS(N(D30))&lt;=1,ABS(N(E30))&lt;=1,ABS(N(F30))&lt;=1),"PASS","FAIL")</f>
        <v>PASS</v>
      </c>
    </row>
    <row r="32">
      <c r="A32" t="s">
        <v>865</v>
      </c>
    </row>
    <row r="33">
      <c r="A33" t="s">
        <v>866</v>
      </c>
      <c r="B33">
        <f>Drivers_MDA!B12</f>
        <v>0</v>
      </c>
      <c r="C33">
        <f>Drivers_MDA!C12</f>
        <v>0</v>
      </c>
      <c r="D33">
        <f>Drivers_MDA!D12</f>
        <v>0</v>
      </c>
      <c r="E33">
        <f>Drivers_MDA!E12</f>
        <v>0</v>
      </c>
      <c r="F33">
        <f>Drivers_MDA!F12</f>
        <v>0</v>
      </c>
      <c r="H33" t="str">
        <f>IF(AND(ABS(N(B33))&lt;=0.5,ABS(N(C33))&lt;=0.5,ABS(N(D33))&lt;=0.5,ABS(N(E33))&lt;=0.5,ABS(N(F33))&lt;=0.5),"PASS","FAIL")</f>
        <v>PASS</v>
      </c>
      <c r="I33" t="s">
        <v>867</v>
      </c>
    </row>
    <row r="34">
      <c r="A34" t="s">
        <v>868</v>
      </c>
      <c r="B34">
        <f>Drivers_MDA!B13</f>
        <v>0</v>
      </c>
      <c r="C34">
        <f>Drivers_MDA!C13</f>
        <v>0</v>
      </c>
      <c r="D34">
        <f>Drivers_MDA!D13</f>
        <v>0</v>
      </c>
      <c r="E34">
        <f>Drivers_MDA!E13</f>
        <v>0</v>
      </c>
      <c r="F34">
        <f>Drivers_MDA!F13</f>
        <v>0</v>
      </c>
      <c r="H34" t="str">
        <f>IF(AND(ABS(N(B34))&lt;=0.5,ABS(N(C34))&lt;=0.5,ABS(N(D34))&lt;=0.5,ABS(N(E34))&lt;=0.5,ABS(N(F34))&lt;=0.5),"PASS","FAIL")</f>
        <v>PASS</v>
      </c>
      <c r="I34" t="s">
        <v>867</v>
      </c>
    </row>
    <row r="35">
      <c r="A35" t="s">
        <v>869</v>
      </c>
      <c r="C35">
        <f>Drivers_MDA!C26</f>
        <v>0</v>
      </c>
      <c r="D35">
        <f>Drivers_MDA!D26</f>
        <v>0</v>
      </c>
      <c r="E35">
        <f>Drivers_MDA!E26</f>
        <v>0</v>
      </c>
      <c r="F35">
        <f>Drivers_MDA!F26</f>
        <v>0</v>
      </c>
      <c r="H35" t="str">
        <f>IF(AND(ABS(N(C35))&lt;=0.5,ABS(N(D35))&lt;=0.5,ABS(N(E35))&lt;=0.5,ABS(N(F35))&lt;=0.5),"PASS","FAIL")</f>
        <v>PASS</v>
      </c>
      <c r="I35" t="s">
        <v>870</v>
      </c>
    </row>
    <row r="36">
      <c r="A36" t="s">
        <v>871</v>
      </c>
      <c r="B36">
        <f>Drivers_MDA!B25</f>
        <v>0</v>
      </c>
      <c r="C36">
        <f>Drivers_MDA!C25</f>
        <v>0</v>
      </c>
      <c r="D36">
        <f>Drivers_MDA!D25</f>
        <v>0</v>
      </c>
      <c r="E36">
        <f>Drivers_MDA!E25</f>
        <v>0</v>
      </c>
      <c r="F36">
        <f>Drivers_MDA!F25</f>
        <v>0</v>
      </c>
      <c r="H36" t="str">
        <f>IF(AND(ABS(N(B36))&lt;=0.5,ABS(N(C36))&lt;=0.5,ABS(N(D36))&lt;=0.5,ABS(N(E36))&lt;=0.5,ABS(N(F36))&lt;=0.5),"PASS","FAIL")</f>
        <v>PASS</v>
      </c>
      <c r="I36" t="s">
        <v>867</v>
      </c>
    </row>
    <row r="37">
      <c r="A37" t="s">
        <v>872</v>
      </c>
      <c r="B37">
        <f>Drivers_MDA!B46</f>
        <v>0</v>
      </c>
      <c r="C37">
        <f>Drivers_MDA!C46</f>
        <v>0</v>
      </c>
      <c r="D37">
        <f>Drivers_MDA!D46</f>
        <v>0</v>
      </c>
      <c r="E37">
        <f>Drivers_MDA!E46</f>
        <v>0</v>
      </c>
      <c r="F37">
        <f>Drivers_MDA!F46</f>
        <v>0</v>
      </c>
      <c r="H37" t="str">
        <f>IF(AND(ABS(N(B37))&lt;=0.5,ABS(N(C37))&lt;=0.5,ABS(N(D37))&lt;=0.5,ABS(N(E37))&lt;=0.5,ABS(N(F37))&lt;=0.5),"PASS","FAIL")</f>
        <v>PASS</v>
      </c>
      <c r="I37" t="s">
        <v>867</v>
      </c>
    </row>
    <row r="38">
      <c r="A38" t="s">
        <v>873</v>
      </c>
      <c r="B38">
        <f>Drivers_MDA!B47</f>
        <v>0</v>
      </c>
      <c r="C38">
        <f>Drivers_MDA!C47</f>
        <v>0</v>
      </c>
      <c r="D38">
        <f>Drivers_MDA!D47</f>
        <v>0</v>
      </c>
      <c r="E38">
        <f>Drivers_MDA!E47</f>
        <v>0</v>
      </c>
      <c r="F38">
        <f>Drivers_MDA!F47</f>
        <v>0</v>
      </c>
      <c r="H38" t="str">
        <f>IF(AND(ABS(N(B38))&lt;=0.5,ABS(N(C38))&lt;=0.5,ABS(N(D38))&lt;=0.5,ABS(N(E38))&lt;=0.5,ABS(N(F38))&lt;=0.5),"PASS","FAIL")</f>
        <v>PASS</v>
      </c>
      <c r="I38" t="s">
        <v>867</v>
      </c>
    </row>
    <row r="39">
      <c r="A39" t="s">
        <v>874</v>
      </c>
      <c r="B39">
        <f>Drivers_MDA!B48</f>
        <v>0</v>
      </c>
      <c r="C39">
        <f>Drivers_MDA!C48</f>
        <v>0</v>
      </c>
      <c r="D39">
        <f>Drivers_MDA!D48</f>
        <v>0</v>
      </c>
      <c r="E39">
        <f>Drivers_MDA!E48</f>
        <v>0</v>
      </c>
      <c r="F39">
        <f>Drivers_MDA!F48</f>
        <v>0</v>
      </c>
      <c r="H39" t="str">
        <f>IF(AND(ABS(N(B39))&lt;=0.5,ABS(N(C39))&lt;=0.5,ABS(N(D39))&lt;=0.5,ABS(N(E39))&lt;=0.5,ABS(N(F39))&lt;=0.5),"PASS","FAIL")</f>
        <v>PASS</v>
      </c>
      <c r="I39" t="s">
        <v>867</v>
      </c>
    </row>
    <row r="40">
      <c r="A40" t="s">
        <v>875</v>
      </c>
      <c r="B40">
        <f>Drivers_MDA!B62</f>
        <v>0</v>
      </c>
      <c r="C40">
        <f>Drivers_MDA!C62</f>
        <v>0</v>
      </c>
      <c r="D40">
        <f>Drivers_MDA!D62</f>
        <v>0</v>
      </c>
      <c r="E40">
        <f>Drivers_MDA!E62</f>
        <v>0</v>
      </c>
      <c r="F40">
        <f>Drivers_MDA!F62</f>
        <v>0</v>
      </c>
      <c r="H40" t="str">
        <f>IF(AND(ABS(N(B40))&lt;=0.5,ABS(N(C40))&lt;=0.5,ABS(N(D40))&lt;=0.5,ABS(N(E40))&lt;=0.5,ABS(N(F40))&lt;=0.5),"PASS","FAIL")</f>
        <v>PASS</v>
      </c>
      <c r="I40" t="s">
        <v>867</v>
      </c>
    </row>
    <row r="41">
      <c r="A41" t="s">
        <v>876</v>
      </c>
      <c r="B41">
        <f>Drivers_MDA!B66</f>
        <v>0</v>
      </c>
      <c r="C41">
        <f>Drivers_MDA!C66</f>
        <v>0</v>
      </c>
      <c r="H41" t="str">
        <f>IF(AND(ABS(N(B41))&lt;=0.5,ABS(N(C41))&lt;=0.5),"PASS","FAIL")</f>
        <v>PASS</v>
      </c>
      <c r="I41" t="s">
        <v>877</v>
      </c>
    </row>
    <row r="42">
      <c r="A42" t="s">
        <v>878</v>
      </c>
      <c r="D42">
        <f>ABS(Drivers_MDA!D14)+ABS(Drivers_MDA!D34)+ABS(Drivers_MDA!D35)</f>
        <v>0</v>
      </c>
      <c r="E42">
        <f>ABS(Drivers_MDA!E14)+ABS(Drivers_MDA!E34)+ABS(Drivers_MDA!E35)</f>
        <v>0</v>
      </c>
      <c r="F42">
        <f>ABS(Drivers_MDA!F14)+ABS(Drivers_MDA!F34)+ABS(Drivers_MDA!F35)</f>
        <v>0</v>
      </c>
      <c r="H42" t="str">
        <f>IF(AND(ABS(N(D42))&lt;=0.001,ABS(N(E42))&lt;=0.001,ABS(N(F42))&lt;=0.001),"PASS","FAIL")</f>
        <v>PASS</v>
      </c>
      <c r="I42" t="s">
        <v>879</v>
      </c>
    </row>
    <row r="43">
      <c r="A43" t="s">
        <v>880</v>
      </c>
      <c r="D43" s="61">
        <f>ABS(Drivers_MDA!D49)+ABS(Drivers_MDA!D72)</f>
        <v>0</v>
      </c>
      <c r="E43" s="61">
        <f>ABS(Drivers_MDA!E49)+ABS(Drivers_MDA!E72)</f>
        <v>0</v>
      </c>
      <c r="F43" s="61">
        <f>ABS(Drivers_MDA!F49)+ABS(Drivers_MDA!F72)</f>
        <v>0</v>
      </c>
      <c r="H43" s="61" t="str">
        <f>IF(AND(ABS(N(D43))&lt;=0.5,ABS(N(E43))&lt;=0.5,ABS(N(F43))&lt;=0.5),"PASS","FAIL")</f>
        <v>PASS</v>
      </c>
      <c r="I43" t="s">
        <v>879</v>
      </c>
    </row>
    <row r="44">
      <c r="A44" t="s">
        <v>881</v>
      </c>
      <c r="D44">
        <f>Drivers_MDA!D75</f>
        <v>0</v>
      </c>
      <c r="E44">
        <f>Drivers_MDA!E75</f>
        <v>0</v>
      </c>
      <c r="F44">
        <f>Drivers_MDA!F75</f>
        <v>0</v>
      </c>
      <c r="H44" t="str">
        <f>IF(AND(ABS(N(D44))&lt;=0.5,ABS(N(E44))&lt;=0.5,ABS(N(F44))&lt;=0.5),"PASS","FAIL")</f>
        <v>PASS</v>
      </c>
      <c r="I44" t="s">
        <v>879</v>
      </c>
    </row>
    <row r="45">
      <c r="A45" t="s">
        <v>882</v>
      </c>
      <c r="D45">
        <f>ABS(Drivers_MDA!D81)+ABS(Drivers_MDA!D84)</f>
        <v>0</v>
      </c>
      <c r="E45">
        <f>ABS(Drivers_MDA!E81)+ABS(Drivers_MDA!E84)</f>
        <v>0</v>
      </c>
      <c r="F45">
        <f>ABS(Drivers_MDA!F81)+ABS(Drivers_MDA!F84)</f>
        <v>0</v>
      </c>
      <c r="H45" t="str">
        <f>IF(AND(ABS(N(D45))&lt;=0.5,ABS(N(E45))&lt;=0.5,ABS(N(F45))&lt;=0.5),"PASS","FAIL")</f>
        <v>PASS</v>
      </c>
      <c r="I45" t="s">
        <v>879</v>
      </c>
    </row>
    <row r="46">
      <c r="A46" t="s">
        <v>883</v>
      </c>
      <c r="D46" s="61">
        <f>ABS(Drivers_MDA!D94)+ABS(Drivers_MDA!D95)</f>
        <v>0</v>
      </c>
      <c r="E46" s="61">
        <f>ABS(Drivers_MDA!E94)+ABS(Drivers_MDA!E95)+ABS(Drivers_MDA!E96)</f>
        <v>0</v>
      </c>
      <c r="F46" s="61">
        <f>ABS(Drivers_MDA!F94)+ABS(Drivers_MDA!F95)+ABS(Drivers_MDA!F96)</f>
        <v>0</v>
      </c>
      <c r="H46" s="61" t="str">
        <f>IF(AND(ABS(N(D46))&lt;=0.5,ABS(N(E46))&lt;=0.5,ABS(N(F46))&lt;=0.5),"PASS","FAIL")</f>
        <v>PASS</v>
      </c>
      <c r="I46" t="s">
        <v>879</v>
      </c>
    </row>
    <row r="47">
      <c r="A47" t="s">
        <v>884</v>
      </c>
      <c r="D47">
        <f>ABS(Drivers_MDA!D103)+ABS(Drivers_MDA!D105)</f>
        <v>0</v>
      </c>
      <c r="E47">
        <f>ABS(Drivers_MDA!E103)+ABS(Drivers_MDA!E105)</f>
        <v>0</v>
      </c>
      <c r="F47">
        <f>ABS(Drivers_MDA!F103)+ABS(Drivers_MDA!F105)</f>
        <v>0</v>
      </c>
      <c r="H47" t="str">
        <f>IF(AND(ABS(N(D47))&lt;=0.5,ABS(N(E47))&lt;=0.5,ABS(N(F47))&lt;=0.5),"PASS","FAIL")</f>
        <v>PASS</v>
      </c>
      <c r="I47" t="s">
        <v>879</v>
      </c>
    </row>
    <row r="48">
      <c r="A48" t="s">
        <v>885</v>
      </c>
      <c r="F48">
        <f>ABS(Drivers_MDA!B120)+ABS(Drivers_MDA!C120)</f>
        <v>0</v>
      </c>
      <c r="H48" t="str">
        <f>IF(ABS(N(F48))&lt;=0.5,"PASS","FAIL")</f>
        <v>PASS</v>
      </c>
      <c r="I48" t="s">
        <v>886</v>
      </c>
    </row>
    <row r="49">
      <c r="A49" t="s">
        <v>887</v>
      </c>
      <c r="F49" s="61">
        <f>ABS(Drivers_MDA!B121)</f>
        <v>0</v>
      </c>
      <c r="H49" s="61" t="str">
        <f>IF(ABS(N(F49))&lt;=0.5,"PASS","FAIL")</f>
        <v>PASS</v>
      </c>
      <c r="I49" t="s">
        <v>886</v>
      </c>
    </row>
    <row r="50">
      <c r="A50" t="s">
        <v>888</v>
      </c>
      <c r="D50" s="61">
        <f>Drivers_MDA!D129</f>
        <v>0</v>
      </c>
      <c r="E50" s="61">
        <f>Drivers_MDA!E129</f>
        <v>0</v>
      </c>
      <c r="F50" s="61">
        <f>Drivers_MDA!F129</f>
        <v>0</v>
      </c>
      <c r="H50" s="61" t="str">
        <f>IF(AND(ABS(N(D50))&lt;=0.5,ABS(N(E50))&lt;=0.5,ABS(N(F50))&lt;=0.5),"PASS","FAIL")</f>
        <v>PASS</v>
      </c>
      <c r="I50" t="s">
        <v>879</v>
      </c>
    </row>
    <row r="51">
      <c r="A51" t="s">
        <v>889</v>
      </c>
      <c r="F51">
        <f>ABS(Drivers_MDA!F148)+ABS(Drivers_MDA!F149)+ABS(Drivers_MDA!F150)+ABS(Drivers_MDA!F151)+ABS(Drivers_MDA!F152)+ABS(Drivers_MDA!F153)+ABS(Drivers_MDA!F154)+ABS(Drivers_MDA!F155)+ABS(Drivers_MDA!F156)</f>
        <v>0</v>
      </c>
      <c r="H51" t="str">
        <f>IF(ABS(N(F51))&lt;=0.001,"PASS","FAIL")</f>
        <v>PASS</v>
      </c>
      <c r="I51" t="s">
        <v>886</v>
      </c>
    </row>
    <row r="52">
      <c r="A52" t="s">
        <v>890</v>
      </c>
      <c r="F52">
        <f>IF(ABS(Market_Package!B23-(Market_Package!B7*Market_Package!B8+Market_Package!B28-Market_Package!B27))&gt;0.5,1,0)+IF(Market_Package!B23&lt;=0,1,0)+IF(ABS(Market_Package!B23/Market_Package!B92-1)&gt;0.25,1,0)</f>
        <v>0</v>
      </c>
      <c r="H52" t="str">
        <f>IF(N(F52)=0,"PASS","FAIL")</f>
        <v>PASS</v>
      </c>
      <c r="I52" t="s">
        <v>886</v>
      </c>
    </row>
    <row r="53">
      <c r="A53" t="s">
        <v>891</v>
      </c>
      <c r="F53" s="61">
        <f>IF(ABS(Market_Package!B14-Market_Package!B27)&gt;0.5,1,0)+IF(Market_Package!B14&lt;=0,1,0)+IF(ABS(Market_Package!B14-Historical!E13)&gt;0.5,1,0)</f>
        <v>0</v>
      </c>
      <c r="H53" s="61" t="str">
        <f>IF(N(F53)=0,"PASS","FAIL")</f>
        <v>PASS</v>
      </c>
      <c r="I53" t="s">
        <v>886</v>
      </c>
    </row>
    <row r="54">
      <c r="A54" t="s">
        <v>892</v>
      </c>
      <c r="F54" s="61">
        <f>IF(ABS((Market_Package!B20-Market_Package!B19)-BS_Hist!F27)&gt;0.5,1,0)+IF(ABS(Market_Package!B19-Market_Package!B28)&gt;0.5,1,0)+IF(ABS(Market_Package!B19/Market_Package!B91-1)&gt;0.25,1,0)</f>
        <v>0</v>
      </c>
      <c r="H54" s="61" t="str">
        <f>IF(N(F54)=0,"PASS","FAIL")</f>
        <v>PASS</v>
      </c>
      <c r="I54" t="s">
        <v>886</v>
      </c>
    </row>
    <row r="55">
      <c r="A55" t="s">
        <v>893</v>
      </c>
      <c r="F55">
        <f>IF(ABS(Market_Package!B37-(-IS_Hist!F20/IS_Hist!F19))&gt;0.0000001,1,0)+IF(OR(Market_Package!B31&lt;0.005,Market_Package!B31&gt;0.12),1,0)+IF(OR(Market_Package!B33&lt;0.1,Market_Package!B33&gt;2.5),1,0)+IF(OR(Market_Package!B35&lt;0.01,Market_Package!B35&gt;0.15),1,0)+IF(OR(Market_Package!B45&lt;0.03,Market_Package!B45&gt;0.2),1,0)</f>
        <v>0</v>
      </c>
      <c r="H55" t="str">
        <f>IF(N(F55)=0,"PASS","FAIL")</f>
        <v>PASS</v>
      </c>
      <c r="I55" t="s">
        <v>886</v>
      </c>
    </row>
    <row r="56">
      <c r="A56" t="s">
        <v>894</v>
      </c>
      <c r="F56" s="61">
        <f>IF(ABS(Market_Package!B11-Market_Package!B7*Market_Package!B8)&gt;0.5,1,0)+IF(OR(Market_Package!B7&lt;50,Market_Package!B7&gt;600),1,0)+IF(ABS(Market_Package!B8/Historical!E17-1)&gt;0.08,1,0)</f>
        <v>0</v>
      </c>
      <c r="H56" s="61" t="str">
        <f>IF(N(F56)=0,"PASS","FAIL")</f>
        <v>PASS</v>
      </c>
      <c r="I56" t="s">
        <v>886</v>
      </c>
    </row>
    <row r="57">
      <c r="A57" t="s">
        <v>895</v>
      </c>
      <c r="F57" s="60">
        <f>Market_Package!B97+Market_Package!B98+Market_Package!B99</f>
        <v>1</v>
      </c>
      <c r="H57" s="60" t="str">
        <f>IF(N(F57)=0,"PASS","FAIL")</f>
        <v>FAIL</v>
      </c>
      <c r="I57" t="s">
        <v>886</v>
      </c>
    </row>
    <row r="58">
      <c r="A58" t="s">
        <v>896</v>
      </c>
      <c r="F58" s="62">
        <f>IF(ABS(Assumptions!D8-Drivers_MDA!F29)&gt;0.0005,1,0)+IF(ABS(Assumptions!D9-(Drivers_MDA!F31/Drivers_MDA!E31-1))&gt;0.005,1,0)+IF(ABS(Assumptions!D13-Drivers_MDA!F71)&gt;0.01,1,0)</f>
        <v>0</v>
      </c>
      <c r="H58" s="62" t="str">
        <f>IF(N(F58)=0,"PASS","FAIL")</f>
        <v>PASS</v>
      </c>
      <c r="I58" t="s">
        <v>886</v>
      </c>
    </row>
    <row r="59">
      <c r="A59" t="s">
        <v>897</v>
      </c>
      <c r="F59">
        <f>IF(OR(Drivers_MDA!F29&lt;=0,Drivers_MDA!F29&gt;0.05),1,0)+IF(OR(Drivers_MDA!F31&lt;20,Drivers_MDA!F31&gt;80),1,0)+IF(OR(Drivers_MDA!F33&lt;100,Drivers_MDA!F33&gt;250),1,0)+IF(OR(Drivers_MDA!F32&lt;20,Drivers_MDA!F32&gt;60),1,0)+IF(OR(Drivers_MDA!F134&lt;30000,Drivers_MDA!F134&gt;120000),1,0)+IF(OR(Drivers_MDA!B73&lt;=0,Drivers_MDA!B73&gt;30000),1,0)+IF(OR(Drivers_MDA!F99&lt;0.02,Drivers_MDA!F99&gt;0.09),1,0)</f>
        <v>0</v>
      </c>
      <c r="H59" t="str">
        <f>IF(N(F59)=0,"PASS","FAIL")</f>
        <v>PASS</v>
      </c>
      <c r="I59" t="s">
        <v>886</v>
      </c>
    </row>
  </sheetData>
</worksheet>
</file>

<file path=xl/worksheets/sheet17.xml><?xml version="1.0" encoding="utf-8"?>
<worksheet xmlns="http://schemas.openxmlformats.org/spreadsheetml/2006/main" xmlns:r="http://schemas.openxmlformats.org/officeDocument/2006/relationships">
  <dimension ref="A1:D21"/>
  <sheetViews>
    <sheetView workbookViewId="0"/>
  </sheetViews>
  <sheetFormatPr defaultColWidth="8.375" defaultRowHeight="15"/>
  <sheetData>
    <row r="1">
      <c r="A1" t="s">
        <v>898</v>
      </c>
    </row>
    <row r="3">
      <c r="A3" t="s">
        <v>899</v>
      </c>
      <c r="B3" t="s">
        <v>900</v>
      </c>
      <c r="C3" t="s">
        <v>901</v>
      </c>
      <c r="D3" t="s">
        <v>902</v>
      </c>
    </row>
    <row r="4">
      <c r="A4" t="s">
        <v>903</v>
      </c>
      <c r="B4" t="s">
        <v>904</v>
      </c>
      <c r="C4" t="s">
        <v>905</v>
      </c>
      <c r="D4" t="s">
        <v>906</v>
      </c>
    </row>
    <row r="5">
      <c r="A5" t="s">
        <v>907</v>
      </c>
      <c r="B5" t="s">
        <v>908</v>
      </c>
      <c r="C5" t="s">
        <v>909</v>
      </c>
      <c r="D5" t="s">
        <v>910</v>
      </c>
    </row>
    <row r="6">
      <c r="A6" t="s">
        <v>911</v>
      </c>
      <c r="B6" t="s">
        <v>912</v>
      </c>
      <c r="C6" t="s">
        <v>913</v>
      </c>
      <c r="D6" t="s">
        <v>914</v>
      </c>
    </row>
    <row r="8">
      <c r="A8" t="s">
        <v>915</v>
      </c>
    </row>
    <row r="9">
      <c r="A9" t="s">
        <v>916</v>
      </c>
    </row>
    <row r="10">
      <c r="A10" t="s">
        <v>917</v>
      </c>
    </row>
    <row r="11">
      <c r="A11" t="s">
        <v>918</v>
      </c>
    </row>
    <row r="12">
      <c r="A12" t="s">
        <v>919</v>
      </c>
    </row>
    <row r="14">
      <c r="A14" t="s">
        <v>920</v>
      </c>
    </row>
    <row r="15">
      <c r="A15" t="s">
        <v>921</v>
      </c>
    </row>
    <row r="17">
      <c r="A17" t="s">
        <v>922</v>
      </c>
      <c r="B17" t="s">
        <v>923</v>
      </c>
    </row>
    <row r="18">
      <c r="A18" t="s">
        <v>924</v>
      </c>
      <c r="B18" t="s">
        <v>925</v>
      </c>
    </row>
    <row r="19">
      <c r="A19" t="s">
        <v>926</v>
      </c>
      <c r="B19" t="s">
        <v>927</v>
      </c>
    </row>
    <row r="20">
      <c r="A20" t="s">
        <v>928</v>
      </c>
      <c r="B20" t="s">
        <v>929</v>
      </c>
    </row>
    <row r="21">
      <c r="A21" t="s">
        <v>930</v>
      </c>
      <c r="B21" t="s">
        <v>931</v>
      </c>
    </row>
  </sheetData>
</worksheet>
</file>

<file path=xl/worksheets/sheet18.xml><?xml version="1.0" encoding="utf-8"?>
<worksheet xmlns="http://schemas.openxmlformats.org/spreadsheetml/2006/main" xmlns:r="http://schemas.openxmlformats.org/officeDocument/2006/relationships">
  <dimension ref="A1:I164"/>
  <sheetViews>
    <sheetView workbookViewId="0"/>
  </sheetViews>
  <sheetFormatPr defaultColWidth="8.375" defaultRowHeight="15"/>
  <sheetData>
    <row r="1">
      <c r="A1" t="s">
        <v>932</v>
      </c>
    </row>
    <row r="2">
      <c r="A2" t="s">
        <v>933</v>
      </c>
    </row>
    <row r="4">
      <c r="A4" t="s">
        <v>934</v>
      </c>
      <c r="B4" t="s">
        <v>669</v>
      </c>
      <c r="C4" t="s">
        <v>670</v>
      </c>
      <c r="D4" t="s">
        <v>671</v>
      </c>
      <c r="E4" t="s">
        <v>672</v>
      </c>
      <c r="F4" t="s">
        <v>673</v>
      </c>
      <c r="G4" t="s">
        <v>935</v>
      </c>
      <c r="H4" t="s">
        <v>936</v>
      </c>
      <c r="I4" t="s">
        <v>937</v>
      </c>
    </row>
    <row r="6">
      <c r="A6" t="s">
        <v>938</v>
      </c>
    </row>
    <row r="7">
      <c r="A7" t="s">
        <v>545</v>
      </c>
      <c r="B7">
        <v>70262</v>
      </c>
      <c r="C7">
        <v>72834</v>
      </c>
      <c r="D7">
        <v>75936</v>
      </c>
      <c r="E7">
        <v>79013</v>
      </c>
      <c r="F7">
        <v>85594</v>
      </c>
      <c r="G7" t="s">
        <v>939</v>
      </c>
      <c r="H7" t="s">
        <v>940</v>
      </c>
      <c r="I7" t="s">
        <v>941</v>
      </c>
    </row>
    <row r="8">
      <c r="A8" t="s">
        <v>942</v>
      </c>
      <c r="B8">
        <v>17401</v>
      </c>
      <c r="C8">
        <v>19398</v>
      </c>
      <c r="D8">
        <v>22116</v>
      </c>
      <c r="E8">
        <v>25105</v>
      </c>
      <c r="F8">
        <v>30851</v>
      </c>
      <c r="G8" t="s">
        <v>939</v>
      </c>
      <c r="H8" t="s">
        <v>943</v>
      </c>
      <c r="I8" t="s">
        <v>941</v>
      </c>
    </row>
    <row r="9">
      <c r="A9" t="s">
        <v>944</v>
      </c>
      <c r="B9">
        <v>87663</v>
      </c>
      <c r="C9">
        <v>92232</v>
      </c>
      <c r="D9">
        <v>98052</v>
      </c>
      <c r="E9">
        <v>104118</v>
      </c>
      <c r="F9">
        <v>116445</v>
      </c>
      <c r="G9" t="s">
        <v>939</v>
      </c>
      <c r="H9" t="s">
        <v>945</v>
      </c>
      <c r="I9" t="s">
        <v>941</v>
      </c>
    </row>
    <row r="10">
      <c r="A10" t="s">
        <v>946</v>
      </c>
      <c r="B10">
        <v>21056</v>
      </c>
      <c r="C10">
        <v>21366</v>
      </c>
      <c r="D10">
        <v>21648</v>
      </c>
      <c r="E10">
        <v>25410</v>
      </c>
      <c r="F10">
        <v>25943</v>
      </c>
      <c r="G10" t="s">
        <v>939</v>
      </c>
      <c r="H10" t="s">
        <v>947</v>
      </c>
      <c r="I10" t="s">
        <v>941</v>
      </c>
    </row>
    <row r="11">
      <c r="A11" t="s">
        <v>948</v>
      </c>
      <c r="B11">
        <v>108719</v>
      </c>
      <c r="C11">
        <v>113598</v>
      </c>
      <c r="D11">
        <v>119700</v>
      </c>
      <c r="E11">
        <v>129528</v>
      </c>
      <c r="F11">
        <v>142388</v>
      </c>
      <c r="G11" t="s">
        <v>939</v>
      </c>
      <c r="H11" t="s">
        <v>945</v>
      </c>
      <c r="I11" t="s">
        <v>941</v>
      </c>
    </row>
    <row r="12">
      <c r="A12" t="s">
        <v>949</v>
      </c>
      <c r="B12">
        <f>B7+B8-B9</f>
        <v>0</v>
      </c>
      <c r="C12">
        <f>C7+C8-C9</f>
        <v>0</v>
      </c>
      <c r="D12">
        <f>D7+D8-D9</f>
        <v>0</v>
      </c>
      <c r="E12">
        <f>E7+E8-E9</f>
        <v>0</v>
      </c>
      <c r="F12">
        <f>F7+F8-F9</f>
        <v>0</v>
      </c>
      <c r="G12" t="s">
        <v>939</v>
      </c>
      <c r="H12" t="s">
        <v>950</v>
      </c>
      <c r="I12" t="s">
        <v>951</v>
      </c>
    </row>
    <row r="13">
      <c r="A13" t="s">
        <v>952</v>
      </c>
      <c r="B13">
        <f>B9+B10-B11</f>
        <v>0</v>
      </c>
      <c r="C13">
        <f>C9+C10-C11</f>
        <v>0</v>
      </c>
      <c r="D13">
        <f>D9+D10-D11</f>
        <v>0</v>
      </c>
      <c r="E13">
        <f>E9+E10-E11</f>
        <v>0</v>
      </c>
      <c r="F13">
        <f>F9+F10-F11</f>
        <v>0</v>
      </c>
      <c r="G13" t="s">
        <v>939</v>
      </c>
      <c r="H13" t="s">
        <v>953</v>
      </c>
      <c r="I13" t="s">
        <v>951</v>
      </c>
    </row>
    <row r="14">
      <c r="A14" t="s">
        <v>954</v>
      </c>
      <c r="D14" s="64">
        <f>D7/1000-Sector_KPIs!C5</f>
        <v>0</v>
      </c>
      <c r="E14" s="64">
        <f>E7/1000-Sector_KPIs!D5</f>
        <v>0</v>
      </c>
      <c r="F14" s="64">
        <f>F7/1000-Sector_KPIs!E5</f>
        <v>0</v>
      </c>
      <c r="G14" t="s">
        <v>546</v>
      </c>
      <c r="H14" t="s">
        <v>955</v>
      </c>
      <c r="I14" t="s">
        <v>951</v>
      </c>
    </row>
    <row r="15">
      <c r="A15" t="s">
        <v>956</v>
      </c>
      <c r="E15">
        <v>5742</v>
      </c>
      <c r="F15">
        <v>7602</v>
      </c>
      <c r="G15" t="s">
        <v>939</v>
      </c>
      <c r="H15" t="s">
        <v>957</v>
      </c>
      <c r="I15" t="s">
        <v>958</v>
      </c>
    </row>
    <row r="16">
      <c r="A16" t="s">
        <v>959</v>
      </c>
      <c r="F16">
        <v>997</v>
      </c>
      <c r="G16" t="s">
        <v>939</v>
      </c>
      <c r="H16" t="s">
        <v>960</v>
      </c>
      <c r="I16" t="s">
        <v>961</v>
      </c>
    </row>
    <row r="18">
      <c r="A18" t="s">
        <v>962</v>
      </c>
    </row>
    <row r="19">
      <c r="A19" t="s">
        <v>963</v>
      </c>
      <c r="B19">
        <v>2917</v>
      </c>
      <c r="C19">
        <v>3093</v>
      </c>
      <c r="D19">
        <v>3082</v>
      </c>
      <c r="E19">
        <v>3077</v>
      </c>
      <c r="F19">
        <v>3294</v>
      </c>
      <c r="G19" t="s">
        <v>939</v>
      </c>
      <c r="H19" t="s">
        <v>964</v>
      </c>
      <c r="I19" t="s">
        <v>941</v>
      </c>
    </row>
    <row r="20">
      <c r="A20" t="s">
        <v>965</v>
      </c>
      <c r="B20">
        <v>2578</v>
      </c>
      <c r="C20">
        <v>3326</v>
      </c>
      <c r="D20">
        <v>2568</v>
      </c>
      <c r="E20">
        <v>2989</v>
      </c>
      <c r="F20">
        <v>4504</v>
      </c>
      <c r="G20" t="s">
        <v>939</v>
      </c>
      <c r="H20" t="s">
        <v>945</v>
      </c>
      <c r="I20" t="s">
        <v>941</v>
      </c>
    </row>
    <row r="21">
      <c r="A21" t="s">
        <v>966</v>
      </c>
      <c r="B21">
        <v>5495</v>
      </c>
      <c r="C21">
        <v>6419</v>
      </c>
      <c r="D21">
        <v>5650</v>
      </c>
      <c r="E21">
        <v>6066</v>
      </c>
      <c r="F21">
        <v>7798</v>
      </c>
      <c r="G21" t="s">
        <v>939</v>
      </c>
      <c r="H21" t="s">
        <v>945</v>
      </c>
      <c r="I21" t="s">
        <v>941</v>
      </c>
    </row>
    <row r="22">
      <c r="A22" t="s">
        <v>967</v>
      </c>
      <c r="B22">
        <v>342</v>
      </c>
      <c r="C22">
        <v>338</v>
      </c>
      <c r="D22">
        <v>282</v>
      </c>
      <c r="E22">
        <v>258</v>
      </c>
      <c r="F22">
        <v>184</v>
      </c>
      <c r="G22" t="s">
        <v>939</v>
      </c>
      <c r="H22" t="s">
        <v>945</v>
      </c>
      <c r="I22" t="s">
        <v>941</v>
      </c>
    </row>
    <row r="23">
      <c r="A23" t="s">
        <v>968</v>
      </c>
      <c r="B23">
        <v>5837</v>
      </c>
      <c r="C23">
        <v>6757</v>
      </c>
      <c r="D23">
        <v>5932</v>
      </c>
      <c r="E23">
        <v>6324</v>
      </c>
      <c r="F23">
        <v>7982</v>
      </c>
      <c r="G23" t="s">
        <v>939</v>
      </c>
      <c r="H23" t="s">
        <v>945</v>
      </c>
      <c r="I23" t="s">
        <v>941</v>
      </c>
    </row>
    <row r="24">
      <c r="A24" t="s">
        <v>969</v>
      </c>
      <c r="B24">
        <v>818</v>
      </c>
      <c r="C24">
        <v>-1878</v>
      </c>
      <c r="D24">
        <v>170</v>
      </c>
      <c r="E24">
        <v>3504</v>
      </c>
      <c r="F24">
        <v>4878</v>
      </c>
      <c r="G24" t="s">
        <v>939</v>
      </c>
      <c r="H24" t="s">
        <v>970</v>
      </c>
      <c r="I24" t="s">
        <v>941</v>
      </c>
    </row>
    <row r="25">
      <c r="A25" t="s">
        <v>971</v>
      </c>
      <c r="B25">
        <f>B19+B20+B22-B23</f>
        <v>0</v>
      </c>
      <c r="C25">
        <f>C19+C20+C22-C23</f>
        <v>0</v>
      </c>
      <c r="D25">
        <f>D19+D20+D22-D23</f>
        <v>0</v>
      </c>
      <c r="E25">
        <f>E19+E20+E22-E23</f>
        <v>0</v>
      </c>
      <c r="F25">
        <f>F19+F20+F22-F23</f>
        <v>0</v>
      </c>
      <c r="G25" t="s">
        <v>939</v>
      </c>
      <c r="H25" t="s">
        <v>953</v>
      </c>
      <c r="I25" t="s">
        <v>951</v>
      </c>
    </row>
    <row r="26">
      <c r="A26" t="s">
        <v>972</v>
      </c>
      <c r="C26">
        <f>B11+C23+C24-C11</f>
        <v>0</v>
      </c>
      <c r="D26">
        <f>C11+D23+D24-D11</f>
        <v>0</v>
      </c>
      <c r="E26">
        <f>D11+E23+E24-E11</f>
        <v>0</v>
      </c>
      <c r="F26">
        <f>E11+F23+F24-F11</f>
        <v>0</v>
      </c>
      <c r="G26" t="s">
        <v>939</v>
      </c>
      <c r="H26" t="s">
        <v>973</v>
      </c>
      <c r="I26" t="s">
        <v>951</v>
      </c>
    </row>
    <row r="28">
      <c r="A28" t="s">
        <v>974</v>
      </c>
    </row>
    <row r="29">
      <c r="A29" t="s">
        <v>447</v>
      </c>
      <c r="B29">
        <v>0.0098</v>
      </c>
      <c r="C29">
        <v>0.0088</v>
      </c>
      <c r="D29">
        <v>0.0087</v>
      </c>
      <c r="E29">
        <v>0.0086</v>
      </c>
      <c r="F29">
        <v>0.0093</v>
      </c>
      <c r="G29" t="s">
        <v>975</v>
      </c>
      <c r="H29" t="s">
        <v>976</v>
      </c>
      <c r="I29" t="s">
        <v>941</v>
      </c>
    </row>
    <row r="30">
      <c r="A30" t="s">
        <v>977</v>
      </c>
      <c r="B30">
        <v>0.0283</v>
      </c>
      <c r="C30">
        <v>0.0277</v>
      </c>
      <c r="D30">
        <v>0.0276</v>
      </c>
      <c r="E30">
        <v>0.0273</v>
      </c>
      <c r="F30">
        <v>0.0272</v>
      </c>
      <c r="G30" t="s">
        <v>975</v>
      </c>
      <c r="H30" t="s">
        <v>945</v>
      </c>
      <c r="I30" t="s">
        <v>941</v>
      </c>
    </row>
    <row r="31">
      <c r="A31" t="s">
        <v>549</v>
      </c>
      <c r="B31">
        <v>47.75</v>
      </c>
      <c r="C31">
        <v>48.78</v>
      </c>
      <c r="D31">
        <v>48.83</v>
      </c>
      <c r="E31">
        <v>49.35</v>
      </c>
      <c r="F31">
        <v>50.37</v>
      </c>
      <c r="G31" t="s">
        <v>978</v>
      </c>
      <c r="H31" t="s">
        <v>979</v>
      </c>
      <c r="I31" t="s">
        <v>941</v>
      </c>
    </row>
    <row r="32">
      <c r="A32" t="s">
        <v>980</v>
      </c>
      <c r="B32">
        <v>38.79</v>
      </c>
      <c r="C32">
        <v>38.76</v>
      </c>
      <c r="D32">
        <v>37.92</v>
      </c>
      <c r="E32">
        <v>36.06</v>
      </c>
      <c r="F32">
        <v>34.14</v>
      </c>
      <c r="G32" t="s">
        <v>978</v>
      </c>
      <c r="H32" t="s">
        <v>945</v>
      </c>
      <c r="I32" t="s">
        <v>941</v>
      </c>
    </row>
    <row r="33">
      <c r="A33" t="s">
        <v>981</v>
      </c>
      <c r="B33">
        <v>134.03</v>
      </c>
      <c r="C33">
        <v>137.43</v>
      </c>
      <c r="D33">
        <v>139.27</v>
      </c>
      <c r="E33">
        <v>143.85</v>
      </c>
      <c r="F33">
        <v>148.97</v>
      </c>
      <c r="G33" t="s">
        <v>978</v>
      </c>
      <c r="H33" t="s">
        <v>982</v>
      </c>
      <c r="I33" t="s">
        <v>941</v>
      </c>
    </row>
    <row r="34">
      <c r="A34" t="s">
        <v>983</v>
      </c>
      <c r="D34" s="62">
        <f>D29-Sector_KPIs!C7</f>
        <v>0</v>
      </c>
      <c r="E34" s="62">
        <f>E29-Sector_KPIs!D7</f>
        <v>0</v>
      </c>
      <c r="F34" s="62">
        <f>F29-Sector_KPIs!E7</f>
        <v>0</v>
      </c>
      <c r="G34" t="s">
        <v>975</v>
      </c>
      <c r="H34" t="s">
        <v>984</v>
      </c>
      <c r="I34" t="s">
        <v>951</v>
      </c>
    </row>
    <row r="35">
      <c r="A35" t="s">
        <v>985</v>
      </c>
      <c r="D35" s="63">
        <f>D31-Sector_KPIs!C9</f>
        <v>0</v>
      </c>
      <c r="E35" s="63">
        <f>E31-Sector_KPIs!D9</f>
        <v>0</v>
      </c>
      <c r="F35" s="63">
        <f>F31-Sector_KPIs!E9</f>
        <v>0</v>
      </c>
      <c r="G35" t="s">
        <v>978</v>
      </c>
      <c r="H35" t="s">
        <v>986</v>
      </c>
      <c r="I35" t="s">
        <v>951</v>
      </c>
    </row>
    <row r="36">
      <c r="A36" t="s">
        <v>987</v>
      </c>
      <c r="B36">
        <f>B39/(B33*12)</f>
        <v>26.462980924668603</v>
      </c>
      <c r="C36">
        <f>C39/(C33*12)</f>
        <v>27.843872031822258</v>
      </c>
      <c r="D36">
        <f>D39/(D33*12)</f>
        <v>29.13525286613532</v>
      </c>
      <c r="E36">
        <f>E39/(E33*12)</f>
        <v>30.320936160352222</v>
      </c>
      <c r="F36">
        <f>F39/(F33*12)</f>
        <v>32.40697232104898</v>
      </c>
      <c r="G36" t="s">
        <v>988</v>
      </c>
      <c r="H36" t="s">
        <v>989</v>
      </c>
      <c r="I36" t="s">
        <v>990</v>
      </c>
    </row>
    <row r="38">
      <c r="A38" t="s">
        <v>991</v>
      </c>
    </row>
    <row r="39">
      <c r="A39" t="s">
        <v>992</v>
      </c>
      <c r="B39">
        <v>42562</v>
      </c>
      <c r="C39">
        <v>45919</v>
      </c>
      <c r="D39">
        <v>48692</v>
      </c>
      <c r="E39">
        <v>52340</v>
      </c>
      <c r="F39">
        <v>57932</v>
      </c>
      <c r="G39" t="s">
        <v>993</v>
      </c>
      <c r="H39" t="s">
        <v>994</v>
      </c>
      <c r="I39" t="s">
        <v>941</v>
      </c>
    </row>
    <row r="40">
      <c r="A40" t="s">
        <v>995</v>
      </c>
      <c r="B40">
        <v>9733</v>
      </c>
      <c r="C40">
        <v>9857</v>
      </c>
      <c r="D40">
        <v>9767</v>
      </c>
      <c r="E40">
        <v>10399</v>
      </c>
      <c r="F40">
        <v>10497</v>
      </c>
      <c r="G40" t="s">
        <v>993</v>
      </c>
      <c r="H40" t="s">
        <v>945</v>
      </c>
      <c r="I40" t="s">
        <v>941</v>
      </c>
    </row>
    <row r="41">
      <c r="A41" t="s">
        <v>996</v>
      </c>
      <c r="B41">
        <v>6074</v>
      </c>
      <c r="C41">
        <v>5547</v>
      </c>
      <c r="D41">
        <v>4782</v>
      </c>
      <c r="E41">
        <v>3439</v>
      </c>
      <c r="F41">
        <v>2877</v>
      </c>
      <c r="G41" t="s">
        <v>993</v>
      </c>
      <c r="H41" t="s">
        <v>945</v>
      </c>
      <c r="I41" t="s">
        <v>941</v>
      </c>
    </row>
    <row r="42">
      <c r="A42" t="s">
        <v>997</v>
      </c>
      <c r="B42">
        <v>58369</v>
      </c>
      <c r="C42">
        <v>61323</v>
      </c>
      <c r="D42">
        <v>63241</v>
      </c>
      <c r="E42">
        <v>66178</v>
      </c>
      <c r="F42">
        <v>71306</v>
      </c>
      <c r="G42" t="s">
        <v>993</v>
      </c>
      <c r="H42" t="s">
        <v>945</v>
      </c>
      <c r="I42" t="s">
        <v>941</v>
      </c>
    </row>
    <row r="43">
      <c r="A43" t="s">
        <v>998</v>
      </c>
      <c r="B43">
        <v>20727</v>
      </c>
      <c r="C43">
        <v>17130</v>
      </c>
      <c r="D43">
        <v>14138</v>
      </c>
      <c r="E43">
        <v>14263</v>
      </c>
      <c r="F43">
        <v>15972</v>
      </c>
      <c r="G43" t="s">
        <v>993</v>
      </c>
      <c r="H43" t="s">
        <v>945</v>
      </c>
      <c r="I43" t="s">
        <v>941</v>
      </c>
    </row>
    <row r="44">
      <c r="A44" t="s">
        <v>999</v>
      </c>
      <c r="B44">
        <v>1022</v>
      </c>
      <c r="C44">
        <v>1118</v>
      </c>
      <c r="D44">
        <v>1179</v>
      </c>
      <c r="E44">
        <v>959</v>
      </c>
      <c r="F44">
        <v>1031</v>
      </c>
      <c r="G44" t="s">
        <v>993</v>
      </c>
      <c r="H44" t="s">
        <v>945</v>
      </c>
      <c r="I44" t="s">
        <v>941</v>
      </c>
    </row>
    <row r="45">
      <c r="A45" t="s">
        <v>1000</v>
      </c>
      <c r="B45">
        <v>80118</v>
      </c>
      <c r="C45">
        <v>79571</v>
      </c>
      <c r="D45">
        <v>78558</v>
      </c>
      <c r="E45">
        <v>81400</v>
      </c>
      <c r="F45">
        <v>88309</v>
      </c>
      <c r="G45" t="s">
        <v>993</v>
      </c>
      <c r="H45" t="s">
        <v>945</v>
      </c>
      <c r="I45" t="s">
        <v>941</v>
      </c>
    </row>
    <row r="46">
      <c r="A46" t="s">
        <v>1001</v>
      </c>
      <c r="B46">
        <f>B39+B40+B41-B42</f>
        <v>0</v>
      </c>
      <c r="C46">
        <f>C39+C40+C41-C42</f>
        <v>0</v>
      </c>
      <c r="D46">
        <f>D39+D40+D41-D42</f>
        <v>0</v>
      </c>
      <c r="E46">
        <f>E39+E40+E41-E42</f>
        <v>0</v>
      </c>
      <c r="F46">
        <f>F39+F40+F41-F42</f>
        <v>0</v>
      </c>
      <c r="G46" t="s">
        <v>993</v>
      </c>
      <c r="H46" t="s">
        <v>1002</v>
      </c>
      <c r="I46" t="s">
        <v>951</v>
      </c>
    </row>
    <row r="47">
      <c r="A47" t="s">
        <v>1003</v>
      </c>
      <c r="B47">
        <f>B42+B43+B44-B45</f>
        <v>0</v>
      </c>
      <c r="C47">
        <f>C42+C43+C44-C45</f>
        <v>0</v>
      </c>
      <c r="D47">
        <f>D42+D43+D44-D45</f>
        <v>0</v>
      </c>
      <c r="E47">
        <f>E42+E43+E44-E45</f>
        <v>0</v>
      </c>
      <c r="F47">
        <f>F42+F43+F44-F45</f>
        <v>0</v>
      </c>
      <c r="G47" t="s">
        <v>993</v>
      </c>
      <c r="H47" t="s">
        <v>1002</v>
      </c>
      <c r="I47" t="s">
        <v>951</v>
      </c>
    </row>
    <row r="48">
      <c r="A48" t="s">
        <v>1004</v>
      </c>
      <c r="B48">
        <f>B45-IS_Hist!B5</f>
        <v>0</v>
      </c>
      <c r="C48">
        <f>C45-IS_Hist!C5</f>
        <v>0</v>
      </c>
      <c r="D48">
        <f>D45-IS_Hist!D5</f>
        <v>0</v>
      </c>
      <c r="E48">
        <f>E45-IS_Hist!E5</f>
        <v>0</v>
      </c>
      <c r="F48">
        <f>F45-IS_Hist!F5</f>
        <v>0</v>
      </c>
      <c r="G48" t="s">
        <v>993</v>
      </c>
      <c r="H48" t="s">
        <v>1005</v>
      </c>
      <c r="I48" t="s">
        <v>951</v>
      </c>
    </row>
    <row r="49">
      <c r="A49" t="s">
        <v>1006</v>
      </c>
      <c r="D49" s="61">
        <f>ABS(D39-Sector_KPIs!C11)+ABS(D42-Sector_KPIs!C14)+ABS(D43+D44-Sector_KPIs!C15)</f>
        <v>0</v>
      </c>
      <c r="E49" s="61">
        <f>ABS(E39-Sector_KPIs!D11)+ABS(E42-Sector_KPIs!D14)+ABS(E43+E44-Sector_KPIs!D15)</f>
        <v>0</v>
      </c>
      <c r="F49" s="61">
        <f>ABS(F39-Sector_KPIs!E11)+ABS(F42-Sector_KPIs!E14)+ABS(F43+F44-Sector_KPIs!E15)</f>
        <v>0</v>
      </c>
      <c r="G49" t="s">
        <v>993</v>
      </c>
      <c r="H49" t="s">
        <v>1007</v>
      </c>
      <c r="I49" t="s">
        <v>951</v>
      </c>
    </row>
    <row r="50">
      <c r="A50" t="s">
        <v>1008</v>
      </c>
      <c r="B50">
        <f>B42/B45</f>
        <v>0.7285379065877831</v>
      </c>
      <c r="C50">
        <f>C42/C45</f>
        <v>0.7706702190496537</v>
      </c>
      <c r="D50">
        <f>D42/D45</f>
        <v>0.8050230403014333</v>
      </c>
      <c r="E50">
        <f>E42/E45</f>
        <v>0.812997542997543</v>
      </c>
      <c r="F50">
        <f>F42/F45</f>
        <v>0.8074601682727695</v>
      </c>
      <c r="G50" t="s">
        <v>232</v>
      </c>
      <c r="I50" t="s">
        <v>1009</v>
      </c>
    </row>
    <row r="51">
      <c r="A51" t="s">
        <v>1010</v>
      </c>
      <c r="B51" t="s">
        <v>1011</v>
      </c>
      <c r="C51">
        <f>C45/B45-1</f>
        <v>-0.006827429541426344</v>
      </c>
      <c r="D51">
        <f>D45/C45-1</f>
        <v>-0.012730768747407972</v>
      </c>
      <c r="E51">
        <f>E45/D45-1</f>
        <v>0.036177092084829</v>
      </c>
      <c r="F51">
        <f>F45/E45-1</f>
        <v>0.0848771498771499</v>
      </c>
      <c r="G51" t="s">
        <v>232</v>
      </c>
      <c r="I51" t="s">
        <v>1009</v>
      </c>
    </row>
    <row r="52">
      <c r="A52" t="s">
        <v>1012</v>
      </c>
      <c r="B52" t="s">
        <v>1011</v>
      </c>
      <c r="C52">
        <f>C42/B42-1</f>
        <v>0.050609056177080225</v>
      </c>
      <c r="D52">
        <f>D42/C42-1</f>
        <v>0.03127700862645333</v>
      </c>
      <c r="E52">
        <f>E42/D42-1</f>
        <v>0.04644139086984711</v>
      </c>
      <c r="F52">
        <f>F42/E42-1</f>
        <v>0.0774879869443017</v>
      </c>
      <c r="G52" t="s">
        <v>232</v>
      </c>
      <c r="I52" t="s">
        <v>1009</v>
      </c>
    </row>
    <row r="54">
      <c r="A54" t="s">
        <v>1013</v>
      </c>
    </row>
    <row r="55">
      <c r="A55" t="s">
        <v>1014</v>
      </c>
      <c r="B55">
        <v>13934</v>
      </c>
      <c r="C55">
        <v>14666</v>
      </c>
      <c r="D55">
        <v>11655</v>
      </c>
      <c r="E55">
        <v>10771</v>
      </c>
      <c r="F55">
        <v>11497</v>
      </c>
      <c r="G55" t="s">
        <v>993</v>
      </c>
      <c r="H55" t="s">
        <v>1015</v>
      </c>
      <c r="I55" t="s">
        <v>941</v>
      </c>
    </row>
    <row r="56">
      <c r="A56" t="s">
        <v>1016</v>
      </c>
      <c r="B56">
        <v>22671</v>
      </c>
      <c r="C56">
        <v>21540</v>
      </c>
      <c r="D56">
        <v>18533</v>
      </c>
      <c r="E56">
        <v>18882</v>
      </c>
      <c r="F56">
        <v>21277</v>
      </c>
      <c r="G56" t="s">
        <v>993</v>
      </c>
      <c r="H56" t="s">
        <v>945</v>
      </c>
      <c r="I56" t="s">
        <v>941</v>
      </c>
    </row>
    <row r="57">
      <c r="A57" t="s">
        <v>677</v>
      </c>
      <c r="B57">
        <v>20238</v>
      </c>
      <c r="C57">
        <v>21607</v>
      </c>
      <c r="D57">
        <f>IS_Hist!D7</f>
        <v>21311</v>
      </c>
      <c r="E57">
        <f>IS_Hist!E7</f>
        <v>20818</v>
      </c>
      <c r="F57">
        <f>IS_Hist!F7</f>
        <v>23470</v>
      </c>
      <c r="G57" t="s">
        <v>993</v>
      </c>
      <c r="H57" t="s">
        <v>1017</v>
      </c>
      <c r="I57" t="s">
        <v>1018</v>
      </c>
    </row>
    <row r="58">
      <c r="A58" t="s">
        <v>679</v>
      </c>
      <c r="B58">
        <v>0</v>
      </c>
      <c r="C58">
        <v>477</v>
      </c>
      <c r="D58">
        <v>0</v>
      </c>
      <c r="E58">
        <v>0</v>
      </c>
      <c r="F58">
        <v>278</v>
      </c>
      <c r="G58" t="s">
        <v>993</v>
      </c>
      <c r="H58" t="s">
        <v>945</v>
      </c>
      <c r="I58" t="s">
        <v>941</v>
      </c>
    </row>
    <row r="59">
      <c r="A59" t="s">
        <v>1019</v>
      </c>
      <c r="B59">
        <v>0</v>
      </c>
      <c r="C59">
        <v>1087</v>
      </c>
      <c r="D59">
        <v>-25</v>
      </c>
      <c r="E59">
        <v>0</v>
      </c>
      <c r="F59">
        <v>0</v>
      </c>
      <c r="G59" t="s">
        <v>993</v>
      </c>
      <c r="H59" t="s">
        <v>1020</v>
      </c>
      <c r="I59" t="s">
        <v>941</v>
      </c>
    </row>
    <row r="60">
      <c r="A60" t="s">
        <v>680</v>
      </c>
      <c r="B60">
        <v>16383</v>
      </c>
      <c r="C60">
        <v>13651</v>
      </c>
      <c r="D60">
        <v>12818</v>
      </c>
      <c r="E60">
        <v>12919</v>
      </c>
      <c r="F60">
        <v>13508</v>
      </c>
      <c r="G60" t="s">
        <v>993</v>
      </c>
      <c r="H60" t="s">
        <v>945</v>
      </c>
      <c r="I60" t="s">
        <v>941</v>
      </c>
    </row>
    <row r="61">
      <c r="A61" t="s">
        <v>1021</v>
      </c>
      <c r="B61">
        <f>SUM(B55:B60)</f>
        <v>73226</v>
      </c>
      <c r="C61">
        <f>SUM(C55:C60)</f>
        <v>73028</v>
      </c>
      <c r="D61">
        <f>SUM(D55:D60)</f>
        <v>64292</v>
      </c>
      <c r="E61">
        <f>SUM(E55:E60)</f>
        <v>63390</v>
      </c>
      <c r="F61">
        <f>SUM(F55:F60)</f>
        <v>70030</v>
      </c>
      <c r="G61" t="s">
        <v>993</v>
      </c>
      <c r="I61" t="s">
        <v>1009</v>
      </c>
    </row>
    <row r="62">
      <c r="A62" t="s">
        <v>1022</v>
      </c>
      <c r="B62">
        <f>B61-IS_Hist!B11</f>
        <v>0</v>
      </c>
      <c r="C62">
        <f>C61-IS_Hist!C11</f>
        <v>0</v>
      </c>
      <c r="D62">
        <f>D61-IS_Hist!D13</f>
        <v>0</v>
      </c>
      <c r="E62">
        <f>E61-IS_Hist!E13</f>
        <v>0</v>
      </c>
      <c r="F62">
        <f>F61-IS_Hist!F13</f>
        <v>0</v>
      </c>
      <c r="G62" t="s">
        <v>993</v>
      </c>
      <c r="H62" t="s">
        <v>1023</v>
      </c>
      <c r="I62" t="s">
        <v>951</v>
      </c>
    </row>
    <row r="63">
      <c r="A63" t="s">
        <v>1024</v>
      </c>
      <c r="D63">
        <f>D55+D56-IS_Hist!D12</f>
        <v>50</v>
      </c>
      <c r="E63">
        <f>E55+E56-IS_Hist!E12</f>
        <v>0</v>
      </c>
      <c r="F63">
        <f>F55+F56-IS_Hist!F12</f>
        <v>0</v>
      </c>
      <c r="G63" t="s">
        <v>993</v>
      </c>
      <c r="H63" t="s">
        <v>1025</v>
      </c>
      <c r="I63" t="s">
        <v>1026</v>
      </c>
    </row>
    <row r="64">
      <c r="A64" t="s">
        <v>686</v>
      </c>
      <c r="B64">
        <v>-3342</v>
      </c>
      <c r="C64">
        <v>-3364</v>
      </c>
      <c r="D64">
        <f>IS_Hist!D16</f>
        <v>-3335</v>
      </c>
      <c r="E64">
        <f>IS_Hist!E16</f>
        <v>-3411</v>
      </c>
      <c r="F64">
        <f>IS_Hist!F16</f>
        <v>-3774</v>
      </c>
      <c r="G64" t="s">
        <v>993</v>
      </c>
      <c r="H64" t="s">
        <v>1027</v>
      </c>
      <c r="I64" t="s">
        <v>1018</v>
      </c>
    </row>
    <row r="65">
      <c r="A65" t="s">
        <v>687</v>
      </c>
      <c r="B65">
        <v>-199</v>
      </c>
      <c r="C65">
        <v>-33</v>
      </c>
      <c r="D65">
        <f>IS_Hist!D17</f>
        <v>68</v>
      </c>
      <c r="E65">
        <f>IS_Hist!E17</f>
        <v>113</v>
      </c>
      <c r="F65">
        <f>IS_Hist!F17</f>
        <v>-224</v>
      </c>
      <c r="G65" t="s">
        <v>993</v>
      </c>
      <c r="H65" t="s">
        <v>1028</v>
      </c>
      <c r="I65" t="s">
        <v>1018</v>
      </c>
    </row>
    <row r="66">
      <c r="A66" t="s">
        <v>1029</v>
      </c>
      <c r="B66">
        <f>B64+B65-IS_Hist!B18</f>
        <v>0</v>
      </c>
      <c r="C66">
        <f>C64+C65-IS_Hist!C18</f>
        <v>0</v>
      </c>
      <c r="G66" t="s">
        <v>993</v>
      </c>
      <c r="H66" t="s">
        <v>1030</v>
      </c>
      <c r="I66" t="s">
        <v>951</v>
      </c>
    </row>
    <row r="68">
      <c r="A68" t="s">
        <v>1031</v>
      </c>
    </row>
    <row r="69">
      <c r="A69" t="s">
        <v>1032</v>
      </c>
      <c r="B69">
        <v>26924</v>
      </c>
      <c r="C69">
        <v>27821</v>
      </c>
      <c r="D69">
        <v>29428</v>
      </c>
      <c r="E69">
        <v>31864</v>
      </c>
      <c r="F69">
        <v>33937</v>
      </c>
      <c r="G69" t="s">
        <v>993</v>
      </c>
      <c r="H69" t="s">
        <v>1033</v>
      </c>
      <c r="I69" t="s">
        <v>941</v>
      </c>
    </row>
    <row r="70">
      <c r="A70" t="s">
        <v>1034</v>
      </c>
      <c r="B70">
        <v>23576</v>
      </c>
      <c r="C70">
        <v>26391</v>
      </c>
      <c r="D70">
        <v>29116</v>
      </c>
      <c r="E70">
        <v>31771</v>
      </c>
      <c r="F70">
        <v>33924</v>
      </c>
      <c r="G70" t="s">
        <v>993</v>
      </c>
      <c r="H70" t="s">
        <v>1035</v>
      </c>
      <c r="I70" t="s">
        <v>941</v>
      </c>
    </row>
    <row r="71">
      <c r="A71" t="s">
        <v>1036</v>
      </c>
      <c r="B71">
        <f>B69/B42</f>
        <v>0.4612722506810122</v>
      </c>
      <c r="C71">
        <f>C69/C42</f>
        <v>0.45367969603574515</v>
      </c>
      <c r="D71">
        <f>D69/D42</f>
        <v>0.46533103524612196</v>
      </c>
      <c r="E71">
        <f>E69/E42</f>
        <v>0.4814893166913476</v>
      </c>
      <c r="F71">
        <f>F69/F42</f>
        <v>0.4759347039519816</v>
      </c>
      <c r="G71" t="s">
        <v>232</v>
      </c>
      <c r="I71" t="s">
        <v>1009</v>
      </c>
    </row>
    <row r="72">
      <c r="A72" t="s">
        <v>1037</v>
      </c>
      <c r="D72" s="61">
        <f>D69-Sector_KPIs!C18</f>
        <v>0</v>
      </c>
      <c r="E72" s="61">
        <f>E69-Sector_KPIs!D18</f>
        <v>0</v>
      </c>
      <c r="F72" s="61">
        <f>F69-Sector_KPIs!E18</f>
        <v>0</v>
      </c>
      <c r="G72" t="s">
        <v>993</v>
      </c>
      <c r="H72" t="s">
        <v>1038</v>
      </c>
      <c r="I72" t="s">
        <v>951</v>
      </c>
    </row>
    <row r="73">
      <c r="A73" t="s">
        <v>1039</v>
      </c>
      <c r="B73">
        <v>5646</v>
      </c>
      <c r="C73">
        <v>7656</v>
      </c>
      <c r="D73">
        <v>13586</v>
      </c>
      <c r="E73">
        <v>17032</v>
      </c>
      <c r="F73">
        <v>17995</v>
      </c>
      <c r="G73" t="s">
        <v>993</v>
      </c>
      <c r="H73" t="s">
        <v>1040</v>
      </c>
      <c r="I73" t="s">
        <v>941</v>
      </c>
    </row>
    <row r="74">
      <c r="A74" t="s">
        <v>1041</v>
      </c>
      <c r="D74">
        <f>CF_Hist!D25+CF_Hist!D28+N(CF_Hist!D31)+N(CF_Hist!D32)</f>
        <v>13586</v>
      </c>
      <c r="E74">
        <f>CF_Hist!E25+CF_Hist!E28+N(CF_Hist!E31)+N(CF_Hist!E32)</f>
        <v>17032</v>
      </c>
      <c r="F74">
        <f>CF_Hist!F25+CF_Hist!F28+N(CF_Hist!F31)+N(CF_Hist!F32)</f>
        <v>17995</v>
      </c>
      <c r="G74" t="s">
        <v>993</v>
      </c>
      <c r="H74" t="s">
        <v>1042</v>
      </c>
      <c r="I74" t="s">
        <v>1009</v>
      </c>
    </row>
    <row r="75">
      <c r="A75" t="s">
        <v>1043</v>
      </c>
      <c r="D75">
        <f>D73-D74</f>
        <v>0</v>
      </c>
      <c r="E75">
        <f>E73-E74</f>
        <v>0</v>
      </c>
      <c r="F75">
        <f>F73-F74</f>
        <v>0</v>
      </c>
      <c r="G75" t="s">
        <v>993</v>
      </c>
      <c r="H75" t="s">
        <v>1044</v>
      </c>
      <c r="I75" t="s">
        <v>951</v>
      </c>
    </row>
    <row r="76">
      <c r="A76" t="s">
        <v>1045</v>
      </c>
      <c r="B76">
        <v>12326</v>
      </c>
      <c r="C76">
        <v>13970</v>
      </c>
      <c r="D76">
        <f>-CF_Hist!D28</f>
        <v>9801</v>
      </c>
      <c r="E76">
        <f>-CF_Hist!E28</f>
        <v>8840</v>
      </c>
      <c r="F76">
        <f>-CF_Hist!F28</f>
        <v>9955</v>
      </c>
      <c r="G76" t="s">
        <v>993</v>
      </c>
      <c r="H76" t="s">
        <v>1046</v>
      </c>
      <c r="I76" t="s">
        <v>1018</v>
      </c>
    </row>
    <row r="77">
      <c r="A77" t="s">
        <v>1047</v>
      </c>
      <c r="B77">
        <f>B76/B45</f>
        <v>0.15384807409071619</v>
      </c>
      <c r="C77">
        <f>C76/C45</f>
        <v>0.1755664752233854</v>
      </c>
      <c r="D77">
        <f>D76/D45</f>
        <v>0.12476132284426793</v>
      </c>
      <c r="E77">
        <f>E76/E45</f>
        <v>0.10859950859950859</v>
      </c>
      <c r="F77">
        <f>F76/F45</f>
        <v>0.11272916690258071</v>
      </c>
      <c r="G77" t="s">
        <v>232</v>
      </c>
      <c r="I77" t="s">
        <v>1009</v>
      </c>
    </row>
    <row r="79">
      <c r="A79" t="s">
        <v>1048</v>
      </c>
    </row>
    <row r="80">
      <c r="A80" t="s">
        <v>1049</v>
      </c>
      <c r="B80">
        <v>92606</v>
      </c>
      <c r="C80">
        <v>95798</v>
      </c>
      <c r="D80">
        <v>96707</v>
      </c>
      <c r="E80">
        <v>100558</v>
      </c>
      <c r="F80">
        <v>98032</v>
      </c>
      <c r="G80" t="s">
        <v>993</v>
      </c>
      <c r="H80" t="s">
        <v>1050</v>
      </c>
      <c r="I80" t="s">
        <v>941</v>
      </c>
    </row>
    <row r="81">
      <c r="A81" t="s">
        <v>1051</v>
      </c>
      <c r="D81">
        <f>D80-BS_Hist!D18</f>
        <v>0</v>
      </c>
      <c r="E81">
        <f>E80-BS_Hist!E18</f>
        <v>0</v>
      </c>
      <c r="F81">
        <f>F80-BS_Hist!F18</f>
        <v>0</v>
      </c>
      <c r="G81" t="s">
        <v>993</v>
      </c>
      <c r="H81" t="s">
        <v>1052</v>
      </c>
      <c r="I81" t="s">
        <v>951</v>
      </c>
    </row>
    <row r="82">
      <c r="A82" t="s">
        <v>1053</v>
      </c>
      <c r="B82">
        <f>BS_Hist!B20-B80</f>
        <v>9383</v>
      </c>
      <c r="C82">
        <f>BS_Hist!C20-C80</f>
        <v>9930</v>
      </c>
      <c r="G82" t="s">
        <v>993</v>
      </c>
      <c r="H82" t="s">
        <v>1054</v>
      </c>
      <c r="I82" t="s">
        <v>1009</v>
      </c>
    </row>
    <row r="83">
      <c r="A83" t="s">
        <v>1055</v>
      </c>
      <c r="B83">
        <v>9366</v>
      </c>
      <c r="C83">
        <v>3331</v>
      </c>
      <c r="D83">
        <v>1010</v>
      </c>
      <c r="E83">
        <v>3471</v>
      </c>
      <c r="F83">
        <v>2568</v>
      </c>
      <c r="G83" t="s">
        <v>993</v>
      </c>
      <c r="H83" t="s">
        <v>1056</v>
      </c>
      <c r="I83" t="s">
        <v>941</v>
      </c>
    </row>
    <row r="84">
      <c r="A84" t="s">
        <v>1057</v>
      </c>
      <c r="D84">
        <f>D83+CF_Hist!D29</f>
        <v>0</v>
      </c>
      <c r="E84">
        <f>E83+CF_Hist!E29</f>
        <v>0</v>
      </c>
      <c r="F84">
        <f>F83+CF_Hist!F29</f>
        <v>0</v>
      </c>
      <c r="G84" t="s">
        <v>993</v>
      </c>
      <c r="H84" t="s">
        <v>1058</v>
      </c>
      <c r="I84" t="s">
        <v>951</v>
      </c>
    </row>
    <row r="85">
      <c r="A85" t="s">
        <v>1059</v>
      </c>
      <c r="F85">
        <v>380</v>
      </c>
      <c r="G85" t="s">
        <v>993</v>
      </c>
      <c r="H85" t="s">
        <v>1060</v>
      </c>
      <c r="I85" t="s">
        <v>961</v>
      </c>
    </row>
    <row r="87">
      <c r="A87" t="s">
        <v>1061</v>
      </c>
    </row>
    <row r="88">
      <c r="A88" t="s">
        <v>1062</v>
      </c>
    </row>
    <row r="89">
      <c r="A89" t="s">
        <v>1063</v>
      </c>
      <c r="D89">
        <v>75018</v>
      </c>
      <c r="E89">
        <v>78265</v>
      </c>
      <c r="F89">
        <v>86282</v>
      </c>
      <c r="G89" t="s">
        <v>993</v>
      </c>
      <c r="H89" t="s">
        <v>1064</v>
      </c>
      <c r="I89" t="s">
        <v>941</v>
      </c>
    </row>
    <row r="90">
      <c r="A90" t="s">
        <v>1065</v>
      </c>
      <c r="D90">
        <v>3619</v>
      </c>
      <c r="E90">
        <v>4068</v>
      </c>
      <c r="F90">
        <v>5135</v>
      </c>
      <c r="G90" t="s">
        <v>993</v>
      </c>
      <c r="H90" t="s">
        <v>1066</v>
      </c>
      <c r="I90" t="s">
        <v>941</v>
      </c>
    </row>
    <row r="91">
      <c r="A91" t="s">
        <v>1067</v>
      </c>
      <c r="D91">
        <v>71399</v>
      </c>
      <c r="E91">
        <v>74197</v>
      </c>
      <c r="F91">
        <v>81147</v>
      </c>
      <c r="G91" t="s">
        <v>993</v>
      </c>
      <c r="H91" t="s">
        <v>1068</v>
      </c>
      <c r="I91" t="s">
        <v>941</v>
      </c>
    </row>
    <row r="92">
      <c r="A92" t="s">
        <v>1069</v>
      </c>
      <c r="E92">
        <v>72700</v>
      </c>
      <c r="F92">
        <v>79649</v>
      </c>
      <c r="G92" t="s">
        <v>993</v>
      </c>
      <c r="H92" t="s">
        <v>1070</v>
      </c>
      <c r="I92" t="s">
        <v>1071</v>
      </c>
    </row>
    <row r="93">
      <c r="A93" t="s">
        <v>1072</v>
      </c>
      <c r="E93">
        <v>1497</v>
      </c>
      <c r="F93">
        <v>1498</v>
      </c>
      <c r="G93" t="s">
        <v>993</v>
      </c>
      <c r="H93" t="s">
        <v>1073</v>
      </c>
      <c r="I93" t="s">
        <v>1071</v>
      </c>
    </row>
    <row r="94">
      <c r="A94" t="s">
        <v>1074</v>
      </c>
      <c r="D94">
        <f>D89-D90-D91</f>
        <v>0</v>
      </c>
      <c r="E94">
        <f>E89-E90-E91</f>
        <v>0</v>
      </c>
      <c r="F94">
        <f>F89-F90-F91</f>
        <v>0</v>
      </c>
      <c r="G94" t="s">
        <v>993</v>
      </c>
      <c r="I94" t="s">
        <v>951</v>
      </c>
    </row>
    <row r="95">
      <c r="A95" t="s">
        <v>1075</v>
      </c>
      <c r="D95" s="61">
        <f>D89-Historical!C14</f>
        <v>0</v>
      </c>
      <c r="E95" s="61">
        <f>E89-Historical!D14</f>
        <v>0</v>
      </c>
      <c r="F95" s="61">
        <f>F89-Historical!E14</f>
        <v>0</v>
      </c>
      <c r="G95" t="s">
        <v>993</v>
      </c>
      <c r="H95" t="s">
        <v>1076</v>
      </c>
      <c r="I95" t="s">
        <v>951</v>
      </c>
    </row>
    <row r="96">
      <c r="A96" t="s">
        <v>1077</v>
      </c>
      <c r="E96">
        <f>E92+E93-E91</f>
        <v>0</v>
      </c>
      <c r="F96">
        <f>F92+F93-F91</f>
        <v>0</v>
      </c>
      <c r="G96" t="s">
        <v>993</v>
      </c>
      <c r="I96" t="s">
        <v>951</v>
      </c>
    </row>
    <row r="97">
      <c r="A97" t="s">
        <v>1078</v>
      </c>
      <c r="D97" s="61">
        <f>Historical!C15-D90</f>
        <v>0</v>
      </c>
      <c r="E97" s="61">
        <f>Historical!D15-E90</f>
        <v>0</v>
      </c>
      <c r="F97" s="61">
        <f>Historical!E15-F90</f>
        <v>0</v>
      </c>
      <c r="G97" t="s">
        <v>993</v>
      </c>
      <c r="H97" t="s">
        <v>1079</v>
      </c>
      <c r="I97" t="s">
        <v>1080</v>
      </c>
    </row>
    <row r="98">
      <c r="A98" t="s">
        <v>1081</v>
      </c>
      <c r="D98" s="61">
        <f>Historical!C18-(D89+Historical!C16)</f>
        <v>3619</v>
      </c>
      <c r="E98" s="61">
        <f>Historical!D18-(E89+Historical!D16)</f>
        <v>4068</v>
      </c>
      <c r="F98" s="61">
        <f>Historical!E18-(F89+Historical!E16)</f>
        <v>5135</v>
      </c>
      <c r="G98" t="s">
        <v>993</v>
      </c>
      <c r="H98" t="s">
        <v>1082</v>
      </c>
      <c r="I98" t="s">
        <v>1026</v>
      </c>
    </row>
    <row r="99">
      <c r="A99" t="s">
        <v>1083</v>
      </c>
      <c r="E99">
        <v>0.041</v>
      </c>
      <c r="F99">
        <v>0.042</v>
      </c>
      <c r="G99" t="s">
        <v>232</v>
      </c>
      <c r="H99" t="s">
        <v>1084</v>
      </c>
      <c r="I99" t="s">
        <v>1071</v>
      </c>
    </row>
    <row r="100">
      <c r="A100" t="s">
        <v>1085</v>
      </c>
      <c r="E100">
        <v>78.3</v>
      </c>
      <c r="F100">
        <v>83</v>
      </c>
      <c r="G100" t="s">
        <v>1086</v>
      </c>
      <c r="H100" t="s">
        <v>1068</v>
      </c>
      <c r="I100" t="s">
        <v>1071</v>
      </c>
    </row>
    <row r="101">
      <c r="A101" t="s">
        <v>1087</v>
      </c>
      <c r="F101">
        <v>4.8</v>
      </c>
      <c r="G101" t="s">
        <v>1088</v>
      </c>
      <c r="H101" t="s">
        <v>1089</v>
      </c>
      <c r="I101" t="s">
        <v>961</v>
      </c>
    </row>
    <row r="102">
      <c r="A102" t="s">
        <v>1090</v>
      </c>
      <c r="B102">
        <v>14727</v>
      </c>
      <c r="C102">
        <v>3714</v>
      </c>
      <c r="D102">
        <v>8446</v>
      </c>
      <c r="E102">
        <v>8587</v>
      </c>
      <c r="F102">
        <v>12010</v>
      </c>
      <c r="G102" t="s">
        <v>993</v>
      </c>
      <c r="H102" t="s">
        <v>1091</v>
      </c>
      <c r="I102" t="s">
        <v>941</v>
      </c>
    </row>
    <row r="103">
      <c r="A103" t="s">
        <v>1092</v>
      </c>
      <c r="D103">
        <f>D102-CF_Hist!D39</f>
        <v>0</v>
      </c>
      <c r="E103">
        <f>E102-CF_Hist!E39</f>
        <v>0</v>
      </c>
      <c r="F103">
        <f>F102-CF_Hist!F39</f>
        <v>0</v>
      </c>
      <c r="G103" t="s">
        <v>993</v>
      </c>
      <c r="I103" t="s">
        <v>951</v>
      </c>
    </row>
    <row r="104">
      <c r="A104" t="s">
        <v>1093</v>
      </c>
      <c r="B104">
        <v>-11100</v>
      </c>
      <c r="C104">
        <v>-5556</v>
      </c>
      <c r="D104">
        <v>-5051</v>
      </c>
      <c r="E104">
        <v>-5073</v>
      </c>
      <c r="F104">
        <v>-6199</v>
      </c>
      <c r="G104" t="s">
        <v>993</v>
      </c>
      <c r="H104" t="s">
        <v>1094</v>
      </c>
      <c r="I104" t="s">
        <v>941</v>
      </c>
    </row>
    <row r="105">
      <c r="A105" t="s">
        <v>1095</v>
      </c>
      <c r="D105">
        <f>D104-CF_Hist!D41</f>
        <v>0</v>
      </c>
      <c r="E105">
        <f>E104-CF_Hist!E41</f>
        <v>0</v>
      </c>
      <c r="F105">
        <f>F104-CF_Hist!F41</f>
        <v>0</v>
      </c>
      <c r="G105" t="s">
        <v>993</v>
      </c>
      <c r="I105" t="s">
        <v>951</v>
      </c>
    </row>
    <row r="106">
      <c r="A106" t="s">
        <v>1096</v>
      </c>
      <c r="H106" t="s">
        <v>1097</v>
      </c>
      <c r="I106" t="s">
        <v>1098</v>
      </c>
    </row>
    <row r="107">
      <c r="A107" t="s">
        <v>1099</v>
      </c>
      <c r="H107" t="s">
        <v>1100</v>
      </c>
      <c r="I107" t="s">
        <v>1098</v>
      </c>
    </row>
    <row r="109">
      <c r="A109" t="s">
        <v>1101</v>
      </c>
    </row>
    <row r="110">
      <c r="A110" t="s">
        <v>1102</v>
      </c>
      <c r="B110" t="s">
        <v>1103</v>
      </c>
      <c r="C110" t="s">
        <v>1104</v>
      </c>
      <c r="D110" t="s">
        <v>1105</v>
      </c>
      <c r="E110" t="s">
        <v>1106</v>
      </c>
      <c r="F110" t="s">
        <v>1107</v>
      </c>
      <c r="H110" t="s">
        <v>1108</v>
      </c>
    </row>
    <row r="111">
      <c r="A111" t="s">
        <v>1109</v>
      </c>
      <c r="B111">
        <v>4768</v>
      </c>
      <c r="C111">
        <v>15246</v>
      </c>
      <c r="D111">
        <v>14062</v>
      </c>
      <c r="E111">
        <v>52205</v>
      </c>
      <c r="F111">
        <v>86281</v>
      </c>
      <c r="I111" t="s">
        <v>941</v>
      </c>
    </row>
    <row r="112">
      <c r="A112" t="s">
        <v>1110</v>
      </c>
      <c r="B112">
        <v>3593</v>
      </c>
      <c r="C112">
        <v>6611</v>
      </c>
      <c r="D112">
        <v>5231</v>
      </c>
      <c r="E112">
        <v>28670</v>
      </c>
      <c r="F112">
        <v>44105</v>
      </c>
      <c r="I112" t="s">
        <v>941</v>
      </c>
    </row>
    <row r="113">
      <c r="A113" t="s">
        <v>1111</v>
      </c>
      <c r="B113">
        <v>1222</v>
      </c>
      <c r="C113">
        <v>1119</v>
      </c>
      <c r="D113">
        <v>21</v>
      </c>
      <c r="E113">
        <v>7</v>
      </c>
      <c r="F113">
        <v>2369</v>
      </c>
      <c r="I113" t="s">
        <v>941</v>
      </c>
    </row>
    <row r="114">
      <c r="A114" t="s">
        <v>1112</v>
      </c>
      <c r="B114">
        <v>389</v>
      </c>
      <c r="C114">
        <v>810</v>
      </c>
      <c r="D114">
        <v>862</v>
      </c>
      <c r="E114">
        <v>3239</v>
      </c>
      <c r="F114">
        <v>5300</v>
      </c>
      <c r="I114" t="s">
        <v>941</v>
      </c>
    </row>
    <row r="115">
      <c r="A115" t="s">
        <v>1113</v>
      </c>
      <c r="B115">
        <v>5060</v>
      </c>
      <c r="C115">
        <v>9207</v>
      </c>
      <c r="D115">
        <v>7841</v>
      </c>
      <c r="E115">
        <v>13987</v>
      </c>
      <c r="F115">
        <v>36095</v>
      </c>
      <c r="I115" t="s">
        <v>941</v>
      </c>
    </row>
    <row r="116">
      <c r="A116" t="s">
        <v>1114</v>
      </c>
      <c r="B116">
        <v>5047</v>
      </c>
      <c r="C116">
        <v>6181</v>
      </c>
      <c r="D116">
        <v>2990</v>
      </c>
      <c r="E116">
        <v>2836</v>
      </c>
      <c r="F116">
        <v>17054</v>
      </c>
      <c r="I116" t="s">
        <v>941</v>
      </c>
    </row>
    <row r="117">
      <c r="A117" t="s">
        <v>1115</v>
      </c>
      <c r="B117">
        <v>297</v>
      </c>
      <c r="C117">
        <v>629</v>
      </c>
      <c r="D117">
        <v>645</v>
      </c>
      <c r="E117">
        <v>3448</v>
      </c>
      <c r="F117">
        <v>5019</v>
      </c>
      <c r="I117" t="s">
        <v>941</v>
      </c>
    </row>
    <row r="118">
      <c r="A118" t="s">
        <v>1116</v>
      </c>
      <c r="B118">
        <v>100</v>
      </c>
      <c r="C118">
        <v>83</v>
      </c>
      <c r="D118">
        <v>0</v>
      </c>
      <c r="E118">
        <v>0</v>
      </c>
      <c r="F118">
        <v>183</v>
      </c>
      <c r="I118" t="s">
        <v>941</v>
      </c>
    </row>
    <row r="119">
      <c r="A119" t="s">
        <v>1117</v>
      </c>
      <c r="B119">
        <v>20476</v>
      </c>
      <c r="C119">
        <v>39886</v>
      </c>
      <c r="D119">
        <v>31652</v>
      </c>
      <c r="E119">
        <v>104392</v>
      </c>
      <c r="F119">
        <v>196406</v>
      </c>
      <c r="I119" t="s">
        <v>941</v>
      </c>
    </row>
    <row r="120">
      <c r="A120" t="s">
        <v>1118</v>
      </c>
      <c r="B120">
        <f>ABS(B111+C111+D111+E111-F111)+ABS(B112+C112+D112+E112-F112)+ABS(B113+C113+D113+E113-F113)+ABS(B114+C114+D114+E114-F114)+ABS(B115+C115+D115+E115-F115)+ABS(B116+C116+D116+E116-F116)+ABS(B117+C117+D117+E117-F117)+ABS(B118+C118+D118+E118-F118)+ABS(B119+C119+D119+E119-F119)</f>
        <v>0</v>
      </c>
      <c r="C120">
        <f>ABS(SUM(B111:B118)-B119)+ABS(SUM(C111:C118)-C119)+ABS(SUM(D111:D118)-D119)+ABS(SUM(E111:E118)-E119)+ABS(SUM(F111:F118)-F119)</f>
        <v>0</v>
      </c>
      <c r="G120" t="s">
        <v>993</v>
      </c>
      <c r="H120" t="s">
        <v>1119</v>
      </c>
      <c r="I120" t="s">
        <v>951</v>
      </c>
    </row>
    <row r="121">
      <c r="A121" t="s">
        <v>1120</v>
      </c>
      <c r="B121" s="61">
        <f>F111+666-313-352-Historical!E14</f>
        <v>0</v>
      </c>
      <c r="G121" t="s">
        <v>993</v>
      </c>
      <c r="H121" t="s">
        <v>1121</v>
      </c>
      <c r="I121" t="s">
        <v>951</v>
      </c>
    </row>
    <row r="122">
      <c r="A122" t="s">
        <v>1122</v>
      </c>
      <c r="H122" t="s">
        <v>1123</v>
      </c>
      <c r="I122" t="s">
        <v>1098</v>
      </c>
    </row>
    <row r="124">
      <c r="A124" t="s">
        <v>1124</v>
      </c>
    </row>
    <row r="125">
      <c r="A125" t="s">
        <v>728</v>
      </c>
      <c r="B125">
        <f>BS_Hist!B15</f>
        <v>26959</v>
      </c>
      <c r="C125">
        <f>BS_Hist!C15</f>
        <v>28715</v>
      </c>
      <c r="D125">
        <f>BS_Hist!D15</f>
        <v>27135</v>
      </c>
      <c r="E125">
        <f>BS_Hist!E15</f>
        <v>25398</v>
      </c>
      <c r="F125">
        <f>BS_Hist!F15</f>
        <v>25692</v>
      </c>
      <c r="G125" t="s">
        <v>993</v>
      </c>
      <c r="H125" t="s">
        <v>1125</v>
      </c>
      <c r="I125" t="s">
        <v>1126</v>
      </c>
    </row>
    <row r="126">
      <c r="A126" t="s">
        <v>1127</v>
      </c>
      <c r="B126">
        <f>BS_Hist!B29+BS_Hist!B37</f>
        <v>29243</v>
      </c>
      <c r="C126">
        <f>BS_Hist!C29+BS_Hist!C37</f>
        <v>33367</v>
      </c>
      <c r="D126">
        <f>BS_Hist!D29+BS_Hist!D37</f>
        <v>31795</v>
      </c>
      <c r="E126">
        <f>BS_Hist!E29+BS_Hist!E37</f>
        <v>29689</v>
      </c>
      <c r="F126">
        <f>BS_Hist!F29+BS_Hist!F37</f>
        <v>30185</v>
      </c>
      <c r="G126" t="s">
        <v>993</v>
      </c>
      <c r="H126" t="s">
        <v>1128</v>
      </c>
      <c r="I126" t="s">
        <v>1126</v>
      </c>
    </row>
    <row r="127">
      <c r="A127" t="s">
        <v>730</v>
      </c>
      <c r="B127" t="s">
        <v>1129</v>
      </c>
      <c r="C127" t="s">
        <v>1129</v>
      </c>
      <c r="D127">
        <f>BS_Hist!D16</f>
        <v>3270</v>
      </c>
      <c r="E127">
        <f>BS_Hist!E16</f>
        <v>3091</v>
      </c>
      <c r="F127">
        <f>BS_Hist!F16</f>
        <v>2760</v>
      </c>
      <c r="G127" t="s">
        <v>993</v>
      </c>
      <c r="H127" t="s">
        <v>1130</v>
      </c>
      <c r="I127" t="s">
        <v>1131</v>
      </c>
    </row>
    <row r="128">
      <c r="A128" t="s">
        <v>1132</v>
      </c>
      <c r="B128">
        <f>BS_Hist!B30+BS_Hist!B38</f>
        <v>2575</v>
      </c>
      <c r="C128">
        <f>BS_Hist!C30+BS_Hist!C38</f>
        <v>2531</v>
      </c>
      <c r="D128">
        <f>BS_Hist!D30+BS_Hist!D38</f>
        <v>2496</v>
      </c>
      <c r="E128">
        <f>BS_Hist!E30+BS_Hist!E38</f>
        <v>2326</v>
      </c>
      <c r="F128">
        <f>BS_Hist!F30+BS_Hist!F38</f>
        <v>2270</v>
      </c>
      <c r="G128" t="s">
        <v>993</v>
      </c>
      <c r="H128" t="s">
        <v>1133</v>
      </c>
      <c r="I128" t="s">
        <v>1126</v>
      </c>
    </row>
    <row r="129">
      <c r="A129" t="s">
        <v>1134</v>
      </c>
      <c r="D129" s="61">
        <f>D128-Historical!C16</f>
        <v>0</v>
      </c>
      <c r="E129" s="61">
        <f>E128-Historical!D16</f>
        <v>0</v>
      </c>
      <c r="F129" s="61">
        <f>F128-Historical!E16</f>
        <v>0</v>
      </c>
      <c r="G129" t="s">
        <v>993</v>
      </c>
      <c r="H129" t="s">
        <v>1135</v>
      </c>
      <c r="I129" t="s">
        <v>951</v>
      </c>
    </row>
    <row r="130">
      <c r="A130" t="s">
        <v>1136</v>
      </c>
      <c r="B130" t="s">
        <v>1129</v>
      </c>
      <c r="C130" t="s">
        <v>1129</v>
      </c>
      <c r="D130">
        <f>BS_Hist!D35</f>
        <v>3777</v>
      </c>
      <c r="E130">
        <f>BS_Hist!E35</f>
        <v>3664</v>
      </c>
      <c r="F130">
        <f>BS_Hist!F35</f>
        <v>3532</v>
      </c>
      <c r="G130" t="s">
        <v>993</v>
      </c>
      <c r="H130" t="s">
        <v>1137</v>
      </c>
      <c r="I130" t="s">
        <v>1131</v>
      </c>
    </row>
    <row r="131">
      <c r="A131" t="s">
        <v>1138</v>
      </c>
      <c r="B131">
        <v>-1111</v>
      </c>
      <c r="C131">
        <v>-1239</v>
      </c>
      <c r="D131">
        <f>CF_Hist!D40</f>
        <v>-1227</v>
      </c>
      <c r="E131">
        <f>CF_Hist!E40</f>
        <v>-1367</v>
      </c>
      <c r="F131">
        <f>CF_Hist!F40</f>
        <v>-1252</v>
      </c>
      <c r="G131" t="s">
        <v>993</v>
      </c>
      <c r="H131" t="s">
        <v>1139</v>
      </c>
      <c r="I131" t="s">
        <v>1018</v>
      </c>
    </row>
    <row r="133">
      <c r="A133" t="s">
        <v>1140</v>
      </c>
    </row>
    <row r="134">
      <c r="A134" t="s">
        <v>1141</v>
      </c>
      <c r="B134">
        <v>75000</v>
      </c>
      <c r="C134">
        <v>71000</v>
      </c>
      <c r="D134">
        <v>67000</v>
      </c>
      <c r="E134">
        <v>70000</v>
      </c>
      <c r="F134">
        <v>75000</v>
      </c>
      <c r="G134" t="s">
        <v>1142</v>
      </c>
      <c r="H134" t="s">
        <v>1143</v>
      </c>
      <c r="I134" t="s">
        <v>941</v>
      </c>
    </row>
    <row r="135">
      <c r="A135" t="s">
        <v>1144</v>
      </c>
      <c r="B135">
        <f>B42/B134*1000</f>
        <v>778.2533333333333</v>
      </c>
      <c r="C135">
        <f>C42/C134*1000</f>
        <v>863.7042253521126</v>
      </c>
      <c r="D135">
        <f>D42/D134*1000</f>
        <v>943.8955223880597</v>
      </c>
      <c r="E135">
        <f>E42/E134*1000</f>
        <v>945.4</v>
      </c>
      <c r="F135">
        <f>F42/F134*1000</f>
        <v>950.7466666666667</v>
      </c>
      <c r="G135" t="s">
        <v>1145</v>
      </c>
      <c r="I135" t="s">
        <v>1009</v>
      </c>
    </row>
    <row r="137">
      <c r="A137" t="s">
        <v>1146</v>
      </c>
    </row>
    <row r="138">
      <c r="A138" t="s">
        <v>1147</v>
      </c>
      <c r="B138" t="s">
        <v>1129</v>
      </c>
      <c r="C138" t="s">
        <v>1129</v>
      </c>
      <c r="D138" t="s">
        <v>1129</v>
      </c>
      <c r="E138" t="s">
        <v>1129</v>
      </c>
      <c r="F138" t="s">
        <v>1129</v>
      </c>
      <c r="H138" t="s">
        <v>1148</v>
      </c>
      <c r="I138" t="s">
        <v>1129</v>
      </c>
    </row>
    <row r="139">
      <c r="A139" t="s">
        <v>1149</v>
      </c>
      <c r="B139" t="s">
        <v>1129</v>
      </c>
      <c r="C139" t="s">
        <v>1129</v>
      </c>
      <c r="D139" t="s">
        <v>1129</v>
      </c>
      <c r="E139" t="s">
        <v>1129</v>
      </c>
      <c r="F139" t="s">
        <v>1129</v>
      </c>
      <c r="H139" t="s">
        <v>1150</v>
      </c>
      <c r="I139" t="s">
        <v>1129</v>
      </c>
    </row>
    <row r="140">
      <c r="A140" t="s">
        <v>1151</v>
      </c>
      <c r="B140" t="s">
        <v>1129</v>
      </c>
      <c r="C140" t="s">
        <v>1129</v>
      </c>
      <c r="D140" t="s">
        <v>1129</v>
      </c>
      <c r="E140" t="s">
        <v>1129</v>
      </c>
      <c r="F140" t="s">
        <v>1129</v>
      </c>
      <c r="H140" t="s">
        <v>1152</v>
      </c>
      <c r="I140" t="s">
        <v>1129</v>
      </c>
    </row>
    <row r="141">
      <c r="A141" t="s">
        <v>1153</v>
      </c>
      <c r="B141" t="s">
        <v>1129</v>
      </c>
      <c r="C141" t="s">
        <v>1129</v>
      </c>
      <c r="D141" t="s">
        <v>1129</v>
      </c>
      <c r="E141" t="s">
        <v>1129</v>
      </c>
      <c r="F141" t="s">
        <v>1129</v>
      </c>
      <c r="H141" t="s">
        <v>1154</v>
      </c>
      <c r="I141" t="s">
        <v>1129</v>
      </c>
    </row>
    <row r="142">
      <c r="A142" t="s">
        <v>1155</v>
      </c>
      <c r="B142" t="s">
        <v>1129</v>
      </c>
      <c r="C142" t="s">
        <v>1129</v>
      </c>
      <c r="D142" t="s">
        <v>1129</v>
      </c>
      <c r="E142" t="s">
        <v>1129</v>
      </c>
      <c r="F142" t="s">
        <v>1129</v>
      </c>
      <c r="H142" t="s">
        <v>1156</v>
      </c>
      <c r="I142" t="s">
        <v>1129</v>
      </c>
    </row>
    <row r="143">
      <c r="A143" t="s">
        <v>1157</v>
      </c>
      <c r="B143" t="s">
        <v>1129</v>
      </c>
      <c r="C143" t="s">
        <v>1129</v>
      </c>
      <c r="D143" t="s">
        <v>1129</v>
      </c>
      <c r="E143" t="s">
        <v>1129</v>
      </c>
      <c r="F143" t="s">
        <v>1129</v>
      </c>
      <c r="H143" t="s">
        <v>1158</v>
      </c>
      <c r="I143" t="s">
        <v>1129</v>
      </c>
    </row>
    <row r="144">
      <c r="A144" t="s">
        <v>1159</v>
      </c>
      <c r="B144" t="s">
        <v>1129</v>
      </c>
      <c r="C144" t="s">
        <v>1129</v>
      </c>
      <c r="D144" t="s">
        <v>1129</v>
      </c>
      <c r="E144" t="s">
        <v>1129</v>
      </c>
      <c r="F144" t="s">
        <v>1129</v>
      </c>
      <c r="H144" t="s">
        <v>1160</v>
      </c>
      <c r="I144" t="s">
        <v>1129</v>
      </c>
    </row>
    <row r="145">
      <c r="A145" t="s">
        <v>1161</v>
      </c>
      <c r="B145" t="s">
        <v>1129</v>
      </c>
      <c r="C145" t="s">
        <v>1129</v>
      </c>
      <c r="D145" t="s">
        <v>1129</v>
      </c>
      <c r="E145" t="s">
        <v>1129</v>
      </c>
      <c r="F145" t="s">
        <v>1129</v>
      </c>
      <c r="H145" t="s">
        <v>1162</v>
      </c>
      <c r="I145" t="s">
        <v>1129</v>
      </c>
    </row>
    <row r="147">
      <c r="A147" t="s">
        <v>1163</v>
      </c>
    </row>
    <row r="148">
      <c r="A148" t="s">
        <v>1164</v>
      </c>
      <c r="F148" s="64">
        <f>Sector_KPIs!E5-F7/1000</f>
        <v>0</v>
      </c>
      <c r="G148" t="s">
        <v>546</v>
      </c>
      <c r="I148" t="s">
        <v>951</v>
      </c>
    </row>
    <row r="149">
      <c r="A149" t="s">
        <v>1165</v>
      </c>
      <c r="F149" s="62">
        <f>Sector_KPIs!E7-F29</f>
        <v>0</v>
      </c>
      <c r="G149" t="s">
        <v>1166</v>
      </c>
      <c r="I149" t="s">
        <v>951</v>
      </c>
    </row>
    <row r="150">
      <c r="A150" t="s">
        <v>1167</v>
      </c>
      <c r="F150" s="63">
        <f>Sector_KPIs!E9-F31</f>
        <v>0</v>
      </c>
      <c r="G150" t="s">
        <v>1168</v>
      </c>
      <c r="I150" t="s">
        <v>951</v>
      </c>
    </row>
    <row r="151">
      <c r="A151" t="s">
        <v>1169</v>
      </c>
      <c r="F151" s="61">
        <f>Sector_KPIs!E11-F39</f>
        <v>0</v>
      </c>
      <c r="G151" t="s">
        <v>993</v>
      </c>
      <c r="I151" t="s">
        <v>951</v>
      </c>
    </row>
    <row r="152">
      <c r="A152" t="s">
        <v>1170</v>
      </c>
      <c r="F152" s="61">
        <f>Sector_KPIs!E14-F42</f>
        <v>0</v>
      </c>
      <c r="G152" t="s">
        <v>993</v>
      </c>
      <c r="I152" t="s">
        <v>951</v>
      </c>
    </row>
    <row r="153">
      <c r="A153" t="s">
        <v>1171</v>
      </c>
      <c r="F153" s="61">
        <f>Sector_KPIs!E15-(F43+F44)</f>
        <v>0</v>
      </c>
      <c r="G153" t="s">
        <v>993</v>
      </c>
      <c r="I153" t="s">
        <v>951</v>
      </c>
    </row>
    <row r="154">
      <c r="A154" t="s">
        <v>1172</v>
      </c>
      <c r="F154" s="61">
        <f>Sector_KPIs!E16-F45</f>
        <v>0</v>
      </c>
      <c r="G154" t="s">
        <v>993</v>
      </c>
      <c r="I154" t="s">
        <v>951</v>
      </c>
    </row>
    <row r="155">
      <c r="A155" t="s">
        <v>1173</v>
      </c>
      <c r="F155" s="61">
        <f>Sector_KPIs!E18-F69</f>
        <v>0</v>
      </c>
      <c r="G155" t="s">
        <v>993</v>
      </c>
      <c r="I155" t="s">
        <v>951</v>
      </c>
    </row>
    <row r="156">
      <c r="A156" t="s">
        <v>1174</v>
      </c>
      <c r="F156" s="61">
        <f>Sector_KPIs!E19-F76</f>
        <v>0</v>
      </c>
      <c r="G156" t="s">
        <v>993</v>
      </c>
      <c r="I156" t="s">
        <v>951</v>
      </c>
    </row>
    <row r="157">
      <c r="A157" t="s">
        <v>1175</v>
      </c>
    </row>
    <row r="158">
      <c r="A158" t="s">
        <v>1176</v>
      </c>
    </row>
    <row r="159">
      <c r="A159" t="s">
        <v>1177</v>
      </c>
    </row>
    <row r="161">
      <c r="A161" t="s">
        <v>1178</v>
      </c>
    </row>
    <row r="162">
      <c r="A162" t="s">
        <v>1179</v>
      </c>
    </row>
    <row r="163">
      <c r="A163" t="s">
        <v>1180</v>
      </c>
    </row>
    <row r="164">
      <c r="A164" t="s">
        <v>1181</v>
      </c>
    </row>
  </sheetData>
</worksheet>
</file>

<file path=xl/worksheets/sheet19.xml><?xml version="1.0" encoding="utf-8"?>
<worksheet xmlns="http://schemas.openxmlformats.org/spreadsheetml/2006/main" xmlns:r="http://schemas.openxmlformats.org/officeDocument/2006/relationships">
  <dimension ref="A1:F112"/>
  <sheetViews>
    <sheetView workbookViewId="0"/>
  </sheetViews>
  <sheetFormatPr defaultColWidth="8.375" defaultRowHeight="15"/>
  <sheetData>
    <row r="1">
      <c r="A1" t="s">
        <v>1182</v>
      </c>
    </row>
    <row r="2">
      <c r="A2" t="s">
        <v>1183</v>
      </c>
    </row>
    <row r="4">
      <c r="A4" t="s">
        <v>1184</v>
      </c>
      <c r="B4" t="s">
        <v>1185</v>
      </c>
      <c r="C4" t="s">
        <v>935</v>
      </c>
      <c r="D4" t="s">
        <v>1186</v>
      </c>
      <c r="E4" t="s">
        <v>1187</v>
      </c>
      <c r="F4" t="s">
        <v>1188</v>
      </c>
    </row>
    <row r="6">
      <c r="A6" t="s">
        <v>1189</v>
      </c>
    </row>
    <row r="7">
      <c r="A7" t="s">
        <v>1190</v>
      </c>
      <c r="B7">
        <v>182.61</v>
      </c>
      <c r="C7" t="s">
        <v>1191</v>
      </c>
      <c r="D7" s="60">
        <v>46248</v>
      </c>
      <c r="E7" t="s">
        <v>1192</v>
      </c>
      <c r="F7" t="s">
        <v>1193</v>
      </c>
    </row>
    <row r="8">
      <c r="A8" t="s">
        <v>1194</v>
      </c>
      <c r="B8">
        <v>1072.671613</v>
      </c>
      <c r="C8" t="s">
        <v>1195</v>
      </c>
      <c r="D8" s="60">
        <v>46220</v>
      </c>
      <c r="E8" t="s">
        <v>1196</v>
      </c>
      <c r="F8" t="s">
        <v>1197</v>
      </c>
    </row>
    <row r="9">
      <c r="A9" t="s">
        <v>1198</v>
      </c>
      <c r="B9" s="61">
        <f>Historical!E17</f>
        <v>1131.076251</v>
      </c>
      <c r="C9" t="s">
        <v>1195</v>
      </c>
      <c r="D9" s="60">
        <v>46022</v>
      </c>
      <c r="E9" t="s">
        <v>1199</v>
      </c>
      <c r="F9" t="s">
        <v>1200</v>
      </c>
    </row>
    <row r="10">
      <c r="A10" t="s">
        <v>1201</v>
      </c>
      <c r="B10" s="61">
        <f>B8-B9</f>
        <v>-58.40463799999998</v>
      </c>
      <c r="C10" t="s">
        <v>1195</v>
      </c>
      <c r="E10" t="s">
        <v>1009</v>
      </c>
      <c r="F10" t="s">
        <v>1202</v>
      </c>
    </row>
    <row r="11">
      <c r="A11" t="s">
        <v>1203</v>
      </c>
      <c r="B11">
        <f>B7*B8</f>
        <v>195880.56324993</v>
      </c>
      <c r="C11" t="s">
        <v>993</v>
      </c>
      <c r="D11" s="60">
        <f>D7</f>
        <v>46248</v>
      </c>
      <c r="E11" t="s">
        <v>1204</v>
      </c>
    </row>
    <row r="13">
      <c r="A13" t="s">
        <v>1205</v>
      </c>
    </row>
    <row r="14">
      <c r="A14" t="s">
        <v>1206</v>
      </c>
      <c r="B14">
        <f>BS_Hist!F6</f>
        <v>5598</v>
      </c>
      <c r="C14" t="s">
        <v>993</v>
      </c>
      <c r="D14" s="60">
        <v>46022</v>
      </c>
      <c r="E14" t="s">
        <v>1207</v>
      </c>
    </row>
    <row r="15">
      <c r="A15" t="s">
        <v>1208</v>
      </c>
      <c r="B15">
        <f>BS_Hist!F27</f>
        <v>5135</v>
      </c>
      <c r="C15" t="s">
        <v>993</v>
      </c>
      <c r="D15" s="60">
        <v>46022</v>
      </c>
      <c r="E15" t="s">
        <v>1209</v>
      </c>
    </row>
    <row r="16">
      <c r="A16" t="s">
        <v>1210</v>
      </c>
      <c r="B16">
        <f>BS_Hist!F34</f>
        <v>81147</v>
      </c>
      <c r="C16" t="s">
        <v>993</v>
      </c>
      <c r="D16" s="60">
        <v>46022</v>
      </c>
      <c r="E16" t="s">
        <v>1211</v>
      </c>
    </row>
    <row r="17">
      <c r="A17" t="s">
        <v>1212</v>
      </c>
      <c r="B17">
        <f>BS_Hist!F30</f>
        <v>1163</v>
      </c>
      <c r="C17" t="s">
        <v>993</v>
      </c>
      <c r="D17" s="60">
        <v>46022</v>
      </c>
      <c r="E17" t="s">
        <v>1213</v>
      </c>
    </row>
    <row r="18">
      <c r="A18" t="s">
        <v>1214</v>
      </c>
      <c r="B18">
        <f>BS_Hist!F38</f>
        <v>1107</v>
      </c>
      <c r="C18" t="s">
        <v>993</v>
      </c>
      <c r="D18" s="60">
        <v>46022</v>
      </c>
      <c r="E18" t="s">
        <v>1215</v>
      </c>
    </row>
    <row r="19">
      <c r="A19" t="s">
        <v>1216</v>
      </c>
      <c r="B19">
        <f>SUM(B15:B18)</f>
        <v>88552</v>
      </c>
      <c r="C19" t="s">
        <v>993</v>
      </c>
      <c r="D19" s="60">
        <v>46022</v>
      </c>
      <c r="E19" t="s">
        <v>1009</v>
      </c>
      <c r="F19" t="s">
        <v>1217</v>
      </c>
    </row>
    <row r="20">
      <c r="A20" t="s">
        <v>1218</v>
      </c>
      <c r="B20" s="61">
        <f>Historical!E18</f>
        <v>93687</v>
      </c>
      <c r="C20" t="s">
        <v>993</v>
      </c>
      <c r="D20" s="60">
        <v>46022</v>
      </c>
      <c r="E20" t="s">
        <v>1219</v>
      </c>
      <c r="F20" t="s">
        <v>1220</v>
      </c>
    </row>
    <row r="21">
      <c r="A21" t="s">
        <v>1221</v>
      </c>
      <c r="B21" s="61">
        <f>B20-B19</f>
        <v>5135</v>
      </c>
      <c r="C21" t="s">
        <v>993</v>
      </c>
      <c r="E21" t="s">
        <v>1009</v>
      </c>
      <c r="F21" t="s">
        <v>1222</v>
      </c>
    </row>
    <row r="22">
      <c r="A22" t="s">
        <v>1223</v>
      </c>
      <c r="B22">
        <f>B19-B14</f>
        <v>82954</v>
      </c>
      <c r="C22" t="s">
        <v>993</v>
      </c>
      <c r="D22" s="60">
        <v>46022</v>
      </c>
      <c r="E22" t="s">
        <v>1009</v>
      </c>
    </row>
    <row r="23">
      <c r="A23" t="s">
        <v>1224</v>
      </c>
      <c r="B23">
        <f>B11+B19-B14</f>
        <v>278834.56324993004</v>
      </c>
      <c r="C23" t="s">
        <v>993</v>
      </c>
      <c r="D23" s="60">
        <f>D7</f>
        <v>46248</v>
      </c>
      <c r="E23" t="s">
        <v>1225</v>
      </c>
      <c r="F23" t="s">
        <v>1226</v>
      </c>
    </row>
    <row r="24">
      <c r="A24" t="s">
        <v>1227</v>
      </c>
      <c r="B24" s="61">
        <f>B11+B20-B14</f>
        <v>283969.56324993004</v>
      </c>
      <c r="C24" t="s">
        <v>993</v>
      </c>
      <c r="E24" t="s">
        <v>1009</v>
      </c>
      <c r="F24" t="s">
        <v>1228</v>
      </c>
    </row>
    <row r="25">
      <c r="A25" t="s">
        <v>1229</v>
      </c>
      <c r="B25">
        <f>BS_Hist!F35</f>
        <v>3532</v>
      </c>
      <c r="C25" t="s">
        <v>993</v>
      </c>
      <c r="D25" s="60">
        <v>46022</v>
      </c>
      <c r="E25" t="s">
        <v>1230</v>
      </c>
      <c r="F25" t="s">
        <v>1231</v>
      </c>
    </row>
    <row r="26">
      <c r="A26" t="s">
        <v>1232</v>
      </c>
      <c r="B26">
        <f>BS_Hist!F29+BS_Hist!F37</f>
        <v>30185</v>
      </c>
      <c r="C26" t="s">
        <v>993</v>
      </c>
      <c r="D26" s="60">
        <v>46022</v>
      </c>
      <c r="E26" t="s">
        <v>1233</v>
      </c>
      <c r="F26" t="s">
        <v>1234</v>
      </c>
    </row>
    <row r="27">
      <c r="A27" t="s">
        <v>1235</v>
      </c>
      <c r="B27">
        <v>5598</v>
      </c>
      <c r="C27" t="s">
        <v>993</v>
      </c>
      <c r="D27" s="60">
        <v>46022</v>
      </c>
      <c r="E27" t="s">
        <v>1236</v>
      </c>
      <c r="F27" t="s">
        <v>1237</v>
      </c>
    </row>
    <row r="28">
      <c r="A28" t="s">
        <v>1238</v>
      </c>
      <c r="B28">
        <v>88552</v>
      </c>
      <c r="C28" t="s">
        <v>993</v>
      </c>
      <c r="D28" s="60">
        <v>46022</v>
      </c>
      <c r="E28" t="s">
        <v>1239</v>
      </c>
      <c r="F28" t="s">
        <v>1240</v>
      </c>
    </row>
    <row r="30">
      <c r="A30" t="s">
        <v>1241</v>
      </c>
    </row>
    <row r="31">
      <c r="A31" t="s">
        <v>1242</v>
      </c>
      <c r="B31">
        <v>0.0463</v>
      </c>
      <c r="C31" t="s">
        <v>232</v>
      </c>
      <c r="D31" s="60">
        <v>46247</v>
      </c>
      <c r="E31" t="s">
        <v>1243</v>
      </c>
      <c r="F31" t="s">
        <v>1244</v>
      </c>
    </row>
    <row r="32">
      <c r="A32" t="s">
        <v>1245</v>
      </c>
      <c r="B32">
        <v>0.0423</v>
      </c>
      <c r="C32" t="s">
        <v>232</v>
      </c>
      <c r="D32" s="60">
        <v>46023</v>
      </c>
      <c r="E32" t="s">
        <v>1246</v>
      </c>
      <c r="F32" t="s">
        <v>1247</v>
      </c>
    </row>
    <row r="33">
      <c r="A33" t="s">
        <v>1248</v>
      </c>
      <c r="B33">
        <v>0.33</v>
      </c>
      <c r="C33" t="s">
        <v>323</v>
      </c>
      <c r="D33" s="60">
        <v>46248</v>
      </c>
      <c r="E33" t="s">
        <v>1249</v>
      </c>
      <c r="F33" t="s">
        <v>1250</v>
      </c>
    </row>
    <row r="34">
      <c r="A34" t="s">
        <v>1251</v>
      </c>
      <c r="B34">
        <f>B31+B33*B32</f>
        <v>0.060259</v>
      </c>
      <c r="C34" t="s">
        <v>232</v>
      </c>
      <c r="D34" s="60">
        <f>D31</f>
        <v>46247</v>
      </c>
      <c r="E34" t="s">
        <v>1252</v>
      </c>
    </row>
    <row r="35">
      <c r="A35" t="s">
        <v>1253</v>
      </c>
      <c r="B35">
        <v>0.0553</v>
      </c>
      <c r="C35" t="s">
        <v>232</v>
      </c>
      <c r="D35" s="60">
        <v>46247</v>
      </c>
      <c r="E35" t="s">
        <v>1254</v>
      </c>
      <c r="F35" t="s">
        <v>1255</v>
      </c>
    </row>
    <row r="36">
      <c r="A36" t="s">
        <v>1256</v>
      </c>
      <c r="B36" t="s">
        <v>1257</v>
      </c>
      <c r="C36" t="s">
        <v>232</v>
      </c>
      <c r="D36" s="60">
        <v>46022</v>
      </c>
      <c r="E36" t="s">
        <v>1258</v>
      </c>
    </row>
    <row r="37">
      <c r="A37" t="s">
        <v>1259</v>
      </c>
      <c r="B37">
        <f>-IS_Hist!F20/IS_Hist!F19</f>
        <v>0.2303060009803235</v>
      </c>
      <c r="C37" t="s">
        <v>232</v>
      </c>
      <c r="D37" s="60">
        <v>46022</v>
      </c>
      <c r="E37" t="s">
        <v>1260</v>
      </c>
      <c r="F37" t="s">
        <v>1261</v>
      </c>
    </row>
    <row r="38">
      <c r="A38" t="s">
        <v>1262</v>
      </c>
      <c r="B38">
        <v>0.21</v>
      </c>
      <c r="C38" t="s">
        <v>232</v>
      </c>
      <c r="E38" t="s">
        <v>1263</v>
      </c>
    </row>
    <row r="39">
      <c r="A39" t="s">
        <v>1264</v>
      </c>
      <c r="B39">
        <f>B35*(1-B37)</f>
        <v>0.04256407814578811</v>
      </c>
      <c r="C39" t="s">
        <v>232</v>
      </c>
      <c r="D39" s="60">
        <f>D35</f>
        <v>46247</v>
      </c>
      <c r="E39" t="s">
        <v>1265</v>
      </c>
    </row>
    <row r="40">
      <c r="A40" t="s">
        <v>1266</v>
      </c>
      <c r="B40">
        <f>B11</f>
        <v>195880.56324993</v>
      </c>
      <c r="C40" t="s">
        <v>993</v>
      </c>
      <c r="D40" s="60">
        <f>D7</f>
        <v>46248</v>
      </c>
      <c r="E40" t="s">
        <v>1009</v>
      </c>
    </row>
    <row r="41">
      <c r="A41" t="s">
        <v>1267</v>
      </c>
      <c r="B41">
        <f>B19</f>
        <v>88552</v>
      </c>
      <c r="C41" t="s">
        <v>993</v>
      </c>
      <c r="D41" s="60">
        <v>46022</v>
      </c>
      <c r="E41" t="s">
        <v>1009</v>
      </c>
      <c r="F41" t="s">
        <v>1268</v>
      </c>
    </row>
    <row r="42">
      <c r="A42" t="s">
        <v>1269</v>
      </c>
      <c r="B42">
        <f>B40+B41</f>
        <v>284432.56324993004</v>
      </c>
      <c r="C42" t="s">
        <v>993</v>
      </c>
      <c r="E42" t="s">
        <v>1009</v>
      </c>
    </row>
    <row r="43">
      <c r="A43" t="s">
        <v>1270</v>
      </c>
      <c r="B43">
        <f>B40/B42</f>
        <v>0.6886713708578098</v>
      </c>
      <c r="C43" t="s">
        <v>232</v>
      </c>
      <c r="E43" t="s">
        <v>1009</v>
      </c>
    </row>
    <row r="44">
      <c r="A44" t="s">
        <v>1271</v>
      </c>
      <c r="B44">
        <f>B41/B42</f>
        <v>0.3113286291421901</v>
      </c>
      <c r="C44" t="s">
        <v>232</v>
      </c>
      <c r="E44" t="s">
        <v>1009</v>
      </c>
    </row>
    <row r="45">
      <c r="A45" t="s">
        <v>1272</v>
      </c>
      <c r="B45">
        <f>B43*B34+B44*B39</f>
        <v>0.054750064236350024</v>
      </c>
      <c r="C45" t="s">
        <v>232</v>
      </c>
      <c r="D45" s="60">
        <f>D7</f>
        <v>46248</v>
      </c>
      <c r="E45" t="s">
        <v>1273</v>
      </c>
      <c r="F45" t="s">
        <v>1274</v>
      </c>
    </row>
    <row r="46">
      <c r="A46" t="s">
        <v>1275</v>
      </c>
      <c r="B46" s="62">
        <f>Assumptions!F19</f>
        <v>0.095</v>
      </c>
      <c r="C46" t="s">
        <v>232</v>
      </c>
      <c r="E46" t="s">
        <v>1276</v>
      </c>
    </row>
    <row r="47">
      <c r="A47" t="s">
        <v>1277</v>
      </c>
      <c r="B47" s="62">
        <f>B45-B46</f>
        <v>-0.04024993576364998</v>
      </c>
      <c r="C47" t="s">
        <v>232</v>
      </c>
      <c r="E47" t="s">
        <v>1009</v>
      </c>
      <c r="F47" t="s">
        <v>1278</v>
      </c>
    </row>
    <row r="48">
      <c r="A48" t="s">
        <v>1279</v>
      </c>
      <c r="B48" s="61">
        <f>(B40/(B40+B20))*B34+(B20/(B40+B20))*B39</f>
        <v>0.05453396600396263</v>
      </c>
      <c r="C48" t="s">
        <v>232</v>
      </c>
      <c r="E48" t="s">
        <v>1009</v>
      </c>
      <c r="F48" t="s">
        <v>1280</v>
      </c>
    </row>
    <row r="50">
      <c r="A50" t="s">
        <v>1281</v>
      </c>
    </row>
    <row r="51">
      <c r="A51" t="s">
        <v>1282</v>
      </c>
      <c r="B51">
        <f>IS_Hist!F5</f>
        <v>88309</v>
      </c>
      <c r="C51" t="s">
        <v>993</v>
      </c>
      <c r="D51" s="60">
        <v>46022</v>
      </c>
      <c r="E51" t="s">
        <v>1283</v>
      </c>
    </row>
    <row r="52">
      <c r="A52" t="s">
        <v>1284</v>
      </c>
      <c r="B52" s="61">
        <f>Sector_KPIs!E14</f>
        <v>71306</v>
      </c>
      <c r="C52" t="s">
        <v>993</v>
      </c>
      <c r="D52" s="60">
        <v>46022</v>
      </c>
      <c r="E52" t="s">
        <v>1285</v>
      </c>
    </row>
    <row r="53">
      <c r="A53" t="s">
        <v>1286</v>
      </c>
      <c r="B53" s="61">
        <f>Sector_KPIs!E18</f>
        <v>33937</v>
      </c>
      <c r="C53" t="s">
        <v>993</v>
      </c>
      <c r="D53" s="60">
        <v>46022</v>
      </c>
      <c r="E53" t="s">
        <v>1287</v>
      </c>
      <c r="F53" t="s">
        <v>1288</v>
      </c>
    </row>
    <row r="54">
      <c r="A54" t="s">
        <v>1289</v>
      </c>
      <c r="B54">
        <f>IS_Hist!F14+IS_Hist!F10</f>
        <v>31787</v>
      </c>
      <c r="C54" t="s">
        <v>993</v>
      </c>
      <c r="D54" s="60">
        <v>46022</v>
      </c>
      <c r="E54" t="s">
        <v>1290</v>
      </c>
      <c r="F54" t="s">
        <v>1291</v>
      </c>
    </row>
    <row r="55">
      <c r="A55" t="s">
        <v>1292</v>
      </c>
      <c r="B55">
        <f>IS_Hist!F21</f>
        <v>10992</v>
      </c>
      <c r="C55" t="s">
        <v>993</v>
      </c>
      <c r="D55" s="60">
        <v>46022</v>
      </c>
      <c r="E55" t="s">
        <v>1293</v>
      </c>
    </row>
    <row r="56">
      <c r="A56" t="s">
        <v>1294</v>
      </c>
      <c r="B56">
        <f>IS_Hist!F32</f>
        <v>9.72</v>
      </c>
      <c r="C56" t="s">
        <v>1191</v>
      </c>
      <c r="D56" s="60">
        <v>46022</v>
      </c>
      <c r="E56" t="s">
        <v>1295</v>
      </c>
    </row>
    <row r="57">
      <c r="A57" t="s">
        <v>1296</v>
      </c>
      <c r="B57">
        <f>CF_Hist!F25</f>
        <v>27950</v>
      </c>
      <c r="C57" t="s">
        <v>993</v>
      </c>
      <c r="D57" s="60">
        <v>46022</v>
      </c>
      <c r="E57" t="s">
        <v>1297</v>
      </c>
    </row>
    <row r="58">
      <c r="A58" t="s">
        <v>1298</v>
      </c>
      <c r="B58">
        <f>-CF_Hist!F28</f>
        <v>9955</v>
      </c>
      <c r="C58" t="s">
        <v>993</v>
      </c>
      <c r="D58" s="60">
        <v>46022</v>
      </c>
      <c r="E58" t="s">
        <v>1299</v>
      </c>
    </row>
    <row r="59">
      <c r="A59" t="s">
        <v>1300</v>
      </c>
      <c r="B59">
        <f>Drivers_MDA!F73</f>
        <v>17995</v>
      </c>
      <c r="C59" t="s">
        <v>993</v>
      </c>
      <c r="D59" s="60">
        <v>46022</v>
      </c>
      <c r="E59" t="s">
        <v>1301</v>
      </c>
    </row>
    <row r="60">
      <c r="A60" t="s">
        <v>1302</v>
      </c>
      <c r="B60">
        <f>B11/B55</f>
        <v>17.82028413845797</v>
      </c>
      <c r="C60" t="s">
        <v>323</v>
      </c>
      <c r="D60" s="60">
        <f>D7</f>
        <v>46248</v>
      </c>
      <c r="E60" t="s">
        <v>1009</v>
      </c>
    </row>
    <row r="61">
      <c r="A61" t="s">
        <v>1303</v>
      </c>
      <c r="B61">
        <f>B7/B56</f>
        <v>18.787037037037038</v>
      </c>
      <c r="C61" t="s">
        <v>323</v>
      </c>
      <c r="D61" s="60">
        <f>D7</f>
        <v>46248</v>
      </c>
      <c r="E61" t="s">
        <v>1009</v>
      </c>
      <c r="F61" t="s">
        <v>1304</v>
      </c>
    </row>
    <row r="62">
      <c r="A62" t="s">
        <v>1305</v>
      </c>
      <c r="B62">
        <f>B23/B51</f>
        <v>3.1574874956112065</v>
      </c>
      <c r="C62" t="s">
        <v>323</v>
      </c>
      <c r="D62" s="60">
        <f>D7</f>
        <v>46248</v>
      </c>
      <c r="E62" t="s">
        <v>1009</v>
      </c>
    </row>
    <row r="63">
      <c r="A63" t="s">
        <v>1306</v>
      </c>
      <c r="B63" s="61">
        <f>B23/B52</f>
        <v>3.91039412181205</v>
      </c>
      <c r="C63" t="s">
        <v>323</v>
      </c>
      <c r="D63" s="60">
        <f>D7</f>
        <v>46248</v>
      </c>
      <c r="E63" t="s">
        <v>1009</v>
      </c>
      <c r="F63" t="s">
        <v>1307</v>
      </c>
    </row>
    <row r="64">
      <c r="A64" t="s">
        <v>1308</v>
      </c>
      <c r="B64" s="61">
        <f>B23/B53</f>
        <v>8.216240777025961</v>
      </c>
      <c r="C64" t="s">
        <v>323</v>
      </c>
      <c r="D64" s="60">
        <f>D7</f>
        <v>46248</v>
      </c>
      <c r="E64" t="s">
        <v>1009</v>
      </c>
    </row>
    <row r="65">
      <c r="A65" t="s">
        <v>1309</v>
      </c>
      <c r="B65">
        <f>B23/B54</f>
        <v>8.771968517001605</v>
      </c>
      <c r="C65" t="s">
        <v>323</v>
      </c>
      <c r="D65" s="60">
        <f>D7</f>
        <v>46248</v>
      </c>
      <c r="E65" t="s">
        <v>1009</v>
      </c>
    </row>
    <row r="66">
      <c r="A66" t="s">
        <v>1310</v>
      </c>
      <c r="B66" s="61">
        <f>B24/B53</f>
        <v>8.36755055691222</v>
      </c>
      <c r="C66" t="s">
        <v>323</v>
      </c>
      <c r="E66" t="s">
        <v>1009</v>
      </c>
      <c r="F66" t="s">
        <v>1311</v>
      </c>
    </row>
    <row r="67">
      <c r="A67" t="s">
        <v>1312</v>
      </c>
      <c r="B67">
        <f>B59/B11</f>
        <v>0.09186720571677971</v>
      </c>
      <c r="C67" t="s">
        <v>232</v>
      </c>
      <c r="D67" s="60">
        <f>D7</f>
        <v>46248</v>
      </c>
      <c r="E67" t="s">
        <v>1009</v>
      </c>
    </row>
    <row r="68">
      <c r="A68" t="s">
        <v>1313</v>
      </c>
      <c r="B68">
        <f>-CF_Hist!F43/B11</f>
        <v>0.021038330356146107</v>
      </c>
      <c r="C68" t="s">
        <v>232</v>
      </c>
      <c r="D68" s="60">
        <f>D7</f>
        <v>46248</v>
      </c>
      <c r="E68" t="s">
        <v>1314</v>
      </c>
      <c r="F68" t="s">
        <v>1315</v>
      </c>
    </row>
    <row r="69">
      <c r="A69" t="s">
        <v>1316</v>
      </c>
      <c r="B69">
        <f>-CF_Hist!F42/B11</f>
        <v>0.05091878354093697</v>
      </c>
      <c r="C69" t="s">
        <v>232</v>
      </c>
      <c r="D69" s="60">
        <f>D7</f>
        <v>46248</v>
      </c>
      <c r="E69" t="s">
        <v>1317</v>
      </c>
    </row>
    <row r="70">
      <c r="A70" t="s">
        <v>1318</v>
      </c>
      <c r="B70">
        <f>B68+B69</f>
        <v>0.07195711389708308</v>
      </c>
      <c r="C70" t="s">
        <v>232</v>
      </c>
      <c r="D70" s="60">
        <f>D7</f>
        <v>46248</v>
      </c>
      <c r="E70" t="s">
        <v>1009</v>
      </c>
    </row>
    <row r="71">
      <c r="A71" t="s">
        <v>1319</v>
      </c>
      <c r="B71" s="63">
        <f>Valuation!B20-B7</f>
        <v>-0.44073489452753734</v>
      </c>
      <c r="C71" t="s">
        <v>1191</v>
      </c>
      <c r="D71" s="60">
        <f>D7</f>
        <v>46248</v>
      </c>
      <c r="E71" t="s">
        <v>1320</v>
      </c>
      <c r="F71" t="s">
        <v>1321</v>
      </c>
    </row>
    <row r="72">
      <c r="A72" t="s">
        <v>1322</v>
      </c>
      <c r="B72" s="63">
        <f>B71/B7</f>
        <v>-0.002413530992429425</v>
      </c>
      <c r="C72" t="s">
        <v>232</v>
      </c>
      <c r="E72" t="s">
        <v>1009</v>
      </c>
    </row>
    <row r="74">
      <c r="A74" t="s">
        <v>1323</v>
      </c>
    </row>
    <row r="75">
      <c r="A75" t="s">
        <v>1324</v>
      </c>
      <c r="B75">
        <v>45898</v>
      </c>
      <c r="C75" t="s">
        <v>993</v>
      </c>
      <c r="D75" s="60">
        <v>46203</v>
      </c>
      <c r="E75" t="s">
        <v>1325</v>
      </c>
    </row>
    <row r="76">
      <c r="A76" t="s">
        <v>1326</v>
      </c>
      <c r="B76">
        <v>42018</v>
      </c>
      <c r="C76" t="s">
        <v>993</v>
      </c>
      <c r="D76" s="60">
        <v>45838</v>
      </c>
      <c r="E76" t="s">
        <v>1327</v>
      </c>
    </row>
    <row r="77">
      <c r="A77" t="s">
        <v>1328</v>
      </c>
      <c r="B77">
        <f>IS_Hist!F5-B76+B75</f>
        <v>92189</v>
      </c>
      <c r="C77" t="s">
        <v>993</v>
      </c>
      <c r="D77" s="60">
        <v>46203</v>
      </c>
      <c r="E77" t="s">
        <v>1329</v>
      </c>
    </row>
    <row r="78">
      <c r="A78" t="s">
        <v>1330</v>
      </c>
      <c r="B78">
        <v>9987</v>
      </c>
      <c r="C78" t="s">
        <v>993</v>
      </c>
      <c r="D78" s="60">
        <v>46203</v>
      </c>
      <c r="E78" t="s">
        <v>1331</v>
      </c>
    </row>
    <row r="79">
      <c r="A79" t="s">
        <v>1332</v>
      </c>
      <c r="B79">
        <v>10013</v>
      </c>
      <c r="C79" t="s">
        <v>993</v>
      </c>
      <c r="D79" s="60">
        <v>45838</v>
      </c>
      <c r="E79" t="s">
        <v>1327</v>
      </c>
    </row>
    <row r="80">
      <c r="A80" t="s">
        <v>1333</v>
      </c>
      <c r="B80">
        <f>IS_Hist!F14-B79+B78</f>
        <v>18253</v>
      </c>
      <c r="C80" t="s">
        <v>993</v>
      </c>
      <c r="D80" s="60">
        <v>46203</v>
      </c>
      <c r="E80" t="s">
        <v>1009</v>
      </c>
    </row>
    <row r="81">
      <c r="A81" t="s">
        <v>1334</v>
      </c>
      <c r="B81">
        <v>5743</v>
      </c>
      <c r="C81" t="s">
        <v>993</v>
      </c>
      <c r="D81" s="60">
        <v>46203</v>
      </c>
      <c r="E81" t="s">
        <v>1331</v>
      </c>
    </row>
    <row r="82">
      <c r="A82" t="s">
        <v>1335</v>
      </c>
      <c r="B82">
        <v>6175</v>
      </c>
      <c r="C82" t="s">
        <v>993</v>
      </c>
      <c r="D82" s="60">
        <v>45838</v>
      </c>
      <c r="E82" t="s">
        <v>1327</v>
      </c>
    </row>
    <row r="83">
      <c r="A83" t="s">
        <v>1336</v>
      </c>
      <c r="B83">
        <f>IS_Hist!F21-B82+B81</f>
        <v>10560</v>
      </c>
      <c r="C83" t="s">
        <v>993</v>
      </c>
      <c r="D83" s="60">
        <v>46203</v>
      </c>
      <c r="E83" t="s">
        <v>1009</v>
      </c>
    </row>
    <row r="84">
      <c r="A84" t="s">
        <v>1337</v>
      </c>
      <c r="B84">
        <v>37814</v>
      </c>
      <c r="C84" t="s">
        <v>993</v>
      </c>
      <c r="D84" s="60">
        <v>46203</v>
      </c>
      <c r="E84" t="s">
        <v>1331</v>
      </c>
    </row>
    <row r="85">
      <c r="A85" t="s">
        <v>1338</v>
      </c>
      <c r="B85">
        <v>34363</v>
      </c>
      <c r="C85" t="s">
        <v>993</v>
      </c>
      <c r="D85" s="60">
        <v>45838</v>
      </c>
      <c r="E85" t="s">
        <v>1327</v>
      </c>
    </row>
    <row r="86">
      <c r="A86" t="s">
        <v>1339</v>
      </c>
      <c r="B86" s="61">
        <f>B52-B85+B84</f>
        <v>74757</v>
      </c>
      <c r="C86" t="s">
        <v>993</v>
      </c>
      <c r="D86" s="60">
        <v>46203</v>
      </c>
      <c r="E86" t="s">
        <v>1009</v>
      </c>
    </row>
    <row r="87">
      <c r="A87" t="s">
        <v>1340</v>
      </c>
      <c r="B87">
        <f>B11/B83</f>
        <v>18.549295762303977</v>
      </c>
      <c r="C87" t="s">
        <v>323</v>
      </c>
      <c r="D87" s="60">
        <f>D7</f>
        <v>46248</v>
      </c>
      <c r="E87" t="s">
        <v>1009</v>
      </c>
    </row>
    <row r="88">
      <c r="A88" t="s">
        <v>1341</v>
      </c>
      <c r="B88">
        <f>B23/B77</f>
        <v>3.0245968960497462</v>
      </c>
      <c r="C88" t="s">
        <v>323</v>
      </c>
      <c r="D88" s="60">
        <f>D7</f>
        <v>46248</v>
      </c>
      <c r="E88" t="s">
        <v>1009</v>
      </c>
      <c r="F88" t="s">
        <v>1342</v>
      </c>
    </row>
    <row r="89">
      <c r="A89" t="s">
        <v>1343</v>
      </c>
      <c r="B89">
        <f>B23/B80</f>
        <v>15.276095066560568</v>
      </c>
      <c r="C89" t="s">
        <v>323</v>
      </c>
      <c r="D89" s="60">
        <f>D7</f>
        <v>46248</v>
      </c>
      <c r="E89" t="s">
        <v>1009</v>
      </c>
    </row>
    <row r="90">
      <c r="A90" t="s">
        <v>1344</v>
      </c>
      <c r="B90">
        <v>2825</v>
      </c>
      <c r="C90" t="s">
        <v>993</v>
      </c>
      <c r="D90" s="60">
        <v>46203</v>
      </c>
      <c r="E90" t="s">
        <v>1345</v>
      </c>
      <c r="F90" t="s">
        <v>1346</v>
      </c>
    </row>
    <row r="91">
      <c r="A91" t="s">
        <v>1347</v>
      </c>
      <c r="B91">
        <v>86920</v>
      </c>
      <c r="C91" t="s">
        <v>993</v>
      </c>
      <c r="D91" s="60">
        <v>46203</v>
      </c>
      <c r="E91" t="s">
        <v>1348</v>
      </c>
      <c r="F91" t="s">
        <v>1349</v>
      </c>
    </row>
    <row r="92">
      <c r="A92" t="s">
        <v>1350</v>
      </c>
      <c r="B92">
        <f>B11+B91-B90</f>
        <v>279975.56324993004</v>
      </c>
      <c r="C92" t="s">
        <v>993</v>
      </c>
      <c r="D92" s="60">
        <f>D7</f>
        <v>46248</v>
      </c>
      <c r="E92" t="s">
        <v>1009</v>
      </c>
      <c r="F92" t="s">
        <v>1351</v>
      </c>
    </row>
    <row r="93">
      <c r="A93" t="s">
        <v>1352</v>
      </c>
      <c r="B93">
        <f>B92-B23</f>
        <v>1141</v>
      </c>
      <c r="C93" t="s">
        <v>993</v>
      </c>
      <c r="E93" t="s">
        <v>1009</v>
      </c>
    </row>
    <row r="95">
      <c r="A95" t="s">
        <v>1353</v>
      </c>
    </row>
    <row r="96">
      <c r="A96" t="s">
        <v>1354</v>
      </c>
      <c r="B96">
        <v>6</v>
      </c>
      <c r="C96" t="s">
        <v>1355</v>
      </c>
      <c r="E96" t="s">
        <v>1356</v>
      </c>
      <c r="F96" t="s">
        <v>1357</v>
      </c>
    </row>
    <row r="97">
      <c r="A97" t="s">
        <v>1358</v>
      </c>
      <c r="B97">
        <f>IF(LEN(E7)=0,1,0)+IF(LEN(E8)=0,1,0)+IF(LEN(E31)=0,1,0)+IF(LEN(E32)=0,1,0)+IF(LEN(E33)=0,1,0)+IF(LEN(E35)=0,1,0)</f>
        <v>0</v>
      </c>
      <c r="C97" t="s">
        <v>1355</v>
      </c>
      <c r="E97" t="s">
        <v>1009</v>
      </c>
      <c r="F97" t="s">
        <v>1359</v>
      </c>
    </row>
    <row r="98">
      <c r="A98" t="s">
        <v>1360</v>
      </c>
      <c r="B98" s="60">
        <f>IF(OR(LEN(D7)=0,NOT(ISNUMBER(D7))),1,0)+IF(OR(LEN(D8)=0,NOT(ISNUMBER(D8))),1,0)+IF(OR(LEN(D31)=0,NOT(ISNUMBER(D31))),1,0)+IF(OR(LEN(D32)=0,NOT(ISNUMBER(D32))),1,0)+IF(OR(LEN(D33)=0,NOT(ISNUMBER(D33))),1,0)+IF(OR(LEN(D35)=0,NOT(ISNUMBER(D35))),1,0)</f>
        <v>0</v>
      </c>
      <c r="C98" t="s">
        <v>1355</v>
      </c>
      <c r="E98" t="s">
        <v>1009</v>
      </c>
      <c r="F98" t="s">
        <v>1361</v>
      </c>
    </row>
    <row r="99">
      <c r="A99" t="s">
        <v>1362</v>
      </c>
      <c r="B99" s="60">
        <f>IF(D7&lt;MAX(D7,D31,D35)-5,1,0)+IF(D31&lt;MAX(D7,D31,D35)-5,1,0)+IF(D35&lt;MAX(D7,D31,D35)-5,1,0)+IF(MAX(D7,D31,D35)&lt;TODAY()-10,1,0)</f>
        <v>1</v>
      </c>
      <c r="C99" t="s">
        <v>1355</v>
      </c>
      <c r="E99" t="s">
        <v>1009</v>
      </c>
      <c r="F99" t="s">
        <v>1363</v>
      </c>
    </row>
    <row r="100">
      <c r="A100" t="s">
        <v>1364</v>
      </c>
      <c r="B100" s="60" t="str">
        <f>IF(AND(B97=0,B98=0,B99=0),"PASS","FAIL")</f>
        <v>FAIL</v>
      </c>
      <c r="C100" t="s">
        <v>1365</v>
      </c>
      <c r="E100" t="s">
        <v>1009</v>
      </c>
    </row>
    <row r="102">
      <c r="A102" t="s">
        <v>1366</v>
      </c>
    </row>
    <row r="103">
      <c r="A103" t="s">
        <v>1367</v>
      </c>
    </row>
    <row r="104">
      <c r="A104" t="s">
        <v>1368</v>
      </c>
    </row>
    <row r="105">
      <c r="A105" t="s">
        <v>1369</v>
      </c>
    </row>
    <row r="106">
      <c r="A106" t="s">
        <v>1370</v>
      </c>
    </row>
    <row r="107">
      <c r="A107" t="s">
        <v>1371</v>
      </c>
    </row>
    <row r="108">
      <c r="A108" t="s">
        <v>1372</v>
      </c>
    </row>
    <row r="109">
      <c r="A109" t="s">
        <v>1373</v>
      </c>
    </row>
    <row r="110">
      <c r="A110" t="s">
        <v>1374</v>
      </c>
    </row>
    <row r="111">
      <c r="A111" t="s">
        <v>1375</v>
      </c>
    </row>
    <row r="112">
      <c r="A112" t="s">
        <v>1376</v>
      </c>
    </row>
  </sheetData>
</worksheet>
</file>

<file path=xl/worksheets/sheet20.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66" t="s">
        <v>1377</v>
      </c>
      <c r="B1" s="66" t="s">
        <v>1378</v>
      </c>
      <c r="C1" s="66" t="s">
        <v>1379</v>
      </c>
      <c r="D1" s="66" t="s">
        <v>1380</v>
      </c>
      <c r="E1" s="66" t="s">
        <v>1381</v>
      </c>
      <c r="F1" s="66" t="s">
        <v>1382</v>
      </c>
    </row>
    <row r="2">
      <c r="A2" s="65">
        <v>1</v>
      </c>
      <c r="B2" s="67">
        <v>46324.35933327547</v>
      </c>
      <c r="C2" s="65" t="s">
        <v>1383</v>
      </c>
      <c r="D2" s="65" t="s">
        <v>1384</v>
      </c>
      <c r="E2" s="65" t="s">
        <v>1385</v>
      </c>
      <c r="F2" s="65" t="s">
        <v>1386</v>
      </c>
    </row>
  </sheetData>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00_Cover</vt:lpstr>
      <vt:lpstr>Sources</vt:lpstr>
      <vt:lpstr>Historical</vt:lpstr>
      <vt:lpstr>Assumptions</vt:lpstr>
      <vt:lpstr>Forecast</vt:lpstr>
      <vt:lpstr>Valuation</vt:lpstr>
      <vt:lpstr>Sensitivity</vt:lpstr>
      <vt:lpstr>Checks</vt:lpstr>
      <vt:lpstr>Sector_KPIs</vt:lpstr>
      <vt:lpstr>Change_Log</vt:lpstr>
      <vt:lpstr>Gate_9of10</vt:lpstr>
    </vt:vector>
  </TitlesOfParts>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xsi="http://www.w3.org/2001/XMLSchema-instance">
  <dc:title/>
  <dc:subject/>
  <dc:creator/>
  <dc:description/>
  <ns0:lastModifiedBy>OpenFinmods</ns0:lastModifiedBy>
  <ns0:revision>0</ns0:revision>
  <ns2:modified xsi:type="dcterms:W3CDTF">2026-07-21T02:45:49Z</ns2:modified>
  <dc:language>en-US</dc:language>
</ns0:coreProperties>
</file>