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Operating_Model" sheetId="5" r:id="rId7"/>
    <sheet name="Forecast" sheetId="6" r:id="rId8"/>
    <sheet name="Valuation" sheetId="7" r:id="rId9"/>
    <sheet name="Sensitivity" sheetId="8" r:id="rId10"/>
    <sheet name="Checks" sheetId="9" r:id="rId11"/>
    <sheet name="Gate_9of10" sheetId="10" r:id="rId12"/>
    <sheet name="Change_Log" sheetId="11" r:id="rId13"/>
    <sheet name="Claude Code Log" sheetId="12" r:id="rId15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tc={412D4C26-ADF6-1502-A1B1-A39C874ADAA9}</author>
    <author>tc={1F65E581-6739-F5BA-BAF0-5CA8F1C1E90D}</author>
    <author>tc={C25E231C-5769-96C1-2E26-495F3153F3B1}</author>
    <author>tc={B80EDE95-A34A-F91F-DD5C-D1E5DF0D7A8C}</author>
    <author>tc={3E219823-3B6E-3148-0DE1-C822EBA02DAF}</author>
    <author>tc={ACD65645-3FAD-5AE7-3245-643D0535E221}</author>
    <author>tc={97B0F27E-2C16-3FC8-132D-FF1E9D2018B0}</author>
    <author>tc={51E2EF7D-213E-C07E-A26E-02E589E3600F}</author>
    <author>tc={CC5E3E3B-8337-4676-541F-DB3A1A037293}</author>
    <author>tc={30944F54-5274-10F5-3465-879709FAD22F}</author>
    <author>tc={F0DCD342-A251-CCE6-85ED-1732DBF117B1}</author>
    <author>tc={6B244E22-8991-8B91-B520-A317D85A9495}</author>
    <author>tc={BBCA88CD-A230-03CD-1F2E-06A9327D655B}</author>
    <author>tc={67A96D2A-948B-E23A-603B-D87D2DCD2A34}</author>
    <author>tc={5FA2A275-F63E-4088-3E79-38472B609255}</author>
    <author>tc={CF41AC9E-F97F-1F31-F196-35E3139A86A0}</author>
    <author>tc={DE33045A-F5DD-882B-B7A0-6887DA4F7A1A}</author>
    <author>tc={0FDA9FE9-E5B4-DFBF-9F32-2893580D6030}</author>
    <author>tc={AADF7CF8-F1C1-823F-F331-5E1A27B92AF8}</author>
    <author>tc={29E0E284-520A-456C-2882-BB1004ED0778}</author>
    <author>tc={87F97630-F847-F43F-2DFE-3A865D1D0A2A}</author>
    <author>tc={13AD8546-76DF-F130-ACF8-214CB2B0FB6D}</author>
    <author>tc={0282C9D6-E628-5D2E-EEF0-E84841DAC9C9}</author>
    <author>tc={8BA2EAB5-8F7D-A013-DBFC-6F6A50A96FE0}</author>
    <author>tc={E23C333F-62AF-7ADF-C52E-ADD422E7A04D}</author>
    <author>tc={6FB470C1-D1A8-9F06-E748-2A945963BE94}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4</xdr:row>
            <xdr:rowOff>2</xdr:rowOff>
          </from>
          <to>
            <xdr:col>3</xdr:col>
            <xdr:colOff>15</xdr:colOff>
            <xdr:row>8</xdr:row>
            <xdr:rowOff>2</xdr:rowOff>
          </to>
        </anchor>
      </commentPr>
    </comment>
    <comment ref="B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5</xdr:row>
            <xdr:rowOff>2</xdr:rowOff>
          </from>
          <to>
            <xdr:col>3</xdr:col>
            <xdr:colOff>15</xdr:colOff>
            <xdr:row>9</xdr:row>
            <xdr:rowOff>2</xdr:rowOff>
          </to>
        </anchor>
      </commentPr>
    </comment>
    <comment ref="B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6</xdr:row>
            <xdr:rowOff>2</xdr:rowOff>
          </from>
          <to>
            <xdr:col>3</xdr:col>
            <xdr:colOff>15</xdr:colOff>
            <xdr:row>10</xdr:row>
            <xdr:rowOff>2</xdr:rowOff>
          </to>
        </anchor>
      </commentPr>
    </comment>
    <comment ref="B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7</xdr:row>
            <xdr:rowOff>2</xdr:rowOff>
          </from>
          <to>
            <xdr:col>3</xdr:col>
            <xdr:colOff>15</xdr:colOff>
            <xdr:row>11</xdr:row>
            <xdr:rowOff>2</xdr:rowOff>
          </to>
        </anchor>
      </commentPr>
    </comment>
    <comment ref="B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8</xdr:row>
            <xdr:rowOff>2</xdr:rowOff>
          </from>
          <to>
            <xdr:col>3</xdr:col>
            <xdr:colOff>15</xdr:colOff>
            <xdr:row>12</xdr:row>
            <xdr:rowOff>2</xdr:rowOff>
          </to>
        </anchor>
      </commentPr>
    </comment>
    <comment ref="B1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9</xdr:row>
            <xdr:rowOff>2</xdr:rowOff>
          </from>
          <to>
            <xdr:col>3</xdr:col>
            <xdr:colOff>15</xdr:colOff>
            <xdr:row>13</xdr:row>
            <xdr:rowOff>2</xdr:rowOff>
          </to>
        </anchor>
      </commentPr>
    </comment>
    <comment ref="B13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12</xdr:row>
            <xdr:rowOff>2</xdr:rowOff>
          </from>
          <to>
            <xdr:col>3</xdr:col>
            <xdr:colOff>15</xdr:colOff>
            <xdr:row>16</xdr:row>
            <xdr:rowOff>2</xdr:rowOff>
          </to>
        </anchor>
      </commentPr>
    </comment>
    <comment ref="B14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13</xdr:row>
            <xdr:rowOff>2</xdr:rowOff>
          </from>
          <to>
            <xdr:col>3</xdr:col>
            <xdr:colOff>15</xdr:colOff>
            <xdr:row>17</xdr:row>
            <xdr:rowOff>2</xdr:rowOff>
          </to>
        </anchor>
      </commentPr>
    </comment>
    <comment ref="B15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14</xdr:row>
            <xdr:rowOff>2</xdr:rowOff>
          </from>
          <to>
            <xdr:col>3</xdr:col>
            <xdr:colOff>15</xdr:colOff>
            <xdr:row>18</xdr:row>
            <xdr:rowOff>2</xdr:rowOff>
          </to>
        </anchor>
      </commentPr>
    </comment>
    <comment ref="B16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15</xdr:row>
            <xdr:rowOff>2</xdr:rowOff>
          </from>
          <to>
            <xdr:col>3</xdr:col>
            <xdr:colOff>15</xdr:colOff>
            <xdr:row>19</xdr:row>
            <xdr:rowOff>2</xdr:rowOff>
          </to>
        </anchor>
      </commentPr>
    </comment>
    <comment ref="B17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16</xdr:row>
            <xdr:rowOff>2</xdr:rowOff>
          </from>
          <to>
            <xdr:col>3</xdr:col>
            <xdr:colOff>15</xdr:colOff>
            <xdr:row>20</xdr:row>
            <xdr:rowOff>2</xdr:rowOff>
          </to>
        </anchor>
      </commentPr>
    </comment>
    <comment ref="B18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17</xdr:row>
            <xdr:rowOff>2</xdr:rowOff>
          </from>
          <to>
            <xdr:col>3</xdr:col>
            <xdr:colOff>15</xdr:colOff>
            <xdr:row>21</xdr:row>
            <xdr:rowOff>2</xdr:rowOff>
          </to>
        </anchor>
      </commentPr>
    </comment>
    <comment ref="B21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1</xdr:col>
            <xdr:colOff>15</xdr:colOff>
            <xdr:row>20</xdr:row>
            <xdr:rowOff>2</xdr:rowOff>
          </from>
          <to>
            <xdr:col>3</xdr:col>
            <xdr:colOff>15</xdr:colOff>
            <xdr:row>24</xdr:row>
            <xdr:rowOff>2</xdr:rowOff>
          </to>
        </anchor>
      </commentPr>
    </comment>
    <comment ref="C5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7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3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C16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C17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16</xdr:row>
            <xdr:rowOff>2</xdr:rowOff>
          </from>
          <to>
            <xdr:col>4</xdr:col>
            <xdr:colOff>15</xdr:colOff>
            <xdr:row>20</xdr:row>
            <xdr:rowOff>2</xdr:rowOff>
          </to>
        </anchor>
      </commentPr>
    </comment>
    <comment ref="C18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17</xdr:row>
            <xdr:rowOff>2</xdr:rowOff>
          </from>
          <to>
            <xdr:col>4</xdr:col>
            <xdr:colOff>15</xdr:colOff>
            <xdr:row>21</xdr:row>
            <xdr:rowOff>2</xdr:rowOff>
          </to>
        </anchor>
      </commentPr>
    </comment>
    <comment ref="C21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Berkshire Hathaway 2025 Annual Report (https://www.berkshirehathaway.com/2025ar/2025ar.pdf); exact row-level locators in Sources.</t>
        </r>
      </text>
      <commentPr locked="0" textHAlign="justify" textVAlign="top">
        <anchor>
          <from>
            <xdr:col>2</xdr:col>
            <xdr:colOff>15</xdr:colOff>
            <xdr:row>20</xdr:row>
            <xdr:rowOff>2</xdr:rowOff>
          </from>
          <to>
            <xdr:col>4</xdr:col>
            <xdr:colOff>15</xdr:colOff>
            <xdr:row>24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<sst xmlns="http://schemas.openxmlformats.org/spreadsheetml/2006/main" count="624" uniqueCount="338">
  <si>
    <t>Berkshire Hathaway Inc. - Insurance &amp; Diversified Holdco SOTP</t>
  </si>
  <si>
    <t>USD millions except per-share data | FY2025 actual | sector-correct controlled rebuild</t>
  </si>
  <si>
    <t>Model field</t>
  </si>
  <si>
    <t>Value</t>
  </si>
  <si>
    <t>Legal entity</t>
  </si>
  <si>
    <t>Berkshire Hathaway Inc.</t>
  </si>
  <si>
    <t>Ticker</t>
  </si>
  <si>
    <t>BRK.B</t>
  </si>
  <si>
    <t>CIK</t>
  </si>
  <si>
    <t>0001067983</t>
  </si>
  <si>
    <t>Model archetype</t>
  </si>
  <si>
    <t>Insurance + diversified holding company SOTP</t>
  </si>
  <si>
    <t>Primary valuation</t>
  </si>
  <si>
    <t>Net investments + segment earnings capitalization</t>
  </si>
  <si>
    <t>Secondary cross-check</t>
  </si>
  <si>
    <t>Price / book and earnings bridge</t>
  </si>
  <si>
    <t>Reporting/model currency</t>
  </si>
  <si>
    <t>USD / USD millions</t>
  </si>
  <si>
    <t>Actual period</t>
  </si>
  <si>
    <t>Year ended 2025-12-31</t>
  </si>
  <si>
    <t>Source filing</t>
  </si>
  <si>
    <t>2025 Form 10-K filed 2026-03-02</t>
  </si>
  <si>
    <t>Scenario</t>
  </si>
  <si>
    <t>Overall model status</t>
  </si>
  <si>
    <t>Independent status</t>
  </si>
  <si>
    <t>PENDING INDEPENDENT REVIEW</t>
  </si>
  <si>
    <t>Use: change only blue/yellow assumption cells. Historical facts are hardcoded from the claim-level Sources ledger; formulas and cross-sheet links remain traceable.</t>
  </si>
  <si>
    <t>Claim-level source ledger</t>
  </si>
  <si>
    <t>Every material reported hardcode maps to an exact filing, locator and workbook destination.</t>
  </si>
  <si>
    <t>Source ID</t>
  </si>
  <si>
    <t>Metric</t>
  </si>
  <si>
    <t>Reported value</t>
  </si>
  <si>
    <t>Units</t>
  </si>
  <si>
    <t>Period</t>
  </si>
  <si>
    <t>Basis / context</t>
  </si>
  <si>
    <t>Claim locator</t>
  </si>
  <si>
    <t>Form</t>
  </si>
  <si>
    <t>Filed</t>
  </si>
  <si>
    <t>Accession</t>
  </si>
  <si>
    <t>Exact official URL</t>
  </si>
  <si>
    <t>Workbook destination</t>
  </si>
  <si>
    <t>Transformation</t>
  </si>
  <si>
    <t>Class</t>
  </si>
  <si>
    <t>Status</t>
  </si>
  <si>
    <t>BRK25-REV</t>
  </si>
  <si>
    <t>Total revenues</t>
  </si>
  <si>
    <t>USD mm</t>
  </si>
  <si>
    <t>FY2025</t>
  </si>
  <si>
    <t>Consolidated</t>
  </si>
  <si>
    <t>Annual report PDF p.92 / K-67, total revenues</t>
  </si>
  <si>
    <t>10-K</t>
  </si>
  <si>
    <t>2026-03-02</t>
  </si>
  <si>
    <t>0001193125-26-083899</t>
  </si>
  <si>
    <t>https://www.berkshirehathaway.com/2025ar/2025ar.pdf</t>
  </si>
  <si>
    <t>Historical!C5</t>
  </si>
  <si>
    <t>Direct; dollars in millions</t>
  </si>
  <si>
    <t>Primary filing</t>
  </si>
  <si>
    <t>PASS</t>
  </si>
  <si>
    <t>BRK25-NI</t>
  </si>
  <si>
    <t>Net income attributable to Berkshire shareholders</t>
  </si>
  <si>
    <t>Annual report PDF p.58 / K-34; us-gaap:NetIncomeLoss</t>
  </si>
  <si>
    <t>https://www.sec.gov/Archives/edgar/data/1067983/000119312526083899/brka-20251231.htm</t>
  </si>
  <si>
    <t>Historical!C6</t>
  </si>
  <si>
    <t>BRK25-EQ</t>
  </si>
  <si>
    <t>Shareholders equity</t>
  </si>
  <si>
    <t>2025-12-31</t>
  </si>
  <si>
    <t>Annual report PDF p.91 / K-66; us-gaap:StockholdersEquity</t>
  </si>
  <si>
    <t>Historical!C7</t>
  </si>
  <si>
    <t>BRK25-CASH</t>
  </si>
  <si>
    <t>Insurance and other cash, equivalents and Treasury Bills</t>
  </si>
  <si>
    <t>Insurance and other businesses</t>
  </si>
  <si>
    <t>Annual report PDF p.77 / K-52, Financial Condition</t>
  </si>
  <si>
    <t>Historical!C8</t>
  </si>
  <si>
    <t>Rounded issuer disclosure</t>
  </si>
  <si>
    <t>BRK25-SEC</t>
  </si>
  <si>
    <t>Equity and fixed maturity securities</t>
  </si>
  <si>
    <t>Excludes equity-method investments</t>
  </si>
  <si>
    <t>Historical!C9</t>
  </si>
  <si>
    <t>BRK25-FLOAT</t>
  </si>
  <si>
    <t>Insurance float</t>
  </si>
  <si>
    <t>Approximate policyholder funds</t>
  </si>
  <si>
    <t>Annual report PDF p.65 / K-40</t>
  </si>
  <si>
    <t>Historical!C10</t>
  </si>
  <si>
    <t>BRK25-DEBT</t>
  </si>
  <si>
    <t>Borrowings excluding BHE and BNSF</t>
  </si>
  <si>
    <t>Berkshire + BHFC</t>
  </si>
  <si>
    <t>Historical!C11</t>
  </si>
  <si>
    <t>BRK25-UW</t>
  </si>
  <si>
    <t>Insurance underwriting after-tax earnings</t>
  </si>
  <si>
    <t>Operating earnings</t>
  </si>
  <si>
    <t>Annual report PDF p.58 / K-34</t>
  </si>
  <si>
    <t>Historical!C13</t>
  </si>
  <si>
    <t>Direct; excludes investment gains</t>
  </si>
  <si>
    <t>BRK25-INV</t>
  </si>
  <si>
    <t>Insurance investment after-tax income</t>
  </si>
  <si>
    <t>Historical!C14</t>
  </si>
  <si>
    <t>Direct</t>
  </si>
  <si>
    <t>BRK25-BNSF</t>
  </si>
  <si>
    <t>BNSF Railway</t>
  </si>
  <si>
    <t>Net earnings</t>
  </si>
  <si>
    <t>Attributable to Berkshire</t>
  </si>
  <si>
    <t>Annual report PDF p.58 / K-34 and p.65 / K-41</t>
  </si>
  <si>
    <t>Historical!C15</t>
  </si>
  <si>
    <t>BRK25-BHE</t>
  </si>
  <si>
    <t>Berkshire Hathaway Energy</t>
  </si>
  <si>
    <t>Annual report PDF p.68 / K-44</t>
  </si>
  <si>
    <t>Historical!C16</t>
  </si>
  <si>
    <t>BRK25-MSR</t>
  </si>
  <si>
    <t>Manufacturing, service and retailing net earnings</t>
  </si>
  <si>
    <t>Annual report PDF p.58 / K-34 and p.70 / K-46</t>
  </si>
  <si>
    <t>Historical!C17</t>
  </si>
  <si>
    <t>BRK25-OTH</t>
  </si>
  <si>
    <t>Other operating earnings</t>
  </si>
  <si>
    <t>Historical!C18</t>
  </si>
  <si>
    <t>BRK25-SH</t>
  </si>
  <si>
    <t>Average equivalent Class B shares</t>
  </si>
  <si>
    <t>mm shares</t>
  </si>
  <si>
    <t>Class B equivalent</t>
  </si>
  <si>
    <t>Annual report PDF p.94 / K-69</t>
  </si>
  <si>
    <t>Historical!C21</t>
  </si>
  <si>
    <t>Shares / 1,000,000</t>
  </si>
  <si>
    <t>BRK24-UW</t>
  </si>
  <si>
    <t>FY2024</t>
  </si>
  <si>
    <t>Comparative operating earnings</t>
  </si>
  <si>
    <t>Historical!B13</t>
  </si>
  <si>
    <t>Comparative as filed</t>
  </si>
  <si>
    <t>BRK24-INV</t>
  </si>
  <si>
    <t>Historical!B14</t>
  </si>
  <si>
    <t>BRK24-BNSF</t>
  </si>
  <si>
    <t>Comparative</t>
  </si>
  <si>
    <t>Historical!B15</t>
  </si>
  <si>
    <t>BRK24-BHE</t>
  </si>
  <si>
    <t>Historical!B16</t>
  </si>
  <si>
    <t>BRK24-MSR</t>
  </si>
  <si>
    <t>Historical!B17</t>
  </si>
  <si>
    <t>BRK24-FLOAT</t>
  </si>
  <si>
    <t>2024-12-31</t>
  </si>
  <si>
    <t>Historical!B10</t>
  </si>
  <si>
    <t>Completeness</t>
  </si>
  <si>
    <t>Historical and segment evidence</t>
  </si>
  <si>
    <t>Reported values; formulas only where explicitly derived.</t>
  </si>
  <si>
    <t>2024A</t>
  </si>
  <si>
    <t>2025A</t>
  </si>
  <si>
    <t>Net income attributable</t>
  </si>
  <si>
    <t>Cash + Treasury Bills</t>
  </si>
  <si>
    <t>Equity + fixed maturity securities</t>
  </si>
  <si>
    <t>Borrowings excl. BNSF/BHE</t>
  </si>
  <si>
    <t>Insurance underwriting earnings</t>
  </si>
  <si>
    <t>Insurance investment income</t>
  </si>
  <si>
    <t>BNSF earnings</t>
  </si>
  <si>
    <t>BHE earnings</t>
  </si>
  <si>
    <t>Manufacturing/service/retailing earnings</t>
  </si>
  <si>
    <t>Other earnings</t>
  </si>
  <si>
    <t>Operating earnings excluding investment gains</t>
  </si>
  <si>
    <t>Equivalent Class B shares (mm)</t>
  </si>
  <si>
    <t>Scenario assumptions</t>
  </si>
  <si>
    <t>1 = Base, 2 = Bull, 3 = Bear. Blue/yellow cells are editable model assumptions.</t>
  </si>
  <si>
    <t>Scenario selector</t>
  </si>
  <si>
    <t>Driver</t>
  </si>
  <si>
    <t>Base</t>
  </si>
  <si>
    <t>Bull</t>
  </si>
  <si>
    <t>Bear</t>
  </si>
  <si>
    <t>Active</t>
  </si>
  <si>
    <t>Underwriting earnings growth</t>
  </si>
  <si>
    <t>BNSF earnings growth</t>
  </si>
  <si>
    <t>BHE earnings growth</t>
  </si>
  <si>
    <t>Manufacturing/service/retailing growth</t>
  </si>
  <si>
    <t>Other earnings growth</t>
  </si>
  <si>
    <t>Net investment asset growth</t>
  </si>
  <si>
    <t>Underwriting multiple</t>
  </si>
  <si>
    <t>BNSF multiple</t>
  </si>
  <si>
    <t>BHE multiple</t>
  </si>
  <si>
    <t>Manufacturing/service/retailing multiple</t>
  </si>
  <si>
    <t>Other multiple</t>
  </si>
  <si>
    <t>Price / book cross-check</t>
  </si>
  <si>
    <t>Net investment haircut</t>
  </si>
  <si>
    <t>Berkshire operating architecture</t>
  </si>
  <si>
    <t>Separates insurance float/investments from after-tax operating businesses to avoid double counting.</t>
  </si>
  <si>
    <t>2026E</t>
  </si>
  <si>
    <t>2027E</t>
  </si>
  <si>
    <t>2028E</t>
  </si>
  <si>
    <t>2029E</t>
  </si>
  <si>
    <t>2030E</t>
  </si>
  <si>
    <t>Assumptions!E7</t>
  </si>
  <si>
    <t>Assumptions!E8</t>
  </si>
  <si>
    <t>Assumptions!E9</t>
  </si>
  <si>
    <t>Assumptions!E10</t>
  </si>
  <si>
    <t>Assumptions!E11</t>
  </si>
  <si>
    <t>Operating earnings subtotal</t>
  </si>
  <si>
    <t>Net investment assets before haircut</t>
  </si>
  <si>
    <t>Assumptions!E12</t>
  </si>
  <si>
    <t>Net investment assets after haircut</t>
  </si>
  <si>
    <t>Assumptions!E19</t>
  </si>
  <si>
    <t>Forecast summary</t>
  </si>
  <si>
    <t>Formula-driven segment earnings and net investment asset outlook.</t>
  </si>
  <si>
    <t>Net investment assets</t>
  </si>
  <si>
    <t>ROE</t>
  </si>
  <si>
    <t>Sum-of-the-parts valuation</t>
  </si>
  <si>
    <t>Net investment assets plus separately capitalized after-tax operating earnings; insurance investment income is excluded from earnings multiples to prevent double counting.</t>
  </si>
  <si>
    <t>Component</t>
  </si>
  <si>
    <t>2026E earnings / asset</t>
  </si>
  <si>
    <t>Multiple</t>
  </si>
  <si>
    <t>Gross value</t>
  </si>
  <si>
    <t>Adjustment</t>
  </si>
  <si>
    <t>Equity contribution</t>
  </si>
  <si>
    <t>Method</t>
  </si>
  <si>
    <t>Source / driver</t>
  </si>
  <si>
    <t>Asset value</t>
  </si>
  <si>
    <t>Operating_Model</t>
  </si>
  <si>
    <t>Insurance underwriting</t>
  </si>
  <si>
    <t>P/E</t>
  </si>
  <si>
    <t>Forecast earnings</t>
  </si>
  <si>
    <t>BNSF</t>
  </si>
  <si>
    <t>BHE</t>
  </si>
  <si>
    <t>Manufacturing/service/retailing</t>
  </si>
  <si>
    <t>Other</t>
  </si>
  <si>
    <t>Output</t>
  </si>
  <si>
    <t>SOTP equity value</t>
  </si>
  <si>
    <t>Implied value per Class B share</t>
  </si>
  <si>
    <t>Dynamic SOTP sensitivity</t>
  </si>
  <si>
    <t>Rows vary underwriting multiple; columns vary manufacturing/service/retailing multiple. Every cell recalculates the underlying SOTP.</t>
  </si>
  <si>
    <t>UW / MSR</t>
  </si>
  <si>
    <t>Model checks</t>
  </si>
  <si>
    <t>One assertion per row. Overall status is formula-driven and cannot be manually painted green.</t>
  </si>
  <si>
    <t>Check</t>
  </si>
  <si>
    <t>Actual</t>
  </si>
  <si>
    <t>Expected</t>
  </si>
  <si>
    <t>Difference</t>
  </si>
  <si>
    <t>Tolerance</t>
  </si>
  <si>
    <t>Severity</t>
  </si>
  <si>
    <t>Location / fix hint</t>
  </si>
  <si>
    <t>Source ledger completeness</t>
  </si>
  <si>
    <t>Critical</t>
  </si>
  <si>
    <t>Sources!A4:P25</t>
  </si>
  <si>
    <t>Operating earnings tie</t>
  </si>
  <si>
    <t>Historical!C13:C19</t>
  </si>
  <si>
    <t>Net investment asset bridge</t>
  </si>
  <si>
    <t>Operating_Model!B11</t>
  </si>
  <si>
    <t>Scenario selector valid</t>
  </si>
  <si>
    <t>Assumptions!B4</t>
  </si>
  <si>
    <t>Float below investable assets</t>
  </si>
  <si>
    <t>Historical!C8:C10</t>
  </si>
  <si>
    <t>SOTP total formula tie</t>
  </si>
  <si>
    <t>Valuation!F5:F10</t>
  </si>
  <si>
    <t>Sensitivity center ties valuation</t>
  </si>
  <si>
    <t>Sensitivity!D7 / Valuation!B15</t>
  </si>
  <si>
    <t>Forecast values non-negative</t>
  </si>
  <si>
    <t>Operating_Model!C5:G12</t>
  </si>
  <si>
    <t>Equivalent share count positive</t>
  </si>
  <si>
    <t>Forecast engine propagates through 2030</t>
  </si>
  <si>
    <t>Operating_Model!D5:G12</t>
  </si>
  <si>
    <t>All critical checks must pass</t>
  </si>
  <si>
    <t>Owner 9/10 submission gate</t>
  </si>
  <si>
    <t>Owner evidence only; final certification belongs to the independent reviewer after the workbook hash is frozen.</t>
  </si>
  <si>
    <t>Gate</t>
  </si>
  <si>
    <t>Weight</t>
  </si>
  <si>
    <t>Owner status</t>
  </si>
  <si>
    <t>Blocker class</t>
  </si>
  <si>
    <t>Workbook evidence</t>
  </si>
  <si>
    <t>External evidence pointer</t>
  </si>
  <si>
    <t>Reviewer note</t>
  </si>
  <si>
    <t>Score</t>
  </si>
  <si>
    <t>H0 Controlled lineage / OOXML</t>
  </si>
  <si>
    <t>None</t>
  </si>
  <si>
    <t>00_Cover; Change_Log</t>
  </si>
  <si>
    <t>internal QA evidence (not published)</t>
  </si>
  <si>
    <t>Original hash + controlled hash recorded externally</t>
  </si>
  <si>
    <t>H1 Source fidelity / provenance</t>
  </si>
  <si>
    <t>BRK 2025 10-K + annual report PDF</t>
  </si>
  <si>
    <t>20 claim-level mappings</t>
  </si>
  <si>
    <t>H2 Formula and schedule mechanics</t>
  </si>
  <si>
    <t>Operating_Model; Forecast</t>
  </si>
  <si>
    <t>Scenario evidence</t>
  </si>
  <si>
    <t>Sector-correct float/investment/segment architecture</t>
  </si>
  <si>
    <t>H3 Scenarios / sensitivity</t>
  </si>
  <si>
    <t>Assumptions; Sensitivity</t>
  </si>
  <si>
    <t>Scenario perturbation log</t>
  </si>
  <si>
    <t>Dynamic base/bull/bear and two-factor SOTP</t>
  </si>
  <si>
    <t>H4 Valuation fit / mechanics</t>
  </si>
  <si>
    <t>Valuation!A4:H16</t>
  </si>
  <si>
    <t>SOTP evidence</t>
  </si>
  <si>
    <t>No bank-shell residual-income misclassification</t>
  </si>
  <si>
    <t>H5 Checks / error state</t>
  </si>
  <si>
    <t>Checks!A4:H15</t>
  </si>
  <si>
    <t>Post-recalc error scan</t>
  </si>
  <si>
    <t>Formula-driven overall status</t>
  </si>
  <si>
    <t>H6 Native recalculation</t>
  </si>
  <si>
    <t>Gate_9of10!A17:H20</t>
  </si>
  <si>
    <t>Native recalc log</t>
  </si>
  <si>
    <t>Two isolated-profile LibreOfficeDev passes plus artifact-tool reopen and error scan</t>
  </si>
  <si>
    <t>H7 Post-recalc visual QA</t>
  </si>
  <si>
    <t>All user-facing sheets</t>
  </si>
  <si>
    <t>Final preview manifest</t>
  </si>
  <si>
    <t>Every user-facing sheet rendered and reviewed; manifest is hash-bound after final pass</t>
  </si>
  <si>
    <t>H8 Material economic upgrade</t>
  </si>
  <si>
    <t>Operating_Model; Valuation</t>
  </si>
  <si>
    <t>Change_Log</t>
  </si>
  <si>
    <t>Insurance/diversified SOTP replaces generic bank shell</t>
  </si>
  <si>
    <t>H9 Governance / handoff</t>
  </si>
  <si>
    <t>Evidence JSON</t>
  </si>
  <si>
    <t>Independent certification pending</t>
  </si>
  <si>
    <t>Owner score</t>
  </si>
  <si>
    <t>Owner decision</t>
  </si>
  <si>
    <t>Native engine</t>
  </si>
  <si>
    <t>LibreOfficeDev 26.8.0.0.alpha0 2c87e51eeaa2b413ff4ae097b2705eea1995d8e5</t>
  </si>
  <si>
    <t>Lifecycle</t>
  </si>
  <si>
    <t>RECALC / SAVE / CLOSE / REOPEN x2</t>
  </si>
  <si>
    <t>Owner evidence</t>
  </si>
  <si>
    <t>Change log and governance</t>
  </si>
  <si>
    <t>Controlled rebuild and review trail.</t>
  </si>
  <si>
    <t>Date</t>
  </si>
  <si>
    <t>Version</t>
  </si>
  <si>
    <t>Author</t>
  </si>
  <si>
    <t>Change</t>
  </si>
  <si>
    <t>Evidence</t>
  </si>
  <si>
    <t>Reviewer status</t>
  </si>
  <si>
    <t>2026-07-16</t>
  </si>
  <si>
    <t>2.0</t>
  </si>
  <si>
    <t>Codex</t>
  </si>
  <si>
    <t>Rebuilt Berkshire as insurance/diversified holdco SOTP</t>
  </si>
  <si>
    <t>Sources; Operating_Model; Valuation</t>
  </si>
  <si>
    <t>Owner complete</t>
  </si>
  <si>
    <t>Added claim-level 2025 10-K and PDF locators</t>
  </si>
  <si>
    <t>Added formula-driven scenarios, sensitivities and checks</t>
  </si>
  <si>
    <t>Assumptions; Sensitivity; Checks</t>
  </si>
  <si>
    <t>Independent reviewer</t>
  </si>
  <si>
    <t>Certification decision</t>
  </si>
  <si>
    <t>Frozen workbook hash</t>
  </si>
  <si>
    <t>Pending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</si>
  <si>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</si>
  <si>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</si>
  <si>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</si>
  <si>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</si>
  <si>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</si>
  <si>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</si>
  <si>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</si>
  <si>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Gate_9of10: 2 cells written, at F5, B21.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</si>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</sst>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* #,##0_-;\-* #,##0_-;_-* \-_-;_-@_-"/>
    <numFmt numFmtId="167" formatCode="0%"/>
    <numFmt numFmtId="168" formatCode="@"/>
    <numFmt numFmtId="169" formatCode="#,##0.0;[RED]\(#,##0.0\);\-"/>
    <numFmt numFmtId="170" formatCode="0"/>
    <numFmt numFmtId="171" formatCode="0.0%;[RED]\(0.0%\);\-"/>
    <numFmt numFmtId="172" formatCode="0.0\x;[RED]\(0.0&quot;x)&quot;;\-"/>
    <numFmt numFmtId="173" formatCode="\$0.00;[RED]&quot;($&quot;0.00\);\-"/>
    <numFmt numFmtId="174" formatCode="yyyy\-mm\-dd hh:mm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/>
      <sz val="16"/>
      <color rgb="FFFFFFFF"/>
      <name val="Arial"/>
      <family val="0"/>
      <charset val="1"/>
    </font>
    <font>
      <i/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/>
      <sz val="10"/>
      <color rgb="FF000000"/>
      <name val="Arial"/>
      <family val="0"/>
      <charset val="1"/>
    </font>
    <font>
      <b/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/>
      <sz val="10"/>
      <color rgb="FF008000"/>
      <name val="Arial"/>
      <family val="0"/>
      <charset val="1"/>
    </font>
    <font>
      <b/>
      <i val="0"/>
      <strike val="0"/>
      <sz val="10"/>
      <color rgb="FF000000"/>
      <name val="Arial"/>
      <family val="2"/>
      <charset val="1"/>
    </font>
    <font>
      <b val="0"/>
      <i val="0"/>
      <strike val="0"/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3F8"/>
        <bgColor rgb="FFE2F0D9"/>
      </patternFill>
    </fill>
    <fill>
      <patternFill patternType="solid">
        <fgColor rgb="FF1F4E78"/>
        <bgColor rgb="FF17365D"/>
      </patternFill>
    </fill>
    <fill>
      <patternFill patternType="solid">
        <fgColor rgb="FFD9EAF7"/>
        <bgColor rgb="FFD9E1F2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AF3F8"/>
      </patternFill>
    </fill>
  </fills>
  <borders count="12">
    <border diagonalUp="0" diagonalDown="0">
      <left/>
      <right/>
      <top/>
      <bottom/>
      <diagonal/>
    </border>
    <border diagonalUp="0" diagonalDown="0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0" diagonalDown="0">
      <left/>
      <right style="thin">
        <color rgb="FFD9E1F2"/>
      </right>
      <top/>
      <bottom style="thin">
        <color rgb="FFD9E1F2"/>
      </bottom>
      <diagonal/>
    </border>
    <border diagonalUp="0" diagonalDown="0"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 diagonalUp="0" diagonalDown="0">
      <left style="thin">
        <color rgb="FFD9E1F2"/>
      </left>
      <right/>
      <top/>
      <bottom style="thin">
        <color rgb="FFD9E1F2"/>
      </bottom>
      <diagonal/>
    </border>
    <border diagonalUp="0" diagonalDown="0">
      <left/>
      <right style="thin">
        <color rgb="FFD9E1F2"/>
      </right>
      <top style="thin">
        <color rgb="FFD9E1F2"/>
      </top>
      <bottom style="thin">
        <color rgb="FFD9E1F2"/>
      </bottom>
      <diagonal/>
    </border>
    <border diagonalUp="0" diagonalDown="0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0" diagonalDown="0">
      <left style="thin">
        <color rgb="FFD9E1F2"/>
      </left>
      <right/>
      <top style="thin">
        <color rgb="FFD9E1F2"/>
      </top>
      <bottom style="thin">
        <color rgb="FFD9E1F2"/>
      </bottom>
      <diagonal/>
    </border>
    <border diagonalUp="0" diagonalDown="0">
      <left/>
      <right style="thin">
        <color rgb="FFD9E1F2"/>
      </right>
      <top style="thin">
        <color rgb="FFD9E1F2"/>
      </top>
      <bottom/>
      <diagonal/>
    </border>
    <border diagonalUp="0" diagonalDown="0">
      <left style="thin">
        <color rgb="FFD9E1F2"/>
      </left>
      <right style="thin">
        <color rgb="FFD9E1F2"/>
      </right>
      <top style="thin">
        <color rgb="FFD9E1F2"/>
      </top>
      <bottom/>
      <diagonal/>
    </border>
    <border diagonalUp="0" diagonalDown="0">
      <left style="thin">
        <color rgb="FFD9E1F2"/>
      </left>
      <right/>
      <top style="thin">
        <color rgb="FFD9E1F2"/>
      </top>
      <bottom/>
      <diagonal/>
    </border>
    <border diagonalUp="0" diagonalDown="0"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33">
    <xf numFmtId="164" fontId="0" fillId="0" borderId="0" applyFont="1" applyBorder="1" applyAlignment="1" applyProtection="1">
      <alignment horizontal="general" vertical="bottom" textRotation="0" inden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5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4" fontId="5" fillId="0" borderId="0" applyFont="1" applyBorder="1" applyAlignment="1" applyProtection="1">
      <alignment horizontal="general" vertical="bottom" textRotation="0" indent="0"/>
      <protection locked="1" hidden="0"/>
    </xf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7" fontId="4" fillId="0" borderId="0" applyFont="1" applyBorder="0" applyAlignment="1" applyProtection="0">
      <alignment horizontal="general" vertical="bottom" textRotation="0" indent="0"/>
    </xf>
    <xf numFmtId="167" fontId="4" fillId="0" borderId="0" applyFont="1" applyBorder="0" applyAlignment="1" applyProtection="0">
      <alignment horizontal="general" vertical="bottom" textRotation="0" indent="0"/>
    </xf>
  </cellStyleXfs>
  <cellXfs count="64">
    <xf numFmtId="164" fontId="0" fillId="0" borderId="0" xfId="0" applyFont="0" applyBorder="0" applyAlignment="0" applyProtection="0">
      <alignment horizontal="general" vertical="bottom" textRotation="0" indent="0"/>
      <protection locked="1" hidden="0"/>
    </xf>
    <xf numFmtId="164" fontId="4" fillId="0" borderId="0" xfId="30" applyFont="0" applyBorder="0" applyAlignment="1" applyProtection="1">
      <alignment horizontal="general" vertical="bottom" textRotation="0" indent="0"/>
      <protection locked="1" hidden="0"/>
    </xf>
    <xf numFmtId="164" fontId="6" fillId="2" borderId="0" xfId="29" applyFont="1" applyBorder="1" applyAlignment="1" applyProtection="1">
      <alignment horizontal="general" vertical="center" textRotation="0" indent="0"/>
      <protection locked="1" hidden="0"/>
    </xf>
    <xf numFmtId="164" fontId="7" fillId="3" borderId="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0" xfId="29" applyFont="1" applyBorder="1" applyAlignment="1" applyProtection="1">
      <alignment horizontal="general" vertical="center" textRotation="0" indent="0"/>
      <protection locked="1" hidden="0"/>
    </xf>
    <xf numFmtId="164" fontId="9" fillId="4" borderId="1" xfId="29" applyFont="1" applyBorder="1" applyAlignment="1" applyProtection="1">
      <alignment horizontal="center" vertical="center" textRotation="0" wrapText="1" indent="0"/>
      <protection locked="1" hidden="0"/>
    </xf>
    <xf numFmtId="168" fontId="10" fillId="0" borderId="0" xfId="29" applyFont="1" applyBorder="1" applyAlignment="1" applyProtection="1">
      <alignment horizontal="general" vertical="center" textRotation="0" indent="0"/>
      <protection locked="1" hidden="0"/>
    </xf>
    <xf numFmtId="164" fontId="11" fillId="5" borderId="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2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3" xfId="29" applyFont="1" applyBorder="1" applyAlignment="1" applyProtection="1">
      <alignment horizontal="general" vertical="center" textRotation="0" wrapText="1" indent="0"/>
      <protection locked="1" hidden="0"/>
    </xf>
    <xf numFmtId="169" fontId="8" fillId="0" borderId="3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4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5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6" xfId="29" applyFont="1" applyBorder="1" applyAlignment="1" applyProtection="1">
      <alignment horizontal="general" vertical="center" textRotation="0" wrapText="1" indent="0"/>
      <protection locked="1" hidden="0"/>
    </xf>
    <xf numFmtId="169" fontId="8" fillId="0" borderId="6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7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8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9" xfId="29" applyFont="1" applyBorder="1" applyAlignment="1" applyProtection="1">
      <alignment horizontal="general" vertical="center" textRotation="0" wrapText="1" indent="0"/>
      <protection locked="1" hidden="0"/>
    </xf>
    <xf numFmtId="169" fontId="8" fillId="0" borderId="9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1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2" xfId="29" applyFont="1" applyBorder="1" applyAlignment="1" applyProtection="1">
      <alignment horizontal="general" vertical="center" textRotation="0" indent="0"/>
      <protection locked="1" hidden="0"/>
    </xf>
    <xf numFmtId="169" fontId="8" fillId="0" borderId="3" xfId="29" applyFont="1" applyBorder="1" applyAlignment="1" applyProtection="1">
      <alignment horizontal="general" vertical="center" textRotation="0" indent="0"/>
      <protection locked="1" hidden="0"/>
    </xf>
    <xf numFmtId="169" fontId="8" fillId="0" borderId="4" xfId="29" applyFont="1" applyBorder="1" applyAlignment="1" applyProtection="1">
      <alignment horizontal="general" vertical="center" textRotation="0" indent="0"/>
      <protection locked="1" hidden="0"/>
    </xf>
    <xf numFmtId="164" fontId="8" fillId="0" borderId="5" xfId="29" applyFont="1" applyBorder="1" applyAlignment="1" applyProtection="1">
      <alignment horizontal="general" vertical="center" textRotation="0" indent="0"/>
      <protection locked="1" hidden="0"/>
    </xf>
    <xf numFmtId="169" fontId="8" fillId="0" borderId="6" xfId="29" applyFont="1" applyBorder="1" applyAlignment="1" applyProtection="1">
      <alignment horizontal="general" vertical="center" textRotation="0" indent="0"/>
      <protection locked="1" hidden="0"/>
    </xf>
    <xf numFmtId="169" fontId="8" fillId="0" borderId="7" xfId="29" applyFont="1" applyBorder="1" applyAlignment="1" applyProtection="1">
      <alignment horizontal="general" vertical="center" textRotation="0" indent="0"/>
      <protection locked="1" hidden="0"/>
    </xf>
    <xf numFmtId="169" fontId="12" fillId="0" borderId="5" xfId="29" applyFont="1" applyBorder="1" applyAlignment="1" applyProtection="1">
      <alignment horizontal="general" vertical="center" textRotation="0" indent="0"/>
      <protection locked="1" hidden="0"/>
    </xf>
    <xf numFmtId="169" fontId="12" fillId="0" borderId="6" xfId="29" applyFont="1" applyBorder="1" applyAlignment="1" applyProtection="1">
      <alignment horizontal="general" vertical="center" textRotation="0" indent="0"/>
      <protection locked="1" hidden="0"/>
    </xf>
    <xf numFmtId="169" fontId="12" fillId="0" borderId="7" xfId="29" applyFont="1" applyBorder="1" applyAlignment="1" applyProtection="1">
      <alignment horizontal="general" vertical="center" textRotation="0" indent="0"/>
      <protection locked="1" hidden="0"/>
    </xf>
    <xf numFmtId="164" fontId="8" fillId="0" borderId="8" xfId="29" applyFont="1" applyBorder="1" applyAlignment="1" applyProtection="1">
      <alignment horizontal="general" vertical="center" textRotation="0" indent="0"/>
      <protection locked="1" hidden="0"/>
    </xf>
    <xf numFmtId="169" fontId="8" fillId="0" borderId="9" xfId="29" applyFont="1" applyBorder="1" applyAlignment="1" applyProtection="1">
      <alignment horizontal="general" vertical="center" textRotation="0" indent="0"/>
      <protection locked="1" hidden="0"/>
    </xf>
    <xf numFmtId="169" fontId="8" fillId="0" borderId="10" xfId="29" applyFont="1" applyBorder="1" applyAlignment="1" applyProtection="1">
      <alignment horizontal="general" vertical="center" textRotation="0" indent="0"/>
      <protection locked="1" hidden="0"/>
    </xf>
    <xf numFmtId="170" fontId="14" fillId="6" borderId="1" xfId="29" applyFont="1" applyBorder="1" applyAlignment="1" applyProtection="1">
      <alignment horizontal="general" vertical="center" textRotation="0" indent="0"/>
      <protection locked="1" hidden="0"/>
    </xf>
    <xf numFmtId="171" fontId="14" fillId="6" borderId="3" xfId="29" applyFont="1" applyBorder="1" applyAlignment="1" applyProtection="1">
      <alignment horizontal="general" vertical="center" textRotation="0" indent="0"/>
      <protection locked="1" hidden="0"/>
    </xf>
    <xf numFmtId="171" fontId="8" fillId="0" borderId="4" xfId="29" applyFont="1" applyBorder="1" applyAlignment="1" applyProtection="1">
      <alignment horizontal="general" vertical="center" textRotation="0" indent="0"/>
      <protection locked="1" hidden="0"/>
    </xf>
    <xf numFmtId="171" fontId="14" fillId="6" borderId="6" xfId="29" applyFont="1" applyBorder="1" applyAlignment="1" applyProtection="1">
      <alignment horizontal="general" vertical="center" textRotation="0" indent="0"/>
      <protection locked="1" hidden="0"/>
    </xf>
    <xf numFmtId="171" fontId="8" fillId="0" borderId="7" xfId="29" applyFont="1" applyBorder="1" applyAlignment="1" applyProtection="1">
      <alignment horizontal="general" vertical="center" textRotation="0" indent="0"/>
      <protection locked="1" hidden="0"/>
    </xf>
    <xf numFmtId="172" fontId="14" fillId="6" borderId="6" xfId="29" applyFont="1" applyBorder="1" applyAlignment="1" applyProtection="1">
      <alignment horizontal="general" vertical="center" textRotation="0" indent="0"/>
      <protection locked="1" hidden="0"/>
    </xf>
    <xf numFmtId="172" fontId="8" fillId="0" borderId="7" xfId="29" applyFont="1" applyBorder="1" applyAlignment="1" applyProtection="1">
      <alignment horizontal="general" vertical="center" textRotation="0" indent="0"/>
      <protection locked="1" hidden="0"/>
    </xf>
    <xf numFmtId="171" fontId="14" fillId="6" borderId="9" xfId="29" applyFont="1" applyBorder="1" applyAlignment="1" applyProtection="1">
      <alignment horizontal="general" vertical="center" textRotation="0" indent="0"/>
      <protection locked="1" hidden="0"/>
    </xf>
    <xf numFmtId="171" fontId="8" fillId="0" borderId="10" xfId="29" applyFont="1" applyBorder="1" applyAlignment="1" applyProtection="1">
      <alignment horizontal="general" vertical="center" textRotation="0" indent="0"/>
      <protection locked="1" hidden="0"/>
    </xf>
    <xf numFmtId="169" fontId="10" fillId="0" borderId="3" xfId="29" applyFont="1" applyBorder="1" applyAlignment="1" applyProtection="1">
      <alignment horizontal="general" vertical="center" textRotation="0" indent="0"/>
      <protection locked="1" hidden="0"/>
    </xf>
    <xf numFmtId="164" fontId="8" fillId="0" borderId="4" xfId="29" applyFont="1" applyBorder="1" applyAlignment="1" applyProtection="1">
      <alignment horizontal="general" vertical="center" textRotation="0" indent="0"/>
      <protection locked="1" hidden="0"/>
    </xf>
    <xf numFmtId="169" fontId="10" fillId="0" borderId="6" xfId="29" applyFont="1" applyBorder="1" applyAlignment="1" applyProtection="1">
      <alignment horizontal="general" vertical="center" textRotation="0" indent="0"/>
      <protection locked="1" hidden="0"/>
    </xf>
    <xf numFmtId="164" fontId="8" fillId="0" borderId="7" xfId="29" applyFont="1" applyBorder="1" applyAlignment="1" applyProtection="1">
      <alignment horizontal="general" vertical="center" textRotation="0" indent="0"/>
      <protection locked="1" hidden="0"/>
    </xf>
    <xf numFmtId="169" fontId="15" fillId="0" borderId="6" xfId="29" applyFont="1" applyBorder="1" applyAlignment="1" applyProtection="1">
      <alignment horizontal="general" vertical="center" textRotation="0" indent="0"/>
      <protection locked="1" hidden="0"/>
    </xf>
    <xf numFmtId="169" fontId="10" fillId="0" borderId="9" xfId="29" applyFont="1" applyBorder="1" applyAlignment="1" applyProtection="1">
      <alignment horizontal="general" vertical="center" textRotation="0" indent="0"/>
      <protection locked="1" hidden="0"/>
    </xf>
    <xf numFmtId="164" fontId="8" fillId="0" borderId="10" xfId="29" applyFont="1" applyBorder="1" applyAlignment="1" applyProtection="1">
      <alignment horizontal="general" vertical="center" textRotation="0" indent="0"/>
      <protection locked="1" hidden="0"/>
    </xf>
    <xf numFmtId="169" fontId="10" fillId="0" borderId="4" xfId="29" applyFont="1" applyBorder="1" applyAlignment="1" applyProtection="1">
      <alignment horizontal="general" vertical="center" textRotation="0" indent="0"/>
      <protection locked="1" hidden="0"/>
    </xf>
    <xf numFmtId="169" fontId="10" fillId="0" borderId="7" xfId="29" applyFont="1" applyBorder="1" applyAlignment="1" applyProtection="1">
      <alignment horizontal="general" vertical="center" textRotation="0" indent="0"/>
      <protection locked="1" hidden="0"/>
    </xf>
    <xf numFmtId="171" fontId="8" fillId="0" borderId="9" xfId="29" applyFont="1" applyBorder="1" applyAlignment="1" applyProtection="1">
      <alignment horizontal="general" vertical="center" textRotation="0" indent="0"/>
      <protection locked="1" hidden="0"/>
    </xf>
    <xf numFmtId="164" fontId="8" fillId="0" borderId="3" xfId="29" applyFont="1" applyBorder="1" applyAlignment="1" applyProtection="1">
      <alignment horizontal="general" vertical="center" textRotation="0" indent="0"/>
      <protection locked="1" hidden="0"/>
    </xf>
    <xf numFmtId="164" fontId="8" fillId="0" borderId="6" xfId="29" applyFont="1" applyBorder="1" applyAlignment="1" applyProtection="1">
      <alignment horizontal="general" vertical="center" textRotation="0" indent="0"/>
      <protection locked="1" hidden="0"/>
    </xf>
    <xf numFmtId="164" fontId="8" fillId="0" borderId="9" xfId="29" applyFont="1" applyBorder="1" applyAlignment="1" applyProtection="1">
      <alignment horizontal="general" vertical="center" textRotation="0" indent="0"/>
      <protection locked="1" hidden="0"/>
    </xf>
    <xf numFmtId="169" fontId="8" fillId="0" borderId="0" xfId="29" applyFont="1" applyBorder="1" applyAlignment="1" applyProtection="1">
      <alignment horizontal="general" vertical="center" textRotation="0" indent="0"/>
      <protection locked="1" hidden="0"/>
    </xf>
    <xf numFmtId="173" fontId="8" fillId="0" borderId="0" xfId="29" applyFont="1" applyBorder="1" applyAlignment="1" applyProtection="1">
      <alignment horizontal="general" vertical="center" textRotation="0" indent="0"/>
      <protection locked="1" hidden="0"/>
    </xf>
    <xf numFmtId="172" fontId="9" fillId="4" borderId="1" xfId="29" applyFont="1" applyBorder="1" applyAlignment="1" applyProtection="1">
      <alignment horizontal="center" vertical="center" textRotation="0" wrapText="1" indent="0"/>
      <protection locked="1" hidden="0"/>
    </xf>
    <xf numFmtId="173" fontId="12" fillId="7" borderId="11" xfId="29" applyFont="1" applyBorder="1" applyAlignment="1" applyProtection="1">
      <alignment horizontal="general" vertical="center" textRotation="0" indent="0"/>
      <protection locked="1" hidden="0"/>
    </xf>
    <xf numFmtId="164" fontId="12" fillId="0" borderId="0" xfId="28" applyFont="1" applyBorder="1" applyAlignment="1" applyProtection="1">
      <alignment horizontal="general" vertical="center" textRotation="0" wrapText="1" indent="0"/>
      <protection locked="1" hidden="0"/>
    </xf>
    <xf numFmtId="164" fontId="8" fillId="0" borderId="0" xfId="28" applyFont="1" applyBorder="1" applyAlignment="1" applyProtection="1">
      <alignment horizontal="general" vertical="center" textRotation="0" wrapText="1" indent="0"/>
      <protection locked="1" hidden="0"/>
    </xf>
    <xf numFmtId="0" fontId="16" fillId="0" borderId="0" xfId="0" applyFont="1" applyFill="1" applyBorder="1" applyProtection="1">
      <protection locked="1" hidden="0"/>
    </xf>
    <xf numFmtId="0" fontId="17" fillId="0" borderId="0" xfId="0" applyFont="1" applyFill="1" applyBorder="1" applyAlignment="1" applyProtection="1">
      <alignment vertical="top" textRotation="0" indent="0"/>
      <protection locked="1" hidden="0"/>
    </xf>
    <xf numFmtId="174" fontId="17" fillId="0" borderId="0" xfId="0" applyNumberFormat="1" applyFont="1" applyFill="1" applyBorder="1" applyAlignment="1" applyProtection="1">
      <alignment vertical="top" textRotation="0" indent="0"/>
      <protection locked="1" hidden="0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1" xfId="29"/>
    <cellStyle name="Normal 5" xfId="30"/>
    <cellStyle name="Percent" xfId="31"/>
    <cellStyle name="Percent 6" xfId="32"/>
  </cellStyles>
  <dxfs count="15"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style="1" hidden="0" customWidth="1" outlineLevel="0" collapsed="0"/>
    <col min="2" max="2" width="55" style="1" hidden="0" customWidth="1" outlineLevel="0" collapsed="0"/>
    <col min="3" max="8" width="13" style="1" hidden="0" customWidth="1" outlineLevel="0" collapsed="0"/>
  </cols>
  <sheetData>
    <row r="1" ht="28" hidden="0" outlineLevel="0" collapsed="0">
      <c r="A1" s="2" t="s">
        <v>0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ht="15" hidden="0" outlineLevel="0" collapsed="0">
      <c r="A5" s="4" t="s">
        <v>4</v>
      </c>
      <c r="B5" s="4" t="s">
        <v>5</v>
      </c>
      <c r="C5" s="4"/>
      <c r="D5" s="4"/>
      <c r="E5" s="4"/>
      <c r="F5" s="4"/>
      <c r="G5" s="4"/>
      <c r="H5" s="4"/>
    </row>
    <row r="6" ht="15" hidden="0" outlineLevel="0" collapsed="0">
      <c r="A6" s="4" t="s">
        <v>6</v>
      </c>
      <c r="B6" s="4" t="s">
        <v>7</v>
      </c>
      <c r="C6" s="4"/>
      <c r="D6" s="4"/>
      <c r="E6" s="4"/>
      <c r="F6" s="4"/>
      <c r="G6" s="4"/>
      <c r="H6" s="4"/>
    </row>
    <row r="7" ht="15" hidden="0" outlineLevel="0" collapsed="0">
      <c r="A7" s="4" t="s">
        <v>8</v>
      </c>
      <c r="B7" s="4" t="s">
        <v>9</v>
      </c>
      <c r="C7" s="4"/>
      <c r="D7" s="4"/>
      <c r="E7" s="4"/>
      <c r="F7" s="4"/>
      <c r="G7" s="4"/>
      <c r="H7" s="4"/>
    </row>
    <row r="8" ht="15" hidden="0" outlineLevel="0" collapsed="0">
      <c r="A8" s="4" t="s">
        <v>10</v>
      </c>
      <c r="B8" s="4" t="s">
        <v>11</v>
      </c>
      <c r="C8" s="4"/>
      <c r="D8" s="4"/>
      <c r="E8" s="4"/>
      <c r="F8" s="4"/>
      <c r="G8" s="4"/>
      <c r="H8" s="4"/>
    </row>
    <row r="9" ht="15" hidden="0" outlineLevel="0" collapsed="0">
      <c r="A9" s="4" t="s">
        <v>12</v>
      </c>
      <c r="B9" s="4" t="s">
        <v>13</v>
      </c>
      <c r="C9" s="4"/>
      <c r="D9" s="4"/>
      <c r="E9" s="4"/>
      <c r="F9" s="4"/>
      <c r="G9" s="4"/>
      <c r="H9" s="4"/>
    </row>
    <row r="10" ht="15" hidden="0" outlineLevel="0" collapsed="0">
      <c r="A10" s="4" t="s">
        <v>14</v>
      </c>
      <c r="B10" s="4" t="s">
        <v>15</v>
      </c>
      <c r="C10" s="4"/>
      <c r="D10" s="4"/>
      <c r="E10" s="4"/>
      <c r="F10" s="4"/>
      <c r="G10" s="4"/>
      <c r="H10" s="4"/>
    </row>
    <row r="11" ht="15" hidden="0" outlineLevel="0" collapsed="0">
      <c r="A11" s="4" t="s">
        <v>16</v>
      </c>
      <c r="B11" s="4" t="s">
        <v>17</v>
      </c>
      <c r="C11" s="4"/>
      <c r="D11" s="4"/>
      <c r="E11" s="4"/>
      <c r="F11" s="4"/>
      <c r="G11" s="4"/>
      <c r="H11" s="4"/>
    </row>
    <row r="12" ht="15" hidden="0" outlineLevel="0" collapsed="0">
      <c r="A12" s="4" t="s">
        <v>18</v>
      </c>
      <c r="B12" s="4" t="s">
        <v>19</v>
      </c>
      <c r="C12" s="4"/>
      <c r="D12" s="4"/>
      <c r="E12" s="4"/>
      <c r="F12" s="4"/>
      <c r="G12" s="4"/>
      <c r="H12" s="4"/>
    </row>
    <row r="13" ht="15" hidden="0" outlineLevel="0" collapsed="0">
      <c r="A13" s="4" t="s">
        <v>20</v>
      </c>
      <c r="B13" s="4" t="s">
        <v>21</v>
      </c>
      <c r="C13" s="4"/>
      <c r="D13" s="4"/>
      <c r="E13" s="4"/>
      <c r="F13" s="4"/>
      <c r="G13" s="4"/>
      <c r="H13" s="4"/>
    </row>
    <row r="14" ht="15" hidden="0" outlineLevel="0" collapsed="0">
      <c r="A14" s="4" t="s">
        <v>22</v>
      </c>
      <c r="B14" s="6" t="str">
        <f>Assumptions!E4</f>
        <v>Base</v>
      </c>
      <c r="C14" s="4"/>
      <c r="D14" s="4"/>
      <c r="E14" s="4"/>
      <c r="F14" s="4"/>
      <c r="G14" s="4"/>
      <c r="H14" s="4"/>
    </row>
    <row r="15" ht="15" hidden="0" outlineLevel="0" collapsed="0">
      <c r="A15" s="4" t="s">
        <v>23</v>
      </c>
      <c r="B15" s="6" t="str">
        <f>Checks!F15</f>
        <v>PASS</v>
      </c>
      <c r="C15" s="4"/>
      <c r="D15" s="4"/>
      <c r="E15" s="4"/>
      <c r="F15" s="4"/>
      <c r="G15" s="4"/>
      <c r="H15" s="4"/>
    </row>
    <row r="16" ht="15" hidden="0" outlineLevel="0" collapsed="0">
      <c r="A16" s="4" t="s">
        <v>24</v>
      </c>
      <c r="B16" s="4" t="s">
        <v>25</v>
      </c>
      <c r="C16" s="4"/>
      <c r="D16" s="4"/>
      <c r="E16" s="4"/>
      <c r="F16" s="4"/>
      <c r="G16" s="4"/>
      <c r="H16" s="4"/>
    </row>
    <row r="17" ht="15" hidden="0" outlineLevel="0" collapsed="0">
      <c r="A17" s="4"/>
      <c r="B17" s="4"/>
      <c r="C17" s="4"/>
      <c r="D17" s="4"/>
      <c r="E17" s="4"/>
      <c r="F17" s="4"/>
      <c r="G17" s="4"/>
      <c r="H17" s="4"/>
    </row>
    <row r="18" ht="34" hidden="0" outlineLevel="0" collapsed="0">
      <c r="A18" s="7" t="s">
        <v>26</v>
      </c>
      <c r="B18" s="7"/>
      <c r="C18" s="7"/>
      <c r="D18" s="7"/>
      <c r="E18" s="7"/>
      <c r="F18" s="7"/>
      <c r="G18" s="7"/>
      <c r="H18" s="7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3">
    <mergeCell ref="A1:H1"/>
    <mergeCell ref="A2:H2"/>
    <mergeCell ref="A18:H18"/>
  </mergeCells>
  <conditionalFormatting sqref="B15:B16">
    <cfRule type="containsText" priority="2" operator="containsText" text="PASS" dxfId="0">
      <formula>NOT(ISERROR(SEARCH("PASS",B15)))</formula>
    </cfRule>
    <cfRule type="containsText" priority="3" operator="containsText" text="FAIL" dxfId="1">
      <formula>NOT(ISERROR(SEARCH("FAIL",B15)))</formula>
    </cfRule>
    <cfRule type="containsText" priority="4" operator="containsText" text="PENDING" dxfId="2">
      <formula>NOT(ISERROR(SEARCH("PENDING",B15)))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P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4" style="1" hidden="0" customWidth="1" outlineLevel="0" collapsed="0"/>
    <col min="2" max="2" width="25" style="1" hidden="0" customWidth="1" outlineLevel="0" collapsed="0"/>
    <col min="3" max="3" width="34" style="1" hidden="0" customWidth="1" outlineLevel="0" collapsed="0"/>
    <col min="4" max="4" width="14" style="1" hidden="0" customWidth="1" outlineLevel="0" collapsed="0"/>
    <col min="5" max="5" width="12" style="1" hidden="0" customWidth="1" outlineLevel="0" collapsed="0"/>
    <col min="6" max="6" width="13" style="1" hidden="0" customWidth="1" outlineLevel="0" collapsed="0"/>
    <col min="7" max="7" width="24" style="1" hidden="0" customWidth="1" outlineLevel="0" collapsed="0"/>
    <col min="8" max="8" width="32" style="1" hidden="0" customWidth="1" outlineLevel="0" collapsed="0"/>
    <col min="9" max="9" width="10" style="1" hidden="0" customWidth="1" outlineLevel="0" collapsed="0"/>
    <col min="10" max="10" width="12" style="1" hidden="0" customWidth="1" outlineLevel="0" collapsed="0"/>
    <col min="11" max="11" width="24" style="1" hidden="0" customWidth="1" outlineLevel="0" collapsed="0"/>
    <col min="12" max="12" width="46" style="1" hidden="0" customWidth="1" outlineLevel="0" collapsed="0"/>
    <col min="13" max="13" width="24" style="1" hidden="0" customWidth="1" outlineLevel="0" collapsed="0"/>
    <col min="14" max="14" width="28" style="1" hidden="0" customWidth="1" outlineLevel="0" collapsed="0"/>
    <col min="15" max="15" width="16" style="1" hidden="0" customWidth="1" outlineLevel="0" collapsed="0"/>
    <col min="16" max="16" width="10" style="1" hidden="0" customWidth="1" outlineLevel="0" collapsed="0"/>
  </cols>
  <sheetData>
    <row r="1" ht="28" hidden="0" outlineLevel="0" collapsed="0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8" hidden="0" outlineLevel="0" collapsed="0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5" hidden="0" outlineLevel="0" collapsed="0">
      <c r="A4" s="5" t="s">
        <v>29</v>
      </c>
      <c r="B4" s="5" t="s">
        <v>4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41</v>
      </c>
      <c r="O4" s="5" t="s">
        <v>42</v>
      </c>
      <c r="P4" s="5" t="s">
        <v>43</v>
      </c>
    </row>
    <row r="5" ht="48" hidden="0" outlineLevel="0" collapsed="0">
      <c r="A5" s="8" t="s">
        <v>44</v>
      </c>
      <c r="B5" s="9" t="s">
        <v>5</v>
      </c>
      <c r="C5" s="9" t="s">
        <v>45</v>
      </c>
      <c r="D5" s="10">
        <v>371444</v>
      </c>
      <c r="E5" s="9" t="s">
        <v>46</v>
      </c>
      <c r="F5" s="9" t="s">
        <v>47</v>
      </c>
      <c r="G5" s="9" t="s">
        <v>48</v>
      </c>
      <c r="H5" s="9" t="s">
        <v>49</v>
      </c>
      <c r="I5" s="9" t="s">
        <v>50</v>
      </c>
      <c r="J5" s="9" t="s">
        <v>51</v>
      </c>
      <c r="K5" s="9" t="s">
        <v>52</v>
      </c>
      <c r="L5" s="9" t="s">
        <v>53</v>
      </c>
      <c r="M5" s="9" t="s">
        <v>54</v>
      </c>
      <c r="N5" s="9" t="s">
        <v>55</v>
      </c>
      <c r="O5" s="9" t="s">
        <v>56</v>
      </c>
      <c r="P5" s="11" t="s">
        <v>57</v>
      </c>
    </row>
    <row r="6" ht="48" hidden="0" outlineLevel="0" collapsed="0">
      <c r="A6" s="12" t="s">
        <v>58</v>
      </c>
      <c r="B6" s="13" t="s">
        <v>5</v>
      </c>
      <c r="C6" s="13" t="s">
        <v>59</v>
      </c>
      <c r="D6" s="14">
        <v>66968</v>
      </c>
      <c r="E6" s="13" t="s">
        <v>46</v>
      </c>
      <c r="F6" s="13" t="s">
        <v>47</v>
      </c>
      <c r="G6" s="13" t="s">
        <v>48</v>
      </c>
      <c r="H6" s="13" t="s">
        <v>60</v>
      </c>
      <c r="I6" s="13" t="s">
        <v>50</v>
      </c>
      <c r="J6" s="13" t="s">
        <v>51</v>
      </c>
      <c r="K6" s="13" t="s">
        <v>52</v>
      </c>
      <c r="L6" s="13" t="s">
        <v>61</v>
      </c>
      <c r="M6" s="13" t="s">
        <v>62</v>
      </c>
      <c r="N6" s="13" t="s">
        <v>55</v>
      </c>
      <c r="O6" s="13" t="s">
        <v>56</v>
      </c>
      <c r="P6" s="15" t="s">
        <v>57</v>
      </c>
    </row>
    <row r="7" ht="48" hidden="0" outlineLevel="0" collapsed="0">
      <c r="A7" s="12" t="s">
        <v>63</v>
      </c>
      <c r="B7" s="13" t="s">
        <v>5</v>
      </c>
      <c r="C7" s="13" t="s">
        <v>64</v>
      </c>
      <c r="D7" s="14">
        <v>717419</v>
      </c>
      <c r="E7" s="13" t="s">
        <v>46</v>
      </c>
      <c r="F7" s="13" t="s">
        <v>65</v>
      </c>
      <c r="G7" s="13" t="s">
        <v>48</v>
      </c>
      <c r="H7" s="13" t="s">
        <v>66</v>
      </c>
      <c r="I7" s="13" t="s">
        <v>50</v>
      </c>
      <c r="J7" s="13" t="s">
        <v>51</v>
      </c>
      <c r="K7" s="13" t="s">
        <v>52</v>
      </c>
      <c r="L7" s="13" t="s">
        <v>61</v>
      </c>
      <c r="M7" s="13" t="s">
        <v>67</v>
      </c>
      <c r="N7" s="13" t="s">
        <v>55</v>
      </c>
      <c r="O7" s="13" t="s">
        <v>56</v>
      </c>
      <c r="P7" s="15" t="s">
        <v>57</v>
      </c>
    </row>
    <row r="8" ht="48" hidden="0" outlineLevel="0" collapsed="0">
      <c r="A8" s="12" t="s">
        <v>68</v>
      </c>
      <c r="B8" s="13" t="s">
        <v>5</v>
      </c>
      <c r="C8" s="13" t="s">
        <v>69</v>
      </c>
      <c r="D8" s="14">
        <v>369000</v>
      </c>
      <c r="E8" s="13" t="s">
        <v>46</v>
      </c>
      <c r="F8" s="13" t="s">
        <v>65</v>
      </c>
      <c r="G8" s="13" t="s">
        <v>70</v>
      </c>
      <c r="H8" s="13" t="s">
        <v>71</v>
      </c>
      <c r="I8" s="13" t="s">
        <v>50</v>
      </c>
      <c r="J8" s="13" t="s">
        <v>51</v>
      </c>
      <c r="K8" s="13" t="s">
        <v>52</v>
      </c>
      <c r="L8" s="13" t="s">
        <v>53</v>
      </c>
      <c r="M8" s="13" t="s">
        <v>72</v>
      </c>
      <c r="N8" s="13" t="s">
        <v>73</v>
      </c>
      <c r="O8" s="13" t="s">
        <v>56</v>
      </c>
      <c r="P8" s="15" t="s">
        <v>57</v>
      </c>
    </row>
    <row r="9" ht="48" hidden="0" outlineLevel="0" collapsed="0">
      <c r="A9" s="12" t="s">
        <v>74</v>
      </c>
      <c r="B9" s="13" t="s">
        <v>5</v>
      </c>
      <c r="C9" s="13" t="s">
        <v>75</v>
      </c>
      <c r="D9" s="14">
        <v>315600</v>
      </c>
      <c r="E9" s="13" t="s">
        <v>46</v>
      </c>
      <c r="F9" s="13" t="s">
        <v>65</v>
      </c>
      <c r="G9" s="13" t="s">
        <v>76</v>
      </c>
      <c r="H9" s="13" t="s">
        <v>71</v>
      </c>
      <c r="I9" s="13" t="s">
        <v>50</v>
      </c>
      <c r="J9" s="13" t="s">
        <v>51</v>
      </c>
      <c r="K9" s="13" t="s">
        <v>52</v>
      </c>
      <c r="L9" s="13" t="s">
        <v>53</v>
      </c>
      <c r="M9" s="13" t="s">
        <v>77</v>
      </c>
      <c r="N9" s="13" t="s">
        <v>73</v>
      </c>
      <c r="O9" s="13" t="s">
        <v>56</v>
      </c>
      <c r="P9" s="15" t="s">
        <v>57</v>
      </c>
    </row>
    <row r="10" ht="48" hidden="0" outlineLevel="0" collapsed="0">
      <c r="A10" s="12" t="s">
        <v>78</v>
      </c>
      <c r="B10" s="13" t="s">
        <v>5</v>
      </c>
      <c r="C10" s="13" t="s">
        <v>79</v>
      </c>
      <c r="D10" s="14">
        <v>176000</v>
      </c>
      <c r="E10" s="13" t="s">
        <v>46</v>
      </c>
      <c r="F10" s="13" t="s">
        <v>65</v>
      </c>
      <c r="G10" s="13" t="s">
        <v>80</v>
      </c>
      <c r="H10" s="13" t="s">
        <v>81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82</v>
      </c>
      <c r="N10" s="13" t="s">
        <v>73</v>
      </c>
      <c r="O10" s="13" t="s">
        <v>56</v>
      </c>
      <c r="P10" s="15" t="s">
        <v>57</v>
      </c>
    </row>
    <row r="11" ht="48" hidden="0" outlineLevel="0" collapsed="0">
      <c r="A11" s="12" t="s">
        <v>83</v>
      </c>
      <c r="B11" s="13" t="s">
        <v>5</v>
      </c>
      <c r="C11" s="13" t="s">
        <v>84</v>
      </c>
      <c r="D11" s="14">
        <v>45800</v>
      </c>
      <c r="E11" s="13" t="s">
        <v>46</v>
      </c>
      <c r="F11" s="13" t="s">
        <v>65</v>
      </c>
      <c r="G11" s="13" t="s">
        <v>85</v>
      </c>
      <c r="H11" s="13" t="s">
        <v>71</v>
      </c>
      <c r="I11" s="13" t="s">
        <v>50</v>
      </c>
      <c r="J11" s="13" t="s">
        <v>51</v>
      </c>
      <c r="K11" s="13" t="s">
        <v>52</v>
      </c>
      <c r="L11" s="13" t="s">
        <v>53</v>
      </c>
      <c r="M11" s="13" t="s">
        <v>86</v>
      </c>
      <c r="N11" s="13" t="s">
        <v>73</v>
      </c>
      <c r="O11" s="13" t="s">
        <v>56</v>
      </c>
      <c r="P11" s="15" t="s">
        <v>57</v>
      </c>
    </row>
    <row r="12" ht="48" hidden="0" outlineLevel="0" collapsed="0">
      <c r="A12" s="12" t="s">
        <v>87</v>
      </c>
      <c r="B12" s="13" t="s">
        <v>5</v>
      </c>
      <c r="C12" s="13" t="s">
        <v>88</v>
      </c>
      <c r="D12" s="14">
        <v>7258</v>
      </c>
      <c r="E12" s="13" t="s">
        <v>46</v>
      </c>
      <c r="F12" s="13" t="s">
        <v>47</v>
      </c>
      <c r="G12" s="13" t="s">
        <v>89</v>
      </c>
      <c r="H12" s="13" t="s">
        <v>90</v>
      </c>
      <c r="I12" s="13" t="s">
        <v>50</v>
      </c>
      <c r="J12" s="13" t="s">
        <v>51</v>
      </c>
      <c r="K12" s="13" t="s">
        <v>52</v>
      </c>
      <c r="L12" s="13" t="s">
        <v>53</v>
      </c>
      <c r="M12" s="13" t="s">
        <v>91</v>
      </c>
      <c r="N12" s="13" t="s">
        <v>92</v>
      </c>
      <c r="O12" s="13" t="s">
        <v>56</v>
      </c>
      <c r="P12" s="15" t="s">
        <v>57</v>
      </c>
    </row>
    <row r="13" ht="48" hidden="0" outlineLevel="0" collapsed="0">
      <c r="A13" s="12" t="s">
        <v>93</v>
      </c>
      <c r="B13" s="13" t="s">
        <v>5</v>
      </c>
      <c r="C13" s="13" t="s">
        <v>94</v>
      </c>
      <c r="D13" s="14">
        <v>12513</v>
      </c>
      <c r="E13" s="13" t="s">
        <v>46</v>
      </c>
      <c r="F13" s="13" t="s">
        <v>47</v>
      </c>
      <c r="G13" s="13" t="s">
        <v>89</v>
      </c>
      <c r="H13" s="13" t="s">
        <v>90</v>
      </c>
      <c r="I13" s="13" t="s">
        <v>50</v>
      </c>
      <c r="J13" s="13" t="s">
        <v>51</v>
      </c>
      <c r="K13" s="13" t="s">
        <v>52</v>
      </c>
      <c r="L13" s="13" t="s">
        <v>53</v>
      </c>
      <c r="M13" s="13" t="s">
        <v>95</v>
      </c>
      <c r="N13" s="13" t="s">
        <v>96</v>
      </c>
      <c r="O13" s="13" t="s">
        <v>56</v>
      </c>
      <c r="P13" s="15" t="s">
        <v>57</v>
      </c>
    </row>
    <row r="14" ht="48" hidden="0" outlineLevel="0" collapsed="0">
      <c r="A14" s="12" t="s">
        <v>97</v>
      </c>
      <c r="B14" s="13" t="s">
        <v>98</v>
      </c>
      <c r="C14" s="13" t="s">
        <v>99</v>
      </c>
      <c r="D14" s="14">
        <v>5476</v>
      </c>
      <c r="E14" s="13" t="s">
        <v>46</v>
      </c>
      <c r="F14" s="13" t="s">
        <v>47</v>
      </c>
      <c r="G14" s="13" t="s">
        <v>100</v>
      </c>
      <c r="H14" s="13" t="s">
        <v>101</v>
      </c>
      <c r="I14" s="13" t="s">
        <v>50</v>
      </c>
      <c r="J14" s="13" t="s">
        <v>51</v>
      </c>
      <c r="K14" s="13" t="s">
        <v>52</v>
      </c>
      <c r="L14" s="13" t="s">
        <v>53</v>
      </c>
      <c r="M14" s="13" t="s">
        <v>102</v>
      </c>
      <c r="N14" s="13" t="s">
        <v>96</v>
      </c>
      <c r="O14" s="13" t="s">
        <v>56</v>
      </c>
      <c r="P14" s="15" t="s">
        <v>57</v>
      </c>
    </row>
    <row r="15" ht="48" hidden="0" outlineLevel="0" collapsed="0">
      <c r="A15" s="12" t="s">
        <v>103</v>
      </c>
      <c r="B15" s="13" t="s">
        <v>104</v>
      </c>
      <c r="C15" s="13" t="s">
        <v>99</v>
      </c>
      <c r="D15" s="14">
        <v>3979</v>
      </c>
      <c r="E15" s="13" t="s">
        <v>46</v>
      </c>
      <c r="F15" s="13" t="s">
        <v>47</v>
      </c>
      <c r="G15" s="13" t="s">
        <v>100</v>
      </c>
      <c r="H15" s="13" t="s">
        <v>105</v>
      </c>
      <c r="I15" s="13" t="s">
        <v>50</v>
      </c>
      <c r="J15" s="13" t="s">
        <v>51</v>
      </c>
      <c r="K15" s="13" t="s">
        <v>52</v>
      </c>
      <c r="L15" s="13" t="s">
        <v>53</v>
      </c>
      <c r="M15" s="13" t="s">
        <v>106</v>
      </c>
      <c r="N15" s="13" t="s">
        <v>96</v>
      </c>
      <c r="O15" s="13" t="s">
        <v>56</v>
      </c>
      <c r="P15" s="15" t="s">
        <v>57</v>
      </c>
    </row>
    <row r="16" ht="48" hidden="0" outlineLevel="0" collapsed="0">
      <c r="A16" s="12" t="s">
        <v>107</v>
      </c>
      <c r="B16" s="13" t="s">
        <v>5</v>
      </c>
      <c r="C16" s="13" t="s">
        <v>108</v>
      </c>
      <c r="D16" s="14">
        <v>13647</v>
      </c>
      <c r="E16" s="13" t="s">
        <v>46</v>
      </c>
      <c r="F16" s="13" t="s">
        <v>47</v>
      </c>
      <c r="G16" s="13" t="s">
        <v>89</v>
      </c>
      <c r="H16" s="13" t="s">
        <v>109</v>
      </c>
      <c r="I16" s="13" t="s">
        <v>50</v>
      </c>
      <c r="J16" s="13" t="s">
        <v>51</v>
      </c>
      <c r="K16" s="13" t="s">
        <v>52</v>
      </c>
      <c r="L16" s="13" t="s">
        <v>53</v>
      </c>
      <c r="M16" s="13" t="s">
        <v>110</v>
      </c>
      <c r="N16" s="13" t="s">
        <v>96</v>
      </c>
      <c r="O16" s="13" t="s">
        <v>56</v>
      </c>
      <c r="P16" s="15" t="s">
        <v>57</v>
      </c>
    </row>
    <row r="17" ht="48" hidden="0" outlineLevel="0" collapsed="0">
      <c r="A17" s="12" t="s">
        <v>111</v>
      </c>
      <c r="B17" s="13" t="s">
        <v>5</v>
      </c>
      <c r="C17" s="13" t="s">
        <v>112</v>
      </c>
      <c r="D17" s="14">
        <v>1613</v>
      </c>
      <c r="E17" s="13" t="s">
        <v>46</v>
      </c>
      <c r="F17" s="13" t="s">
        <v>47</v>
      </c>
      <c r="G17" s="13" t="s">
        <v>89</v>
      </c>
      <c r="H17" s="13" t="s">
        <v>90</v>
      </c>
      <c r="I17" s="13" t="s">
        <v>50</v>
      </c>
      <c r="J17" s="13" t="s">
        <v>51</v>
      </c>
      <c r="K17" s="13" t="s">
        <v>52</v>
      </c>
      <c r="L17" s="13" t="s">
        <v>53</v>
      </c>
      <c r="M17" s="13" t="s">
        <v>113</v>
      </c>
      <c r="N17" s="13" t="s">
        <v>96</v>
      </c>
      <c r="O17" s="13" t="s">
        <v>56</v>
      </c>
      <c r="P17" s="15" t="s">
        <v>57</v>
      </c>
    </row>
    <row r="18" ht="48" hidden="0" outlineLevel="0" collapsed="0">
      <c r="A18" s="12" t="s">
        <v>114</v>
      </c>
      <c r="B18" s="13" t="s">
        <v>5</v>
      </c>
      <c r="C18" s="13" t="s">
        <v>115</v>
      </c>
      <c r="D18" s="14">
        <v>2157.335139</v>
      </c>
      <c r="E18" s="13" t="s">
        <v>116</v>
      </c>
      <c r="F18" s="13" t="s">
        <v>47</v>
      </c>
      <c r="G18" s="13" t="s">
        <v>117</v>
      </c>
      <c r="H18" s="13" t="s">
        <v>118</v>
      </c>
      <c r="I18" s="13" t="s">
        <v>50</v>
      </c>
      <c r="J18" s="13" t="s">
        <v>51</v>
      </c>
      <c r="K18" s="13" t="s">
        <v>52</v>
      </c>
      <c r="L18" s="13" t="s">
        <v>53</v>
      </c>
      <c r="M18" s="13" t="s">
        <v>119</v>
      </c>
      <c r="N18" s="13" t="s">
        <v>120</v>
      </c>
      <c r="O18" s="13" t="s">
        <v>56</v>
      </c>
      <c r="P18" s="15" t="s">
        <v>57</v>
      </c>
    </row>
    <row r="19" ht="48" hidden="0" outlineLevel="0" collapsed="0">
      <c r="A19" s="12" t="s">
        <v>121</v>
      </c>
      <c r="B19" s="13" t="s">
        <v>5</v>
      </c>
      <c r="C19" s="13" t="s">
        <v>88</v>
      </c>
      <c r="D19" s="14">
        <v>9020</v>
      </c>
      <c r="E19" s="13" t="s">
        <v>46</v>
      </c>
      <c r="F19" s="13" t="s">
        <v>122</v>
      </c>
      <c r="G19" s="13" t="s">
        <v>123</v>
      </c>
      <c r="H19" s="13" t="s">
        <v>90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124</v>
      </c>
      <c r="N19" s="13" t="s">
        <v>125</v>
      </c>
      <c r="O19" s="13" t="s">
        <v>56</v>
      </c>
      <c r="P19" s="15" t="s">
        <v>57</v>
      </c>
    </row>
    <row r="20" ht="48" hidden="0" outlineLevel="0" collapsed="0">
      <c r="A20" s="12" t="s">
        <v>126</v>
      </c>
      <c r="B20" s="13" t="s">
        <v>5</v>
      </c>
      <c r="C20" s="13" t="s">
        <v>94</v>
      </c>
      <c r="D20" s="14">
        <v>13670</v>
      </c>
      <c r="E20" s="13" t="s">
        <v>46</v>
      </c>
      <c r="F20" s="13" t="s">
        <v>122</v>
      </c>
      <c r="G20" s="13" t="s">
        <v>123</v>
      </c>
      <c r="H20" s="13" t="s">
        <v>90</v>
      </c>
      <c r="I20" s="13" t="s">
        <v>50</v>
      </c>
      <c r="J20" s="13" t="s">
        <v>51</v>
      </c>
      <c r="K20" s="13" t="s">
        <v>52</v>
      </c>
      <c r="L20" s="13" t="s">
        <v>53</v>
      </c>
      <c r="M20" s="13" t="s">
        <v>127</v>
      </c>
      <c r="N20" s="13" t="s">
        <v>125</v>
      </c>
      <c r="O20" s="13" t="s">
        <v>56</v>
      </c>
      <c r="P20" s="15" t="s">
        <v>57</v>
      </c>
    </row>
    <row r="21" ht="48" hidden="0" outlineLevel="0" collapsed="0">
      <c r="A21" s="12" t="s">
        <v>128</v>
      </c>
      <c r="B21" s="13" t="s">
        <v>98</v>
      </c>
      <c r="C21" s="13" t="s">
        <v>99</v>
      </c>
      <c r="D21" s="14">
        <v>5031</v>
      </c>
      <c r="E21" s="13" t="s">
        <v>46</v>
      </c>
      <c r="F21" s="13" t="s">
        <v>122</v>
      </c>
      <c r="G21" s="13" t="s">
        <v>129</v>
      </c>
      <c r="H21" s="13" t="s">
        <v>90</v>
      </c>
      <c r="I21" s="13" t="s">
        <v>50</v>
      </c>
      <c r="J21" s="13" t="s">
        <v>51</v>
      </c>
      <c r="K21" s="13" t="s">
        <v>52</v>
      </c>
      <c r="L21" s="13" t="s">
        <v>53</v>
      </c>
      <c r="M21" s="13" t="s">
        <v>130</v>
      </c>
      <c r="N21" s="13" t="s">
        <v>125</v>
      </c>
      <c r="O21" s="13" t="s">
        <v>56</v>
      </c>
      <c r="P21" s="15" t="s">
        <v>57</v>
      </c>
    </row>
    <row r="22" ht="48" hidden="0" outlineLevel="0" collapsed="0">
      <c r="A22" s="12" t="s">
        <v>131</v>
      </c>
      <c r="B22" s="13" t="s">
        <v>104</v>
      </c>
      <c r="C22" s="13" t="s">
        <v>99</v>
      </c>
      <c r="D22" s="14">
        <v>3730</v>
      </c>
      <c r="E22" s="13" t="s">
        <v>46</v>
      </c>
      <c r="F22" s="13" t="s">
        <v>122</v>
      </c>
      <c r="G22" s="13" t="s">
        <v>129</v>
      </c>
      <c r="H22" s="13" t="s">
        <v>90</v>
      </c>
      <c r="I22" s="13" t="s">
        <v>50</v>
      </c>
      <c r="J22" s="13" t="s">
        <v>51</v>
      </c>
      <c r="K22" s="13" t="s">
        <v>52</v>
      </c>
      <c r="L22" s="13" t="s">
        <v>53</v>
      </c>
      <c r="M22" s="13" t="s">
        <v>132</v>
      </c>
      <c r="N22" s="13" t="s">
        <v>125</v>
      </c>
      <c r="O22" s="13" t="s">
        <v>56</v>
      </c>
      <c r="P22" s="15" t="s">
        <v>57</v>
      </c>
    </row>
    <row r="23" ht="48" hidden="0" outlineLevel="0" collapsed="0">
      <c r="A23" s="12" t="s">
        <v>133</v>
      </c>
      <c r="B23" s="13" t="s">
        <v>5</v>
      </c>
      <c r="C23" s="13" t="s">
        <v>108</v>
      </c>
      <c r="D23" s="14">
        <v>13072</v>
      </c>
      <c r="E23" s="13" t="s">
        <v>46</v>
      </c>
      <c r="F23" s="13" t="s">
        <v>122</v>
      </c>
      <c r="G23" s="13" t="s">
        <v>129</v>
      </c>
      <c r="H23" s="13" t="s">
        <v>90</v>
      </c>
      <c r="I23" s="13" t="s">
        <v>50</v>
      </c>
      <c r="J23" s="13" t="s">
        <v>51</v>
      </c>
      <c r="K23" s="13" t="s">
        <v>52</v>
      </c>
      <c r="L23" s="13" t="s">
        <v>53</v>
      </c>
      <c r="M23" s="13" t="s">
        <v>134</v>
      </c>
      <c r="N23" s="13" t="s">
        <v>125</v>
      </c>
      <c r="O23" s="13" t="s">
        <v>56</v>
      </c>
      <c r="P23" s="15" t="s">
        <v>57</v>
      </c>
    </row>
    <row r="24" ht="48" hidden="0" outlineLevel="0" collapsed="0">
      <c r="A24" s="16" t="s">
        <v>135</v>
      </c>
      <c r="B24" s="17" t="s">
        <v>5</v>
      </c>
      <c r="C24" s="17" t="s">
        <v>79</v>
      </c>
      <c r="D24" s="18">
        <v>171000</v>
      </c>
      <c r="E24" s="17" t="s">
        <v>46</v>
      </c>
      <c r="F24" s="17" t="s">
        <v>136</v>
      </c>
      <c r="G24" s="17" t="s">
        <v>129</v>
      </c>
      <c r="H24" s="17" t="s">
        <v>81</v>
      </c>
      <c r="I24" s="17" t="s">
        <v>50</v>
      </c>
      <c r="J24" s="17" t="s">
        <v>51</v>
      </c>
      <c r="K24" s="17" t="s">
        <v>52</v>
      </c>
      <c r="L24" s="17" t="s">
        <v>53</v>
      </c>
      <c r="M24" s="17" t="s">
        <v>137</v>
      </c>
      <c r="N24" s="17" t="s">
        <v>73</v>
      </c>
      <c r="O24" s="17" t="s">
        <v>56</v>
      </c>
      <c r="P24" s="19" t="s">
        <v>57</v>
      </c>
    </row>
    <row r="25" ht="48" hidden="0" outlineLevel="0" collapsed="0">
      <c r="A25" s="20" t="s">
        <v>138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COUNTIF(P5:P24,"PASS")</f>
        <v>20</v>
      </c>
      <c r="P25" s="20" t="str">
        <f>IF(O25=20,"PASS","FAIL")</f>
        <v>PASS</v>
      </c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</sheetData>
  <mergeCells count="2">
    <mergeCell ref="A1:P1"/>
    <mergeCell ref="A2:P2"/>
  </mergeCells>
  <conditionalFormatting sqref="P5:P25">
    <cfRule type="containsText" priority="2" operator="containsText" text="PASS" dxfId="3">
      <formula>NOT(ISERROR(SEARCH("PASS",P5)))</formula>
    </cfRule>
    <cfRule type="containsText" priority="3" operator="containsText" text="FAIL" dxfId="4">
      <formula>NOT(ISERROR(SEARCH("FAIL",P5)))</formula>
    </cfRule>
    <cfRule type="containsText" priority="4" operator="containsText" text="PENDING" dxfId="5">
      <formula>NOT(ISERROR(SEARCH("PENDING",P5)))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42" style="1" hidden="0" customWidth="1" outlineLevel="0" collapsed="0"/>
    <col min="2" max="3" width="16" style="1" hidden="0" customWidth="1" outlineLevel="0" collapsed="0"/>
  </cols>
  <sheetData>
    <row r="1" ht="28" hidden="0" outlineLevel="0" collapsed="0">
      <c r="A1" s="2" t="s">
        <v>139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140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30</v>
      </c>
      <c r="B4" s="5" t="s">
        <v>141</v>
      </c>
      <c r="C4" s="5" t="s">
        <v>142</v>
      </c>
      <c r="D4" s="4"/>
      <c r="E4" s="4"/>
      <c r="F4" s="4"/>
      <c r="G4" s="4"/>
      <c r="H4" s="4"/>
    </row>
    <row r="5" ht="15" hidden="0" outlineLevel="0" collapsed="0">
      <c r="A5" s="21" t="s">
        <v>45</v>
      </c>
      <c r="B5" s="22">
        <v>371433</v>
      </c>
      <c r="C5" s="23">
        <v>371444</v>
      </c>
      <c r="D5" s="4"/>
      <c r="E5" s="4"/>
      <c r="F5" s="4"/>
      <c r="G5" s="4"/>
      <c r="H5" s="4"/>
    </row>
    <row r="6" ht="15" hidden="0" outlineLevel="0" collapsed="0">
      <c r="A6" s="24" t="s">
        <v>143</v>
      </c>
      <c r="B6" s="25">
        <v>88995</v>
      </c>
      <c r="C6" s="26">
        <v>66968</v>
      </c>
      <c r="D6" s="4"/>
      <c r="E6" s="4"/>
      <c r="F6" s="4"/>
      <c r="G6" s="4"/>
      <c r="H6" s="4"/>
    </row>
    <row r="7" ht="15" hidden="0" outlineLevel="0" collapsed="0">
      <c r="A7" s="24" t="s">
        <v>64</v>
      </c>
      <c r="B7" s="25">
        <v>649368</v>
      </c>
      <c r="C7" s="26">
        <v>717419</v>
      </c>
      <c r="D7" s="4"/>
      <c r="E7" s="4"/>
      <c r="F7" s="4"/>
      <c r="G7" s="4"/>
      <c r="H7" s="4"/>
    </row>
    <row r="8" ht="15" hidden="0" outlineLevel="0" collapsed="0">
      <c r="A8" s="24" t="s">
        <v>144</v>
      </c>
      <c r="B8" s="25">
        <v>330805</v>
      </c>
      <c r="C8" s="26">
        <v>369000</v>
      </c>
      <c r="D8" s="4"/>
      <c r="E8" s="4"/>
      <c r="F8" s="4"/>
      <c r="G8" s="4"/>
      <c r="H8" s="4"/>
    </row>
    <row r="9" ht="15" hidden="0" outlineLevel="0" collapsed="0">
      <c r="A9" s="24" t="s">
        <v>145</v>
      </c>
      <c r="B9" s="25">
        <v>286952</v>
      </c>
      <c r="C9" s="26">
        <v>315600</v>
      </c>
      <c r="D9" s="4"/>
      <c r="E9" s="4"/>
      <c r="F9" s="4"/>
      <c r="G9" s="4"/>
      <c r="H9" s="4"/>
    </row>
    <row r="10" ht="15" hidden="0" outlineLevel="0" collapsed="0">
      <c r="A10" s="24" t="s">
        <v>79</v>
      </c>
      <c r="B10" s="25">
        <v>171000</v>
      </c>
      <c r="C10" s="26">
        <v>176000</v>
      </c>
      <c r="D10" s="4"/>
      <c r="E10" s="4"/>
      <c r="F10" s="4"/>
      <c r="G10" s="4"/>
      <c r="H10" s="4"/>
    </row>
    <row r="11" ht="15" hidden="0" outlineLevel="0" collapsed="0">
      <c r="A11" s="24" t="s">
        <v>146</v>
      </c>
      <c r="B11" s="25">
        <v>44885</v>
      </c>
      <c r="C11" s="26">
        <v>45800</v>
      </c>
      <c r="D11" s="4"/>
      <c r="E11" s="4"/>
      <c r="F11" s="4"/>
      <c r="G11" s="4"/>
      <c r="H11" s="4"/>
    </row>
    <row r="12" ht="15" hidden="0" outlineLevel="0" collapsed="0">
      <c r="A12" s="24"/>
      <c r="B12" s="25"/>
      <c r="C12" s="26"/>
      <c r="D12" s="4"/>
      <c r="E12" s="4"/>
      <c r="F12" s="4"/>
      <c r="G12" s="4"/>
      <c r="H12" s="4"/>
    </row>
    <row r="13" ht="15" hidden="0" outlineLevel="0" collapsed="0">
      <c r="A13" s="24" t="s">
        <v>147</v>
      </c>
      <c r="B13" s="25">
        <v>9020</v>
      </c>
      <c r="C13" s="26">
        <v>7258</v>
      </c>
      <c r="D13" s="4"/>
      <c r="E13" s="4"/>
      <c r="F13" s="4"/>
      <c r="G13" s="4"/>
      <c r="H13" s="4"/>
    </row>
    <row r="14" ht="15" hidden="0" outlineLevel="0" collapsed="0">
      <c r="A14" s="24" t="s">
        <v>148</v>
      </c>
      <c r="B14" s="25">
        <v>13670</v>
      </c>
      <c r="C14" s="26">
        <v>12513</v>
      </c>
      <c r="D14" s="4"/>
      <c r="E14" s="4"/>
      <c r="F14" s="4"/>
      <c r="G14" s="4"/>
      <c r="H14" s="4"/>
    </row>
    <row r="15" ht="15" hidden="0" outlineLevel="0" collapsed="0">
      <c r="A15" s="24" t="s">
        <v>149</v>
      </c>
      <c r="B15" s="25">
        <v>5031</v>
      </c>
      <c r="C15" s="26">
        <v>5476</v>
      </c>
      <c r="D15" s="4"/>
      <c r="E15" s="4"/>
      <c r="F15" s="4"/>
      <c r="G15" s="4"/>
      <c r="H15" s="4"/>
    </row>
    <row r="16" ht="15" hidden="0" outlineLevel="0" collapsed="0">
      <c r="A16" s="24" t="s">
        <v>150</v>
      </c>
      <c r="B16" s="25">
        <v>3730</v>
      </c>
      <c r="C16" s="26">
        <v>3979</v>
      </c>
      <c r="D16" s="4"/>
      <c r="E16" s="4"/>
      <c r="F16" s="4"/>
      <c r="G16" s="4"/>
      <c r="H16" s="4"/>
    </row>
    <row r="17" ht="15" hidden="0" outlineLevel="0" collapsed="0">
      <c r="A17" s="24" t="s">
        <v>151</v>
      </c>
      <c r="B17" s="25">
        <v>13072</v>
      </c>
      <c r="C17" s="26">
        <v>13647</v>
      </c>
      <c r="D17" s="4"/>
      <c r="E17" s="4"/>
      <c r="F17" s="4"/>
      <c r="G17" s="4"/>
      <c r="H17" s="4"/>
    </row>
    <row r="18" ht="15" hidden="0" outlineLevel="0" collapsed="0">
      <c r="A18" s="24" t="s">
        <v>152</v>
      </c>
      <c r="B18" s="25">
        <v>2914</v>
      </c>
      <c r="C18" s="26">
        <v>1613</v>
      </c>
      <c r="D18" s="4"/>
      <c r="E18" s="4"/>
      <c r="F18" s="4"/>
      <c r="G18" s="4"/>
      <c r="H18" s="4"/>
    </row>
    <row r="19" ht="15" hidden="0" outlineLevel="0" collapsed="0">
      <c r="A19" s="27" t="s">
        <v>153</v>
      </c>
      <c r="B19" s="28">
        <f>SUM(B13:B18)</f>
        <v>47437</v>
      </c>
      <c r="C19" s="29">
        <f>SUM(C13:C18)</f>
        <v>44486</v>
      </c>
      <c r="D19" s="4"/>
      <c r="E19" s="4"/>
      <c r="F19" s="4"/>
      <c r="G19" s="4"/>
      <c r="H19" s="4"/>
    </row>
    <row r="20" ht="15" hidden="0" outlineLevel="0" collapsed="0">
      <c r="A20" s="24"/>
      <c r="B20" s="25"/>
      <c r="C20" s="26"/>
      <c r="D20" s="4"/>
      <c r="E20" s="4"/>
      <c r="F20" s="4"/>
      <c r="G20" s="4"/>
      <c r="H20" s="4"/>
    </row>
    <row r="21" ht="15" hidden="0" outlineLevel="0" collapsed="0">
      <c r="A21" s="30" t="s">
        <v>154</v>
      </c>
      <c r="B21" s="31">
        <v>2156.580296</v>
      </c>
      <c r="C21" s="32">
        <v>2157.335139</v>
      </c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42" style="1" hidden="0" customWidth="1" outlineLevel="0" collapsed="0"/>
    <col min="2" max="5" width="14" style="1" hidden="0" customWidth="1" outlineLevel="0" collapsed="0"/>
  </cols>
  <sheetData>
    <row r="1" ht="28" hidden="0" outlineLevel="0" collapsed="0">
      <c r="A1" s="2" t="s">
        <v>155</v>
      </c>
      <c r="B1" s="2"/>
      <c r="C1" s="2"/>
      <c r="D1" s="2"/>
      <c r="E1" s="2"/>
      <c r="F1" s="2"/>
      <c r="G1" s="2"/>
    </row>
    <row r="2" ht="28" hidden="0" outlineLevel="0" collapsed="0">
      <c r="A2" s="3" t="s">
        <v>156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4" t="s">
        <v>157</v>
      </c>
      <c r="B4" s="33">
        <v>1</v>
      </c>
      <c r="C4" s="4"/>
      <c r="D4" s="4"/>
      <c r="E4" s="4" t="str">
        <f>IF(B4=1,"Base",IF(B4=2,"Bull",IF(B4=3,"Bear","INVALID")))</f>
        <v>Base</v>
      </c>
      <c r="F4" s="4"/>
      <c r="G4" s="4"/>
    </row>
    <row r="5" ht="15" hidden="0" outlineLevel="0" collapsed="0">
      <c r="A5" s="4"/>
      <c r="B5" s="4"/>
      <c r="C5" s="4"/>
      <c r="D5" s="4"/>
      <c r="E5" s="4"/>
      <c r="F5" s="4"/>
      <c r="G5" s="4"/>
    </row>
    <row r="6" ht="15" hidden="0" outlineLevel="0" collapsed="0">
      <c r="A6" s="5" t="s">
        <v>158</v>
      </c>
      <c r="B6" s="5" t="s">
        <v>159</v>
      </c>
      <c r="C6" s="5" t="s">
        <v>160</v>
      </c>
      <c r="D6" s="5" t="s">
        <v>161</v>
      </c>
      <c r="E6" s="5" t="s">
        <v>162</v>
      </c>
      <c r="F6" s="4"/>
      <c r="G6" s="4"/>
    </row>
    <row r="7" ht="15" hidden="0" outlineLevel="0" collapsed="0">
      <c r="A7" s="21" t="s">
        <v>163</v>
      </c>
      <c r="B7" s="34">
        <v>0.02</v>
      </c>
      <c r="C7" s="34">
        <v>0.07</v>
      </c>
      <c r="D7" s="34">
        <v>-0.1</v>
      </c>
      <c r="E7" s="35">
        <f>IF($B$4=1,B7,IF($B$4=2,C7,D7))</f>
        <v>0.02</v>
      </c>
      <c r="F7" s="4"/>
      <c r="G7" s="4"/>
    </row>
    <row r="8" ht="15" hidden="0" outlineLevel="0" collapsed="0">
      <c r="A8" s="24" t="s">
        <v>164</v>
      </c>
      <c r="B8" s="36">
        <v>0.05</v>
      </c>
      <c r="C8" s="36">
        <v>0.07</v>
      </c>
      <c r="D8" s="36">
        <v>0</v>
      </c>
      <c r="E8" s="37">
        <f>IF($B$4=1,B8,IF($B$4=2,C8,D8))</f>
        <v>0.05</v>
      </c>
      <c r="F8" s="4"/>
      <c r="G8" s="4"/>
    </row>
    <row r="9" ht="15" hidden="0" outlineLevel="0" collapsed="0">
      <c r="A9" s="24" t="s">
        <v>165</v>
      </c>
      <c r="B9" s="36">
        <v>0.04</v>
      </c>
      <c r="C9" s="36">
        <v>0.06</v>
      </c>
      <c r="D9" s="36">
        <v>-0.03</v>
      </c>
      <c r="E9" s="37">
        <f>IF($B$4=1,B9,IF($B$4=2,C9,D9))</f>
        <v>0.04</v>
      </c>
      <c r="F9" s="4"/>
      <c r="G9" s="4"/>
    </row>
    <row r="10" ht="15" hidden="0" outlineLevel="0" collapsed="0">
      <c r="A10" s="24" t="s">
        <v>166</v>
      </c>
      <c r="B10" s="36">
        <v>0.04</v>
      </c>
      <c r="C10" s="36">
        <v>0.06</v>
      </c>
      <c r="D10" s="36">
        <v>0</v>
      </c>
      <c r="E10" s="37">
        <f>IF($B$4=1,B10,IF($B$4=2,C10,D10))</f>
        <v>0.04</v>
      </c>
      <c r="F10" s="4"/>
      <c r="G10" s="4"/>
    </row>
    <row r="11" ht="15" hidden="0" outlineLevel="0" collapsed="0">
      <c r="A11" s="24" t="s">
        <v>167</v>
      </c>
      <c r="B11" s="36">
        <v>0.02</v>
      </c>
      <c r="C11" s="36">
        <v>0.04</v>
      </c>
      <c r="D11" s="36">
        <v>-0.1</v>
      </c>
      <c r="E11" s="37">
        <f>IF($B$4=1,B11,IF($B$4=2,C11,D11))</f>
        <v>0.02</v>
      </c>
      <c r="F11" s="4"/>
      <c r="G11" s="4"/>
    </row>
    <row r="12" ht="15" hidden="0" outlineLevel="0" collapsed="0">
      <c r="A12" s="24" t="s">
        <v>168</v>
      </c>
      <c r="B12" s="36">
        <v>0.03</v>
      </c>
      <c r="C12" s="36">
        <v>0.05</v>
      </c>
      <c r="D12" s="36">
        <v>-0.02</v>
      </c>
      <c r="E12" s="37">
        <f>IF($B$4=1,B12,IF($B$4=2,C12,D12))</f>
        <v>0.03</v>
      </c>
      <c r="F12" s="4"/>
      <c r="G12" s="4"/>
    </row>
    <row r="13" ht="15" hidden="0" outlineLevel="0" collapsed="0">
      <c r="A13" s="24" t="s">
        <v>169</v>
      </c>
      <c r="B13" s="38">
        <v>12</v>
      </c>
      <c r="C13" s="38">
        <v>14</v>
      </c>
      <c r="D13" s="38">
        <v>9</v>
      </c>
      <c r="E13" s="39">
        <f>IF($B$4=1,B13,IF($B$4=2,C13,D13))</f>
        <v>12</v>
      </c>
      <c r="F13" s="4"/>
      <c r="G13" s="4"/>
    </row>
    <row r="14" ht="15" hidden="0" outlineLevel="0" collapsed="0">
      <c r="A14" s="24" t="s">
        <v>170</v>
      </c>
      <c r="B14" s="38">
        <v>16</v>
      </c>
      <c r="C14" s="38">
        <v>18</v>
      </c>
      <c r="D14" s="38">
        <v>13</v>
      </c>
      <c r="E14" s="39">
        <f>IF($B$4=1,B14,IF($B$4=2,C14,D14))</f>
        <v>16</v>
      </c>
      <c r="F14" s="4"/>
      <c r="G14" s="4"/>
    </row>
    <row r="15" ht="15" hidden="0" outlineLevel="0" collapsed="0">
      <c r="A15" s="24" t="s">
        <v>171</v>
      </c>
      <c r="B15" s="38">
        <v>17</v>
      </c>
      <c r="C15" s="38">
        <v>19</v>
      </c>
      <c r="D15" s="38">
        <v>14</v>
      </c>
      <c r="E15" s="39">
        <f>IF($B$4=1,B15,IF($B$4=2,C15,D15))</f>
        <v>17</v>
      </c>
      <c r="F15" s="4"/>
      <c r="G15" s="4"/>
    </row>
    <row r="16" ht="15" hidden="0" outlineLevel="0" collapsed="0">
      <c r="A16" s="24" t="s">
        <v>172</v>
      </c>
      <c r="B16" s="38">
        <v>18</v>
      </c>
      <c r="C16" s="38">
        <v>20</v>
      </c>
      <c r="D16" s="38">
        <v>14</v>
      </c>
      <c r="E16" s="39">
        <f>IF($B$4=1,B16,IF($B$4=2,C16,D16))</f>
        <v>18</v>
      </c>
      <c r="F16" s="4"/>
      <c r="G16" s="4"/>
    </row>
    <row r="17" ht="15" hidden="0" outlineLevel="0" collapsed="0">
      <c r="A17" s="24" t="s">
        <v>173</v>
      </c>
      <c r="B17" s="38">
        <v>10</v>
      </c>
      <c r="C17" s="38">
        <v>12</v>
      </c>
      <c r="D17" s="38">
        <v>7</v>
      </c>
      <c r="E17" s="39">
        <f>IF($B$4=1,B17,IF($B$4=2,C17,D17))</f>
        <v>10</v>
      </c>
      <c r="F17" s="4"/>
      <c r="G17" s="4"/>
    </row>
    <row r="18" ht="15" hidden="0" outlineLevel="0" collapsed="0">
      <c r="A18" s="24" t="s">
        <v>174</v>
      </c>
      <c r="B18" s="38">
        <v>1.25</v>
      </c>
      <c r="C18" s="38">
        <v>1.4</v>
      </c>
      <c r="D18" s="38">
        <v>1</v>
      </c>
      <c r="E18" s="39">
        <f>IF($B$4=1,B18,IF($B$4=2,C18,D18))</f>
        <v>1.25</v>
      </c>
      <c r="F18" s="4"/>
      <c r="G18" s="4"/>
    </row>
    <row r="19" ht="15" hidden="0" outlineLevel="0" collapsed="0">
      <c r="A19" s="30" t="s">
        <v>175</v>
      </c>
      <c r="B19" s="40">
        <v>0</v>
      </c>
      <c r="C19" s="40">
        <v>0.03</v>
      </c>
      <c r="D19" s="40">
        <v>0.1</v>
      </c>
      <c r="E19" s="41">
        <f>IF($B$4=1,B19,IF($B$4=2,C19,D19))</f>
        <v>0</v>
      </c>
      <c r="F19" s="4"/>
      <c r="G19" s="4"/>
    </row>
    <row r="20" ht="15" hidden="0" outlineLevel="0" collapsed="0">
      <c r="A20" s="4"/>
      <c r="B20" s="4"/>
      <c r="C20" s="4"/>
      <c r="D20" s="4"/>
      <c r="E20" s="4"/>
      <c r="F20" s="4"/>
      <c r="G20" s="4"/>
    </row>
    <row r="21" ht="15" hidden="0" outlineLevel="0" collapsed="0">
      <c r="A21" s="4"/>
      <c r="B21" s="4"/>
      <c r="C21" s="4"/>
      <c r="D21" s="4"/>
      <c r="E21" s="4"/>
      <c r="F21" s="4"/>
      <c r="G21" s="4"/>
    </row>
    <row r="22" ht="15" hidden="0" outlineLevel="0" collapsed="0">
      <c r="A22" s="4"/>
      <c r="B22" s="4"/>
      <c r="C22" s="4"/>
      <c r="D22" s="4"/>
      <c r="E22" s="4"/>
      <c r="F22" s="4"/>
      <c r="G22" s="4"/>
    </row>
    <row r="23" ht="15" hidden="0" outlineLevel="0" collapsed="0">
      <c r="A23" s="4"/>
      <c r="B23" s="4"/>
      <c r="C23" s="4"/>
      <c r="D23" s="4"/>
      <c r="E23" s="4"/>
      <c r="F23" s="4"/>
      <c r="G23" s="4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  <row r="26" ht="15" hidden="0" outlineLevel="0" collapsed="0">
      <c r="A26" s="4"/>
      <c r="B26" s="4"/>
      <c r="C26" s="4"/>
      <c r="D26" s="4"/>
      <c r="E26" s="4"/>
      <c r="F26" s="4"/>
      <c r="G26" s="4"/>
    </row>
    <row r="27" ht="15" hidden="0" outlineLevel="0" collapsed="0">
      <c r="A27" s="4"/>
      <c r="B27" s="4"/>
      <c r="C27" s="4"/>
      <c r="D27" s="4"/>
      <c r="E27" s="4"/>
      <c r="F27" s="4"/>
      <c r="G27" s="4"/>
    </row>
    <row r="28" ht="15" hidden="0" outlineLevel="0" collapsed="0">
      <c r="A28" s="4"/>
      <c r="B28" s="4"/>
      <c r="C28" s="4"/>
      <c r="D28" s="4"/>
      <c r="E28" s="4"/>
      <c r="F28" s="4"/>
      <c r="G28" s="4"/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  <row r="31" ht="15" hidden="0" outlineLevel="0" collapsed="0">
      <c r="A31" s="4"/>
      <c r="B31" s="4"/>
      <c r="C31" s="4"/>
      <c r="D31" s="4"/>
      <c r="E31" s="4"/>
      <c r="F31" s="4"/>
      <c r="G31" s="4"/>
    </row>
    <row r="32" ht="15" hidden="0" outlineLevel="0" collapsed="0">
      <c r="A32" s="4"/>
      <c r="B32" s="4"/>
      <c r="C32" s="4"/>
      <c r="D32" s="4"/>
      <c r="E32" s="4"/>
      <c r="F32" s="4"/>
      <c r="G32" s="4"/>
    </row>
    <row r="33" ht="15" hidden="0" outlineLevel="0" collapsed="0">
      <c r="A33" s="4"/>
      <c r="B33" s="4"/>
      <c r="C33" s="4"/>
      <c r="D33" s="4"/>
      <c r="E33" s="4"/>
      <c r="F33" s="4"/>
      <c r="G33" s="4"/>
    </row>
    <row r="34" ht="15" hidden="0" outlineLevel="0" collapsed="0">
      <c r="A34" s="4"/>
      <c r="B34" s="4"/>
      <c r="C34" s="4"/>
      <c r="D34" s="4"/>
      <c r="E34" s="4"/>
      <c r="F34" s="4"/>
      <c r="G34" s="4"/>
    </row>
    <row r="35" ht="15" hidden="0" outlineLevel="0" collapsed="0">
      <c r="A35" s="4"/>
      <c r="B35" s="4"/>
      <c r="C35" s="4"/>
      <c r="D35" s="4"/>
      <c r="E35" s="4"/>
      <c r="F35" s="4"/>
      <c r="G35" s="4"/>
    </row>
    <row r="36" ht="15" hidden="0" outlineLevel="0" collapsed="0">
      <c r="A36" s="4"/>
      <c r="B36" s="4"/>
      <c r="C36" s="4"/>
      <c r="D36" s="4"/>
      <c r="E36" s="4"/>
      <c r="F36" s="4"/>
      <c r="G36" s="4"/>
    </row>
    <row r="37" ht="15" hidden="0" outlineLevel="0" collapsed="0">
      <c r="A37" s="4"/>
      <c r="B37" s="4"/>
      <c r="C37" s="4"/>
      <c r="D37" s="4"/>
      <c r="E37" s="4"/>
      <c r="F37" s="4"/>
      <c r="G37" s="4"/>
    </row>
    <row r="38" ht="15" hidden="0" outlineLevel="0" collapsed="0">
      <c r="A38" s="4"/>
      <c r="B38" s="4"/>
      <c r="C38" s="4"/>
      <c r="D38" s="4"/>
      <c r="E38" s="4"/>
      <c r="F38" s="4"/>
      <c r="G38" s="4"/>
    </row>
    <row r="39" ht="15" hidden="0" outlineLevel="0" collapsed="0">
      <c r="A39" s="4"/>
      <c r="B39" s="4"/>
      <c r="C39" s="4"/>
      <c r="D39" s="4"/>
      <c r="E39" s="4"/>
      <c r="F39" s="4"/>
      <c r="G39" s="4"/>
    </row>
    <row r="40" ht="15" hidden="0" outlineLevel="0" collapsed="0">
      <c r="A40" s="4"/>
      <c r="B40" s="4"/>
      <c r="C40" s="4"/>
      <c r="D40" s="4"/>
      <c r="E40" s="4"/>
      <c r="F40" s="4"/>
      <c r="G40" s="4"/>
    </row>
    <row r="41" ht="15" hidden="0" outlineLevel="0" collapsed="0">
      <c r="A41" s="4"/>
      <c r="B41" s="4"/>
      <c r="C41" s="4"/>
      <c r="D41" s="4"/>
      <c r="E41" s="4"/>
      <c r="F41" s="4"/>
      <c r="G41" s="4"/>
    </row>
    <row r="42" ht="15" hidden="0" outlineLevel="0" collapsed="0">
      <c r="A42" s="4"/>
      <c r="B42" s="4"/>
      <c r="C42" s="4"/>
      <c r="D42" s="4"/>
      <c r="E42" s="4"/>
      <c r="F42" s="4"/>
      <c r="G42" s="4"/>
    </row>
    <row r="43" ht="15" hidden="0" outlineLevel="0" collapsed="0">
      <c r="A43" s="4"/>
      <c r="B43" s="4"/>
      <c r="C43" s="4"/>
      <c r="D43" s="4"/>
      <c r="E43" s="4"/>
      <c r="F43" s="4"/>
      <c r="G43" s="4"/>
    </row>
    <row r="44" ht="15" hidden="0" outlineLevel="0" collapsed="0">
      <c r="A44" s="4"/>
      <c r="B44" s="4"/>
      <c r="C44" s="4"/>
      <c r="D44" s="4"/>
      <c r="E44" s="4"/>
      <c r="F44" s="4"/>
      <c r="G44" s="4"/>
    </row>
    <row r="45" ht="15" hidden="0" outlineLevel="0" collapsed="0">
      <c r="A45" s="4"/>
      <c r="B45" s="4"/>
      <c r="C45" s="4"/>
      <c r="D45" s="4"/>
      <c r="E45" s="4"/>
      <c r="F45" s="4"/>
      <c r="G45" s="4"/>
    </row>
    <row r="46" ht="15" hidden="0" outlineLevel="0" collapsed="0">
      <c r="A46" s="4"/>
      <c r="B46" s="4"/>
      <c r="C46" s="4"/>
      <c r="D46" s="4"/>
      <c r="E46" s="4"/>
      <c r="F46" s="4"/>
      <c r="G46" s="4"/>
    </row>
    <row r="47" ht="15" hidden="0" outlineLevel="0" collapsed="0">
      <c r="A47" s="4"/>
      <c r="B47" s="4"/>
      <c r="C47" s="4"/>
      <c r="D47" s="4"/>
      <c r="E47" s="4"/>
      <c r="F47" s="4"/>
      <c r="G47" s="4"/>
    </row>
    <row r="48" ht="15" hidden="0" outlineLevel="0" collapsed="0">
      <c r="A48" s="4"/>
      <c r="B48" s="4"/>
      <c r="C48" s="4"/>
      <c r="D48" s="4"/>
      <c r="E48" s="4"/>
      <c r="F48" s="4"/>
      <c r="G48" s="4"/>
    </row>
    <row r="49" ht="15" hidden="0" outlineLevel="0" collapsed="0">
      <c r="A49" s="4"/>
      <c r="B49" s="4"/>
      <c r="C49" s="4"/>
      <c r="D49" s="4"/>
      <c r="E49" s="4"/>
      <c r="F49" s="4"/>
      <c r="G49" s="4"/>
    </row>
    <row r="50" ht="15" hidden="0" outlineLevel="0" collapsed="0">
      <c r="A50" s="4"/>
      <c r="B50" s="4"/>
      <c r="C50" s="4"/>
      <c r="D50" s="4"/>
      <c r="E50" s="4"/>
      <c r="F50" s="4"/>
      <c r="G50" s="4"/>
    </row>
    <row r="51" ht="15" hidden="0" outlineLevel="0" collapsed="0">
      <c r="A51" s="4"/>
      <c r="B51" s="4"/>
      <c r="C51" s="4"/>
      <c r="D51" s="4"/>
      <c r="E51" s="4"/>
      <c r="F51" s="4"/>
      <c r="G51" s="4"/>
    </row>
    <row r="52" ht="15" hidden="0" outlineLevel="0" collapsed="0">
      <c r="A52" s="4"/>
      <c r="B52" s="4"/>
      <c r="C52" s="4"/>
      <c r="D52" s="4"/>
      <c r="E52" s="4"/>
      <c r="F52" s="4"/>
      <c r="G52" s="4"/>
    </row>
    <row r="53" ht="15" hidden="0" outlineLevel="0" collapsed="0">
      <c r="A53" s="4"/>
      <c r="B53" s="4"/>
      <c r="C53" s="4"/>
      <c r="D53" s="4"/>
      <c r="E53" s="4"/>
      <c r="F53" s="4"/>
      <c r="G53" s="4"/>
    </row>
    <row r="54" ht="15" hidden="0" outlineLevel="0" collapsed="0">
      <c r="A54" s="4"/>
      <c r="B54" s="4"/>
      <c r="C54" s="4"/>
      <c r="D54" s="4"/>
      <c r="E54" s="4"/>
      <c r="F54" s="4"/>
      <c r="G54" s="4"/>
    </row>
    <row r="55" ht="15" hidden="0" outlineLevel="0" collapsed="0">
      <c r="A55" s="4"/>
      <c r="B55" s="4"/>
      <c r="C55" s="4"/>
      <c r="D55" s="4"/>
      <c r="E55" s="4"/>
      <c r="F55" s="4"/>
      <c r="G55" s="4"/>
    </row>
    <row r="56" ht="15" hidden="0" outlineLevel="0" collapsed="0">
      <c r="A56" s="4"/>
      <c r="B56" s="4"/>
      <c r="C56" s="4"/>
      <c r="D56" s="4"/>
      <c r="E56" s="4"/>
      <c r="F56" s="4"/>
      <c r="G56" s="4"/>
    </row>
    <row r="57" ht="15" hidden="0" outlineLevel="0" collapsed="0">
      <c r="A57" s="4"/>
      <c r="B57" s="4"/>
      <c r="C57" s="4"/>
      <c r="D57" s="4"/>
      <c r="E57" s="4"/>
      <c r="F57" s="4"/>
      <c r="G57" s="4"/>
    </row>
    <row r="58" ht="15" hidden="0" outlineLevel="0" collapsed="0">
      <c r="A58" s="4"/>
      <c r="B58" s="4"/>
      <c r="C58" s="4"/>
      <c r="D58" s="4"/>
      <c r="E58" s="4"/>
      <c r="F58" s="4"/>
      <c r="G58" s="4"/>
    </row>
    <row r="59" ht="15" hidden="0" outlineLevel="0" collapsed="0">
      <c r="A59" s="4"/>
      <c r="B59" s="4"/>
      <c r="C59" s="4"/>
      <c r="D59" s="4"/>
      <c r="E59" s="4"/>
      <c r="F59" s="4"/>
      <c r="G59" s="4"/>
    </row>
    <row r="60" ht="15" hidden="0" outlineLevel="0" collapsed="0">
      <c r="A60" s="4"/>
      <c r="B60" s="4"/>
      <c r="C60" s="4"/>
      <c r="D60" s="4"/>
      <c r="E60" s="4"/>
      <c r="F60" s="4"/>
      <c r="G60" s="4"/>
    </row>
    <row r="61" ht="15" hidden="0" outlineLevel="0" collapsed="0">
      <c r="A61" s="4"/>
      <c r="B61" s="4"/>
      <c r="C61" s="4"/>
      <c r="D61" s="4"/>
      <c r="E61" s="4"/>
      <c r="F61" s="4"/>
      <c r="G61" s="4"/>
    </row>
    <row r="62" ht="15" hidden="0" outlineLevel="0" collapsed="0">
      <c r="A62" s="4"/>
      <c r="B62" s="4"/>
      <c r="C62" s="4"/>
      <c r="D62" s="4"/>
      <c r="E62" s="4"/>
      <c r="F62" s="4"/>
      <c r="G62" s="4"/>
    </row>
    <row r="63" ht="15" hidden="0" outlineLevel="0" collapsed="0">
      <c r="A63" s="4"/>
      <c r="B63" s="4"/>
      <c r="C63" s="4"/>
      <c r="D63" s="4"/>
      <c r="E63" s="4"/>
      <c r="F63" s="4"/>
      <c r="G63" s="4"/>
    </row>
    <row r="64" ht="15" hidden="0" outlineLevel="0" collapsed="0">
      <c r="A64" s="4"/>
      <c r="B64" s="4"/>
      <c r="C64" s="4"/>
      <c r="D64" s="4"/>
      <c r="E64" s="4"/>
      <c r="F64" s="4"/>
      <c r="G64" s="4"/>
    </row>
    <row r="65" ht="15" hidden="0" outlineLevel="0" collapsed="0">
      <c r="A65" s="4"/>
      <c r="B65" s="4"/>
      <c r="C65" s="4"/>
      <c r="D65" s="4"/>
      <c r="E65" s="4"/>
      <c r="F65" s="4"/>
      <c r="G65" s="4"/>
    </row>
    <row r="66" ht="15" hidden="0" outlineLevel="0" collapsed="0">
      <c r="A66" s="4"/>
      <c r="B66" s="4"/>
      <c r="C66" s="4"/>
      <c r="D66" s="4"/>
      <c r="E66" s="4"/>
      <c r="F66" s="4"/>
      <c r="G66" s="4"/>
    </row>
    <row r="67" ht="15" hidden="0" outlineLevel="0" collapsed="0">
      <c r="A67" s="4"/>
      <c r="B67" s="4"/>
      <c r="C67" s="4"/>
      <c r="D67" s="4"/>
      <c r="E67" s="4"/>
      <c r="F67" s="4"/>
      <c r="G67" s="4"/>
    </row>
    <row r="68" ht="15" hidden="0" outlineLevel="0" collapsed="0">
      <c r="A68" s="4"/>
      <c r="B68" s="4"/>
      <c r="C68" s="4"/>
      <c r="D68" s="4"/>
      <c r="E68" s="4"/>
      <c r="F68" s="4"/>
      <c r="G68" s="4"/>
    </row>
    <row r="69" ht="15" hidden="0" outlineLevel="0" collapsed="0">
      <c r="A69" s="4"/>
      <c r="B69" s="4"/>
      <c r="C69" s="4"/>
      <c r="D69" s="4"/>
      <c r="E69" s="4"/>
      <c r="F69" s="4"/>
      <c r="G69" s="4"/>
    </row>
    <row r="70" ht="15" hidden="0" outlineLevel="0" collapsed="0">
      <c r="A70" s="4"/>
      <c r="B70" s="4"/>
      <c r="C70" s="4"/>
      <c r="D70" s="4"/>
      <c r="E70" s="4"/>
      <c r="F70" s="4"/>
      <c r="G70" s="4"/>
    </row>
    <row r="71" ht="15" hidden="0" outlineLevel="0" collapsed="0">
      <c r="A71" s="4"/>
      <c r="B71" s="4"/>
      <c r="C71" s="4"/>
      <c r="D71" s="4"/>
      <c r="E71" s="4"/>
      <c r="F71" s="4"/>
      <c r="G71" s="4"/>
    </row>
    <row r="72" ht="15" hidden="0" outlineLevel="0" collapsed="0">
      <c r="A72" s="4"/>
      <c r="B72" s="4"/>
      <c r="C72" s="4"/>
      <c r="D72" s="4"/>
      <c r="E72" s="4"/>
      <c r="F72" s="4"/>
      <c r="G72" s="4"/>
    </row>
    <row r="73" ht="15" hidden="0" outlineLevel="0" collapsed="0">
      <c r="A73" s="4"/>
      <c r="B73" s="4"/>
      <c r="C73" s="4"/>
      <c r="D73" s="4"/>
      <c r="E73" s="4"/>
      <c r="F73" s="4"/>
      <c r="G73" s="4"/>
    </row>
    <row r="74" ht="15" hidden="0" outlineLevel="0" collapsed="0">
      <c r="A74" s="4"/>
      <c r="B74" s="4"/>
      <c r="C74" s="4"/>
      <c r="D74" s="4"/>
      <c r="E74" s="4"/>
      <c r="F74" s="4"/>
      <c r="G74" s="4"/>
    </row>
    <row r="75" ht="15" hidden="0" outlineLevel="0" collapsed="0">
      <c r="A75" s="4"/>
      <c r="B75" s="4"/>
      <c r="C75" s="4"/>
      <c r="D75" s="4"/>
      <c r="E75" s="4"/>
      <c r="F75" s="4"/>
      <c r="G75" s="4"/>
    </row>
    <row r="76" ht="15" hidden="0" outlineLevel="0" collapsed="0">
      <c r="A76" s="4"/>
      <c r="B76" s="4"/>
      <c r="C76" s="4"/>
      <c r="D76" s="4"/>
      <c r="E76" s="4"/>
      <c r="F76" s="4"/>
      <c r="G76" s="4"/>
    </row>
    <row r="77" ht="15" hidden="0" outlineLevel="0" collapsed="0">
      <c r="A77" s="4"/>
      <c r="B77" s="4"/>
      <c r="C77" s="4"/>
      <c r="D77" s="4"/>
      <c r="E77" s="4"/>
      <c r="F77" s="4"/>
      <c r="G77" s="4"/>
    </row>
    <row r="78" ht="15" hidden="0" outlineLevel="0" collapsed="0">
      <c r="A78" s="4"/>
      <c r="B78" s="4"/>
      <c r="C78" s="4"/>
      <c r="D78" s="4"/>
      <c r="E78" s="4"/>
      <c r="F78" s="4"/>
      <c r="G78" s="4"/>
    </row>
    <row r="79" ht="15" hidden="0" outlineLevel="0" collapsed="0">
      <c r="A79" s="4"/>
      <c r="B79" s="4"/>
      <c r="C79" s="4"/>
      <c r="D79" s="4"/>
      <c r="E79" s="4"/>
      <c r="F79" s="4"/>
      <c r="G79" s="4"/>
    </row>
    <row r="80" ht="15" hidden="0" outlineLevel="0" collapsed="0">
      <c r="A80" s="4"/>
      <c r="B80" s="4"/>
      <c r="C80" s="4"/>
      <c r="D80" s="4"/>
      <c r="E80" s="4"/>
      <c r="F80" s="4"/>
      <c r="G80" s="4"/>
    </row>
  </sheetData>
  <mergeCells count="2">
    <mergeCell ref="A1:G1"/>
    <mergeCell ref="A2:G2"/>
  </mergeCells>
  <conditionalFormatting sqref="E4">
    <cfRule type="containsText" priority="2" operator="containsText" text="PASS" dxfId="6">
      <formula>NOT(ISERROR(SEARCH("PASS",E4)))</formula>
    </cfRule>
    <cfRule type="containsText" priority="3" operator="containsText" text="FAIL" dxfId="7">
      <formula>NOT(ISERROR(SEARCH("FAIL",E4)))</formula>
    </cfRule>
    <cfRule type="containsText" priority="4" operator="containsText" text="PENDING" dxfId="8">
      <formula>NOT(ISERROR(SEARCH("PENDING",E4)))</formula>
    </cfRule>
  </conditionalFormatting>
  <dataValidations count="1">
    <dataValidation sqref="B4" type="list">
      <formula1>"1,2,3"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44" style="1" hidden="0" customWidth="1" outlineLevel="0" collapsed="0"/>
    <col min="2" max="7" width="14" style="1" hidden="0" customWidth="1" outlineLevel="0" collapsed="0"/>
    <col min="8" max="8" width="22" style="1" hidden="0" customWidth="1" outlineLevel="0" collapsed="0"/>
  </cols>
  <sheetData>
    <row r="1" ht="28" hidden="0" outlineLevel="0" collapsed="0">
      <c r="A1" s="2" t="s">
        <v>176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177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30</v>
      </c>
      <c r="B4" s="5" t="s">
        <v>142</v>
      </c>
      <c r="C4" s="5" t="s">
        <v>178</v>
      </c>
      <c r="D4" s="5" t="s">
        <v>179</v>
      </c>
      <c r="E4" s="5" t="s">
        <v>180</v>
      </c>
      <c r="F4" s="5" t="s">
        <v>181</v>
      </c>
      <c r="G4" s="5" t="s">
        <v>182</v>
      </c>
      <c r="H4" s="5" t="s">
        <v>158</v>
      </c>
    </row>
    <row r="5" ht="15" hidden="0" outlineLevel="0" collapsed="0">
      <c r="A5" s="21" t="s">
        <v>147</v>
      </c>
      <c r="B5" s="42">
        <f>Historical!C13</f>
        <v>7258</v>
      </c>
      <c r="C5" s="42">
        <f>B5*(1+Assumptions!$E$7)</f>
        <v>7403.16</v>
      </c>
      <c r="D5" s="42">
        <f>C5*(1+Assumptions!$E$7)</f>
        <v>7551.2232</v>
      </c>
      <c r="E5" s="42">
        <f>D5*(1+Assumptions!$E$7)</f>
        <v>7702.247664</v>
      </c>
      <c r="F5" s="42">
        <f>E5*(1+Assumptions!$E$7)</f>
        <v>7856.292617280001</v>
      </c>
      <c r="G5" s="42">
        <f>F5*(1+Assumptions!$E$7)</f>
        <v>8013.418469625601</v>
      </c>
      <c r="H5" s="43" t="s">
        <v>183</v>
      </c>
    </row>
    <row r="6" ht="15" hidden="0" outlineLevel="0" collapsed="0">
      <c r="A6" s="24" t="s">
        <v>149</v>
      </c>
      <c r="B6" s="44">
        <f>Historical!C15</f>
        <v>5476</v>
      </c>
      <c r="C6" s="44">
        <f>B6*(1+Assumptions!$E$8)</f>
        <v>5749.8</v>
      </c>
      <c r="D6" s="44">
        <f>C6*(1+Assumptions!$E$8)</f>
        <v>6037.290000000001</v>
      </c>
      <c r="E6" s="44">
        <f>D6*(1+Assumptions!$E$8)</f>
        <v>6339.1545000000015</v>
      </c>
      <c r="F6" s="44">
        <f>E6*(1+Assumptions!$E$8)</f>
        <v>6656.112225000002</v>
      </c>
      <c r="G6" s="44">
        <f>F6*(1+Assumptions!$E$8)</f>
        <v>6988.917836250002</v>
      </c>
      <c r="H6" s="45" t="s">
        <v>184</v>
      </c>
    </row>
    <row r="7" ht="15" hidden="0" outlineLevel="0" collapsed="0">
      <c r="A7" s="24" t="s">
        <v>150</v>
      </c>
      <c r="B7" s="44">
        <f>Historical!C16</f>
        <v>3979</v>
      </c>
      <c r="C7" s="44">
        <f>B7*(1+Assumptions!$E$9)</f>
        <v>4138.16</v>
      </c>
      <c r="D7" s="44">
        <f>C7*(1+Assumptions!$E$9)</f>
        <v>4303.6864</v>
      </c>
      <c r="E7" s="44">
        <f>D7*(1+Assumptions!$E$9)</f>
        <v>4475.833855999999</v>
      </c>
      <c r="F7" s="44">
        <f>E7*(1+Assumptions!$E$9)</f>
        <v>4654.86721024</v>
      </c>
      <c r="G7" s="44">
        <f>F7*(1+Assumptions!$E$9)</f>
        <v>4841.0618986496</v>
      </c>
      <c r="H7" s="45" t="s">
        <v>185</v>
      </c>
    </row>
    <row r="8" ht="15" hidden="0" outlineLevel="0" collapsed="0">
      <c r="A8" s="24" t="s">
        <v>151</v>
      </c>
      <c r="B8" s="44">
        <f>Historical!C17</f>
        <v>13647</v>
      </c>
      <c r="C8" s="44">
        <f>B8*(1+Assumptions!$E$10)</f>
        <v>14192.880000000001</v>
      </c>
      <c r="D8" s="44">
        <f>C8*(1+Assumptions!$E$10)</f>
        <v>14760.595200000002</v>
      </c>
      <c r="E8" s="44">
        <f>D8*(1+Assumptions!$E$10)</f>
        <v>15351.019008000003</v>
      </c>
      <c r="F8" s="44">
        <f>E8*(1+Assumptions!$E$10)</f>
        <v>15965.059768320003</v>
      </c>
      <c r="G8" s="44">
        <f>F8*(1+Assumptions!$E$10)</f>
        <v>16603.662159052805</v>
      </c>
      <c r="H8" s="45" t="s">
        <v>186</v>
      </c>
    </row>
    <row r="9" ht="15" hidden="0" outlineLevel="0" collapsed="0">
      <c r="A9" s="24" t="s">
        <v>152</v>
      </c>
      <c r="B9" s="44">
        <f>Historical!C18</f>
        <v>1613</v>
      </c>
      <c r="C9" s="44">
        <f>B9*(1+Assumptions!$E$11)</f>
        <v>1645.26</v>
      </c>
      <c r="D9" s="44">
        <f>C9*(1+Assumptions!$E$11)</f>
        <v>1678.1652</v>
      </c>
      <c r="E9" s="44">
        <f>D9*(1+Assumptions!$E$11)</f>
        <v>1711.728504</v>
      </c>
      <c r="F9" s="44">
        <f>E9*(1+Assumptions!$E$11)</f>
        <v>1745.96307408</v>
      </c>
      <c r="G9" s="44">
        <f>F9*(1+Assumptions!$E$11)</f>
        <v>1780.8823355616</v>
      </c>
      <c r="H9" s="45" t="s">
        <v>187</v>
      </c>
    </row>
    <row r="10" ht="15" hidden="0" outlineLevel="0" collapsed="0">
      <c r="A10" s="27" t="s">
        <v>188</v>
      </c>
      <c r="B10" s="46">
        <f>SUM(B5:B9)</f>
        <v>31973</v>
      </c>
      <c r="C10" s="46">
        <f>SUM(C5:C9)</f>
        <v>33129.26</v>
      </c>
      <c r="D10" s="46">
        <f>SUM(D5:D9)</f>
        <v>34330.96000000001</v>
      </c>
      <c r="E10" s="46">
        <f>SUM(E5:E9)</f>
        <v>35579.983532000006</v>
      </c>
      <c r="F10" s="46">
        <f>SUM(F5:F9)</f>
        <v>36878.29489492001</v>
      </c>
      <c r="G10" s="46">
        <f>SUM(G5:G9)</f>
        <v>38227.9426991396</v>
      </c>
      <c r="H10" s="45"/>
    </row>
    <row r="11" ht="15" hidden="0" outlineLevel="0" collapsed="0">
      <c r="A11" s="24" t="s">
        <v>189</v>
      </c>
      <c r="B11" s="44">
        <f>Historical!C8+Historical!C9-Historical!C10-Historical!C11</f>
        <v>462800</v>
      </c>
      <c r="C11" s="44">
        <f>B11*(1+Assumptions!$E$12)</f>
        <v>476684</v>
      </c>
      <c r="D11" s="44">
        <f>C11*(1+Assumptions!$E$12)</f>
        <v>490984.52</v>
      </c>
      <c r="E11" s="44">
        <f>D11*(1+Assumptions!$E$12)</f>
        <v>505714.0556</v>
      </c>
      <c r="F11" s="44">
        <f>E11*(1+Assumptions!$E$12)</f>
        <v>520885.477268</v>
      </c>
      <c r="G11" s="44">
        <f>F11*(1+Assumptions!$E$12)</f>
        <v>536512.04158604</v>
      </c>
      <c r="H11" s="45" t="s">
        <v>190</v>
      </c>
    </row>
    <row r="12" ht="15" hidden="0" outlineLevel="0" collapsed="0">
      <c r="A12" s="30" t="s">
        <v>191</v>
      </c>
      <c r="B12" s="47">
        <f>B11*(1-Assumptions!E19)</f>
        <v>462800</v>
      </c>
      <c r="C12" s="47">
        <f>C11*(1-Assumptions!$E$19)</f>
        <v>476684</v>
      </c>
      <c r="D12" s="47">
        <f>D11*(1-Assumptions!$E$19)</f>
        <v>490984.52</v>
      </c>
      <c r="E12" s="47">
        <f>E11*(1-Assumptions!$E$19)</f>
        <v>505714.0556</v>
      </c>
      <c r="F12" s="47">
        <f>F11*(1-Assumptions!$E$19)</f>
        <v>520885.477268</v>
      </c>
      <c r="G12" s="47">
        <f>G11*(1-Assumptions!$E$19)</f>
        <v>536512.04158604</v>
      </c>
      <c r="H12" s="48" t="s">
        <v>192</v>
      </c>
    </row>
    <row r="13" ht="15" hidden="0" outlineLevel="0" collapsed="0">
      <c r="A13" s="4"/>
      <c r="B13" s="4"/>
      <c r="C13" s="4"/>
      <c r="D13" s="4"/>
      <c r="E13" s="4"/>
      <c r="F13" s="4"/>
      <c r="G13" s="4"/>
      <c r="H13" s="4"/>
    </row>
    <row r="14" ht="15" hidden="0" outlineLevel="0" collapsed="0">
      <c r="A14" s="4"/>
      <c r="B14" s="4"/>
      <c r="C14" s="4"/>
      <c r="D14" s="4"/>
      <c r="E14" s="4"/>
      <c r="F14" s="4"/>
      <c r="G14" s="4"/>
      <c r="H14" s="4"/>
    </row>
    <row r="15" ht="15" hidden="0" outlineLevel="0" collapsed="0">
      <c r="A15" s="4"/>
      <c r="B15" s="4"/>
      <c r="C15" s="4"/>
      <c r="D15" s="4"/>
      <c r="E15" s="4"/>
      <c r="F15" s="4"/>
      <c r="G15" s="4"/>
      <c r="H15" s="4"/>
    </row>
    <row r="16" ht="15" hidden="0" outlineLevel="0" collapsed="0">
      <c r="A16" s="4"/>
      <c r="B16" s="4"/>
      <c r="C16" s="4"/>
      <c r="D16" s="4"/>
      <c r="E16" s="4"/>
      <c r="F16" s="4"/>
      <c r="G16" s="4"/>
      <c r="H16" s="4"/>
    </row>
    <row r="17" ht="15" hidden="0" outlineLevel="0" collapsed="0">
      <c r="A17" s="4"/>
      <c r="B17" s="4"/>
      <c r="C17" s="4"/>
      <c r="D17" s="4"/>
      <c r="E17" s="4"/>
      <c r="F17" s="4"/>
      <c r="G17" s="4"/>
      <c r="H17" s="4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7" width="14" style="1" hidden="0" customWidth="1" outlineLevel="0" collapsed="0"/>
  </cols>
  <sheetData>
    <row r="1" ht="28" hidden="0" outlineLevel="0" collapsed="0">
      <c r="A1" s="2" t="s">
        <v>193</v>
      </c>
      <c r="B1" s="2"/>
      <c r="C1" s="2"/>
      <c r="D1" s="2"/>
      <c r="E1" s="2"/>
      <c r="F1" s="2"/>
      <c r="G1" s="2"/>
    </row>
    <row r="2" ht="28" hidden="0" outlineLevel="0" collapsed="0">
      <c r="A2" s="3" t="s">
        <v>194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" t="s">
        <v>30</v>
      </c>
      <c r="B4" s="5" t="s">
        <v>142</v>
      </c>
      <c r="C4" s="5" t="s">
        <v>178</v>
      </c>
      <c r="D4" s="5" t="s">
        <v>179</v>
      </c>
      <c r="E4" s="5" t="s">
        <v>180</v>
      </c>
      <c r="F4" s="5" t="s">
        <v>181</v>
      </c>
      <c r="G4" s="5" t="s">
        <v>182</v>
      </c>
    </row>
    <row r="5" ht="15" hidden="0" outlineLevel="0" collapsed="0">
      <c r="A5" s="21" t="s">
        <v>89</v>
      </c>
      <c r="B5" s="42">
        <f>Operating_Model!B10</f>
        <v>31973</v>
      </c>
      <c r="C5" s="42">
        <f>Operating_Model!C10</f>
        <v>33129.26</v>
      </c>
      <c r="D5" s="42">
        <f>Operating_Model!D10</f>
        <v>34330.96000000001</v>
      </c>
      <c r="E5" s="42">
        <f>Operating_Model!E10</f>
        <v>35579.983532000006</v>
      </c>
      <c r="F5" s="42">
        <f>Operating_Model!F10</f>
        <v>36878.29489492001</v>
      </c>
      <c r="G5" s="49">
        <f>Operating_Model!G10</f>
        <v>38227.9426991396</v>
      </c>
    </row>
    <row r="6" ht="15" hidden="0" outlineLevel="0" collapsed="0">
      <c r="A6" s="24" t="s">
        <v>195</v>
      </c>
      <c r="B6" s="44">
        <f>Operating_Model!B12</f>
        <v>462800</v>
      </c>
      <c r="C6" s="44">
        <f>Operating_Model!C12</f>
        <v>476684</v>
      </c>
      <c r="D6" s="44">
        <f>Operating_Model!D12</f>
        <v>490984.52</v>
      </c>
      <c r="E6" s="44">
        <f>Operating_Model!E12</f>
        <v>505714.0556</v>
      </c>
      <c r="F6" s="44">
        <f>Operating_Model!F12</f>
        <v>520885.477268</v>
      </c>
      <c r="G6" s="50">
        <f>Operating_Model!G12</f>
        <v>536512.04158604</v>
      </c>
    </row>
    <row r="7" ht="15" hidden="0" outlineLevel="0" collapsed="0">
      <c r="A7" s="24" t="s">
        <v>64</v>
      </c>
      <c r="B7" s="44">
        <f>Historical!C7</f>
        <v>717419</v>
      </c>
      <c r="C7" s="44">
        <f>B7+C5</f>
        <v>750548.26</v>
      </c>
      <c r="D7" s="44">
        <f>C7+D5</f>
        <v>784879.22</v>
      </c>
      <c r="E7" s="44">
        <f>D7+E5</f>
        <v>820459.203532</v>
      </c>
      <c r="F7" s="44">
        <f>E7+F5</f>
        <v>857337.4984269199</v>
      </c>
      <c r="G7" s="50">
        <f>F7+G5</f>
        <v>895565.4411260595</v>
      </c>
    </row>
    <row r="8" ht="15" hidden="0" outlineLevel="0" collapsed="0">
      <c r="A8" s="30" t="s">
        <v>196</v>
      </c>
      <c r="B8" s="51">
        <f>B5/B7</f>
        <v>0.04456670369756028</v>
      </c>
      <c r="C8" s="51">
        <f>C5/AVERAGE(B7:C7)</f>
        <v>0.04513623825643087</v>
      </c>
      <c r="D8" s="51">
        <f>D5/AVERAGE(C7:D7)</f>
        <v>0.04471843893271991</v>
      </c>
      <c r="E8" s="51">
        <f>E5/AVERAGE(D7:E7)</f>
        <v>0.04432708145578224</v>
      </c>
      <c r="F8" s="51">
        <f>F5/AVERAGE(E7:F7)</f>
        <v>0.043960385488733614</v>
      </c>
      <c r="G8" s="41">
        <f>G5/AVERAGE(F7:G7)</f>
        <v>0.04361672496126726</v>
      </c>
    </row>
    <row r="9" ht="15" hidden="0" outlineLevel="0" collapsed="0">
      <c r="A9" s="4"/>
      <c r="B9" s="4"/>
      <c r="C9" s="4"/>
      <c r="D9" s="4"/>
      <c r="E9" s="4"/>
      <c r="F9" s="4"/>
      <c r="G9" s="4"/>
    </row>
    <row r="10" ht="15" hidden="0" outlineLevel="0" collapsed="0">
      <c r="A10" s="4"/>
      <c r="B10" s="4"/>
      <c r="C10" s="4"/>
      <c r="D10" s="4"/>
      <c r="E10" s="4"/>
      <c r="F10" s="4"/>
      <c r="G10" s="4"/>
    </row>
    <row r="11" ht="15" hidden="0" outlineLevel="0" collapsed="0">
      <c r="A11" s="4"/>
      <c r="B11" s="4"/>
      <c r="C11" s="4"/>
      <c r="D11" s="4"/>
      <c r="E11" s="4"/>
      <c r="F11" s="4"/>
      <c r="G11" s="4"/>
    </row>
    <row r="12" ht="15" hidden="0" outlineLevel="0" collapsed="0">
      <c r="A12" s="4"/>
      <c r="B12" s="4"/>
      <c r="C12" s="4"/>
      <c r="D12" s="4"/>
      <c r="E12" s="4"/>
      <c r="F12" s="4"/>
      <c r="G12" s="4"/>
    </row>
    <row r="13" ht="15" hidden="0" outlineLevel="0" collapsed="0">
      <c r="A13" s="4"/>
      <c r="B13" s="4"/>
      <c r="C13" s="4"/>
      <c r="D13" s="4"/>
      <c r="E13" s="4"/>
      <c r="F13" s="4"/>
      <c r="G13" s="4"/>
    </row>
    <row r="14" ht="15" hidden="0" outlineLevel="0" collapsed="0">
      <c r="A14" s="4"/>
      <c r="B14" s="4"/>
      <c r="C14" s="4"/>
      <c r="D14" s="4"/>
      <c r="E14" s="4"/>
      <c r="F14" s="4"/>
      <c r="G14" s="4"/>
    </row>
    <row r="15" ht="15" hidden="0" outlineLevel="0" collapsed="0">
      <c r="A15" s="4"/>
      <c r="B15" s="4"/>
      <c r="C15" s="4"/>
      <c r="D15" s="4"/>
      <c r="E15" s="4"/>
      <c r="F15" s="4"/>
      <c r="G15" s="4"/>
    </row>
    <row r="16" ht="15" hidden="0" outlineLevel="0" collapsed="0">
      <c r="A16" s="4"/>
      <c r="B16" s="4"/>
      <c r="C16" s="4"/>
      <c r="D16" s="4"/>
      <c r="E16" s="4"/>
      <c r="F16" s="4"/>
      <c r="G16" s="4"/>
    </row>
    <row r="17" ht="15" hidden="0" outlineLevel="0" collapsed="0">
      <c r="A17" s="4"/>
      <c r="B17" s="4"/>
      <c r="C17" s="4"/>
      <c r="D17" s="4"/>
      <c r="E17" s="4"/>
      <c r="F17" s="4"/>
      <c r="G17" s="4"/>
    </row>
    <row r="18" ht="15" hidden="0" outlineLevel="0" collapsed="0">
      <c r="A18" s="4"/>
      <c r="B18" s="4"/>
      <c r="C18" s="4"/>
      <c r="D18" s="4"/>
      <c r="E18" s="4"/>
      <c r="F18" s="4"/>
      <c r="G18" s="4"/>
    </row>
    <row r="19" ht="15" hidden="0" outlineLevel="0" collapsed="0">
      <c r="A19" s="4"/>
      <c r="B19" s="4"/>
      <c r="C19" s="4"/>
      <c r="D19" s="4"/>
      <c r="E19" s="4"/>
      <c r="F19" s="4"/>
      <c r="G19" s="4"/>
    </row>
    <row r="20" ht="15" hidden="0" outlineLevel="0" collapsed="0">
      <c r="A20" s="4"/>
      <c r="B20" s="4"/>
      <c r="C20" s="4"/>
      <c r="D20" s="4"/>
      <c r="E20" s="4"/>
      <c r="F20" s="4"/>
      <c r="G20" s="4"/>
    </row>
    <row r="21" ht="15" hidden="0" outlineLevel="0" collapsed="0">
      <c r="A21" s="4"/>
      <c r="B21" s="4"/>
      <c r="C21" s="4"/>
      <c r="D21" s="4"/>
      <c r="E21" s="4"/>
      <c r="F21" s="4"/>
      <c r="G21" s="4"/>
    </row>
    <row r="22" ht="15" hidden="0" outlineLevel="0" collapsed="0">
      <c r="A22" s="4"/>
      <c r="B22" s="4"/>
      <c r="C22" s="4"/>
      <c r="D22" s="4"/>
      <c r="E22" s="4"/>
      <c r="F22" s="4"/>
      <c r="G22" s="4"/>
    </row>
    <row r="23" ht="15" hidden="0" outlineLevel="0" collapsed="0">
      <c r="A23" s="4"/>
      <c r="B23" s="4"/>
      <c r="C23" s="4"/>
      <c r="D23" s="4"/>
      <c r="E23" s="4"/>
      <c r="F23" s="4"/>
      <c r="G23" s="4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  <row r="26" ht="15" hidden="0" outlineLevel="0" collapsed="0">
      <c r="A26" s="4"/>
      <c r="B26" s="4"/>
      <c r="C26" s="4"/>
      <c r="D26" s="4"/>
      <c r="E26" s="4"/>
      <c r="F26" s="4"/>
      <c r="G26" s="4"/>
    </row>
    <row r="27" ht="15" hidden="0" outlineLevel="0" collapsed="0">
      <c r="A27" s="4"/>
      <c r="B27" s="4"/>
      <c r="C27" s="4"/>
      <c r="D27" s="4"/>
      <c r="E27" s="4"/>
      <c r="F27" s="4"/>
      <c r="G27" s="4"/>
    </row>
    <row r="28" ht="15" hidden="0" outlineLevel="0" collapsed="0">
      <c r="A28" s="4"/>
      <c r="B28" s="4"/>
      <c r="C28" s="4"/>
      <c r="D28" s="4"/>
      <c r="E28" s="4"/>
      <c r="F28" s="4"/>
      <c r="G28" s="4"/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  <row r="31" ht="15" hidden="0" outlineLevel="0" collapsed="0">
      <c r="A31" s="4"/>
      <c r="B31" s="4"/>
      <c r="C31" s="4"/>
      <c r="D31" s="4"/>
      <c r="E31" s="4"/>
      <c r="F31" s="4"/>
      <c r="G31" s="4"/>
    </row>
    <row r="32" ht="15" hidden="0" outlineLevel="0" collapsed="0">
      <c r="A32" s="4"/>
      <c r="B32" s="4"/>
      <c r="C32" s="4"/>
      <c r="D32" s="4"/>
      <c r="E32" s="4"/>
      <c r="F32" s="4"/>
      <c r="G32" s="4"/>
    </row>
    <row r="33" ht="15" hidden="0" outlineLevel="0" collapsed="0">
      <c r="A33" s="4"/>
      <c r="B33" s="4"/>
      <c r="C33" s="4"/>
      <c r="D33" s="4"/>
      <c r="E33" s="4"/>
      <c r="F33" s="4"/>
      <c r="G33" s="4"/>
    </row>
    <row r="34" ht="15" hidden="0" outlineLevel="0" collapsed="0">
      <c r="A34" s="4"/>
      <c r="B34" s="4"/>
      <c r="C34" s="4"/>
      <c r="D34" s="4"/>
      <c r="E34" s="4"/>
      <c r="F34" s="4"/>
      <c r="G34" s="4"/>
    </row>
    <row r="35" ht="15" hidden="0" outlineLevel="0" collapsed="0">
      <c r="A35" s="4"/>
      <c r="B35" s="4"/>
      <c r="C35" s="4"/>
      <c r="D35" s="4"/>
      <c r="E35" s="4"/>
      <c r="F35" s="4"/>
      <c r="G35" s="4"/>
    </row>
    <row r="36" ht="15" hidden="0" outlineLevel="0" collapsed="0">
      <c r="A36" s="4"/>
      <c r="B36" s="4"/>
      <c r="C36" s="4"/>
      <c r="D36" s="4"/>
      <c r="E36" s="4"/>
      <c r="F36" s="4"/>
      <c r="G36" s="4"/>
    </row>
    <row r="37" ht="15" hidden="0" outlineLevel="0" collapsed="0">
      <c r="A37" s="4"/>
      <c r="B37" s="4"/>
      <c r="C37" s="4"/>
      <c r="D37" s="4"/>
      <c r="E37" s="4"/>
      <c r="F37" s="4"/>
      <c r="G37" s="4"/>
    </row>
    <row r="38" ht="15" hidden="0" outlineLevel="0" collapsed="0">
      <c r="A38" s="4"/>
      <c r="B38" s="4"/>
      <c r="C38" s="4"/>
      <c r="D38" s="4"/>
      <c r="E38" s="4"/>
      <c r="F38" s="4"/>
      <c r="G38" s="4"/>
    </row>
    <row r="39" ht="15" hidden="0" outlineLevel="0" collapsed="0">
      <c r="A39" s="4"/>
      <c r="B39" s="4"/>
      <c r="C39" s="4"/>
      <c r="D39" s="4"/>
      <c r="E39" s="4"/>
      <c r="F39" s="4"/>
      <c r="G39" s="4"/>
    </row>
    <row r="40" ht="15" hidden="0" outlineLevel="0" collapsed="0">
      <c r="A40" s="4"/>
      <c r="B40" s="4"/>
      <c r="C40" s="4"/>
      <c r="D40" s="4"/>
      <c r="E40" s="4"/>
      <c r="F40" s="4"/>
      <c r="G40" s="4"/>
    </row>
    <row r="41" ht="15" hidden="0" outlineLevel="0" collapsed="0">
      <c r="A41" s="4"/>
      <c r="B41" s="4"/>
      <c r="C41" s="4"/>
      <c r="D41" s="4"/>
      <c r="E41" s="4"/>
      <c r="F41" s="4"/>
      <c r="G41" s="4"/>
    </row>
    <row r="42" ht="15" hidden="0" outlineLevel="0" collapsed="0">
      <c r="A42" s="4"/>
      <c r="B42" s="4"/>
      <c r="C42" s="4"/>
      <c r="D42" s="4"/>
      <c r="E42" s="4"/>
      <c r="F42" s="4"/>
      <c r="G42" s="4"/>
    </row>
    <row r="43" ht="15" hidden="0" outlineLevel="0" collapsed="0">
      <c r="A43" s="4"/>
      <c r="B43" s="4"/>
      <c r="C43" s="4"/>
      <c r="D43" s="4"/>
      <c r="E43" s="4"/>
      <c r="F43" s="4"/>
      <c r="G43" s="4"/>
    </row>
    <row r="44" ht="15" hidden="0" outlineLevel="0" collapsed="0">
      <c r="A44" s="4"/>
      <c r="B44" s="4"/>
      <c r="C44" s="4"/>
      <c r="D44" s="4"/>
      <c r="E44" s="4"/>
      <c r="F44" s="4"/>
      <c r="G44" s="4"/>
    </row>
    <row r="45" ht="15" hidden="0" outlineLevel="0" collapsed="0">
      <c r="A45" s="4"/>
      <c r="B45" s="4"/>
      <c r="C45" s="4"/>
      <c r="D45" s="4"/>
      <c r="E45" s="4"/>
      <c r="F45" s="4"/>
      <c r="G45" s="4"/>
    </row>
    <row r="46" ht="15" hidden="0" outlineLevel="0" collapsed="0">
      <c r="A46" s="4"/>
      <c r="B46" s="4"/>
      <c r="C46" s="4"/>
      <c r="D46" s="4"/>
      <c r="E46" s="4"/>
      <c r="F46" s="4"/>
      <c r="G46" s="4"/>
    </row>
    <row r="47" ht="15" hidden="0" outlineLevel="0" collapsed="0">
      <c r="A47" s="4"/>
      <c r="B47" s="4"/>
      <c r="C47" s="4"/>
      <c r="D47" s="4"/>
      <c r="E47" s="4"/>
      <c r="F47" s="4"/>
      <c r="G47" s="4"/>
    </row>
    <row r="48" ht="15" hidden="0" outlineLevel="0" collapsed="0">
      <c r="A48" s="4"/>
      <c r="B48" s="4"/>
      <c r="C48" s="4"/>
      <c r="D48" s="4"/>
      <c r="E48" s="4"/>
      <c r="F48" s="4"/>
      <c r="G48" s="4"/>
    </row>
    <row r="49" ht="15" hidden="0" outlineLevel="0" collapsed="0">
      <c r="A49" s="4"/>
      <c r="B49" s="4"/>
      <c r="C49" s="4"/>
      <c r="D49" s="4"/>
      <c r="E49" s="4"/>
      <c r="F49" s="4"/>
      <c r="G49" s="4"/>
    </row>
    <row r="50" ht="15" hidden="0" outlineLevel="0" collapsed="0">
      <c r="A50" s="4"/>
      <c r="B50" s="4"/>
      <c r="C50" s="4"/>
      <c r="D50" s="4"/>
      <c r="E50" s="4"/>
      <c r="F50" s="4"/>
      <c r="G50" s="4"/>
    </row>
    <row r="51" ht="15" hidden="0" outlineLevel="0" collapsed="0">
      <c r="A51" s="4"/>
      <c r="B51" s="4"/>
      <c r="C51" s="4"/>
      <c r="D51" s="4"/>
      <c r="E51" s="4"/>
      <c r="F51" s="4"/>
      <c r="G51" s="4"/>
    </row>
    <row r="52" ht="15" hidden="0" outlineLevel="0" collapsed="0">
      <c r="A52" s="4"/>
      <c r="B52" s="4"/>
      <c r="C52" s="4"/>
      <c r="D52" s="4"/>
      <c r="E52" s="4"/>
      <c r="F52" s="4"/>
      <c r="G52" s="4"/>
    </row>
    <row r="53" ht="15" hidden="0" outlineLevel="0" collapsed="0">
      <c r="A53" s="4"/>
      <c r="B53" s="4"/>
      <c r="C53" s="4"/>
      <c r="D53" s="4"/>
      <c r="E53" s="4"/>
      <c r="F53" s="4"/>
      <c r="G53" s="4"/>
    </row>
    <row r="54" ht="15" hidden="0" outlineLevel="0" collapsed="0">
      <c r="A54" s="4"/>
      <c r="B54" s="4"/>
      <c r="C54" s="4"/>
      <c r="D54" s="4"/>
      <c r="E54" s="4"/>
      <c r="F54" s="4"/>
      <c r="G54" s="4"/>
    </row>
    <row r="55" ht="15" hidden="0" outlineLevel="0" collapsed="0">
      <c r="A55" s="4"/>
      <c r="B55" s="4"/>
      <c r="C55" s="4"/>
      <c r="D55" s="4"/>
      <c r="E55" s="4"/>
      <c r="F55" s="4"/>
      <c r="G55" s="4"/>
    </row>
    <row r="56" ht="15" hidden="0" outlineLevel="0" collapsed="0">
      <c r="A56" s="4"/>
      <c r="B56" s="4"/>
      <c r="C56" s="4"/>
      <c r="D56" s="4"/>
      <c r="E56" s="4"/>
      <c r="F56" s="4"/>
      <c r="G56" s="4"/>
    </row>
    <row r="57" ht="15" hidden="0" outlineLevel="0" collapsed="0">
      <c r="A57" s="4"/>
      <c r="B57" s="4"/>
      <c r="C57" s="4"/>
      <c r="D57" s="4"/>
      <c r="E57" s="4"/>
      <c r="F57" s="4"/>
      <c r="G57" s="4"/>
    </row>
    <row r="58" ht="15" hidden="0" outlineLevel="0" collapsed="0">
      <c r="A58" s="4"/>
      <c r="B58" s="4"/>
      <c r="C58" s="4"/>
      <c r="D58" s="4"/>
      <c r="E58" s="4"/>
      <c r="F58" s="4"/>
      <c r="G58" s="4"/>
    </row>
    <row r="59" ht="15" hidden="0" outlineLevel="0" collapsed="0">
      <c r="A59" s="4"/>
      <c r="B59" s="4"/>
      <c r="C59" s="4"/>
      <c r="D59" s="4"/>
      <c r="E59" s="4"/>
      <c r="F59" s="4"/>
      <c r="G59" s="4"/>
    </row>
    <row r="60" ht="15" hidden="0" outlineLevel="0" collapsed="0">
      <c r="A60" s="4"/>
      <c r="B60" s="4"/>
      <c r="C60" s="4"/>
      <c r="D60" s="4"/>
      <c r="E60" s="4"/>
      <c r="F60" s="4"/>
      <c r="G60" s="4"/>
    </row>
    <row r="61" ht="15" hidden="0" outlineLevel="0" collapsed="0">
      <c r="A61" s="4"/>
      <c r="B61" s="4"/>
      <c r="C61" s="4"/>
      <c r="D61" s="4"/>
      <c r="E61" s="4"/>
      <c r="F61" s="4"/>
      <c r="G61" s="4"/>
    </row>
    <row r="62" ht="15" hidden="0" outlineLevel="0" collapsed="0">
      <c r="A62" s="4"/>
      <c r="B62" s="4"/>
      <c r="C62" s="4"/>
      <c r="D62" s="4"/>
      <c r="E62" s="4"/>
      <c r="F62" s="4"/>
      <c r="G62" s="4"/>
    </row>
    <row r="63" ht="15" hidden="0" outlineLevel="0" collapsed="0">
      <c r="A63" s="4"/>
      <c r="B63" s="4"/>
      <c r="C63" s="4"/>
      <c r="D63" s="4"/>
      <c r="E63" s="4"/>
      <c r="F63" s="4"/>
      <c r="G63" s="4"/>
    </row>
    <row r="64" ht="15" hidden="0" outlineLevel="0" collapsed="0">
      <c r="A64" s="4"/>
      <c r="B64" s="4"/>
      <c r="C64" s="4"/>
      <c r="D64" s="4"/>
      <c r="E64" s="4"/>
      <c r="F64" s="4"/>
      <c r="G64" s="4"/>
    </row>
    <row r="65" ht="15" hidden="0" outlineLevel="0" collapsed="0">
      <c r="A65" s="4"/>
      <c r="B65" s="4"/>
      <c r="C65" s="4"/>
      <c r="D65" s="4"/>
      <c r="E65" s="4"/>
      <c r="F65" s="4"/>
      <c r="G65" s="4"/>
    </row>
    <row r="66" ht="15" hidden="0" outlineLevel="0" collapsed="0">
      <c r="A66" s="4"/>
      <c r="B66" s="4"/>
      <c r="C66" s="4"/>
      <c r="D66" s="4"/>
      <c r="E66" s="4"/>
      <c r="F66" s="4"/>
      <c r="G66" s="4"/>
    </row>
    <row r="67" ht="15" hidden="0" outlineLevel="0" collapsed="0">
      <c r="A67" s="4"/>
      <c r="B67" s="4"/>
      <c r="C67" s="4"/>
      <c r="D67" s="4"/>
      <c r="E67" s="4"/>
      <c r="F67" s="4"/>
      <c r="G67" s="4"/>
    </row>
    <row r="68" ht="15" hidden="0" outlineLevel="0" collapsed="0">
      <c r="A68" s="4"/>
      <c r="B68" s="4"/>
      <c r="C68" s="4"/>
      <c r="D68" s="4"/>
      <c r="E68" s="4"/>
      <c r="F68" s="4"/>
      <c r="G68" s="4"/>
    </row>
    <row r="69" ht="15" hidden="0" outlineLevel="0" collapsed="0">
      <c r="A69" s="4"/>
      <c r="B69" s="4"/>
      <c r="C69" s="4"/>
      <c r="D69" s="4"/>
      <c r="E69" s="4"/>
      <c r="F69" s="4"/>
      <c r="G69" s="4"/>
    </row>
    <row r="70" ht="15" hidden="0" outlineLevel="0" collapsed="0">
      <c r="A70" s="4"/>
      <c r="B70" s="4"/>
      <c r="C70" s="4"/>
      <c r="D70" s="4"/>
      <c r="E70" s="4"/>
      <c r="F70" s="4"/>
      <c r="G70" s="4"/>
    </row>
    <row r="71" ht="15" hidden="0" outlineLevel="0" collapsed="0">
      <c r="A71" s="4"/>
      <c r="B71" s="4"/>
      <c r="C71" s="4"/>
      <c r="D71" s="4"/>
      <c r="E71" s="4"/>
      <c r="F71" s="4"/>
      <c r="G71" s="4"/>
    </row>
    <row r="72" ht="15" hidden="0" outlineLevel="0" collapsed="0">
      <c r="A72" s="4"/>
      <c r="B72" s="4"/>
      <c r="C72" s="4"/>
      <c r="D72" s="4"/>
      <c r="E72" s="4"/>
      <c r="F72" s="4"/>
      <c r="G72" s="4"/>
    </row>
    <row r="73" ht="15" hidden="0" outlineLevel="0" collapsed="0">
      <c r="A73" s="4"/>
      <c r="B73" s="4"/>
      <c r="C73" s="4"/>
      <c r="D73" s="4"/>
      <c r="E73" s="4"/>
      <c r="F73" s="4"/>
      <c r="G73" s="4"/>
    </row>
    <row r="74" ht="15" hidden="0" outlineLevel="0" collapsed="0">
      <c r="A74" s="4"/>
      <c r="B74" s="4"/>
      <c r="C74" s="4"/>
      <c r="D74" s="4"/>
      <c r="E74" s="4"/>
      <c r="F74" s="4"/>
      <c r="G74" s="4"/>
    </row>
    <row r="75" ht="15" hidden="0" outlineLevel="0" collapsed="0">
      <c r="A75" s="4"/>
      <c r="B75" s="4"/>
      <c r="C75" s="4"/>
      <c r="D75" s="4"/>
      <c r="E75" s="4"/>
      <c r="F75" s="4"/>
      <c r="G75" s="4"/>
    </row>
    <row r="76" ht="15" hidden="0" outlineLevel="0" collapsed="0">
      <c r="A76" s="4"/>
      <c r="B76" s="4"/>
      <c r="C76" s="4"/>
      <c r="D76" s="4"/>
      <c r="E76" s="4"/>
      <c r="F76" s="4"/>
      <c r="G76" s="4"/>
    </row>
    <row r="77" ht="15" hidden="0" outlineLevel="0" collapsed="0">
      <c r="A77" s="4"/>
      <c r="B77" s="4"/>
      <c r="C77" s="4"/>
      <c r="D77" s="4"/>
      <c r="E77" s="4"/>
      <c r="F77" s="4"/>
      <c r="G77" s="4"/>
    </row>
    <row r="78" ht="15" hidden="0" outlineLevel="0" collapsed="0">
      <c r="A78" s="4"/>
      <c r="B78" s="4"/>
      <c r="C78" s="4"/>
      <c r="D78" s="4"/>
      <c r="E78" s="4"/>
      <c r="F78" s="4"/>
      <c r="G78" s="4"/>
    </row>
    <row r="79" ht="15" hidden="0" outlineLevel="0" collapsed="0">
      <c r="A79" s="4"/>
      <c r="B79" s="4"/>
      <c r="C79" s="4"/>
      <c r="D79" s="4"/>
      <c r="E79" s="4"/>
      <c r="F79" s="4"/>
      <c r="G79" s="4"/>
    </row>
    <row r="80" ht="15" hidden="0" outlineLevel="0" collapsed="0">
      <c r="A80" s="4"/>
      <c r="B80" s="4"/>
      <c r="C80" s="4"/>
      <c r="D80" s="4"/>
      <c r="E80" s="4"/>
      <c r="F80" s="4"/>
      <c r="G8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hidden="0" customWidth="1" outlineLevel="0" collapsed="0"/>
    <col min="2" max="6" width="16" style="1" hidden="0" customWidth="1" outlineLevel="0" collapsed="0"/>
    <col min="7" max="8" width="24" style="1" hidden="0" customWidth="1" outlineLevel="0" collapsed="0"/>
  </cols>
  <sheetData>
    <row r="1" ht="28" hidden="0" outlineLevel="0" collapsed="0">
      <c r="A1" s="2" t="s">
        <v>197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198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23.85" hidden="0" outlineLevel="0" collapsed="0">
      <c r="A4" s="5" t="s">
        <v>199</v>
      </c>
      <c r="B4" s="5" t="s">
        <v>200</v>
      </c>
      <c r="C4" s="5" t="s">
        <v>201</v>
      </c>
      <c r="D4" s="5" t="s">
        <v>202</v>
      </c>
      <c r="E4" s="5" t="s">
        <v>203</v>
      </c>
      <c r="F4" s="5" t="s">
        <v>204</v>
      </c>
      <c r="G4" s="5" t="s">
        <v>205</v>
      </c>
      <c r="H4" s="5" t="s">
        <v>206</v>
      </c>
    </row>
    <row r="5" ht="15" hidden="0" outlineLevel="0" collapsed="0">
      <c r="A5" s="21" t="s">
        <v>195</v>
      </c>
      <c r="B5" s="42">
        <f>Operating_Model!C12</f>
        <v>476684</v>
      </c>
      <c r="C5" s="42"/>
      <c r="D5" s="22">
        <f>B5</f>
        <v>476684</v>
      </c>
      <c r="E5" s="22">
        <v>0</v>
      </c>
      <c r="F5" s="22">
        <f>D5</f>
        <v>476684</v>
      </c>
      <c r="G5" s="52" t="s">
        <v>207</v>
      </c>
      <c r="H5" s="43" t="s">
        <v>208</v>
      </c>
    </row>
    <row r="6" ht="15" hidden="0" outlineLevel="0" collapsed="0">
      <c r="A6" s="24" t="s">
        <v>209</v>
      </c>
      <c r="B6" s="44">
        <f>Operating_Model!C5</f>
        <v>7403.16</v>
      </c>
      <c r="C6" s="44">
        <f>Assumptions!E13</f>
        <v>12</v>
      </c>
      <c r="D6" s="25">
        <f>B6*C6</f>
        <v>88837.92</v>
      </c>
      <c r="E6" s="25">
        <v>0</v>
      </c>
      <c r="F6" s="25">
        <f>D6+E6</f>
        <v>88837.92</v>
      </c>
      <c r="G6" s="53" t="s">
        <v>210</v>
      </c>
      <c r="H6" s="45" t="s">
        <v>211</v>
      </c>
    </row>
    <row r="7" ht="15" hidden="0" outlineLevel="0" collapsed="0">
      <c r="A7" s="24" t="s">
        <v>212</v>
      </c>
      <c r="B7" s="44">
        <f>Operating_Model!C6</f>
        <v>5749.8</v>
      </c>
      <c r="C7" s="44">
        <f>Assumptions!E14</f>
        <v>16</v>
      </c>
      <c r="D7" s="25">
        <f>B7*C7</f>
        <v>91996.8</v>
      </c>
      <c r="E7" s="25">
        <v>0</v>
      </c>
      <c r="F7" s="25">
        <f>D7+E7</f>
        <v>91996.8</v>
      </c>
      <c r="G7" s="53" t="s">
        <v>210</v>
      </c>
      <c r="H7" s="45" t="s">
        <v>211</v>
      </c>
    </row>
    <row r="8" ht="15" hidden="0" outlineLevel="0" collapsed="0">
      <c r="A8" s="24" t="s">
        <v>213</v>
      </c>
      <c r="B8" s="44">
        <f>Operating_Model!C7</f>
        <v>4138.16</v>
      </c>
      <c r="C8" s="44">
        <f>Assumptions!E15</f>
        <v>17</v>
      </c>
      <c r="D8" s="25">
        <f>B8*C8</f>
        <v>70348.72</v>
      </c>
      <c r="E8" s="25">
        <v>0</v>
      </c>
      <c r="F8" s="25">
        <f>D8+E8</f>
        <v>70348.72</v>
      </c>
      <c r="G8" s="53" t="s">
        <v>210</v>
      </c>
      <c r="H8" s="45" t="s">
        <v>211</v>
      </c>
    </row>
    <row r="9" ht="15" hidden="0" outlineLevel="0" collapsed="0">
      <c r="A9" s="24" t="s">
        <v>214</v>
      </c>
      <c r="B9" s="44">
        <f>Operating_Model!C8</f>
        <v>14192.880000000001</v>
      </c>
      <c r="C9" s="44">
        <f>Assumptions!E16</f>
        <v>18</v>
      </c>
      <c r="D9" s="25">
        <f>B9*C9</f>
        <v>255471.84000000003</v>
      </c>
      <c r="E9" s="25">
        <v>0</v>
      </c>
      <c r="F9" s="25">
        <f>D9+E9</f>
        <v>255471.84000000003</v>
      </c>
      <c r="G9" s="53" t="s">
        <v>210</v>
      </c>
      <c r="H9" s="45" t="s">
        <v>211</v>
      </c>
    </row>
    <row r="10" ht="15" hidden="0" outlineLevel="0" collapsed="0">
      <c r="A10" s="30" t="s">
        <v>215</v>
      </c>
      <c r="B10" s="47">
        <f>Operating_Model!C9</f>
        <v>1645.26</v>
      </c>
      <c r="C10" s="47">
        <f>Assumptions!E17</f>
        <v>10</v>
      </c>
      <c r="D10" s="31">
        <f>B10*C10</f>
        <v>16452.6</v>
      </c>
      <c r="E10" s="31">
        <v>0</v>
      </c>
      <c r="F10" s="31">
        <f>D10+E10</f>
        <v>16452.6</v>
      </c>
      <c r="G10" s="54" t="s">
        <v>210</v>
      </c>
      <c r="H10" s="48" t="s">
        <v>211</v>
      </c>
    </row>
    <row r="11" ht="15" hidden="0" outlineLevel="0" collapsed="0">
      <c r="A11" s="4"/>
      <c r="B11" s="4"/>
      <c r="C11" s="4"/>
      <c r="D11" s="4"/>
      <c r="E11" s="4"/>
      <c r="F11" s="4"/>
      <c r="G11" s="4"/>
      <c r="H11" s="4"/>
    </row>
    <row r="12" ht="15" hidden="0" outlineLevel="0" collapsed="0">
      <c r="A12" s="5" t="s">
        <v>216</v>
      </c>
      <c r="B12" s="5" t="s">
        <v>3</v>
      </c>
      <c r="C12" s="4"/>
      <c r="D12" s="4"/>
      <c r="E12" s="4"/>
      <c r="F12" s="4"/>
      <c r="G12" s="4"/>
      <c r="H12" s="4"/>
    </row>
    <row r="13" ht="15" hidden="0" outlineLevel="0" collapsed="0">
      <c r="A13" s="4" t="s">
        <v>217</v>
      </c>
      <c r="B13" s="55">
        <f>SUM(F5:F10)</f>
        <v>999791.88</v>
      </c>
      <c r="C13" s="4"/>
      <c r="D13" s="4"/>
      <c r="E13" s="4"/>
      <c r="F13" s="4"/>
      <c r="G13" s="4"/>
      <c r="H13" s="4"/>
    </row>
    <row r="14" ht="15" hidden="0" outlineLevel="0" collapsed="0">
      <c r="A14" s="4" t="s">
        <v>154</v>
      </c>
      <c r="B14" s="55">
        <f>Historical!C21</f>
        <v>2157.335139</v>
      </c>
      <c r="C14" s="4"/>
      <c r="D14" s="4"/>
      <c r="E14" s="4"/>
      <c r="F14" s="4"/>
      <c r="G14" s="4"/>
      <c r="H14" s="4"/>
    </row>
    <row r="15" ht="15" hidden="0" outlineLevel="0" collapsed="0">
      <c r="A15" s="4" t="s">
        <v>218</v>
      </c>
      <c r="B15" s="56">
        <f>B13/B14</f>
        <v>463.43836983225447</v>
      </c>
      <c r="C15" s="4"/>
      <c r="D15" s="4"/>
      <c r="E15" s="4"/>
      <c r="F15" s="4"/>
      <c r="G15" s="4"/>
      <c r="H15" s="4"/>
    </row>
    <row r="16" ht="15" hidden="0" outlineLevel="0" collapsed="0">
      <c r="A16" s="4" t="s">
        <v>174</v>
      </c>
      <c r="B16" s="56">
        <f>Historical!C7*Assumptions!E18/Historical!C21</f>
        <v>415.6858773531524</v>
      </c>
      <c r="C16" s="4"/>
      <c r="D16" s="4"/>
      <c r="E16" s="4"/>
      <c r="F16" s="4"/>
      <c r="G16" s="4"/>
      <c r="H16" s="4"/>
    </row>
    <row r="17" ht="15" hidden="0" outlineLevel="0" collapsed="0">
      <c r="A17" s="4"/>
      <c r="B17" s="4"/>
      <c r="C17" s="4"/>
      <c r="D17" s="4"/>
      <c r="E17" s="4"/>
      <c r="F17" s="4"/>
      <c r="G17" s="4"/>
      <c r="H17" s="4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6" style="1" hidden="0" customWidth="1" outlineLevel="0" collapsed="0"/>
    <col min="2" max="6" width="15" style="1" hidden="0" customWidth="1" outlineLevel="0" collapsed="0"/>
  </cols>
  <sheetData>
    <row r="1" ht="28" hidden="0" outlineLevel="0" collapsed="0">
      <c r="A1" s="2" t="s">
        <v>219</v>
      </c>
      <c r="B1" s="2"/>
      <c r="C1" s="2"/>
      <c r="D1" s="2"/>
      <c r="E1" s="2"/>
      <c r="F1" s="2"/>
      <c r="G1" s="2"/>
    </row>
    <row r="2" ht="28" hidden="0" outlineLevel="0" collapsed="0">
      <c r="A2" s="3" t="s">
        <v>220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7" t="s">
        <v>221</v>
      </c>
      <c r="B4" s="57">
        <v>14</v>
      </c>
      <c r="C4" s="57">
        <v>16</v>
      </c>
      <c r="D4" s="57">
        <v>18</v>
      </c>
      <c r="E4" s="57">
        <v>20</v>
      </c>
      <c r="F4" s="57">
        <v>22</v>
      </c>
      <c r="G4" s="4"/>
    </row>
    <row r="5" ht="15" hidden="0" outlineLevel="0" collapsed="0">
      <c r="A5" s="57">
        <v>8</v>
      </c>
      <c r="B5" s="56">
        <f>(Valuation!F5+Valuation!B6*$A5+Valuation!F7+Valuation!F8+Valuation!B9*B$4+Valuation!F10)/Historical!C21</f>
        <v>423.396301987366</v>
      </c>
      <c r="C5" s="56">
        <f>(Valuation!F5+Valuation!B6*$A5+Valuation!F7+Valuation!F8+Valuation!B9*C$4+Valuation!F10)/Historical!C21</f>
        <v>436.5540907272081</v>
      </c>
      <c r="D5" s="56">
        <f>(Valuation!F5+Valuation!B6*$A5+Valuation!F7+Valuation!F8+Valuation!B9*D$4+Valuation!F10)/Historical!C21</f>
        <v>449.7118794670503</v>
      </c>
      <c r="E5" s="56">
        <f>(Valuation!F5+Valuation!B6*$A5+Valuation!F7+Valuation!F8+Valuation!B9*E$4+Valuation!F10)/Historical!C21</f>
        <v>462.86966820689247</v>
      </c>
      <c r="F5" s="56">
        <f>(Valuation!F5+Valuation!B6*$A5+Valuation!F7+Valuation!F8+Valuation!B9*F$4+Valuation!F10)/Historical!C21</f>
        <v>476.0274569467346</v>
      </c>
      <c r="G5" s="4"/>
    </row>
    <row r="6" ht="15" hidden="0" outlineLevel="0" collapsed="0">
      <c r="A6" s="57">
        <v>10</v>
      </c>
      <c r="B6" s="56">
        <f>(Valuation!F5+Valuation!B6*$A6+Valuation!F7+Valuation!F8+Valuation!B9*B$4+Valuation!F10)/Historical!C21</f>
        <v>430.259547169968</v>
      </c>
      <c r="C6" s="56">
        <f>(Valuation!F5+Valuation!B6*$A6+Valuation!F7+Valuation!F8+Valuation!B9*C$4+Valuation!F10)/Historical!C21</f>
        <v>443.41733590981016</v>
      </c>
      <c r="D6" s="56">
        <f>(Valuation!F5+Valuation!B6*$A6+Valuation!F7+Valuation!F8+Valuation!B9*D$4+Valuation!F10)/Historical!C21</f>
        <v>456.5751246496523</v>
      </c>
      <c r="E6" s="56">
        <f>(Valuation!F5+Valuation!B6*$A6+Valuation!F7+Valuation!F8+Valuation!B9*E$4+Valuation!F10)/Historical!C21</f>
        <v>469.73291338949446</v>
      </c>
      <c r="F6" s="56">
        <f>(Valuation!F5+Valuation!B6*$A6+Valuation!F7+Valuation!F8+Valuation!B9*F$4+Valuation!F10)/Historical!C21</f>
        <v>482.89070212933666</v>
      </c>
      <c r="G6" s="4"/>
    </row>
    <row r="7" ht="15" hidden="0" outlineLevel="0" collapsed="0">
      <c r="A7" s="57">
        <v>12</v>
      </c>
      <c r="B7" s="56">
        <f>(Valuation!F5+Valuation!B6*$A7+Valuation!F7+Valuation!F8+Valuation!B9*B$4+Valuation!F10)/Historical!C21</f>
        <v>437.1227923525702</v>
      </c>
      <c r="C7" s="56">
        <f>(Valuation!F5+Valuation!B6*$A7+Valuation!F7+Valuation!F8+Valuation!B9*C$4+Valuation!F10)/Historical!C21</f>
        <v>450.2805810924123</v>
      </c>
      <c r="D7" s="58">
        <f>(Valuation!F5+Valuation!B6*$A7+Valuation!F7+Valuation!F8+Valuation!B9*D$4+Valuation!F10)/Historical!C21</f>
        <v>463.43836983225447</v>
      </c>
      <c r="E7" s="56">
        <f>(Valuation!F5+Valuation!B6*$A7+Valuation!F7+Valuation!F8+Valuation!B9*E$4+Valuation!F10)/Historical!C21</f>
        <v>476.5961585720966</v>
      </c>
      <c r="F7" s="56">
        <f>(Valuation!F5+Valuation!B6*$A7+Valuation!F7+Valuation!F8+Valuation!B9*F$4+Valuation!F10)/Historical!C21</f>
        <v>489.7539473119388</v>
      </c>
      <c r="G7" s="4"/>
    </row>
    <row r="8" ht="15" hidden="0" outlineLevel="0" collapsed="0">
      <c r="A8" s="57">
        <v>14</v>
      </c>
      <c r="B8" s="56">
        <f>(Valuation!F5+Valuation!B6*$A8+Valuation!F7+Valuation!F8+Valuation!B9*B$4+Valuation!F10)/Historical!C21</f>
        <v>443.9860375351723</v>
      </c>
      <c r="C8" s="56">
        <f>(Valuation!F5+Valuation!B6*$A8+Valuation!F7+Valuation!F8+Valuation!B9*C$4+Valuation!F10)/Historical!C21</f>
        <v>457.1438262750145</v>
      </c>
      <c r="D8" s="56">
        <f>(Valuation!F5+Valuation!B6*$A8+Valuation!F7+Valuation!F8+Valuation!B9*D$4+Valuation!F10)/Historical!C21</f>
        <v>470.3016150148566</v>
      </c>
      <c r="E8" s="56">
        <f>(Valuation!F5+Valuation!B6*$A8+Valuation!F7+Valuation!F8+Valuation!B9*E$4+Valuation!F10)/Historical!C21</f>
        <v>483.45940375469877</v>
      </c>
      <c r="F8" s="56">
        <f>(Valuation!F5+Valuation!B6*$A8+Valuation!F7+Valuation!F8+Valuation!B9*F$4+Valuation!F10)/Historical!C21</f>
        <v>496.617192494541</v>
      </c>
      <c r="G8" s="4"/>
    </row>
    <row r="9" ht="15" hidden="0" outlineLevel="0" collapsed="0">
      <c r="A9" s="57">
        <v>16</v>
      </c>
      <c r="B9" s="56">
        <f>(Valuation!F5+Valuation!B6*$A9+Valuation!F7+Valuation!F8+Valuation!B9*B$4+Valuation!F10)/Historical!C21</f>
        <v>450.84928271777443</v>
      </c>
      <c r="C9" s="56">
        <f>(Valuation!F5+Valuation!B6*$A9+Valuation!F7+Valuation!F8+Valuation!B9*C$4+Valuation!F10)/Historical!C21</f>
        <v>464.0070714576166</v>
      </c>
      <c r="D9" s="56">
        <f>(Valuation!F5+Valuation!B6*$A9+Valuation!F7+Valuation!F8+Valuation!B9*D$4+Valuation!F10)/Historical!C21</f>
        <v>477.1648601974587</v>
      </c>
      <c r="E9" s="56">
        <f>(Valuation!F5+Valuation!B6*$A9+Valuation!F7+Valuation!F8+Valuation!B9*E$4+Valuation!F10)/Historical!C21</f>
        <v>490.322648937301</v>
      </c>
      <c r="F9" s="56">
        <f>(Valuation!F5+Valuation!B6*$A9+Valuation!F7+Valuation!F8+Valuation!B9*F$4+Valuation!F10)/Historical!C21</f>
        <v>503.48043767714313</v>
      </c>
      <c r="G9" s="4"/>
    </row>
    <row r="10" ht="15" hidden="0" outlineLevel="0" collapsed="0">
      <c r="A10" s="4"/>
      <c r="B10" s="4"/>
      <c r="C10" s="4"/>
      <c r="D10" s="4"/>
      <c r="E10" s="4"/>
      <c r="F10" s="4"/>
      <c r="G10" s="4"/>
    </row>
    <row r="11" ht="15" hidden="0" outlineLevel="0" collapsed="0">
      <c r="A11" s="4"/>
      <c r="B11" s="4"/>
      <c r="C11" s="4"/>
      <c r="D11" s="4"/>
      <c r="E11" s="4"/>
      <c r="F11" s="4"/>
      <c r="G11" s="4"/>
    </row>
    <row r="12" ht="15" hidden="0" outlineLevel="0" collapsed="0">
      <c r="A12" s="4"/>
      <c r="B12" s="4"/>
      <c r="C12" s="4"/>
      <c r="D12" s="4"/>
      <c r="E12" s="4"/>
      <c r="F12" s="4"/>
      <c r="G12" s="4"/>
    </row>
    <row r="13" ht="15" hidden="0" outlineLevel="0" collapsed="0">
      <c r="A13" s="4"/>
      <c r="B13" s="4"/>
      <c r="C13" s="4"/>
      <c r="D13" s="4"/>
      <c r="E13" s="4"/>
      <c r="F13" s="4"/>
      <c r="G13" s="4"/>
    </row>
    <row r="14" ht="15" hidden="0" outlineLevel="0" collapsed="0">
      <c r="A14" s="4"/>
      <c r="B14" s="4"/>
      <c r="C14" s="4"/>
      <c r="D14" s="4"/>
      <c r="E14" s="4"/>
      <c r="F14" s="4"/>
      <c r="G14" s="4"/>
    </row>
    <row r="15" ht="15" hidden="0" outlineLevel="0" collapsed="0">
      <c r="A15" s="4"/>
      <c r="B15" s="4"/>
      <c r="C15" s="4"/>
      <c r="D15" s="4"/>
      <c r="E15" s="4"/>
      <c r="F15" s="4"/>
      <c r="G15" s="4"/>
    </row>
    <row r="16" ht="15" hidden="0" outlineLevel="0" collapsed="0">
      <c r="A16" s="4"/>
      <c r="B16" s="4"/>
      <c r="C16" s="4"/>
      <c r="D16" s="4"/>
      <c r="E16" s="4"/>
      <c r="F16" s="4"/>
      <c r="G16" s="4"/>
    </row>
    <row r="17" ht="15" hidden="0" outlineLevel="0" collapsed="0">
      <c r="A17" s="4"/>
      <c r="B17" s="4"/>
      <c r="C17" s="4"/>
      <c r="D17" s="4"/>
      <c r="E17" s="4"/>
      <c r="F17" s="4"/>
      <c r="G17" s="4"/>
    </row>
    <row r="18" ht="15" hidden="0" outlineLevel="0" collapsed="0">
      <c r="A18" s="4"/>
      <c r="B18" s="4"/>
      <c r="C18" s="4"/>
      <c r="D18" s="4"/>
      <c r="E18" s="4"/>
      <c r="F18" s="4"/>
      <c r="G18" s="4"/>
    </row>
    <row r="19" ht="15" hidden="0" outlineLevel="0" collapsed="0">
      <c r="A19" s="4"/>
      <c r="B19" s="4"/>
      <c r="C19" s="4"/>
      <c r="D19" s="4"/>
      <c r="E19" s="4"/>
      <c r="F19" s="4"/>
      <c r="G19" s="4"/>
    </row>
    <row r="20" ht="15" hidden="0" outlineLevel="0" collapsed="0">
      <c r="A20" s="4"/>
      <c r="B20" s="4"/>
      <c r="C20" s="4"/>
      <c r="D20" s="4"/>
      <c r="E20" s="4"/>
      <c r="F20" s="4"/>
      <c r="G20" s="4"/>
    </row>
    <row r="21" ht="15" hidden="0" outlineLevel="0" collapsed="0">
      <c r="A21" s="4"/>
      <c r="B21" s="4"/>
      <c r="C21" s="4"/>
      <c r="D21" s="4"/>
      <c r="E21" s="4"/>
      <c r="F21" s="4"/>
      <c r="G21" s="4"/>
    </row>
    <row r="22" ht="15" hidden="0" outlineLevel="0" collapsed="0">
      <c r="A22" s="4"/>
      <c r="B22" s="4"/>
      <c r="C22" s="4"/>
      <c r="D22" s="4"/>
      <c r="E22" s="4"/>
      <c r="F22" s="4"/>
      <c r="G22" s="4"/>
    </row>
    <row r="23" ht="15" hidden="0" outlineLevel="0" collapsed="0">
      <c r="A23" s="4"/>
      <c r="B23" s="4"/>
      <c r="C23" s="4"/>
      <c r="D23" s="4"/>
      <c r="E23" s="4"/>
      <c r="F23" s="4"/>
      <c r="G23" s="4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  <row r="26" ht="15" hidden="0" outlineLevel="0" collapsed="0">
      <c r="A26" s="4"/>
      <c r="B26" s="4"/>
      <c r="C26" s="4"/>
      <c r="D26" s="4"/>
      <c r="E26" s="4"/>
      <c r="F26" s="4"/>
      <c r="G26" s="4"/>
    </row>
    <row r="27" ht="15" hidden="0" outlineLevel="0" collapsed="0">
      <c r="A27" s="4"/>
      <c r="B27" s="4"/>
      <c r="C27" s="4"/>
      <c r="D27" s="4"/>
      <c r="E27" s="4"/>
      <c r="F27" s="4"/>
      <c r="G27" s="4"/>
    </row>
    <row r="28" ht="15" hidden="0" outlineLevel="0" collapsed="0">
      <c r="A28" s="4"/>
      <c r="B28" s="4"/>
      <c r="C28" s="4"/>
      <c r="D28" s="4"/>
      <c r="E28" s="4"/>
      <c r="F28" s="4"/>
      <c r="G28" s="4"/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  <row r="31" ht="15" hidden="0" outlineLevel="0" collapsed="0">
      <c r="A31" s="4"/>
      <c r="B31" s="4"/>
      <c r="C31" s="4"/>
      <c r="D31" s="4"/>
      <c r="E31" s="4"/>
      <c r="F31" s="4"/>
      <c r="G31" s="4"/>
    </row>
    <row r="32" ht="15" hidden="0" outlineLevel="0" collapsed="0">
      <c r="A32" s="4"/>
      <c r="B32" s="4"/>
      <c r="C32" s="4"/>
      <c r="D32" s="4"/>
      <c r="E32" s="4"/>
      <c r="F32" s="4"/>
      <c r="G32" s="4"/>
    </row>
    <row r="33" ht="15" hidden="0" outlineLevel="0" collapsed="0">
      <c r="A33" s="4"/>
      <c r="B33" s="4"/>
      <c r="C33" s="4"/>
      <c r="D33" s="4"/>
      <c r="E33" s="4"/>
      <c r="F33" s="4"/>
      <c r="G33" s="4"/>
    </row>
    <row r="34" ht="15" hidden="0" outlineLevel="0" collapsed="0">
      <c r="A34" s="4"/>
      <c r="B34" s="4"/>
      <c r="C34" s="4"/>
      <c r="D34" s="4"/>
      <c r="E34" s="4"/>
      <c r="F34" s="4"/>
      <c r="G34" s="4"/>
    </row>
    <row r="35" ht="15" hidden="0" outlineLevel="0" collapsed="0">
      <c r="A35" s="4"/>
      <c r="B35" s="4"/>
      <c r="C35" s="4"/>
      <c r="D35" s="4"/>
      <c r="E35" s="4"/>
      <c r="F35" s="4"/>
      <c r="G35" s="4"/>
    </row>
    <row r="36" ht="15" hidden="0" outlineLevel="0" collapsed="0">
      <c r="A36" s="4"/>
      <c r="B36" s="4"/>
      <c r="C36" s="4"/>
      <c r="D36" s="4"/>
      <c r="E36" s="4"/>
      <c r="F36" s="4"/>
      <c r="G36" s="4"/>
    </row>
    <row r="37" ht="15" hidden="0" outlineLevel="0" collapsed="0">
      <c r="A37" s="4"/>
      <c r="B37" s="4"/>
      <c r="C37" s="4"/>
      <c r="D37" s="4"/>
      <c r="E37" s="4"/>
      <c r="F37" s="4"/>
      <c r="G37" s="4"/>
    </row>
    <row r="38" ht="15" hidden="0" outlineLevel="0" collapsed="0">
      <c r="A38" s="4"/>
      <c r="B38" s="4"/>
      <c r="C38" s="4"/>
      <c r="D38" s="4"/>
      <c r="E38" s="4"/>
      <c r="F38" s="4"/>
      <c r="G38" s="4"/>
    </row>
    <row r="39" ht="15" hidden="0" outlineLevel="0" collapsed="0">
      <c r="A39" s="4"/>
      <c r="B39" s="4"/>
      <c r="C39" s="4"/>
      <c r="D39" s="4"/>
      <c r="E39" s="4"/>
      <c r="F39" s="4"/>
      <c r="G39" s="4"/>
    </row>
    <row r="40" ht="15" hidden="0" outlineLevel="0" collapsed="0">
      <c r="A40" s="4"/>
      <c r="B40" s="4"/>
      <c r="C40" s="4"/>
      <c r="D40" s="4"/>
      <c r="E40" s="4"/>
      <c r="F40" s="4"/>
      <c r="G40" s="4"/>
    </row>
    <row r="41" ht="15" hidden="0" outlineLevel="0" collapsed="0">
      <c r="A41" s="4"/>
      <c r="B41" s="4"/>
      <c r="C41" s="4"/>
      <c r="D41" s="4"/>
      <c r="E41" s="4"/>
      <c r="F41" s="4"/>
      <c r="G41" s="4"/>
    </row>
    <row r="42" ht="15" hidden="0" outlineLevel="0" collapsed="0">
      <c r="A42" s="4"/>
      <c r="B42" s="4"/>
      <c r="C42" s="4"/>
      <c r="D42" s="4"/>
      <c r="E42" s="4"/>
      <c r="F42" s="4"/>
      <c r="G42" s="4"/>
    </row>
    <row r="43" ht="15" hidden="0" outlineLevel="0" collapsed="0">
      <c r="A43" s="4"/>
      <c r="B43" s="4"/>
      <c r="C43" s="4"/>
      <c r="D43" s="4"/>
      <c r="E43" s="4"/>
      <c r="F43" s="4"/>
      <c r="G43" s="4"/>
    </row>
    <row r="44" ht="15" hidden="0" outlineLevel="0" collapsed="0">
      <c r="A44" s="4"/>
      <c r="B44" s="4"/>
      <c r="C44" s="4"/>
      <c r="D44" s="4"/>
      <c r="E44" s="4"/>
      <c r="F44" s="4"/>
      <c r="G44" s="4"/>
    </row>
    <row r="45" ht="15" hidden="0" outlineLevel="0" collapsed="0">
      <c r="A45" s="4"/>
      <c r="B45" s="4"/>
      <c r="C45" s="4"/>
      <c r="D45" s="4"/>
      <c r="E45" s="4"/>
      <c r="F45" s="4"/>
      <c r="G45" s="4"/>
    </row>
    <row r="46" ht="15" hidden="0" outlineLevel="0" collapsed="0">
      <c r="A46" s="4"/>
      <c r="B46" s="4"/>
      <c r="C46" s="4"/>
      <c r="D46" s="4"/>
      <c r="E46" s="4"/>
      <c r="F46" s="4"/>
      <c r="G46" s="4"/>
    </row>
    <row r="47" ht="15" hidden="0" outlineLevel="0" collapsed="0">
      <c r="A47" s="4"/>
      <c r="B47" s="4"/>
      <c r="C47" s="4"/>
      <c r="D47" s="4"/>
      <c r="E47" s="4"/>
      <c r="F47" s="4"/>
      <c r="G47" s="4"/>
    </row>
    <row r="48" ht="15" hidden="0" outlineLevel="0" collapsed="0">
      <c r="A48" s="4"/>
      <c r="B48" s="4"/>
      <c r="C48" s="4"/>
      <c r="D48" s="4"/>
      <c r="E48" s="4"/>
      <c r="F48" s="4"/>
      <c r="G48" s="4"/>
    </row>
    <row r="49" ht="15" hidden="0" outlineLevel="0" collapsed="0">
      <c r="A49" s="4"/>
      <c r="B49" s="4"/>
      <c r="C49" s="4"/>
      <c r="D49" s="4"/>
      <c r="E49" s="4"/>
      <c r="F49" s="4"/>
      <c r="G49" s="4"/>
    </row>
    <row r="50" ht="15" hidden="0" outlineLevel="0" collapsed="0">
      <c r="A50" s="4"/>
      <c r="B50" s="4"/>
      <c r="C50" s="4"/>
      <c r="D50" s="4"/>
      <c r="E50" s="4"/>
      <c r="F50" s="4"/>
      <c r="G50" s="4"/>
    </row>
    <row r="51" ht="15" hidden="0" outlineLevel="0" collapsed="0">
      <c r="A51" s="4"/>
      <c r="B51" s="4"/>
      <c r="C51" s="4"/>
      <c r="D51" s="4"/>
      <c r="E51" s="4"/>
      <c r="F51" s="4"/>
      <c r="G51" s="4"/>
    </row>
    <row r="52" ht="15" hidden="0" outlineLevel="0" collapsed="0">
      <c r="A52" s="4"/>
      <c r="B52" s="4"/>
      <c r="C52" s="4"/>
      <c r="D52" s="4"/>
      <c r="E52" s="4"/>
      <c r="F52" s="4"/>
      <c r="G52" s="4"/>
    </row>
    <row r="53" ht="15" hidden="0" outlineLevel="0" collapsed="0">
      <c r="A53" s="4"/>
      <c r="B53" s="4"/>
      <c r="C53" s="4"/>
      <c r="D53" s="4"/>
      <c r="E53" s="4"/>
      <c r="F53" s="4"/>
      <c r="G53" s="4"/>
    </row>
    <row r="54" ht="15" hidden="0" outlineLevel="0" collapsed="0">
      <c r="A54" s="4"/>
      <c r="B54" s="4"/>
      <c r="C54" s="4"/>
      <c r="D54" s="4"/>
      <c r="E54" s="4"/>
      <c r="F54" s="4"/>
      <c r="G54" s="4"/>
    </row>
    <row r="55" ht="15" hidden="0" outlineLevel="0" collapsed="0">
      <c r="A55" s="4"/>
      <c r="B55" s="4"/>
      <c r="C55" s="4"/>
      <c r="D55" s="4"/>
      <c r="E55" s="4"/>
      <c r="F55" s="4"/>
      <c r="G55" s="4"/>
    </row>
    <row r="56" ht="15" hidden="0" outlineLevel="0" collapsed="0">
      <c r="A56" s="4"/>
      <c r="B56" s="4"/>
      <c r="C56" s="4"/>
      <c r="D56" s="4"/>
      <c r="E56" s="4"/>
      <c r="F56" s="4"/>
      <c r="G56" s="4"/>
    </row>
    <row r="57" ht="15" hidden="0" outlineLevel="0" collapsed="0">
      <c r="A57" s="4"/>
      <c r="B57" s="4"/>
      <c r="C57" s="4"/>
      <c r="D57" s="4"/>
      <c r="E57" s="4"/>
      <c r="F57" s="4"/>
      <c r="G57" s="4"/>
    </row>
    <row r="58" ht="15" hidden="0" outlineLevel="0" collapsed="0">
      <c r="A58" s="4"/>
      <c r="B58" s="4"/>
      <c r="C58" s="4"/>
      <c r="D58" s="4"/>
      <c r="E58" s="4"/>
      <c r="F58" s="4"/>
      <c r="G58" s="4"/>
    </row>
    <row r="59" ht="15" hidden="0" outlineLevel="0" collapsed="0">
      <c r="A59" s="4"/>
      <c r="B59" s="4"/>
      <c r="C59" s="4"/>
      <c r="D59" s="4"/>
      <c r="E59" s="4"/>
      <c r="F59" s="4"/>
      <c r="G59" s="4"/>
    </row>
    <row r="60" ht="15" hidden="0" outlineLevel="0" collapsed="0">
      <c r="A60" s="4"/>
      <c r="B60" s="4"/>
      <c r="C60" s="4"/>
      <c r="D60" s="4"/>
      <c r="E60" s="4"/>
      <c r="F60" s="4"/>
      <c r="G60" s="4"/>
    </row>
    <row r="61" ht="15" hidden="0" outlineLevel="0" collapsed="0">
      <c r="A61" s="4"/>
      <c r="B61" s="4"/>
      <c r="C61" s="4"/>
      <c r="D61" s="4"/>
      <c r="E61" s="4"/>
      <c r="F61" s="4"/>
      <c r="G61" s="4"/>
    </row>
    <row r="62" ht="15" hidden="0" outlineLevel="0" collapsed="0">
      <c r="A62" s="4"/>
      <c r="B62" s="4"/>
      <c r="C62" s="4"/>
      <c r="D62" s="4"/>
      <c r="E62" s="4"/>
      <c r="F62" s="4"/>
      <c r="G62" s="4"/>
    </row>
    <row r="63" ht="15" hidden="0" outlineLevel="0" collapsed="0">
      <c r="A63" s="4"/>
      <c r="B63" s="4"/>
      <c r="C63" s="4"/>
      <c r="D63" s="4"/>
      <c r="E63" s="4"/>
      <c r="F63" s="4"/>
      <c r="G63" s="4"/>
    </row>
    <row r="64" ht="15" hidden="0" outlineLevel="0" collapsed="0">
      <c r="A64" s="4"/>
      <c r="B64" s="4"/>
      <c r="C64" s="4"/>
      <c r="D64" s="4"/>
      <c r="E64" s="4"/>
      <c r="F64" s="4"/>
      <c r="G64" s="4"/>
    </row>
    <row r="65" ht="15" hidden="0" outlineLevel="0" collapsed="0">
      <c r="A65" s="4"/>
      <c r="B65" s="4"/>
      <c r="C65" s="4"/>
      <c r="D65" s="4"/>
      <c r="E65" s="4"/>
      <c r="F65" s="4"/>
      <c r="G65" s="4"/>
    </row>
    <row r="66" ht="15" hidden="0" outlineLevel="0" collapsed="0">
      <c r="A66" s="4"/>
      <c r="B66" s="4"/>
      <c r="C66" s="4"/>
      <c r="D66" s="4"/>
      <c r="E66" s="4"/>
      <c r="F66" s="4"/>
      <c r="G66" s="4"/>
    </row>
    <row r="67" ht="15" hidden="0" outlineLevel="0" collapsed="0">
      <c r="A67" s="4"/>
      <c r="B67" s="4"/>
      <c r="C67" s="4"/>
      <c r="D67" s="4"/>
      <c r="E67" s="4"/>
      <c r="F67" s="4"/>
      <c r="G67" s="4"/>
    </row>
    <row r="68" ht="15" hidden="0" outlineLevel="0" collapsed="0">
      <c r="A68" s="4"/>
      <c r="B68" s="4"/>
      <c r="C68" s="4"/>
      <c r="D68" s="4"/>
      <c r="E68" s="4"/>
      <c r="F68" s="4"/>
      <c r="G68" s="4"/>
    </row>
    <row r="69" ht="15" hidden="0" outlineLevel="0" collapsed="0">
      <c r="A69" s="4"/>
      <c r="B69" s="4"/>
      <c r="C69" s="4"/>
      <c r="D69" s="4"/>
      <c r="E69" s="4"/>
      <c r="F69" s="4"/>
      <c r="G69" s="4"/>
    </row>
    <row r="70" ht="15" hidden="0" outlineLevel="0" collapsed="0">
      <c r="A70" s="4"/>
      <c r="B70" s="4"/>
      <c r="C70" s="4"/>
      <c r="D70" s="4"/>
      <c r="E70" s="4"/>
      <c r="F70" s="4"/>
      <c r="G70" s="4"/>
    </row>
    <row r="71" ht="15" hidden="0" outlineLevel="0" collapsed="0">
      <c r="A71" s="4"/>
      <c r="B71" s="4"/>
      <c r="C71" s="4"/>
      <c r="D71" s="4"/>
      <c r="E71" s="4"/>
      <c r="F71" s="4"/>
      <c r="G71" s="4"/>
    </row>
    <row r="72" ht="15" hidden="0" outlineLevel="0" collapsed="0">
      <c r="A72" s="4"/>
      <c r="B72" s="4"/>
      <c r="C72" s="4"/>
      <c r="D72" s="4"/>
      <c r="E72" s="4"/>
      <c r="F72" s="4"/>
      <c r="G72" s="4"/>
    </row>
    <row r="73" ht="15" hidden="0" outlineLevel="0" collapsed="0">
      <c r="A73" s="4"/>
      <c r="B73" s="4"/>
      <c r="C73" s="4"/>
      <c r="D73" s="4"/>
      <c r="E73" s="4"/>
      <c r="F73" s="4"/>
      <c r="G73" s="4"/>
    </row>
    <row r="74" ht="15" hidden="0" outlineLevel="0" collapsed="0">
      <c r="A74" s="4"/>
      <c r="B74" s="4"/>
      <c r="C74" s="4"/>
      <c r="D74" s="4"/>
      <c r="E74" s="4"/>
      <c r="F74" s="4"/>
      <c r="G74" s="4"/>
    </row>
    <row r="75" ht="15" hidden="0" outlineLevel="0" collapsed="0">
      <c r="A75" s="4"/>
      <c r="B75" s="4"/>
      <c r="C75" s="4"/>
      <c r="D75" s="4"/>
      <c r="E75" s="4"/>
      <c r="F75" s="4"/>
      <c r="G75" s="4"/>
    </row>
    <row r="76" ht="15" hidden="0" outlineLevel="0" collapsed="0">
      <c r="A76" s="4"/>
      <c r="B76" s="4"/>
      <c r="C76" s="4"/>
      <c r="D76" s="4"/>
      <c r="E76" s="4"/>
      <c r="F76" s="4"/>
      <c r="G76" s="4"/>
    </row>
    <row r="77" ht="15" hidden="0" outlineLevel="0" collapsed="0">
      <c r="A77" s="4"/>
      <c r="B77" s="4"/>
      <c r="C77" s="4"/>
      <c r="D77" s="4"/>
      <c r="E77" s="4"/>
      <c r="F77" s="4"/>
      <c r="G77" s="4"/>
    </row>
    <row r="78" ht="15" hidden="0" outlineLevel="0" collapsed="0">
      <c r="A78" s="4"/>
      <c r="B78" s="4"/>
      <c r="C78" s="4"/>
      <c r="D78" s="4"/>
      <c r="E78" s="4"/>
      <c r="F78" s="4"/>
      <c r="G78" s="4"/>
    </row>
    <row r="79" ht="15" hidden="0" outlineLevel="0" collapsed="0">
      <c r="A79" s="4"/>
      <c r="B79" s="4"/>
      <c r="C79" s="4"/>
      <c r="D79" s="4"/>
      <c r="E79" s="4"/>
      <c r="F79" s="4"/>
      <c r="G79" s="4"/>
    </row>
    <row r="80" ht="15" hidden="0" outlineLevel="0" collapsed="0">
      <c r="A80" s="4"/>
      <c r="B80" s="4"/>
      <c r="C80" s="4"/>
      <c r="D80" s="4"/>
      <c r="E80" s="4"/>
      <c r="F80" s="4"/>
      <c r="G8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6" width="14" style="1" hidden="0" customWidth="1" outlineLevel="0" collapsed="0"/>
    <col min="7" max="7" width="12" style="1" hidden="0" customWidth="1" outlineLevel="0" collapsed="0"/>
    <col min="8" max="8" width="34" style="1" hidden="0" customWidth="1" outlineLevel="0" collapsed="0"/>
  </cols>
  <sheetData>
    <row r="1" ht="28" hidden="0" outlineLevel="0" collapsed="0">
      <c r="A1" s="2" t="s">
        <v>222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223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224</v>
      </c>
      <c r="B4" s="5" t="s">
        <v>225</v>
      </c>
      <c r="C4" s="5" t="s">
        <v>226</v>
      </c>
      <c r="D4" s="5" t="s">
        <v>227</v>
      </c>
      <c r="E4" s="5" t="s">
        <v>228</v>
      </c>
      <c r="F4" s="5" t="s">
        <v>43</v>
      </c>
      <c r="G4" s="5" t="s">
        <v>229</v>
      </c>
      <c r="H4" s="5" t="s">
        <v>230</v>
      </c>
    </row>
    <row r="5" ht="15" hidden="0" outlineLevel="0" collapsed="0">
      <c r="A5" s="21" t="s">
        <v>231</v>
      </c>
      <c r="B5" s="22">
        <f>Sources!O25</f>
        <v>20</v>
      </c>
      <c r="C5" s="22">
        <v>20</v>
      </c>
      <c r="D5" s="22">
        <f>B5-C5</f>
        <v>0</v>
      </c>
      <c r="E5" s="22">
        <v>0</v>
      </c>
      <c r="F5" s="52" t="str">
        <f>IF(ABS(D5)&lt;=E5,"PASS","FAIL")</f>
        <v>PASS</v>
      </c>
      <c r="G5" s="52" t="s">
        <v>232</v>
      </c>
      <c r="H5" s="43" t="s">
        <v>233</v>
      </c>
    </row>
    <row r="6" ht="15" hidden="0" outlineLevel="0" collapsed="0">
      <c r="A6" s="24" t="s">
        <v>234</v>
      </c>
      <c r="B6" s="25">
        <f>Historical!C19</f>
        <v>44486</v>
      </c>
      <c r="C6" s="25">
        <v>44486</v>
      </c>
      <c r="D6" s="25">
        <f>B6-C6</f>
        <v>0</v>
      </c>
      <c r="E6" s="25">
        <v>0.1</v>
      </c>
      <c r="F6" s="53" t="str">
        <f>IF(ABS(D6)&lt;=E6,"PASS","FAIL")</f>
        <v>PASS</v>
      </c>
      <c r="G6" s="53" t="s">
        <v>232</v>
      </c>
      <c r="H6" s="45" t="s">
        <v>235</v>
      </c>
    </row>
    <row r="7" ht="15" hidden="0" outlineLevel="0" collapsed="0">
      <c r="A7" s="24" t="s">
        <v>236</v>
      </c>
      <c r="B7" s="25">
        <f>Operating_Model!B11</f>
        <v>462800</v>
      </c>
      <c r="C7" s="25">
        <v>462800</v>
      </c>
      <c r="D7" s="25">
        <f>B7-C7</f>
        <v>0</v>
      </c>
      <c r="E7" s="25">
        <v>1</v>
      </c>
      <c r="F7" s="53" t="str">
        <f>IF(ABS(D7)&lt;=E7,"PASS","FAIL")</f>
        <v>PASS</v>
      </c>
      <c r="G7" s="53" t="s">
        <v>232</v>
      </c>
      <c r="H7" s="45" t="s">
        <v>237</v>
      </c>
    </row>
    <row r="8" ht="15" hidden="0" outlineLevel="0" collapsed="0">
      <c r="A8" s="24" t="s">
        <v>238</v>
      </c>
      <c r="B8" s="25">
        <f>Assumptions!B4</f>
        <v>1</v>
      </c>
      <c r="C8" s="25">
        <v>1</v>
      </c>
      <c r="D8" s="25">
        <f>0</f>
        <v>0</v>
      </c>
      <c r="E8" s="25">
        <v>0</v>
      </c>
      <c r="F8" s="53" t="str">
        <f>IF(AND(B8&gt;=1,B8&lt;=3),"PASS","FAIL")</f>
        <v>PASS</v>
      </c>
      <c r="G8" s="53" t="s">
        <v>232</v>
      </c>
      <c r="H8" s="45" t="s">
        <v>239</v>
      </c>
    </row>
    <row r="9" ht="15" hidden="0" outlineLevel="0" collapsed="0">
      <c r="A9" s="24" t="s">
        <v>240</v>
      </c>
      <c r="B9" s="25">
        <f>Historical!C10</f>
        <v>176000</v>
      </c>
      <c r="C9" s="25">
        <f>Historical!C8+Historical!C9</f>
        <v>684600</v>
      </c>
      <c r="D9" s="25">
        <f>C9-B9</f>
        <v>508600</v>
      </c>
      <c r="E9" s="25">
        <v>0</v>
      </c>
      <c r="F9" s="53" t="str">
        <f>IF(D9&gt;=E9,"PASS","FAIL")</f>
        <v>PASS</v>
      </c>
      <c r="G9" s="53" t="s">
        <v>232</v>
      </c>
      <c r="H9" s="45" t="s">
        <v>241</v>
      </c>
    </row>
    <row r="10" ht="15" hidden="0" outlineLevel="0" collapsed="0">
      <c r="A10" s="24" t="s">
        <v>242</v>
      </c>
      <c r="B10" s="25">
        <f>Valuation!B13</f>
        <v>999791.88</v>
      </c>
      <c r="C10" s="25">
        <f>SUM(Valuation!F5:F10)</f>
        <v>999791.88</v>
      </c>
      <c r="D10" s="25">
        <f>B10-C10</f>
        <v>0</v>
      </c>
      <c r="E10" s="25">
        <v>0.1</v>
      </c>
      <c r="F10" s="53" t="str">
        <f>IF(ABS(D10)&lt;=E10,"PASS","FAIL")</f>
        <v>PASS</v>
      </c>
      <c r="G10" s="53" t="s">
        <v>232</v>
      </c>
      <c r="H10" s="45" t="s">
        <v>243</v>
      </c>
    </row>
    <row r="11" ht="15" hidden="0" outlineLevel="0" collapsed="0">
      <c r="A11" s="24" t="s">
        <v>244</v>
      </c>
      <c r="B11" s="25">
        <f>Sensitivity!D7</f>
        <v>463.43836983225447</v>
      </c>
      <c r="C11" s="25">
        <f>Valuation!B15</f>
        <v>463.43836983225447</v>
      </c>
      <c r="D11" s="25">
        <f>B11-C11</f>
        <v>0</v>
      </c>
      <c r="E11" s="25">
        <v>0.01</v>
      </c>
      <c r="F11" s="53" t="str">
        <f>IF(ABS(D11)&lt;=E11,"PASS","FAIL")</f>
        <v>PASS</v>
      </c>
      <c r="G11" s="53" t="s">
        <v>232</v>
      </c>
      <c r="H11" s="45" t="s">
        <v>245</v>
      </c>
    </row>
    <row r="12" ht="15" hidden="0" outlineLevel="0" collapsed="0">
      <c r="A12" s="24" t="s">
        <v>246</v>
      </c>
      <c r="B12" s="25">
        <f>MIN(Operating_Model!C5:G12)</f>
        <v>1645.26</v>
      </c>
      <c r="C12" s="25">
        <v>0</v>
      </c>
      <c r="D12" s="25">
        <f>B12-C12</f>
        <v>1645.26</v>
      </c>
      <c r="E12" s="25">
        <v>0</v>
      </c>
      <c r="F12" s="53" t="str">
        <f>IF(D12&gt;=E12,"PASS","FAIL")</f>
        <v>PASS</v>
      </c>
      <c r="G12" s="53" t="s">
        <v>232</v>
      </c>
      <c r="H12" s="45" t="s">
        <v>247</v>
      </c>
    </row>
    <row r="13" ht="15" hidden="0" outlineLevel="0" collapsed="0">
      <c r="A13" s="24" t="s">
        <v>248</v>
      </c>
      <c r="B13" s="25">
        <f>Historical!C21</f>
        <v>2157.335139</v>
      </c>
      <c r="C13" s="25">
        <v>0</v>
      </c>
      <c r="D13" s="25">
        <f>B13-C13</f>
        <v>2157.335139</v>
      </c>
      <c r="E13" s="25">
        <v>0</v>
      </c>
      <c r="F13" s="53" t="str">
        <f>IF(D13&gt;E13,"PASS","FAIL")</f>
        <v>PASS</v>
      </c>
      <c r="G13" s="53" t="s">
        <v>232</v>
      </c>
      <c r="H13" s="45" t="s">
        <v>119</v>
      </c>
    </row>
    <row r="14" ht="15" hidden="0" outlineLevel="0" collapsed="0">
      <c r="A14" s="24" t="s">
        <v>249</v>
      </c>
      <c r="B14" s="25">
        <f>COUNTIF(Operating_Model!D5:G12,0)</f>
        <v>0</v>
      </c>
      <c r="C14" s="25">
        <v>0</v>
      </c>
      <c r="D14" s="25">
        <f>B14-C14</f>
        <v>0</v>
      </c>
      <c r="E14" s="25">
        <v>0</v>
      </c>
      <c r="F14" s="53" t="str">
        <f>IF(ABS(D14)&lt;=E14,"PASS","FAIL")</f>
        <v>PASS</v>
      </c>
      <c r="G14" s="53" t="s">
        <v>232</v>
      </c>
      <c r="H14" s="45" t="s">
        <v>250</v>
      </c>
    </row>
    <row r="15" ht="15" hidden="0" outlineLevel="0" collapsed="0">
      <c r="A15" s="30" t="s">
        <v>23</v>
      </c>
      <c r="B15" s="31"/>
      <c r="C15" s="31"/>
      <c r="D15" s="31"/>
      <c r="E15" s="31"/>
      <c r="F15" s="54" t="str">
        <f>IF(COUNTIF(F5:F14,"FAIL")=0,"PASS","FAIL")</f>
        <v>PASS</v>
      </c>
      <c r="G15" s="54"/>
      <c r="H15" s="48" t="s">
        <v>251</v>
      </c>
    </row>
    <row r="16" ht="15" hidden="0" outlineLevel="0" collapsed="0">
      <c r="A16" s="4"/>
      <c r="B16" s="4"/>
      <c r="C16" s="4"/>
      <c r="D16" s="4"/>
      <c r="E16" s="4"/>
      <c r="F16" s="4"/>
      <c r="G16" s="4"/>
      <c r="H16" s="4"/>
    </row>
    <row r="17" ht="15" hidden="0" outlineLevel="0" collapsed="0">
      <c r="A17" s="4"/>
      <c r="B17" s="4"/>
      <c r="C17" s="4"/>
      <c r="D17" s="4"/>
      <c r="E17" s="4"/>
      <c r="F17" s="4"/>
      <c r="G17" s="4"/>
      <c r="H17" s="4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conditionalFormatting sqref="F5:F15">
    <cfRule type="containsText" priority="2" operator="containsText" text="PASS" dxfId="9">
      <formula>NOT(ISERROR(SEARCH("PASS",F5)))</formula>
    </cfRule>
    <cfRule type="containsText" priority="3" operator="containsText" text="FAIL" dxfId="10">
      <formula>NOT(ISERROR(SEARCH("FAIL",F5)))</formula>
    </cfRule>
    <cfRule type="containsText" priority="4" operator="containsText" text="PENDING" dxfId="11">
      <formula>NOT(ISERROR(SEARCH("PENDING",F5)))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2" width="10" style="1" hidden="0" customWidth="1" outlineLevel="0" collapsed="0"/>
    <col min="3" max="4" width="18" style="1" hidden="0" customWidth="1" outlineLevel="0" collapsed="0"/>
    <col min="5" max="7" width="32" style="1" hidden="0" customWidth="1" outlineLevel="0" collapsed="0"/>
    <col min="8" max="8" width="12" style="1" hidden="0" customWidth="1" outlineLevel="0" collapsed="0"/>
  </cols>
  <sheetData>
    <row r="1" ht="28" hidden="0" outlineLevel="0" collapsed="0">
      <c r="A1" s="2" t="s">
        <v>252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253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254</v>
      </c>
      <c r="B4" s="5" t="s">
        <v>255</v>
      </c>
      <c r="C4" s="5" t="s">
        <v>256</v>
      </c>
      <c r="D4" s="5" t="s">
        <v>257</v>
      </c>
      <c r="E4" s="5" t="s">
        <v>258</v>
      </c>
      <c r="F4" s="5" t="s">
        <v>259</v>
      </c>
      <c r="G4" s="5" t="s">
        <v>260</v>
      </c>
      <c r="H4" s="5" t="s">
        <v>261</v>
      </c>
    </row>
    <row r="5" ht="42" hidden="0" outlineLevel="0" collapsed="0">
      <c r="A5" s="8" t="s">
        <v>262</v>
      </c>
      <c r="B5" s="9">
        <v>5</v>
      </c>
      <c r="C5" s="9" t="s">
        <v>57</v>
      </c>
      <c r="D5" s="9" t="s">
        <v>263</v>
      </c>
      <c r="E5" s="9" t="s">
        <v>264</v>
      </c>
      <c r="F5" s="9" t="s">
        <v>265</v>
      </c>
      <c r="G5" s="9" t="s">
        <v>266</v>
      </c>
      <c r="H5" s="11">
        <v>5</v>
      </c>
    </row>
    <row r="6" ht="42" hidden="0" outlineLevel="0" collapsed="0">
      <c r="A6" s="12" t="s">
        <v>267</v>
      </c>
      <c r="B6" s="13">
        <v>20</v>
      </c>
      <c r="C6" s="13" t="s">
        <v>57</v>
      </c>
      <c r="D6" s="13" t="s">
        <v>263</v>
      </c>
      <c r="E6" s="13" t="s">
        <v>233</v>
      </c>
      <c r="F6" s="13" t="s">
        <v>268</v>
      </c>
      <c r="G6" s="13" t="s">
        <v>269</v>
      </c>
      <c r="H6" s="15">
        <v>20</v>
      </c>
    </row>
    <row r="7" ht="42" hidden="0" outlineLevel="0" collapsed="0">
      <c r="A7" s="12" t="s">
        <v>270</v>
      </c>
      <c r="B7" s="13">
        <v>15</v>
      </c>
      <c r="C7" s="13" t="s">
        <v>57</v>
      </c>
      <c r="D7" s="13" t="s">
        <v>263</v>
      </c>
      <c r="E7" s="13" t="s">
        <v>271</v>
      </c>
      <c r="F7" s="13" t="s">
        <v>272</v>
      </c>
      <c r="G7" s="13" t="s">
        <v>273</v>
      </c>
      <c r="H7" s="15">
        <v>15</v>
      </c>
    </row>
    <row r="8" ht="42" hidden="0" outlineLevel="0" collapsed="0">
      <c r="A8" s="12" t="s">
        <v>274</v>
      </c>
      <c r="B8" s="13">
        <v>10</v>
      </c>
      <c r="C8" s="13" t="s">
        <v>57</v>
      </c>
      <c r="D8" s="13" t="s">
        <v>263</v>
      </c>
      <c r="E8" s="13" t="s">
        <v>275</v>
      </c>
      <c r="F8" s="13" t="s">
        <v>276</v>
      </c>
      <c r="G8" s="13" t="s">
        <v>277</v>
      </c>
      <c r="H8" s="15">
        <v>10</v>
      </c>
    </row>
    <row r="9" ht="42" hidden="0" outlineLevel="0" collapsed="0">
      <c r="A9" s="12" t="s">
        <v>278</v>
      </c>
      <c r="B9" s="13">
        <v>15</v>
      </c>
      <c r="C9" s="13" t="s">
        <v>57</v>
      </c>
      <c r="D9" s="13" t="s">
        <v>263</v>
      </c>
      <c r="E9" s="13" t="s">
        <v>279</v>
      </c>
      <c r="F9" s="13" t="s">
        <v>280</v>
      </c>
      <c r="G9" s="13" t="s">
        <v>281</v>
      </c>
      <c r="H9" s="15">
        <v>15</v>
      </c>
    </row>
    <row r="10" ht="42" hidden="0" outlineLevel="0" collapsed="0">
      <c r="A10" s="12" t="s">
        <v>282</v>
      </c>
      <c r="B10" s="13">
        <v>8</v>
      </c>
      <c r="C10" s="13" t="s">
        <v>57</v>
      </c>
      <c r="D10" s="13" t="s">
        <v>263</v>
      </c>
      <c r="E10" s="13" t="s">
        <v>283</v>
      </c>
      <c r="F10" s="13" t="s">
        <v>284</v>
      </c>
      <c r="G10" s="13" t="s">
        <v>285</v>
      </c>
      <c r="H10" s="15">
        <v>8</v>
      </c>
    </row>
    <row r="11" ht="42" hidden="0" outlineLevel="0" collapsed="0">
      <c r="A11" s="12" t="s">
        <v>286</v>
      </c>
      <c r="B11" s="13">
        <v>10</v>
      </c>
      <c r="C11" s="13" t="s">
        <v>57</v>
      </c>
      <c r="D11" s="13" t="s">
        <v>263</v>
      </c>
      <c r="E11" s="13" t="s">
        <v>287</v>
      </c>
      <c r="F11" s="13" t="s">
        <v>288</v>
      </c>
      <c r="G11" s="13" t="s">
        <v>289</v>
      </c>
      <c r="H11" s="15">
        <v>10</v>
      </c>
    </row>
    <row r="12" ht="42" hidden="0" outlineLevel="0" collapsed="0">
      <c r="A12" s="12" t="s">
        <v>290</v>
      </c>
      <c r="B12" s="13">
        <v>7</v>
      </c>
      <c r="C12" s="13" t="s">
        <v>57</v>
      </c>
      <c r="D12" s="13" t="s">
        <v>263</v>
      </c>
      <c r="E12" s="13" t="s">
        <v>291</v>
      </c>
      <c r="F12" s="13" t="s">
        <v>292</v>
      </c>
      <c r="G12" s="13" t="s">
        <v>293</v>
      </c>
      <c r="H12" s="15">
        <v>7</v>
      </c>
    </row>
    <row r="13" ht="42" hidden="0" outlineLevel="0" collapsed="0">
      <c r="A13" s="12" t="s">
        <v>294</v>
      </c>
      <c r="B13" s="13">
        <v>5</v>
      </c>
      <c r="C13" s="13" t="s">
        <v>57</v>
      </c>
      <c r="D13" s="13" t="s">
        <v>263</v>
      </c>
      <c r="E13" s="13" t="s">
        <v>295</v>
      </c>
      <c r="F13" s="13" t="s">
        <v>296</v>
      </c>
      <c r="G13" s="13" t="s">
        <v>297</v>
      </c>
      <c r="H13" s="15">
        <v>5</v>
      </c>
    </row>
    <row r="14" ht="42" hidden="0" outlineLevel="0" collapsed="0">
      <c r="A14" s="12" t="s">
        <v>298</v>
      </c>
      <c r="B14" s="13">
        <v>5</v>
      </c>
      <c r="C14" s="13" t="s">
        <v>57</v>
      </c>
      <c r="D14" s="13" t="s">
        <v>263</v>
      </c>
      <c r="E14" s="13" t="s">
        <v>264</v>
      </c>
      <c r="F14" s="13" t="s">
        <v>299</v>
      </c>
      <c r="G14" s="13" t="s">
        <v>300</v>
      </c>
      <c r="H14" s="15">
        <v>5</v>
      </c>
    </row>
    <row r="15" ht="42" hidden="0" outlineLevel="0" collapsed="0">
      <c r="A15" s="12"/>
      <c r="B15" s="13"/>
      <c r="C15" s="13"/>
      <c r="D15" s="13"/>
      <c r="E15" s="13"/>
      <c r="F15" s="13"/>
      <c r="G15" s="13"/>
      <c r="H15" s="15"/>
    </row>
    <row r="16" ht="42" hidden="0" outlineLevel="0" collapsed="0">
      <c r="A16" s="12" t="s">
        <v>301</v>
      </c>
      <c r="B16" s="13"/>
      <c r="C16" s="13"/>
      <c r="D16" s="13"/>
      <c r="E16" s="13"/>
      <c r="F16" s="13"/>
      <c r="G16" s="13"/>
      <c r="H16" s="15">
        <f>SUM(H5:H14)</f>
        <v>100</v>
      </c>
    </row>
    <row r="17" ht="42" hidden="0" outlineLevel="0" collapsed="0">
      <c r="A17" s="16" t="s">
        <v>302</v>
      </c>
      <c r="B17" s="17"/>
      <c r="C17" s="17" t="str">
        <f>IF(H16&gt;=90,"SUBMITTED FOR INDEPENDENT 9/10 REVIEW","NOT READY")</f>
        <v>SUBMITTED FOR INDEPENDENT 9/10 REVIEW</v>
      </c>
      <c r="D17" s="17"/>
      <c r="E17" s="17"/>
      <c r="F17" s="17"/>
      <c r="G17" s="17"/>
      <c r="H17" s="19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34" hidden="0" outlineLevel="0" collapsed="0">
      <c r="A19" s="59" t="s">
        <v>303</v>
      </c>
      <c r="B19" s="60" t="s">
        <v>304</v>
      </c>
      <c r="C19" s="60"/>
      <c r="D19" s="60"/>
      <c r="E19" s="60"/>
      <c r="F19" s="60"/>
      <c r="G19" s="60"/>
      <c r="H19" s="60"/>
    </row>
    <row r="20" ht="34" hidden="0" outlineLevel="0" collapsed="0">
      <c r="A20" s="59" t="s">
        <v>305</v>
      </c>
      <c r="B20" s="60" t="s">
        <v>306</v>
      </c>
      <c r="C20" s="60"/>
      <c r="D20" s="60"/>
      <c r="E20" s="60"/>
      <c r="F20" s="60"/>
      <c r="G20" s="60"/>
      <c r="H20" s="60"/>
    </row>
    <row r="21" ht="34" hidden="0" outlineLevel="0" collapsed="0">
      <c r="A21" s="59" t="s">
        <v>307</v>
      </c>
      <c r="B21" s="60" t="s">
        <v>265</v>
      </c>
      <c r="C21" s="60"/>
      <c r="D21" s="60"/>
      <c r="E21" s="60"/>
      <c r="F21" s="60"/>
      <c r="G21" s="60"/>
      <c r="H21" s="60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5">
    <mergeCell ref="A1:H1"/>
    <mergeCell ref="A2:H2"/>
    <mergeCell ref="B19:H19"/>
    <mergeCell ref="B20:H20"/>
    <mergeCell ref="B21:H21"/>
  </mergeCells>
  <conditionalFormatting sqref="C5:C17">
    <cfRule type="containsText" priority="2" operator="containsText" text="PASS" dxfId="12">
      <formula>NOT(ISERROR(SEARCH("PASS",C5)))</formula>
    </cfRule>
    <cfRule type="containsText" priority="3" operator="containsText" text="FAIL" dxfId="13">
      <formula>NOT(ISERROR(SEARCH("FAIL",C5)))</formula>
    </cfRule>
    <cfRule type="containsText" priority="4" operator="containsText" text="PENDING" dxfId="14">
      <formula>NOT(ISERROR(SEARCH("PENDING",C5)))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4" style="1" hidden="0" customWidth="1" outlineLevel="0" collapsed="0"/>
    <col min="2" max="2" width="10" style="1" hidden="0" customWidth="1" outlineLevel="0" collapsed="0"/>
    <col min="3" max="3" width="22" style="1" hidden="0" customWidth="1" outlineLevel="0" collapsed="0"/>
    <col min="4" max="6" width="38" style="1" hidden="0" customWidth="1" outlineLevel="0" collapsed="0"/>
  </cols>
  <sheetData>
    <row r="1" ht="28" hidden="0" outlineLevel="0" collapsed="0">
      <c r="A1" s="2" t="s">
        <v>308</v>
      </c>
      <c r="B1" s="2"/>
      <c r="C1" s="2"/>
      <c r="D1" s="2"/>
      <c r="E1" s="2"/>
      <c r="F1" s="2"/>
    </row>
    <row r="2" ht="28" hidden="0" outlineLevel="0" collapsed="0">
      <c r="A2" s="3" t="s">
        <v>309</v>
      </c>
      <c r="B2" s="3"/>
      <c r="C2" s="3"/>
      <c r="D2" s="3"/>
      <c r="E2" s="3"/>
      <c r="F2" s="3"/>
    </row>
    <row r="3" ht="15" hidden="0" outlineLevel="0" collapsed="0">
      <c r="A3" s="4"/>
      <c r="B3" s="4"/>
      <c r="C3" s="4"/>
      <c r="D3" s="4"/>
      <c r="E3" s="4"/>
      <c r="F3" s="4"/>
    </row>
    <row r="4" ht="15" hidden="0" outlineLevel="0" collapsed="0">
      <c r="A4" s="5" t="s">
        <v>310</v>
      </c>
      <c r="B4" s="5" t="s">
        <v>311</v>
      </c>
      <c r="C4" s="5" t="s">
        <v>312</v>
      </c>
      <c r="D4" s="5" t="s">
        <v>313</v>
      </c>
      <c r="E4" s="5" t="s">
        <v>314</v>
      </c>
      <c r="F4" s="5" t="s">
        <v>315</v>
      </c>
    </row>
    <row r="5" ht="42" hidden="0" outlineLevel="0" collapsed="0">
      <c r="A5" s="8" t="s">
        <v>316</v>
      </c>
      <c r="B5" s="9" t="s">
        <v>317</v>
      </c>
      <c r="C5" s="9" t="s">
        <v>318</v>
      </c>
      <c r="D5" s="9" t="s">
        <v>319</v>
      </c>
      <c r="E5" s="9" t="s">
        <v>320</v>
      </c>
      <c r="F5" s="11" t="s">
        <v>321</v>
      </c>
    </row>
    <row r="6" ht="42" hidden="0" outlineLevel="0" collapsed="0">
      <c r="A6" s="12" t="s">
        <v>316</v>
      </c>
      <c r="B6" s="13" t="s">
        <v>317</v>
      </c>
      <c r="C6" s="13" t="s">
        <v>318</v>
      </c>
      <c r="D6" s="13" t="s">
        <v>322</v>
      </c>
      <c r="E6" s="13" t="s">
        <v>233</v>
      </c>
      <c r="F6" s="15" t="s">
        <v>321</v>
      </c>
    </row>
    <row r="7" ht="42" hidden="0" outlineLevel="0" collapsed="0">
      <c r="A7" s="12" t="s">
        <v>316</v>
      </c>
      <c r="B7" s="13" t="s">
        <v>317</v>
      </c>
      <c r="C7" s="13" t="s">
        <v>318</v>
      </c>
      <c r="D7" s="13" t="s">
        <v>323</v>
      </c>
      <c r="E7" s="13" t="s">
        <v>324</v>
      </c>
      <c r="F7" s="15" t="s">
        <v>321</v>
      </c>
    </row>
    <row r="8" ht="42" hidden="0" outlineLevel="0" collapsed="0">
      <c r="A8" s="16" t="s">
        <v>316</v>
      </c>
      <c r="B8" s="17" t="s">
        <v>317</v>
      </c>
      <c r="C8" s="17" t="s">
        <v>325</v>
      </c>
      <c r="D8" s="17" t="s">
        <v>326</v>
      </c>
      <c r="E8" s="17" t="s">
        <v>327</v>
      </c>
      <c r="F8" s="19" t="s">
        <v>328</v>
      </c>
    </row>
    <row r="9" ht="15" hidden="0" outlineLevel="0" collapsed="0">
      <c r="A9" s="4"/>
      <c r="B9" s="4"/>
      <c r="C9" s="4"/>
      <c r="D9" s="4"/>
      <c r="E9" s="4"/>
      <c r="F9" s="4"/>
    </row>
    <row r="10" ht="15" hidden="0" outlineLevel="0" collapsed="0">
      <c r="A10" s="4"/>
      <c r="B10" s="4"/>
      <c r="C10" s="4"/>
      <c r="D10" s="4"/>
      <c r="E10" s="4"/>
      <c r="F10" s="4"/>
    </row>
    <row r="11" ht="15" hidden="0" outlineLevel="0" collapsed="0">
      <c r="A11" s="4"/>
      <c r="B11" s="4"/>
      <c r="C11" s="4"/>
      <c r="D11" s="4"/>
      <c r="E11" s="4"/>
      <c r="F11" s="4"/>
    </row>
    <row r="12" ht="15" hidden="0" outlineLevel="0" collapsed="0">
      <c r="A12" s="4"/>
      <c r="B12" s="4"/>
      <c r="C12" s="4"/>
      <c r="D12" s="4"/>
      <c r="E12" s="4"/>
      <c r="F12" s="4"/>
    </row>
    <row r="13" ht="15" hidden="0" outlineLevel="0" collapsed="0">
      <c r="A13" s="4"/>
      <c r="B13" s="4"/>
      <c r="C13" s="4"/>
      <c r="D13" s="4"/>
      <c r="E13" s="4"/>
      <c r="F13" s="4"/>
    </row>
    <row r="14" ht="15" hidden="0" outlineLevel="0" collapsed="0">
      <c r="A14" s="4"/>
      <c r="B14" s="4"/>
      <c r="C14" s="4"/>
      <c r="D14" s="4"/>
      <c r="E14" s="4"/>
      <c r="F14" s="4"/>
    </row>
    <row r="15" ht="15" hidden="0" outlineLevel="0" collapsed="0">
      <c r="A15" s="4"/>
      <c r="B15" s="4"/>
      <c r="C15" s="4"/>
      <c r="D15" s="4"/>
      <c r="E15" s="4"/>
      <c r="F15" s="4"/>
    </row>
    <row r="16" ht="15" hidden="0" outlineLevel="0" collapsed="0">
      <c r="A16" s="4"/>
      <c r="B16" s="4"/>
      <c r="C16" s="4"/>
      <c r="D16" s="4"/>
      <c r="E16" s="4"/>
      <c r="F16" s="4"/>
    </row>
    <row r="17" ht="15" hidden="0" outlineLevel="0" collapsed="0">
      <c r="A17" s="4"/>
      <c r="B17" s="4"/>
      <c r="C17" s="4"/>
      <c r="D17" s="4"/>
      <c r="E17" s="4"/>
      <c r="F17" s="4"/>
    </row>
    <row r="18" ht="15" hidden="0" outlineLevel="0" collapsed="0">
      <c r="A18" s="4"/>
      <c r="B18" s="4"/>
      <c r="C18" s="4"/>
      <c r="D18" s="4"/>
      <c r="E18" s="4"/>
      <c r="F18" s="4"/>
    </row>
    <row r="19" ht="15" hidden="0" outlineLevel="0" collapsed="0">
      <c r="A19" s="4"/>
      <c r="B19" s="4"/>
      <c r="C19" s="4"/>
      <c r="D19" s="4"/>
      <c r="E19" s="4"/>
      <c r="F19" s="4"/>
    </row>
    <row r="20" ht="15" hidden="0" outlineLevel="0" collapsed="0">
      <c r="A20" s="4"/>
      <c r="B20" s="4"/>
      <c r="C20" s="4"/>
      <c r="D20" s="4"/>
      <c r="E20" s="4"/>
      <c r="F20" s="4"/>
    </row>
    <row r="21" ht="15" hidden="0" outlineLevel="0" collapsed="0">
      <c r="A21" s="4"/>
      <c r="B21" s="4"/>
      <c r="C21" s="4"/>
      <c r="D21" s="4"/>
      <c r="E21" s="4"/>
      <c r="F21" s="4"/>
    </row>
    <row r="22" ht="15" hidden="0" outlineLevel="0" collapsed="0">
      <c r="A22" s="4"/>
      <c r="B22" s="4"/>
      <c r="C22" s="4"/>
      <c r="D22" s="4"/>
      <c r="E22" s="4"/>
      <c r="F22" s="4"/>
    </row>
    <row r="23" ht="15" hidden="0" outlineLevel="0" collapsed="0">
      <c r="A23" s="4"/>
      <c r="B23" s="4"/>
      <c r="C23" s="4"/>
      <c r="D23" s="4"/>
      <c r="E23" s="4"/>
      <c r="F23" s="4"/>
    </row>
    <row r="24" ht="15" hidden="0" outlineLevel="0" collapsed="0">
      <c r="A24" s="4"/>
      <c r="B24" s="4"/>
      <c r="C24" s="4"/>
      <c r="D24" s="4"/>
      <c r="E24" s="4"/>
      <c r="F24" s="4"/>
    </row>
    <row r="25" ht="15" hidden="0" outlineLevel="0" collapsed="0">
      <c r="A25" s="4"/>
      <c r="B25" s="4"/>
      <c r="C25" s="4"/>
      <c r="D25" s="4"/>
      <c r="E25" s="4"/>
      <c r="F25" s="4"/>
    </row>
    <row r="26" ht="15" hidden="0" outlineLevel="0" collapsed="0">
      <c r="A26" s="4"/>
      <c r="B26" s="4"/>
      <c r="C26" s="4"/>
      <c r="D26" s="4"/>
      <c r="E26" s="4"/>
      <c r="F26" s="4"/>
    </row>
    <row r="27" ht="15" hidden="0" outlineLevel="0" collapsed="0">
      <c r="A27" s="4"/>
      <c r="B27" s="4"/>
      <c r="C27" s="4"/>
      <c r="D27" s="4"/>
      <c r="E27" s="4"/>
      <c r="F27" s="4"/>
    </row>
    <row r="28" ht="15" hidden="0" outlineLevel="0" collapsed="0">
      <c r="A28" s="4"/>
      <c r="B28" s="4"/>
      <c r="C28" s="4"/>
      <c r="D28" s="4"/>
      <c r="E28" s="4"/>
      <c r="F28" s="4"/>
    </row>
    <row r="29" ht="15" hidden="0" outlineLevel="0" collapsed="0">
      <c r="A29" s="4"/>
      <c r="B29" s="4"/>
      <c r="C29" s="4"/>
      <c r="D29" s="4"/>
      <c r="E29" s="4"/>
      <c r="F29" s="4"/>
    </row>
    <row r="30" ht="15" hidden="0" outlineLevel="0" collapsed="0">
      <c r="A30" s="4"/>
      <c r="B30" s="4"/>
      <c r="C30" s="4"/>
      <c r="D30" s="4"/>
      <c r="E30" s="4"/>
      <c r="F30" s="4"/>
    </row>
    <row r="31" ht="15" hidden="0" outlineLevel="0" collapsed="0">
      <c r="A31" s="4"/>
      <c r="B31" s="4"/>
      <c r="C31" s="4"/>
      <c r="D31" s="4"/>
      <c r="E31" s="4"/>
      <c r="F31" s="4"/>
    </row>
    <row r="32" ht="15" hidden="0" outlineLevel="0" collapsed="0">
      <c r="A32" s="4"/>
      <c r="B32" s="4"/>
      <c r="C32" s="4"/>
      <c r="D32" s="4"/>
      <c r="E32" s="4"/>
      <c r="F32" s="4"/>
    </row>
    <row r="33" ht="15" hidden="0" outlineLevel="0" collapsed="0">
      <c r="A33" s="4"/>
      <c r="B33" s="4"/>
      <c r="C33" s="4"/>
      <c r="D33" s="4"/>
      <c r="E33" s="4"/>
      <c r="F33" s="4"/>
    </row>
    <row r="34" ht="15" hidden="0" outlineLevel="0" collapsed="0">
      <c r="A34" s="4"/>
      <c r="B34" s="4"/>
      <c r="C34" s="4"/>
      <c r="D34" s="4"/>
      <c r="E34" s="4"/>
      <c r="F34" s="4"/>
    </row>
    <row r="35" ht="15" hidden="0" outlineLevel="0" collapsed="0">
      <c r="A35" s="4"/>
      <c r="B35" s="4"/>
      <c r="C35" s="4"/>
      <c r="D35" s="4"/>
      <c r="E35" s="4"/>
      <c r="F35" s="4"/>
    </row>
    <row r="36" ht="15" hidden="0" outlineLevel="0" collapsed="0">
      <c r="A36" s="4"/>
      <c r="B36" s="4"/>
      <c r="C36" s="4"/>
      <c r="D36" s="4"/>
      <c r="E36" s="4"/>
      <c r="F36" s="4"/>
    </row>
    <row r="37" ht="15" hidden="0" outlineLevel="0" collapsed="0">
      <c r="A37" s="4"/>
      <c r="B37" s="4"/>
      <c r="C37" s="4"/>
      <c r="D37" s="4"/>
      <c r="E37" s="4"/>
      <c r="F37" s="4"/>
    </row>
    <row r="38" ht="15" hidden="0" outlineLevel="0" collapsed="0">
      <c r="A38" s="4"/>
      <c r="B38" s="4"/>
      <c r="C38" s="4"/>
      <c r="D38" s="4"/>
      <c r="E38" s="4"/>
      <c r="F38" s="4"/>
    </row>
    <row r="39" ht="15" hidden="0" outlineLevel="0" collapsed="0">
      <c r="A39" s="4"/>
      <c r="B39" s="4"/>
      <c r="C39" s="4"/>
      <c r="D39" s="4"/>
      <c r="E39" s="4"/>
      <c r="F39" s="4"/>
    </row>
    <row r="40" ht="15" hidden="0" outlineLevel="0" collapsed="0">
      <c r="A40" s="4"/>
      <c r="B40" s="4"/>
      <c r="C40" s="4"/>
      <c r="D40" s="4"/>
      <c r="E40" s="4"/>
      <c r="F40" s="4"/>
    </row>
    <row r="41" ht="15" hidden="0" outlineLevel="0" collapsed="0">
      <c r="A41" s="4"/>
      <c r="B41" s="4"/>
      <c r="C41" s="4"/>
      <c r="D41" s="4"/>
      <c r="E41" s="4"/>
      <c r="F41" s="4"/>
    </row>
    <row r="42" ht="15" hidden="0" outlineLevel="0" collapsed="0">
      <c r="A42" s="4"/>
      <c r="B42" s="4"/>
      <c r="C42" s="4"/>
      <c r="D42" s="4"/>
      <c r="E42" s="4"/>
      <c r="F42" s="4"/>
    </row>
    <row r="43" ht="15" hidden="0" outlineLevel="0" collapsed="0">
      <c r="A43" s="4"/>
      <c r="B43" s="4"/>
      <c r="C43" s="4"/>
      <c r="D43" s="4"/>
      <c r="E43" s="4"/>
      <c r="F43" s="4"/>
    </row>
    <row r="44" ht="15" hidden="0" outlineLevel="0" collapsed="0">
      <c r="A44" s="4"/>
      <c r="B44" s="4"/>
      <c r="C44" s="4"/>
      <c r="D44" s="4"/>
      <c r="E44" s="4"/>
      <c r="F44" s="4"/>
    </row>
    <row r="45" ht="15" hidden="0" outlineLevel="0" collapsed="0">
      <c r="A45" s="4"/>
      <c r="B45" s="4"/>
      <c r="C45" s="4"/>
      <c r="D45" s="4"/>
      <c r="E45" s="4"/>
      <c r="F45" s="4"/>
    </row>
    <row r="46" ht="15" hidden="0" outlineLevel="0" collapsed="0">
      <c r="A46" s="4"/>
      <c r="B46" s="4"/>
      <c r="C46" s="4"/>
      <c r="D46" s="4"/>
      <c r="E46" s="4"/>
      <c r="F46" s="4"/>
    </row>
    <row r="47" ht="15" hidden="0" outlineLevel="0" collapsed="0">
      <c r="A47" s="4"/>
      <c r="B47" s="4"/>
      <c r="C47" s="4"/>
      <c r="D47" s="4"/>
      <c r="E47" s="4"/>
      <c r="F47" s="4"/>
    </row>
    <row r="48" ht="15" hidden="0" outlineLevel="0" collapsed="0">
      <c r="A48" s="4"/>
      <c r="B48" s="4"/>
      <c r="C48" s="4"/>
      <c r="D48" s="4"/>
      <c r="E48" s="4"/>
      <c r="F48" s="4"/>
    </row>
    <row r="49" ht="15" hidden="0" outlineLevel="0" collapsed="0">
      <c r="A49" s="4"/>
      <c r="B49" s="4"/>
      <c r="C49" s="4"/>
      <c r="D49" s="4"/>
      <c r="E49" s="4"/>
      <c r="F49" s="4"/>
    </row>
    <row r="50" ht="15" hidden="0" outlineLevel="0" collapsed="0">
      <c r="A50" s="4"/>
      <c r="B50" s="4"/>
      <c r="C50" s="4"/>
      <c r="D50" s="4"/>
      <c r="E50" s="4"/>
      <c r="F50" s="4"/>
    </row>
    <row r="51" ht="15" hidden="0" outlineLevel="0" collapsed="0">
      <c r="A51" s="4"/>
      <c r="B51" s="4"/>
      <c r="C51" s="4"/>
      <c r="D51" s="4"/>
      <c r="E51" s="4"/>
      <c r="F51" s="4"/>
    </row>
    <row r="52" ht="15" hidden="0" outlineLevel="0" collapsed="0">
      <c r="A52" s="4"/>
      <c r="B52" s="4"/>
      <c r="C52" s="4"/>
      <c r="D52" s="4"/>
      <c r="E52" s="4"/>
      <c r="F52" s="4"/>
    </row>
    <row r="53" ht="15" hidden="0" outlineLevel="0" collapsed="0">
      <c r="A53" s="4"/>
      <c r="B53" s="4"/>
      <c r="C53" s="4"/>
      <c r="D53" s="4"/>
      <c r="E53" s="4"/>
      <c r="F53" s="4"/>
    </row>
    <row r="54" ht="15" hidden="0" outlineLevel="0" collapsed="0">
      <c r="A54" s="4"/>
      <c r="B54" s="4"/>
      <c r="C54" s="4"/>
      <c r="D54" s="4"/>
      <c r="E54" s="4"/>
      <c r="F54" s="4"/>
    </row>
    <row r="55" ht="15" hidden="0" outlineLevel="0" collapsed="0">
      <c r="A55" s="4"/>
      <c r="B55" s="4"/>
      <c r="C55" s="4"/>
      <c r="D55" s="4"/>
      <c r="E55" s="4"/>
      <c r="F55" s="4"/>
    </row>
    <row r="56" ht="15" hidden="0" outlineLevel="0" collapsed="0">
      <c r="A56" s="4"/>
      <c r="B56" s="4"/>
      <c r="C56" s="4"/>
      <c r="D56" s="4"/>
      <c r="E56" s="4"/>
      <c r="F56" s="4"/>
    </row>
    <row r="57" ht="15" hidden="0" outlineLevel="0" collapsed="0">
      <c r="A57" s="4"/>
      <c r="B57" s="4"/>
      <c r="C57" s="4"/>
      <c r="D57" s="4"/>
      <c r="E57" s="4"/>
      <c r="F57" s="4"/>
    </row>
    <row r="58" ht="15" hidden="0" outlineLevel="0" collapsed="0">
      <c r="A58" s="4"/>
      <c r="B58" s="4"/>
      <c r="C58" s="4"/>
      <c r="D58" s="4"/>
      <c r="E58" s="4"/>
      <c r="F58" s="4"/>
    </row>
    <row r="59" ht="15" hidden="0" outlineLevel="0" collapsed="0">
      <c r="A59" s="4"/>
      <c r="B59" s="4"/>
      <c r="C59" s="4"/>
      <c r="D59" s="4"/>
      <c r="E59" s="4"/>
      <c r="F59" s="4"/>
    </row>
    <row r="60" ht="15" hidden="0" outlineLevel="0" collapsed="0">
      <c r="A60" s="4"/>
      <c r="B60" s="4"/>
      <c r="C60" s="4"/>
      <c r="D60" s="4"/>
      <c r="E60" s="4"/>
      <c r="F60" s="4"/>
    </row>
    <row r="61" ht="15" hidden="0" outlineLevel="0" collapsed="0">
      <c r="A61" s="4"/>
      <c r="B61" s="4"/>
      <c r="C61" s="4"/>
      <c r="D61" s="4"/>
      <c r="E61" s="4"/>
      <c r="F61" s="4"/>
    </row>
    <row r="62" ht="15" hidden="0" outlineLevel="0" collapsed="0">
      <c r="A62" s="4"/>
      <c r="B62" s="4"/>
      <c r="C62" s="4"/>
      <c r="D62" s="4"/>
      <c r="E62" s="4"/>
      <c r="F62" s="4"/>
    </row>
    <row r="63" ht="15" hidden="0" outlineLevel="0" collapsed="0">
      <c r="A63" s="4"/>
      <c r="B63" s="4"/>
      <c r="C63" s="4"/>
      <c r="D63" s="4"/>
      <c r="E63" s="4"/>
      <c r="F63" s="4"/>
    </row>
    <row r="64" ht="15" hidden="0" outlineLevel="0" collapsed="0">
      <c r="A64" s="4"/>
      <c r="B64" s="4"/>
      <c r="C64" s="4"/>
      <c r="D64" s="4"/>
      <c r="E64" s="4"/>
      <c r="F64" s="4"/>
    </row>
    <row r="65" ht="15" hidden="0" outlineLevel="0" collapsed="0">
      <c r="A65" s="4"/>
      <c r="B65" s="4"/>
      <c r="C65" s="4"/>
      <c r="D65" s="4"/>
      <c r="E65" s="4"/>
      <c r="F65" s="4"/>
    </row>
    <row r="66" ht="15" hidden="0" outlineLevel="0" collapsed="0">
      <c r="A66" s="4"/>
      <c r="B66" s="4"/>
      <c r="C66" s="4"/>
      <c r="D66" s="4"/>
      <c r="E66" s="4"/>
      <c r="F66" s="4"/>
    </row>
    <row r="67" ht="15" hidden="0" outlineLevel="0" collapsed="0">
      <c r="A67" s="4"/>
      <c r="B67" s="4"/>
      <c r="C67" s="4"/>
      <c r="D67" s="4"/>
      <c r="E67" s="4"/>
      <c r="F67" s="4"/>
    </row>
    <row r="68" ht="15" hidden="0" outlineLevel="0" collapsed="0">
      <c r="A68" s="4"/>
      <c r="B68" s="4"/>
      <c r="C68" s="4"/>
      <c r="D68" s="4"/>
      <c r="E68" s="4"/>
      <c r="F68" s="4"/>
    </row>
    <row r="69" ht="15" hidden="0" outlineLevel="0" collapsed="0">
      <c r="A69" s="4"/>
      <c r="B69" s="4"/>
      <c r="C69" s="4"/>
      <c r="D69" s="4"/>
      <c r="E69" s="4"/>
      <c r="F69" s="4"/>
    </row>
    <row r="70" ht="15" hidden="0" outlineLevel="0" collapsed="0">
      <c r="A70" s="4"/>
      <c r="B70" s="4"/>
      <c r="C70" s="4"/>
      <c r="D70" s="4"/>
      <c r="E70" s="4"/>
      <c r="F70" s="4"/>
    </row>
    <row r="71" ht="15" hidden="0" outlineLevel="0" collapsed="0">
      <c r="A71" s="4"/>
      <c r="B71" s="4"/>
      <c r="C71" s="4"/>
      <c r="D71" s="4"/>
      <c r="E71" s="4"/>
      <c r="F71" s="4"/>
    </row>
    <row r="72" ht="15" hidden="0" outlineLevel="0" collapsed="0">
      <c r="A72" s="4"/>
      <c r="B72" s="4"/>
      <c r="C72" s="4"/>
      <c r="D72" s="4"/>
      <c r="E72" s="4"/>
      <c r="F72" s="4"/>
    </row>
    <row r="73" ht="15" hidden="0" outlineLevel="0" collapsed="0">
      <c r="A73" s="4"/>
      <c r="B73" s="4"/>
      <c r="C73" s="4"/>
      <c r="D73" s="4"/>
      <c r="E73" s="4"/>
      <c r="F73" s="4"/>
    </row>
    <row r="74" ht="15" hidden="0" outlineLevel="0" collapsed="0">
      <c r="A74" s="4"/>
      <c r="B74" s="4"/>
      <c r="C74" s="4"/>
      <c r="D74" s="4"/>
      <c r="E74" s="4"/>
      <c r="F74" s="4"/>
    </row>
    <row r="75" ht="15" hidden="0" outlineLevel="0" collapsed="0">
      <c r="A75" s="4"/>
      <c r="B75" s="4"/>
      <c r="C75" s="4"/>
      <c r="D75" s="4"/>
      <c r="E75" s="4"/>
      <c r="F75" s="4"/>
    </row>
    <row r="76" ht="15" hidden="0" outlineLevel="0" collapsed="0">
      <c r="A76" s="4"/>
      <c r="B76" s="4"/>
      <c r="C76" s="4"/>
      <c r="D76" s="4"/>
      <c r="E76" s="4"/>
      <c r="F76" s="4"/>
    </row>
    <row r="77" ht="15" hidden="0" outlineLevel="0" collapsed="0">
      <c r="A77" s="4"/>
      <c r="B77" s="4"/>
      <c r="C77" s="4"/>
      <c r="D77" s="4"/>
      <c r="E77" s="4"/>
      <c r="F77" s="4"/>
    </row>
    <row r="78" ht="15" hidden="0" outlineLevel="0" collapsed="0">
      <c r="A78" s="4"/>
      <c r="B78" s="4"/>
      <c r="C78" s="4"/>
      <c r="D78" s="4"/>
      <c r="E78" s="4"/>
      <c r="F78" s="4"/>
    </row>
    <row r="79" ht="15" hidden="0" outlineLevel="0" collapsed="0">
      <c r="A79" s="4"/>
      <c r="B79" s="4"/>
      <c r="C79" s="4"/>
      <c r="D79" s="4"/>
      <c r="E79" s="4"/>
      <c r="F79" s="4"/>
    </row>
    <row r="80" ht="15" hidden="0" outlineLevel="0" collapsed="0">
      <c r="A80" s="4"/>
      <c r="B80" s="4"/>
      <c r="C80" s="4"/>
      <c r="D80" s="4"/>
      <c r="E80" s="4"/>
      <c r="F80" s="4"/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61" t="s">
        <v>329</v>
      </c>
      <c r="B1" s="61" t="s">
        <v>310</v>
      </c>
      <c r="C1" s="61" t="s">
        <v>330</v>
      </c>
      <c r="D1" s="61" t="s">
        <v>331</v>
      </c>
      <c r="E1" s="61" t="s">
        <v>332</v>
      </c>
      <c r="F1" s="61" t="s">
        <v>333</v>
      </c>
    </row>
    <row r="2">
      <c r="A2" s="62">
        <v>1</v>
      </c>
      <c r="B2" s="63">
        <v>46324.35932391204</v>
      </c>
      <c r="C2" s="62" t="s">
        <v>334</v>
      </c>
      <c r="D2" s="62" t="s">
        <v>335</v>
      </c>
      <c r="E2" s="62" t="s">
        <v>336</v>
      </c>
      <c r="F2" s="62" t="s">
        <v>337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