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00_Cover" sheetId="1" r:id="rId1"/>
    <sheet name="IS_Hist" sheetId="2" r:id="rId2"/>
    <sheet name="CI_Hist" sheetId="3" r:id="rId3"/>
    <sheet name="BS_Hist" sheetId="4" r:id="rId4"/>
    <sheet name="CF_Hist" sheetId="5" r:id="rId5"/>
    <sheet name="SCE_Hist" sheetId="6" r:id="rId6"/>
    <sheet name="Quarterly_Hist" sheetId="7" r:id="rId7"/>
    <sheet name="Revenue_Hist" sheetId="8" r:id="rId8"/>
    <sheet name="Backlog" sheetId="9" r:id="rId9"/>
    <sheet name="Cap_Table" sheetId="10" r:id="rId10"/>
    <sheet name="Assumptions" sheetId="11" r:id="rId11"/>
    <sheet name="Interim_Bridge" sheetId="12" r:id="rId12"/>
    <sheet name="Schedules" sheetId="13" r:id="rId13"/>
    <sheet name="Forecast_3Stmt" sheetId="14" r:id="rId14"/>
    <sheet name="Debt_Credit" sheetId="15" r:id="rId15"/>
    <sheet name="Market_Package" sheetId="16" r:id="rId16"/>
    <sheet name="Comparables" sheetId="17" r:id="rId17"/>
    <sheet name="DCF" sheetId="18" r:id="rId18"/>
    <sheet name="Valuation" sheetId="19" r:id="rId19"/>
    <sheet name="Sensitivity" sheetId="20" r:id="rId20"/>
    <sheet name="Scenario_Summary" sheetId="21" r:id="rId21"/>
    <sheet name="Limitations" sheetId="22" r:id="rId22"/>
    <sheet name="Checks" sheetId="23" r:id="rId23"/>
    <sheet name="FormatRules" sheetId="24" r:id="rId24"/>
    <sheet name="Claude Code Log" sheetId="25" r:id="rId25"/>
  </sheets>
  <calcPr calcId="0"/>
</workbook>
</file>

<file path=xl/sharedStrings.xml><?xml version="1.0" encoding="utf-8"?>
<sst xmlns="http://schemas.openxmlformats.org/spreadsheetml/2006/main" count="2631" uniqueCount="1374">
  <si>
    <t>Cerebras Systems Inc. (Nasdaq: CBRS) | Financial model: statements as filed, backlog-driven forecast 2026E-2035E, valuation and credit</t>
  </si>
  <si>
    <t>Built 27 Oct 2026 from the final prospectus (424B4, 13 May 2026) and the Q1 and Q2 2026 Forms 10-Q (latest statements: 30 Jun 2026).</t>
  </si>
  <si>
    <t>What this workbook holds</t>
  </si>
  <si>
    <t>Every line of the statements: FY2024 and FY2025 (audited, 424B4), six months to 30 June 2025 and 2026 (Q2 10-Q), ten quarters to Q2 2026 (a column waits for Q3 2026).</t>
  </si>
  <si>
    <t>Revenue by type, timing and region, customers, costs by function, the backlog and its conversion, the cap table with every class and warrant.</t>
  </si>
  <si>
    <t>Forecast H2 2026E and 2027E-2035E by revenue type (hardware, contracted backlog, renewals, option, other cloud, pass-through); Base, Bull and Bear (switch: Assumptions!C5).</t>
  </si>
  <si>
    <t>Three statements that balance every year; loan, lease and credit schedule; DCF; value per share against the price of US$119.31 (27 Oct 2026).</t>
  </si>
  <si>
    <t>How to read it</t>
  </si>
  <si>
    <t>Units: USD millions (filed thousands / 1,000), except per-share amounts (USD) and share counts (stated on each sheet).</t>
  </si>
  <si>
    <t>Signs follow the filing. A '—' is the filing's dash and a '*' the filing's 'below 10%': kept as text, read as nil by the model.</t>
  </si>
  <si>
    <t>Blue numbers are typed from a filing or are inputs. Black numbers are formulas. Green numbers link to another sheet.</t>
  </si>
  <si>
    <t>Column M on the year sheets is for your comments. Column N shows the source or the derivation.</t>
  </si>
  <si>
    <t>The thin vertical line separates actual and forecast columns.</t>
  </si>
  <si>
    <t>Master check (all checks on the Checks sheet)</t>
  </si>
  <si>
    <t>Key outputs (active scenario unless stated)</t>
  </si>
  <si>
    <t>Value</t>
  </si>
  <si>
    <t>Active scenario</t>
  </si>
  <si>
    <t>Share price, 27 Oct 2026 (USD)</t>
  </si>
  <si>
    <t>DCF value per share, perpetuity (USD)</t>
  </si>
  <si>
    <t>Against the price</t>
  </si>
  <si>
    <t>Base value per share (captured, USD)</t>
  </si>
  <si>
    <t>Bull value per share (captured, USD)</t>
  </si>
  <si>
    <t>Bear value per share (captured, USD)</t>
  </si>
  <si>
    <t>Comparables value per share, trailing EV / LTM revenue median (USD)</t>
  </si>
  <si>
    <t>Probability-weighted DCF value, Bear 25% / Base 50% / Bull 25% (USD)</t>
  </si>
  <si>
    <t>Revenue 2026E (USD m)</t>
  </si>
  <si>
    <t>Revenue 2030E (USD m)</t>
  </si>
  <si>
    <t>Backlog at 30 Jun 2026 (USD m)</t>
  </si>
  <si>
    <t>Diluted shares (millions)</t>
  </si>
  <si>
    <t>Sheet</t>
  </si>
  <si>
    <t>What it shows</t>
  </si>
  <si>
    <t>IS_Hist</t>
  </si>
  <si>
    <t>Statements of operations as filed, with tie-out checks</t>
  </si>
  <si>
    <t>CI_Hist</t>
  </si>
  <si>
    <t>Statements of comprehensive income (loss) as filed</t>
  </si>
  <si>
    <t>BS_Hist</t>
  </si>
  <si>
    <t>Balance sheets as filed (31 Dec 2024 and 2025, the 10-Q recast of 31 Dec 2025, 31 Mar 2026, 30 Jun 2026)</t>
  </si>
  <si>
    <t>CF_Hist</t>
  </si>
  <si>
    <t>Statements of cash flows as filed</t>
  </si>
  <si>
    <t>SCE_Hist</t>
  </si>
  <si>
    <t>Statements of preferred stock and stockholders' equity as filed</t>
  </si>
  <si>
    <t>Quarterly_Hist</t>
  </si>
  <si>
    <t>Ten quarters to Q2 2026, stock pay, the IPO catch-up; Q3 2026 column waiting</t>
  </si>
  <si>
    <t>Revenue_Hist</t>
  </si>
  <si>
    <t>Revenue by timing and region, customers, depreciation and stock pay by function, costs before them, other income, OpenAI facts</t>
  </si>
  <si>
    <t>Backlog</t>
  </si>
  <si>
    <t>Backlog at 30 Jun 2026 and its conversion by the filed windows; renewals; OpenAI option; warrant amortization</t>
  </si>
  <si>
    <t>Cap_Table</t>
  </si>
  <si>
    <t>Shares by class, options, RSUs, PRSUs, OpenAI and AWS warrants; diluted count; stock pay of awards in the count</t>
  </si>
  <si>
    <t>Assumptions</t>
  </si>
  <si>
    <t>Every forecast input: Base, Bull, Bear and the switch (C5)</t>
  </si>
  <si>
    <t>Interim_Bridge</t>
  </si>
  <si>
    <t>2026E = six months actual + second-half estimate</t>
  </si>
  <si>
    <t>Schedules</t>
  </si>
  <si>
    <t>Capex and depreciation, the OpenAI loan, taxes, working capital, stock pay split, unlevered free cash flow</t>
  </si>
  <si>
    <t>Forecast_3Stmt</t>
  </si>
  <si>
    <t>Integrated income statement, balance sheet and cash flow, 2025A and 2026E-2035E</t>
  </si>
  <si>
    <t>Debt_Credit</t>
  </si>
  <si>
    <t>Liquidity, debt, leases (both Q3 lease amounts), commitments, credit metrics</t>
  </si>
  <si>
    <t>Market_Package</t>
  </si>
  <si>
    <t>Price, diluted value, enterprise value, cost of capital (relevered peer beta)</t>
  </si>
  <si>
    <t>Comparables</t>
  </si>
  <si>
    <t>AI chip and compute peers: trailing EV / revenue and EV / EBITDA, unlevered betas; implied value per share</t>
  </si>
  <si>
    <t>DCF</t>
  </si>
  <si>
    <t>Unlevered free cash flow, perpetuity and exit-multiple values, roll to the valuation date</t>
  </si>
  <si>
    <t>Valuation</t>
  </si>
  <si>
    <t>DCF by scenario, implied multiples, reverse DCF, football field, weighted value</t>
  </si>
  <si>
    <t>Sensitivity</t>
  </si>
  <si>
    <t>WACC x growth (live); other cloud growth x cloud margin (captured)</t>
  </si>
  <si>
    <t>Scenario_Summary</t>
  </si>
  <si>
    <t>Key outputs for Base, Bull and Bear, with order checks</t>
  </si>
  <si>
    <t>Limitations</t>
  </si>
  <si>
    <t>What the model cannot tell you</t>
  </si>
  <si>
    <t>Checks</t>
  </si>
  <si>
    <t>All checks and the master check</t>
  </si>
  <si>
    <t>FormatRules</t>
  </si>
  <si>
    <t>Colours and styles: the OpenFinmods palette and the number colour code</t>
  </si>
  <si>
    <t>Claude Code Log</t>
  </si>
  <si>
    <t>Log of every scripted write</t>
  </si>
  <si>
    <t>Cerebras Systems Inc. (Nasdaq: CBRS) | Consolidated statements of operations, as filed</t>
  </si>
  <si>
    <t>USD millions (filed in thousands / 1,000), except per-share amounts (USD) and share counts (thousands). FY2024-FY2025 audited (424B4 p. F-5); six-month periods unaudited (Q2 10-Q p. 7). A '—' is the filing's dash.</t>
  </si>
  <si>
    <t>Fiscal year ends 31 December</t>
  </si>
  <si>
    <t>FY2024A</t>
  </si>
  <si>
    <t>FY2025A</t>
  </si>
  <si>
    <t>6M 2025A</t>
  </si>
  <si>
    <t>6M 2026A</t>
  </si>
  <si>
    <t>Comentarios FG</t>
  </si>
  <si>
    <t>Source / derivation</t>
  </si>
  <si>
    <t>Revenue</t>
  </si>
  <si>
    <t>Hardware</t>
  </si>
  <si>
    <t>424B4 p. F-5 (FY); Q2 10-Q p. 7 (6M)</t>
  </si>
  <si>
    <t>Cloud and other services</t>
  </si>
  <si>
    <t>Total revenue</t>
  </si>
  <si>
    <t>Cost of revenue</t>
  </si>
  <si>
    <t>Total cost of revenue</t>
  </si>
  <si>
    <t>Gross profit</t>
  </si>
  <si>
    <t>Operating expenses</t>
  </si>
  <si>
    <t>Research and development</t>
  </si>
  <si>
    <t>Sales and marketing</t>
  </si>
  <si>
    <t>General and administrative</t>
  </si>
  <si>
    <t>Total operating expenses</t>
  </si>
  <si>
    <t>Loss from operations</t>
  </si>
  <si>
    <t>Other income (expense), net</t>
  </si>
  <si>
    <t>Income (loss) before income taxes</t>
  </si>
  <si>
    <t>Income tax expense</t>
  </si>
  <si>
    <t>Net income (loss)</t>
  </si>
  <si>
    <t>Less: net income attributable to participating securities</t>
  </si>
  <si>
    <t>—</t>
  </si>
  <si>
    <t>424B4 p. F-5 (FY); Q2 10-Q p. 7 (6M); caption not in the filing for 6M 2025A, 6M 2026A (blank)</t>
  </si>
  <si>
    <t>Less: deemed dividend on issuance of Series F-1 preferred stock</t>
  </si>
  <si>
    <t>Net income (loss) attributable to common shareholders: basic</t>
  </si>
  <si>
    <t>Net income (loss) attributable to common shareholders: diluted</t>
  </si>
  <si>
    <t>424B4 p. F-5 (FY); Q2 10-Q p. 7 (6M); caption not in the filing for FY2024A, FY2025A (blank)</t>
  </si>
  <si>
    <t>Net income (loss) per share attributable to common shareholders: basic (USD)</t>
  </si>
  <si>
    <t>Net income (loss) per share attributable to common shareholders: diluted (USD)</t>
  </si>
  <si>
    <t>Weighted average shares: basic (thousands)</t>
  </si>
  <si>
    <t>Weighted average shares: diluted (thousands)</t>
  </si>
  <si>
    <t>Checks: recomputed less filed (zero passes)</t>
  </si>
  <si>
    <t>Net income attributable to common shareholders, FY</t>
  </si>
  <si>
    <t>Basic earnings per share (rounded to cents)</t>
  </si>
  <si>
    <t>Cerebras Systems Inc. (Nasdaq: CBRS) | Consolidated statements of comprehensive income (loss), as filed</t>
  </si>
  <si>
    <t>USD millions (filed in thousands / 1,000). 424B4 p. F-6 (FY); Q2 10-Q p. 8 (6M).</t>
  </si>
  <si>
    <t>424B4 p. F-6 (FY); Q2 10-Q p. 8 (6M)</t>
  </si>
  <si>
    <t>Change in foreign currency translation adjustments, net of tax</t>
  </si>
  <si>
    <t>Available-for-sale investments:</t>
  </si>
  <si>
    <t>Change in net unrealized gain (loss) on debt securities, net of tax</t>
  </si>
  <si>
    <t>Comprehensive income (loss)</t>
  </si>
  <si>
    <t>Checks (zero passes)</t>
  </si>
  <si>
    <t>Net income equals the statement of operations</t>
  </si>
  <si>
    <t>Cerebras Systems Inc. (Nasdaq: CBRS) | Consolidated balance sheets, as filed</t>
  </si>
  <si>
    <t>USD millions (filed in thousands / 1,000). 31 Dec audited (424B4 p. F-4). The Q2 10-Q recasts 31 Dec 2025 (column D): customer warrants, lease and deferred revenue lines split out; totals unchanged. 31 Mar 2026 Q1 10-Q p. 5; 30 Jun 2026 Q2 10-Q p. 6.</t>
  </si>
  <si>
    <t>Dec 2024A</t>
  </si>
  <si>
    <t>Dec 2025A</t>
  </si>
  <si>
    <t>Dec 2025A recast</t>
  </si>
  <si>
    <t>Mar 2026A</t>
  </si>
  <si>
    <t>Jun 2026A</t>
  </si>
  <si>
    <t>Current assets:</t>
  </si>
  <si>
    <t>Cash and cash equivalents</t>
  </si>
  <si>
    <t>B-C 424B4 p. F-4; D and F Q2 10-Q p. 6; E Q1 10-Q p. 5</t>
  </si>
  <si>
    <t>Restricted cash</t>
  </si>
  <si>
    <t>Investments</t>
  </si>
  <si>
    <t>Accounts receivable, net</t>
  </si>
  <si>
    <t>Inventories</t>
  </si>
  <si>
    <t>Customer warrants</t>
  </si>
  <si>
    <t>B-C 424B4 p. F-4; D and F Q2 10-Q p. 6; E Q1 10-Q p. 5; caption not in the filing for Dec 2024A, Dec 2025A (blank)</t>
  </si>
  <si>
    <t>Prepaid expenses and other current assets</t>
  </si>
  <si>
    <t>Total current assets</t>
  </si>
  <si>
    <t>Property and equipment, net</t>
  </si>
  <si>
    <t>Customer warrants, net of current portion</t>
  </si>
  <si>
    <t>Operating lease right-of-use assets</t>
  </si>
  <si>
    <t>Other non-current assets</t>
  </si>
  <si>
    <t>Total assets</t>
  </si>
  <si>
    <t>Current liabilities:</t>
  </si>
  <si>
    <t>Accounts payable</t>
  </si>
  <si>
    <t>Deferred revenue, current</t>
  </si>
  <si>
    <t>Operating lease liability, current</t>
  </si>
  <si>
    <t>Customer deposits</t>
  </si>
  <si>
    <t>Forward contract liability</t>
  </si>
  <si>
    <t>B-C 424B4 p. F-4; D and F Q2 10-Q p. 6; E Q1 10-Q p. 5; caption not in the filing for Dec 2025A recast, Mar 2026A, Jun 2026A (blank)</t>
  </si>
  <si>
    <t>Working capital loan</t>
  </si>
  <si>
    <t>Accrued and other current liabilities</t>
  </si>
  <si>
    <t>Total current liabilities</t>
  </si>
  <si>
    <t>Deferred revenue, net of current portion</t>
  </si>
  <si>
    <t>Operating lease liability, net of current portion</t>
  </si>
  <si>
    <t>Working capital loan, net of current portion</t>
  </si>
  <si>
    <t>Other non-current liabilities</t>
  </si>
  <si>
    <t>Total liabilities</t>
  </si>
  <si>
    <t>Redeemable convertible preferred stock</t>
  </si>
  <si>
    <t>Stockholders' equity (deficit)</t>
  </si>
  <si>
    <t>Class A common stock</t>
  </si>
  <si>
    <t>Class B common stock</t>
  </si>
  <si>
    <t>B-C 424B4 p. F-4; D and F Q2 10-Q p. 6; E Q1 10-Q p. 5; caption not in the filing for Dec 2024A, Dec 2025A, Dec 2025A recast, Mar 2026A (blank)</t>
  </si>
  <si>
    <t>Class N common stock</t>
  </si>
  <si>
    <t>Treasury stock, at cost</t>
  </si>
  <si>
    <t>Additional paid-in capital</t>
  </si>
  <si>
    <t>Accumulated other comprehensive income</t>
  </si>
  <si>
    <t>Accumulated deficit</t>
  </si>
  <si>
    <t>Total stockholders' equity (deficit)</t>
  </si>
  <si>
    <t>Total liabilities, redeemable convertible preferred stock, and stockholders' equity (deficit)</t>
  </si>
  <si>
    <t>Memo: items used by the model</t>
  </si>
  <si>
    <t>Cash, cash equivalents and restricted cash</t>
  </si>
  <si>
    <t>Ties to the cash flow statement.</t>
  </si>
  <si>
    <t>Cash, cash equivalents and investments (excluding restricted cash)</t>
  </si>
  <si>
    <t>Customer warrants, current and non-current</t>
  </si>
  <si>
    <t>Equity-classified warrants given to OpenAI, G42 and AWS; booked as a reduction of revenue through October 2031 (Q2 10-Q p. 25).</t>
  </si>
  <si>
    <t>Deferred revenue, current and non-current</t>
  </si>
  <si>
    <t>Operating lease liabilities, current and non-current</t>
  </si>
  <si>
    <t>424B4 columns: the current part sits inside accrued liabilities (not split).</t>
  </si>
  <si>
    <t>Working Capital Loan (OpenAI), current and non-current</t>
  </si>
  <si>
    <t>Liabilities, preferred stock and equity</t>
  </si>
  <si>
    <t>Balance: total assets less the other side</t>
  </si>
  <si>
    <t>Recast 31 Dec 2025 totals equal the 424B4</t>
  </si>
  <si>
    <t>Cerebras Systems Inc. (Nasdaq: CBRS) | Consolidated statements of cash flows, as filed</t>
  </si>
  <si>
    <t>USD millions (filed in thousands / 1,000). 424B4 p. F-8 (FY, audited); Q2 10-Q p. 11 (6M, unaudited). Cash includes restricted cash.</t>
  </si>
  <si>
    <t>Cash flows from operating activities:</t>
  </si>
  <si>
    <t>424B4 p. F-8 (FY); Q2 10-Q p. 11 (6M)</t>
  </si>
  <si>
    <t>Depreciation and amortization</t>
  </si>
  <si>
    <t>Stock-based compensation</t>
  </si>
  <si>
    <t>Amortization of customer warrants</t>
  </si>
  <si>
    <t>424B4 p. F-8 (FY); Q2 10-Q p. 11 (6M); caption not in the filing for FY2024A, FY2025A (blank)</t>
  </si>
  <si>
    <t>Non-cash lease expense</t>
  </si>
  <si>
    <t>Non-cash interest expense</t>
  </si>
  <si>
    <t>Provision for product warranties</t>
  </si>
  <si>
    <t>Change in fair value (extinguishment) of forward contract liability</t>
  </si>
  <si>
    <t>Other</t>
  </si>
  <si>
    <t>Changes in operating assets and liabilities:</t>
  </si>
  <si>
    <t>Accounts receivable</t>
  </si>
  <si>
    <t>Prepaid expenses and other assets</t>
  </si>
  <si>
    <t>Deferred revenue</t>
  </si>
  <si>
    <t>Other liabilities</t>
  </si>
  <si>
    <t>Net cash flows provided by (used in) operating activities</t>
  </si>
  <si>
    <t>Cash flows from investing activities:</t>
  </si>
  <si>
    <t>Purchases of property and equipment</t>
  </si>
  <si>
    <t>Purchases of investments</t>
  </si>
  <si>
    <t>Maturities and sales of investments</t>
  </si>
  <si>
    <t>Net cash flows used in investing activities</t>
  </si>
  <si>
    <t>Cash flows from financing activities:</t>
  </si>
  <si>
    <t>Proceeds from initial public offering, net of underwriting discounts and commissions</t>
  </si>
  <si>
    <t>Proceeds from sale of shares of redeemable convertible preferred stock (2026: Series H)</t>
  </si>
  <si>
    <t>Costs incurred in connection with the sale of preferred stock</t>
  </si>
  <si>
    <t>Proceeds from Working Capital Loan</t>
  </si>
  <si>
    <t>Proceeds from exercise of stock options</t>
  </si>
  <si>
    <t>Proceeds from issuance of shares of Class N common stock</t>
  </si>
  <si>
    <t>Fees paid for revolving credit facility</t>
  </si>
  <si>
    <t>Repurchases of early exercised stock options</t>
  </si>
  <si>
    <t>Cancellation and settlement of stock options in connection with the Tender Offer</t>
  </si>
  <si>
    <t>424B4 p. F-8 (FY); Q2 10-Q p. 11 (6M); caption not in the filing for 6M 2025A, 6M 2026A (blank)</t>
  </si>
  <si>
    <t>Repurchase of common stock</t>
  </si>
  <si>
    <t>Tax withheld related to RSU settlement</t>
  </si>
  <si>
    <t>Tax withholding from tender offer and initial public offering</t>
  </si>
  <si>
    <t>Payments of deferred offering costs (2026: and other financing activities)</t>
  </si>
  <si>
    <t>Net cash flows provided by financing activities</t>
  </si>
  <si>
    <t>Effect of exchange rate on cash</t>
  </si>
  <si>
    <t>Increase (decrease) in cash, cash equivalents, and restricted cash</t>
  </si>
  <si>
    <t>Cash, cash equivalents, and restricted cash beginning of period</t>
  </si>
  <si>
    <t>Cash, cash equivalents, and restricted cash end of period</t>
  </si>
  <si>
    <t>Memo: groups used by the model</t>
  </si>
  <si>
    <t>Other non-cash items (lease, warranty, forward contract, other)</t>
  </si>
  <si>
    <t>Changes in operating assets and liabilities</t>
  </si>
  <si>
    <t>Investments bought less matured and sold</t>
  </si>
  <si>
    <t>Net cash from operating activities</t>
  </si>
  <si>
    <t>Net cash used in investing activities</t>
  </si>
  <si>
    <t>Net cash from financing activities</t>
  </si>
  <si>
    <t>Net change in cash</t>
  </si>
  <si>
    <t>Beginning cash plus change less ending cash</t>
  </si>
  <si>
    <t>Ending cash equals balance sheet cash plus restricted cash</t>
  </si>
  <si>
    <t>FY2024 and FY2025 against 31 December; 6M 2026 against 30 June 2026. 6M 2025 has no balance sheet here.</t>
  </si>
  <si>
    <t>Stock pay equals the stock compensation note</t>
  </si>
  <si>
    <t>Cerebras Systems Inc. (Nasdaq: CBRS) | Statements of redeemable convertible preferred stock and stockholders' equity (deficit), as filed</t>
  </si>
  <si>
    <t>Amounts USD millions (filed thousands / 1,000); share counts in thousands as filed. 2024-2025: 424B4 p. F-7; Q1 and Q2 2026: Q2 10-Q p. 10.</t>
  </si>
  <si>
    <t>Line</t>
  </si>
  <si>
    <t>Preferred: shares (k)</t>
  </si>
  <si>
    <t>Preferred: amount</t>
  </si>
  <si>
    <t>Common: shares (k)</t>
  </si>
  <si>
    <t>Common: amount</t>
  </si>
  <si>
    <t>Treasury: shares (k)</t>
  </si>
  <si>
    <t>Treasury: amount</t>
  </si>
  <si>
    <t>Fiscal years 2024 and 2025 (audited)</t>
  </si>
  <si>
    <t>Balance as of December 31, 2023</t>
  </si>
  <si>
    <t>424B4 p. F-7</t>
  </si>
  <si>
    <t>Issuance of shares of Series F-1 redeemable convertible preferred stock, net of issuance costs</t>
  </si>
  <si>
    <t>Settlement of Series F-1 redeemable convertible preferred stock forward contract liability</t>
  </si>
  <si>
    <t>Deemed dividend on issuance of Series F-1 redeemable convertible preferred stock</t>
  </si>
  <si>
    <t>Issuance of shares of Series E redeemable convertible preferred stock upon exercise of warrant</t>
  </si>
  <si>
    <t>Shares issued upon exercise of stock options, net of repurchases of early exercised stock options</t>
  </si>
  <si>
    <t>Vesting of early exercised stock options</t>
  </si>
  <si>
    <t>Stock-based compensation expense</t>
  </si>
  <si>
    <t>Conversion of stock-based liability classified awards to stock-based equity classified awards</t>
  </si>
  <si>
    <t>Foreign currency translation adjustments, net of tax</t>
  </si>
  <si>
    <t>Change in net unrealized loss on debt securities, net of tax</t>
  </si>
  <si>
    <t>Net loss</t>
  </si>
  <si>
    <t>Balance as of December 31, 2024</t>
  </si>
  <si>
    <t>Issuance of shares of Series G redeemable convertible preferred stock, net of issuance costs</t>
  </si>
  <si>
    <t>Customer warrants issued</t>
  </si>
  <si>
    <t>Shares issued upon acceleration of RSUs vesting and exercise of stock options, net of repurchases and withholding taxes</t>
  </si>
  <si>
    <t>Net income</t>
  </si>
  <si>
    <t>Balance as of December 31, 2025</t>
  </si>
  <si>
    <t>Six months ended 30 June 2026 (unaudited)</t>
  </si>
  <si>
    <t>Q2 10-Q p. 10</t>
  </si>
  <si>
    <t>Issuance of shares of Series H redeemable convertible preferred stock, net of issuance costs</t>
  </si>
  <si>
    <t>Issuance of shares of Class N common stock</t>
  </si>
  <si>
    <t>Class A common shares issued upon exercise of stock options</t>
  </si>
  <si>
    <t>Tax withholding from tender offer</t>
  </si>
  <si>
    <t>Other comprehensive income</t>
  </si>
  <si>
    <t>Balance as of March 31, 2026</t>
  </si>
  <si>
    <t>Issuance of common stock in connection with initial public offering, net of underwriting discounts and commissions and offering costs</t>
  </si>
  <si>
    <t>Conversion of redeemable convertible preferred stock in connection with initial public offering</t>
  </si>
  <si>
    <t>Issuance of common stock upon settlement of restricted stock units</t>
  </si>
  <si>
    <t>Tax withholdings on settlement of restricted stock units</t>
  </si>
  <si>
    <t>Balance as of June 30, 2026</t>
  </si>
  <si>
    <t>Total = common + APIC + treasury + AOCI + deficit, 31 Dec 2024</t>
  </si>
  <si>
    <t>Total equals the balance sheet, 31 Dec 2024</t>
  </si>
  <si>
    <t>Preferred amount equals the balance sheet, 31 Dec 2024</t>
  </si>
  <si>
    <t>Total = common + APIC + treasury + AOCI + deficit, 31 Dec 2025</t>
  </si>
  <si>
    <t>Total equals the balance sheet, 31 Dec 2025</t>
  </si>
  <si>
    <t>Preferred amount equals the balance sheet, 31 Dec 2025</t>
  </si>
  <si>
    <t>Total = common + APIC + treasury + AOCI + deficit, 31 Mar 2026</t>
  </si>
  <si>
    <t>Total equals the balance sheet, 31 Mar 2026</t>
  </si>
  <si>
    <t>Preferred amount equals the balance sheet, 31 Mar 2026</t>
  </si>
  <si>
    <t>Total = common + APIC + treasury + AOCI + deficit, 30 Jun 2026</t>
  </si>
  <si>
    <t>Total equals the balance sheet, 30 Jun 2026</t>
  </si>
  <si>
    <t>Preferred amount equals the balance sheet, 30 Jun 2026</t>
  </si>
  <si>
    <t>Opening 2026 balance equals the 2025 closing balance</t>
  </si>
  <si>
    <t>Cerebras Systems Inc. (Nasdaq: CBRS) | Quarterly results, as filed</t>
  </si>
  <si>
    <t>USD millions (filed thousands / 1,000). Unaudited. Q1 2024-Q4 2025: 424B4 p. 104 (operations and stock pay tables). Q1 2025 and Q1 2026: Q1 10-Q p. 6; Q2 2025 and Q2 2026: Q2 10-Q p. 7. Column L waits for the Q3 2026 10-Q (due November 2026).</t>
  </si>
  <si>
    <t>Three months ended</t>
  </si>
  <si>
    <t>Q1 2024A</t>
  </si>
  <si>
    <t>Q2 2024A</t>
  </si>
  <si>
    <t>Q3 2024A</t>
  </si>
  <si>
    <t>Q4 2024A</t>
  </si>
  <si>
    <t>Q1 2025A</t>
  </si>
  <si>
    <t>Q2 2025A</t>
  </si>
  <si>
    <t>Q3 2025A</t>
  </si>
  <si>
    <t>Q4 2025A</t>
  </si>
  <si>
    <t>Q1 2026A</t>
  </si>
  <si>
    <t>Q2 2026A</t>
  </si>
  <si>
    <t>Q3 2026A</t>
  </si>
  <si>
    <t>424B4 p. 104; 2026: Q1 10-Q p. 6, Q2 10-Q p. 7</t>
  </si>
  <si>
    <t>Operating expenses (by function only in the 10-Q quarters; the 424B4 table gives the total)</t>
  </si>
  <si>
    <t>Q1 10-Q p. 6; Q2 10-Q p. 7</t>
  </si>
  <si>
    <t>Other income, net</t>
  </si>
  <si>
    <t>Stock-based compensation and depreciation</t>
  </si>
  <si>
    <t>Stock pay in cost of revenue</t>
  </si>
  <si>
    <t>424B4 p. 104; 2026: Q1 10-Q p. 20, Q2 10-Q p. 26</t>
  </si>
  <si>
    <t>Stock pay in operating expenses</t>
  </si>
  <si>
    <t>2026: total less cost of revenue (the 10-Q gives functions, not this subtotal).</t>
  </si>
  <si>
    <t>Total stock-based compensation</t>
  </si>
  <si>
    <t>Depreciation expense</t>
  </si>
  <si>
    <t>Q1 10-Q p. 17; Q2 10-Q p. 20</t>
  </si>
  <si>
    <t>of which in cost of revenue</t>
  </si>
  <si>
    <t>The IPO stock pay catch-up in Q2 2026 (the 10-Q does not split it)</t>
  </si>
  <si>
    <t>Q2 2026: RSU expense</t>
  </si>
  <si>
    <t>Q2 10-Q p. 26, expense by security type.</t>
  </si>
  <si>
    <t>Q2 2026: PRSU expense (CEO and CTO)</t>
  </si>
  <si>
    <t>Q2 10-Q p. 26-27.</t>
  </si>
  <si>
    <t>Cumulative RSU charge the 424B4 expected at the IPO</t>
  </si>
  <si>
    <t>424B4 p. 100: 'we expect to record a cumulative stock-based compensation expense of $370.9 million' in the quarter to 30 Jun 2026.</t>
  </si>
  <si>
    <t>Q2 2026 stock pay less the 424B4 catch-up estimate (derived)</t>
  </si>
  <si>
    <t>An estimate of the Q2 run rate. The catch-up actually booked is not disclosed; the forecast run rate is a separate input (Assumptions).</t>
  </si>
  <si>
    <t>Cash flow by quarter: Q1 as filed in each 10-Q; Q2 = six months less Q1 (derived)</t>
  </si>
  <si>
    <t>Q1-Q4 2024 and Q3-Q4 2025 cannot be derived: the 424B4 gives annual cash flows only and no 10-Q covers those quarters; only H2 2025 = FY2025 - 6M 2025 (memo).</t>
  </si>
  <si>
    <t>F, J: Q1 10-Q p. 9; G, K: six months (CF_Hist) less Q1</t>
  </si>
  <si>
    <t>Forward contract liability (extinguishment)</t>
  </si>
  <si>
    <t>Effect of exchange rates</t>
  </si>
  <si>
    <t>Net change in cash and restricted cash</t>
  </si>
  <si>
    <t>Cash and restricted cash, end of quarter</t>
  </si>
  <si>
    <t>F, J: Q1 10-Q p. 9; G, K: CF_Hist six-month end</t>
  </si>
  <si>
    <t>Memo: H2 2025 (Q3 + Q4; the split is not filed): operating cash flow</t>
  </si>
  <si>
    <t>FY2025 less 6M 2025</t>
  </si>
  <si>
    <t>Memo: H2 2025 (Q3 + Q4): purchases of property and equipment</t>
  </si>
  <si>
    <t>Ratios (derived)</t>
  </si>
  <si>
    <t>Gross margin</t>
  </si>
  <si>
    <t>The 424B4 table also prints this ratio; here it is computed.</t>
  </si>
  <si>
    <t>Cloud and other services: % of revenue</t>
  </si>
  <si>
    <t>Operating margin</t>
  </si>
  <si>
    <t>Operating margin before stock pay (company's non-GAAP method)</t>
  </si>
  <si>
    <t>Revenue lines add to the total</t>
  </si>
  <si>
    <t>Cost lines add to the total</t>
  </si>
  <si>
    <t>Gross profit less operating expenses equals the operating loss</t>
  </si>
  <si>
    <t>Functions add to operating expenses (10-Q quarters)</t>
  </si>
  <si>
    <t>Cash flow by quarter: lines add to operating cash flow</t>
  </si>
  <si>
    <t>Cash flow by quarter: flows add to the change in cash</t>
  </si>
  <si>
    <t>Cash flow by quarter: opening cash + change = closing cash</t>
  </si>
  <si>
    <t>Q1 2026 closing cash equals the 31 Mar 2026 balance sheet</t>
  </si>
  <si>
    <t>Q1 2026 net loss equals the Q1 income statement</t>
  </si>
  <si>
    <t>Quarters add to the statements: rev</t>
  </si>
  <si>
    <t>B: Q1-Q4 2024 vs FY2024; C: Q1-Q4 2025 vs FY2025; D: Q1-Q2 2025 vs 6M 2025; E: Q1-Q2 2026 vs 6M 2026.</t>
  </si>
  <si>
    <t>Quarters add to the statements: cogs</t>
  </si>
  <si>
    <t>Quarters add to the statements: opex</t>
  </si>
  <si>
    <t>Quarters add to the statements: ni</t>
  </si>
  <si>
    <t>Stock pay: quarters add to the year and the half</t>
  </si>
  <si>
    <t>Cerebras Systems Inc. (Nasdaq: CBRS) | Revenue, customers, costs by function and other notes, as filed</t>
  </si>
  <si>
    <t>USD millions (filed thousands / 1,000) unless stated. 424B4 notes (FY2024, FY2025) and Q2 10-Q notes (6M 2025, 6M 2026).</t>
  </si>
  <si>
    <t>A. Revenue by timing of recognition (424B4 Note 3; Q2 10-Q Note 3)</t>
  </si>
  <si>
    <t>Hardware revenue recognized at a point in time</t>
  </si>
  <si>
    <t>424B4 p. F-18; Q2 10-Q p. 14</t>
  </si>
  <si>
    <t>Cloud and other services revenue recognized at a point in time</t>
  </si>
  <si>
    <t>Cloud and other services revenue recognized over time</t>
  </si>
  <si>
    <t>B. Revenue by billing location of the customer</t>
  </si>
  <si>
    <t>United States</t>
  </si>
  <si>
    <t>424B4 p. F-20; Q2 10-Q p. 16</t>
  </si>
  <si>
    <t>Europe, Middle East, and Africa</t>
  </si>
  <si>
    <t>Europe, Middle East and Africa: % of revenue</t>
  </si>
  <si>
    <t>C. Customers above 10% of revenue ('*' = below 10%, kept as filed; letters change meaning between reports)</t>
  </si>
  <si>
    <t>Customer A (424B4: MBZUAI; Q2 10-Q: MBZUAI)</t>
  </si>
  <si>
    <t>*</t>
  </si>
  <si>
    <t>424B4 p. F-19 names A as MBZUAI (62% of FY2025); Q2 10-Q p. 15 (34% of Q2 2026, 49% of 6M 2026).</t>
  </si>
  <si>
    <t>Customer B (424B4: G42)</t>
  </si>
  <si>
    <t>424B4 p. F-19: G42 24.0% of FY2025 and 85.0% of FY2024.</t>
  </si>
  <si>
    <t>Customer B (Q2 10-Q; unnamed)</t>
  </si>
  <si>
    <t>Q2 10-Q p. 15: unnamed. OpenAI revenue was US$56.8m in Q2 2026 = 32% of revenue, so B is probably OpenAI (an inference, not a filed fact).</t>
  </si>
  <si>
    <t>Customer C (Q2 10-Q; unnamed)</t>
  </si>
  <si>
    <t>Q2 10-Q p. 15: 10% of Q2 2026.</t>
  </si>
  <si>
    <t>Customer D (Q2 10-Q: G42)</t>
  </si>
  <si>
    <t>Q2 10-Q p. 15: G42 9% of Q2 2026 (below 10%, '*'), 10% of 6M 2026, 41% of 6M 2025.</t>
  </si>
  <si>
    <t>Q2 2026 alone: A 34%, B 32%, C 10%; G42 9% (Q2 10-Q p. 15)</t>
  </si>
  <si>
    <t>D. Depreciation by function (424B4 p. F-25; Q2 10-Q p. 20)</t>
  </si>
  <si>
    <t>424B4 p. F-25</t>
  </si>
  <si>
    <t>Total depreciation expense</t>
  </si>
  <si>
    <t>E. Stock-based compensation by function (424B4 p. F-34; Q2 10-Q p. 26)</t>
  </si>
  <si>
    <t>424B4 p. F-34; Q2 10-Q p. 26</t>
  </si>
  <si>
    <t>Total stock-based compensation expense</t>
  </si>
  <si>
    <t>F. Costs before depreciation and stock pay (derived; feeds the forecast)</t>
  </si>
  <si>
    <t>Allocation convention (mine): depreciation in cost of revenue goes to cloud (data center systems); stock pay in cost of revenue is split by each line's share of cost of revenue.</t>
  </si>
  <si>
    <t>Hardware cost of revenue before depreciation and stock pay</t>
  </si>
  <si>
    <t>Cloud cost of revenue before depreciation and stock pay</t>
  </si>
  <si>
    <t>Cost of revenue before depreciation and stock pay</t>
  </si>
  <si>
    <t>Hardware gross margin before depreciation and stock pay</t>
  </si>
  <si>
    <t>Cloud gross margin before depreciation and stock pay</t>
  </si>
  <si>
    <t>Gross margin as reported</t>
  </si>
  <si>
    <t>Q2 2026 hardware margin on this basis, with and without the US$28.0m warrant cost</t>
  </si>
  <si>
    <t>D: as reported; E: revenue before the US$28.0m of warrant amortization (Q2 10-Q p. 35).</t>
  </si>
  <si>
    <t>Q2 2026 cloud margin on this basis</t>
  </si>
  <si>
    <t>Research and development before stock pay and depreciation</t>
  </si>
  <si>
    <t>% of revenue</t>
  </si>
  <si>
    <t>Sales and marketing before stock pay and depreciation</t>
  </si>
  <si>
    <t>General and administrative before stock pay and depreciation</t>
  </si>
  <si>
    <t>G. Other income (424B4 p. F-26; Q2 10-Q p. 20)</t>
  </si>
  <si>
    <t>Interest and dividend income</t>
  </si>
  <si>
    <t>424B4 p. F-26; Q2 10-Q p. 20</t>
  </si>
  <si>
    <t>Non-cash interest expense (Working Capital Loan)</t>
  </si>
  <si>
    <t>Q2 10-Q p. 20</t>
  </si>
  <si>
    <t>Forward contract liability: change in fair value and extinguishment</t>
  </si>
  <si>
    <t>2026: 'Other expense'</t>
  </si>
  <si>
    <t>Total other income (expense), net</t>
  </si>
  <si>
    <t>H. OpenAI and customer warrants (Q1 and Q2 10-Q)</t>
  </si>
  <si>
    <t>Revenue from OpenAI, net of warrant amortization</t>
  </si>
  <si>
    <t>Q2 10-Q p. 15: US$56.8m (Q2) and US$74.4m (6M 2026); Q1 10-Q: US$16.9m.</t>
  </si>
  <si>
    <t>of which Q2 2026</t>
  </si>
  <si>
    <t>Q2 10-Q p. 15</t>
  </si>
  <si>
    <t>Cloud and other services revenue from customers other than OpenAI (derived)</t>
  </si>
  <si>
    <t>Customer warrant amortization booked as a reduction of revenue</t>
  </si>
  <si>
    <t>Q2 10-Q p. 25: US$44.3m (Q2) and US$46.3m (6M 2026); remaining balance through October 2031.</t>
  </si>
  <si>
    <t>I. Non-GAAP measures (company definitions)</t>
  </si>
  <si>
    <t>Non-GAAP operating loss (424B4: operating loss + stock pay)</t>
  </si>
  <si>
    <t>424B4 p. 20</t>
  </si>
  <si>
    <t>Core operating loss (10-Q: + stock pay, warrant amortization, IPO payroll tax, less pass-through)</t>
  </si>
  <si>
    <t>Q2 10-Q p. 39. Different definition from the 424B4 measure.</t>
  </si>
  <si>
    <t>Employer payroll tax on IPO stock pay (in costs, 6M 2026)</t>
  </si>
  <si>
    <t>Q2 10-Q p. 39</t>
  </si>
  <si>
    <t>Revenue by timing equals the statement</t>
  </si>
  <si>
    <t>Revenue by region equals the statement</t>
  </si>
  <si>
    <t>Hardware revenue equals the point-in-time hardware line</t>
  </si>
  <si>
    <t>Depreciation by function equals the cash flow statement</t>
  </si>
  <si>
    <t>Depreciation functions add to the total</t>
  </si>
  <si>
    <t>Stock pay functions add to the total</t>
  </si>
  <si>
    <t>Other income lines add to the total</t>
  </si>
  <si>
    <t>Other income equals the statement</t>
  </si>
  <si>
    <t>Costs before depreciation and stock pay rebuild total costs</t>
  </si>
  <si>
    <t>Cerebras Systems Inc. (Nasdaq: CBRS) | Backlog (remaining performance obligations) and its conversion into revenue</t>
  </si>
  <si>
    <t>USD millions. Column B = 30 Jun 2026; C = H2 2026E; D-L = fiscal years. The filing gives the share of backlog in three windows; how each window spreads over the years is my convention (blue cells).</t>
  </si>
  <si>
    <t>Actual</t>
  </si>
  <si>
    <t>Forecast</t>
  </si>
  <si>
    <t>Period</t>
  </si>
  <si>
    <t>H2 2026E</t>
  </si>
  <si>
    <t>2027E</t>
  </si>
  <si>
    <t>2028E</t>
  </si>
  <si>
    <t>2029E</t>
  </si>
  <si>
    <t>2030E</t>
  </si>
  <si>
    <t>2031E</t>
  </si>
  <si>
    <t>2032E</t>
  </si>
  <si>
    <t>2033E</t>
  </si>
  <si>
    <t>2034E</t>
  </si>
  <si>
    <t>2035E</t>
  </si>
  <si>
    <t>A. What the filings say</t>
  </si>
  <si>
    <t>Backlog (remaining performance obligations), 30 Jun 2026</t>
  </si>
  <si>
    <t>Q2 10-Q p. 15: 'was $25.4 billion as of June 30, 2026. A significant amount of the balance was attributable to ... the MRA with OpenAI.'</t>
  </si>
  <si>
    <t>Share recognized in the 24 months to 30 Jun 2028</t>
  </si>
  <si>
    <t>Q2 10-Q p. 15: 'approximately 22%'</t>
  </si>
  <si>
    <t>Share recognized in months 25 to 48 (Jul 2028 - Jun 2030)</t>
  </si>
  <si>
    <t>Q2 10-Q p. 15: '43% between months 25 and 48'</t>
  </si>
  <si>
    <t>Share recognized after June 2030 (derived)</t>
  </si>
  <si>
    <t>Q2 10-Q p. 15: "the remaining balance thereafter"</t>
  </si>
  <si>
    <t>Backlog stated gross of the customer warrant reduction: 1 = gross (used), 2 = net</t>
  </si>
  <si>
    <t>The filings do not say. Q2 10-Q p. 15: backlog "includes deferred revenue and amounts that are expected to be invoiced"; 424B4 p. 96: "the gross revenue amount without contra-revenue is what the customer is invoiced and pays in cash"; the warrants are a separate asset recognized "as a reduction of revenue in proportion to the related revenue recognized" (Q2 10-Q p. 24). So gross: reported backlog revenue = schedule less warrant amortization; cash = schedule.</t>
  </si>
  <si>
    <t>Memo: backlog at 31 Dec 2025</t>
  </si>
  <si>
    <t>424B4 p. F-19: US$24.6bn; 15% in the 24 months to Dec 2027, 43% in months 25-48.</t>
  </si>
  <si>
    <t>Memo: backlog growth in six months (derived)</t>
  </si>
  <si>
    <t>OpenAI Committed Capacity (MW)</t>
  </si>
  <si>
    <t>424B4 p. 91 and Q2 10-Q p. 15: 750 MW, deployed in tranches 2026-2028; each tranche runs 3-4 years, extendable to 5.</t>
  </si>
  <si>
    <t>Memo: OpenAI deal value announced ('more than')</t>
  </si>
  <si>
    <t>424B4 p. v: 'a multi-year deal with OpenAI valued at more than $20 billion dollars'.</t>
  </si>
  <si>
    <t>OpenAI Additional Capacity option (MW)</t>
  </si>
  <si>
    <t>424B4 p. 91: option on 1.25 GW more, deployed by the end of 2030 (up to 2.0 GW in total).</t>
  </si>
  <si>
    <t>B. Conversion schedule (convention: how each filed window spreads over the periods)</t>
  </si>
  <si>
    <t>Window 1 (22%): share in each period</t>
  </si>
  <si>
    <t>Ramp: tranches deploy 2026-2028, so H2 2026 is small. Convention.</t>
  </si>
  <si>
    <t>Window 2 (43%): share in each period</t>
  </si>
  <si>
    <t>Even over H2 2028, 2029 and H1 2030. Convention.</t>
  </si>
  <si>
    <t>Window 3 (35%): share in each period</t>
  </si>
  <si>
    <t>H2 2030 to 2033: the last tranches (deployed by 2028) run up to five years. Convention.</t>
  </si>
  <si>
    <t>Backlog revenue at full realization</t>
  </si>
  <si>
    <t>Revenue from the 30 Jun 2026 backlog (x realization)</t>
  </si>
  <si>
    <t>Reported revenue: schedule x realization, less the warrant amortization when the backlog is gross (row 'basis'). Cash billed = schedule x realization.</t>
  </si>
  <si>
    <t>C. Renewals and the OpenAI option</t>
  </si>
  <si>
    <t>Renewals of expired backlog capacity</t>
  </si>
  <si>
    <t>Each year: renewal rate x the fall in backlog revenue; renewed revenue then grows at the terminal growth rate.</t>
  </si>
  <si>
    <t>Revenue per GW-year implied by the committed contract (derived)</t>
  </si>
  <si>
    <t>Backlog / 0.75 GW / average term. A rough price; the backlog also holds other customers.</t>
  </si>
  <si>
    <t>Option capacity in service (share of the exercised GW)</t>
  </si>
  <si>
    <t>Deployed by the end of 2030 (424B4 p. 91). Convention.</t>
  </si>
  <si>
    <t>Additional Capacity option: billed revenue (gross)</t>
  </si>
  <si>
    <t>Revenue from the Additional Capacity option (reported: gross less its warrant amortization)</t>
  </si>
  <si>
    <t>Pass-through data center revenue (at cost)</t>
  </si>
  <si>
    <t>D. Customer warrant asset: amortization as a reduction of revenue (non-cash)</t>
  </si>
  <si>
    <t>Customer warrant asset, 30 Jun 2026</t>
  </si>
  <si>
    <t>Q2 10-Q p. 25: amortized 'in proportion to the related revenue' through October 2031.</t>
  </si>
  <si>
    <t>Amortization (in proportion to backlog revenue, H2 2026E-2031E)</t>
  </si>
  <si>
    <t>Inside reported revenue (non-cash). New warrant tranches that vest later are not modelled; their shares are in the diluted count.</t>
  </si>
  <si>
    <t>Customer warrant asset, end of period</t>
  </si>
  <si>
    <t>E. Unvested OpenAI warrant tranches (23.4m shares): vesting and contra-revenue</t>
  </si>
  <si>
    <t>Shares that vest on committed delivery dates of capacity (millions)</t>
  </si>
  <si>
    <t>424B4 p. 86: "23,411,518 shares in the aggregate will vest in multiple tranches on certain committed delivery dates of compute capacity pursuant to the MRA, including ... the Additional Capacity"; full vesting "only if OpenAI exercises all options ... a total of 2GW".</t>
  </si>
  <si>
    <t>Capacity those shares cover: committed + option (MW)</t>
  </si>
  <si>
    <t>Shares per MW (convention: pro rata to capacity; the filing gives no split)</t>
  </si>
  <si>
    <t>Shares tied to the Committed Capacity (750 MW)</t>
  </si>
  <si>
    <t>Probable of vesting (Q2 10-Q p. 24): in the diluted count in every scenario.</t>
  </si>
  <si>
    <t>Shares tied to the Additional Capacity option (1.25 GW)</t>
  </si>
  <si>
    <t>Q2 10-Q p. 24: 'not considered probable'; in the count only for the share of the option exercised (Bull 50%).</t>
  </si>
  <si>
    <t>Grant-date fair value per OpenAI warrant share (USD)</t>
  </si>
  <si>
    <t>Q2 10-Q p. 24: 'classified as an equity instrument, and the grant date fair value was $82.02 per share'; an asset is booked on vesting (10.03m vested shares = US$822.9m in 6M 2026) and recognized 'as a reduction of revenue in proportion to the related revenue'.</t>
  </si>
  <si>
    <t>Warrant value of the committed tranches (US$m)</t>
  </si>
  <si>
    <t>Committed tranches: contra-revenue (in proportion to backlog revenue)</t>
  </si>
  <si>
    <t>Convention: each tranche's asset is booked as it vests and amortized with the revenue it relates to, so booking and amortization fall in the same periods.</t>
  </si>
  <si>
    <t>Warrant value of the option tranches exercised (US$m)</t>
  </si>
  <si>
    <t>Option tranches: contra-revenue (in proportion to option revenue)</t>
  </si>
  <si>
    <t>New warrant assets booked (non-cash; credited to equity)</t>
  </si>
  <si>
    <t>All customer warrant amortization inside revenue (existing + new tranches)</t>
  </si>
  <si>
    <t>s1: shares add to 100%</t>
  </si>
  <si>
    <t>s2: shares add to 100%</t>
  </si>
  <si>
    <t>s3: shares add to 100%</t>
  </si>
  <si>
    <t>Scheduled backlog revenue adds to the backlog</t>
  </si>
  <si>
    <t>Window 1 lands by 30 Jun 2028 (H2 2026 + 2027 + half of 2028 schedule from window 1)</t>
  </si>
  <si>
    <t>Warrant amortization adds to the asset</t>
  </si>
  <si>
    <t>Committed tranche amortization adds to its warrant value</t>
  </si>
  <si>
    <t>Option tranche amortization adds to its warrant value</t>
  </si>
  <si>
    <t>Tranche shares add to the 23.4m</t>
  </si>
  <si>
    <t>Cerebras Systems Inc. (Nasdaq: CBRS) | Shares outstanding, dilutive securities and the diluted count (treasury method)</t>
  </si>
  <si>
    <t>Shares in millions. Basic shares from the Q2 10-Q cover (5 Aug 2026, the latest count). Dilutive securities at 30 Jun 2026 (Q2 10-Q p. 17) unless stated.</t>
  </si>
  <si>
    <t>Item</t>
  </si>
  <si>
    <t>Price (USD)</t>
  </si>
  <si>
    <t>A. Common stock outstanding, 5 Aug 2026 (Q2 10-Q cover, p. 1)</t>
  </si>
  <si>
    <t>112,247,109 shares</t>
  </si>
  <si>
    <t>Class B common stock (20 votes a share)</t>
  </si>
  <si>
    <t>111,601,424 shares</t>
  </si>
  <si>
    <t>Class N common stock (non-voting)</t>
  </si>
  <si>
    <t>13,715,508 shares; includes 10,033,508 OpenAI warrant shares exercised in July 2026</t>
  </si>
  <si>
    <t>Common shares outstanding</t>
  </si>
  <si>
    <t>Memo: Class N shares at 30 Jun 2026 (balance sheet caption)</t>
  </si>
  <si>
    <t>Q2 10-Q p. 6: 3,682,000 shares</t>
  </si>
  <si>
    <t>OpenAI warrant: shares vested in January 2026</t>
  </si>
  <si>
    <t>Q2 10-Q p. 24</t>
  </si>
  <si>
    <t>OpenAI warrant: shares vested in June 2026</t>
  </si>
  <si>
    <t>OpenAI warrant: shares exercised in July 2026</t>
  </si>
  <si>
    <t>Q2 10-Q p. 29</t>
  </si>
  <si>
    <t>B. Dilutive securities (treasury method at the market price)</t>
  </si>
  <si>
    <t>Market price used for the treasury method (USD)</t>
  </si>
  <si>
    <t>Convention: the market price, not the DCF value (avoids a circular count).</t>
  </si>
  <si>
    <t>Options to purchase common stock (30 Jun 2026)</t>
  </si>
  <si>
    <t>Count: Q2 10-Q p. 17. Weighted average exercise price US$4.97 at 31 Dec 2025 (424B4 p. F-32), the latest price the filings give.</t>
  </si>
  <si>
    <t>Options, net shares (treasury method)</t>
  </si>
  <si>
    <t>Unvested RSUs (no exercise price)</t>
  </si>
  <si>
    <t>Q2 10-Q p. 17</t>
  </si>
  <si>
    <t>CEO and CTO PRSUs (vest at US$75bn, US$150bn, US$250bn market value)</t>
  </si>
  <si>
    <t>Q2 10-Q p. 17, p. 26</t>
  </si>
  <si>
    <t>Include the PRSUs (1 = yes, 0 = no)</t>
  </si>
  <si>
    <t>0: thresholds far above today's value (about US$28bn basic). Their expense stays a cost in the forecast instead (no double count).</t>
  </si>
  <si>
    <t>OpenAI warrant: total shares (exercise price US$0.00001)</t>
  </si>
  <si>
    <t>Q2 10-Q p. 24; equity-classified.</t>
  </si>
  <si>
    <t>OpenAI warrant: shares not yet vested (derived)</t>
  </si>
  <si>
    <t>Vest with capacity delivered, Additional Capacity bought and value or payment thresholds (Q2 10-Q p. 24).</t>
  </si>
  <si>
    <t>of which tied to the Committed Capacity: in the count</t>
  </si>
  <si>
    <t>Backlog E: pro rata to capacity (convention).</t>
  </si>
  <si>
    <t>of which tied to the Additional Capacity option: in the count x share exercised</t>
  </si>
  <si>
    <t>Bull 50% exercised; Base and Bear 0%. Changes with the scenario switch.</t>
  </si>
  <si>
    <t>AWS warrant (exercise price US$100.00)</t>
  </si>
  <si>
    <t>Q2 10-Q p. 25: 269,668 vested at issue; the rest vest on AWS payment thresholds; expires 19 Jun 2033.</t>
  </si>
  <si>
    <t>AWS warrant, net shares (treasury method)</t>
  </si>
  <si>
    <t>Memo: early exercised shares subject to repurchase</t>
  </si>
  <si>
    <t>Q2 10-Q p. 17; already legally issued, so not added.</t>
  </si>
  <si>
    <t>Method: basic (5 Aug 2026) + options and AWS warrant by the treasury method + RSUs + OpenAI tranches whose trigger occurs in the active scenario.</t>
  </si>
  <si>
    <t>C. Stock pay of awards already in the diluted count (feeds Schedules E)</t>
  </si>
  <si>
    <t>Unrecognized RSU expense, 31 Dec 2025</t>
  </si>
  <si>
    <t>424B4 p. F-34 (latest disclosed; the 10-Qs give no total)</t>
  </si>
  <si>
    <t>Unrecognized option expense, 31 Dec 2025</t>
  </si>
  <si>
    <t>424B4 p. F-33</t>
  </si>
  <si>
    <t>CEO and CTO RSUs granted in Q1 2026 (grant-date value)</t>
  </si>
  <si>
    <t>Q2 10-Q p. 26</t>
  </si>
  <si>
    <t>Less: RSU expense recognized in 6M 2026</t>
  </si>
  <si>
    <t>Less: option expense recognized in 6M 2026</t>
  </si>
  <si>
    <t>Remaining expense of awards in the diluted count, 30 Jun 2026 (estimate)</t>
  </si>
  <si>
    <t>A floor: RSUs granted to others in 2026 are not disclosed. This part is non-cash in the DCF because its shares are counted.</t>
  </si>
  <si>
    <t>Amortization period (years)</t>
  </si>
  <si>
    <t>424B4 p. F-34: weighted-average period for RSUs</t>
  </si>
  <si>
    <t>Memo: PRSU grant-date value (expense stays a cost; shares excluded)</t>
  </si>
  <si>
    <t>Q2 10-Q p. 27; US$34.2m recognized in Q2 2026</t>
  </si>
  <si>
    <t>D. The IPO (424B4 and Q2 10-Q)</t>
  </si>
  <si>
    <t>IPO price per Class A share (USD)</t>
  </si>
  <si>
    <t>424B4 cover; completed 15 May 2026 (Q2 10-Q).</t>
  </si>
  <si>
    <t>Underwriting discount per share (USD)</t>
  </si>
  <si>
    <t>424B4 cover</t>
  </si>
  <si>
    <t>Shares sold, including the full 4.5m over-allotment</t>
  </si>
  <si>
    <t>Q2 10-Q: underwriters exercised their option in full</t>
  </si>
  <si>
    <t>Net proceeds before other offering costs (derived)</t>
  </si>
  <si>
    <t>Class N rose by the OpenAI exercise between 30 Jun and 5 Aug 2026</t>
  </si>
  <si>
    <t>OpenAI shares exercised equal the two vested tranches</t>
  </si>
  <si>
    <t>OpenAI tranche split adds to the unvested shares</t>
  </si>
  <si>
    <t>Securities add to the filed anti-dilutive total (76,011 thousand), rounded to thousands</t>
  </si>
  <si>
    <t>Contingently issuable warrants 26,108 = unvested OpenAI 23,412 + AWS 2,697 (thousands).</t>
  </si>
  <si>
    <t>IPO net proceeds equal the cash flow statement</t>
  </si>
  <si>
    <t>Rounded to US$10,000: the filing is in thousands.</t>
  </si>
  <si>
    <t>Cerebras Systems Inc. (Nasdaq: CBRS) | Assumptions and scenarios</t>
  </si>
  <si>
    <t>Blue cells are inputs. Each driver has Base, Bull and Bear rows; the Active row follows the switch in C5. Black cells in section B derive from the filings. USD millions unless stated.</t>
  </si>
  <si>
    <t>2025A</t>
  </si>
  <si>
    <t>2026E</t>
  </si>
  <si>
    <t>Scenario switch: 1 = Base, 2 = Bull, 3 = Bear</t>
  </si>
  <si>
    <t>Same convention as the house templates (Supuestos!C5).</t>
  </si>
  <si>
    <t>A. Second half of 2026, backlog and valuation inputs (one value per scenario)</t>
  </si>
  <si>
    <t>Active</t>
  </si>
  <si>
    <t>Base</t>
  </si>
  <si>
    <t>Bull</t>
  </si>
  <si>
    <t>Bear</t>
  </si>
  <si>
    <t>H2 2026E hardware revenue</t>
  </si>
  <si>
    <t>H1 2026 164.7 (Q1 110.6, Q2 54.1; Q2 10-Q p. 7). Q2 carries US$28.0m of warrant cost. Analyst input.</t>
  </si>
  <si>
    <t>H2 2026E other cloud and inference revenue (not in the backlog)</t>
  </si>
  <si>
    <t>H1 2026 cloud 208.8 less OpenAI 74.4 = 134.4 (Revenue_Hist). Analyst input.</t>
  </si>
  <si>
    <t>H2 2026E hardware gross margin before depreciation and stock pay</t>
  </si>
  <si>
    <t>H1 2026 32.8%; Q2 2026 41.7% before the warrant cost (Revenue_Hist). Analyst input.</t>
  </si>
  <si>
    <t>H2 2026E cloud gross margin before depreciation and stock pay</t>
  </si>
  <si>
    <t>H1 2026 49.0%, Q2 2026 42.2%; new data center leases start before their revenue (US$1.5bn signed in Q2, Q2 10-Q p. 28). Analyst input.</t>
  </si>
  <si>
    <t>H2 2026E research and development, excluding stock pay and depreciation</t>
  </si>
  <si>
    <t>H1 2026 156.2; Q2 92.9 (Revenue_Hist). Analyst input.</t>
  </si>
  <si>
    <t>H2 2026E sales and marketing, excluding stock pay and depreciation</t>
  </si>
  <si>
    <t>H1 2026 27.2 (Revenue_Hist). Analyst input.</t>
  </si>
  <si>
    <t>H2 2026E general and administrative, excluding stock pay and depreciation</t>
  </si>
  <si>
    <t>H1 2026 36.1, incl. IPO payroll tax (Revenue_Hist). Analyst input.</t>
  </si>
  <si>
    <t>H2 2026E stock-based compensation (run rate, no IPO catch-up)</t>
  </si>
  <si>
    <t>Disclosed balances amortizing: RSUs US$193.0m over 1.56 years and options US$33.2m over 1.78 years (424B4 pp. 100, F-33), PRSUs US$531.2m over 3.4-5.9 years, CEO/CTO RSUs US$101.6m (Q2 10-Q pp. 26-27), plus new grants. Analyst input.</t>
  </si>
  <si>
    <t>H2 2026E capital expenditures</t>
  </si>
  <si>
    <t>H1 2026 548.9 (Q1 132.0, Q2 416.9); construction in progress 604.0 at 30 Jun 2026 (Q2 10-Q). Analyst input.</t>
  </si>
  <si>
    <t>Backlog realization: share of the 30 Jun 2026 backlog that becomes revenue</t>
  </si>
  <si>
    <t>Contracted, take-or-pay (424B4); Bear allows for slippage or renegotiation with one customer that holds most of it. Analyst input.</t>
  </si>
  <si>
    <t>Renewal: share of expiring backlog revenue that renews</t>
  </si>
  <si>
    <t>Tranches run 3-4 years, extendable by OpenAI to 5 (424B4 p. 91); inference demand keeps growing, but OpenAI also buys elsewhere. Analyst input.</t>
  </si>
  <si>
    <t>OpenAI Additional Capacity (1.25 GW option) exercised</t>
  </si>
  <si>
    <t>Option, not contracted; its warrant tranches are 'not probable' (Q2 10-Q p. 24). Bull only. Analyst input.</t>
  </si>
  <si>
    <t>Terminal growth (after 2035E)</t>
  </si>
  <si>
    <t>Below the 10-year Treasury yield (5.00%); near long-run nominal GDP. Analyst input.</t>
  </si>
  <si>
    <t>Terminal return on new invested capital</t>
  </si>
  <si>
    <t>Reinvestment = growth / ROIC. Capital-heavy cloud returns are lower than chip design returns. Analyst input.</t>
  </si>
  <si>
    <t>Exit EV / EBITDA multiple (2035E)</t>
  </si>
  <si>
    <t>Cross-check only; a mature, capital-heavy compute business. Analyst input, no sourced peer multiple.</t>
  </si>
  <si>
    <t>B. Inputs that do not change with the scenario</t>
  </si>
  <si>
    <t>Pass-through data center revenue: % of backlog revenue (at cost, zero margin)</t>
  </si>
  <si>
    <t>Reported gross and outside the backlog (Q2 10-Q p. 15); size not disclosed. Convention.</t>
  </si>
  <si>
    <t>Depreciation in cost of revenue: share of all depreciation</t>
  </si>
  <si>
    <t>H1 2026 66.6%, Q2 2026 75.8% (Q2 10-Q p. 20); data center systems dominate the asset base. Analyst input.</t>
  </si>
  <si>
    <t>Stock pay in cost of revenue: share of all stock pay</t>
  </si>
  <si>
    <t>H1 2026 4.2% (Q2 10-Q p. 26). Analyst input.</t>
  </si>
  <si>
    <t>Average life of property and equipment (years)</t>
  </si>
  <si>
    <t>Data center and computer equipment 3-5 years (424B4 p. F-16).</t>
  </si>
  <si>
    <t>Interest yield on cash, restricted cash and investments</t>
  </si>
  <si>
    <t>Q2 2026 interest 48.8 x 4 / average balance at 31 Mar and 30 Jun 2026 = 3.8% (Q2 10-Q p. 20). Analyst input.</t>
  </si>
  <si>
    <t>Working Capital Loan: stated interest rate</t>
  </si>
  <si>
    <t>Q2 10-Q p. 21: 'bears stated interest at 6% per annum'.</t>
  </si>
  <si>
    <t>Working Capital Loan repaid through services in H2 2026E: share of the 30 Jun 2026 balance</t>
  </si>
  <si>
    <t>Current portion 736.0 of 918.2 (80%) falls due within 12 months (Q2 10-Q p. 6): half in H2 2026E. Convention.</t>
  </si>
  <si>
    <t>Working Capital Loan repaid through services in 2027E: share of the 30 Jun 2026 balance</t>
  </si>
  <si>
    <t>Rest of the current portion plus part of the long-term portion. Convention.</t>
  </si>
  <si>
    <t>Working Capital Loan repaid through services in 2028E: share of the 30 Jun 2026 balance</t>
  </si>
  <si>
    <t>Remainder; matures no later than 31 Dec 2032 (Q2 10-Q p. 21). Convention.</t>
  </si>
  <si>
    <t>Cash tax rate on taxable income after loss carryforwards</t>
  </si>
  <si>
    <t>US federal 21%. Convention.</t>
  </si>
  <si>
    <t>Deferred tax asset for net operating losses, 31 Dec 2025</t>
  </si>
  <si>
    <t>424B4 p. F-37 (fully offset by the valuation allowance).</t>
  </si>
  <si>
    <t>Share of taxable income that loss carryforwards can offset</t>
  </si>
  <si>
    <t>US federal limit for losses after 2017.</t>
  </si>
  <si>
    <t>Minimum income tax a year (foreign and state)</t>
  </si>
  <si>
    <t>FY2025 7.1; H1 2026 1.8 (Q2 10-Q p. 7). Analyst input.</t>
  </si>
  <si>
    <t>OpenAI capacity: average term per tranche (years)</t>
  </si>
  <si>
    <t>Three or four years, extendable to five (424B4 p. 91). Convention.</t>
  </si>
  <si>
    <t>Sensitivity: growth shift on other cloud revenue, all years 2027E-2035E (pp)</t>
  </si>
  <si>
    <t>Keep at 0. The Sensitivity and Valuation sheets move it in the build.</t>
  </si>
  <si>
    <t>Sensitivity: cloud gross margin shift, all years 2027E-2035E (pp)</t>
  </si>
  <si>
    <t>Keep at 0. The Sensitivity sheet moves it in the build.</t>
  </si>
  <si>
    <t>Net operating loss carryforwards, 31 Dec 2025, estimate (derived)</t>
  </si>
  <si>
    <t>Deferred tax asset / 21%. Federal and state losses mixed; an estimate.</t>
  </si>
  <si>
    <t>Accounts receivable: % of annualized revenue (derived, 30 Jun 2026)</t>
  </si>
  <si>
    <t>123.4 / (2 x 6M 2026 revenue 373.5). Applied to annual revenue (and 2 x H2 for 31 Dec 2026E).</t>
  </si>
  <si>
    <t>Inventories: % of annualized hardware revenue (derived, 30 Jun 2026)</t>
  </si>
  <si>
    <t>Accounts payable: % of annualized cost of revenue before depreciation and stock pay (derived)</t>
  </si>
  <si>
    <t>C. Drivers by year (Base, Bull, Bear and the active row)</t>
  </si>
  <si>
    <t>Hardware systems revenue: growth on a year earlier</t>
  </si>
  <si>
    <t>FY2025 +69% (424B4); H1 2026 +18% but Q2 2026 -23% on Q2 2025, with US$28.0m of warrant cost booked against hardware (Q2 10-Q p. 35). Buyers are few (MBZUAI, G42), and the mix moves to cloud. Analyst input.</t>
  </si>
  <si>
    <t>Other cloud and inference revenue (not in the 30 Jun 2026 backlog): growth</t>
  </si>
  <si>
    <t>Cloud revenue +281% in Q2 2026 (Q2 10-Q p. 35); on-demand, token bundles and marketplaces (AWS, Microsoft, OpenRouter; 424B4). New contracts after 30 Jun 2026 land here. Analyst input.</t>
  </si>
  <si>
    <t>Hardware: gross margin before depreciation and stock pay</t>
  </si>
  <si>
    <t>FY2025 43.0%, H1 2026 32.8%, Q2 2026 11.6% after US$28.0m of warrant cost in hardware revenue (41.7% without it); Revenue_Hist, allocation convention there. Warrant cost sits in backlog revenue in the forecast. Analyst input.</t>
  </si>
  <si>
    <t>Cloud and inference: gross margin before depreciation and stock pay</t>
  </si>
  <si>
    <t>H1 2026 cloud 49.0%, Q2 2026 42.2% on this basis (Revenue_Hist). The 424B4 (p. 97) warns gross margin will be 'significantly lower' near term from data center costs; leases are opex here (cash cost of revenue). Analyst input.</t>
  </si>
  <si>
    <t>Research and development, excluding stock pay and depreciation: % of revenue</t>
  </si>
  <si>
    <t>H1 2026 41.8% of revenue on this basis (Revenue_Hist); revenue scales with the backlog while chip design costs grow slower. Analyst input.</t>
  </si>
  <si>
    <t>Sales and marketing, excluding stock pay and depreciation: % of revenue</t>
  </si>
  <si>
    <t>H1 2026 7.3% (Revenue_Hist); few large contracts need little selling. Analyst input.</t>
  </si>
  <si>
    <t>General and administrative, excluding stock pay and depreciation: % of revenue</t>
  </si>
  <si>
    <t>H1 2026 9.7% including public-company and IPO payroll costs (Revenue_Hist). Analyst input.</t>
  </si>
  <si>
    <t>Stock-based compensation (run rate, all grants): % of revenue</t>
  </si>
  <si>
    <t>Run rate only; the Q2 2026 IPO catch-up is history (Quarterly_Hist). Includes the CEO/CTO PRSUs (US$531.2m over 3.4-5.9 years, Q2 10-Q p. 27). In the DCF only the part above the existing awards' amortization is a cost (Schedules E). Analyst input.</t>
  </si>
  <si>
    <t>Capital expenditures: % of cloud and inference revenue</t>
  </si>
  <si>
    <t>H1 2026 capex 548.9 = 263% of cloud revenue, 'primarily for systems to deliver Cerebras Cloud' (Q2 10-Q p. 43); construction in progress 604.0 (p. 20). Capacity is built ahead of the 2026-2028 tranches, then maintenance. Bear: more capex per dollar of revenue. Analyst input.</t>
  </si>
  <si>
    <t>Cerebras Systems Inc. (Nasdaq: CBRS) | 2026E bridge: six months actual plus a second-half estimate</t>
  </si>
  <si>
    <t>6M columns link to the 10-Q; H2 2026E comes from Assumptions, Backlog and Schedules. Balance sheet: column B = 30 Jun 2026A, column D = 31 Dec 2026E. Costs shown before depreciation and stock pay, which have their own lines. USD millions.</t>
  </si>
  <si>
    <t>FY2026E</t>
  </si>
  <si>
    <t>H2 2025A</t>
  </si>
  <si>
    <t>Income statement</t>
  </si>
  <si>
    <t>Cloud: contracted backlog (6M 2026A: OpenAI)</t>
  </si>
  <si>
    <t>Cloud: renewals of expired backlog</t>
  </si>
  <si>
    <t>Cloud: OpenAI Additional Capacity option</t>
  </si>
  <si>
    <t>Cloud: other (not in the backlog; 2025A: all cloud)</t>
  </si>
  <si>
    <t>Pass-through data center revenue</t>
  </si>
  <si>
    <t>Depreciation in cost of revenue</t>
  </si>
  <si>
    <t>Depreciation in operating expenses</t>
  </si>
  <si>
    <t>Operating income (loss)</t>
  </si>
  <si>
    <t>H2: yield x cash, restricted cash and investments at 30 Jun 2026 x half a year.</t>
  </si>
  <si>
    <t>Interest on the Working Capital Loan (non-cash)</t>
  </si>
  <si>
    <t>Forward contract and other items</t>
  </si>
  <si>
    <t>H2: Schedules C (loss carryforwards; minimum foreign and state tax).</t>
  </si>
  <si>
    <t>Memo</t>
  </si>
  <si>
    <t>Depreciation (all functions)</t>
  </si>
  <si>
    <t>Stock-based compensation (all functions)</t>
  </si>
  <si>
    <t>6M 2026A includes the IPO catch-up (Quarterly_Hist); H2 is run rate.</t>
  </si>
  <si>
    <t>Customer warrant amortization inside revenue (non-cash)</t>
  </si>
  <si>
    <t>New OpenAI warrant assets booked in H2 2026E (non-cash; credited to equity)</t>
  </si>
  <si>
    <t>Cash flow (6M 2026A as filed, grouped; H2 2026E from the rows above and the balance sheet below)</t>
  </si>
  <si>
    <t>Revenue settled against the Working Capital Loan (non-cash)</t>
  </si>
  <si>
    <t>OpenAI pays by credits against the loan (US$86.3m to 30 Jun 2026, inside the filed working capital lines).</t>
  </si>
  <si>
    <t>Other non-cash items</t>
  </si>
  <si>
    <t>H2: investments held flat.</t>
  </si>
  <si>
    <t>6M 2026A: IPO 6,232.5, Series H 1,014.0, Working Capital Loan 1,004.6, RSU tax withholding -416.7.</t>
  </si>
  <si>
    <t>Cash and restricted cash, beginning</t>
  </si>
  <si>
    <t>Cash and restricted cash, ending</t>
  </si>
  <si>
    <t>Balance sheet: 30 Jun 2026A (column B) to 31 Dec 2026E (column D)</t>
  </si>
  <si>
    <t>Held flat.</t>
  </si>
  <si>
    <t>Customer warrants (current and non-current)</t>
  </si>
  <si>
    <t>New leases add equal assets and liabilities; held flat (no cash or equity effect).</t>
  </si>
  <si>
    <t>Deferred revenue (current and non-current)</t>
  </si>
  <si>
    <t>Held flat; operating (prepayments for systems), not debt.</t>
  </si>
  <si>
    <t>Operating lease liabilities</t>
  </si>
  <si>
    <t>Working Capital Loan (OpenAI)</t>
  </si>
  <si>
    <t>Stockholders' equity</t>
  </si>
  <si>
    <t>Adds H2 net income, stock pay and the loan interest deemed paid through services (credited to equity; model convention).</t>
  </si>
  <si>
    <t>Total liabilities and equity</t>
  </si>
  <si>
    <t>Balance sheet balances</t>
  </si>
  <si>
    <t>Total assets at 30 Jun 2026 equal the 10-Q</t>
  </si>
  <si>
    <t>6M 2026 revenue, costs and net loss equal the 10-Q</t>
  </si>
  <si>
    <t>6M 2026 operating cash flow and cash change equal the 10-Q</t>
  </si>
  <si>
    <t>6M 2025 and FY2025: costs and net income equal the filings</t>
  </si>
  <si>
    <t>Cerebras Systems Inc. (Nasdaq: CBRS) | Schedules: capex and depreciation, Working Capital Loan, taxes, working capital, stock pay, unlevered free cash flow</t>
  </si>
  <si>
    <t>Column B = 30 Jun 2026A (opening balances); C = H2 2026E (the first forecast period); D-L = fiscal years. Every check starts in column C. USD millions.</t>
  </si>
  <si>
    <t>A. Capital expenditures and property and equipment</t>
  </si>
  <si>
    <t>Capital expenditures</t>
  </si>
  <si>
    <t>% of cloud and inference revenue</t>
  </si>
  <si>
    <t>Property and equipment, beginning</t>
  </si>
  <si>
    <t>Depreciation</t>
  </si>
  <si>
    <t>(Beginning net PP&amp;E + half the period's capex) / average life; H2 2026E x 0.5. A declining-balance convention.</t>
  </si>
  <si>
    <t>Property and equipment, ending</t>
  </si>
  <si>
    <t>B. Working Capital Loan (OpenAI; repaid through services; 6% stated)</t>
  </si>
  <si>
    <t>Balance, beginning</t>
  </si>
  <si>
    <t>Repaid through services (credits against OpenAI billings)</t>
  </si>
  <si>
    <t>Balance, ending</t>
  </si>
  <si>
    <t>Interest expense (stated rate x average balance; non-cash, deemed paid)</t>
  </si>
  <si>
    <t>Q2 10-Q p. 21: interest on amounts repaid through services is deemed paid. Non-cash; excluded from unlevered free cash flow.</t>
  </si>
  <si>
    <t>C. Loss carryforwards and taxes</t>
  </si>
  <si>
    <t>Taxable income before loss carryforwards (operating income + interest income - loan interest)</t>
  </si>
  <si>
    <t>Book income as the proxy for taxable income.</t>
  </si>
  <si>
    <t>Loss carryforwards, beginning</t>
  </si>
  <si>
    <t>H2 2026E: estimate at 31 Dec 2025 plus the 6M 2026 pre-tax loss.</t>
  </si>
  <si>
    <t>Used</t>
  </si>
  <si>
    <t>Added</t>
  </si>
  <si>
    <t>Loss carryforwards, ending</t>
  </si>
  <si>
    <t>Income tax (minimum foreign and state tax, or the tax after carryforwards)</t>
  </si>
  <si>
    <t>D. Working capital (receivables + inventories - payables; the other working capital lines are held flat)</t>
  </si>
  <si>
    <t>Net working capital</t>
  </si>
  <si>
    <t>Change in working capital (cash effect)</t>
  </si>
  <si>
    <t>E. Stock pay: awards already in the diluted count (non-cash in the DCF) and the rest (a cost)</t>
  </si>
  <si>
    <t>Stock-based compensation (income statement)</t>
  </si>
  <si>
    <t>Remaining expense of awards in the diluted count, beginning</t>
  </si>
  <si>
    <t>Amortization of those awards</t>
  </si>
  <si>
    <t>Remaining expense, ending</t>
  </si>
  <si>
    <t>Stock pay for new grants and the PRSUs (treated as a cash cost)</t>
  </si>
  <si>
    <t>Method: existing options, RSUs and warrants are in the diluted shares, so their expense is added back; everything else stays a cost. No double count.</t>
  </si>
  <si>
    <t>F. Unlevered free cash flow (H2 2026E onward)</t>
  </si>
  <si>
    <t>Operating income</t>
  </si>
  <si>
    <t>Taxes on operating income</t>
  </si>
  <si>
    <t>Tax allocated to operating income; the minimum tax stays in full.</t>
  </si>
  <si>
    <t>Net operating profit after tax</t>
  </si>
  <si>
    <t>Plus: depreciation</t>
  </si>
  <si>
    <t>Plus: customer warrant amortization (non-cash; warrant shares in the diluted count)</t>
  </si>
  <si>
    <t>Plus: amortization of awards in the diluted count</t>
  </si>
  <si>
    <t>Less: capital expenditures</t>
  </si>
  <si>
    <t>Change in working capital</t>
  </si>
  <si>
    <t>Unlevered free cash flow</t>
  </si>
  <si>
    <t>Operating leases stay in operating costs (cash cost of revenue), so lease liabilities are not debt in the bridge. Loan service credits are debt repayment, not a cost.</t>
  </si>
  <si>
    <t>Checks (zero passes; from the first forecast period)</t>
  </si>
  <si>
    <t>Taxes equal the income statement</t>
  </si>
  <si>
    <t>Change in working capital equals the cash flow statement</t>
  </si>
  <si>
    <t>Property and equipment equal the balance sheet</t>
  </si>
  <si>
    <t>Loan balance equals the balance sheet</t>
  </si>
  <si>
    <t>Depreciation equals the income statement</t>
  </si>
  <si>
    <t>Cerebras Systems Inc. (Nasdaq: CBRS) | Income statement, balance sheet and cash flow, 2025A and 2026E-2035E</t>
  </si>
  <si>
    <t>2025A links to the 424B4 (balance sheet: the 31 Dec 2025 recast in the Q2 10-Q); 2026E links to Interim_Bridge; 2027E onward from Assumptions (active scenario), Backlog and Schedules. USD millions.</t>
  </si>
  <si>
    <t>Cloud: contracted backlog (30 Jun 2026)</t>
  </si>
  <si>
    <t>Growth</t>
  </si>
  <si>
    <t>Memo: cloud and inference revenue (backlog, renewals, option, other)</t>
  </si>
  <si>
    <t>Includes data center lease, power and pass-through costs.</t>
  </si>
  <si>
    <t>Yield x beginning cash, restricted cash and investments. Excluded from unlevered free cash flow.</t>
  </si>
  <si>
    <t>Net margin</t>
  </si>
  <si>
    <t>Memo: non-cash items and company-style measures</t>
  </si>
  <si>
    <t>New OpenAI warrant assets booked (non-cash; credited to equity)</t>
  </si>
  <si>
    <t>EBITDA (operating income + depreciation)</t>
  </si>
  <si>
    <t>EBITDA before stock pay and warrant amortization</t>
  </si>
  <si>
    <t>Balance sheet (31 December)</t>
  </si>
  <si>
    <t>Converted into common stock at the IPO (Q2 10-Q).</t>
  </si>
  <si>
    <t>Adds net income, stock pay and the loan interest deemed paid through services (model convention). No dividends or buybacks.</t>
  </si>
  <si>
    <t>Total liabilities, preferred stock and equity</t>
  </si>
  <si>
    <t>Cash flow</t>
  </si>
  <si>
    <t>No new equity or debt after the IPO; the revolver (US$850m) stays undrawn; no dividends or buybacks.</t>
  </si>
  <si>
    <t>Free cash flow (operating cash flow less capex)</t>
  </si>
  <si>
    <t>Free cash flow margin</t>
  </si>
  <si>
    <t>Cash roll-forward</t>
  </si>
  <si>
    <t>2025A revenue, net income and operating cash flow equal the 424B4</t>
  </si>
  <si>
    <t>2025A change in cash equals the 424B4</t>
  </si>
  <si>
    <t>2026E equals six months actual plus H2 (revenue, net income)</t>
  </si>
  <si>
    <t>Cerebras Systems Inc. (Nasdaq: CBRS) | Liquidity, debt, leases, commitments and credit metrics</t>
  </si>
  <si>
    <t>Balances at 30 Jun 2026 (the latest the filings give) unless stated. Leases are operating leases only (no finance leases in the filings). USD millions.</t>
  </si>
  <si>
    <t>A. Liquidity</t>
  </si>
  <si>
    <t>Restricted cash (not counted as liquidity)</t>
  </si>
  <si>
    <t>Q2 10-Q p. 21: the OpenAI loan proceeds "were recorded as restricted cash ... subject to contractual use restrictions and are available to fund permitted uses related to the build-out"; the loan "is secured by a first-priority security interest in the lockbox account". 424B4 p. F-14: also "cash advances received from customers". It backs the loan, so it stays out of the bridge.</t>
  </si>
  <si>
    <t>Revolving credit facility, undrawn</t>
  </si>
  <si>
    <t>Q2 10-Q p. 22: upsized to US$850.0m on 17 Jun 2026; matures 14 Apr 2031; not drawn at 30 Jun 2026; US$150.0m minimum liquidity covenant.</t>
  </si>
  <si>
    <t>Liquidity (cash + investments + undrawn revolver)</t>
  </si>
  <si>
    <t>B. Debt and debt-like items (all go into the valuation bridge)</t>
  </si>
  <si>
    <t>Working Capital Loan (OpenAI), principal outstanding</t>
  </si>
  <si>
    <t>Q2 10-Q p. 22: 1,004.6 received in January 2026 less 86.3 credited through services; 6% stated; matures by 31 Dec 2032; repaid in cash or services. Debt.</t>
  </si>
  <si>
    <t>Total debt and debt-like items</t>
  </si>
  <si>
    <t>Not included: customer warrants (equity-classified, Q2 10-Q pp. 24-25; their shares are in the diluted count), customer deposits (operating), operating leases (cost in cost of revenue).</t>
  </si>
  <si>
    <t>Net cash (cash + investments - debt)</t>
  </si>
  <si>
    <t>C. Operating leases (cost inside operating costs, so not debt in the bridge)</t>
  </si>
  <si>
    <t>Operating lease liabilities, present value</t>
  </si>
  <si>
    <t>Lease payments due: 2026 (remaining 6 months)</t>
  </si>
  <si>
    <t>Q2 10-Q p. 28</t>
  </si>
  <si>
    <t>Lease payments due: 2027</t>
  </si>
  <si>
    <t>Lease payments due: 2028</t>
  </si>
  <si>
    <t>Lease payments due: 2029</t>
  </si>
  <si>
    <t>Lease payments due: 2030</t>
  </si>
  <si>
    <t>Lease payments due: Thereafter</t>
  </si>
  <si>
    <t>Total future lease payments (undiscounted)</t>
  </si>
  <si>
    <t>Less: imputed interest</t>
  </si>
  <si>
    <t>Lease payments less interest equal the lease liability</t>
  </si>
  <si>
    <t>Leases signed in Q2 2026, not commenced at 30 Jun 2026 (undiscounted)</t>
  </si>
  <si>
    <t>Q2 10-Q p. 28: 'approximately $1.5 billion over the lease term'.</t>
  </si>
  <si>
    <t>Leases signed in Q3 2026: amount in the notes (subsequent events)</t>
  </si>
  <si>
    <t>Q2 10-Q p. 29 (Note 17): 'approximately $753.4 million over the lease term'.</t>
  </si>
  <si>
    <t>Leases signed in Q3 2026: amount in MD&amp;A</t>
  </si>
  <si>
    <t>Q2 10-Q p. 41 (MD&amp;A): 'approximately $2.3 billion over the respective lease term'. Same report, two amounts.</t>
  </si>
  <si>
    <t>Q3 lease amount used below: 1 = notes (753.4), 2 = MD&amp;A (2,300)</t>
  </si>
  <si>
    <t>2 by default: the larger amount, so the obligations below are not understated. The model's cash costs do not depend on this choice.</t>
  </si>
  <si>
    <t>Q3 2026 leases used</t>
  </si>
  <si>
    <t>Memo: gap between the two Q3 amounts</t>
  </si>
  <si>
    <t>All lease payments signed (in use + not commenced), undiscounted</t>
  </si>
  <si>
    <t>D. Other commitments</t>
  </si>
  <si>
    <t>Purchase commitments: H2 2026</t>
  </si>
  <si>
    <t>Q2 10-Q p. 28 (Note 16)</t>
  </si>
  <si>
    <t>Purchase commitments: 2027</t>
  </si>
  <si>
    <t>Purchase commitments: 2028</t>
  </si>
  <si>
    <t>Litigation: putative class action (copyright, filed October 2025)</t>
  </si>
  <si>
    <t>Q2 10-Q p. 28: no amount accrued or estimated. Not in the bridge.</t>
  </si>
  <si>
    <t>E. Credit metrics by year (active scenario)</t>
  </si>
  <si>
    <t>EBITDA</t>
  </si>
  <si>
    <t>Cash, restricted cash and investments</t>
  </si>
  <si>
    <t>Working Capital Loan</t>
  </si>
  <si>
    <t>Net cash</t>
  </si>
  <si>
    <t>Debt / EBITDA (x; 0 when EBITDA is negative)</t>
  </si>
  <si>
    <t>Lease liabilities on the balance sheet (memo; held flat in the forecast)</t>
  </si>
  <si>
    <t>Free cash flow</t>
  </si>
  <si>
    <t>Headroom over the US$150m minimum liquidity covenant</t>
  </si>
  <si>
    <t>Cerebras Systems Inc. (Nasdaq: CBRS) | Market package: price, diluted value, enterprise value and cost of capital</t>
  </si>
  <si>
    <t>Valuation date 27 Oct 2026; balance sheet date 30 Jun 2026. USD millions unless stated. Peers and trailing multiples: Comparables sheet.</t>
  </si>
  <si>
    <t>Ticker</t>
  </si>
  <si>
    <t>A. Dates and price</t>
  </si>
  <si>
    <t>Valuation date</t>
  </si>
  <si>
    <t>Date of the market price.</t>
  </si>
  <si>
    <t>Balance sheet date</t>
  </si>
  <si>
    <t>Latest statements: Q2 10-Q.</t>
  </si>
  <si>
    <t>Years from the balance sheet date to the valuation date</t>
  </si>
  <si>
    <t>Share price, close of 27 Oct 2026 (USD)</t>
  </si>
  <si>
    <t>Yahoo Finance daily chart data, close of 27 Oct 2026 (fetched 27 Oct 2026); FMP company profile the same day shows 119.31</t>
  </si>
  <si>
    <t>Basic shares, 5 Aug 2026 (millions)</t>
  </si>
  <si>
    <t>Equity value at the price, diluted</t>
  </si>
  <si>
    <t>Memo: market value of basic shares</t>
  </si>
  <si>
    <t>Less: cash, cash equivalents and investments, 30 Jun 2026</t>
  </si>
  <si>
    <t>Restricted cash excluded (Debt_Credit).</t>
  </si>
  <si>
    <t>Plus: debt (Working Capital Loan), 30 Jun 2026</t>
  </si>
  <si>
    <t>Enterprise value at the price</t>
  </si>
  <si>
    <t>Balances at 30 Jun 2026 against a 27 Oct 2026 price: H2 cash burn is not deducted (the DCF rolls it properly).</t>
  </si>
  <si>
    <t>Revenue, next twelve months (Nov 2026-Oct 2027: 2/6 x H2 2026E + 10/12 x 2027E)</t>
  </si>
  <si>
    <t>Same forecast path and date as the model; active scenario.</t>
  </si>
  <si>
    <t>EV / revenue, next twelve months (x)</t>
  </si>
  <si>
    <t>EV / revenue 2027E (x)</t>
  </si>
  <si>
    <t>EV / revenue 2028E (x)</t>
  </si>
  <si>
    <t>EV / EBITDA 2029E (x)</t>
  </si>
  <si>
    <t>EV / backlog at 30 Jun 2026 (x)</t>
  </si>
  <si>
    <t>B. Cost of capital</t>
  </si>
  <si>
    <t>Risk-free rate: 10-year US Treasury</t>
  </si>
  <si>
    <t>home.treasury.gov daily par yield curve, 10-year, 26 Oct 2026 (as read for the Meta and Anthropic models, dated source snapshot)</t>
  </si>
  <si>
    <t>Equity risk premium</t>
  </si>
  <si>
    <t>A. Damodaran implied ERP with adjusted payout, Oct 2026 (same source as the Meta and Anthropic models)</t>
  </si>
  <si>
    <t>Unlevered beta: median of the four AI chip and compute peers</t>
  </si>
  <si>
    <t>Comparables sheet: 2-year weekly betas against the S&amp;P 500, unlevered at 21% tax (peers file, 27 Oct 2026).</t>
  </si>
  <si>
    <t>Cerebras debt / market value of equity (basic shares at the price)</t>
  </si>
  <si>
    <t>Debt = Working Capital Loan; no finance leases or borrowings at 30 Jun 2026 (revolver undrawn). Equity = market cap, the basis the peers were unlevered on.</t>
  </si>
  <si>
    <t>Tax rate for relevering</t>
  </si>
  <si>
    <t>The rate the peers were unlevered at (Hamada).</t>
  </si>
  <si>
    <t>Beta used: unlevered x (1 + (1 - tax) x debt / equity)</t>
  </si>
  <si>
    <t>Memo: Cerebras raw beta (about five months of prices; not used)</t>
  </si>
  <si>
    <t>FMP company profile, 27 Oct 2026</t>
  </si>
  <si>
    <t>Cost of equity (CAPM)</t>
  </si>
  <si>
    <t>Cost of debt (Working Capital Loan stated rate)</t>
  </si>
  <si>
    <t>Tax shield on debt</t>
  </si>
  <si>
    <t>Same 21% as the relevering, for consistency; today's cash shield is nil (loss carryforwards), a small effect at this debt weight.</t>
  </si>
  <si>
    <t>Debt weight (debt / (debt + market cap))</t>
  </si>
  <si>
    <t>WACC</t>
  </si>
  <si>
    <t>C. Trading since the listing (memo)</t>
  </si>
  <si>
    <t>IPO price, 13 May 2026 (USD)</t>
  </si>
  <si>
    <t>Low since the listing (USD)</t>
  </si>
  <si>
    <t>FMP company profile 'range', fetched 27 Oct 2026</t>
  </si>
  <si>
    <t>High since the listing (USD)</t>
  </si>
  <si>
    <t>Cerebras Systems Inc. (Nasdaq: CBRS) | Trading comparables: AI chips and compute (trailing multiples)</t>
  </si>
  <si>
    <t>Peers file dated source snapshot (27 Oct 2026): SEC XBRL fundamentals, LTM to each peer's latest quarter; market caps of 27 Oct 2026. USD millions. Trailing only: no forward consensus was available.</t>
  </si>
  <si>
    <t>Company</t>
  </si>
  <si>
    <t>LTM period</t>
  </si>
  <si>
    <t>Market cap</t>
  </si>
  <si>
    <t>Debt</t>
  </si>
  <si>
    <t>Cash</t>
  </si>
  <si>
    <t>Enterprise value</t>
  </si>
  <si>
    <t>LTM revenue</t>
  </si>
  <si>
    <t>LTM EBITDA</t>
  </si>
  <si>
    <t>EV / LTM revenue (x)</t>
  </si>
  <si>
    <t>EV / LTM EBITDA (x)</t>
  </si>
  <si>
    <t>Revenue growth, LTM</t>
  </si>
  <si>
    <t>Unlevered beta</t>
  </si>
  <si>
    <t>NVIDIA CORP</t>
  </si>
  <si>
    <t>NVDA</t>
  </si>
  <si>
    <t>LTM to 2026-07-26</t>
  </si>
  <si>
    <t>SEC XBRL company facts; LTM = fiscal year + YTD - prior YTD (FY2026-01-25+YTD181d-prior); D&amp;A: DepreciationDepletionAndAmortization; debt: LongTermDebt 33,370 (incl. current 1,000), 26 Jul 2026; market cap: FMP batch market cap, 27 Oct 2026; beta: Yahoo Finance weekly adjusted closes vs S&amp;P 500, 2 years to 27 Oct 2026 (104 weeks), OLS slope; unlevered with Hamada at 21% tax, D = debt incl. finance leases, E = market cap</t>
  </si>
  <si>
    <t>ADVANCED MICRO DEVICES INC</t>
  </si>
  <si>
    <t>AMD</t>
  </si>
  <si>
    <t>LTM to 2026-06-27</t>
  </si>
  <si>
    <t>n.a.</t>
  </si>
  <si>
    <t>AMD: no current D&amp;A tag, so EBITDA n.a.</t>
  </si>
  <si>
    <t>SEC XBRL company facts; LTM = fiscal year + YTD - prior YTD (FY2025-12-27+YTD181d-prior); D&amp;A: not reported for the latest period; debt: DebtLongtermAndShorttermCombinedAmount 3,230, 27 Jun 2026; market cap: FMP batch market cap, 27 Oct 2026; beta: Yahoo Finance weekly adjusted closes vs S&amp;P 500, 2 years to 27 Oct 2026 (104 weeks), OLS slope; unlevered with Hamada at 21% tax, D = debt incl. finance leases, E = market cap</t>
  </si>
  <si>
    <t>Broadcom Inc.</t>
  </si>
  <si>
    <t>AVGO</t>
  </si>
  <si>
    <t>LTM to 2026-08-02</t>
  </si>
  <si>
    <t>SEC XBRL company facts; LTM = fiscal year + YTD - prior YTD (FY2025-11-02+YTD272d-prior); D&amp;A: Depreciation + AmortizationOfIntangibleAssets; debt: DebtLongtermAndShorttermCombinedAmount 61,080, 2 Aug 2026; market cap: Yahoo close 27 Oct 2026 US$342.33 x 4,773.6m shares (10-Q cover, 28 Aug 2026); beta: Yahoo Finance weekly adjusted closes vs S&amp;P 500, 2 years to 27 Oct 2026 (104 weeks), OLS slope; unlevered with Hamada at 21% tax, D = debt incl. finance leases, E = market cap</t>
  </si>
  <si>
    <t>CoreWeave, Inc.</t>
  </si>
  <si>
    <t>CRWV</t>
  </si>
  <si>
    <t>LTM to 2026-06-30</t>
  </si>
  <si>
    <t>SEC XBRL company facts; LTM = fiscal year + YTD - prior YTD (FY2025-12-31+YTD180d-prior); D&amp;A: DepreciationDepletionAndAmortization; debt: DebtInstrumentCarryingAmount 35,550 + FinanceLeaseLiability 220, 30 Jun 2026; market cap: FMP profile, 27 Oct 2026 (saved by the SpaceX build); beta: Yahoo Finance weekly adjusted closes vs S&amp;P 500, 2 years to 27 Oct 2026 (83 weeks), OLS slope; unlevered with Hamada at 21% tax, D = debt incl. finance leases, E = market cap</t>
  </si>
  <si>
    <t>25th percentile</t>
  </si>
  <si>
    <t>Median</t>
  </si>
  <si>
    <t>EBITDA median from NVDA, AVGO and CRWV (AMD n.a.).</t>
  </si>
  <si>
    <t>75th percentile</t>
  </si>
  <si>
    <t>Cerebras (LTM to 30 Jun 2026: Q3 2025 to Q2 2026)</t>
  </si>
  <si>
    <t>CBRS</t>
  </si>
  <si>
    <t>LTM = FY2025 - 6M 2025 + 6M 2026 (IS_Hist); EBITDA = operating loss + depreciation; growth against Q3 2024-Q2 2025 (Quarterly_Hist). Market cap of basic shares at US$119.31.</t>
  </si>
  <si>
    <t>Scale and profit gap: these multiples are a ceiling-type reference</t>
  </si>
  <si>
    <t>Cerebras LTM revenue / peer median LTM revenue</t>
  </si>
  <si>
    <t>Peers are tens to hundreds of times larger.</t>
  </si>
  <si>
    <t>Peer median LTM EBITDA margin (NVDA, AVGO, CRWV)</t>
  </si>
  <si>
    <t>Cerebras LTM EBITDA margin</t>
  </si>
  <si>
    <t>Loss-making: the EBITDA multiple cannot be applied.</t>
  </si>
  <si>
    <t>Revenue growth, LTM: Cerebras less the peer median (pp)</t>
  </si>
  <si>
    <t>Implied value per share (trailing EV / LTM revenue applied to Cerebras LTM revenue; scenario-independent)</t>
  </si>
  <si>
    <t>Step</t>
  </si>
  <si>
    <t>Implied enterprise value</t>
  </si>
  <si>
    <t>Plus: cash, cash equivalents and investments, 30 Jun 2026</t>
  </si>
  <si>
    <t>Restricted cash excluded: it backs the OpenAI loan (Debt_Credit).</t>
  </si>
  <si>
    <t>Less: Working Capital Loan</t>
  </si>
  <si>
    <t>Equity value</t>
  </si>
  <si>
    <t>Value per share (USD)</t>
  </si>
  <si>
    <t>Same bridge and diluted count as the DCF, at 30 Jun 2026 balances (no roll).</t>
  </si>
  <si>
    <t>EV / LTM EBITDA (median 26.2x): applied only if Cerebras LTM EBITDA is positive</t>
  </si>
  <si>
    <t>Median EV / LTM revenue equals the peers file</t>
  </si>
  <si>
    <t>To 4 decimals: the file computes its ratios on unrounded revenue; its revenue fields are rounded to US$1m.</t>
  </si>
  <si>
    <t>Median EV / LTM EBITDA equals the peers file</t>
  </si>
  <si>
    <t>Median unlevered beta equals the peers file</t>
  </si>
  <si>
    <t>Enterprise values equal the peers file</t>
  </si>
  <si>
    <t>Cerebras LTM revenue equals the last four quarters</t>
  </si>
  <si>
    <t>Cerebras Systems Inc. (Nasdaq: CBRS) | Discounted cash flow: unlevered free cash flow, perpetuity and exit multiple</t>
  </si>
  <si>
    <t>Cash flows from 1 Jul 2026, mid-period, discounted to 30 Jun 2026; the perpetuity flows are mid-year too, so the Gordon value carries x(1+WACC)^0.5. Then rolled to 27 Oct 2026. Active scenario. USD millions except per share.</t>
  </si>
  <si>
    <t>Less: taxes on operating income</t>
  </si>
  <si>
    <t>Plus: customer warrant amortization (non-cash)</t>
  </si>
  <si>
    <t>Years from 30 Jun 2026 to mid-period</t>
  </si>
  <si>
    <t>Discount factor</t>
  </si>
  <si>
    <t>Present value</t>
  </si>
  <si>
    <t>Unlevered free cash flow equals Schedules</t>
  </si>
  <si>
    <t>Value (perpetuity growth method)</t>
  </si>
  <si>
    <t>Terminal growth</t>
  </si>
  <si>
    <t>Sum of present values, H2 2026E-2035E</t>
  </si>
  <si>
    <t>NOPAT 2036E (2035E x (1 + growth))</t>
  </si>
  <si>
    <t>Reinvestment rate (growth / ROIC)</t>
  </si>
  <si>
    <t>Free cash flow 2036E (NOPAT x (1 - reinvestment))</t>
  </si>
  <si>
    <t>Terminal value at 31 Dec 2035 (mid-year flows: x(1+WACC)^0.5)</t>
  </si>
  <si>
    <t>Same convention as the explicit years: each year's flow arrives mid-year.</t>
  </si>
  <si>
    <t>Years from 30 Jun 2026 to 31 Dec 2035</t>
  </si>
  <si>
    <t>Present value of the terminal value</t>
  </si>
  <si>
    <t>Enterprise value at 30 Jun 2026</t>
  </si>
  <si>
    <t>Restricted cash excluded.</t>
  </si>
  <si>
    <t>Less: Working Capital Loan, 30 Jun 2026</t>
  </si>
  <si>
    <t>Equity value at 30 Jun 2026</t>
  </si>
  <si>
    <t>Enterprise value rolled to 27 Oct 2026 (x (1+WACC)^years)</t>
  </si>
  <si>
    <t>H2 2026 flows to 27 Oct are inside the enterprise value; rolling keeps them at their value on the valuation date.</t>
  </si>
  <si>
    <t>Plus: cash and investments rolled at the interest yield</t>
  </si>
  <si>
    <t>Interest on cash is excluded from unlevered free cash flow and credited here, only to the valuation date; after it, cash is worth its face value.</t>
  </si>
  <si>
    <t>Less: loan rolled at its 6% stated rate</t>
  </si>
  <si>
    <t>Equity value at 27 Oct 2026</t>
  </si>
  <si>
    <t>Value against the price</t>
  </si>
  <si>
    <t>Terminal value share of enterprise value</t>
  </si>
  <si>
    <t>Implied EV / EBITDA 2035E at the terminal value (x)</t>
  </si>
  <si>
    <t>Why the perpetuity value is a low multiple of 2035E EBITDA (diagnosis; active scenario)</t>
  </si>
  <si>
    <t>EBITDA 2035E</t>
  </si>
  <si>
    <t>Depreciation 2035E: share of EBITDA</t>
  </si>
  <si>
    <t>Taxes: share of operating income 2035E</t>
  </si>
  <si>
    <t>NOPAT / EBITDA 2035E = (1 - depreciation share) x (1 - tax share)</t>
  </si>
  <si>
    <t>Growth factor: (1 + g) x (1 - g / ROIC)</t>
  </si>
  <si>
    <t>Spread factor: 1 / (WACC - g)</t>
  </si>
  <si>
    <t>Mid-year factor: (1 + WACC)^0.5</t>
  </si>
  <si>
    <t>Implied EV / EBITDA = NOPAT/EBITDA x growth x spread x mid-year</t>
  </si>
  <si>
    <t>Capex / depreciation 2035E (near 1 = depreciation is the maintenance spend)</t>
  </si>
  <si>
    <t>WACC that the exit multiple implies, same NOPAT/EBITDA and growth</t>
  </si>
  <si>
    <t>Approximation: the mid-year factor is held at the model WACC.</t>
  </si>
  <si>
    <t>Reading: the gap is the value-driver formula working on a capital-heavy business. A peer-style EBITDA multiple ignores depreciation and tax; the perpetuity value pays only for NOPAT.</t>
  </si>
  <si>
    <t>Depreciation: the 2027-2029 build-out runs through a 4-year life, so depreciation stays a large share of 2035E EBITDA. Capex is close to depreciation in 2035E, so the formula's implicit maintenance spend equals depreciation: no double count.</t>
  </si>
  <si>
    <t>Taxes: loss carryforwards are used up early; from then on taxes take the statutory 21% of operating income.</t>
  </si>
  <si>
    <t>WACC: the spread factor 1 / (WACC - g) sets the NOPAT multiple. The exit multiple of 12x is only consistent with the WACC in the row above, far below the model's.</t>
  </si>
  <si>
    <t>Conclusion: no input is wrong. The exit multiple is a cross-check that assumes a low-capital, peer-like business in 2035; the perpetuity method is the model's value.</t>
  </si>
  <si>
    <t>Value (exit multiple method, cross-check)</t>
  </si>
  <si>
    <t>Exit EV / EBITDA 2035E (x)</t>
  </si>
  <si>
    <t>Terminal value at 31 Dec 2035 (a point value; no mid-year factor)</t>
  </si>
  <si>
    <t>Enterprise value rolled to 27 Oct 2026</t>
  </si>
  <si>
    <t>Diagnosis rebuilds the implied EV / EBITDA</t>
  </si>
  <si>
    <t>Cerebras Systems Inc. (Nasdaq: CBRS) | Valuation: DCF by scenario, what the price implies, reverse DCF and football field</t>
  </si>
  <si>
    <t>Per-share values in USD on the diluted count. Comparables are trailing (no forward consensus available).</t>
  </si>
  <si>
    <t>A. DCF value per share by scenario (captured by the build) against the price</t>
  </si>
  <si>
    <t>Scenario</t>
  </si>
  <si>
    <t>Perpetuity</t>
  </si>
  <si>
    <t>Exit multiple</t>
  </si>
  <si>
    <t>Price</t>
  </si>
  <si>
    <t>Perpetuity vs price</t>
  </si>
  <si>
    <t>Comparables: trailing EV / LTM revenue, median (same in every scenario)</t>
  </si>
  <si>
    <t>Comparables sheet. A ceiling-type reference: peers are far larger and profitable; Cerebras LTM EBITDA is negative, so no EBITDA multiple.</t>
  </si>
  <si>
    <t>B. What the price implies (active scenario)</t>
  </si>
  <si>
    <t>C. Reverse DCF: growth shift on other cloud revenue (all years 2027E-2035E) against value per share (Base, captured)</t>
  </si>
  <si>
    <t>Growth shift (pp)</t>
  </si>
  <si>
    <t>Shift</t>
  </si>
  <si>
    <t>Value per share</t>
  </si>
  <si>
    <t>Revenue 2035E</t>
  </si>
  <si>
    <t>Revenue CAGR 2026E-2035E</t>
  </si>
  <si>
    <t>Shift of -20 pp</t>
  </si>
  <si>
    <t>Shift of -10 pp</t>
  </si>
  <si>
    <t>Shift of +0 pp</t>
  </si>
  <si>
    <t>Shift of +10 pp</t>
  </si>
  <si>
    <t>Shift of +20 pp</t>
  </si>
  <si>
    <t>Shift of +30 pp</t>
  </si>
  <si>
    <t>Shift of +40 pp</t>
  </si>
  <si>
    <t>Shift of +50 pp</t>
  </si>
  <si>
    <t>Shift of +60 pp</t>
  </si>
  <si>
    <t>Captured by the build</t>
  </si>
  <si>
    <t>MOG build 2026-10-27: Base scenario, margin shift 0</t>
  </si>
  <si>
    <t>Growth shift the price needs (interpolated)</t>
  </si>
  <si>
    <t>Linear interpolation between the two grid points around the price; Base scenario.</t>
  </si>
  <si>
    <t>Revenue 2035E at that shift (interpolated)</t>
  </si>
  <si>
    <t>Revenue CAGR 2026E-2035E the price needs</t>
  </si>
  <si>
    <t>Revenue CAGR 2026E-2035E in the active scenario</t>
  </si>
  <si>
    <t>D. Football field: value per share by method</t>
  </si>
  <si>
    <t>Method</t>
  </si>
  <si>
    <t>Low</t>
  </si>
  <si>
    <t>Mid</t>
  </si>
  <si>
    <t>High</t>
  </si>
  <si>
    <t>Low basis</t>
  </si>
  <si>
    <t>Mid basis</t>
  </si>
  <si>
    <t>High basis</t>
  </si>
  <si>
    <t>DCF, perpetuity growth</t>
  </si>
  <si>
    <t>Scenario_Summary (captured)</t>
  </si>
  <si>
    <t>DCF, exit multiple</t>
  </si>
  <si>
    <t>Trading since the listing</t>
  </si>
  <si>
    <t>Close 27 Oct 2026</t>
  </si>
  <si>
    <t>FMP profile range; Yahoo close</t>
  </si>
  <si>
    <t>Comparables, trailing EV / LTM revenue</t>
  </si>
  <si>
    <t>25th pct</t>
  </si>
  <si>
    <t>75th pct</t>
  </si>
  <si>
    <t>Comparables sheet; ceiling-type reference</t>
  </si>
  <si>
    <t>IPO price</t>
  </si>
  <si>
    <t>IPO</t>
  </si>
  <si>
    <t>424B4</t>
  </si>
  <si>
    <t>E. Probability-weighted DCF value (weights are a convention)</t>
  </si>
  <si>
    <t>Weight: Bear</t>
  </si>
  <si>
    <t>Weight: Base</t>
  </si>
  <si>
    <t>Weight: Bull</t>
  </si>
  <si>
    <t>Weighted value per share</t>
  </si>
  <si>
    <t>Weights add to 100%</t>
  </si>
  <si>
    <t>Cerebras Systems Inc. (Nasdaq: CBRS) | Sensitivity of value per share (USD)</t>
  </si>
  <si>
    <t>Table 1 is live (formulas, active scenario). Table 2 is captured by re-running the model in the build (Base scenario).</t>
  </si>
  <si>
    <t>Table 1. WACC (rows) against terminal growth (columns); perpetuity method, live</t>
  </si>
  <si>
    <t>WACC \ terminal growth</t>
  </si>
  <si>
    <t>Centre cell equals the DCF value per share</t>
  </si>
  <si>
    <t>Table 2. Other cloud revenue growth shift, 2027E-2035E (rows) against cloud gross margin shift (columns); Base, captured</t>
  </si>
  <si>
    <t>Growth shift \ cloud margin shift</t>
  </si>
  <si>
    <t>MOG build 2026-10-27: Base scenario, all other inputs as saved</t>
  </si>
  <si>
    <t>Table 2 centre equals the Base DCF value (captured)</t>
  </si>
  <si>
    <t>Cerebras Systems Inc. (Nasdaq: CBRS) | Scenario summary: Base, Bull and Bear</t>
  </si>
  <si>
    <t>Column C is live (active scenario). Columns D to F were captured by the build, running the switch 1, 2, 3 with the sensitivity shifts at zero.</t>
  </si>
  <si>
    <t>Output</t>
  </si>
  <si>
    <t>Live</t>
  </si>
  <si>
    <t>Revenue 2026E</t>
  </si>
  <si>
    <t>Revenue 2027E</t>
  </si>
  <si>
    <t>Revenue 2028E</t>
  </si>
  <si>
    <t>Revenue 2030E</t>
  </si>
  <si>
    <t>Gross margin 2027E</t>
  </si>
  <si>
    <t>Gross margin 2030E</t>
  </si>
  <si>
    <t>Operating margin 2027E</t>
  </si>
  <si>
    <t>Operating margin 2030E</t>
  </si>
  <si>
    <t>Operating margin 2035E</t>
  </si>
  <si>
    <t>EBITDA 2030E</t>
  </si>
  <si>
    <t>Unlevered free cash flow, 2027E-2030E total</t>
  </si>
  <si>
    <t>Cash, restricted cash and investments 2030E</t>
  </si>
  <si>
    <t>Enterprise value, perpetuity method (27 Oct 2026)</t>
  </si>
  <si>
    <t>DCF value per share, exit multiple (USD)</t>
  </si>
  <si>
    <t>Perpetuity value against the price</t>
  </si>
  <si>
    <t>MOG build 2026-10-27: switch 1, 2, 3 with sensitivity shifts at 0</t>
  </si>
  <si>
    <t>With the switch on Base, live equals the captured Base</t>
  </si>
  <si>
    <t>Order Bear &lt;= Base &lt;= Bull: Revenue 2027E</t>
  </si>
  <si>
    <t>Order Bear &lt;= Base &lt;= Bull: Revenue 2030E</t>
  </si>
  <si>
    <t>Order Bear &lt;= Base &lt;= Bull: Revenue 2035E</t>
  </si>
  <si>
    <t>Order Bear &lt;= Base &lt;= Bull: Gross margin 2030E</t>
  </si>
  <si>
    <t>Order Bear &lt;= Base &lt;= Bull: Operating margin 2030E</t>
  </si>
  <si>
    <t>Order Bear &lt;= Base &lt;= Bull: Operating margin 2035E</t>
  </si>
  <si>
    <t>Order Bear &lt;= Base &lt;= Bull: EBITDA 2030E</t>
  </si>
  <si>
    <t>Order Bear &lt;= Base &lt;= Bull: DCF value per share, perpetuity (USD)</t>
  </si>
  <si>
    <t>Order Bear &lt;= Base &lt;= Bull: DCF value per share, exit multiple (USD)</t>
  </si>
  <si>
    <t>Cerebras Systems Inc. (Nasdaq: CBRS) | Limitations of this model</t>
  </si>
  <si>
    <t>Read before using any number.</t>
  </si>
  <si>
    <t>#</t>
  </si>
  <si>
    <t>Limitation</t>
  </si>
  <si>
    <t>Effect</t>
  </si>
  <si>
    <t>Customer concentration: MBZUAI was 34% of Q2 2026 revenue and 62% of FY2025; G42 85% of FY2024; an unnamed Customer B 32% of Q2 2026. Most of the US$25.4bn backlog is one contract (OpenAI).</t>
  </si>
  <si>
    <t>One customer decision moves most of the value. Bear cuts backlog realization to 85%.</t>
  </si>
  <si>
    <t>The Q2 10-Q does not name Customer B. OpenAI revenue was US$56.8m in Q2 2026 = 32% of revenue, so B is probably OpenAI: an inference, not a filed fact. Labels are kept as filed.</t>
  </si>
  <si>
    <t>None on the numbers.</t>
  </si>
  <si>
    <t>The same Q2 10-Q gives two amounts for the Q3 2026 data center leases: US$753.4m in the notes (p. 29) and US$2.3bn in MD&amp;A (p. 41). Both are on Debt_Credit with a selector (default: US$2.3bn).</t>
  </si>
  <si>
    <t>Changes the obligations memo only; lease cash costs sit inside the cloud gross margin input.</t>
  </si>
  <si>
    <t>The Q3 2026 10-Q is not filed yet (due November 2026). The latest statements are at 30 Jun 2026; Quarterly_Hist column L waits for Q3. H2 2026E is an estimate.</t>
  </si>
  <si>
    <t>2026E rests on H2 inputs.</t>
  </si>
  <si>
    <t>Comparables are trailing only: no forward consensus was available (the FMP plan denied analyst estimates). Peers (NVDA, AMD, AVGO, CRWV) are far larger and profitable while Cerebras' LTM EBITDA is negative, so EV / LTM revenue is a ceiling-type reference and the EBITDA multiple is not applied. NBIS was dropped by the peers file (no 2026 SEC data).</t>
  </si>
  <si>
    <t>Comparables value per share is the same in every scenario.</t>
  </si>
  <si>
    <t>Backlog conversion: the filing gives three windows (22% / 43% / 35%); the spread inside each window, the renewal rate and the option revenue are conventions. Whether the US$25.4bn backlog is gross or net of the warrant reduction is not stated; the model reads it as gross (Backlog, row 'basis', with the quotes), so reported revenue = schedule less warrant amortization.</t>
  </si>
  <si>
    <t>Setting 'basis' to 2 (net) raises cash revenue by the US$1.13bn warrant asset over 2026-2031; Sensitivity and the reverse DCF show the timing range.</t>
  </si>
  <si>
    <t>Stock pay method: existing options, RSUs and warrants are in the diluted count (treasury method at the market price); their remaining expense (estimated floor US$126.8m) is added back in the DCF. New grants and the CEO/CTO PRSUs (excluded from the count) stay a cost.</t>
  </si>
  <si>
    <t>No double count. Including the PRSUs as shares instead would cut value by about 3%.</t>
  </si>
  <si>
    <t>The Q2 2026 IPO catch-up is not split in the 10-Q. The 424B4 expected US$370.9m; the run rate is a separate H2 input. The 6M 2026 actual includes the catch-up.</t>
  </si>
  <si>
    <t>History only; the forecast uses run rate.</t>
  </si>
  <si>
    <t>Customer warrants (US$1.13bn asset) are equity-classified (Q2 10-Q pp. 24-25): not debt. Their amortization is non-cash inside revenue and added back in the DCF; the 23.4m unvested OpenAI shares vest on capacity delivery dates covering the 750 MW and the 1.25 GW option (424B4 p. 86) with no split by tranche, so they are split pro rata to MW (Backlog E): the committed part is in the count in every scenario, the option part only for the share exercised (Bull). New tranches are booked at the US$82.02 grant-date value and amortized as contra-revenue with the related revenue.</t>
  </si>
  <si>
    <t>Non-cash: reported margins fall, cash flows do not; the pro-rata split is a convention.</t>
  </si>
  <si>
    <t>Working Capital Loan (US$918.2m) is treated as debt at principal, rolled at 6%. It is repaid through services, and interest on such repayments is deemed paid; the model books that interest as non-cash and credits it to equity.</t>
  </si>
  <si>
    <t>Conservative by up to the loan's interest.</t>
  </si>
  <si>
    <t>Restricted cash (US$684.7m) is left out of the valuation bridge: it holds the OpenAI loan proceeds restricted to the MRA build-out and secured to the loan through a lockbox (Q2 10-Q p. 21), plus customer advances (424B4 p. F-14). The loan is deducted in full and the build-out capex is in the forecast, so this is conservative. Taxes use book income as taxable income; loss carryforwards are estimated from the deferred tax asset (US$123.5m / 21%).</t>
  </si>
  <si>
    <t>Adding restricted cash would add about US$2.30 a share.</t>
  </si>
  <si>
    <t>Operating leases stay in operating costs and the balance sheet holds right-of-use assets and lease liabilities flat; new leases (US$1.5bn signed in Q2, more in Q3) appear only through the cloud gross margin input.</t>
  </si>
  <si>
    <t>Lease growth is in the cash cost, not on the balance sheet.</t>
  </si>
  <si>
    <t>Price: Yahoo Finance close of 27 Oct 2026 (US$119.31), confirmed by the FMP profile; risk-free rate and ERP as read for the Meta model on 26 Oct 2026.</t>
  </si>
  <si>
    <t>Values move with markets.</t>
  </si>
  <si>
    <t>Quarterly cash flows: Q1 2025 and Q1 2026 as filed, Q2 2025 and Q2 2026 derived (six months less Q1). The 2024 quarters and Q3, Q4 2025 cannot be derived: the 424B4 gives annual cash flows only; H2 2025 is shown as a memo. Not checked: the S-1 of 17 Apr 2026 against the 424B4 (the 424B4 is the base).</t>
  </si>
  <si>
    <t>None on the forecast.</t>
  </si>
  <si>
    <t>WACC: unlevered peer beta (median 1.854) relevered at Cerebras' debt / market cap with 21% tax; the 21% shield on the loan is a convention (today's cash shield is nil). Terminal value: the perpetuity value implies a low EBITDA multiple because depreciation is a large share of 2035E EBITDA and the WACC is high; the diagnosis is on the DCF sheet.</t>
  </si>
  <si>
    <t>The exit-multiple value is a cross-check only.</t>
  </si>
  <si>
    <t>Cerebras Systems Inc. (Nasdaq: CBRS) | Checks</t>
  </si>
  <si>
    <t>Every check on every sheet, linked here. Column C shows the largest absolute difference in the check row; zero passes. The master passes below 0.01.</t>
  </si>
  <si>
    <t>Master check (all checks below)</t>
  </si>
  <si>
    <t>Check</t>
  </si>
  <si>
    <t>Value (0 = pass)</t>
  </si>
  <si>
    <t>Range</t>
  </si>
  <si>
    <t>B37:E37</t>
  </si>
  <si>
    <t>B38:E38</t>
  </si>
  <si>
    <t>B39:E39</t>
  </si>
  <si>
    <t>B40:E40</t>
  </si>
  <si>
    <t>B41:E41</t>
  </si>
  <si>
    <t>B42:E42</t>
  </si>
  <si>
    <t>B43:E43</t>
  </si>
  <si>
    <t>B44:C44</t>
  </si>
  <si>
    <t>B45:E45</t>
  </si>
  <si>
    <t>B14:E14</t>
  </si>
  <si>
    <t>B15:E15</t>
  </si>
  <si>
    <t>B57:F57</t>
  </si>
  <si>
    <t>B58:F58</t>
  </si>
  <si>
    <t>B59:F59</t>
  </si>
  <si>
    <t>B60:F60</t>
  </si>
  <si>
    <t>B61:F61</t>
  </si>
  <si>
    <t>B62:F62</t>
  </si>
  <si>
    <t>B63:F63</t>
  </si>
  <si>
    <t>D64:D64</t>
  </si>
  <si>
    <t>B59:E59</t>
  </si>
  <si>
    <t>B60:E60</t>
  </si>
  <si>
    <t>B61:E61</t>
  </si>
  <si>
    <t>B62:E62</t>
  </si>
  <si>
    <t>B63:E63</t>
  </si>
  <si>
    <t>B64:E64</t>
  </si>
  <si>
    <t>B65:E65</t>
  </si>
  <si>
    <t>C66:E66</t>
  </si>
  <si>
    <t>K61:K61</t>
  </si>
  <si>
    <t>K62:K62</t>
  </si>
  <si>
    <t>C63:C63</t>
  </si>
  <si>
    <t>K64:K64</t>
  </si>
  <si>
    <t>K65:K65</t>
  </si>
  <si>
    <t>C66:C66</t>
  </si>
  <si>
    <t>K67:K67</t>
  </si>
  <si>
    <t>K68:K68</t>
  </si>
  <si>
    <t>C69:C69</t>
  </si>
  <si>
    <t>K70:K70</t>
  </si>
  <si>
    <t>K71:K71</t>
  </si>
  <si>
    <t>C72:C72</t>
  </si>
  <si>
    <t>K73:K73</t>
  </si>
  <si>
    <t>B76:K76</t>
  </si>
  <si>
    <t>B77:K77</t>
  </si>
  <si>
    <t>B78:K78</t>
  </si>
  <si>
    <t>F79:K79</t>
  </si>
  <si>
    <t>F80:K80</t>
  </si>
  <si>
    <t>F81:K81</t>
  </si>
  <si>
    <t>F82:K82</t>
  </si>
  <si>
    <t>J83:J83</t>
  </si>
  <si>
    <t>J84:J84</t>
  </si>
  <si>
    <t>B85:E85</t>
  </si>
  <si>
    <t>B86:E86</t>
  </si>
  <si>
    <t>B87:E87</t>
  </si>
  <si>
    <t>B88:E88</t>
  </si>
  <si>
    <t>C89:E89</t>
  </si>
  <si>
    <t>B76:E76</t>
  </si>
  <si>
    <t>B77:E77</t>
  </si>
  <si>
    <t>B78:E78</t>
  </si>
  <si>
    <t>B79:E79</t>
  </si>
  <si>
    <t>B80:E80</t>
  </si>
  <si>
    <t>B81:E81</t>
  </si>
  <si>
    <t>B82:E82</t>
  </si>
  <si>
    <t>B83:E83</t>
  </si>
  <si>
    <t>B84:E84</t>
  </si>
  <si>
    <t>C53:C53</t>
  </si>
  <si>
    <t>C54:C54</t>
  </si>
  <si>
    <t>C55:C55</t>
  </si>
  <si>
    <t>C56:C56</t>
  </si>
  <si>
    <t>C57:C57</t>
  </si>
  <si>
    <t>C58:C58</t>
  </si>
  <si>
    <t>C59:C59</t>
  </si>
  <si>
    <t>C60:C60</t>
  </si>
  <si>
    <t>B61:B61</t>
  </si>
  <si>
    <t>B49:B49</t>
  </si>
  <si>
    <t>B50:B50</t>
  </si>
  <si>
    <t>B51:B51</t>
  </si>
  <si>
    <t>B52:B52</t>
  </si>
  <si>
    <t>B53:B53</t>
  </si>
  <si>
    <t>B79:D79</t>
  </si>
  <si>
    <t>B80:B80</t>
  </si>
  <si>
    <t>B81:B81</t>
  </si>
  <si>
    <t>B82:B82</t>
  </si>
  <si>
    <t>E83:G83</t>
  </si>
  <si>
    <t>C51:L51</t>
  </si>
  <si>
    <t>C52:L52</t>
  </si>
  <si>
    <t>C53:L53</t>
  </si>
  <si>
    <t>C54:L54</t>
  </si>
  <si>
    <t>C55:L55</t>
  </si>
  <si>
    <t>B88:L88</t>
  </si>
  <si>
    <t>C89:L89</t>
  </si>
  <si>
    <t>B90:B90</t>
  </si>
  <si>
    <t>B91:B91</t>
  </si>
  <si>
    <t>C92:C92</t>
  </si>
  <si>
    <t>B28:B28</t>
  </si>
  <si>
    <t>J32:J32</t>
  </si>
  <si>
    <t>K33:K33</t>
  </si>
  <si>
    <t>M34:M34</t>
  </si>
  <si>
    <t>G35:G35</t>
  </si>
  <si>
    <t>H36:H36</t>
  </si>
  <si>
    <t>C18:L18</t>
  </si>
  <si>
    <t>C47:C47</t>
  </si>
  <si>
    <t>D11:D11</t>
  </si>
  <si>
    <t>D21:D21</t>
  </si>
  <si>
    <t>C26:C26</t>
  </si>
  <si>
    <t>D27:D27</t>
  </si>
  <si>
    <t>D28:D28</t>
  </si>
  <si>
    <t>D29:D29</t>
  </si>
  <si>
    <t>D30:D30</t>
  </si>
  <si>
    <t>D31:D31</t>
  </si>
  <si>
    <t>D32:D32</t>
  </si>
  <si>
    <t>D33:D33</t>
  </si>
  <si>
    <t>D34:D34</t>
  </si>
  <si>
    <t>D35:D35</t>
  </si>
  <si>
    <t>Cerebras Systems Inc. (Nasdaq: CBRS) | Format rules (OpenFinmods palette)</t>
  </si>
  <si>
    <t>Colours from the OpenFinmods public palette, as in meta.xlsx and anthropic.xlsx. The number colour code does not change: blue typed, black formula, green link to another sheet.</t>
  </si>
  <si>
    <t>Role</t>
  </si>
  <si>
    <t>Applies to</t>
  </si>
  <si>
    <t>Hex</t>
  </si>
  <si>
    <t>Pigment</t>
  </si>
  <si>
    <t>Note</t>
  </si>
  <si>
    <t>Swatch</t>
  </si>
  <si>
    <t>Sheet title</t>
  </si>
  <si>
    <t>Row 1 title of every sheet (Arial 10 bold)</t>
  </si>
  <si>
    <t>#5A2331</t>
  </si>
  <si>
    <t>Borgona</t>
  </si>
  <si>
    <t>Text colour only.</t>
  </si>
  <si>
    <t>Year band, label and actual years</t>
  </si>
  <si>
    <t>Header row over the label column and the actual years</t>
  </si>
  <si>
    <t>#F6F3EC</t>
  </si>
  <si>
    <t>Crema</t>
  </si>
  <si>
    <t>Year band, forecast years</t>
  </si>
  <si>
    <t>Header row over the forecast years</t>
  </si>
  <si>
    <t>#EAE2DD</t>
  </si>
  <si>
    <t>Borgona 8% on crema</t>
  </si>
  <si>
    <t>Notes columns header</t>
  </si>
  <si>
    <t>Header of column M (Comentarios FG) and the source columns</t>
  </si>
  <si>
    <t>#D3D2CF</t>
  </si>
  <si>
    <t>Navy 15% on crema</t>
  </si>
  <si>
    <t>Input and scenario rows</t>
  </si>
  <si>
    <t>Fill of input cells (Assumptions, switches, weights, conventions)</t>
  </si>
  <si>
    <t>#EBDDC8</t>
  </si>
  <si>
    <t>Ocre 20% on crema</t>
  </si>
  <si>
    <t>Blue on it: 5.41:1.</t>
  </si>
  <si>
    <t>Tab, cover and checks</t>
  </si>
  <si>
    <t>00_Cover, Checks, FormatRules</t>
  </si>
  <si>
    <t>#0E1A2B</t>
  </si>
  <si>
    <t>Navy</t>
  </si>
  <si>
    <t>Tab, source sheets</t>
  </si>
  <si>
    <t>Filed statements and notes, Cap_Table, Limitations</t>
  </si>
  <si>
    <t>#6A7689</t>
  </si>
  <si>
    <t>Gris</t>
  </si>
  <si>
    <t>Tab, model sheets</t>
  </si>
  <si>
    <t>Backlog, Assumptions to Debt_Credit</t>
  </si>
  <si>
    <t>Tab, output sheets</t>
  </si>
  <si>
    <t>Market_Package, Comparables, DCF, Valuation, Sensitivity, Scenario_Summary</t>
  </si>
  <si>
    <t>#C0873A</t>
  </si>
  <si>
    <t>Ocre</t>
  </si>
  <si>
    <t>Typed number (code, unchanged)</t>
  </si>
  <si>
    <t>Hard-coded inputs and filed numbers</t>
  </si>
  <si>
    <t>#0432FF</t>
  </si>
  <si>
    <t>Standard financial-model number colours</t>
  </si>
  <si>
    <t>Blue = typed.</t>
  </si>
  <si>
    <t>Formula and text (code, unchanged)</t>
  </si>
  <si>
    <t>Formulas and labels</t>
  </si>
  <si>
    <t>#000000</t>
  </si>
  <si>
    <t>Black = formula.</t>
  </si>
  <si>
    <t>Link to another sheet (code, unchanged)</t>
  </si>
  <si>
    <t>References to other sheets, also through N()</t>
  </si>
  <si>
    <t>#00703C</t>
  </si>
  <si>
    <t>Green = link.</t>
  </si>
  <si>
    <t>Check (code, unchanged)</t>
  </si>
  <si>
    <t>Check rows, through the number format [Red]</t>
  </si>
  <si>
    <t>#FF0000</t>
  </si>
  <si>
    <t>Turn #</t>
  </si>
  <si>
    <t>Date</t>
  </si>
  <si>
    <t>User Request</t>
  </si>
  <si>
    <t>Action Taken</t>
  </si>
  <si>
    <t>Details</t>
  </si>
  <si>
    <t>Outcome</t>
  </si>
  <si>
    <t>Prepare a public model copy</t>
  </si>
  <si>
    <t>Remove local paths and private build references; preserve financial formulas and inputs</t>
  </si>
  <si>
    <t>Agent run with MOG as the tool, checked by guard v1. The guard measured every sheet before and after the run.
Changed: 00_Cover: 1 cell written, at B56; Market_Package: 1 cell written, at E26; Comparables: 1 cell written, at A2; FormatRules: 6 cells written, at A1, A2, D14, D15, D16, D17.
Other actions: clear x1.
Agent: OpenFinmods export</t>
  </si>
  <si>
    <t>Compare against source and review public copy</t>
  </si>
</sst>
</file>

<file path=xl/styles.xml><?xml version="1.0" encoding="utf-8"?>
<styleSheet xmlns="http://schemas.openxmlformats.org/spreadsheetml/2006/main">
  <numFmts count="12">
    <numFmt numFmtId="164" formatCode="#,##0.00;(#,##0.00);&quot;-&quot;"/>
    <numFmt numFmtId="165" formatCode="#,##0.0;(#,##0.0);&quot;-&quot;"/>
    <numFmt numFmtId="166" formatCode="0.0%;(0.0%);&quot;-&quot;"/>
    <numFmt numFmtId="167" formatCode="[Red]#,##0.000;[Red](#,##0.000);&quot;-&quot;"/>
    <numFmt numFmtId="168" formatCode="0"/>
    <numFmt numFmtId="169" formatCode="0.0&quot;x&quot;;(0.0&quot;x&quot;);&quot;n.a.&quot;"/>
    <numFmt numFmtId="170" formatCode="#,##0.000;(#,##0.000);&quot;-&quot;"/>
    <numFmt numFmtId="171" formatCode="#,##0;(#,##0);&quot;-&quot;"/>
    <numFmt numFmtId="172" formatCode="yyyy\-mm\-dd hh:mm"/>
    <numFmt numFmtId="173" formatCode="General"/>
    <numFmt numFmtId="174" formatCode="#,##0.0000;(#,##0.0000);&quot;-&quot;"/>
    <numFmt numFmtId="175" formatCode="d mmm yyyy"/>
  </numFmts>
  <fonts count="14">
    <font>
      <sz val="11"/>
      <color theme="1"/>
      <name val="Calibri"/>
      <family val="2"/>
      <scheme val="minor"/>
    </font>
    <font>
      <b val="0"/>
      <i val="0"/>
      <strike val="0"/>
      <sz val="10"/>
      <color rgb="FF000000"/>
      <name val="Arial"/>
    </font>
    <font>
      <b val="0"/>
      <i val="0"/>
      <strike val="0"/>
      <sz val="10"/>
      <color rgb="FF0432FF"/>
      <name val="Arial"/>
    </font>
    <font>
      <b/>
      <i val="0"/>
      <strike val="0"/>
      <sz val="10"/>
      <color rgb="FF000000"/>
      <name val="Arial"/>
    </font>
    <font>
      <b/>
      <i/>
      <strike val="0"/>
      <sz val="10"/>
      <color rgb="FF000000"/>
      <name val="Arial"/>
    </font>
    <font>
      <b val="0"/>
      <i val="0"/>
      <strike val="0"/>
      <sz val="10"/>
      <color rgb="FF00703C"/>
      <name val="Arial"/>
    </font>
    <font>
      <b val="0"/>
      <i/>
      <strike val="0"/>
      <sz val="10"/>
      <color rgb="FF000000"/>
      <name val="Arial"/>
    </font>
    <font>
      <b/>
      <i val="0"/>
      <strike val="0"/>
      <sz val="10"/>
      <color rgb="FF5A2331"/>
      <name val="Arial"/>
    </font>
    <font>
      <b val="0"/>
      <i/>
      <strike val="0"/>
      <sz val="10"/>
      <color rgb="FF0432FF"/>
      <name val="Arial"/>
    </font>
    <font>
      <b/>
      <i val="0"/>
      <strike val="0"/>
      <sz val="10"/>
      <color rgb="FF0432FF"/>
      <name val="Arial"/>
    </font>
    <font>
      <b val="0"/>
      <i/>
      <strike val="0"/>
      <sz val="10"/>
      <color rgb="FF00703C"/>
      <name val="Arial"/>
    </font>
    <font>
      <b/>
      <i/>
      <strike val="0"/>
      <sz val="10"/>
      <color rgb="FF0432FF"/>
      <name val="Arial"/>
    </font>
    <font>
      <b/>
      <i val="0"/>
      <strike val="0"/>
      <sz val="10"/>
      <color rgb="FF00703C"/>
      <name val="Arial"/>
    </font>
    <font>
      <b val="0"/>
      <i val="0"/>
      <strike val="0"/>
      <sz val="10"/>
      <color rgb="FF000000"/>
      <name val="Arial"/>
      <family val="2"/>
      <scheme val="minor"/>
    </font>
  </fonts>
  <fills count="15">
    <fill>
      <patternFill patternType="none"/>
    </fill>
    <fill>
      <patternFill patternType="gray125"/>
    </fill>
    <fill>
      <patternFill patternType="none"/>
    </fill>
    <fill>
      <patternFill patternType="solid">
        <fgColor rgb="FFF6F3EC"/>
      </patternFill>
    </fill>
    <fill>
      <patternFill patternType="solid">
        <fgColor rgb="FFD3D2CF"/>
      </patternFill>
    </fill>
    <fill>
      <patternFill patternType="solid">
        <fgColor rgb="FF0E1A2B"/>
      </patternFill>
    </fill>
    <fill>
      <patternFill patternType="solid">
        <fgColor rgb="FF00703C"/>
      </patternFill>
    </fill>
    <fill>
      <patternFill patternType="solid">
        <fgColor rgb="FFEAE2DD"/>
      </patternFill>
    </fill>
    <fill>
      <patternFill patternType="solid">
        <fgColor rgb="FFEBDDC8"/>
      </patternFill>
    </fill>
    <fill>
      <patternFill patternType="solid">
        <fgColor rgb="FF000000"/>
      </patternFill>
    </fill>
    <fill>
      <patternFill patternType="solid">
        <fgColor rgb="FF0432FF"/>
      </patternFill>
    </fill>
    <fill>
      <patternFill patternType="solid">
        <fgColor rgb="FFC0873A"/>
      </patternFill>
    </fill>
    <fill>
      <patternFill patternType="solid">
        <fgColor rgb="FF5A2331"/>
      </patternFill>
    </fill>
    <fill>
      <patternFill patternType="solid">
        <fgColor rgb="FF6A7689"/>
      </patternFill>
    </fill>
    <fill>
      <patternFill patternType="solid">
        <fgColor rgb="FFFF0000"/>
      </patternFill>
    </fill>
  </fills>
  <borders count="6">
    <border/>
    <border>
      <left style="thin"/>
    </border>
    <border>
      <left style="thin"/>
      <top style="thin"/>
    </border>
    <border>
      <top style="thin"/>
    </border>
    <border>
      <top style="thin"/>
      <bottom style="double"/>
    </border>
    <border>
      <left style="thin"/>
      <top style="thin"/>
      <bottom style="double"/>
    </border>
  </borders>
  <cellStyleXfs count="1">
    <xf numFmtId="0" fontId="0" fillId="0" borderId="0"/>
  </cellStyleXfs>
  <cellXfs count="120">
    <xf numFmtId="0" fontId="0" fillId="0" borderId="0" xfId="0"/>
    <xf numFmtId="0" fontId="1" fillId="2" borderId="0" xfId="0" applyFont="1" applyFill="1" applyProtection="1">
      <protection locked="1" hidden="0"/>
    </xf>
    <xf numFmtId="164" fontId="2" fillId="2" borderId="0" xfId="0" applyNumberFormat="1" applyFont="1" applyFill="1" applyProtection="1">
      <protection locked="1" hidden="0"/>
    </xf>
    <xf numFmtId="0" fontId="3" fillId="3" borderId="0" xfId="0" applyFont="1" applyFill="1" applyProtection="1">
      <protection locked="1" hidden="0"/>
    </xf>
    <xf numFmtId="0" fontId="3" fillId="2" borderId="0" xfId="0" applyFont="1" applyFill="1" applyAlignment="1" applyProtection="1">
      <alignment indent="1"/>
      <protection locked="1" hidden="0"/>
    </xf>
    <xf numFmtId="165" fontId="1" fillId="2" borderId="0" xfId="0" applyNumberFormat="1" applyFont="1" applyFill="1" applyProtection="1">
      <protection locked="1" hidden="0"/>
    </xf>
    <xf numFmtId="0" fontId="3" fillId="4" borderId="0" xfId="0" applyFont="1" applyFill="1" applyProtection="1">
      <protection locked="1" hidden="0"/>
    </xf>
    <xf numFmtId="166" fontId="4" fillId="2" borderId="0" xfId="0" applyNumberFormat="1" applyFont="1" applyFill="1" applyProtection="1">
      <protection locked="1" hidden="0"/>
    </xf>
    <xf numFmtId="165" fontId="1" fillId="2" borderId="1" xfId="0" applyNumberFormat="1" applyFont="1" applyFill="1" applyBorder="1" applyProtection="1">
      <protection locked="1" hidden="0"/>
    </xf>
    <xf numFmtId="165" fontId="3" fillId="2" borderId="2" xfId="0" applyNumberFormat="1" applyFont="1" applyFill="1" applyBorder="1" applyProtection="1">
      <protection locked="1" hidden="0"/>
    </xf>
    <xf numFmtId="165" fontId="2" fillId="2" borderId="0" xfId="0" applyNumberFormat="1" applyFont="1" applyFill="1" applyAlignment="1" applyProtection="1">
      <alignment horizontal="right"/>
      <protection locked="1" hidden="0"/>
    </xf>
    <xf numFmtId="164" fontId="1" fillId="2" borderId="0" xfId="0" applyNumberFormat="1" applyFont="1" applyFill="1" applyProtection="1">
      <protection locked="1" hidden="0"/>
    </xf>
    <xf numFmtId="0" fontId="1" fillId="2" borderId="0" xfId="0" applyFont="1" applyFill="1" applyAlignment="1" applyProtection="1">
      <alignment indent="2"/>
      <protection locked="1" hidden="0"/>
    </xf>
    <xf numFmtId="165" fontId="1" fillId="2" borderId="0" xfId="0" applyNumberFormat="1" applyFont="1" applyFill="1" applyAlignment="1" applyProtection="1">
      <alignment horizontal="right"/>
      <protection locked="1" hidden="0"/>
    </xf>
    <xf numFmtId="167" fontId="1" fillId="2" borderId="0" xfId="0" applyNumberFormat="1" applyFont="1" applyFill="1" applyProtection="1">
      <protection locked="1" hidden="0"/>
    </xf>
    <xf numFmtId="165" fontId="2" fillId="2" borderId="0" xfId="0" applyNumberFormat="1" applyFont="1" applyFill="1" applyProtection="1">
      <protection locked="1" hidden="0"/>
    </xf>
    <xf numFmtId="168" fontId="1" fillId="2" borderId="0" xfId="0" applyNumberFormat="1" applyFont="1" applyFill="1" applyAlignment="1" applyProtection="1">
      <alignment horizontal="left"/>
      <protection locked="1" hidden="0"/>
    </xf>
    <xf numFmtId="165" fontId="5" fillId="2" borderId="0" xfId="0" applyNumberFormat="1" applyFont="1" applyFill="1" applyProtection="1">
      <protection locked="1" hidden="0"/>
    </xf>
    <xf numFmtId="166" fontId="6" fillId="2" borderId="0" xfId="0" applyNumberFormat="1" applyFont="1" applyFill="1" applyProtection="1">
      <protection locked="1" hidden="0"/>
    </xf>
    <xf numFmtId="0" fontId="1" fillId="5" borderId="0" xfId="0" applyFont="1" applyFill="1" applyProtection="1">
      <protection locked="1" hidden="0"/>
    </xf>
    <xf numFmtId="165" fontId="3" fillId="2" borderId="0" xfId="0" applyNumberFormat="1" applyFont="1" applyFill="1" applyProtection="1">
      <protection locked="1" hidden="0"/>
    </xf>
    <xf numFmtId="0" fontId="7" fillId="2" borderId="0" xfId="0" applyFont="1" applyFill="1" applyProtection="1">
      <protection locked="1" hidden="0"/>
    </xf>
    <xf numFmtId="165" fontId="3" fillId="2" borderId="3" xfId="0" applyNumberFormat="1" applyFont="1" applyFill="1" applyBorder="1" applyProtection="1">
      <protection locked="1" hidden="0"/>
    </xf>
    <xf numFmtId="164" fontId="5" fillId="2" borderId="0" xfId="0" applyNumberFormat="1" applyFont="1" applyFill="1" applyProtection="1">
      <protection locked="1" hidden="0"/>
    </xf>
    <xf numFmtId="0" fontId="3" fillId="3" borderId="0" xfId="0" applyFont="1" applyFill="1" applyAlignment="1" applyProtection="1">
      <alignment horizontal="right"/>
      <protection locked="1" hidden="0"/>
    </xf>
    <xf numFmtId="167" fontId="1" fillId="2" borderId="1" xfId="0" applyNumberFormat="1" applyFont="1" applyFill="1" applyBorder="1" applyProtection="1">
      <protection locked="1" hidden="0"/>
    </xf>
    <xf numFmtId="166" fontId="8" fillId="2" borderId="0" xfId="0" applyNumberFormat="1" applyFont="1" applyFill="1" applyProtection="1">
      <protection locked="1" hidden="0"/>
    </xf>
    <xf numFmtId="0" fontId="3" fillId="2" borderId="0" xfId="0" applyFont="1" applyFill="1" applyAlignment="1" applyProtection="1">
      <alignment horizontal="right"/>
      <protection locked="1" hidden="0"/>
    </xf>
    <xf numFmtId="169" fontId="1" fillId="2" borderId="0" xfId="0" applyNumberFormat="1" applyFont="1" applyFill="1" applyProtection="1">
      <protection locked="1" hidden="0"/>
    </xf>
    <xf numFmtId="165" fontId="9" fillId="2" borderId="3" xfId="0" applyNumberFormat="1" applyFont="1" applyFill="1" applyBorder="1" applyAlignment="1" applyProtection="1">
      <alignment horizontal="right"/>
      <protection locked="1" hidden="0"/>
    </xf>
    <xf numFmtId="170" fontId="3" fillId="2" borderId="4" xfId="0" applyNumberFormat="1" applyFont="1" applyFill="1" applyBorder="1" applyProtection="1">
      <protection locked="1" hidden="0"/>
    </xf>
    <xf numFmtId="166" fontId="10" fillId="2" borderId="0" xfId="0" applyNumberFormat="1" applyFont="1" applyFill="1" applyProtection="1">
      <protection locked="1" hidden="0"/>
    </xf>
    <xf numFmtId="0" fontId="1" fillId="6" borderId="0" xfId="0" applyFont="1" applyFill="1" applyProtection="1">
      <protection locked="1" hidden="0"/>
    </xf>
    <xf numFmtId="0" fontId="3" fillId="7" borderId="0" xfId="0" applyFont="1" applyFill="1" applyAlignment="1" applyProtection="1">
      <alignment horizontal="right"/>
      <protection locked="1" hidden="0"/>
    </xf>
    <xf numFmtId="0" fontId="3" fillId="2" borderId="0" xfId="0" applyFont="1" applyFill="1" applyProtection="1">
      <protection locked="1" hidden="0"/>
    </xf>
    <xf numFmtId="0" fontId="1" fillId="8" borderId="0" xfId="0" applyFont="1" applyFill="1" applyProtection="1">
      <protection locked="1" hidden="0"/>
    </xf>
    <xf numFmtId="0" fontId="6" fillId="2" borderId="0" xfId="0" applyFont="1" applyFill="1" applyAlignment="1" applyProtection="1">
      <alignment indent="2"/>
      <protection locked="1" hidden="0"/>
    </xf>
    <xf numFmtId="166" fontId="6" fillId="2" borderId="1" xfId="0" applyNumberFormat="1" applyFont="1" applyFill="1" applyBorder="1" applyProtection="1">
      <protection locked="1" hidden="0"/>
    </xf>
    <xf numFmtId="170" fontId="2" fillId="2" borderId="0" xfId="0" applyNumberFormat="1" applyFont="1" applyFill="1" applyProtection="1">
      <protection locked="1" hidden="0"/>
    </xf>
    <xf numFmtId="166" fontId="1" fillId="2" borderId="0" xfId="0" applyNumberFormat="1" applyFont="1" applyFill="1" applyProtection="1">
      <protection locked="1" hidden="0"/>
    </xf>
    <xf numFmtId="0" fontId="1" fillId="9" borderId="0" xfId="0" applyFont="1" applyFill="1" applyProtection="1">
      <protection locked="1" hidden="0"/>
    </xf>
    <xf numFmtId="165" fontId="3" fillId="2" borderId="4" xfId="0" applyNumberFormat="1" applyFont="1" applyFill="1" applyBorder="1" applyProtection="1">
      <protection locked="1" hidden="0"/>
    </xf>
    <xf numFmtId="166" fontId="11" fillId="3" borderId="0" xfId="0" applyNumberFormat="1" applyFont="1" applyFill="1" applyAlignment="1" applyProtection="1">
      <alignment horizontal="right"/>
      <protection locked="1" hidden="0"/>
    </xf>
    <xf numFmtId="0" fontId="1" fillId="4" borderId="0" xfId="0" applyFont="1" applyFill="1" applyProtection="1">
      <protection locked="1" hidden="0"/>
    </xf>
    <xf numFmtId="170" fontId="5" fillId="2" borderId="0" xfId="0" applyNumberFormat="1" applyFont="1" applyFill="1" applyProtection="1">
      <protection locked="1" hidden="0"/>
    </xf>
    <xf numFmtId="0" fontId="6" fillId="2" borderId="0" xfId="0" applyFont="1" applyFill="1" applyProtection="1">
      <protection locked="1" hidden="0"/>
    </xf>
    <xf numFmtId="171" fontId="2" fillId="2" borderId="0" xfId="0" applyNumberFormat="1" applyFont="1" applyFill="1" applyProtection="1">
      <protection locked="1" hidden="0"/>
    </xf>
    <xf numFmtId="0" fontId="1" fillId="10" borderId="0" xfId="0" applyFont="1" applyFill="1" applyProtection="1">
      <protection locked="1" hidden="0"/>
    </xf>
    <xf numFmtId="0" fontId="1" fillId="7" borderId="0" xfId="0" applyFont="1" applyFill="1" applyProtection="1">
      <protection locked="1" hidden="0"/>
    </xf>
    <xf numFmtId="0" fontId="1" fillId="11" borderId="0" xfId="0" applyFont="1" applyFill="1" applyProtection="1">
      <protection locked="1" hidden="0"/>
    </xf>
    <xf numFmtId="0" fontId="1" fillId="3" borderId="0" xfId="0" applyFont="1" applyFill="1" applyProtection="1">
      <protection locked="1" hidden="0"/>
    </xf>
    <xf numFmtId="165" fontId="3" fillId="2" borderId="3" xfId="0" applyNumberFormat="1" applyFont="1" applyFill="1" applyBorder="1" applyAlignment="1" applyProtection="1">
      <alignment horizontal="right"/>
      <protection locked="1" hidden="0"/>
    </xf>
    <xf numFmtId="164" fontId="3" fillId="2" borderId="4" xfId="0" applyNumberFormat="1" applyFont="1" applyFill="1" applyBorder="1" applyProtection="1">
      <protection locked="1" hidden="0"/>
    </xf>
    <xf numFmtId="0" fontId="1" fillId="12" borderId="0" xfId="0" applyFont="1" applyFill="1" applyProtection="1">
      <protection locked="1" hidden="0"/>
    </xf>
    <xf numFmtId="165" fontId="3" fillId="2" borderId="1" xfId="0" applyNumberFormat="1" applyFont="1" applyFill="1" applyBorder="1" applyProtection="1">
      <protection locked="1" hidden="0"/>
    </xf>
    <xf numFmtId="0" fontId="1" fillId="13" borderId="0" xfId="0" applyFont="1" applyFill="1" applyProtection="1">
      <protection locked="1" hidden="0"/>
    </xf>
    <xf numFmtId="0" fontId="3" fillId="2" borderId="0" xfId="0" applyFont="1" applyFill="1" applyAlignment="1" applyProtection="1">
      <alignment indent="2"/>
      <protection locked="1" hidden="0"/>
    </xf>
    <xf numFmtId="165" fontId="5" fillId="2" borderId="1" xfId="0" applyNumberFormat="1" applyFont="1" applyFill="1" applyBorder="1" applyProtection="1">
      <protection locked="1" hidden="0"/>
    </xf>
    <xf numFmtId="0" fontId="1" fillId="14" borderId="0" xfId="0" applyFont="1" applyFill="1" applyProtection="1">
      <protection locked="1" hidden="0"/>
    </xf>
    <xf numFmtId="0" fontId="1" fillId="2" borderId="1" xfId="0" applyFont="1" applyFill="1" applyBorder="1" applyProtection="1">
      <protection locked="1" hidden="0"/>
    </xf>
    <xf numFmtId="172" fontId="1" fillId="2" borderId="0" xfId="0" applyNumberFormat="1" applyFont="1" applyFill="1" applyAlignment="1" applyProtection="1">
      <alignment vertical="top"/>
      <protection locked="1" hidden="0"/>
    </xf>
    <xf numFmtId="0" fontId="1" fillId="2" borderId="0" xfId="0" applyFont="1" applyFill="1" applyAlignment="1" applyProtection="1">
      <alignment vertical="top"/>
      <protection locked="1" hidden="0"/>
    </xf>
    <xf numFmtId="173" fontId="1" fillId="2" borderId="0" xfId="0" applyNumberFormat="1" applyFont="1" applyFill="1" applyProtection="1">
      <protection locked="1" hidden="0"/>
    </xf>
    <xf numFmtId="171" fontId="1" fillId="2" borderId="0" xfId="0" applyNumberFormat="1" applyFont="1" applyFill="1" applyAlignment="1" applyProtection="1">
      <alignment horizontal="right"/>
      <protection locked="1" hidden="0"/>
    </xf>
    <xf numFmtId="166" fontId="8" fillId="8" borderId="0" xfId="0" applyNumberFormat="1" applyFont="1" applyFill="1" applyProtection="1">
      <protection locked="1" hidden="0"/>
    </xf>
    <xf numFmtId="174" fontId="2" fillId="2" borderId="0" xfId="0" applyNumberFormat="1" applyFont="1" applyFill="1" applyProtection="1">
      <protection locked="1" hidden="0"/>
    </xf>
    <xf numFmtId="173" fontId="5" fillId="2" borderId="0" xfId="0" applyNumberFormat="1" applyFont="1" applyFill="1" applyProtection="1">
      <protection locked="1" hidden="0"/>
    </xf>
    <xf numFmtId="171" fontId="2" fillId="2" borderId="0" xfId="0" applyNumberFormat="1" applyFont="1" applyFill="1" applyAlignment="1" applyProtection="1">
      <alignment horizontal="right"/>
      <protection locked="1" hidden="0"/>
    </xf>
    <xf numFmtId="175" fontId="2" fillId="2" borderId="0" xfId="0" applyNumberFormat="1" applyFont="1" applyFill="1" applyProtection="1">
      <protection locked="1" hidden="0"/>
    </xf>
    <xf numFmtId="165" fontId="9" fillId="2" borderId="4" xfId="0" applyNumberFormat="1" applyFont="1" applyFill="1" applyBorder="1" applyAlignment="1" applyProtection="1">
      <alignment horizontal="right"/>
      <protection locked="1" hidden="0"/>
    </xf>
    <xf numFmtId="170" fontId="3" fillId="2" borderId="0" xfId="0" applyNumberFormat="1" applyFont="1" applyFill="1" applyProtection="1">
      <protection locked="1" hidden="0"/>
    </xf>
    <xf numFmtId="0" fontId="12" fillId="2" borderId="0" xfId="0" applyFont="1" applyFill="1" applyAlignment="1" applyProtection="1">
      <alignment horizontal="right"/>
      <protection locked="1" hidden="0"/>
    </xf>
    <xf numFmtId="0" fontId="4" fillId="2" borderId="0" xfId="0" applyFont="1" applyFill="1" applyAlignment="1" applyProtection="1">
      <alignment indent="2"/>
      <protection locked="1" hidden="0"/>
    </xf>
    <xf numFmtId="166" fontId="4" fillId="3" borderId="0" xfId="0" applyNumberFormat="1" applyFont="1" applyFill="1" applyAlignment="1" applyProtection="1">
      <alignment horizontal="right"/>
      <protection locked="1" hidden="0"/>
    </xf>
    <xf numFmtId="170" fontId="1" fillId="2" borderId="0" xfId="0" applyNumberFormat="1" applyFont="1" applyFill="1" applyProtection="1">
      <protection locked="1" hidden="0"/>
    </xf>
    <xf numFmtId="170" fontId="3" fillId="2" borderId="3" xfId="0" applyNumberFormat="1" applyFont="1" applyFill="1" applyBorder="1" applyProtection="1">
      <protection locked="1" hidden="0"/>
    </xf>
    <xf numFmtId="164" fontId="9" fillId="2" borderId="0" xfId="0" applyNumberFormat="1" applyFont="1" applyFill="1" applyProtection="1">
      <protection locked="1" hidden="0"/>
    </xf>
    <xf numFmtId="0" fontId="3" fillId="2" borderId="0" xfId="0" applyFont="1" applyFill="1" applyProtection="1">
      <protection locked="1" hidden="0"/>
    </xf>
    <xf numFmtId="165" fontId="9" fillId="2" borderId="3" xfId="0" applyNumberFormat="1" applyFont="1" applyFill="1" applyBorder="1" applyProtection="1">
      <protection locked="1" hidden="0"/>
    </xf>
    <xf numFmtId="0" fontId="1" fillId="2" borderId="0" xfId="0" applyFont="1" applyFill="1" applyAlignment="1" applyProtection="1">
      <alignment indent="3"/>
      <protection locked="1" hidden="0"/>
    </xf>
    <xf numFmtId="169" fontId="3" fillId="2" borderId="0" xfId="0" applyNumberFormat="1" applyFont="1" applyFill="1" applyProtection="1">
      <protection locked="1" hidden="0"/>
    </xf>
    <xf numFmtId="169" fontId="5" fillId="2" borderId="0" xfId="0" applyNumberFormat="1" applyFont="1" applyFill="1" applyProtection="1">
      <protection locked="1" hidden="0"/>
    </xf>
    <xf numFmtId="164" fontId="12" fillId="2" borderId="0" xfId="0" applyNumberFormat="1" applyFont="1" applyFill="1" applyProtection="1">
      <protection locked="1" hidden="0"/>
    </xf>
    <xf numFmtId="165" fontId="12" fillId="2" borderId="0" xfId="0" applyNumberFormat="1" applyFont="1" applyFill="1" applyAlignment="1" applyProtection="1">
      <alignment horizontal="right"/>
      <protection locked="1" hidden="0"/>
    </xf>
    <xf numFmtId="165" fontId="3" fillId="2" borderId="5" xfId="0" applyNumberFormat="1" applyFont="1" applyFill="1" applyBorder="1" applyProtection="1">
      <protection locked="1" hidden="0"/>
    </xf>
    <xf numFmtId="165" fontId="12" fillId="2" borderId="3" xfId="0" applyNumberFormat="1" applyFont="1" applyFill="1" applyBorder="1" applyProtection="1">
      <protection locked="1" hidden="0"/>
    </xf>
    <xf numFmtId="0" fontId="6" fillId="2" borderId="0" xfId="0" applyFont="1" applyFill="1" applyAlignment="1" applyProtection="1">
      <alignment indent="3"/>
      <protection locked="1" hidden="0"/>
    </xf>
    <xf numFmtId="0" fontId="4" fillId="2" borderId="0" xfId="0" applyFont="1" applyFill="1" applyProtection="1">
      <protection locked="1" hidden="0"/>
    </xf>
    <xf numFmtId="171" fontId="9" fillId="2" borderId="3" xfId="0" applyNumberFormat="1" applyFont="1" applyFill="1" applyBorder="1" applyAlignment="1" applyProtection="1">
      <alignment horizontal="right"/>
      <protection locked="1" hidden="0"/>
    </xf>
    <xf numFmtId="166" fontId="8" fillId="2" borderId="0" xfId="0" applyNumberFormat="1" applyFont="1" applyFill="1" applyAlignment="1" applyProtection="1">
      <alignment horizontal="right"/>
      <protection locked="1" hidden="0"/>
    </xf>
    <xf numFmtId="168" fontId="2" fillId="8" borderId="0" xfId="0" applyNumberFormat="1" applyFont="1" applyFill="1" applyProtection="1">
      <protection locked="1" hidden="0"/>
    </xf>
    <xf numFmtId="169" fontId="3" fillId="2" borderId="0" xfId="0" applyNumberFormat="1" applyFont="1" applyFill="1" applyAlignment="1" applyProtection="1">
      <alignment horizontal="right"/>
      <protection locked="1" hidden="0"/>
    </xf>
    <xf numFmtId="171" fontId="1" fillId="2" borderId="0" xfId="0" applyNumberFormat="1" applyFont="1" applyFill="1" applyProtection="1">
      <protection locked="1" hidden="0"/>
    </xf>
    <xf numFmtId="166" fontId="6" fillId="2" borderId="0" xfId="0" applyNumberFormat="1" applyFont="1" applyFill="1" applyAlignment="1" applyProtection="1">
      <alignment horizontal="right"/>
      <protection locked="1" hidden="0"/>
    </xf>
    <xf numFmtId="166" fontId="6" fillId="8" borderId="0" xfId="0" applyNumberFormat="1" applyFont="1" applyFill="1" applyProtection="1">
      <protection locked="1" hidden="0"/>
    </xf>
    <xf numFmtId="165" fontId="3" fillId="2" borderId="0" xfId="0" applyNumberFormat="1" applyFont="1" applyFill="1" applyAlignment="1" applyProtection="1">
      <alignment horizontal="right"/>
      <protection locked="1" hidden="0"/>
    </xf>
    <xf numFmtId="166" fontId="6" fillId="8" borderId="1" xfId="0" applyNumberFormat="1" applyFont="1" applyFill="1" applyBorder="1" applyProtection="1">
      <protection locked="1" hidden="0"/>
    </xf>
    <xf numFmtId="165" fontId="2" fillId="8" borderId="0" xfId="0" applyNumberFormat="1" applyFont="1" applyFill="1" applyProtection="1">
      <protection locked="1" hidden="0"/>
    </xf>
    <xf numFmtId="169" fontId="1" fillId="2" borderId="0" xfId="0" applyNumberFormat="1" applyFont="1" applyFill="1" applyAlignment="1" applyProtection="1">
      <alignment horizontal="right"/>
      <protection locked="1" hidden="0"/>
    </xf>
    <xf numFmtId="166" fontId="4" fillId="2" borderId="1" xfId="0" applyNumberFormat="1" applyFont="1" applyFill="1" applyBorder="1" applyProtection="1">
      <protection locked="1" hidden="0"/>
    </xf>
    <xf numFmtId="171" fontId="3" fillId="2" borderId="0" xfId="0" applyNumberFormat="1" applyFont="1" applyFill="1" applyProtection="1">
      <protection locked="1" hidden="0"/>
    </xf>
    <xf numFmtId="166" fontId="8" fillId="8" borderId="1" xfId="0" applyNumberFormat="1" applyFont="1" applyFill="1" applyBorder="1" applyProtection="1">
      <protection locked="1" hidden="0"/>
    </xf>
    <xf numFmtId="0" fontId="3" fillId="7" borderId="1" xfId="0" applyFont="1" applyFill="1" applyBorder="1" applyAlignment="1" applyProtection="1">
      <alignment horizontal="right"/>
      <protection locked="1" hidden="0"/>
    </xf>
    <xf numFmtId="165" fontId="2" fillId="2" borderId="1" xfId="0" applyNumberFormat="1" applyFont="1" applyFill="1" applyBorder="1" applyProtection="1">
      <protection locked="1" hidden="0"/>
    </xf>
    <xf numFmtId="0" fontId="1" fillId="7" borderId="0" xfId="0" applyFont="1" applyFill="1" applyAlignment="1" applyProtection="1">
      <alignment horizontal="right"/>
      <protection locked="1" hidden="0"/>
    </xf>
    <xf numFmtId="169" fontId="1" fillId="2" borderId="1" xfId="0" applyNumberFormat="1" applyFont="1" applyFill="1" applyBorder="1" applyProtection="1">
      <protection locked="1" hidden="0"/>
    </xf>
    <xf numFmtId="174" fontId="1" fillId="2" borderId="0" xfId="0" applyNumberFormat="1" applyFont="1" applyFill="1" applyProtection="1">
      <protection locked="1" hidden="0"/>
    </xf>
    <xf numFmtId="165" fontId="2" fillId="8" borderId="1" xfId="0" applyNumberFormat="1" applyFont="1" applyFill="1" applyBorder="1" applyProtection="1">
      <protection locked="1" hidden="0"/>
    </xf>
    <xf numFmtId="166" fontId="3" fillId="2" borderId="0" xfId="0" applyNumberFormat="1" applyFont="1" applyFill="1" applyProtection="1">
      <protection locked="1" hidden="0"/>
    </xf>
    <xf numFmtId="0" fontId="1" fillId="3" borderId="0" xfId="0" applyFont="1" applyFill="1" applyAlignment="1" applyProtection="1">
      <alignment horizontal="right"/>
      <protection locked="1" hidden="0"/>
    </xf>
    <xf numFmtId="170" fontId="12" fillId="2" borderId="0" xfId="0" applyNumberFormat="1" applyFont="1" applyFill="1" applyProtection="1">
      <protection locked="1" hidden="0"/>
    </xf>
    <xf numFmtId="0" fontId="1" fillId="7" borderId="1" xfId="0" applyFont="1" applyFill="1" applyBorder="1" applyAlignment="1" applyProtection="1">
      <alignment horizontal="right"/>
      <protection locked="1" hidden="0"/>
    </xf>
    <xf numFmtId="171" fontId="3" fillId="2" borderId="3" xfId="0" applyNumberFormat="1" applyFont="1" applyFill="1" applyBorder="1" applyAlignment="1" applyProtection="1">
      <alignment horizontal="right"/>
      <protection locked="1" hidden="0"/>
    </xf>
    <xf numFmtId="165" fontId="3" fillId="2" borderId="4" xfId="0" applyNumberFormat="1" applyFont="1" applyFill="1" applyBorder="1" applyAlignment="1" applyProtection="1">
      <alignment horizontal="right"/>
      <protection locked="1" hidden="0"/>
    </xf>
    <xf numFmtId="169" fontId="2" fillId="8" borderId="0" xfId="0" applyNumberFormat="1" applyFont="1" applyFill="1" applyProtection="1">
      <protection locked="1" hidden="0"/>
    </xf>
    <xf numFmtId="168" fontId="9" fillId="8" borderId="1" xfId="0" applyNumberFormat="1" applyFont="1" applyFill="1" applyBorder="1" applyProtection="1">
      <protection locked="1" hidden="0"/>
    </xf>
    <xf numFmtId="173" fontId="3" fillId="2" borderId="1" xfId="0" applyNumberFormat="1" applyFont="1" applyFill="1" applyBorder="1" applyProtection="1">
      <protection locked="1" hidden="0"/>
    </xf>
    <xf numFmtId="0" fontId="3" fillId="2" borderId="1" xfId="0" applyFont="1" applyFill="1" applyBorder="1" applyAlignment="1" applyProtection="1">
      <alignment horizontal="right"/>
      <protection locked="1" hidden="0"/>
    </xf>
    <xf numFmtId="173" fontId="13" fillId="0" borderId="0" xfId="0" applyNumberFormat="1" applyFont="1" applyFill="1" applyAlignment="1" applyProtection="1">
      <alignment vertical="top" textRotation="0" indent="0" readingOrder="0"/>
      <protection locked="1" hidden="0"/>
    </xf>
    <xf numFmtId="172" fontId="13" fillId="0" borderId="0" xfId="0" applyNumberFormat="1" applyFont="1" applyFill="1" applyAlignment="1" applyProtection="1">
      <alignment vertical="top" textRotation="0" indent="0" readingOrder="0"/>
      <protection locked="1" hidden="0"/>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styles" Target="styles.xml"/><Relationship Id="rId27" Type="http://schemas.openxmlformats.org/officeDocument/2006/relationships/theme" Target="theme/theme1.xml"/><Relationship Id="rId28"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Malgun Gothic"/>
        <a:font script="Hans" typeface="DengXian Light"/>
        <a:font script="Hant" typeface="Microsoft JhengHei Light"/>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majorFont>
      <a:minorFont>
        <a:latin typeface="Calibri" panose="020F0502020204030204"/>
        <a:ea typeface=""/>
        <a:cs typeface=""/>
        <a:font script="Jpan" typeface="Yu Gothic"/>
        <a:font script="Hang" typeface="Malgun Gothic"/>
        <a:font script="Hans" typeface="DengXian"/>
        <a:font script="Hant" typeface="Microsoft JhengHei"/>
        <a:font script="Arab" typeface="Arial"/>
        <a:font script="Hebr" typeface="Arial"/>
        <a:font script="Thai" typeface="Cordia New"/>
        <a:font script="Ethi" typeface="Nyala"/>
        <a:font script="Beng" typeface="Vrinda"/>
        <a:font script="Gujr" typeface="Shruti"/>
        <a:font script="Khmr" typeface="DaunPenh"/>
        <a:font script="Knda" typeface="Tunga"/>
      </a:minorFont>
    </a:fontScheme>
    <a:fmtScheme name="Office">
      <a:fillStyleLst>
        <a:solidFill>
          <a:schemeClr val="phClr"/>
        </a:solidFill>
        <a:solidFill>
          <a:schemeClr val="phClr"/>
        </a:solidFill>
        <a:solidFill>
          <a:schemeClr val="phClr"/>
        </a:solidFill>
      </a:fillStyleLst>
      <a:lnStyleLst>
        <a:ln w="6350">
          <a:solidFill>
            <a:schemeClr val="phClr"/>
          </a:solidFill>
        </a:ln>
        <a:ln w="12700">
          <a:solidFill>
            <a:schemeClr val="phClr"/>
          </a:solidFill>
        </a:ln>
        <a:ln w="19050">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0E1A2B"/>
  </sheetPr>
  <dimension ref="A1:D57"/>
  <sheetViews>
    <sheetView showGridLines="0" tabSelected="1" workbookViewId="0"/>
  </sheetViews>
  <sheetFormatPr defaultRowHeight="15"/>
  <cols>
    <col min="1" max="1" width="86.0390625" customWidth="1"/>
    <col min="2" max="2" width="102.70703125" customWidth="1"/>
    <col min="3" max="3" width="15.20703125" customWidth="1"/>
    <col min="4" max="4" width="49.375" customWidth="1"/>
  </cols>
  <sheetData>
    <row r="1">
      <c r="A1" s="21" t="s">
        <v>0</v>
      </c>
      <c r="B1" s="1"/>
      <c r="C1" s="1"/>
      <c r="D1" s="1"/>
    </row>
    <row r="2">
      <c r="A2" s="1" t="s">
        <v>1</v>
      </c>
      <c r="B2" s="1"/>
      <c r="C2" s="1"/>
      <c r="D2" s="1"/>
    </row>
    <row r="3">
      <c r="A3" s="1"/>
      <c r="B3" s="1"/>
      <c r="C3" s="1"/>
      <c r="D3" s="1"/>
    </row>
    <row r="4">
      <c r="A4" s="34" t="s">
        <v>2</v>
      </c>
      <c r="B4" s="1"/>
      <c r="C4" s="1"/>
      <c r="D4" s="1"/>
    </row>
    <row r="5">
      <c r="A5" s="1" t="s">
        <v>3</v>
      </c>
      <c r="B5" s="1"/>
      <c r="C5" s="1"/>
      <c r="D5" s="1"/>
    </row>
    <row r="6">
      <c r="A6" s="1" t="s">
        <v>4</v>
      </c>
      <c r="B6" s="1"/>
      <c r="C6" s="1"/>
      <c r="D6" s="1"/>
    </row>
    <row r="7">
      <c r="A7" s="1" t="s">
        <v>5</v>
      </c>
      <c r="B7" s="1"/>
      <c r="C7" s="1"/>
      <c r="D7" s="1"/>
    </row>
    <row r="8">
      <c r="A8" s="1" t="s">
        <v>6</v>
      </c>
      <c r="B8" s="1"/>
      <c r="C8" s="1"/>
      <c r="D8" s="1"/>
    </row>
    <row r="9">
      <c r="A9" s="34" t="s">
        <v>7</v>
      </c>
      <c r="B9" s="1"/>
      <c r="C9" s="1"/>
      <c r="D9" s="1"/>
    </row>
    <row r="10">
      <c r="A10" s="1" t="s">
        <v>8</v>
      </c>
      <c r="B10" s="1"/>
      <c r="C10" s="1"/>
      <c r="D10" s="1"/>
    </row>
    <row r="11">
      <c r="A11" s="1" t="s">
        <v>9</v>
      </c>
      <c r="B11" s="1"/>
      <c r="C11" s="1"/>
      <c r="D11" s="1"/>
    </row>
    <row r="12">
      <c r="A12" s="1" t="s">
        <v>10</v>
      </c>
      <c r="B12" s="1"/>
      <c r="C12" s="1"/>
      <c r="D12" s="1"/>
    </row>
    <row r="13">
      <c r="A13" s="1" t="s">
        <v>11</v>
      </c>
      <c r="B13" s="1"/>
      <c r="C13" s="1"/>
      <c r="D13" s="1"/>
    </row>
    <row r="14">
      <c r="A14" s="1" t="s">
        <v>12</v>
      </c>
      <c r="B14" s="1"/>
      <c r="C14" s="1"/>
      <c r="D14" s="1"/>
    </row>
    <row r="15">
      <c r="A15" s="1"/>
      <c r="B15" s="1"/>
      <c r="C15" s="1"/>
      <c r="D15" s="1"/>
    </row>
    <row r="16">
      <c r="A16" s="34" t="s">
        <v>13</v>
      </c>
      <c r="B16" s="34"/>
      <c r="C16" s="71" t="str">
        <f>Checks!C4</f>
        <v>OK</v>
      </c>
      <c r="D16" s="1"/>
    </row>
    <row r="17">
      <c r="A17" s="1"/>
      <c r="B17" s="1"/>
      <c r="C17" s="1"/>
      <c r="D17" s="1"/>
    </row>
    <row r="18">
      <c r="A18" s="3" t="s">
        <v>14</v>
      </c>
      <c r="B18" s="3"/>
      <c r="C18" s="24" t="s">
        <v>15</v>
      </c>
      <c r="D18" s="1"/>
    </row>
    <row r="19">
      <c r="A19" s="12" t="s">
        <v>16</v>
      </c>
      <c r="B19" s="1"/>
      <c r="C19" s="66" t="str">
        <f>Assumptions!$C$6</f>
        <v>Base</v>
      </c>
      <c r="D19" s="1"/>
    </row>
    <row r="20">
      <c r="A20" s="12" t="s">
        <v>17</v>
      </c>
      <c r="B20" s="1"/>
      <c r="C20" s="23">
        <f>Market_Package!B10</f>
        <v>119.31</v>
      </c>
      <c r="D20" s="1"/>
    </row>
    <row r="21">
      <c r="A21" s="12" t="s">
        <v>18</v>
      </c>
      <c r="B21" s="1"/>
      <c r="C21" s="23">
        <f>DCF!C40</f>
        <v>45.94069527880244</v>
      </c>
      <c r="D21" s="1"/>
    </row>
    <row r="22">
      <c r="A22" s="36" t="s">
        <v>19</v>
      </c>
      <c r="B22" s="45"/>
      <c r="C22" s="31">
        <f>DCF!C42</f>
        <v>-0.61494681687367</v>
      </c>
      <c r="D22" s="1"/>
    </row>
    <row r="23">
      <c r="A23" s="12" t="s">
        <v>20</v>
      </c>
      <c r="B23" s="1"/>
      <c r="C23" s="23">
        <f>Scenario_Summary!D21</f>
        <v>45.94069527880244</v>
      </c>
      <c r="D23" s="1"/>
    </row>
    <row r="24">
      <c r="A24" s="12" t="s">
        <v>21</v>
      </c>
      <c r="B24" s="1"/>
      <c r="C24" s="23">
        <f>Scenario_Summary!E21</f>
        <v>100.01525297361582</v>
      </c>
      <c r="D24" s="1"/>
    </row>
    <row r="25">
      <c r="A25" s="12" t="s">
        <v>22</v>
      </c>
      <c r="B25" s="1"/>
      <c r="C25" s="23">
        <f>Scenario_Summary!F21</f>
        <v>15.521380098164885</v>
      </c>
      <c r="D25" s="1"/>
    </row>
    <row r="26">
      <c r="A26" s="12" t="s">
        <v>23</v>
      </c>
      <c r="B26" s="1"/>
      <c r="C26" s="23">
        <f>Comparables!E27</f>
        <v>67.45193919695747</v>
      </c>
      <c r="D26" s="1"/>
    </row>
    <row r="27">
      <c r="A27" s="12" t="s">
        <v>24</v>
      </c>
      <c r="B27" s="1"/>
      <c r="C27" s="23">
        <f>Valuation!C45</f>
        <v>51.85450590734639</v>
      </c>
      <c r="D27" s="1"/>
    </row>
    <row r="28">
      <c r="A28" s="12" t="s">
        <v>25</v>
      </c>
      <c r="B28" s="1"/>
      <c r="C28" s="17">
        <f>Forecast_3Stmt!C13</f>
        <v>1193.6715405285672</v>
      </c>
      <c r="D28" s="1"/>
    </row>
    <row r="29">
      <c r="A29" s="12" t="s">
        <v>26</v>
      </c>
      <c r="B29" s="1"/>
      <c r="C29" s="17">
        <f>Forecast_3Stmt!G13</f>
        <v>6879.986630547116</v>
      </c>
      <c r="D29" s="1"/>
    </row>
    <row r="30">
      <c r="A30" s="12" t="s">
        <v>27</v>
      </c>
      <c r="B30" s="1"/>
      <c r="C30" s="17">
        <f>Backlog!B7</f>
        <v>25400</v>
      </c>
      <c r="D30" s="1"/>
    </row>
    <row r="31">
      <c r="A31" s="12" t="s">
        <v>28</v>
      </c>
      <c r="B31" s="1"/>
      <c r="C31" s="17">
        <f>Cap_Table!B30</f>
        <v>286.11751792479674</v>
      </c>
      <c r="D31" s="1"/>
    </row>
    <row r="32">
      <c r="A32" s="1"/>
      <c r="B32" s="1"/>
      <c r="C32" s="1"/>
      <c r="D32" s="1"/>
    </row>
    <row r="33">
      <c r="A33" s="3" t="s">
        <v>29</v>
      </c>
      <c r="B33" s="3" t="s">
        <v>30</v>
      </c>
      <c r="C33" s="1"/>
      <c r="D33" s="1"/>
    </row>
    <row r="34">
      <c r="A34" s="1" t="s">
        <v>31</v>
      </c>
      <c r="B34" s="1" t="s">
        <v>32</v>
      </c>
      <c r="C34" s="1"/>
      <c r="D34" s="1"/>
    </row>
    <row r="35">
      <c r="A35" s="1" t="s">
        <v>33</v>
      </c>
      <c r="B35" s="1" t="s">
        <v>34</v>
      </c>
      <c r="C35" s="1"/>
      <c r="D35" s="1"/>
    </row>
    <row r="36">
      <c r="A36" s="1" t="s">
        <v>35</v>
      </c>
      <c r="B36" s="1" t="s">
        <v>36</v>
      </c>
      <c r="C36" s="1"/>
      <c r="D36" s="1"/>
    </row>
    <row r="37">
      <c r="A37" s="1" t="s">
        <v>37</v>
      </c>
      <c r="B37" s="1" t="s">
        <v>38</v>
      </c>
      <c r="C37" s="1"/>
      <c r="D37" s="1"/>
    </row>
    <row r="38">
      <c r="A38" s="1" t="s">
        <v>39</v>
      </c>
      <c r="B38" s="1" t="s">
        <v>40</v>
      </c>
      <c r="C38" s="1"/>
      <c r="D38" s="1"/>
    </row>
    <row r="39">
      <c r="A39" s="1" t="s">
        <v>41</v>
      </c>
      <c r="B39" s="1" t="s">
        <v>42</v>
      </c>
      <c r="C39" s="1"/>
      <c r="D39" s="1"/>
    </row>
    <row r="40">
      <c r="A40" s="1" t="s">
        <v>43</v>
      </c>
      <c r="B40" s="1" t="s">
        <v>44</v>
      </c>
      <c r="C40" s="1"/>
      <c r="D40" s="1"/>
    </row>
    <row r="41">
      <c r="A41" s="1" t="s">
        <v>45</v>
      </c>
      <c r="B41" s="1" t="s">
        <v>46</v>
      </c>
      <c r="C41" s="1"/>
      <c r="D41" s="1"/>
    </row>
    <row r="42">
      <c r="A42" s="1" t="s">
        <v>47</v>
      </c>
      <c r="B42" s="1" t="s">
        <v>48</v>
      </c>
      <c r="C42" s="1"/>
      <c r="D42" s="1"/>
    </row>
    <row r="43">
      <c r="A43" s="1" t="s">
        <v>49</v>
      </c>
      <c r="B43" s="1" t="s">
        <v>50</v>
      </c>
      <c r="C43" s="1"/>
      <c r="D43" s="1"/>
    </row>
    <row r="44">
      <c r="A44" s="1" t="s">
        <v>51</v>
      </c>
      <c r="B44" s="1" t="s">
        <v>52</v>
      </c>
      <c r="C44" s="1"/>
      <c r="D44" s="1"/>
    </row>
    <row r="45">
      <c r="A45" s="1" t="s">
        <v>53</v>
      </c>
      <c r="B45" s="1" t="s">
        <v>54</v>
      </c>
      <c r="C45" s="1"/>
      <c r="D45" s="1"/>
    </row>
    <row r="46">
      <c r="A46" s="1" t="s">
        <v>55</v>
      </c>
      <c r="B46" s="1" t="s">
        <v>56</v>
      </c>
      <c r="C46" s="1"/>
      <c r="D46" s="1"/>
    </row>
    <row r="47">
      <c r="A47" s="1" t="s">
        <v>57</v>
      </c>
      <c r="B47" s="1" t="s">
        <v>58</v>
      </c>
      <c r="C47" s="1"/>
      <c r="D47" s="1"/>
    </row>
    <row r="48">
      <c r="A48" s="1" t="s">
        <v>59</v>
      </c>
      <c r="B48" s="1" t="s">
        <v>60</v>
      </c>
      <c r="C48" s="1"/>
      <c r="D48" s="1"/>
    </row>
    <row r="49">
      <c r="A49" s="1" t="s">
        <v>61</v>
      </c>
      <c r="B49" s="1" t="s">
        <v>62</v>
      </c>
      <c r="C49" s="1"/>
      <c r="D49" s="1"/>
    </row>
    <row r="50">
      <c r="A50" s="1" t="s">
        <v>63</v>
      </c>
      <c r="B50" s="1" t="s">
        <v>64</v>
      </c>
      <c r="C50" s="1"/>
      <c r="D50" s="1"/>
    </row>
    <row r="51">
      <c r="A51" s="1" t="s">
        <v>65</v>
      </c>
      <c r="B51" s="1" t="s">
        <v>66</v>
      </c>
      <c r="C51" s="1"/>
      <c r="D51" s="1"/>
    </row>
    <row r="52">
      <c r="A52" s="1" t="s">
        <v>67</v>
      </c>
      <c r="B52" s="1" t="s">
        <v>68</v>
      </c>
      <c r="C52" s="1"/>
      <c r="D52" s="1"/>
    </row>
    <row r="53">
      <c r="A53" s="1" t="s">
        <v>69</v>
      </c>
      <c r="B53" s="1" t="s">
        <v>70</v>
      </c>
      <c r="C53" s="1"/>
      <c r="D53" s="1"/>
    </row>
    <row r="54">
      <c r="A54" s="1" t="s">
        <v>71</v>
      </c>
      <c r="B54" s="1" t="s">
        <v>72</v>
      </c>
      <c r="C54" s="1"/>
      <c r="D54" s="1"/>
    </row>
    <row r="55">
      <c r="A55" s="1" t="s">
        <v>73</v>
      </c>
      <c r="B55" s="1" t="s">
        <v>74</v>
      </c>
      <c r="C55" s="1"/>
      <c r="D55" s="1"/>
    </row>
    <row r="56">
      <c r="A56" s="1" t="s">
        <v>75</v>
      </c>
      <c r="B56" s="1" t="s">
        <v>76</v>
      </c>
      <c r="C56" s="1"/>
      <c r="D56" s="1"/>
    </row>
    <row r="57">
      <c r="A57" s="1" t="s">
        <v>77</v>
      </c>
      <c r="B57" s="1" t="s">
        <v>78</v>
      </c>
      <c r="C57" s="1"/>
      <c r="D57" s="1"/>
    </row>
  </sheetData>
</worksheet>
</file>

<file path=xl/worksheets/sheet2.xml><?xml version="1.0" encoding="utf-8"?>
<worksheet xmlns="http://schemas.openxmlformats.org/spreadsheetml/2006/main" xmlns:r="http://schemas.openxmlformats.org/officeDocument/2006/relationships">
  <sheetPr>
    <tabColor rgb="FF6A7689"/>
  </sheetPr>
  <dimension ref="A1:N45"/>
  <sheetViews>
    <sheetView showGridLines="0" workbookViewId="0"/>
  </sheetViews>
  <sheetFormatPr defaultColWidth="8.375" defaultRowHeight="15"/>
  <cols>
    <col min="1" max="1" width="86.0390625" customWidth="1"/>
    <col min="2" max="5" width="13.375" customWidth="1"/>
    <col min="13" max="13" width="17.70703125" customWidth="1"/>
    <col min="14" max="14" width="92.70703125" customWidth="1"/>
  </cols>
  <sheetData>
    <row r="1">
      <c r="A1" s="21" t="s">
        <v>79</v>
      </c>
      <c r="B1" s="1"/>
      <c r="C1" s="1"/>
      <c r="D1" s="1"/>
      <c r="E1" s="1"/>
      <c r="F1" s="1"/>
      <c r="G1" s="1"/>
      <c r="H1" s="1"/>
      <c r="I1" s="1"/>
      <c r="J1" s="1"/>
      <c r="K1" s="1"/>
      <c r="L1" s="1"/>
      <c r="M1" s="1"/>
      <c r="N1" s="1"/>
    </row>
    <row r="2">
      <c r="A2" s="1" t="s">
        <v>80</v>
      </c>
      <c r="B2" s="1"/>
      <c r="C2" s="1"/>
      <c r="D2" s="1"/>
      <c r="E2" s="1"/>
      <c r="F2" s="1"/>
      <c r="G2" s="1"/>
      <c r="H2" s="1"/>
      <c r="I2" s="1"/>
      <c r="J2" s="1"/>
      <c r="K2" s="1"/>
      <c r="L2" s="1"/>
      <c r="M2" s="1"/>
      <c r="N2" s="1"/>
    </row>
    <row r="3">
      <c r="A3" s="1"/>
      <c r="B3" s="1"/>
      <c r="C3" s="1"/>
      <c r="D3" s="1"/>
      <c r="E3" s="1"/>
      <c r="F3" s="1"/>
      <c r="G3" s="1"/>
      <c r="H3" s="1"/>
      <c r="I3" s="1"/>
      <c r="J3" s="1"/>
      <c r="K3" s="1"/>
      <c r="L3" s="1"/>
      <c r="M3" s="1"/>
      <c r="N3" s="1"/>
    </row>
    <row r="4">
      <c r="A4" s="3" t="s">
        <v>81</v>
      </c>
      <c r="B4" s="24" t="s">
        <v>82</v>
      </c>
      <c r="C4" s="24" t="s">
        <v>83</v>
      </c>
      <c r="D4" s="24" t="s">
        <v>84</v>
      </c>
      <c r="E4" s="24" t="s">
        <v>85</v>
      </c>
      <c r="F4" s="1"/>
      <c r="G4" s="1"/>
      <c r="H4" s="1"/>
      <c r="I4" s="1"/>
      <c r="J4" s="1"/>
      <c r="K4" s="1"/>
      <c r="L4" s="1"/>
      <c r="M4" s="6" t="s">
        <v>86</v>
      </c>
      <c r="N4" s="6" t="s">
        <v>87</v>
      </c>
    </row>
    <row r="5">
      <c r="A5" s="1"/>
      <c r="B5" s="1"/>
      <c r="C5" s="1"/>
      <c r="D5" s="1"/>
      <c r="E5" s="1"/>
      <c r="F5" s="1"/>
      <c r="G5" s="1"/>
      <c r="H5" s="1"/>
      <c r="I5" s="1"/>
      <c r="J5" s="1"/>
      <c r="K5" s="1"/>
      <c r="L5" s="1"/>
      <c r="M5" s="1"/>
      <c r="N5" s="1"/>
    </row>
    <row r="6">
      <c r="A6" s="4" t="s">
        <v>88</v>
      </c>
      <c r="B6" s="1"/>
      <c r="C6" s="1"/>
      <c r="D6" s="1"/>
      <c r="E6" s="1"/>
      <c r="F6" s="1"/>
      <c r="G6" s="1"/>
      <c r="H6" s="1"/>
      <c r="I6" s="1"/>
      <c r="J6" s="1"/>
      <c r="K6" s="1"/>
      <c r="L6" s="1"/>
      <c r="M6" s="1"/>
      <c r="N6" s="1"/>
    </row>
    <row r="7">
      <c r="A7" s="12" t="s">
        <v>89</v>
      </c>
      <c r="B7" s="10">
        <v>211.965</v>
      </c>
      <c r="C7" s="10">
        <v>358.44</v>
      </c>
      <c r="D7" s="10">
        <v>139.969</v>
      </c>
      <c r="E7" s="10">
        <v>164.712</v>
      </c>
      <c r="F7" s="1"/>
      <c r="G7" s="1"/>
      <c r="H7" s="1"/>
      <c r="I7" s="1"/>
      <c r="J7" s="1"/>
      <c r="K7" s="1"/>
      <c r="L7" s="1"/>
      <c r="M7" s="1"/>
      <c r="N7" s="1" t="s">
        <v>90</v>
      </c>
    </row>
    <row r="8">
      <c r="A8" s="12" t="s">
        <v>91</v>
      </c>
      <c r="B8" s="10">
        <v>78.287</v>
      </c>
      <c r="C8" s="10">
        <v>151.551</v>
      </c>
      <c r="D8" s="10">
        <v>62.865</v>
      </c>
      <c r="E8" s="10">
        <v>208.804</v>
      </c>
      <c r="F8" s="1"/>
      <c r="G8" s="1"/>
      <c r="H8" s="1"/>
      <c r="I8" s="1"/>
      <c r="J8" s="1"/>
      <c r="K8" s="1"/>
      <c r="L8" s="1"/>
      <c r="M8" s="1"/>
      <c r="N8" s="1" t="s">
        <v>90</v>
      </c>
    </row>
    <row r="9">
      <c r="A9" s="4" t="s">
        <v>92</v>
      </c>
      <c r="B9" s="29">
        <v>290.252</v>
      </c>
      <c r="C9" s="29">
        <v>509.991</v>
      </c>
      <c r="D9" s="29">
        <v>202.834</v>
      </c>
      <c r="E9" s="29">
        <v>373.516</v>
      </c>
      <c r="F9" s="1"/>
      <c r="G9" s="1"/>
      <c r="H9" s="1"/>
      <c r="I9" s="1"/>
      <c r="J9" s="1"/>
      <c r="K9" s="1"/>
      <c r="L9" s="1"/>
      <c r="M9" s="1"/>
      <c r="N9" s="1" t="s">
        <v>90</v>
      </c>
    </row>
    <row r="10">
      <c r="A10" s="1"/>
      <c r="B10" s="1"/>
      <c r="C10" s="1"/>
      <c r="D10" s="1"/>
      <c r="E10" s="1"/>
      <c r="F10" s="1"/>
      <c r="G10" s="1"/>
      <c r="H10" s="1"/>
      <c r="I10" s="1"/>
      <c r="J10" s="1"/>
      <c r="K10" s="1"/>
      <c r="L10" s="1"/>
      <c r="M10" s="1"/>
      <c r="N10" s="1"/>
    </row>
    <row r="11">
      <c r="A11" s="4" t="s">
        <v>93</v>
      </c>
      <c r="B11" s="1"/>
      <c r="C11" s="1"/>
      <c r="D11" s="1"/>
      <c r="E11" s="1"/>
      <c r="F11" s="1"/>
      <c r="G11" s="1"/>
      <c r="H11" s="1"/>
      <c r="I11" s="1"/>
      <c r="J11" s="1"/>
      <c r="K11" s="1"/>
      <c r="L11" s="1"/>
      <c r="M11" s="1"/>
      <c r="N11" s="1"/>
    </row>
    <row r="12">
      <c r="A12" s="12" t="s">
        <v>89</v>
      </c>
      <c r="B12" s="10">
        <v>137.31</v>
      </c>
      <c r="C12" s="10">
        <v>204.746</v>
      </c>
      <c r="D12" s="10">
        <v>95.059</v>
      </c>
      <c r="E12" s="10">
        <v>118.072</v>
      </c>
      <c r="F12" s="1"/>
      <c r="G12" s="1"/>
      <c r="H12" s="1"/>
      <c r="I12" s="1"/>
      <c r="J12" s="1"/>
      <c r="K12" s="1"/>
      <c r="L12" s="1"/>
      <c r="M12" s="1"/>
      <c r="N12" s="1" t="s">
        <v>90</v>
      </c>
    </row>
    <row r="13">
      <c r="A13" s="12" t="s">
        <v>91</v>
      </c>
      <c r="B13" s="10">
        <v>30.204</v>
      </c>
      <c r="C13" s="10">
        <v>106.174</v>
      </c>
      <c r="D13" s="10">
        <v>34.072</v>
      </c>
      <c r="E13" s="10">
        <v>143.709</v>
      </c>
      <c r="F13" s="1"/>
      <c r="G13" s="1"/>
      <c r="H13" s="1"/>
      <c r="I13" s="1"/>
      <c r="J13" s="1"/>
      <c r="K13" s="1"/>
      <c r="L13" s="1"/>
      <c r="M13" s="1"/>
      <c r="N13" s="1" t="s">
        <v>90</v>
      </c>
    </row>
    <row r="14">
      <c r="A14" s="4" t="s">
        <v>94</v>
      </c>
      <c r="B14" s="29">
        <v>167.514</v>
      </c>
      <c r="C14" s="29">
        <v>310.92</v>
      </c>
      <c r="D14" s="29">
        <v>129.131</v>
      </c>
      <c r="E14" s="29">
        <v>261.781</v>
      </c>
      <c r="F14" s="1"/>
      <c r="G14" s="1"/>
      <c r="H14" s="1"/>
      <c r="I14" s="1"/>
      <c r="J14" s="1"/>
      <c r="K14" s="1"/>
      <c r="L14" s="1"/>
      <c r="M14" s="1"/>
      <c r="N14" s="1" t="s">
        <v>90</v>
      </c>
    </row>
    <row r="15">
      <c r="A15" s="4" t="s">
        <v>95</v>
      </c>
      <c r="B15" s="29">
        <v>122.738</v>
      </c>
      <c r="C15" s="29">
        <v>199.071</v>
      </c>
      <c r="D15" s="29">
        <v>73.703</v>
      </c>
      <c r="E15" s="29">
        <v>111.735</v>
      </c>
      <c r="F15" s="1"/>
      <c r="G15" s="1"/>
      <c r="H15" s="1"/>
      <c r="I15" s="1"/>
      <c r="J15" s="1"/>
      <c r="K15" s="1"/>
      <c r="L15" s="1"/>
      <c r="M15" s="1"/>
      <c r="N15" s="1" t="s">
        <v>90</v>
      </c>
    </row>
    <row r="16">
      <c r="A16" s="1"/>
      <c r="B16" s="1"/>
      <c r="C16" s="1"/>
      <c r="D16" s="1"/>
      <c r="E16" s="1"/>
      <c r="F16" s="1"/>
      <c r="G16" s="1"/>
      <c r="H16" s="1"/>
      <c r="I16" s="1"/>
      <c r="J16" s="1"/>
      <c r="K16" s="1"/>
      <c r="L16" s="1"/>
      <c r="M16" s="1"/>
      <c r="N16" s="1"/>
    </row>
    <row r="17">
      <c r="A17" s="4" t="s">
        <v>96</v>
      </c>
      <c r="B17" s="1"/>
      <c r="C17" s="1"/>
      <c r="D17" s="1"/>
      <c r="E17" s="1"/>
      <c r="F17" s="1"/>
      <c r="G17" s="1"/>
      <c r="H17" s="1"/>
      <c r="I17" s="1"/>
      <c r="J17" s="1"/>
      <c r="K17" s="1"/>
      <c r="L17" s="1"/>
      <c r="M17" s="1"/>
      <c r="N17" s="1"/>
    </row>
    <row r="18">
      <c r="A18" s="12" t="s">
        <v>97</v>
      </c>
      <c r="B18" s="10">
        <v>158.234</v>
      </c>
      <c r="C18" s="10">
        <v>243.319</v>
      </c>
      <c r="D18" s="10">
        <v>113.519</v>
      </c>
      <c r="E18" s="10">
        <v>395.646</v>
      </c>
      <c r="F18" s="1"/>
      <c r="G18" s="1"/>
      <c r="H18" s="1"/>
      <c r="I18" s="1"/>
      <c r="J18" s="1"/>
      <c r="K18" s="1"/>
      <c r="L18" s="1"/>
      <c r="M18" s="1"/>
      <c r="N18" s="1" t="s">
        <v>90</v>
      </c>
    </row>
    <row r="19">
      <c r="A19" s="12" t="s">
        <v>98</v>
      </c>
      <c r="B19" s="10">
        <v>20.98</v>
      </c>
      <c r="C19" s="10">
        <v>70.645</v>
      </c>
      <c r="D19" s="10">
        <v>28.554</v>
      </c>
      <c r="E19" s="10">
        <v>101.67</v>
      </c>
      <c r="F19" s="1"/>
      <c r="G19" s="1"/>
      <c r="H19" s="1"/>
      <c r="I19" s="1"/>
      <c r="J19" s="1"/>
      <c r="K19" s="1"/>
      <c r="L19" s="1"/>
      <c r="M19" s="1"/>
      <c r="N19" s="1" t="s">
        <v>90</v>
      </c>
    </row>
    <row r="20">
      <c r="A20" s="12" t="s">
        <v>99</v>
      </c>
      <c r="B20" s="10">
        <v>44.962</v>
      </c>
      <c r="C20" s="10">
        <v>30.969</v>
      </c>
      <c r="D20" s="10">
        <v>17.282</v>
      </c>
      <c r="E20" s="10">
        <v>106.689</v>
      </c>
      <c r="F20" s="1"/>
      <c r="G20" s="1"/>
      <c r="H20" s="1"/>
      <c r="I20" s="1"/>
      <c r="J20" s="1"/>
      <c r="K20" s="1"/>
      <c r="L20" s="1"/>
      <c r="M20" s="1"/>
      <c r="N20" s="1" t="s">
        <v>90</v>
      </c>
    </row>
    <row r="21">
      <c r="A21" s="4" t="s">
        <v>100</v>
      </c>
      <c r="B21" s="29">
        <v>224.176</v>
      </c>
      <c r="C21" s="29">
        <v>344.933</v>
      </c>
      <c r="D21" s="29">
        <v>159.355</v>
      </c>
      <c r="E21" s="29">
        <v>604.005</v>
      </c>
      <c r="F21" s="1"/>
      <c r="G21" s="1"/>
      <c r="H21" s="1"/>
      <c r="I21" s="1"/>
      <c r="J21" s="1"/>
      <c r="K21" s="1"/>
      <c r="L21" s="1"/>
      <c r="M21" s="1"/>
      <c r="N21" s="1" t="s">
        <v>90</v>
      </c>
    </row>
    <row r="22">
      <c r="A22" s="4" t="s">
        <v>101</v>
      </c>
      <c r="B22" s="29">
        <v>-101.438</v>
      </c>
      <c r="C22" s="29">
        <v>-145.862</v>
      </c>
      <c r="D22" s="29">
        <v>-85.652</v>
      </c>
      <c r="E22" s="29">
        <v>-492.27</v>
      </c>
      <c r="F22" s="1"/>
      <c r="G22" s="1"/>
      <c r="H22" s="1"/>
      <c r="I22" s="1"/>
      <c r="J22" s="1"/>
      <c r="K22" s="1"/>
      <c r="L22" s="1"/>
      <c r="M22" s="1"/>
      <c r="N22" s="1" t="s">
        <v>90</v>
      </c>
    </row>
    <row r="23">
      <c r="A23" s="12" t="s">
        <v>102</v>
      </c>
      <c r="B23" s="10">
        <v>-378.237</v>
      </c>
      <c r="C23" s="10">
        <v>390.746</v>
      </c>
      <c r="D23" s="10">
        <v>374.644</v>
      </c>
      <c r="E23" s="10">
        <v>29.507</v>
      </c>
      <c r="F23" s="1"/>
      <c r="G23" s="1"/>
      <c r="H23" s="1"/>
      <c r="I23" s="1"/>
      <c r="J23" s="1"/>
      <c r="K23" s="1"/>
      <c r="L23" s="1"/>
      <c r="M23" s="1"/>
      <c r="N23" s="1" t="s">
        <v>90</v>
      </c>
    </row>
    <row r="24">
      <c r="A24" s="4" t="s">
        <v>103</v>
      </c>
      <c r="B24" s="29">
        <v>-479.675</v>
      </c>
      <c r="C24" s="29">
        <v>244.884</v>
      </c>
      <c r="D24" s="29">
        <v>288.992</v>
      </c>
      <c r="E24" s="29">
        <v>-462.763</v>
      </c>
      <c r="F24" s="1"/>
      <c r="G24" s="1"/>
      <c r="H24" s="1"/>
      <c r="I24" s="1"/>
      <c r="J24" s="1"/>
      <c r="K24" s="1"/>
      <c r="L24" s="1"/>
      <c r="M24" s="1"/>
      <c r="N24" s="1" t="s">
        <v>90</v>
      </c>
    </row>
    <row r="25">
      <c r="A25" s="12" t="s">
        <v>104</v>
      </c>
      <c r="B25" s="10">
        <v>1.927</v>
      </c>
      <c r="C25" s="10">
        <v>7.057</v>
      </c>
      <c r="D25" s="10">
        <v>3.347</v>
      </c>
      <c r="E25" s="10">
        <v>1.771</v>
      </c>
      <c r="F25" s="1"/>
      <c r="G25" s="1"/>
      <c r="H25" s="1"/>
      <c r="I25" s="1"/>
      <c r="J25" s="1"/>
      <c r="K25" s="1"/>
      <c r="L25" s="1"/>
      <c r="M25" s="1"/>
      <c r="N25" s="1" t="s">
        <v>90</v>
      </c>
    </row>
    <row r="26">
      <c r="A26" s="4" t="s">
        <v>105</v>
      </c>
      <c r="B26" s="29">
        <v>-481.602</v>
      </c>
      <c r="C26" s="29">
        <v>237.827</v>
      </c>
      <c r="D26" s="29">
        <v>285.645</v>
      </c>
      <c r="E26" s="29">
        <v>-464.534</v>
      </c>
      <c r="F26" s="1"/>
      <c r="G26" s="1"/>
      <c r="H26" s="1"/>
      <c r="I26" s="1"/>
      <c r="J26" s="1"/>
      <c r="K26" s="1"/>
      <c r="L26" s="1"/>
      <c r="M26" s="1"/>
      <c r="N26" s="1" t="s">
        <v>90</v>
      </c>
    </row>
    <row r="27">
      <c r="A27" s="12" t="s">
        <v>106</v>
      </c>
      <c r="B27" s="13" t="s">
        <v>107</v>
      </c>
      <c r="C27" s="10">
        <v>149.952</v>
      </c>
      <c r="D27" s="13"/>
      <c r="E27" s="13"/>
      <c r="F27" s="1"/>
      <c r="G27" s="1"/>
      <c r="H27" s="1"/>
      <c r="I27" s="1"/>
      <c r="J27" s="1"/>
      <c r="K27" s="1"/>
      <c r="L27" s="1"/>
      <c r="M27" s="1"/>
      <c r="N27" s="1" t="s">
        <v>108</v>
      </c>
    </row>
    <row r="28">
      <c r="A28" s="12" t="s">
        <v>109</v>
      </c>
      <c r="B28" s="10">
        <v>3.182</v>
      </c>
      <c r="C28" s="13" t="s">
        <v>107</v>
      </c>
      <c r="D28" s="13"/>
      <c r="E28" s="13"/>
      <c r="F28" s="1"/>
      <c r="G28" s="1"/>
      <c r="H28" s="1"/>
      <c r="I28" s="1"/>
      <c r="J28" s="1"/>
      <c r="K28" s="1"/>
      <c r="L28" s="1"/>
      <c r="M28" s="1"/>
      <c r="N28" s="1" t="s">
        <v>108</v>
      </c>
    </row>
    <row r="29">
      <c r="A29" s="12" t="s">
        <v>110</v>
      </c>
      <c r="B29" s="10">
        <v>-484.784</v>
      </c>
      <c r="C29" s="10">
        <v>87.875</v>
      </c>
      <c r="D29" s="10">
        <v>110.58</v>
      </c>
      <c r="E29" s="10">
        <v>-464.534</v>
      </c>
      <c r="F29" s="1"/>
      <c r="G29" s="1"/>
      <c r="H29" s="1"/>
      <c r="I29" s="1"/>
      <c r="J29" s="1"/>
      <c r="K29" s="1"/>
      <c r="L29" s="1"/>
      <c r="M29" s="1"/>
      <c r="N29" s="1" t="s">
        <v>90</v>
      </c>
    </row>
    <row r="30">
      <c r="A30" s="12" t="s">
        <v>111</v>
      </c>
      <c r="B30" s="13"/>
      <c r="C30" s="13"/>
      <c r="D30" s="10">
        <v>285.645</v>
      </c>
      <c r="E30" s="10">
        <v>-464.534</v>
      </c>
      <c r="F30" s="1"/>
      <c r="G30" s="1"/>
      <c r="H30" s="1"/>
      <c r="I30" s="1"/>
      <c r="J30" s="1"/>
      <c r="K30" s="1"/>
      <c r="L30" s="1"/>
      <c r="M30" s="1"/>
      <c r="N30" s="1" t="s">
        <v>112</v>
      </c>
    </row>
    <row r="31">
      <c r="A31" s="12" t="s">
        <v>113</v>
      </c>
      <c r="B31" s="2">
        <v>-9.9</v>
      </c>
      <c r="C31" s="2">
        <v>1.64</v>
      </c>
      <c r="D31" s="2">
        <v>2.11</v>
      </c>
      <c r="E31" s="2">
        <v>-4.34</v>
      </c>
      <c r="F31" s="1"/>
      <c r="G31" s="1"/>
      <c r="H31" s="1"/>
      <c r="I31" s="1"/>
      <c r="J31" s="1"/>
      <c r="K31" s="1"/>
      <c r="L31" s="1"/>
      <c r="M31" s="1"/>
      <c r="N31" s="1" t="s">
        <v>90</v>
      </c>
    </row>
    <row r="32">
      <c r="A32" s="12" t="s">
        <v>114</v>
      </c>
      <c r="B32" s="2">
        <v>-9.9</v>
      </c>
      <c r="C32" s="2">
        <v>1.38</v>
      </c>
      <c r="D32" s="2">
        <v>1.76</v>
      </c>
      <c r="E32" s="2">
        <v>-4.34</v>
      </c>
      <c r="F32" s="1"/>
      <c r="G32" s="1"/>
      <c r="H32" s="1"/>
      <c r="I32" s="1"/>
      <c r="J32" s="1"/>
      <c r="K32" s="1"/>
      <c r="L32" s="1"/>
      <c r="M32" s="1"/>
      <c r="N32" s="1" t="s">
        <v>90</v>
      </c>
    </row>
    <row r="33">
      <c r="A33" s="12" t="s">
        <v>115</v>
      </c>
      <c r="B33" s="46">
        <v>48972</v>
      </c>
      <c r="C33" s="46">
        <v>53616</v>
      </c>
      <c r="D33" s="46">
        <v>52363</v>
      </c>
      <c r="E33" s="46">
        <v>107132</v>
      </c>
      <c r="F33" s="1"/>
      <c r="G33" s="1"/>
      <c r="H33" s="1"/>
      <c r="I33" s="1"/>
      <c r="J33" s="1"/>
      <c r="K33" s="1"/>
      <c r="L33" s="1"/>
      <c r="M33" s="1"/>
      <c r="N33" s="1" t="s">
        <v>90</v>
      </c>
    </row>
    <row r="34">
      <c r="A34" s="12" t="s">
        <v>116</v>
      </c>
      <c r="B34" s="46">
        <v>48972</v>
      </c>
      <c r="C34" s="46">
        <v>171821</v>
      </c>
      <c r="D34" s="46">
        <v>162276</v>
      </c>
      <c r="E34" s="46">
        <v>107132</v>
      </c>
      <c r="F34" s="1"/>
      <c r="G34" s="1"/>
      <c r="H34" s="1"/>
      <c r="I34" s="1"/>
      <c r="J34" s="1"/>
      <c r="K34" s="1"/>
      <c r="L34" s="1"/>
      <c r="M34" s="1"/>
      <c r="N34" s="1" t="s">
        <v>90</v>
      </c>
    </row>
    <row r="35">
      <c r="A35" s="1"/>
      <c r="B35" s="1"/>
      <c r="C35" s="1"/>
      <c r="D35" s="1"/>
      <c r="E35" s="1"/>
      <c r="F35" s="1"/>
      <c r="G35" s="1"/>
      <c r="H35" s="1"/>
      <c r="I35" s="1"/>
      <c r="J35" s="1"/>
      <c r="K35" s="1"/>
      <c r="L35" s="1"/>
      <c r="M35" s="1"/>
      <c r="N35" s="1"/>
    </row>
    <row r="36">
      <c r="A36" s="4" t="s">
        <v>117</v>
      </c>
      <c r="B36" s="1"/>
      <c r="C36" s="1"/>
      <c r="D36" s="1"/>
      <c r="E36" s="1"/>
      <c r="F36" s="1"/>
      <c r="G36" s="1"/>
      <c r="H36" s="1"/>
      <c r="I36" s="1"/>
      <c r="J36" s="1"/>
      <c r="K36" s="1"/>
      <c r="L36" s="1"/>
      <c r="M36" s="1"/>
      <c r="N36" s="1"/>
    </row>
    <row r="37">
      <c r="A37" s="12" t="s">
        <v>92</v>
      </c>
      <c r="B37" s="14">
        <f>SUM(B7,B8)-B9</f>
        <v>0</v>
      </c>
      <c r="C37" s="14">
        <f>SUM(C7,C8)-C9</f>
        <v>0</v>
      </c>
      <c r="D37" s="14">
        <f>SUM(D7,D8)-D9</f>
        <v>0</v>
      </c>
      <c r="E37" s="14">
        <f>SUM(E7,E8)-E9</f>
        <v>0</v>
      </c>
      <c r="F37" s="1"/>
      <c r="G37" s="1"/>
      <c r="H37" s="1"/>
      <c r="I37" s="1"/>
      <c r="J37" s="1"/>
      <c r="K37" s="1"/>
      <c r="L37" s="1"/>
      <c r="M37" s="1"/>
      <c r="N37" s="1"/>
    </row>
    <row r="38">
      <c r="A38" s="12" t="s">
        <v>94</v>
      </c>
      <c r="B38" s="14">
        <f>SUM(B12,B13)-B14</f>
        <v>0</v>
      </c>
      <c r="C38" s="14">
        <f>SUM(C12,C13)-C14</f>
        <v>0</v>
      </c>
      <c r="D38" s="14">
        <f>SUM(D12,D13)-D14</f>
        <v>0</v>
      </c>
      <c r="E38" s="14">
        <f>SUM(E12,E13)-E14</f>
        <v>0</v>
      </c>
      <c r="F38" s="1"/>
      <c r="G38" s="1"/>
      <c r="H38" s="1"/>
      <c r="I38" s="1"/>
      <c r="J38" s="1"/>
      <c r="K38" s="1"/>
      <c r="L38" s="1"/>
      <c r="M38" s="1"/>
      <c r="N38" s="1"/>
    </row>
    <row r="39">
      <c r="A39" s="12" t="s">
        <v>95</v>
      </c>
      <c r="B39" s="14">
        <f>B9-B14-B15</f>
        <v>0</v>
      </c>
      <c r="C39" s="14">
        <f>C9-C14-C15</f>
        <v>0</v>
      </c>
      <c r="D39" s="14">
        <f>D9-D14-D15</f>
        <v>0</v>
      </c>
      <c r="E39" s="14">
        <f>E9-E14-E15</f>
        <v>0</v>
      </c>
      <c r="F39" s="1"/>
      <c r="G39" s="1"/>
      <c r="H39" s="1"/>
      <c r="I39" s="1"/>
      <c r="J39" s="1"/>
      <c r="K39" s="1"/>
      <c r="L39" s="1"/>
      <c r="M39" s="1"/>
      <c r="N39" s="1"/>
    </row>
    <row r="40">
      <c r="A40" s="12" t="s">
        <v>100</v>
      </c>
      <c r="B40" s="14">
        <f>SUM(B18,B19,B20)-B21</f>
        <v>0</v>
      </c>
      <c r="C40" s="14">
        <f>SUM(C18,C19,C20)-C21</f>
        <v>0</v>
      </c>
      <c r="D40" s="14">
        <f>SUM(D18,D19,D20)-D21</f>
        <v>0</v>
      </c>
      <c r="E40" s="14">
        <f>SUM(E18,E19,E20)-E21</f>
        <v>0</v>
      </c>
      <c r="F40" s="1"/>
      <c r="G40" s="1"/>
      <c r="H40" s="1"/>
      <c r="I40" s="1"/>
      <c r="J40" s="1"/>
      <c r="K40" s="1"/>
      <c r="L40" s="1"/>
      <c r="M40" s="1"/>
      <c r="N40" s="1"/>
    </row>
    <row r="41">
      <c r="A41" s="12" t="s">
        <v>101</v>
      </c>
      <c r="B41" s="14">
        <f>B15-B21-B22</f>
        <v>0</v>
      </c>
      <c r="C41" s="14">
        <f>C15-C21-C22</f>
        <v>0</v>
      </c>
      <c r="D41" s="14">
        <f>D15-D21-D22</f>
        <v>0</v>
      </c>
      <c r="E41" s="14">
        <f>E15-E21-E22</f>
        <v>0</v>
      </c>
      <c r="F41" s="1"/>
      <c r="G41" s="1"/>
      <c r="H41" s="1"/>
      <c r="I41" s="1"/>
      <c r="J41" s="1"/>
      <c r="K41" s="1"/>
      <c r="L41" s="1"/>
      <c r="M41" s="1"/>
      <c r="N41" s="1"/>
    </row>
    <row r="42">
      <c r="A42" s="12" t="s">
        <v>103</v>
      </c>
      <c r="B42" s="14">
        <f>B22+B23-B24</f>
        <v>0</v>
      </c>
      <c r="C42" s="14">
        <f>C22+C23-C24</f>
        <v>0</v>
      </c>
      <c r="D42" s="14">
        <f>D22+D23-D24</f>
        <v>0</v>
      </c>
      <c r="E42" s="14">
        <f>E22+E23-E24</f>
        <v>0</v>
      </c>
      <c r="F42" s="1"/>
      <c r="G42" s="1"/>
      <c r="H42" s="1"/>
      <c r="I42" s="1"/>
      <c r="J42" s="1"/>
      <c r="K42" s="1"/>
      <c r="L42" s="1"/>
      <c r="M42" s="1"/>
      <c r="N42" s="1"/>
    </row>
    <row r="43">
      <c r="A43" s="12" t="s">
        <v>105</v>
      </c>
      <c r="B43" s="14">
        <f>B24-B25-B26</f>
        <v>0</v>
      </c>
      <c r="C43" s="14">
        <f>C24-C25-C26</f>
        <v>0</v>
      </c>
      <c r="D43" s="14">
        <f>D24-D25-D26</f>
        <v>0</v>
      </c>
      <c r="E43" s="14">
        <f>E24-E25-E26</f>
        <v>0</v>
      </c>
      <c r="F43" s="1"/>
      <c r="G43" s="1"/>
      <c r="H43" s="1"/>
      <c r="I43" s="1"/>
      <c r="J43" s="1"/>
      <c r="K43" s="1"/>
      <c r="L43" s="1"/>
      <c r="M43" s="1"/>
      <c r="N43" s="1"/>
    </row>
    <row r="44">
      <c r="A44" s="12" t="s">
        <v>118</v>
      </c>
      <c r="B44" s="14">
        <f>B26-SUM(B27,B28)-B29</f>
        <v>0</v>
      </c>
      <c r="C44" s="14">
        <f>C26-SUM(C27,C28)-C29</f>
        <v>0</v>
      </c>
      <c r="D44" s="1"/>
      <c r="E44" s="1"/>
      <c r="F44" s="1"/>
      <c r="G44" s="1"/>
      <c r="H44" s="1"/>
      <c r="I44" s="1"/>
      <c r="J44" s="1"/>
      <c r="K44" s="1"/>
      <c r="L44" s="1"/>
      <c r="M44" s="1"/>
      <c r="N44" s="1"/>
    </row>
    <row r="45">
      <c r="A45" s="12" t="s">
        <v>119</v>
      </c>
      <c r="B45" s="14">
        <f>ROUND(B29*1000/B33,2)-B31</f>
        <v>0</v>
      </c>
      <c r="C45" s="14">
        <f>ROUND(C29*1000/C33,2)-C31</f>
        <v>0</v>
      </c>
      <c r="D45" s="14">
        <f>ROUND(D29*1000/D33,2)-D31</f>
        <v>0</v>
      </c>
      <c r="E45" s="14">
        <f>ROUND(E29*1000/E33,2)-E31</f>
        <v>0</v>
      </c>
      <c r="F45" s="1"/>
      <c r="G45" s="1"/>
      <c r="H45" s="1"/>
      <c r="I45" s="1"/>
      <c r="J45" s="1"/>
      <c r="K45" s="1"/>
      <c r="L45" s="1"/>
      <c r="M45" s="1"/>
      <c r="N45" s="1"/>
    </row>
  </sheetData>
</worksheet>
</file>

<file path=xl/worksheets/sheet3.xml><?xml version="1.0" encoding="utf-8"?>
<worksheet xmlns="http://schemas.openxmlformats.org/spreadsheetml/2006/main" xmlns:r="http://schemas.openxmlformats.org/officeDocument/2006/relationships">
  <sheetPr>
    <tabColor rgb="FF6A7689"/>
  </sheetPr>
  <dimension ref="A1:N15"/>
  <sheetViews>
    <sheetView showGridLines="0" workbookViewId="0"/>
  </sheetViews>
  <sheetFormatPr defaultColWidth="8.375" defaultRowHeight="15"/>
  <cols>
    <col min="1" max="1" width="86.0390625" customWidth="1"/>
    <col min="2" max="5" width="13.375" customWidth="1"/>
    <col min="13" max="13" width="17.70703125" customWidth="1"/>
    <col min="14" max="14" width="92.70703125" customWidth="1"/>
  </cols>
  <sheetData>
    <row r="1">
      <c r="A1" s="21" t="s">
        <v>120</v>
      </c>
      <c r="B1" s="1"/>
      <c r="C1" s="1"/>
      <c r="D1" s="1"/>
      <c r="E1" s="1"/>
      <c r="F1" s="1"/>
      <c r="G1" s="1"/>
      <c r="H1" s="1"/>
      <c r="I1" s="1"/>
      <c r="J1" s="1"/>
      <c r="K1" s="1"/>
      <c r="L1" s="1"/>
      <c r="M1" s="1"/>
      <c r="N1" s="1"/>
    </row>
    <row r="2">
      <c r="A2" s="1" t="s">
        <v>121</v>
      </c>
      <c r="B2" s="1"/>
      <c r="C2" s="1"/>
      <c r="D2" s="1"/>
      <c r="E2" s="1"/>
      <c r="F2" s="1"/>
      <c r="G2" s="1"/>
      <c r="H2" s="1"/>
      <c r="I2" s="1"/>
      <c r="J2" s="1"/>
      <c r="K2" s="1"/>
      <c r="L2" s="1"/>
      <c r="M2" s="1"/>
      <c r="N2" s="1"/>
    </row>
    <row r="3">
      <c r="A3" s="1"/>
      <c r="B3" s="1"/>
      <c r="C3" s="1"/>
      <c r="D3" s="1"/>
      <c r="E3" s="1"/>
      <c r="F3" s="1"/>
      <c r="G3" s="1"/>
      <c r="H3" s="1"/>
      <c r="I3" s="1"/>
      <c r="J3" s="1"/>
      <c r="K3" s="1"/>
      <c r="L3" s="1"/>
      <c r="M3" s="1"/>
      <c r="N3" s="1"/>
    </row>
    <row r="4">
      <c r="A4" s="3" t="s">
        <v>81</v>
      </c>
      <c r="B4" s="24" t="s">
        <v>82</v>
      </c>
      <c r="C4" s="24" t="s">
        <v>83</v>
      </c>
      <c r="D4" s="24" t="s">
        <v>84</v>
      </c>
      <c r="E4" s="24" t="s">
        <v>85</v>
      </c>
      <c r="F4" s="1"/>
      <c r="G4" s="1"/>
      <c r="H4" s="1"/>
      <c r="I4" s="1"/>
      <c r="J4" s="1"/>
      <c r="K4" s="1"/>
      <c r="L4" s="1"/>
      <c r="M4" s="6" t="s">
        <v>86</v>
      </c>
      <c r="N4" s="6" t="s">
        <v>87</v>
      </c>
    </row>
    <row r="5">
      <c r="A5" s="1"/>
      <c r="B5" s="1"/>
      <c r="C5" s="1"/>
      <c r="D5" s="1"/>
      <c r="E5" s="1"/>
      <c r="F5" s="1"/>
      <c r="G5" s="1"/>
      <c r="H5" s="1"/>
      <c r="I5" s="1"/>
      <c r="J5" s="1"/>
      <c r="K5" s="1"/>
      <c r="L5" s="1"/>
      <c r="M5" s="1"/>
      <c r="N5" s="1"/>
    </row>
    <row r="6">
      <c r="A6" s="12" t="s">
        <v>105</v>
      </c>
      <c r="B6" s="10">
        <v>-481.602</v>
      </c>
      <c r="C6" s="10">
        <v>237.827</v>
      </c>
      <c r="D6" s="10">
        <v>285.645</v>
      </c>
      <c r="E6" s="10">
        <v>-464.534</v>
      </c>
      <c r="F6" s="1"/>
      <c r="G6" s="1"/>
      <c r="H6" s="1"/>
      <c r="I6" s="1"/>
      <c r="J6" s="1"/>
      <c r="K6" s="1"/>
      <c r="L6" s="1"/>
      <c r="M6" s="1"/>
      <c r="N6" s="1" t="s">
        <v>122</v>
      </c>
    </row>
    <row r="7">
      <c r="A7" s="12" t="s">
        <v>123</v>
      </c>
      <c r="B7" s="10">
        <v>-0.304</v>
      </c>
      <c r="C7" s="10">
        <v>-0.521</v>
      </c>
      <c r="D7" s="10">
        <v>0.912</v>
      </c>
      <c r="E7" s="10">
        <v>0.638</v>
      </c>
      <c r="F7" s="1"/>
      <c r="G7" s="1"/>
      <c r="H7" s="1"/>
      <c r="I7" s="1"/>
      <c r="J7" s="1"/>
      <c r="K7" s="1"/>
      <c r="L7" s="1"/>
      <c r="M7" s="1"/>
      <c r="N7" s="1" t="s">
        <v>122</v>
      </c>
    </row>
    <row r="8">
      <c r="A8" s="1"/>
      <c r="B8" s="1"/>
      <c r="C8" s="1"/>
      <c r="D8" s="1"/>
      <c r="E8" s="1"/>
      <c r="F8" s="1"/>
      <c r="G8" s="1"/>
      <c r="H8" s="1"/>
      <c r="I8" s="1"/>
      <c r="J8" s="1"/>
      <c r="K8" s="1"/>
      <c r="L8" s="1"/>
      <c r="M8" s="1"/>
      <c r="N8" s="1"/>
    </row>
    <row r="9">
      <c r="A9" s="4" t="s">
        <v>124</v>
      </c>
      <c r="B9" s="1"/>
      <c r="C9" s="1"/>
      <c r="D9" s="1"/>
      <c r="E9" s="1"/>
      <c r="F9" s="1"/>
      <c r="G9" s="1"/>
      <c r="H9" s="1"/>
      <c r="I9" s="1"/>
      <c r="J9" s="1"/>
      <c r="K9" s="1"/>
      <c r="L9" s="1"/>
      <c r="M9" s="1"/>
      <c r="N9" s="1"/>
    </row>
    <row r="10">
      <c r="A10" s="12" t="s">
        <v>125</v>
      </c>
      <c r="B10" s="10">
        <v>-0.579</v>
      </c>
      <c r="C10" s="10">
        <v>1.602</v>
      </c>
      <c r="D10" s="10">
        <v>-0.807</v>
      </c>
      <c r="E10" s="10">
        <v>3.828</v>
      </c>
      <c r="F10" s="1"/>
      <c r="G10" s="1"/>
      <c r="H10" s="1"/>
      <c r="I10" s="1"/>
      <c r="J10" s="1"/>
      <c r="K10" s="1"/>
      <c r="L10" s="1"/>
      <c r="M10" s="1"/>
      <c r="N10" s="1" t="s">
        <v>122</v>
      </c>
    </row>
    <row r="11">
      <c r="A11" s="4" t="s">
        <v>126</v>
      </c>
      <c r="B11" s="29">
        <v>-482.485</v>
      </c>
      <c r="C11" s="29">
        <v>238.908</v>
      </c>
      <c r="D11" s="29">
        <v>285.75</v>
      </c>
      <c r="E11" s="29">
        <v>-460.068</v>
      </c>
      <c r="F11" s="1"/>
      <c r="G11" s="1"/>
      <c r="H11" s="1"/>
      <c r="I11" s="1"/>
      <c r="J11" s="1"/>
      <c r="K11" s="1"/>
      <c r="L11" s="1"/>
      <c r="M11" s="1"/>
      <c r="N11" s="1" t="s">
        <v>122</v>
      </c>
    </row>
    <row r="12">
      <c r="A12" s="1"/>
      <c r="B12" s="1"/>
      <c r="C12" s="1"/>
      <c r="D12" s="1"/>
      <c r="E12" s="1"/>
      <c r="F12" s="1"/>
      <c r="G12" s="1"/>
      <c r="H12" s="1"/>
      <c r="I12" s="1"/>
      <c r="J12" s="1"/>
      <c r="K12" s="1"/>
      <c r="L12" s="1"/>
      <c r="M12" s="1"/>
      <c r="N12" s="1"/>
    </row>
    <row r="13">
      <c r="A13" s="4" t="s">
        <v>127</v>
      </c>
      <c r="B13" s="1"/>
      <c r="C13" s="1"/>
      <c r="D13" s="1"/>
      <c r="E13" s="1"/>
      <c r="F13" s="1"/>
      <c r="G13" s="1"/>
      <c r="H13" s="1"/>
      <c r="I13" s="1"/>
      <c r="J13" s="1"/>
      <c r="K13" s="1"/>
      <c r="L13" s="1"/>
      <c r="M13" s="1"/>
      <c r="N13" s="1"/>
    </row>
    <row r="14">
      <c r="A14" s="12" t="s">
        <v>126</v>
      </c>
      <c r="B14" s="14">
        <f>B6+B7+B10-B11</f>
        <v>0</v>
      </c>
      <c r="C14" s="14">
        <f>C6+C7+C10-C11</f>
        <v>0</v>
      </c>
      <c r="D14" s="14">
        <f>D6+D7+D10-D11</f>
        <v>0</v>
      </c>
      <c r="E14" s="14">
        <f>E6+E7+E10-E11</f>
        <v>0</v>
      </c>
      <c r="F14" s="1"/>
      <c r="G14" s="1"/>
      <c r="H14" s="1"/>
      <c r="I14" s="1"/>
      <c r="J14" s="1"/>
      <c r="K14" s="1"/>
      <c r="L14" s="1"/>
      <c r="M14" s="1"/>
      <c r="N14" s="1"/>
    </row>
    <row r="15">
      <c r="A15" s="12" t="s">
        <v>128</v>
      </c>
      <c r="B15" s="14">
        <f>B6-IS_Hist!B26</f>
        <v>0</v>
      </c>
      <c r="C15" s="14">
        <f>C6-IS_Hist!C26</f>
        <v>0</v>
      </c>
      <c r="D15" s="14">
        <f>D6-IS_Hist!D26</f>
        <v>0</v>
      </c>
      <c r="E15" s="14">
        <f>E6-IS_Hist!E26</f>
        <v>0</v>
      </c>
      <c r="F15" s="1"/>
      <c r="G15" s="1"/>
      <c r="H15" s="1"/>
      <c r="I15" s="1"/>
      <c r="J15" s="1"/>
      <c r="K15" s="1"/>
      <c r="L15" s="1"/>
      <c r="M15" s="1"/>
      <c r="N15" s="1"/>
    </row>
  </sheetData>
</worksheet>
</file>

<file path=xl/worksheets/sheet4.xml><?xml version="1.0" encoding="utf-8"?>
<worksheet xmlns="http://schemas.openxmlformats.org/spreadsheetml/2006/main" xmlns:r="http://schemas.openxmlformats.org/officeDocument/2006/relationships">
  <sheetPr>
    <tabColor rgb="FF6A7689"/>
  </sheetPr>
  <dimension ref="A1:N64"/>
  <sheetViews>
    <sheetView showGridLines="0" workbookViewId="0"/>
  </sheetViews>
  <sheetFormatPr defaultColWidth="8.375" defaultRowHeight="15"/>
  <cols>
    <col min="1" max="1" width="86.0390625" customWidth="1"/>
    <col min="2" max="6" width="13.375" customWidth="1"/>
    <col min="13" max="13" width="17.70703125" customWidth="1"/>
    <col min="14" max="14" width="92.70703125" customWidth="1"/>
  </cols>
  <sheetData>
    <row r="1">
      <c r="A1" s="21" t="s">
        <v>129</v>
      </c>
      <c r="B1" s="1"/>
      <c r="C1" s="1"/>
      <c r="D1" s="1"/>
      <c r="E1" s="1"/>
      <c r="F1" s="1"/>
      <c r="G1" s="1"/>
      <c r="H1" s="1"/>
      <c r="I1" s="1"/>
      <c r="J1" s="1"/>
      <c r="K1" s="1"/>
      <c r="L1" s="1"/>
      <c r="M1" s="1"/>
      <c r="N1" s="1"/>
    </row>
    <row r="2">
      <c r="A2" s="1" t="s">
        <v>130</v>
      </c>
      <c r="B2" s="1"/>
      <c r="C2" s="1"/>
      <c r="D2" s="1"/>
      <c r="E2" s="1"/>
      <c r="F2" s="1"/>
      <c r="G2" s="1"/>
      <c r="H2" s="1"/>
      <c r="I2" s="1"/>
      <c r="J2" s="1"/>
      <c r="K2" s="1"/>
      <c r="L2" s="1"/>
      <c r="M2" s="1"/>
      <c r="N2" s="1"/>
    </row>
    <row r="3">
      <c r="A3" s="1"/>
      <c r="B3" s="1"/>
      <c r="C3" s="1"/>
      <c r="D3" s="1"/>
      <c r="E3" s="1"/>
      <c r="F3" s="1"/>
      <c r="G3" s="1"/>
      <c r="H3" s="1"/>
      <c r="I3" s="1"/>
      <c r="J3" s="1"/>
      <c r="K3" s="1"/>
      <c r="L3" s="1"/>
      <c r="M3" s="1"/>
      <c r="N3" s="1"/>
    </row>
    <row r="4">
      <c r="A4" s="3" t="s">
        <v>81</v>
      </c>
      <c r="B4" s="24" t="s">
        <v>131</v>
      </c>
      <c r="C4" s="24" t="s">
        <v>132</v>
      </c>
      <c r="D4" s="24" t="s">
        <v>133</v>
      </c>
      <c r="E4" s="24" t="s">
        <v>134</v>
      </c>
      <c r="F4" s="24" t="s">
        <v>135</v>
      </c>
      <c r="G4" s="1"/>
      <c r="H4" s="1"/>
      <c r="I4" s="1"/>
      <c r="J4" s="1"/>
      <c r="K4" s="1"/>
      <c r="L4" s="1"/>
      <c r="M4" s="6" t="s">
        <v>86</v>
      </c>
      <c r="N4" s="6" t="s">
        <v>87</v>
      </c>
    </row>
    <row r="5">
      <c r="A5" s="1"/>
      <c r="B5" s="1"/>
      <c r="C5" s="1"/>
      <c r="D5" s="1"/>
      <c r="E5" s="1"/>
      <c r="F5" s="1"/>
      <c r="G5" s="1"/>
      <c r="H5" s="1"/>
      <c r="I5" s="1"/>
      <c r="J5" s="1"/>
      <c r="K5" s="1"/>
      <c r="L5" s="1"/>
      <c r="M5" s="1"/>
      <c r="N5" s="1"/>
    </row>
    <row r="6">
      <c r="A6" s="4" t="s">
        <v>136</v>
      </c>
      <c r="B6" s="1"/>
      <c r="C6" s="1"/>
      <c r="D6" s="1"/>
      <c r="E6" s="1"/>
      <c r="F6" s="1"/>
      <c r="G6" s="1"/>
      <c r="H6" s="1"/>
      <c r="I6" s="1"/>
      <c r="J6" s="1"/>
      <c r="K6" s="1"/>
      <c r="L6" s="1"/>
      <c r="M6" s="1"/>
      <c r="N6" s="1"/>
    </row>
    <row r="7">
      <c r="A7" s="12" t="s">
        <v>137</v>
      </c>
      <c r="B7" s="10">
        <v>220.208</v>
      </c>
      <c r="C7" s="10">
        <v>701.706</v>
      </c>
      <c r="D7" s="10">
        <v>701.706</v>
      </c>
      <c r="E7" s="10">
        <v>1716.016</v>
      </c>
      <c r="F7" s="10">
        <v>6742.157</v>
      </c>
      <c r="G7" s="1"/>
      <c r="H7" s="1"/>
      <c r="I7" s="1"/>
      <c r="J7" s="1"/>
      <c r="K7" s="1"/>
      <c r="L7" s="1"/>
      <c r="M7" s="1"/>
      <c r="N7" s="1" t="s">
        <v>138</v>
      </c>
    </row>
    <row r="8">
      <c r="A8" s="12" t="s">
        <v>139</v>
      </c>
      <c r="B8" s="10">
        <v>361.757</v>
      </c>
      <c r="C8" s="10">
        <v>228.672</v>
      </c>
      <c r="D8" s="10">
        <v>228.672</v>
      </c>
      <c r="E8" s="10">
        <v>1029.098</v>
      </c>
      <c r="F8" s="10">
        <v>684.68</v>
      </c>
      <c r="G8" s="1"/>
      <c r="H8" s="1"/>
      <c r="I8" s="1"/>
      <c r="J8" s="1"/>
      <c r="K8" s="1"/>
      <c r="L8" s="1"/>
      <c r="M8" s="1"/>
      <c r="N8" s="1" t="s">
        <v>138</v>
      </c>
    </row>
    <row r="9">
      <c r="A9" s="12" t="s">
        <v>140</v>
      </c>
      <c r="B9" s="10">
        <v>116.943</v>
      </c>
      <c r="C9" s="10">
        <v>406.531</v>
      </c>
      <c r="D9" s="10">
        <v>406.531</v>
      </c>
      <c r="E9" s="10">
        <v>515.605</v>
      </c>
      <c r="F9" s="10">
        <v>1179.39</v>
      </c>
      <c r="G9" s="1"/>
      <c r="H9" s="1"/>
      <c r="I9" s="1"/>
      <c r="J9" s="1"/>
      <c r="K9" s="1"/>
      <c r="L9" s="1"/>
      <c r="M9" s="1"/>
      <c r="N9" s="1" t="s">
        <v>138</v>
      </c>
    </row>
    <row r="10">
      <c r="A10" s="12" t="s">
        <v>141</v>
      </c>
      <c r="B10" s="10">
        <v>137.436</v>
      </c>
      <c r="C10" s="10">
        <v>50.423</v>
      </c>
      <c r="D10" s="10">
        <v>50.423</v>
      </c>
      <c r="E10" s="10">
        <v>62.631</v>
      </c>
      <c r="F10" s="10">
        <v>123.361</v>
      </c>
      <c r="G10" s="1"/>
      <c r="H10" s="1"/>
      <c r="I10" s="1"/>
      <c r="J10" s="1"/>
      <c r="K10" s="1"/>
      <c r="L10" s="1"/>
      <c r="M10" s="1"/>
      <c r="N10" s="1" t="s">
        <v>138</v>
      </c>
    </row>
    <row r="11">
      <c r="A11" s="12" t="s">
        <v>142</v>
      </c>
      <c r="B11" s="10">
        <v>174.492</v>
      </c>
      <c r="C11" s="10">
        <v>63.626</v>
      </c>
      <c r="D11" s="10">
        <v>63.626</v>
      </c>
      <c r="E11" s="10">
        <v>89.04</v>
      </c>
      <c r="F11" s="10">
        <v>32.666</v>
      </c>
      <c r="G11" s="1"/>
      <c r="H11" s="1"/>
      <c r="I11" s="1"/>
      <c r="J11" s="1"/>
      <c r="K11" s="1"/>
      <c r="L11" s="1"/>
      <c r="M11" s="1"/>
      <c r="N11" s="1" t="s">
        <v>138</v>
      </c>
    </row>
    <row r="12">
      <c r="A12" s="12" t="s">
        <v>143</v>
      </c>
      <c r="B12" s="13"/>
      <c r="C12" s="13"/>
      <c r="D12" s="10">
        <v>60.906</v>
      </c>
      <c r="E12" s="10">
        <v>90.701</v>
      </c>
      <c r="F12" s="10">
        <v>167.762</v>
      </c>
      <c r="G12" s="1"/>
      <c r="H12" s="1"/>
      <c r="I12" s="1"/>
      <c r="J12" s="1"/>
      <c r="K12" s="1"/>
      <c r="L12" s="1"/>
      <c r="M12" s="1"/>
      <c r="N12" s="1" t="s">
        <v>144</v>
      </c>
    </row>
    <row r="13">
      <c r="A13" s="12" t="s">
        <v>145</v>
      </c>
      <c r="B13" s="10">
        <v>19.643</v>
      </c>
      <c r="C13" s="10">
        <v>92.688</v>
      </c>
      <c r="D13" s="10">
        <v>31.782</v>
      </c>
      <c r="E13" s="10">
        <v>77.87</v>
      </c>
      <c r="F13" s="10">
        <v>191.698</v>
      </c>
      <c r="G13" s="1"/>
      <c r="H13" s="1"/>
      <c r="I13" s="1"/>
      <c r="J13" s="1"/>
      <c r="K13" s="1"/>
      <c r="L13" s="1"/>
      <c r="M13" s="1"/>
      <c r="N13" s="1" t="s">
        <v>138</v>
      </c>
    </row>
    <row r="14">
      <c r="A14" s="4" t="s">
        <v>146</v>
      </c>
      <c r="B14" s="29">
        <v>1030.479</v>
      </c>
      <c r="C14" s="29">
        <v>1543.646</v>
      </c>
      <c r="D14" s="29">
        <v>1543.646</v>
      </c>
      <c r="E14" s="29">
        <v>3580.961</v>
      </c>
      <c r="F14" s="29">
        <v>9121.714</v>
      </c>
      <c r="G14" s="1"/>
      <c r="H14" s="1"/>
      <c r="I14" s="1"/>
      <c r="J14" s="1"/>
      <c r="K14" s="1"/>
      <c r="L14" s="1"/>
      <c r="M14" s="1"/>
      <c r="N14" s="1" t="s">
        <v>138</v>
      </c>
    </row>
    <row r="15">
      <c r="A15" s="12" t="s">
        <v>147</v>
      </c>
      <c r="B15" s="10">
        <v>43.174</v>
      </c>
      <c r="C15" s="10">
        <v>437.396</v>
      </c>
      <c r="D15" s="10">
        <v>437.396</v>
      </c>
      <c r="E15" s="10">
        <v>572.439</v>
      </c>
      <c r="F15" s="10">
        <v>986.808</v>
      </c>
      <c r="G15" s="1"/>
      <c r="H15" s="1"/>
      <c r="I15" s="1"/>
      <c r="J15" s="1"/>
      <c r="K15" s="1"/>
      <c r="L15" s="1"/>
      <c r="M15" s="1"/>
      <c r="N15" s="1" t="s">
        <v>138</v>
      </c>
    </row>
    <row r="16">
      <c r="A16" s="12" t="s">
        <v>148</v>
      </c>
      <c r="B16" s="13"/>
      <c r="C16" s="13"/>
      <c r="D16" s="10">
        <v>91.447</v>
      </c>
      <c r="E16" s="10">
        <v>425.355</v>
      </c>
      <c r="F16" s="10">
        <v>960.635</v>
      </c>
      <c r="G16" s="1"/>
      <c r="H16" s="1"/>
      <c r="I16" s="1"/>
      <c r="J16" s="1"/>
      <c r="K16" s="1"/>
      <c r="L16" s="1"/>
      <c r="M16" s="1"/>
      <c r="N16" s="1" t="s">
        <v>144</v>
      </c>
    </row>
    <row r="17">
      <c r="A17" s="12" t="s">
        <v>149</v>
      </c>
      <c r="B17" s="10">
        <v>36.571</v>
      </c>
      <c r="C17" s="10">
        <v>248.95</v>
      </c>
      <c r="D17" s="10">
        <v>248.95</v>
      </c>
      <c r="E17" s="10">
        <v>353.303</v>
      </c>
      <c r="F17" s="10">
        <v>528.275</v>
      </c>
      <c r="G17" s="1"/>
      <c r="H17" s="1"/>
      <c r="I17" s="1"/>
      <c r="J17" s="1"/>
      <c r="K17" s="1"/>
      <c r="L17" s="1"/>
      <c r="M17" s="1"/>
      <c r="N17" s="1" t="s">
        <v>138</v>
      </c>
    </row>
    <row r="18">
      <c r="A18" s="12" t="s">
        <v>150</v>
      </c>
      <c r="B18" s="10">
        <v>2.514</v>
      </c>
      <c r="C18" s="10">
        <v>96.045</v>
      </c>
      <c r="D18" s="10">
        <v>4.598</v>
      </c>
      <c r="E18" s="10">
        <v>16.32</v>
      </c>
      <c r="F18" s="10">
        <v>30.44</v>
      </c>
      <c r="G18" s="1"/>
      <c r="H18" s="1"/>
      <c r="I18" s="1"/>
      <c r="J18" s="1"/>
      <c r="K18" s="1"/>
      <c r="L18" s="1"/>
      <c r="M18" s="1"/>
      <c r="N18" s="1" t="s">
        <v>138</v>
      </c>
    </row>
    <row r="19">
      <c r="A19" s="4" t="s">
        <v>151</v>
      </c>
      <c r="B19" s="29">
        <v>1112.738</v>
      </c>
      <c r="C19" s="29">
        <v>2326.037</v>
      </c>
      <c r="D19" s="29">
        <v>2326.037</v>
      </c>
      <c r="E19" s="29">
        <v>4948.378</v>
      </c>
      <c r="F19" s="29">
        <v>11627.872</v>
      </c>
      <c r="G19" s="1"/>
      <c r="H19" s="1"/>
      <c r="I19" s="1"/>
      <c r="J19" s="1"/>
      <c r="K19" s="1"/>
      <c r="L19" s="1"/>
      <c r="M19" s="1"/>
      <c r="N19" s="1" t="s">
        <v>138</v>
      </c>
    </row>
    <row r="20">
      <c r="A20" s="1"/>
      <c r="B20" s="1"/>
      <c r="C20" s="1"/>
      <c r="D20" s="1"/>
      <c r="E20" s="1"/>
      <c r="F20" s="1"/>
      <c r="G20" s="1"/>
      <c r="H20" s="1"/>
      <c r="I20" s="1"/>
      <c r="J20" s="1"/>
      <c r="K20" s="1"/>
      <c r="L20" s="1"/>
      <c r="M20" s="1"/>
      <c r="N20" s="1"/>
    </row>
    <row r="21">
      <c r="A21" s="4" t="s">
        <v>152</v>
      </c>
      <c r="B21" s="1"/>
      <c r="C21" s="1"/>
      <c r="D21" s="1"/>
      <c r="E21" s="1"/>
      <c r="F21" s="1"/>
      <c r="G21" s="1"/>
      <c r="H21" s="1"/>
      <c r="I21" s="1"/>
      <c r="J21" s="1"/>
      <c r="K21" s="1"/>
      <c r="L21" s="1"/>
      <c r="M21" s="1"/>
      <c r="N21" s="1"/>
    </row>
    <row r="22">
      <c r="A22" s="12" t="s">
        <v>153</v>
      </c>
      <c r="B22" s="10">
        <v>25.63</v>
      </c>
      <c r="C22" s="10">
        <v>48.63</v>
      </c>
      <c r="D22" s="10">
        <v>48.63</v>
      </c>
      <c r="E22" s="10">
        <v>50.336</v>
      </c>
      <c r="F22" s="10">
        <v>88.313</v>
      </c>
      <c r="G22" s="1"/>
      <c r="H22" s="1"/>
      <c r="I22" s="1"/>
      <c r="J22" s="1"/>
      <c r="K22" s="1"/>
      <c r="L22" s="1"/>
      <c r="M22" s="1"/>
      <c r="N22" s="1" t="s">
        <v>138</v>
      </c>
    </row>
    <row r="23">
      <c r="A23" s="12" t="s">
        <v>154</v>
      </c>
      <c r="B23" s="10">
        <v>38.537</v>
      </c>
      <c r="C23" s="10">
        <v>131.049</v>
      </c>
      <c r="D23" s="10">
        <v>131.049</v>
      </c>
      <c r="E23" s="10">
        <v>149.918</v>
      </c>
      <c r="F23" s="10">
        <v>173.735</v>
      </c>
      <c r="G23" s="1"/>
      <c r="H23" s="1"/>
      <c r="I23" s="1"/>
      <c r="J23" s="1"/>
      <c r="K23" s="1"/>
      <c r="L23" s="1"/>
      <c r="M23" s="1"/>
      <c r="N23" s="1" t="s">
        <v>138</v>
      </c>
    </row>
    <row r="24">
      <c r="A24" s="12" t="s">
        <v>155</v>
      </c>
      <c r="B24" s="13"/>
      <c r="C24" s="13"/>
      <c r="D24" s="10">
        <v>45.865</v>
      </c>
      <c r="E24" s="10">
        <v>66.218</v>
      </c>
      <c r="F24" s="10">
        <v>88.422</v>
      </c>
      <c r="G24" s="1"/>
      <c r="H24" s="1"/>
      <c r="I24" s="1"/>
      <c r="J24" s="1"/>
      <c r="K24" s="1"/>
      <c r="L24" s="1"/>
      <c r="M24" s="1"/>
      <c r="N24" s="1" t="s">
        <v>144</v>
      </c>
    </row>
    <row r="25">
      <c r="A25" s="12" t="s">
        <v>156</v>
      </c>
      <c r="B25" s="10">
        <v>640.317</v>
      </c>
      <c r="C25" s="10">
        <v>354.46</v>
      </c>
      <c r="D25" s="10">
        <v>354.46</v>
      </c>
      <c r="E25" s="10">
        <v>368.426</v>
      </c>
      <c r="F25" s="10">
        <v>242.672</v>
      </c>
      <c r="G25" s="1"/>
      <c r="H25" s="1"/>
      <c r="I25" s="1"/>
      <c r="J25" s="1"/>
      <c r="K25" s="1"/>
      <c r="L25" s="1"/>
      <c r="M25" s="1"/>
      <c r="N25" s="1" t="s">
        <v>138</v>
      </c>
    </row>
    <row r="26">
      <c r="A26" s="12" t="s">
        <v>157</v>
      </c>
      <c r="B26" s="10">
        <v>363.336</v>
      </c>
      <c r="C26" s="13" t="s">
        <v>107</v>
      </c>
      <c r="D26" s="13"/>
      <c r="E26" s="13"/>
      <c r="F26" s="13"/>
      <c r="G26" s="1"/>
      <c r="H26" s="1"/>
      <c r="I26" s="1"/>
      <c r="J26" s="1"/>
      <c r="K26" s="1"/>
      <c r="L26" s="1"/>
      <c r="M26" s="1"/>
      <c r="N26" s="1" t="s">
        <v>158</v>
      </c>
    </row>
    <row r="27">
      <c r="A27" s="12" t="s">
        <v>159</v>
      </c>
      <c r="B27" s="13"/>
      <c r="C27" s="13"/>
      <c r="D27" s="13" t="s">
        <v>107</v>
      </c>
      <c r="E27" s="10">
        <v>621.306</v>
      </c>
      <c r="F27" s="10">
        <v>736.036</v>
      </c>
      <c r="G27" s="1"/>
      <c r="H27" s="1"/>
      <c r="I27" s="1"/>
      <c r="J27" s="1"/>
      <c r="K27" s="1"/>
      <c r="L27" s="1"/>
      <c r="M27" s="1"/>
      <c r="N27" s="1" t="s">
        <v>144</v>
      </c>
    </row>
    <row r="28">
      <c r="A28" s="12" t="s">
        <v>160</v>
      </c>
      <c r="B28" s="10">
        <v>110.315</v>
      </c>
      <c r="C28" s="10">
        <v>185.401</v>
      </c>
      <c r="D28" s="10">
        <v>139.536</v>
      </c>
      <c r="E28" s="10">
        <v>171.042</v>
      </c>
      <c r="F28" s="10">
        <v>236.91</v>
      </c>
      <c r="G28" s="1"/>
      <c r="H28" s="1"/>
      <c r="I28" s="1"/>
      <c r="J28" s="1"/>
      <c r="K28" s="1"/>
      <c r="L28" s="1"/>
      <c r="M28" s="1"/>
      <c r="N28" s="1" t="s">
        <v>138</v>
      </c>
    </row>
    <row r="29">
      <c r="A29" s="4" t="s">
        <v>161</v>
      </c>
      <c r="B29" s="29">
        <v>1178.135</v>
      </c>
      <c r="C29" s="29">
        <v>719.54</v>
      </c>
      <c r="D29" s="29">
        <v>719.54</v>
      </c>
      <c r="E29" s="29">
        <v>1427.246</v>
      </c>
      <c r="F29" s="29">
        <v>1566.088</v>
      </c>
      <c r="G29" s="1"/>
      <c r="H29" s="1"/>
      <c r="I29" s="1"/>
      <c r="J29" s="1"/>
      <c r="K29" s="1"/>
      <c r="L29" s="1"/>
      <c r="M29" s="1"/>
      <c r="N29" s="1" t="s">
        <v>138</v>
      </c>
    </row>
    <row r="30">
      <c r="A30" s="12" t="s">
        <v>162</v>
      </c>
      <c r="B30" s="13"/>
      <c r="C30" s="13"/>
      <c r="D30" s="10">
        <v>35.847</v>
      </c>
      <c r="E30" s="10">
        <v>94.344</v>
      </c>
      <c r="F30" s="10">
        <v>244.529</v>
      </c>
      <c r="G30" s="1"/>
      <c r="H30" s="1"/>
      <c r="I30" s="1"/>
      <c r="J30" s="1"/>
      <c r="K30" s="1"/>
      <c r="L30" s="1"/>
      <c r="M30" s="1"/>
      <c r="N30" s="1" t="s">
        <v>144</v>
      </c>
    </row>
    <row r="31">
      <c r="A31" s="12" t="s">
        <v>163</v>
      </c>
      <c r="B31" s="10">
        <v>27.37</v>
      </c>
      <c r="C31" s="10">
        <v>215.957</v>
      </c>
      <c r="D31" s="10">
        <v>215.957</v>
      </c>
      <c r="E31" s="10">
        <v>312.474</v>
      </c>
      <c r="F31" s="10">
        <v>480.405</v>
      </c>
      <c r="G31" s="1"/>
      <c r="H31" s="1"/>
      <c r="I31" s="1"/>
      <c r="J31" s="1"/>
      <c r="K31" s="1"/>
      <c r="L31" s="1"/>
      <c r="M31" s="1"/>
      <c r="N31" s="1" t="s">
        <v>138</v>
      </c>
    </row>
    <row r="32">
      <c r="A32" s="12" t="s">
        <v>164</v>
      </c>
      <c r="B32" s="13"/>
      <c r="C32" s="13"/>
      <c r="D32" s="13" t="s">
        <v>107</v>
      </c>
      <c r="E32" s="10">
        <v>361.617</v>
      </c>
      <c r="F32" s="10">
        <v>182.208</v>
      </c>
      <c r="G32" s="1"/>
      <c r="H32" s="1"/>
      <c r="I32" s="1"/>
      <c r="J32" s="1"/>
      <c r="K32" s="1"/>
      <c r="L32" s="1"/>
      <c r="M32" s="1"/>
      <c r="N32" s="1" t="s">
        <v>144</v>
      </c>
    </row>
    <row r="33">
      <c r="A33" s="12" t="s">
        <v>165</v>
      </c>
      <c r="B33" s="10">
        <v>23.958</v>
      </c>
      <c r="C33" s="10">
        <v>35.847</v>
      </c>
      <c r="D33" s="13"/>
      <c r="E33" s="13"/>
      <c r="F33" s="13"/>
      <c r="G33" s="1"/>
      <c r="H33" s="1"/>
      <c r="I33" s="1"/>
      <c r="J33" s="1"/>
      <c r="K33" s="1"/>
      <c r="L33" s="1"/>
      <c r="M33" s="1"/>
      <c r="N33" s="1" t="s">
        <v>158</v>
      </c>
    </row>
    <row r="34">
      <c r="A34" s="4" t="s">
        <v>166</v>
      </c>
      <c r="B34" s="29">
        <v>1229.463</v>
      </c>
      <c r="C34" s="29">
        <v>971.344</v>
      </c>
      <c r="D34" s="29">
        <v>971.344</v>
      </c>
      <c r="E34" s="29">
        <v>2195.681</v>
      </c>
      <c r="F34" s="29">
        <v>2473.23</v>
      </c>
      <c r="G34" s="1"/>
      <c r="H34" s="1"/>
      <c r="I34" s="1"/>
      <c r="J34" s="1"/>
      <c r="K34" s="1"/>
      <c r="L34" s="1"/>
      <c r="M34" s="1"/>
      <c r="N34" s="1" t="s">
        <v>138</v>
      </c>
    </row>
    <row r="35">
      <c r="A35" s="12" t="s">
        <v>167</v>
      </c>
      <c r="B35" s="10">
        <v>850.066</v>
      </c>
      <c r="C35" s="10">
        <v>1933.348</v>
      </c>
      <c r="D35" s="10">
        <v>1933.348</v>
      </c>
      <c r="E35" s="10">
        <v>2947.379</v>
      </c>
      <c r="F35" s="13" t="s">
        <v>107</v>
      </c>
      <c r="G35" s="1"/>
      <c r="H35" s="1"/>
      <c r="I35" s="1"/>
      <c r="J35" s="1"/>
      <c r="K35" s="1"/>
      <c r="L35" s="1"/>
      <c r="M35" s="1"/>
      <c r="N35" s="1" t="s">
        <v>138</v>
      </c>
    </row>
    <row r="36">
      <c r="A36" s="1"/>
      <c r="B36" s="1"/>
      <c r="C36" s="1"/>
      <c r="D36" s="1"/>
      <c r="E36" s="1"/>
      <c r="F36" s="1"/>
      <c r="G36" s="1"/>
      <c r="H36" s="1"/>
      <c r="I36" s="1"/>
      <c r="J36" s="1"/>
      <c r="K36" s="1"/>
      <c r="L36" s="1"/>
      <c r="M36" s="1"/>
      <c r="N36" s="1"/>
    </row>
    <row r="37">
      <c r="A37" s="4" t="s">
        <v>168</v>
      </c>
      <c r="B37" s="1"/>
      <c r="C37" s="1"/>
      <c r="D37" s="1"/>
      <c r="E37" s="1"/>
      <c r="F37" s="1"/>
      <c r="G37" s="1"/>
      <c r="H37" s="1"/>
      <c r="I37" s="1"/>
      <c r="J37" s="1"/>
      <c r="K37" s="1"/>
      <c r="L37" s="1"/>
      <c r="M37" s="1"/>
      <c r="N37" s="1"/>
    </row>
    <row r="38">
      <c r="A38" s="12" t="s">
        <v>169</v>
      </c>
      <c r="B38" s="10">
        <v>0.001</v>
      </c>
      <c r="C38" s="10">
        <v>0.001</v>
      </c>
      <c r="D38" s="10">
        <v>0.001</v>
      </c>
      <c r="E38" s="10">
        <v>0.001</v>
      </c>
      <c r="F38" s="10">
        <v>0.001</v>
      </c>
      <c r="G38" s="1"/>
      <c r="H38" s="1"/>
      <c r="I38" s="1"/>
      <c r="J38" s="1"/>
      <c r="K38" s="1"/>
      <c r="L38" s="1"/>
      <c r="M38" s="1"/>
      <c r="N38" s="1" t="s">
        <v>138</v>
      </c>
    </row>
    <row r="39">
      <c r="A39" s="12" t="s">
        <v>170</v>
      </c>
      <c r="B39" s="13"/>
      <c r="C39" s="13"/>
      <c r="D39" s="13"/>
      <c r="E39" s="13"/>
      <c r="F39" s="10">
        <v>0.001</v>
      </c>
      <c r="G39" s="1"/>
      <c r="H39" s="1"/>
      <c r="I39" s="1"/>
      <c r="J39" s="1"/>
      <c r="K39" s="1"/>
      <c r="L39" s="1"/>
      <c r="M39" s="1"/>
      <c r="N39" s="1" t="s">
        <v>171</v>
      </c>
    </row>
    <row r="40">
      <c r="A40" s="12" t="s">
        <v>172</v>
      </c>
      <c r="B40" s="13" t="s">
        <v>107</v>
      </c>
      <c r="C40" s="13" t="s">
        <v>107</v>
      </c>
      <c r="D40" s="13" t="s">
        <v>107</v>
      </c>
      <c r="E40" s="13" t="s">
        <v>107</v>
      </c>
      <c r="F40" s="13" t="s">
        <v>107</v>
      </c>
      <c r="G40" s="1"/>
      <c r="H40" s="1"/>
      <c r="I40" s="1"/>
      <c r="J40" s="1"/>
      <c r="K40" s="1"/>
      <c r="L40" s="1"/>
      <c r="M40" s="1"/>
      <c r="N40" s="1" t="s">
        <v>138</v>
      </c>
    </row>
    <row r="41">
      <c r="A41" s="12" t="s">
        <v>173</v>
      </c>
      <c r="B41" s="10">
        <v>-0.088</v>
      </c>
      <c r="C41" s="10">
        <v>-21.456</v>
      </c>
      <c r="D41" s="10">
        <v>-21.456</v>
      </c>
      <c r="E41" s="10">
        <v>-21.456</v>
      </c>
      <c r="F41" s="10">
        <v>-21.456</v>
      </c>
      <c r="G41" s="1"/>
      <c r="H41" s="1"/>
      <c r="I41" s="1"/>
      <c r="J41" s="1"/>
      <c r="K41" s="1"/>
      <c r="L41" s="1"/>
      <c r="M41" s="1"/>
      <c r="N41" s="1" t="s">
        <v>138</v>
      </c>
    </row>
    <row r="42">
      <c r="A42" s="12" t="s">
        <v>174</v>
      </c>
      <c r="B42" s="10">
        <v>176.233</v>
      </c>
      <c r="C42" s="10">
        <v>346.829</v>
      </c>
      <c r="D42" s="10">
        <v>346.829</v>
      </c>
      <c r="E42" s="10">
        <v>742.713</v>
      </c>
      <c r="F42" s="10">
        <v>10540.193</v>
      </c>
      <c r="G42" s="1"/>
      <c r="H42" s="1"/>
      <c r="I42" s="1"/>
      <c r="J42" s="1"/>
      <c r="K42" s="1"/>
      <c r="L42" s="1"/>
      <c r="M42" s="1"/>
      <c r="N42" s="1" t="s">
        <v>138</v>
      </c>
    </row>
    <row r="43">
      <c r="A43" s="12" t="s">
        <v>175</v>
      </c>
      <c r="B43" s="10">
        <v>0.22</v>
      </c>
      <c r="C43" s="10">
        <v>1.301</v>
      </c>
      <c r="D43" s="10">
        <v>1.301</v>
      </c>
      <c r="E43" s="10">
        <v>3.396</v>
      </c>
      <c r="F43" s="10">
        <v>5.767</v>
      </c>
      <c r="G43" s="1"/>
      <c r="H43" s="1"/>
      <c r="I43" s="1"/>
      <c r="J43" s="1"/>
      <c r="K43" s="1"/>
      <c r="L43" s="1"/>
      <c r="M43" s="1"/>
      <c r="N43" s="1" t="s">
        <v>138</v>
      </c>
    </row>
    <row r="44">
      <c r="A44" s="12" t="s">
        <v>176</v>
      </c>
      <c r="B44" s="10">
        <v>-1143.157</v>
      </c>
      <c r="C44" s="10">
        <v>-905.33</v>
      </c>
      <c r="D44" s="10">
        <v>-905.33</v>
      </c>
      <c r="E44" s="10">
        <v>-919.336</v>
      </c>
      <c r="F44" s="10">
        <v>-1369.864</v>
      </c>
      <c r="G44" s="1"/>
      <c r="H44" s="1"/>
      <c r="I44" s="1"/>
      <c r="J44" s="1"/>
      <c r="K44" s="1"/>
      <c r="L44" s="1"/>
      <c r="M44" s="1"/>
      <c r="N44" s="1" t="s">
        <v>138</v>
      </c>
    </row>
    <row r="45">
      <c r="A45" s="4" t="s">
        <v>177</v>
      </c>
      <c r="B45" s="29">
        <v>-966.791</v>
      </c>
      <c r="C45" s="29">
        <v>-578.655</v>
      </c>
      <c r="D45" s="29">
        <v>-578.655</v>
      </c>
      <c r="E45" s="29">
        <v>-194.682</v>
      </c>
      <c r="F45" s="29">
        <v>9154.642</v>
      </c>
      <c r="G45" s="1"/>
      <c r="H45" s="1"/>
      <c r="I45" s="1"/>
      <c r="J45" s="1"/>
      <c r="K45" s="1"/>
      <c r="L45" s="1"/>
      <c r="M45" s="1"/>
      <c r="N45" s="1" t="s">
        <v>138</v>
      </c>
    </row>
    <row r="46">
      <c r="A46" s="4" t="s">
        <v>178</v>
      </c>
      <c r="B46" s="29">
        <v>1112.738</v>
      </c>
      <c r="C46" s="29">
        <v>2326.037</v>
      </c>
      <c r="D46" s="29">
        <v>2326.037</v>
      </c>
      <c r="E46" s="29">
        <v>4948.378</v>
      </c>
      <c r="F46" s="29">
        <v>11627.872</v>
      </c>
      <c r="G46" s="1"/>
      <c r="H46" s="1"/>
      <c r="I46" s="1"/>
      <c r="J46" s="1"/>
      <c r="K46" s="1"/>
      <c r="L46" s="1"/>
      <c r="M46" s="1"/>
      <c r="N46" s="1" t="s">
        <v>138</v>
      </c>
    </row>
    <row r="47">
      <c r="A47" s="1"/>
      <c r="B47" s="1"/>
      <c r="C47" s="1"/>
      <c r="D47" s="1"/>
      <c r="E47" s="1"/>
      <c r="F47" s="1"/>
      <c r="G47" s="1"/>
      <c r="H47" s="1"/>
      <c r="I47" s="1"/>
      <c r="J47" s="1"/>
      <c r="K47" s="1"/>
      <c r="L47" s="1"/>
      <c r="M47" s="1"/>
      <c r="N47" s="1"/>
    </row>
    <row r="48">
      <c r="A48" s="4" t="s">
        <v>179</v>
      </c>
      <c r="B48" s="1"/>
      <c r="C48" s="1"/>
      <c r="D48" s="1"/>
      <c r="E48" s="1"/>
      <c r="F48" s="1"/>
      <c r="G48" s="1"/>
      <c r="H48" s="1"/>
      <c r="I48" s="1"/>
      <c r="J48" s="1"/>
      <c r="K48" s="1"/>
      <c r="L48" s="1"/>
      <c r="M48" s="1"/>
      <c r="N48" s="1"/>
    </row>
    <row r="49">
      <c r="A49" s="12" t="s">
        <v>180</v>
      </c>
      <c r="B49" s="5">
        <f>SUM(B7,B8)</f>
        <v>581.965</v>
      </c>
      <c r="C49" s="5">
        <f>SUM(C7,C8)</f>
        <v>930.378</v>
      </c>
      <c r="D49" s="5">
        <f>SUM(D7,D8)</f>
        <v>930.378</v>
      </c>
      <c r="E49" s="5">
        <f>SUM(E7,E8)</f>
        <v>2745.114</v>
      </c>
      <c r="F49" s="5">
        <f>SUM(F7,F8)</f>
        <v>7426.837</v>
      </c>
      <c r="G49" s="1"/>
      <c r="H49" s="1"/>
      <c r="I49" s="1"/>
      <c r="J49" s="1"/>
      <c r="K49" s="1"/>
      <c r="L49" s="1"/>
      <c r="M49" s="1"/>
      <c r="N49" s="1" t="s">
        <v>181</v>
      </c>
    </row>
    <row r="50">
      <c r="A50" s="12" t="s">
        <v>182</v>
      </c>
      <c r="B50" s="5">
        <f>SUM(B7,B9)</f>
        <v>337.151</v>
      </c>
      <c r="C50" s="5">
        <f>SUM(C7,C9)</f>
        <v>1108.237</v>
      </c>
      <c r="D50" s="5">
        <f>SUM(D7,D9)</f>
        <v>1108.237</v>
      </c>
      <c r="E50" s="5">
        <f>SUM(E7,E9)</f>
        <v>2231.621</v>
      </c>
      <c r="F50" s="5">
        <f>SUM(F7,F9)</f>
        <v>7921.5470000000005</v>
      </c>
      <c r="G50" s="1"/>
      <c r="H50" s="1"/>
      <c r="I50" s="1"/>
      <c r="J50" s="1"/>
      <c r="K50" s="1"/>
      <c r="L50" s="1"/>
      <c r="M50" s="1"/>
      <c r="N50" s="1"/>
    </row>
    <row r="51">
      <c r="A51" s="12" t="s">
        <v>183</v>
      </c>
      <c r="B51" s="5">
        <f>SUM(B12,B16)</f>
        <v>0</v>
      </c>
      <c r="C51" s="5">
        <f>SUM(C12,C16)</f>
        <v>0</v>
      </c>
      <c r="D51" s="5">
        <f>SUM(D12,D16)</f>
        <v>152.353</v>
      </c>
      <c r="E51" s="5">
        <f>SUM(E12,E16)</f>
        <v>516.056</v>
      </c>
      <c r="F51" s="5">
        <f>SUM(F12,F16)</f>
        <v>1128.397</v>
      </c>
      <c r="G51" s="1"/>
      <c r="H51" s="1"/>
      <c r="I51" s="1"/>
      <c r="J51" s="1"/>
      <c r="K51" s="1"/>
      <c r="L51" s="1"/>
      <c r="M51" s="1"/>
      <c r="N51" s="1" t="s">
        <v>184</v>
      </c>
    </row>
    <row r="52">
      <c r="A52" s="12" t="s">
        <v>185</v>
      </c>
      <c r="B52" s="5">
        <f>SUM(B23,B30)</f>
        <v>38.537</v>
      </c>
      <c r="C52" s="5">
        <f>SUM(C23,C30)</f>
        <v>131.049</v>
      </c>
      <c r="D52" s="5">
        <f>SUM(D23,D30)</f>
        <v>166.89600000000002</v>
      </c>
      <c r="E52" s="5">
        <f>SUM(E23,E30)</f>
        <v>244.262</v>
      </c>
      <c r="F52" s="5">
        <f>SUM(F23,F30)</f>
        <v>418.264</v>
      </c>
      <c r="G52" s="1"/>
      <c r="H52" s="1"/>
      <c r="I52" s="1"/>
      <c r="J52" s="1"/>
      <c r="K52" s="1"/>
      <c r="L52" s="1"/>
      <c r="M52" s="1"/>
      <c r="N52" s="1"/>
    </row>
    <row r="53">
      <c r="A53" s="12" t="s">
        <v>186</v>
      </c>
      <c r="B53" s="5">
        <f>SUM(B24,B31)</f>
        <v>27.37</v>
      </c>
      <c r="C53" s="5">
        <f>SUM(C24,C31)</f>
        <v>215.957</v>
      </c>
      <c r="D53" s="5">
        <f>SUM(D24,D31)</f>
        <v>261.822</v>
      </c>
      <c r="E53" s="5">
        <f>SUM(E24,E31)</f>
        <v>378.692</v>
      </c>
      <c r="F53" s="5">
        <f>SUM(F24,F31)</f>
        <v>568.827</v>
      </c>
      <c r="G53" s="1"/>
      <c r="H53" s="1"/>
      <c r="I53" s="1"/>
      <c r="J53" s="1"/>
      <c r="K53" s="1"/>
      <c r="L53" s="1"/>
      <c r="M53" s="1"/>
      <c r="N53" s="1" t="s">
        <v>187</v>
      </c>
    </row>
    <row r="54">
      <c r="A54" s="12" t="s">
        <v>188</v>
      </c>
      <c r="B54" s="5">
        <f>SUM(B27,B32)</f>
        <v>0</v>
      </c>
      <c r="C54" s="5">
        <f>SUM(C27,C32)</f>
        <v>0</v>
      </c>
      <c r="D54" s="5">
        <f>SUM(D27,D32)</f>
        <v>0</v>
      </c>
      <c r="E54" s="5">
        <f>SUM(E27,E32)</f>
        <v>982.923</v>
      </c>
      <c r="F54" s="5">
        <f>SUM(F27,F32)</f>
        <v>918.2439999999999</v>
      </c>
      <c r="G54" s="1"/>
      <c r="H54" s="1"/>
      <c r="I54" s="1"/>
      <c r="J54" s="1"/>
      <c r="K54" s="1"/>
      <c r="L54" s="1"/>
      <c r="M54" s="1"/>
      <c r="N54" s="1"/>
    </row>
    <row r="55">
      <c r="A55" s="1"/>
      <c r="B55" s="1"/>
      <c r="C55" s="1"/>
      <c r="D55" s="1"/>
      <c r="E55" s="1"/>
      <c r="F55" s="1"/>
      <c r="G55" s="1"/>
      <c r="H55" s="1"/>
      <c r="I55" s="1"/>
      <c r="J55" s="1"/>
      <c r="K55" s="1"/>
      <c r="L55" s="1"/>
      <c r="M55" s="1"/>
      <c r="N55" s="1"/>
    </row>
    <row r="56">
      <c r="A56" s="4" t="s">
        <v>117</v>
      </c>
      <c r="B56" s="1"/>
      <c r="C56" s="1"/>
      <c r="D56" s="1"/>
      <c r="E56" s="1"/>
      <c r="F56" s="1"/>
      <c r="G56" s="1"/>
      <c r="H56" s="1"/>
      <c r="I56" s="1"/>
      <c r="J56" s="1"/>
      <c r="K56" s="1"/>
      <c r="L56" s="1"/>
      <c r="M56" s="1"/>
      <c r="N56" s="1"/>
    </row>
    <row r="57">
      <c r="A57" s="12" t="s">
        <v>146</v>
      </c>
      <c r="B57" s="14">
        <f>SUM(B7,B8,B9,B10,B11,B12,B13)-B14</f>
        <v>0</v>
      </c>
      <c r="C57" s="14">
        <f>SUM(C7,C8,C9,C10,C11,C12,C13)-C14</f>
        <v>0</v>
      </c>
      <c r="D57" s="14">
        <f>SUM(D7,D8,D9,D10,D11,D12,D13)-D14</f>
        <v>0</v>
      </c>
      <c r="E57" s="14">
        <f>SUM(E7,E8,E9,E10,E11,E12,E13)-E14</f>
        <v>0</v>
      </c>
      <c r="F57" s="14">
        <f>SUM(F7,F8,F9,F10,F11,F12,F13)-F14</f>
        <v>0</v>
      </c>
      <c r="G57" s="1"/>
      <c r="H57" s="1"/>
      <c r="I57" s="1"/>
      <c r="J57" s="1"/>
      <c r="K57" s="1"/>
      <c r="L57" s="1"/>
      <c r="M57" s="1"/>
      <c r="N57" s="1"/>
    </row>
    <row r="58">
      <c r="A58" s="12" t="s">
        <v>151</v>
      </c>
      <c r="B58" s="14">
        <f>SUM(B14,B15,B16,B17,B18)-B19</f>
        <v>0</v>
      </c>
      <c r="C58" s="14">
        <f>SUM(C14,C15,C16,C17,C18)-C19</f>
        <v>0</v>
      </c>
      <c r="D58" s="14">
        <f>SUM(D14,D15,D16,D17,D18)-D19</f>
        <v>0</v>
      </c>
      <c r="E58" s="14">
        <f>SUM(E14,E15,E16,E17,E18)-E19</f>
        <v>0</v>
      </c>
      <c r="F58" s="14">
        <f>SUM(F14,F15,F16,F17,F18)-F19</f>
        <v>0</v>
      </c>
      <c r="G58" s="1"/>
      <c r="H58" s="1"/>
      <c r="I58" s="1"/>
      <c r="J58" s="1"/>
      <c r="K58" s="1"/>
      <c r="L58" s="1"/>
      <c r="M58" s="1"/>
      <c r="N58" s="1"/>
    </row>
    <row r="59">
      <c r="A59" s="12" t="s">
        <v>161</v>
      </c>
      <c r="B59" s="14">
        <f>SUM(B22,B23,B24,B25,B26,B27,B28)-B29</f>
        <v>0</v>
      </c>
      <c r="C59" s="14">
        <f>SUM(C22,C23,C24,C25,C26,C27,C28)-C29</f>
        <v>0</v>
      </c>
      <c r="D59" s="14">
        <f>SUM(D22,D23,D24,D25,D26,D27,D28)-D29</f>
        <v>0</v>
      </c>
      <c r="E59" s="14">
        <f>SUM(E22,E23,E24,E25,E26,E27,E28)-E29</f>
        <v>0</v>
      </c>
      <c r="F59" s="14">
        <f>SUM(F22,F23,F24,F25,F26,F27,F28)-F29</f>
        <v>0</v>
      </c>
      <c r="G59" s="1"/>
      <c r="H59" s="1"/>
      <c r="I59" s="1"/>
      <c r="J59" s="1"/>
      <c r="K59" s="1"/>
      <c r="L59" s="1"/>
      <c r="M59" s="1"/>
      <c r="N59" s="1"/>
    </row>
    <row r="60">
      <c r="A60" s="12" t="s">
        <v>166</v>
      </c>
      <c r="B60" s="14">
        <f>SUM(B29,B30,B31,B32,B33)-B34</f>
        <v>0</v>
      </c>
      <c r="C60" s="14">
        <f>SUM(C29,C30,C31,C32,C33)-C34</f>
        <v>0</v>
      </c>
      <c r="D60" s="14">
        <f>SUM(D29,D30,D31,D32,D33)-D34</f>
        <v>0</v>
      </c>
      <c r="E60" s="14">
        <f>SUM(E29,E30,E31,E32,E33)-E34</f>
        <v>0</v>
      </c>
      <c r="F60" s="14">
        <f>SUM(F29,F30,F31,F32,F33)-F34</f>
        <v>0</v>
      </c>
      <c r="G60" s="1"/>
      <c r="H60" s="1"/>
      <c r="I60" s="1"/>
      <c r="J60" s="1"/>
      <c r="K60" s="1"/>
      <c r="L60" s="1"/>
      <c r="M60" s="1"/>
      <c r="N60" s="1"/>
    </row>
    <row r="61">
      <c r="A61" s="12" t="s">
        <v>177</v>
      </c>
      <c r="B61" s="14">
        <f>SUM(B38,B39,B40,B41,B42,B43,B44)-B45</f>
        <v>0</v>
      </c>
      <c r="C61" s="14">
        <f>SUM(C38,C39,C40,C41,C42,C43,C44)-C45</f>
        <v>0</v>
      </c>
      <c r="D61" s="14">
        <f>SUM(D38,D39,D40,D41,D42,D43,D44)-D45</f>
        <v>0</v>
      </c>
      <c r="E61" s="14">
        <f>SUM(E38,E39,E40,E41,E42,E43,E44)-E45</f>
        <v>0</v>
      </c>
      <c r="F61" s="14">
        <f>SUM(F38,F39,F40,F41,F42,F43,F44)-F45</f>
        <v>0</v>
      </c>
      <c r="G61" s="1"/>
      <c r="H61" s="1"/>
      <c r="I61" s="1"/>
      <c r="J61" s="1"/>
      <c r="K61" s="1"/>
      <c r="L61" s="1"/>
      <c r="M61" s="1"/>
      <c r="N61" s="1"/>
    </row>
    <row r="62">
      <c r="A62" s="12" t="s">
        <v>189</v>
      </c>
      <c r="B62" s="14">
        <f>SUM(B34,B35,B45)-B46</f>
        <v>0</v>
      </c>
      <c r="C62" s="14">
        <f>SUM(C34,C35,C45)-C46</f>
        <v>0</v>
      </c>
      <c r="D62" s="14">
        <f>SUM(D34,D35,D45)-D46</f>
        <v>0</v>
      </c>
      <c r="E62" s="14">
        <f>SUM(E34,E35,E45)-E46</f>
        <v>0</v>
      </c>
      <c r="F62" s="14">
        <f>SUM(F34,F35,F45)-F46</f>
        <v>0</v>
      </c>
      <c r="G62" s="1"/>
      <c r="H62" s="1"/>
      <c r="I62" s="1"/>
      <c r="J62" s="1"/>
      <c r="K62" s="1"/>
      <c r="L62" s="1"/>
      <c r="M62" s="1"/>
      <c r="N62" s="1"/>
    </row>
    <row r="63">
      <c r="A63" s="12" t="s">
        <v>190</v>
      </c>
      <c r="B63" s="14">
        <f>B19-B46</f>
        <v>0</v>
      </c>
      <c r="C63" s="14">
        <f>C19-C46</f>
        <v>0</v>
      </c>
      <c r="D63" s="14">
        <f>D19-D46</f>
        <v>0</v>
      </c>
      <c r="E63" s="14">
        <f>E19-E46</f>
        <v>0</v>
      </c>
      <c r="F63" s="14">
        <f>F19-F46</f>
        <v>0</v>
      </c>
      <c r="G63" s="1"/>
      <c r="H63" s="1"/>
      <c r="I63" s="1"/>
      <c r="J63" s="1"/>
      <c r="K63" s="1"/>
      <c r="L63" s="1"/>
      <c r="M63" s="1"/>
      <c r="N63" s="1"/>
    </row>
    <row r="64">
      <c r="A64" s="12" t="s">
        <v>191</v>
      </c>
      <c r="B64" s="1"/>
      <c r="C64" s="1"/>
      <c r="D64" s="14">
        <f>D19-C19+D34-C34</f>
        <v>0</v>
      </c>
      <c r="E64" s="1"/>
      <c r="F64" s="1"/>
      <c r="G64" s="1"/>
      <c r="H64" s="1"/>
      <c r="I64" s="1"/>
      <c r="J64" s="1"/>
      <c r="K64" s="1"/>
      <c r="L64" s="1"/>
      <c r="M64" s="1"/>
      <c r="N64" s="1"/>
    </row>
  </sheetData>
</worksheet>
</file>

<file path=xl/worksheets/sheet5.xml><?xml version="1.0" encoding="utf-8"?>
<worksheet xmlns="http://schemas.openxmlformats.org/spreadsheetml/2006/main" xmlns:r="http://schemas.openxmlformats.org/officeDocument/2006/relationships">
  <sheetPr>
    <tabColor rgb="FF6A7689"/>
  </sheetPr>
  <dimension ref="A1:N66"/>
  <sheetViews>
    <sheetView showGridLines="0" workbookViewId="0"/>
  </sheetViews>
  <sheetFormatPr defaultColWidth="8.375" defaultRowHeight="15"/>
  <cols>
    <col min="1" max="1" width="86.0390625" customWidth="1"/>
    <col min="2" max="5" width="13.375" customWidth="1"/>
    <col min="13" max="13" width="17.70703125" customWidth="1"/>
    <col min="14" max="14" width="92.70703125" customWidth="1"/>
  </cols>
  <sheetData>
    <row r="1">
      <c r="A1" s="21" t="s">
        <v>192</v>
      </c>
      <c r="B1" s="1"/>
      <c r="C1" s="1"/>
      <c r="D1" s="1"/>
      <c r="E1" s="1"/>
      <c r="F1" s="1"/>
      <c r="G1" s="1"/>
      <c r="H1" s="1"/>
      <c r="I1" s="1"/>
      <c r="J1" s="1"/>
      <c r="K1" s="1"/>
      <c r="L1" s="1"/>
      <c r="M1" s="1"/>
      <c r="N1" s="1"/>
    </row>
    <row r="2">
      <c r="A2" s="1" t="s">
        <v>193</v>
      </c>
      <c r="B2" s="1"/>
      <c r="C2" s="1"/>
      <c r="D2" s="1"/>
      <c r="E2" s="1"/>
      <c r="F2" s="1"/>
      <c r="G2" s="1"/>
      <c r="H2" s="1"/>
      <c r="I2" s="1"/>
      <c r="J2" s="1"/>
      <c r="K2" s="1"/>
      <c r="L2" s="1"/>
      <c r="M2" s="1"/>
      <c r="N2" s="1"/>
    </row>
    <row r="3">
      <c r="A3" s="1"/>
      <c r="B3" s="1"/>
      <c r="C3" s="1"/>
      <c r="D3" s="1"/>
      <c r="E3" s="1"/>
      <c r="F3" s="1"/>
      <c r="G3" s="1"/>
      <c r="H3" s="1"/>
      <c r="I3" s="1"/>
      <c r="J3" s="1"/>
      <c r="K3" s="1"/>
      <c r="L3" s="1"/>
      <c r="M3" s="1"/>
      <c r="N3" s="1"/>
    </row>
    <row r="4">
      <c r="A4" s="3" t="s">
        <v>81</v>
      </c>
      <c r="B4" s="24" t="s">
        <v>82</v>
      </c>
      <c r="C4" s="24" t="s">
        <v>83</v>
      </c>
      <c r="D4" s="24" t="s">
        <v>84</v>
      </c>
      <c r="E4" s="24" t="s">
        <v>85</v>
      </c>
      <c r="F4" s="1"/>
      <c r="G4" s="1"/>
      <c r="H4" s="1"/>
      <c r="I4" s="1"/>
      <c r="J4" s="1"/>
      <c r="K4" s="1"/>
      <c r="L4" s="1"/>
      <c r="M4" s="6" t="s">
        <v>86</v>
      </c>
      <c r="N4" s="6" t="s">
        <v>87</v>
      </c>
    </row>
    <row r="5">
      <c r="A5" s="1"/>
      <c r="B5" s="1"/>
      <c r="C5" s="1"/>
      <c r="D5" s="1"/>
      <c r="E5" s="1"/>
      <c r="F5" s="1"/>
      <c r="G5" s="1"/>
      <c r="H5" s="1"/>
      <c r="I5" s="1"/>
      <c r="J5" s="1"/>
      <c r="K5" s="1"/>
      <c r="L5" s="1"/>
      <c r="M5" s="1"/>
      <c r="N5" s="1"/>
    </row>
    <row r="6">
      <c r="A6" s="4" t="s">
        <v>194</v>
      </c>
      <c r="B6" s="1"/>
      <c r="C6" s="1"/>
      <c r="D6" s="1"/>
      <c r="E6" s="1"/>
      <c r="F6" s="1"/>
      <c r="G6" s="1"/>
      <c r="H6" s="1"/>
      <c r="I6" s="1"/>
      <c r="J6" s="1"/>
      <c r="K6" s="1"/>
      <c r="L6" s="1"/>
      <c r="M6" s="1"/>
      <c r="N6" s="1"/>
    </row>
    <row r="7">
      <c r="A7" s="12" t="s">
        <v>105</v>
      </c>
      <c r="B7" s="10">
        <v>-481.602</v>
      </c>
      <c r="C7" s="10">
        <v>237.827</v>
      </c>
      <c r="D7" s="10">
        <v>285.645</v>
      </c>
      <c r="E7" s="10">
        <v>-464.534</v>
      </c>
      <c r="F7" s="1"/>
      <c r="G7" s="1"/>
      <c r="H7" s="1"/>
      <c r="I7" s="1"/>
      <c r="J7" s="1"/>
      <c r="K7" s="1"/>
      <c r="L7" s="1"/>
      <c r="M7" s="1"/>
      <c r="N7" s="1" t="s">
        <v>195</v>
      </c>
    </row>
    <row r="8">
      <c r="A8" s="12" t="s">
        <v>196</v>
      </c>
      <c r="B8" s="10">
        <v>11.537</v>
      </c>
      <c r="C8" s="10">
        <v>34.454</v>
      </c>
      <c r="D8" s="10">
        <v>9.315</v>
      </c>
      <c r="E8" s="10">
        <v>42.551</v>
      </c>
      <c r="F8" s="1"/>
      <c r="G8" s="1"/>
      <c r="H8" s="1"/>
      <c r="I8" s="1"/>
      <c r="J8" s="1"/>
      <c r="K8" s="1"/>
      <c r="L8" s="1"/>
      <c r="M8" s="1"/>
      <c r="N8" s="1" t="s">
        <v>195</v>
      </c>
    </row>
    <row r="9">
      <c r="A9" s="12" t="s">
        <v>197</v>
      </c>
      <c r="B9" s="10">
        <v>58.564</v>
      </c>
      <c r="C9" s="10">
        <v>49.767</v>
      </c>
      <c r="D9" s="10">
        <v>22.435</v>
      </c>
      <c r="E9" s="10">
        <v>386.601</v>
      </c>
      <c r="F9" s="1"/>
      <c r="G9" s="1"/>
      <c r="H9" s="1"/>
      <c r="I9" s="1"/>
      <c r="J9" s="1"/>
      <c r="K9" s="1"/>
      <c r="L9" s="1"/>
      <c r="M9" s="1"/>
      <c r="N9" s="1" t="s">
        <v>195</v>
      </c>
    </row>
    <row r="10">
      <c r="A10" s="12" t="s">
        <v>198</v>
      </c>
      <c r="B10" s="13"/>
      <c r="C10" s="13"/>
      <c r="D10" s="13" t="s">
        <v>107</v>
      </c>
      <c r="E10" s="10">
        <v>46.315</v>
      </c>
      <c r="F10" s="1"/>
      <c r="G10" s="1"/>
      <c r="H10" s="1"/>
      <c r="I10" s="1"/>
      <c r="J10" s="1"/>
      <c r="K10" s="1"/>
      <c r="L10" s="1"/>
      <c r="M10" s="1"/>
      <c r="N10" s="1" t="s">
        <v>199</v>
      </c>
    </row>
    <row r="11">
      <c r="A11" s="12" t="s">
        <v>200</v>
      </c>
      <c r="B11" s="10">
        <v>7.607</v>
      </c>
      <c r="C11" s="10">
        <v>22.673</v>
      </c>
      <c r="D11" s="10">
        <v>5.872</v>
      </c>
      <c r="E11" s="10">
        <v>39.104</v>
      </c>
      <c r="F11" s="1"/>
      <c r="G11" s="1"/>
      <c r="H11" s="1"/>
      <c r="I11" s="1"/>
      <c r="J11" s="1"/>
      <c r="K11" s="1"/>
      <c r="L11" s="1"/>
      <c r="M11" s="1"/>
      <c r="N11" s="1" t="s">
        <v>195</v>
      </c>
    </row>
    <row r="12">
      <c r="A12" s="12" t="s">
        <v>201</v>
      </c>
      <c r="B12" s="13"/>
      <c r="C12" s="13"/>
      <c r="D12" s="13" t="s">
        <v>107</v>
      </c>
      <c r="E12" s="10">
        <v>38.602</v>
      </c>
      <c r="F12" s="1"/>
      <c r="G12" s="1"/>
      <c r="H12" s="1"/>
      <c r="I12" s="1"/>
      <c r="J12" s="1"/>
      <c r="K12" s="1"/>
      <c r="L12" s="1"/>
      <c r="M12" s="1"/>
      <c r="N12" s="1" t="s">
        <v>199</v>
      </c>
    </row>
    <row r="13">
      <c r="A13" s="12" t="s">
        <v>202</v>
      </c>
      <c r="B13" s="10">
        <v>12.525</v>
      </c>
      <c r="C13" s="10">
        <v>20.969</v>
      </c>
      <c r="D13" s="10">
        <v>9</v>
      </c>
      <c r="E13" s="10">
        <v>8.43</v>
      </c>
      <c r="F13" s="1"/>
      <c r="G13" s="1"/>
      <c r="H13" s="1"/>
      <c r="I13" s="1"/>
      <c r="J13" s="1"/>
      <c r="K13" s="1"/>
      <c r="L13" s="1"/>
      <c r="M13" s="1"/>
      <c r="N13" s="1" t="s">
        <v>195</v>
      </c>
    </row>
    <row r="14">
      <c r="A14" s="12" t="s">
        <v>203</v>
      </c>
      <c r="B14" s="10">
        <v>401.264</v>
      </c>
      <c r="C14" s="10">
        <v>-363.336</v>
      </c>
      <c r="D14" s="10">
        <v>-363.336</v>
      </c>
      <c r="E14" s="13" t="s">
        <v>107</v>
      </c>
      <c r="F14" s="1"/>
      <c r="G14" s="1"/>
      <c r="H14" s="1"/>
      <c r="I14" s="1"/>
      <c r="J14" s="1"/>
      <c r="K14" s="1"/>
      <c r="L14" s="1"/>
      <c r="M14" s="1"/>
      <c r="N14" s="1" t="s">
        <v>195</v>
      </c>
    </row>
    <row r="15">
      <c r="A15" s="12" t="s">
        <v>204</v>
      </c>
      <c r="B15" s="10">
        <v>-1.388</v>
      </c>
      <c r="C15" s="10">
        <v>3.235</v>
      </c>
      <c r="D15" s="10">
        <v>-0.835</v>
      </c>
      <c r="E15" s="10">
        <v>-2.11</v>
      </c>
      <c r="F15" s="1"/>
      <c r="G15" s="1"/>
      <c r="H15" s="1"/>
      <c r="I15" s="1"/>
      <c r="J15" s="1"/>
      <c r="K15" s="1"/>
      <c r="L15" s="1"/>
      <c r="M15" s="1"/>
      <c r="N15" s="1" t="s">
        <v>195</v>
      </c>
    </row>
    <row r="16">
      <c r="A16" s="1"/>
      <c r="B16" s="1"/>
      <c r="C16" s="1"/>
      <c r="D16" s="1"/>
      <c r="E16" s="1"/>
      <c r="F16" s="1"/>
      <c r="G16" s="1"/>
      <c r="H16" s="1"/>
      <c r="I16" s="1"/>
      <c r="J16" s="1"/>
      <c r="K16" s="1"/>
      <c r="L16" s="1"/>
      <c r="M16" s="1"/>
      <c r="N16" s="1"/>
    </row>
    <row r="17">
      <c r="A17" s="4" t="s">
        <v>205</v>
      </c>
      <c r="B17" s="1"/>
      <c r="C17" s="1"/>
      <c r="D17" s="1"/>
      <c r="E17" s="1"/>
      <c r="F17" s="1"/>
      <c r="G17" s="1"/>
      <c r="H17" s="1"/>
      <c r="I17" s="1"/>
      <c r="J17" s="1"/>
      <c r="K17" s="1"/>
      <c r="L17" s="1"/>
      <c r="M17" s="1"/>
      <c r="N17" s="1"/>
    </row>
    <row r="18">
      <c r="A18" s="12" t="s">
        <v>206</v>
      </c>
      <c r="B18" s="10">
        <v>-130.672</v>
      </c>
      <c r="C18" s="10">
        <v>87.012</v>
      </c>
      <c r="D18" s="10">
        <v>125.508</v>
      </c>
      <c r="E18" s="10">
        <v>-72.938</v>
      </c>
      <c r="F18" s="1"/>
      <c r="G18" s="1"/>
      <c r="H18" s="1"/>
      <c r="I18" s="1"/>
      <c r="J18" s="1"/>
      <c r="K18" s="1"/>
      <c r="L18" s="1"/>
      <c r="M18" s="1"/>
      <c r="N18" s="1" t="s">
        <v>195</v>
      </c>
    </row>
    <row r="19">
      <c r="A19" s="12" t="s">
        <v>142</v>
      </c>
      <c r="B19" s="10">
        <v>-144.969</v>
      </c>
      <c r="C19" s="10">
        <v>63.307</v>
      </c>
      <c r="D19" s="10">
        <v>74.929</v>
      </c>
      <c r="E19" s="10">
        <v>31.116</v>
      </c>
      <c r="F19" s="1"/>
      <c r="G19" s="1"/>
      <c r="H19" s="1"/>
      <c r="I19" s="1"/>
      <c r="J19" s="1"/>
      <c r="K19" s="1"/>
      <c r="L19" s="1"/>
      <c r="M19" s="1"/>
      <c r="N19" s="1" t="s">
        <v>195</v>
      </c>
    </row>
    <row r="20">
      <c r="A20" s="12" t="s">
        <v>207</v>
      </c>
      <c r="B20" s="10">
        <v>-17.051</v>
      </c>
      <c r="C20" s="10">
        <v>-13.867</v>
      </c>
      <c r="D20" s="10">
        <v>-3.003</v>
      </c>
      <c r="E20" s="10">
        <v>-182.311</v>
      </c>
      <c r="F20" s="1"/>
      <c r="G20" s="1"/>
      <c r="H20" s="1"/>
      <c r="I20" s="1"/>
      <c r="J20" s="1"/>
      <c r="K20" s="1"/>
      <c r="L20" s="1"/>
      <c r="M20" s="1"/>
      <c r="N20" s="1" t="s">
        <v>195</v>
      </c>
    </row>
    <row r="21">
      <c r="A21" s="12" t="s">
        <v>153</v>
      </c>
      <c r="B21" s="10">
        <v>9.01</v>
      </c>
      <c r="C21" s="10">
        <v>21.151</v>
      </c>
      <c r="D21" s="10">
        <v>6.314</v>
      </c>
      <c r="E21" s="10">
        <v>0.565</v>
      </c>
      <c r="F21" s="1"/>
      <c r="G21" s="1"/>
      <c r="H21" s="1"/>
      <c r="I21" s="1"/>
      <c r="J21" s="1"/>
      <c r="K21" s="1"/>
      <c r="L21" s="1"/>
      <c r="M21" s="1"/>
      <c r="N21" s="1" t="s">
        <v>195</v>
      </c>
    </row>
    <row r="22">
      <c r="A22" s="12" t="s">
        <v>208</v>
      </c>
      <c r="B22" s="10">
        <v>38.196</v>
      </c>
      <c r="C22" s="10">
        <v>109.474</v>
      </c>
      <c r="D22" s="10">
        <v>16.525</v>
      </c>
      <c r="E22" s="10">
        <v>126.44</v>
      </c>
      <c r="F22" s="1"/>
      <c r="G22" s="1"/>
      <c r="H22" s="1"/>
      <c r="I22" s="1"/>
      <c r="J22" s="1"/>
      <c r="K22" s="1"/>
      <c r="L22" s="1"/>
      <c r="M22" s="1"/>
      <c r="N22" s="1" t="s">
        <v>195</v>
      </c>
    </row>
    <row r="23">
      <c r="A23" s="12" t="s">
        <v>156</v>
      </c>
      <c r="B23" s="10">
        <v>640.317</v>
      </c>
      <c r="C23" s="10">
        <v>-285.857</v>
      </c>
      <c r="D23" s="10">
        <v>-320.558</v>
      </c>
      <c r="E23" s="10">
        <v>-111.788</v>
      </c>
      <c r="F23" s="1"/>
      <c r="G23" s="1"/>
      <c r="H23" s="1"/>
      <c r="I23" s="1"/>
      <c r="J23" s="1"/>
      <c r="K23" s="1"/>
      <c r="L23" s="1"/>
      <c r="M23" s="1"/>
      <c r="N23" s="1" t="s">
        <v>195</v>
      </c>
    </row>
    <row r="24">
      <c r="A24" s="12" t="s">
        <v>209</v>
      </c>
      <c r="B24" s="10">
        <v>48.64</v>
      </c>
      <c r="C24" s="10">
        <v>3.141</v>
      </c>
      <c r="D24" s="10">
        <v>8.346</v>
      </c>
      <c r="E24" s="10">
        <v>66.469</v>
      </c>
      <c r="F24" s="1"/>
      <c r="G24" s="1"/>
      <c r="H24" s="1"/>
      <c r="I24" s="1"/>
      <c r="J24" s="1"/>
      <c r="K24" s="1"/>
      <c r="L24" s="1"/>
      <c r="M24" s="1"/>
      <c r="N24" s="1" t="s">
        <v>195</v>
      </c>
    </row>
    <row r="25">
      <c r="A25" s="4" t="s">
        <v>210</v>
      </c>
      <c r="B25" s="29">
        <v>451.978</v>
      </c>
      <c r="C25" s="29">
        <v>-10.05</v>
      </c>
      <c r="D25" s="29">
        <v>-123.843</v>
      </c>
      <c r="E25" s="29">
        <v>-47.488</v>
      </c>
      <c r="F25" s="1"/>
      <c r="G25" s="1"/>
      <c r="H25" s="1"/>
      <c r="I25" s="1"/>
      <c r="J25" s="1"/>
      <c r="K25" s="1"/>
      <c r="L25" s="1"/>
      <c r="M25" s="1"/>
      <c r="N25" s="1" t="s">
        <v>195</v>
      </c>
    </row>
    <row r="26">
      <c r="A26" s="1"/>
      <c r="B26" s="1"/>
      <c r="C26" s="1"/>
      <c r="D26" s="1"/>
      <c r="E26" s="1"/>
      <c r="F26" s="1"/>
      <c r="G26" s="1"/>
      <c r="H26" s="1"/>
      <c r="I26" s="1"/>
      <c r="J26" s="1"/>
      <c r="K26" s="1"/>
      <c r="L26" s="1"/>
      <c r="M26" s="1"/>
      <c r="N26" s="1"/>
    </row>
    <row r="27">
      <c r="A27" s="4" t="s">
        <v>211</v>
      </c>
      <c r="B27" s="1"/>
      <c r="C27" s="1"/>
      <c r="D27" s="1"/>
      <c r="E27" s="1"/>
      <c r="F27" s="1"/>
      <c r="G27" s="1"/>
      <c r="H27" s="1"/>
      <c r="I27" s="1"/>
      <c r="J27" s="1"/>
      <c r="K27" s="1"/>
      <c r="L27" s="1"/>
      <c r="M27" s="1"/>
      <c r="N27" s="1"/>
    </row>
    <row r="28">
      <c r="A28" s="12" t="s">
        <v>212</v>
      </c>
      <c r="B28" s="10">
        <v>-23.435</v>
      </c>
      <c r="C28" s="10">
        <v>-382.739</v>
      </c>
      <c r="D28" s="10">
        <v>-185.094</v>
      </c>
      <c r="E28" s="10">
        <v>-548.873</v>
      </c>
      <c r="F28" s="1"/>
      <c r="G28" s="1"/>
      <c r="H28" s="1"/>
      <c r="I28" s="1"/>
      <c r="J28" s="1"/>
      <c r="K28" s="1"/>
      <c r="L28" s="1"/>
      <c r="M28" s="1"/>
      <c r="N28" s="1" t="s">
        <v>195</v>
      </c>
    </row>
    <row r="29">
      <c r="A29" s="12" t="s">
        <v>213</v>
      </c>
      <c r="B29" s="10">
        <v>-302.898</v>
      </c>
      <c r="C29" s="10">
        <v>-525.414</v>
      </c>
      <c r="D29" s="10">
        <v>-20.175</v>
      </c>
      <c r="E29" s="10">
        <v>-1275.515</v>
      </c>
      <c r="F29" s="1"/>
      <c r="G29" s="1"/>
      <c r="H29" s="1"/>
      <c r="I29" s="1"/>
      <c r="J29" s="1"/>
      <c r="K29" s="1"/>
      <c r="L29" s="1"/>
      <c r="M29" s="1"/>
      <c r="N29" s="1" t="s">
        <v>195</v>
      </c>
    </row>
    <row r="30">
      <c r="A30" s="12" t="s">
        <v>214</v>
      </c>
      <c r="B30" s="10">
        <v>309.548</v>
      </c>
      <c r="C30" s="10">
        <v>240.577</v>
      </c>
      <c r="D30" s="10">
        <v>117.973</v>
      </c>
      <c r="E30" s="10">
        <v>514.455</v>
      </c>
      <c r="F30" s="1"/>
      <c r="G30" s="1"/>
      <c r="H30" s="1"/>
      <c r="I30" s="1"/>
      <c r="J30" s="1"/>
      <c r="K30" s="1"/>
      <c r="L30" s="1"/>
      <c r="M30" s="1"/>
      <c r="N30" s="1" t="s">
        <v>195</v>
      </c>
    </row>
    <row r="31">
      <c r="A31" s="4" t="s">
        <v>215</v>
      </c>
      <c r="B31" s="29">
        <v>-16.785</v>
      </c>
      <c r="C31" s="29">
        <v>-667.576</v>
      </c>
      <c r="D31" s="29">
        <v>-87.296</v>
      </c>
      <c r="E31" s="29">
        <v>-1309.933</v>
      </c>
      <c r="F31" s="1"/>
      <c r="G31" s="1"/>
      <c r="H31" s="1"/>
      <c r="I31" s="1"/>
      <c r="J31" s="1"/>
      <c r="K31" s="1"/>
      <c r="L31" s="1"/>
      <c r="M31" s="1"/>
      <c r="N31" s="1" t="s">
        <v>195</v>
      </c>
    </row>
    <row r="32">
      <c r="A32" s="1"/>
      <c r="B32" s="1"/>
      <c r="C32" s="1"/>
      <c r="D32" s="1"/>
      <c r="E32" s="1"/>
      <c r="F32" s="1"/>
      <c r="G32" s="1"/>
      <c r="H32" s="1"/>
      <c r="I32" s="1"/>
      <c r="J32" s="1"/>
      <c r="K32" s="1"/>
      <c r="L32" s="1"/>
      <c r="M32" s="1"/>
      <c r="N32" s="1"/>
    </row>
    <row r="33">
      <c r="A33" s="4" t="s">
        <v>216</v>
      </c>
      <c r="B33" s="1"/>
      <c r="C33" s="1"/>
      <c r="D33" s="1"/>
      <c r="E33" s="1"/>
      <c r="F33" s="1"/>
      <c r="G33" s="1"/>
      <c r="H33" s="1"/>
      <c r="I33" s="1"/>
      <c r="J33" s="1"/>
      <c r="K33" s="1"/>
      <c r="L33" s="1"/>
      <c r="M33" s="1"/>
      <c r="N33" s="1"/>
    </row>
    <row r="34">
      <c r="A34" s="12" t="s">
        <v>217</v>
      </c>
      <c r="B34" s="13"/>
      <c r="C34" s="13"/>
      <c r="D34" s="13" t="s">
        <v>107</v>
      </c>
      <c r="E34" s="10">
        <v>6232.511</v>
      </c>
      <c r="F34" s="1"/>
      <c r="G34" s="1"/>
      <c r="H34" s="1"/>
      <c r="I34" s="1"/>
      <c r="J34" s="1"/>
      <c r="K34" s="1"/>
      <c r="L34" s="1"/>
      <c r="M34" s="1"/>
      <c r="N34" s="1" t="s">
        <v>199</v>
      </c>
    </row>
    <row r="35">
      <c r="A35" s="12" t="s">
        <v>218</v>
      </c>
      <c r="B35" s="10">
        <v>85</v>
      </c>
      <c r="C35" s="10">
        <v>1100</v>
      </c>
      <c r="D35" s="13" t="s">
        <v>107</v>
      </c>
      <c r="E35" s="10">
        <v>1014.249</v>
      </c>
      <c r="F35" s="1"/>
      <c r="G35" s="1"/>
      <c r="H35" s="1"/>
      <c r="I35" s="1"/>
      <c r="J35" s="1"/>
      <c r="K35" s="1"/>
      <c r="L35" s="1"/>
      <c r="M35" s="1"/>
      <c r="N35" s="1" t="s">
        <v>195</v>
      </c>
    </row>
    <row r="36">
      <c r="A36" s="12" t="s">
        <v>219</v>
      </c>
      <c r="B36" s="10">
        <v>-0.102</v>
      </c>
      <c r="C36" s="10">
        <v>-16.718</v>
      </c>
      <c r="D36" s="13" t="s">
        <v>107</v>
      </c>
      <c r="E36" s="10">
        <v>-0.218</v>
      </c>
      <c r="F36" s="1"/>
      <c r="G36" s="1"/>
      <c r="H36" s="1"/>
      <c r="I36" s="1"/>
      <c r="J36" s="1"/>
      <c r="K36" s="1"/>
      <c r="L36" s="1"/>
      <c r="M36" s="1"/>
      <c r="N36" s="1" t="s">
        <v>195</v>
      </c>
    </row>
    <row r="37">
      <c r="A37" s="12" t="s">
        <v>220</v>
      </c>
      <c r="B37" s="13"/>
      <c r="C37" s="13"/>
      <c r="D37" s="13" t="s">
        <v>107</v>
      </c>
      <c r="E37" s="10">
        <v>1004.571</v>
      </c>
      <c r="F37" s="1"/>
      <c r="G37" s="1"/>
      <c r="H37" s="1"/>
      <c r="I37" s="1"/>
      <c r="J37" s="1"/>
      <c r="K37" s="1"/>
      <c r="L37" s="1"/>
      <c r="M37" s="1"/>
      <c r="N37" s="1" t="s">
        <v>199</v>
      </c>
    </row>
    <row r="38">
      <c r="A38" s="12" t="s">
        <v>221</v>
      </c>
      <c r="B38" s="10">
        <v>27.752</v>
      </c>
      <c r="C38" s="10">
        <v>17.299</v>
      </c>
      <c r="D38" s="10">
        <v>5.176</v>
      </c>
      <c r="E38" s="10">
        <v>20.221</v>
      </c>
      <c r="F38" s="1"/>
      <c r="G38" s="1"/>
      <c r="H38" s="1"/>
      <c r="I38" s="1"/>
      <c r="J38" s="1"/>
      <c r="K38" s="1"/>
      <c r="L38" s="1"/>
      <c r="M38" s="1"/>
      <c r="N38" s="1" t="s">
        <v>195</v>
      </c>
    </row>
    <row r="39">
      <c r="A39" s="12" t="s">
        <v>222</v>
      </c>
      <c r="B39" s="13"/>
      <c r="C39" s="13"/>
      <c r="D39" s="13" t="s">
        <v>107</v>
      </c>
      <c r="E39" s="10">
        <v>15.036</v>
      </c>
      <c r="F39" s="1"/>
      <c r="G39" s="1"/>
      <c r="H39" s="1"/>
      <c r="I39" s="1"/>
      <c r="J39" s="1"/>
      <c r="K39" s="1"/>
      <c r="L39" s="1"/>
      <c r="M39" s="1"/>
      <c r="N39" s="1" t="s">
        <v>199</v>
      </c>
    </row>
    <row r="40">
      <c r="A40" s="12" t="s">
        <v>223</v>
      </c>
      <c r="B40" s="13"/>
      <c r="C40" s="13"/>
      <c r="D40" s="13" t="s">
        <v>107</v>
      </c>
      <c r="E40" s="10">
        <v>-3.801</v>
      </c>
      <c r="F40" s="1"/>
      <c r="G40" s="1"/>
      <c r="H40" s="1"/>
      <c r="I40" s="1"/>
      <c r="J40" s="1"/>
      <c r="K40" s="1"/>
      <c r="L40" s="1"/>
      <c r="M40" s="1"/>
      <c r="N40" s="1" t="s">
        <v>199</v>
      </c>
    </row>
    <row r="41">
      <c r="A41" s="12" t="s">
        <v>224</v>
      </c>
      <c r="B41" s="10">
        <v>-0.028</v>
      </c>
      <c r="C41" s="10">
        <v>-0.028</v>
      </c>
      <c r="D41" s="10">
        <v>-0.028</v>
      </c>
      <c r="E41" s="13" t="s">
        <v>107</v>
      </c>
      <c r="F41" s="1"/>
      <c r="G41" s="1"/>
      <c r="H41" s="1"/>
      <c r="I41" s="1"/>
      <c r="J41" s="1"/>
      <c r="K41" s="1"/>
      <c r="L41" s="1"/>
      <c r="M41" s="1"/>
      <c r="N41" s="1" t="s">
        <v>195</v>
      </c>
    </row>
    <row r="42">
      <c r="A42" s="12" t="s">
        <v>225</v>
      </c>
      <c r="B42" s="13" t="s">
        <v>107</v>
      </c>
      <c r="C42" s="10">
        <v>-49.32</v>
      </c>
      <c r="D42" s="13"/>
      <c r="E42" s="13"/>
      <c r="F42" s="1"/>
      <c r="G42" s="1"/>
      <c r="H42" s="1"/>
      <c r="I42" s="1"/>
      <c r="J42" s="1"/>
      <c r="K42" s="1"/>
      <c r="L42" s="1"/>
      <c r="M42" s="1"/>
      <c r="N42" s="1" t="s">
        <v>226</v>
      </c>
    </row>
    <row r="43">
      <c r="A43" s="12" t="s">
        <v>227</v>
      </c>
      <c r="B43" s="13" t="s">
        <v>107</v>
      </c>
      <c r="C43" s="10">
        <v>-21.368</v>
      </c>
      <c r="D43" s="13"/>
      <c r="E43" s="13"/>
      <c r="F43" s="1"/>
      <c r="G43" s="1"/>
      <c r="H43" s="1"/>
      <c r="I43" s="1"/>
      <c r="J43" s="1"/>
      <c r="K43" s="1"/>
      <c r="L43" s="1"/>
      <c r="M43" s="1"/>
      <c r="N43" s="1" t="s">
        <v>226</v>
      </c>
    </row>
    <row r="44">
      <c r="A44" s="12" t="s">
        <v>228</v>
      </c>
      <c r="B44" s="13" t="s">
        <v>107</v>
      </c>
      <c r="C44" s="10">
        <v>-2.95</v>
      </c>
      <c r="D44" s="13"/>
      <c r="E44" s="13"/>
      <c r="F44" s="1"/>
      <c r="G44" s="1"/>
      <c r="H44" s="1"/>
      <c r="I44" s="1"/>
      <c r="J44" s="1"/>
      <c r="K44" s="1"/>
      <c r="L44" s="1"/>
      <c r="M44" s="1"/>
      <c r="N44" s="1" t="s">
        <v>226</v>
      </c>
    </row>
    <row r="45">
      <c r="A45" s="12" t="s">
        <v>229</v>
      </c>
      <c r="B45" s="13"/>
      <c r="C45" s="13"/>
      <c r="D45" s="13" t="s">
        <v>107</v>
      </c>
      <c r="E45" s="10">
        <v>-416.66</v>
      </c>
      <c r="F45" s="1"/>
      <c r="G45" s="1"/>
      <c r="H45" s="1"/>
      <c r="I45" s="1"/>
      <c r="J45" s="1"/>
      <c r="K45" s="1"/>
      <c r="L45" s="1"/>
      <c r="M45" s="1"/>
      <c r="N45" s="1" t="s">
        <v>199</v>
      </c>
    </row>
    <row r="46">
      <c r="A46" s="12" t="s">
        <v>230</v>
      </c>
      <c r="B46" s="10">
        <v>-0.326</v>
      </c>
      <c r="C46" s="10">
        <v>-0.355</v>
      </c>
      <c r="D46" s="13" t="s">
        <v>107</v>
      </c>
      <c r="E46" s="10">
        <v>-12.667</v>
      </c>
      <c r="F46" s="1"/>
      <c r="G46" s="1"/>
      <c r="H46" s="1"/>
      <c r="I46" s="1"/>
      <c r="J46" s="1"/>
      <c r="K46" s="1"/>
      <c r="L46" s="1"/>
      <c r="M46" s="1"/>
      <c r="N46" s="1" t="s">
        <v>195</v>
      </c>
    </row>
    <row r="47">
      <c r="A47" s="4" t="s">
        <v>231</v>
      </c>
      <c r="B47" s="29">
        <v>112.296</v>
      </c>
      <c r="C47" s="29">
        <v>1026.56</v>
      </c>
      <c r="D47" s="29">
        <v>5.148</v>
      </c>
      <c r="E47" s="29">
        <v>7853.242</v>
      </c>
      <c r="F47" s="1"/>
      <c r="G47" s="1"/>
      <c r="H47" s="1"/>
      <c r="I47" s="1"/>
      <c r="J47" s="1"/>
      <c r="K47" s="1"/>
      <c r="L47" s="1"/>
      <c r="M47" s="1"/>
      <c r="N47" s="1" t="s">
        <v>195</v>
      </c>
    </row>
    <row r="48">
      <c r="A48" s="12" t="s">
        <v>232</v>
      </c>
      <c r="B48" s="10">
        <v>-0.304</v>
      </c>
      <c r="C48" s="10">
        <v>-0.521</v>
      </c>
      <c r="D48" s="10">
        <v>0.912</v>
      </c>
      <c r="E48" s="10">
        <v>0.638</v>
      </c>
      <c r="F48" s="1"/>
      <c r="G48" s="1"/>
      <c r="H48" s="1"/>
      <c r="I48" s="1"/>
      <c r="J48" s="1"/>
      <c r="K48" s="1"/>
      <c r="L48" s="1"/>
      <c r="M48" s="1"/>
      <c r="N48" s="1" t="s">
        <v>195</v>
      </c>
    </row>
    <row r="49">
      <c r="A49" s="4" t="s">
        <v>233</v>
      </c>
      <c r="B49" s="29">
        <v>547.185</v>
      </c>
      <c r="C49" s="29">
        <v>348.413</v>
      </c>
      <c r="D49" s="29">
        <v>-205.079</v>
      </c>
      <c r="E49" s="29">
        <v>6496.459</v>
      </c>
      <c r="F49" s="1"/>
      <c r="G49" s="1"/>
      <c r="H49" s="1"/>
      <c r="I49" s="1"/>
      <c r="J49" s="1"/>
      <c r="K49" s="1"/>
      <c r="L49" s="1"/>
      <c r="M49" s="1"/>
      <c r="N49" s="1" t="s">
        <v>195</v>
      </c>
    </row>
    <row r="50">
      <c r="A50" s="12" t="s">
        <v>234</v>
      </c>
      <c r="B50" s="10">
        <v>34.78</v>
      </c>
      <c r="C50" s="10">
        <v>581.965</v>
      </c>
      <c r="D50" s="10">
        <v>581.965</v>
      </c>
      <c r="E50" s="10">
        <v>930.378</v>
      </c>
      <c r="F50" s="1"/>
      <c r="G50" s="1"/>
      <c r="H50" s="1"/>
      <c r="I50" s="1"/>
      <c r="J50" s="1"/>
      <c r="K50" s="1"/>
      <c r="L50" s="1"/>
      <c r="M50" s="1"/>
      <c r="N50" s="1" t="s">
        <v>195</v>
      </c>
    </row>
    <row r="51">
      <c r="A51" s="4" t="s">
        <v>235</v>
      </c>
      <c r="B51" s="29">
        <v>581.965</v>
      </c>
      <c r="C51" s="29">
        <v>930.378</v>
      </c>
      <c r="D51" s="29">
        <v>376.886</v>
      </c>
      <c r="E51" s="29">
        <v>7426.837</v>
      </c>
      <c r="F51" s="1"/>
      <c r="G51" s="1"/>
      <c r="H51" s="1"/>
      <c r="I51" s="1"/>
      <c r="J51" s="1"/>
      <c r="K51" s="1"/>
      <c r="L51" s="1"/>
      <c r="M51" s="1"/>
      <c r="N51" s="1" t="s">
        <v>195</v>
      </c>
    </row>
    <row r="52">
      <c r="A52" s="1"/>
      <c r="B52" s="1"/>
      <c r="C52" s="1"/>
      <c r="D52" s="1"/>
      <c r="E52" s="1"/>
      <c r="F52" s="1"/>
      <c r="G52" s="1"/>
      <c r="H52" s="1"/>
      <c r="I52" s="1"/>
      <c r="J52" s="1"/>
      <c r="K52" s="1"/>
      <c r="L52" s="1"/>
      <c r="M52" s="1"/>
      <c r="N52" s="1"/>
    </row>
    <row r="53">
      <c r="A53" s="4" t="s">
        <v>236</v>
      </c>
      <c r="B53" s="1"/>
      <c r="C53" s="1"/>
      <c r="D53" s="1"/>
      <c r="E53" s="1"/>
      <c r="F53" s="1"/>
      <c r="G53" s="1"/>
      <c r="H53" s="1"/>
      <c r="I53" s="1"/>
      <c r="J53" s="1"/>
      <c r="K53" s="1"/>
      <c r="L53" s="1"/>
      <c r="M53" s="1"/>
      <c r="N53" s="1"/>
    </row>
    <row r="54">
      <c r="A54" s="12" t="s">
        <v>237</v>
      </c>
      <c r="B54" s="5">
        <f>SUM(B11,B13,B14,B15)</f>
        <v>420.00800000000004</v>
      </c>
      <c r="C54" s="5">
        <f>SUM(C11,C13,C14,C15)</f>
        <v>-316.459</v>
      </c>
      <c r="D54" s="5">
        <f>SUM(D11,D13,D14,D15)</f>
        <v>-349.299</v>
      </c>
      <c r="E54" s="5">
        <f>SUM(E11,E13,E14,E15)</f>
        <v>45.424</v>
      </c>
      <c r="F54" s="1"/>
      <c r="G54" s="1"/>
      <c r="H54" s="1"/>
      <c r="I54" s="1"/>
      <c r="J54" s="1"/>
      <c r="K54" s="1"/>
      <c r="L54" s="1"/>
      <c r="M54" s="1"/>
      <c r="N54" s="1"/>
    </row>
    <row r="55">
      <c r="A55" s="12" t="s">
        <v>238</v>
      </c>
      <c r="B55" s="5">
        <f>SUM(B18,B19,B20,B21,B22,B23,B24)</f>
        <v>443.471</v>
      </c>
      <c r="C55" s="5">
        <f>SUM(C18,C19,C20,C21,C22,C23,C24)</f>
        <v>-15.63900000000003</v>
      </c>
      <c r="D55" s="5">
        <f>SUM(D18,D19,D20,D21,D22,D23,D24)</f>
        <v>-91.939</v>
      </c>
      <c r="E55" s="5">
        <f>SUM(E18,E19,E20,E21,E22,E23,E24)</f>
        <v>-142.447</v>
      </c>
      <c r="F55" s="1"/>
      <c r="G55" s="1"/>
      <c r="H55" s="1"/>
      <c r="I55" s="1"/>
      <c r="J55" s="1"/>
      <c r="K55" s="1"/>
      <c r="L55" s="1"/>
      <c r="M55" s="1"/>
      <c r="N55" s="1"/>
    </row>
    <row r="56">
      <c r="A56" s="12" t="s">
        <v>239</v>
      </c>
      <c r="B56" s="5">
        <f>SUM(B29,B30)</f>
        <v>6.649999999999977</v>
      </c>
      <c r="C56" s="5">
        <f>SUM(C29,C30)</f>
        <v>-284.837</v>
      </c>
      <c r="D56" s="5">
        <f>SUM(D29,D30)</f>
        <v>97.798</v>
      </c>
      <c r="E56" s="5">
        <f>SUM(E29,E30)</f>
        <v>-761.0600000000001</v>
      </c>
      <c r="F56" s="1"/>
      <c r="G56" s="1"/>
      <c r="H56" s="1"/>
      <c r="I56" s="1"/>
      <c r="J56" s="1"/>
      <c r="K56" s="1"/>
      <c r="L56" s="1"/>
      <c r="M56" s="1"/>
      <c r="N56" s="1"/>
    </row>
    <row r="57">
      <c r="A57" s="1"/>
      <c r="B57" s="1"/>
      <c r="C57" s="1"/>
      <c r="D57" s="1"/>
      <c r="E57" s="1"/>
      <c r="F57" s="1"/>
      <c r="G57" s="1"/>
      <c r="H57" s="1"/>
      <c r="I57" s="1"/>
      <c r="J57" s="1"/>
      <c r="K57" s="1"/>
      <c r="L57" s="1"/>
      <c r="M57" s="1"/>
      <c r="N57" s="1"/>
    </row>
    <row r="58">
      <c r="A58" s="4" t="s">
        <v>117</v>
      </c>
      <c r="B58" s="1"/>
      <c r="C58" s="1"/>
      <c r="D58" s="1"/>
      <c r="E58" s="1"/>
      <c r="F58" s="1"/>
      <c r="G58" s="1"/>
      <c r="H58" s="1"/>
      <c r="I58" s="1"/>
      <c r="J58" s="1"/>
      <c r="K58" s="1"/>
      <c r="L58" s="1"/>
      <c r="M58" s="1"/>
      <c r="N58" s="1"/>
    </row>
    <row r="59">
      <c r="A59" s="12" t="s">
        <v>240</v>
      </c>
      <c r="B59" s="14">
        <f>SUM(B7,B8,B9,B10,B11,B12,B13,B14,B15,B18,B19,B20,B21,B22,B23,B24)-B25</f>
        <v>0</v>
      </c>
      <c r="C59" s="14">
        <f>SUM(C7,C8,C9,C10,C11,C12,C13,C14,C15,C18,C19,C20,C21,C22,C23,C24)-C25</f>
        <v>0</v>
      </c>
      <c r="D59" s="14">
        <f>SUM(D7,D8,D9,D10,D11,D12,D13,D14,D15,D18,D19,D20,D21,D22,D23,D24)-D25</f>
        <v>0</v>
      </c>
      <c r="E59" s="14">
        <f>SUM(E7,E8,E9,E10,E11,E12,E13,E14,E15,E18,E19,E20,E21,E22,E23,E24)-E25</f>
        <v>0</v>
      </c>
      <c r="F59" s="1"/>
      <c r="G59" s="1"/>
      <c r="H59" s="1"/>
      <c r="I59" s="1"/>
      <c r="J59" s="1"/>
      <c r="K59" s="1"/>
      <c r="L59" s="1"/>
      <c r="M59" s="1"/>
      <c r="N59" s="1"/>
    </row>
    <row r="60">
      <c r="A60" s="12" t="s">
        <v>241</v>
      </c>
      <c r="B60" s="14">
        <f>SUM(B28,B29,B30)-B31</f>
        <v>0</v>
      </c>
      <c r="C60" s="14">
        <f>SUM(C28,C29,C30)-C31</f>
        <v>0</v>
      </c>
      <c r="D60" s="14">
        <f>SUM(D28,D29,D30)-D31</f>
        <v>0</v>
      </c>
      <c r="E60" s="14">
        <f>SUM(E28,E29,E30)-E31</f>
        <v>0</v>
      </c>
      <c r="F60" s="1"/>
      <c r="G60" s="1"/>
      <c r="H60" s="1"/>
      <c r="I60" s="1"/>
      <c r="J60" s="1"/>
      <c r="K60" s="1"/>
      <c r="L60" s="1"/>
      <c r="M60" s="1"/>
      <c r="N60" s="1"/>
    </row>
    <row r="61">
      <c r="A61" s="12" t="s">
        <v>242</v>
      </c>
      <c r="B61" s="14">
        <f>SUM(B34,B35,B36,B37,B38,B39,B40,B41,B42,B43,B44,B45,B46)-B47</f>
        <v>0</v>
      </c>
      <c r="C61" s="14">
        <f>SUM(C34,C35,C36,C37,C38,C39,C40,C41,C42,C43,C44,C45,C46)-C47</f>
        <v>0</v>
      </c>
      <c r="D61" s="14">
        <f>SUM(D34,D35,D36,D37,D38,D39,D40,D41,D42,D43,D44,D45,D46)-D47</f>
        <v>0</v>
      </c>
      <c r="E61" s="14">
        <f>SUM(E34,E35,E36,E37,E38,E39,E40,E41,E42,E43,E44,E45,E46)-E47</f>
        <v>0</v>
      </c>
      <c r="F61" s="1"/>
      <c r="G61" s="1"/>
      <c r="H61" s="1"/>
      <c r="I61" s="1"/>
      <c r="J61" s="1"/>
      <c r="K61" s="1"/>
      <c r="L61" s="1"/>
      <c r="M61" s="1"/>
      <c r="N61" s="1"/>
    </row>
    <row r="62">
      <c r="A62" s="12" t="s">
        <v>243</v>
      </c>
      <c r="B62" s="14">
        <f>B25+B31+B47+B48-B49</f>
        <v>0</v>
      </c>
      <c r="C62" s="14">
        <f>C25+C31+C47+C48-C49</f>
        <v>0</v>
      </c>
      <c r="D62" s="14">
        <f>D25+D31+D47+D48-D49</f>
        <v>0</v>
      </c>
      <c r="E62" s="14">
        <f>E25+E31+E47+E48-E49</f>
        <v>0</v>
      </c>
      <c r="F62" s="1"/>
      <c r="G62" s="1"/>
      <c r="H62" s="1"/>
      <c r="I62" s="1"/>
      <c r="J62" s="1"/>
      <c r="K62" s="1"/>
      <c r="L62" s="1"/>
      <c r="M62" s="1"/>
      <c r="N62" s="1"/>
    </row>
    <row r="63">
      <c r="A63" s="12" t="s">
        <v>244</v>
      </c>
      <c r="B63" s="14">
        <f>B50+B49-B51</f>
        <v>0</v>
      </c>
      <c r="C63" s="14">
        <f>C50+C49-C51</f>
        <v>0</v>
      </c>
      <c r="D63" s="14">
        <f>D50+D49-D51</f>
        <v>0</v>
      </c>
      <c r="E63" s="14">
        <f>E50+E49-E51</f>
        <v>0</v>
      </c>
      <c r="F63" s="1"/>
      <c r="G63" s="1"/>
      <c r="H63" s="1"/>
      <c r="I63" s="1"/>
      <c r="J63" s="1"/>
      <c r="K63" s="1"/>
      <c r="L63" s="1"/>
      <c r="M63" s="1"/>
      <c r="N63" s="1"/>
    </row>
    <row r="64">
      <c r="A64" s="12" t="s">
        <v>128</v>
      </c>
      <c r="B64" s="14">
        <f>B7-IS_Hist!B26</f>
        <v>0</v>
      </c>
      <c r="C64" s="14">
        <f>C7-IS_Hist!C26</f>
        <v>0</v>
      </c>
      <c r="D64" s="14">
        <f>D7-IS_Hist!D26</f>
        <v>0</v>
      </c>
      <c r="E64" s="14">
        <f>E7-IS_Hist!E26</f>
        <v>0</v>
      </c>
      <c r="F64" s="1"/>
      <c r="G64" s="1"/>
      <c r="H64" s="1"/>
      <c r="I64" s="1"/>
      <c r="J64" s="1"/>
      <c r="K64" s="1"/>
      <c r="L64" s="1"/>
      <c r="M64" s="1"/>
      <c r="N64" s="1"/>
    </row>
    <row r="65">
      <c r="A65" s="12" t="s">
        <v>245</v>
      </c>
      <c r="B65" s="14">
        <f>B51-BS_Hist!B49</f>
        <v>0</v>
      </c>
      <c r="C65" s="14">
        <f>C51-BS_Hist!C49</f>
        <v>0</v>
      </c>
      <c r="D65" s="14"/>
      <c r="E65" s="14">
        <f>E51-BS_Hist!F49</f>
        <v>0</v>
      </c>
      <c r="F65" s="1"/>
      <c r="G65" s="1"/>
      <c r="H65" s="1"/>
      <c r="I65" s="1"/>
      <c r="J65" s="1"/>
      <c r="K65" s="1"/>
      <c r="L65" s="1"/>
      <c r="M65" s="1"/>
      <c r="N65" s="1" t="s">
        <v>246</v>
      </c>
    </row>
    <row r="66">
      <c r="A66" s="12" t="s">
        <v>247</v>
      </c>
      <c r="B66" s="1"/>
      <c r="C66" s="14">
        <f>C9-N(Revenue_Hist!C39)</f>
        <v>0</v>
      </c>
      <c r="D66" s="14"/>
      <c r="E66" s="14">
        <f>E9-N(Revenue_Hist!E39)</f>
        <v>0</v>
      </c>
      <c r="F66" s="1"/>
      <c r="G66" s="1"/>
      <c r="H66" s="1"/>
      <c r="I66" s="1"/>
      <c r="J66" s="1"/>
      <c r="K66" s="1"/>
      <c r="L66" s="1"/>
      <c r="M66" s="1"/>
      <c r="N66" s="1"/>
    </row>
  </sheetData>
</worksheet>
</file>

<file path=xl/worksheets/sheet6.xml><?xml version="1.0" encoding="utf-8"?>
<worksheet xmlns="http://schemas.openxmlformats.org/spreadsheetml/2006/main" xmlns:r="http://schemas.openxmlformats.org/officeDocument/2006/relationships">
  <sheetPr>
    <tabColor rgb="FF6A7689"/>
  </sheetPr>
  <dimension ref="A1:N73"/>
  <sheetViews>
    <sheetView showGridLines="0" workbookViewId="0"/>
  </sheetViews>
  <sheetFormatPr defaultColWidth="8.375" defaultRowHeight="15"/>
  <cols>
    <col min="1" max="1" width="92.70703125" customWidth="1"/>
    <col min="2" max="11" width="15.375" customWidth="1"/>
    <col min="12" max="12" width="2.70703125" customWidth="1"/>
    <col min="13" max="13" width="17.70703125" customWidth="1"/>
    <col min="14" max="14" width="36.0390625" customWidth="1"/>
  </cols>
  <sheetData>
    <row r="1">
      <c r="A1" s="21" t="s">
        <v>248</v>
      </c>
      <c r="B1" s="1"/>
      <c r="C1" s="1"/>
      <c r="D1" s="1"/>
      <c r="E1" s="1"/>
      <c r="F1" s="1"/>
      <c r="G1" s="1"/>
      <c r="H1" s="1"/>
      <c r="I1" s="1"/>
      <c r="J1" s="1"/>
      <c r="K1" s="1"/>
      <c r="L1" s="1"/>
      <c r="M1" s="1"/>
      <c r="N1" s="1"/>
    </row>
    <row r="2">
      <c r="A2" s="1" t="s">
        <v>249</v>
      </c>
      <c r="B2" s="1"/>
      <c r="C2" s="1"/>
      <c r="D2" s="1"/>
      <c r="E2" s="1"/>
      <c r="F2" s="1"/>
      <c r="G2" s="1"/>
      <c r="H2" s="1"/>
      <c r="I2" s="1"/>
      <c r="J2" s="1"/>
      <c r="K2" s="1"/>
      <c r="L2" s="1"/>
      <c r="M2" s="1"/>
      <c r="N2" s="1"/>
    </row>
    <row r="3">
      <c r="A3" s="1"/>
      <c r="B3" s="1"/>
      <c r="C3" s="1"/>
      <c r="D3" s="1"/>
      <c r="E3" s="1"/>
      <c r="F3" s="1"/>
      <c r="G3" s="1"/>
      <c r="H3" s="1"/>
      <c r="I3" s="1"/>
      <c r="J3" s="1"/>
      <c r="K3" s="1"/>
      <c r="L3" s="1"/>
      <c r="M3" s="1"/>
      <c r="N3" s="1"/>
    </row>
    <row r="4">
      <c r="A4" s="3" t="s">
        <v>250</v>
      </c>
      <c r="B4" s="24" t="s">
        <v>251</v>
      </c>
      <c r="C4" s="24" t="s">
        <v>252</v>
      </c>
      <c r="D4" s="24" t="s">
        <v>253</v>
      </c>
      <c r="E4" s="24" t="s">
        <v>254</v>
      </c>
      <c r="F4" s="24" t="s">
        <v>174</v>
      </c>
      <c r="G4" s="24" t="s">
        <v>255</v>
      </c>
      <c r="H4" s="24" t="s">
        <v>256</v>
      </c>
      <c r="I4" s="24" t="s">
        <v>175</v>
      </c>
      <c r="J4" s="24" t="s">
        <v>176</v>
      </c>
      <c r="K4" s="24" t="s">
        <v>177</v>
      </c>
      <c r="L4" s="1"/>
      <c r="M4" s="6" t="s">
        <v>86</v>
      </c>
      <c r="N4" s="6" t="s">
        <v>87</v>
      </c>
    </row>
    <row r="5">
      <c r="A5" s="1"/>
      <c r="B5" s="1"/>
      <c r="C5" s="1"/>
      <c r="D5" s="1"/>
      <c r="E5" s="1"/>
      <c r="F5" s="1"/>
      <c r="G5" s="1"/>
      <c r="H5" s="1"/>
      <c r="I5" s="1"/>
      <c r="J5" s="1"/>
      <c r="K5" s="1"/>
      <c r="L5" s="1"/>
      <c r="M5" s="1"/>
      <c r="N5" s="1"/>
    </row>
    <row r="6">
      <c r="A6" s="4" t="s">
        <v>257</v>
      </c>
      <c r="B6" s="1"/>
      <c r="C6" s="1"/>
      <c r="D6" s="1"/>
      <c r="E6" s="1"/>
      <c r="F6" s="1"/>
      <c r="G6" s="1"/>
      <c r="H6" s="1"/>
      <c r="I6" s="1"/>
      <c r="J6" s="1"/>
      <c r="K6" s="1"/>
      <c r="L6" s="1"/>
      <c r="M6" s="1"/>
      <c r="N6" s="1"/>
    </row>
    <row r="7">
      <c r="A7" s="4" t="s">
        <v>258</v>
      </c>
      <c r="B7" s="88">
        <v>77033</v>
      </c>
      <c r="C7" s="29">
        <v>722.78</v>
      </c>
      <c r="D7" s="88">
        <v>45362</v>
      </c>
      <c r="E7" s="51" t="s">
        <v>107</v>
      </c>
      <c r="F7" s="29">
        <v>101.578</v>
      </c>
      <c r="G7" s="88">
        <v>-300</v>
      </c>
      <c r="H7" s="29">
        <v>-0.088</v>
      </c>
      <c r="I7" s="29">
        <v>1.103</v>
      </c>
      <c r="J7" s="29">
        <v>-661.555</v>
      </c>
      <c r="K7" s="29">
        <v>-558.962</v>
      </c>
      <c r="L7" s="1"/>
      <c r="M7" s="1"/>
      <c r="N7" s="1" t="s">
        <v>259</v>
      </c>
    </row>
    <row r="8">
      <c r="A8" s="12" t="s">
        <v>260</v>
      </c>
      <c r="B8" s="67">
        <v>5798</v>
      </c>
      <c r="C8" s="10">
        <v>84.898</v>
      </c>
      <c r="D8" s="63" t="s">
        <v>107</v>
      </c>
      <c r="E8" s="13" t="s">
        <v>107</v>
      </c>
      <c r="F8" s="13" t="s">
        <v>107</v>
      </c>
      <c r="G8" s="63" t="s">
        <v>107</v>
      </c>
      <c r="H8" s="13" t="s">
        <v>107</v>
      </c>
      <c r="I8" s="13" t="s">
        <v>107</v>
      </c>
      <c r="J8" s="13" t="s">
        <v>107</v>
      </c>
      <c r="K8" s="13" t="s">
        <v>107</v>
      </c>
      <c r="L8" s="1"/>
      <c r="M8" s="1"/>
      <c r="N8" s="1" t="s">
        <v>259</v>
      </c>
    </row>
    <row r="9">
      <c r="A9" s="12" t="s">
        <v>261</v>
      </c>
      <c r="B9" s="63" t="s">
        <v>107</v>
      </c>
      <c r="C9" s="10">
        <v>37.928</v>
      </c>
      <c r="D9" s="63" t="s">
        <v>107</v>
      </c>
      <c r="E9" s="13" t="s">
        <v>107</v>
      </c>
      <c r="F9" s="13" t="s">
        <v>107</v>
      </c>
      <c r="G9" s="63" t="s">
        <v>107</v>
      </c>
      <c r="H9" s="13" t="s">
        <v>107</v>
      </c>
      <c r="I9" s="13" t="s">
        <v>107</v>
      </c>
      <c r="J9" s="13" t="s">
        <v>107</v>
      </c>
      <c r="K9" s="13" t="s">
        <v>107</v>
      </c>
      <c r="L9" s="1"/>
      <c r="M9" s="1"/>
      <c r="N9" s="1" t="s">
        <v>259</v>
      </c>
    </row>
    <row r="10">
      <c r="A10" s="12" t="s">
        <v>262</v>
      </c>
      <c r="B10" s="63" t="s">
        <v>107</v>
      </c>
      <c r="C10" s="10">
        <v>3.182</v>
      </c>
      <c r="D10" s="63" t="s">
        <v>107</v>
      </c>
      <c r="E10" s="13" t="s">
        <v>107</v>
      </c>
      <c r="F10" s="10">
        <v>-3.182</v>
      </c>
      <c r="G10" s="63" t="s">
        <v>107</v>
      </c>
      <c r="H10" s="13" t="s">
        <v>107</v>
      </c>
      <c r="I10" s="13" t="s">
        <v>107</v>
      </c>
      <c r="J10" s="13" t="s">
        <v>107</v>
      </c>
      <c r="K10" s="10">
        <v>-3.182</v>
      </c>
      <c r="L10" s="1"/>
      <c r="M10" s="1"/>
      <c r="N10" s="1" t="s">
        <v>259</v>
      </c>
    </row>
    <row r="11">
      <c r="A11" s="12" t="s">
        <v>263</v>
      </c>
      <c r="B11" s="67">
        <v>68</v>
      </c>
      <c r="C11" s="10">
        <v>1.278</v>
      </c>
      <c r="D11" s="63" t="s">
        <v>107</v>
      </c>
      <c r="E11" s="13" t="s">
        <v>107</v>
      </c>
      <c r="F11" s="13" t="s">
        <v>107</v>
      </c>
      <c r="G11" s="63" t="s">
        <v>107</v>
      </c>
      <c r="H11" s="13" t="s">
        <v>107</v>
      </c>
      <c r="I11" s="13" t="s">
        <v>107</v>
      </c>
      <c r="J11" s="13" t="s">
        <v>107</v>
      </c>
      <c r="K11" s="13" t="s">
        <v>107</v>
      </c>
      <c r="L11" s="1"/>
      <c r="M11" s="1"/>
      <c r="N11" s="1" t="s">
        <v>259</v>
      </c>
    </row>
    <row r="12">
      <c r="A12" s="12" t="s">
        <v>264</v>
      </c>
      <c r="B12" s="63" t="s">
        <v>107</v>
      </c>
      <c r="C12" s="13" t="s">
        <v>107</v>
      </c>
      <c r="D12" s="67">
        <v>8010.999999999999</v>
      </c>
      <c r="E12" s="10">
        <v>0.001</v>
      </c>
      <c r="F12" s="10">
        <v>17.667</v>
      </c>
      <c r="G12" s="63" t="s">
        <v>107</v>
      </c>
      <c r="H12" s="13" t="s">
        <v>107</v>
      </c>
      <c r="I12" s="13" t="s">
        <v>107</v>
      </c>
      <c r="J12" s="13" t="s">
        <v>107</v>
      </c>
      <c r="K12" s="10">
        <v>17.668</v>
      </c>
      <c r="L12" s="1"/>
      <c r="M12" s="1"/>
      <c r="N12" s="1" t="s">
        <v>259</v>
      </c>
    </row>
    <row r="13">
      <c r="A13" s="12" t="s">
        <v>265</v>
      </c>
      <c r="B13" s="63" t="s">
        <v>107</v>
      </c>
      <c r="C13" s="13" t="s">
        <v>107</v>
      </c>
      <c r="D13" s="63" t="s">
        <v>107</v>
      </c>
      <c r="E13" s="13" t="s">
        <v>107</v>
      </c>
      <c r="F13" s="10">
        <v>1.733</v>
      </c>
      <c r="G13" s="63" t="s">
        <v>107</v>
      </c>
      <c r="H13" s="13" t="s">
        <v>107</v>
      </c>
      <c r="I13" s="13" t="s">
        <v>107</v>
      </c>
      <c r="J13" s="13" t="s">
        <v>107</v>
      </c>
      <c r="K13" s="10">
        <v>1.733</v>
      </c>
      <c r="L13" s="1"/>
      <c r="M13" s="1"/>
      <c r="N13" s="1" t="s">
        <v>259</v>
      </c>
    </row>
    <row r="14">
      <c r="A14" s="12" t="s">
        <v>266</v>
      </c>
      <c r="B14" s="63" t="s">
        <v>107</v>
      </c>
      <c r="C14" s="13" t="s">
        <v>107</v>
      </c>
      <c r="D14" s="63" t="s">
        <v>107</v>
      </c>
      <c r="E14" s="13" t="s">
        <v>107</v>
      </c>
      <c r="F14" s="10">
        <v>57.525</v>
      </c>
      <c r="G14" s="63" t="s">
        <v>107</v>
      </c>
      <c r="H14" s="13" t="s">
        <v>107</v>
      </c>
      <c r="I14" s="13" t="s">
        <v>107</v>
      </c>
      <c r="J14" s="13" t="s">
        <v>107</v>
      </c>
      <c r="K14" s="10">
        <v>57.525</v>
      </c>
      <c r="L14" s="1"/>
      <c r="M14" s="1"/>
      <c r="N14" s="1" t="s">
        <v>259</v>
      </c>
    </row>
    <row r="15">
      <c r="A15" s="12" t="s">
        <v>267</v>
      </c>
      <c r="B15" s="63" t="s">
        <v>107</v>
      </c>
      <c r="C15" s="13" t="s">
        <v>107</v>
      </c>
      <c r="D15" s="63" t="s">
        <v>107</v>
      </c>
      <c r="E15" s="13" t="s">
        <v>107</v>
      </c>
      <c r="F15" s="10">
        <v>0.912</v>
      </c>
      <c r="G15" s="63" t="s">
        <v>107</v>
      </c>
      <c r="H15" s="13" t="s">
        <v>107</v>
      </c>
      <c r="I15" s="13" t="s">
        <v>107</v>
      </c>
      <c r="J15" s="13" t="s">
        <v>107</v>
      </c>
      <c r="K15" s="10">
        <v>0.912</v>
      </c>
      <c r="L15" s="1"/>
      <c r="M15" s="1"/>
      <c r="N15" s="1" t="s">
        <v>259</v>
      </c>
    </row>
    <row r="16">
      <c r="A16" s="12" t="s">
        <v>268</v>
      </c>
      <c r="B16" s="63" t="s">
        <v>107</v>
      </c>
      <c r="C16" s="13" t="s">
        <v>107</v>
      </c>
      <c r="D16" s="63" t="s">
        <v>107</v>
      </c>
      <c r="E16" s="13" t="s">
        <v>107</v>
      </c>
      <c r="F16" s="13" t="s">
        <v>107</v>
      </c>
      <c r="G16" s="63" t="s">
        <v>107</v>
      </c>
      <c r="H16" s="13" t="s">
        <v>107</v>
      </c>
      <c r="I16" s="10">
        <v>-0.304</v>
      </c>
      <c r="J16" s="13" t="s">
        <v>107</v>
      </c>
      <c r="K16" s="10">
        <v>-0.304</v>
      </c>
      <c r="L16" s="1"/>
      <c r="M16" s="1"/>
      <c r="N16" s="1" t="s">
        <v>259</v>
      </c>
    </row>
    <row r="17">
      <c r="A17" s="12" t="s">
        <v>269</v>
      </c>
      <c r="B17" s="63" t="s">
        <v>107</v>
      </c>
      <c r="C17" s="13" t="s">
        <v>107</v>
      </c>
      <c r="D17" s="63" t="s">
        <v>107</v>
      </c>
      <c r="E17" s="13" t="s">
        <v>107</v>
      </c>
      <c r="F17" s="13" t="s">
        <v>107</v>
      </c>
      <c r="G17" s="63" t="s">
        <v>107</v>
      </c>
      <c r="H17" s="13" t="s">
        <v>107</v>
      </c>
      <c r="I17" s="10">
        <v>-0.579</v>
      </c>
      <c r="J17" s="13" t="s">
        <v>107</v>
      </c>
      <c r="K17" s="10">
        <v>-0.579</v>
      </c>
      <c r="L17" s="1"/>
      <c r="M17" s="1"/>
      <c r="N17" s="1" t="s">
        <v>259</v>
      </c>
    </row>
    <row r="18">
      <c r="A18" s="12" t="s">
        <v>270</v>
      </c>
      <c r="B18" s="63" t="s">
        <v>107</v>
      </c>
      <c r="C18" s="13" t="s">
        <v>107</v>
      </c>
      <c r="D18" s="63" t="s">
        <v>107</v>
      </c>
      <c r="E18" s="13" t="s">
        <v>107</v>
      </c>
      <c r="F18" s="13" t="s">
        <v>107</v>
      </c>
      <c r="G18" s="63" t="s">
        <v>107</v>
      </c>
      <c r="H18" s="13" t="s">
        <v>107</v>
      </c>
      <c r="I18" s="13" t="s">
        <v>107</v>
      </c>
      <c r="J18" s="10">
        <v>-481.602</v>
      </c>
      <c r="K18" s="10">
        <v>-481.602</v>
      </c>
      <c r="L18" s="1"/>
      <c r="M18" s="1"/>
      <c r="N18" s="1" t="s">
        <v>259</v>
      </c>
    </row>
    <row r="19">
      <c r="A19" s="4" t="s">
        <v>271</v>
      </c>
      <c r="B19" s="88">
        <v>82899</v>
      </c>
      <c r="C19" s="29">
        <v>850.066</v>
      </c>
      <c r="D19" s="88">
        <v>53373</v>
      </c>
      <c r="E19" s="29">
        <v>0.001</v>
      </c>
      <c r="F19" s="29">
        <v>176.233</v>
      </c>
      <c r="G19" s="88">
        <v>-300</v>
      </c>
      <c r="H19" s="29">
        <v>-0.088</v>
      </c>
      <c r="I19" s="29">
        <v>0.22</v>
      </c>
      <c r="J19" s="29">
        <v>-1143.157</v>
      </c>
      <c r="K19" s="29">
        <v>-966.791</v>
      </c>
      <c r="L19" s="1"/>
      <c r="M19" s="1"/>
      <c r="N19" s="1" t="s">
        <v>259</v>
      </c>
    </row>
    <row r="20">
      <c r="A20" s="12" t="s">
        <v>272</v>
      </c>
      <c r="B20" s="67">
        <v>30360</v>
      </c>
      <c r="C20" s="10">
        <v>1083.282</v>
      </c>
      <c r="D20" s="63" t="s">
        <v>107</v>
      </c>
      <c r="E20" s="13" t="s">
        <v>107</v>
      </c>
      <c r="F20" s="13" t="s">
        <v>107</v>
      </c>
      <c r="G20" s="63" t="s">
        <v>107</v>
      </c>
      <c r="H20" s="13" t="s">
        <v>107</v>
      </c>
      <c r="I20" s="13" t="s">
        <v>107</v>
      </c>
      <c r="J20" s="13" t="s">
        <v>107</v>
      </c>
      <c r="K20" s="13" t="s">
        <v>107</v>
      </c>
      <c r="L20" s="1"/>
      <c r="M20" s="1"/>
      <c r="N20" s="1" t="s">
        <v>259</v>
      </c>
    </row>
    <row r="21">
      <c r="A21" s="12" t="s">
        <v>273</v>
      </c>
      <c r="B21" s="63" t="s">
        <v>107</v>
      </c>
      <c r="C21" s="13" t="s">
        <v>107</v>
      </c>
      <c r="D21" s="63" t="s">
        <v>107</v>
      </c>
      <c r="E21" s="13" t="s">
        <v>107</v>
      </c>
      <c r="F21" s="10">
        <v>152.353</v>
      </c>
      <c r="G21" s="63" t="s">
        <v>107</v>
      </c>
      <c r="H21" s="13" t="s">
        <v>107</v>
      </c>
      <c r="I21" s="13" t="s">
        <v>107</v>
      </c>
      <c r="J21" s="13" t="s">
        <v>107</v>
      </c>
      <c r="K21" s="10">
        <v>152.353</v>
      </c>
      <c r="L21" s="1"/>
      <c r="M21" s="1"/>
      <c r="N21" s="1" t="s">
        <v>259</v>
      </c>
    </row>
    <row r="22">
      <c r="A22" s="12" t="s">
        <v>225</v>
      </c>
      <c r="B22" s="63" t="s">
        <v>107</v>
      </c>
      <c r="C22" s="13" t="s">
        <v>107</v>
      </c>
      <c r="D22" s="63" t="s">
        <v>107</v>
      </c>
      <c r="E22" s="13" t="s">
        <v>107</v>
      </c>
      <c r="F22" s="10">
        <v>-49.32</v>
      </c>
      <c r="G22" s="63" t="s">
        <v>107</v>
      </c>
      <c r="H22" s="13" t="s">
        <v>107</v>
      </c>
      <c r="I22" s="13" t="s">
        <v>107</v>
      </c>
      <c r="J22" s="13" t="s">
        <v>107</v>
      </c>
      <c r="K22" s="10">
        <v>-49.32</v>
      </c>
      <c r="L22" s="1"/>
      <c r="M22" s="1"/>
      <c r="N22" s="1" t="s">
        <v>259</v>
      </c>
    </row>
    <row r="23">
      <c r="A23" s="12" t="s">
        <v>227</v>
      </c>
      <c r="B23" s="63" t="s">
        <v>107</v>
      </c>
      <c r="C23" s="13" t="s">
        <v>107</v>
      </c>
      <c r="D23" s="63" t="s">
        <v>107</v>
      </c>
      <c r="E23" s="13" t="s">
        <v>107</v>
      </c>
      <c r="F23" s="13" t="s">
        <v>107</v>
      </c>
      <c r="G23" s="67">
        <v>-590</v>
      </c>
      <c r="H23" s="10">
        <v>-21.368</v>
      </c>
      <c r="I23" s="13" t="s">
        <v>107</v>
      </c>
      <c r="J23" s="13" t="s">
        <v>107</v>
      </c>
      <c r="K23" s="10">
        <v>-21.368</v>
      </c>
      <c r="L23" s="1"/>
      <c r="M23" s="1"/>
      <c r="N23" s="1" t="s">
        <v>259</v>
      </c>
    </row>
    <row r="24">
      <c r="A24" s="12" t="s">
        <v>274</v>
      </c>
      <c r="B24" s="63" t="s">
        <v>107</v>
      </c>
      <c r="C24" s="13" t="s">
        <v>107</v>
      </c>
      <c r="D24" s="67">
        <v>4623</v>
      </c>
      <c r="E24" s="13" t="s">
        <v>107</v>
      </c>
      <c r="F24" s="10">
        <v>17.169</v>
      </c>
      <c r="G24" s="63" t="s">
        <v>107</v>
      </c>
      <c r="H24" s="13" t="s">
        <v>107</v>
      </c>
      <c r="I24" s="13" t="s">
        <v>107</v>
      </c>
      <c r="J24" s="13" t="s">
        <v>107</v>
      </c>
      <c r="K24" s="10">
        <v>17.169</v>
      </c>
      <c r="L24" s="1"/>
      <c r="M24" s="1"/>
      <c r="N24" s="1" t="s">
        <v>259</v>
      </c>
    </row>
    <row r="25">
      <c r="A25" s="12" t="s">
        <v>228</v>
      </c>
      <c r="B25" s="63" t="s">
        <v>107</v>
      </c>
      <c r="C25" s="13" t="s">
        <v>107</v>
      </c>
      <c r="D25" s="67">
        <v>-89</v>
      </c>
      <c r="E25" s="13" t="s">
        <v>107</v>
      </c>
      <c r="F25" s="10">
        <v>-2.95</v>
      </c>
      <c r="G25" s="63" t="s">
        <v>107</v>
      </c>
      <c r="H25" s="13" t="s">
        <v>107</v>
      </c>
      <c r="I25" s="13" t="s">
        <v>107</v>
      </c>
      <c r="J25" s="13" t="s">
        <v>107</v>
      </c>
      <c r="K25" s="10">
        <v>-2.95</v>
      </c>
      <c r="L25" s="1"/>
      <c r="M25" s="1"/>
      <c r="N25" s="1" t="s">
        <v>259</v>
      </c>
    </row>
    <row r="26">
      <c r="A26" s="12" t="s">
        <v>265</v>
      </c>
      <c r="B26" s="63" t="s">
        <v>107</v>
      </c>
      <c r="C26" s="13" t="s">
        <v>107</v>
      </c>
      <c r="D26" s="63" t="s">
        <v>107</v>
      </c>
      <c r="E26" s="13" t="s">
        <v>107</v>
      </c>
      <c r="F26" s="10">
        <v>3.449</v>
      </c>
      <c r="G26" s="63" t="s">
        <v>107</v>
      </c>
      <c r="H26" s="13" t="s">
        <v>107</v>
      </c>
      <c r="I26" s="13" t="s">
        <v>107</v>
      </c>
      <c r="J26" s="13" t="s">
        <v>107</v>
      </c>
      <c r="K26" s="10">
        <v>3.449</v>
      </c>
      <c r="L26" s="1"/>
      <c r="M26" s="1"/>
      <c r="N26" s="1" t="s">
        <v>259</v>
      </c>
    </row>
    <row r="27">
      <c r="A27" s="12" t="s">
        <v>266</v>
      </c>
      <c r="B27" s="63" t="s">
        <v>107</v>
      </c>
      <c r="C27" s="13" t="s">
        <v>107</v>
      </c>
      <c r="D27" s="63" t="s">
        <v>107</v>
      </c>
      <c r="E27" s="13" t="s">
        <v>107</v>
      </c>
      <c r="F27" s="10">
        <v>48.857</v>
      </c>
      <c r="G27" s="63" t="s">
        <v>107</v>
      </c>
      <c r="H27" s="13" t="s">
        <v>107</v>
      </c>
      <c r="I27" s="13" t="s">
        <v>107</v>
      </c>
      <c r="J27" s="13" t="s">
        <v>107</v>
      </c>
      <c r="K27" s="10">
        <v>48.857</v>
      </c>
      <c r="L27" s="1"/>
      <c r="M27" s="1"/>
      <c r="N27" s="1" t="s">
        <v>259</v>
      </c>
    </row>
    <row r="28">
      <c r="A28" s="12" t="s">
        <v>267</v>
      </c>
      <c r="B28" s="63" t="s">
        <v>107</v>
      </c>
      <c r="C28" s="13" t="s">
        <v>107</v>
      </c>
      <c r="D28" s="63" t="s">
        <v>107</v>
      </c>
      <c r="E28" s="13" t="s">
        <v>107</v>
      </c>
      <c r="F28" s="10">
        <v>1.038</v>
      </c>
      <c r="G28" s="63" t="s">
        <v>107</v>
      </c>
      <c r="H28" s="13" t="s">
        <v>107</v>
      </c>
      <c r="I28" s="13" t="s">
        <v>107</v>
      </c>
      <c r="J28" s="13" t="s">
        <v>107</v>
      </c>
      <c r="K28" s="10">
        <v>1.038</v>
      </c>
      <c r="L28" s="1"/>
      <c r="M28" s="1"/>
      <c r="N28" s="1" t="s">
        <v>259</v>
      </c>
    </row>
    <row r="29">
      <c r="A29" s="12" t="s">
        <v>268</v>
      </c>
      <c r="B29" s="63" t="s">
        <v>107</v>
      </c>
      <c r="C29" s="13" t="s">
        <v>107</v>
      </c>
      <c r="D29" s="63" t="s">
        <v>107</v>
      </c>
      <c r="E29" s="13" t="s">
        <v>107</v>
      </c>
      <c r="F29" s="13" t="s">
        <v>107</v>
      </c>
      <c r="G29" s="63" t="s">
        <v>107</v>
      </c>
      <c r="H29" s="13" t="s">
        <v>107</v>
      </c>
      <c r="I29" s="10">
        <v>-0.521</v>
      </c>
      <c r="J29" s="13" t="s">
        <v>107</v>
      </c>
      <c r="K29" s="10">
        <v>-0.521</v>
      </c>
      <c r="L29" s="1"/>
      <c r="M29" s="1"/>
      <c r="N29" s="1" t="s">
        <v>259</v>
      </c>
    </row>
    <row r="30">
      <c r="A30" s="12" t="s">
        <v>269</v>
      </c>
      <c r="B30" s="63" t="s">
        <v>107</v>
      </c>
      <c r="C30" s="13" t="s">
        <v>107</v>
      </c>
      <c r="D30" s="63" t="s">
        <v>107</v>
      </c>
      <c r="E30" s="13" t="s">
        <v>107</v>
      </c>
      <c r="F30" s="13" t="s">
        <v>107</v>
      </c>
      <c r="G30" s="63" t="s">
        <v>107</v>
      </c>
      <c r="H30" s="13" t="s">
        <v>107</v>
      </c>
      <c r="I30" s="10">
        <v>1.602</v>
      </c>
      <c r="J30" s="13" t="s">
        <v>107</v>
      </c>
      <c r="K30" s="10">
        <v>1.602</v>
      </c>
      <c r="L30" s="1"/>
      <c r="M30" s="1"/>
      <c r="N30" s="1" t="s">
        <v>259</v>
      </c>
    </row>
    <row r="31">
      <c r="A31" s="12" t="s">
        <v>275</v>
      </c>
      <c r="B31" s="63" t="s">
        <v>107</v>
      </c>
      <c r="C31" s="13" t="s">
        <v>107</v>
      </c>
      <c r="D31" s="63" t="s">
        <v>107</v>
      </c>
      <c r="E31" s="13" t="s">
        <v>107</v>
      </c>
      <c r="F31" s="13" t="s">
        <v>107</v>
      </c>
      <c r="G31" s="63" t="s">
        <v>107</v>
      </c>
      <c r="H31" s="13" t="s">
        <v>107</v>
      </c>
      <c r="I31" s="13" t="s">
        <v>107</v>
      </c>
      <c r="J31" s="10">
        <v>237.827</v>
      </c>
      <c r="K31" s="10">
        <v>237.827</v>
      </c>
      <c r="L31" s="1"/>
      <c r="M31" s="1"/>
      <c r="N31" s="1" t="s">
        <v>259</v>
      </c>
    </row>
    <row r="32">
      <c r="A32" s="4" t="s">
        <v>276</v>
      </c>
      <c r="B32" s="88">
        <v>113259</v>
      </c>
      <c r="C32" s="29">
        <v>1933.348</v>
      </c>
      <c r="D32" s="88">
        <v>57907</v>
      </c>
      <c r="E32" s="29">
        <v>0.001</v>
      </c>
      <c r="F32" s="29">
        <v>346.829</v>
      </c>
      <c r="G32" s="88">
        <v>-890</v>
      </c>
      <c r="H32" s="29">
        <v>-21.456</v>
      </c>
      <c r="I32" s="29">
        <v>1.301</v>
      </c>
      <c r="J32" s="29">
        <v>-905.33</v>
      </c>
      <c r="K32" s="29">
        <v>-578.655</v>
      </c>
      <c r="L32" s="1"/>
      <c r="M32" s="1"/>
      <c r="N32" s="1" t="s">
        <v>259</v>
      </c>
    </row>
    <row r="33">
      <c r="A33" s="1"/>
      <c r="B33" s="1"/>
      <c r="C33" s="1"/>
      <c r="D33" s="1"/>
      <c r="E33" s="1"/>
      <c r="F33" s="1"/>
      <c r="G33" s="1"/>
      <c r="H33" s="1"/>
      <c r="I33" s="1"/>
      <c r="J33" s="1"/>
      <c r="K33" s="1"/>
      <c r="L33" s="1"/>
      <c r="M33" s="1"/>
      <c r="N33" s="1"/>
    </row>
    <row r="34">
      <c r="A34" s="4" t="s">
        <v>277</v>
      </c>
      <c r="B34" s="1"/>
      <c r="C34" s="1"/>
      <c r="D34" s="1"/>
      <c r="E34" s="1"/>
      <c r="F34" s="1"/>
      <c r="G34" s="1"/>
      <c r="H34" s="1"/>
      <c r="I34" s="1"/>
      <c r="J34" s="1"/>
      <c r="K34" s="1"/>
      <c r="L34" s="1"/>
      <c r="M34" s="1"/>
      <c r="N34" s="1"/>
    </row>
    <row r="35">
      <c r="A35" s="4" t="s">
        <v>276</v>
      </c>
      <c r="B35" s="88">
        <v>113259</v>
      </c>
      <c r="C35" s="29">
        <v>1933.348</v>
      </c>
      <c r="D35" s="88">
        <v>57907</v>
      </c>
      <c r="E35" s="29">
        <v>0.001</v>
      </c>
      <c r="F35" s="29">
        <v>346.829</v>
      </c>
      <c r="G35" s="88">
        <v>-890</v>
      </c>
      <c r="H35" s="29">
        <v>-21.456</v>
      </c>
      <c r="I35" s="29">
        <v>1.301</v>
      </c>
      <c r="J35" s="29">
        <v>-905.33</v>
      </c>
      <c r="K35" s="29">
        <v>-578.655</v>
      </c>
      <c r="L35" s="1"/>
      <c r="M35" s="1"/>
      <c r="N35" s="1" t="s">
        <v>278</v>
      </c>
    </row>
    <row r="36">
      <c r="A36" s="12" t="s">
        <v>279</v>
      </c>
      <c r="B36" s="67">
        <v>11394</v>
      </c>
      <c r="C36" s="10">
        <v>1014.031</v>
      </c>
      <c r="D36" s="63" t="s">
        <v>107</v>
      </c>
      <c r="E36" s="13" t="s">
        <v>107</v>
      </c>
      <c r="F36" s="13" t="s">
        <v>107</v>
      </c>
      <c r="G36" s="63" t="s">
        <v>107</v>
      </c>
      <c r="H36" s="13" t="s">
        <v>107</v>
      </c>
      <c r="I36" s="13" t="s">
        <v>107</v>
      </c>
      <c r="J36" s="13" t="s">
        <v>107</v>
      </c>
      <c r="K36" s="13" t="s">
        <v>107</v>
      </c>
      <c r="L36" s="1"/>
      <c r="M36" s="1"/>
      <c r="N36" s="1" t="s">
        <v>278</v>
      </c>
    </row>
    <row r="37">
      <c r="A37" s="12" t="s">
        <v>273</v>
      </c>
      <c r="B37" s="63" t="s">
        <v>107</v>
      </c>
      <c r="C37" s="13" t="s">
        <v>107</v>
      </c>
      <c r="D37" s="63" t="s">
        <v>107</v>
      </c>
      <c r="E37" s="13" t="s">
        <v>107</v>
      </c>
      <c r="F37" s="10">
        <v>365.755</v>
      </c>
      <c r="G37" s="63" t="s">
        <v>107</v>
      </c>
      <c r="H37" s="13" t="s">
        <v>107</v>
      </c>
      <c r="I37" s="13" t="s">
        <v>107</v>
      </c>
      <c r="J37" s="13" t="s">
        <v>107</v>
      </c>
      <c r="K37" s="10">
        <v>365.755</v>
      </c>
      <c r="L37" s="1"/>
      <c r="M37" s="1"/>
      <c r="N37" s="1" t="s">
        <v>278</v>
      </c>
    </row>
    <row r="38">
      <c r="A38" s="12" t="s">
        <v>280</v>
      </c>
      <c r="B38" s="63" t="s">
        <v>107</v>
      </c>
      <c r="C38" s="13" t="s">
        <v>107</v>
      </c>
      <c r="D38" s="67">
        <v>2026</v>
      </c>
      <c r="E38" s="13" t="s">
        <v>107</v>
      </c>
      <c r="F38" s="10">
        <v>15.019</v>
      </c>
      <c r="G38" s="63" t="s">
        <v>107</v>
      </c>
      <c r="H38" s="13" t="s">
        <v>107</v>
      </c>
      <c r="I38" s="13" t="s">
        <v>107</v>
      </c>
      <c r="J38" s="13" t="s">
        <v>107</v>
      </c>
      <c r="K38" s="10">
        <v>15.019</v>
      </c>
      <c r="L38" s="1"/>
      <c r="M38" s="1"/>
      <c r="N38" s="1" t="s">
        <v>278</v>
      </c>
    </row>
    <row r="39">
      <c r="A39" s="12" t="s">
        <v>281</v>
      </c>
      <c r="B39" s="63" t="s">
        <v>107</v>
      </c>
      <c r="C39" s="13" t="s">
        <v>107</v>
      </c>
      <c r="D39" s="67">
        <v>1085</v>
      </c>
      <c r="E39" s="13" t="s">
        <v>107</v>
      </c>
      <c r="F39" s="10">
        <v>5.177</v>
      </c>
      <c r="G39" s="63" t="s">
        <v>107</v>
      </c>
      <c r="H39" s="13" t="s">
        <v>107</v>
      </c>
      <c r="I39" s="13" t="s">
        <v>107</v>
      </c>
      <c r="J39" s="13" t="s">
        <v>107</v>
      </c>
      <c r="K39" s="10">
        <v>5.177</v>
      </c>
      <c r="L39" s="1"/>
      <c r="M39" s="1"/>
      <c r="N39" s="1" t="s">
        <v>278</v>
      </c>
    </row>
    <row r="40">
      <c r="A40" s="12" t="s">
        <v>282</v>
      </c>
      <c r="B40" s="63" t="s">
        <v>107</v>
      </c>
      <c r="C40" s="13" t="s">
        <v>107</v>
      </c>
      <c r="D40" s="63" t="s">
        <v>107</v>
      </c>
      <c r="E40" s="13" t="s">
        <v>107</v>
      </c>
      <c r="F40" s="10">
        <v>-0.623</v>
      </c>
      <c r="G40" s="63" t="s">
        <v>107</v>
      </c>
      <c r="H40" s="13" t="s">
        <v>107</v>
      </c>
      <c r="I40" s="13" t="s">
        <v>107</v>
      </c>
      <c r="J40" s="13" t="s">
        <v>107</v>
      </c>
      <c r="K40" s="10">
        <v>-0.623</v>
      </c>
      <c r="L40" s="1"/>
      <c r="M40" s="1"/>
      <c r="N40" s="1" t="s">
        <v>278</v>
      </c>
    </row>
    <row r="41">
      <c r="A41" s="12" t="s">
        <v>265</v>
      </c>
      <c r="B41" s="63" t="s">
        <v>107</v>
      </c>
      <c r="C41" s="13" t="s">
        <v>107</v>
      </c>
      <c r="D41" s="63" t="s">
        <v>107</v>
      </c>
      <c r="E41" s="13" t="s">
        <v>107</v>
      </c>
      <c r="F41" s="10">
        <v>0.809</v>
      </c>
      <c r="G41" s="63" t="s">
        <v>107</v>
      </c>
      <c r="H41" s="13" t="s">
        <v>107</v>
      </c>
      <c r="I41" s="13" t="s">
        <v>107</v>
      </c>
      <c r="J41" s="13" t="s">
        <v>107</v>
      </c>
      <c r="K41" s="10">
        <v>0.809</v>
      </c>
      <c r="L41" s="1"/>
      <c r="M41" s="1"/>
      <c r="N41" s="1" t="s">
        <v>278</v>
      </c>
    </row>
    <row r="42">
      <c r="A42" s="12" t="s">
        <v>266</v>
      </c>
      <c r="B42" s="63" t="s">
        <v>107</v>
      </c>
      <c r="C42" s="13" t="s">
        <v>107</v>
      </c>
      <c r="D42" s="63" t="s">
        <v>107</v>
      </c>
      <c r="E42" s="13" t="s">
        <v>107</v>
      </c>
      <c r="F42" s="10">
        <v>9.418</v>
      </c>
      <c r="G42" s="63" t="s">
        <v>107</v>
      </c>
      <c r="H42" s="13" t="s">
        <v>107</v>
      </c>
      <c r="I42" s="13" t="s">
        <v>107</v>
      </c>
      <c r="J42" s="13" t="s">
        <v>107</v>
      </c>
      <c r="K42" s="10">
        <v>9.418</v>
      </c>
      <c r="L42" s="1"/>
      <c r="M42" s="1"/>
      <c r="N42" s="1" t="s">
        <v>278</v>
      </c>
    </row>
    <row r="43">
      <c r="A43" s="12" t="s">
        <v>267</v>
      </c>
      <c r="B43" s="63" t="s">
        <v>107</v>
      </c>
      <c r="C43" s="13" t="s">
        <v>107</v>
      </c>
      <c r="D43" s="63" t="s">
        <v>107</v>
      </c>
      <c r="E43" s="13" t="s">
        <v>107</v>
      </c>
      <c r="F43" s="10">
        <v>0.329</v>
      </c>
      <c r="G43" s="63" t="s">
        <v>107</v>
      </c>
      <c r="H43" s="13" t="s">
        <v>107</v>
      </c>
      <c r="I43" s="13" t="s">
        <v>107</v>
      </c>
      <c r="J43" s="13" t="s">
        <v>107</v>
      </c>
      <c r="K43" s="10">
        <v>0.329</v>
      </c>
      <c r="L43" s="1"/>
      <c r="M43" s="1"/>
      <c r="N43" s="1" t="s">
        <v>278</v>
      </c>
    </row>
    <row r="44">
      <c r="A44" s="12" t="s">
        <v>283</v>
      </c>
      <c r="B44" s="63" t="s">
        <v>107</v>
      </c>
      <c r="C44" s="13" t="s">
        <v>107</v>
      </c>
      <c r="D44" s="63" t="s">
        <v>107</v>
      </c>
      <c r="E44" s="13" t="s">
        <v>107</v>
      </c>
      <c r="F44" s="13" t="s">
        <v>107</v>
      </c>
      <c r="G44" s="63" t="s">
        <v>107</v>
      </c>
      <c r="H44" s="13" t="s">
        <v>107</v>
      </c>
      <c r="I44" s="10">
        <v>2.095</v>
      </c>
      <c r="J44" s="13" t="s">
        <v>107</v>
      </c>
      <c r="K44" s="10">
        <v>2.095</v>
      </c>
      <c r="L44" s="1"/>
      <c r="M44" s="1"/>
      <c r="N44" s="1" t="s">
        <v>278</v>
      </c>
    </row>
    <row r="45">
      <c r="A45" s="12" t="s">
        <v>270</v>
      </c>
      <c r="B45" s="63" t="s">
        <v>107</v>
      </c>
      <c r="C45" s="13" t="s">
        <v>107</v>
      </c>
      <c r="D45" s="63" t="s">
        <v>107</v>
      </c>
      <c r="E45" s="13" t="s">
        <v>107</v>
      </c>
      <c r="F45" s="13" t="s">
        <v>107</v>
      </c>
      <c r="G45" s="63" t="s">
        <v>107</v>
      </c>
      <c r="H45" s="13" t="s">
        <v>107</v>
      </c>
      <c r="I45" s="13" t="s">
        <v>107</v>
      </c>
      <c r="J45" s="10">
        <v>-14.006</v>
      </c>
      <c r="K45" s="10">
        <v>-14.006</v>
      </c>
      <c r="L45" s="1"/>
      <c r="M45" s="1"/>
      <c r="N45" s="1" t="s">
        <v>278</v>
      </c>
    </row>
    <row r="46">
      <c r="A46" s="4" t="s">
        <v>284</v>
      </c>
      <c r="B46" s="88">
        <v>124653</v>
      </c>
      <c r="C46" s="29">
        <v>2947.379</v>
      </c>
      <c r="D46" s="88">
        <v>61018</v>
      </c>
      <c r="E46" s="29">
        <v>0.001</v>
      </c>
      <c r="F46" s="29">
        <v>742.713</v>
      </c>
      <c r="G46" s="88">
        <v>-890</v>
      </c>
      <c r="H46" s="29">
        <v>-21.456</v>
      </c>
      <c r="I46" s="29">
        <v>3.396</v>
      </c>
      <c r="J46" s="29">
        <v>-919.336</v>
      </c>
      <c r="K46" s="29">
        <v>-194.682</v>
      </c>
      <c r="L46" s="1"/>
      <c r="M46" s="1"/>
      <c r="N46" s="1" t="s">
        <v>278</v>
      </c>
    </row>
    <row r="47">
      <c r="A47" s="12" t="s">
        <v>285</v>
      </c>
      <c r="B47" s="63" t="s">
        <v>107</v>
      </c>
      <c r="C47" s="13" t="s">
        <v>107</v>
      </c>
      <c r="D47" s="67">
        <v>34500</v>
      </c>
      <c r="E47" s="13" t="s">
        <v>107</v>
      </c>
      <c r="F47" s="10">
        <v>6217.099</v>
      </c>
      <c r="G47" s="63" t="s">
        <v>107</v>
      </c>
      <c r="H47" s="13" t="s">
        <v>107</v>
      </c>
      <c r="I47" s="13" t="s">
        <v>107</v>
      </c>
      <c r="J47" s="13" t="s">
        <v>107</v>
      </c>
      <c r="K47" s="10">
        <v>6217.099</v>
      </c>
      <c r="L47" s="1"/>
      <c r="M47" s="1"/>
      <c r="N47" s="1" t="s">
        <v>278</v>
      </c>
    </row>
    <row r="48">
      <c r="A48" s="12" t="s">
        <v>286</v>
      </c>
      <c r="B48" s="67">
        <v>-124653</v>
      </c>
      <c r="C48" s="10">
        <v>-2947.379</v>
      </c>
      <c r="D48" s="67">
        <v>124653</v>
      </c>
      <c r="E48" s="10">
        <v>0.001</v>
      </c>
      <c r="F48" s="10">
        <v>2947.378</v>
      </c>
      <c r="G48" s="63" t="s">
        <v>107</v>
      </c>
      <c r="H48" s="13" t="s">
        <v>107</v>
      </c>
      <c r="I48" s="13" t="s">
        <v>107</v>
      </c>
      <c r="J48" s="13" t="s">
        <v>107</v>
      </c>
      <c r="K48" s="10">
        <v>2947.379</v>
      </c>
      <c r="L48" s="1"/>
      <c r="M48" s="1"/>
      <c r="N48" s="1" t="s">
        <v>278</v>
      </c>
    </row>
    <row r="49">
      <c r="A49" s="12" t="s">
        <v>273</v>
      </c>
      <c r="B49" s="63" t="s">
        <v>107</v>
      </c>
      <c r="C49" s="13" t="s">
        <v>107</v>
      </c>
      <c r="D49" s="63" t="s">
        <v>107</v>
      </c>
      <c r="E49" s="13" t="s">
        <v>107</v>
      </c>
      <c r="F49" s="10">
        <v>656.604</v>
      </c>
      <c r="G49" s="63" t="s">
        <v>107</v>
      </c>
      <c r="H49" s="13" t="s">
        <v>107</v>
      </c>
      <c r="I49" s="13" t="s">
        <v>107</v>
      </c>
      <c r="J49" s="13" t="s">
        <v>107</v>
      </c>
      <c r="K49" s="10">
        <v>656.604</v>
      </c>
      <c r="L49" s="1"/>
      <c r="M49" s="1"/>
      <c r="N49" s="1" t="s">
        <v>278</v>
      </c>
    </row>
    <row r="50">
      <c r="A50" s="12" t="s">
        <v>280</v>
      </c>
      <c r="B50" s="63" t="s">
        <v>107</v>
      </c>
      <c r="C50" s="13" t="s">
        <v>107</v>
      </c>
      <c r="D50" s="67">
        <v>1656</v>
      </c>
      <c r="E50" s="13" t="s">
        <v>107</v>
      </c>
      <c r="F50" s="10">
        <v>0.017</v>
      </c>
      <c r="G50" s="63" t="s">
        <v>107</v>
      </c>
      <c r="H50" s="13" t="s">
        <v>107</v>
      </c>
      <c r="I50" s="13" t="s">
        <v>107</v>
      </c>
      <c r="J50" s="13" t="s">
        <v>107</v>
      </c>
      <c r="K50" s="10">
        <v>0.017</v>
      </c>
      <c r="L50" s="1"/>
      <c r="M50" s="1"/>
      <c r="N50" s="1" t="s">
        <v>278</v>
      </c>
    </row>
    <row r="51">
      <c r="A51" s="12" t="s">
        <v>287</v>
      </c>
      <c r="B51" s="63" t="s">
        <v>107</v>
      </c>
      <c r="C51" s="13" t="s">
        <v>107</v>
      </c>
      <c r="D51" s="67">
        <v>5301</v>
      </c>
      <c r="E51" s="13" t="s">
        <v>107</v>
      </c>
      <c r="F51" s="13" t="s">
        <v>107</v>
      </c>
      <c r="G51" s="63" t="s">
        <v>107</v>
      </c>
      <c r="H51" s="13" t="s">
        <v>107</v>
      </c>
      <c r="I51" s="13" t="s">
        <v>107</v>
      </c>
      <c r="J51" s="13" t="s">
        <v>107</v>
      </c>
      <c r="K51" s="13" t="s">
        <v>107</v>
      </c>
      <c r="L51" s="1"/>
      <c r="M51" s="1"/>
      <c r="N51" s="1" t="s">
        <v>278</v>
      </c>
    </row>
    <row r="52">
      <c r="A52" s="12" t="s">
        <v>281</v>
      </c>
      <c r="B52" s="63" t="s">
        <v>107</v>
      </c>
      <c r="C52" s="13" t="s">
        <v>107</v>
      </c>
      <c r="D52" s="67">
        <v>3326</v>
      </c>
      <c r="E52" s="13" t="s">
        <v>107</v>
      </c>
      <c r="F52" s="10">
        <v>14.958</v>
      </c>
      <c r="G52" s="63" t="s">
        <v>107</v>
      </c>
      <c r="H52" s="13" t="s">
        <v>107</v>
      </c>
      <c r="I52" s="13" t="s">
        <v>107</v>
      </c>
      <c r="J52" s="13" t="s">
        <v>107</v>
      </c>
      <c r="K52" s="10">
        <v>14.958</v>
      </c>
      <c r="L52" s="1"/>
      <c r="M52" s="1"/>
      <c r="N52" s="1" t="s">
        <v>278</v>
      </c>
    </row>
    <row r="53">
      <c r="A53" s="12" t="s">
        <v>288</v>
      </c>
      <c r="B53" s="63" t="s">
        <v>107</v>
      </c>
      <c r="C53" s="13" t="s">
        <v>107</v>
      </c>
      <c r="D53" s="67">
        <v>-2250</v>
      </c>
      <c r="E53" s="13" t="s">
        <v>107</v>
      </c>
      <c r="F53" s="10">
        <v>-416.037</v>
      </c>
      <c r="G53" s="63" t="s">
        <v>107</v>
      </c>
      <c r="H53" s="13" t="s">
        <v>107</v>
      </c>
      <c r="I53" s="13" t="s">
        <v>107</v>
      </c>
      <c r="J53" s="13" t="s">
        <v>107</v>
      </c>
      <c r="K53" s="10">
        <v>-416.037</v>
      </c>
      <c r="L53" s="1"/>
      <c r="M53" s="1"/>
      <c r="N53" s="1" t="s">
        <v>278</v>
      </c>
    </row>
    <row r="54">
      <c r="A54" s="12" t="s">
        <v>265</v>
      </c>
      <c r="B54" s="63" t="s">
        <v>107</v>
      </c>
      <c r="C54" s="13" t="s">
        <v>107</v>
      </c>
      <c r="D54" s="63" t="s">
        <v>107</v>
      </c>
      <c r="E54" s="13" t="s">
        <v>107</v>
      </c>
      <c r="F54" s="10">
        <v>0.627</v>
      </c>
      <c r="G54" s="63" t="s">
        <v>107</v>
      </c>
      <c r="H54" s="13" t="s">
        <v>107</v>
      </c>
      <c r="I54" s="13" t="s">
        <v>107</v>
      </c>
      <c r="J54" s="13" t="s">
        <v>107</v>
      </c>
      <c r="K54" s="10">
        <v>0.627</v>
      </c>
      <c r="L54" s="1"/>
      <c r="M54" s="1"/>
      <c r="N54" s="1" t="s">
        <v>278</v>
      </c>
    </row>
    <row r="55">
      <c r="A55" s="12" t="s">
        <v>266</v>
      </c>
      <c r="B55" s="63" t="s">
        <v>107</v>
      </c>
      <c r="C55" s="13" t="s">
        <v>107</v>
      </c>
      <c r="D55" s="63" t="s">
        <v>107</v>
      </c>
      <c r="E55" s="13" t="s">
        <v>107</v>
      </c>
      <c r="F55" s="10">
        <v>376.834</v>
      </c>
      <c r="G55" s="63" t="s">
        <v>107</v>
      </c>
      <c r="H55" s="13" t="s">
        <v>107</v>
      </c>
      <c r="I55" s="13" t="s">
        <v>107</v>
      </c>
      <c r="J55" s="13" t="s">
        <v>107</v>
      </c>
      <c r="K55" s="10">
        <v>376.834</v>
      </c>
      <c r="L55" s="1"/>
      <c r="M55" s="1"/>
      <c r="N55" s="1" t="s">
        <v>278</v>
      </c>
    </row>
    <row r="56">
      <c r="A56" s="12" t="s">
        <v>283</v>
      </c>
      <c r="B56" s="63" t="s">
        <v>107</v>
      </c>
      <c r="C56" s="13" t="s">
        <v>107</v>
      </c>
      <c r="D56" s="63" t="s">
        <v>107</v>
      </c>
      <c r="E56" s="13" t="s">
        <v>107</v>
      </c>
      <c r="F56" s="13" t="s">
        <v>107</v>
      </c>
      <c r="G56" s="63" t="s">
        <v>107</v>
      </c>
      <c r="H56" s="13" t="s">
        <v>107</v>
      </c>
      <c r="I56" s="10">
        <v>2.371</v>
      </c>
      <c r="J56" s="13" t="s">
        <v>107</v>
      </c>
      <c r="K56" s="10">
        <v>2.371</v>
      </c>
      <c r="L56" s="1"/>
      <c r="M56" s="1"/>
      <c r="N56" s="1" t="s">
        <v>278</v>
      </c>
    </row>
    <row r="57">
      <c r="A57" s="12" t="s">
        <v>270</v>
      </c>
      <c r="B57" s="63" t="s">
        <v>107</v>
      </c>
      <c r="C57" s="13" t="s">
        <v>107</v>
      </c>
      <c r="D57" s="63" t="s">
        <v>107</v>
      </c>
      <c r="E57" s="13" t="s">
        <v>107</v>
      </c>
      <c r="F57" s="13" t="s">
        <v>107</v>
      </c>
      <c r="G57" s="63" t="s">
        <v>107</v>
      </c>
      <c r="H57" s="13" t="s">
        <v>107</v>
      </c>
      <c r="I57" s="13" t="s">
        <v>107</v>
      </c>
      <c r="J57" s="10">
        <v>-450.528</v>
      </c>
      <c r="K57" s="10">
        <v>-450.528</v>
      </c>
      <c r="L57" s="1"/>
      <c r="M57" s="1"/>
      <c r="N57" s="1" t="s">
        <v>278</v>
      </c>
    </row>
    <row r="58">
      <c r="A58" s="4" t="s">
        <v>289</v>
      </c>
      <c r="B58" s="112" t="s">
        <v>107</v>
      </c>
      <c r="C58" s="51" t="s">
        <v>107</v>
      </c>
      <c r="D58" s="88">
        <v>228204</v>
      </c>
      <c r="E58" s="29">
        <v>0.002</v>
      </c>
      <c r="F58" s="29">
        <v>10540.193</v>
      </c>
      <c r="G58" s="88">
        <v>-890</v>
      </c>
      <c r="H58" s="29">
        <v>-21.456</v>
      </c>
      <c r="I58" s="29">
        <v>5.767</v>
      </c>
      <c r="J58" s="29">
        <v>-1369.864</v>
      </c>
      <c r="K58" s="29">
        <v>9154.642</v>
      </c>
      <c r="L58" s="1"/>
      <c r="M58" s="1"/>
      <c r="N58" s="1" t="s">
        <v>278</v>
      </c>
    </row>
    <row r="59">
      <c r="A59" s="1"/>
      <c r="B59" s="1"/>
      <c r="C59" s="1"/>
      <c r="D59" s="1"/>
      <c r="E59" s="1"/>
      <c r="F59" s="1"/>
      <c r="G59" s="1"/>
      <c r="H59" s="1"/>
      <c r="I59" s="1"/>
      <c r="J59" s="1"/>
      <c r="K59" s="1"/>
      <c r="L59" s="1"/>
      <c r="M59" s="1"/>
      <c r="N59" s="1"/>
    </row>
    <row r="60">
      <c r="A60" s="4" t="s">
        <v>127</v>
      </c>
      <c r="B60" s="1"/>
      <c r="C60" s="1"/>
      <c r="D60" s="1"/>
      <c r="E60" s="1"/>
      <c r="F60" s="1"/>
      <c r="G60" s="1"/>
      <c r="H60" s="1"/>
      <c r="I60" s="1"/>
      <c r="J60" s="1"/>
      <c r="K60" s="1"/>
      <c r="L60" s="1"/>
      <c r="M60" s="1"/>
      <c r="N60" s="1"/>
    </row>
    <row r="61">
      <c r="A61" s="12" t="s">
        <v>290</v>
      </c>
      <c r="B61" s="1"/>
      <c r="C61" s="1"/>
      <c r="D61" s="1"/>
      <c r="E61" s="1"/>
      <c r="F61" s="1"/>
      <c r="G61" s="1"/>
      <c r="H61" s="1"/>
      <c r="I61" s="1"/>
      <c r="J61" s="1"/>
      <c r="K61" s="14">
        <f>SUM(E19,F19,H19,I19,J19)-K19</f>
        <v>0</v>
      </c>
      <c r="L61" s="1"/>
      <c r="M61" s="1"/>
      <c r="N61" s="1"/>
    </row>
    <row r="62">
      <c r="A62" s="12" t="s">
        <v>291</v>
      </c>
      <c r="B62" s="1"/>
      <c r="C62" s="1"/>
      <c r="D62" s="1"/>
      <c r="E62" s="1"/>
      <c r="F62" s="1"/>
      <c r="G62" s="1"/>
      <c r="H62" s="1"/>
      <c r="I62" s="1"/>
      <c r="J62" s="1"/>
      <c r="K62" s="14">
        <f>K19-BS_Hist!B45</f>
        <v>0</v>
      </c>
      <c r="L62" s="1"/>
      <c r="M62" s="1"/>
      <c r="N62" s="1"/>
    </row>
    <row r="63">
      <c r="A63" s="12" t="s">
        <v>292</v>
      </c>
      <c r="B63" s="1"/>
      <c r="C63" s="14">
        <f>N(C19)-N(BS_Hist!B35)</f>
        <v>0</v>
      </c>
      <c r="D63" s="1"/>
      <c r="E63" s="1"/>
      <c r="F63" s="1"/>
      <c r="G63" s="1"/>
      <c r="H63" s="1"/>
      <c r="I63" s="1"/>
      <c r="J63" s="1"/>
      <c r="K63" s="1"/>
      <c r="L63" s="1"/>
      <c r="M63" s="1"/>
      <c r="N63" s="1"/>
    </row>
    <row r="64">
      <c r="A64" s="12" t="s">
        <v>293</v>
      </c>
      <c r="B64" s="1"/>
      <c r="C64" s="1"/>
      <c r="D64" s="1"/>
      <c r="E64" s="1"/>
      <c r="F64" s="1"/>
      <c r="G64" s="1"/>
      <c r="H64" s="1"/>
      <c r="I64" s="1"/>
      <c r="J64" s="1"/>
      <c r="K64" s="14">
        <f>SUM(E32,F32,H32,I32,J32)-K32</f>
        <v>0</v>
      </c>
      <c r="L64" s="1"/>
      <c r="M64" s="1"/>
      <c r="N64" s="1"/>
    </row>
    <row r="65">
      <c r="A65" s="12" t="s">
        <v>294</v>
      </c>
      <c r="B65" s="1"/>
      <c r="C65" s="1"/>
      <c r="D65" s="1"/>
      <c r="E65" s="1"/>
      <c r="F65" s="1"/>
      <c r="G65" s="1"/>
      <c r="H65" s="1"/>
      <c r="I65" s="1"/>
      <c r="J65" s="1"/>
      <c r="K65" s="14">
        <f>K32-BS_Hist!C45</f>
        <v>0</v>
      </c>
      <c r="L65" s="1"/>
      <c r="M65" s="1"/>
      <c r="N65" s="1"/>
    </row>
    <row r="66">
      <c r="A66" s="12" t="s">
        <v>295</v>
      </c>
      <c r="B66" s="1"/>
      <c r="C66" s="14">
        <f>N(C32)-N(BS_Hist!C35)</f>
        <v>0</v>
      </c>
      <c r="D66" s="1"/>
      <c r="E66" s="1"/>
      <c r="F66" s="1"/>
      <c r="G66" s="1"/>
      <c r="H66" s="1"/>
      <c r="I66" s="1"/>
      <c r="J66" s="1"/>
      <c r="K66" s="1"/>
      <c r="L66" s="1"/>
      <c r="M66" s="1"/>
      <c r="N66" s="1"/>
    </row>
    <row r="67">
      <c r="A67" s="12" t="s">
        <v>296</v>
      </c>
      <c r="B67" s="1"/>
      <c r="C67" s="1"/>
      <c r="D67" s="1"/>
      <c r="E67" s="1"/>
      <c r="F67" s="1"/>
      <c r="G67" s="1"/>
      <c r="H67" s="1"/>
      <c r="I67" s="1"/>
      <c r="J67" s="1"/>
      <c r="K67" s="14">
        <f>SUM(E46,F46,H46,I46,J46)-K46</f>
        <v>0</v>
      </c>
      <c r="L67" s="1"/>
      <c r="M67" s="1"/>
      <c r="N67" s="1"/>
    </row>
    <row r="68">
      <c r="A68" s="12" t="s">
        <v>297</v>
      </c>
      <c r="B68" s="1"/>
      <c r="C68" s="1"/>
      <c r="D68" s="1"/>
      <c r="E68" s="1"/>
      <c r="F68" s="1"/>
      <c r="G68" s="1"/>
      <c r="H68" s="1"/>
      <c r="I68" s="1"/>
      <c r="J68" s="1"/>
      <c r="K68" s="14">
        <f>K46-BS_Hist!E45</f>
        <v>0</v>
      </c>
      <c r="L68" s="1"/>
      <c r="M68" s="1"/>
      <c r="N68" s="1"/>
    </row>
    <row r="69">
      <c r="A69" s="12" t="s">
        <v>298</v>
      </c>
      <c r="B69" s="1"/>
      <c r="C69" s="14">
        <f>N(C46)-N(BS_Hist!E35)</f>
        <v>0</v>
      </c>
      <c r="D69" s="1"/>
      <c r="E69" s="1"/>
      <c r="F69" s="1"/>
      <c r="G69" s="1"/>
      <c r="H69" s="1"/>
      <c r="I69" s="1"/>
      <c r="J69" s="1"/>
      <c r="K69" s="1"/>
      <c r="L69" s="1"/>
      <c r="M69" s="1"/>
      <c r="N69" s="1"/>
    </row>
    <row r="70">
      <c r="A70" s="12" t="s">
        <v>299</v>
      </c>
      <c r="B70" s="1"/>
      <c r="C70" s="1"/>
      <c r="D70" s="1"/>
      <c r="E70" s="1"/>
      <c r="F70" s="1"/>
      <c r="G70" s="1"/>
      <c r="H70" s="1"/>
      <c r="I70" s="1"/>
      <c r="J70" s="1"/>
      <c r="K70" s="14">
        <f>SUM(E58,F58,H58,I58,J58)-K58</f>
        <v>0</v>
      </c>
      <c r="L70" s="1"/>
      <c r="M70" s="1"/>
      <c r="N70" s="1"/>
    </row>
    <row r="71">
      <c r="A71" s="12" t="s">
        <v>300</v>
      </c>
      <c r="B71" s="1"/>
      <c r="C71" s="1"/>
      <c r="D71" s="1"/>
      <c r="E71" s="1"/>
      <c r="F71" s="1"/>
      <c r="G71" s="1"/>
      <c r="H71" s="1"/>
      <c r="I71" s="1"/>
      <c r="J71" s="1"/>
      <c r="K71" s="14">
        <f>K58-BS_Hist!F45</f>
        <v>0</v>
      </c>
      <c r="L71" s="1"/>
      <c r="M71" s="1"/>
      <c r="N71" s="1"/>
    </row>
    <row r="72">
      <c r="A72" s="12" t="s">
        <v>301</v>
      </c>
      <c r="B72" s="1"/>
      <c r="C72" s="14">
        <f>N(C58)-N(BS_Hist!F35)</f>
        <v>0</v>
      </c>
      <c r="D72" s="1"/>
      <c r="E72" s="1"/>
      <c r="F72" s="1"/>
      <c r="G72" s="1"/>
      <c r="H72" s="1"/>
      <c r="I72" s="1"/>
      <c r="J72" s="1"/>
      <c r="K72" s="1"/>
      <c r="L72" s="1"/>
      <c r="M72" s="1"/>
      <c r="N72" s="1"/>
    </row>
    <row r="73">
      <c r="A73" s="12" t="s">
        <v>302</v>
      </c>
      <c r="B73" s="1"/>
      <c r="C73" s="1"/>
      <c r="D73" s="1"/>
      <c r="E73" s="1"/>
      <c r="F73" s="1"/>
      <c r="G73" s="1"/>
      <c r="H73" s="1"/>
      <c r="I73" s="1"/>
      <c r="J73" s="1"/>
      <c r="K73" s="14">
        <f>K35-K32</f>
        <v>0</v>
      </c>
      <c r="L73" s="1"/>
      <c r="M73" s="1"/>
      <c r="N73" s="1"/>
    </row>
  </sheetData>
</worksheet>
</file>

<file path=xl/worksheets/sheet7.xml><?xml version="1.0" encoding="utf-8"?>
<worksheet xmlns="http://schemas.openxmlformats.org/spreadsheetml/2006/main" xmlns:r="http://schemas.openxmlformats.org/officeDocument/2006/relationships">
  <sheetPr>
    <tabColor rgb="FF6A7689"/>
  </sheetPr>
  <dimension ref="A1:N89"/>
  <sheetViews>
    <sheetView showGridLines="0" workbookViewId="0"/>
  </sheetViews>
  <sheetFormatPr defaultColWidth="8.375" defaultRowHeight="15"/>
  <cols>
    <col min="1" max="1" width="77.70703125" customWidth="1"/>
    <col min="2" max="11" width="11.70703125" customWidth="1"/>
    <col min="12" max="13" width="17.70703125" customWidth="1"/>
    <col min="14" max="14" width="86.0390625" customWidth="1"/>
  </cols>
  <sheetData>
    <row r="1">
      <c r="A1" s="21" t="s">
        <v>303</v>
      </c>
      <c r="B1" s="1"/>
      <c r="C1" s="1"/>
      <c r="D1" s="1"/>
      <c r="E1" s="1"/>
      <c r="F1" s="1"/>
      <c r="G1" s="1"/>
      <c r="H1" s="1"/>
      <c r="I1" s="1"/>
      <c r="J1" s="1"/>
      <c r="K1" s="1"/>
      <c r="L1" s="1"/>
      <c r="M1" s="1"/>
      <c r="N1" s="1"/>
    </row>
    <row r="2">
      <c r="A2" s="1" t="s">
        <v>304</v>
      </c>
      <c r="B2" s="1"/>
      <c r="C2" s="1"/>
      <c r="D2" s="1"/>
      <c r="E2" s="1"/>
      <c r="F2" s="1"/>
      <c r="G2" s="1"/>
      <c r="H2" s="1"/>
      <c r="I2" s="1"/>
      <c r="J2" s="1"/>
      <c r="K2" s="1"/>
      <c r="L2" s="1"/>
      <c r="M2" s="1"/>
      <c r="N2" s="1"/>
    </row>
    <row r="3">
      <c r="A3" s="1"/>
      <c r="B3" s="1"/>
      <c r="C3" s="1"/>
      <c r="D3" s="1"/>
      <c r="E3" s="1"/>
      <c r="F3" s="1"/>
      <c r="G3" s="1"/>
      <c r="H3" s="1"/>
      <c r="I3" s="1"/>
      <c r="J3" s="1"/>
      <c r="K3" s="1"/>
      <c r="L3" s="1"/>
      <c r="M3" s="1"/>
      <c r="N3" s="1"/>
    </row>
    <row r="4">
      <c r="A4" s="3" t="s">
        <v>305</v>
      </c>
      <c r="B4" s="24" t="s">
        <v>306</v>
      </c>
      <c r="C4" s="24" t="s">
        <v>307</v>
      </c>
      <c r="D4" s="24" t="s">
        <v>308</v>
      </c>
      <c r="E4" s="24" t="s">
        <v>309</v>
      </c>
      <c r="F4" s="24" t="s">
        <v>310</v>
      </c>
      <c r="G4" s="24" t="s">
        <v>311</v>
      </c>
      <c r="H4" s="24" t="s">
        <v>312</v>
      </c>
      <c r="I4" s="24" t="s">
        <v>313</v>
      </c>
      <c r="J4" s="24" t="s">
        <v>314</v>
      </c>
      <c r="K4" s="24" t="s">
        <v>315</v>
      </c>
      <c r="L4" s="33" t="s">
        <v>316</v>
      </c>
      <c r="M4" s="6" t="s">
        <v>86</v>
      </c>
      <c r="N4" s="6" t="s">
        <v>87</v>
      </c>
    </row>
    <row r="5">
      <c r="A5" s="1"/>
      <c r="B5" s="1"/>
      <c r="C5" s="1"/>
      <c r="D5" s="1"/>
      <c r="E5" s="1"/>
      <c r="F5" s="1"/>
      <c r="G5" s="1"/>
      <c r="H5" s="1"/>
      <c r="I5" s="1"/>
      <c r="J5" s="1"/>
      <c r="K5" s="1"/>
      <c r="L5" s="1"/>
      <c r="M5" s="1"/>
      <c r="N5" s="1"/>
    </row>
    <row r="6">
      <c r="A6" s="4" t="s">
        <v>88</v>
      </c>
      <c r="B6" s="1"/>
      <c r="C6" s="1"/>
      <c r="D6" s="1"/>
      <c r="E6" s="1"/>
      <c r="F6" s="1"/>
      <c r="G6" s="1"/>
      <c r="H6" s="1"/>
      <c r="I6" s="1"/>
      <c r="J6" s="1"/>
      <c r="K6" s="1"/>
      <c r="L6" s="1"/>
      <c r="M6" s="1"/>
      <c r="N6" s="1"/>
    </row>
    <row r="7">
      <c r="A7" s="12" t="s">
        <v>89</v>
      </c>
      <c r="B7" s="10">
        <v>49.411</v>
      </c>
      <c r="C7" s="10">
        <v>54.858</v>
      </c>
      <c r="D7" s="10">
        <v>50.28</v>
      </c>
      <c r="E7" s="10">
        <v>57.416</v>
      </c>
      <c r="F7" s="10">
        <v>69.674</v>
      </c>
      <c r="G7" s="10">
        <v>70.295</v>
      </c>
      <c r="H7" s="10">
        <v>96.794</v>
      </c>
      <c r="I7" s="10">
        <v>121.677</v>
      </c>
      <c r="J7" s="10">
        <v>110.593</v>
      </c>
      <c r="K7" s="10">
        <v>54.119</v>
      </c>
      <c r="L7" s="13"/>
      <c r="M7" s="1"/>
      <c r="N7" s="1" t="s">
        <v>317</v>
      </c>
    </row>
    <row r="8">
      <c r="A8" s="12" t="s">
        <v>91</v>
      </c>
      <c r="B8" s="10">
        <v>17.22</v>
      </c>
      <c r="C8" s="10">
        <v>14.913</v>
      </c>
      <c r="D8" s="10">
        <v>22.039</v>
      </c>
      <c r="E8" s="10">
        <v>24.115</v>
      </c>
      <c r="F8" s="10">
        <v>29.838</v>
      </c>
      <c r="G8" s="10">
        <v>33.027</v>
      </c>
      <c r="H8" s="10">
        <v>38.92</v>
      </c>
      <c r="I8" s="10">
        <v>49.766</v>
      </c>
      <c r="J8" s="10">
        <v>82.813</v>
      </c>
      <c r="K8" s="10">
        <v>125.991</v>
      </c>
      <c r="L8" s="13"/>
      <c r="M8" s="1"/>
      <c r="N8" s="1" t="s">
        <v>317</v>
      </c>
    </row>
    <row r="9">
      <c r="A9" s="4" t="s">
        <v>92</v>
      </c>
      <c r="B9" s="29">
        <v>66.631</v>
      </c>
      <c r="C9" s="29">
        <v>69.771</v>
      </c>
      <c r="D9" s="29">
        <v>72.319</v>
      </c>
      <c r="E9" s="29">
        <v>81.531</v>
      </c>
      <c r="F9" s="29">
        <v>99.512</v>
      </c>
      <c r="G9" s="29">
        <v>103.322</v>
      </c>
      <c r="H9" s="29">
        <v>135.714</v>
      </c>
      <c r="I9" s="29">
        <v>171.443</v>
      </c>
      <c r="J9" s="29">
        <v>193.406</v>
      </c>
      <c r="K9" s="29">
        <v>180.11</v>
      </c>
      <c r="L9" s="51"/>
      <c r="M9" s="1"/>
      <c r="N9" s="1" t="s">
        <v>317</v>
      </c>
    </row>
    <row r="10">
      <c r="A10" s="1"/>
      <c r="B10" s="1"/>
      <c r="C10" s="1"/>
      <c r="D10" s="1"/>
      <c r="E10" s="1"/>
      <c r="F10" s="1"/>
      <c r="G10" s="1"/>
      <c r="H10" s="1"/>
      <c r="I10" s="1"/>
      <c r="J10" s="1"/>
      <c r="K10" s="1"/>
      <c r="L10" s="1"/>
      <c r="M10" s="1"/>
      <c r="N10" s="1"/>
    </row>
    <row r="11">
      <c r="A11" s="4" t="s">
        <v>93</v>
      </c>
      <c r="B11" s="1"/>
      <c r="C11" s="1"/>
      <c r="D11" s="1"/>
      <c r="E11" s="1"/>
      <c r="F11" s="1"/>
      <c r="G11" s="1"/>
      <c r="H11" s="1"/>
      <c r="I11" s="1"/>
      <c r="J11" s="1"/>
      <c r="K11" s="1"/>
      <c r="L11" s="1"/>
      <c r="M11" s="1"/>
      <c r="N11" s="1"/>
    </row>
    <row r="12">
      <c r="A12" s="12" t="s">
        <v>89</v>
      </c>
      <c r="B12" s="10">
        <v>33.619</v>
      </c>
      <c r="C12" s="10">
        <v>32.823</v>
      </c>
      <c r="D12" s="10">
        <v>34.143</v>
      </c>
      <c r="E12" s="10">
        <v>36.725</v>
      </c>
      <c r="F12" s="10">
        <v>48.41</v>
      </c>
      <c r="G12" s="10">
        <v>46.649</v>
      </c>
      <c r="H12" s="10">
        <v>47.969</v>
      </c>
      <c r="I12" s="10">
        <v>61.718</v>
      </c>
      <c r="J12" s="10">
        <v>64.931</v>
      </c>
      <c r="K12" s="10">
        <v>53.141</v>
      </c>
      <c r="L12" s="13"/>
      <c r="M12" s="1"/>
      <c r="N12" s="1" t="s">
        <v>317</v>
      </c>
    </row>
    <row r="13">
      <c r="A13" s="12" t="s">
        <v>91</v>
      </c>
      <c r="B13" s="10">
        <v>7.873</v>
      </c>
      <c r="C13" s="10">
        <v>6.068</v>
      </c>
      <c r="D13" s="10">
        <v>6.169</v>
      </c>
      <c r="E13" s="10">
        <v>10.094</v>
      </c>
      <c r="F13" s="10">
        <v>9.498</v>
      </c>
      <c r="G13" s="10">
        <v>24.574</v>
      </c>
      <c r="H13" s="10">
        <v>32.61</v>
      </c>
      <c r="I13" s="10">
        <v>39.492</v>
      </c>
      <c r="J13" s="10">
        <v>42.299</v>
      </c>
      <c r="K13" s="10">
        <v>101.41</v>
      </c>
      <c r="L13" s="13"/>
      <c r="M13" s="1"/>
      <c r="N13" s="1" t="s">
        <v>317</v>
      </c>
    </row>
    <row r="14">
      <c r="A14" s="4" t="s">
        <v>94</v>
      </c>
      <c r="B14" s="29">
        <v>41.492</v>
      </c>
      <c r="C14" s="29">
        <v>38.891</v>
      </c>
      <c r="D14" s="29">
        <v>40.312</v>
      </c>
      <c r="E14" s="29">
        <v>46.819</v>
      </c>
      <c r="F14" s="29">
        <v>57.908</v>
      </c>
      <c r="G14" s="29">
        <v>71.223</v>
      </c>
      <c r="H14" s="29">
        <v>80.579</v>
      </c>
      <c r="I14" s="29">
        <v>101.21</v>
      </c>
      <c r="J14" s="29">
        <v>107.23</v>
      </c>
      <c r="K14" s="29">
        <v>154.551</v>
      </c>
      <c r="L14" s="51"/>
      <c r="M14" s="1"/>
      <c r="N14" s="1" t="s">
        <v>317</v>
      </c>
    </row>
    <row r="15">
      <c r="A15" s="4" t="s">
        <v>95</v>
      </c>
      <c r="B15" s="29">
        <v>25.139</v>
      </c>
      <c r="C15" s="29">
        <v>30.88</v>
      </c>
      <c r="D15" s="29">
        <v>32.007</v>
      </c>
      <c r="E15" s="29">
        <v>34.712</v>
      </c>
      <c r="F15" s="29">
        <v>41.604</v>
      </c>
      <c r="G15" s="29">
        <v>32.099</v>
      </c>
      <c r="H15" s="29">
        <v>55.135</v>
      </c>
      <c r="I15" s="29">
        <v>70.233</v>
      </c>
      <c r="J15" s="29">
        <v>86.176</v>
      </c>
      <c r="K15" s="29">
        <v>25.559</v>
      </c>
      <c r="L15" s="51"/>
      <c r="M15" s="1"/>
      <c r="N15" s="1" t="s">
        <v>317</v>
      </c>
    </row>
    <row r="16">
      <c r="A16" s="1"/>
      <c r="B16" s="1"/>
      <c r="C16" s="1"/>
      <c r="D16" s="1"/>
      <c r="E16" s="1"/>
      <c r="F16" s="1"/>
      <c r="G16" s="1"/>
      <c r="H16" s="1"/>
      <c r="I16" s="1"/>
      <c r="J16" s="1"/>
      <c r="K16" s="1"/>
      <c r="L16" s="1"/>
      <c r="M16" s="1"/>
      <c r="N16" s="1"/>
    </row>
    <row r="17">
      <c r="A17" s="4" t="s">
        <v>318</v>
      </c>
      <c r="B17" s="1"/>
      <c r="C17" s="1"/>
      <c r="D17" s="1"/>
      <c r="E17" s="1"/>
      <c r="F17" s="1"/>
      <c r="G17" s="1"/>
      <c r="H17" s="1"/>
      <c r="I17" s="1"/>
      <c r="J17" s="1"/>
      <c r="K17" s="1"/>
      <c r="L17" s="1"/>
      <c r="M17" s="1"/>
      <c r="N17" s="1"/>
    </row>
    <row r="18">
      <c r="A18" s="12" t="s">
        <v>97</v>
      </c>
      <c r="B18" s="13"/>
      <c r="C18" s="13"/>
      <c r="D18" s="13"/>
      <c r="E18" s="13"/>
      <c r="F18" s="10">
        <v>52.751</v>
      </c>
      <c r="G18" s="10">
        <v>60.768</v>
      </c>
      <c r="H18" s="13"/>
      <c r="I18" s="13"/>
      <c r="J18" s="10">
        <v>75.495</v>
      </c>
      <c r="K18" s="10">
        <v>320.151</v>
      </c>
      <c r="L18" s="13"/>
      <c r="M18" s="1"/>
      <c r="N18" s="1" t="s">
        <v>319</v>
      </c>
    </row>
    <row r="19">
      <c r="A19" s="12" t="s">
        <v>98</v>
      </c>
      <c r="B19" s="13"/>
      <c r="C19" s="13"/>
      <c r="D19" s="13"/>
      <c r="E19" s="13"/>
      <c r="F19" s="10">
        <v>10.326</v>
      </c>
      <c r="G19" s="10">
        <v>18.228</v>
      </c>
      <c r="H19" s="13"/>
      <c r="I19" s="13"/>
      <c r="J19" s="10">
        <v>14.701</v>
      </c>
      <c r="K19" s="10">
        <v>86.969</v>
      </c>
      <c r="L19" s="13"/>
      <c r="M19" s="1"/>
      <c r="N19" s="1" t="s">
        <v>319</v>
      </c>
    </row>
    <row r="20">
      <c r="A20" s="12" t="s">
        <v>99</v>
      </c>
      <c r="B20" s="13"/>
      <c r="C20" s="13"/>
      <c r="D20" s="13"/>
      <c r="E20" s="13"/>
      <c r="F20" s="10">
        <v>6.997</v>
      </c>
      <c r="G20" s="10">
        <v>10.285</v>
      </c>
      <c r="H20" s="13"/>
      <c r="I20" s="13"/>
      <c r="J20" s="10">
        <v>11.017</v>
      </c>
      <c r="K20" s="10">
        <v>95.672</v>
      </c>
      <c r="L20" s="13"/>
      <c r="M20" s="1"/>
      <c r="N20" s="1" t="s">
        <v>319</v>
      </c>
    </row>
    <row r="21">
      <c r="A21" s="4" t="s">
        <v>100</v>
      </c>
      <c r="B21" s="29">
        <v>43.19</v>
      </c>
      <c r="C21" s="29">
        <v>54.64</v>
      </c>
      <c r="D21" s="29">
        <v>51.384</v>
      </c>
      <c r="E21" s="29">
        <v>74.962</v>
      </c>
      <c r="F21" s="29">
        <v>70.074</v>
      </c>
      <c r="G21" s="29">
        <v>89.281</v>
      </c>
      <c r="H21" s="29">
        <v>81.604</v>
      </c>
      <c r="I21" s="29">
        <v>103.974</v>
      </c>
      <c r="J21" s="29">
        <v>101.213</v>
      </c>
      <c r="K21" s="29">
        <v>502.792</v>
      </c>
      <c r="L21" s="51"/>
      <c r="M21" s="1"/>
      <c r="N21" s="1" t="s">
        <v>317</v>
      </c>
    </row>
    <row r="22">
      <c r="A22" s="4" t="s">
        <v>101</v>
      </c>
      <c r="B22" s="29">
        <v>-18.051</v>
      </c>
      <c r="C22" s="29">
        <v>-23.76</v>
      </c>
      <c r="D22" s="29">
        <v>-19.377</v>
      </c>
      <c r="E22" s="29">
        <v>-40.25</v>
      </c>
      <c r="F22" s="29">
        <v>-28.47</v>
      </c>
      <c r="G22" s="29">
        <v>-57.182</v>
      </c>
      <c r="H22" s="29">
        <v>-26.469</v>
      </c>
      <c r="I22" s="29">
        <v>-33.741</v>
      </c>
      <c r="J22" s="29">
        <v>-15.037</v>
      </c>
      <c r="K22" s="29">
        <v>-477.233</v>
      </c>
      <c r="L22" s="51"/>
      <c r="M22" s="1"/>
      <c r="N22" s="1" t="s">
        <v>317</v>
      </c>
    </row>
    <row r="23">
      <c r="A23" s="12" t="s">
        <v>320</v>
      </c>
      <c r="B23" s="13"/>
      <c r="C23" s="13"/>
      <c r="D23" s="13"/>
      <c r="E23" s="13"/>
      <c r="F23" s="10">
        <v>6.286</v>
      </c>
      <c r="G23" s="10">
        <v>368.358</v>
      </c>
      <c r="H23" s="13"/>
      <c r="I23" s="13"/>
      <c r="J23" s="10">
        <v>2.528</v>
      </c>
      <c r="K23" s="10">
        <v>26.979</v>
      </c>
      <c r="L23" s="13"/>
      <c r="M23" s="1"/>
      <c r="N23" s="1" t="s">
        <v>319</v>
      </c>
    </row>
    <row r="24">
      <c r="A24" s="12" t="s">
        <v>103</v>
      </c>
      <c r="B24" s="13"/>
      <c r="C24" s="13"/>
      <c r="D24" s="13"/>
      <c r="E24" s="13"/>
      <c r="F24" s="10">
        <v>-22.184</v>
      </c>
      <c r="G24" s="10">
        <v>311.176</v>
      </c>
      <c r="H24" s="13"/>
      <c r="I24" s="13"/>
      <c r="J24" s="10">
        <v>-12.509</v>
      </c>
      <c r="K24" s="10">
        <v>-450.254</v>
      </c>
      <c r="L24" s="13"/>
      <c r="M24" s="1"/>
      <c r="N24" s="1" t="s">
        <v>319</v>
      </c>
    </row>
    <row r="25">
      <c r="A25" s="12" t="s">
        <v>104</v>
      </c>
      <c r="B25" s="13"/>
      <c r="C25" s="13"/>
      <c r="D25" s="13"/>
      <c r="E25" s="13"/>
      <c r="F25" s="10">
        <v>1.683</v>
      </c>
      <c r="G25" s="10">
        <v>1.664</v>
      </c>
      <c r="H25" s="13"/>
      <c r="I25" s="13"/>
      <c r="J25" s="10">
        <v>1.497</v>
      </c>
      <c r="K25" s="10">
        <v>0.274</v>
      </c>
      <c r="L25" s="13"/>
      <c r="M25" s="1"/>
      <c r="N25" s="1" t="s">
        <v>319</v>
      </c>
    </row>
    <row r="26">
      <c r="A26" s="56" t="s">
        <v>105</v>
      </c>
      <c r="B26" s="69">
        <v>-15.75</v>
      </c>
      <c r="C26" s="69">
        <v>-50.855</v>
      </c>
      <c r="D26" s="69">
        <v>-309.341</v>
      </c>
      <c r="E26" s="69">
        <v>-105.656</v>
      </c>
      <c r="F26" s="69">
        <v>-23.867</v>
      </c>
      <c r="G26" s="69">
        <v>309.512</v>
      </c>
      <c r="H26" s="69">
        <v>-22.201</v>
      </c>
      <c r="I26" s="69">
        <v>-25.617</v>
      </c>
      <c r="J26" s="69">
        <v>-14.006</v>
      </c>
      <c r="K26" s="69">
        <v>-450.528</v>
      </c>
      <c r="L26" s="113"/>
      <c r="M26" s="1"/>
      <c r="N26" s="1" t="s">
        <v>317</v>
      </c>
    </row>
    <row r="27">
      <c r="A27" s="1"/>
      <c r="B27" s="1"/>
      <c r="C27" s="1"/>
      <c r="D27" s="1"/>
      <c r="E27" s="1"/>
      <c r="F27" s="1"/>
      <c r="G27" s="1"/>
      <c r="H27" s="1"/>
      <c r="I27" s="1"/>
      <c r="J27" s="1"/>
      <c r="K27" s="1"/>
      <c r="L27" s="1"/>
      <c r="M27" s="1"/>
      <c r="N27" s="1"/>
    </row>
    <row r="28">
      <c r="A28" s="4" t="s">
        <v>321</v>
      </c>
      <c r="B28" s="1"/>
      <c r="C28" s="1"/>
      <c r="D28" s="1"/>
      <c r="E28" s="1"/>
      <c r="F28" s="1"/>
      <c r="G28" s="1"/>
      <c r="H28" s="1"/>
      <c r="I28" s="1"/>
      <c r="J28" s="1"/>
      <c r="K28" s="1"/>
      <c r="L28" s="1"/>
      <c r="M28" s="1"/>
      <c r="N28" s="1"/>
    </row>
    <row r="29">
      <c r="A29" s="12" t="s">
        <v>322</v>
      </c>
      <c r="B29" s="15">
        <v>0.189</v>
      </c>
      <c r="C29" s="15">
        <v>0.231</v>
      </c>
      <c r="D29" s="15">
        <v>0.237</v>
      </c>
      <c r="E29" s="15">
        <v>0.264</v>
      </c>
      <c r="F29" s="15">
        <v>0.326</v>
      </c>
      <c r="G29" s="15">
        <v>0.187</v>
      </c>
      <c r="H29" s="15">
        <v>0.161</v>
      </c>
      <c r="I29" s="15">
        <v>0.153</v>
      </c>
      <c r="J29" s="15">
        <v>0.95</v>
      </c>
      <c r="K29" s="15">
        <v>15.353</v>
      </c>
      <c r="L29" s="5"/>
      <c r="M29" s="1"/>
      <c r="N29" s="1" t="s">
        <v>323</v>
      </c>
    </row>
    <row r="30">
      <c r="A30" s="12" t="s">
        <v>324</v>
      </c>
      <c r="B30" s="15">
        <v>9.237</v>
      </c>
      <c r="C30" s="15">
        <v>22.672</v>
      </c>
      <c r="D30" s="15">
        <v>16.591</v>
      </c>
      <c r="E30" s="15">
        <v>9.143</v>
      </c>
      <c r="F30" s="15">
        <v>8.828</v>
      </c>
      <c r="G30" s="15">
        <v>13.094</v>
      </c>
      <c r="H30" s="15">
        <v>11.185</v>
      </c>
      <c r="I30" s="15">
        <v>15.833</v>
      </c>
      <c r="J30" s="5">
        <f>J31-J29</f>
        <v>8.643</v>
      </c>
      <c r="K30" s="5">
        <f>K31-K29</f>
        <v>361.655</v>
      </c>
      <c r="L30" s="5"/>
      <c r="M30" s="1"/>
      <c r="N30" s="1" t="s">
        <v>325</v>
      </c>
    </row>
    <row r="31">
      <c r="A31" s="4" t="s">
        <v>326</v>
      </c>
      <c r="B31" s="78">
        <v>9.426</v>
      </c>
      <c r="C31" s="78">
        <v>22.903</v>
      </c>
      <c r="D31" s="78">
        <v>16.828</v>
      </c>
      <c r="E31" s="78">
        <v>9.407</v>
      </c>
      <c r="F31" s="78">
        <v>9.154</v>
      </c>
      <c r="G31" s="78">
        <v>13.281</v>
      </c>
      <c r="H31" s="78">
        <v>11.346</v>
      </c>
      <c r="I31" s="78">
        <v>15.986</v>
      </c>
      <c r="J31" s="78">
        <v>9.593</v>
      </c>
      <c r="K31" s="78">
        <v>377.008</v>
      </c>
      <c r="L31" s="22"/>
      <c r="M31" s="1"/>
      <c r="N31" s="1" t="s">
        <v>323</v>
      </c>
    </row>
    <row r="32">
      <c r="A32" s="12" t="s">
        <v>327</v>
      </c>
      <c r="B32" s="5"/>
      <c r="C32" s="5"/>
      <c r="D32" s="5"/>
      <c r="E32" s="5"/>
      <c r="F32" s="15">
        <v>3.911</v>
      </c>
      <c r="G32" s="15">
        <v>5.6</v>
      </c>
      <c r="H32" s="5"/>
      <c r="I32" s="5"/>
      <c r="J32" s="15">
        <v>18.175</v>
      </c>
      <c r="K32" s="15">
        <v>24.377</v>
      </c>
      <c r="L32" s="5"/>
      <c r="M32" s="1"/>
      <c r="N32" s="1" t="s">
        <v>328</v>
      </c>
    </row>
    <row r="33">
      <c r="A33" s="79" t="s">
        <v>329</v>
      </c>
      <c r="B33" s="5"/>
      <c r="C33" s="5"/>
      <c r="D33" s="5"/>
      <c r="E33" s="5"/>
      <c r="F33" s="15">
        <v>1.6</v>
      </c>
      <c r="G33" s="15">
        <v>1.601</v>
      </c>
      <c r="H33" s="5"/>
      <c r="I33" s="5"/>
      <c r="J33" s="15">
        <v>9.871</v>
      </c>
      <c r="K33" s="15">
        <v>18.482</v>
      </c>
      <c r="L33" s="5"/>
      <c r="M33" s="1"/>
      <c r="N33" s="1" t="s">
        <v>328</v>
      </c>
    </row>
    <row r="34">
      <c r="A34" s="1"/>
      <c r="B34" s="1"/>
      <c r="C34" s="1"/>
      <c r="D34" s="1"/>
      <c r="E34" s="1"/>
      <c r="F34" s="1"/>
      <c r="G34" s="1"/>
      <c r="H34" s="1"/>
      <c r="I34" s="1"/>
      <c r="J34" s="1"/>
      <c r="K34" s="1"/>
      <c r="L34" s="1"/>
      <c r="M34" s="1"/>
      <c r="N34" s="1"/>
    </row>
    <row r="35">
      <c r="A35" s="4" t="s">
        <v>330</v>
      </c>
      <c r="B35" s="1"/>
      <c r="C35" s="1"/>
      <c r="D35" s="1"/>
      <c r="E35" s="1"/>
      <c r="F35" s="1"/>
      <c r="G35" s="1"/>
      <c r="H35" s="1"/>
      <c r="I35" s="1"/>
      <c r="J35" s="1"/>
      <c r="K35" s="1"/>
      <c r="L35" s="1"/>
      <c r="M35" s="1"/>
      <c r="N35" s="1"/>
    </row>
    <row r="36">
      <c r="A36" s="12" t="s">
        <v>331</v>
      </c>
      <c r="B36" s="5"/>
      <c r="C36" s="5"/>
      <c r="D36" s="5"/>
      <c r="E36" s="5"/>
      <c r="F36" s="5"/>
      <c r="G36" s="5"/>
      <c r="H36" s="5"/>
      <c r="I36" s="5"/>
      <c r="J36" s="5"/>
      <c r="K36" s="15">
        <v>332.92</v>
      </c>
      <c r="L36" s="5"/>
      <c r="M36" s="1"/>
      <c r="N36" s="1" t="s">
        <v>332</v>
      </c>
    </row>
    <row r="37">
      <c r="A37" s="12" t="s">
        <v>333</v>
      </c>
      <c r="B37" s="5"/>
      <c r="C37" s="5"/>
      <c r="D37" s="5"/>
      <c r="E37" s="5"/>
      <c r="F37" s="5"/>
      <c r="G37" s="5"/>
      <c r="H37" s="5"/>
      <c r="I37" s="5"/>
      <c r="J37" s="5"/>
      <c r="K37" s="15">
        <v>34.223</v>
      </c>
      <c r="L37" s="5"/>
      <c r="M37" s="1"/>
      <c r="N37" s="1" t="s">
        <v>334</v>
      </c>
    </row>
    <row r="38">
      <c r="A38" s="12" t="s">
        <v>335</v>
      </c>
      <c r="B38" s="5"/>
      <c r="C38" s="5"/>
      <c r="D38" s="5"/>
      <c r="E38" s="5"/>
      <c r="F38" s="5"/>
      <c r="G38" s="5"/>
      <c r="H38" s="5"/>
      <c r="I38" s="5"/>
      <c r="J38" s="5"/>
      <c r="K38" s="15">
        <v>370.9</v>
      </c>
      <c r="L38" s="5"/>
      <c r="M38" s="1"/>
      <c r="N38" s="1" t="s">
        <v>336</v>
      </c>
    </row>
    <row r="39">
      <c r="A39" s="56" t="s">
        <v>337</v>
      </c>
      <c r="B39" s="20"/>
      <c r="C39" s="20"/>
      <c r="D39" s="20"/>
      <c r="E39" s="20"/>
      <c r="F39" s="20"/>
      <c r="G39" s="20"/>
      <c r="H39" s="20"/>
      <c r="I39" s="20"/>
      <c r="J39" s="20"/>
      <c r="K39" s="20">
        <f>K31-K38</f>
        <v>6.108000000000004</v>
      </c>
      <c r="L39" s="20"/>
      <c r="M39" s="1"/>
      <c r="N39" s="1" t="s">
        <v>338</v>
      </c>
    </row>
    <row r="40">
      <c r="A40" s="1"/>
      <c r="B40" s="1"/>
      <c r="C40" s="1"/>
      <c r="D40" s="1"/>
      <c r="E40" s="1"/>
      <c r="F40" s="1"/>
      <c r="G40" s="1"/>
      <c r="H40" s="1"/>
      <c r="I40" s="1"/>
      <c r="J40" s="1"/>
      <c r="K40" s="1"/>
      <c r="L40" s="1"/>
      <c r="M40" s="1"/>
      <c r="N40" s="1"/>
    </row>
    <row r="41">
      <c r="A41" s="4" t="s">
        <v>339</v>
      </c>
      <c r="B41" s="1"/>
      <c r="C41" s="1"/>
      <c r="D41" s="1"/>
      <c r="E41" s="1"/>
      <c r="F41" s="1"/>
      <c r="G41" s="1"/>
      <c r="H41" s="1"/>
      <c r="I41" s="1"/>
      <c r="J41" s="1"/>
      <c r="K41" s="1"/>
      <c r="L41" s="1"/>
      <c r="M41" s="1"/>
      <c r="N41" s="1" t="s">
        <v>340</v>
      </c>
    </row>
    <row r="42">
      <c r="A42" s="12" t="s">
        <v>105</v>
      </c>
      <c r="B42" s="13"/>
      <c r="C42" s="13"/>
      <c r="D42" s="13"/>
      <c r="E42" s="13"/>
      <c r="F42" s="10">
        <v>-23.867</v>
      </c>
      <c r="G42" s="13">
        <f>N(CF_Hist!D7)-N(F42)</f>
        <v>309.512</v>
      </c>
      <c r="H42" s="13"/>
      <c r="I42" s="13"/>
      <c r="J42" s="10">
        <v>-14.006</v>
      </c>
      <c r="K42" s="13">
        <f>N(CF_Hist!E7)-N(J42)</f>
        <v>-450.528</v>
      </c>
      <c r="L42" s="13"/>
      <c r="M42" s="1"/>
      <c r="N42" s="1" t="s">
        <v>341</v>
      </c>
    </row>
    <row r="43">
      <c r="A43" s="12" t="s">
        <v>196</v>
      </c>
      <c r="B43" s="13"/>
      <c r="C43" s="13"/>
      <c r="D43" s="13"/>
      <c r="E43" s="13"/>
      <c r="F43" s="10">
        <v>3.911</v>
      </c>
      <c r="G43" s="13">
        <f>N(CF_Hist!D8)-N(F43)</f>
        <v>5.404</v>
      </c>
      <c r="H43" s="13"/>
      <c r="I43" s="13"/>
      <c r="J43" s="10">
        <v>18.175</v>
      </c>
      <c r="K43" s="13">
        <f>N(CF_Hist!E8)-N(J43)</f>
        <v>24.376</v>
      </c>
      <c r="L43" s="13"/>
      <c r="M43" s="1"/>
      <c r="N43" s="1" t="s">
        <v>341</v>
      </c>
    </row>
    <row r="44">
      <c r="A44" s="12" t="s">
        <v>197</v>
      </c>
      <c r="B44" s="13"/>
      <c r="C44" s="13"/>
      <c r="D44" s="13"/>
      <c r="E44" s="13"/>
      <c r="F44" s="10">
        <v>9.154</v>
      </c>
      <c r="G44" s="13">
        <f>N(CF_Hist!D9)-N(F44)</f>
        <v>13.280999999999999</v>
      </c>
      <c r="H44" s="13"/>
      <c r="I44" s="13"/>
      <c r="J44" s="10">
        <v>9.593</v>
      </c>
      <c r="K44" s="13">
        <f>N(CF_Hist!E9)-N(J44)</f>
        <v>377.008</v>
      </c>
      <c r="L44" s="13"/>
      <c r="M44" s="1"/>
      <c r="N44" s="1" t="s">
        <v>341</v>
      </c>
    </row>
    <row r="45">
      <c r="A45" s="12" t="s">
        <v>198</v>
      </c>
      <c r="B45" s="13"/>
      <c r="C45" s="13"/>
      <c r="D45" s="13"/>
      <c r="E45" s="13"/>
      <c r="F45" s="13" t="s">
        <v>107</v>
      </c>
      <c r="G45" s="13">
        <f>N(CF_Hist!D10)-N(F45)</f>
        <v>0</v>
      </c>
      <c r="H45" s="13"/>
      <c r="I45" s="13"/>
      <c r="J45" s="10">
        <v>2.053</v>
      </c>
      <c r="K45" s="13">
        <f>N(CF_Hist!E10)-N(J45)</f>
        <v>44.262</v>
      </c>
      <c r="L45" s="13"/>
      <c r="M45" s="1"/>
      <c r="N45" s="1" t="s">
        <v>341</v>
      </c>
    </row>
    <row r="46">
      <c r="A46" s="12" t="s">
        <v>201</v>
      </c>
      <c r="B46" s="13"/>
      <c r="C46" s="13"/>
      <c r="D46" s="13"/>
      <c r="E46" s="13"/>
      <c r="F46" s="13" t="s">
        <v>107</v>
      </c>
      <c r="G46" s="13">
        <f>N(CF_Hist!D12)-N(F46)</f>
        <v>0</v>
      </c>
      <c r="H46" s="13"/>
      <c r="I46" s="13"/>
      <c r="J46" s="10">
        <v>18.949</v>
      </c>
      <c r="K46" s="13">
        <f>N(CF_Hist!E12)-N(J46)</f>
        <v>19.652999999999995</v>
      </c>
      <c r="L46" s="13"/>
      <c r="M46" s="1"/>
      <c r="N46" s="1" t="s">
        <v>341</v>
      </c>
    </row>
    <row r="47">
      <c r="A47" s="12" t="s">
        <v>200</v>
      </c>
      <c r="B47" s="13"/>
      <c r="C47" s="13"/>
      <c r="D47" s="13"/>
      <c r="E47" s="13"/>
      <c r="F47" s="10">
        <v>2.912</v>
      </c>
      <c r="G47" s="13">
        <f>N(CF_Hist!D11)-N(F47)</f>
        <v>2.96</v>
      </c>
      <c r="H47" s="13"/>
      <c r="I47" s="13"/>
      <c r="J47" s="10">
        <v>15.775</v>
      </c>
      <c r="K47" s="13">
        <f>N(CF_Hist!E11)-N(J47)</f>
        <v>23.329</v>
      </c>
      <c r="L47" s="13"/>
      <c r="M47" s="1"/>
      <c r="N47" s="1" t="s">
        <v>341</v>
      </c>
    </row>
    <row r="48">
      <c r="A48" s="12" t="s">
        <v>202</v>
      </c>
      <c r="B48" s="13"/>
      <c r="C48" s="13"/>
      <c r="D48" s="13"/>
      <c r="E48" s="13"/>
      <c r="F48" s="10">
        <v>4.5</v>
      </c>
      <c r="G48" s="13">
        <f>N(CF_Hist!D13)-N(F48)</f>
        <v>4.5</v>
      </c>
      <c r="H48" s="13"/>
      <c r="I48" s="13"/>
      <c r="J48" s="10">
        <v>4.59</v>
      </c>
      <c r="K48" s="13">
        <f>N(CF_Hist!E13)-N(J48)</f>
        <v>3.84</v>
      </c>
      <c r="L48" s="13"/>
      <c r="M48" s="1"/>
      <c r="N48" s="1" t="s">
        <v>341</v>
      </c>
    </row>
    <row r="49">
      <c r="A49" s="12" t="s">
        <v>342</v>
      </c>
      <c r="B49" s="13"/>
      <c r="C49" s="13"/>
      <c r="D49" s="13"/>
      <c r="E49" s="13"/>
      <c r="F49" s="13"/>
      <c r="G49" s="13">
        <f>N(CF_Hist!D14)-N(F49)</f>
        <v>-363.336</v>
      </c>
      <c r="H49" s="13"/>
      <c r="I49" s="13"/>
      <c r="J49" s="13"/>
      <c r="K49" s="13">
        <f>N(CF_Hist!E14)-N(J49)</f>
        <v>0</v>
      </c>
      <c r="L49" s="13"/>
      <c r="M49" s="1"/>
      <c r="N49" s="1" t="s">
        <v>341</v>
      </c>
    </row>
    <row r="50">
      <c r="A50" s="12" t="s">
        <v>204</v>
      </c>
      <c r="B50" s="13"/>
      <c r="C50" s="13"/>
      <c r="D50" s="13"/>
      <c r="E50" s="13"/>
      <c r="F50" s="10">
        <v>-0.254</v>
      </c>
      <c r="G50" s="13">
        <f>N(CF_Hist!D15)-N(F50)</f>
        <v>-0.581</v>
      </c>
      <c r="H50" s="13"/>
      <c r="I50" s="13"/>
      <c r="J50" s="10">
        <v>-0.959</v>
      </c>
      <c r="K50" s="13">
        <f>N(CF_Hist!E15)-N(J50)</f>
        <v>-1.1509999999999998</v>
      </c>
      <c r="L50" s="13"/>
      <c r="M50" s="1"/>
      <c r="N50" s="1" t="s">
        <v>341</v>
      </c>
    </row>
    <row r="51">
      <c r="A51" s="12" t="s">
        <v>206</v>
      </c>
      <c r="B51" s="13"/>
      <c r="C51" s="13"/>
      <c r="D51" s="13"/>
      <c r="E51" s="13"/>
      <c r="F51" s="10">
        <v>56.787</v>
      </c>
      <c r="G51" s="13">
        <f>N(CF_Hist!D18)-N(F51)</f>
        <v>68.721</v>
      </c>
      <c r="H51" s="13"/>
      <c r="I51" s="13"/>
      <c r="J51" s="10">
        <v>-12.208</v>
      </c>
      <c r="K51" s="13">
        <f>N(CF_Hist!E18)-N(J51)</f>
        <v>-60.730000000000004</v>
      </c>
      <c r="L51" s="13"/>
      <c r="M51" s="1"/>
      <c r="N51" s="1" t="s">
        <v>341</v>
      </c>
    </row>
    <row r="52">
      <c r="A52" s="12" t="s">
        <v>142</v>
      </c>
      <c r="B52" s="13"/>
      <c r="C52" s="13"/>
      <c r="D52" s="13"/>
      <c r="E52" s="13"/>
      <c r="F52" s="10">
        <v>53.752</v>
      </c>
      <c r="G52" s="13">
        <f>N(CF_Hist!D19)-N(F52)</f>
        <v>21.177</v>
      </c>
      <c r="H52" s="13"/>
      <c r="I52" s="13"/>
      <c r="J52" s="10">
        <v>-21.684</v>
      </c>
      <c r="K52" s="13">
        <f>N(CF_Hist!E19)-N(J52)</f>
        <v>52.8</v>
      </c>
      <c r="L52" s="13"/>
      <c r="M52" s="1"/>
      <c r="N52" s="1" t="s">
        <v>341</v>
      </c>
    </row>
    <row r="53">
      <c r="A53" s="12" t="s">
        <v>207</v>
      </c>
      <c r="B53" s="13"/>
      <c r="C53" s="13"/>
      <c r="D53" s="13"/>
      <c r="E53" s="13"/>
      <c r="F53" s="10">
        <v>3.688</v>
      </c>
      <c r="G53" s="13">
        <f>N(CF_Hist!D20)-N(F53)</f>
        <v>-6.691000000000001</v>
      </c>
      <c r="H53" s="13"/>
      <c r="I53" s="13"/>
      <c r="J53" s="10">
        <v>-57.603</v>
      </c>
      <c r="K53" s="13">
        <f>N(CF_Hist!E20)-N(J53)</f>
        <v>-124.708</v>
      </c>
      <c r="L53" s="13"/>
      <c r="M53" s="1"/>
      <c r="N53" s="1" t="s">
        <v>341</v>
      </c>
    </row>
    <row r="54">
      <c r="A54" s="12" t="s">
        <v>153</v>
      </c>
      <c r="B54" s="13"/>
      <c r="C54" s="13"/>
      <c r="D54" s="13"/>
      <c r="E54" s="13"/>
      <c r="F54" s="10">
        <v>-5.65</v>
      </c>
      <c r="G54" s="13">
        <f>N(CF_Hist!D21)-N(F54)</f>
        <v>11.964</v>
      </c>
      <c r="H54" s="13"/>
      <c r="I54" s="13"/>
      <c r="J54" s="10">
        <v>-10.07</v>
      </c>
      <c r="K54" s="13">
        <f>N(CF_Hist!E21)-N(J54)</f>
        <v>10.635</v>
      </c>
      <c r="L54" s="13"/>
      <c r="M54" s="1"/>
      <c r="N54" s="1" t="s">
        <v>341</v>
      </c>
    </row>
    <row r="55">
      <c r="A55" s="12" t="s">
        <v>208</v>
      </c>
      <c r="B55" s="13"/>
      <c r="C55" s="13"/>
      <c r="D55" s="13"/>
      <c r="E55" s="13"/>
      <c r="F55" s="10">
        <v>15.055</v>
      </c>
      <c r="G55" s="13">
        <f>N(CF_Hist!D22)-N(F55)</f>
        <v>1.4699999999999989</v>
      </c>
      <c r="H55" s="13"/>
      <c r="I55" s="13"/>
      <c r="J55" s="10">
        <v>36.769</v>
      </c>
      <c r="K55" s="13">
        <f>N(CF_Hist!E22)-N(J55)</f>
        <v>89.67099999999999</v>
      </c>
      <c r="L55" s="13"/>
      <c r="M55" s="1"/>
      <c r="N55" s="1" t="s">
        <v>341</v>
      </c>
    </row>
    <row r="56">
      <c r="A56" s="12" t="s">
        <v>156</v>
      </c>
      <c r="B56" s="13"/>
      <c r="C56" s="13"/>
      <c r="D56" s="13"/>
      <c r="E56" s="13"/>
      <c r="F56" s="10">
        <v>-159.599</v>
      </c>
      <c r="G56" s="13">
        <f>N(CF_Hist!D23)-N(F56)</f>
        <v>-160.959</v>
      </c>
      <c r="H56" s="13"/>
      <c r="I56" s="13"/>
      <c r="J56" s="10">
        <v>13.966</v>
      </c>
      <c r="K56" s="13">
        <f>N(CF_Hist!E23)-N(J56)</f>
        <v>-125.75399999999999</v>
      </c>
      <c r="L56" s="13"/>
      <c r="M56" s="1"/>
      <c r="N56" s="1" t="s">
        <v>341</v>
      </c>
    </row>
    <row r="57">
      <c r="A57" s="12" t="s">
        <v>209</v>
      </c>
      <c r="B57" s="13"/>
      <c r="C57" s="13"/>
      <c r="D57" s="13"/>
      <c r="E57" s="13"/>
      <c r="F57" s="10">
        <v>-15.326</v>
      </c>
      <c r="G57" s="13">
        <f>N(CF_Hist!D24)-N(F57)</f>
        <v>23.672</v>
      </c>
      <c r="H57" s="13"/>
      <c r="I57" s="13"/>
      <c r="J57" s="10">
        <v>8.995</v>
      </c>
      <c r="K57" s="13">
        <f>N(CF_Hist!E24)-N(J57)</f>
        <v>57.474</v>
      </c>
      <c r="L57" s="13"/>
      <c r="M57" s="1"/>
      <c r="N57" s="1" t="s">
        <v>341</v>
      </c>
    </row>
    <row r="58">
      <c r="A58" s="4" t="s">
        <v>240</v>
      </c>
      <c r="B58" s="51"/>
      <c r="C58" s="51"/>
      <c r="D58" s="51"/>
      <c r="E58" s="51"/>
      <c r="F58" s="29">
        <v>-54.937</v>
      </c>
      <c r="G58" s="51">
        <f>N(CF_Hist!D25)-N(F58)</f>
        <v>-68.906</v>
      </c>
      <c r="H58" s="51"/>
      <c r="I58" s="51"/>
      <c r="J58" s="29">
        <v>12.335</v>
      </c>
      <c r="K58" s="51">
        <f>N(CF_Hist!E25)-N(J58)</f>
        <v>-59.823</v>
      </c>
      <c r="L58" s="51"/>
      <c r="M58" s="1"/>
      <c r="N58" s="1" t="s">
        <v>341</v>
      </c>
    </row>
    <row r="59">
      <c r="A59" s="12" t="s">
        <v>212</v>
      </c>
      <c r="B59" s="13"/>
      <c r="C59" s="13"/>
      <c r="D59" s="13"/>
      <c r="E59" s="13"/>
      <c r="F59" s="10">
        <v>-98.244</v>
      </c>
      <c r="G59" s="13">
        <f>N(CF_Hist!D28)-N(F59)</f>
        <v>-86.85</v>
      </c>
      <c r="H59" s="13"/>
      <c r="I59" s="13"/>
      <c r="J59" s="10">
        <v>-131.97</v>
      </c>
      <c r="K59" s="13">
        <f>N(CF_Hist!E28)-N(J59)</f>
        <v>-416.903</v>
      </c>
      <c r="L59" s="13"/>
      <c r="M59" s="1"/>
      <c r="N59" s="1" t="s">
        <v>341</v>
      </c>
    </row>
    <row r="60">
      <c r="A60" s="12" t="s">
        <v>213</v>
      </c>
      <c r="B60" s="13"/>
      <c r="C60" s="13"/>
      <c r="D60" s="13"/>
      <c r="E60" s="13"/>
      <c r="F60" s="10">
        <v>-20.175</v>
      </c>
      <c r="G60" s="13">
        <f>N(CF_Hist!D29)-N(F60)</f>
        <v>0</v>
      </c>
      <c r="H60" s="13"/>
      <c r="I60" s="13"/>
      <c r="J60" s="10">
        <v>-308.801</v>
      </c>
      <c r="K60" s="13">
        <f>N(CF_Hist!E29)-N(J60)</f>
        <v>-966.7140000000002</v>
      </c>
      <c r="L60" s="13"/>
      <c r="M60" s="1"/>
      <c r="N60" s="1" t="s">
        <v>341</v>
      </c>
    </row>
    <row r="61">
      <c r="A61" s="12" t="s">
        <v>214</v>
      </c>
      <c r="B61" s="13"/>
      <c r="C61" s="13"/>
      <c r="D61" s="13"/>
      <c r="E61" s="13"/>
      <c r="F61" s="10">
        <v>61.673</v>
      </c>
      <c r="G61" s="13">
        <f>N(CF_Hist!D30)-N(F61)</f>
        <v>56.3</v>
      </c>
      <c r="H61" s="13"/>
      <c r="I61" s="13"/>
      <c r="J61" s="10">
        <v>204.155</v>
      </c>
      <c r="K61" s="13">
        <f>N(CF_Hist!E30)-N(J61)</f>
        <v>310.30000000000007</v>
      </c>
      <c r="L61" s="13"/>
      <c r="M61" s="1"/>
      <c r="N61" s="1" t="s">
        <v>341</v>
      </c>
    </row>
    <row r="62">
      <c r="A62" s="12" t="s">
        <v>242</v>
      </c>
      <c r="B62" s="13"/>
      <c r="C62" s="13"/>
      <c r="D62" s="13"/>
      <c r="E62" s="13"/>
      <c r="F62" s="10">
        <v>1.552</v>
      </c>
      <c r="G62" s="13">
        <f>N(CF_Hist!D47)-N(F62)</f>
        <v>3.5959999999999996</v>
      </c>
      <c r="H62" s="13"/>
      <c r="I62" s="13"/>
      <c r="J62" s="10">
        <v>2038.106</v>
      </c>
      <c r="K62" s="13">
        <f>N(CF_Hist!E47)-N(J62)</f>
        <v>5815.136</v>
      </c>
      <c r="L62" s="13"/>
      <c r="M62" s="1"/>
      <c r="N62" s="1" t="s">
        <v>341</v>
      </c>
    </row>
    <row r="63">
      <c r="A63" s="12" t="s">
        <v>343</v>
      </c>
      <c r="B63" s="13"/>
      <c r="C63" s="13"/>
      <c r="D63" s="13"/>
      <c r="E63" s="13"/>
      <c r="F63" s="10">
        <v>0.18</v>
      </c>
      <c r="G63" s="13">
        <f>N(CF_Hist!D48)-N(F63)</f>
        <v>0.732</v>
      </c>
      <c r="H63" s="13"/>
      <c r="I63" s="13"/>
      <c r="J63" s="10">
        <v>0.911</v>
      </c>
      <c r="K63" s="13">
        <f>N(CF_Hist!E48)-N(J63)</f>
        <v>-0.273</v>
      </c>
      <c r="L63" s="13"/>
      <c r="M63" s="1"/>
      <c r="N63" s="1" t="s">
        <v>341</v>
      </c>
    </row>
    <row r="64">
      <c r="A64" s="4" t="s">
        <v>344</v>
      </c>
      <c r="B64" s="51"/>
      <c r="C64" s="51"/>
      <c r="D64" s="51"/>
      <c r="E64" s="51"/>
      <c r="F64" s="29">
        <v>-109.951</v>
      </c>
      <c r="G64" s="51">
        <f>N(CF_Hist!D49)-N(F64)</f>
        <v>-95.12800000000001</v>
      </c>
      <c r="H64" s="51"/>
      <c r="I64" s="51"/>
      <c r="J64" s="29">
        <v>1814.736</v>
      </c>
      <c r="K64" s="51">
        <f>N(CF_Hist!E49)-N(J64)</f>
        <v>4681.723</v>
      </c>
      <c r="L64" s="51"/>
      <c r="M64" s="1"/>
      <c r="N64" s="1" t="s">
        <v>341</v>
      </c>
    </row>
    <row r="65">
      <c r="A65" s="4" t="s">
        <v>345</v>
      </c>
      <c r="B65" s="22"/>
      <c r="C65" s="22"/>
      <c r="D65" s="22"/>
      <c r="E65" s="22"/>
      <c r="F65" s="78">
        <v>472.014</v>
      </c>
      <c r="G65" s="85">
        <f>CF_Hist!D51</f>
        <v>376.886</v>
      </c>
      <c r="H65" s="22"/>
      <c r="I65" s="22"/>
      <c r="J65" s="78">
        <v>2745.114</v>
      </c>
      <c r="K65" s="85">
        <f>CF_Hist!E51</f>
        <v>7426.837</v>
      </c>
      <c r="L65" s="22"/>
      <c r="M65" s="1"/>
      <c r="N65" s="1" t="s">
        <v>346</v>
      </c>
    </row>
    <row r="66">
      <c r="A66" s="12" t="s">
        <v>347</v>
      </c>
      <c r="B66" s="5"/>
      <c r="C66" s="5"/>
      <c r="D66" s="5"/>
      <c r="E66" s="5"/>
      <c r="F66" s="5"/>
      <c r="G66" s="5"/>
      <c r="H66" s="5"/>
      <c r="I66" s="5">
        <f>N(CF_Hist!C25)-N(CF_Hist!D25)</f>
        <v>113.793</v>
      </c>
      <c r="J66" s="5"/>
      <c r="K66" s="5"/>
      <c r="L66" s="5"/>
      <c r="M66" s="1"/>
      <c r="N66" s="1" t="s">
        <v>348</v>
      </c>
    </row>
    <row r="67">
      <c r="A67" s="12" t="s">
        <v>349</v>
      </c>
      <c r="B67" s="5"/>
      <c r="C67" s="5"/>
      <c r="D67" s="5"/>
      <c r="E67" s="5"/>
      <c r="F67" s="5"/>
      <c r="G67" s="5"/>
      <c r="H67" s="5"/>
      <c r="I67" s="5">
        <f>N(CF_Hist!C28)-N(CF_Hist!D28)</f>
        <v>-197.64499999999998</v>
      </c>
      <c r="J67" s="5"/>
      <c r="K67" s="5"/>
      <c r="L67" s="5"/>
      <c r="M67" s="1"/>
      <c r="N67" s="1" t="s">
        <v>348</v>
      </c>
    </row>
    <row r="68">
      <c r="A68" s="1"/>
      <c r="B68" s="1"/>
      <c r="C68" s="1"/>
      <c r="D68" s="1"/>
      <c r="E68" s="1"/>
      <c r="F68" s="1"/>
      <c r="G68" s="1"/>
      <c r="H68" s="1"/>
      <c r="I68" s="1"/>
      <c r="J68" s="1"/>
      <c r="K68" s="1"/>
      <c r="L68" s="1"/>
      <c r="M68" s="1"/>
      <c r="N68" s="1"/>
    </row>
    <row r="69">
      <c r="A69" s="4" t="s">
        <v>350</v>
      </c>
      <c r="B69" s="1"/>
      <c r="C69" s="1"/>
      <c r="D69" s="1"/>
      <c r="E69" s="1"/>
      <c r="F69" s="1"/>
      <c r="G69" s="1"/>
      <c r="H69" s="1"/>
      <c r="I69" s="1"/>
      <c r="J69" s="1"/>
      <c r="K69" s="1"/>
      <c r="L69" s="1"/>
      <c r="M69" s="1"/>
      <c r="N69" s="1"/>
    </row>
    <row r="70">
      <c r="A70" s="36" t="s">
        <v>351</v>
      </c>
      <c r="B70" s="18">
        <f>B15/B9</f>
        <v>0.3772868484639282</v>
      </c>
      <c r="C70" s="18">
        <f>C15/C9</f>
        <v>0.4425907612045119</v>
      </c>
      <c r="D70" s="18">
        <f>D15/D9</f>
        <v>0.4425807878980627</v>
      </c>
      <c r="E70" s="18">
        <f>E15/E9</f>
        <v>0.4257521678870614</v>
      </c>
      <c r="F70" s="18">
        <f>F15/F9</f>
        <v>0.41808023152986573</v>
      </c>
      <c r="G70" s="18">
        <f>G15/G9</f>
        <v>0.31066955730628515</v>
      </c>
      <c r="H70" s="18">
        <f>H15/H9</f>
        <v>0.4062587500184211</v>
      </c>
      <c r="I70" s="18">
        <f>I15/I9</f>
        <v>0.4096580204499455</v>
      </c>
      <c r="J70" s="18">
        <f>J15/J9</f>
        <v>0.44557045800026884</v>
      </c>
      <c r="K70" s="18">
        <f>K15/K9</f>
        <v>0.14190772305813112</v>
      </c>
      <c r="L70" s="18"/>
      <c r="M70" s="1"/>
      <c r="N70" s="1" t="s">
        <v>352</v>
      </c>
    </row>
    <row r="71">
      <c r="A71" s="36" t="s">
        <v>353</v>
      </c>
      <c r="B71" s="18">
        <f>B8/B9</f>
        <v>0.2584382644714922</v>
      </c>
      <c r="C71" s="18">
        <f>C8/C9</f>
        <v>0.2137420991529432</v>
      </c>
      <c r="D71" s="18">
        <f>D8/D9</f>
        <v>0.3047470236037556</v>
      </c>
      <c r="E71" s="18">
        <f>E8/E9</f>
        <v>0.2957770663919245</v>
      </c>
      <c r="F71" s="18">
        <f>F8/F9</f>
        <v>0.29984323498673526</v>
      </c>
      <c r="G71" s="18">
        <f>G8/G9</f>
        <v>0.3196511875496022</v>
      </c>
      <c r="H71" s="18">
        <f>H8/H9</f>
        <v>0.2867795511148445</v>
      </c>
      <c r="I71" s="18">
        <f>I8/I9</f>
        <v>0.2902772349993875</v>
      </c>
      <c r="J71" s="18">
        <f>J8/J9</f>
        <v>0.4281821660134639</v>
      </c>
      <c r="K71" s="18">
        <f>K8/K9</f>
        <v>0.6995225140192104</v>
      </c>
      <c r="L71" s="18"/>
      <c r="M71" s="1"/>
      <c r="N71" s="1"/>
    </row>
    <row r="72">
      <c r="A72" s="36" t="s">
        <v>354</v>
      </c>
      <c r="B72" s="18">
        <f>B22/B9</f>
        <v>-0.27090993681619663</v>
      </c>
      <c r="C72" s="18">
        <f>C22/C9</f>
        <v>-0.3405426323257514</v>
      </c>
      <c r="D72" s="18">
        <f>D22/D9</f>
        <v>-0.2679378863092686</v>
      </c>
      <c r="E72" s="18">
        <f>E22/E9</f>
        <v>-0.4936772515975518</v>
      </c>
      <c r="F72" s="18">
        <f>F22/F9</f>
        <v>-0.2860961492081357</v>
      </c>
      <c r="G72" s="18">
        <f>G22/G9</f>
        <v>-0.5534348928592169</v>
      </c>
      <c r="H72" s="18">
        <f>H22/H9</f>
        <v>-0.19503514744241568</v>
      </c>
      <c r="I72" s="18">
        <f>I22/I9</f>
        <v>-0.19680593550042869</v>
      </c>
      <c r="J72" s="18">
        <f>J22/J9</f>
        <v>-0.07774836354611543</v>
      </c>
      <c r="K72" s="18">
        <f>K22/K9</f>
        <v>-2.6496751984898115</v>
      </c>
      <c r="L72" s="18"/>
      <c r="M72" s="1"/>
      <c r="N72" s="1"/>
    </row>
    <row r="73">
      <c r="A73" s="36" t="s">
        <v>355</v>
      </c>
      <c r="B73" s="18">
        <f>(B22+B31)/B9</f>
        <v>-0.1294442526751812</v>
      </c>
      <c r="C73" s="18">
        <f>(C22+C31)/C9</f>
        <v>-0.012283040231614896</v>
      </c>
      <c r="D73" s="18">
        <f>(D22+D31)/D9</f>
        <v>-0.035246615688823126</v>
      </c>
      <c r="E73" s="18">
        <f>(E22+E31)/E9</f>
        <v>-0.37829782536703827</v>
      </c>
      <c r="F73" s="18">
        <f>(F22+F31)/F9</f>
        <v>-0.19410724334753596</v>
      </c>
      <c r="G73" s="18">
        <f>(G22+G31)/G9</f>
        <v>-0.4248949884826078</v>
      </c>
      <c r="H73" s="18">
        <f>(H22+H31)/H9</f>
        <v>-0.11143286617445511</v>
      </c>
      <c r="I73" s="18">
        <f>(I22+I31)/I9</f>
        <v>-0.10356211685516467</v>
      </c>
      <c r="J73" s="18">
        <f>(J22+J31)/J9</f>
        <v>-0.028148040908761884</v>
      </c>
      <c r="K73" s="18">
        <f>(K22+K31)/K9</f>
        <v>-0.5564654933096442</v>
      </c>
      <c r="L73" s="18"/>
      <c r="M73" s="1"/>
      <c r="N73" s="1"/>
    </row>
    <row r="74">
      <c r="A74" s="1"/>
      <c r="B74" s="1"/>
      <c r="C74" s="1"/>
      <c r="D74" s="1"/>
      <c r="E74" s="1"/>
      <c r="F74" s="1"/>
      <c r="G74" s="1"/>
      <c r="H74" s="1"/>
      <c r="I74" s="1"/>
      <c r="J74" s="1"/>
      <c r="K74" s="1"/>
      <c r="L74" s="1"/>
      <c r="M74" s="1"/>
      <c r="N74" s="1"/>
    </row>
    <row r="75">
      <c r="A75" s="4" t="s">
        <v>127</v>
      </c>
      <c r="B75" s="1"/>
      <c r="C75" s="1"/>
      <c r="D75" s="1"/>
      <c r="E75" s="1"/>
      <c r="F75" s="1"/>
      <c r="G75" s="1"/>
      <c r="H75" s="1"/>
      <c r="I75" s="1"/>
      <c r="J75" s="1"/>
      <c r="K75" s="1"/>
      <c r="L75" s="1"/>
      <c r="M75" s="1"/>
      <c r="N75" s="1"/>
    </row>
    <row r="76">
      <c r="A76" s="12" t="s">
        <v>356</v>
      </c>
      <c r="B76" s="14">
        <f>SUM(B7,B8)-B9</f>
        <v>0</v>
      </c>
      <c r="C76" s="14">
        <f>SUM(C7,C8)-C9</f>
        <v>0</v>
      </c>
      <c r="D76" s="14">
        <f>SUM(D7,D8)-D9</f>
        <v>0</v>
      </c>
      <c r="E76" s="14">
        <f>SUM(E7,E8)-E9</f>
        <v>0</v>
      </c>
      <c r="F76" s="14">
        <f>SUM(F7,F8)-F9</f>
        <v>0</v>
      </c>
      <c r="G76" s="14">
        <f>SUM(G7,G8)-G9</f>
        <v>0</v>
      </c>
      <c r="H76" s="14">
        <f>SUM(H7,H8)-H9</f>
        <v>0</v>
      </c>
      <c r="I76" s="14">
        <f>SUM(I7,I8)-I9</f>
        <v>0</v>
      </c>
      <c r="J76" s="14">
        <f>SUM(J7,J8)-J9</f>
        <v>0</v>
      </c>
      <c r="K76" s="14">
        <f>SUM(K7,K8)-K9</f>
        <v>0</v>
      </c>
      <c r="L76" s="1"/>
      <c r="M76" s="1"/>
      <c r="N76" s="1"/>
    </row>
    <row r="77">
      <c r="A77" s="12" t="s">
        <v>357</v>
      </c>
      <c r="B77" s="14">
        <f>SUM(B12,B13)-B14</f>
        <v>0</v>
      </c>
      <c r="C77" s="14">
        <f>SUM(C12,C13)-C14</f>
        <v>0</v>
      </c>
      <c r="D77" s="14">
        <f>SUM(D12,D13)-D14</f>
        <v>0</v>
      </c>
      <c r="E77" s="14">
        <f>SUM(E12,E13)-E14</f>
        <v>0</v>
      </c>
      <c r="F77" s="14">
        <f>SUM(F12,F13)-F14</f>
        <v>0</v>
      </c>
      <c r="G77" s="14">
        <f>SUM(G12,G13)-G14</f>
        <v>0</v>
      </c>
      <c r="H77" s="14">
        <f>SUM(H12,H13)-H14</f>
        <v>0</v>
      </c>
      <c r="I77" s="14">
        <f>SUM(I12,I13)-I14</f>
        <v>0</v>
      </c>
      <c r="J77" s="14">
        <f>SUM(J12,J13)-J14</f>
        <v>0</v>
      </c>
      <c r="K77" s="14">
        <f>SUM(K12,K13)-K14</f>
        <v>0</v>
      </c>
      <c r="L77" s="1"/>
      <c r="M77" s="1"/>
      <c r="N77" s="1"/>
    </row>
    <row r="78">
      <c r="A78" s="12" t="s">
        <v>358</v>
      </c>
      <c r="B78" s="14">
        <f>B15-B21-B22</f>
        <v>0</v>
      </c>
      <c r="C78" s="14">
        <f>C15-C21-C22</f>
        <v>0</v>
      </c>
      <c r="D78" s="14">
        <f>D15-D21-D22</f>
        <v>0</v>
      </c>
      <c r="E78" s="14">
        <f>E15-E21-E22</f>
        <v>0</v>
      </c>
      <c r="F78" s="14">
        <f>F15-F21-F22</f>
        <v>0</v>
      </c>
      <c r="G78" s="14">
        <f>G15-G21-G22</f>
        <v>0</v>
      </c>
      <c r="H78" s="14">
        <f>H15-H21-H22</f>
        <v>0</v>
      </c>
      <c r="I78" s="14">
        <f>I15-I21-I22</f>
        <v>0</v>
      </c>
      <c r="J78" s="14">
        <f>J15-J21-J22</f>
        <v>0</v>
      </c>
      <c r="K78" s="14">
        <f>K15-K21-K22</f>
        <v>0</v>
      </c>
      <c r="L78" s="1"/>
      <c r="M78" s="1"/>
      <c r="N78" s="1"/>
    </row>
    <row r="79">
      <c r="A79" s="12" t="s">
        <v>359</v>
      </c>
      <c r="B79" s="1"/>
      <c r="C79" s="1"/>
      <c r="D79" s="1"/>
      <c r="E79" s="1"/>
      <c r="F79" s="14">
        <f>SUM(F18,F19,F20)-F21</f>
        <v>0</v>
      </c>
      <c r="G79" s="14">
        <f>SUM(G18,G19,G20)-G21</f>
        <v>0</v>
      </c>
      <c r="H79" s="14"/>
      <c r="I79" s="14"/>
      <c r="J79" s="14">
        <f>SUM(J18,J19,J20)-J21</f>
        <v>0</v>
      </c>
      <c r="K79" s="14">
        <f>SUM(K18,K19,K20)-K21</f>
        <v>0</v>
      </c>
      <c r="L79" s="1"/>
      <c r="M79" s="1"/>
      <c r="N79" s="1"/>
    </row>
    <row r="80">
      <c r="A80" s="12" t="s">
        <v>360</v>
      </c>
      <c r="B80" s="1"/>
      <c r="C80" s="1"/>
      <c r="D80" s="1"/>
      <c r="E80" s="1"/>
      <c r="F80" s="14">
        <f>SUM(F42,F43,F44,F45,F46,F47,F48,F49,F50,F51,F52,F53,F54,F55,F56,F57)-F58</f>
        <v>0</v>
      </c>
      <c r="G80" s="14">
        <f>SUM(G42,G43,G44,G45,G46,G47,G48,G49,G50,G51,G52,G53,G54,G55,G56,G57)-G58</f>
        <v>0</v>
      </c>
      <c r="H80" s="14"/>
      <c r="I80" s="14"/>
      <c r="J80" s="14">
        <f>SUM(J42,J43,J44,J45,J46,J47,J48,J49,J50,J51,J52,J53,J54,J55,J56,J57)-J58</f>
        <v>0</v>
      </c>
      <c r="K80" s="14">
        <f>SUM(K42,K43,K44,K45,K46,K47,K48,K49,K50,K51,K52,K53,K54,K55,K56,K57)-K58</f>
        <v>0</v>
      </c>
      <c r="L80" s="1"/>
      <c r="M80" s="1"/>
      <c r="N80" s="1"/>
    </row>
    <row r="81">
      <c r="A81" s="12" t="s">
        <v>361</v>
      </c>
      <c r="B81" s="1"/>
      <c r="C81" s="1"/>
      <c r="D81" s="1"/>
      <c r="E81" s="1"/>
      <c r="F81" s="14">
        <f>SUM(F58,F59,F60,F61,F62,F63)-F64</f>
        <v>0</v>
      </c>
      <c r="G81" s="14">
        <f>SUM(G58,G59,G60,G61,G62,G63)-G64</f>
        <v>0</v>
      </c>
      <c r="H81" s="14"/>
      <c r="I81" s="14"/>
      <c r="J81" s="14">
        <f>SUM(J58,J59,J60,J61,J62,J63)-J64</f>
        <v>0</v>
      </c>
      <c r="K81" s="14">
        <f>SUM(K58,K59,K60,K61,K62,K63)-K64</f>
        <v>0</v>
      </c>
      <c r="L81" s="1"/>
      <c r="M81" s="1"/>
      <c r="N81" s="1"/>
    </row>
    <row r="82">
      <c r="A82" s="12" t="s">
        <v>362</v>
      </c>
      <c r="B82" s="1"/>
      <c r="C82" s="1"/>
      <c r="D82" s="1"/>
      <c r="E82" s="1"/>
      <c r="F82" s="14">
        <f>CF_Hist!B51+F64-F65</f>
        <v>0</v>
      </c>
      <c r="G82" s="14">
        <f>F65+G64-G65</f>
        <v>0</v>
      </c>
      <c r="H82" s="14"/>
      <c r="I82" s="14"/>
      <c r="J82" s="14">
        <f>CF_Hist!C51+J64-J65</f>
        <v>0</v>
      </c>
      <c r="K82" s="14">
        <f>J65+K64-K65</f>
        <v>0</v>
      </c>
      <c r="L82" s="1"/>
      <c r="M82" s="1"/>
      <c r="N82" s="1"/>
    </row>
    <row r="83">
      <c r="A83" s="12" t="s">
        <v>363</v>
      </c>
      <c r="B83" s="1"/>
      <c r="C83" s="1"/>
      <c r="D83" s="1"/>
      <c r="E83" s="1"/>
      <c r="F83" s="1"/>
      <c r="G83" s="1"/>
      <c r="H83" s="1"/>
      <c r="I83" s="1"/>
      <c r="J83" s="14">
        <f>J65-BS_Hist!E49</f>
        <v>0</v>
      </c>
      <c r="K83" s="1"/>
      <c r="L83" s="1"/>
      <c r="M83" s="1"/>
      <c r="N83" s="1"/>
    </row>
    <row r="84">
      <c r="A84" s="12" t="s">
        <v>364</v>
      </c>
      <c r="B84" s="1"/>
      <c r="C84" s="1"/>
      <c r="D84" s="1"/>
      <c r="E84" s="1"/>
      <c r="F84" s="1"/>
      <c r="G84" s="1"/>
      <c r="H84" s="1"/>
      <c r="I84" s="1"/>
      <c r="J84" s="14">
        <f>J42-J26</f>
        <v>0</v>
      </c>
      <c r="K84" s="1"/>
      <c r="L84" s="1"/>
      <c r="M84" s="1"/>
      <c r="N84" s="1"/>
    </row>
    <row r="85">
      <c r="A85" s="12" t="s">
        <v>365</v>
      </c>
      <c r="B85" s="14">
        <f>SUM(B9:E9)-IS_Hist!B9</f>
        <v>0</v>
      </c>
      <c r="C85" s="14">
        <f>SUM(F9:I9)-IS_Hist!C9</f>
        <v>0</v>
      </c>
      <c r="D85" s="14">
        <f>F9+G9-IS_Hist!D9</f>
        <v>0</v>
      </c>
      <c r="E85" s="14">
        <f>J9+K9-IS_Hist!E9</f>
        <v>0</v>
      </c>
      <c r="F85" s="1"/>
      <c r="G85" s="1"/>
      <c r="H85" s="1"/>
      <c r="I85" s="1"/>
      <c r="J85" s="1"/>
      <c r="K85" s="1"/>
      <c r="L85" s="1"/>
      <c r="M85" s="1"/>
      <c r="N85" s="1" t="s">
        <v>366</v>
      </c>
    </row>
    <row r="86">
      <c r="A86" s="12" t="s">
        <v>367</v>
      </c>
      <c r="B86" s="14">
        <f>SUM(B14:E14)-IS_Hist!B14</f>
        <v>0</v>
      </c>
      <c r="C86" s="14">
        <f>SUM(F14:I14)-IS_Hist!C14</f>
        <v>0</v>
      </c>
      <c r="D86" s="14">
        <f>F14+G14-IS_Hist!D14</f>
        <v>0</v>
      </c>
      <c r="E86" s="14">
        <f>J14+K14-IS_Hist!E14</f>
        <v>0</v>
      </c>
      <c r="F86" s="1"/>
      <c r="G86" s="1"/>
      <c r="H86" s="1"/>
      <c r="I86" s="1"/>
      <c r="J86" s="1"/>
      <c r="K86" s="1"/>
      <c r="L86" s="1"/>
      <c r="M86" s="1"/>
      <c r="N86" s="1" t="s">
        <v>366</v>
      </c>
    </row>
    <row r="87">
      <c r="A87" s="12" t="s">
        <v>368</v>
      </c>
      <c r="B87" s="14">
        <f>SUM(B21:E21)-IS_Hist!B21</f>
        <v>0</v>
      </c>
      <c r="C87" s="14">
        <f>SUM(F21:I21)-IS_Hist!C21</f>
        <v>0</v>
      </c>
      <c r="D87" s="14">
        <f>F21+G21-IS_Hist!D21</f>
        <v>0</v>
      </c>
      <c r="E87" s="14">
        <f>J21+K21-IS_Hist!E21</f>
        <v>0</v>
      </c>
      <c r="F87" s="1"/>
      <c r="G87" s="1"/>
      <c r="H87" s="1"/>
      <c r="I87" s="1"/>
      <c r="J87" s="1"/>
      <c r="K87" s="1"/>
      <c r="L87" s="1"/>
      <c r="M87" s="1"/>
      <c r="N87" s="1" t="s">
        <v>366</v>
      </c>
    </row>
    <row r="88">
      <c r="A88" s="12" t="s">
        <v>369</v>
      </c>
      <c r="B88" s="14">
        <f>SUM(B26:E26)-IS_Hist!B26</f>
        <v>0</v>
      </c>
      <c r="C88" s="14">
        <f>SUM(F26:I26)-IS_Hist!C26</f>
        <v>0</v>
      </c>
      <c r="D88" s="14">
        <f>F26+G26-IS_Hist!D26</f>
        <v>0</v>
      </c>
      <c r="E88" s="14">
        <f>J26+K26-IS_Hist!E26</f>
        <v>0</v>
      </c>
      <c r="F88" s="1"/>
      <c r="G88" s="1"/>
      <c r="H88" s="1"/>
      <c r="I88" s="1"/>
      <c r="J88" s="1"/>
      <c r="K88" s="1"/>
      <c r="L88" s="1"/>
      <c r="M88" s="1"/>
      <c r="N88" s="1" t="s">
        <v>366</v>
      </c>
    </row>
    <row r="89">
      <c r="A89" s="12" t="s">
        <v>370</v>
      </c>
      <c r="B89" s="1"/>
      <c r="C89" s="14">
        <f>SUM(F31:I31)-N(Revenue_Hist!C39)</f>
        <v>0</v>
      </c>
      <c r="D89" s="14"/>
      <c r="E89" s="14">
        <f>J31+K31-N(Revenue_Hist!E39)</f>
        <v>0</v>
      </c>
      <c r="F89" s="1"/>
      <c r="G89" s="1"/>
      <c r="H89" s="1"/>
      <c r="I89" s="1"/>
      <c r="J89" s="1"/>
      <c r="K89" s="1"/>
      <c r="L89" s="1"/>
      <c r="M89" s="1"/>
      <c r="N89" s="1"/>
    </row>
  </sheetData>
</worksheet>
</file>

<file path=xl/worksheets/sheet8.xml><?xml version="1.0" encoding="utf-8"?>
<worksheet xmlns="http://schemas.openxmlformats.org/spreadsheetml/2006/main" xmlns:r="http://schemas.openxmlformats.org/officeDocument/2006/relationships">
  <sheetPr>
    <tabColor rgb="FF6A7689"/>
  </sheetPr>
  <dimension ref="A1:N84"/>
  <sheetViews>
    <sheetView showGridLines="0" workbookViewId="0"/>
  </sheetViews>
  <sheetFormatPr defaultColWidth="8.375" defaultRowHeight="15"/>
  <cols>
    <col min="1" max="1" width="92.70703125" customWidth="1"/>
    <col min="2" max="5" width="13.375" customWidth="1"/>
    <col min="13" max="13" width="17.70703125" customWidth="1"/>
    <col min="14" max="14" width="102.70703125" customWidth="1"/>
  </cols>
  <sheetData>
    <row r="1">
      <c r="A1" s="21" t="s">
        <v>371</v>
      </c>
      <c r="B1" s="1"/>
      <c r="C1" s="1"/>
      <c r="D1" s="1"/>
      <c r="E1" s="1"/>
      <c r="F1" s="1"/>
      <c r="G1" s="1"/>
      <c r="H1" s="1"/>
      <c r="I1" s="1"/>
      <c r="J1" s="1"/>
      <c r="K1" s="1"/>
      <c r="L1" s="1"/>
      <c r="M1" s="1"/>
      <c r="N1" s="1"/>
    </row>
    <row r="2">
      <c r="A2" s="1" t="s">
        <v>372</v>
      </c>
      <c r="B2" s="1"/>
      <c r="C2" s="1"/>
      <c r="D2" s="1"/>
      <c r="E2" s="1"/>
      <c r="F2" s="1"/>
      <c r="G2" s="1"/>
      <c r="H2" s="1"/>
      <c r="I2" s="1"/>
      <c r="J2" s="1"/>
      <c r="K2" s="1"/>
      <c r="L2" s="1"/>
      <c r="M2" s="1"/>
      <c r="N2" s="1"/>
    </row>
    <row r="3">
      <c r="A3" s="1"/>
      <c r="B3" s="1"/>
      <c r="C3" s="1"/>
      <c r="D3" s="1"/>
      <c r="E3" s="1"/>
      <c r="F3" s="1"/>
      <c r="G3" s="1"/>
      <c r="H3" s="1"/>
      <c r="I3" s="1"/>
      <c r="J3" s="1"/>
      <c r="K3" s="1"/>
      <c r="L3" s="1"/>
      <c r="M3" s="1"/>
      <c r="N3" s="1"/>
    </row>
    <row r="4">
      <c r="A4" s="3" t="s">
        <v>81</v>
      </c>
      <c r="B4" s="24" t="s">
        <v>82</v>
      </c>
      <c r="C4" s="24" t="s">
        <v>83</v>
      </c>
      <c r="D4" s="24" t="s">
        <v>84</v>
      </c>
      <c r="E4" s="24" t="s">
        <v>85</v>
      </c>
      <c r="F4" s="1"/>
      <c r="G4" s="1"/>
      <c r="H4" s="1"/>
      <c r="I4" s="1"/>
      <c r="J4" s="1"/>
      <c r="K4" s="1"/>
      <c r="L4" s="1"/>
      <c r="M4" s="6" t="s">
        <v>86</v>
      </c>
      <c r="N4" s="6" t="s">
        <v>87</v>
      </c>
    </row>
    <row r="5">
      <c r="A5" s="1"/>
      <c r="B5" s="1"/>
      <c r="C5" s="1"/>
      <c r="D5" s="1"/>
      <c r="E5" s="1"/>
      <c r="F5" s="1"/>
      <c r="G5" s="1"/>
      <c r="H5" s="1"/>
      <c r="I5" s="1"/>
      <c r="J5" s="1"/>
      <c r="K5" s="1"/>
      <c r="L5" s="1"/>
      <c r="M5" s="1"/>
      <c r="N5" s="1"/>
    </row>
    <row r="6">
      <c r="A6" s="4" t="s">
        <v>373</v>
      </c>
      <c r="B6" s="1"/>
      <c r="C6" s="1"/>
      <c r="D6" s="1"/>
      <c r="E6" s="1"/>
      <c r="F6" s="1"/>
      <c r="G6" s="1"/>
      <c r="H6" s="1"/>
      <c r="I6" s="1"/>
      <c r="J6" s="1"/>
      <c r="K6" s="1"/>
      <c r="L6" s="1"/>
      <c r="M6" s="1"/>
      <c r="N6" s="1"/>
    </row>
    <row r="7">
      <c r="A7" s="12" t="s">
        <v>374</v>
      </c>
      <c r="B7" s="10">
        <v>211.965</v>
      </c>
      <c r="C7" s="10">
        <v>358.44</v>
      </c>
      <c r="D7" s="10">
        <v>139.969</v>
      </c>
      <c r="E7" s="10">
        <v>164.712</v>
      </c>
      <c r="F7" s="1"/>
      <c r="G7" s="1"/>
      <c r="H7" s="1"/>
      <c r="I7" s="1"/>
      <c r="J7" s="1"/>
      <c r="K7" s="1"/>
      <c r="L7" s="1"/>
      <c r="M7" s="1"/>
      <c r="N7" s="1" t="s">
        <v>375</v>
      </c>
    </row>
    <row r="8">
      <c r="A8" s="12" t="s">
        <v>376</v>
      </c>
      <c r="B8" s="10">
        <v>0.628</v>
      </c>
      <c r="C8" s="10">
        <v>2.194</v>
      </c>
      <c r="D8" s="10">
        <v>0.851</v>
      </c>
      <c r="E8" s="10">
        <v>0.987</v>
      </c>
      <c r="F8" s="1"/>
      <c r="G8" s="1"/>
      <c r="H8" s="1"/>
      <c r="I8" s="1"/>
      <c r="J8" s="1"/>
      <c r="K8" s="1"/>
      <c r="L8" s="1"/>
      <c r="M8" s="1"/>
      <c r="N8" s="1" t="s">
        <v>375</v>
      </c>
    </row>
    <row r="9">
      <c r="A9" s="12" t="s">
        <v>377</v>
      </c>
      <c r="B9" s="10">
        <v>77.659</v>
      </c>
      <c r="C9" s="10">
        <v>149.357</v>
      </c>
      <c r="D9" s="10">
        <v>62.014</v>
      </c>
      <c r="E9" s="10">
        <v>207.817</v>
      </c>
      <c r="F9" s="1"/>
      <c r="G9" s="1"/>
      <c r="H9" s="1"/>
      <c r="I9" s="1"/>
      <c r="J9" s="1"/>
      <c r="K9" s="1"/>
      <c r="L9" s="1"/>
      <c r="M9" s="1"/>
      <c r="N9" s="1" t="s">
        <v>375</v>
      </c>
    </row>
    <row r="10">
      <c r="A10" s="4" t="s">
        <v>92</v>
      </c>
      <c r="B10" s="29">
        <v>290.252</v>
      </c>
      <c r="C10" s="29">
        <v>509.991</v>
      </c>
      <c r="D10" s="29">
        <v>202.834</v>
      </c>
      <c r="E10" s="29">
        <v>373.516</v>
      </c>
      <c r="F10" s="1"/>
      <c r="G10" s="1"/>
      <c r="H10" s="1"/>
      <c r="I10" s="1"/>
      <c r="J10" s="1"/>
      <c r="K10" s="1"/>
      <c r="L10" s="1"/>
      <c r="M10" s="1"/>
      <c r="N10" s="1" t="s">
        <v>375</v>
      </c>
    </row>
    <row r="11">
      <c r="A11" s="1"/>
      <c r="B11" s="1"/>
      <c r="C11" s="1"/>
      <c r="D11" s="1"/>
      <c r="E11" s="1"/>
      <c r="F11" s="1"/>
      <c r="G11" s="1"/>
      <c r="H11" s="1"/>
      <c r="I11" s="1"/>
      <c r="J11" s="1"/>
      <c r="K11" s="1"/>
      <c r="L11" s="1"/>
      <c r="M11" s="1"/>
      <c r="N11" s="1"/>
    </row>
    <row r="12">
      <c r="A12" s="4" t="s">
        <v>378</v>
      </c>
      <c r="B12" s="1"/>
      <c r="C12" s="1"/>
      <c r="D12" s="1"/>
      <c r="E12" s="1"/>
      <c r="F12" s="1"/>
      <c r="G12" s="1"/>
      <c r="H12" s="1"/>
      <c r="I12" s="1"/>
      <c r="J12" s="1"/>
      <c r="K12" s="1"/>
      <c r="L12" s="1"/>
      <c r="M12" s="1"/>
      <c r="N12" s="1"/>
    </row>
    <row r="13">
      <c r="A13" s="12" t="s">
        <v>379</v>
      </c>
      <c r="B13" s="10">
        <v>282.685</v>
      </c>
      <c r="C13" s="10">
        <v>187.643</v>
      </c>
      <c r="D13" s="10">
        <v>105.096</v>
      </c>
      <c r="E13" s="10">
        <v>154.071</v>
      </c>
      <c r="F13" s="1"/>
      <c r="G13" s="1"/>
      <c r="H13" s="1"/>
      <c r="I13" s="1"/>
      <c r="J13" s="1"/>
      <c r="K13" s="1"/>
      <c r="L13" s="1"/>
      <c r="M13" s="1"/>
      <c r="N13" s="1" t="s">
        <v>380</v>
      </c>
    </row>
    <row r="14">
      <c r="A14" s="12" t="s">
        <v>381</v>
      </c>
      <c r="B14" s="10">
        <v>7.567</v>
      </c>
      <c r="C14" s="10">
        <v>322.231</v>
      </c>
      <c r="D14" s="10">
        <v>97.643</v>
      </c>
      <c r="E14" s="10">
        <v>218.921</v>
      </c>
      <c r="F14" s="1"/>
      <c r="G14" s="1"/>
      <c r="H14" s="1"/>
      <c r="I14" s="1"/>
      <c r="J14" s="1"/>
      <c r="K14" s="1"/>
      <c r="L14" s="1"/>
      <c r="M14" s="1"/>
      <c r="N14" s="1" t="s">
        <v>380</v>
      </c>
    </row>
    <row r="15">
      <c r="A15" s="12" t="s">
        <v>204</v>
      </c>
      <c r="B15" s="13" t="s">
        <v>107</v>
      </c>
      <c r="C15" s="10">
        <v>0.117</v>
      </c>
      <c r="D15" s="10">
        <v>0.095</v>
      </c>
      <c r="E15" s="10">
        <v>0.524</v>
      </c>
      <c r="F15" s="1"/>
      <c r="G15" s="1"/>
      <c r="H15" s="1"/>
      <c r="I15" s="1"/>
      <c r="J15" s="1"/>
      <c r="K15" s="1"/>
      <c r="L15" s="1"/>
      <c r="M15" s="1"/>
      <c r="N15" s="1" t="s">
        <v>380</v>
      </c>
    </row>
    <row r="16">
      <c r="A16" s="4" t="s">
        <v>92</v>
      </c>
      <c r="B16" s="29">
        <v>290.252</v>
      </c>
      <c r="C16" s="29">
        <v>509.991</v>
      </c>
      <c r="D16" s="29">
        <v>202.834</v>
      </c>
      <c r="E16" s="29">
        <v>373.516</v>
      </c>
      <c r="F16" s="1"/>
      <c r="G16" s="1"/>
      <c r="H16" s="1"/>
      <c r="I16" s="1"/>
      <c r="J16" s="1"/>
      <c r="K16" s="1"/>
      <c r="L16" s="1"/>
      <c r="M16" s="1"/>
      <c r="N16" s="1" t="s">
        <v>380</v>
      </c>
    </row>
    <row r="17">
      <c r="A17" s="36" t="s">
        <v>382</v>
      </c>
      <c r="B17" s="18">
        <f>N(B14)/B16</f>
        <v>0.026070449126965534</v>
      </c>
      <c r="C17" s="18">
        <f>N(C14)/C16</f>
        <v>0.6318366402544359</v>
      </c>
      <c r="D17" s="18">
        <f>N(D14)/D16</f>
        <v>0.4813936519518424</v>
      </c>
      <c r="E17" s="18">
        <f>N(E14)/E16</f>
        <v>0.5861087610704762</v>
      </c>
      <c r="F17" s="1"/>
      <c r="G17" s="1"/>
      <c r="H17" s="1"/>
      <c r="I17" s="1"/>
      <c r="J17" s="1"/>
      <c r="K17" s="1"/>
      <c r="L17" s="1"/>
      <c r="M17" s="1"/>
      <c r="N17" s="1"/>
    </row>
    <row r="18">
      <c r="A18" s="1"/>
      <c r="B18" s="1"/>
      <c r="C18" s="1"/>
      <c r="D18" s="1"/>
      <c r="E18" s="1"/>
      <c r="F18" s="1"/>
      <c r="G18" s="1"/>
      <c r="H18" s="1"/>
      <c r="I18" s="1"/>
      <c r="J18" s="1"/>
      <c r="K18" s="1"/>
      <c r="L18" s="1"/>
      <c r="M18" s="1"/>
      <c r="N18" s="1"/>
    </row>
    <row r="19">
      <c r="A19" s="4" t="s">
        <v>383</v>
      </c>
      <c r="B19" s="1"/>
      <c r="C19" s="1"/>
      <c r="D19" s="1"/>
      <c r="E19" s="1"/>
      <c r="F19" s="1"/>
      <c r="G19" s="1"/>
      <c r="H19" s="1"/>
      <c r="I19" s="1"/>
      <c r="J19" s="1"/>
      <c r="K19" s="1"/>
      <c r="L19" s="1"/>
      <c r="M19" s="1"/>
      <c r="N19" s="1"/>
    </row>
    <row r="20">
      <c r="A20" s="36" t="s">
        <v>384</v>
      </c>
      <c r="B20" s="93" t="s">
        <v>385</v>
      </c>
      <c r="C20" s="89">
        <v>0.62</v>
      </c>
      <c r="D20" s="89">
        <v>0.47</v>
      </c>
      <c r="E20" s="89">
        <v>0.49</v>
      </c>
      <c r="F20" s="1"/>
      <c r="G20" s="1"/>
      <c r="H20" s="1"/>
      <c r="I20" s="1"/>
      <c r="J20" s="1"/>
      <c r="K20" s="1"/>
      <c r="L20" s="1"/>
      <c r="M20" s="1"/>
      <c r="N20" s="1" t="s">
        <v>386</v>
      </c>
    </row>
    <row r="21">
      <c r="A21" s="36" t="s">
        <v>387</v>
      </c>
      <c r="B21" s="89">
        <v>0.85</v>
      </c>
      <c r="C21" s="89">
        <v>0.24</v>
      </c>
      <c r="D21" s="93"/>
      <c r="E21" s="93"/>
      <c r="F21" s="1"/>
      <c r="G21" s="1"/>
      <c r="H21" s="1"/>
      <c r="I21" s="1"/>
      <c r="J21" s="1"/>
      <c r="K21" s="1"/>
      <c r="L21" s="1"/>
      <c r="M21" s="1"/>
      <c r="N21" s="1" t="s">
        <v>388</v>
      </c>
    </row>
    <row r="22">
      <c r="A22" s="36" t="s">
        <v>389</v>
      </c>
      <c r="B22" s="93"/>
      <c r="C22" s="93"/>
      <c r="D22" s="93" t="s">
        <v>385</v>
      </c>
      <c r="E22" s="89">
        <v>0.2</v>
      </c>
      <c r="F22" s="1"/>
      <c r="G22" s="1"/>
      <c r="H22" s="1"/>
      <c r="I22" s="1"/>
      <c r="J22" s="1"/>
      <c r="K22" s="1"/>
      <c r="L22" s="1"/>
      <c r="M22" s="1"/>
      <c r="N22" s="1" t="s">
        <v>390</v>
      </c>
    </row>
    <row r="23">
      <c r="A23" s="36" t="s">
        <v>391</v>
      </c>
      <c r="B23" s="93"/>
      <c r="C23" s="93"/>
      <c r="D23" s="93" t="s">
        <v>385</v>
      </c>
      <c r="E23" s="93" t="s">
        <v>385</v>
      </c>
      <c r="F23" s="1"/>
      <c r="G23" s="1"/>
      <c r="H23" s="1"/>
      <c r="I23" s="1"/>
      <c r="J23" s="1"/>
      <c r="K23" s="1"/>
      <c r="L23" s="1"/>
      <c r="M23" s="1"/>
      <c r="N23" s="1" t="s">
        <v>392</v>
      </c>
    </row>
    <row r="24">
      <c r="A24" s="36" t="s">
        <v>393</v>
      </c>
      <c r="B24" s="93"/>
      <c r="C24" s="93"/>
      <c r="D24" s="89">
        <v>0.41</v>
      </c>
      <c r="E24" s="89">
        <v>0.1</v>
      </c>
      <c r="F24" s="1"/>
      <c r="G24" s="1"/>
      <c r="H24" s="1"/>
      <c r="I24" s="1"/>
      <c r="J24" s="1"/>
      <c r="K24" s="1"/>
      <c r="L24" s="1"/>
      <c r="M24" s="1"/>
      <c r="N24" s="1" t="s">
        <v>394</v>
      </c>
    </row>
    <row r="25">
      <c r="A25" s="12" t="s">
        <v>395</v>
      </c>
      <c r="B25" s="5"/>
      <c r="C25" s="5"/>
      <c r="D25" s="5"/>
      <c r="E25" s="5"/>
      <c r="F25" s="1"/>
      <c r="G25" s="1"/>
      <c r="H25" s="1"/>
      <c r="I25" s="1"/>
      <c r="J25" s="1"/>
      <c r="K25" s="1"/>
      <c r="L25" s="1"/>
      <c r="M25" s="1"/>
      <c r="N25" s="1"/>
    </row>
    <row r="26">
      <c r="A26" s="1"/>
      <c r="B26" s="1"/>
      <c r="C26" s="1"/>
      <c r="D26" s="1"/>
      <c r="E26" s="1"/>
      <c r="F26" s="1"/>
      <c r="G26" s="1"/>
      <c r="H26" s="1"/>
      <c r="I26" s="1"/>
      <c r="J26" s="1"/>
      <c r="K26" s="1"/>
      <c r="L26" s="1"/>
      <c r="M26" s="1"/>
      <c r="N26" s="1"/>
    </row>
    <row r="27">
      <c r="A27" s="4" t="s">
        <v>396</v>
      </c>
      <c r="B27" s="1"/>
      <c r="C27" s="1"/>
      <c r="D27" s="1"/>
      <c r="E27" s="1"/>
      <c r="F27" s="1"/>
      <c r="G27" s="1"/>
      <c r="H27" s="1"/>
      <c r="I27" s="1"/>
      <c r="J27" s="1"/>
      <c r="K27" s="1"/>
      <c r="L27" s="1"/>
      <c r="M27" s="1"/>
      <c r="N27" s="1"/>
    </row>
    <row r="28">
      <c r="A28" s="12" t="s">
        <v>93</v>
      </c>
      <c r="B28" s="10">
        <v>3.15</v>
      </c>
      <c r="C28" s="10">
        <v>12.699</v>
      </c>
      <c r="D28" s="10">
        <v>3.201</v>
      </c>
      <c r="E28" s="10">
        <v>28.353</v>
      </c>
      <c r="F28" s="1"/>
      <c r="G28" s="1"/>
      <c r="H28" s="1"/>
      <c r="I28" s="1"/>
      <c r="J28" s="1"/>
      <c r="K28" s="1"/>
      <c r="L28" s="1"/>
      <c r="M28" s="1"/>
      <c r="N28" s="1" t="s">
        <v>397</v>
      </c>
    </row>
    <row r="29">
      <c r="A29" s="12" t="s">
        <v>97</v>
      </c>
      <c r="B29" s="10">
        <v>6.536</v>
      </c>
      <c r="C29" s="10">
        <v>14.513</v>
      </c>
      <c r="D29" s="10">
        <v>4.55</v>
      </c>
      <c r="E29" s="10">
        <v>11.568</v>
      </c>
      <c r="F29" s="1"/>
      <c r="G29" s="1"/>
      <c r="H29" s="1"/>
      <c r="I29" s="1"/>
      <c r="J29" s="1"/>
      <c r="K29" s="1"/>
      <c r="L29" s="1"/>
      <c r="M29" s="1"/>
      <c r="N29" s="1" t="s">
        <v>397</v>
      </c>
    </row>
    <row r="30">
      <c r="A30" s="12" t="s">
        <v>98</v>
      </c>
      <c r="B30" s="10">
        <v>1.095</v>
      </c>
      <c r="C30" s="10">
        <v>7.186</v>
      </c>
      <c r="D30" s="10">
        <v>1.544</v>
      </c>
      <c r="E30" s="10">
        <v>1.639</v>
      </c>
      <c r="F30" s="1"/>
      <c r="G30" s="1"/>
      <c r="H30" s="1"/>
      <c r="I30" s="1"/>
      <c r="J30" s="1"/>
      <c r="K30" s="1"/>
      <c r="L30" s="1"/>
      <c r="M30" s="1"/>
      <c r="N30" s="1" t="s">
        <v>397</v>
      </c>
    </row>
    <row r="31">
      <c r="A31" s="12" t="s">
        <v>99</v>
      </c>
      <c r="B31" s="10">
        <v>0.756</v>
      </c>
      <c r="C31" s="10">
        <v>0.056</v>
      </c>
      <c r="D31" s="10">
        <v>0.02</v>
      </c>
      <c r="E31" s="10">
        <v>0.991</v>
      </c>
      <c r="F31" s="1"/>
      <c r="G31" s="1"/>
      <c r="H31" s="1"/>
      <c r="I31" s="1"/>
      <c r="J31" s="1"/>
      <c r="K31" s="1"/>
      <c r="L31" s="1"/>
      <c r="M31" s="1"/>
      <c r="N31" s="1" t="s">
        <v>397</v>
      </c>
    </row>
    <row r="32">
      <c r="A32" s="4" t="s">
        <v>398</v>
      </c>
      <c r="B32" s="29">
        <v>11.537</v>
      </c>
      <c r="C32" s="29">
        <v>34.454</v>
      </c>
      <c r="D32" s="29">
        <v>9.315</v>
      </c>
      <c r="E32" s="29">
        <v>42.551</v>
      </c>
      <c r="F32" s="1"/>
      <c r="G32" s="1"/>
      <c r="H32" s="1"/>
      <c r="I32" s="1"/>
      <c r="J32" s="1"/>
      <c r="K32" s="1"/>
      <c r="L32" s="1"/>
      <c r="M32" s="1"/>
      <c r="N32" s="1" t="s">
        <v>397</v>
      </c>
    </row>
    <row r="33">
      <c r="A33" s="1"/>
      <c r="B33" s="1"/>
      <c r="C33" s="1"/>
      <c r="D33" s="1"/>
      <c r="E33" s="1"/>
      <c r="F33" s="1"/>
      <c r="G33" s="1"/>
      <c r="H33" s="1"/>
      <c r="I33" s="1"/>
      <c r="J33" s="1"/>
      <c r="K33" s="1"/>
      <c r="L33" s="1"/>
      <c r="M33" s="1"/>
      <c r="N33" s="1"/>
    </row>
    <row r="34">
      <c r="A34" s="4" t="s">
        <v>399</v>
      </c>
      <c r="B34" s="1"/>
      <c r="C34" s="1"/>
      <c r="D34" s="1"/>
      <c r="E34" s="1"/>
      <c r="F34" s="1"/>
      <c r="G34" s="1"/>
      <c r="H34" s="1"/>
      <c r="I34" s="1"/>
      <c r="J34" s="1"/>
      <c r="K34" s="1"/>
      <c r="L34" s="1"/>
      <c r="M34" s="1"/>
      <c r="N34" s="1"/>
    </row>
    <row r="35">
      <c r="A35" s="12" t="s">
        <v>93</v>
      </c>
      <c r="B35" s="10">
        <v>0.921</v>
      </c>
      <c r="C35" s="10">
        <v>0.827</v>
      </c>
      <c r="D35" s="10">
        <v>0.513</v>
      </c>
      <c r="E35" s="10">
        <v>16.303</v>
      </c>
      <c r="F35" s="1"/>
      <c r="G35" s="1"/>
      <c r="H35" s="1"/>
      <c r="I35" s="1"/>
      <c r="J35" s="1"/>
      <c r="K35" s="1"/>
      <c r="L35" s="1"/>
      <c r="M35" s="1"/>
      <c r="N35" s="1" t="s">
        <v>400</v>
      </c>
    </row>
    <row r="36">
      <c r="A36" s="12" t="s">
        <v>97</v>
      </c>
      <c r="B36" s="10">
        <v>41.397</v>
      </c>
      <c r="C36" s="10">
        <v>32.154</v>
      </c>
      <c r="D36" s="10">
        <v>15.013</v>
      </c>
      <c r="E36" s="10">
        <v>227.846</v>
      </c>
      <c r="F36" s="1"/>
      <c r="G36" s="1"/>
      <c r="H36" s="1"/>
      <c r="I36" s="1"/>
      <c r="J36" s="1"/>
      <c r="K36" s="1"/>
      <c r="L36" s="1"/>
      <c r="M36" s="1"/>
      <c r="N36" s="1" t="s">
        <v>400</v>
      </c>
    </row>
    <row r="37">
      <c r="A37" s="12" t="s">
        <v>98</v>
      </c>
      <c r="B37" s="10">
        <v>8.723</v>
      </c>
      <c r="C37" s="10">
        <v>9.95</v>
      </c>
      <c r="D37" s="10">
        <v>3.482</v>
      </c>
      <c r="E37" s="10">
        <v>72.847</v>
      </c>
      <c r="F37" s="1"/>
      <c r="G37" s="1"/>
      <c r="H37" s="1"/>
      <c r="I37" s="1"/>
      <c r="J37" s="1"/>
      <c r="K37" s="1"/>
      <c r="L37" s="1"/>
      <c r="M37" s="1"/>
      <c r="N37" s="1" t="s">
        <v>400</v>
      </c>
    </row>
    <row r="38">
      <c r="A38" s="12" t="s">
        <v>99</v>
      </c>
      <c r="B38" s="10">
        <v>7.523</v>
      </c>
      <c r="C38" s="10">
        <v>6.836</v>
      </c>
      <c r="D38" s="10">
        <v>3.427</v>
      </c>
      <c r="E38" s="10">
        <v>69.605</v>
      </c>
      <c r="F38" s="1"/>
      <c r="G38" s="1"/>
      <c r="H38" s="1"/>
      <c r="I38" s="1"/>
      <c r="J38" s="1"/>
      <c r="K38" s="1"/>
      <c r="L38" s="1"/>
      <c r="M38" s="1"/>
      <c r="N38" s="1" t="s">
        <v>400</v>
      </c>
    </row>
    <row r="39">
      <c r="A39" s="4" t="s">
        <v>401</v>
      </c>
      <c r="B39" s="29">
        <v>58.564</v>
      </c>
      <c r="C39" s="29">
        <v>49.767</v>
      </c>
      <c r="D39" s="29">
        <v>22.435</v>
      </c>
      <c r="E39" s="29">
        <v>386.601</v>
      </c>
      <c r="F39" s="1"/>
      <c r="G39" s="1"/>
      <c r="H39" s="1"/>
      <c r="I39" s="1"/>
      <c r="J39" s="1"/>
      <c r="K39" s="1"/>
      <c r="L39" s="1"/>
      <c r="M39" s="1"/>
      <c r="N39" s="1" t="s">
        <v>400</v>
      </c>
    </row>
    <row r="40">
      <c r="A40" s="1"/>
      <c r="B40" s="1"/>
      <c r="C40" s="1"/>
      <c r="D40" s="1"/>
      <c r="E40" s="1"/>
      <c r="F40" s="1"/>
      <c r="G40" s="1"/>
      <c r="H40" s="1"/>
      <c r="I40" s="1"/>
      <c r="J40" s="1"/>
      <c r="K40" s="1"/>
      <c r="L40" s="1"/>
      <c r="M40" s="1"/>
      <c r="N40" s="1"/>
    </row>
    <row r="41">
      <c r="A41" s="4" t="s">
        <v>402</v>
      </c>
      <c r="B41" s="1"/>
      <c r="C41" s="1"/>
      <c r="D41" s="1"/>
      <c r="E41" s="1"/>
      <c r="F41" s="1"/>
      <c r="G41" s="1"/>
      <c r="H41" s="1"/>
      <c r="I41" s="1"/>
      <c r="J41" s="1"/>
      <c r="K41" s="1"/>
      <c r="L41" s="1"/>
      <c r="M41" s="1"/>
      <c r="N41" s="1" t="s">
        <v>403</v>
      </c>
    </row>
    <row r="42">
      <c r="A42" s="12" t="s">
        <v>404</v>
      </c>
      <c r="B42" s="5">
        <f>N(IS_Hist!B12)-B35*N(IS_Hist!B12)/N(IS_Hist!B14)</f>
        <v>136.55506303950716</v>
      </c>
      <c r="C42" s="5">
        <f>N(IS_Hist!C12)-C35*N(IS_Hist!C12)/N(IS_Hist!C14)</f>
        <v>204.20140672198636</v>
      </c>
      <c r="D42" s="5">
        <f>N(IS_Hist!D12)-D35*N(IS_Hist!D12)/N(IS_Hist!D14)</f>
        <v>94.68135817115952</v>
      </c>
      <c r="E42" s="5">
        <f>N(IS_Hist!E12)-E35*N(IS_Hist!E12)/N(IS_Hist!E14)</f>
        <v>110.71880089082096</v>
      </c>
      <c r="F42" s="1"/>
      <c r="G42" s="1"/>
      <c r="H42" s="1"/>
      <c r="I42" s="1"/>
      <c r="J42" s="1"/>
      <c r="K42" s="1"/>
      <c r="L42" s="1"/>
      <c r="M42" s="1"/>
      <c r="N42" s="1"/>
    </row>
    <row r="43">
      <c r="A43" s="12" t="s">
        <v>405</v>
      </c>
      <c r="B43" s="5">
        <f>N(IS_Hist!B13)-B28-B35*N(IS_Hist!B13)/N(IS_Hist!B14)</f>
        <v>26.887936960492855</v>
      </c>
      <c r="C43" s="5">
        <f>N(IS_Hist!C13)-C28-C35*N(IS_Hist!C13)/N(IS_Hist!C14)</f>
        <v>93.19259327801365</v>
      </c>
      <c r="D43" s="5">
        <f>N(IS_Hist!D13)-D28-D35*N(IS_Hist!D13)/N(IS_Hist!D14)</f>
        <v>30.735641828840482</v>
      </c>
      <c r="E43" s="5">
        <f>N(IS_Hist!E13)-E28-E35*N(IS_Hist!E13)/N(IS_Hist!E14)</f>
        <v>106.40619910917904</v>
      </c>
      <c r="F43" s="1"/>
      <c r="G43" s="1"/>
      <c r="H43" s="1"/>
      <c r="I43" s="1"/>
      <c r="J43" s="1"/>
      <c r="K43" s="1"/>
      <c r="L43" s="1"/>
      <c r="M43" s="1"/>
      <c r="N43" s="1"/>
    </row>
    <row r="44">
      <c r="A44" s="4" t="s">
        <v>406</v>
      </c>
      <c r="B44" s="22">
        <f>B42+B43</f>
        <v>163.443</v>
      </c>
      <c r="C44" s="22">
        <f>C42+C43</f>
        <v>297.394</v>
      </c>
      <c r="D44" s="22">
        <f>D42+D43</f>
        <v>125.417</v>
      </c>
      <c r="E44" s="22">
        <f>E42+E43</f>
        <v>217.125</v>
      </c>
      <c r="F44" s="1"/>
      <c r="G44" s="1"/>
      <c r="H44" s="1"/>
      <c r="I44" s="1"/>
      <c r="J44" s="1"/>
      <c r="K44" s="1"/>
      <c r="L44" s="1"/>
      <c r="M44" s="1"/>
      <c r="N44" s="1"/>
    </row>
    <row r="45">
      <c r="A45" s="36" t="s">
        <v>407</v>
      </c>
      <c r="B45" s="18">
        <f>1-B42/N(IS_Hist!B7)</f>
        <v>0.35576598476396026</v>
      </c>
      <c r="C45" s="18">
        <f>1-C42/N(IS_Hist!C7)</f>
        <v>0.43030519271848466</v>
      </c>
      <c r="D45" s="18">
        <f>1-D42/N(IS_Hist!D7)</f>
        <v>0.32355480019747573</v>
      </c>
      <c r="E45" s="18">
        <f>1-E42/N(IS_Hist!E7)</f>
        <v>0.3278036761691864</v>
      </c>
      <c r="F45" s="1"/>
      <c r="G45" s="1"/>
      <c r="H45" s="1"/>
      <c r="I45" s="1"/>
      <c r="J45" s="1"/>
      <c r="K45" s="1"/>
      <c r="L45" s="1"/>
      <c r="M45" s="1"/>
      <c r="N45" s="1"/>
    </row>
    <row r="46">
      <c r="A46" s="36" t="s">
        <v>408</v>
      </c>
      <c r="B46" s="18">
        <f>1-B43/N(IS_Hist!B8)</f>
        <v>0.6565465918927427</v>
      </c>
      <c r="C46" s="18">
        <f>1-C43/N(IS_Hist!C8)</f>
        <v>0.38507437576780323</v>
      </c>
      <c r="D46" s="18">
        <f>1-D43/N(IS_Hist!D8)</f>
        <v>0.5110849943714232</v>
      </c>
      <c r="E46" s="18">
        <f>1-E43/N(IS_Hist!E8)</f>
        <v>0.4904015291413045</v>
      </c>
      <c r="F46" s="1"/>
      <c r="G46" s="1"/>
      <c r="H46" s="1"/>
      <c r="I46" s="1"/>
      <c r="J46" s="1"/>
      <c r="K46" s="1"/>
      <c r="L46" s="1"/>
      <c r="M46" s="1"/>
      <c r="N46" s="1"/>
    </row>
    <row r="47">
      <c r="A47" s="36" t="s">
        <v>409</v>
      </c>
      <c r="B47" s="18">
        <f>N(IS_Hist!B15)/N(IS_Hist!B9)</f>
        <v>0.42286702589473973</v>
      </c>
      <c r="C47" s="18">
        <f>N(IS_Hist!C15)/N(IS_Hist!C9)</f>
        <v>0.39034218250910313</v>
      </c>
      <c r="D47" s="18">
        <f>N(IS_Hist!D15)/N(IS_Hist!D9)</f>
        <v>0.3633661023299841</v>
      </c>
      <c r="E47" s="18">
        <f>N(IS_Hist!E15)/N(IS_Hist!E9)</f>
        <v>0.2991438117778087</v>
      </c>
      <c r="F47" s="1"/>
      <c r="G47" s="1"/>
      <c r="H47" s="1"/>
      <c r="I47" s="1"/>
      <c r="J47" s="1"/>
      <c r="K47" s="1"/>
      <c r="L47" s="1"/>
      <c r="M47" s="1"/>
      <c r="N47" s="1"/>
    </row>
    <row r="48">
      <c r="A48" s="36" t="s">
        <v>410</v>
      </c>
      <c r="B48" s="45"/>
      <c r="C48" s="45"/>
      <c r="D48" s="18">
        <f>1-(N(Quarterly_Hist!K12)-N(Quarterly_Hist!K29)*N(Quarterly_Hist!K12)/N(Quarterly_Hist!K14))/N(Quarterly_Hist!K7)</f>
        <v>0.11561547357378377</v>
      </c>
      <c r="E48" s="18">
        <f>1-(N(Quarterly_Hist!K12)-N(Quarterly_Hist!K29)*N(Quarterly_Hist!K12)/N(Quarterly_Hist!K14))/(N(Quarterly_Hist!K7)+28.0)</f>
        <v>0.41716282242038505</v>
      </c>
      <c r="F48" s="1"/>
      <c r="G48" s="1"/>
      <c r="H48" s="1"/>
      <c r="I48" s="1"/>
      <c r="J48" s="1"/>
      <c r="K48" s="1"/>
      <c r="L48" s="1"/>
      <c r="M48" s="1"/>
      <c r="N48" s="1" t="s">
        <v>411</v>
      </c>
    </row>
    <row r="49">
      <c r="A49" s="36" t="s">
        <v>412</v>
      </c>
      <c r="B49" s="45"/>
      <c r="C49" s="45"/>
      <c r="D49" s="45"/>
      <c r="E49" s="18">
        <f>1-(N(Quarterly_Hist!K13)-N(Quarterly_Hist!K33)-N(Quarterly_Hist!K29)*N(Quarterly_Hist!K13)/N(Quarterly_Hist!K14))/N(Quarterly_Hist!K8)</f>
        <v>0.42175239648594265</v>
      </c>
      <c r="F49" s="1"/>
      <c r="G49" s="1"/>
      <c r="H49" s="1"/>
      <c r="I49" s="1"/>
      <c r="J49" s="1"/>
      <c r="K49" s="1"/>
      <c r="L49" s="1"/>
      <c r="M49" s="1"/>
      <c r="N49" s="1"/>
    </row>
    <row r="50">
      <c r="A50" s="12" t="s">
        <v>413</v>
      </c>
      <c r="B50" s="5">
        <f>N(IS_Hist!B18)-B36-B29</f>
        <v>110.30100000000002</v>
      </c>
      <c r="C50" s="5">
        <f>N(IS_Hist!C18)-C36-C29</f>
        <v>196.652</v>
      </c>
      <c r="D50" s="5">
        <f>N(IS_Hist!D18)-D36-D29</f>
        <v>93.956</v>
      </c>
      <c r="E50" s="5">
        <f>N(IS_Hist!E18)-E36-E29</f>
        <v>156.232</v>
      </c>
      <c r="F50" s="1"/>
      <c r="G50" s="1"/>
      <c r="H50" s="1"/>
      <c r="I50" s="1"/>
      <c r="J50" s="1"/>
      <c r="K50" s="1"/>
      <c r="L50" s="1"/>
      <c r="M50" s="1"/>
      <c r="N50" s="1"/>
    </row>
    <row r="51">
      <c r="A51" s="86" t="s">
        <v>414</v>
      </c>
      <c r="B51" s="18">
        <f>B50/N(IS_Hist!B9)</f>
        <v>0.3800180532778414</v>
      </c>
      <c r="C51" s="18">
        <f>C50/N(IS_Hist!C9)</f>
        <v>0.3855989615503019</v>
      </c>
      <c r="D51" s="18">
        <f>D50/N(IS_Hist!D9)</f>
        <v>0.46321622607649604</v>
      </c>
      <c r="E51" s="18">
        <f>E50/N(IS_Hist!E9)</f>
        <v>0.4182739159768256</v>
      </c>
      <c r="F51" s="1"/>
      <c r="G51" s="1"/>
      <c r="H51" s="1"/>
      <c r="I51" s="1"/>
      <c r="J51" s="1"/>
      <c r="K51" s="1"/>
      <c r="L51" s="1"/>
      <c r="M51" s="1"/>
      <c r="N51" s="1"/>
    </row>
    <row r="52">
      <c r="A52" s="12" t="s">
        <v>415</v>
      </c>
      <c r="B52" s="5">
        <f>N(IS_Hist!B19)-B37-B30</f>
        <v>11.161999999999999</v>
      </c>
      <c r="C52" s="5">
        <f>N(IS_Hist!C19)-C37-C30</f>
        <v>53.50899999999999</v>
      </c>
      <c r="D52" s="5">
        <f>N(IS_Hist!D19)-D37-D30</f>
        <v>23.528</v>
      </c>
      <c r="E52" s="5">
        <f>N(IS_Hist!E19)-E37-E30</f>
        <v>27.184000000000008</v>
      </c>
      <c r="F52" s="1"/>
      <c r="G52" s="1"/>
      <c r="H52" s="1"/>
      <c r="I52" s="1"/>
      <c r="J52" s="1"/>
      <c r="K52" s="1"/>
      <c r="L52" s="1"/>
      <c r="M52" s="1"/>
      <c r="N52" s="1"/>
    </row>
    <row r="53">
      <c r="A53" s="86" t="s">
        <v>414</v>
      </c>
      <c r="B53" s="18">
        <f>B52/N(IS_Hist!B9)</f>
        <v>0.03845623802764494</v>
      </c>
      <c r="C53" s="18">
        <f>C52/N(IS_Hist!C9)</f>
        <v>0.1049214593983031</v>
      </c>
      <c r="D53" s="18">
        <f>D52/N(IS_Hist!D9)</f>
        <v>0.11599633197590146</v>
      </c>
      <c r="E53" s="18">
        <f>E52/N(IS_Hist!E9)</f>
        <v>0.07277867614774201</v>
      </c>
      <c r="F53" s="1"/>
      <c r="G53" s="1"/>
      <c r="H53" s="1"/>
      <c r="I53" s="1"/>
      <c r="J53" s="1"/>
      <c r="K53" s="1"/>
      <c r="L53" s="1"/>
      <c r="M53" s="1"/>
      <c r="N53" s="1"/>
    </row>
    <row r="54">
      <c r="A54" s="12" t="s">
        <v>416</v>
      </c>
      <c r="B54" s="5">
        <f>N(IS_Hist!B20)-B38-B31</f>
        <v>36.68300000000001</v>
      </c>
      <c r="C54" s="5">
        <f>N(IS_Hist!C20)-C38-C31</f>
        <v>24.077</v>
      </c>
      <c r="D54" s="5">
        <f>N(IS_Hist!D20)-D38-D31</f>
        <v>13.835</v>
      </c>
      <c r="E54" s="5">
        <f>N(IS_Hist!E20)-E38-E31</f>
        <v>36.09299999999999</v>
      </c>
      <c r="F54" s="1"/>
      <c r="G54" s="1"/>
      <c r="H54" s="1"/>
      <c r="I54" s="1"/>
      <c r="J54" s="1"/>
      <c r="K54" s="1"/>
      <c r="L54" s="1"/>
      <c r="M54" s="1"/>
      <c r="N54" s="1"/>
    </row>
    <row r="55">
      <c r="A55" s="86" t="s">
        <v>414</v>
      </c>
      <c r="B55" s="18">
        <f>B54/N(IS_Hist!B9)</f>
        <v>0.126383280735361</v>
      </c>
      <c r="C55" s="18">
        <f>C54/N(IS_Hist!C9)</f>
        <v>0.047210637050457756</v>
      </c>
      <c r="D55" s="18">
        <f>D54/N(IS_Hist!D9)</f>
        <v>0.06820848575682578</v>
      </c>
      <c r="E55" s="18">
        <f>E54/N(IS_Hist!E9)</f>
        <v>0.09663039869777998</v>
      </c>
      <c r="F55" s="1"/>
      <c r="G55" s="1"/>
      <c r="H55" s="1"/>
      <c r="I55" s="1"/>
      <c r="J55" s="1"/>
      <c r="K55" s="1"/>
      <c r="L55" s="1"/>
      <c r="M55" s="1"/>
      <c r="N55" s="1"/>
    </row>
    <row r="56">
      <c r="A56" s="1"/>
      <c r="B56" s="1"/>
      <c r="C56" s="1"/>
      <c r="D56" s="1"/>
      <c r="E56" s="1"/>
      <c r="F56" s="1"/>
      <c r="G56" s="1"/>
      <c r="H56" s="1"/>
      <c r="I56" s="1"/>
      <c r="J56" s="1"/>
      <c r="K56" s="1"/>
      <c r="L56" s="1"/>
      <c r="M56" s="1"/>
      <c r="N56" s="1"/>
    </row>
    <row r="57">
      <c r="A57" s="4" t="s">
        <v>417</v>
      </c>
      <c r="B57" s="1"/>
      <c r="C57" s="1"/>
      <c r="D57" s="1"/>
      <c r="E57" s="1"/>
      <c r="F57" s="1"/>
      <c r="G57" s="1"/>
      <c r="H57" s="1"/>
      <c r="I57" s="1"/>
      <c r="J57" s="1"/>
      <c r="K57" s="1"/>
      <c r="L57" s="1"/>
      <c r="M57" s="1"/>
      <c r="N57" s="1"/>
    </row>
    <row r="58">
      <c r="A58" s="12" t="s">
        <v>418</v>
      </c>
      <c r="B58" s="10">
        <v>23.228</v>
      </c>
      <c r="C58" s="10">
        <v>26.802</v>
      </c>
      <c r="D58" s="10">
        <v>11.833</v>
      </c>
      <c r="E58" s="10">
        <v>71.571</v>
      </c>
      <c r="F58" s="1"/>
      <c r="G58" s="1"/>
      <c r="H58" s="1"/>
      <c r="I58" s="1"/>
      <c r="J58" s="1"/>
      <c r="K58" s="1"/>
      <c r="L58" s="1"/>
      <c r="M58" s="1"/>
      <c r="N58" s="1" t="s">
        <v>419</v>
      </c>
    </row>
    <row r="59">
      <c r="A59" s="12" t="s">
        <v>420</v>
      </c>
      <c r="B59" s="13"/>
      <c r="C59" s="13"/>
      <c r="D59" s="13" t="s">
        <v>107</v>
      </c>
      <c r="E59" s="10">
        <v>-38.602</v>
      </c>
      <c r="F59" s="1"/>
      <c r="G59" s="1"/>
      <c r="H59" s="1"/>
      <c r="I59" s="1"/>
      <c r="J59" s="1"/>
      <c r="K59" s="1"/>
      <c r="L59" s="1"/>
      <c r="M59" s="1"/>
      <c r="N59" s="1" t="s">
        <v>421</v>
      </c>
    </row>
    <row r="60">
      <c r="A60" s="12" t="s">
        <v>422</v>
      </c>
      <c r="B60" s="10">
        <v>-401.264</v>
      </c>
      <c r="C60" s="10">
        <v>363.336</v>
      </c>
      <c r="D60" s="10">
        <v>363.336</v>
      </c>
      <c r="E60" s="13" t="s">
        <v>107</v>
      </c>
      <c r="F60" s="1"/>
      <c r="G60" s="1"/>
      <c r="H60" s="1"/>
      <c r="I60" s="1"/>
      <c r="J60" s="1"/>
      <c r="K60" s="1"/>
      <c r="L60" s="1"/>
      <c r="M60" s="1"/>
      <c r="N60" s="1"/>
    </row>
    <row r="61">
      <c r="A61" s="12" t="s">
        <v>204</v>
      </c>
      <c r="B61" s="10">
        <v>-0.201</v>
      </c>
      <c r="C61" s="10">
        <v>0.608</v>
      </c>
      <c r="D61" s="10">
        <v>-0.525</v>
      </c>
      <c r="E61" s="10">
        <v>-3.462</v>
      </c>
      <c r="F61" s="1"/>
      <c r="G61" s="1"/>
      <c r="H61" s="1"/>
      <c r="I61" s="1"/>
      <c r="J61" s="1"/>
      <c r="K61" s="1"/>
      <c r="L61" s="1"/>
      <c r="M61" s="1"/>
      <c r="N61" s="1" t="s">
        <v>423</v>
      </c>
    </row>
    <row r="62">
      <c r="A62" s="4" t="s">
        <v>424</v>
      </c>
      <c r="B62" s="29">
        <v>-378.237</v>
      </c>
      <c r="C62" s="29">
        <v>390.746</v>
      </c>
      <c r="D62" s="29">
        <v>374.644</v>
      </c>
      <c r="E62" s="29">
        <v>29.507</v>
      </c>
      <c r="F62" s="1"/>
      <c r="G62" s="1"/>
      <c r="H62" s="1"/>
      <c r="I62" s="1"/>
      <c r="J62" s="1"/>
      <c r="K62" s="1"/>
      <c r="L62" s="1"/>
      <c r="M62" s="1"/>
      <c r="N62" s="1"/>
    </row>
    <row r="63">
      <c r="A63" s="1"/>
      <c r="B63" s="1"/>
      <c r="C63" s="1"/>
      <c r="D63" s="1"/>
      <c r="E63" s="1"/>
      <c r="F63" s="1"/>
      <c r="G63" s="1"/>
      <c r="H63" s="1"/>
      <c r="I63" s="1"/>
      <c r="J63" s="1"/>
      <c r="K63" s="1"/>
      <c r="L63" s="1"/>
      <c r="M63" s="1"/>
      <c r="N63" s="1"/>
    </row>
    <row r="64">
      <c r="A64" s="4" t="s">
        <v>425</v>
      </c>
      <c r="B64" s="1"/>
      <c r="C64" s="1"/>
      <c r="D64" s="1"/>
      <c r="E64" s="1"/>
      <c r="F64" s="1"/>
      <c r="G64" s="1"/>
      <c r="H64" s="1"/>
      <c r="I64" s="1"/>
      <c r="J64" s="1"/>
      <c r="K64" s="1"/>
      <c r="L64" s="1"/>
      <c r="M64" s="1"/>
      <c r="N64" s="1"/>
    </row>
    <row r="65">
      <c r="A65" s="12" t="s">
        <v>426</v>
      </c>
      <c r="B65" s="1"/>
      <c r="C65" s="1"/>
      <c r="D65" s="1"/>
      <c r="E65" s="15">
        <v>74.4</v>
      </c>
      <c r="F65" s="1"/>
      <c r="G65" s="1"/>
      <c r="H65" s="1"/>
      <c r="I65" s="1"/>
      <c r="J65" s="1"/>
      <c r="K65" s="1"/>
      <c r="L65" s="1"/>
      <c r="M65" s="1"/>
      <c r="N65" s="1" t="s">
        <v>427</v>
      </c>
    </row>
    <row r="66">
      <c r="A66" s="79" t="s">
        <v>428</v>
      </c>
      <c r="B66" s="1"/>
      <c r="C66" s="1"/>
      <c r="D66" s="1"/>
      <c r="E66" s="15">
        <v>56.8</v>
      </c>
      <c r="F66" s="1"/>
      <c r="G66" s="1"/>
      <c r="H66" s="1"/>
      <c r="I66" s="1"/>
      <c r="J66" s="1"/>
      <c r="K66" s="1"/>
      <c r="L66" s="1"/>
      <c r="M66" s="1"/>
      <c r="N66" s="1" t="s">
        <v>429</v>
      </c>
    </row>
    <row r="67">
      <c r="A67" s="12" t="s">
        <v>430</v>
      </c>
      <c r="B67" s="1"/>
      <c r="C67" s="1"/>
      <c r="D67" s="1"/>
      <c r="E67" s="5">
        <f>N(IS_Hist!E8)-E65</f>
        <v>134.404</v>
      </c>
      <c r="F67" s="1"/>
      <c r="G67" s="1"/>
      <c r="H67" s="1"/>
      <c r="I67" s="1"/>
      <c r="J67" s="1"/>
      <c r="K67" s="1"/>
      <c r="L67" s="1"/>
      <c r="M67" s="1"/>
      <c r="N67" s="1"/>
    </row>
    <row r="68">
      <c r="A68" s="12" t="s">
        <v>431</v>
      </c>
      <c r="B68" s="1"/>
      <c r="C68" s="1"/>
      <c r="D68" s="1"/>
      <c r="E68" s="17">
        <f>N(CF_Hist!E10)</f>
        <v>46.315</v>
      </c>
      <c r="F68" s="1"/>
      <c r="G68" s="1"/>
      <c r="H68" s="1"/>
      <c r="I68" s="1"/>
      <c r="J68" s="1"/>
      <c r="K68" s="1"/>
      <c r="L68" s="1"/>
      <c r="M68" s="1"/>
      <c r="N68" s="1" t="s">
        <v>432</v>
      </c>
    </row>
    <row r="69">
      <c r="A69" s="1"/>
      <c r="B69" s="1"/>
      <c r="C69" s="1"/>
      <c r="D69" s="1"/>
      <c r="E69" s="1"/>
      <c r="F69" s="1"/>
      <c r="G69" s="1"/>
      <c r="H69" s="1"/>
      <c r="I69" s="1"/>
      <c r="J69" s="1"/>
      <c r="K69" s="1"/>
      <c r="L69" s="1"/>
      <c r="M69" s="1"/>
      <c r="N69" s="1"/>
    </row>
    <row r="70">
      <c r="A70" s="4" t="s">
        <v>433</v>
      </c>
      <c r="B70" s="1"/>
      <c r="C70" s="1"/>
      <c r="D70" s="1"/>
      <c r="E70" s="1"/>
      <c r="F70" s="1"/>
      <c r="G70" s="1"/>
      <c r="H70" s="1"/>
      <c r="I70" s="1"/>
      <c r="J70" s="1"/>
      <c r="K70" s="1"/>
      <c r="L70" s="1"/>
      <c r="M70" s="1"/>
      <c r="N70" s="1"/>
    </row>
    <row r="71">
      <c r="A71" s="12" t="s">
        <v>434</v>
      </c>
      <c r="B71" s="15">
        <v>-42.874</v>
      </c>
      <c r="C71" s="15">
        <v>-96.095</v>
      </c>
      <c r="D71" s="5"/>
      <c r="E71" s="5"/>
      <c r="F71" s="1"/>
      <c r="G71" s="1"/>
      <c r="H71" s="1"/>
      <c r="I71" s="1"/>
      <c r="J71" s="1"/>
      <c r="K71" s="1"/>
      <c r="L71" s="1"/>
      <c r="M71" s="1"/>
      <c r="N71" s="1" t="s">
        <v>435</v>
      </c>
    </row>
    <row r="72">
      <c r="A72" s="12" t="s">
        <v>436</v>
      </c>
      <c r="B72" s="5"/>
      <c r="C72" s="5"/>
      <c r="D72" s="15">
        <v>-63.217</v>
      </c>
      <c r="E72" s="15">
        <v>-37.125</v>
      </c>
      <c r="F72" s="1"/>
      <c r="G72" s="1"/>
      <c r="H72" s="1"/>
      <c r="I72" s="1"/>
      <c r="J72" s="1"/>
      <c r="K72" s="1"/>
      <c r="L72" s="1"/>
      <c r="M72" s="1"/>
      <c r="N72" s="1" t="s">
        <v>437</v>
      </c>
    </row>
    <row r="73">
      <c r="A73" s="12" t="s">
        <v>438</v>
      </c>
      <c r="B73" s="5"/>
      <c r="C73" s="5"/>
      <c r="D73" s="5"/>
      <c r="E73" s="15">
        <v>22.778</v>
      </c>
      <c r="F73" s="1"/>
      <c r="G73" s="1"/>
      <c r="H73" s="1"/>
      <c r="I73" s="1"/>
      <c r="J73" s="1"/>
      <c r="K73" s="1"/>
      <c r="L73" s="1"/>
      <c r="M73" s="1"/>
      <c r="N73" s="1" t="s">
        <v>439</v>
      </c>
    </row>
    <row r="74">
      <c r="A74" s="1"/>
      <c r="B74" s="1"/>
      <c r="C74" s="1"/>
      <c r="D74" s="1"/>
      <c r="E74" s="1"/>
      <c r="F74" s="1"/>
      <c r="G74" s="1"/>
      <c r="H74" s="1"/>
      <c r="I74" s="1"/>
      <c r="J74" s="1"/>
      <c r="K74" s="1"/>
      <c r="L74" s="1"/>
      <c r="M74" s="1"/>
      <c r="N74" s="1"/>
    </row>
    <row r="75">
      <c r="A75" s="4" t="s">
        <v>127</v>
      </c>
      <c r="B75" s="1"/>
      <c r="C75" s="1"/>
      <c r="D75" s="1"/>
      <c r="E75" s="1"/>
      <c r="F75" s="1"/>
      <c r="G75" s="1"/>
      <c r="H75" s="1"/>
      <c r="I75" s="1"/>
      <c r="J75" s="1"/>
      <c r="K75" s="1"/>
      <c r="L75" s="1"/>
      <c r="M75" s="1"/>
      <c r="N75" s="1"/>
    </row>
    <row r="76">
      <c r="A76" s="12" t="s">
        <v>440</v>
      </c>
      <c r="B76" s="14">
        <f>SUM(B7,B8,B9)-N(IS_Hist!B9)</f>
        <v>0</v>
      </c>
      <c r="C76" s="14">
        <f>SUM(C7,C8,C9)-N(IS_Hist!C9)</f>
        <v>0</v>
      </c>
      <c r="D76" s="14">
        <f>SUM(D7,D8,D9)-N(IS_Hist!D9)</f>
        <v>0</v>
      </c>
      <c r="E76" s="14">
        <f>SUM(E7,E8,E9)-N(IS_Hist!E9)</f>
        <v>0</v>
      </c>
      <c r="F76" s="1"/>
      <c r="G76" s="1"/>
      <c r="H76" s="1"/>
      <c r="I76" s="1"/>
      <c r="J76" s="1"/>
      <c r="K76" s="1"/>
      <c r="L76" s="1"/>
      <c r="M76" s="1"/>
      <c r="N76" s="1"/>
    </row>
    <row r="77">
      <c r="A77" s="12" t="s">
        <v>441</v>
      </c>
      <c r="B77" s="14">
        <f>SUM(B13,B14,B15)-N(IS_Hist!B9)</f>
        <v>0</v>
      </c>
      <c r="C77" s="14">
        <f>SUM(C13,C14,C15)-N(IS_Hist!C9)</f>
        <v>0</v>
      </c>
      <c r="D77" s="14">
        <f>SUM(D13,D14,D15)-N(IS_Hist!D9)</f>
        <v>0</v>
      </c>
      <c r="E77" s="14">
        <f>SUM(E13,E14,E15)-N(IS_Hist!E9)</f>
        <v>0</v>
      </c>
      <c r="F77" s="1"/>
      <c r="G77" s="1"/>
      <c r="H77" s="1"/>
      <c r="I77" s="1"/>
      <c r="J77" s="1"/>
      <c r="K77" s="1"/>
      <c r="L77" s="1"/>
      <c r="M77" s="1"/>
      <c r="N77" s="1"/>
    </row>
    <row r="78">
      <c r="A78" s="12" t="s">
        <v>442</v>
      </c>
      <c r="B78" s="14">
        <f>B7-N(IS_Hist!B7)</f>
        <v>0</v>
      </c>
      <c r="C78" s="14">
        <f>C7-N(IS_Hist!C7)</f>
        <v>0</v>
      </c>
      <c r="D78" s="14">
        <f>D7-N(IS_Hist!D7)</f>
        <v>0</v>
      </c>
      <c r="E78" s="14">
        <f>E7-N(IS_Hist!E7)</f>
        <v>0</v>
      </c>
      <c r="F78" s="1"/>
      <c r="G78" s="1"/>
      <c r="H78" s="1"/>
      <c r="I78" s="1"/>
      <c r="J78" s="1"/>
      <c r="K78" s="1"/>
      <c r="L78" s="1"/>
      <c r="M78" s="1"/>
      <c r="N78" s="1"/>
    </row>
    <row r="79">
      <c r="A79" s="12" t="s">
        <v>443</v>
      </c>
      <c r="B79" s="14">
        <f>B32-N(CF_Hist!B8)</f>
        <v>0</v>
      </c>
      <c r="C79" s="14">
        <f>C32-N(CF_Hist!C8)</f>
        <v>0</v>
      </c>
      <c r="D79" s="14">
        <f>D32-N(CF_Hist!D8)</f>
        <v>0</v>
      </c>
      <c r="E79" s="14">
        <f>E32-N(CF_Hist!E8)</f>
        <v>0</v>
      </c>
      <c r="F79" s="1"/>
      <c r="G79" s="1"/>
      <c r="H79" s="1"/>
      <c r="I79" s="1"/>
      <c r="J79" s="1"/>
      <c r="K79" s="1"/>
      <c r="L79" s="1"/>
      <c r="M79" s="1"/>
      <c r="N79" s="1"/>
    </row>
    <row r="80">
      <c r="A80" s="12" t="s">
        <v>444</v>
      </c>
      <c r="B80" s="14">
        <f>SUM(B28,B29,B30,B31)-B32</f>
        <v>0</v>
      </c>
      <c r="C80" s="14">
        <f>SUM(C28,C29,C30,C31)-C32</f>
        <v>0</v>
      </c>
      <c r="D80" s="14">
        <f>SUM(D28,D29,D30,D31)-D32</f>
        <v>0</v>
      </c>
      <c r="E80" s="14">
        <f>SUM(E28,E29,E30,E31)-E32</f>
        <v>0</v>
      </c>
      <c r="F80" s="1"/>
      <c r="G80" s="1"/>
      <c r="H80" s="1"/>
      <c r="I80" s="1"/>
      <c r="J80" s="1"/>
      <c r="K80" s="1"/>
      <c r="L80" s="1"/>
      <c r="M80" s="1"/>
      <c r="N80" s="1"/>
    </row>
    <row r="81">
      <c r="A81" s="12" t="s">
        <v>445</v>
      </c>
      <c r="B81" s="14">
        <f>SUM(B35,B36,B37,B38)-B39</f>
        <v>0</v>
      </c>
      <c r="C81" s="14">
        <f>SUM(C35,C36,C37,C38)-C39</f>
        <v>0</v>
      </c>
      <c r="D81" s="14">
        <f>SUM(D35,D36,D37,D38)-D39</f>
        <v>0</v>
      </c>
      <c r="E81" s="14">
        <f>SUM(E35,E36,E37,E38)-E39</f>
        <v>0</v>
      </c>
      <c r="F81" s="1"/>
      <c r="G81" s="1"/>
      <c r="H81" s="1"/>
      <c r="I81" s="1"/>
      <c r="J81" s="1"/>
      <c r="K81" s="1"/>
      <c r="L81" s="1"/>
      <c r="M81" s="1"/>
      <c r="N81" s="1"/>
    </row>
    <row r="82">
      <c r="A82" s="12" t="s">
        <v>446</v>
      </c>
      <c r="B82" s="14">
        <f>SUM(B58,B59,B60,B61)-B62</f>
        <v>0</v>
      </c>
      <c r="C82" s="14">
        <f>SUM(C58,C59,C60,C61)-C62</f>
        <v>0</v>
      </c>
      <c r="D82" s="14">
        <f>SUM(D58,D59,D60,D61)-D62</f>
        <v>0</v>
      </c>
      <c r="E82" s="14">
        <f>SUM(E58,E59,E60,E61)-E62</f>
        <v>0</v>
      </c>
      <c r="F82" s="1"/>
      <c r="G82" s="1"/>
      <c r="H82" s="1"/>
      <c r="I82" s="1"/>
      <c r="J82" s="1"/>
      <c r="K82" s="1"/>
      <c r="L82" s="1"/>
      <c r="M82" s="1"/>
      <c r="N82" s="1"/>
    </row>
    <row r="83">
      <c r="A83" s="12" t="s">
        <v>447</v>
      </c>
      <c r="B83" s="14">
        <f>B62-N(IS_Hist!B23)</f>
        <v>0</v>
      </c>
      <c r="C83" s="14">
        <f>C62-N(IS_Hist!C23)</f>
        <v>0</v>
      </c>
      <c r="D83" s="14">
        <f>D62-N(IS_Hist!D23)</f>
        <v>0</v>
      </c>
      <c r="E83" s="14">
        <f>E62-N(IS_Hist!E23)</f>
        <v>0</v>
      </c>
      <c r="F83" s="1"/>
      <c r="G83" s="1"/>
      <c r="H83" s="1"/>
      <c r="I83" s="1"/>
      <c r="J83" s="1"/>
      <c r="K83" s="1"/>
      <c r="L83" s="1"/>
      <c r="M83" s="1"/>
      <c r="N83" s="1"/>
    </row>
    <row r="84">
      <c r="A84" s="12" t="s">
        <v>448</v>
      </c>
      <c r="B84" s="14">
        <f>B44+B28+B35+B50+B52+B54+B32-B28+B39-B35-N(IS_Hist!B14)-N(IS_Hist!B21)</f>
        <v>0</v>
      </c>
      <c r="C84" s="14">
        <f>C44+C28+C35+C50+C52+C54+C32-C28+C39-C35-N(IS_Hist!C14)-N(IS_Hist!C21)</f>
        <v>0</v>
      </c>
      <c r="D84" s="14">
        <f>D44+D28+D35+D50+D52+D54+D32-D28+D39-D35-N(IS_Hist!D14)-N(IS_Hist!D21)</f>
        <v>0</v>
      </c>
      <c r="E84" s="14">
        <f>E44+E28+E35+E50+E52+E54+E32-E28+E39-E35-N(IS_Hist!E14)-N(IS_Hist!E21)</f>
        <v>0</v>
      </c>
      <c r="F84" s="1"/>
      <c r="G84" s="1"/>
      <c r="H84" s="1"/>
      <c r="I84" s="1"/>
      <c r="J84" s="1"/>
      <c r="K84" s="1"/>
      <c r="L84" s="1"/>
      <c r="M84" s="1"/>
      <c r="N84" s="1"/>
    </row>
  </sheetData>
</worksheet>
</file>

<file path=xl/worksheets/sheet9.xml><?xml version="1.0" encoding="utf-8"?>
<worksheet xmlns="http://schemas.openxmlformats.org/spreadsheetml/2006/main" xmlns:r="http://schemas.openxmlformats.org/officeDocument/2006/relationships">
  <sheetPr>
    <tabColor rgb="FF5A2331"/>
  </sheetPr>
  <dimension ref="A1:N61"/>
  <sheetViews>
    <sheetView showGridLines="0" workbookViewId="0"/>
  </sheetViews>
  <sheetFormatPr defaultColWidth="8.375" defaultRowHeight="15"/>
  <cols>
    <col min="1" max="1" width="92.70703125" customWidth="1"/>
    <col min="2" max="12" width="12.0390625" customWidth="1"/>
    <col min="13" max="13" width="17.70703125" customWidth="1"/>
    <col min="14" max="14" width="92.70703125" customWidth="1"/>
  </cols>
  <sheetData>
    <row r="1">
      <c r="A1" s="21" t="s">
        <v>449</v>
      </c>
      <c r="B1" s="1"/>
      <c r="C1" s="1"/>
      <c r="D1" s="1"/>
      <c r="E1" s="1"/>
      <c r="F1" s="1"/>
      <c r="G1" s="1"/>
      <c r="H1" s="1"/>
      <c r="I1" s="1"/>
      <c r="J1" s="1"/>
      <c r="K1" s="1"/>
      <c r="L1" s="1"/>
      <c r="M1" s="1"/>
      <c r="N1" s="1"/>
    </row>
    <row r="2">
      <c r="A2" s="1" t="s">
        <v>450</v>
      </c>
      <c r="B2" s="1"/>
      <c r="C2" s="1"/>
      <c r="D2" s="1"/>
      <c r="E2" s="1"/>
      <c r="F2" s="1"/>
      <c r="G2" s="1"/>
      <c r="H2" s="1"/>
      <c r="I2" s="1"/>
      <c r="J2" s="1"/>
      <c r="K2" s="1"/>
      <c r="L2" s="1"/>
      <c r="M2" s="1"/>
      <c r="N2" s="1"/>
    </row>
    <row r="3">
      <c r="A3" s="1"/>
      <c r="B3" s="1" t="s">
        <v>451</v>
      </c>
      <c r="C3" s="59" t="s">
        <v>452</v>
      </c>
      <c r="D3" s="1"/>
      <c r="E3" s="1"/>
      <c r="F3" s="1"/>
      <c r="G3" s="1"/>
      <c r="H3" s="1"/>
      <c r="I3" s="1"/>
      <c r="J3" s="1"/>
      <c r="K3" s="1"/>
      <c r="L3" s="1"/>
      <c r="M3" s="1"/>
      <c r="N3" s="1"/>
    </row>
    <row r="4">
      <c r="A4" s="3" t="s">
        <v>453</v>
      </c>
      <c r="B4" s="24" t="s">
        <v>135</v>
      </c>
      <c r="C4" s="102" t="s">
        <v>454</v>
      </c>
      <c r="D4" s="33" t="s">
        <v>455</v>
      </c>
      <c r="E4" s="33" t="s">
        <v>456</v>
      </c>
      <c r="F4" s="33" t="s">
        <v>457</v>
      </c>
      <c r="G4" s="33" t="s">
        <v>458</v>
      </c>
      <c r="H4" s="33" t="s">
        <v>459</v>
      </c>
      <c r="I4" s="33" t="s">
        <v>460</v>
      </c>
      <c r="J4" s="33" t="s">
        <v>461</v>
      </c>
      <c r="K4" s="33" t="s">
        <v>462</v>
      </c>
      <c r="L4" s="33" t="s">
        <v>463</v>
      </c>
      <c r="M4" s="6" t="s">
        <v>86</v>
      </c>
      <c r="N4" s="6" t="s">
        <v>87</v>
      </c>
    </row>
    <row r="5">
      <c r="A5" s="1"/>
      <c r="B5" s="1"/>
      <c r="C5" s="59"/>
      <c r="D5" s="1"/>
      <c r="E5" s="1"/>
      <c r="F5" s="1"/>
      <c r="G5" s="1"/>
      <c r="H5" s="1"/>
      <c r="I5" s="1"/>
      <c r="J5" s="1"/>
      <c r="K5" s="1"/>
      <c r="L5" s="1"/>
      <c r="M5" s="1"/>
      <c r="N5" s="1"/>
    </row>
    <row r="6">
      <c r="A6" s="4" t="s">
        <v>464</v>
      </c>
      <c r="B6" s="1"/>
      <c r="C6" s="59"/>
      <c r="D6" s="1"/>
      <c r="E6" s="1"/>
      <c r="F6" s="1"/>
      <c r="G6" s="1"/>
      <c r="H6" s="1"/>
      <c r="I6" s="1"/>
      <c r="J6" s="1"/>
      <c r="K6" s="1"/>
      <c r="L6" s="1"/>
      <c r="M6" s="1"/>
      <c r="N6" s="1"/>
    </row>
    <row r="7">
      <c r="A7" s="12" t="s">
        <v>465</v>
      </c>
      <c r="B7" s="15">
        <v>25400</v>
      </c>
      <c r="C7" s="59"/>
      <c r="D7" s="1"/>
      <c r="E7" s="1"/>
      <c r="F7" s="1"/>
      <c r="G7" s="1"/>
      <c r="H7" s="1"/>
      <c r="I7" s="1"/>
      <c r="J7" s="1"/>
      <c r="K7" s="1"/>
      <c r="L7" s="1"/>
      <c r="M7" s="1"/>
      <c r="N7" s="1" t="s">
        <v>466</v>
      </c>
    </row>
    <row r="8">
      <c r="A8" s="36" t="s">
        <v>467</v>
      </c>
      <c r="B8" s="26">
        <v>0.22</v>
      </c>
      <c r="C8" s="59"/>
      <c r="D8" s="1"/>
      <c r="E8" s="1"/>
      <c r="F8" s="1"/>
      <c r="G8" s="1"/>
      <c r="H8" s="1"/>
      <c r="I8" s="1"/>
      <c r="J8" s="1"/>
      <c r="K8" s="1"/>
      <c r="L8" s="1"/>
      <c r="M8" s="1"/>
      <c r="N8" s="1" t="s">
        <v>468</v>
      </c>
    </row>
    <row r="9">
      <c r="A9" s="36" t="s">
        <v>469</v>
      </c>
      <c r="B9" s="26">
        <v>0.43</v>
      </c>
      <c r="C9" s="59"/>
      <c r="D9" s="1"/>
      <c r="E9" s="1"/>
      <c r="F9" s="1"/>
      <c r="G9" s="1"/>
      <c r="H9" s="1"/>
      <c r="I9" s="1"/>
      <c r="J9" s="1"/>
      <c r="K9" s="1"/>
      <c r="L9" s="1"/>
      <c r="M9" s="1"/>
      <c r="N9" s="1" t="s">
        <v>470</v>
      </c>
    </row>
    <row r="10">
      <c r="A10" s="36" t="s">
        <v>471</v>
      </c>
      <c r="B10" s="18">
        <f>1-B8-B9</f>
        <v>0.35000000000000003</v>
      </c>
      <c r="C10" s="59"/>
      <c r="D10" s="1"/>
      <c r="E10" s="1"/>
      <c r="F10" s="1"/>
      <c r="G10" s="1"/>
      <c r="H10" s="1"/>
      <c r="I10" s="1"/>
      <c r="J10" s="1"/>
      <c r="K10" s="1"/>
      <c r="L10" s="1"/>
      <c r="M10" s="1"/>
      <c r="N10" s="1" t="s">
        <v>472</v>
      </c>
    </row>
    <row r="11">
      <c r="A11" s="12" t="s">
        <v>473</v>
      </c>
      <c r="B11" s="90">
        <v>1</v>
      </c>
      <c r="C11" s="59"/>
      <c r="D11" s="1"/>
      <c r="E11" s="1"/>
      <c r="F11" s="1"/>
      <c r="G11" s="1"/>
      <c r="H11" s="1"/>
      <c r="I11" s="1"/>
      <c r="J11" s="1"/>
      <c r="K11" s="1"/>
      <c r="L11" s="1"/>
      <c r="M11" s="1"/>
      <c r="N11" s="1" t="s">
        <v>474</v>
      </c>
    </row>
    <row r="12">
      <c r="A12" s="12" t="s">
        <v>475</v>
      </c>
      <c r="B12" s="15">
        <v>24600</v>
      </c>
      <c r="C12" s="59"/>
      <c r="D12" s="1"/>
      <c r="E12" s="1"/>
      <c r="F12" s="1"/>
      <c r="G12" s="1"/>
      <c r="H12" s="1"/>
      <c r="I12" s="1"/>
      <c r="J12" s="1"/>
      <c r="K12" s="1"/>
      <c r="L12" s="1"/>
      <c r="M12" s="1"/>
      <c r="N12" s="1" t="s">
        <v>476</v>
      </c>
    </row>
    <row r="13">
      <c r="A13" s="36" t="s">
        <v>477</v>
      </c>
      <c r="B13" s="18">
        <f>B7/B12-1</f>
        <v>0.03252032520325199</v>
      </c>
      <c r="C13" s="59"/>
      <c r="D13" s="1"/>
      <c r="E13" s="1"/>
      <c r="F13" s="1"/>
      <c r="G13" s="1"/>
      <c r="H13" s="1"/>
      <c r="I13" s="1"/>
      <c r="J13" s="1"/>
      <c r="K13" s="1"/>
      <c r="L13" s="1"/>
      <c r="M13" s="1"/>
      <c r="N13" s="1"/>
    </row>
    <row r="14">
      <c r="A14" s="12" t="s">
        <v>478</v>
      </c>
      <c r="B14" s="46">
        <v>750</v>
      </c>
      <c r="C14" s="59"/>
      <c r="D14" s="1"/>
      <c r="E14" s="1"/>
      <c r="F14" s="1"/>
      <c r="G14" s="1"/>
      <c r="H14" s="1"/>
      <c r="I14" s="1"/>
      <c r="J14" s="1"/>
      <c r="K14" s="1"/>
      <c r="L14" s="1"/>
      <c r="M14" s="1"/>
      <c r="N14" s="1" t="s">
        <v>479</v>
      </c>
    </row>
    <row r="15">
      <c r="A15" s="12" t="s">
        <v>480</v>
      </c>
      <c r="B15" s="15">
        <v>20000</v>
      </c>
      <c r="C15" s="59"/>
      <c r="D15" s="1"/>
      <c r="E15" s="1"/>
      <c r="F15" s="1"/>
      <c r="G15" s="1"/>
      <c r="H15" s="1"/>
      <c r="I15" s="1"/>
      <c r="J15" s="1"/>
      <c r="K15" s="1"/>
      <c r="L15" s="1"/>
      <c r="M15" s="1"/>
      <c r="N15" s="1" t="s">
        <v>481</v>
      </c>
    </row>
    <row r="16">
      <c r="A16" s="12" t="s">
        <v>482</v>
      </c>
      <c r="B16" s="46">
        <v>1250</v>
      </c>
      <c r="C16" s="59"/>
      <c r="D16" s="1"/>
      <c r="E16" s="1"/>
      <c r="F16" s="1"/>
      <c r="G16" s="1"/>
      <c r="H16" s="1"/>
      <c r="I16" s="1"/>
      <c r="J16" s="1"/>
      <c r="K16" s="1"/>
      <c r="L16" s="1"/>
      <c r="M16" s="1"/>
      <c r="N16" s="1" t="s">
        <v>483</v>
      </c>
    </row>
    <row r="17">
      <c r="A17" s="1"/>
      <c r="B17" s="1"/>
      <c r="C17" s="59"/>
      <c r="D17" s="1"/>
      <c r="E17" s="1"/>
      <c r="F17" s="1"/>
      <c r="G17" s="1"/>
      <c r="H17" s="1"/>
      <c r="I17" s="1"/>
      <c r="J17" s="1"/>
      <c r="K17" s="1"/>
      <c r="L17" s="1"/>
      <c r="M17" s="1"/>
      <c r="N17" s="1"/>
    </row>
    <row r="18">
      <c r="A18" s="4" t="s">
        <v>484</v>
      </c>
      <c r="B18" s="1"/>
      <c r="C18" s="59"/>
      <c r="D18" s="1"/>
      <c r="E18" s="1"/>
      <c r="F18" s="1"/>
      <c r="G18" s="1"/>
      <c r="H18" s="1"/>
      <c r="I18" s="1"/>
      <c r="J18" s="1"/>
      <c r="K18" s="1"/>
      <c r="L18" s="1"/>
      <c r="M18" s="1"/>
      <c r="N18" s="1"/>
    </row>
    <row r="19">
      <c r="A19" s="36" t="s">
        <v>485</v>
      </c>
      <c r="B19" s="94"/>
      <c r="C19" s="101">
        <v>0.1</v>
      </c>
      <c r="D19" s="64">
        <v>0.4</v>
      </c>
      <c r="E19" s="64">
        <v>0.5</v>
      </c>
      <c r="F19" s="94"/>
      <c r="G19" s="94"/>
      <c r="H19" s="94"/>
      <c r="I19" s="94"/>
      <c r="J19" s="94"/>
      <c r="K19" s="94"/>
      <c r="L19" s="94"/>
      <c r="M19" s="1"/>
      <c r="N19" s="1" t="s">
        <v>486</v>
      </c>
    </row>
    <row r="20">
      <c r="A20" s="36" t="s">
        <v>487</v>
      </c>
      <c r="B20" s="94"/>
      <c r="C20" s="96"/>
      <c r="D20" s="94"/>
      <c r="E20" s="64">
        <v>0.25</v>
      </c>
      <c r="F20" s="64">
        <v>0.5</v>
      </c>
      <c r="G20" s="64">
        <v>0.25</v>
      </c>
      <c r="H20" s="94"/>
      <c r="I20" s="94"/>
      <c r="J20" s="94"/>
      <c r="K20" s="94"/>
      <c r="L20" s="94"/>
      <c r="M20" s="1"/>
      <c r="N20" s="1" t="s">
        <v>488</v>
      </c>
    </row>
    <row r="21">
      <c r="A21" s="36" t="s">
        <v>489</v>
      </c>
      <c r="B21" s="94"/>
      <c r="C21" s="96"/>
      <c r="D21" s="94"/>
      <c r="E21" s="94"/>
      <c r="F21" s="94"/>
      <c r="G21" s="64">
        <v>0.15</v>
      </c>
      <c r="H21" s="64">
        <v>0.3</v>
      </c>
      <c r="I21" s="64">
        <v>0.3</v>
      </c>
      <c r="J21" s="64">
        <v>0.25</v>
      </c>
      <c r="K21" s="94"/>
      <c r="L21" s="94"/>
      <c r="M21" s="1"/>
      <c r="N21" s="1" t="s">
        <v>490</v>
      </c>
    </row>
    <row r="22">
      <c r="A22" s="12" t="s">
        <v>491</v>
      </c>
      <c r="B22" s="1"/>
      <c r="C22" s="8">
        <f>$B$7*($B$8*N(C19)+$B$9*N(C20)+$B$10*N(C21))</f>
        <v>558.8000000000001</v>
      </c>
      <c r="D22" s="5">
        <f>$B$7*($B$8*N(D19)+$B$9*N(D20)+$B$10*N(D21))</f>
        <v>2235.2000000000003</v>
      </c>
      <c r="E22" s="5">
        <f>$B$7*($B$8*N(E19)+$B$9*N(E20)+$B$10*N(E21))</f>
        <v>5524.5</v>
      </c>
      <c r="F22" s="5">
        <f>$B$7*($B$8*N(F19)+$B$9*N(F20)+$B$10*N(F21))</f>
        <v>5461</v>
      </c>
      <c r="G22" s="5">
        <f>$B$7*($B$8*N(G19)+$B$9*N(G20)+$B$10*N(G21))</f>
        <v>4064</v>
      </c>
      <c r="H22" s="5">
        <f>$B$7*($B$8*N(H19)+$B$9*N(H20)+$B$10*N(H21))</f>
        <v>2667.0000000000005</v>
      </c>
      <c r="I22" s="5">
        <f>$B$7*($B$8*N(I19)+$B$9*N(I20)+$B$10*N(I21))</f>
        <v>2667.0000000000005</v>
      </c>
      <c r="J22" s="5">
        <f>$B$7*($B$8*N(J19)+$B$9*N(J20)+$B$10*N(J21))</f>
        <v>2222.5</v>
      </c>
      <c r="K22" s="5">
        <f>$B$7*($B$8*N(K19)+$B$9*N(K20)+$B$10*N(K21))</f>
        <v>0</v>
      </c>
      <c r="L22" s="5">
        <f>$B$7*($B$8*N(L19)+$B$9*N(L20)+$B$10*N(L21))</f>
        <v>0</v>
      </c>
      <c r="M22" s="1"/>
      <c r="N22" s="1"/>
    </row>
    <row r="23">
      <c r="A23" s="4" t="s">
        <v>492</v>
      </c>
      <c r="B23" s="34"/>
      <c r="C23" s="9">
        <f>C22*Assumptions!$C$19-IF($B$11=1,C35+C46,0)</f>
        <v>512.2155405285672</v>
      </c>
      <c r="D23" s="22">
        <f>D22*Assumptions!$C$19-IF($B$11=1,D35+D46,0)</f>
        <v>2048.862162114269</v>
      </c>
      <c r="E23" s="22">
        <f>E22*Assumptions!$C$19-IF($B$11=1,E35+E46,0)</f>
        <v>5063.949093861971</v>
      </c>
      <c r="F23" s="22">
        <f>F22*Assumptions!$C$19-IF($B$11=1,F35+F46,0)</f>
        <v>5005.74278243827</v>
      </c>
      <c r="G23" s="22">
        <f>G22*Assumptions!$C$19-IF($B$11=1,G35+G46,0)</f>
        <v>3725.203931116852</v>
      </c>
      <c r="H23" s="22">
        <f>H22*Assumptions!$C$19-IF($B$11=1,H35+H46,0)</f>
        <v>2444.6650797954344</v>
      </c>
      <c r="I23" s="22">
        <f>I22*Assumptions!$C$19-IF($B$11=1,I35+I46,0)</f>
        <v>2591.3916246870754</v>
      </c>
      <c r="J23" s="22">
        <f>J22*Assumptions!$C$19-IF($B$11=1,J35+J46,0)</f>
        <v>2159.4930205725623</v>
      </c>
      <c r="K23" s="22">
        <f>K22*Assumptions!$C$19-IF($B$11=1,K35+K46,0)</f>
        <v>0</v>
      </c>
      <c r="L23" s="22">
        <f>L22*Assumptions!$C$19-IF($B$11=1,L35+L46,0)</f>
        <v>0</v>
      </c>
      <c r="M23" s="1"/>
      <c r="N23" s="1" t="s">
        <v>493</v>
      </c>
    </row>
    <row r="24">
      <c r="A24" s="1"/>
      <c r="B24" s="1"/>
      <c r="C24" s="59"/>
      <c r="D24" s="1"/>
      <c r="E24" s="1"/>
      <c r="F24" s="1"/>
      <c r="G24" s="1"/>
      <c r="H24" s="1"/>
      <c r="I24" s="1"/>
      <c r="J24" s="1"/>
      <c r="K24" s="1"/>
      <c r="L24" s="1"/>
      <c r="M24" s="1"/>
      <c r="N24" s="1"/>
    </row>
    <row r="25">
      <c r="A25" s="4" t="s">
        <v>494</v>
      </c>
      <c r="B25" s="1"/>
      <c r="C25" s="59"/>
      <c r="D25" s="1"/>
      <c r="E25" s="1"/>
      <c r="F25" s="1"/>
      <c r="G25" s="1"/>
      <c r="H25" s="1"/>
      <c r="I25" s="1"/>
      <c r="J25" s="1"/>
      <c r="K25" s="1"/>
      <c r="L25" s="1"/>
      <c r="M25" s="1"/>
      <c r="N25" s="1"/>
    </row>
    <row r="26">
      <c r="A26" s="12" t="s">
        <v>495</v>
      </c>
      <c r="B26" s="1"/>
      <c r="C26" s="103">
        <v>0</v>
      </c>
      <c r="D26" s="5">
        <f>C26*(1+Assumptions!$C$22)+Assumptions!$C$20*MAX(0,C23-D23)</f>
        <v>0</v>
      </c>
      <c r="E26" s="5">
        <f>D26*(1+Assumptions!$C$22)+Assumptions!$C$20*MAX(0,D23-E23)</f>
        <v>0</v>
      </c>
      <c r="F26" s="5">
        <f>E26*(1+Assumptions!$C$22)+Assumptions!$C$20*MAX(0,E23-F23)</f>
        <v>46.5650491389606</v>
      </c>
      <c r="G26" s="5">
        <f>F26*(1+Assumptions!$C$22)+Assumptions!$C$20*MAX(0,F23-G23)</f>
        <v>1072.3930816702643</v>
      </c>
      <c r="H26" s="5">
        <f>G26*(1+Assumptions!$C$22)+Assumptions!$C$20*MAX(0,G23-H23)</f>
        <v>2128.9959551775064</v>
      </c>
      <c r="I26" s="5">
        <f>H26*(1+Assumptions!$C$22)+Assumptions!$C$20*MAX(0,H23-I23)</f>
        <v>2192.865833832832</v>
      </c>
      <c r="J26" s="5">
        <f>I26*(1+Assumptions!$C$22)+Assumptions!$C$20*MAX(0,I23-J23)</f>
        <v>2604.1706921394275</v>
      </c>
      <c r="K26" s="5">
        <f>J26*(1+Assumptions!$C$22)+Assumptions!$C$20*MAX(0,J23-K23)</f>
        <v>4409.89022936166</v>
      </c>
      <c r="L26" s="5">
        <f>K26*(1+Assumptions!$C$22)+Assumptions!$C$20*MAX(0,K23-L23)</f>
        <v>4542.1869362425105</v>
      </c>
      <c r="M26" s="1"/>
      <c r="N26" s="1" t="s">
        <v>496</v>
      </c>
    </row>
    <row r="27">
      <c r="A27" s="12" t="s">
        <v>497</v>
      </c>
      <c r="B27" s="5">
        <f>B7/(B14/1000)/Assumptions!$C$40</f>
        <v>8466.666666666666</v>
      </c>
      <c r="C27" s="59"/>
      <c r="D27" s="1"/>
      <c r="E27" s="1"/>
      <c r="F27" s="1"/>
      <c r="G27" s="1"/>
      <c r="H27" s="1"/>
      <c r="I27" s="1"/>
      <c r="J27" s="1"/>
      <c r="K27" s="1"/>
      <c r="L27" s="1"/>
      <c r="M27" s="1"/>
      <c r="N27" s="1" t="s">
        <v>498</v>
      </c>
    </row>
    <row r="28">
      <c r="A28" s="36" t="s">
        <v>499</v>
      </c>
      <c r="B28" s="94"/>
      <c r="C28" s="96"/>
      <c r="D28" s="94"/>
      <c r="E28" s="94"/>
      <c r="F28" s="64">
        <v>0.25</v>
      </c>
      <c r="G28" s="64">
        <v>0.75</v>
      </c>
      <c r="H28" s="64">
        <v>1</v>
      </c>
      <c r="I28" s="64">
        <v>1</v>
      </c>
      <c r="J28" s="64">
        <v>1</v>
      </c>
      <c r="K28" s="64">
        <v>1</v>
      </c>
      <c r="L28" s="64">
        <v>1</v>
      </c>
      <c r="M28" s="1"/>
      <c r="N28" s="1" t="s">
        <v>500</v>
      </c>
    </row>
    <row r="29">
      <c r="A29" s="12" t="s">
        <v>501</v>
      </c>
      <c r="B29" s="1"/>
      <c r="C29" s="8">
        <f>$B$16/1000*Assumptions!$C$21*$B$27*N(C28)</f>
        <v>0</v>
      </c>
      <c r="D29" s="5">
        <f>$B$16/1000*Assumptions!$C$21*$B$27*N(D28)</f>
        <v>0</v>
      </c>
      <c r="E29" s="5">
        <f>$B$16/1000*Assumptions!$C$21*$B$27*N(E28)</f>
        <v>0</v>
      </c>
      <c r="F29" s="5">
        <f>$B$16/1000*Assumptions!$C$21*$B$27*N(F28)</f>
        <v>0</v>
      </c>
      <c r="G29" s="5">
        <f>$B$16/1000*Assumptions!$C$21*$B$27*N(G28)</f>
        <v>0</v>
      </c>
      <c r="H29" s="5">
        <f>$B$16/1000*Assumptions!$C$21*$B$27*N(H28)</f>
        <v>0</v>
      </c>
      <c r="I29" s="5">
        <f>$B$16/1000*Assumptions!$C$21*$B$27*N(I28)</f>
        <v>0</v>
      </c>
      <c r="J29" s="5">
        <f>$B$16/1000*Assumptions!$C$21*$B$27*N(J28)</f>
        <v>0</v>
      </c>
      <c r="K29" s="5">
        <f>$B$16/1000*Assumptions!$C$21*$B$27*N(K28)</f>
        <v>0</v>
      </c>
      <c r="L29" s="5">
        <f>$B$16/1000*Assumptions!$C$21*$B$27*N(L28)</f>
        <v>0</v>
      </c>
      <c r="M29" s="1"/>
      <c r="N29" s="1"/>
    </row>
    <row r="30">
      <c r="A30" s="12" t="s">
        <v>502</v>
      </c>
      <c r="B30" s="1"/>
      <c r="C30" s="8">
        <f>C29-IF($B$11=1,C48,0)</f>
        <v>0</v>
      </c>
      <c r="D30" s="5">
        <f>D29-IF($B$11=1,D48,0)</f>
        <v>0</v>
      </c>
      <c r="E30" s="5">
        <f>E29-IF($B$11=1,E48,0)</f>
        <v>0</v>
      </c>
      <c r="F30" s="5">
        <f>F29-IF($B$11=1,F48,0)</f>
        <v>0</v>
      </c>
      <c r="G30" s="5">
        <f>G29-IF($B$11=1,G48,0)</f>
        <v>0</v>
      </c>
      <c r="H30" s="5">
        <f>H29-IF($B$11=1,H48,0)</f>
        <v>0</v>
      </c>
      <c r="I30" s="5">
        <f>I29-IF($B$11=1,I48,0)</f>
        <v>0</v>
      </c>
      <c r="J30" s="5">
        <f>J29-IF($B$11=1,J48,0)</f>
        <v>0</v>
      </c>
      <c r="K30" s="5">
        <f>K29-IF($B$11=1,K48,0)</f>
        <v>0</v>
      </c>
      <c r="L30" s="5">
        <f>L29-IF($B$11=1,L48,0)</f>
        <v>0</v>
      </c>
      <c r="M30" s="1"/>
      <c r="N30" s="1"/>
    </row>
    <row r="31">
      <c r="A31" s="12" t="s">
        <v>503</v>
      </c>
      <c r="B31" s="1"/>
      <c r="C31" s="8">
        <f>C22*Assumptions!$C$19*Assumptions!$C$27</f>
        <v>27.940000000000005</v>
      </c>
      <c r="D31" s="5">
        <f>D22*Assumptions!$C$19*Assumptions!$C$27</f>
        <v>111.76000000000002</v>
      </c>
      <c r="E31" s="5">
        <f>E22*Assumptions!$C$19*Assumptions!$C$27</f>
        <v>276.225</v>
      </c>
      <c r="F31" s="5">
        <f>F22*Assumptions!$C$19*Assumptions!$C$27</f>
        <v>273.05</v>
      </c>
      <c r="G31" s="5">
        <f>G22*Assumptions!$C$19*Assumptions!$C$27</f>
        <v>203.20000000000002</v>
      </c>
      <c r="H31" s="5">
        <f>H22*Assumptions!$C$19*Assumptions!$C$27</f>
        <v>133.35000000000002</v>
      </c>
      <c r="I31" s="5">
        <f>I22*Assumptions!$C$19*Assumptions!$C$27</f>
        <v>133.35000000000002</v>
      </c>
      <c r="J31" s="5">
        <f>J22*Assumptions!$C$19*Assumptions!$C$27</f>
        <v>111.125</v>
      </c>
      <c r="K31" s="5">
        <f>K22*Assumptions!$C$19*Assumptions!$C$27</f>
        <v>0</v>
      </c>
      <c r="L31" s="5">
        <f>L22*Assumptions!$C$19*Assumptions!$C$27</f>
        <v>0</v>
      </c>
      <c r="M31" s="1"/>
      <c r="N31" s="1"/>
    </row>
    <row r="32">
      <c r="A32" s="1"/>
      <c r="B32" s="1"/>
      <c r="C32" s="59"/>
      <c r="D32" s="1"/>
      <c r="E32" s="1"/>
      <c r="F32" s="1"/>
      <c r="G32" s="1"/>
      <c r="H32" s="1"/>
      <c r="I32" s="1"/>
      <c r="J32" s="1"/>
      <c r="K32" s="1"/>
      <c r="L32" s="1"/>
      <c r="M32" s="1"/>
      <c r="N32" s="1"/>
    </row>
    <row r="33">
      <c r="A33" s="4" t="s">
        <v>504</v>
      </c>
      <c r="B33" s="1"/>
      <c r="C33" s="59"/>
      <c r="D33" s="1"/>
      <c r="E33" s="1"/>
      <c r="F33" s="1"/>
      <c r="G33" s="1"/>
      <c r="H33" s="1"/>
      <c r="I33" s="1"/>
      <c r="J33" s="1"/>
      <c r="K33" s="1"/>
      <c r="L33" s="1"/>
      <c r="M33" s="1"/>
      <c r="N33" s="1"/>
    </row>
    <row r="34">
      <c r="A34" s="12" t="s">
        <v>505</v>
      </c>
      <c r="B34" s="17">
        <f>BS_Hist!F51</f>
        <v>1128.397</v>
      </c>
      <c r="C34" s="59"/>
      <c r="D34" s="1"/>
      <c r="E34" s="1"/>
      <c r="F34" s="1"/>
      <c r="G34" s="1"/>
      <c r="H34" s="1"/>
      <c r="I34" s="1"/>
      <c r="J34" s="1"/>
      <c r="K34" s="1"/>
      <c r="L34" s="1"/>
      <c r="M34" s="1"/>
      <c r="N34" s="1" t="s">
        <v>506</v>
      </c>
    </row>
    <row r="35">
      <c r="A35" s="12" t="s">
        <v>507</v>
      </c>
      <c r="B35" s="1"/>
      <c r="C35" s="8">
        <f>$B$34*C22/SUM($C$22:$H$22)</f>
        <v>30.74270464396285</v>
      </c>
      <c r="D35" s="5">
        <f>$B$34*D22/SUM($C$22:$H$22)</f>
        <v>122.9708185758514</v>
      </c>
      <c r="E35" s="5">
        <f>$B$34*E22/SUM($C$22:$H$22)</f>
        <v>303.9335572755418</v>
      </c>
      <c r="F35" s="5">
        <f>$B$34*F22/SUM($C$22:$H$22)</f>
        <v>300.4400681114551</v>
      </c>
      <c r="G35" s="5">
        <f>$B$34*G22/SUM($C$22:$H$22)</f>
        <v>223.58330650154798</v>
      </c>
      <c r="H35" s="5">
        <f>$B$34*H22/SUM($C$22:$H$22)</f>
        <v>146.72654489164088</v>
      </c>
      <c r="I35" s="15">
        <v>0</v>
      </c>
      <c r="J35" s="15">
        <v>0</v>
      </c>
      <c r="K35" s="15">
        <v>0</v>
      </c>
      <c r="L35" s="15">
        <v>0</v>
      </c>
      <c r="M35" s="1"/>
      <c r="N35" s="1" t="s">
        <v>508</v>
      </c>
    </row>
    <row r="36">
      <c r="A36" s="12" t="s">
        <v>509</v>
      </c>
      <c r="B36" s="5">
        <f>B34</f>
        <v>1128.397</v>
      </c>
      <c r="C36" s="8">
        <f>B36-C35</f>
        <v>1097.654295356037</v>
      </c>
      <c r="D36" s="5">
        <f>C36-D35</f>
        <v>974.6834767801856</v>
      </c>
      <c r="E36" s="5">
        <f>D36-E35</f>
        <v>670.7499195046439</v>
      </c>
      <c r="F36" s="5">
        <f>E36-F35</f>
        <v>370.3098513931888</v>
      </c>
      <c r="G36" s="5">
        <f>F36-G35</f>
        <v>146.72654489164083</v>
      </c>
      <c r="H36" s="5">
        <f>G36-H35</f>
        <v>0</v>
      </c>
      <c r="I36" s="5">
        <f>H36-I35</f>
        <v>0</v>
      </c>
      <c r="J36" s="5">
        <f>I36-J35</f>
        <v>0</v>
      </c>
      <c r="K36" s="5">
        <f>J36-K35</f>
        <v>0</v>
      </c>
      <c r="L36" s="5">
        <f>K36-L35</f>
        <v>0</v>
      </c>
      <c r="M36" s="1"/>
      <c r="N36" s="1"/>
    </row>
    <row r="37">
      <c r="A37" s="1"/>
      <c r="B37" s="1"/>
      <c r="C37" s="59"/>
      <c r="D37" s="1"/>
      <c r="E37" s="1"/>
      <c r="F37" s="1"/>
      <c r="G37" s="1"/>
      <c r="H37" s="1"/>
      <c r="I37" s="1"/>
      <c r="J37" s="1"/>
      <c r="K37" s="1"/>
      <c r="L37" s="1"/>
      <c r="M37" s="1"/>
      <c r="N37" s="1"/>
    </row>
    <row r="38">
      <c r="A38" s="4" t="s">
        <v>510</v>
      </c>
      <c r="B38" s="1"/>
      <c r="C38" s="59"/>
      <c r="D38" s="1"/>
      <c r="E38" s="1"/>
      <c r="F38" s="1"/>
      <c r="G38" s="1"/>
      <c r="H38" s="1"/>
      <c r="I38" s="1"/>
      <c r="J38" s="1"/>
      <c r="K38" s="1"/>
      <c r="L38" s="1"/>
      <c r="M38" s="1"/>
      <c r="N38" s="1"/>
    </row>
    <row r="39">
      <c r="A39" s="12" t="s">
        <v>511</v>
      </c>
      <c r="B39" s="38">
        <v>23.411518</v>
      </c>
      <c r="C39" s="59"/>
      <c r="D39" s="1"/>
      <c r="E39" s="1"/>
      <c r="F39" s="1"/>
      <c r="G39" s="1"/>
      <c r="H39" s="1"/>
      <c r="I39" s="1"/>
      <c r="J39" s="1"/>
      <c r="K39" s="1"/>
      <c r="L39" s="1"/>
      <c r="M39" s="1"/>
      <c r="N39" s="1" t="s">
        <v>512</v>
      </c>
    </row>
    <row r="40">
      <c r="A40" s="12" t="s">
        <v>513</v>
      </c>
      <c r="B40" s="92">
        <f>B14+B16</f>
        <v>2000</v>
      </c>
      <c r="C40" s="59"/>
      <c r="D40" s="1"/>
      <c r="E40" s="1"/>
      <c r="F40" s="1"/>
      <c r="G40" s="1"/>
      <c r="H40" s="1"/>
      <c r="I40" s="1"/>
      <c r="J40" s="1"/>
      <c r="K40" s="1"/>
      <c r="L40" s="1"/>
      <c r="M40" s="1"/>
      <c r="N40" s="1"/>
    </row>
    <row r="41">
      <c r="A41" s="12" t="s">
        <v>514</v>
      </c>
      <c r="B41" s="106">
        <f>B39/B40</f>
        <v>0.011705759</v>
      </c>
      <c r="C41" s="59"/>
      <c r="D41" s="1"/>
      <c r="E41" s="1"/>
      <c r="F41" s="1"/>
      <c r="G41" s="1"/>
      <c r="H41" s="1"/>
      <c r="I41" s="1"/>
      <c r="J41" s="1"/>
      <c r="K41" s="1"/>
      <c r="L41" s="1"/>
      <c r="M41" s="1"/>
      <c r="N41" s="1"/>
    </row>
    <row r="42">
      <c r="A42" s="12" t="s">
        <v>515</v>
      </c>
      <c r="B42" s="74">
        <f>B41*B14</f>
        <v>8.77931925</v>
      </c>
      <c r="C42" s="59"/>
      <c r="D42" s="1"/>
      <c r="E42" s="1"/>
      <c r="F42" s="1"/>
      <c r="G42" s="1"/>
      <c r="H42" s="1"/>
      <c r="I42" s="1"/>
      <c r="J42" s="1"/>
      <c r="K42" s="1"/>
      <c r="L42" s="1"/>
      <c r="M42" s="1"/>
      <c r="N42" s="1" t="s">
        <v>516</v>
      </c>
    </row>
    <row r="43">
      <c r="A43" s="12" t="s">
        <v>517</v>
      </c>
      <c r="B43" s="74">
        <f>B41*B16</f>
        <v>14.632198749999999</v>
      </c>
      <c r="C43" s="59"/>
      <c r="D43" s="1"/>
      <c r="E43" s="1"/>
      <c r="F43" s="1"/>
      <c r="G43" s="1"/>
      <c r="H43" s="1"/>
      <c r="I43" s="1"/>
      <c r="J43" s="1"/>
      <c r="K43" s="1"/>
      <c r="L43" s="1"/>
      <c r="M43" s="1"/>
      <c r="N43" s="1" t="s">
        <v>518</v>
      </c>
    </row>
    <row r="44">
      <c r="A44" s="12" t="s">
        <v>519</v>
      </c>
      <c r="B44" s="2">
        <v>82.02</v>
      </c>
      <c r="C44" s="59"/>
      <c r="D44" s="1"/>
      <c r="E44" s="1"/>
      <c r="F44" s="1"/>
      <c r="G44" s="1"/>
      <c r="H44" s="1"/>
      <c r="I44" s="1"/>
      <c r="J44" s="1"/>
      <c r="K44" s="1"/>
      <c r="L44" s="1"/>
      <c r="M44" s="1"/>
      <c r="N44" s="1" t="s">
        <v>520</v>
      </c>
    </row>
    <row r="45">
      <c r="A45" s="12" t="s">
        <v>521</v>
      </c>
      <c r="B45" s="5">
        <f>B42*B44</f>
        <v>720.079764885</v>
      </c>
      <c r="C45" s="59"/>
      <c r="D45" s="1"/>
      <c r="E45" s="1"/>
      <c r="F45" s="1"/>
      <c r="G45" s="1"/>
      <c r="H45" s="1"/>
      <c r="I45" s="1"/>
      <c r="J45" s="1"/>
      <c r="K45" s="1"/>
      <c r="L45" s="1"/>
      <c r="M45" s="1"/>
      <c r="N45" s="1"/>
    </row>
    <row r="46">
      <c r="A46" s="12" t="s">
        <v>522</v>
      </c>
      <c r="B46" s="1"/>
      <c r="C46" s="8">
        <f>$B$45*C22/SUM($C$22:$L$22)</f>
        <v>15.841754827470002</v>
      </c>
      <c r="D46" s="5">
        <f>$B$45*D22/SUM($C$22:$L$22)</f>
        <v>63.36701930988001</v>
      </c>
      <c r="E46" s="5">
        <f>$B$45*E22/SUM($C$22:$L$22)</f>
        <v>156.6173488624875</v>
      </c>
      <c r="F46" s="5">
        <f>$B$45*F22/SUM($C$22:$L$22)</f>
        <v>154.817149450275</v>
      </c>
      <c r="G46" s="5">
        <f>$B$45*G22/SUM($C$22:$L$22)</f>
        <v>115.2127623816</v>
      </c>
      <c r="H46" s="5">
        <f>$B$45*H22/SUM($C$22:$L$22)</f>
        <v>75.608375312925</v>
      </c>
      <c r="I46" s="5">
        <f>$B$45*I22/SUM($C$22:$L$22)</f>
        <v>75.608375312925</v>
      </c>
      <c r="J46" s="5">
        <f>$B$45*J22/SUM($C$22:$L$22)</f>
        <v>63.00697942743751</v>
      </c>
      <c r="K46" s="5">
        <f>$B$45*K22/SUM($C$22:$L$22)</f>
        <v>0</v>
      </c>
      <c r="L46" s="5">
        <f>$B$45*L22/SUM($C$22:$L$22)</f>
        <v>0</v>
      </c>
      <c r="M46" s="1"/>
      <c r="N46" s="1" t="s">
        <v>523</v>
      </c>
    </row>
    <row r="47">
      <c r="A47" s="12" t="s">
        <v>524</v>
      </c>
      <c r="B47" s="5">
        <f>B43*Assumptions!$C$21*B44</f>
        <v>0</v>
      </c>
      <c r="C47" s="59"/>
      <c r="D47" s="1"/>
      <c r="E47" s="1"/>
      <c r="F47" s="1"/>
      <c r="G47" s="1"/>
      <c r="H47" s="1"/>
      <c r="I47" s="1"/>
      <c r="J47" s="1"/>
      <c r="K47" s="1"/>
      <c r="L47" s="1"/>
      <c r="M47" s="1"/>
      <c r="N47" s="1"/>
    </row>
    <row r="48">
      <c r="A48" s="12" t="s">
        <v>525</v>
      </c>
      <c r="B48" s="1"/>
      <c r="C48" s="8">
        <f>IF(SUM($C$29:$L$29)=0,0,$B$47*C29/SUM($C$29:$L$29))</f>
        <v>0</v>
      </c>
      <c r="D48" s="5">
        <f>IF(SUM($C$29:$L$29)=0,0,$B$47*D29/SUM($C$29:$L$29))</f>
        <v>0</v>
      </c>
      <c r="E48" s="5">
        <f>IF(SUM($C$29:$L$29)=0,0,$B$47*E29/SUM($C$29:$L$29))</f>
        <v>0</v>
      </c>
      <c r="F48" s="5">
        <f>IF(SUM($C$29:$L$29)=0,0,$B$47*F29/SUM($C$29:$L$29))</f>
        <v>0</v>
      </c>
      <c r="G48" s="5">
        <f>IF(SUM($C$29:$L$29)=0,0,$B$47*G29/SUM($C$29:$L$29))</f>
        <v>0</v>
      </c>
      <c r="H48" s="5">
        <f>IF(SUM($C$29:$L$29)=0,0,$B$47*H29/SUM($C$29:$L$29))</f>
        <v>0</v>
      </c>
      <c r="I48" s="5">
        <f>IF(SUM($C$29:$L$29)=0,0,$B$47*I29/SUM($C$29:$L$29))</f>
        <v>0</v>
      </c>
      <c r="J48" s="5">
        <f>IF(SUM($C$29:$L$29)=0,0,$B$47*J29/SUM($C$29:$L$29))</f>
        <v>0</v>
      </c>
      <c r="K48" s="5">
        <f>IF(SUM($C$29:$L$29)=0,0,$B$47*K29/SUM($C$29:$L$29))</f>
        <v>0</v>
      </c>
      <c r="L48" s="5">
        <f>IF(SUM($C$29:$L$29)=0,0,$B$47*L29/SUM($C$29:$L$29))</f>
        <v>0</v>
      </c>
      <c r="M48" s="1"/>
      <c r="N48" s="1"/>
    </row>
    <row r="49">
      <c r="A49" s="12" t="s">
        <v>526</v>
      </c>
      <c r="B49" s="1"/>
      <c r="C49" s="8">
        <f>C46+C48</f>
        <v>15.841754827470002</v>
      </c>
      <c r="D49" s="5">
        <f>D46+D48</f>
        <v>63.36701930988001</v>
      </c>
      <c r="E49" s="5">
        <f>E46+E48</f>
        <v>156.6173488624875</v>
      </c>
      <c r="F49" s="5">
        <f>F46+F48</f>
        <v>154.817149450275</v>
      </c>
      <c r="G49" s="5">
        <f>G46+G48</f>
        <v>115.2127623816</v>
      </c>
      <c r="H49" s="5">
        <f>H46+H48</f>
        <v>75.608375312925</v>
      </c>
      <c r="I49" s="5">
        <f>I46+I48</f>
        <v>75.608375312925</v>
      </c>
      <c r="J49" s="5">
        <f>J46+J48</f>
        <v>63.00697942743751</v>
      </c>
      <c r="K49" s="5">
        <f>K46+K48</f>
        <v>0</v>
      </c>
      <c r="L49" s="5">
        <f>L46+L48</f>
        <v>0</v>
      </c>
      <c r="M49" s="1"/>
      <c r="N49" s="1"/>
    </row>
    <row r="50">
      <c r="A50" s="4" t="s">
        <v>527</v>
      </c>
      <c r="B50" s="34"/>
      <c r="C50" s="9">
        <f>C35+C49</f>
        <v>46.58445947143285</v>
      </c>
      <c r="D50" s="22">
        <f>D35+D49</f>
        <v>186.3378378857314</v>
      </c>
      <c r="E50" s="22">
        <f>E35+E49</f>
        <v>460.5509061380293</v>
      </c>
      <c r="F50" s="22">
        <f>F35+F49</f>
        <v>455.2572175617301</v>
      </c>
      <c r="G50" s="22">
        <f>G35+G49</f>
        <v>338.796068883148</v>
      </c>
      <c r="H50" s="22">
        <f>H35+H49</f>
        <v>222.3349202045659</v>
      </c>
      <c r="I50" s="22">
        <f>I35+I49</f>
        <v>75.608375312925</v>
      </c>
      <c r="J50" s="22">
        <f>J35+J49</f>
        <v>63.00697942743751</v>
      </c>
      <c r="K50" s="22">
        <f>K35+K49</f>
        <v>0</v>
      </c>
      <c r="L50" s="22">
        <f>L35+L49</f>
        <v>0</v>
      </c>
      <c r="M50" s="1"/>
      <c r="N50" s="1"/>
    </row>
    <row r="51">
      <c r="A51" s="1"/>
      <c r="B51" s="1"/>
      <c r="C51" s="59"/>
      <c r="D51" s="1"/>
      <c r="E51" s="1"/>
      <c r="F51" s="1"/>
      <c r="G51" s="1"/>
      <c r="H51" s="1"/>
      <c r="I51" s="1"/>
      <c r="J51" s="1"/>
      <c r="K51" s="1"/>
      <c r="L51" s="1"/>
      <c r="M51" s="1"/>
      <c r="N51" s="1"/>
    </row>
    <row r="52">
      <c r="A52" s="4" t="s">
        <v>127</v>
      </c>
      <c r="B52" s="1"/>
      <c r="C52" s="59"/>
      <c r="D52" s="1"/>
      <c r="E52" s="1"/>
      <c r="F52" s="1"/>
      <c r="G52" s="1"/>
      <c r="H52" s="1"/>
      <c r="I52" s="1"/>
      <c r="J52" s="1"/>
      <c r="K52" s="1"/>
      <c r="L52" s="1"/>
      <c r="M52" s="1"/>
      <c r="N52" s="1"/>
    </row>
    <row r="53">
      <c r="A53" s="12" t="s">
        <v>528</v>
      </c>
      <c r="B53" s="1"/>
      <c r="C53" s="25">
        <f>SUM(C19:L19)-1</f>
        <v>0</v>
      </c>
      <c r="D53" s="1"/>
      <c r="E53" s="1"/>
      <c r="F53" s="1"/>
      <c r="G53" s="1"/>
      <c r="H53" s="1"/>
      <c r="I53" s="1"/>
      <c r="J53" s="1"/>
      <c r="K53" s="1"/>
      <c r="L53" s="1"/>
      <c r="M53" s="1"/>
      <c r="N53" s="1"/>
    </row>
    <row r="54">
      <c r="A54" s="12" t="s">
        <v>529</v>
      </c>
      <c r="B54" s="1"/>
      <c r="C54" s="25">
        <f>SUM(C20:L20)-1</f>
        <v>0</v>
      </c>
      <c r="D54" s="1"/>
      <c r="E54" s="1"/>
      <c r="F54" s="1"/>
      <c r="G54" s="1"/>
      <c r="H54" s="1"/>
      <c r="I54" s="1"/>
      <c r="J54" s="1"/>
      <c r="K54" s="1"/>
      <c r="L54" s="1"/>
      <c r="M54" s="1"/>
      <c r="N54" s="1"/>
    </row>
    <row r="55">
      <c r="A55" s="12" t="s">
        <v>530</v>
      </c>
      <c r="B55" s="1"/>
      <c r="C55" s="25">
        <f>SUM(C21:L21)-1</f>
        <v>0</v>
      </c>
      <c r="D55" s="1"/>
      <c r="E55" s="1"/>
      <c r="F55" s="1"/>
      <c r="G55" s="1"/>
      <c r="H55" s="1"/>
      <c r="I55" s="1"/>
      <c r="J55" s="1"/>
      <c r="K55" s="1"/>
      <c r="L55" s="1"/>
      <c r="M55" s="1"/>
      <c r="N55" s="1"/>
    </row>
    <row r="56">
      <c r="A56" s="12" t="s">
        <v>531</v>
      </c>
      <c r="B56" s="1"/>
      <c r="C56" s="25">
        <f>SUM(C22:L22)-B7</f>
        <v>0</v>
      </c>
      <c r="D56" s="1"/>
      <c r="E56" s="1"/>
      <c r="F56" s="1"/>
      <c r="G56" s="1"/>
      <c r="H56" s="1"/>
      <c r="I56" s="1"/>
      <c r="J56" s="1"/>
      <c r="K56" s="1"/>
      <c r="L56" s="1"/>
      <c r="M56" s="1"/>
      <c r="N56" s="1"/>
    </row>
    <row r="57">
      <c r="A57" s="12" t="s">
        <v>532</v>
      </c>
      <c r="B57" s="1"/>
      <c r="C57" s="25">
        <f>B7*B8*(C19+D19+E19)-B7*B8</f>
        <v>0</v>
      </c>
      <c r="D57" s="1"/>
      <c r="E57" s="1"/>
      <c r="F57" s="1"/>
      <c r="G57" s="1"/>
      <c r="H57" s="1"/>
      <c r="I57" s="1"/>
      <c r="J57" s="1"/>
      <c r="K57" s="1"/>
      <c r="L57" s="1"/>
      <c r="M57" s="1"/>
      <c r="N57" s="1"/>
    </row>
    <row r="58">
      <c r="A58" s="12" t="s">
        <v>533</v>
      </c>
      <c r="B58" s="1"/>
      <c r="C58" s="25">
        <f>SUM(C35:L35)-B34</f>
        <v>0</v>
      </c>
      <c r="D58" s="1"/>
      <c r="E58" s="1"/>
      <c r="F58" s="1"/>
      <c r="G58" s="1"/>
      <c r="H58" s="1"/>
      <c r="I58" s="1"/>
      <c r="J58" s="1"/>
      <c r="K58" s="1"/>
      <c r="L58" s="1"/>
      <c r="M58" s="1"/>
      <c r="N58" s="1"/>
    </row>
    <row r="59">
      <c r="A59" s="12" t="s">
        <v>534</v>
      </c>
      <c r="B59" s="1"/>
      <c r="C59" s="25">
        <f>SUM(C46:L46)-B45</f>
        <v>0</v>
      </c>
      <c r="D59" s="1"/>
      <c r="E59" s="1"/>
      <c r="F59" s="1"/>
      <c r="G59" s="1"/>
      <c r="H59" s="1"/>
      <c r="I59" s="1"/>
      <c r="J59" s="1"/>
      <c r="K59" s="1"/>
      <c r="L59" s="1"/>
      <c r="M59" s="1"/>
      <c r="N59" s="1"/>
    </row>
    <row r="60">
      <c r="A60" s="12" t="s">
        <v>535</v>
      </c>
      <c r="B60" s="1"/>
      <c r="C60" s="25">
        <f>SUM(C48:L48)-B47</f>
        <v>0</v>
      </c>
      <c r="D60" s="1"/>
      <c r="E60" s="1"/>
      <c r="F60" s="1"/>
      <c r="G60" s="1"/>
      <c r="H60" s="1"/>
      <c r="I60" s="1"/>
      <c r="J60" s="1"/>
      <c r="K60" s="1"/>
      <c r="L60" s="1"/>
      <c r="M60" s="1"/>
      <c r="N60" s="1"/>
    </row>
    <row r="61">
      <c r="A61" s="12" t="s">
        <v>536</v>
      </c>
      <c r="B61" s="14">
        <f>B42+B43-B39</f>
        <v>0</v>
      </c>
      <c r="C61" s="59"/>
      <c r="D61" s="1"/>
      <c r="E61" s="1"/>
      <c r="F61" s="1"/>
      <c r="G61" s="1"/>
      <c r="H61" s="1"/>
      <c r="I61" s="1"/>
      <c r="J61" s="1"/>
      <c r="K61" s="1"/>
      <c r="L61" s="1"/>
      <c r="M61" s="1"/>
      <c r="N61" s="1"/>
    </row>
  </sheetData>
</worksheet>
</file>

<file path=xl/worksheets/sheet10.xml><?xml version="1.0" encoding="utf-8"?>
<worksheet xmlns="http://schemas.openxmlformats.org/spreadsheetml/2006/main" xmlns:r="http://schemas.openxmlformats.org/officeDocument/2006/relationships">
  <sheetPr>
    <tabColor rgb="FF6A7689"/>
  </sheetPr>
  <dimension ref="A1:E53"/>
  <sheetViews>
    <sheetView showGridLines="0" workbookViewId="0"/>
  </sheetViews>
  <sheetFormatPr defaultColWidth="8.375" defaultRowHeight="15"/>
  <cols>
    <col min="1" max="1" width="92.70703125" customWidth="1"/>
    <col min="2" max="3" width="15.20703125" customWidth="1"/>
    <col min="4" max="4" width="17.70703125" customWidth="1"/>
    <col min="5" max="5" width="106.0390625" customWidth="1"/>
  </cols>
  <sheetData>
    <row r="1">
      <c r="A1" s="21" t="s">
        <v>537</v>
      </c>
      <c r="B1" s="1"/>
      <c r="C1" s="1"/>
      <c r="D1" s="1"/>
      <c r="E1" s="1"/>
    </row>
    <row r="2">
      <c r="A2" s="1" t="s">
        <v>538</v>
      </c>
      <c r="B2" s="1"/>
      <c r="C2" s="1"/>
      <c r="D2" s="1"/>
      <c r="E2" s="1"/>
    </row>
    <row r="3">
      <c r="A3" s="1"/>
      <c r="B3" s="1"/>
      <c r="C3" s="1"/>
      <c r="D3" s="1"/>
      <c r="E3" s="1"/>
    </row>
    <row r="4">
      <c r="A4" s="3" t="s">
        <v>539</v>
      </c>
      <c r="B4" s="24" t="s">
        <v>15</v>
      </c>
      <c r="C4" s="24" t="s">
        <v>540</v>
      </c>
      <c r="D4" s="6" t="s">
        <v>86</v>
      </c>
      <c r="E4" s="6" t="s">
        <v>87</v>
      </c>
    </row>
    <row r="5">
      <c r="A5" s="1"/>
      <c r="B5" s="1"/>
      <c r="C5" s="1"/>
      <c r="D5" s="1"/>
      <c r="E5" s="1"/>
    </row>
    <row r="6">
      <c r="A6" s="4" t="s">
        <v>541</v>
      </c>
      <c r="B6" s="1"/>
      <c r="C6" s="1"/>
      <c r="D6" s="1"/>
      <c r="E6" s="1"/>
    </row>
    <row r="7">
      <c r="A7" s="12" t="s">
        <v>169</v>
      </c>
      <c r="B7" s="38">
        <v>112.247109</v>
      </c>
      <c r="C7" s="1"/>
      <c r="D7" s="1"/>
      <c r="E7" s="1" t="s">
        <v>542</v>
      </c>
    </row>
    <row r="8">
      <c r="A8" s="12" t="s">
        <v>543</v>
      </c>
      <c r="B8" s="38">
        <v>111.601424</v>
      </c>
      <c r="C8" s="1"/>
      <c r="D8" s="1"/>
      <c r="E8" s="1" t="s">
        <v>544</v>
      </c>
    </row>
    <row r="9">
      <c r="A9" s="12" t="s">
        <v>545</v>
      </c>
      <c r="B9" s="38">
        <v>13.715508</v>
      </c>
      <c r="C9" s="1"/>
      <c r="D9" s="1"/>
      <c r="E9" s="1" t="s">
        <v>546</v>
      </c>
    </row>
    <row r="10">
      <c r="A10" s="4" t="s">
        <v>547</v>
      </c>
      <c r="B10" s="75">
        <f>B7+B8+B9</f>
        <v>237.56404099999997</v>
      </c>
      <c r="C10" s="1"/>
      <c r="D10" s="1"/>
      <c r="E10" s="1"/>
    </row>
    <row r="11">
      <c r="A11" s="12" t="s">
        <v>548</v>
      </c>
      <c r="B11" s="38">
        <v>3.682</v>
      </c>
      <c r="C11" s="1"/>
      <c r="D11" s="1"/>
      <c r="E11" s="1" t="s">
        <v>549</v>
      </c>
    </row>
    <row r="12">
      <c r="A12" s="12" t="s">
        <v>550</v>
      </c>
      <c r="B12" s="38">
        <v>4.459337</v>
      </c>
      <c r="C12" s="1"/>
      <c r="D12" s="1"/>
      <c r="E12" s="1" t="s">
        <v>551</v>
      </c>
    </row>
    <row r="13">
      <c r="A13" s="12" t="s">
        <v>552</v>
      </c>
      <c r="B13" s="38">
        <v>5.574171</v>
      </c>
      <c r="C13" s="1"/>
      <c r="D13" s="1"/>
      <c r="E13" s="1" t="s">
        <v>551</v>
      </c>
    </row>
    <row r="14">
      <c r="A14" s="12" t="s">
        <v>553</v>
      </c>
      <c r="B14" s="38">
        <v>10.033508</v>
      </c>
      <c r="C14" s="1"/>
      <c r="D14" s="1"/>
      <c r="E14" s="1" t="s">
        <v>554</v>
      </c>
    </row>
    <row r="15">
      <c r="A15" s="1"/>
      <c r="B15" s="1"/>
      <c r="C15" s="1"/>
      <c r="D15" s="1"/>
      <c r="E15" s="1"/>
    </row>
    <row r="16">
      <c r="A16" s="4" t="s">
        <v>555</v>
      </c>
      <c r="B16" s="1"/>
      <c r="C16" s="1"/>
      <c r="D16" s="1"/>
      <c r="E16" s="1"/>
    </row>
    <row r="17">
      <c r="A17" s="12" t="s">
        <v>556</v>
      </c>
      <c r="B17" s="1"/>
      <c r="C17" s="23">
        <f>Market_Package!B10</f>
        <v>119.31</v>
      </c>
      <c r="D17" s="1"/>
      <c r="E17" s="1" t="s">
        <v>557</v>
      </c>
    </row>
    <row r="18">
      <c r="A18" s="12" t="s">
        <v>558</v>
      </c>
      <c r="B18" s="38">
        <v>23.797</v>
      </c>
      <c r="C18" s="2">
        <v>4.97</v>
      </c>
      <c r="D18" s="1"/>
      <c r="E18" s="1" t="s">
        <v>559</v>
      </c>
    </row>
    <row r="19">
      <c r="A19" s="12" t="s">
        <v>560</v>
      </c>
      <c r="B19" s="74">
        <f>B18*MAX(0,1-C18/C17)</f>
        <v>22.805707652334256</v>
      </c>
      <c r="C19" s="1"/>
      <c r="D19" s="1"/>
      <c r="E19" s="1"/>
    </row>
    <row r="20">
      <c r="A20" s="12" t="s">
        <v>561</v>
      </c>
      <c r="B20" s="38">
        <v>16.532</v>
      </c>
      <c r="C20" s="1"/>
      <c r="D20" s="1"/>
      <c r="E20" s="1" t="s">
        <v>562</v>
      </c>
    </row>
    <row r="21">
      <c r="A21" s="12" t="s">
        <v>563</v>
      </c>
      <c r="B21" s="38">
        <v>9</v>
      </c>
      <c r="C21" s="1"/>
      <c r="D21" s="1"/>
      <c r="E21" s="1" t="s">
        <v>564</v>
      </c>
    </row>
    <row r="22">
      <c r="A22" s="12" t="s">
        <v>565</v>
      </c>
      <c r="B22" s="90">
        <v>0</v>
      </c>
      <c r="C22" s="1"/>
      <c r="D22" s="1"/>
      <c r="E22" s="1" t="s">
        <v>566</v>
      </c>
    </row>
    <row r="23">
      <c r="A23" s="12" t="s">
        <v>567</v>
      </c>
      <c r="B23" s="38">
        <v>33.445026</v>
      </c>
      <c r="C23" s="1"/>
      <c r="D23" s="1"/>
      <c r="E23" s="1" t="s">
        <v>568</v>
      </c>
    </row>
    <row r="24">
      <c r="A24" s="12" t="s">
        <v>569</v>
      </c>
      <c r="B24" s="74">
        <f>B23-B12-B13</f>
        <v>23.411518</v>
      </c>
      <c r="C24" s="1"/>
      <c r="D24" s="1"/>
      <c r="E24" s="1" t="s">
        <v>570</v>
      </c>
    </row>
    <row r="25">
      <c r="A25" s="79" t="s">
        <v>571</v>
      </c>
      <c r="B25" s="44">
        <f>Backlog!B42</f>
        <v>8.77931925</v>
      </c>
      <c r="C25" s="1"/>
      <c r="D25" s="1"/>
      <c r="E25" s="1" t="s">
        <v>572</v>
      </c>
    </row>
    <row r="26">
      <c r="A26" s="79" t="s">
        <v>573</v>
      </c>
      <c r="B26" s="74">
        <f>Backlog!B43*Assumptions!$C$21</f>
        <v>0</v>
      </c>
      <c r="C26" s="1"/>
      <c r="D26" s="1"/>
      <c r="E26" s="1" t="s">
        <v>574</v>
      </c>
    </row>
    <row r="27">
      <c r="A27" s="12" t="s">
        <v>575</v>
      </c>
      <c r="B27" s="38">
        <v>2.696678</v>
      </c>
      <c r="C27" s="2">
        <v>100</v>
      </c>
      <c r="D27" s="1"/>
      <c r="E27" s="1" t="s">
        <v>576</v>
      </c>
    </row>
    <row r="28">
      <c r="A28" s="12" t="s">
        <v>577</v>
      </c>
      <c r="B28" s="74">
        <f>B27*MAX(0,1-C27/C17)</f>
        <v>0.4364500224624926</v>
      </c>
      <c r="C28" s="1"/>
      <c r="D28" s="1"/>
      <c r="E28" s="1"/>
    </row>
    <row r="29">
      <c r="A29" s="12" t="s">
        <v>578</v>
      </c>
      <c r="B29" s="38">
        <v>0.574</v>
      </c>
      <c r="C29" s="1"/>
      <c r="D29" s="1"/>
      <c r="E29" s="1" t="s">
        <v>579</v>
      </c>
    </row>
    <row r="30">
      <c r="A30" s="77" t="s">
        <v>28</v>
      </c>
      <c r="B30" s="30">
        <f>B10+B19+B20+B21*B22+B25+B26+B28</f>
        <v>286.11751792479674</v>
      </c>
      <c r="C30" s="1"/>
      <c r="D30" s="1"/>
      <c r="E30" s="1" t="s">
        <v>580</v>
      </c>
    </row>
    <row r="31">
      <c r="A31" s="1"/>
      <c r="B31" s="1"/>
      <c r="C31" s="1"/>
      <c r="D31" s="1"/>
      <c r="E31" s="1"/>
    </row>
    <row r="32">
      <c r="A32" s="4" t="s">
        <v>581</v>
      </c>
      <c r="B32" s="1"/>
      <c r="C32" s="1"/>
      <c r="D32" s="1"/>
      <c r="E32" s="1"/>
    </row>
    <row r="33">
      <c r="A33" s="12" t="s">
        <v>582</v>
      </c>
      <c r="B33" s="15">
        <v>343.5</v>
      </c>
      <c r="C33" s="1"/>
      <c r="D33" s="1"/>
      <c r="E33" s="1" t="s">
        <v>583</v>
      </c>
    </row>
    <row r="34">
      <c r="A34" s="12" t="s">
        <v>584</v>
      </c>
      <c r="B34" s="15">
        <v>33.2</v>
      </c>
      <c r="C34" s="1"/>
      <c r="D34" s="1"/>
      <c r="E34" s="1" t="s">
        <v>585</v>
      </c>
    </row>
    <row r="35">
      <c r="A35" s="12" t="s">
        <v>586</v>
      </c>
      <c r="B35" s="15">
        <v>101.6</v>
      </c>
      <c r="C35" s="1"/>
      <c r="D35" s="1"/>
      <c r="E35" s="1" t="s">
        <v>587</v>
      </c>
    </row>
    <row r="36">
      <c r="A36" s="12" t="s">
        <v>588</v>
      </c>
      <c r="B36" s="15">
        <v>332.92</v>
      </c>
      <c r="C36" s="1"/>
      <c r="D36" s="1"/>
      <c r="E36" s="1" t="s">
        <v>587</v>
      </c>
    </row>
    <row r="37">
      <c r="A37" s="12" t="s">
        <v>589</v>
      </c>
      <c r="B37" s="15">
        <v>18.579</v>
      </c>
      <c r="C37" s="1"/>
      <c r="D37" s="1"/>
      <c r="E37" s="1" t="s">
        <v>587</v>
      </c>
    </row>
    <row r="38">
      <c r="A38" s="4" t="s">
        <v>590</v>
      </c>
      <c r="B38" s="22">
        <f>MAX(0,B33+B34+B35-B36-B37)</f>
        <v>126.80099999999993</v>
      </c>
      <c r="C38" s="1"/>
      <c r="D38" s="1"/>
      <c r="E38" s="1" t="s">
        <v>591</v>
      </c>
    </row>
    <row r="39">
      <c r="A39" s="12" t="s">
        <v>592</v>
      </c>
      <c r="B39" s="2">
        <v>2.91</v>
      </c>
      <c r="C39" s="1"/>
      <c r="D39" s="1"/>
      <c r="E39" s="1" t="s">
        <v>593</v>
      </c>
    </row>
    <row r="40">
      <c r="A40" s="12" t="s">
        <v>594</v>
      </c>
      <c r="B40" s="15">
        <v>531.2</v>
      </c>
      <c r="C40" s="1"/>
      <c r="D40" s="1"/>
      <c r="E40" s="1" t="s">
        <v>595</v>
      </c>
    </row>
    <row r="41">
      <c r="A41" s="1"/>
      <c r="B41" s="1"/>
      <c r="C41" s="1"/>
      <c r="D41" s="1"/>
      <c r="E41" s="1"/>
    </row>
    <row r="42">
      <c r="A42" s="4" t="s">
        <v>596</v>
      </c>
      <c r="B42" s="1"/>
      <c r="C42" s="1"/>
      <c r="D42" s="1"/>
      <c r="E42" s="1"/>
    </row>
    <row r="43">
      <c r="A43" s="12" t="s">
        <v>597</v>
      </c>
      <c r="B43" s="1"/>
      <c r="C43" s="2">
        <v>185</v>
      </c>
      <c r="D43" s="1"/>
      <c r="E43" s="1" t="s">
        <v>598</v>
      </c>
    </row>
    <row r="44">
      <c r="A44" s="12" t="s">
        <v>599</v>
      </c>
      <c r="B44" s="1"/>
      <c r="C44" s="65">
        <v>4.3475</v>
      </c>
      <c r="D44" s="1"/>
      <c r="E44" s="1" t="s">
        <v>600</v>
      </c>
    </row>
    <row r="45">
      <c r="A45" s="12" t="s">
        <v>601</v>
      </c>
      <c r="B45" s="38">
        <v>34.5</v>
      </c>
      <c r="C45" s="1"/>
      <c r="D45" s="1"/>
      <c r="E45" s="1" t="s">
        <v>602</v>
      </c>
    </row>
    <row r="46">
      <c r="A46" s="12" t="s">
        <v>603</v>
      </c>
      <c r="B46" s="5">
        <f>B45*(C43-C44)</f>
        <v>6232.5112500000005</v>
      </c>
      <c r="C46" s="1"/>
      <c r="D46" s="1"/>
      <c r="E46" s="1"/>
    </row>
    <row r="47">
      <c r="A47" s="1"/>
      <c r="B47" s="1"/>
      <c r="C47" s="1"/>
      <c r="D47" s="1"/>
      <c r="E47" s="1"/>
    </row>
    <row r="48">
      <c r="A48" s="4" t="s">
        <v>127</v>
      </c>
      <c r="B48" s="1"/>
      <c r="C48" s="1"/>
      <c r="D48" s="1"/>
      <c r="E48" s="1"/>
    </row>
    <row r="49">
      <c r="A49" s="12" t="s">
        <v>604</v>
      </c>
      <c r="B49" s="14">
        <f>B9-B11-B14</f>
        <v>0</v>
      </c>
      <c r="C49" s="1"/>
      <c r="D49" s="1"/>
      <c r="E49" s="1"/>
    </row>
    <row r="50">
      <c r="A50" s="12" t="s">
        <v>605</v>
      </c>
      <c r="B50" s="14">
        <f>B12+B13-B14</f>
        <v>0</v>
      </c>
      <c r="C50" s="1"/>
      <c r="D50" s="1"/>
      <c r="E50" s="1"/>
    </row>
    <row r="51">
      <c r="A51" s="12" t="s">
        <v>606</v>
      </c>
      <c r="B51" s="14">
        <f>Backlog!B42+Backlog!B43-B24</f>
        <v>0</v>
      </c>
      <c r="C51" s="1"/>
      <c r="D51" s="1"/>
      <c r="E51" s="1"/>
    </row>
    <row r="52">
      <c r="A52" s="12" t="s">
        <v>607</v>
      </c>
      <c r="B52" s="14">
        <f>ROUND(B18+B20+B21+B24+B27+B29-76.011,3)</f>
        <v>0</v>
      </c>
      <c r="C52" s="1"/>
      <c r="D52" s="1"/>
      <c r="E52" s="1" t="s">
        <v>608</v>
      </c>
    </row>
    <row r="53">
      <c r="A53" s="12" t="s">
        <v>609</v>
      </c>
      <c r="B53" s="14">
        <f>ROUND(B46-N(CF_Hist!E34),2)</f>
        <v>0</v>
      </c>
      <c r="C53" s="1"/>
      <c r="D53" s="1"/>
      <c r="E53" s="1" t="s">
        <v>610</v>
      </c>
    </row>
  </sheetData>
</worksheet>
</file>

<file path=xl/worksheets/sheet11.xml><?xml version="1.0" encoding="utf-8"?>
<worksheet xmlns="http://schemas.openxmlformats.org/spreadsheetml/2006/main" xmlns:r="http://schemas.openxmlformats.org/officeDocument/2006/relationships">
  <sheetPr>
    <tabColor rgb="FF5A2331"/>
  </sheetPr>
  <dimension ref="A1:N93"/>
  <sheetViews>
    <sheetView showGridLines="0" workbookViewId="0"/>
  </sheetViews>
  <sheetFormatPr defaultColWidth="8.375" defaultRowHeight="15"/>
  <cols>
    <col min="1" max="1" width="92.70703125" customWidth="1"/>
    <col min="2" max="12" width="11.375" customWidth="1"/>
    <col min="13" max="13" width="17.70703125" customWidth="1"/>
    <col min="14" max="14" width="116.0390625" customWidth="1"/>
  </cols>
  <sheetData>
    <row r="1">
      <c r="A1" s="21" t="s">
        <v>611</v>
      </c>
      <c r="B1" s="1"/>
      <c r="C1" s="1"/>
      <c r="D1" s="1"/>
      <c r="E1" s="1"/>
      <c r="F1" s="1"/>
      <c r="G1" s="1"/>
      <c r="H1" s="1"/>
      <c r="I1" s="1"/>
      <c r="J1" s="1"/>
      <c r="K1" s="1"/>
      <c r="L1" s="1"/>
      <c r="M1" s="1"/>
      <c r="N1" s="1"/>
    </row>
    <row r="2">
      <c r="A2" s="1" t="s">
        <v>612</v>
      </c>
      <c r="B2" s="1"/>
      <c r="C2" s="1"/>
      <c r="D2" s="1"/>
      <c r="E2" s="1"/>
      <c r="F2" s="1"/>
      <c r="G2" s="1"/>
      <c r="H2" s="1"/>
      <c r="I2" s="1"/>
      <c r="J2" s="1"/>
      <c r="K2" s="1"/>
      <c r="L2" s="1"/>
      <c r="M2" s="1"/>
      <c r="N2" s="1"/>
    </row>
    <row r="3">
      <c r="A3" s="1"/>
      <c r="B3" s="1" t="s">
        <v>451</v>
      </c>
      <c r="C3" s="59" t="s">
        <v>452</v>
      </c>
      <c r="D3" s="1"/>
      <c r="E3" s="1"/>
      <c r="F3" s="1"/>
      <c r="G3" s="1"/>
      <c r="H3" s="1"/>
      <c r="I3" s="1"/>
      <c r="J3" s="1"/>
      <c r="K3" s="1"/>
      <c r="L3" s="1"/>
      <c r="M3" s="1"/>
      <c r="N3" s="1"/>
    </row>
    <row r="4">
      <c r="A4" s="3" t="s">
        <v>81</v>
      </c>
      <c r="B4" s="24" t="s">
        <v>613</v>
      </c>
      <c r="C4" s="102" t="s">
        <v>614</v>
      </c>
      <c r="D4" s="33" t="s">
        <v>455</v>
      </c>
      <c r="E4" s="33" t="s">
        <v>456</v>
      </c>
      <c r="F4" s="33" t="s">
        <v>457</v>
      </c>
      <c r="G4" s="33" t="s">
        <v>458</v>
      </c>
      <c r="H4" s="33" t="s">
        <v>459</v>
      </c>
      <c r="I4" s="33" t="s">
        <v>460</v>
      </c>
      <c r="J4" s="33" t="s">
        <v>461</v>
      </c>
      <c r="K4" s="33" t="s">
        <v>462</v>
      </c>
      <c r="L4" s="33" t="s">
        <v>463</v>
      </c>
      <c r="M4" s="6" t="s">
        <v>86</v>
      </c>
      <c r="N4" s="6" t="s">
        <v>87</v>
      </c>
    </row>
    <row r="5">
      <c r="A5" s="77" t="s">
        <v>615</v>
      </c>
      <c r="B5" s="34"/>
      <c r="C5" s="115">
        <v>1</v>
      </c>
      <c r="D5" s="1"/>
      <c r="E5" s="1"/>
      <c r="F5" s="1"/>
      <c r="G5" s="1"/>
      <c r="H5" s="1"/>
      <c r="I5" s="1"/>
      <c r="J5" s="1"/>
      <c r="K5" s="1"/>
      <c r="L5" s="1"/>
      <c r="M5" s="1"/>
      <c r="N5" s="1" t="s">
        <v>616</v>
      </c>
    </row>
    <row r="6">
      <c r="A6" s="77" t="s">
        <v>16</v>
      </c>
      <c r="B6" s="34"/>
      <c r="C6" s="116" t="str">
        <f>CHOOSE(C5,"Base","Bull","Bear")</f>
        <v>Base</v>
      </c>
      <c r="D6" s="1"/>
      <c r="E6" s="1"/>
      <c r="F6" s="1"/>
      <c r="G6" s="1"/>
      <c r="H6" s="1"/>
      <c r="I6" s="1"/>
      <c r="J6" s="1"/>
      <c r="K6" s="1"/>
      <c r="L6" s="1"/>
      <c r="M6" s="1"/>
      <c r="N6" s="1"/>
    </row>
    <row r="7">
      <c r="A7" s="1"/>
      <c r="B7" s="1"/>
      <c r="C7" s="59"/>
      <c r="D7" s="1"/>
      <c r="E7" s="1"/>
      <c r="F7" s="1"/>
      <c r="G7" s="1"/>
      <c r="H7" s="1"/>
      <c r="I7" s="1"/>
      <c r="J7" s="1"/>
      <c r="K7" s="1"/>
      <c r="L7" s="1"/>
      <c r="M7" s="1"/>
      <c r="N7" s="1"/>
    </row>
    <row r="8">
      <c r="A8" s="4" t="s">
        <v>617</v>
      </c>
      <c r="B8" s="1"/>
      <c r="C8" s="59"/>
      <c r="D8" s="1"/>
      <c r="E8" s="1"/>
      <c r="F8" s="1"/>
      <c r="G8" s="1"/>
      <c r="H8" s="1"/>
      <c r="I8" s="1"/>
      <c r="J8" s="1"/>
      <c r="K8" s="1"/>
      <c r="L8" s="1"/>
      <c r="M8" s="1"/>
      <c r="N8" s="1"/>
    </row>
    <row r="9">
      <c r="A9" s="1"/>
      <c r="B9" s="1"/>
      <c r="C9" s="117" t="s">
        <v>618</v>
      </c>
      <c r="D9" s="27" t="s">
        <v>619</v>
      </c>
      <c r="E9" s="27" t="s">
        <v>620</v>
      </c>
      <c r="F9" s="27" t="s">
        <v>621</v>
      </c>
      <c r="G9" s="1"/>
      <c r="H9" s="1"/>
      <c r="I9" s="1"/>
      <c r="J9" s="1"/>
      <c r="K9" s="1"/>
      <c r="L9" s="1"/>
      <c r="M9" s="1"/>
      <c r="N9" s="1"/>
    </row>
    <row r="10">
      <c r="A10" s="12" t="s">
        <v>622</v>
      </c>
      <c r="B10" s="1"/>
      <c r="C10" s="8">
        <f>CHOOSE($C$5,D10,E10,F10)</f>
        <v>130</v>
      </c>
      <c r="D10" s="97">
        <v>130</v>
      </c>
      <c r="E10" s="97">
        <v>160</v>
      </c>
      <c r="F10" s="97">
        <v>100</v>
      </c>
      <c r="G10" s="1"/>
      <c r="H10" s="1"/>
      <c r="I10" s="1"/>
      <c r="J10" s="1"/>
      <c r="K10" s="1"/>
      <c r="L10" s="1"/>
      <c r="M10" s="1"/>
      <c r="N10" s="1" t="s">
        <v>623</v>
      </c>
    </row>
    <row r="11">
      <c r="A11" s="12" t="s">
        <v>624</v>
      </c>
      <c r="B11" s="1"/>
      <c r="C11" s="8">
        <f>CHOOSE($C$5,D11,E11,F11)</f>
        <v>150</v>
      </c>
      <c r="D11" s="97">
        <v>150</v>
      </c>
      <c r="E11" s="97">
        <v>180</v>
      </c>
      <c r="F11" s="97">
        <v>120</v>
      </c>
      <c r="G11" s="1"/>
      <c r="H11" s="1"/>
      <c r="I11" s="1"/>
      <c r="J11" s="1"/>
      <c r="K11" s="1"/>
      <c r="L11" s="1"/>
      <c r="M11" s="1"/>
      <c r="N11" s="1" t="s">
        <v>625</v>
      </c>
    </row>
    <row r="12">
      <c r="A12" s="36" t="s">
        <v>626</v>
      </c>
      <c r="B12" s="45"/>
      <c r="C12" s="37">
        <f>CHOOSE($C$5,D12,E12,F12)</f>
        <v>0.36</v>
      </c>
      <c r="D12" s="64">
        <v>0.36</v>
      </c>
      <c r="E12" s="64">
        <v>0.4</v>
      </c>
      <c r="F12" s="64">
        <v>0.3</v>
      </c>
      <c r="G12" s="1"/>
      <c r="H12" s="1"/>
      <c r="I12" s="1"/>
      <c r="J12" s="1"/>
      <c r="K12" s="1"/>
      <c r="L12" s="1"/>
      <c r="M12" s="1"/>
      <c r="N12" s="1" t="s">
        <v>627</v>
      </c>
    </row>
    <row r="13">
      <c r="A13" s="36" t="s">
        <v>628</v>
      </c>
      <c r="B13" s="45"/>
      <c r="C13" s="37">
        <f>CHOOSE($C$5,D13,E13,F13)</f>
        <v>0.4</v>
      </c>
      <c r="D13" s="64">
        <v>0.4</v>
      </c>
      <c r="E13" s="64">
        <v>0.45</v>
      </c>
      <c r="F13" s="64">
        <v>0.33</v>
      </c>
      <c r="G13" s="1"/>
      <c r="H13" s="1"/>
      <c r="I13" s="1"/>
      <c r="J13" s="1"/>
      <c r="K13" s="1"/>
      <c r="L13" s="1"/>
      <c r="M13" s="1"/>
      <c r="N13" s="1" t="s">
        <v>629</v>
      </c>
    </row>
    <row r="14">
      <c r="A14" s="12" t="s">
        <v>630</v>
      </c>
      <c r="B14" s="1"/>
      <c r="C14" s="8">
        <f>CHOOSE($C$5,D14,E14,F14)</f>
        <v>210</v>
      </c>
      <c r="D14" s="97">
        <v>210</v>
      </c>
      <c r="E14" s="97">
        <v>200</v>
      </c>
      <c r="F14" s="97">
        <v>230</v>
      </c>
      <c r="G14" s="1"/>
      <c r="H14" s="1"/>
      <c r="I14" s="1"/>
      <c r="J14" s="1"/>
      <c r="K14" s="1"/>
      <c r="L14" s="1"/>
      <c r="M14" s="1"/>
      <c r="N14" s="1" t="s">
        <v>631</v>
      </c>
    </row>
    <row r="15">
      <c r="A15" s="12" t="s">
        <v>632</v>
      </c>
      <c r="B15" s="1"/>
      <c r="C15" s="8">
        <f>CHOOSE($C$5,D15,E15,F15)</f>
        <v>40</v>
      </c>
      <c r="D15" s="97">
        <v>40</v>
      </c>
      <c r="E15" s="97">
        <v>38</v>
      </c>
      <c r="F15" s="97">
        <v>45</v>
      </c>
      <c r="G15" s="1"/>
      <c r="H15" s="1"/>
      <c r="I15" s="1"/>
      <c r="J15" s="1"/>
      <c r="K15" s="1"/>
      <c r="L15" s="1"/>
      <c r="M15" s="1"/>
      <c r="N15" s="1" t="s">
        <v>633</v>
      </c>
    </row>
    <row r="16">
      <c r="A16" s="12" t="s">
        <v>634</v>
      </c>
      <c r="B16" s="1"/>
      <c r="C16" s="8">
        <f>CHOOSE($C$5,D16,E16,F16)</f>
        <v>50</v>
      </c>
      <c r="D16" s="97">
        <v>50</v>
      </c>
      <c r="E16" s="97">
        <v>48</v>
      </c>
      <c r="F16" s="97">
        <v>55</v>
      </c>
      <c r="G16" s="1"/>
      <c r="H16" s="1"/>
      <c r="I16" s="1"/>
      <c r="J16" s="1"/>
      <c r="K16" s="1"/>
      <c r="L16" s="1"/>
      <c r="M16" s="1"/>
      <c r="N16" s="1" t="s">
        <v>635</v>
      </c>
    </row>
    <row r="17">
      <c r="A17" s="12" t="s">
        <v>636</v>
      </c>
      <c r="B17" s="1"/>
      <c r="C17" s="8">
        <f>CHOOSE($C$5,D17,E17,F17)</f>
        <v>180</v>
      </c>
      <c r="D17" s="97">
        <v>180</v>
      </c>
      <c r="E17" s="97">
        <v>160</v>
      </c>
      <c r="F17" s="97">
        <v>220</v>
      </c>
      <c r="G17" s="1"/>
      <c r="H17" s="1"/>
      <c r="I17" s="1"/>
      <c r="J17" s="1"/>
      <c r="K17" s="1"/>
      <c r="L17" s="1"/>
      <c r="M17" s="1"/>
      <c r="N17" s="1" t="s">
        <v>637</v>
      </c>
    </row>
    <row r="18">
      <c r="A18" s="12" t="s">
        <v>638</v>
      </c>
      <c r="B18" s="1"/>
      <c r="C18" s="8">
        <f>CHOOSE($C$5,D18,E18,F18)</f>
        <v>900</v>
      </c>
      <c r="D18" s="97">
        <v>900</v>
      </c>
      <c r="E18" s="97">
        <v>1100</v>
      </c>
      <c r="F18" s="97">
        <v>700</v>
      </c>
      <c r="G18" s="1"/>
      <c r="H18" s="1"/>
      <c r="I18" s="1"/>
      <c r="J18" s="1"/>
      <c r="K18" s="1"/>
      <c r="L18" s="1"/>
      <c r="M18" s="1"/>
      <c r="N18" s="1" t="s">
        <v>639</v>
      </c>
    </row>
    <row r="19">
      <c r="A19" s="36" t="s">
        <v>640</v>
      </c>
      <c r="B19" s="45"/>
      <c r="C19" s="37">
        <f>CHOOSE($C$5,D19,E19,F19)</f>
        <v>1</v>
      </c>
      <c r="D19" s="64">
        <v>1</v>
      </c>
      <c r="E19" s="64">
        <v>1</v>
      </c>
      <c r="F19" s="64">
        <v>0.85</v>
      </c>
      <c r="G19" s="1"/>
      <c r="H19" s="1"/>
      <c r="I19" s="1"/>
      <c r="J19" s="1"/>
      <c r="K19" s="1"/>
      <c r="L19" s="1"/>
      <c r="M19" s="1"/>
      <c r="N19" s="1" t="s">
        <v>641</v>
      </c>
    </row>
    <row r="20">
      <c r="A20" s="36" t="s">
        <v>642</v>
      </c>
      <c r="B20" s="45"/>
      <c r="C20" s="37">
        <f>CHOOSE($C$5,D20,E20,F20)</f>
        <v>0.8</v>
      </c>
      <c r="D20" s="64">
        <v>0.8</v>
      </c>
      <c r="E20" s="64">
        <v>1</v>
      </c>
      <c r="F20" s="64">
        <v>0.5</v>
      </c>
      <c r="G20" s="1"/>
      <c r="H20" s="1"/>
      <c r="I20" s="1"/>
      <c r="J20" s="1"/>
      <c r="K20" s="1"/>
      <c r="L20" s="1"/>
      <c r="M20" s="1"/>
      <c r="N20" s="1" t="s">
        <v>643</v>
      </c>
    </row>
    <row r="21">
      <c r="A21" s="36" t="s">
        <v>644</v>
      </c>
      <c r="B21" s="45"/>
      <c r="C21" s="37">
        <f>CHOOSE($C$5,D21,E21,F21)</f>
        <v>0</v>
      </c>
      <c r="D21" s="64">
        <v>0</v>
      </c>
      <c r="E21" s="64">
        <v>0.5</v>
      </c>
      <c r="F21" s="64">
        <v>0</v>
      </c>
      <c r="G21" s="1"/>
      <c r="H21" s="1"/>
      <c r="I21" s="1"/>
      <c r="J21" s="1"/>
      <c r="K21" s="1"/>
      <c r="L21" s="1"/>
      <c r="M21" s="1"/>
      <c r="N21" s="1" t="s">
        <v>645</v>
      </c>
    </row>
    <row r="22">
      <c r="A22" s="36" t="s">
        <v>646</v>
      </c>
      <c r="B22" s="45"/>
      <c r="C22" s="37">
        <f>CHOOSE($C$5,D22,E22,F22)</f>
        <v>0.03</v>
      </c>
      <c r="D22" s="64">
        <v>0.03</v>
      </c>
      <c r="E22" s="64">
        <v>0.035</v>
      </c>
      <c r="F22" s="64">
        <v>0.025</v>
      </c>
      <c r="G22" s="1"/>
      <c r="H22" s="1"/>
      <c r="I22" s="1"/>
      <c r="J22" s="1"/>
      <c r="K22" s="1"/>
      <c r="L22" s="1"/>
      <c r="M22" s="1"/>
      <c r="N22" s="1" t="s">
        <v>647</v>
      </c>
    </row>
    <row r="23">
      <c r="A23" s="36" t="s">
        <v>648</v>
      </c>
      <c r="B23" s="45"/>
      <c r="C23" s="37">
        <f>CHOOSE($C$5,D23,E23,F23)</f>
        <v>0.2</v>
      </c>
      <c r="D23" s="64">
        <v>0.2</v>
      </c>
      <c r="E23" s="64">
        <v>0.3</v>
      </c>
      <c r="F23" s="64">
        <v>0.12</v>
      </c>
      <c r="G23" s="1"/>
      <c r="H23" s="1"/>
      <c r="I23" s="1"/>
      <c r="J23" s="1"/>
      <c r="K23" s="1"/>
      <c r="L23" s="1"/>
      <c r="M23" s="1"/>
      <c r="N23" s="1" t="s">
        <v>649</v>
      </c>
    </row>
    <row r="24">
      <c r="A24" s="12" t="s">
        <v>650</v>
      </c>
      <c r="B24" s="1"/>
      <c r="C24" s="105">
        <f>CHOOSE($C$5,D24,E24,F24)</f>
        <v>12</v>
      </c>
      <c r="D24" s="114">
        <v>12</v>
      </c>
      <c r="E24" s="114">
        <v>15</v>
      </c>
      <c r="F24" s="114">
        <v>9</v>
      </c>
      <c r="G24" s="1"/>
      <c r="H24" s="1"/>
      <c r="I24" s="1"/>
      <c r="J24" s="1"/>
      <c r="K24" s="1"/>
      <c r="L24" s="1"/>
      <c r="M24" s="1"/>
      <c r="N24" s="1" t="s">
        <v>651</v>
      </c>
    </row>
    <row r="25">
      <c r="A25" s="1"/>
      <c r="B25" s="1"/>
      <c r="C25" s="59"/>
      <c r="D25" s="1"/>
      <c r="E25" s="1"/>
      <c r="F25" s="1"/>
      <c r="G25" s="1"/>
      <c r="H25" s="1"/>
      <c r="I25" s="1"/>
      <c r="J25" s="1"/>
      <c r="K25" s="1"/>
      <c r="L25" s="1"/>
      <c r="M25" s="1"/>
      <c r="N25" s="1"/>
    </row>
    <row r="26">
      <c r="A26" s="4" t="s">
        <v>652</v>
      </c>
      <c r="B26" s="1"/>
      <c r="C26" s="59"/>
      <c r="D26" s="1"/>
      <c r="E26" s="1"/>
      <c r="F26" s="1"/>
      <c r="G26" s="1"/>
      <c r="H26" s="1"/>
      <c r="I26" s="1"/>
      <c r="J26" s="1"/>
      <c r="K26" s="1"/>
      <c r="L26" s="1"/>
      <c r="M26" s="1"/>
      <c r="N26" s="1"/>
    </row>
    <row r="27">
      <c r="A27" s="36" t="s">
        <v>653</v>
      </c>
      <c r="B27" s="45"/>
      <c r="C27" s="101">
        <v>0.05</v>
      </c>
      <c r="D27" s="1"/>
      <c r="E27" s="1"/>
      <c r="F27" s="1"/>
      <c r="G27" s="1"/>
      <c r="H27" s="1"/>
      <c r="I27" s="1"/>
      <c r="J27" s="1"/>
      <c r="K27" s="1"/>
      <c r="L27" s="1"/>
      <c r="M27" s="1"/>
      <c r="N27" s="1" t="s">
        <v>654</v>
      </c>
    </row>
    <row r="28">
      <c r="A28" s="36" t="s">
        <v>655</v>
      </c>
      <c r="B28" s="45"/>
      <c r="C28" s="101">
        <v>0.8</v>
      </c>
      <c r="D28" s="1"/>
      <c r="E28" s="1"/>
      <c r="F28" s="1"/>
      <c r="G28" s="1"/>
      <c r="H28" s="1"/>
      <c r="I28" s="1"/>
      <c r="J28" s="1"/>
      <c r="K28" s="1"/>
      <c r="L28" s="1"/>
      <c r="M28" s="1"/>
      <c r="N28" s="1" t="s">
        <v>656</v>
      </c>
    </row>
    <row r="29">
      <c r="A29" s="36" t="s">
        <v>657</v>
      </c>
      <c r="B29" s="45"/>
      <c r="C29" s="101">
        <v>0.04</v>
      </c>
      <c r="D29" s="1"/>
      <c r="E29" s="1"/>
      <c r="F29" s="1"/>
      <c r="G29" s="1"/>
      <c r="H29" s="1"/>
      <c r="I29" s="1"/>
      <c r="J29" s="1"/>
      <c r="K29" s="1"/>
      <c r="L29" s="1"/>
      <c r="M29" s="1"/>
      <c r="N29" s="1" t="s">
        <v>658</v>
      </c>
    </row>
    <row r="30">
      <c r="A30" s="12" t="s">
        <v>659</v>
      </c>
      <c r="B30" s="1"/>
      <c r="C30" s="107">
        <v>4</v>
      </c>
      <c r="D30" s="1"/>
      <c r="E30" s="1"/>
      <c r="F30" s="1"/>
      <c r="G30" s="1"/>
      <c r="H30" s="1"/>
      <c r="I30" s="1"/>
      <c r="J30" s="1"/>
      <c r="K30" s="1"/>
      <c r="L30" s="1"/>
      <c r="M30" s="1"/>
      <c r="N30" s="1" t="s">
        <v>660</v>
      </c>
    </row>
    <row r="31">
      <c r="A31" s="36" t="s">
        <v>661</v>
      </c>
      <c r="B31" s="45"/>
      <c r="C31" s="101">
        <v>0.0375</v>
      </c>
      <c r="D31" s="1"/>
      <c r="E31" s="1"/>
      <c r="F31" s="1"/>
      <c r="G31" s="1"/>
      <c r="H31" s="1"/>
      <c r="I31" s="1"/>
      <c r="J31" s="1"/>
      <c r="K31" s="1"/>
      <c r="L31" s="1"/>
      <c r="M31" s="1"/>
      <c r="N31" s="1" t="s">
        <v>662</v>
      </c>
    </row>
    <row r="32">
      <c r="A32" s="36" t="s">
        <v>663</v>
      </c>
      <c r="B32" s="45"/>
      <c r="C32" s="101">
        <v>0.06</v>
      </c>
      <c r="D32" s="1"/>
      <c r="E32" s="1"/>
      <c r="F32" s="1"/>
      <c r="G32" s="1"/>
      <c r="H32" s="1"/>
      <c r="I32" s="1"/>
      <c r="J32" s="1"/>
      <c r="K32" s="1"/>
      <c r="L32" s="1"/>
      <c r="M32" s="1"/>
      <c r="N32" s="1" t="s">
        <v>664</v>
      </c>
    </row>
    <row r="33">
      <c r="A33" s="36" t="s">
        <v>665</v>
      </c>
      <c r="B33" s="45"/>
      <c r="C33" s="101">
        <v>0.4</v>
      </c>
      <c r="D33" s="1"/>
      <c r="E33" s="1"/>
      <c r="F33" s="1"/>
      <c r="G33" s="1"/>
      <c r="H33" s="1"/>
      <c r="I33" s="1"/>
      <c r="J33" s="1"/>
      <c r="K33" s="1"/>
      <c r="L33" s="1"/>
      <c r="M33" s="1"/>
      <c r="N33" s="1" t="s">
        <v>666</v>
      </c>
    </row>
    <row r="34">
      <c r="A34" s="36" t="s">
        <v>667</v>
      </c>
      <c r="B34" s="45"/>
      <c r="C34" s="101">
        <v>0.45</v>
      </c>
      <c r="D34" s="1"/>
      <c r="E34" s="1"/>
      <c r="F34" s="1"/>
      <c r="G34" s="1"/>
      <c r="H34" s="1"/>
      <c r="I34" s="1"/>
      <c r="J34" s="1"/>
      <c r="K34" s="1"/>
      <c r="L34" s="1"/>
      <c r="M34" s="1"/>
      <c r="N34" s="1" t="s">
        <v>668</v>
      </c>
    </row>
    <row r="35">
      <c r="A35" s="36" t="s">
        <v>669</v>
      </c>
      <c r="B35" s="45"/>
      <c r="C35" s="101">
        <v>0.15</v>
      </c>
      <c r="D35" s="1"/>
      <c r="E35" s="1"/>
      <c r="F35" s="1"/>
      <c r="G35" s="1"/>
      <c r="H35" s="1"/>
      <c r="I35" s="1"/>
      <c r="J35" s="1"/>
      <c r="K35" s="1"/>
      <c r="L35" s="1"/>
      <c r="M35" s="1"/>
      <c r="N35" s="1" t="s">
        <v>670</v>
      </c>
    </row>
    <row r="36">
      <c r="A36" s="36" t="s">
        <v>671</v>
      </c>
      <c r="B36" s="45"/>
      <c r="C36" s="101">
        <v>0.21</v>
      </c>
      <c r="D36" s="1"/>
      <c r="E36" s="1"/>
      <c r="F36" s="1"/>
      <c r="G36" s="1"/>
      <c r="H36" s="1"/>
      <c r="I36" s="1"/>
      <c r="J36" s="1"/>
      <c r="K36" s="1"/>
      <c r="L36" s="1"/>
      <c r="M36" s="1"/>
      <c r="N36" s="1" t="s">
        <v>672</v>
      </c>
    </row>
    <row r="37">
      <c r="A37" s="12" t="s">
        <v>673</v>
      </c>
      <c r="B37" s="1"/>
      <c r="C37" s="107">
        <v>123.49</v>
      </c>
      <c r="D37" s="1"/>
      <c r="E37" s="1"/>
      <c r="F37" s="1"/>
      <c r="G37" s="1"/>
      <c r="H37" s="1"/>
      <c r="I37" s="1"/>
      <c r="J37" s="1"/>
      <c r="K37" s="1"/>
      <c r="L37" s="1"/>
      <c r="M37" s="1"/>
      <c r="N37" s="1" t="s">
        <v>674</v>
      </c>
    </row>
    <row r="38">
      <c r="A38" s="36" t="s">
        <v>675</v>
      </c>
      <c r="B38" s="45"/>
      <c r="C38" s="101">
        <v>0.8</v>
      </c>
      <c r="D38" s="1"/>
      <c r="E38" s="1"/>
      <c r="F38" s="1"/>
      <c r="G38" s="1"/>
      <c r="H38" s="1"/>
      <c r="I38" s="1"/>
      <c r="J38" s="1"/>
      <c r="K38" s="1"/>
      <c r="L38" s="1"/>
      <c r="M38" s="1"/>
      <c r="N38" s="1" t="s">
        <v>676</v>
      </c>
    </row>
    <row r="39">
      <c r="A39" s="12" t="s">
        <v>677</v>
      </c>
      <c r="B39" s="1"/>
      <c r="C39" s="107">
        <v>4</v>
      </c>
      <c r="D39" s="1"/>
      <c r="E39" s="1"/>
      <c r="F39" s="1"/>
      <c r="G39" s="1"/>
      <c r="H39" s="1"/>
      <c r="I39" s="1"/>
      <c r="J39" s="1"/>
      <c r="K39" s="1"/>
      <c r="L39" s="1"/>
      <c r="M39" s="1"/>
      <c r="N39" s="1" t="s">
        <v>678</v>
      </c>
    </row>
    <row r="40">
      <c r="A40" s="12" t="s">
        <v>679</v>
      </c>
      <c r="B40" s="1"/>
      <c r="C40" s="107">
        <v>4</v>
      </c>
      <c r="D40" s="1"/>
      <c r="E40" s="1"/>
      <c r="F40" s="1"/>
      <c r="G40" s="1"/>
      <c r="H40" s="1"/>
      <c r="I40" s="1"/>
      <c r="J40" s="1"/>
      <c r="K40" s="1"/>
      <c r="L40" s="1"/>
      <c r="M40" s="1"/>
      <c r="N40" s="1" t="s">
        <v>680</v>
      </c>
    </row>
    <row r="41">
      <c r="A41" s="36" t="s">
        <v>681</v>
      </c>
      <c r="B41" s="45"/>
      <c r="C41" s="101">
        <v>0</v>
      </c>
      <c r="D41" s="1"/>
      <c r="E41" s="1"/>
      <c r="F41" s="1"/>
      <c r="G41" s="1"/>
      <c r="H41" s="1"/>
      <c r="I41" s="1"/>
      <c r="J41" s="1"/>
      <c r="K41" s="1"/>
      <c r="L41" s="1"/>
      <c r="M41" s="1"/>
      <c r="N41" s="1" t="s">
        <v>682</v>
      </c>
    </row>
    <row r="42">
      <c r="A42" s="36" t="s">
        <v>683</v>
      </c>
      <c r="B42" s="45"/>
      <c r="C42" s="101">
        <v>0</v>
      </c>
      <c r="D42" s="1"/>
      <c r="E42" s="1"/>
      <c r="F42" s="1"/>
      <c r="G42" s="1"/>
      <c r="H42" s="1"/>
      <c r="I42" s="1"/>
      <c r="J42" s="1"/>
      <c r="K42" s="1"/>
      <c r="L42" s="1"/>
      <c r="M42" s="1"/>
      <c r="N42" s="1" t="s">
        <v>684</v>
      </c>
    </row>
    <row r="43">
      <c r="A43" s="12" t="s">
        <v>685</v>
      </c>
      <c r="B43" s="1"/>
      <c r="C43" s="8">
        <f>C37/C36</f>
        <v>588.047619047619</v>
      </c>
      <c r="D43" s="1"/>
      <c r="E43" s="1"/>
      <c r="F43" s="1"/>
      <c r="G43" s="1"/>
      <c r="H43" s="1"/>
      <c r="I43" s="1"/>
      <c r="J43" s="1"/>
      <c r="K43" s="1"/>
      <c r="L43" s="1"/>
      <c r="M43" s="1"/>
      <c r="N43" s="1" t="s">
        <v>686</v>
      </c>
    </row>
    <row r="44">
      <c r="A44" s="36" t="s">
        <v>687</v>
      </c>
      <c r="B44" s="45"/>
      <c r="C44" s="37">
        <f>N(BS_Hist!F10)/(2*N(IS_Hist!E9))</f>
        <v>0.16513482688827252</v>
      </c>
      <c r="D44" s="1"/>
      <c r="E44" s="1"/>
      <c r="F44" s="1"/>
      <c r="G44" s="1"/>
      <c r="H44" s="1"/>
      <c r="I44" s="1"/>
      <c r="J44" s="1"/>
      <c r="K44" s="1"/>
      <c r="L44" s="1"/>
      <c r="M44" s="1"/>
      <c r="N44" s="1" t="s">
        <v>688</v>
      </c>
    </row>
    <row r="45">
      <c r="A45" s="36" t="s">
        <v>689</v>
      </c>
      <c r="B45" s="45"/>
      <c r="C45" s="37">
        <f>N(BS_Hist!F11)/(2*N(IS_Hist!E7))</f>
        <v>0.09916095973578123</v>
      </c>
      <c r="D45" s="1"/>
      <c r="E45" s="1"/>
      <c r="F45" s="1"/>
      <c r="G45" s="1"/>
      <c r="H45" s="1"/>
      <c r="I45" s="1"/>
      <c r="J45" s="1"/>
      <c r="K45" s="1"/>
      <c r="L45" s="1"/>
      <c r="M45" s="1"/>
      <c r="N45" s="1"/>
    </row>
    <row r="46">
      <c r="A46" s="36" t="s">
        <v>690</v>
      </c>
      <c r="B46" s="45"/>
      <c r="C46" s="37">
        <f>N(BS_Hist!F22)/(2*N(Revenue_Hist!E44))</f>
        <v>0.20336902705814625</v>
      </c>
      <c r="D46" s="1"/>
      <c r="E46" s="1"/>
      <c r="F46" s="1"/>
      <c r="G46" s="1"/>
      <c r="H46" s="1"/>
      <c r="I46" s="1"/>
      <c r="J46" s="1"/>
      <c r="K46" s="1"/>
      <c r="L46" s="1"/>
      <c r="M46" s="1"/>
      <c r="N46" s="1"/>
    </row>
    <row r="47">
      <c r="A47" s="1"/>
      <c r="B47" s="1"/>
      <c r="C47" s="59"/>
      <c r="D47" s="1"/>
      <c r="E47" s="1"/>
      <c r="F47" s="1"/>
      <c r="G47" s="1"/>
      <c r="H47" s="1"/>
      <c r="I47" s="1"/>
      <c r="J47" s="1"/>
      <c r="K47" s="1"/>
      <c r="L47" s="1"/>
      <c r="M47" s="1"/>
      <c r="N47" s="1"/>
    </row>
    <row r="48">
      <c r="A48" s="4" t="s">
        <v>691</v>
      </c>
      <c r="B48" s="1"/>
      <c r="C48" s="59"/>
      <c r="D48" s="1"/>
      <c r="E48" s="1"/>
      <c r="F48" s="1"/>
      <c r="G48" s="1"/>
      <c r="H48" s="1"/>
      <c r="I48" s="1"/>
      <c r="J48" s="1"/>
      <c r="K48" s="1"/>
      <c r="L48" s="1"/>
      <c r="M48" s="1"/>
      <c r="N48" s="1"/>
    </row>
    <row r="49">
      <c r="A49" s="4" t="s">
        <v>692</v>
      </c>
      <c r="B49" s="1"/>
      <c r="C49" s="59"/>
      <c r="D49" s="1"/>
      <c r="E49" s="1"/>
      <c r="F49" s="1"/>
      <c r="G49" s="1"/>
      <c r="H49" s="1"/>
      <c r="I49" s="1"/>
      <c r="J49" s="1"/>
      <c r="K49" s="1"/>
      <c r="L49" s="1"/>
      <c r="M49" s="1"/>
      <c r="N49" s="1" t="s">
        <v>693</v>
      </c>
    </row>
    <row r="50">
      <c r="A50" s="36" t="s">
        <v>619</v>
      </c>
      <c r="B50" s="45"/>
      <c r="C50" s="37"/>
      <c r="D50" s="64">
        <v>0.05</v>
      </c>
      <c r="E50" s="64">
        <v>0.05</v>
      </c>
      <c r="F50" s="64">
        <v>0.05</v>
      </c>
      <c r="G50" s="64">
        <v>0.04</v>
      </c>
      <c r="H50" s="64">
        <v>0.04</v>
      </c>
      <c r="I50" s="64">
        <v>0.03</v>
      </c>
      <c r="J50" s="64">
        <v>0.03</v>
      </c>
      <c r="K50" s="64">
        <v>0.03</v>
      </c>
      <c r="L50" s="64">
        <v>0.03</v>
      </c>
      <c r="M50" s="1"/>
      <c r="N50" s="1"/>
    </row>
    <row r="51">
      <c r="A51" s="36" t="s">
        <v>620</v>
      </c>
      <c r="B51" s="45"/>
      <c r="C51" s="37"/>
      <c r="D51" s="64">
        <v>0.15</v>
      </c>
      <c r="E51" s="64">
        <v>0.12</v>
      </c>
      <c r="F51" s="64">
        <v>0.1</v>
      </c>
      <c r="G51" s="64">
        <v>0.08</v>
      </c>
      <c r="H51" s="64">
        <v>0.06</v>
      </c>
      <c r="I51" s="64">
        <v>0.05</v>
      </c>
      <c r="J51" s="64">
        <v>0.04</v>
      </c>
      <c r="K51" s="64">
        <v>0.04</v>
      </c>
      <c r="L51" s="64">
        <v>0.04</v>
      </c>
      <c r="M51" s="1"/>
      <c r="N51" s="1"/>
    </row>
    <row r="52">
      <c r="A52" s="36" t="s">
        <v>621</v>
      </c>
      <c r="B52" s="45"/>
      <c r="C52" s="37"/>
      <c r="D52" s="64">
        <v>-0.15</v>
      </c>
      <c r="E52" s="64">
        <v>-0.05</v>
      </c>
      <c r="F52" s="64">
        <v>0</v>
      </c>
      <c r="G52" s="64">
        <v>0</v>
      </c>
      <c r="H52" s="64">
        <v>0</v>
      </c>
      <c r="I52" s="64">
        <v>0</v>
      </c>
      <c r="J52" s="64">
        <v>0</v>
      </c>
      <c r="K52" s="64">
        <v>0</v>
      </c>
      <c r="L52" s="64">
        <v>0</v>
      </c>
      <c r="M52" s="1"/>
      <c r="N52" s="1"/>
    </row>
    <row r="53">
      <c r="A53" s="72" t="s">
        <v>618</v>
      </c>
      <c r="B53" s="87"/>
      <c r="C53" s="99"/>
      <c r="D53" s="7">
        <f>CHOOSE($C$5,D50,D51,D52)</f>
        <v>0.05</v>
      </c>
      <c r="E53" s="7">
        <f>CHOOSE($C$5,E50,E51,E52)</f>
        <v>0.05</v>
      </c>
      <c r="F53" s="7">
        <f>CHOOSE($C$5,F50,F51,F52)</f>
        <v>0.05</v>
      </c>
      <c r="G53" s="7">
        <f>CHOOSE($C$5,G50,G51,G52)</f>
        <v>0.04</v>
      </c>
      <c r="H53" s="7">
        <f>CHOOSE($C$5,H50,H51,H52)</f>
        <v>0.04</v>
      </c>
      <c r="I53" s="7">
        <f>CHOOSE($C$5,I50,I51,I52)</f>
        <v>0.03</v>
      </c>
      <c r="J53" s="7">
        <f>CHOOSE($C$5,J50,J51,J52)</f>
        <v>0.03</v>
      </c>
      <c r="K53" s="7">
        <f>CHOOSE($C$5,K50,K51,K52)</f>
        <v>0.03</v>
      </c>
      <c r="L53" s="7">
        <f>CHOOSE($C$5,L50,L51,L52)</f>
        <v>0.03</v>
      </c>
      <c r="M53" s="1"/>
      <c r="N53" s="1"/>
    </row>
    <row r="54">
      <c r="A54" s="4" t="s">
        <v>694</v>
      </c>
      <c r="B54" s="1"/>
      <c r="C54" s="59"/>
      <c r="D54" s="1"/>
      <c r="E54" s="1"/>
      <c r="F54" s="1"/>
      <c r="G54" s="1"/>
      <c r="H54" s="1"/>
      <c r="I54" s="1"/>
      <c r="J54" s="1"/>
      <c r="K54" s="1"/>
      <c r="L54" s="1"/>
      <c r="M54" s="1"/>
      <c r="N54" s="1" t="s">
        <v>695</v>
      </c>
    </row>
    <row r="55">
      <c r="A55" s="36" t="s">
        <v>619</v>
      </c>
      <c r="B55" s="45"/>
      <c r="C55" s="37"/>
      <c r="D55" s="64">
        <v>0.9</v>
      </c>
      <c r="E55" s="64">
        <v>0.55</v>
      </c>
      <c r="F55" s="64">
        <v>0.4</v>
      </c>
      <c r="G55" s="64">
        <v>0.3</v>
      </c>
      <c r="H55" s="64">
        <v>0.22</v>
      </c>
      <c r="I55" s="64">
        <v>0.18</v>
      </c>
      <c r="J55" s="64">
        <v>0.14</v>
      </c>
      <c r="K55" s="64">
        <v>0.11</v>
      </c>
      <c r="L55" s="64">
        <v>0.09</v>
      </c>
      <c r="M55" s="1"/>
      <c r="N55" s="1"/>
    </row>
    <row r="56">
      <c r="A56" s="36" t="s">
        <v>620</v>
      </c>
      <c r="B56" s="45"/>
      <c r="C56" s="37"/>
      <c r="D56" s="64">
        <v>1.2</v>
      </c>
      <c r="E56" s="64">
        <v>0.75</v>
      </c>
      <c r="F56" s="64">
        <v>0.5</v>
      </c>
      <c r="G56" s="64">
        <v>0.38</v>
      </c>
      <c r="H56" s="64">
        <v>0.28</v>
      </c>
      <c r="I56" s="64">
        <v>0.22</v>
      </c>
      <c r="J56" s="64">
        <v>0.17</v>
      </c>
      <c r="K56" s="64">
        <v>0.13</v>
      </c>
      <c r="L56" s="64">
        <v>0.1</v>
      </c>
      <c r="M56" s="1"/>
      <c r="N56" s="1"/>
    </row>
    <row r="57">
      <c r="A57" s="36" t="s">
        <v>621</v>
      </c>
      <c r="B57" s="45"/>
      <c r="C57" s="37"/>
      <c r="D57" s="64">
        <v>0.45</v>
      </c>
      <c r="E57" s="64">
        <v>0.3</v>
      </c>
      <c r="F57" s="64">
        <v>0.22</v>
      </c>
      <c r="G57" s="64">
        <v>0.17</v>
      </c>
      <c r="H57" s="64">
        <v>0.13</v>
      </c>
      <c r="I57" s="64">
        <v>0.1</v>
      </c>
      <c r="J57" s="64">
        <v>0.08</v>
      </c>
      <c r="K57" s="64">
        <v>0.06</v>
      </c>
      <c r="L57" s="64">
        <v>0.05</v>
      </c>
      <c r="M57" s="1"/>
      <c r="N57" s="1"/>
    </row>
    <row r="58">
      <c r="A58" s="72" t="s">
        <v>618</v>
      </c>
      <c r="B58" s="87"/>
      <c r="C58" s="99"/>
      <c r="D58" s="7">
        <f>CHOOSE($C$5,D55,D56,D57)</f>
        <v>0.9</v>
      </c>
      <c r="E58" s="7">
        <f>CHOOSE($C$5,E55,E56,E57)</f>
        <v>0.55</v>
      </c>
      <c r="F58" s="7">
        <f>CHOOSE($C$5,F55,F56,F57)</f>
        <v>0.4</v>
      </c>
      <c r="G58" s="7">
        <f>CHOOSE($C$5,G55,G56,G57)</f>
        <v>0.3</v>
      </c>
      <c r="H58" s="7">
        <f>CHOOSE($C$5,H55,H56,H57)</f>
        <v>0.22</v>
      </c>
      <c r="I58" s="7">
        <f>CHOOSE($C$5,I55,I56,I57)</f>
        <v>0.18</v>
      </c>
      <c r="J58" s="7">
        <f>CHOOSE($C$5,J55,J56,J57)</f>
        <v>0.14</v>
      </c>
      <c r="K58" s="7">
        <f>CHOOSE($C$5,K55,K56,K57)</f>
        <v>0.11</v>
      </c>
      <c r="L58" s="7">
        <f>CHOOSE($C$5,L55,L56,L57)</f>
        <v>0.09</v>
      </c>
      <c r="M58" s="1"/>
      <c r="N58" s="1"/>
    </row>
    <row r="59">
      <c r="A59" s="4" t="s">
        <v>696</v>
      </c>
      <c r="B59" s="1"/>
      <c r="C59" s="59"/>
      <c r="D59" s="1"/>
      <c r="E59" s="1"/>
      <c r="F59" s="1"/>
      <c r="G59" s="1"/>
      <c r="H59" s="1"/>
      <c r="I59" s="1"/>
      <c r="J59" s="1"/>
      <c r="K59" s="1"/>
      <c r="L59" s="1"/>
      <c r="M59" s="1"/>
      <c r="N59" s="1" t="s">
        <v>697</v>
      </c>
    </row>
    <row r="60">
      <c r="A60" s="36" t="s">
        <v>619</v>
      </c>
      <c r="B60" s="45"/>
      <c r="C60" s="37"/>
      <c r="D60" s="64">
        <v>0.38</v>
      </c>
      <c r="E60" s="64">
        <v>0.38</v>
      </c>
      <c r="F60" s="64">
        <v>0.38</v>
      </c>
      <c r="G60" s="64">
        <v>0.38</v>
      </c>
      <c r="H60" s="64">
        <v>0.38</v>
      </c>
      <c r="I60" s="64">
        <v>0.38</v>
      </c>
      <c r="J60" s="64">
        <v>0.38</v>
      </c>
      <c r="K60" s="64">
        <v>0.38</v>
      </c>
      <c r="L60" s="64">
        <v>0.38</v>
      </c>
      <c r="M60" s="1"/>
      <c r="N60" s="1"/>
    </row>
    <row r="61">
      <c r="A61" s="36" t="s">
        <v>620</v>
      </c>
      <c r="B61" s="45"/>
      <c r="C61" s="37"/>
      <c r="D61" s="64">
        <v>0.42</v>
      </c>
      <c r="E61" s="64">
        <v>0.42</v>
      </c>
      <c r="F61" s="64">
        <v>0.42</v>
      </c>
      <c r="G61" s="64">
        <v>0.42</v>
      </c>
      <c r="H61" s="64">
        <v>0.42</v>
      </c>
      <c r="I61" s="64">
        <v>0.42</v>
      </c>
      <c r="J61" s="64">
        <v>0.42</v>
      </c>
      <c r="K61" s="64">
        <v>0.42</v>
      </c>
      <c r="L61" s="64">
        <v>0.42</v>
      </c>
      <c r="M61" s="1"/>
      <c r="N61" s="1"/>
    </row>
    <row r="62">
      <c r="A62" s="36" t="s">
        <v>621</v>
      </c>
      <c r="B62" s="45"/>
      <c r="C62" s="37"/>
      <c r="D62" s="64">
        <v>0.32</v>
      </c>
      <c r="E62" s="64">
        <v>0.32</v>
      </c>
      <c r="F62" s="64">
        <v>0.32</v>
      </c>
      <c r="G62" s="64">
        <v>0.32</v>
      </c>
      <c r="H62" s="64">
        <v>0.32</v>
      </c>
      <c r="I62" s="64">
        <v>0.32</v>
      </c>
      <c r="J62" s="64">
        <v>0.32</v>
      </c>
      <c r="K62" s="64">
        <v>0.32</v>
      </c>
      <c r="L62" s="64">
        <v>0.32</v>
      </c>
      <c r="M62" s="1"/>
      <c r="N62" s="1"/>
    </row>
    <row r="63">
      <c r="A63" s="72" t="s">
        <v>618</v>
      </c>
      <c r="B63" s="87"/>
      <c r="C63" s="99"/>
      <c r="D63" s="7">
        <f>CHOOSE($C$5,D60,D61,D62)</f>
        <v>0.38</v>
      </c>
      <c r="E63" s="7">
        <f>CHOOSE($C$5,E60,E61,E62)</f>
        <v>0.38</v>
      </c>
      <c r="F63" s="7">
        <f>CHOOSE($C$5,F60,F61,F62)</f>
        <v>0.38</v>
      </c>
      <c r="G63" s="7">
        <f>CHOOSE($C$5,G60,G61,G62)</f>
        <v>0.38</v>
      </c>
      <c r="H63" s="7">
        <f>CHOOSE($C$5,H60,H61,H62)</f>
        <v>0.38</v>
      </c>
      <c r="I63" s="7">
        <f>CHOOSE($C$5,I60,I61,I62)</f>
        <v>0.38</v>
      </c>
      <c r="J63" s="7">
        <f>CHOOSE($C$5,J60,J61,J62)</f>
        <v>0.38</v>
      </c>
      <c r="K63" s="7">
        <f>CHOOSE($C$5,K60,K61,K62)</f>
        <v>0.38</v>
      </c>
      <c r="L63" s="7">
        <f>CHOOSE($C$5,L60,L61,L62)</f>
        <v>0.38</v>
      </c>
      <c r="M63" s="1"/>
      <c r="N63" s="1"/>
    </row>
    <row r="64">
      <c r="A64" s="4" t="s">
        <v>698</v>
      </c>
      <c r="B64" s="1"/>
      <c r="C64" s="59"/>
      <c r="D64" s="1"/>
      <c r="E64" s="1"/>
      <c r="F64" s="1"/>
      <c r="G64" s="1"/>
      <c r="H64" s="1"/>
      <c r="I64" s="1"/>
      <c r="J64" s="1"/>
      <c r="K64" s="1"/>
      <c r="L64" s="1"/>
      <c r="M64" s="1"/>
      <c r="N64" s="1" t="s">
        <v>699</v>
      </c>
    </row>
    <row r="65">
      <c r="A65" s="36" t="s">
        <v>619</v>
      </c>
      <c r="B65" s="45"/>
      <c r="C65" s="37"/>
      <c r="D65" s="64">
        <v>0.42</v>
      </c>
      <c r="E65" s="64">
        <v>0.46</v>
      </c>
      <c r="F65" s="64">
        <v>0.5</v>
      </c>
      <c r="G65" s="64">
        <v>0.52</v>
      </c>
      <c r="H65" s="64">
        <v>0.52</v>
      </c>
      <c r="I65" s="64">
        <v>0.52</v>
      </c>
      <c r="J65" s="64">
        <v>0.52</v>
      </c>
      <c r="K65" s="64">
        <v>0.52</v>
      </c>
      <c r="L65" s="64">
        <v>0.52</v>
      </c>
      <c r="M65" s="1"/>
      <c r="N65" s="1"/>
    </row>
    <row r="66">
      <c r="A66" s="36" t="s">
        <v>620</v>
      </c>
      <c r="B66" s="45"/>
      <c r="C66" s="37"/>
      <c r="D66" s="64">
        <v>0.47</v>
      </c>
      <c r="E66" s="64">
        <v>0.51</v>
      </c>
      <c r="F66" s="64">
        <v>0.55</v>
      </c>
      <c r="G66" s="64">
        <v>0.57</v>
      </c>
      <c r="H66" s="64">
        <v>0.57</v>
      </c>
      <c r="I66" s="64">
        <v>0.57</v>
      </c>
      <c r="J66" s="64">
        <v>0.57</v>
      </c>
      <c r="K66" s="64">
        <v>0.57</v>
      </c>
      <c r="L66" s="64">
        <v>0.57</v>
      </c>
      <c r="M66" s="1"/>
      <c r="N66" s="1"/>
    </row>
    <row r="67">
      <c r="A67" s="36" t="s">
        <v>621</v>
      </c>
      <c r="B67" s="45"/>
      <c r="C67" s="37"/>
      <c r="D67" s="64">
        <v>0.34</v>
      </c>
      <c r="E67" s="64">
        <v>0.37</v>
      </c>
      <c r="F67" s="64">
        <v>0.4</v>
      </c>
      <c r="G67" s="64">
        <v>0.42</v>
      </c>
      <c r="H67" s="64">
        <v>0.42</v>
      </c>
      <c r="I67" s="64">
        <v>0.42</v>
      </c>
      <c r="J67" s="64">
        <v>0.42</v>
      </c>
      <c r="K67" s="64">
        <v>0.42</v>
      </c>
      <c r="L67" s="64">
        <v>0.42</v>
      </c>
      <c r="M67" s="1"/>
      <c r="N67" s="1"/>
    </row>
    <row r="68">
      <c r="A68" s="72" t="s">
        <v>618</v>
      </c>
      <c r="B68" s="87"/>
      <c r="C68" s="99"/>
      <c r="D68" s="7">
        <f>CHOOSE($C$5,D65,D66,D67)</f>
        <v>0.42</v>
      </c>
      <c r="E68" s="7">
        <f>CHOOSE($C$5,E65,E66,E67)</f>
        <v>0.46</v>
      </c>
      <c r="F68" s="7">
        <f>CHOOSE($C$5,F65,F66,F67)</f>
        <v>0.5</v>
      </c>
      <c r="G68" s="7">
        <f>CHOOSE($C$5,G65,G66,G67)</f>
        <v>0.52</v>
      </c>
      <c r="H68" s="7">
        <f>CHOOSE($C$5,H65,H66,H67)</f>
        <v>0.52</v>
      </c>
      <c r="I68" s="7">
        <f>CHOOSE($C$5,I65,I66,I67)</f>
        <v>0.52</v>
      </c>
      <c r="J68" s="7">
        <f>CHOOSE($C$5,J65,J66,J67)</f>
        <v>0.52</v>
      </c>
      <c r="K68" s="7">
        <f>CHOOSE($C$5,K65,K66,K67)</f>
        <v>0.52</v>
      </c>
      <c r="L68" s="7">
        <f>CHOOSE($C$5,L65,L66,L67)</f>
        <v>0.52</v>
      </c>
      <c r="M68" s="1"/>
      <c r="N68" s="1"/>
    </row>
    <row r="69">
      <c r="A69" s="4" t="s">
        <v>700</v>
      </c>
      <c r="B69" s="1"/>
      <c r="C69" s="59"/>
      <c r="D69" s="1"/>
      <c r="E69" s="1"/>
      <c r="F69" s="1"/>
      <c r="G69" s="1"/>
      <c r="H69" s="1"/>
      <c r="I69" s="1"/>
      <c r="J69" s="1"/>
      <c r="K69" s="1"/>
      <c r="L69" s="1"/>
      <c r="M69" s="1"/>
      <c r="N69" s="1" t="s">
        <v>701</v>
      </c>
    </row>
    <row r="70">
      <c r="A70" s="36" t="s">
        <v>619</v>
      </c>
      <c r="B70" s="45"/>
      <c r="C70" s="37"/>
      <c r="D70" s="64">
        <v>0.15</v>
      </c>
      <c r="E70" s="64">
        <v>0.11</v>
      </c>
      <c r="F70" s="64">
        <v>0.09</v>
      </c>
      <c r="G70" s="64">
        <v>0.08</v>
      </c>
      <c r="H70" s="64">
        <v>0.075</v>
      </c>
      <c r="I70" s="64">
        <v>0.07</v>
      </c>
      <c r="J70" s="64">
        <v>0.07</v>
      </c>
      <c r="K70" s="64">
        <v>0.07</v>
      </c>
      <c r="L70" s="64">
        <v>0.07</v>
      </c>
      <c r="M70" s="1"/>
      <c r="N70" s="1"/>
    </row>
    <row r="71">
      <c r="A71" s="36" t="s">
        <v>620</v>
      </c>
      <c r="B71" s="45"/>
      <c r="C71" s="37"/>
      <c r="D71" s="64">
        <v>0.13</v>
      </c>
      <c r="E71" s="64">
        <v>0.095</v>
      </c>
      <c r="F71" s="64">
        <v>0.08</v>
      </c>
      <c r="G71" s="64">
        <v>0.07</v>
      </c>
      <c r="H71" s="64">
        <v>0.065</v>
      </c>
      <c r="I71" s="64">
        <v>0.06</v>
      </c>
      <c r="J71" s="64">
        <v>0.06</v>
      </c>
      <c r="K71" s="64">
        <v>0.06</v>
      </c>
      <c r="L71" s="64">
        <v>0.06</v>
      </c>
      <c r="M71" s="1"/>
      <c r="N71" s="1"/>
    </row>
    <row r="72">
      <c r="A72" s="36" t="s">
        <v>621</v>
      </c>
      <c r="B72" s="45"/>
      <c r="C72" s="37"/>
      <c r="D72" s="64">
        <v>0.18</v>
      </c>
      <c r="E72" s="64">
        <v>0.14</v>
      </c>
      <c r="F72" s="64">
        <v>0.12</v>
      </c>
      <c r="G72" s="64">
        <v>0.105</v>
      </c>
      <c r="H72" s="64">
        <v>0.095</v>
      </c>
      <c r="I72" s="64">
        <v>0.09</v>
      </c>
      <c r="J72" s="64">
        <v>0.09</v>
      </c>
      <c r="K72" s="64">
        <v>0.09</v>
      </c>
      <c r="L72" s="64">
        <v>0.09</v>
      </c>
      <c r="M72" s="1"/>
      <c r="N72" s="1"/>
    </row>
    <row r="73">
      <c r="A73" s="72" t="s">
        <v>618</v>
      </c>
      <c r="B73" s="87"/>
      <c r="C73" s="99"/>
      <c r="D73" s="7">
        <f>CHOOSE($C$5,D70,D71,D72)</f>
        <v>0.15</v>
      </c>
      <c r="E73" s="7">
        <f>CHOOSE($C$5,E70,E71,E72)</f>
        <v>0.11</v>
      </c>
      <c r="F73" s="7">
        <f>CHOOSE($C$5,F70,F71,F72)</f>
        <v>0.09</v>
      </c>
      <c r="G73" s="7">
        <f>CHOOSE($C$5,G70,G71,G72)</f>
        <v>0.08</v>
      </c>
      <c r="H73" s="7">
        <f>CHOOSE($C$5,H70,H71,H72)</f>
        <v>0.075</v>
      </c>
      <c r="I73" s="7">
        <f>CHOOSE($C$5,I70,I71,I72)</f>
        <v>0.07</v>
      </c>
      <c r="J73" s="7">
        <f>CHOOSE($C$5,J70,J71,J72)</f>
        <v>0.07</v>
      </c>
      <c r="K73" s="7">
        <f>CHOOSE($C$5,K70,K71,K72)</f>
        <v>0.07</v>
      </c>
      <c r="L73" s="7">
        <f>CHOOSE($C$5,L70,L71,L72)</f>
        <v>0.07</v>
      </c>
      <c r="M73" s="1"/>
      <c r="N73" s="1"/>
    </row>
    <row r="74">
      <c r="A74" s="4" t="s">
        <v>702</v>
      </c>
      <c r="B74" s="1"/>
      <c r="C74" s="59"/>
      <c r="D74" s="1"/>
      <c r="E74" s="1"/>
      <c r="F74" s="1"/>
      <c r="G74" s="1"/>
      <c r="H74" s="1"/>
      <c r="I74" s="1"/>
      <c r="J74" s="1"/>
      <c r="K74" s="1"/>
      <c r="L74" s="1"/>
      <c r="M74" s="1"/>
      <c r="N74" s="1" t="s">
        <v>703</v>
      </c>
    </row>
    <row r="75">
      <c r="A75" s="36" t="s">
        <v>619</v>
      </c>
      <c r="B75" s="45"/>
      <c r="C75" s="37"/>
      <c r="D75" s="64">
        <v>0.03</v>
      </c>
      <c r="E75" s="64">
        <v>0.025</v>
      </c>
      <c r="F75" s="64">
        <v>0.025</v>
      </c>
      <c r="G75" s="64">
        <v>0.025</v>
      </c>
      <c r="H75" s="64">
        <v>0.025</v>
      </c>
      <c r="I75" s="64">
        <v>0.025</v>
      </c>
      <c r="J75" s="64">
        <v>0.025</v>
      </c>
      <c r="K75" s="64">
        <v>0.025</v>
      </c>
      <c r="L75" s="64">
        <v>0.025</v>
      </c>
      <c r="M75" s="1"/>
      <c r="N75" s="1"/>
    </row>
    <row r="76">
      <c r="A76" s="36" t="s">
        <v>620</v>
      </c>
      <c r="B76" s="45"/>
      <c r="C76" s="37"/>
      <c r="D76" s="64">
        <v>0.025</v>
      </c>
      <c r="E76" s="64">
        <v>0.02</v>
      </c>
      <c r="F76" s="64">
        <v>0.02</v>
      </c>
      <c r="G76" s="64">
        <v>0.02</v>
      </c>
      <c r="H76" s="64">
        <v>0.02</v>
      </c>
      <c r="I76" s="64">
        <v>0.02</v>
      </c>
      <c r="J76" s="64">
        <v>0.02</v>
      </c>
      <c r="K76" s="64">
        <v>0.02</v>
      </c>
      <c r="L76" s="64">
        <v>0.02</v>
      </c>
      <c r="M76" s="1"/>
      <c r="N76" s="1"/>
    </row>
    <row r="77">
      <c r="A77" s="36" t="s">
        <v>621</v>
      </c>
      <c r="B77" s="45"/>
      <c r="C77" s="37"/>
      <c r="D77" s="64">
        <v>0.04</v>
      </c>
      <c r="E77" s="64">
        <v>0.035</v>
      </c>
      <c r="F77" s="64">
        <v>0.035</v>
      </c>
      <c r="G77" s="64">
        <v>0.035</v>
      </c>
      <c r="H77" s="64">
        <v>0.035</v>
      </c>
      <c r="I77" s="64">
        <v>0.035</v>
      </c>
      <c r="J77" s="64">
        <v>0.035</v>
      </c>
      <c r="K77" s="64">
        <v>0.035</v>
      </c>
      <c r="L77" s="64">
        <v>0.035</v>
      </c>
      <c r="M77" s="1"/>
      <c r="N77" s="1"/>
    </row>
    <row r="78">
      <c r="A78" s="72" t="s">
        <v>618</v>
      </c>
      <c r="B78" s="87"/>
      <c r="C78" s="99"/>
      <c r="D78" s="7">
        <f>CHOOSE($C$5,D75,D76,D77)</f>
        <v>0.03</v>
      </c>
      <c r="E78" s="7">
        <f>CHOOSE($C$5,E75,E76,E77)</f>
        <v>0.025</v>
      </c>
      <c r="F78" s="7">
        <f>CHOOSE($C$5,F75,F76,F77)</f>
        <v>0.025</v>
      </c>
      <c r="G78" s="7">
        <f>CHOOSE($C$5,G75,G76,G77)</f>
        <v>0.025</v>
      </c>
      <c r="H78" s="7">
        <f>CHOOSE($C$5,H75,H76,H77)</f>
        <v>0.025</v>
      </c>
      <c r="I78" s="7">
        <f>CHOOSE($C$5,I75,I76,I77)</f>
        <v>0.025</v>
      </c>
      <c r="J78" s="7">
        <f>CHOOSE($C$5,J75,J76,J77)</f>
        <v>0.025</v>
      </c>
      <c r="K78" s="7">
        <f>CHOOSE($C$5,K75,K76,K77)</f>
        <v>0.025</v>
      </c>
      <c r="L78" s="7">
        <f>CHOOSE($C$5,L75,L76,L77)</f>
        <v>0.025</v>
      </c>
      <c r="M78" s="1"/>
      <c r="N78" s="1"/>
    </row>
    <row r="79">
      <c r="A79" s="4" t="s">
        <v>704</v>
      </c>
      <c r="B79" s="1"/>
      <c r="C79" s="59"/>
      <c r="D79" s="1"/>
      <c r="E79" s="1"/>
      <c r="F79" s="1"/>
      <c r="G79" s="1"/>
      <c r="H79" s="1"/>
      <c r="I79" s="1"/>
      <c r="J79" s="1"/>
      <c r="K79" s="1"/>
      <c r="L79" s="1"/>
      <c r="M79" s="1"/>
      <c r="N79" s="1" t="s">
        <v>705</v>
      </c>
    </row>
    <row r="80">
      <c r="A80" s="36" t="s">
        <v>619</v>
      </c>
      <c r="B80" s="45"/>
      <c r="C80" s="37"/>
      <c r="D80" s="64">
        <v>0.035</v>
      </c>
      <c r="E80" s="64">
        <v>0.03</v>
      </c>
      <c r="F80" s="64">
        <v>0.025</v>
      </c>
      <c r="G80" s="64">
        <v>0.025</v>
      </c>
      <c r="H80" s="64">
        <v>0.025</v>
      </c>
      <c r="I80" s="64">
        <v>0.025</v>
      </c>
      <c r="J80" s="64">
        <v>0.025</v>
      </c>
      <c r="K80" s="64">
        <v>0.025</v>
      </c>
      <c r="L80" s="64">
        <v>0.025</v>
      </c>
      <c r="M80" s="1"/>
      <c r="N80" s="1"/>
    </row>
    <row r="81">
      <c r="A81" s="36" t="s">
        <v>620</v>
      </c>
      <c r="B81" s="45"/>
      <c r="C81" s="37"/>
      <c r="D81" s="64">
        <v>0.03</v>
      </c>
      <c r="E81" s="64">
        <v>0.025</v>
      </c>
      <c r="F81" s="64">
        <v>0.02</v>
      </c>
      <c r="G81" s="64">
        <v>0.02</v>
      </c>
      <c r="H81" s="64">
        <v>0.02</v>
      </c>
      <c r="I81" s="64">
        <v>0.02</v>
      </c>
      <c r="J81" s="64">
        <v>0.02</v>
      </c>
      <c r="K81" s="64">
        <v>0.02</v>
      </c>
      <c r="L81" s="64">
        <v>0.02</v>
      </c>
      <c r="M81" s="1"/>
      <c r="N81" s="1"/>
    </row>
    <row r="82">
      <c r="A82" s="36" t="s">
        <v>621</v>
      </c>
      <c r="B82" s="45"/>
      <c r="C82" s="37"/>
      <c r="D82" s="64">
        <v>0.045</v>
      </c>
      <c r="E82" s="64">
        <v>0.04</v>
      </c>
      <c r="F82" s="64">
        <v>0.035</v>
      </c>
      <c r="G82" s="64">
        <v>0.035</v>
      </c>
      <c r="H82" s="64">
        <v>0.035</v>
      </c>
      <c r="I82" s="64">
        <v>0.035</v>
      </c>
      <c r="J82" s="64">
        <v>0.035</v>
      </c>
      <c r="K82" s="64">
        <v>0.035</v>
      </c>
      <c r="L82" s="64">
        <v>0.035</v>
      </c>
      <c r="M82" s="1"/>
      <c r="N82" s="1"/>
    </row>
    <row r="83">
      <c r="A83" s="72" t="s">
        <v>618</v>
      </c>
      <c r="B83" s="87"/>
      <c r="C83" s="99"/>
      <c r="D83" s="7">
        <f>CHOOSE($C$5,D80,D81,D82)</f>
        <v>0.035</v>
      </c>
      <c r="E83" s="7">
        <f>CHOOSE($C$5,E80,E81,E82)</f>
        <v>0.03</v>
      </c>
      <c r="F83" s="7">
        <f>CHOOSE($C$5,F80,F81,F82)</f>
        <v>0.025</v>
      </c>
      <c r="G83" s="7">
        <f>CHOOSE($C$5,G80,G81,G82)</f>
        <v>0.025</v>
      </c>
      <c r="H83" s="7">
        <f>CHOOSE($C$5,H80,H81,H82)</f>
        <v>0.025</v>
      </c>
      <c r="I83" s="7">
        <f>CHOOSE($C$5,I80,I81,I82)</f>
        <v>0.025</v>
      </c>
      <c r="J83" s="7">
        <f>CHOOSE($C$5,J80,J81,J82)</f>
        <v>0.025</v>
      </c>
      <c r="K83" s="7">
        <f>CHOOSE($C$5,K80,K81,K82)</f>
        <v>0.025</v>
      </c>
      <c r="L83" s="7">
        <f>CHOOSE($C$5,L80,L81,L82)</f>
        <v>0.025</v>
      </c>
      <c r="M83" s="1"/>
      <c r="N83" s="1"/>
    </row>
    <row r="84">
      <c r="A84" s="4" t="s">
        <v>706</v>
      </c>
      <c r="B84" s="1"/>
      <c r="C84" s="59"/>
      <c r="D84" s="1"/>
      <c r="E84" s="1"/>
      <c r="F84" s="1"/>
      <c r="G84" s="1"/>
      <c r="H84" s="1"/>
      <c r="I84" s="1"/>
      <c r="J84" s="1"/>
      <c r="K84" s="1"/>
      <c r="L84" s="1"/>
      <c r="M84" s="1"/>
      <c r="N84" s="1" t="s">
        <v>707</v>
      </c>
    </row>
    <row r="85">
      <c r="A85" s="36" t="s">
        <v>619</v>
      </c>
      <c r="B85" s="45"/>
      <c r="C85" s="37"/>
      <c r="D85" s="64">
        <v>0.08</v>
      </c>
      <c r="E85" s="64">
        <v>0.06</v>
      </c>
      <c r="F85" s="64">
        <v>0.05</v>
      </c>
      <c r="G85" s="64">
        <v>0.045</v>
      </c>
      <c r="H85" s="64">
        <v>0.04</v>
      </c>
      <c r="I85" s="64">
        <v>0.04</v>
      </c>
      <c r="J85" s="64">
        <v>0.04</v>
      </c>
      <c r="K85" s="64">
        <v>0.04</v>
      </c>
      <c r="L85" s="64">
        <v>0.04</v>
      </c>
      <c r="M85" s="1"/>
      <c r="N85" s="1"/>
    </row>
    <row r="86">
      <c r="A86" s="36" t="s">
        <v>620</v>
      </c>
      <c r="B86" s="45"/>
      <c r="C86" s="37"/>
      <c r="D86" s="64">
        <v>0.07</v>
      </c>
      <c r="E86" s="64">
        <v>0.05</v>
      </c>
      <c r="F86" s="64">
        <v>0.045</v>
      </c>
      <c r="G86" s="64">
        <v>0.04</v>
      </c>
      <c r="H86" s="64">
        <v>0.035</v>
      </c>
      <c r="I86" s="64">
        <v>0.035</v>
      </c>
      <c r="J86" s="64">
        <v>0.035</v>
      </c>
      <c r="K86" s="64">
        <v>0.035</v>
      </c>
      <c r="L86" s="64">
        <v>0.035</v>
      </c>
      <c r="M86" s="1"/>
      <c r="N86" s="1"/>
    </row>
    <row r="87">
      <c r="A87" s="36" t="s">
        <v>621</v>
      </c>
      <c r="B87" s="45"/>
      <c r="C87" s="37"/>
      <c r="D87" s="64">
        <v>0.1</v>
      </c>
      <c r="E87" s="64">
        <v>0.08</v>
      </c>
      <c r="F87" s="64">
        <v>0.065</v>
      </c>
      <c r="G87" s="64">
        <v>0.055</v>
      </c>
      <c r="H87" s="64">
        <v>0.05</v>
      </c>
      <c r="I87" s="64">
        <v>0.05</v>
      </c>
      <c r="J87" s="64">
        <v>0.05</v>
      </c>
      <c r="K87" s="64">
        <v>0.05</v>
      </c>
      <c r="L87" s="64">
        <v>0.05</v>
      </c>
      <c r="M87" s="1"/>
      <c r="N87" s="1"/>
    </row>
    <row r="88">
      <c r="A88" s="72" t="s">
        <v>618</v>
      </c>
      <c r="B88" s="87"/>
      <c r="C88" s="99"/>
      <c r="D88" s="7">
        <f>CHOOSE($C$5,D85,D86,D87)</f>
        <v>0.08</v>
      </c>
      <c r="E88" s="7">
        <f>CHOOSE($C$5,E85,E86,E87)</f>
        <v>0.06</v>
      </c>
      <c r="F88" s="7">
        <f>CHOOSE($C$5,F85,F86,F87)</f>
        <v>0.05</v>
      </c>
      <c r="G88" s="7">
        <f>CHOOSE($C$5,G85,G86,G87)</f>
        <v>0.045</v>
      </c>
      <c r="H88" s="7">
        <f>CHOOSE($C$5,H85,H86,H87)</f>
        <v>0.04</v>
      </c>
      <c r="I88" s="7">
        <f>CHOOSE($C$5,I85,I86,I87)</f>
        <v>0.04</v>
      </c>
      <c r="J88" s="7">
        <f>CHOOSE($C$5,J85,J86,J87)</f>
        <v>0.04</v>
      </c>
      <c r="K88" s="7">
        <f>CHOOSE($C$5,K85,K86,K87)</f>
        <v>0.04</v>
      </c>
      <c r="L88" s="7">
        <f>CHOOSE($C$5,L85,L86,L87)</f>
        <v>0.04</v>
      </c>
      <c r="M88" s="1"/>
      <c r="N88" s="1"/>
    </row>
    <row r="89">
      <c r="A89" s="4" t="s">
        <v>708</v>
      </c>
      <c r="B89" s="1"/>
      <c r="C89" s="59"/>
      <c r="D89" s="1"/>
      <c r="E89" s="1"/>
      <c r="F89" s="1"/>
      <c r="G89" s="1"/>
      <c r="H89" s="1"/>
      <c r="I89" s="1"/>
      <c r="J89" s="1"/>
      <c r="K89" s="1"/>
      <c r="L89" s="1"/>
      <c r="M89" s="1"/>
      <c r="N89" s="1" t="s">
        <v>709</v>
      </c>
    </row>
    <row r="90">
      <c r="A90" s="36" t="s">
        <v>619</v>
      </c>
      <c r="B90" s="45"/>
      <c r="C90" s="37"/>
      <c r="D90" s="64">
        <v>0.55</v>
      </c>
      <c r="E90" s="64">
        <v>0.4</v>
      </c>
      <c r="F90" s="64">
        <v>0.25</v>
      </c>
      <c r="G90" s="64">
        <v>0.18</v>
      </c>
      <c r="H90" s="64">
        <v>0.15</v>
      </c>
      <c r="I90" s="64">
        <v>0.15</v>
      </c>
      <c r="J90" s="64">
        <v>0.15</v>
      </c>
      <c r="K90" s="64">
        <v>0.15</v>
      </c>
      <c r="L90" s="64">
        <v>0.15</v>
      </c>
      <c r="M90" s="1"/>
      <c r="N90" s="1"/>
    </row>
    <row r="91">
      <c r="A91" s="36" t="s">
        <v>620</v>
      </c>
      <c r="B91" s="45"/>
      <c r="C91" s="37"/>
      <c r="D91" s="64">
        <v>0.55</v>
      </c>
      <c r="E91" s="64">
        <v>0.42</v>
      </c>
      <c r="F91" s="64">
        <v>0.28</v>
      </c>
      <c r="G91" s="64">
        <v>0.2</v>
      </c>
      <c r="H91" s="64">
        <v>0.16</v>
      </c>
      <c r="I91" s="64">
        <v>0.15</v>
      </c>
      <c r="J91" s="64">
        <v>0.15</v>
      </c>
      <c r="K91" s="64">
        <v>0.15</v>
      </c>
      <c r="L91" s="64">
        <v>0.15</v>
      </c>
      <c r="M91" s="1"/>
      <c r="N91" s="1"/>
    </row>
    <row r="92">
      <c r="A92" s="36" t="s">
        <v>621</v>
      </c>
      <c r="B92" s="45"/>
      <c r="C92" s="37"/>
      <c r="D92" s="64">
        <v>0.6</v>
      </c>
      <c r="E92" s="64">
        <v>0.45</v>
      </c>
      <c r="F92" s="64">
        <v>0.3</v>
      </c>
      <c r="G92" s="64">
        <v>0.2</v>
      </c>
      <c r="H92" s="64">
        <v>0.17</v>
      </c>
      <c r="I92" s="64">
        <v>0.16</v>
      </c>
      <c r="J92" s="64">
        <v>0.16</v>
      </c>
      <c r="K92" s="64">
        <v>0.16</v>
      </c>
      <c r="L92" s="64">
        <v>0.16</v>
      </c>
      <c r="M92" s="1"/>
      <c r="N92" s="1"/>
    </row>
    <row r="93">
      <c r="A93" s="72" t="s">
        <v>618</v>
      </c>
      <c r="B93" s="87"/>
      <c r="C93" s="99"/>
      <c r="D93" s="7">
        <f>CHOOSE($C$5,D90,D91,D92)</f>
        <v>0.55</v>
      </c>
      <c r="E93" s="7">
        <f>CHOOSE($C$5,E90,E91,E92)</f>
        <v>0.4</v>
      </c>
      <c r="F93" s="7">
        <f>CHOOSE($C$5,F90,F91,F92)</f>
        <v>0.25</v>
      </c>
      <c r="G93" s="7">
        <f>CHOOSE($C$5,G90,G91,G92)</f>
        <v>0.18</v>
      </c>
      <c r="H93" s="7">
        <f>CHOOSE($C$5,H90,H91,H92)</f>
        <v>0.15</v>
      </c>
      <c r="I93" s="7">
        <f>CHOOSE($C$5,I90,I91,I92)</f>
        <v>0.15</v>
      </c>
      <c r="J93" s="7">
        <f>CHOOSE($C$5,J90,J91,J92)</f>
        <v>0.15</v>
      </c>
      <c r="K93" s="7">
        <f>CHOOSE($C$5,K90,K91,K92)</f>
        <v>0.15</v>
      </c>
      <c r="L93" s="7">
        <f>CHOOSE($C$5,L90,L91,L92)</f>
        <v>0.15</v>
      </c>
      <c r="M93" s="1"/>
      <c r="N93" s="1"/>
    </row>
  </sheetData>
</worksheet>
</file>

<file path=xl/worksheets/sheet12.xml><?xml version="1.0" encoding="utf-8"?>
<worksheet xmlns="http://schemas.openxmlformats.org/spreadsheetml/2006/main" xmlns:r="http://schemas.openxmlformats.org/officeDocument/2006/relationships">
  <sheetPr>
    <tabColor rgb="FF5A2331"/>
  </sheetPr>
  <dimension ref="A1:I83"/>
  <sheetViews>
    <sheetView showGridLines="0" workbookViewId="0"/>
  </sheetViews>
  <sheetFormatPr defaultColWidth="8.375" defaultRowHeight="15"/>
  <cols>
    <col min="1" max="1" width="92.70703125" customWidth="1"/>
    <col min="2" max="7" width="12.70703125" customWidth="1"/>
    <col min="8" max="8" width="17.70703125" customWidth="1"/>
    <col min="9" max="9" width="99.375" customWidth="1"/>
  </cols>
  <sheetData>
    <row r="1">
      <c r="A1" s="21" t="s">
        <v>710</v>
      </c>
      <c r="B1" s="1"/>
      <c r="C1" s="1"/>
      <c r="D1" s="1"/>
      <c r="E1" s="1"/>
      <c r="F1" s="1"/>
      <c r="G1" s="1"/>
      <c r="H1" s="1"/>
      <c r="I1" s="1"/>
    </row>
    <row r="2">
      <c r="A2" s="1" t="s">
        <v>711</v>
      </c>
      <c r="B2" s="1"/>
      <c r="C2" s="1"/>
      <c r="D2" s="1"/>
      <c r="E2" s="1"/>
      <c r="F2" s="1"/>
      <c r="G2" s="1"/>
      <c r="H2" s="1"/>
      <c r="I2" s="1"/>
    </row>
    <row r="3">
      <c r="A3" s="1"/>
      <c r="B3" s="1"/>
      <c r="C3" s="1"/>
      <c r="D3" s="1"/>
      <c r="E3" s="1"/>
      <c r="F3" s="1"/>
      <c r="G3" s="1"/>
      <c r="H3" s="1"/>
      <c r="I3" s="1"/>
    </row>
    <row r="4">
      <c r="A4" s="3" t="s">
        <v>250</v>
      </c>
      <c r="B4" s="24" t="s">
        <v>85</v>
      </c>
      <c r="C4" s="111" t="s">
        <v>454</v>
      </c>
      <c r="D4" s="104" t="s">
        <v>712</v>
      </c>
      <c r="E4" s="109" t="s">
        <v>84</v>
      </c>
      <c r="F4" s="109" t="s">
        <v>713</v>
      </c>
      <c r="G4" s="109" t="s">
        <v>83</v>
      </c>
      <c r="H4" s="6" t="s">
        <v>86</v>
      </c>
      <c r="I4" s="6" t="s">
        <v>87</v>
      </c>
    </row>
    <row r="5">
      <c r="A5" s="1"/>
      <c r="B5" s="1"/>
      <c r="C5" s="59"/>
      <c r="D5" s="1"/>
      <c r="E5" s="1"/>
      <c r="F5" s="1"/>
      <c r="G5" s="1"/>
      <c r="H5" s="1"/>
      <c r="I5" s="1"/>
    </row>
    <row r="6">
      <c r="A6" s="4" t="s">
        <v>714</v>
      </c>
      <c r="B6" s="1"/>
      <c r="C6" s="59"/>
      <c r="D6" s="1"/>
      <c r="E6" s="1"/>
      <c r="F6" s="1"/>
      <c r="G6" s="1"/>
      <c r="H6" s="1"/>
      <c r="I6" s="1"/>
    </row>
    <row r="7">
      <c r="A7" s="12" t="s">
        <v>89</v>
      </c>
      <c r="B7" s="17">
        <f>N(IS_Hist!E7)</f>
        <v>164.712</v>
      </c>
      <c r="C7" s="57">
        <f>Assumptions!$C$10</f>
        <v>130</v>
      </c>
      <c r="D7" s="5">
        <f>B7+C7</f>
        <v>294.712</v>
      </c>
      <c r="E7" s="17">
        <f>N(IS_Hist!D7)</f>
        <v>139.969</v>
      </c>
      <c r="F7" s="5">
        <f>G7-E7</f>
        <v>218.471</v>
      </c>
      <c r="G7" s="17">
        <f>N(IS_Hist!C7)</f>
        <v>358.44</v>
      </c>
      <c r="H7" s="1"/>
      <c r="I7" s="1"/>
    </row>
    <row r="8">
      <c r="A8" s="12" t="s">
        <v>715</v>
      </c>
      <c r="B8" s="17">
        <f>N(Revenue_Hist!E65)</f>
        <v>74.4</v>
      </c>
      <c r="C8" s="57">
        <f>Backlog!C23</f>
        <v>512.2155405285672</v>
      </c>
      <c r="D8" s="5">
        <f>B8+C8</f>
        <v>586.6155405285672</v>
      </c>
      <c r="E8" s="15">
        <v>0</v>
      </c>
      <c r="F8" s="5">
        <f>G8-E8</f>
        <v>0</v>
      </c>
      <c r="G8" s="15">
        <v>0</v>
      </c>
      <c r="H8" s="1"/>
      <c r="I8" s="1"/>
    </row>
    <row r="9">
      <c r="A9" s="12" t="s">
        <v>716</v>
      </c>
      <c r="B9" s="15">
        <v>0</v>
      </c>
      <c r="C9" s="57">
        <f>Backlog!C26</f>
        <v>0</v>
      </c>
      <c r="D9" s="5">
        <f>B9+C9</f>
        <v>0</v>
      </c>
      <c r="E9" s="15">
        <v>0</v>
      </c>
      <c r="F9" s="5">
        <f>G9-E9</f>
        <v>0</v>
      </c>
      <c r="G9" s="15">
        <v>0</v>
      </c>
      <c r="H9" s="1"/>
      <c r="I9" s="1"/>
    </row>
    <row r="10">
      <c r="A10" s="12" t="s">
        <v>717</v>
      </c>
      <c r="B10" s="15">
        <v>0</v>
      </c>
      <c r="C10" s="57">
        <f>Backlog!C30</f>
        <v>0</v>
      </c>
      <c r="D10" s="5">
        <f>B10+C10</f>
        <v>0</v>
      </c>
      <c r="E10" s="15">
        <v>0</v>
      </c>
      <c r="F10" s="5">
        <f>G10-E10</f>
        <v>0</v>
      </c>
      <c r="G10" s="15">
        <v>0</v>
      </c>
      <c r="H10" s="1"/>
      <c r="I10" s="1"/>
    </row>
    <row r="11">
      <c r="A11" s="12" t="s">
        <v>718</v>
      </c>
      <c r="B11" s="17">
        <f>N(Revenue_Hist!E67)</f>
        <v>134.404</v>
      </c>
      <c r="C11" s="57">
        <f>Assumptions!$C$11</f>
        <v>150</v>
      </c>
      <c r="D11" s="5">
        <f>B11+C11</f>
        <v>284.404</v>
      </c>
      <c r="E11" s="17">
        <f>N(IS_Hist!D8)</f>
        <v>62.865</v>
      </c>
      <c r="F11" s="5">
        <f>G11-E11</f>
        <v>88.68599999999998</v>
      </c>
      <c r="G11" s="17">
        <f>N(IS_Hist!C8)</f>
        <v>151.551</v>
      </c>
      <c r="H11" s="1"/>
      <c r="I11" s="1"/>
    </row>
    <row r="12">
      <c r="A12" s="12" t="s">
        <v>719</v>
      </c>
      <c r="B12" s="15">
        <v>0</v>
      </c>
      <c r="C12" s="57">
        <f>Backlog!C31</f>
        <v>27.940000000000005</v>
      </c>
      <c r="D12" s="5">
        <f>B12+C12</f>
        <v>27.940000000000005</v>
      </c>
      <c r="E12" s="15">
        <v>0</v>
      </c>
      <c r="F12" s="5">
        <f>G12-E12</f>
        <v>0</v>
      </c>
      <c r="G12" s="15">
        <v>0</v>
      </c>
      <c r="H12" s="1"/>
      <c r="I12" s="1"/>
    </row>
    <row r="13">
      <c r="A13" s="4" t="s">
        <v>92</v>
      </c>
      <c r="B13" s="22">
        <f>B7+(B8+B9+B10+B11)+B12</f>
        <v>373.51599999999996</v>
      </c>
      <c r="C13" s="9">
        <f>C7+(C8+C9+C10+C11)+C12</f>
        <v>820.1555405285673</v>
      </c>
      <c r="D13" s="22">
        <f>B13+C13</f>
        <v>1193.6715405285672</v>
      </c>
      <c r="E13" s="22">
        <f>E7+(E8+E9+E10+E11)+E12</f>
        <v>202.834</v>
      </c>
      <c r="F13" s="22">
        <f>G13-E13</f>
        <v>307.157</v>
      </c>
      <c r="G13" s="22">
        <f>G7+(G8+G9+G10+G11)+G12</f>
        <v>509.991</v>
      </c>
      <c r="H13" s="1"/>
      <c r="I13" s="1"/>
    </row>
    <row r="14">
      <c r="A14" s="12" t="s">
        <v>406</v>
      </c>
      <c r="B14" s="17">
        <f>N(Revenue_Hist!E44)</f>
        <v>217.125</v>
      </c>
      <c r="C14" s="8">
        <f>C7*(1-Assumptions!$C$12)+(C8+C9+C10+C11)*(1-Assumptions!$C$13)+C12</f>
        <v>508.4693243171403</v>
      </c>
      <c r="D14" s="5">
        <f>B14+C14</f>
        <v>725.5943243171403</v>
      </c>
      <c r="E14" s="17">
        <f>N(Revenue_Hist!D44)</f>
        <v>125.417</v>
      </c>
      <c r="F14" s="5">
        <f>G14-E14</f>
        <v>171.977</v>
      </c>
      <c r="G14" s="17">
        <f>N(Revenue_Hist!C44)</f>
        <v>297.394</v>
      </c>
      <c r="H14" s="1"/>
      <c r="I14" s="1"/>
    </row>
    <row r="15">
      <c r="A15" s="12" t="s">
        <v>720</v>
      </c>
      <c r="B15" s="17">
        <f>N(Revenue_Hist!E28)</f>
        <v>28.353</v>
      </c>
      <c r="C15" s="8">
        <f>C34*Assumptions!$C$28</f>
        <v>143.6808</v>
      </c>
      <c r="D15" s="5">
        <f>B15+C15</f>
        <v>172.0338</v>
      </c>
      <c r="E15" s="17">
        <f>N(Revenue_Hist!D28)</f>
        <v>3.201</v>
      </c>
      <c r="F15" s="5">
        <f>G15-E15</f>
        <v>9.498</v>
      </c>
      <c r="G15" s="17">
        <f>N(Revenue_Hist!C28)</f>
        <v>12.699</v>
      </c>
      <c r="H15" s="1"/>
      <c r="I15" s="1"/>
    </row>
    <row r="16">
      <c r="A16" s="12" t="s">
        <v>322</v>
      </c>
      <c r="B16" s="17">
        <f>N(Revenue_Hist!E35)</f>
        <v>16.303</v>
      </c>
      <c r="C16" s="8">
        <f>C35*Assumptions!$C$29</f>
        <v>7.2</v>
      </c>
      <c r="D16" s="5">
        <f>B16+C16</f>
        <v>23.503</v>
      </c>
      <c r="E16" s="17">
        <f>N(Revenue_Hist!D35)</f>
        <v>0.513</v>
      </c>
      <c r="F16" s="5">
        <f>G16-E16</f>
        <v>0.31399999999999995</v>
      </c>
      <c r="G16" s="17">
        <f>N(Revenue_Hist!C35)</f>
        <v>0.827</v>
      </c>
      <c r="H16" s="1"/>
      <c r="I16" s="1"/>
    </row>
    <row r="17">
      <c r="A17" s="4" t="s">
        <v>94</v>
      </c>
      <c r="B17" s="22">
        <f>B14+B15+B16</f>
        <v>261.781</v>
      </c>
      <c r="C17" s="9">
        <f>C14+C15+C16</f>
        <v>659.3501243171404</v>
      </c>
      <c r="D17" s="22">
        <f>B17+C17</f>
        <v>921.1311243171403</v>
      </c>
      <c r="E17" s="22">
        <f>E14+E15+E16</f>
        <v>129.131</v>
      </c>
      <c r="F17" s="22">
        <f>G17-E17</f>
        <v>181.78900000000002</v>
      </c>
      <c r="G17" s="22">
        <f>G14+G15+G16</f>
        <v>310.92</v>
      </c>
      <c r="H17" s="1"/>
      <c r="I17" s="1"/>
    </row>
    <row r="18">
      <c r="A18" s="4" t="s">
        <v>95</v>
      </c>
      <c r="B18" s="22">
        <f>B13-B17</f>
        <v>111.73499999999996</v>
      </c>
      <c r="C18" s="9">
        <f>C13-C17</f>
        <v>160.80541621142686</v>
      </c>
      <c r="D18" s="22">
        <f>B18+C18</f>
        <v>272.5404162114268</v>
      </c>
      <c r="E18" s="22">
        <f>E13-E17</f>
        <v>73.703</v>
      </c>
      <c r="F18" s="22">
        <f>G18-E18</f>
        <v>125.36799999999997</v>
      </c>
      <c r="G18" s="22">
        <f>G13-G17</f>
        <v>199.07099999999997</v>
      </c>
      <c r="H18" s="1"/>
      <c r="I18" s="1"/>
    </row>
    <row r="19">
      <c r="A19" s="12" t="s">
        <v>413</v>
      </c>
      <c r="B19" s="17">
        <f>N(Revenue_Hist!E50)</f>
        <v>156.232</v>
      </c>
      <c r="C19" s="57">
        <f>Assumptions!$C$14</f>
        <v>210</v>
      </c>
      <c r="D19" s="5">
        <f>B19+C19</f>
        <v>366.23199999999997</v>
      </c>
      <c r="E19" s="17">
        <f>N(Revenue_Hist!D50)</f>
        <v>93.956</v>
      </c>
      <c r="F19" s="5">
        <f>G19-E19</f>
        <v>102.69599999999998</v>
      </c>
      <c r="G19" s="17">
        <f>N(Revenue_Hist!C50)</f>
        <v>196.652</v>
      </c>
      <c r="H19" s="1"/>
      <c r="I19" s="1"/>
    </row>
    <row r="20">
      <c r="A20" s="12" t="s">
        <v>415</v>
      </c>
      <c r="B20" s="17">
        <f>N(Revenue_Hist!E52)</f>
        <v>27.184000000000008</v>
      </c>
      <c r="C20" s="57">
        <f>Assumptions!$C$15</f>
        <v>40</v>
      </c>
      <c r="D20" s="5">
        <f>B20+C20</f>
        <v>67.18400000000001</v>
      </c>
      <c r="E20" s="17">
        <f>N(Revenue_Hist!D52)</f>
        <v>23.528</v>
      </c>
      <c r="F20" s="5">
        <f>G20-E20</f>
        <v>29.980999999999995</v>
      </c>
      <c r="G20" s="17">
        <f>N(Revenue_Hist!C52)</f>
        <v>53.50899999999999</v>
      </c>
      <c r="H20" s="1"/>
      <c r="I20" s="1"/>
    </row>
    <row r="21">
      <c r="A21" s="12" t="s">
        <v>416</v>
      </c>
      <c r="B21" s="17">
        <f>N(Revenue_Hist!E54)</f>
        <v>36.09299999999999</v>
      </c>
      <c r="C21" s="57">
        <f>Assumptions!$C$16</f>
        <v>50</v>
      </c>
      <c r="D21" s="5">
        <f>B21+C21</f>
        <v>86.09299999999999</v>
      </c>
      <c r="E21" s="17">
        <f>N(Revenue_Hist!D54)</f>
        <v>13.835</v>
      </c>
      <c r="F21" s="5">
        <f>G21-E21</f>
        <v>10.242</v>
      </c>
      <c r="G21" s="17">
        <f>N(Revenue_Hist!C54)</f>
        <v>24.077</v>
      </c>
      <c r="H21" s="1"/>
      <c r="I21" s="1"/>
    </row>
    <row r="22">
      <c r="A22" s="12" t="s">
        <v>324</v>
      </c>
      <c r="B22" s="5">
        <f>B35-B16</f>
        <v>370.298</v>
      </c>
      <c r="C22" s="8">
        <f>C35-C16</f>
        <v>172.8</v>
      </c>
      <c r="D22" s="5">
        <f>B22+C22</f>
        <v>543.098</v>
      </c>
      <c r="E22" s="5">
        <f>E35-E16</f>
        <v>21.921999999999997</v>
      </c>
      <c r="F22" s="5">
        <f>G22-E22</f>
        <v>27.018000000000008</v>
      </c>
      <c r="G22" s="5">
        <f>G35-G16</f>
        <v>48.940000000000005</v>
      </c>
      <c r="H22" s="1"/>
      <c r="I22" s="1"/>
    </row>
    <row r="23">
      <c r="A23" s="12" t="s">
        <v>721</v>
      </c>
      <c r="B23" s="5">
        <f>B34-B15</f>
        <v>14.198</v>
      </c>
      <c r="C23" s="8">
        <f>C34-C15</f>
        <v>35.920199999999994</v>
      </c>
      <c r="D23" s="5">
        <f>B23+C23</f>
        <v>50.118199999999995</v>
      </c>
      <c r="E23" s="5">
        <f>E34-E15</f>
        <v>6.113999999999999</v>
      </c>
      <c r="F23" s="5">
        <f>G23-E23</f>
        <v>15.641000000000004</v>
      </c>
      <c r="G23" s="5">
        <f>G34-G15</f>
        <v>21.755000000000003</v>
      </c>
      <c r="H23" s="1"/>
      <c r="I23" s="1"/>
    </row>
    <row r="24">
      <c r="A24" s="4" t="s">
        <v>100</v>
      </c>
      <c r="B24" s="22">
        <f>B19+B20+B21+B22+B23</f>
        <v>604.005</v>
      </c>
      <c r="C24" s="9">
        <f>C19+C20+C21+C22+C23</f>
        <v>508.7202</v>
      </c>
      <c r="D24" s="22">
        <f>B24+C24</f>
        <v>1112.7251999999999</v>
      </c>
      <c r="E24" s="22">
        <f>E19+E20+E21+E22+E23</f>
        <v>159.35500000000002</v>
      </c>
      <c r="F24" s="22">
        <f>G24-E24</f>
        <v>185.57799999999997</v>
      </c>
      <c r="G24" s="22">
        <f>G19+G20+G21+G22+G23</f>
        <v>344.933</v>
      </c>
      <c r="H24" s="1"/>
      <c r="I24" s="1"/>
    </row>
    <row r="25">
      <c r="A25" s="4" t="s">
        <v>722</v>
      </c>
      <c r="B25" s="22">
        <f>B18-B24</f>
        <v>-492.27000000000004</v>
      </c>
      <c r="C25" s="9">
        <f>C18-C24</f>
        <v>-347.9147837885731</v>
      </c>
      <c r="D25" s="22">
        <f>B25+C25</f>
        <v>-840.1847837885732</v>
      </c>
      <c r="E25" s="22">
        <f>E18-E24</f>
        <v>-85.65200000000002</v>
      </c>
      <c r="F25" s="22">
        <f>G25-E25</f>
        <v>-60.21000000000001</v>
      </c>
      <c r="G25" s="22">
        <f>G18-G24</f>
        <v>-145.86200000000002</v>
      </c>
      <c r="H25" s="1"/>
      <c r="I25" s="1"/>
    </row>
    <row r="26">
      <c r="A26" s="12" t="s">
        <v>418</v>
      </c>
      <c r="B26" s="17">
        <f>N(Revenue_Hist!E58)</f>
        <v>71.571</v>
      </c>
      <c r="C26" s="8">
        <f>Assumptions!$C$31*(B58+B59)*0.5</f>
        <v>161.36675625</v>
      </c>
      <c r="D26" s="5">
        <f>B26+C26</f>
        <v>232.93775625</v>
      </c>
      <c r="E26" s="17">
        <f>N(Revenue_Hist!D58)</f>
        <v>11.833</v>
      </c>
      <c r="F26" s="5">
        <f>G26-E26</f>
        <v>14.969</v>
      </c>
      <c r="G26" s="17">
        <f>N(Revenue_Hist!C58)</f>
        <v>26.802</v>
      </c>
      <c r="H26" s="1"/>
      <c r="I26" s="1" t="s">
        <v>723</v>
      </c>
    </row>
    <row r="27">
      <c r="A27" s="12" t="s">
        <v>724</v>
      </c>
      <c r="B27" s="17">
        <f>N(Revenue_Hist!E59)</f>
        <v>-38.602</v>
      </c>
      <c r="C27" s="8">
        <f>-Schedules!C17</f>
        <v>-22.037855999999998</v>
      </c>
      <c r="D27" s="5">
        <f>B27+C27</f>
        <v>-60.639855999999995</v>
      </c>
      <c r="E27" s="17">
        <f>N(Revenue_Hist!D59)</f>
        <v>0</v>
      </c>
      <c r="F27" s="5">
        <f>G27-E27</f>
        <v>0</v>
      </c>
      <c r="G27" s="17">
        <f>N(Revenue_Hist!C59)</f>
        <v>0</v>
      </c>
      <c r="H27" s="1"/>
      <c r="I27" s="1"/>
    </row>
    <row r="28">
      <c r="A28" s="12" t="s">
        <v>725</v>
      </c>
      <c r="B28" s="5">
        <f>N(Revenue_Hist!E60)+N(Revenue_Hist!E61)</f>
        <v>-3.462</v>
      </c>
      <c r="C28" s="103">
        <v>0</v>
      </c>
      <c r="D28" s="5">
        <f>B28+C28</f>
        <v>-3.462</v>
      </c>
      <c r="E28" s="5">
        <f>N(Revenue_Hist!D60)+N(Revenue_Hist!D61)</f>
        <v>362.81100000000004</v>
      </c>
      <c r="F28" s="5">
        <f>G28-E28</f>
        <v>1.1329999999999814</v>
      </c>
      <c r="G28" s="5">
        <f>N(Revenue_Hist!C60)+N(Revenue_Hist!C61)</f>
        <v>363.944</v>
      </c>
      <c r="H28" s="1"/>
      <c r="I28" s="1"/>
    </row>
    <row r="29">
      <c r="A29" s="4" t="s">
        <v>103</v>
      </c>
      <c r="B29" s="22">
        <f>B25+B26+B27+B28</f>
        <v>-462.76300000000003</v>
      </c>
      <c r="C29" s="9">
        <f>C25+C26+C27+C28</f>
        <v>-208.5858835385731</v>
      </c>
      <c r="D29" s="22">
        <f>B29+C29</f>
        <v>-671.3488835385731</v>
      </c>
      <c r="E29" s="22">
        <f>E25+E26+E27+E28</f>
        <v>288.992</v>
      </c>
      <c r="F29" s="22">
        <f>G29-E29</f>
        <v>-44.10800000000003</v>
      </c>
      <c r="G29" s="22">
        <f>G25+G26+G27+G28</f>
        <v>244.884</v>
      </c>
      <c r="H29" s="1"/>
      <c r="I29" s="1"/>
    </row>
    <row r="30">
      <c r="A30" s="12" t="s">
        <v>104</v>
      </c>
      <c r="B30" s="17">
        <f>N(IS_Hist!E25)</f>
        <v>1.771</v>
      </c>
      <c r="C30" s="57">
        <f>Schedules!C25</f>
        <v>2</v>
      </c>
      <c r="D30" s="5">
        <f>B30+C30</f>
        <v>3.771</v>
      </c>
      <c r="E30" s="17">
        <f>N(IS_Hist!D25)</f>
        <v>3.347</v>
      </c>
      <c r="F30" s="5">
        <f>G30-E30</f>
        <v>3.7100000000000004</v>
      </c>
      <c r="G30" s="17">
        <f>N(IS_Hist!C25)</f>
        <v>7.057</v>
      </c>
      <c r="H30" s="1"/>
      <c r="I30" s="1" t="s">
        <v>726</v>
      </c>
    </row>
    <row r="31">
      <c r="A31" s="77" t="s">
        <v>105</v>
      </c>
      <c r="B31" s="41">
        <f>B29-B30</f>
        <v>-464.53400000000005</v>
      </c>
      <c r="C31" s="84">
        <f>C29-C30</f>
        <v>-210.5858835385731</v>
      </c>
      <c r="D31" s="41">
        <f>B31+C31</f>
        <v>-675.1198835385732</v>
      </c>
      <c r="E31" s="41">
        <f>E29-E30</f>
        <v>285.64500000000004</v>
      </c>
      <c r="F31" s="41">
        <f>G31-E31</f>
        <v>-47.81800000000004</v>
      </c>
      <c r="G31" s="41">
        <f>G29-G30</f>
        <v>237.827</v>
      </c>
      <c r="H31" s="1"/>
      <c r="I31" s="1"/>
    </row>
    <row r="32">
      <c r="A32" s="1"/>
      <c r="B32" s="1"/>
      <c r="C32" s="59"/>
      <c r="D32" s="1"/>
      <c r="E32" s="1"/>
      <c r="F32" s="1"/>
      <c r="G32" s="1"/>
      <c r="H32" s="1"/>
      <c r="I32" s="1"/>
    </row>
    <row r="33">
      <c r="A33" s="4" t="s">
        <v>727</v>
      </c>
      <c r="B33" s="1"/>
      <c r="C33" s="59"/>
      <c r="D33" s="1"/>
      <c r="E33" s="1"/>
      <c r="F33" s="1"/>
      <c r="G33" s="1"/>
      <c r="H33" s="1"/>
      <c r="I33" s="1"/>
    </row>
    <row r="34">
      <c r="A34" s="12" t="s">
        <v>728</v>
      </c>
      <c r="B34" s="17">
        <f>N(Revenue_Hist!E32)</f>
        <v>42.551</v>
      </c>
      <c r="C34" s="57">
        <f>Schedules!C10</f>
        <v>179.601</v>
      </c>
      <c r="D34" s="5">
        <f>B34+C34</f>
        <v>222.152</v>
      </c>
      <c r="E34" s="17">
        <f>N(Revenue_Hist!D32)</f>
        <v>9.315</v>
      </c>
      <c r="F34" s="5">
        <f>G34-E34</f>
        <v>25.139000000000003</v>
      </c>
      <c r="G34" s="17">
        <f>N(Revenue_Hist!C32)</f>
        <v>34.454</v>
      </c>
      <c r="H34" s="1"/>
      <c r="I34" s="1"/>
    </row>
    <row r="35">
      <c r="A35" s="12" t="s">
        <v>729</v>
      </c>
      <c r="B35" s="17">
        <f>N(Revenue_Hist!E39)</f>
        <v>386.601</v>
      </c>
      <c r="C35" s="57">
        <f>Assumptions!$C$17</f>
        <v>180</v>
      </c>
      <c r="D35" s="5">
        <f>B35+C35</f>
        <v>566.601</v>
      </c>
      <c r="E35" s="17">
        <f>N(Revenue_Hist!D39)</f>
        <v>22.435</v>
      </c>
      <c r="F35" s="5">
        <f>G35-E35</f>
        <v>27.332000000000004</v>
      </c>
      <c r="G35" s="17">
        <f>N(Revenue_Hist!C39)</f>
        <v>49.767</v>
      </c>
      <c r="H35" s="1"/>
      <c r="I35" s="1" t="s">
        <v>730</v>
      </c>
    </row>
    <row r="36">
      <c r="A36" s="12" t="s">
        <v>731</v>
      </c>
      <c r="B36" s="17">
        <f>N(CF_Hist!E10)</f>
        <v>46.315</v>
      </c>
      <c r="C36" s="57">
        <f>Backlog!C50</f>
        <v>46.58445947143285</v>
      </c>
      <c r="D36" s="5">
        <f>B36+C36</f>
        <v>92.89945947143285</v>
      </c>
      <c r="E36" s="17">
        <f>N(CF_Hist!D10)</f>
        <v>0</v>
      </c>
      <c r="F36" s="5">
        <f>G36-E36</f>
        <v>0</v>
      </c>
      <c r="G36" s="15">
        <v>0</v>
      </c>
      <c r="H36" s="1"/>
      <c r="I36" s="1"/>
    </row>
    <row r="37">
      <c r="A37" s="12" t="s">
        <v>732</v>
      </c>
      <c r="B37" s="1"/>
      <c r="C37" s="57">
        <f>Backlog!C49</f>
        <v>15.841754827470002</v>
      </c>
      <c r="D37" s="1"/>
      <c r="E37" s="1"/>
      <c r="F37" s="1"/>
      <c r="G37" s="1"/>
      <c r="H37" s="1"/>
      <c r="I37" s="1"/>
    </row>
    <row r="38">
      <c r="A38" s="1"/>
      <c r="B38" s="1"/>
      <c r="C38" s="59"/>
      <c r="D38" s="1"/>
      <c r="E38" s="1"/>
      <c r="F38" s="1"/>
      <c r="G38" s="1"/>
      <c r="H38" s="1"/>
      <c r="I38" s="1"/>
    </row>
    <row r="39">
      <c r="A39" s="4" t="s">
        <v>733</v>
      </c>
      <c r="B39" s="1"/>
      <c r="C39" s="59"/>
      <c r="D39" s="1"/>
      <c r="E39" s="1"/>
      <c r="F39" s="1"/>
      <c r="G39" s="1"/>
      <c r="H39" s="1"/>
      <c r="I39" s="1"/>
    </row>
    <row r="40">
      <c r="A40" s="12" t="s">
        <v>105</v>
      </c>
      <c r="B40" s="17">
        <f>N(CF_Hist!E7)</f>
        <v>-464.534</v>
      </c>
      <c r="C40" s="8">
        <f>C31</f>
        <v>-210.5858835385731</v>
      </c>
      <c r="D40" s="5">
        <f>B40+C40</f>
        <v>-675.119883538573</v>
      </c>
      <c r="E40" s="1"/>
      <c r="F40" s="1"/>
      <c r="G40" s="1"/>
      <c r="H40" s="1"/>
      <c r="I40" s="1"/>
    </row>
    <row r="41">
      <c r="A41" s="12" t="s">
        <v>196</v>
      </c>
      <c r="B41" s="17">
        <f>N(CF_Hist!E8)</f>
        <v>42.551</v>
      </c>
      <c r="C41" s="8">
        <f>C34</f>
        <v>179.601</v>
      </c>
      <c r="D41" s="5">
        <f>B41+C41</f>
        <v>222.152</v>
      </c>
      <c r="E41" s="1"/>
      <c r="F41" s="1"/>
      <c r="G41" s="1"/>
      <c r="H41" s="1"/>
      <c r="I41" s="1"/>
    </row>
    <row r="42">
      <c r="A42" s="12" t="s">
        <v>197</v>
      </c>
      <c r="B42" s="17">
        <f>N(CF_Hist!E9)</f>
        <v>386.601</v>
      </c>
      <c r="C42" s="8">
        <f>C35</f>
        <v>180</v>
      </c>
      <c r="D42" s="5">
        <f>B42+C42</f>
        <v>566.601</v>
      </c>
      <c r="E42" s="1"/>
      <c r="F42" s="1"/>
      <c r="G42" s="1"/>
      <c r="H42" s="1"/>
      <c r="I42" s="1"/>
    </row>
    <row r="43">
      <c r="A43" s="12" t="s">
        <v>198</v>
      </c>
      <c r="B43" s="17">
        <f>N(CF_Hist!E10)</f>
        <v>46.315</v>
      </c>
      <c r="C43" s="8">
        <f>C36</f>
        <v>46.58445947143285</v>
      </c>
      <c r="D43" s="5">
        <f>B43+C43</f>
        <v>92.89945947143285</v>
      </c>
      <c r="E43" s="1"/>
      <c r="F43" s="1"/>
      <c r="G43" s="1"/>
      <c r="H43" s="1"/>
      <c r="I43" s="1"/>
    </row>
    <row r="44">
      <c r="A44" s="12" t="s">
        <v>201</v>
      </c>
      <c r="B44" s="17">
        <f>N(CF_Hist!E12)</f>
        <v>38.602</v>
      </c>
      <c r="C44" s="8">
        <f>-C27</f>
        <v>22.037855999999998</v>
      </c>
      <c r="D44" s="5">
        <f>B44+C44</f>
        <v>60.639855999999995</v>
      </c>
      <c r="E44" s="1"/>
      <c r="F44" s="1"/>
      <c r="G44" s="1"/>
      <c r="H44" s="1"/>
      <c r="I44" s="1"/>
    </row>
    <row r="45">
      <c r="A45" s="12" t="s">
        <v>734</v>
      </c>
      <c r="B45" s="15">
        <v>0</v>
      </c>
      <c r="C45" s="8">
        <f>-Schedules!C15</f>
        <v>-367.2976</v>
      </c>
      <c r="D45" s="5">
        <f>B45+C45</f>
        <v>-367.2976</v>
      </c>
      <c r="E45" s="1"/>
      <c r="F45" s="1"/>
      <c r="G45" s="1"/>
      <c r="H45" s="1"/>
      <c r="I45" s="1" t="s">
        <v>735</v>
      </c>
    </row>
    <row r="46">
      <c r="A46" s="12" t="s">
        <v>736</v>
      </c>
      <c r="B46" s="17">
        <f>CF_Hist!E54</f>
        <v>45.424</v>
      </c>
      <c r="C46" s="103">
        <v>0</v>
      </c>
      <c r="D46" s="5">
        <f>B46+C46</f>
        <v>45.424</v>
      </c>
      <c r="E46" s="1"/>
      <c r="F46" s="1"/>
      <c r="G46" s="1"/>
      <c r="H46" s="1"/>
      <c r="I46" s="1"/>
    </row>
    <row r="47">
      <c r="A47" s="12" t="s">
        <v>238</v>
      </c>
      <c r="B47" s="17">
        <f>CF_Hist!E55</f>
        <v>-142.447</v>
      </c>
      <c r="C47" s="8">
        <f>-(D60-B60)-(D61-B61)+(D68-B68)</f>
        <v>-22.126512394008515</v>
      </c>
      <c r="D47" s="5">
        <f>B47+C47</f>
        <v>-164.5735123940085</v>
      </c>
      <c r="E47" s="1"/>
      <c r="F47" s="1"/>
      <c r="G47" s="1"/>
      <c r="H47" s="1"/>
      <c r="I47" s="1"/>
    </row>
    <row r="48">
      <c r="A48" s="4" t="s">
        <v>240</v>
      </c>
      <c r="B48" s="22">
        <f>B40+B41+B42+B43+B44+B45+B46+B47</f>
        <v>-47.488000000000014</v>
      </c>
      <c r="C48" s="9">
        <f>C40+C41+C42+C43+C44+C45+C46+C47</f>
        <v>-171.78668046114876</v>
      </c>
      <c r="D48" s="22">
        <f>B48+C48</f>
        <v>-219.27468046114876</v>
      </c>
      <c r="E48" s="1"/>
      <c r="F48" s="1"/>
      <c r="G48" s="1"/>
      <c r="H48" s="1"/>
      <c r="I48" s="1"/>
    </row>
    <row r="49">
      <c r="A49" s="12" t="s">
        <v>212</v>
      </c>
      <c r="B49" s="17">
        <f>N(CF_Hist!E28)</f>
        <v>-548.873</v>
      </c>
      <c r="C49" s="8">
        <f>-Schedules!C7</f>
        <v>-900</v>
      </c>
      <c r="D49" s="5">
        <f>B49+C49</f>
        <v>-1448.873</v>
      </c>
      <c r="E49" s="1"/>
      <c r="F49" s="1"/>
      <c r="G49" s="1"/>
      <c r="H49" s="1"/>
      <c r="I49" s="1"/>
    </row>
    <row r="50">
      <c r="A50" s="12" t="s">
        <v>239</v>
      </c>
      <c r="B50" s="17">
        <f>CF_Hist!E56</f>
        <v>-761.0600000000001</v>
      </c>
      <c r="C50" s="103">
        <v>0</v>
      </c>
      <c r="D50" s="5">
        <f>B50+C50</f>
        <v>-761.0600000000001</v>
      </c>
      <c r="E50" s="1"/>
      <c r="F50" s="1"/>
      <c r="G50" s="1"/>
      <c r="H50" s="1"/>
      <c r="I50" s="1" t="s">
        <v>737</v>
      </c>
    </row>
    <row r="51">
      <c r="A51" s="12" t="s">
        <v>242</v>
      </c>
      <c r="B51" s="17">
        <f>N(CF_Hist!E47)</f>
        <v>7853.242</v>
      </c>
      <c r="C51" s="103">
        <v>0</v>
      </c>
      <c r="D51" s="5">
        <f>B51+C51</f>
        <v>7853.242</v>
      </c>
      <c r="E51" s="1"/>
      <c r="F51" s="1"/>
      <c r="G51" s="1"/>
      <c r="H51" s="1"/>
      <c r="I51" s="1" t="s">
        <v>738</v>
      </c>
    </row>
    <row r="52">
      <c r="A52" s="12" t="s">
        <v>343</v>
      </c>
      <c r="B52" s="17">
        <f>N(CF_Hist!E48)</f>
        <v>0.638</v>
      </c>
      <c r="C52" s="103">
        <v>0</v>
      </c>
      <c r="D52" s="5">
        <f>B52+C52</f>
        <v>0.638</v>
      </c>
      <c r="E52" s="1"/>
      <c r="F52" s="1"/>
      <c r="G52" s="1"/>
      <c r="H52" s="1"/>
      <c r="I52" s="1"/>
    </row>
    <row r="53">
      <c r="A53" s="4" t="s">
        <v>344</v>
      </c>
      <c r="B53" s="22">
        <f>B48+B49+B50+B51+B52</f>
        <v>6496.459</v>
      </c>
      <c r="C53" s="9">
        <f>C48+C49+C50+C51+C52</f>
        <v>-1071.7866804611488</v>
      </c>
      <c r="D53" s="22">
        <f>B53+C53</f>
        <v>5424.672319538851</v>
      </c>
      <c r="E53" s="1"/>
      <c r="F53" s="1"/>
      <c r="G53" s="1"/>
      <c r="H53" s="1"/>
      <c r="I53" s="1"/>
    </row>
    <row r="54">
      <c r="A54" s="12" t="s">
        <v>739</v>
      </c>
      <c r="B54" s="17">
        <f>BS_Hist!D49</f>
        <v>930.378</v>
      </c>
      <c r="C54" s="8">
        <f>B58</f>
        <v>7426.837</v>
      </c>
      <c r="D54" s="5">
        <f>B54</f>
        <v>930.378</v>
      </c>
      <c r="E54" s="1"/>
      <c r="F54" s="1"/>
      <c r="G54" s="1"/>
      <c r="H54" s="1"/>
      <c r="I54" s="1"/>
    </row>
    <row r="55">
      <c r="A55" s="4" t="s">
        <v>740</v>
      </c>
      <c r="B55" s="41">
        <f>B54+B53</f>
        <v>7426.8369999999995</v>
      </c>
      <c r="C55" s="84">
        <f>C54+C53</f>
        <v>6355.050319538852</v>
      </c>
      <c r="D55" s="41">
        <f>C55</f>
        <v>6355.050319538852</v>
      </c>
      <c r="E55" s="1"/>
      <c r="F55" s="1"/>
      <c r="G55" s="1"/>
      <c r="H55" s="1"/>
      <c r="I55" s="1"/>
    </row>
    <row r="56">
      <c r="A56" s="1"/>
      <c r="B56" s="1"/>
      <c r="C56" s="59"/>
      <c r="D56" s="1"/>
      <c r="E56" s="1"/>
      <c r="F56" s="1"/>
      <c r="G56" s="1"/>
      <c r="H56" s="1"/>
      <c r="I56" s="1"/>
    </row>
    <row r="57">
      <c r="A57" s="4" t="s">
        <v>741</v>
      </c>
      <c r="B57" s="1"/>
      <c r="C57" s="59"/>
      <c r="D57" s="1"/>
      <c r="E57" s="1"/>
      <c r="F57" s="1"/>
      <c r="G57" s="1"/>
      <c r="H57" s="1"/>
      <c r="I57" s="1"/>
    </row>
    <row r="58">
      <c r="A58" s="12" t="s">
        <v>180</v>
      </c>
      <c r="B58" s="17">
        <f>BS_Hist!F49</f>
        <v>7426.837</v>
      </c>
      <c r="C58" s="8"/>
      <c r="D58" s="5">
        <f>C55</f>
        <v>6355.050319538852</v>
      </c>
      <c r="E58" s="1"/>
      <c r="F58" s="1"/>
      <c r="G58" s="1"/>
      <c r="H58" s="1"/>
      <c r="I58" s="1"/>
    </row>
    <row r="59">
      <c r="A59" s="12" t="s">
        <v>140</v>
      </c>
      <c r="B59" s="17">
        <f>N(BS_Hist!F9)</f>
        <v>1179.39</v>
      </c>
      <c r="C59" s="8"/>
      <c r="D59" s="5">
        <f>B59</f>
        <v>1179.39</v>
      </c>
      <c r="E59" s="1"/>
      <c r="F59" s="1"/>
      <c r="G59" s="1"/>
      <c r="H59" s="1"/>
      <c r="I59" s="1" t="s">
        <v>742</v>
      </c>
    </row>
    <row r="60">
      <c r="A60" s="12" t="s">
        <v>206</v>
      </c>
      <c r="B60" s="17">
        <f>N(BS_Hist!F10)</f>
        <v>123.361</v>
      </c>
      <c r="C60" s="8"/>
      <c r="D60" s="5">
        <f>Assumptions!$C$44*2*C13</f>
        <v>270.87248641328506</v>
      </c>
      <c r="E60" s="1"/>
      <c r="F60" s="1"/>
      <c r="G60" s="1"/>
      <c r="H60" s="1"/>
      <c r="I60" s="1"/>
    </row>
    <row r="61">
      <c r="A61" s="12" t="s">
        <v>142</v>
      </c>
      <c r="B61" s="17">
        <f>N(BS_Hist!F11)</f>
        <v>32.666</v>
      </c>
      <c r="C61" s="8"/>
      <c r="D61" s="5">
        <f>Assumptions!$C$45*2*C7</f>
        <v>25.78184953130312</v>
      </c>
      <c r="E61" s="1"/>
      <c r="F61" s="1"/>
      <c r="G61" s="1"/>
      <c r="H61" s="1"/>
      <c r="I61" s="1"/>
    </row>
    <row r="62">
      <c r="A62" s="12" t="s">
        <v>743</v>
      </c>
      <c r="B62" s="17">
        <f>BS_Hist!F51</f>
        <v>1128.397</v>
      </c>
      <c r="C62" s="8"/>
      <c r="D62" s="5">
        <f>B62+C37-C36</f>
        <v>1097.654295356037</v>
      </c>
      <c r="E62" s="1"/>
      <c r="F62" s="1"/>
      <c r="G62" s="1"/>
      <c r="H62" s="1"/>
      <c r="I62" s="1"/>
    </row>
    <row r="63">
      <c r="A63" s="12" t="s">
        <v>145</v>
      </c>
      <c r="B63" s="17">
        <f>N(BS_Hist!F13)</f>
        <v>191.698</v>
      </c>
      <c r="C63" s="8"/>
      <c r="D63" s="5">
        <f>B63</f>
        <v>191.698</v>
      </c>
      <c r="E63" s="1"/>
      <c r="F63" s="1"/>
      <c r="G63" s="1"/>
      <c r="H63" s="1"/>
      <c r="I63" s="1" t="s">
        <v>742</v>
      </c>
    </row>
    <row r="64">
      <c r="A64" s="12" t="s">
        <v>147</v>
      </c>
      <c r="B64" s="17">
        <f>N(BS_Hist!F15)</f>
        <v>986.808</v>
      </c>
      <c r="C64" s="8"/>
      <c r="D64" s="17">
        <f>Schedules!C11</f>
        <v>1707.2069999999999</v>
      </c>
      <c r="E64" s="1"/>
      <c r="F64" s="1"/>
      <c r="G64" s="1"/>
      <c r="H64" s="1"/>
      <c r="I64" s="1"/>
    </row>
    <row r="65">
      <c r="A65" s="12" t="s">
        <v>149</v>
      </c>
      <c r="B65" s="17">
        <f>N(BS_Hist!F17)</f>
        <v>528.275</v>
      </c>
      <c r="C65" s="8"/>
      <c r="D65" s="5">
        <f>B65</f>
        <v>528.275</v>
      </c>
      <c r="E65" s="1"/>
      <c r="F65" s="1"/>
      <c r="G65" s="1"/>
      <c r="H65" s="1"/>
      <c r="I65" s="1" t="s">
        <v>744</v>
      </c>
    </row>
    <row r="66">
      <c r="A66" s="12" t="s">
        <v>150</v>
      </c>
      <c r="B66" s="17">
        <f>N(BS_Hist!F18)</f>
        <v>30.44</v>
      </c>
      <c r="C66" s="8"/>
      <c r="D66" s="5">
        <f>B66</f>
        <v>30.44</v>
      </c>
      <c r="E66" s="1"/>
      <c r="F66" s="1"/>
      <c r="G66" s="1"/>
      <c r="H66" s="1"/>
      <c r="I66" s="1"/>
    </row>
    <row r="67">
      <c r="A67" s="4" t="s">
        <v>151</v>
      </c>
      <c r="B67" s="22">
        <f>B58+B59+B60+B61+B62+B63+B64+B65+B66</f>
        <v>11627.872000000003</v>
      </c>
      <c r="C67" s="9"/>
      <c r="D67" s="22">
        <f>D58+D59+D60+D61+D62+D63+D64+D65+D66</f>
        <v>11386.368950839478</v>
      </c>
      <c r="E67" s="1"/>
      <c r="F67" s="1"/>
      <c r="G67" s="1"/>
      <c r="H67" s="1"/>
      <c r="I67" s="1"/>
    </row>
    <row r="68">
      <c r="A68" s="12" t="s">
        <v>153</v>
      </c>
      <c r="B68" s="17">
        <f>N(BS_Hist!F22)</f>
        <v>88.313</v>
      </c>
      <c r="C68" s="8"/>
      <c r="D68" s="5">
        <f>Assumptions!$C$46*2*C14</f>
        <v>206.81382355057968</v>
      </c>
      <c r="E68" s="1"/>
      <c r="F68" s="1"/>
      <c r="G68" s="1"/>
      <c r="H68" s="1"/>
      <c r="I68" s="1"/>
    </row>
    <row r="69">
      <c r="A69" s="12" t="s">
        <v>160</v>
      </c>
      <c r="B69" s="17">
        <f>N(BS_Hist!F28)</f>
        <v>236.91</v>
      </c>
      <c r="C69" s="8"/>
      <c r="D69" s="5">
        <f>B69</f>
        <v>236.91</v>
      </c>
      <c r="E69" s="1"/>
      <c r="F69" s="1"/>
      <c r="G69" s="1"/>
      <c r="H69" s="1"/>
      <c r="I69" s="1" t="s">
        <v>742</v>
      </c>
    </row>
    <row r="70">
      <c r="A70" s="12" t="s">
        <v>745</v>
      </c>
      <c r="B70" s="17">
        <f>BS_Hist!F52</f>
        <v>418.264</v>
      </c>
      <c r="C70" s="8"/>
      <c r="D70" s="5">
        <f>B70</f>
        <v>418.264</v>
      </c>
      <c r="E70" s="1"/>
      <c r="F70" s="1"/>
      <c r="G70" s="1"/>
      <c r="H70" s="1"/>
      <c r="I70" s="1" t="s">
        <v>742</v>
      </c>
    </row>
    <row r="71">
      <c r="A71" s="12" t="s">
        <v>156</v>
      </c>
      <c r="B71" s="17">
        <f>N(BS_Hist!F25)</f>
        <v>242.672</v>
      </c>
      <c r="C71" s="8"/>
      <c r="D71" s="5">
        <f>B71</f>
        <v>242.672</v>
      </c>
      <c r="E71" s="1"/>
      <c r="F71" s="1"/>
      <c r="G71" s="1"/>
      <c r="H71" s="1"/>
      <c r="I71" s="1" t="s">
        <v>746</v>
      </c>
    </row>
    <row r="72">
      <c r="A72" s="12" t="s">
        <v>747</v>
      </c>
      <c r="B72" s="17">
        <f>BS_Hist!F53</f>
        <v>568.827</v>
      </c>
      <c r="C72" s="8"/>
      <c r="D72" s="5">
        <f>B72</f>
        <v>568.827</v>
      </c>
      <c r="E72" s="1"/>
      <c r="F72" s="1"/>
      <c r="G72" s="1"/>
      <c r="H72" s="1"/>
      <c r="I72" s="1"/>
    </row>
    <row r="73">
      <c r="A73" s="12" t="s">
        <v>748</v>
      </c>
      <c r="B73" s="17">
        <f>BS_Hist!F54</f>
        <v>918.2439999999999</v>
      </c>
      <c r="C73" s="8"/>
      <c r="D73" s="17">
        <f>Schedules!C16</f>
        <v>550.9463999999999</v>
      </c>
      <c r="E73" s="1"/>
      <c r="F73" s="1"/>
      <c r="G73" s="1"/>
      <c r="H73" s="1"/>
      <c r="I73" s="1"/>
    </row>
    <row r="74">
      <c r="A74" s="4" t="s">
        <v>166</v>
      </c>
      <c r="B74" s="22">
        <f>B68+B69+B70+B71+B72+B73</f>
        <v>2473.23</v>
      </c>
      <c r="C74" s="9"/>
      <c r="D74" s="22">
        <f>D68+D69+D70+D71+D72+D73</f>
        <v>2224.4332235505794</v>
      </c>
      <c r="E74" s="1"/>
      <c r="F74" s="1"/>
      <c r="G74" s="1"/>
      <c r="H74" s="1"/>
      <c r="I74" s="1"/>
    </row>
    <row r="75">
      <c r="A75" s="12" t="s">
        <v>749</v>
      </c>
      <c r="B75" s="17">
        <f>N(BS_Hist!F45)</f>
        <v>9154.642</v>
      </c>
      <c r="C75" s="8"/>
      <c r="D75" s="5">
        <f>B75+C31+C35-C27+C37</f>
        <v>9161.935727288897</v>
      </c>
      <c r="E75" s="1"/>
      <c r="F75" s="1"/>
      <c r="G75" s="1"/>
      <c r="H75" s="1"/>
      <c r="I75" s="1" t="s">
        <v>750</v>
      </c>
    </row>
    <row r="76">
      <c r="A76" s="4" t="s">
        <v>751</v>
      </c>
      <c r="B76" s="41">
        <f>B74+B75</f>
        <v>11627.872</v>
      </c>
      <c r="C76" s="84"/>
      <c r="D76" s="41">
        <f>D74+D75</f>
        <v>11386.368950839476</v>
      </c>
      <c r="E76" s="1"/>
      <c r="F76" s="1"/>
      <c r="G76" s="1"/>
      <c r="H76" s="1"/>
      <c r="I76" s="1"/>
    </row>
    <row r="77">
      <c r="A77" s="1"/>
      <c r="B77" s="1"/>
      <c r="C77" s="59"/>
      <c r="D77" s="1"/>
      <c r="E77" s="1"/>
      <c r="F77" s="1"/>
      <c r="G77" s="1"/>
      <c r="H77" s="1"/>
      <c r="I77" s="1"/>
    </row>
    <row r="78">
      <c r="A78" s="4" t="s">
        <v>127</v>
      </c>
      <c r="B78" s="1"/>
      <c r="C78" s="59"/>
      <c r="D78" s="1"/>
      <c r="E78" s="1"/>
      <c r="F78" s="1"/>
      <c r="G78" s="1"/>
      <c r="H78" s="1"/>
      <c r="I78" s="1"/>
    </row>
    <row r="79">
      <c r="A79" s="12" t="s">
        <v>752</v>
      </c>
      <c r="B79" s="14">
        <f>B67-B76</f>
        <v>0</v>
      </c>
      <c r="C79" s="25"/>
      <c r="D79" s="14">
        <f>D67-D76</f>
        <v>0</v>
      </c>
      <c r="E79" s="1"/>
      <c r="F79" s="1"/>
      <c r="G79" s="1"/>
      <c r="H79" s="1"/>
      <c r="I79" s="1"/>
    </row>
    <row r="80">
      <c r="A80" s="12" t="s">
        <v>753</v>
      </c>
      <c r="B80" s="14">
        <f>B67-N(BS_Hist!F19)</f>
        <v>0</v>
      </c>
      <c r="C80" s="59"/>
      <c r="D80" s="1"/>
      <c r="E80" s="1"/>
      <c r="F80" s="1"/>
      <c r="G80" s="1"/>
      <c r="H80" s="1"/>
      <c r="I80" s="1"/>
    </row>
    <row r="81">
      <c r="A81" s="12" t="s">
        <v>754</v>
      </c>
      <c r="B81" s="14">
        <f>ABS(B13-N(IS_Hist!E9))+ABS(B17-N(IS_Hist!E14))+ABS(B24-N(IS_Hist!E21))+ABS(B31-N(IS_Hist!E26))</f>
        <v>0</v>
      </c>
      <c r="C81" s="59"/>
      <c r="D81" s="1"/>
      <c r="E81" s="1"/>
      <c r="F81" s="1"/>
      <c r="G81" s="1"/>
      <c r="H81" s="1"/>
      <c r="I81" s="1"/>
    </row>
    <row r="82">
      <c r="A82" s="12" t="s">
        <v>755</v>
      </c>
      <c r="B82" s="14">
        <f>ABS(B48-N(CF_Hist!E25))+ABS(B53-N(CF_Hist!E49))</f>
        <v>0</v>
      </c>
      <c r="C82" s="59"/>
      <c r="D82" s="1"/>
      <c r="E82" s="1"/>
      <c r="F82" s="1"/>
      <c r="G82" s="1"/>
      <c r="H82" s="1"/>
      <c r="I82" s="1"/>
    </row>
    <row r="83">
      <c r="A83" s="12" t="s">
        <v>756</v>
      </c>
      <c r="B83" s="1"/>
      <c r="C83" s="59"/>
      <c r="D83" s="1"/>
      <c r="E83" s="14">
        <f>ABS(E17-N(IS_Hist!D14))+ABS(E31-N(IS_Hist!D26))</f>
        <v>0</v>
      </c>
      <c r="F83" s="14"/>
      <c r="G83" s="14">
        <f>ABS(G17-N(IS_Hist!C14))+ABS(G24-N(IS_Hist!C21))+ABS(G31-N(IS_Hist!C26))</f>
        <v>0</v>
      </c>
      <c r="H83" s="1"/>
      <c r="I83" s="1"/>
    </row>
  </sheetData>
</worksheet>
</file>

<file path=xl/worksheets/sheet13.xml><?xml version="1.0" encoding="utf-8"?>
<worksheet xmlns="http://schemas.openxmlformats.org/spreadsheetml/2006/main" xmlns:r="http://schemas.openxmlformats.org/officeDocument/2006/relationships">
  <sheetPr>
    <tabColor rgb="FF5A2331"/>
  </sheetPr>
  <dimension ref="A1:N55"/>
  <sheetViews>
    <sheetView showGridLines="0" workbookViewId="0"/>
  </sheetViews>
  <sheetFormatPr defaultColWidth="8.375" defaultRowHeight="15"/>
  <cols>
    <col min="1" max="1" width="99.375" customWidth="1"/>
    <col min="2" max="12" width="12.0390625" customWidth="1"/>
    <col min="13" max="13" width="17.70703125" customWidth="1"/>
    <col min="14" max="14" width="92.70703125" customWidth="1"/>
  </cols>
  <sheetData>
    <row r="1">
      <c r="A1" s="21" t="s">
        <v>757</v>
      </c>
      <c r="B1" s="1"/>
      <c r="C1" s="1"/>
      <c r="D1" s="1"/>
      <c r="E1" s="1"/>
      <c r="F1" s="1"/>
      <c r="G1" s="1"/>
      <c r="H1" s="1"/>
      <c r="I1" s="1"/>
      <c r="J1" s="1"/>
      <c r="K1" s="1"/>
      <c r="L1" s="1"/>
      <c r="M1" s="1"/>
      <c r="N1" s="1"/>
    </row>
    <row r="2">
      <c r="A2" s="1" t="s">
        <v>758</v>
      </c>
      <c r="B2" s="1"/>
      <c r="C2" s="1"/>
      <c r="D2" s="1"/>
      <c r="E2" s="1"/>
      <c r="F2" s="1"/>
      <c r="G2" s="1"/>
      <c r="H2" s="1"/>
      <c r="I2" s="1"/>
      <c r="J2" s="1"/>
      <c r="K2" s="1"/>
      <c r="L2" s="1"/>
      <c r="M2" s="1"/>
      <c r="N2" s="1"/>
    </row>
    <row r="3">
      <c r="A3" s="1"/>
      <c r="B3" s="1" t="s">
        <v>451</v>
      </c>
      <c r="C3" s="59" t="s">
        <v>452</v>
      </c>
      <c r="D3" s="1"/>
      <c r="E3" s="1"/>
      <c r="F3" s="1"/>
      <c r="G3" s="1"/>
      <c r="H3" s="1"/>
      <c r="I3" s="1"/>
      <c r="J3" s="1"/>
      <c r="K3" s="1"/>
      <c r="L3" s="1"/>
      <c r="M3" s="1"/>
      <c r="N3" s="1"/>
    </row>
    <row r="4">
      <c r="A4" s="3" t="s">
        <v>453</v>
      </c>
      <c r="B4" s="24" t="s">
        <v>135</v>
      </c>
      <c r="C4" s="102" t="s">
        <v>454</v>
      </c>
      <c r="D4" s="33" t="s">
        <v>455</v>
      </c>
      <c r="E4" s="33" t="s">
        <v>456</v>
      </c>
      <c r="F4" s="33" t="s">
        <v>457</v>
      </c>
      <c r="G4" s="33" t="s">
        <v>458</v>
      </c>
      <c r="H4" s="33" t="s">
        <v>459</v>
      </c>
      <c r="I4" s="33" t="s">
        <v>460</v>
      </c>
      <c r="J4" s="33" t="s">
        <v>461</v>
      </c>
      <c r="K4" s="33" t="s">
        <v>462</v>
      </c>
      <c r="L4" s="33" t="s">
        <v>463</v>
      </c>
      <c r="M4" s="6" t="s">
        <v>86</v>
      </c>
      <c r="N4" s="6" t="s">
        <v>87</v>
      </c>
    </row>
    <row r="5">
      <c r="A5" s="1"/>
      <c r="B5" s="1"/>
      <c r="C5" s="59"/>
      <c r="D5" s="1"/>
      <c r="E5" s="1"/>
      <c r="F5" s="1"/>
      <c r="G5" s="1"/>
      <c r="H5" s="1"/>
      <c r="I5" s="1"/>
      <c r="J5" s="1"/>
      <c r="K5" s="1"/>
      <c r="L5" s="1"/>
      <c r="M5" s="1"/>
      <c r="N5" s="1"/>
    </row>
    <row r="6">
      <c r="A6" s="4" t="s">
        <v>759</v>
      </c>
      <c r="B6" s="1"/>
      <c r="C6" s="59"/>
      <c r="D6" s="1"/>
      <c r="E6" s="1"/>
      <c r="F6" s="1"/>
      <c r="G6" s="1"/>
      <c r="H6" s="1"/>
      <c r="I6" s="1"/>
      <c r="J6" s="1"/>
      <c r="K6" s="1"/>
      <c r="L6" s="1"/>
      <c r="M6" s="1"/>
      <c r="N6" s="1"/>
    </row>
    <row r="7">
      <c r="A7" s="12" t="s">
        <v>760</v>
      </c>
      <c r="B7" s="1"/>
      <c r="C7" s="57">
        <f>Assumptions!$C$18</f>
        <v>900</v>
      </c>
      <c r="D7" s="5">
        <f>Forecast_3Stmt!D15*Assumptions!D93</f>
        <v>1424.076369162848</v>
      </c>
      <c r="E7" s="5">
        <f>Forecast_3Stmt!E15*Assumptions!E93</f>
        <v>2360.6075495447885</v>
      </c>
      <c r="F7" s="5">
        <f>Forecast_3Stmt!F15*Assumptions!F93</f>
        <v>1556.2263808943076</v>
      </c>
      <c r="G7" s="5">
        <f>Forecast_3Stmt!G15*Assumptions!G93</f>
        <v>1137.9553222296809</v>
      </c>
      <c r="H7" s="5">
        <f>Forecast_3Stmt!H15*Assumptions!H93</f>
        <v>965.0101461727411</v>
      </c>
      <c r="I7" s="5">
        <f>Forecast_3Stmt!I15*Assumptions!I93</f>
        <v>1046.81258807161</v>
      </c>
      <c r="J7" s="5">
        <f>Forecast_3Stmt!J15*Assumptions!J93</f>
        <v>1089.80788190153</v>
      </c>
      <c r="K7" s="5">
        <f>Forecast_3Stmt!K15*Assumptions!K93</f>
        <v>1078.0202751484007</v>
      </c>
      <c r="L7" s="5">
        <f>Forecast_3Stmt!L15*Assumptions!L93</f>
        <v>1135.3530878475021</v>
      </c>
      <c r="M7" s="1"/>
      <c r="N7" s="1"/>
    </row>
    <row r="8">
      <c r="A8" s="86" t="s">
        <v>761</v>
      </c>
      <c r="B8" s="45"/>
      <c r="C8" s="37">
        <f>C7/(Interim_Bridge!C8+Interim_Bridge!C9+Interim_Bridge!C10+Interim_Bridge!C11)</f>
        <v>1.3590741154785313</v>
      </c>
      <c r="D8" s="18">
        <f>D7/Forecast_3Stmt!D15</f>
        <v>0.55</v>
      </c>
      <c r="E8" s="18">
        <f>E7/Forecast_3Stmt!E15</f>
        <v>0.4</v>
      </c>
      <c r="F8" s="18">
        <f>F7/Forecast_3Stmt!F15</f>
        <v>0.25</v>
      </c>
      <c r="G8" s="18">
        <f>G7/Forecast_3Stmt!G15</f>
        <v>0.18</v>
      </c>
      <c r="H8" s="18">
        <f>H7/Forecast_3Stmt!H15</f>
        <v>0.15</v>
      </c>
      <c r="I8" s="18">
        <f>I7/Forecast_3Stmt!I15</f>
        <v>0.15</v>
      </c>
      <c r="J8" s="18">
        <f>J7/Forecast_3Stmt!J15</f>
        <v>0.15</v>
      </c>
      <c r="K8" s="18">
        <f>K7/Forecast_3Stmt!K15</f>
        <v>0.15</v>
      </c>
      <c r="L8" s="18">
        <f>L7/Forecast_3Stmt!L15</f>
        <v>0.15</v>
      </c>
      <c r="M8" s="1"/>
      <c r="N8" s="1"/>
    </row>
    <row r="9">
      <c r="A9" s="12" t="s">
        <v>762</v>
      </c>
      <c r="B9" s="1"/>
      <c r="C9" s="8">
        <f>B11</f>
        <v>986.808</v>
      </c>
      <c r="D9" s="5">
        <f>C11</f>
        <v>1707.2069999999999</v>
      </c>
      <c r="E9" s="5">
        <f>D11</f>
        <v>2526.472073017492</v>
      </c>
      <c r="F9" s="5">
        <f>E11</f>
        <v>3960.3856606148092</v>
      </c>
      <c r="G9" s="5">
        <f>F11</f>
        <v>4331.987328743627</v>
      </c>
      <c r="H9" s="5">
        <f>G11</f>
        <v>4244.70140350869</v>
      </c>
      <c r="I9" s="5">
        <f>H11</f>
        <v>4027.9099305326663</v>
      </c>
      <c r="J9" s="5">
        <f>I11</f>
        <v>3936.893462462158</v>
      </c>
      <c r="K9" s="5">
        <f>J11</f>
        <v>3906.2519935104574</v>
      </c>
      <c r="L9" s="5">
        <f>K11</f>
        <v>3872.956735887694</v>
      </c>
      <c r="M9" s="1"/>
      <c r="N9" s="1"/>
    </row>
    <row r="10">
      <c r="A10" s="12" t="s">
        <v>763</v>
      </c>
      <c r="B10" s="1"/>
      <c r="C10" s="8">
        <f>(C9+0.5*C7)/Assumptions!$C$30*0.5</f>
        <v>179.601</v>
      </c>
      <c r="D10" s="5">
        <f>(D9+0.5*D7)/Assumptions!$C$30</f>
        <v>604.811296145356</v>
      </c>
      <c r="E10" s="5">
        <f>(E9+0.5*E7)/Assumptions!$C$30</f>
        <v>926.6939619474716</v>
      </c>
      <c r="F10" s="5">
        <f>(F9+0.5*F7)/Assumptions!$C$30</f>
        <v>1184.6247127654908</v>
      </c>
      <c r="G10" s="5">
        <f>(G9+0.5*G7)/Assumptions!$C$30</f>
        <v>1225.2412474646167</v>
      </c>
      <c r="H10" s="5">
        <f>(H9+0.5*H7)/Assumptions!$C$30</f>
        <v>1181.8016191487652</v>
      </c>
      <c r="I10" s="5">
        <f>(I9+0.5*I7)/Assumptions!$C$30</f>
        <v>1137.829056142118</v>
      </c>
      <c r="J10" s="5">
        <f>(J9+0.5*J7)/Assumptions!$C$30</f>
        <v>1120.4493508532307</v>
      </c>
      <c r="K10" s="5">
        <f>(K9+0.5*K7)/Assumptions!$C$30</f>
        <v>1111.3155327711645</v>
      </c>
      <c r="L10" s="5">
        <f>(L9+0.5*L7)/Assumptions!$C$30</f>
        <v>1110.1583199528613</v>
      </c>
      <c r="M10" s="1"/>
      <c r="N10" s="1" t="s">
        <v>764</v>
      </c>
    </row>
    <row r="11">
      <c r="A11" s="4" t="s">
        <v>765</v>
      </c>
      <c r="B11" s="85">
        <f>N(BS_Hist!F15)</f>
        <v>986.808</v>
      </c>
      <c r="C11" s="9">
        <f>C9+C7-C10</f>
        <v>1707.2069999999999</v>
      </c>
      <c r="D11" s="22">
        <f>D9+D7-D10</f>
        <v>2526.472073017492</v>
      </c>
      <c r="E11" s="22">
        <f>E9+E7-E10</f>
        <v>3960.3856606148092</v>
      </c>
      <c r="F11" s="22">
        <f>F9+F7-F10</f>
        <v>4331.987328743627</v>
      </c>
      <c r="G11" s="22">
        <f>G9+G7-G10</f>
        <v>4244.70140350869</v>
      </c>
      <c r="H11" s="22">
        <f>H9+H7-H10</f>
        <v>4027.9099305326663</v>
      </c>
      <c r="I11" s="22">
        <f>I9+I7-I10</f>
        <v>3936.893462462158</v>
      </c>
      <c r="J11" s="22">
        <f>J9+J7-J10</f>
        <v>3906.2519935104574</v>
      </c>
      <c r="K11" s="22">
        <f>K9+K7-K10</f>
        <v>3872.956735887694</v>
      </c>
      <c r="L11" s="22">
        <f>L9+L7-L10</f>
        <v>3898.1515037823347</v>
      </c>
      <c r="M11" s="1"/>
      <c r="N11" s="1"/>
    </row>
    <row r="12">
      <c r="A12" s="1"/>
      <c r="B12" s="1"/>
      <c r="C12" s="59"/>
      <c r="D12" s="1"/>
      <c r="E12" s="1"/>
      <c r="F12" s="1"/>
      <c r="G12" s="1"/>
      <c r="H12" s="1"/>
      <c r="I12" s="1"/>
      <c r="J12" s="1"/>
      <c r="K12" s="1"/>
      <c r="L12" s="1"/>
      <c r="M12" s="1"/>
      <c r="N12" s="1"/>
    </row>
    <row r="13">
      <c r="A13" s="4" t="s">
        <v>766</v>
      </c>
      <c r="B13" s="1"/>
      <c r="C13" s="59"/>
      <c r="D13" s="1"/>
      <c r="E13" s="1"/>
      <c r="F13" s="1"/>
      <c r="G13" s="1"/>
      <c r="H13" s="1"/>
      <c r="I13" s="1"/>
      <c r="J13" s="1"/>
      <c r="K13" s="1"/>
      <c r="L13" s="1"/>
      <c r="M13" s="1"/>
      <c r="N13" s="1"/>
    </row>
    <row r="14">
      <c r="A14" s="12" t="s">
        <v>767</v>
      </c>
      <c r="B14" s="1"/>
      <c r="C14" s="8">
        <f>B16</f>
        <v>918.2439999999999</v>
      </c>
      <c r="D14" s="5">
        <f>C16</f>
        <v>550.9463999999999</v>
      </c>
      <c r="E14" s="5">
        <f>D16</f>
        <v>137.73659999999995</v>
      </c>
      <c r="F14" s="5">
        <f>E16</f>
        <v>0</v>
      </c>
      <c r="G14" s="5">
        <f>F16</f>
        <v>0</v>
      </c>
      <c r="H14" s="5">
        <f>G16</f>
        <v>0</v>
      </c>
      <c r="I14" s="5">
        <f>H16</f>
        <v>0</v>
      </c>
      <c r="J14" s="5">
        <f>I16</f>
        <v>0</v>
      </c>
      <c r="K14" s="5">
        <f>J16</f>
        <v>0</v>
      </c>
      <c r="L14" s="5">
        <f>K16</f>
        <v>0</v>
      </c>
      <c r="M14" s="1"/>
      <c r="N14" s="1"/>
    </row>
    <row r="15">
      <c r="A15" s="12" t="s">
        <v>768</v>
      </c>
      <c r="B15" s="1"/>
      <c r="C15" s="8">
        <f>MIN(C14,Assumptions!$C$33*$B$16)</f>
        <v>367.2976</v>
      </c>
      <c r="D15" s="5">
        <f>MIN(D14,Assumptions!$C$34*$B$16)</f>
        <v>413.2098</v>
      </c>
      <c r="E15" s="5">
        <f>MIN(E14,Assumptions!$C$35*$B$16)</f>
        <v>137.73659999999995</v>
      </c>
      <c r="F15" s="5">
        <f>0</f>
        <v>0</v>
      </c>
      <c r="G15" s="5">
        <f>0</f>
        <v>0</v>
      </c>
      <c r="H15" s="5">
        <f>0</f>
        <v>0</v>
      </c>
      <c r="I15" s="5">
        <f>0</f>
        <v>0</v>
      </c>
      <c r="J15" s="5">
        <f>0</f>
        <v>0</v>
      </c>
      <c r="K15" s="5">
        <f>0</f>
        <v>0</v>
      </c>
      <c r="L15" s="5">
        <f>0</f>
        <v>0</v>
      </c>
      <c r="M15" s="1"/>
      <c r="N15" s="1"/>
    </row>
    <row r="16">
      <c r="A16" s="4" t="s">
        <v>769</v>
      </c>
      <c r="B16" s="85">
        <f>BS_Hist!F54</f>
        <v>918.2439999999999</v>
      </c>
      <c r="C16" s="9">
        <f>C14-C15</f>
        <v>550.9463999999999</v>
      </c>
      <c r="D16" s="22">
        <f>D14-D15</f>
        <v>137.73659999999995</v>
      </c>
      <c r="E16" s="22">
        <f>E14-E15</f>
        <v>0</v>
      </c>
      <c r="F16" s="22">
        <f>F14-F15</f>
        <v>0</v>
      </c>
      <c r="G16" s="22">
        <f>G14-G15</f>
        <v>0</v>
      </c>
      <c r="H16" s="22">
        <f>H14-H15</f>
        <v>0</v>
      </c>
      <c r="I16" s="22">
        <f>I14-I15</f>
        <v>0</v>
      </c>
      <c r="J16" s="22">
        <f>J14-J15</f>
        <v>0</v>
      </c>
      <c r="K16" s="22">
        <f>K14-K15</f>
        <v>0</v>
      </c>
      <c r="L16" s="22">
        <f>L14-L15</f>
        <v>0</v>
      </c>
      <c r="M16" s="1"/>
      <c r="N16" s="1"/>
    </row>
    <row r="17">
      <c r="A17" s="12" t="s">
        <v>770</v>
      </c>
      <c r="B17" s="1"/>
      <c r="C17" s="8">
        <f>Assumptions!$C$32*(C14+C16)/2*0.5</f>
        <v>22.037855999999998</v>
      </c>
      <c r="D17" s="5">
        <f>Assumptions!$C$32*(D14+D16)/2</f>
        <v>20.660489999999996</v>
      </c>
      <c r="E17" s="5">
        <f>Assumptions!$C$32*(E14+E16)/2</f>
        <v>4.132097999999998</v>
      </c>
      <c r="F17" s="5">
        <f>Assumptions!$C$32*(F14+F16)/2</f>
        <v>0</v>
      </c>
      <c r="G17" s="5">
        <f>Assumptions!$C$32*(G14+G16)/2</f>
        <v>0</v>
      </c>
      <c r="H17" s="5">
        <f>Assumptions!$C$32*(H14+H16)/2</f>
        <v>0</v>
      </c>
      <c r="I17" s="5">
        <f>Assumptions!$C$32*(I14+I16)/2</f>
        <v>0</v>
      </c>
      <c r="J17" s="5">
        <f>Assumptions!$C$32*(J14+J16)/2</f>
        <v>0</v>
      </c>
      <c r="K17" s="5">
        <f>Assumptions!$C$32*(K14+K16)/2</f>
        <v>0</v>
      </c>
      <c r="L17" s="5">
        <f>Assumptions!$C$32*(L14+L16)/2</f>
        <v>0</v>
      </c>
      <c r="M17" s="1"/>
      <c r="N17" s="1" t="s">
        <v>771</v>
      </c>
    </row>
    <row r="18">
      <c r="A18" s="1"/>
      <c r="B18" s="1"/>
      <c r="C18" s="59"/>
      <c r="D18" s="1"/>
      <c r="E18" s="1"/>
      <c r="F18" s="1"/>
      <c r="G18" s="1"/>
      <c r="H18" s="1"/>
      <c r="I18" s="1"/>
      <c r="J18" s="1"/>
      <c r="K18" s="1"/>
      <c r="L18" s="1"/>
      <c r="M18" s="1"/>
      <c r="N18" s="1"/>
    </row>
    <row r="19">
      <c r="A19" s="4" t="s">
        <v>772</v>
      </c>
      <c r="B19" s="1"/>
      <c r="C19" s="59"/>
      <c r="D19" s="1"/>
      <c r="E19" s="1"/>
      <c r="F19" s="1"/>
      <c r="G19" s="1"/>
      <c r="H19" s="1"/>
      <c r="I19" s="1"/>
      <c r="J19" s="1"/>
      <c r="K19" s="1"/>
      <c r="L19" s="1"/>
      <c r="M19" s="1"/>
      <c r="N19" s="1"/>
    </row>
    <row r="20">
      <c r="A20" s="12" t="s">
        <v>773</v>
      </c>
      <c r="B20" s="1"/>
      <c r="C20" s="8">
        <f>Interim_Bridge!C25+Interim_Bridge!C26+Interim_Bridge!C27</f>
        <v>-208.5858835385731</v>
      </c>
      <c r="D20" s="5">
        <f>Forecast_3Stmt!D28+Forecast_3Stmt!D30+Forecast_3Stmt!D31</f>
        <v>-25.942707898365214</v>
      </c>
      <c r="E20" s="5">
        <f>Forecast_3Stmt!E28+Forecast_3Stmt!E30+Forecast_3Stmt!E31</f>
        <v>693.5818432604724</v>
      </c>
      <c r="F20" s="5">
        <f>Forecast_3Stmt!F28+Forecast_3Stmt!F30+Forecast_3Stmt!F31</f>
        <v>997.9086558761677</v>
      </c>
      <c r="G20" s="5">
        <f>Forecast_3Stmt!G28+Forecast_3Stmt!G30+Forecast_3Stmt!G31</f>
        <v>1281.5044618311244</v>
      </c>
      <c r="H20" s="5">
        <f>Forecast_3Stmt!H28+Forecast_3Stmt!H30+Forecast_3Stmt!H31</f>
        <v>1512.0636776668111</v>
      </c>
      <c r="I20" s="5">
        <f>Forecast_3Stmt!I28+Forecast_3Stmt!I30+Forecast_3Stmt!I31</f>
        <v>1860.6862463539464</v>
      </c>
      <c r="J20" s="5">
        <f>Forecast_3Stmt!J28+Forecast_3Stmt!J30+Forecast_3Stmt!J31</f>
        <v>2058.4905270994227</v>
      </c>
      <c r="K20" s="5">
        <f>Forecast_3Stmt!K28+Forecast_3Stmt!K30+Forecast_3Stmt!K31</f>
        <v>2135.02772522441</v>
      </c>
      <c r="L20" s="5">
        <f>Forecast_3Stmt!L28+Forecast_3Stmt!L30+Forecast_3Stmt!L31</f>
        <v>2352.3075277430626</v>
      </c>
      <c r="M20" s="1"/>
      <c r="N20" s="1" t="s">
        <v>774</v>
      </c>
    </row>
    <row r="21">
      <c r="A21" s="12" t="s">
        <v>775</v>
      </c>
      <c r="B21" s="1"/>
      <c r="C21" s="8">
        <f>Assumptions!$C$43+MAX(0,-N(IS_Hist!E24))</f>
        <v>1050.810619047619</v>
      </c>
      <c r="D21" s="5">
        <f>C24</f>
        <v>1259.3965025861921</v>
      </c>
      <c r="E21" s="5">
        <f>D24</f>
        <v>1285.3392104845573</v>
      </c>
      <c r="F21" s="5">
        <f>E24</f>
        <v>730.4737358761794</v>
      </c>
      <c r="G21" s="5">
        <f>F24</f>
        <v>0</v>
      </c>
      <c r="H21" s="5">
        <f>G24</f>
        <v>0</v>
      </c>
      <c r="I21" s="5">
        <f>H24</f>
        <v>0</v>
      </c>
      <c r="J21" s="5">
        <f>I24</f>
        <v>0</v>
      </c>
      <c r="K21" s="5">
        <f>J24</f>
        <v>0</v>
      </c>
      <c r="L21" s="5">
        <f>K24</f>
        <v>0</v>
      </c>
      <c r="M21" s="1"/>
      <c r="N21" s="1" t="s">
        <v>776</v>
      </c>
    </row>
    <row r="22">
      <c r="A22" s="12" t="s">
        <v>777</v>
      </c>
      <c r="B22" s="1"/>
      <c r="C22" s="8">
        <f>MIN(C21,MAX(0,C20)*Assumptions!$C$38)</f>
        <v>0</v>
      </c>
      <c r="D22" s="5">
        <f>MIN(D21,MAX(0,D20)*Assumptions!$C$38)</f>
        <v>0</v>
      </c>
      <c r="E22" s="5">
        <f>MIN(E21,MAX(0,E20)*Assumptions!$C$38)</f>
        <v>554.8654746083779</v>
      </c>
      <c r="F22" s="5">
        <f>MIN(F21,MAX(0,F20)*Assumptions!$C$38)</f>
        <v>730.4737358761794</v>
      </c>
      <c r="G22" s="5">
        <f>MIN(G21,MAX(0,G20)*Assumptions!$C$38)</f>
        <v>0</v>
      </c>
      <c r="H22" s="5">
        <f>MIN(H21,MAX(0,H20)*Assumptions!$C$38)</f>
        <v>0</v>
      </c>
      <c r="I22" s="5">
        <f>MIN(I21,MAX(0,I20)*Assumptions!$C$38)</f>
        <v>0</v>
      </c>
      <c r="J22" s="5">
        <f>MIN(J21,MAX(0,J20)*Assumptions!$C$38)</f>
        <v>0</v>
      </c>
      <c r="K22" s="5">
        <f>MIN(K21,MAX(0,K20)*Assumptions!$C$38)</f>
        <v>0</v>
      </c>
      <c r="L22" s="5">
        <f>MIN(L21,MAX(0,L20)*Assumptions!$C$38)</f>
        <v>0</v>
      </c>
      <c r="M22" s="1"/>
      <c r="N22" s="1"/>
    </row>
    <row r="23">
      <c r="A23" s="12" t="s">
        <v>778</v>
      </c>
      <c r="B23" s="1"/>
      <c r="C23" s="8">
        <f>MAX(0,-C20)</f>
        <v>208.5858835385731</v>
      </c>
      <c r="D23" s="5">
        <f>MAX(0,-D20)</f>
        <v>25.942707898365214</v>
      </c>
      <c r="E23" s="5">
        <f>MAX(0,-E20)</f>
        <v>0</v>
      </c>
      <c r="F23" s="5">
        <f>MAX(0,-F20)</f>
        <v>0</v>
      </c>
      <c r="G23" s="5">
        <f>MAX(0,-G20)</f>
        <v>0</v>
      </c>
      <c r="H23" s="5">
        <f>MAX(0,-H20)</f>
        <v>0</v>
      </c>
      <c r="I23" s="5">
        <f>MAX(0,-I20)</f>
        <v>0</v>
      </c>
      <c r="J23" s="5">
        <f>MAX(0,-J20)</f>
        <v>0</v>
      </c>
      <c r="K23" s="5">
        <f>MAX(0,-K20)</f>
        <v>0</v>
      </c>
      <c r="L23" s="5">
        <f>MAX(0,-L20)</f>
        <v>0</v>
      </c>
      <c r="M23" s="1"/>
      <c r="N23" s="1"/>
    </row>
    <row r="24">
      <c r="A24" s="4" t="s">
        <v>779</v>
      </c>
      <c r="B24" s="34"/>
      <c r="C24" s="9">
        <f>C21-C22+C23</f>
        <v>1259.3965025861921</v>
      </c>
      <c r="D24" s="22">
        <f>D21-D22+D23</f>
        <v>1285.3392104845573</v>
      </c>
      <c r="E24" s="22">
        <f>E21-E22+E23</f>
        <v>730.4737358761794</v>
      </c>
      <c r="F24" s="22">
        <f>F21-F22+F23</f>
        <v>0</v>
      </c>
      <c r="G24" s="22">
        <f>G21-G22+G23</f>
        <v>0</v>
      </c>
      <c r="H24" s="22">
        <f>H21-H22+H23</f>
        <v>0</v>
      </c>
      <c r="I24" s="22">
        <f>I21-I22+I23</f>
        <v>0</v>
      </c>
      <c r="J24" s="22">
        <f>J21-J22+J23</f>
        <v>0</v>
      </c>
      <c r="K24" s="22">
        <f>K21-K22+K23</f>
        <v>0</v>
      </c>
      <c r="L24" s="22">
        <f>L21-L22+L23</f>
        <v>0</v>
      </c>
      <c r="M24" s="1"/>
      <c r="N24" s="1"/>
    </row>
    <row r="25">
      <c r="A25" s="56" t="s">
        <v>780</v>
      </c>
      <c r="B25" s="34"/>
      <c r="C25" s="54">
        <f>MAX(Assumptions!$C$39*0.5,MAX(0,C20-C22)*Assumptions!$C$36)</f>
        <v>2</v>
      </c>
      <c r="D25" s="20">
        <f>MAX(Assumptions!$C$39,MAX(0,D20-D22)*Assumptions!$C$36)</f>
        <v>4</v>
      </c>
      <c r="E25" s="20">
        <f>MAX(Assumptions!$C$39,MAX(0,E20-E22)*Assumptions!$C$36)</f>
        <v>29.130437416939845</v>
      </c>
      <c r="F25" s="20">
        <f>MAX(Assumptions!$C$39,MAX(0,F20-F22)*Assumptions!$C$36)</f>
        <v>56.16133319999754</v>
      </c>
      <c r="G25" s="20">
        <f>MAX(Assumptions!$C$39,MAX(0,G20-G22)*Assumptions!$C$36)</f>
        <v>269.1159369845361</v>
      </c>
      <c r="H25" s="20">
        <f>MAX(Assumptions!$C$39,MAX(0,H20-H22)*Assumptions!$C$36)</f>
        <v>317.5333723100303</v>
      </c>
      <c r="I25" s="20">
        <f>MAX(Assumptions!$C$39,MAX(0,I20-I22)*Assumptions!$C$36)</f>
        <v>390.7441117343287</v>
      </c>
      <c r="J25" s="20">
        <f>MAX(Assumptions!$C$39,MAX(0,J20-J22)*Assumptions!$C$36)</f>
        <v>432.28301069087877</v>
      </c>
      <c r="K25" s="20">
        <f>MAX(Assumptions!$C$39,MAX(0,K20-K22)*Assumptions!$C$36)</f>
        <v>448.3558222971261</v>
      </c>
      <c r="L25" s="20">
        <f>MAX(Assumptions!$C$39,MAX(0,L20-L22)*Assumptions!$C$36)</f>
        <v>493.9845808260431</v>
      </c>
      <c r="M25" s="1"/>
      <c r="N25" s="1"/>
    </row>
    <row r="26">
      <c r="A26" s="1"/>
      <c r="B26" s="1"/>
      <c r="C26" s="59"/>
      <c r="D26" s="1"/>
      <c r="E26" s="1"/>
      <c r="F26" s="1"/>
      <c r="G26" s="1"/>
      <c r="H26" s="1"/>
      <c r="I26" s="1"/>
      <c r="J26" s="1"/>
      <c r="K26" s="1"/>
      <c r="L26" s="1"/>
      <c r="M26" s="1"/>
      <c r="N26" s="1"/>
    </row>
    <row r="27">
      <c r="A27" s="4" t="s">
        <v>781</v>
      </c>
      <c r="B27" s="1"/>
      <c r="C27" s="59"/>
      <c r="D27" s="1"/>
      <c r="E27" s="1"/>
      <c r="F27" s="1"/>
      <c r="G27" s="1"/>
      <c r="H27" s="1"/>
      <c r="I27" s="1"/>
      <c r="J27" s="1"/>
      <c r="K27" s="1"/>
      <c r="L27" s="1"/>
      <c r="M27" s="1"/>
      <c r="N27" s="1"/>
    </row>
    <row r="28">
      <c r="A28" s="12" t="s">
        <v>782</v>
      </c>
      <c r="B28" s="5">
        <f>Interim_Bridge!B60+Interim_Bridge!B61-Interim_Bridge!B68</f>
        <v>67.71399999999998</v>
      </c>
      <c r="C28" s="8">
        <f>Interim_Bridge!D60+Interim_Bridge!D61-Interim_Bridge!D68</f>
        <v>89.8405123940085</v>
      </c>
      <c r="D28" s="5">
        <f>Forecast_3Stmt!D50+Forecast_3Stmt!D51-Forecast_3Stmt!D58</f>
        <v>160.6566758617256</v>
      </c>
      <c r="E28" s="5">
        <f>Forecast_3Stmt!E50+Forecast_3Stmt!E51-Forecast_3Stmt!E58</f>
        <v>360.7907462154177</v>
      </c>
      <c r="F28" s="5">
        <f>Forecast_3Stmt!F50+Forecast_3Stmt!F51-Forecast_3Stmt!F58</f>
        <v>431.6838807421399</v>
      </c>
      <c r="G28" s="5">
        <f>Forecast_3Stmt!G50+Forecast_3Stmt!G51-Forecast_3Stmt!G58</f>
        <v>468.11350065586294</v>
      </c>
      <c r="H28" s="5">
        <f>Forecast_3Stmt!H50+Forecast_3Stmt!H51-Forecast_3Stmt!H58</f>
        <v>480.2689544135362</v>
      </c>
      <c r="I28" s="5">
        <f>Forecast_3Stmt!I50+Forecast_3Stmt!I51-Forecast_3Stmt!I58</f>
        <v>518.6196752479149</v>
      </c>
      <c r="J28" s="5">
        <f>Forecast_3Stmt!J50+Forecast_3Stmt!J51-Forecast_3Stmt!J58</f>
        <v>540.3982560631787</v>
      </c>
      <c r="K28" s="5">
        <f>Forecast_3Stmt!K50+Forecast_3Stmt!K51-Forecast_3Stmt!K58</f>
        <v>540.9643660105112</v>
      </c>
      <c r="L28" s="5">
        <f>Forecast_3Stmt!L50+Forecast_3Stmt!L51-Forecast_3Stmt!L58</f>
        <v>568.4427370547535</v>
      </c>
      <c r="M28" s="1"/>
      <c r="N28" s="1"/>
    </row>
    <row r="29">
      <c r="A29" s="12" t="s">
        <v>783</v>
      </c>
      <c r="B29" s="1"/>
      <c r="C29" s="8">
        <f>-(C28-B28)</f>
        <v>-22.126512394008515</v>
      </c>
      <c r="D29" s="5">
        <f>-(D28-C28)</f>
        <v>-70.8161634677171</v>
      </c>
      <c r="E29" s="5">
        <f>-(E28-D28)</f>
        <v>-200.1340703536921</v>
      </c>
      <c r="F29" s="5">
        <f>-(F28-E28)</f>
        <v>-70.89313452672218</v>
      </c>
      <c r="G29" s="5">
        <f>-(G28-F28)</f>
        <v>-36.42961991372306</v>
      </c>
      <c r="H29" s="5">
        <f>-(H28-G28)</f>
        <v>-12.155453757673286</v>
      </c>
      <c r="I29" s="5">
        <f>-(I28-H28)</f>
        <v>-38.35072083437865</v>
      </c>
      <c r="J29" s="5">
        <f>-(J28-I28)</f>
        <v>-21.77858081526381</v>
      </c>
      <c r="K29" s="5">
        <f>-(K28-J28)</f>
        <v>-0.5661099473325066</v>
      </c>
      <c r="L29" s="5">
        <f>-(L28-K28)</f>
        <v>-27.478371044242294</v>
      </c>
      <c r="M29" s="1"/>
      <c r="N29" s="1"/>
    </row>
    <row r="30">
      <c r="A30" s="1"/>
      <c r="B30" s="1"/>
      <c r="C30" s="59"/>
      <c r="D30" s="1"/>
      <c r="E30" s="1"/>
      <c r="F30" s="1"/>
      <c r="G30" s="1"/>
      <c r="H30" s="1"/>
      <c r="I30" s="1"/>
      <c r="J30" s="1"/>
      <c r="K30" s="1"/>
      <c r="L30" s="1"/>
      <c r="M30" s="1"/>
      <c r="N30" s="1"/>
    </row>
    <row r="31">
      <c r="A31" s="4" t="s">
        <v>784</v>
      </c>
      <c r="B31" s="1"/>
      <c r="C31" s="59"/>
      <c r="D31" s="1"/>
      <c r="E31" s="1"/>
      <c r="F31" s="1"/>
      <c r="G31" s="1"/>
      <c r="H31" s="1"/>
      <c r="I31" s="1"/>
      <c r="J31" s="1"/>
      <c r="K31" s="1"/>
      <c r="L31" s="1"/>
      <c r="M31" s="1"/>
      <c r="N31" s="1"/>
    </row>
    <row r="32">
      <c r="A32" s="12" t="s">
        <v>785</v>
      </c>
      <c r="B32" s="1"/>
      <c r="C32" s="57">
        <f>Interim_Bridge!C35</f>
        <v>180</v>
      </c>
      <c r="D32" s="17">
        <f>Forecast_3Stmt!D39</f>
        <v>240.83498896914153</v>
      </c>
      <c r="E32" s="17">
        <f>Forecast_3Stmt!E39</f>
        <v>390.1598312317182</v>
      </c>
      <c r="F32" s="17">
        <f>Forecast_3Stmt!F39</f>
        <v>341.9560751288616</v>
      </c>
      <c r="G32" s="17">
        <f>Forecast_3Stmt!G39</f>
        <v>309.5993983746202</v>
      </c>
      <c r="H32" s="17">
        <f>Forecast_3Stmt!H39</f>
        <v>277.4302438948537</v>
      </c>
      <c r="I32" s="17">
        <f>Forecast_3Stmt!I39</f>
        <v>299.6870345486824</v>
      </c>
      <c r="J32" s="17">
        <f>Forecast_3Stmt!J39</f>
        <v>310.71953656854856</v>
      </c>
      <c r="K32" s="17">
        <f>Forecast_3Stmt!K39</f>
        <v>303.6009478095584</v>
      </c>
      <c r="L32" s="17">
        <f>Forecast_3Stmt!L39</f>
        <v>319.3735640957516</v>
      </c>
      <c r="M32" s="1"/>
      <c r="N32" s="1"/>
    </row>
    <row r="33">
      <c r="A33" s="12" t="s">
        <v>786</v>
      </c>
      <c r="B33" s="1"/>
      <c r="C33" s="57">
        <f>Cap_Table!B38</f>
        <v>126.80099999999993</v>
      </c>
      <c r="D33" s="5">
        <f>C35</f>
        <v>105.0138865979381</v>
      </c>
      <c r="E33" s="5">
        <f>D35</f>
        <v>61.439659793814414</v>
      </c>
      <c r="F33" s="5">
        <f>E35</f>
        <v>17.86543298969073</v>
      </c>
      <c r="G33" s="5">
        <f>F35</f>
        <v>0</v>
      </c>
      <c r="H33" s="5">
        <f>G35</f>
        <v>0</v>
      </c>
      <c r="I33" s="5">
        <f>H35</f>
        <v>0</v>
      </c>
      <c r="J33" s="5">
        <f>I35</f>
        <v>0</v>
      </c>
      <c r="K33" s="5">
        <f>J35</f>
        <v>0</v>
      </c>
      <c r="L33" s="5">
        <f>K35</f>
        <v>0</v>
      </c>
      <c r="M33" s="1"/>
      <c r="N33" s="1"/>
    </row>
    <row r="34">
      <c r="A34" s="12" t="s">
        <v>787</v>
      </c>
      <c r="B34" s="1"/>
      <c r="C34" s="8">
        <f>MIN(C33,Cap_Table!$B$38/Cap_Table!$B$39*0.5,C32)</f>
        <v>21.78711340206184</v>
      </c>
      <c r="D34" s="5">
        <f>MIN(D33,Cap_Table!$B$38/Cap_Table!$B$39,D32)</f>
        <v>43.57422680412368</v>
      </c>
      <c r="E34" s="5">
        <f>MIN(E33,Cap_Table!$B$38/Cap_Table!$B$39,E32)</f>
        <v>43.57422680412368</v>
      </c>
      <c r="F34" s="5">
        <f>MIN(F33,Cap_Table!$B$38/Cap_Table!$B$39,F32)</f>
        <v>17.86543298969073</v>
      </c>
      <c r="G34" s="5">
        <f>MIN(G33,Cap_Table!$B$38/Cap_Table!$B$39,G32)</f>
        <v>0</v>
      </c>
      <c r="H34" s="5">
        <f>MIN(H33,Cap_Table!$B$38/Cap_Table!$B$39,H32)</f>
        <v>0</v>
      </c>
      <c r="I34" s="5">
        <f>MIN(I33,Cap_Table!$B$38/Cap_Table!$B$39,I32)</f>
        <v>0</v>
      </c>
      <c r="J34" s="5">
        <f>MIN(J33,Cap_Table!$B$38/Cap_Table!$B$39,J32)</f>
        <v>0</v>
      </c>
      <c r="K34" s="5">
        <f>MIN(K33,Cap_Table!$B$38/Cap_Table!$B$39,K32)</f>
        <v>0</v>
      </c>
      <c r="L34" s="5">
        <f>MIN(L33,Cap_Table!$B$38/Cap_Table!$B$39,L32)</f>
        <v>0</v>
      </c>
      <c r="M34" s="1"/>
      <c r="N34" s="1"/>
    </row>
    <row r="35">
      <c r="A35" s="12" t="s">
        <v>788</v>
      </c>
      <c r="B35" s="1"/>
      <c r="C35" s="8">
        <f>C33-C34</f>
        <v>105.0138865979381</v>
      </c>
      <c r="D35" s="5">
        <f>D33-D34</f>
        <v>61.439659793814414</v>
      </c>
      <c r="E35" s="5">
        <f>E33-E34</f>
        <v>17.86543298969073</v>
      </c>
      <c r="F35" s="5">
        <f>F33-F34</f>
        <v>0</v>
      </c>
      <c r="G35" s="5">
        <f>G33-G34</f>
        <v>0</v>
      </c>
      <c r="H35" s="5">
        <f>H33-H34</f>
        <v>0</v>
      </c>
      <c r="I35" s="5">
        <f>I33-I34</f>
        <v>0</v>
      </c>
      <c r="J35" s="5">
        <f>J33-J34</f>
        <v>0</v>
      </c>
      <c r="K35" s="5">
        <f>K33-K34</f>
        <v>0</v>
      </c>
      <c r="L35" s="5">
        <f>L33-L34</f>
        <v>0</v>
      </c>
      <c r="M35" s="1"/>
      <c r="N35" s="1"/>
    </row>
    <row r="36">
      <c r="A36" s="56" t="s">
        <v>789</v>
      </c>
      <c r="B36" s="34"/>
      <c r="C36" s="54">
        <f>C32-C34</f>
        <v>158.21288659793817</v>
      </c>
      <c r="D36" s="20">
        <f>D32-D34</f>
        <v>197.26076216501787</v>
      </c>
      <c r="E36" s="20">
        <f>E32-E34</f>
        <v>346.58560442759455</v>
      </c>
      <c r="F36" s="20">
        <f>F32-F34</f>
        <v>324.0906421391709</v>
      </c>
      <c r="G36" s="20">
        <f>G32-G34</f>
        <v>309.5993983746202</v>
      </c>
      <c r="H36" s="20">
        <f>H32-H34</f>
        <v>277.4302438948537</v>
      </c>
      <c r="I36" s="20">
        <f>I32-I34</f>
        <v>299.6870345486824</v>
      </c>
      <c r="J36" s="20">
        <f>J32-J34</f>
        <v>310.71953656854856</v>
      </c>
      <c r="K36" s="20">
        <f>K32-K34</f>
        <v>303.6009478095584</v>
      </c>
      <c r="L36" s="20">
        <f>L32-L34</f>
        <v>319.3735640957516</v>
      </c>
      <c r="M36" s="1"/>
      <c r="N36" s="1" t="s">
        <v>790</v>
      </c>
    </row>
    <row r="37">
      <c r="A37" s="1"/>
      <c r="B37" s="1"/>
      <c r="C37" s="59"/>
      <c r="D37" s="1"/>
      <c r="E37" s="1"/>
      <c r="F37" s="1"/>
      <c r="G37" s="1"/>
      <c r="H37" s="1"/>
      <c r="I37" s="1"/>
      <c r="J37" s="1"/>
      <c r="K37" s="1"/>
      <c r="L37" s="1"/>
      <c r="M37" s="1"/>
      <c r="N37" s="1"/>
    </row>
    <row r="38">
      <c r="A38" s="4" t="s">
        <v>791</v>
      </c>
      <c r="B38" s="1"/>
      <c r="C38" s="59"/>
      <c r="D38" s="1"/>
      <c r="E38" s="1"/>
      <c r="F38" s="1"/>
      <c r="G38" s="1"/>
      <c r="H38" s="1"/>
      <c r="I38" s="1"/>
      <c r="J38" s="1"/>
      <c r="K38" s="1"/>
      <c r="L38" s="1"/>
      <c r="M38" s="1"/>
      <c r="N38" s="1"/>
    </row>
    <row r="39">
      <c r="A39" s="12" t="s">
        <v>792</v>
      </c>
      <c r="B39" s="1"/>
      <c r="C39" s="57">
        <f>Interim_Bridge!C25</f>
        <v>-347.9147837885731</v>
      </c>
      <c r="D39" s="17">
        <f>Forecast_3Stmt!D28</f>
        <v>-287.82372988107215</v>
      </c>
      <c r="E39" s="17">
        <f>Forecast_3Stmt!E28</f>
        <v>448.3749453100918</v>
      </c>
      <c r="F39" s="17">
        <f>Forecast_3Stmt!F28</f>
        <v>758.0380355534519</v>
      </c>
      <c r="G39" s="17">
        <f>Forecast_3Stmt!G28</f>
        <v>993.0163735317378</v>
      </c>
      <c r="H39" s="17">
        <f>Forecast_3Stmt!H28</f>
        <v>1159.3890782139656</v>
      </c>
      <c r="I39" s="17">
        <f>Forecast_3Stmt!I28</f>
        <v>1436.8017160758054</v>
      </c>
      <c r="J39" s="17">
        <f>Forecast_3Stmt!J28</f>
        <v>1563.4346233818806</v>
      </c>
      <c r="K39" s="17">
        <f>Forecast_3Stmt!K28</f>
        <v>1564.6419369865816</v>
      </c>
      <c r="L39" s="17">
        <f>Forecast_3Stmt!L28</f>
        <v>1706.0591645647742</v>
      </c>
      <c r="M39" s="1"/>
      <c r="N39" s="1"/>
    </row>
    <row r="40">
      <c r="A40" s="12" t="s">
        <v>793</v>
      </c>
      <c r="B40" s="1"/>
      <c r="C40" s="8">
        <f>IF(C20&gt;0,C25*MAX(C39,0)/C20,C25)</f>
        <v>2</v>
      </c>
      <c r="D40" s="5">
        <f>IF(D20&gt;0,D25*MAX(D39,0)/D20,D25)</f>
        <v>4</v>
      </c>
      <c r="E40" s="5">
        <f>IF(E20&gt;0,E25*MAX(E39,0)/E20,E25)</f>
        <v>18.831747703023858</v>
      </c>
      <c r="F40" s="5">
        <f>IF(F20&gt;0,F25*MAX(F39,0)/F20,F25)</f>
        <v>42.66164687749926</v>
      </c>
      <c r="G40" s="5">
        <f>IF(G20&gt;0,G25*MAX(G39,0)/G20,G25)</f>
        <v>208.5334384416649</v>
      </c>
      <c r="H40" s="5">
        <f>IF(H20&gt;0,H25*MAX(H39,0)/H20,H25)</f>
        <v>243.47170642493273</v>
      </c>
      <c r="I40" s="5">
        <f>IF(I20&gt;0,I25*MAX(I39,0)/I20,I25)</f>
        <v>301.7283603759191</v>
      </c>
      <c r="J40" s="5">
        <f>IF(J20&gt;0,J25*MAX(J39,0)/J20,J25)</f>
        <v>328.3212709101949</v>
      </c>
      <c r="K40" s="5">
        <f>IF(K20&gt;0,K25*MAX(K39,0)/K20,K25)</f>
        <v>328.57480676718217</v>
      </c>
      <c r="L40" s="5">
        <f>IF(L20&gt;0,L25*MAX(L39,0)/L20,L25)</f>
        <v>358.27242455860255</v>
      </c>
      <c r="M40" s="1"/>
      <c r="N40" s="1" t="s">
        <v>794</v>
      </c>
    </row>
    <row r="41">
      <c r="A41" s="4" t="s">
        <v>795</v>
      </c>
      <c r="B41" s="34"/>
      <c r="C41" s="9">
        <f>C39-C40</f>
        <v>-349.9147837885731</v>
      </c>
      <c r="D41" s="22">
        <f>D39-D40</f>
        <v>-291.82372988107215</v>
      </c>
      <c r="E41" s="22">
        <f>E39-E40</f>
        <v>429.54319760706795</v>
      </c>
      <c r="F41" s="22">
        <f>F39-F40</f>
        <v>715.3763886759526</v>
      </c>
      <c r="G41" s="22">
        <f>G39-G40</f>
        <v>784.4829350900729</v>
      </c>
      <c r="H41" s="22">
        <f>H39-H40</f>
        <v>915.9173717890328</v>
      </c>
      <c r="I41" s="22">
        <f>I39-I40</f>
        <v>1135.0733556998862</v>
      </c>
      <c r="J41" s="22">
        <f>J39-J40</f>
        <v>1235.1133524716856</v>
      </c>
      <c r="K41" s="22">
        <f>K39-K40</f>
        <v>1236.0671302193996</v>
      </c>
      <c r="L41" s="22">
        <f>L39-L40</f>
        <v>1347.7867400061716</v>
      </c>
      <c r="M41" s="1"/>
      <c r="N41" s="1"/>
    </row>
    <row r="42">
      <c r="A42" s="12" t="s">
        <v>796</v>
      </c>
      <c r="B42" s="1"/>
      <c r="C42" s="8">
        <f>C10</f>
        <v>179.601</v>
      </c>
      <c r="D42" s="5">
        <f>D10</f>
        <v>604.811296145356</v>
      </c>
      <c r="E42" s="5">
        <f>E10</f>
        <v>926.6939619474716</v>
      </c>
      <c r="F42" s="5">
        <f>F10</f>
        <v>1184.6247127654908</v>
      </c>
      <c r="G42" s="5">
        <f>G10</f>
        <v>1225.2412474646167</v>
      </c>
      <c r="H42" s="5">
        <f>H10</f>
        <v>1181.8016191487652</v>
      </c>
      <c r="I42" s="5">
        <f>I10</f>
        <v>1137.829056142118</v>
      </c>
      <c r="J42" s="5">
        <f>J10</f>
        <v>1120.4493508532307</v>
      </c>
      <c r="K42" s="5">
        <f>K10</f>
        <v>1111.3155327711645</v>
      </c>
      <c r="L42" s="5">
        <f>L10</f>
        <v>1110.1583199528613</v>
      </c>
      <c r="M42" s="1"/>
      <c r="N42" s="1"/>
    </row>
    <row r="43">
      <c r="A43" s="12" t="s">
        <v>797</v>
      </c>
      <c r="B43" s="1"/>
      <c r="C43" s="57">
        <f>Backlog!C50</f>
        <v>46.58445947143285</v>
      </c>
      <c r="D43" s="17">
        <f>Backlog!D50</f>
        <v>186.3378378857314</v>
      </c>
      <c r="E43" s="17">
        <f>Backlog!E50</f>
        <v>460.5509061380293</v>
      </c>
      <c r="F43" s="17">
        <f>Backlog!F50</f>
        <v>455.2572175617301</v>
      </c>
      <c r="G43" s="17">
        <f>Backlog!G50</f>
        <v>338.796068883148</v>
      </c>
      <c r="H43" s="17">
        <f>Backlog!H50</f>
        <v>222.3349202045659</v>
      </c>
      <c r="I43" s="17">
        <f>Backlog!I50</f>
        <v>75.608375312925</v>
      </c>
      <c r="J43" s="17">
        <f>Backlog!J50</f>
        <v>63.00697942743751</v>
      </c>
      <c r="K43" s="17">
        <f>Backlog!K50</f>
        <v>0</v>
      </c>
      <c r="L43" s="17">
        <f>Backlog!L50</f>
        <v>0</v>
      </c>
      <c r="M43" s="1"/>
      <c r="N43" s="1"/>
    </row>
    <row r="44">
      <c r="A44" s="12" t="s">
        <v>798</v>
      </c>
      <c r="B44" s="1"/>
      <c r="C44" s="8">
        <f>C34</f>
        <v>21.78711340206184</v>
      </c>
      <c r="D44" s="5">
        <f>D34</f>
        <v>43.57422680412368</v>
      </c>
      <c r="E44" s="5">
        <f>E34</f>
        <v>43.57422680412368</v>
      </c>
      <c r="F44" s="5">
        <f>F34</f>
        <v>17.86543298969073</v>
      </c>
      <c r="G44" s="5">
        <f>G34</f>
        <v>0</v>
      </c>
      <c r="H44" s="5">
        <f>H34</f>
        <v>0</v>
      </c>
      <c r="I44" s="5">
        <f>I34</f>
        <v>0</v>
      </c>
      <c r="J44" s="5">
        <f>J34</f>
        <v>0</v>
      </c>
      <c r="K44" s="5">
        <f>K34</f>
        <v>0</v>
      </c>
      <c r="L44" s="5">
        <f>L34</f>
        <v>0</v>
      </c>
      <c r="M44" s="1"/>
      <c r="N44" s="1"/>
    </row>
    <row r="45">
      <c r="A45" s="12" t="s">
        <v>799</v>
      </c>
      <c r="B45" s="1"/>
      <c r="C45" s="8">
        <f>-C7</f>
        <v>-900</v>
      </c>
      <c r="D45" s="5">
        <f>-D7</f>
        <v>-1424.076369162848</v>
      </c>
      <c r="E45" s="5">
        <f>-E7</f>
        <v>-2360.6075495447885</v>
      </c>
      <c r="F45" s="5">
        <f>-F7</f>
        <v>-1556.2263808943076</v>
      </c>
      <c r="G45" s="5">
        <f>-G7</f>
        <v>-1137.9553222296809</v>
      </c>
      <c r="H45" s="5">
        <f>-H7</f>
        <v>-965.0101461727411</v>
      </c>
      <c r="I45" s="5">
        <f>-I7</f>
        <v>-1046.81258807161</v>
      </c>
      <c r="J45" s="5">
        <f>-J7</f>
        <v>-1089.80788190153</v>
      </c>
      <c r="K45" s="5">
        <f>-K7</f>
        <v>-1078.0202751484007</v>
      </c>
      <c r="L45" s="5">
        <f>-L7</f>
        <v>-1135.3530878475021</v>
      </c>
      <c r="M45" s="1"/>
      <c r="N45" s="1"/>
    </row>
    <row r="46">
      <c r="A46" s="12" t="s">
        <v>800</v>
      </c>
      <c r="B46" s="1"/>
      <c r="C46" s="8">
        <f>C29</f>
        <v>-22.126512394008515</v>
      </c>
      <c r="D46" s="5">
        <f>D29</f>
        <v>-70.8161634677171</v>
      </c>
      <c r="E46" s="5">
        <f>E29</f>
        <v>-200.1340703536921</v>
      </c>
      <c r="F46" s="5">
        <f>F29</f>
        <v>-70.89313452672218</v>
      </c>
      <c r="G46" s="5">
        <f>G29</f>
        <v>-36.42961991372306</v>
      </c>
      <c r="H46" s="5">
        <f>H29</f>
        <v>-12.155453757673286</v>
      </c>
      <c r="I46" s="5">
        <f>I29</f>
        <v>-38.35072083437865</v>
      </c>
      <c r="J46" s="5">
        <f>J29</f>
        <v>-21.77858081526381</v>
      </c>
      <c r="K46" s="5">
        <f>K29</f>
        <v>-0.5661099473325066</v>
      </c>
      <c r="L46" s="5">
        <f>L29</f>
        <v>-27.478371044242294</v>
      </c>
      <c r="M46" s="1"/>
      <c r="N46" s="1"/>
    </row>
    <row r="47">
      <c r="A47" s="77" t="s">
        <v>801</v>
      </c>
      <c r="B47" s="34"/>
      <c r="C47" s="84">
        <f>C41+C42+C43+C44+C45+C46</f>
        <v>-1024.068723309087</v>
      </c>
      <c r="D47" s="41">
        <f>D41+D42+D43+D44+D45+D46</f>
        <v>-951.9929016764263</v>
      </c>
      <c r="E47" s="41">
        <f>E41+E42+E43+E44+E45+E46</f>
        <v>-700.3793274017878</v>
      </c>
      <c r="F47" s="41">
        <f>F41+F42+F43+F44+F45+F46</f>
        <v>746.0042365718348</v>
      </c>
      <c r="G47" s="41">
        <f>G41+G42+G43+G44+G45+G46</f>
        <v>1174.1353092944337</v>
      </c>
      <c r="H47" s="41">
        <f>H41+H42+H43+H44+H45+H46</f>
        <v>1342.8883112119497</v>
      </c>
      <c r="I47" s="41">
        <f>I41+I42+I43+I44+I45+I46</f>
        <v>1263.3474782489402</v>
      </c>
      <c r="J47" s="41">
        <f>J41+J42+J43+J44+J45+J46</f>
        <v>1306.9832200355604</v>
      </c>
      <c r="K47" s="41">
        <f>K41+K42+K43+K44+K45+K46</f>
        <v>1268.796277894831</v>
      </c>
      <c r="L47" s="41">
        <f>L41+L42+L43+L44+L45+L46</f>
        <v>1295.1136010672883</v>
      </c>
      <c r="M47" s="1"/>
      <c r="N47" s="1" t="s">
        <v>802</v>
      </c>
    </row>
    <row r="48">
      <c r="A48" s="86" t="s">
        <v>414</v>
      </c>
      <c r="B48" s="45"/>
      <c r="C48" s="37">
        <f>C47/Interim_Bridge!C13</f>
        <v>-1.2486274526038117</v>
      </c>
      <c r="D48" s="18">
        <f>D47/Forecast_3Stmt!D13</f>
        <v>-0.31623076223310936</v>
      </c>
      <c r="E48" s="18">
        <f>E47/Forecast_3Stmt!E13</f>
        <v>-0.1077065250706183</v>
      </c>
      <c r="F48" s="18">
        <f>F47/Forecast_3Stmt!F13</f>
        <v>0.10907895645525716</v>
      </c>
      <c r="G48" s="18">
        <f>G47/Forecast_3Stmt!G13</f>
        <v>0.17065953356381205</v>
      </c>
      <c r="H48" s="18">
        <f>H47/Forecast_3Stmt!H13</f>
        <v>0.19361815674586735</v>
      </c>
      <c r="I48" s="18">
        <f>I47/Forecast_3Stmt!I13</f>
        <v>0.16862224021823233</v>
      </c>
      <c r="J48" s="18">
        <f>J47/Forecast_3Stmt!J13</f>
        <v>0.16825246773592864</v>
      </c>
      <c r="K48" s="18">
        <f>K47/Forecast_3Stmt!K13</f>
        <v>0.16716631315534844</v>
      </c>
      <c r="L48" s="18">
        <f>L47/Forecast_3Stmt!L13</f>
        <v>0.1622067380228126</v>
      </c>
      <c r="M48" s="1"/>
      <c r="N48" s="1"/>
    </row>
    <row r="49">
      <c r="A49" s="1"/>
      <c r="B49" s="1"/>
      <c r="C49" s="59"/>
      <c r="D49" s="1"/>
      <c r="E49" s="1"/>
      <c r="F49" s="1"/>
      <c r="G49" s="1"/>
      <c r="H49" s="1"/>
      <c r="I49" s="1"/>
      <c r="J49" s="1"/>
      <c r="K49" s="1"/>
      <c r="L49" s="1"/>
      <c r="M49" s="1"/>
      <c r="N49" s="1"/>
    </row>
    <row r="50">
      <c r="A50" s="4" t="s">
        <v>803</v>
      </c>
      <c r="B50" s="1"/>
      <c r="C50" s="59"/>
      <c r="D50" s="1"/>
      <c r="E50" s="1"/>
      <c r="F50" s="1"/>
      <c r="G50" s="1"/>
      <c r="H50" s="1"/>
      <c r="I50" s="1"/>
      <c r="J50" s="1"/>
      <c r="K50" s="1"/>
      <c r="L50" s="1"/>
      <c r="M50" s="1"/>
      <c r="N50" s="1"/>
    </row>
    <row r="51">
      <c r="A51" s="12" t="s">
        <v>804</v>
      </c>
      <c r="B51" s="1"/>
      <c r="C51" s="25">
        <f>C25-Interim_Bridge!C30</f>
        <v>0</v>
      </c>
      <c r="D51" s="14">
        <f>D25-Forecast_3Stmt!D34</f>
        <v>0</v>
      </c>
      <c r="E51" s="14">
        <f>E25-Forecast_3Stmt!E34</f>
        <v>0</v>
      </c>
      <c r="F51" s="14">
        <f>F25-Forecast_3Stmt!F34</f>
        <v>0</v>
      </c>
      <c r="G51" s="14">
        <f>G25-Forecast_3Stmt!G34</f>
        <v>0</v>
      </c>
      <c r="H51" s="14">
        <f>H25-Forecast_3Stmt!H34</f>
        <v>0</v>
      </c>
      <c r="I51" s="14">
        <f>I25-Forecast_3Stmt!I34</f>
        <v>0</v>
      </c>
      <c r="J51" s="14">
        <f>J25-Forecast_3Stmt!J34</f>
        <v>0</v>
      </c>
      <c r="K51" s="14">
        <f>K25-Forecast_3Stmt!K34</f>
        <v>0</v>
      </c>
      <c r="L51" s="14">
        <f>L25-Forecast_3Stmt!L34</f>
        <v>0</v>
      </c>
      <c r="M51" s="1"/>
      <c r="N51" s="1"/>
    </row>
    <row r="52">
      <c r="A52" s="12" t="s">
        <v>805</v>
      </c>
      <c r="B52" s="1"/>
      <c r="C52" s="25">
        <f>C29-Interim_Bridge!C47</f>
        <v>0</v>
      </c>
      <c r="D52" s="14">
        <f>D29-Forecast_3Stmt!D77</f>
        <v>0</v>
      </c>
      <c r="E52" s="14">
        <f>E29-Forecast_3Stmt!E77</f>
        <v>0</v>
      </c>
      <c r="F52" s="14">
        <f>F29-Forecast_3Stmt!F77</f>
        <v>0</v>
      </c>
      <c r="G52" s="14">
        <f>G29-Forecast_3Stmt!G77</f>
        <v>0</v>
      </c>
      <c r="H52" s="14">
        <f>H29-Forecast_3Stmt!H77</f>
        <v>0</v>
      </c>
      <c r="I52" s="14">
        <f>I29-Forecast_3Stmt!I77</f>
        <v>0</v>
      </c>
      <c r="J52" s="14">
        <f>J29-Forecast_3Stmt!J77</f>
        <v>0</v>
      </c>
      <c r="K52" s="14">
        <f>K29-Forecast_3Stmt!K77</f>
        <v>-0.00000000000007105427357601002</v>
      </c>
      <c r="L52" s="14">
        <f>L29-Forecast_3Stmt!L77</f>
        <v>0</v>
      </c>
      <c r="M52" s="1"/>
      <c r="N52" s="1"/>
    </row>
    <row r="53">
      <c r="A53" s="12" t="s">
        <v>806</v>
      </c>
      <c r="B53" s="1"/>
      <c r="C53" s="25">
        <f>C11-Interim_Bridge!D64</f>
        <v>0</v>
      </c>
      <c r="D53" s="14">
        <f>D11-Forecast_3Stmt!D54</f>
        <v>0</v>
      </c>
      <c r="E53" s="14">
        <f>E11-Forecast_3Stmt!E54</f>
        <v>0</v>
      </c>
      <c r="F53" s="14">
        <f>F11-Forecast_3Stmt!F54</f>
        <v>0</v>
      </c>
      <c r="G53" s="14">
        <f>G11-Forecast_3Stmt!G54</f>
        <v>0</v>
      </c>
      <c r="H53" s="14">
        <f>H11-Forecast_3Stmt!H54</f>
        <v>0</v>
      </c>
      <c r="I53" s="14">
        <f>I11-Forecast_3Stmt!I54</f>
        <v>0</v>
      </c>
      <c r="J53" s="14">
        <f>J11-Forecast_3Stmt!J54</f>
        <v>0</v>
      </c>
      <c r="K53" s="14">
        <f>K11-Forecast_3Stmt!K54</f>
        <v>0</v>
      </c>
      <c r="L53" s="14">
        <f>L11-Forecast_3Stmt!L54</f>
        <v>0</v>
      </c>
      <c r="M53" s="1"/>
      <c r="N53" s="1"/>
    </row>
    <row r="54">
      <c r="A54" s="12" t="s">
        <v>807</v>
      </c>
      <c r="B54" s="1"/>
      <c r="C54" s="25">
        <f>C16-Interim_Bridge!D73</f>
        <v>0</v>
      </c>
      <c r="D54" s="14">
        <f>D16-Forecast_3Stmt!D63</f>
        <v>0</v>
      </c>
      <c r="E54" s="14">
        <f>E16-Forecast_3Stmt!E63</f>
        <v>0</v>
      </c>
      <c r="F54" s="14">
        <f>F16-Forecast_3Stmt!F63</f>
        <v>0</v>
      </c>
      <c r="G54" s="14">
        <f>G16-Forecast_3Stmt!G63</f>
        <v>0</v>
      </c>
      <c r="H54" s="14">
        <f>H16-Forecast_3Stmt!H63</f>
        <v>0</v>
      </c>
      <c r="I54" s="14">
        <f>I16-Forecast_3Stmt!I63</f>
        <v>0</v>
      </c>
      <c r="J54" s="14">
        <f>J16-Forecast_3Stmt!J63</f>
        <v>0</v>
      </c>
      <c r="K54" s="14">
        <f>K16-Forecast_3Stmt!K63</f>
        <v>0</v>
      </c>
      <c r="L54" s="14">
        <f>L16-Forecast_3Stmt!L63</f>
        <v>0</v>
      </c>
      <c r="M54" s="1"/>
      <c r="N54" s="1"/>
    </row>
    <row r="55">
      <c r="A55" s="12" t="s">
        <v>808</v>
      </c>
      <c r="B55" s="1"/>
      <c r="C55" s="25">
        <f>C10-Interim_Bridge!C34</f>
        <v>0</v>
      </c>
      <c r="D55" s="14">
        <f>D10-Forecast_3Stmt!D40</f>
        <v>0</v>
      </c>
      <c r="E55" s="14">
        <f>E10-Forecast_3Stmt!E40</f>
        <v>0</v>
      </c>
      <c r="F55" s="14">
        <f>F10-Forecast_3Stmt!F40</f>
        <v>0</v>
      </c>
      <c r="G55" s="14">
        <f>G10-Forecast_3Stmt!G40</f>
        <v>0</v>
      </c>
      <c r="H55" s="14">
        <f>H10-Forecast_3Stmt!H40</f>
        <v>0</v>
      </c>
      <c r="I55" s="14">
        <f>I10-Forecast_3Stmt!I40</f>
        <v>0</v>
      </c>
      <c r="J55" s="14">
        <f>J10-Forecast_3Stmt!J40</f>
        <v>0</v>
      </c>
      <c r="K55" s="14">
        <f>K10-Forecast_3Stmt!K40</f>
        <v>0</v>
      </c>
      <c r="L55" s="14">
        <f>L10-Forecast_3Stmt!L40</f>
        <v>0</v>
      </c>
      <c r="M55" s="1"/>
      <c r="N55" s="1"/>
    </row>
  </sheetData>
</worksheet>
</file>

<file path=xl/worksheets/sheet14.xml><?xml version="1.0" encoding="utf-8"?>
<worksheet xmlns="http://schemas.openxmlformats.org/spreadsheetml/2006/main" xmlns:r="http://schemas.openxmlformats.org/officeDocument/2006/relationships">
  <sheetPr>
    <tabColor rgb="FF5A2331"/>
  </sheetPr>
  <dimension ref="A1:N92"/>
  <sheetViews>
    <sheetView showGridLines="0" workbookViewId="0"/>
  </sheetViews>
  <sheetFormatPr defaultColWidth="8.375" defaultRowHeight="15"/>
  <cols>
    <col min="1" max="1" width="92.70703125" customWidth="1"/>
    <col min="2" max="12" width="11.70703125" customWidth="1"/>
    <col min="13" max="13" width="17.70703125" customWidth="1"/>
    <col min="14" max="14" width="86.0390625" customWidth="1"/>
  </cols>
  <sheetData>
    <row r="1">
      <c r="A1" s="21" t="s">
        <v>809</v>
      </c>
      <c r="B1" s="1"/>
      <c r="C1" s="1"/>
      <c r="D1" s="1"/>
      <c r="E1" s="1"/>
      <c r="F1" s="1"/>
      <c r="G1" s="1"/>
      <c r="H1" s="1"/>
      <c r="I1" s="1"/>
      <c r="J1" s="1"/>
      <c r="K1" s="1"/>
      <c r="L1" s="1"/>
      <c r="M1" s="1"/>
      <c r="N1" s="1"/>
    </row>
    <row r="2">
      <c r="A2" s="1" t="s">
        <v>810</v>
      </c>
      <c r="B2" s="1"/>
      <c r="C2" s="1"/>
      <c r="D2" s="1"/>
      <c r="E2" s="1"/>
      <c r="F2" s="1"/>
      <c r="G2" s="1"/>
      <c r="H2" s="1"/>
      <c r="I2" s="1"/>
      <c r="J2" s="1"/>
      <c r="K2" s="1"/>
      <c r="L2" s="1"/>
      <c r="M2" s="1"/>
      <c r="N2" s="1"/>
    </row>
    <row r="3">
      <c r="A3" s="1"/>
      <c r="B3" s="1" t="s">
        <v>451</v>
      </c>
      <c r="C3" s="59" t="s">
        <v>452</v>
      </c>
      <c r="D3" s="1"/>
      <c r="E3" s="1"/>
      <c r="F3" s="1"/>
      <c r="G3" s="1"/>
      <c r="H3" s="1"/>
      <c r="I3" s="1"/>
      <c r="J3" s="1"/>
      <c r="K3" s="1"/>
      <c r="L3" s="1"/>
      <c r="M3" s="1"/>
      <c r="N3" s="1"/>
    </row>
    <row r="4">
      <c r="A4" s="3" t="s">
        <v>81</v>
      </c>
      <c r="B4" s="24" t="s">
        <v>613</v>
      </c>
      <c r="C4" s="102" t="s">
        <v>614</v>
      </c>
      <c r="D4" s="33" t="s">
        <v>455</v>
      </c>
      <c r="E4" s="33" t="s">
        <v>456</v>
      </c>
      <c r="F4" s="33" t="s">
        <v>457</v>
      </c>
      <c r="G4" s="33" t="s">
        <v>458</v>
      </c>
      <c r="H4" s="33" t="s">
        <v>459</v>
      </c>
      <c r="I4" s="33" t="s">
        <v>460</v>
      </c>
      <c r="J4" s="33" t="s">
        <v>461</v>
      </c>
      <c r="K4" s="33" t="s">
        <v>462</v>
      </c>
      <c r="L4" s="33" t="s">
        <v>463</v>
      </c>
      <c r="M4" s="6" t="s">
        <v>86</v>
      </c>
      <c r="N4" s="6" t="s">
        <v>87</v>
      </c>
    </row>
    <row r="5">
      <c r="A5" s="1"/>
      <c r="B5" s="1"/>
      <c r="C5" s="59"/>
      <c r="D5" s="1"/>
      <c r="E5" s="1"/>
      <c r="F5" s="1"/>
      <c r="G5" s="1"/>
      <c r="H5" s="1"/>
      <c r="I5" s="1"/>
      <c r="J5" s="1"/>
      <c r="K5" s="1"/>
      <c r="L5" s="1"/>
      <c r="M5" s="1"/>
      <c r="N5" s="1"/>
    </row>
    <row r="6">
      <c r="A6" s="4" t="s">
        <v>714</v>
      </c>
      <c r="B6" s="1"/>
      <c r="C6" s="59"/>
      <c r="D6" s="1"/>
      <c r="E6" s="1"/>
      <c r="F6" s="1"/>
      <c r="G6" s="1"/>
      <c r="H6" s="1"/>
      <c r="I6" s="1"/>
      <c r="J6" s="1"/>
      <c r="K6" s="1"/>
      <c r="L6" s="1"/>
      <c r="M6" s="1"/>
      <c r="N6" s="1"/>
    </row>
    <row r="7">
      <c r="A7" s="12" t="s">
        <v>89</v>
      </c>
      <c r="B7" s="17">
        <f>N(IS_Hist!C7)</f>
        <v>358.44</v>
      </c>
      <c r="C7" s="57">
        <f>Interim_Bridge!D7</f>
        <v>294.712</v>
      </c>
      <c r="D7" s="5">
        <f>C7*(1+Assumptions!D53)</f>
        <v>309.4476</v>
      </c>
      <c r="E7" s="5">
        <f>D7*(1+Assumptions!E53)</f>
        <v>324.91998</v>
      </c>
      <c r="F7" s="5">
        <f>E7*(1+Assumptions!F53)</f>
        <v>341.16597900000005</v>
      </c>
      <c r="G7" s="5">
        <f>F7*(1+Assumptions!G53)</f>
        <v>354.81261816000006</v>
      </c>
      <c r="H7" s="5">
        <f>G7*(1+Assumptions!H53)</f>
        <v>369.00512288640004</v>
      </c>
      <c r="I7" s="5">
        <f>H7*(1+Assumptions!I53)</f>
        <v>380.07527657299204</v>
      </c>
      <c r="J7" s="5">
        <f>I7*(1+Assumptions!J53)</f>
        <v>391.4775348701818</v>
      </c>
      <c r="K7" s="5">
        <f>J7*(1+Assumptions!K53)</f>
        <v>403.22186091628726</v>
      </c>
      <c r="L7" s="5">
        <f>K7*(1+Assumptions!L53)</f>
        <v>415.3185167437759</v>
      </c>
      <c r="M7" s="1"/>
      <c r="N7" s="1"/>
    </row>
    <row r="8">
      <c r="A8" s="12" t="s">
        <v>811</v>
      </c>
      <c r="B8" s="15">
        <v>0</v>
      </c>
      <c r="C8" s="57">
        <f>Interim_Bridge!D8</f>
        <v>586.6155405285672</v>
      </c>
      <c r="D8" s="17">
        <f>Backlog!D23</f>
        <v>2048.862162114269</v>
      </c>
      <c r="E8" s="17">
        <f>Backlog!E23</f>
        <v>5063.949093861971</v>
      </c>
      <c r="F8" s="17">
        <f>Backlog!F23</f>
        <v>5005.74278243827</v>
      </c>
      <c r="G8" s="17">
        <f>Backlog!G23</f>
        <v>3725.203931116852</v>
      </c>
      <c r="H8" s="17">
        <f>Backlog!H23</f>
        <v>2444.6650797954344</v>
      </c>
      <c r="I8" s="17">
        <f>Backlog!I23</f>
        <v>2591.3916246870754</v>
      </c>
      <c r="J8" s="17">
        <f>Backlog!J23</f>
        <v>2159.4930205725623</v>
      </c>
      <c r="K8" s="17">
        <f>Backlog!K23</f>
        <v>0</v>
      </c>
      <c r="L8" s="17">
        <f>Backlog!L23</f>
        <v>0</v>
      </c>
      <c r="M8" s="1"/>
      <c r="N8" s="1"/>
    </row>
    <row r="9">
      <c r="A9" s="12" t="s">
        <v>716</v>
      </c>
      <c r="B9" s="15">
        <v>0</v>
      </c>
      <c r="C9" s="57">
        <f>Interim_Bridge!D9</f>
        <v>0</v>
      </c>
      <c r="D9" s="17">
        <f>Backlog!D26</f>
        <v>0</v>
      </c>
      <c r="E9" s="17">
        <f>Backlog!E26</f>
        <v>0</v>
      </c>
      <c r="F9" s="17">
        <f>Backlog!F26</f>
        <v>46.5650491389606</v>
      </c>
      <c r="G9" s="17">
        <f>Backlog!G26</f>
        <v>1072.3930816702643</v>
      </c>
      <c r="H9" s="17">
        <f>Backlog!H26</f>
        <v>2128.9959551775064</v>
      </c>
      <c r="I9" s="17">
        <f>Backlog!I26</f>
        <v>2192.865833832832</v>
      </c>
      <c r="J9" s="17">
        <f>Backlog!J26</f>
        <v>2604.1706921394275</v>
      </c>
      <c r="K9" s="17">
        <f>Backlog!K26</f>
        <v>4409.89022936166</v>
      </c>
      <c r="L9" s="17">
        <f>Backlog!L26</f>
        <v>4542.1869362425105</v>
      </c>
      <c r="M9" s="1"/>
      <c r="N9" s="1"/>
    </row>
    <row r="10">
      <c r="A10" s="12" t="s">
        <v>717</v>
      </c>
      <c r="B10" s="15">
        <v>0</v>
      </c>
      <c r="C10" s="57">
        <f>Interim_Bridge!D10</f>
        <v>0</v>
      </c>
      <c r="D10" s="17">
        <f>Backlog!D30</f>
        <v>0</v>
      </c>
      <c r="E10" s="17">
        <f>Backlog!E30</f>
        <v>0</v>
      </c>
      <c r="F10" s="17">
        <f>Backlog!F30</f>
        <v>0</v>
      </c>
      <c r="G10" s="17">
        <f>Backlog!G30</f>
        <v>0</v>
      </c>
      <c r="H10" s="17">
        <f>Backlog!H30</f>
        <v>0</v>
      </c>
      <c r="I10" s="17">
        <f>Backlog!I30</f>
        <v>0</v>
      </c>
      <c r="J10" s="17">
        <f>Backlog!J30</f>
        <v>0</v>
      </c>
      <c r="K10" s="17">
        <f>Backlog!K30</f>
        <v>0</v>
      </c>
      <c r="L10" s="17">
        <f>Backlog!L30</f>
        <v>0</v>
      </c>
      <c r="M10" s="1"/>
      <c r="N10" s="1"/>
    </row>
    <row r="11">
      <c r="A11" s="12" t="s">
        <v>718</v>
      </c>
      <c r="B11" s="17">
        <f>N(IS_Hist!C8)</f>
        <v>151.551</v>
      </c>
      <c r="C11" s="57">
        <f>Interim_Bridge!D11</f>
        <v>284.404</v>
      </c>
      <c r="D11" s="5">
        <f>C11*(1+Assumptions!D58+Assumptions!$C$41)</f>
        <v>540.3675999999999</v>
      </c>
      <c r="E11" s="5">
        <f>D11*(1+Assumptions!E58+Assumptions!$C$41)</f>
        <v>837.5697799999999</v>
      </c>
      <c r="F11" s="5">
        <f>E11*(1+Assumptions!F58+Assumptions!$C$41)</f>
        <v>1172.5976919999998</v>
      </c>
      <c r="G11" s="5">
        <f>F11*(1+Assumptions!G58+Assumptions!$C$41)</f>
        <v>1524.3769995999999</v>
      </c>
      <c r="H11" s="5">
        <f>G11*(1+Assumptions!H58+Assumptions!$C$41)</f>
        <v>1859.7399395119999</v>
      </c>
      <c r="I11" s="5">
        <f>H11*(1+Assumptions!I58+Assumptions!$C$41)</f>
        <v>2194.49312862416</v>
      </c>
      <c r="J11" s="5">
        <f>I11*(1+Assumptions!J58+Assumptions!$C$41)</f>
        <v>2501.7221666315427</v>
      </c>
      <c r="K11" s="5">
        <f>J11*(1+Assumptions!K58+Assumptions!$C$41)</f>
        <v>2776.9116049610125</v>
      </c>
      <c r="L11" s="5">
        <f>K11*(1+Assumptions!L58+Assumptions!$C$41)</f>
        <v>3026.833649407504</v>
      </c>
      <c r="M11" s="1"/>
      <c r="N11" s="1"/>
    </row>
    <row r="12">
      <c r="A12" s="12" t="s">
        <v>719</v>
      </c>
      <c r="B12" s="15">
        <v>0</v>
      </c>
      <c r="C12" s="57">
        <f>Interim_Bridge!D12</f>
        <v>27.940000000000005</v>
      </c>
      <c r="D12" s="17">
        <f>Backlog!D31</f>
        <v>111.76000000000002</v>
      </c>
      <c r="E12" s="17">
        <f>Backlog!E31</f>
        <v>276.225</v>
      </c>
      <c r="F12" s="17">
        <f>Backlog!F31</f>
        <v>273.05</v>
      </c>
      <c r="G12" s="17">
        <f>Backlog!G31</f>
        <v>203.20000000000002</v>
      </c>
      <c r="H12" s="17">
        <f>Backlog!H31</f>
        <v>133.35000000000002</v>
      </c>
      <c r="I12" s="17">
        <f>Backlog!I31</f>
        <v>133.35000000000002</v>
      </c>
      <c r="J12" s="17">
        <f>Backlog!J31</f>
        <v>111.125</v>
      </c>
      <c r="K12" s="17">
        <f>Backlog!K31</f>
        <v>0</v>
      </c>
      <c r="L12" s="17">
        <f>Backlog!L31</f>
        <v>0</v>
      </c>
      <c r="M12" s="1"/>
      <c r="N12" s="1"/>
    </row>
    <row r="13">
      <c r="A13" s="4" t="s">
        <v>92</v>
      </c>
      <c r="B13" s="22">
        <f>B7+B8+B9+B10+B11+B12</f>
        <v>509.991</v>
      </c>
      <c r="C13" s="9">
        <f>C7+C8+C9+C10+C11+C12</f>
        <v>1193.6715405285672</v>
      </c>
      <c r="D13" s="22">
        <f>D7+D8+D9+D10+D11+D12</f>
        <v>3010.437362114269</v>
      </c>
      <c r="E13" s="22">
        <f>E7+E8+E9+E10+E11+E12</f>
        <v>6502.663853861971</v>
      </c>
      <c r="F13" s="22">
        <f>F7+F8+F9+F10+F11+F12</f>
        <v>6839.121502577232</v>
      </c>
      <c r="G13" s="22">
        <f>G7+G8+G9+G10+G11+G12</f>
        <v>6879.986630547116</v>
      </c>
      <c r="H13" s="22">
        <f>H7+H8+H9+H10+H11+H12</f>
        <v>6935.756097371342</v>
      </c>
      <c r="I13" s="22">
        <f>I7+I8+I9+I10+I11+I12</f>
        <v>7492.17586371706</v>
      </c>
      <c r="J13" s="22">
        <f>J7+J8+J9+J10+J11+J12</f>
        <v>7767.988414213714</v>
      </c>
      <c r="K13" s="22">
        <f>K7+K8+K9+K10+K11+K12</f>
        <v>7590.0236952389605</v>
      </c>
      <c r="L13" s="22">
        <f>L7+L8+L9+L10+L11+L12</f>
        <v>7984.33910239379</v>
      </c>
      <c r="M13" s="1"/>
      <c r="N13" s="1"/>
    </row>
    <row r="14">
      <c r="A14" s="86" t="s">
        <v>812</v>
      </c>
      <c r="B14" s="18"/>
      <c r="C14" s="37">
        <f>C13/B13-1</f>
        <v>1.340573736651367</v>
      </c>
      <c r="D14" s="18">
        <f>D13/C13-1</f>
        <v>1.521998104085839</v>
      </c>
      <c r="E14" s="18">
        <f>E13/D13-1</f>
        <v>1.1600395795297551</v>
      </c>
      <c r="F14" s="18">
        <f>F13/E13-1</f>
        <v>0.05174151029126883</v>
      </c>
      <c r="G14" s="18">
        <f>G13/F13-1</f>
        <v>0.005975201340477021</v>
      </c>
      <c r="H14" s="18">
        <f>H13/G13-1</f>
        <v>0.008106042906625532</v>
      </c>
      <c r="I14" s="18">
        <f>I13/H13-1</f>
        <v>0.08022481738603826</v>
      </c>
      <c r="J14" s="18">
        <f>J13/I13-1</f>
        <v>0.03681341115234016</v>
      </c>
      <c r="K14" s="18">
        <f>K13/J13-1</f>
        <v>-0.022910013440431642</v>
      </c>
      <c r="L14" s="18">
        <f>L13/K13-1</f>
        <v>0.051951801863566516</v>
      </c>
      <c r="M14" s="1"/>
      <c r="N14" s="1"/>
    </row>
    <row r="15">
      <c r="A15" s="79" t="s">
        <v>813</v>
      </c>
      <c r="B15" s="5">
        <f>B8+B9+B10+B11</f>
        <v>151.551</v>
      </c>
      <c r="C15" s="8">
        <f>C8+C9+C10+C11</f>
        <v>871.0195405285672</v>
      </c>
      <c r="D15" s="5">
        <f>D8+D9+D10+D11</f>
        <v>2589.229762114269</v>
      </c>
      <c r="E15" s="5">
        <f>E8+E9+E10+E11</f>
        <v>5901.518873861971</v>
      </c>
      <c r="F15" s="5">
        <f>F8+F9+F10+F11</f>
        <v>6224.90552357723</v>
      </c>
      <c r="G15" s="5">
        <f>G8+G9+G10+G11</f>
        <v>6321.974012387116</v>
      </c>
      <c r="H15" s="5">
        <f>H8+H9+H10+H11</f>
        <v>6433.400974484941</v>
      </c>
      <c r="I15" s="5">
        <f>I8+I9+I10+I11</f>
        <v>6978.750587144067</v>
      </c>
      <c r="J15" s="5">
        <f>J8+J9+J10+J11</f>
        <v>7265.385879343533</v>
      </c>
      <c r="K15" s="5">
        <f>K8+K9+K10+K11</f>
        <v>7186.801834322672</v>
      </c>
      <c r="L15" s="5">
        <f>L8+L9+L10+L11</f>
        <v>7569.020585650014</v>
      </c>
      <c r="M15" s="1"/>
      <c r="N15" s="1"/>
    </row>
    <row r="16">
      <c r="A16" s="12" t="s">
        <v>406</v>
      </c>
      <c r="B16" s="17">
        <f>N(Revenue_Hist!C44)</f>
        <v>297.394</v>
      </c>
      <c r="C16" s="57">
        <f>Interim_Bridge!D14</f>
        <v>725.5943243171403</v>
      </c>
      <c r="D16" s="5">
        <f>D7*(1-Assumptions!D63)+D15*(1-Assumptions!D68-Assumptions!$C$42)+D12</f>
        <v>1805.3707740262762</v>
      </c>
      <c r="E16" s="5">
        <f>E7*(1-Assumptions!E63)+E15*(1-Assumptions!E68-Assumptions!$C$42)+E12</f>
        <v>3664.495579485464</v>
      </c>
      <c r="F16" s="5">
        <f>F7*(1-Assumptions!F63)+F15*(1-Assumptions!F68-Assumptions!$C$42)+F12</f>
        <v>3597.025668768615</v>
      </c>
      <c r="G16" s="5">
        <f>G7*(1-Assumptions!G63)+G15*(1-Assumptions!G68-Assumptions!$C$42)+G12</f>
        <v>3457.7313492050157</v>
      </c>
      <c r="H16" s="5">
        <f>H7*(1-Assumptions!H63)+H15*(1-Assumptions!H68-Assumptions!$C$42)+H12</f>
        <v>3450.1656439423396</v>
      </c>
      <c r="I16" s="5">
        <f>I7*(1-Assumptions!I63)+I15*(1-Assumptions!I68-Assumptions!$C$42)+I12</f>
        <v>3718.796953304407</v>
      </c>
      <c r="J16" s="5">
        <f>J7*(1-Assumptions!J63)+J15*(1-Assumptions!J68-Assumptions!$C$42)+J12</f>
        <v>3841.2262937044084</v>
      </c>
      <c r="K16" s="5">
        <f>K7*(1-Assumptions!K63)+K15*(1-Assumptions!K68-Assumptions!$C$42)+K12</f>
        <v>3699.6624342429805</v>
      </c>
      <c r="L16" s="5">
        <f>L7*(1-Assumptions!L63)+L15*(1-Assumptions!L68-Assumptions!$C$42)+L12</f>
        <v>3890.627361493148</v>
      </c>
      <c r="M16" s="1"/>
      <c r="N16" s="1" t="s">
        <v>814</v>
      </c>
    </row>
    <row r="17">
      <c r="A17" s="12" t="s">
        <v>720</v>
      </c>
      <c r="B17" s="17">
        <f>N(Revenue_Hist!C28)</f>
        <v>12.699</v>
      </c>
      <c r="C17" s="57">
        <f>Interim_Bridge!D15</f>
        <v>172.0338</v>
      </c>
      <c r="D17" s="5">
        <f>D40*Assumptions!$C$28</f>
        <v>483.84903691628483</v>
      </c>
      <c r="E17" s="5">
        <f>E40*Assumptions!$C$28</f>
        <v>741.3551695579773</v>
      </c>
      <c r="F17" s="5">
        <f>F40*Assumptions!$C$28</f>
        <v>947.6997702123927</v>
      </c>
      <c r="G17" s="5">
        <f>G40*Assumptions!$C$28</f>
        <v>980.1929979716933</v>
      </c>
      <c r="H17" s="5">
        <f>H40*Assumptions!$C$28</f>
        <v>945.4412953190122</v>
      </c>
      <c r="I17" s="5">
        <f>I40*Assumptions!$C$28</f>
        <v>910.2632449136944</v>
      </c>
      <c r="J17" s="5">
        <f>J40*Assumptions!$C$28</f>
        <v>896.3594806825846</v>
      </c>
      <c r="K17" s="5">
        <f>K40*Assumptions!$C$28</f>
        <v>889.0524262169316</v>
      </c>
      <c r="L17" s="5">
        <f>L40*Assumptions!$C$28</f>
        <v>888.1266559622891</v>
      </c>
      <c r="M17" s="1"/>
      <c r="N17" s="1"/>
    </row>
    <row r="18">
      <c r="A18" s="12" t="s">
        <v>322</v>
      </c>
      <c r="B18" s="17">
        <f>N(Revenue_Hist!C35)</f>
        <v>0.827</v>
      </c>
      <c r="C18" s="57">
        <f>Interim_Bridge!D16</f>
        <v>23.503</v>
      </c>
      <c r="D18" s="5">
        <f>D39*Assumptions!$C$29</f>
        <v>9.633399558765662</v>
      </c>
      <c r="E18" s="5">
        <f>E39*Assumptions!$C$29</f>
        <v>15.606393249268729</v>
      </c>
      <c r="F18" s="5">
        <f>F39*Assumptions!$C$29</f>
        <v>13.678243005154464</v>
      </c>
      <c r="G18" s="5">
        <f>G39*Assumptions!$C$29</f>
        <v>12.383975934984807</v>
      </c>
      <c r="H18" s="5">
        <f>H39*Assumptions!$C$29</f>
        <v>11.097209755794147</v>
      </c>
      <c r="I18" s="5">
        <f>I39*Assumptions!$C$29</f>
        <v>11.987481381947296</v>
      </c>
      <c r="J18" s="5">
        <f>J39*Assumptions!$C$29</f>
        <v>12.428781462741943</v>
      </c>
      <c r="K18" s="5">
        <f>K39*Assumptions!$C$29</f>
        <v>12.144037912382338</v>
      </c>
      <c r="L18" s="5">
        <f>L39*Assumptions!$C$29</f>
        <v>12.774942563830065</v>
      </c>
      <c r="M18" s="1"/>
      <c r="N18" s="1"/>
    </row>
    <row r="19">
      <c r="A19" s="4" t="s">
        <v>94</v>
      </c>
      <c r="B19" s="22">
        <f>B16+B17+B18</f>
        <v>310.92</v>
      </c>
      <c r="C19" s="9">
        <f>C16+C17+C18</f>
        <v>921.1311243171403</v>
      </c>
      <c r="D19" s="22">
        <f>D16+D17+D18</f>
        <v>2298.8532105013264</v>
      </c>
      <c r="E19" s="22">
        <f>E16+E17+E18</f>
        <v>4421.45714229271</v>
      </c>
      <c r="F19" s="22">
        <f>F16+F17+F18</f>
        <v>4558.403681986162</v>
      </c>
      <c r="G19" s="22">
        <f>G16+G17+G18</f>
        <v>4450.308323111694</v>
      </c>
      <c r="H19" s="22">
        <f>H16+H17+H18</f>
        <v>4406.704149017146</v>
      </c>
      <c r="I19" s="22">
        <f>I16+I17+I18</f>
        <v>4641.0476796000485</v>
      </c>
      <c r="J19" s="22">
        <f>J16+J17+J18</f>
        <v>4750.014555849735</v>
      </c>
      <c r="K19" s="22">
        <f>K16+K17+K18</f>
        <v>4600.858898372295</v>
      </c>
      <c r="L19" s="22">
        <f>L16+L17+L18</f>
        <v>4791.528960019267</v>
      </c>
      <c r="M19" s="1"/>
      <c r="N19" s="1"/>
    </row>
    <row r="20">
      <c r="A20" s="4" t="s">
        <v>95</v>
      </c>
      <c r="B20" s="22">
        <f>B13-B19</f>
        <v>199.07099999999997</v>
      </c>
      <c r="C20" s="9">
        <f>C13-C19</f>
        <v>272.5404162114269</v>
      </c>
      <c r="D20" s="22">
        <f>D13-D19</f>
        <v>711.5841516129426</v>
      </c>
      <c r="E20" s="22">
        <f>E13-E19</f>
        <v>2081.2067115692607</v>
      </c>
      <c r="F20" s="22">
        <f>F13-F19</f>
        <v>2280.7178205910695</v>
      </c>
      <c r="G20" s="22">
        <f>G13-G19</f>
        <v>2429.6783074354216</v>
      </c>
      <c r="H20" s="22">
        <f>H13-H19</f>
        <v>2529.0519483541957</v>
      </c>
      <c r="I20" s="22">
        <f>I13-I19</f>
        <v>2851.128184117011</v>
      </c>
      <c r="J20" s="22">
        <f>J13-J19</f>
        <v>3017.973858363979</v>
      </c>
      <c r="K20" s="22">
        <f>K13-K19</f>
        <v>2989.1647968666657</v>
      </c>
      <c r="L20" s="22">
        <f>L13-L19</f>
        <v>3192.810142374523</v>
      </c>
      <c r="M20" s="1"/>
      <c r="N20" s="1"/>
    </row>
    <row r="21">
      <c r="A21" s="86" t="s">
        <v>351</v>
      </c>
      <c r="B21" s="18">
        <f>B20/B13</f>
        <v>0.3903421825091031</v>
      </c>
      <c r="C21" s="37">
        <f>C20/C13</f>
        <v>0.22832111427465535</v>
      </c>
      <c r="D21" s="18">
        <f>D20/D13</f>
        <v>0.23637234926993728</v>
      </c>
      <c r="E21" s="18">
        <f>E20/E13</f>
        <v>0.3200544820309633</v>
      </c>
      <c r="F21" s="18">
        <f>F20/F13</f>
        <v>0.3334811086089948</v>
      </c>
      <c r="G21" s="18">
        <f>G20/G13</f>
        <v>0.3531516030347586</v>
      </c>
      <c r="H21" s="18">
        <f>H20/H13</f>
        <v>0.3646396892925212</v>
      </c>
      <c r="I21" s="18">
        <f>I20/I13</f>
        <v>0.38054741853089574</v>
      </c>
      <c r="J21" s="18">
        <f>J20/J13</f>
        <v>0.3885142069524395</v>
      </c>
      <c r="K21" s="18">
        <f>K20/K13</f>
        <v>0.39382812450792437</v>
      </c>
      <c r="L21" s="18">
        <f>L20/L13</f>
        <v>0.3998840857619993</v>
      </c>
      <c r="M21" s="1"/>
      <c r="N21" s="1"/>
    </row>
    <row r="22">
      <c r="A22" s="12" t="s">
        <v>413</v>
      </c>
      <c r="B22" s="17">
        <f>N(Revenue_Hist!C50)</f>
        <v>196.652</v>
      </c>
      <c r="C22" s="57">
        <f>Interim_Bridge!D19</f>
        <v>366.23199999999997</v>
      </c>
      <c r="D22" s="5">
        <f>D13*Assumptions!D73</f>
        <v>451.56560431714036</v>
      </c>
      <c r="E22" s="5">
        <f>E13*Assumptions!E73</f>
        <v>715.2930239248168</v>
      </c>
      <c r="F22" s="5">
        <f>F13*Assumptions!F73</f>
        <v>615.5209352319508</v>
      </c>
      <c r="G22" s="5">
        <f>G13*Assumptions!G73</f>
        <v>550.3989304437692</v>
      </c>
      <c r="H22" s="5">
        <f>H13*Assumptions!H73</f>
        <v>520.1817073028506</v>
      </c>
      <c r="I22" s="5">
        <f>I13*Assumptions!I73</f>
        <v>524.4523104601942</v>
      </c>
      <c r="J22" s="5">
        <f>J13*Assumptions!J73</f>
        <v>543.75918899496</v>
      </c>
      <c r="K22" s="5">
        <f>K13*Assumptions!K73</f>
        <v>531.3016586667272</v>
      </c>
      <c r="L22" s="5">
        <f>L13*Assumptions!L73</f>
        <v>558.9037371675654</v>
      </c>
      <c r="M22" s="1"/>
      <c r="N22" s="1"/>
    </row>
    <row r="23">
      <c r="A23" s="12" t="s">
        <v>415</v>
      </c>
      <c r="B23" s="17">
        <f>N(Revenue_Hist!C52)</f>
        <v>53.50899999999999</v>
      </c>
      <c r="C23" s="57">
        <f>Interim_Bridge!D20</f>
        <v>67.18400000000001</v>
      </c>
      <c r="D23" s="5">
        <f>D13*Assumptions!D78</f>
        <v>90.31312086342807</v>
      </c>
      <c r="E23" s="5">
        <f>E13*Assumptions!E78</f>
        <v>162.5665963465493</v>
      </c>
      <c r="F23" s="5">
        <f>F13*Assumptions!F78</f>
        <v>170.9780375644308</v>
      </c>
      <c r="G23" s="5">
        <f>G13*Assumptions!G78</f>
        <v>171.9996657636779</v>
      </c>
      <c r="H23" s="5">
        <f>H13*Assumptions!H78</f>
        <v>173.39390243428355</v>
      </c>
      <c r="I23" s="5">
        <f>I13*Assumptions!I78</f>
        <v>187.3043965929265</v>
      </c>
      <c r="J23" s="5">
        <f>J13*Assumptions!J78</f>
        <v>194.19971035534286</v>
      </c>
      <c r="K23" s="5">
        <f>K13*Assumptions!K78</f>
        <v>189.750592380974</v>
      </c>
      <c r="L23" s="5">
        <f>L13*Assumptions!L78</f>
        <v>199.60847755984477</v>
      </c>
      <c r="M23" s="1"/>
      <c r="N23" s="1"/>
    </row>
    <row r="24">
      <c r="A24" s="12" t="s">
        <v>416</v>
      </c>
      <c r="B24" s="17">
        <f>N(Revenue_Hist!C54)</f>
        <v>24.077</v>
      </c>
      <c r="C24" s="57">
        <f>Interim_Bridge!D21</f>
        <v>86.09299999999999</v>
      </c>
      <c r="D24" s="5">
        <f>D13*Assumptions!D83</f>
        <v>105.36530767399942</v>
      </c>
      <c r="E24" s="5">
        <f>E13*Assumptions!E83</f>
        <v>195.0799156158591</v>
      </c>
      <c r="F24" s="5">
        <f>F13*Assumptions!F83</f>
        <v>170.9780375644308</v>
      </c>
      <c r="G24" s="5">
        <f>G13*Assumptions!G83</f>
        <v>171.9996657636779</v>
      </c>
      <c r="H24" s="5">
        <f>H13*Assumptions!H83</f>
        <v>173.39390243428355</v>
      </c>
      <c r="I24" s="5">
        <f>I13*Assumptions!I83</f>
        <v>187.3043965929265</v>
      </c>
      <c r="J24" s="5">
        <f>J13*Assumptions!J83</f>
        <v>194.19971035534286</v>
      </c>
      <c r="K24" s="5">
        <f>K13*Assumptions!K83</f>
        <v>189.750592380974</v>
      </c>
      <c r="L24" s="5">
        <f>L13*Assumptions!L83</f>
        <v>199.60847755984477</v>
      </c>
      <c r="M24" s="1"/>
      <c r="N24" s="1"/>
    </row>
    <row r="25">
      <c r="A25" s="12" t="s">
        <v>324</v>
      </c>
      <c r="B25" s="5">
        <f>B39-B18</f>
        <v>48.940000000000005</v>
      </c>
      <c r="C25" s="8">
        <f>C39-C18</f>
        <v>543.098</v>
      </c>
      <c r="D25" s="5">
        <f>D39-D18</f>
        <v>231.20158941037587</v>
      </c>
      <c r="E25" s="5">
        <f>E39-E18</f>
        <v>374.5534379824495</v>
      </c>
      <c r="F25" s="5">
        <f>F39-F18</f>
        <v>328.2778321237071</v>
      </c>
      <c r="G25" s="5">
        <f>G39-G18</f>
        <v>297.2154224396354</v>
      </c>
      <c r="H25" s="5">
        <f>H39-H18</f>
        <v>266.3330341390595</v>
      </c>
      <c r="I25" s="5">
        <f>I39-I18</f>
        <v>287.6995531667351</v>
      </c>
      <c r="J25" s="5">
        <f>J39-J18</f>
        <v>298.2907551058066</v>
      </c>
      <c r="K25" s="5">
        <f>K39-K18</f>
        <v>291.4569098971761</v>
      </c>
      <c r="L25" s="5">
        <f>L39-L18</f>
        <v>306.59862153192154</v>
      </c>
      <c r="M25" s="1"/>
      <c r="N25" s="1"/>
    </row>
    <row r="26">
      <c r="A26" s="12" t="s">
        <v>721</v>
      </c>
      <c r="B26" s="5">
        <f>B40-B17</f>
        <v>21.755000000000003</v>
      </c>
      <c r="C26" s="8">
        <f>C40-C17</f>
        <v>50.11819999999997</v>
      </c>
      <c r="D26" s="5">
        <f>D40-D17</f>
        <v>120.96225922907115</v>
      </c>
      <c r="E26" s="5">
        <f>E40-E17</f>
        <v>185.3387923894943</v>
      </c>
      <c r="F26" s="5">
        <f>F40-F17</f>
        <v>236.92494255309816</v>
      </c>
      <c r="G26" s="5">
        <f>G40-G17</f>
        <v>245.04824949292333</v>
      </c>
      <c r="H26" s="5">
        <f>H40-H17</f>
        <v>236.36032382975304</v>
      </c>
      <c r="I26" s="5">
        <f>I40-I17</f>
        <v>227.5658112284235</v>
      </c>
      <c r="J26" s="5">
        <f>J40-J17</f>
        <v>224.08987017064612</v>
      </c>
      <c r="K26" s="5">
        <f>K40-K17</f>
        <v>222.26310655423288</v>
      </c>
      <c r="L26" s="5">
        <f>L40-L17</f>
        <v>222.03166399057227</v>
      </c>
      <c r="M26" s="1"/>
      <c r="N26" s="1"/>
    </row>
    <row r="27">
      <c r="A27" s="4" t="s">
        <v>100</v>
      </c>
      <c r="B27" s="22">
        <f>B22+B23+B24+B25+B26</f>
        <v>344.933</v>
      </c>
      <c r="C27" s="9">
        <f>C22+C23+C24+C25+C26</f>
        <v>1112.7251999999999</v>
      </c>
      <c r="D27" s="22">
        <f>D22+D23+D24+D25+D26</f>
        <v>999.4078814940148</v>
      </c>
      <c r="E27" s="22">
        <f>E22+E23+E24+E25+E26</f>
        <v>1632.831766259169</v>
      </c>
      <c r="F27" s="22">
        <f>F22+F23+F24+F25+F26</f>
        <v>1522.6797850376176</v>
      </c>
      <c r="G27" s="22">
        <f>G22+G23+G24+G25+G26</f>
        <v>1436.6619339036838</v>
      </c>
      <c r="H27" s="22">
        <f>H22+H23+H24+H25+H26</f>
        <v>1369.66287014023</v>
      </c>
      <c r="I27" s="22">
        <f>I22+I23+I24+I25+I26</f>
        <v>1414.3264680412058</v>
      </c>
      <c r="J27" s="22">
        <f>J22+J23+J24+J25+J26</f>
        <v>1454.5392349820986</v>
      </c>
      <c r="K27" s="22">
        <f>K22+K23+K24+K25+K26</f>
        <v>1424.522859880084</v>
      </c>
      <c r="L27" s="22">
        <f>L22+L23+L24+L25+L26</f>
        <v>1486.7509778097487</v>
      </c>
      <c r="M27" s="1"/>
      <c r="N27" s="1"/>
    </row>
    <row r="28">
      <c r="A28" s="4" t="s">
        <v>722</v>
      </c>
      <c r="B28" s="22">
        <f>B20-B27</f>
        <v>-145.86200000000002</v>
      </c>
      <c r="C28" s="9">
        <f>C20-C27</f>
        <v>-840.184783788573</v>
      </c>
      <c r="D28" s="22">
        <f>D20-D27</f>
        <v>-287.82372988107215</v>
      </c>
      <c r="E28" s="22">
        <f>E20-E27</f>
        <v>448.3749453100918</v>
      </c>
      <c r="F28" s="22">
        <f>F20-F27</f>
        <v>758.0380355534519</v>
      </c>
      <c r="G28" s="22">
        <f>G20-G27</f>
        <v>993.0163735317378</v>
      </c>
      <c r="H28" s="22">
        <f>H20-H27</f>
        <v>1159.3890782139656</v>
      </c>
      <c r="I28" s="22">
        <f>I20-I27</f>
        <v>1436.8017160758054</v>
      </c>
      <c r="J28" s="22">
        <f>J20-J27</f>
        <v>1563.4346233818806</v>
      </c>
      <c r="K28" s="22">
        <f>K20-K27</f>
        <v>1564.6419369865816</v>
      </c>
      <c r="L28" s="22">
        <f>L20-L27</f>
        <v>1706.0591645647742</v>
      </c>
      <c r="M28" s="1"/>
      <c r="N28" s="1"/>
    </row>
    <row r="29">
      <c r="A29" s="86" t="s">
        <v>354</v>
      </c>
      <c r="B29" s="18">
        <f>B28/B13</f>
        <v>-0.28600896878572374</v>
      </c>
      <c r="C29" s="37">
        <f>C28/C13</f>
        <v>-0.703865975908693</v>
      </c>
      <c r="D29" s="18">
        <f>D28/D13</f>
        <v>-0.09560860940117015</v>
      </c>
      <c r="E29" s="18">
        <f>E28/E13</f>
        <v>0.06895250244925381</v>
      </c>
      <c r="F29" s="18">
        <f>F28/F13</f>
        <v>0.11083850978050257</v>
      </c>
      <c r="G29" s="18">
        <f>G28/G13</f>
        <v>0.14433405569754287</v>
      </c>
      <c r="H29" s="18">
        <f>H28/H13</f>
        <v>0.16716116627188998</v>
      </c>
      <c r="I29" s="18">
        <f>I28/I13</f>
        <v>0.1917736238725944</v>
      </c>
      <c r="J29" s="18">
        <f>J28/J13</f>
        <v>0.20126634335874372</v>
      </c>
      <c r="K29" s="18">
        <f>K28/K13</f>
        <v>0.2061445391755554</v>
      </c>
      <c r="L29" s="18">
        <f>L28/L13</f>
        <v>0.213675689707778</v>
      </c>
      <c r="M29" s="1"/>
      <c r="N29" s="1"/>
    </row>
    <row r="30">
      <c r="A30" s="12" t="s">
        <v>418</v>
      </c>
      <c r="B30" s="17">
        <f>N(Revenue_Hist!C58)</f>
        <v>26.802</v>
      </c>
      <c r="C30" s="57">
        <f>Interim_Bridge!D26</f>
        <v>232.93775625</v>
      </c>
      <c r="D30" s="5">
        <f>Assumptions!$C$31*(C48+C49)</f>
        <v>282.54151198270694</v>
      </c>
      <c r="E30" s="5">
        <f>Assumptions!$C$31*(D48+D49)</f>
        <v>249.33899595038065</v>
      </c>
      <c r="F30" s="5">
        <f>Assumptions!$C$31*(E48+E49)</f>
        <v>239.8706203227158</v>
      </c>
      <c r="G30" s="5">
        <f>Assumptions!$C$31*(F48+F49)</f>
        <v>288.4880882993867</v>
      </c>
      <c r="H30" s="5">
        <f>Assumptions!$C$31*(G48+G49)</f>
        <v>352.6745994528455</v>
      </c>
      <c r="I30" s="5">
        <f>Assumptions!$C$31*(H48+H49)</f>
        <v>423.88453027814114</v>
      </c>
      <c r="J30" s="5">
        <f>Assumptions!$C$31*(I48+I49)</f>
        <v>495.055903717542</v>
      </c>
      <c r="K30" s="5">
        <f>Assumptions!$C$31*(J48+J49)</f>
        <v>570.3857882378283</v>
      </c>
      <c r="L30" s="5">
        <f>Assumptions!$C$31*(K48+K49)</f>
        <v>646.2483631782885</v>
      </c>
      <c r="M30" s="1"/>
      <c r="N30" s="1" t="s">
        <v>815</v>
      </c>
    </row>
    <row r="31">
      <c r="A31" s="12" t="s">
        <v>724</v>
      </c>
      <c r="B31" s="17">
        <f>N(Revenue_Hist!C59)</f>
        <v>0</v>
      </c>
      <c r="C31" s="57">
        <f>Interim_Bridge!D27</f>
        <v>-60.639855999999995</v>
      </c>
      <c r="D31" s="5">
        <f>-Schedules!D17</f>
        <v>-20.660489999999996</v>
      </c>
      <c r="E31" s="5">
        <f>-Schedules!E17</f>
        <v>-4.132097999999998</v>
      </c>
      <c r="F31" s="5">
        <f>-Schedules!F17</f>
        <v>0</v>
      </c>
      <c r="G31" s="5">
        <f>-Schedules!G17</f>
        <v>0</v>
      </c>
      <c r="H31" s="5">
        <f>-Schedules!H17</f>
        <v>0</v>
      </c>
      <c r="I31" s="5">
        <f>-Schedules!I17</f>
        <v>0</v>
      </c>
      <c r="J31" s="5">
        <f>-Schedules!J17</f>
        <v>0</v>
      </c>
      <c r="K31" s="5">
        <f>-Schedules!K17</f>
        <v>0</v>
      </c>
      <c r="L31" s="5">
        <f>-Schedules!L17</f>
        <v>0</v>
      </c>
      <c r="M31" s="1"/>
      <c r="N31" s="1"/>
    </row>
    <row r="32">
      <c r="A32" s="12" t="s">
        <v>725</v>
      </c>
      <c r="B32" s="5">
        <f>N(Revenue_Hist!C60)+N(Revenue_Hist!C61)</f>
        <v>363.944</v>
      </c>
      <c r="C32" s="57">
        <f>Interim_Bridge!D28</f>
        <v>-3.462</v>
      </c>
      <c r="D32" s="5">
        <f>0</f>
        <v>0</v>
      </c>
      <c r="E32" s="5">
        <f>0</f>
        <v>0</v>
      </c>
      <c r="F32" s="5">
        <f>0</f>
        <v>0</v>
      </c>
      <c r="G32" s="5">
        <f>0</f>
        <v>0</v>
      </c>
      <c r="H32" s="5">
        <f>0</f>
        <v>0</v>
      </c>
      <c r="I32" s="5">
        <f>0</f>
        <v>0</v>
      </c>
      <c r="J32" s="5">
        <f>0</f>
        <v>0</v>
      </c>
      <c r="K32" s="5">
        <f>0</f>
        <v>0</v>
      </c>
      <c r="L32" s="5">
        <f>0</f>
        <v>0</v>
      </c>
      <c r="M32" s="1"/>
      <c r="N32" s="1"/>
    </row>
    <row r="33">
      <c r="A33" s="4" t="s">
        <v>103</v>
      </c>
      <c r="B33" s="22">
        <f>B28+B30+B31+B32</f>
        <v>244.884</v>
      </c>
      <c r="C33" s="9">
        <f>C28+C30+C31+C32</f>
        <v>-671.348883538573</v>
      </c>
      <c r="D33" s="22">
        <f>D28+D30+D31+D32</f>
        <v>-25.942707898365214</v>
      </c>
      <c r="E33" s="22">
        <f>E28+E30+E31+E32</f>
        <v>693.5818432604724</v>
      </c>
      <c r="F33" s="22">
        <f>F28+F30+F31+F32</f>
        <v>997.9086558761677</v>
      </c>
      <c r="G33" s="22">
        <f>G28+G30+G31+G32</f>
        <v>1281.5044618311244</v>
      </c>
      <c r="H33" s="22">
        <f>H28+H30+H31+H32</f>
        <v>1512.0636776668111</v>
      </c>
      <c r="I33" s="22">
        <f>I28+I30+I31+I32</f>
        <v>1860.6862463539464</v>
      </c>
      <c r="J33" s="22">
        <f>J28+J30+J31+J32</f>
        <v>2058.4905270994227</v>
      </c>
      <c r="K33" s="22">
        <f>K28+K30+K31+K32</f>
        <v>2135.02772522441</v>
      </c>
      <c r="L33" s="22">
        <f>L28+L30+L31+L32</f>
        <v>2352.3075277430626</v>
      </c>
      <c r="M33" s="1"/>
      <c r="N33" s="1"/>
    </row>
    <row r="34">
      <c r="A34" s="12" t="s">
        <v>104</v>
      </c>
      <c r="B34" s="17">
        <f>N(IS_Hist!C25)</f>
        <v>7.057</v>
      </c>
      <c r="C34" s="57">
        <f>Interim_Bridge!D30</f>
        <v>3.771</v>
      </c>
      <c r="D34" s="17">
        <f>Schedules!D25</f>
        <v>4</v>
      </c>
      <c r="E34" s="17">
        <f>Schedules!E25</f>
        <v>29.130437416939845</v>
      </c>
      <c r="F34" s="17">
        <f>Schedules!F25</f>
        <v>56.16133319999754</v>
      </c>
      <c r="G34" s="17">
        <f>Schedules!G25</f>
        <v>269.1159369845361</v>
      </c>
      <c r="H34" s="17">
        <f>Schedules!H25</f>
        <v>317.5333723100303</v>
      </c>
      <c r="I34" s="17">
        <f>Schedules!I25</f>
        <v>390.7441117343287</v>
      </c>
      <c r="J34" s="17">
        <f>Schedules!J25</f>
        <v>432.28301069087877</v>
      </c>
      <c r="K34" s="17">
        <f>Schedules!K25</f>
        <v>448.3558222971261</v>
      </c>
      <c r="L34" s="17">
        <f>Schedules!L25</f>
        <v>493.9845808260431</v>
      </c>
      <c r="M34" s="1"/>
      <c r="N34" s="1"/>
    </row>
    <row r="35">
      <c r="A35" s="77" t="s">
        <v>105</v>
      </c>
      <c r="B35" s="41">
        <f>B33-B34</f>
        <v>237.827</v>
      </c>
      <c r="C35" s="84">
        <f>C33-C34</f>
        <v>-675.1198835385729</v>
      </c>
      <c r="D35" s="41">
        <f>D33-D34</f>
        <v>-29.942707898365214</v>
      </c>
      <c r="E35" s="41">
        <f>E33-E34</f>
        <v>664.4514058435326</v>
      </c>
      <c r="F35" s="41">
        <f>F33-F34</f>
        <v>941.7473226761701</v>
      </c>
      <c r="G35" s="41">
        <f>G33-G34</f>
        <v>1012.3885248465883</v>
      </c>
      <c r="H35" s="41">
        <f>H33-H34</f>
        <v>1194.530305356781</v>
      </c>
      <c r="I35" s="41">
        <f>I33-I34</f>
        <v>1469.9421346196177</v>
      </c>
      <c r="J35" s="41">
        <f>J33-J34</f>
        <v>1626.207516408544</v>
      </c>
      <c r="K35" s="41">
        <f>K33-K34</f>
        <v>1686.671902927284</v>
      </c>
      <c r="L35" s="41">
        <f>L33-L34</f>
        <v>1858.3229469170194</v>
      </c>
      <c r="M35" s="1"/>
      <c r="N35" s="1"/>
    </row>
    <row r="36">
      <c r="A36" s="86" t="s">
        <v>816</v>
      </c>
      <c r="B36" s="18">
        <f>B35/B13</f>
        <v>0.4663356804335763</v>
      </c>
      <c r="C36" s="37">
        <f>C35/C13</f>
        <v>-0.5655826252166694</v>
      </c>
      <c r="D36" s="18">
        <f>D35/D13</f>
        <v>-0.009946298260574358</v>
      </c>
      <c r="E36" s="18">
        <f>E35/E13</f>
        <v>0.10218141684333121</v>
      </c>
      <c r="F36" s="18">
        <f>F35/F13</f>
        <v>0.13770004266209998</v>
      </c>
      <c r="G36" s="18">
        <f>G35/G13</f>
        <v>0.1471497808370131</v>
      </c>
      <c r="H36" s="18">
        <f>H35/H13</f>
        <v>0.17222784200982919</v>
      </c>
      <c r="I36" s="18">
        <f>I35/I13</f>
        <v>0.1961969608506149</v>
      </c>
      <c r="J36" s="18">
        <f>J35/J13</f>
        <v>0.20934731486377361</v>
      </c>
      <c r="K36" s="18">
        <f>K35/K13</f>
        <v>0.22222221835556227</v>
      </c>
      <c r="L36" s="18">
        <f>L35/L13</f>
        <v>0.23274599476365856</v>
      </c>
      <c r="M36" s="1"/>
      <c r="N36" s="1"/>
    </row>
    <row r="37">
      <c r="A37" s="1"/>
      <c r="B37" s="1"/>
      <c r="C37" s="59"/>
      <c r="D37" s="1"/>
      <c r="E37" s="1"/>
      <c r="F37" s="1"/>
      <c r="G37" s="1"/>
      <c r="H37" s="1"/>
      <c r="I37" s="1"/>
      <c r="J37" s="1"/>
      <c r="K37" s="1"/>
      <c r="L37" s="1"/>
      <c r="M37" s="1"/>
      <c r="N37" s="1"/>
    </row>
    <row r="38">
      <c r="A38" s="4" t="s">
        <v>817</v>
      </c>
      <c r="B38" s="1"/>
      <c r="C38" s="59"/>
      <c r="D38" s="1"/>
      <c r="E38" s="1"/>
      <c r="F38" s="1"/>
      <c r="G38" s="1"/>
      <c r="H38" s="1"/>
      <c r="I38" s="1"/>
      <c r="J38" s="1"/>
      <c r="K38" s="1"/>
      <c r="L38" s="1"/>
      <c r="M38" s="1"/>
      <c r="N38" s="1"/>
    </row>
    <row r="39">
      <c r="A39" s="12" t="s">
        <v>729</v>
      </c>
      <c r="B39" s="17">
        <f>N(Revenue_Hist!C39)</f>
        <v>49.767</v>
      </c>
      <c r="C39" s="57">
        <f>Interim_Bridge!D35</f>
        <v>566.601</v>
      </c>
      <c r="D39" s="5">
        <f>D13*Assumptions!D88</f>
        <v>240.83498896914153</v>
      </c>
      <c r="E39" s="5">
        <f>E13*Assumptions!E88</f>
        <v>390.1598312317182</v>
      </c>
      <c r="F39" s="5">
        <f>F13*Assumptions!F88</f>
        <v>341.9560751288616</v>
      </c>
      <c r="G39" s="5">
        <f>G13*Assumptions!G88</f>
        <v>309.5993983746202</v>
      </c>
      <c r="H39" s="5">
        <f>H13*Assumptions!H88</f>
        <v>277.4302438948537</v>
      </c>
      <c r="I39" s="5">
        <f>I13*Assumptions!I88</f>
        <v>299.6870345486824</v>
      </c>
      <c r="J39" s="5">
        <f>J13*Assumptions!J88</f>
        <v>310.71953656854856</v>
      </c>
      <c r="K39" s="5">
        <f>K13*Assumptions!K88</f>
        <v>303.6009478095584</v>
      </c>
      <c r="L39" s="5">
        <f>L13*Assumptions!L88</f>
        <v>319.3735640957516</v>
      </c>
      <c r="M39" s="1"/>
      <c r="N39" s="1"/>
    </row>
    <row r="40">
      <c r="A40" s="12" t="s">
        <v>728</v>
      </c>
      <c r="B40" s="17">
        <f>N(Revenue_Hist!C32)</f>
        <v>34.454</v>
      </c>
      <c r="C40" s="57">
        <f>Interim_Bridge!D34</f>
        <v>222.152</v>
      </c>
      <c r="D40" s="17">
        <f>Schedules!D10</f>
        <v>604.811296145356</v>
      </c>
      <c r="E40" s="17">
        <f>Schedules!E10</f>
        <v>926.6939619474716</v>
      </c>
      <c r="F40" s="17">
        <f>Schedules!F10</f>
        <v>1184.6247127654908</v>
      </c>
      <c r="G40" s="17">
        <f>Schedules!G10</f>
        <v>1225.2412474646167</v>
      </c>
      <c r="H40" s="17">
        <f>Schedules!H10</f>
        <v>1181.8016191487652</v>
      </c>
      <c r="I40" s="17">
        <f>Schedules!I10</f>
        <v>1137.829056142118</v>
      </c>
      <c r="J40" s="17">
        <f>Schedules!J10</f>
        <v>1120.4493508532307</v>
      </c>
      <c r="K40" s="17">
        <f>Schedules!K10</f>
        <v>1111.3155327711645</v>
      </c>
      <c r="L40" s="17">
        <f>Schedules!L10</f>
        <v>1110.1583199528613</v>
      </c>
      <c r="M40" s="1"/>
      <c r="N40" s="1"/>
    </row>
    <row r="41">
      <c r="A41" s="12" t="s">
        <v>731</v>
      </c>
      <c r="B41" s="17">
        <f>N(CF_Hist!C10)</f>
        <v>0</v>
      </c>
      <c r="C41" s="57">
        <f>Interim_Bridge!D36</f>
        <v>92.89945947143285</v>
      </c>
      <c r="D41" s="17">
        <f>Backlog!D50</f>
        <v>186.3378378857314</v>
      </c>
      <c r="E41" s="17">
        <f>Backlog!E50</f>
        <v>460.5509061380293</v>
      </c>
      <c r="F41" s="17">
        <f>Backlog!F50</f>
        <v>455.2572175617301</v>
      </c>
      <c r="G41" s="17">
        <f>Backlog!G50</f>
        <v>338.796068883148</v>
      </c>
      <c r="H41" s="17">
        <f>Backlog!H50</f>
        <v>222.3349202045659</v>
      </c>
      <c r="I41" s="17">
        <f>Backlog!I50</f>
        <v>75.608375312925</v>
      </c>
      <c r="J41" s="17">
        <f>Backlog!J50</f>
        <v>63.00697942743751</v>
      </c>
      <c r="K41" s="17">
        <f>Backlog!K50</f>
        <v>0</v>
      </c>
      <c r="L41" s="17">
        <f>Backlog!L50</f>
        <v>0</v>
      </c>
      <c r="M41" s="1"/>
      <c r="N41" s="1"/>
    </row>
    <row r="42">
      <c r="A42" s="12" t="s">
        <v>818</v>
      </c>
      <c r="B42" s="15">
        <v>0</v>
      </c>
      <c r="C42" s="57">
        <f>Interim_Bridge!C37</f>
        <v>15.841754827470002</v>
      </c>
      <c r="D42" s="17">
        <f>Backlog!D49</f>
        <v>63.36701930988001</v>
      </c>
      <c r="E42" s="17">
        <f>Backlog!E49</f>
        <v>156.6173488624875</v>
      </c>
      <c r="F42" s="17">
        <f>Backlog!F49</f>
        <v>154.817149450275</v>
      </c>
      <c r="G42" s="17">
        <f>Backlog!G49</f>
        <v>115.2127623816</v>
      </c>
      <c r="H42" s="17">
        <f>Backlog!H49</f>
        <v>75.608375312925</v>
      </c>
      <c r="I42" s="17">
        <f>Backlog!I49</f>
        <v>75.608375312925</v>
      </c>
      <c r="J42" s="17">
        <f>Backlog!J49</f>
        <v>63.00697942743751</v>
      </c>
      <c r="K42" s="17">
        <f>Backlog!K49</f>
        <v>0</v>
      </c>
      <c r="L42" s="17">
        <f>Backlog!L49</f>
        <v>0</v>
      </c>
      <c r="M42" s="1"/>
      <c r="N42" s="1"/>
    </row>
    <row r="43">
      <c r="A43" s="12" t="s">
        <v>819</v>
      </c>
      <c r="B43" s="5">
        <f>B28+B40</f>
        <v>-111.40800000000002</v>
      </c>
      <c r="C43" s="8">
        <f>C28+C40</f>
        <v>-618.0327837885729</v>
      </c>
      <c r="D43" s="5">
        <f>D28+D40</f>
        <v>316.9875662642838</v>
      </c>
      <c r="E43" s="5">
        <f>E28+E40</f>
        <v>1375.0689072575633</v>
      </c>
      <c r="F43" s="5">
        <f>F28+F40</f>
        <v>1942.6627483189427</v>
      </c>
      <c r="G43" s="5">
        <f>G28+G40</f>
        <v>2218.2576209963545</v>
      </c>
      <c r="H43" s="5">
        <f>H28+H40</f>
        <v>2341.190697362731</v>
      </c>
      <c r="I43" s="5">
        <f>I28+I40</f>
        <v>2574.6307722179235</v>
      </c>
      <c r="J43" s="5">
        <f>J28+J40</f>
        <v>2683.883974235111</v>
      </c>
      <c r="K43" s="5">
        <f>K28+K40</f>
        <v>2675.9574697577464</v>
      </c>
      <c r="L43" s="5">
        <f>L28+L40</f>
        <v>2816.2174845176355</v>
      </c>
      <c r="M43" s="1"/>
      <c r="N43" s="1"/>
    </row>
    <row r="44">
      <c r="A44" s="12" t="s">
        <v>820</v>
      </c>
      <c r="B44" s="5">
        <f>B43+B39+B41</f>
        <v>-61.64100000000001</v>
      </c>
      <c r="C44" s="8">
        <f>C43+C39+C41</f>
        <v>41.467675682859905</v>
      </c>
      <c r="D44" s="5">
        <f>D43+D39+D41</f>
        <v>744.1603931191569</v>
      </c>
      <c r="E44" s="5">
        <f>E43+E39+E41</f>
        <v>2225.779644627311</v>
      </c>
      <c r="F44" s="5">
        <f>F43+F39+F41</f>
        <v>2739.876041009534</v>
      </c>
      <c r="G44" s="5">
        <f>G43+G39+G41</f>
        <v>2866.653088254123</v>
      </c>
      <c r="H44" s="5">
        <f>H43+H39+H41</f>
        <v>2840.9558614621506</v>
      </c>
      <c r="I44" s="5">
        <f>I43+I39+I41</f>
        <v>2949.926182079531</v>
      </c>
      <c r="J44" s="5">
        <f>J43+J39+J41</f>
        <v>3057.610490231097</v>
      </c>
      <c r="K44" s="5">
        <f>K43+K39+K41</f>
        <v>2979.558417567305</v>
      </c>
      <c r="L44" s="5">
        <f>L43+L39+L41</f>
        <v>3135.591048613387</v>
      </c>
      <c r="M44" s="1"/>
      <c r="N44" s="1"/>
    </row>
    <row r="45">
      <c r="A45" s="86" t="s">
        <v>414</v>
      </c>
      <c r="B45" s="18">
        <f>B44/B13</f>
        <v>-0.12086683882656755</v>
      </c>
      <c r="C45" s="37">
        <f>C44/C13</f>
        <v>0.034739603211531446</v>
      </c>
      <c r="D45" s="18">
        <f>D44/D13</f>
        <v>0.24719344852819772</v>
      </c>
      <c r="E45" s="18">
        <f>E44/E13</f>
        <v>0.34228736017246336</v>
      </c>
      <c r="F45" s="18">
        <f>F44/F13</f>
        <v>0.40061812616972053</v>
      </c>
      <c r="G45" s="18">
        <f>G44/G13</f>
        <v>0.4166655027389433</v>
      </c>
      <c r="H45" s="18">
        <f>H44/H13</f>
        <v>0.40961011626964156</v>
      </c>
      <c r="I45" s="18">
        <f>I44/I13</f>
        <v>0.39373424165940457</v>
      </c>
      <c r="J45" s="18">
        <f>J44/J13</f>
        <v>0.3936167675837854</v>
      </c>
      <c r="K45" s="18">
        <f>K44/K13</f>
        <v>0.3925624658374005</v>
      </c>
      <c r="L45" s="18">
        <f>L44/L13</f>
        <v>0.39271766997888446</v>
      </c>
      <c r="M45" s="1"/>
      <c r="N45" s="1"/>
    </row>
    <row r="46">
      <c r="A46" s="1"/>
      <c r="B46" s="1"/>
      <c r="C46" s="59"/>
      <c r="D46" s="1"/>
      <c r="E46" s="1"/>
      <c r="F46" s="1"/>
      <c r="G46" s="1"/>
      <c r="H46" s="1"/>
      <c r="I46" s="1"/>
      <c r="J46" s="1"/>
      <c r="K46" s="1"/>
      <c r="L46" s="1"/>
      <c r="M46" s="1"/>
      <c r="N46" s="1"/>
    </row>
    <row r="47">
      <c r="A47" s="4" t="s">
        <v>821</v>
      </c>
      <c r="B47" s="1"/>
      <c r="C47" s="59"/>
      <c r="D47" s="1"/>
      <c r="E47" s="1"/>
      <c r="F47" s="1"/>
      <c r="G47" s="1"/>
      <c r="H47" s="1"/>
      <c r="I47" s="1"/>
      <c r="J47" s="1"/>
      <c r="K47" s="1"/>
      <c r="L47" s="1"/>
      <c r="M47" s="1"/>
      <c r="N47" s="1"/>
    </row>
    <row r="48">
      <c r="A48" s="12" t="s">
        <v>180</v>
      </c>
      <c r="B48" s="17">
        <f>BS_Hist!D49</f>
        <v>930.378</v>
      </c>
      <c r="C48" s="57">
        <f>Interim_Bridge!D58</f>
        <v>6355.050319538852</v>
      </c>
      <c r="D48" s="5">
        <f>C48+D83</f>
        <v>5469.64989201015</v>
      </c>
      <c r="E48" s="5">
        <f>D48+E83</f>
        <v>5217.159875272421</v>
      </c>
      <c r="F48" s="5">
        <f>E48+F83</f>
        <v>6513.625687983645</v>
      </c>
      <c r="G48" s="5">
        <f>F48+G83</f>
        <v>8225.265985409214</v>
      </c>
      <c r="H48" s="5">
        <f>G48+H83</f>
        <v>10124.197474083765</v>
      </c>
      <c r="I48" s="5">
        <f>H48+I83</f>
        <v>12022.10076580112</v>
      </c>
      <c r="J48" s="5">
        <f>I48+J83</f>
        <v>14030.897686342087</v>
      </c>
      <c r="K48" s="5">
        <f>J48+K83</f>
        <v>16053.89968475436</v>
      </c>
      <c r="L48" s="5">
        <f>K48+L83</f>
        <v>18178.923056828247</v>
      </c>
      <c r="M48" s="1"/>
      <c r="N48" s="1"/>
    </row>
    <row r="49">
      <c r="A49" s="12" t="s">
        <v>140</v>
      </c>
      <c r="B49" s="17">
        <f>N(BS_Hist!D9)</f>
        <v>406.531</v>
      </c>
      <c r="C49" s="57">
        <f>Interim_Bridge!D59</f>
        <v>1179.39</v>
      </c>
      <c r="D49" s="5">
        <f>C49</f>
        <v>1179.39</v>
      </c>
      <c r="E49" s="5">
        <f>D49</f>
        <v>1179.39</v>
      </c>
      <c r="F49" s="5">
        <f>E49</f>
        <v>1179.39</v>
      </c>
      <c r="G49" s="5">
        <f>F49</f>
        <v>1179.39</v>
      </c>
      <c r="H49" s="5">
        <f>G49</f>
        <v>1179.39</v>
      </c>
      <c r="I49" s="5">
        <f>H49</f>
        <v>1179.39</v>
      </c>
      <c r="J49" s="5">
        <f>I49</f>
        <v>1179.39</v>
      </c>
      <c r="K49" s="5">
        <f>J49</f>
        <v>1179.39</v>
      </c>
      <c r="L49" s="5">
        <f>K49</f>
        <v>1179.39</v>
      </c>
      <c r="M49" s="1"/>
      <c r="N49" s="1"/>
    </row>
    <row r="50">
      <c r="A50" s="12" t="s">
        <v>206</v>
      </c>
      <c r="B50" s="17">
        <f>N(BS_Hist!D10)</f>
        <v>50.423</v>
      </c>
      <c r="C50" s="57">
        <f>Interim_Bridge!D60</f>
        <v>270.87248641328506</v>
      </c>
      <c r="D50" s="5">
        <f>D13*Assumptions!$C$44</f>
        <v>497.1280526507276</v>
      </c>
      <c r="E50" s="5">
        <f>E13*Assumptions!$C$44</f>
        <v>1073.8162698201236</v>
      </c>
      <c r="F50" s="5">
        <f>F13*Assumptions!$C$44</f>
        <v>1129.3771453959534</v>
      </c>
      <c r="G50" s="5">
        <f>G13*Assumptions!$C$44</f>
        <v>1136.1254012290274</v>
      </c>
      <c r="H50" s="5">
        <f>H13*Assumptions!$C$44</f>
        <v>1145.3348824786972</v>
      </c>
      <c r="I50" s="5">
        <f>I13*Assumptions!$C$44</f>
        <v>1237.2191642714104</v>
      </c>
      <c r="J50" s="5">
        <f>J13*Assumptions!$C$44</f>
        <v>1282.7654220512884</v>
      </c>
      <c r="K50" s="5">
        <f>K13*Assumptions!$C$44</f>
        <v>1253.3772489911723</v>
      </c>
      <c r="L50" s="5">
        <f>L13*Assumptions!$C$44</f>
        <v>1318.4924554910638</v>
      </c>
      <c r="M50" s="1"/>
      <c r="N50" s="1"/>
    </row>
    <row r="51">
      <c r="A51" s="12" t="s">
        <v>142</v>
      </c>
      <c r="B51" s="17">
        <f>N(BS_Hist!D11)</f>
        <v>63.626</v>
      </c>
      <c r="C51" s="57">
        <f>Interim_Bridge!D61</f>
        <v>25.78184953130312</v>
      </c>
      <c r="D51" s="5">
        <f>D7*Assumptions!$C$45</f>
        <v>30.68512100393414</v>
      </c>
      <c r="E51" s="5">
        <f>E7*Assumptions!$C$45</f>
        <v>32.219377054130845</v>
      </c>
      <c r="F51" s="5">
        <f>F7*Assumptions!$C$45</f>
        <v>33.830345906837394</v>
      </c>
      <c r="G51" s="5">
        <f>G7*Assumptions!$C$45</f>
        <v>35.183559743110884</v>
      </c>
      <c r="H51" s="5">
        <f>H7*Assumptions!$C$45</f>
        <v>36.590902132835325</v>
      </c>
      <c r="I51" s="5">
        <f>I7*Assumptions!$C$45</f>
        <v>37.68862919682038</v>
      </c>
      <c r="J51" s="5">
        <f>J7*Assumptions!$C$45</f>
        <v>38.81928807272499</v>
      </c>
      <c r="K51" s="5">
        <f>K7*Assumptions!$C$45</f>
        <v>39.98386671490674</v>
      </c>
      <c r="L51" s="5">
        <f>L7*Assumptions!$C$45</f>
        <v>41.18338271635395</v>
      </c>
      <c r="M51" s="1"/>
      <c r="N51" s="1"/>
    </row>
    <row r="52">
      <c r="A52" s="12" t="s">
        <v>743</v>
      </c>
      <c r="B52" s="17">
        <f>BS_Hist!D51</f>
        <v>152.353</v>
      </c>
      <c r="C52" s="57">
        <f>Interim_Bridge!D62</f>
        <v>1097.654295356037</v>
      </c>
      <c r="D52" s="5">
        <f>C52+D42-D41</f>
        <v>974.6834767801856</v>
      </c>
      <c r="E52" s="5">
        <f>D52+E42-E41</f>
        <v>670.7499195046438</v>
      </c>
      <c r="F52" s="5">
        <f>E52+F42-F41</f>
        <v>370.3098513931887</v>
      </c>
      <c r="G52" s="5">
        <f>F52+G42-G41</f>
        <v>146.72654489164069</v>
      </c>
      <c r="H52" s="5">
        <f>G52+H42-H41</f>
        <v>0</v>
      </c>
      <c r="I52" s="5">
        <f>H52+I42-I41</f>
        <v>0</v>
      </c>
      <c r="J52" s="5">
        <f>I52+J42-J41</f>
        <v>0</v>
      </c>
      <c r="K52" s="5">
        <f>J52+K42-K41</f>
        <v>0</v>
      </c>
      <c r="L52" s="5">
        <f>K52+L42-L41</f>
        <v>0</v>
      </c>
      <c r="M52" s="1"/>
      <c r="N52" s="1"/>
    </row>
    <row r="53">
      <c r="A53" s="12" t="s">
        <v>145</v>
      </c>
      <c r="B53" s="17">
        <f>N(BS_Hist!D13)</f>
        <v>31.782</v>
      </c>
      <c r="C53" s="57">
        <f>Interim_Bridge!D63</f>
        <v>191.698</v>
      </c>
      <c r="D53" s="5">
        <f>C53</f>
        <v>191.698</v>
      </c>
      <c r="E53" s="5">
        <f>D53</f>
        <v>191.698</v>
      </c>
      <c r="F53" s="5">
        <f>E53</f>
        <v>191.698</v>
      </c>
      <c r="G53" s="5">
        <f>F53</f>
        <v>191.698</v>
      </c>
      <c r="H53" s="5">
        <f>G53</f>
        <v>191.698</v>
      </c>
      <c r="I53" s="5">
        <f>H53</f>
        <v>191.698</v>
      </c>
      <c r="J53" s="5">
        <f>I53</f>
        <v>191.698</v>
      </c>
      <c r="K53" s="5">
        <f>J53</f>
        <v>191.698</v>
      </c>
      <c r="L53" s="5">
        <f>K53</f>
        <v>191.698</v>
      </c>
      <c r="M53" s="1"/>
      <c r="N53" s="1"/>
    </row>
    <row r="54">
      <c r="A54" s="12" t="s">
        <v>147</v>
      </c>
      <c r="B54" s="17">
        <f>N(BS_Hist!D15)</f>
        <v>437.396</v>
      </c>
      <c r="C54" s="57">
        <f>Interim_Bridge!D64</f>
        <v>1707.2069999999999</v>
      </c>
      <c r="D54" s="17">
        <f>Schedules!D11</f>
        <v>2526.472073017492</v>
      </c>
      <c r="E54" s="17">
        <f>Schedules!E11</f>
        <v>3960.3856606148092</v>
      </c>
      <c r="F54" s="17">
        <f>Schedules!F11</f>
        <v>4331.987328743627</v>
      </c>
      <c r="G54" s="17">
        <f>Schedules!G11</f>
        <v>4244.70140350869</v>
      </c>
      <c r="H54" s="17">
        <f>Schedules!H11</f>
        <v>4027.9099305326663</v>
      </c>
      <c r="I54" s="17">
        <f>Schedules!I11</f>
        <v>3936.893462462158</v>
      </c>
      <c r="J54" s="17">
        <f>Schedules!J11</f>
        <v>3906.2519935104574</v>
      </c>
      <c r="K54" s="17">
        <f>Schedules!K11</f>
        <v>3872.956735887694</v>
      </c>
      <c r="L54" s="17">
        <f>Schedules!L11</f>
        <v>3898.1515037823347</v>
      </c>
      <c r="M54" s="1"/>
      <c r="N54" s="1"/>
    </row>
    <row r="55">
      <c r="A55" s="12" t="s">
        <v>149</v>
      </c>
      <c r="B55" s="17">
        <f>N(BS_Hist!D17)</f>
        <v>248.95</v>
      </c>
      <c r="C55" s="57">
        <f>Interim_Bridge!D65</f>
        <v>528.275</v>
      </c>
      <c r="D55" s="5">
        <f>C55</f>
        <v>528.275</v>
      </c>
      <c r="E55" s="5">
        <f>D55</f>
        <v>528.275</v>
      </c>
      <c r="F55" s="5">
        <f>E55</f>
        <v>528.275</v>
      </c>
      <c r="G55" s="5">
        <f>F55</f>
        <v>528.275</v>
      </c>
      <c r="H55" s="5">
        <f>G55</f>
        <v>528.275</v>
      </c>
      <c r="I55" s="5">
        <f>H55</f>
        <v>528.275</v>
      </c>
      <c r="J55" s="5">
        <f>I55</f>
        <v>528.275</v>
      </c>
      <c r="K55" s="5">
        <f>J55</f>
        <v>528.275</v>
      </c>
      <c r="L55" s="5">
        <f>K55</f>
        <v>528.275</v>
      </c>
      <c r="M55" s="1"/>
      <c r="N55" s="1"/>
    </row>
    <row r="56">
      <c r="A56" s="12" t="s">
        <v>150</v>
      </c>
      <c r="B56" s="17">
        <f>N(BS_Hist!D18)</f>
        <v>4.598</v>
      </c>
      <c r="C56" s="57">
        <f>Interim_Bridge!D66</f>
        <v>30.44</v>
      </c>
      <c r="D56" s="5">
        <f>C56</f>
        <v>30.44</v>
      </c>
      <c r="E56" s="5">
        <f>D56</f>
        <v>30.44</v>
      </c>
      <c r="F56" s="5">
        <f>E56</f>
        <v>30.44</v>
      </c>
      <c r="G56" s="5">
        <f>F56</f>
        <v>30.44</v>
      </c>
      <c r="H56" s="5">
        <f>G56</f>
        <v>30.44</v>
      </c>
      <c r="I56" s="5">
        <f>H56</f>
        <v>30.44</v>
      </c>
      <c r="J56" s="5">
        <f>I56</f>
        <v>30.44</v>
      </c>
      <c r="K56" s="5">
        <f>J56</f>
        <v>30.44</v>
      </c>
      <c r="L56" s="5">
        <f>K56</f>
        <v>30.44</v>
      </c>
      <c r="M56" s="1"/>
      <c r="N56" s="1"/>
    </row>
    <row r="57">
      <c r="A57" s="4" t="s">
        <v>151</v>
      </c>
      <c r="B57" s="22">
        <f>B48+B49+B50+B51+B52+B53+B54+B55+B56</f>
        <v>2326.037</v>
      </c>
      <c r="C57" s="9">
        <f>C48+C49+C50+C51+C52+C53+C54+C55+C56</f>
        <v>11386.368950839478</v>
      </c>
      <c r="D57" s="22">
        <f>D48+D49+D50+D51+D52+D53+D54+D55+D56</f>
        <v>11428.42161546249</v>
      </c>
      <c r="E57" s="22">
        <f>E48+E49+E50+E51+E52+E53+E54+E55+E56</f>
        <v>12884.134102266129</v>
      </c>
      <c r="F57" s="22">
        <f>F48+F49+F50+F51+F52+F53+F54+F55+F56</f>
        <v>14308.933359423252</v>
      </c>
      <c r="G57" s="22">
        <f>G48+G49+G50+G51+G52+G53+G54+G55+G56</f>
        <v>15717.805894781684</v>
      </c>
      <c r="H57" s="22">
        <f>H48+H49+H50+H51+H52+H53+H54+H55+H56</f>
        <v>17263.836189227964</v>
      </c>
      <c r="I57" s="22">
        <f>I48+I49+I50+I51+I52+I53+I54+I55+I56</f>
        <v>19163.705021731508</v>
      </c>
      <c r="J57" s="22">
        <f>J48+J49+J50+J51+J52+J53+J54+J55+J56</f>
        <v>21188.53738997656</v>
      </c>
      <c r="K57" s="22">
        <f>K48+K49+K50+K51+K52+K53+K54+K55+K56</f>
        <v>23150.020536348133</v>
      </c>
      <c r="L57" s="22">
        <f>L48+L49+L50+L51+L52+L53+L54+L55+L56</f>
        <v>25366.553398818</v>
      </c>
      <c r="M57" s="1"/>
      <c r="N57" s="1"/>
    </row>
    <row r="58">
      <c r="A58" s="12" t="s">
        <v>153</v>
      </c>
      <c r="B58" s="17">
        <f>N(BS_Hist!D22)</f>
        <v>48.63</v>
      </c>
      <c r="C58" s="57">
        <f>Interim_Bridge!D68</f>
        <v>206.81382355057968</v>
      </c>
      <c r="D58" s="5">
        <f>D16*Assumptions!$C$46</f>
        <v>367.1564977929362</v>
      </c>
      <c r="E58" s="5">
        <f>E16*Assumptions!$C$46</f>
        <v>745.2449006588366</v>
      </c>
      <c r="F58" s="5">
        <f>F16*Assumptions!$C$46</f>
        <v>731.523610560651</v>
      </c>
      <c r="G58" s="5">
        <f>G16*Assumptions!$C$46</f>
        <v>703.1954603162753</v>
      </c>
      <c r="H58" s="5">
        <f>H16*Assumptions!$C$46</f>
        <v>701.6568301979962</v>
      </c>
      <c r="I58" s="5">
        <f>I16*Assumptions!$C$46</f>
        <v>756.2881182203158</v>
      </c>
      <c r="J58" s="5">
        <f>J16*Assumptions!$C$46</f>
        <v>781.1864540608346</v>
      </c>
      <c r="K58" s="5">
        <f>K16*Assumptions!$C$46</f>
        <v>752.3967496955679</v>
      </c>
      <c r="L58" s="5">
        <f>L16*Assumptions!$C$46</f>
        <v>791.2331011526642</v>
      </c>
      <c r="M58" s="1"/>
      <c r="N58" s="1"/>
    </row>
    <row r="59">
      <c r="A59" s="12" t="s">
        <v>160</v>
      </c>
      <c r="B59" s="17">
        <f>N(BS_Hist!D28)</f>
        <v>139.536</v>
      </c>
      <c r="C59" s="57">
        <f>Interim_Bridge!D69</f>
        <v>236.91</v>
      </c>
      <c r="D59" s="5">
        <f>C59</f>
        <v>236.91</v>
      </c>
      <c r="E59" s="5">
        <f>D59</f>
        <v>236.91</v>
      </c>
      <c r="F59" s="5">
        <f>E59</f>
        <v>236.91</v>
      </c>
      <c r="G59" s="5">
        <f>F59</f>
        <v>236.91</v>
      </c>
      <c r="H59" s="5">
        <f>G59</f>
        <v>236.91</v>
      </c>
      <c r="I59" s="5">
        <f>H59</f>
        <v>236.91</v>
      </c>
      <c r="J59" s="5">
        <f>I59</f>
        <v>236.91</v>
      </c>
      <c r="K59" s="5">
        <f>J59</f>
        <v>236.91</v>
      </c>
      <c r="L59" s="5">
        <f>K59</f>
        <v>236.91</v>
      </c>
      <c r="M59" s="1"/>
      <c r="N59" s="1"/>
    </row>
    <row r="60">
      <c r="A60" s="12" t="s">
        <v>745</v>
      </c>
      <c r="B60" s="17">
        <f>BS_Hist!D52</f>
        <v>166.89600000000002</v>
      </c>
      <c r="C60" s="57">
        <f>Interim_Bridge!D70</f>
        <v>418.264</v>
      </c>
      <c r="D60" s="5">
        <f>C60</f>
        <v>418.264</v>
      </c>
      <c r="E60" s="5">
        <f>D60</f>
        <v>418.264</v>
      </c>
      <c r="F60" s="5">
        <f>E60</f>
        <v>418.264</v>
      </c>
      <c r="G60" s="5">
        <f>F60</f>
        <v>418.264</v>
      </c>
      <c r="H60" s="5">
        <f>G60</f>
        <v>418.264</v>
      </c>
      <c r="I60" s="5">
        <f>H60</f>
        <v>418.264</v>
      </c>
      <c r="J60" s="5">
        <f>I60</f>
        <v>418.264</v>
      </c>
      <c r="K60" s="5">
        <f>J60</f>
        <v>418.264</v>
      </c>
      <c r="L60" s="5">
        <f>K60</f>
        <v>418.264</v>
      </c>
      <c r="M60" s="1"/>
      <c r="N60" s="1"/>
    </row>
    <row r="61">
      <c r="A61" s="12" t="s">
        <v>156</v>
      </c>
      <c r="B61" s="17">
        <f>N(BS_Hist!D25)</f>
        <v>354.46</v>
      </c>
      <c r="C61" s="57">
        <f>Interim_Bridge!D71</f>
        <v>242.672</v>
      </c>
      <c r="D61" s="5">
        <f>C61</f>
        <v>242.672</v>
      </c>
      <c r="E61" s="5">
        <f>D61</f>
        <v>242.672</v>
      </c>
      <c r="F61" s="5">
        <f>E61</f>
        <v>242.672</v>
      </c>
      <c r="G61" s="5">
        <f>F61</f>
        <v>242.672</v>
      </c>
      <c r="H61" s="5">
        <f>G61</f>
        <v>242.672</v>
      </c>
      <c r="I61" s="5">
        <f>H61</f>
        <v>242.672</v>
      </c>
      <c r="J61" s="5">
        <f>I61</f>
        <v>242.672</v>
      </c>
      <c r="K61" s="5">
        <f>J61</f>
        <v>242.672</v>
      </c>
      <c r="L61" s="5">
        <f>K61</f>
        <v>242.672</v>
      </c>
      <c r="M61" s="1"/>
      <c r="N61" s="1"/>
    </row>
    <row r="62">
      <c r="A62" s="12" t="s">
        <v>747</v>
      </c>
      <c r="B62" s="17">
        <f>BS_Hist!D53</f>
        <v>261.822</v>
      </c>
      <c r="C62" s="57">
        <f>Interim_Bridge!D72</f>
        <v>568.827</v>
      </c>
      <c r="D62" s="5">
        <f>C62</f>
        <v>568.827</v>
      </c>
      <c r="E62" s="5">
        <f>D62</f>
        <v>568.827</v>
      </c>
      <c r="F62" s="5">
        <f>E62</f>
        <v>568.827</v>
      </c>
      <c r="G62" s="5">
        <f>F62</f>
        <v>568.827</v>
      </c>
      <c r="H62" s="5">
        <f>G62</f>
        <v>568.827</v>
      </c>
      <c r="I62" s="5">
        <f>H62</f>
        <v>568.827</v>
      </c>
      <c r="J62" s="5">
        <f>I62</f>
        <v>568.827</v>
      </c>
      <c r="K62" s="5">
        <f>J62</f>
        <v>568.827</v>
      </c>
      <c r="L62" s="5">
        <f>K62</f>
        <v>568.827</v>
      </c>
      <c r="M62" s="1"/>
      <c r="N62" s="1"/>
    </row>
    <row r="63">
      <c r="A63" s="12" t="s">
        <v>748</v>
      </c>
      <c r="B63" s="17">
        <f>BS_Hist!D54</f>
        <v>0</v>
      </c>
      <c r="C63" s="57">
        <f>Interim_Bridge!D73</f>
        <v>550.9463999999999</v>
      </c>
      <c r="D63" s="17">
        <f>Schedules!D16</f>
        <v>137.73659999999995</v>
      </c>
      <c r="E63" s="17">
        <f>Schedules!E16</f>
        <v>0</v>
      </c>
      <c r="F63" s="17">
        <f>Schedules!F16</f>
        <v>0</v>
      </c>
      <c r="G63" s="17">
        <f>Schedules!G16</f>
        <v>0</v>
      </c>
      <c r="H63" s="17">
        <f>Schedules!H16</f>
        <v>0</v>
      </c>
      <c r="I63" s="17">
        <f>Schedules!I16</f>
        <v>0</v>
      </c>
      <c r="J63" s="17">
        <f>Schedules!J16</f>
        <v>0</v>
      </c>
      <c r="K63" s="17">
        <f>Schedules!K16</f>
        <v>0</v>
      </c>
      <c r="L63" s="17">
        <f>Schedules!L16</f>
        <v>0</v>
      </c>
      <c r="M63" s="1"/>
      <c r="N63" s="1"/>
    </row>
    <row r="64">
      <c r="A64" s="4" t="s">
        <v>166</v>
      </c>
      <c r="B64" s="22">
        <f>B58+B59+B60+B61+B62+B63</f>
        <v>971.3439999999999</v>
      </c>
      <c r="C64" s="9">
        <f>C58+C59+C60+C61+C62+C63</f>
        <v>2224.4332235505794</v>
      </c>
      <c r="D64" s="22">
        <f>D58+D59+D60+D61+D62+D63</f>
        <v>1971.566097792936</v>
      </c>
      <c r="E64" s="22">
        <f>E58+E59+E60+E61+E62+E63</f>
        <v>2211.9179006588365</v>
      </c>
      <c r="F64" s="22">
        <f>F58+F59+F60+F61+F62+F63</f>
        <v>2198.1966105606507</v>
      </c>
      <c r="G64" s="22">
        <f>G58+G59+G60+G61+G62+G63</f>
        <v>2169.8684603162756</v>
      </c>
      <c r="H64" s="22">
        <f>H58+H59+H60+H61+H62+H63</f>
        <v>2168.329830197996</v>
      </c>
      <c r="I64" s="22">
        <f>I58+I59+I60+I61+I62+I63</f>
        <v>2222.961118220316</v>
      </c>
      <c r="J64" s="22">
        <f>J58+J59+J60+J61+J62+J63</f>
        <v>2247.8594540608347</v>
      </c>
      <c r="K64" s="22">
        <f>K58+K59+K60+K61+K62+K63</f>
        <v>2219.069749695568</v>
      </c>
      <c r="L64" s="22">
        <f>L58+L59+L60+L61+L62+L63</f>
        <v>2257.9061011526646</v>
      </c>
      <c r="M64" s="1"/>
      <c r="N64" s="1"/>
    </row>
    <row r="65">
      <c r="A65" s="12" t="s">
        <v>167</v>
      </c>
      <c r="B65" s="17">
        <f>N(BS_Hist!D35)</f>
        <v>1933.348</v>
      </c>
      <c r="C65" s="8">
        <f>0</f>
        <v>0</v>
      </c>
      <c r="D65" s="5">
        <f>0</f>
        <v>0</v>
      </c>
      <c r="E65" s="5">
        <f>0</f>
        <v>0</v>
      </c>
      <c r="F65" s="5">
        <f>0</f>
        <v>0</v>
      </c>
      <c r="G65" s="5">
        <f>0</f>
        <v>0</v>
      </c>
      <c r="H65" s="5">
        <f>0</f>
        <v>0</v>
      </c>
      <c r="I65" s="5">
        <f>0</f>
        <v>0</v>
      </c>
      <c r="J65" s="5">
        <f>0</f>
        <v>0</v>
      </c>
      <c r="K65" s="5">
        <f>0</f>
        <v>0</v>
      </c>
      <c r="L65" s="5">
        <f>0</f>
        <v>0</v>
      </c>
      <c r="M65" s="1"/>
      <c r="N65" s="1" t="s">
        <v>822</v>
      </c>
    </row>
    <row r="66">
      <c r="A66" s="12" t="s">
        <v>168</v>
      </c>
      <c r="B66" s="17">
        <f>N(BS_Hist!D45)</f>
        <v>-578.655</v>
      </c>
      <c r="C66" s="57">
        <f>Interim_Bridge!D75</f>
        <v>9161.935727288897</v>
      </c>
      <c r="D66" s="5">
        <f>C66+D35+D39-D31+D42</f>
        <v>9456.855517669555</v>
      </c>
      <c r="E66" s="5">
        <f>D66+E35+E39-E31+E42</f>
        <v>10672.216201607294</v>
      </c>
      <c r="F66" s="5">
        <f>E66+F35+F39-F31+F42</f>
        <v>12110.7367488626</v>
      </c>
      <c r="G66" s="5">
        <f>F66+G35+G39-G31+G42</f>
        <v>13547.937434465408</v>
      </c>
      <c r="H66" s="5">
        <f>G66+H35+H39-H31+H42</f>
        <v>15095.506359029967</v>
      </c>
      <c r="I66" s="5">
        <f>H66+I35+I39-I31+I42</f>
        <v>16940.743903511193</v>
      </c>
      <c r="J66" s="5">
        <f>I66+J35+J39-J31+J42</f>
        <v>18940.677935915723</v>
      </c>
      <c r="K66" s="5">
        <f>J66+K35+K39-K31+K42</f>
        <v>20930.950786652564</v>
      </c>
      <c r="L66" s="5">
        <f>K66+L35+L39-L31+L42</f>
        <v>23108.647297665335</v>
      </c>
      <c r="M66" s="1"/>
      <c r="N66" s="1" t="s">
        <v>823</v>
      </c>
    </row>
    <row r="67">
      <c r="A67" s="4" t="s">
        <v>824</v>
      </c>
      <c r="B67" s="41">
        <f>B64+B65+B66</f>
        <v>2326.0370000000003</v>
      </c>
      <c r="C67" s="84">
        <f>C64+C65+C66</f>
        <v>11386.368950839476</v>
      </c>
      <c r="D67" s="41">
        <f>D64+D65+D66</f>
        <v>11428.421615462492</v>
      </c>
      <c r="E67" s="41">
        <f>E64+E65+E66</f>
        <v>12884.13410226613</v>
      </c>
      <c r="F67" s="41">
        <f>F64+F65+F66</f>
        <v>14308.933359423252</v>
      </c>
      <c r="G67" s="41">
        <f>G64+G65+G66</f>
        <v>15717.805894781683</v>
      </c>
      <c r="H67" s="41">
        <f>H64+H65+H66</f>
        <v>17263.836189227964</v>
      </c>
      <c r="I67" s="41">
        <f>I64+I65+I66</f>
        <v>19163.705021731508</v>
      </c>
      <c r="J67" s="41">
        <f>J64+J65+J66</f>
        <v>21188.53738997656</v>
      </c>
      <c r="K67" s="41">
        <f>K64+K65+K66</f>
        <v>23150.020536348133</v>
      </c>
      <c r="L67" s="41">
        <f>L64+L65+L66</f>
        <v>25366.553398818</v>
      </c>
      <c r="M67" s="1"/>
      <c r="N67" s="1"/>
    </row>
    <row r="68">
      <c r="A68" s="1"/>
      <c r="B68" s="1"/>
      <c r="C68" s="59"/>
      <c r="D68" s="1"/>
      <c r="E68" s="1"/>
      <c r="F68" s="1"/>
      <c r="G68" s="1"/>
      <c r="H68" s="1"/>
      <c r="I68" s="1"/>
      <c r="J68" s="1"/>
      <c r="K68" s="1"/>
      <c r="L68" s="1"/>
      <c r="M68" s="1"/>
      <c r="N68" s="1"/>
    </row>
    <row r="69">
      <c r="A69" s="4" t="s">
        <v>825</v>
      </c>
      <c r="B69" s="1"/>
      <c r="C69" s="59"/>
      <c r="D69" s="1"/>
      <c r="E69" s="1"/>
      <c r="F69" s="1"/>
      <c r="G69" s="1"/>
      <c r="H69" s="1"/>
      <c r="I69" s="1"/>
      <c r="J69" s="1"/>
      <c r="K69" s="1"/>
      <c r="L69" s="1"/>
      <c r="M69" s="1"/>
      <c r="N69" s="1"/>
    </row>
    <row r="70">
      <c r="A70" s="12" t="s">
        <v>105</v>
      </c>
      <c r="B70" s="17">
        <f>N(CF_Hist!C7)</f>
        <v>237.827</v>
      </c>
      <c r="C70" s="57">
        <f>Interim_Bridge!D40</f>
        <v>-675.119883538573</v>
      </c>
      <c r="D70" s="5">
        <f>D35</f>
        <v>-29.942707898365214</v>
      </c>
      <c r="E70" s="5">
        <f>E35</f>
        <v>664.4514058435326</v>
      </c>
      <c r="F70" s="5">
        <f>F35</f>
        <v>941.7473226761701</v>
      </c>
      <c r="G70" s="5">
        <f>G35</f>
        <v>1012.3885248465883</v>
      </c>
      <c r="H70" s="5">
        <f>H35</f>
        <v>1194.530305356781</v>
      </c>
      <c r="I70" s="5">
        <f>I35</f>
        <v>1469.9421346196177</v>
      </c>
      <c r="J70" s="5">
        <f>J35</f>
        <v>1626.207516408544</v>
      </c>
      <c r="K70" s="5">
        <f>K35</f>
        <v>1686.671902927284</v>
      </c>
      <c r="L70" s="5">
        <f>L35</f>
        <v>1858.3229469170194</v>
      </c>
      <c r="M70" s="1"/>
      <c r="N70" s="1"/>
    </row>
    <row r="71">
      <c r="A71" s="12" t="s">
        <v>196</v>
      </c>
      <c r="B71" s="17">
        <f>N(CF_Hist!C8)</f>
        <v>34.454</v>
      </c>
      <c r="C71" s="57">
        <f>Interim_Bridge!D41</f>
        <v>222.152</v>
      </c>
      <c r="D71" s="5">
        <f>D40</f>
        <v>604.811296145356</v>
      </c>
      <c r="E71" s="5">
        <f>E40</f>
        <v>926.6939619474716</v>
      </c>
      <c r="F71" s="5">
        <f>F40</f>
        <v>1184.6247127654908</v>
      </c>
      <c r="G71" s="5">
        <f>G40</f>
        <v>1225.2412474646167</v>
      </c>
      <c r="H71" s="5">
        <f>H40</f>
        <v>1181.8016191487652</v>
      </c>
      <c r="I71" s="5">
        <f>I40</f>
        <v>1137.829056142118</v>
      </c>
      <c r="J71" s="5">
        <f>J40</f>
        <v>1120.4493508532307</v>
      </c>
      <c r="K71" s="5">
        <f>K40</f>
        <v>1111.3155327711645</v>
      </c>
      <c r="L71" s="5">
        <f>L40</f>
        <v>1110.1583199528613</v>
      </c>
      <c r="M71" s="1"/>
      <c r="N71" s="1"/>
    </row>
    <row r="72">
      <c r="A72" s="12" t="s">
        <v>197</v>
      </c>
      <c r="B72" s="17">
        <f>N(CF_Hist!C9)</f>
        <v>49.767</v>
      </c>
      <c r="C72" s="57">
        <f>Interim_Bridge!D42</f>
        <v>566.601</v>
      </c>
      <c r="D72" s="5">
        <f>D39</f>
        <v>240.83498896914153</v>
      </c>
      <c r="E72" s="5">
        <f>E39</f>
        <v>390.1598312317182</v>
      </c>
      <c r="F72" s="5">
        <f>F39</f>
        <v>341.9560751288616</v>
      </c>
      <c r="G72" s="5">
        <f>G39</f>
        <v>309.5993983746202</v>
      </c>
      <c r="H72" s="5">
        <f>H39</f>
        <v>277.4302438948537</v>
      </c>
      <c r="I72" s="5">
        <f>I39</f>
        <v>299.6870345486824</v>
      </c>
      <c r="J72" s="5">
        <f>J39</f>
        <v>310.71953656854856</v>
      </c>
      <c r="K72" s="5">
        <f>K39</f>
        <v>303.6009478095584</v>
      </c>
      <c r="L72" s="5">
        <f>L39</f>
        <v>319.3735640957516</v>
      </c>
      <c r="M72" s="1"/>
      <c r="N72" s="1"/>
    </row>
    <row r="73">
      <c r="A73" s="12" t="s">
        <v>198</v>
      </c>
      <c r="B73" s="17">
        <f>N(CF_Hist!C10)</f>
        <v>0</v>
      </c>
      <c r="C73" s="57">
        <f>Interim_Bridge!D43</f>
        <v>92.89945947143285</v>
      </c>
      <c r="D73" s="5">
        <f>D41</f>
        <v>186.3378378857314</v>
      </c>
      <c r="E73" s="5">
        <f>E41</f>
        <v>460.5509061380293</v>
      </c>
      <c r="F73" s="5">
        <f>F41</f>
        <v>455.2572175617301</v>
      </c>
      <c r="G73" s="5">
        <f>G41</f>
        <v>338.796068883148</v>
      </c>
      <c r="H73" s="5">
        <f>H41</f>
        <v>222.3349202045659</v>
      </c>
      <c r="I73" s="5">
        <f>I41</f>
        <v>75.608375312925</v>
      </c>
      <c r="J73" s="5">
        <f>J41</f>
        <v>63.00697942743751</v>
      </c>
      <c r="K73" s="5">
        <f>K41</f>
        <v>0</v>
      </c>
      <c r="L73" s="5">
        <f>L41</f>
        <v>0</v>
      </c>
      <c r="M73" s="1"/>
      <c r="N73" s="1"/>
    </row>
    <row r="74">
      <c r="A74" s="12" t="s">
        <v>201</v>
      </c>
      <c r="B74" s="17">
        <f>N(CF_Hist!C12)</f>
        <v>0</v>
      </c>
      <c r="C74" s="57">
        <f>Interim_Bridge!D44</f>
        <v>60.639855999999995</v>
      </c>
      <c r="D74" s="5">
        <f>-D31</f>
        <v>20.660489999999996</v>
      </c>
      <c r="E74" s="5">
        <f>-E31</f>
        <v>4.132097999999998</v>
      </c>
      <c r="F74" s="5">
        <f>-F31</f>
        <v>0</v>
      </c>
      <c r="G74" s="5">
        <f>-G31</f>
        <v>0</v>
      </c>
      <c r="H74" s="5">
        <f>-H31</f>
        <v>0</v>
      </c>
      <c r="I74" s="5">
        <f>-I31</f>
        <v>0</v>
      </c>
      <c r="J74" s="5">
        <f>-J31</f>
        <v>0</v>
      </c>
      <c r="K74" s="5">
        <f>-K31</f>
        <v>0</v>
      </c>
      <c r="L74" s="5">
        <f>-L31</f>
        <v>0</v>
      </c>
      <c r="M74" s="1"/>
      <c r="N74" s="1"/>
    </row>
    <row r="75">
      <c r="A75" s="12" t="s">
        <v>734</v>
      </c>
      <c r="B75" s="15">
        <v>0</v>
      </c>
      <c r="C75" s="57">
        <f>Interim_Bridge!D45</f>
        <v>-367.2976</v>
      </c>
      <c r="D75" s="5">
        <f>-Schedules!D15</f>
        <v>-413.2098</v>
      </c>
      <c r="E75" s="5">
        <f>-Schedules!E15</f>
        <v>-137.73659999999995</v>
      </c>
      <c r="F75" s="5">
        <f>-Schedules!F15</f>
        <v>0</v>
      </c>
      <c r="G75" s="5">
        <f>-Schedules!G15</f>
        <v>0</v>
      </c>
      <c r="H75" s="5">
        <f>-Schedules!H15</f>
        <v>0</v>
      </c>
      <c r="I75" s="5">
        <f>-Schedules!I15</f>
        <v>0</v>
      </c>
      <c r="J75" s="5">
        <f>-Schedules!J15</f>
        <v>0</v>
      </c>
      <c r="K75" s="5">
        <f>-Schedules!K15</f>
        <v>0</v>
      </c>
      <c r="L75" s="5">
        <f>-Schedules!L15</f>
        <v>0</v>
      </c>
      <c r="M75" s="1"/>
      <c r="N75" s="1"/>
    </row>
    <row r="76">
      <c r="A76" s="12" t="s">
        <v>736</v>
      </c>
      <c r="B76" s="17">
        <f>CF_Hist!C54</f>
        <v>-316.459</v>
      </c>
      <c r="C76" s="57">
        <f>Interim_Bridge!D46</f>
        <v>45.424</v>
      </c>
      <c r="D76" s="5">
        <f>0</f>
        <v>0</v>
      </c>
      <c r="E76" s="5">
        <f>0</f>
        <v>0</v>
      </c>
      <c r="F76" s="5">
        <f>0</f>
        <v>0</v>
      </c>
      <c r="G76" s="5">
        <f>0</f>
        <v>0</v>
      </c>
      <c r="H76" s="5">
        <f>0</f>
        <v>0</v>
      </c>
      <c r="I76" s="5">
        <f>0</f>
        <v>0</v>
      </c>
      <c r="J76" s="5">
        <f>0</f>
        <v>0</v>
      </c>
      <c r="K76" s="5">
        <f>0</f>
        <v>0</v>
      </c>
      <c r="L76" s="5">
        <f>0</f>
        <v>0</v>
      </c>
      <c r="M76" s="1"/>
      <c r="N76" s="1"/>
    </row>
    <row r="77">
      <c r="A77" s="12" t="s">
        <v>238</v>
      </c>
      <c r="B77" s="17">
        <f>CF_Hist!C55</f>
        <v>-15.63900000000003</v>
      </c>
      <c r="C77" s="57">
        <f>Interim_Bridge!D47</f>
        <v>-164.5735123940085</v>
      </c>
      <c r="D77" s="5">
        <f>-(D50-C50)-(D51-C51)+(D58-C58)</f>
        <v>-70.81616346771708</v>
      </c>
      <c r="E77" s="5">
        <f>-(E50-D50)-(E51-D51)+(E58-D58)</f>
        <v>-200.13407035369232</v>
      </c>
      <c r="F77" s="5">
        <f>-(F50-E50)-(F51-E51)+(F58-E58)</f>
        <v>-70.89313452672201</v>
      </c>
      <c r="G77" s="5">
        <f>-(G50-F50)-(G51-F51)+(G58-F58)</f>
        <v>-36.42961991372312</v>
      </c>
      <c r="H77" s="5">
        <f>-(H50-G50)-(H51-G51)+(H58-G58)</f>
        <v>-12.155453757673364</v>
      </c>
      <c r="I77" s="5">
        <f>-(I50-H50)-(I51-H51)+(I58-H58)</f>
        <v>-38.35072083437862</v>
      </c>
      <c r="J77" s="5">
        <f>-(J50-I50)-(J51-I51)+(J58-I58)</f>
        <v>-21.778580815263815</v>
      </c>
      <c r="K77" s="5">
        <f>-(K50-J50)-(K51-J51)+(K58-J58)</f>
        <v>-0.5661099473324356</v>
      </c>
      <c r="L77" s="5">
        <f>-(L50-K50)-(L51-K51)+(L58-K58)</f>
        <v>-27.478371044242365</v>
      </c>
      <c r="M77" s="1"/>
      <c r="N77" s="1"/>
    </row>
    <row r="78">
      <c r="A78" s="4" t="s">
        <v>240</v>
      </c>
      <c r="B78" s="22">
        <f>B70+B71+B72+B73+B74+B75+B76+B77</f>
        <v>-10.050000000000031</v>
      </c>
      <c r="C78" s="9">
        <f>C70+C71+C72+C73+C74+C75+C76+C77</f>
        <v>-219.27468046114868</v>
      </c>
      <c r="D78" s="22">
        <f>D70+D71+D72+D73+D74+D75+D76+D77</f>
        <v>538.6759416341467</v>
      </c>
      <c r="E78" s="22">
        <f>E70+E71+E72+E73+E74+E75+E76+E77</f>
        <v>2108.1175328070594</v>
      </c>
      <c r="F78" s="22">
        <f>F70+F71+F72+F73+F74+F75+F76+F77</f>
        <v>2852.692193605531</v>
      </c>
      <c r="G78" s="22">
        <f>G70+G71+G72+G73+G74+G75+G76+G77</f>
        <v>2849.59561965525</v>
      </c>
      <c r="H78" s="22">
        <f>H70+H71+H72+H73+H74+H75+H76+H77</f>
        <v>2863.9416348472923</v>
      </c>
      <c r="I78" s="22">
        <f>I70+I71+I72+I73+I74+I75+I76+I77</f>
        <v>2944.7158797889647</v>
      </c>
      <c r="J78" s="22">
        <f>J70+J71+J72+J73+J74+J75+J76+J77</f>
        <v>3098.604802442497</v>
      </c>
      <c r="K78" s="22">
        <f>K70+K71+K72+K73+K74+K75+K76+K77</f>
        <v>3101.0222735606744</v>
      </c>
      <c r="L78" s="22">
        <f>L70+L71+L72+L73+L74+L75+L76+L77</f>
        <v>3260.3764599213896</v>
      </c>
      <c r="M78" s="1"/>
      <c r="N78" s="1"/>
    </row>
    <row r="79">
      <c r="A79" s="12" t="s">
        <v>212</v>
      </c>
      <c r="B79" s="17">
        <f>N(CF_Hist!C28)</f>
        <v>-382.739</v>
      </c>
      <c r="C79" s="57">
        <f>Interim_Bridge!D49</f>
        <v>-1448.873</v>
      </c>
      <c r="D79" s="5">
        <f>-Schedules!D7</f>
        <v>-1424.076369162848</v>
      </c>
      <c r="E79" s="5">
        <f>-Schedules!E7</f>
        <v>-2360.6075495447885</v>
      </c>
      <c r="F79" s="5">
        <f>-Schedules!F7</f>
        <v>-1556.2263808943076</v>
      </c>
      <c r="G79" s="5">
        <f>-Schedules!G7</f>
        <v>-1137.9553222296809</v>
      </c>
      <c r="H79" s="5">
        <f>-Schedules!H7</f>
        <v>-965.0101461727411</v>
      </c>
      <c r="I79" s="5">
        <f>-Schedules!I7</f>
        <v>-1046.81258807161</v>
      </c>
      <c r="J79" s="5">
        <f>-Schedules!J7</f>
        <v>-1089.80788190153</v>
      </c>
      <c r="K79" s="5">
        <f>-Schedules!K7</f>
        <v>-1078.0202751484007</v>
      </c>
      <c r="L79" s="5">
        <f>-Schedules!L7</f>
        <v>-1135.3530878475021</v>
      </c>
      <c r="M79" s="1"/>
      <c r="N79" s="1"/>
    </row>
    <row r="80">
      <c r="A80" s="12" t="s">
        <v>239</v>
      </c>
      <c r="B80" s="17">
        <f>CF_Hist!C56</f>
        <v>-284.837</v>
      </c>
      <c r="C80" s="57">
        <f>Interim_Bridge!D50</f>
        <v>-761.0600000000001</v>
      </c>
      <c r="D80" s="5">
        <f>0</f>
        <v>0</v>
      </c>
      <c r="E80" s="5">
        <f>0</f>
        <v>0</v>
      </c>
      <c r="F80" s="5">
        <f>0</f>
        <v>0</v>
      </c>
      <c r="G80" s="5">
        <f>0</f>
        <v>0</v>
      </c>
      <c r="H80" s="5">
        <f>0</f>
        <v>0</v>
      </c>
      <c r="I80" s="5">
        <f>0</f>
        <v>0</v>
      </c>
      <c r="J80" s="5">
        <f>0</f>
        <v>0</v>
      </c>
      <c r="K80" s="5">
        <f>0</f>
        <v>0</v>
      </c>
      <c r="L80" s="5">
        <f>0</f>
        <v>0</v>
      </c>
      <c r="M80" s="1"/>
      <c r="N80" s="1"/>
    </row>
    <row r="81">
      <c r="A81" s="12" t="s">
        <v>242</v>
      </c>
      <c r="B81" s="17">
        <f>N(CF_Hist!C47)</f>
        <v>1026.56</v>
      </c>
      <c r="C81" s="57">
        <f>Interim_Bridge!D51</f>
        <v>7853.242</v>
      </c>
      <c r="D81" s="5">
        <f>0</f>
        <v>0</v>
      </c>
      <c r="E81" s="5">
        <f>0</f>
        <v>0</v>
      </c>
      <c r="F81" s="5">
        <f>0</f>
        <v>0</v>
      </c>
      <c r="G81" s="5">
        <f>0</f>
        <v>0</v>
      </c>
      <c r="H81" s="5">
        <f>0</f>
        <v>0</v>
      </c>
      <c r="I81" s="5">
        <f>0</f>
        <v>0</v>
      </c>
      <c r="J81" s="5">
        <f>0</f>
        <v>0</v>
      </c>
      <c r="K81" s="5">
        <f>0</f>
        <v>0</v>
      </c>
      <c r="L81" s="5">
        <f>0</f>
        <v>0</v>
      </c>
      <c r="M81" s="1"/>
      <c r="N81" s="1" t="s">
        <v>826</v>
      </c>
    </row>
    <row r="82">
      <c r="A82" s="12" t="s">
        <v>343</v>
      </c>
      <c r="B82" s="17">
        <f>N(CF_Hist!C48)</f>
        <v>-0.521</v>
      </c>
      <c r="C82" s="57">
        <f>Interim_Bridge!D52</f>
        <v>0.638</v>
      </c>
      <c r="D82" s="5">
        <f>0</f>
        <v>0</v>
      </c>
      <c r="E82" s="5">
        <f>0</f>
        <v>0</v>
      </c>
      <c r="F82" s="5">
        <f>0</f>
        <v>0</v>
      </c>
      <c r="G82" s="5">
        <f>0</f>
        <v>0</v>
      </c>
      <c r="H82" s="5">
        <f>0</f>
        <v>0</v>
      </c>
      <c r="I82" s="5">
        <f>0</f>
        <v>0</v>
      </c>
      <c r="J82" s="5">
        <f>0</f>
        <v>0</v>
      </c>
      <c r="K82" s="5">
        <f>0</f>
        <v>0</v>
      </c>
      <c r="L82" s="5">
        <f>0</f>
        <v>0</v>
      </c>
      <c r="M82" s="1"/>
      <c r="N82" s="1"/>
    </row>
    <row r="83">
      <c r="A83" s="4" t="s">
        <v>344</v>
      </c>
      <c r="B83" s="41">
        <f>B78+B79+B80+B81+B82</f>
        <v>348.41299999999995</v>
      </c>
      <c r="C83" s="84">
        <f>C78+C79+C80+C81+C82</f>
        <v>5424.672319538851</v>
      </c>
      <c r="D83" s="41">
        <f>D78+D79+D80+D81+D82</f>
        <v>-885.4004275287014</v>
      </c>
      <c r="E83" s="41">
        <f>E78+E79+E80+E81+E82</f>
        <v>-252.4900167377291</v>
      </c>
      <c r="F83" s="41">
        <f>F78+F79+F80+F81+F82</f>
        <v>1296.4658127112234</v>
      </c>
      <c r="G83" s="41">
        <f>G78+G79+G80+G81+G82</f>
        <v>1711.6402974255693</v>
      </c>
      <c r="H83" s="41">
        <f>H78+H79+H80+H81+H82</f>
        <v>1898.9314886745512</v>
      </c>
      <c r="I83" s="41">
        <f>I78+I79+I80+I81+I82</f>
        <v>1897.9032917173547</v>
      </c>
      <c r="J83" s="41">
        <f>J78+J79+J80+J81+J82</f>
        <v>2008.7969205409672</v>
      </c>
      <c r="K83" s="41">
        <f>K78+K79+K80+K81+K82</f>
        <v>2023.0019984122737</v>
      </c>
      <c r="L83" s="41">
        <f>L78+L79+L80+L81+L82</f>
        <v>2125.0233720738875</v>
      </c>
      <c r="M83" s="1"/>
      <c r="N83" s="1"/>
    </row>
    <row r="84">
      <c r="A84" s="4" t="s">
        <v>827</v>
      </c>
      <c r="B84" s="20">
        <f>B78+B79</f>
        <v>-392.789</v>
      </c>
      <c r="C84" s="54">
        <f>C78+C79</f>
        <v>-1668.1476804611486</v>
      </c>
      <c r="D84" s="20">
        <f>D78+D79</f>
        <v>-885.4004275287014</v>
      </c>
      <c r="E84" s="20">
        <f>E78+E79</f>
        <v>-252.4900167377291</v>
      </c>
      <c r="F84" s="20">
        <f>F78+F79</f>
        <v>1296.4658127112234</v>
      </c>
      <c r="G84" s="20">
        <f>G78+G79</f>
        <v>1711.6402974255693</v>
      </c>
      <c r="H84" s="20">
        <f>H78+H79</f>
        <v>1898.9314886745512</v>
      </c>
      <c r="I84" s="20">
        <f>I78+I79</f>
        <v>1897.9032917173547</v>
      </c>
      <c r="J84" s="20">
        <f>J78+J79</f>
        <v>2008.7969205409672</v>
      </c>
      <c r="K84" s="20">
        <f>K78+K79</f>
        <v>2023.0019984122737</v>
      </c>
      <c r="L84" s="20">
        <f>L78+L79</f>
        <v>2125.0233720738875</v>
      </c>
      <c r="M84" s="1"/>
      <c r="N84" s="1"/>
    </row>
    <row r="85">
      <c r="A85" s="86" t="s">
        <v>828</v>
      </c>
      <c r="B85" s="18">
        <f>B84/B13</f>
        <v>-0.7701881013586515</v>
      </c>
      <c r="C85" s="37">
        <f>C84/C13</f>
        <v>-1.3974930488185047</v>
      </c>
      <c r="D85" s="18">
        <f>D84/D13</f>
        <v>-0.29411023084927207</v>
      </c>
      <c r="E85" s="18">
        <f>E84/E13</f>
        <v>-0.03882870503720929</v>
      </c>
      <c r="F85" s="18">
        <f>F84/F13</f>
        <v>0.18956613246638002</v>
      </c>
      <c r="G85" s="18">
        <f>G84/G13</f>
        <v>0.24878541039976626</v>
      </c>
      <c r="H85" s="18">
        <f>H84/H13</f>
        <v>0.27378867740090346</v>
      </c>
      <c r="I85" s="18">
        <f>I84/I13</f>
        <v>0.2533180382094977</v>
      </c>
      <c r="J85" s="18">
        <f>J84/J13</f>
        <v>0.2585993713462947</v>
      </c>
      <c r="K85" s="18">
        <f>K84/K13</f>
        <v>0.26653434556222194</v>
      </c>
      <c r="L85" s="18">
        <f>L84/L13</f>
        <v>0.2661489379173265</v>
      </c>
      <c r="M85" s="1"/>
      <c r="N85" s="1"/>
    </row>
    <row r="86">
      <c r="A86" s="1"/>
      <c r="B86" s="1"/>
      <c r="C86" s="59"/>
      <c r="D86" s="1"/>
      <c r="E86" s="1"/>
      <c r="F86" s="1"/>
      <c r="G86" s="1"/>
      <c r="H86" s="1"/>
      <c r="I86" s="1"/>
      <c r="J86" s="1"/>
      <c r="K86" s="1"/>
      <c r="L86" s="1"/>
      <c r="M86" s="1"/>
      <c r="N86" s="1"/>
    </row>
    <row r="87">
      <c r="A87" s="4" t="s">
        <v>127</v>
      </c>
      <c r="B87" s="1"/>
      <c r="C87" s="59"/>
      <c r="D87" s="1"/>
      <c r="E87" s="1"/>
      <c r="F87" s="1"/>
      <c r="G87" s="1"/>
      <c r="H87" s="1"/>
      <c r="I87" s="1"/>
      <c r="J87" s="1"/>
      <c r="K87" s="1"/>
      <c r="L87" s="1"/>
      <c r="M87" s="1"/>
      <c r="N87" s="1"/>
    </row>
    <row r="88">
      <c r="A88" s="12" t="s">
        <v>752</v>
      </c>
      <c r="B88" s="14">
        <f>B57-B67</f>
        <v>0</v>
      </c>
      <c r="C88" s="25">
        <f>C57-C67</f>
        <v>0</v>
      </c>
      <c r="D88" s="14">
        <f>D57-D67</f>
        <v>0</v>
      </c>
      <c r="E88" s="14">
        <f>E57-E67</f>
        <v>0</v>
      </c>
      <c r="F88" s="14">
        <f>F57-F67</f>
        <v>0</v>
      </c>
      <c r="G88" s="14">
        <f>G57-G67</f>
        <v>0</v>
      </c>
      <c r="H88" s="14">
        <f>H57-H67</f>
        <v>0</v>
      </c>
      <c r="I88" s="14">
        <f>I57-I67</f>
        <v>0</v>
      </c>
      <c r="J88" s="14">
        <f>J57-J67</f>
        <v>0</v>
      </c>
      <c r="K88" s="14">
        <f>K57-K67</f>
        <v>0</v>
      </c>
      <c r="L88" s="14">
        <f>L57-L67</f>
        <v>0</v>
      </c>
      <c r="M88" s="1"/>
      <c r="N88" s="1"/>
    </row>
    <row r="89">
      <c r="A89" s="12" t="s">
        <v>829</v>
      </c>
      <c r="B89" s="1"/>
      <c r="C89" s="25">
        <f>B48+C83-C48</f>
        <v>0</v>
      </c>
      <c r="D89" s="14">
        <f>C48+D83-D48</f>
        <v>0</v>
      </c>
      <c r="E89" s="14">
        <f>D48+E83-E48</f>
        <v>0</v>
      </c>
      <c r="F89" s="14">
        <f>E48+F83-F48</f>
        <v>0</v>
      </c>
      <c r="G89" s="14">
        <f>F48+G83-G48</f>
        <v>0</v>
      </c>
      <c r="H89" s="14">
        <f>G48+H83-H48</f>
        <v>0</v>
      </c>
      <c r="I89" s="14">
        <f>H48+I83-I48</f>
        <v>0</v>
      </c>
      <c r="J89" s="14">
        <f>I48+J83-J48</f>
        <v>0</v>
      </c>
      <c r="K89" s="14">
        <f>J48+K83-K48</f>
        <v>0</v>
      </c>
      <c r="L89" s="14">
        <f>K48+L83-L48</f>
        <v>0</v>
      </c>
      <c r="M89" s="1"/>
      <c r="N89" s="1"/>
    </row>
    <row r="90">
      <c r="A90" s="12" t="s">
        <v>830</v>
      </c>
      <c r="B90" s="14">
        <f>ABS(B13-N(IS_Hist!C9))+ABS(B35-N(IS_Hist!C26))+ABS(B78-N(CF_Hist!C25))</f>
        <v>0</v>
      </c>
      <c r="C90" s="59"/>
      <c r="D90" s="1"/>
      <c r="E90" s="1"/>
      <c r="F90" s="1"/>
      <c r="G90" s="1"/>
      <c r="H90" s="1"/>
      <c r="I90" s="1"/>
      <c r="J90" s="1"/>
      <c r="K90" s="1"/>
      <c r="L90" s="1"/>
      <c r="M90" s="1"/>
      <c r="N90" s="1"/>
    </row>
    <row r="91">
      <c r="A91" s="12" t="s">
        <v>831</v>
      </c>
      <c r="B91" s="14">
        <f>B83-N(CF_Hist!C49)</f>
        <v>0</v>
      </c>
      <c r="C91" s="59"/>
      <c r="D91" s="1"/>
      <c r="E91" s="1"/>
      <c r="F91" s="1"/>
      <c r="G91" s="1"/>
      <c r="H91" s="1"/>
      <c r="I91" s="1"/>
      <c r="J91" s="1"/>
      <c r="K91" s="1"/>
      <c r="L91" s="1"/>
      <c r="M91" s="1"/>
      <c r="N91" s="1"/>
    </row>
    <row r="92">
      <c r="A92" s="12" t="s">
        <v>832</v>
      </c>
      <c r="B92" s="1"/>
      <c r="C92" s="25">
        <f>ABS(C13-N(IS_Hist!E9)-Interim_Bridge!C13)+ABS(C35-N(IS_Hist!E26)-Interim_Bridge!C31)</f>
        <v>0</v>
      </c>
      <c r="D92" s="1"/>
      <c r="E92" s="1"/>
      <c r="F92" s="1"/>
      <c r="G92" s="1"/>
      <c r="H92" s="1"/>
      <c r="I92" s="1"/>
      <c r="J92" s="1"/>
      <c r="K92" s="1"/>
      <c r="L92" s="1"/>
      <c r="M92" s="1"/>
      <c r="N92" s="1"/>
    </row>
  </sheetData>
</worksheet>
</file>

<file path=xl/worksheets/sheet15.xml><?xml version="1.0" encoding="utf-8"?>
<worksheet xmlns="http://schemas.openxmlformats.org/spreadsheetml/2006/main" xmlns:r="http://schemas.openxmlformats.org/officeDocument/2006/relationships">
  <sheetPr>
    <tabColor rgb="FF5A2331"/>
  </sheetPr>
  <dimension ref="A1:N52"/>
  <sheetViews>
    <sheetView showGridLines="0" workbookViewId="0"/>
  </sheetViews>
  <sheetFormatPr defaultColWidth="8.375" defaultRowHeight="15"/>
  <cols>
    <col min="1" max="1" width="99.375" customWidth="1"/>
    <col min="2" max="12" width="12.70703125" customWidth="1"/>
    <col min="13" max="13" width="17.70703125" customWidth="1"/>
    <col min="14" max="14" width="99.375" customWidth="1"/>
  </cols>
  <sheetData>
    <row r="1">
      <c r="A1" s="21" t="s">
        <v>833</v>
      </c>
      <c r="B1" s="1"/>
      <c r="C1" s="1"/>
      <c r="D1" s="1"/>
      <c r="E1" s="1"/>
      <c r="F1" s="1"/>
      <c r="G1" s="1"/>
      <c r="H1" s="1"/>
      <c r="I1" s="1"/>
      <c r="J1" s="1"/>
      <c r="K1" s="1"/>
      <c r="L1" s="1"/>
      <c r="M1" s="1"/>
      <c r="N1" s="1"/>
    </row>
    <row r="2">
      <c r="A2" s="1" t="s">
        <v>834</v>
      </c>
      <c r="B2" s="1"/>
      <c r="C2" s="1"/>
      <c r="D2" s="1"/>
      <c r="E2" s="1"/>
      <c r="F2" s="1"/>
      <c r="G2" s="1"/>
      <c r="H2" s="1"/>
      <c r="I2" s="1"/>
      <c r="J2" s="1"/>
      <c r="K2" s="1"/>
      <c r="L2" s="1"/>
      <c r="M2" s="1"/>
      <c r="N2" s="1"/>
    </row>
    <row r="3">
      <c r="A3" s="1"/>
      <c r="B3" s="1"/>
      <c r="C3" s="1"/>
      <c r="D3" s="1"/>
      <c r="E3" s="1"/>
      <c r="F3" s="1"/>
      <c r="G3" s="1"/>
      <c r="H3" s="1"/>
      <c r="I3" s="1"/>
      <c r="J3" s="1"/>
      <c r="K3" s="1"/>
      <c r="L3" s="1"/>
      <c r="M3" s="1"/>
      <c r="N3" s="1"/>
    </row>
    <row r="4">
      <c r="A4" s="3" t="s">
        <v>539</v>
      </c>
      <c r="B4" s="24" t="s">
        <v>135</v>
      </c>
      <c r="C4" s="1"/>
      <c r="D4" s="1"/>
      <c r="E4" s="1"/>
      <c r="F4" s="1"/>
      <c r="G4" s="1"/>
      <c r="H4" s="1"/>
      <c r="I4" s="1"/>
      <c r="J4" s="1"/>
      <c r="K4" s="1"/>
      <c r="L4" s="1"/>
      <c r="M4" s="6" t="s">
        <v>86</v>
      </c>
      <c r="N4" s="6" t="s">
        <v>87</v>
      </c>
    </row>
    <row r="5">
      <c r="A5" s="1"/>
      <c r="B5" s="1"/>
      <c r="C5" s="1"/>
      <c r="D5" s="1"/>
      <c r="E5" s="1"/>
      <c r="F5" s="1"/>
      <c r="G5" s="1"/>
      <c r="H5" s="1"/>
      <c r="I5" s="1"/>
      <c r="J5" s="1"/>
      <c r="K5" s="1"/>
      <c r="L5" s="1"/>
      <c r="M5" s="1"/>
      <c r="N5" s="1"/>
    </row>
    <row r="6">
      <c r="A6" s="4" t="s">
        <v>835</v>
      </c>
      <c r="B6" s="1"/>
      <c r="C6" s="1"/>
      <c r="D6" s="1"/>
      <c r="E6" s="1"/>
      <c r="F6" s="1"/>
      <c r="G6" s="1"/>
      <c r="H6" s="1"/>
      <c r="I6" s="1"/>
      <c r="J6" s="1"/>
      <c r="K6" s="1"/>
      <c r="L6" s="1"/>
      <c r="M6" s="1"/>
      <c r="N6" s="1"/>
    </row>
    <row r="7">
      <c r="A7" s="12" t="s">
        <v>137</v>
      </c>
      <c r="B7" s="17">
        <f>N(BS_Hist!F7)</f>
        <v>6742.157</v>
      </c>
      <c r="C7" s="1"/>
      <c r="D7" s="1"/>
      <c r="E7" s="1"/>
      <c r="F7" s="1"/>
      <c r="G7" s="1"/>
      <c r="H7" s="1"/>
      <c r="I7" s="1"/>
      <c r="J7" s="1"/>
      <c r="K7" s="1"/>
      <c r="L7" s="1"/>
      <c r="M7" s="1"/>
      <c r="N7" s="1"/>
    </row>
    <row r="8">
      <c r="A8" s="12" t="s">
        <v>140</v>
      </c>
      <c r="B8" s="17">
        <f>N(BS_Hist!F9)</f>
        <v>1179.39</v>
      </c>
      <c r="C8" s="1"/>
      <c r="D8" s="1"/>
      <c r="E8" s="1"/>
      <c r="F8" s="1"/>
      <c r="G8" s="1"/>
      <c r="H8" s="1"/>
      <c r="I8" s="1"/>
      <c r="J8" s="1"/>
      <c r="K8" s="1"/>
      <c r="L8" s="1"/>
      <c r="M8" s="1"/>
      <c r="N8" s="1"/>
    </row>
    <row r="9">
      <c r="A9" s="12" t="s">
        <v>836</v>
      </c>
      <c r="B9" s="17">
        <f>N(BS_Hist!F8)</f>
        <v>684.68</v>
      </c>
      <c r="C9" s="1"/>
      <c r="D9" s="1"/>
      <c r="E9" s="1"/>
      <c r="F9" s="1"/>
      <c r="G9" s="1"/>
      <c r="H9" s="1"/>
      <c r="I9" s="1"/>
      <c r="J9" s="1"/>
      <c r="K9" s="1"/>
      <c r="L9" s="1"/>
      <c r="M9" s="1"/>
      <c r="N9" s="1" t="s">
        <v>837</v>
      </c>
    </row>
    <row r="10">
      <c r="A10" s="12" t="s">
        <v>838</v>
      </c>
      <c r="B10" s="15">
        <v>850</v>
      </c>
      <c r="C10" s="1"/>
      <c r="D10" s="1"/>
      <c r="E10" s="1"/>
      <c r="F10" s="1"/>
      <c r="G10" s="1"/>
      <c r="H10" s="1"/>
      <c r="I10" s="1"/>
      <c r="J10" s="1"/>
      <c r="K10" s="1"/>
      <c r="L10" s="1"/>
      <c r="M10" s="1"/>
      <c r="N10" s="1" t="s">
        <v>839</v>
      </c>
    </row>
    <row r="11">
      <c r="A11" s="4" t="s">
        <v>840</v>
      </c>
      <c r="B11" s="22">
        <f>B7+B8+B10</f>
        <v>8771.547</v>
      </c>
      <c r="C11" s="1"/>
      <c r="D11" s="1"/>
      <c r="E11" s="1"/>
      <c r="F11" s="1"/>
      <c r="G11" s="1"/>
      <c r="H11" s="1"/>
      <c r="I11" s="1"/>
      <c r="J11" s="1"/>
      <c r="K11" s="1"/>
      <c r="L11" s="1"/>
      <c r="M11" s="1"/>
      <c r="N11" s="1"/>
    </row>
    <row r="12">
      <c r="A12" s="1"/>
      <c r="B12" s="1"/>
      <c r="C12" s="1"/>
      <c r="D12" s="1"/>
      <c r="E12" s="1"/>
      <c r="F12" s="1"/>
      <c r="G12" s="1"/>
      <c r="H12" s="1"/>
      <c r="I12" s="1"/>
      <c r="J12" s="1"/>
      <c r="K12" s="1"/>
      <c r="L12" s="1"/>
      <c r="M12" s="1"/>
      <c r="N12" s="1"/>
    </row>
    <row r="13">
      <c r="A13" s="4" t="s">
        <v>841</v>
      </c>
      <c r="B13" s="1"/>
      <c r="C13" s="1"/>
      <c r="D13" s="1"/>
      <c r="E13" s="1"/>
      <c r="F13" s="1"/>
      <c r="G13" s="1"/>
      <c r="H13" s="1"/>
      <c r="I13" s="1"/>
      <c r="J13" s="1"/>
      <c r="K13" s="1"/>
      <c r="L13" s="1"/>
      <c r="M13" s="1"/>
      <c r="N13" s="1"/>
    </row>
    <row r="14">
      <c r="A14" s="12" t="s">
        <v>842</v>
      </c>
      <c r="B14" s="17">
        <f>BS_Hist!F54</f>
        <v>918.2439999999999</v>
      </c>
      <c r="C14" s="1"/>
      <c r="D14" s="1"/>
      <c r="E14" s="1"/>
      <c r="F14" s="1"/>
      <c r="G14" s="1"/>
      <c r="H14" s="1"/>
      <c r="I14" s="1"/>
      <c r="J14" s="1"/>
      <c r="K14" s="1"/>
      <c r="L14" s="1"/>
      <c r="M14" s="1"/>
      <c r="N14" s="1" t="s">
        <v>843</v>
      </c>
    </row>
    <row r="15">
      <c r="A15" s="4" t="s">
        <v>844</v>
      </c>
      <c r="B15" s="22">
        <f>B14</f>
        <v>918.2439999999999</v>
      </c>
      <c r="C15" s="1"/>
      <c r="D15" s="1"/>
      <c r="E15" s="1"/>
      <c r="F15" s="1"/>
      <c r="G15" s="1"/>
      <c r="H15" s="1"/>
      <c r="I15" s="1"/>
      <c r="J15" s="1"/>
      <c r="K15" s="1"/>
      <c r="L15" s="1"/>
      <c r="M15" s="1"/>
      <c r="N15" s="1" t="s">
        <v>845</v>
      </c>
    </row>
    <row r="16">
      <c r="A16" s="4" t="s">
        <v>846</v>
      </c>
      <c r="B16" s="22">
        <f>B7+B8-B15</f>
        <v>7003.303000000001</v>
      </c>
      <c r="C16" s="1"/>
      <c r="D16" s="1"/>
      <c r="E16" s="1"/>
      <c r="F16" s="1"/>
      <c r="G16" s="1"/>
      <c r="H16" s="1"/>
      <c r="I16" s="1"/>
      <c r="J16" s="1"/>
      <c r="K16" s="1"/>
      <c r="L16" s="1"/>
      <c r="M16" s="1"/>
      <c r="N16" s="1"/>
    </row>
    <row r="17">
      <c r="A17" s="1"/>
      <c r="B17" s="1"/>
      <c r="C17" s="1"/>
      <c r="D17" s="1"/>
      <c r="E17" s="1"/>
      <c r="F17" s="1"/>
      <c r="G17" s="1"/>
      <c r="H17" s="1"/>
      <c r="I17" s="1"/>
      <c r="J17" s="1"/>
      <c r="K17" s="1"/>
      <c r="L17" s="1"/>
      <c r="M17" s="1"/>
      <c r="N17" s="1"/>
    </row>
    <row r="18">
      <c r="A18" s="4" t="s">
        <v>847</v>
      </c>
      <c r="B18" s="1"/>
      <c r="C18" s="1"/>
      <c r="D18" s="1"/>
      <c r="E18" s="1"/>
      <c r="F18" s="1"/>
      <c r="G18" s="1"/>
      <c r="H18" s="1"/>
      <c r="I18" s="1"/>
      <c r="J18" s="1"/>
      <c r="K18" s="1"/>
      <c r="L18" s="1"/>
      <c r="M18" s="1"/>
      <c r="N18" s="1"/>
    </row>
    <row r="19">
      <c r="A19" s="12" t="s">
        <v>848</v>
      </c>
      <c r="B19" s="17">
        <f>BS_Hist!F53</f>
        <v>568.827</v>
      </c>
      <c r="C19" s="1"/>
      <c r="D19" s="1"/>
      <c r="E19" s="1"/>
      <c r="F19" s="1"/>
      <c r="G19" s="1"/>
      <c r="H19" s="1"/>
      <c r="I19" s="1"/>
      <c r="J19" s="1"/>
      <c r="K19" s="1"/>
      <c r="L19" s="1"/>
      <c r="M19" s="1"/>
      <c r="N19" s="1"/>
    </row>
    <row r="20">
      <c r="A20" s="12" t="s">
        <v>849</v>
      </c>
      <c r="B20" s="15">
        <v>58.153</v>
      </c>
      <c r="C20" s="1"/>
      <c r="D20" s="1"/>
      <c r="E20" s="1"/>
      <c r="F20" s="1"/>
      <c r="G20" s="1"/>
      <c r="H20" s="1"/>
      <c r="I20" s="1"/>
      <c r="J20" s="1"/>
      <c r="K20" s="1"/>
      <c r="L20" s="1"/>
      <c r="M20" s="1"/>
      <c r="N20" s="1" t="s">
        <v>850</v>
      </c>
    </row>
    <row r="21">
      <c r="A21" s="12" t="s">
        <v>851</v>
      </c>
      <c r="B21" s="15">
        <v>132.394</v>
      </c>
      <c r="C21" s="1"/>
      <c r="D21" s="1"/>
      <c r="E21" s="1"/>
      <c r="F21" s="1"/>
      <c r="G21" s="1"/>
      <c r="H21" s="1"/>
      <c r="I21" s="1"/>
      <c r="J21" s="1"/>
      <c r="K21" s="1"/>
      <c r="L21" s="1"/>
      <c r="M21" s="1"/>
      <c r="N21" s="1" t="s">
        <v>850</v>
      </c>
    </row>
    <row r="22">
      <c r="A22" s="12" t="s">
        <v>852</v>
      </c>
      <c r="B22" s="15">
        <v>123.66</v>
      </c>
      <c r="C22" s="1"/>
      <c r="D22" s="1"/>
      <c r="E22" s="1"/>
      <c r="F22" s="1"/>
      <c r="G22" s="1"/>
      <c r="H22" s="1"/>
      <c r="I22" s="1"/>
      <c r="J22" s="1"/>
      <c r="K22" s="1"/>
      <c r="L22" s="1"/>
      <c r="M22" s="1"/>
      <c r="N22" s="1" t="s">
        <v>850</v>
      </c>
    </row>
    <row r="23">
      <c r="A23" s="12" t="s">
        <v>853</v>
      </c>
      <c r="B23" s="15">
        <v>126.323</v>
      </c>
      <c r="C23" s="1"/>
      <c r="D23" s="1"/>
      <c r="E23" s="1"/>
      <c r="F23" s="1"/>
      <c r="G23" s="1"/>
      <c r="H23" s="1"/>
      <c r="I23" s="1"/>
      <c r="J23" s="1"/>
      <c r="K23" s="1"/>
      <c r="L23" s="1"/>
      <c r="M23" s="1"/>
      <c r="N23" s="1" t="s">
        <v>850</v>
      </c>
    </row>
    <row r="24">
      <c r="A24" s="12" t="s">
        <v>854</v>
      </c>
      <c r="B24" s="15">
        <v>123.261</v>
      </c>
      <c r="C24" s="1"/>
      <c r="D24" s="1"/>
      <c r="E24" s="1"/>
      <c r="F24" s="1"/>
      <c r="G24" s="1"/>
      <c r="H24" s="1"/>
      <c r="I24" s="1"/>
      <c r="J24" s="1"/>
      <c r="K24" s="1"/>
      <c r="L24" s="1"/>
      <c r="M24" s="1"/>
      <c r="N24" s="1" t="s">
        <v>850</v>
      </c>
    </row>
    <row r="25">
      <c r="A25" s="12" t="s">
        <v>855</v>
      </c>
      <c r="B25" s="15">
        <v>126.513</v>
      </c>
      <c r="C25" s="1"/>
      <c r="D25" s="1"/>
      <c r="E25" s="1"/>
      <c r="F25" s="1"/>
      <c r="G25" s="1"/>
      <c r="H25" s="1"/>
      <c r="I25" s="1"/>
      <c r="J25" s="1"/>
      <c r="K25" s="1"/>
      <c r="L25" s="1"/>
      <c r="M25" s="1"/>
      <c r="N25" s="1" t="s">
        <v>850</v>
      </c>
    </row>
    <row r="26">
      <c r="A26" s="4" t="s">
        <v>856</v>
      </c>
      <c r="B26" s="22">
        <f>SUM(B20:B25)</f>
        <v>690.304</v>
      </c>
      <c r="C26" s="1"/>
      <c r="D26" s="1"/>
      <c r="E26" s="1"/>
      <c r="F26" s="1"/>
      <c r="G26" s="1"/>
      <c r="H26" s="1"/>
      <c r="I26" s="1"/>
      <c r="J26" s="1"/>
      <c r="K26" s="1"/>
      <c r="L26" s="1"/>
      <c r="M26" s="1"/>
      <c r="N26" s="1"/>
    </row>
    <row r="27">
      <c r="A27" s="12" t="s">
        <v>857</v>
      </c>
      <c r="B27" s="15">
        <v>-121.477</v>
      </c>
      <c r="C27" s="1"/>
      <c r="D27" s="1"/>
      <c r="E27" s="1"/>
      <c r="F27" s="1"/>
      <c r="G27" s="1"/>
      <c r="H27" s="1"/>
      <c r="I27" s="1"/>
      <c r="J27" s="1"/>
      <c r="K27" s="1"/>
      <c r="L27" s="1"/>
      <c r="M27" s="1"/>
      <c r="N27" s="1" t="s">
        <v>850</v>
      </c>
    </row>
    <row r="28">
      <c r="A28" s="12" t="s">
        <v>858</v>
      </c>
      <c r="B28" s="14">
        <f>B26+B27-B19</f>
        <v>0</v>
      </c>
      <c r="C28" s="1"/>
      <c r="D28" s="1"/>
      <c r="E28" s="1"/>
      <c r="F28" s="1"/>
      <c r="G28" s="1"/>
      <c r="H28" s="1"/>
      <c r="I28" s="1"/>
      <c r="J28" s="1"/>
      <c r="K28" s="1"/>
      <c r="L28" s="1"/>
      <c r="M28" s="1"/>
      <c r="N28" s="1"/>
    </row>
    <row r="29">
      <c r="A29" s="12" t="s">
        <v>859</v>
      </c>
      <c r="B29" s="15">
        <v>1500</v>
      </c>
      <c r="C29" s="1"/>
      <c r="D29" s="1"/>
      <c r="E29" s="1"/>
      <c r="F29" s="1"/>
      <c r="G29" s="1"/>
      <c r="H29" s="1"/>
      <c r="I29" s="1"/>
      <c r="J29" s="1"/>
      <c r="K29" s="1"/>
      <c r="L29" s="1"/>
      <c r="M29" s="1"/>
      <c r="N29" s="1" t="s">
        <v>860</v>
      </c>
    </row>
    <row r="30">
      <c r="A30" s="12" t="s">
        <v>861</v>
      </c>
      <c r="B30" s="15">
        <v>753.4</v>
      </c>
      <c r="C30" s="1"/>
      <c r="D30" s="1"/>
      <c r="E30" s="1"/>
      <c r="F30" s="1"/>
      <c r="G30" s="1"/>
      <c r="H30" s="1"/>
      <c r="I30" s="1"/>
      <c r="J30" s="1"/>
      <c r="K30" s="1"/>
      <c r="L30" s="1"/>
      <c r="M30" s="1"/>
      <c r="N30" s="1" t="s">
        <v>862</v>
      </c>
    </row>
    <row r="31">
      <c r="A31" s="12" t="s">
        <v>863</v>
      </c>
      <c r="B31" s="15">
        <v>2300</v>
      </c>
      <c r="C31" s="1"/>
      <c r="D31" s="1"/>
      <c r="E31" s="1"/>
      <c r="F31" s="1"/>
      <c r="G31" s="1"/>
      <c r="H31" s="1"/>
      <c r="I31" s="1"/>
      <c r="J31" s="1"/>
      <c r="K31" s="1"/>
      <c r="L31" s="1"/>
      <c r="M31" s="1"/>
      <c r="N31" s="1" t="s">
        <v>864</v>
      </c>
    </row>
    <row r="32">
      <c r="A32" s="12" t="s">
        <v>865</v>
      </c>
      <c r="B32" s="90">
        <v>2</v>
      </c>
      <c r="C32" s="1"/>
      <c r="D32" s="1"/>
      <c r="E32" s="1"/>
      <c r="F32" s="1"/>
      <c r="G32" s="1"/>
      <c r="H32" s="1"/>
      <c r="I32" s="1"/>
      <c r="J32" s="1"/>
      <c r="K32" s="1"/>
      <c r="L32" s="1"/>
      <c r="M32" s="1"/>
      <c r="N32" s="1" t="s">
        <v>866</v>
      </c>
    </row>
    <row r="33">
      <c r="A33" s="12" t="s">
        <v>867</v>
      </c>
      <c r="B33" s="5">
        <f>CHOOSE(B32,B30,B31)</f>
        <v>2300</v>
      </c>
      <c r="C33" s="1"/>
      <c r="D33" s="1"/>
      <c r="E33" s="1"/>
      <c r="F33" s="1"/>
      <c r="G33" s="1"/>
      <c r="H33" s="1"/>
      <c r="I33" s="1"/>
      <c r="J33" s="1"/>
      <c r="K33" s="1"/>
      <c r="L33" s="1"/>
      <c r="M33" s="1"/>
      <c r="N33" s="1"/>
    </row>
    <row r="34">
      <c r="A34" s="12" t="s">
        <v>868</v>
      </c>
      <c r="B34" s="5">
        <f>B31-B30</f>
        <v>1546.6</v>
      </c>
      <c r="C34" s="1"/>
      <c r="D34" s="1"/>
      <c r="E34" s="1"/>
      <c r="F34" s="1"/>
      <c r="G34" s="1"/>
      <c r="H34" s="1"/>
      <c r="I34" s="1"/>
      <c r="J34" s="1"/>
      <c r="K34" s="1"/>
      <c r="L34" s="1"/>
      <c r="M34" s="1"/>
      <c r="N34" s="1"/>
    </row>
    <row r="35">
      <c r="A35" s="4" t="s">
        <v>869</v>
      </c>
      <c r="B35" s="22">
        <f>B26+B29+B33</f>
        <v>4490.304</v>
      </c>
      <c r="C35" s="1"/>
      <c r="D35" s="1"/>
      <c r="E35" s="1"/>
      <c r="F35" s="1"/>
      <c r="G35" s="1"/>
      <c r="H35" s="1"/>
      <c r="I35" s="1"/>
      <c r="J35" s="1"/>
      <c r="K35" s="1"/>
      <c r="L35" s="1"/>
      <c r="M35" s="1"/>
      <c r="N35" s="1"/>
    </row>
    <row r="36">
      <c r="A36" s="1"/>
      <c r="B36" s="1"/>
      <c r="C36" s="1"/>
      <c r="D36" s="1"/>
      <c r="E36" s="1"/>
      <c r="F36" s="1"/>
      <c r="G36" s="1"/>
      <c r="H36" s="1"/>
      <c r="I36" s="1"/>
      <c r="J36" s="1"/>
      <c r="K36" s="1"/>
      <c r="L36" s="1"/>
      <c r="M36" s="1"/>
      <c r="N36" s="1"/>
    </row>
    <row r="37">
      <c r="A37" s="4" t="s">
        <v>870</v>
      </c>
      <c r="B37" s="1"/>
      <c r="C37" s="1"/>
      <c r="D37" s="1"/>
      <c r="E37" s="1"/>
      <c r="F37" s="1"/>
      <c r="G37" s="1"/>
      <c r="H37" s="1"/>
      <c r="I37" s="1"/>
      <c r="J37" s="1"/>
      <c r="K37" s="1"/>
      <c r="L37" s="1"/>
      <c r="M37" s="1"/>
      <c r="N37" s="1"/>
    </row>
    <row r="38">
      <c r="A38" s="12" t="s">
        <v>871</v>
      </c>
      <c r="B38" s="15">
        <v>3.6</v>
      </c>
      <c r="C38" s="1"/>
      <c r="D38" s="1"/>
      <c r="E38" s="1"/>
      <c r="F38" s="1"/>
      <c r="G38" s="1"/>
      <c r="H38" s="1"/>
      <c r="I38" s="1"/>
      <c r="J38" s="1"/>
      <c r="K38" s="1"/>
      <c r="L38" s="1"/>
      <c r="M38" s="1"/>
      <c r="N38" s="1" t="s">
        <v>872</v>
      </c>
    </row>
    <row r="39">
      <c r="A39" s="12" t="s">
        <v>873</v>
      </c>
      <c r="B39" s="15">
        <v>6.2</v>
      </c>
      <c r="C39" s="1"/>
      <c r="D39" s="1"/>
      <c r="E39" s="1"/>
      <c r="F39" s="1"/>
      <c r="G39" s="1"/>
      <c r="H39" s="1"/>
      <c r="I39" s="1"/>
      <c r="J39" s="1"/>
      <c r="K39" s="1"/>
      <c r="L39" s="1"/>
      <c r="M39" s="1"/>
      <c r="N39" s="1" t="s">
        <v>850</v>
      </c>
    </row>
    <row r="40">
      <c r="A40" s="12" t="s">
        <v>874</v>
      </c>
      <c r="B40" s="15">
        <v>0.5</v>
      </c>
      <c r="C40" s="1"/>
      <c r="D40" s="1"/>
      <c r="E40" s="1"/>
      <c r="F40" s="1"/>
      <c r="G40" s="1"/>
      <c r="H40" s="1"/>
      <c r="I40" s="1"/>
      <c r="J40" s="1"/>
      <c r="K40" s="1"/>
      <c r="L40" s="1"/>
      <c r="M40" s="1"/>
      <c r="N40" s="1" t="s">
        <v>850</v>
      </c>
    </row>
    <row r="41">
      <c r="A41" s="12" t="s">
        <v>875</v>
      </c>
      <c r="B41" s="15">
        <v>0</v>
      </c>
      <c r="C41" s="1"/>
      <c r="D41" s="1"/>
      <c r="E41" s="1"/>
      <c r="F41" s="1"/>
      <c r="G41" s="1"/>
      <c r="H41" s="1"/>
      <c r="I41" s="1"/>
      <c r="J41" s="1"/>
      <c r="K41" s="1"/>
      <c r="L41" s="1"/>
      <c r="M41" s="1"/>
      <c r="N41" s="1" t="s">
        <v>876</v>
      </c>
    </row>
    <row r="42">
      <c r="A42" s="1"/>
      <c r="B42" s="1"/>
      <c r="C42" s="1"/>
      <c r="D42" s="1"/>
      <c r="E42" s="1"/>
      <c r="F42" s="1"/>
      <c r="G42" s="1"/>
      <c r="H42" s="1"/>
      <c r="I42" s="1"/>
      <c r="J42" s="1"/>
      <c r="K42" s="1"/>
      <c r="L42" s="1"/>
      <c r="M42" s="1"/>
      <c r="N42" s="1"/>
    </row>
    <row r="43">
      <c r="A43" s="4" t="s">
        <v>877</v>
      </c>
      <c r="B43" s="1"/>
      <c r="C43" s="1"/>
      <c r="D43" s="1"/>
      <c r="E43" s="1"/>
      <c r="F43" s="1"/>
      <c r="G43" s="1"/>
      <c r="H43" s="1"/>
      <c r="I43" s="1"/>
      <c r="J43" s="1"/>
      <c r="K43" s="1"/>
      <c r="L43" s="1"/>
      <c r="M43" s="1"/>
      <c r="N43" s="1"/>
    </row>
    <row r="44">
      <c r="A44" s="3" t="s">
        <v>81</v>
      </c>
      <c r="B44" s="24" t="s">
        <v>613</v>
      </c>
      <c r="C44" s="102" t="s">
        <v>614</v>
      </c>
      <c r="D44" s="33" t="s">
        <v>455</v>
      </c>
      <c r="E44" s="33" t="s">
        <v>456</v>
      </c>
      <c r="F44" s="33" t="s">
        <v>457</v>
      </c>
      <c r="G44" s="33" t="s">
        <v>458</v>
      </c>
      <c r="H44" s="33" t="s">
        <v>459</v>
      </c>
      <c r="I44" s="33" t="s">
        <v>460</v>
      </c>
      <c r="J44" s="33" t="s">
        <v>461</v>
      </c>
      <c r="K44" s="33" t="s">
        <v>462</v>
      </c>
      <c r="L44" s="33" t="s">
        <v>463</v>
      </c>
      <c r="M44" s="1"/>
      <c r="N44" s="1"/>
    </row>
    <row r="45">
      <c r="A45" s="12" t="s">
        <v>878</v>
      </c>
      <c r="B45" s="17">
        <f>Forecast_3Stmt!B43</f>
        <v>-111.40800000000002</v>
      </c>
      <c r="C45" s="57">
        <f>Forecast_3Stmt!C43</f>
        <v>-618.0327837885729</v>
      </c>
      <c r="D45" s="17">
        <f>Forecast_3Stmt!D43</f>
        <v>316.9875662642838</v>
      </c>
      <c r="E45" s="17">
        <f>Forecast_3Stmt!E43</f>
        <v>1375.0689072575633</v>
      </c>
      <c r="F45" s="17">
        <f>Forecast_3Stmt!F43</f>
        <v>1942.6627483189427</v>
      </c>
      <c r="G45" s="17">
        <f>Forecast_3Stmt!G43</f>
        <v>2218.2576209963545</v>
      </c>
      <c r="H45" s="17">
        <f>Forecast_3Stmt!H43</f>
        <v>2341.190697362731</v>
      </c>
      <c r="I45" s="17">
        <f>Forecast_3Stmt!I43</f>
        <v>2574.6307722179235</v>
      </c>
      <c r="J45" s="17">
        <f>Forecast_3Stmt!J43</f>
        <v>2683.883974235111</v>
      </c>
      <c r="K45" s="17">
        <f>Forecast_3Stmt!K43</f>
        <v>2675.9574697577464</v>
      </c>
      <c r="L45" s="17">
        <f>Forecast_3Stmt!L43</f>
        <v>2816.2174845176355</v>
      </c>
      <c r="M45" s="1"/>
      <c r="N45" s="1"/>
    </row>
    <row r="46">
      <c r="A46" s="12" t="s">
        <v>879</v>
      </c>
      <c r="B46" s="5">
        <f>Forecast_3Stmt!B48+Forecast_3Stmt!B49</f>
        <v>1336.909</v>
      </c>
      <c r="C46" s="8">
        <f>Forecast_3Stmt!C48+Forecast_3Stmt!C49</f>
        <v>7534.440319538852</v>
      </c>
      <c r="D46" s="5">
        <f>Forecast_3Stmt!D48+Forecast_3Stmt!D49</f>
        <v>6649.039892010151</v>
      </c>
      <c r="E46" s="5">
        <f>Forecast_3Stmt!E48+Forecast_3Stmt!E49</f>
        <v>6396.549875272422</v>
      </c>
      <c r="F46" s="5">
        <f>Forecast_3Stmt!F48+Forecast_3Stmt!F49</f>
        <v>7693.015687983645</v>
      </c>
      <c r="G46" s="5">
        <f>Forecast_3Stmt!G48+Forecast_3Stmt!G49</f>
        <v>9404.655985409214</v>
      </c>
      <c r="H46" s="5">
        <f>Forecast_3Stmt!H48+Forecast_3Stmt!H49</f>
        <v>11303.587474083764</v>
      </c>
      <c r="I46" s="5">
        <f>Forecast_3Stmt!I48+Forecast_3Stmt!I49</f>
        <v>13201.49076580112</v>
      </c>
      <c r="J46" s="5">
        <f>Forecast_3Stmt!J48+Forecast_3Stmt!J49</f>
        <v>15210.287686342086</v>
      </c>
      <c r="K46" s="5">
        <f>Forecast_3Stmt!K48+Forecast_3Stmt!K49</f>
        <v>17233.28968475436</v>
      </c>
      <c r="L46" s="5">
        <f>Forecast_3Stmt!L48+Forecast_3Stmt!L49</f>
        <v>19358.313056828247</v>
      </c>
      <c r="M46" s="1"/>
      <c r="N46" s="1"/>
    </row>
    <row r="47">
      <c r="A47" s="12" t="s">
        <v>880</v>
      </c>
      <c r="B47" s="17">
        <f>Forecast_3Stmt!B63</f>
        <v>0</v>
      </c>
      <c r="C47" s="57">
        <f>Forecast_3Stmt!C63</f>
        <v>550.9463999999999</v>
      </c>
      <c r="D47" s="17">
        <f>Forecast_3Stmt!D63</f>
        <v>137.73659999999995</v>
      </c>
      <c r="E47" s="17">
        <f>Forecast_3Stmt!E63</f>
        <v>0</v>
      </c>
      <c r="F47" s="17">
        <f>Forecast_3Stmt!F63</f>
        <v>0</v>
      </c>
      <c r="G47" s="17">
        <f>Forecast_3Stmt!G63</f>
        <v>0</v>
      </c>
      <c r="H47" s="17">
        <f>Forecast_3Stmt!H63</f>
        <v>0</v>
      </c>
      <c r="I47" s="17">
        <f>Forecast_3Stmt!I63</f>
        <v>0</v>
      </c>
      <c r="J47" s="17">
        <f>Forecast_3Stmt!J63</f>
        <v>0</v>
      </c>
      <c r="K47" s="17">
        <f>Forecast_3Stmt!K63</f>
        <v>0</v>
      </c>
      <c r="L47" s="17">
        <f>Forecast_3Stmt!L63</f>
        <v>0</v>
      </c>
      <c r="M47" s="1"/>
      <c r="N47" s="1"/>
    </row>
    <row r="48">
      <c r="A48" s="4" t="s">
        <v>881</v>
      </c>
      <c r="B48" s="22">
        <f>B46-B47</f>
        <v>1336.909</v>
      </c>
      <c r="C48" s="9">
        <f>C46-C47</f>
        <v>6983.493919538852</v>
      </c>
      <c r="D48" s="22">
        <f>D46-D47</f>
        <v>6511.3032920101505</v>
      </c>
      <c r="E48" s="22">
        <f>E46-E47</f>
        <v>6396.549875272422</v>
      </c>
      <c r="F48" s="22">
        <f>F46-F47</f>
        <v>7693.015687983645</v>
      </c>
      <c r="G48" s="22">
        <f>G46-G47</f>
        <v>9404.655985409214</v>
      </c>
      <c r="H48" s="22">
        <f>H46-H47</f>
        <v>11303.587474083764</v>
      </c>
      <c r="I48" s="22">
        <f>I46-I47</f>
        <v>13201.49076580112</v>
      </c>
      <c r="J48" s="22">
        <f>J46-J47</f>
        <v>15210.287686342086</v>
      </c>
      <c r="K48" s="22">
        <f>K46-K47</f>
        <v>17233.28968475436</v>
      </c>
      <c r="L48" s="22">
        <f>L46-L47</f>
        <v>19358.313056828247</v>
      </c>
      <c r="M48" s="1"/>
      <c r="N48" s="1"/>
    </row>
    <row r="49">
      <c r="A49" s="12" t="s">
        <v>882</v>
      </c>
      <c r="B49" s="28">
        <f>IF(B45&gt;0,B47/B45,0)</f>
        <v>0</v>
      </c>
      <c r="C49" s="105">
        <f>IF(C45&gt;0,C47/C45,0)</f>
        <v>0</v>
      </c>
      <c r="D49" s="28">
        <f>IF(D45&gt;0,D47/D45,0)</f>
        <v>0.4345173585930624</v>
      </c>
      <c r="E49" s="28">
        <f>IF(E45&gt;0,E47/E45,0)</f>
        <v>0</v>
      </c>
      <c r="F49" s="28">
        <f>IF(F45&gt;0,F47/F45,0)</f>
        <v>0</v>
      </c>
      <c r="G49" s="28">
        <f>IF(G45&gt;0,G47/G45,0)</f>
        <v>0</v>
      </c>
      <c r="H49" s="28">
        <f>IF(H45&gt;0,H47/H45,0)</f>
        <v>0</v>
      </c>
      <c r="I49" s="28">
        <f>IF(I45&gt;0,I47/I45,0)</f>
        <v>0</v>
      </c>
      <c r="J49" s="28">
        <f>IF(J45&gt;0,J47/J45,0)</f>
        <v>0</v>
      </c>
      <c r="K49" s="28">
        <f>IF(K45&gt;0,K47/K45,0)</f>
        <v>0</v>
      </c>
      <c r="L49" s="28">
        <f>IF(L45&gt;0,L47/L45,0)</f>
        <v>0</v>
      </c>
      <c r="M49" s="1"/>
      <c r="N49" s="1"/>
    </row>
    <row r="50">
      <c r="A50" s="12" t="s">
        <v>883</v>
      </c>
      <c r="B50" s="17">
        <f>Forecast_3Stmt!B62</f>
        <v>261.822</v>
      </c>
      <c r="C50" s="57">
        <f>Forecast_3Stmt!C62</f>
        <v>568.827</v>
      </c>
      <c r="D50" s="17">
        <f>Forecast_3Stmt!D62</f>
        <v>568.827</v>
      </c>
      <c r="E50" s="17">
        <f>Forecast_3Stmt!E62</f>
        <v>568.827</v>
      </c>
      <c r="F50" s="17">
        <f>Forecast_3Stmt!F62</f>
        <v>568.827</v>
      </c>
      <c r="G50" s="17">
        <f>Forecast_3Stmt!G62</f>
        <v>568.827</v>
      </c>
      <c r="H50" s="17">
        <f>Forecast_3Stmt!H62</f>
        <v>568.827</v>
      </c>
      <c r="I50" s="17">
        <f>Forecast_3Stmt!I62</f>
        <v>568.827</v>
      </c>
      <c r="J50" s="17">
        <f>Forecast_3Stmt!J62</f>
        <v>568.827</v>
      </c>
      <c r="K50" s="17">
        <f>Forecast_3Stmt!K62</f>
        <v>568.827</v>
      </c>
      <c r="L50" s="17">
        <f>Forecast_3Stmt!L62</f>
        <v>568.827</v>
      </c>
      <c r="M50" s="1"/>
      <c r="N50" s="1"/>
    </row>
    <row r="51">
      <c r="A51" s="12" t="s">
        <v>884</v>
      </c>
      <c r="B51" s="17">
        <f>Forecast_3Stmt!B84</f>
        <v>-392.789</v>
      </c>
      <c r="C51" s="57">
        <f>Forecast_3Stmt!C84</f>
        <v>-1668.1476804611486</v>
      </c>
      <c r="D51" s="17">
        <f>Forecast_3Stmt!D84</f>
        <v>-885.4004275287014</v>
      </c>
      <c r="E51" s="17">
        <f>Forecast_3Stmt!E84</f>
        <v>-252.4900167377291</v>
      </c>
      <c r="F51" s="17">
        <f>Forecast_3Stmt!F84</f>
        <v>1296.4658127112234</v>
      </c>
      <c r="G51" s="17">
        <f>Forecast_3Stmt!G84</f>
        <v>1711.6402974255693</v>
      </c>
      <c r="H51" s="17">
        <f>Forecast_3Stmt!H84</f>
        <v>1898.9314886745512</v>
      </c>
      <c r="I51" s="17">
        <f>Forecast_3Stmt!I84</f>
        <v>1897.9032917173547</v>
      </c>
      <c r="J51" s="17">
        <f>Forecast_3Stmt!J84</f>
        <v>2008.7969205409672</v>
      </c>
      <c r="K51" s="17">
        <f>Forecast_3Stmt!K84</f>
        <v>2023.0019984122737</v>
      </c>
      <c r="L51" s="17">
        <f>Forecast_3Stmt!L84</f>
        <v>2125.0233720738875</v>
      </c>
      <c r="M51" s="1"/>
      <c r="N51" s="1"/>
    </row>
    <row r="52">
      <c r="A52" s="12" t="s">
        <v>885</v>
      </c>
      <c r="B52" s="5">
        <f>B46-150</f>
        <v>1186.909</v>
      </c>
      <c r="C52" s="8">
        <f>C46-150</f>
        <v>7384.440319538852</v>
      </c>
      <c r="D52" s="5">
        <f>D46-150</f>
        <v>6499.039892010151</v>
      </c>
      <c r="E52" s="5">
        <f>E46-150</f>
        <v>6246.549875272422</v>
      </c>
      <c r="F52" s="5">
        <f>F46-150</f>
        <v>7543.015687983645</v>
      </c>
      <c r="G52" s="5">
        <f>G46-150</f>
        <v>9254.655985409214</v>
      </c>
      <c r="H52" s="5">
        <f>H46-150</f>
        <v>11153.587474083764</v>
      </c>
      <c r="I52" s="5">
        <f>I46-150</f>
        <v>13051.49076580112</v>
      </c>
      <c r="J52" s="5">
        <f>J46-150</f>
        <v>15060.287686342086</v>
      </c>
      <c r="K52" s="5">
        <f>K46-150</f>
        <v>17083.28968475436</v>
      </c>
      <c r="L52" s="5">
        <f>L46-150</f>
        <v>19208.313056828247</v>
      </c>
      <c r="M52" s="1"/>
      <c r="N52" s="1"/>
    </row>
  </sheetData>
</worksheet>
</file>

<file path=xl/worksheets/sheet16.xml><?xml version="1.0" encoding="utf-8"?>
<worksheet xmlns="http://schemas.openxmlformats.org/spreadsheetml/2006/main" xmlns:r="http://schemas.openxmlformats.org/officeDocument/2006/relationships">
  <sheetPr>
    <tabColor rgb="FFC0873A"/>
  </sheetPr>
  <dimension ref="A1:E42"/>
  <sheetViews>
    <sheetView showGridLines="0" workbookViewId="0"/>
  </sheetViews>
  <sheetFormatPr defaultColWidth="8.375" defaultRowHeight="15"/>
  <cols>
    <col min="1" max="1" width="99.375" customWidth="1"/>
    <col min="2" max="2" width="16.0390625" customWidth="1"/>
    <col min="3" max="3" width="11.0390625" customWidth="1"/>
    <col min="4" max="4" width="17.70703125" customWidth="1"/>
    <col min="5" max="5" width="106.0390625" customWidth="1"/>
  </cols>
  <sheetData>
    <row r="1">
      <c r="A1" s="21" t="s">
        <v>886</v>
      </c>
      <c r="B1" s="1"/>
      <c r="C1" s="1"/>
      <c r="D1" s="1"/>
      <c r="E1" s="1"/>
    </row>
    <row r="2">
      <c r="A2" s="1" t="s">
        <v>887</v>
      </c>
      <c r="B2" s="1"/>
      <c r="C2" s="1"/>
      <c r="D2" s="1"/>
      <c r="E2" s="1"/>
    </row>
    <row r="3">
      <c r="A3" s="1"/>
      <c r="B3" s="1"/>
      <c r="C3" s="1"/>
      <c r="D3" s="1"/>
      <c r="E3" s="1"/>
    </row>
    <row r="4">
      <c r="A4" s="3" t="s">
        <v>539</v>
      </c>
      <c r="B4" s="24" t="s">
        <v>15</v>
      </c>
      <c r="C4" s="3" t="s">
        <v>888</v>
      </c>
      <c r="D4" s="6" t="s">
        <v>86</v>
      </c>
      <c r="E4" s="6" t="s">
        <v>87</v>
      </c>
    </row>
    <row r="5">
      <c r="A5" s="1"/>
      <c r="B5" s="1"/>
      <c r="C5" s="1"/>
      <c r="D5" s="1"/>
      <c r="E5" s="1"/>
    </row>
    <row r="6">
      <c r="A6" s="4" t="s">
        <v>889</v>
      </c>
      <c r="B6" s="1"/>
      <c r="C6" s="1"/>
      <c r="D6" s="1"/>
      <c r="E6" s="1"/>
    </row>
    <row r="7">
      <c r="A7" s="12" t="s">
        <v>890</v>
      </c>
      <c r="B7" s="68">
        <f>DATE(2026,10,27)</f>
        <v>46322</v>
      </c>
      <c r="C7" s="1"/>
      <c r="D7" s="1"/>
      <c r="E7" s="1" t="s">
        <v>891</v>
      </c>
    </row>
    <row r="8">
      <c r="A8" s="12" t="s">
        <v>892</v>
      </c>
      <c r="B8" s="68">
        <f>DATE(2026,6,30)</f>
        <v>46203</v>
      </c>
      <c r="C8" s="1"/>
      <c r="D8" s="1"/>
      <c r="E8" s="1" t="s">
        <v>893</v>
      </c>
    </row>
    <row r="9">
      <c r="A9" s="12" t="s">
        <v>894</v>
      </c>
      <c r="B9" s="11">
        <f>(B7-B8)/365</f>
        <v>0.32602739726027397</v>
      </c>
      <c r="C9" s="1"/>
      <c r="D9" s="1"/>
      <c r="E9" s="1"/>
    </row>
    <row r="10">
      <c r="A10" s="56" t="s">
        <v>895</v>
      </c>
      <c r="B10" s="76">
        <v>119.31</v>
      </c>
      <c r="C10" s="1"/>
      <c r="D10" s="1"/>
      <c r="E10" s="1" t="s">
        <v>896</v>
      </c>
    </row>
    <row r="11">
      <c r="A11" s="12" t="s">
        <v>28</v>
      </c>
      <c r="B11" s="44">
        <f>Cap_Table!B30</f>
        <v>286.11751792479674</v>
      </c>
      <c r="C11" s="1"/>
      <c r="D11" s="1"/>
      <c r="E11" s="1"/>
    </row>
    <row r="12">
      <c r="A12" s="12" t="s">
        <v>897</v>
      </c>
      <c r="B12" s="44">
        <f>Cap_Table!B10</f>
        <v>237.56404099999997</v>
      </c>
      <c r="C12" s="1"/>
      <c r="D12" s="1"/>
      <c r="E12" s="1"/>
    </row>
    <row r="13">
      <c r="A13" s="12" t="s">
        <v>898</v>
      </c>
      <c r="B13" s="5">
        <f>B10*B11</f>
        <v>34136.6810636075</v>
      </c>
      <c r="C13" s="1"/>
      <c r="D13" s="1"/>
      <c r="E13" s="1"/>
    </row>
    <row r="14">
      <c r="A14" s="12" t="s">
        <v>899</v>
      </c>
      <c r="B14" s="5">
        <f>B10*B12</f>
        <v>28343.76573171</v>
      </c>
      <c r="C14" s="1"/>
      <c r="D14" s="1"/>
      <c r="E14" s="1"/>
    </row>
    <row r="15">
      <c r="A15" s="12" t="s">
        <v>900</v>
      </c>
      <c r="B15" s="17">
        <f>BS_Hist!F50</f>
        <v>7921.5470000000005</v>
      </c>
      <c r="C15" s="1"/>
      <c r="D15" s="1"/>
      <c r="E15" s="1" t="s">
        <v>901</v>
      </c>
    </row>
    <row r="16">
      <c r="A16" s="12" t="s">
        <v>902</v>
      </c>
      <c r="B16" s="17">
        <f>Debt_Credit!B15</f>
        <v>918.2439999999999</v>
      </c>
      <c r="C16" s="1"/>
      <c r="D16" s="1"/>
      <c r="E16" s="1"/>
    </row>
    <row r="17">
      <c r="A17" s="4" t="s">
        <v>903</v>
      </c>
      <c r="B17" s="22">
        <f>B13-B15+B16</f>
        <v>27133.378063607503</v>
      </c>
      <c r="C17" s="1"/>
      <c r="D17" s="1"/>
      <c r="E17" s="1" t="s">
        <v>904</v>
      </c>
    </row>
    <row r="18">
      <c r="A18" s="12" t="s">
        <v>905</v>
      </c>
      <c r="B18" s="5">
        <f>2/6*Interim_Bridge!C13+10/12*Forecast_3Stmt!D13</f>
        <v>2782.0829819380797</v>
      </c>
      <c r="C18" s="1"/>
      <c r="D18" s="1"/>
      <c r="E18" s="1" t="s">
        <v>906</v>
      </c>
    </row>
    <row r="19">
      <c r="A19" s="12" t="s">
        <v>907</v>
      </c>
      <c r="B19" s="28">
        <f>B17/B18</f>
        <v>9.752900341134183</v>
      </c>
      <c r="C19" s="1"/>
      <c r="D19" s="1"/>
      <c r="E19" s="1"/>
    </row>
    <row r="20">
      <c r="A20" s="12" t="s">
        <v>908</v>
      </c>
      <c r="B20" s="28">
        <f>B17/Forecast_3Stmt!D13</f>
        <v>9.01310168584653</v>
      </c>
      <c r="C20" s="1"/>
      <c r="D20" s="1"/>
      <c r="E20" s="1"/>
    </row>
    <row r="21">
      <c r="A21" s="12" t="s">
        <v>909</v>
      </c>
      <c r="B21" s="28">
        <f>B17/Forecast_3Stmt!E13</f>
        <v>4.172655802820382</v>
      </c>
      <c r="C21" s="1"/>
      <c r="D21" s="1"/>
      <c r="E21" s="1"/>
    </row>
    <row r="22">
      <c r="A22" s="12" t="s">
        <v>910</v>
      </c>
      <c r="B22" s="28">
        <f>IF(Forecast_3Stmt!F43&gt;0,B17/Forecast_3Stmt!F43,0)</f>
        <v>13.967106790453984</v>
      </c>
      <c r="C22" s="1"/>
      <c r="D22" s="1"/>
      <c r="E22" s="1"/>
    </row>
    <row r="23">
      <c r="A23" s="12" t="s">
        <v>911</v>
      </c>
      <c r="B23" s="28">
        <f>B17/Backlog!B7</f>
        <v>1.068243230850689</v>
      </c>
      <c r="C23" s="1"/>
      <c r="D23" s="1"/>
      <c r="E23" s="1"/>
    </row>
    <row r="24">
      <c r="A24" s="1"/>
      <c r="B24" s="1"/>
      <c r="C24" s="1"/>
      <c r="D24" s="1"/>
      <c r="E24" s="1"/>
    </row>
    <row r="25">
      <c r="A25" s="4" t="s">
        <v>912</v>
      </c>
      <c r="B25" s="1"/>
      <c r="C25" s="1"/>
      <c r="D25" s="1"/>
      <c r="E25" s="1"/>
    </row>
    <row r="26">
      <c r="A26" s="36" t="s">
        <v>913</v>
      </c>
      <c r="B26" s="26">
        <v>0.05</v>
      </c>
      <c r="C26" s="1"/>
      <c r="D26" s="1"/>
      <c r="E26" s="1" t="s">
        <v>914</v>
      </c>
    </row>
    <row r="27">
      <c r="A27" s="36" t="s">
        <v>915</v>
      </c>
      <c r="B27" s="26">
        <v>0.042</v>
      </c>
      <c r="C27" s="1"/>
      <c r="D27" s="1"/>
      <c r="E27" s="1" t="s">
        <v>916</v>
      </c>
    </row>
    <row r="28">
      <c r="A28" s="12" t="s">
        <v>917</v>
      </c>
      <c r="B28" s="44">
        <f>Comparables!M10</f>
        <v>1.854</v>
      </c>
      <c r="C28" s="1"/>
      <c r="D28" s="1"/>
      <c r="E28" s="1" t="s">
        <v>918</v>
      </c>
    </row>
    <row r="29">
      <c r="A29" s="36" t="s">
        <v>919</v>
      </c>
      <c r="B29" s="18">
        <f>B16/B14</f>
        <v>0.03239668323156867</v>
      </c>
      <c r="C29" s="1"/>
      <c r="D29" s="1"/>
      <c r="E29" s="1" t="s">
        <v>920</v>
      </c>
    </row>
    <row r="30">
      <c r="A30" s="36" t="s">
        <v>921</v>
      </c>
      <c r="B30" s="26">
        <v>0.21</v>
      </c>
      <c r="C30" s="1"/>
      <c r="D30" s="1"/>
      <c r="E30" s="1" t="s">
        <v>922</v>
      </c>
    </row>
    <row r="31">
      <c r="A31" s="56" t="s">
        <v>923</v>
      </c>
      <c r="B31" s="70">
        <f>B28*(1+(1-B30)*B29)</f>
        <v>1.9014501260619496</v>
      </c>
      <c r="C31" s="1"/>
      <c r="D31" s="1"/>
      <c r="E31" s="1"/>
    </row>
    <row r="32">
      <c r="A32" s="12" t="s">
        <v>924</v>
      </c>
      <c r="B32" s="2">
        <v>1.85</v>
      </c>
      <c r="C32" s="1"/>
      <c r="D32" s="1"/>
      <c r="E32" s="1" t="s">
        <v>925</v>
      </c>
    </row>
    <row r="33">
      <c r="A33" s="36" t="s">
        <v>926</v>
      </c>
      <c r="B33" s="18">
        <f>B26+B31*B27</f>
        <v>0.1298609052946019</v>
      </c>
      <c r="C33" s="1"/>
      <c r="D33" s="1"/>
      <c r="E33" s="1"/>
    </row>
    <row r="34">
      <c r="A34" s="36" t="s">
        <v>927</v>
      </c>
      <c r="B34" s="31">
        <f>Assumptions!$C$32</f>
        <v>0.06</v>
      </c>
      <c r="C34" s="1"/>
      <c r="D34" s="1"/>
      <c r="E34" s="1"/>
    </row>
    <row r="35">
      <c r="A35" s="36" t="s">
        <v>928</v>
      </c>
      <c r="B35" s="18">
        <f>B30</f>
        <v>0.21</v>
      </c>
      <c r="C35" s="1"/>
      <c r="D35" s="1"/>
      <c r="E35" s="1" t="s">
        <v>929</v>
      </c>
    </row>
    <row r="36">
      <c r="A36" s="36" t="s">
        <v>930</v>
      </c>
      <c r="B36" s="18">
        <f>B16/(B16+B14)</f>
        <v>0.031380072948473454</v>
      </c>
      <c r="C36" s="1"/>
      <c r="D36" s="1"/>
      <c r="E36" s="1"/>
    </row>
    <row r="37">
      <c r="A37" s="72" t="s">
        <v>931</v>
      </c>
      <c r="B37" s="7">
        <f>(1-B36)*B33+B36*B34*(1-B35)</f>
        <v>0.12727327607106012</v>
      </c>
      <c r="C37" s="1"/>
      <c r="D37" s="1"/>
      <c r="E37" s="1"/>
    </row>
    <row r="38">
      <c r="A38" s="1"/>
      <c r="B38" s="1"/>
      <c r="C38" s="1"/>
      <c r="D38" s="1"/>
      <c r="E38" s="1"/>
    </row>
    <row r="39">
      <c r="A39" s="4" t="s">
        <v>932</v>
      </c>
      <c r="B39" s="1"/>
      <c r="C39" s="1"/>
      <c r="D39" s="1"/>
      <c r="E39" s="1"/>
    </row>
    <row r="40">
      <c r="A40" s="12" t="s">
        <v>933</v>
      </c>
      <c r="B40" s="23">
        <f>Cap_Table!C43</f>
        <v>185</v>
      </c>
      <c r="C40" s="1"/>
      <c r="D40" s="1"/>
      <c r="E40" s="1"/>
    </row>
    <row r="41">
      <c r="A41" s="12" t="s">
        <v>934</v>
      </c>
      <c r="B41" s="2">
        <v>106.13</v>
      </c>
      <c r="C41" s="1"/>
      <c r="D41" s="1"/>
      <c r="E41" s="1" t="s">
        <v>935</v>
      </c>
    </row>
    <row r="42">
      <c r="A42" s="12" t="s">
        <v>936</v>
      </c>
      <c r="B42" s="2">
        <v>386.34</v>
      </c>
      <c r="C42" s="1"/>
      <c r="D42" s="1"/>
      <c r="E42" s="1" t="s">
        <v>935</v>
      </c>
    </row>
  </sheetData>
</worksheet>
</file>

<file path=xl/worksheets/sheet17.xml><?xml version="1.0" encoding="utf-8"?>
<worksheet xmlns="http://schemas.openxmlformats.org/spreadsheetml/2006/main" xmlns:r="http://schemas.openxmlformats.org/officeDocument/2006/relationships">
  <sheetPr>
    <tabColor rgb="FFC0873A"/>
  </sheetPr>
  <dimension ref="A1:O36"/>
  <sheetViews>
    <sheetView showGridLines="0" workbookViewId="0"/>
  </sheetViews>
  <sheetFormatPr defaultColWidth="8.375" defaultRowHeight="15"/>
  <cols>
    <col min="1" max="1" width="69.375" customWidth="1"/>
    <col min="2" max="2" width="9.375" customWidth="1"/>
    <col min="3" max="3" width="19.375" customWidth="1"/>
    <col min="4" max="9" width="14.375" customWidth="1"/>
    <col min="10" max="12" width="16.0390625" customWidth="1"/>
    <col min="13" max="13" width="14.375" customWidth="1"/>
    <col min="14" max="14" width="17.70703125" customWidth="1"/>
    <col min="15" max="15" width="149.375" customWidth="1"/>
  </cols>
  <sheetData>
    <row r="1">
      <c r="A1" s="21" t="s">
        <v>937</v>
      </c>
      <c r="B1" s="1"/>
      <c r="C1" s="1"/>
      <c r="D1" s="1"/>
      <c r="E1" s="1"/>
      <c r="F1" s="1"/>
      <c r="G1" s="1"/>
      <c r="H1" s="1"/>
      <c r="I1" s="1"/>
      <c r="J1" s="1"/>
      <c r="K1" s="1"/>
      <c r="L1" s="1"/>
      <c r="M1" s="1"/>
      <c r="N1" s="1"/>
      <c r="O1" s="1"/>
    </row>
    <row r="2">
      <c r="A2" s="1" t="s">
        <v>938</v>
      </c>
      <c r="B2" s="1"/>
      <c r="C2" s="1"/>
      <c r="D2" s="1"/>
      <c r="E2" s="1"/>
      <c r="F2" s="1"/>
      <c r="G2" s="1"/>
      <c r="H2" s="1"/>
      <c r="I2" s="1"/>
      <c r="J2" s="1"/>
      <c r="K2" s="1"/>
      <c r="L2" s="1"/>
      <c r="M2" s="1"/>
      <c r="N2" s="1"/>
      <c r="O2" s="1"/>
    </row>
    <row r="3">
      <c r="A3" s="1"/>
      <c r="B3" s="1"/>
      <c r="C3" s="1"/>
      <c r="D3" s="1"/>
      <c r="E3" s="1"/>
      <c r="F3" s="1"/>
      <c r="G3" s="1"/>
      <c r="H3" s="1"/>
      <c r="I3" s="1"/>
      <c r="J3" s="1"/>
      <c r="K3" s="1"/>
      <c r="L3" s="1"/>
      <c r="M3" s="1"/>
      <c r="N3" s="1"/>
      <c r="O3" s="1"/>
    </row>
    <row r="4">
      <c r="A4" s="3" t="s">
        <v>939</v>
      </c>
      <c r="B4" s="3" t="s">
        <v>888</v>
      </c>
      <c r="C4" s="24" t="s">
        <v>940</v>
      </c>
      <c r="D4" s="24" t="s">
        <v>941</v>
      </c>
      <c r="E4" s="24" t="s">
        <v>942</v>
      </c>
      <c r="F4" s="24" t="s">
        <v>943</v>
      </c>
      <c r="G4" s="24" t="s">
        <v>944</v>
      </c>
      <c r="H4" s="24" t="s">
        <v>945</v>
      </c>
      <c r="I4" s="24" t="s">
        <v>946</v>
      </c>
      <c r="J4" s="24" t="s">
        <v>947</v>
      </c>
      <c r="K4" s="24" t="s">
        <v>948</v>
      </c>
      <c r="L4" s="24" t="s">
        <v>949</v>
      </c>
      <c r="M4" s="24" t="s">
        <v>950</v>
      </c>
      <c r="N4" s="6" t="s">
        <v>86</v>
      </c>
      <c r="O4" s="6" t="s">
        <v>87</v>
      </c>
    </row>
    <row r="5">
      <c r="A5" s="12" t="s">
        <v>951</v>
      </c>
      <c r="B5" s="1" t="s">
        <v>952</v>
      </c>
      <c r="C5" s="63" t="s">
        <v>953</v>
      </c>
      <c r="D5" s="67">
        <v>5252354</v>
      </c>
      <c r="E5" s="67">
        <v>33370</v>
      </c>
      <c r="F5" s="67">
        <v>22443</v>
      </c>
      <c r="G5" s="63">
        <f>D5+E5-F5</f>
        <v>5263281</v>
      </c>
      <c r="H5" s="67">
        <v>302970</v>
      </c>
      <c r="I5" s="67">
        <v>201266</v>
      </c>
      <c r="J5" s="98">
        <f>G5/H5</f>
        <v>17.372284384592533</v>
      </c>
      <c r="K5" s="98">
        <f>IF(ISNUMBER(I5),G5/I5,"n.a.")</f>
        <v>26.15086999294466</v>
      </c>
      <c r="L5" s="26">
        <v>0.8337590335193501</v>
      </c>
      <c r="M5" s="38">
        <v>1.853</v>
      </c>
      <c r="N5" s="1"/>
      <c r="O5" s="1" t="s">
        <v>954</v>
      </c>
    </row>
    <row r="6">
      <c r="A6" s="12" t="s">
        <v>955</v>
      </c>
      <c r="B6" s="1" t="s">
        <v>956</v>
      </c>
      <c r="C6" s="63" t="s">
        <v>957</v>
      </c>
      <c r="D6" s="67">
        <v>914610</v>
      </c>
      <c r="E6" s="67">
        <v>3230</v>
      </c>
      <c r="F6" s="67">
        <v>13111</v>
      </c>
      <c r="G6" s="63">
        <f>D6+E6-F6</f>
        <v>904729</v>
      </c>
      <c r="H6" s="67">
        <v>41305</v>
      </c>
      <c r="I6" s="63" t="s">
        <v>958</v>
      </c>
      <c r="J6" s="98">
        <f>G6/H6</f>
        <v>21.903619416535527</v>
      </c>
      <c r="K6" s="98" t="str">
        <f>IF(ISNUMBER(I6),G6/I6,"n.a.")</f>
        <v>n.a.</v>
      </c>
      <c r="L6" s="26">
        <v>0.3954391891891893</v>
      </c>
      <c r="M6" s="38">
        <v>1.855</v>
      </c>
      <c r="N6" s="1" t="s">
        <v>959</v>
      </c>
      <c r="O6" s="1" t="s">
        <v>960</v>
      </c>
    </row>
    <row r="7">
      <c r="A7" s="12" t="s">
        <v>961</v>
      </c>
      <c r="B7" s="1" t="s">
        <v>962</v>
      </c>
      <c r="C7" s="63" t="s">
        <v>963</v>
      </c>
      <c r="D7" s="67">
        <v>1634157</v>
      </c>
      <c r="E7" s="67">
        <v>61080</v>
      </c>
      <c r="F7" s="67">
        <v>23975</v>
      </c>
      <c r="G7" s="63">
        <f>D7+E7-F7</f>
        <v>1671262</v>
      </c>
      <c r="H7" s="67">
        <v>89104</v>
      </c>
      <c r="I7" s="67">
        <v>51440</v>
      </c>
      <c r="J7" s="98">
        <f>G7/H7</f>
        <v>18.7563072364877</v>
      </c>
      <c r="K7" s="98">
        <f>IF(ISNUMBER(I7),G7/I7,"n.a.")</f>
        <v>32.48954121306377</v>
      </c>
      <c r="L7" s="26">
        <v>0.4869005106297768</v>
      </c>
      <c r="M7" s="38">
        <v>2.23</v>
      </c>
      <c r="N7" s="1"/>
      <c r="O7" s="1" t="s">
        <v>964</v>
      </c>
    </row>
    <row r="8">
      <c r="A8" s="12" t="s">
        <v>965</v>
      </c>
      <c r="B8" s="1" t="s">
        <v>966</v>
      </c>
      <c r="C8" s="63" t="s">
        <v>967</v>
      </c>
      <c r="D8" s="67">
        <v>32855</v>
      </c>
      <c r="E8" s="67">
        <v>35770</v>
      </c>
      <c r="F8" s="67">
        <v>5539</v>
      </c>
      <c r="G8" s="63">
        <f>D8+E8-F8</f>
        <v>63086</v>
      </c>
      <c r="H8" s="67">
        <v>7590</v>
      </c>
      <c r="I8" s="67">
        <v>3760</v>
      </c>
      <c r="J8" s="98">
        <f>G8/H8</f>
        <v>8.311725955204215</v>
      </c>
      <c r="K8" s="98">
        <f>IF(ISNUMBER(I8),G8/I8,"n.a.")</f>
        <v>16.778191489361703</v>
      </c>
      <c r="L8" s="26">
        <v>1.1529685578656397</v>
      </c>
      <c r="M8" s="38">
        <v>1.008</v>
      </c>
      <c r="N8" s="1"/>
      <c r="O8" s="1" t="s">
        <v>968</v>
      </c>
    </row>
    <row r="9">
      <c r="A9" s="12" t="s">
        <v>969</v>
      </c>
      <c r="B9" s="1"/>
      <c r="C9" s="1"/>
      <c r="D9" s="1"/>
      <c r="E9" s="1"/>
      <c r="F9" s="1"/>
      <c r="G9" s="1"/>
      <c r="H9" s="92"/>
      <c r="I9" s="28"/>
      <c r="J9" s="28">
        <f>_xlfn.QUARTILE.INC($J$5:$J$8,1)</f>
        <v>15.107144777245454</v>
      </c>
      <c r="K9" s="28"/>
      <c r="L9" s="39">
        <f>_xlfn.QUARTILE.INC($L$5:$L$8,1)</f>
        <v>0.4640351802696299</v>
      </c>
      <c r="M9" s="74">
        <f>_xlfn.QUARTILE.INC($M$5:$M$8,1)</f>
        <v>1.64175</v>
      </c>
      <c r="N9" s="1"/>
      <c r="O9" s="1"/>
    </row>
    <row r="10">
      <c r="A10" s="56" t="s">
        <v>970</v>
      </c>
      <c r="B10" s="34"/>
      <c r="C10" s="34"/>
      <c r="D10" s="34"/>
      <c r="E10" s="34"/>
      <c r="F10" s="34"/>
      <c r="G10" s="34"/>
      <c r="H10" s="100">
        <f>MEDIAN($H$5:$H$8)</f>
        <v>65204.5</v>
      </c>
      <c r="I10" s="80"/>
      <c r="J10" s="80">
        <f>MEDIAN($J$5:$J$8)</f>
        <v>18.064295810540116</v>
      </c>
      <c r="K10" s="80">
        <f>MEDIAN($K$5:$K$8)</f>
        <v>26.15086999294466</v>
      </c>
      <c r="L10" s="108">
        <f>MEDIAN($L$5:$L$8)</f>
        <v>0.6603297720745634</v>
      </c>
      <c r="M10" s="70">
        <f>MEDIAN($M$5:$M$8)</f>
        <v>1.854</v>
      </c>
      <c r="N10" s="1"/>
      <c r="O10" s="1" t="s">
        <v>971</v>
      </c>
    </row>
    <row r="11">
      <c r="A11" s="12" t="s">
        <v>972</v>
      </c>
      <c r="B11" s="1"/>
      <c r="C11" s="1"/>
      <c r="D11" s="1"/>
      <c r="E11" s="1"/>
      <c r="F11" s="1"/>
      <c r="G11" s="1"/>
      <c r="H11" s="92"/>
      <c r="I11" s="28"/>
      <c r="J11" s="28">
        <f>_xlfn.QUARTILE.INC($J$5:$J$8,3)</f>
        <v>19.54313528149966</v>
      </c>
      <c r="K11" s="28"/>
      <c r="L11" s="39">
        <f>_xlfn.QUARTILE.INC($L$5:$L$8,3)</f>
        <v>0.9135614146059226</v>
      </c>
      <c r="M11" s="74">
        <f>_xlfn.QUARTILE.INC($M$5:$M$8,3)</f>
        <v>1.94875</v>
      </c>
      <c r="N11" s="1"/>
      <c r="O11" s="1"/>
    </row>
    <row r="12">
      <c r="A12" s="34" t="s">
        <v>973</v>
      </c>
      <c r="B12" s="34" t="s">
        <v>974</v>
      </c>
      <c r="C12" s="95" t="s">
        <v>967</v>
      </c>
      <c r="D12" s="83">
        <f>Market_Package!B14</f>
        <v>28343.76573171</v>
      </c>
      <c r="E12" s="83">
        <f>Market_Package!B16</f>
        <v>918.2439999999999</v>
      </c>
      <c r="F12" s="83">
        <f>Market_Package!B15</f>
        <v>7921.5470000000005</v>
      </c>
      <c r="G12" s="95">
        <f>D12+E12-F12</f>
        <v>21340.462731709995</v>
      </c>
      <c r="H12" s="95">
        <f>N(IS_Hist!C9)-N(IS_Hist!D9)+N(IS_Hist!E9)</f>
        <v>680.673</v>
      </c>
      <c r="I12" s="95">
        <f>N(IS_Hist!C22)-N(IS_Hist!D22)+N(IS_Hist!E22)+N(Revenue_Hist!C32)-N(Revenue_Hist!D32)+N(Revenue_Hist!E32)</f>
        <v>-484.79000000000013</v>
      </c>
      <c r="J12" s="91">
        <f>G12/H12</f>
        <v>31.352004166038604</v>
      </c>
      <c r="K12" s="91" t="str">
        <f>IF(I12&gt;0,G12/I12,"n.a.")</f>
        <v>n.a.</v>
      </c>
      <c r="L12" s="7">
        <f>H12/SUM(Quarterly_Hist!D9:Quarterly_Hist!G9)-1</f>
        <v>0.9083362303888034</v>
      </c>
      <c r="M12" s="110">
        <f>Market_Package!B28</f>
        <v>1.854</v>
      </c>
      <c r="N12" s="1"/>
      <c r="O12" s="1" t="s">
        <v>975</v>
      </c>
    </row>
    <row r="13">
      <c r="A13" s="1"/>
      <c r="B13" s="1"/>
      <c r="C13" s="1"/>
      <c r="D13" s="1"/>
      <c r="E13" s="1"/>
      <c r="F13" s="1"/>
      <c r="G13" s="1"/>
      <c r="H13" s="1"/>
      <c r="I13" s="1"/>
      <c r="J13" s="1"/>
      <c r="K13" s="1"/>
      <c r="L13" s="1"/>
      <c r="M13" s="1"/>
      <c r="N13" s="1"/>
      <c r="O13" s="1"/>
    </row>
    <row r="14">
      <c r="A14" s="4" t="s">
        <v>976</v>
      </c>
      <c r="B14" s="1"/>
      <c r="C14" s="1"/>
      <c r="D14" s="1"/>
      <c r="E14" s="1"/>
      <c r="F14" s="1"/>
      <c r="G14" s="1"/>
      <c r="H14" s="1"/>
      <c r="I14" s="1"/>
      <c r="J14" s="1"/>
      <c r="K14" s="1"/>
      <c r="L14" s="1"/>
      <c r="M14" s="1"/>
      <c r="N14" s="1"/>
      <c r="O14" s="1"/>
    </row>
    <row r="15">
      <c r="A15" s="36" t="s">
        <v>977</v>
      </c>
      <c r="B15" s="45"/>
      <c r="C15" s="45"/>
      <c r="D15" s="18">
        <f>H12/H10</f>
        <v>0.010439049452108367</v>
      </c>
      <c r="E15" s="1"/>
      <c r="F15" s="1"/>
      <c r="G15" s="1"/>
      <c r="H15" s="1"/>
      <c r="I15" s="1"/>
      <c r="J15" s="1"/>
      <c r="K15" s="1"/>
      <c r="L15" s="1"/>
      <c r="M15" s="1"/>
      <c r="N15" s="1"/>
      <c r="O15" s="1" t="s">
        <v>978</v>
      </c>
    </row>
    <row r="16">
      <c r="A16" s="36" t="s">
        <v>979</v>
      </c>
      <c r="B16" s="45"/>
      <c r="C16" s="45"/>
      <c r="D16" s="18">
        <f>MEDIAN(I5/H5,I7/H7,I8/H8)</f>
        <v>0.5773029269168612</v>
      </c>
      <c r="E16" s="1"/>
      <c r="F16" s="1"/>
      <c r="G16" s="1"/>
      <c r="H16" s="1"/>
      <c r="I16" s="1"/>
      <c r="J16" s="1"/>
      <c r="K16" s="1"/>
      <c r="L16" s="1"/>
      <c r="M16" s="1"/>
      <c r="N16" s="1"/>
      <c r="O16" s="1"/>
    </row>
    <row r="17">
      <c r="A17" s="36" t="s">
        <v>980</v>
      </c>
      <c r="B17" s="45"/>
      <c r="C17" s="45"/>
      <c r="D17" s="18">
        <f>I12/H12</f>
        <v>-0.7122215807002777</v>
      </c>
      <c r="E17" s="1"/>
      <c r="F17" s="1"/>
      <c r="G17" s="1"/>
      <c r="H17" s="1"/>
      <c r="I17" s="1"/>
      <c r="J17" s="1"/>
      <c r="K17" s="1"/>
      <c r="L17" s="1"/>
      <c r="M17" s="1"/>
      <c r="N17" s="1"/>
      <c r="O17" s="1" t="s">
        <v>981</v>
      </c>
    </row>
    <row r="18">
      <c r="A18" s="36" t="s">
        <v>982</v>
      </c>
      <c r="B18" s="45"/>
      <c r="C18" s="45"/>
      <c r="D18" s="18">
        <f>L12-L10</f>
        <v>0.24800645831423995</v>
      </c>
      <c r="E18" s="1"/>
      <c r="F18" s="1"/>
      <c r="G18" s="1"/>
      <c r="H18" s="1"/>
      <c r="I18" s="1"/>
      <c r="J18" s="1"/>
      <c r="K18" s="1"/>
      <c r="L18" s="1"/>
      <c r="M18" s="1"/>
      <c r="N18" s="1"/>
      <c r="O18" s="1"/>
    </row>
    <row r="19">
      <c r="A19" s="1"/>
      <c r="B19" s="1"/>
      <c r="C19" s="1"/>
      <c r="D19" s="1"/>
      <c r="E19" s="1"/>
      <c r="F19" s="1"/>
      <c r="G19" s="1"/>
      <c r="H19" s="1"/>
      <c r="I19" s="1"/>
      <c r="J19" s="1"/>
      <c r="K19" s="1"/>
      <c r="L19" s="1"/>
      <c r="M19" s="1"/>
      <c r="N19" s="1"/>
      <c r="O19" s="1"/>
    </row>
    <row r="20">
      <c r="A20" s="4" t="s">
        <v>983</v>
      </c>
      <c r="B20" s="1"/>
      <c r="C20" s="1"/>
      <c r="D20" s="1"/>
      <c r="E20" s="1"/>
      <c r="F20" s="1"/>
      <c r="G20" s="1"/>
      <c r="H20" s="1"/>
      <c r="I20" s="1"/>
      <c r="J20" s="1"/>
      <c r="K20" s="1"/>
      <c r="L20" s="1"/>
      <c r="M20" s="1"/>
      <c r="N20" s="1"/>
      <c r="O20" s="1"/>
    </row>
    <row r="21">
      <c r="A21" s="3" t="s">
        <v>984</v>
      </c>
      <c r="B21" s="3"/>
      <c r="C21" s="3"/>
      <c r="D21" s="24" t="s">
        <v>969</v>
      </c>
      <c r="E21" s="24" t="s">
        <v>970</v>
      </c>
      <c r="F21" s="24" t="s">
        <v>972</v>
      </c>
      <c r="G21" s="1"/>
      <c r="H21" s="1"/>
      <c r="I21" s="1"/>
      <c r="J21" s="1"/>
      <c r="K21" s="1"/>
      <c r="L21" s="1"/>
      <c r="M21" s="1"/>
      <c r="N21" s="1"/>
      <c r="O21" s="6" t="s">
        <v>87</v>
      </c>
    </row>
    <row r="22">
      <c r="A22" s="12" t="s">
        <v>947</v>
      </c>
      <c r="B22" s="1"/>
      <c r="C22" s="1"/>
      <c r="D22" s="28">
        <f>J9</f>
        <v>15.107144777245454</v>
      </c>
      <c r="E22" s="28">
        <f>J10</f>
        <v>18.064295810540116</v>
      </c>
      <c r="F22" s="28">
        <f>J11</f>
        <v>19.54313528149966</v>
      </c>
      <c r="G22" s="1"/>
      <c r="H22" s="1"/>
      <c r="I22" s="1"/>
      <c r="J22" s="1"/>
      <c r="K22" s="1"/>
      <c r="L22" s="1"/>
      <c r="M22" s="1"/>
      <c r="N22" s="1"/>
      <c r="O22" s="1"/>
    </row>
    <row r="23">
      <c r="A23" s="12" t="s">
        <v>985</v>
      </c>
      <c r="B23" s="1"/>
      <c r="C23" s="1"/>
      <c r="D23" s="5">
        <f>D22*$H$12</f>
        <v>10283.025556961995</v>
      </c>
      <c r="E23" s="5">
        <f>E22*$H$12</f>
        <v>12295.878422247773</v>
      </c>
      <c r="F23" s="5">
        <f>F22*$H$12</f>
        <v>13302.484521464217</v>
      </c>
      <c r="G23" s="1"/>
      <c r="H23" s="1"/>
      <c r="I23" s="1"/>
      <c r="J23" s="1"/>
      <c r="K23" s="1"/>
      <c r="L23" s="1"/>
      <c r="M23" s="1"/>
      <c r="N23" s="1"/>
      <c r="O23" s="1"/>
    </row>
    <row r="24">
      <c r="A24" s="12" t="s">
        <v>986</v>
      </c>
      <c r="B24" s="1"/>
      <c r="C24" s="1"/>
      <c r="D24" s="17">
        <f>Market_Package!B15</f>
        <v>7921.5470000000005</v>
      </c>
      <c r="E24" s="17">
        <f>Market_Package!B15</f>
        <v>7921.5470000000005</v>
      </c>
      <c r="F24" s="17">
        <f>Market_Package!B15</f>
        <v>7921.5470000000005</v>
      </c>
      <c r="G24" s="1"/>
      <c r="H24" s="1"/>
      <c r="I24" s="1"/>
      <c r="J24" s="1"/>
      <c r="K24" s="1"/>
      <c r="L24" s="1"/>
      <c r="M24" s="1"/>
      <c r="N24" s="1"/>
      <c r="O24" s="1" t="s">
        <v>987</v>
      </c>
    </row>
    <row r="25">
      <c r="A25" s="12" t="s">
        <v>988</v>
      </c>
      <c r="B25" s="1"/>
      <c r="C25" s="1"/>
      <c r="D25" s="5">
        <f>-Market_Package!B16</f>
        <v>-918.2439999999999</v>
      </c>
      <c r="E25" s="5">
        <f>-Market_Package!B16</f>
        <v>-918.2439999999999</v>
      </c>
      <c r="F25" s="5">
        <f>-Market_Package!B16</f>
        <v>-918.2439999999999</v>
      </c>
      <c r="G25" s="1"/>
      <c r="H25" s="1"/>
      <c r="I25" s="1"/>
      <c r="J25" s="1"/>
      <c r="K25" s="1"/>
      <c r="L25" s="1"/>
      <c r="M25" s="1"/>
      <c r="N25" s="1"/>
      <c r="O25" s="1"/>
    </row>
    <row r="26">
      <c r="A26" s="4" t="s">
        <v>989</v>
      </c>
      <c r="B26" s="34"/>
      <c r="C26" s="34"/>
      <c r="D26" s="22">
        <f>D23+D24+D25</f>
        <v>17286.328556962</v>
      </c>
      <c r="E26" s="22">
        <f>E23+E24+E25</f>
        <v>19299.181422247777</v>
      </c>
      <c r="F26" s="22">
        <f>F23+F24+F25</f>
        <v>20305.78752146422</v>
      </c>
      <c r="G26" s="1"/>
      <c r="H26" s="1"/>
      <c r="I26" s="1"/>
      <c r="J26" s="1"/>
      <c r="K26" s="1"/>
      <c r="L26" s="1"/>
      <c r="M26" s="1"/>
      <c r="N26" s="1"/>
      <c r="O26" s="1"/>
    </row>
    <row r="27">
      <c r="A27" s="56" t="s">
        <v>990</v>
      </c>
      <c r="B27" s="34"/>
      <c r="C27" s="34"/>
      <c r="D27" s="52">
        <f>D26/Market_Package!B11</f>
        <v>60.416882833107564</v>
      </c>
      <c r="E27" s="52">
        <f>E26/Market_Package!B11</f>
        <v>67.45193919695747</v>
      </c>
      <c r="F27" s="52">
        <f>F26/Market_Package!B11</f>
        <v>70.97009532566057</v>
      </c>
      <c r="G27" s="1"/>
      <c r="H27" s="1"/>
      <c r="I27" s="1"/>
      <c r="J27" s="1"/>
      <c r="K27" s="1"/>
      <c r="L27" s="1"/>
      <c r="M27" s="1"/>
      <c r="N27" s="1"/>
      <c r="O27" s="1" t="s">
        <v>991</v>
      </c>
    </row>
    <row r="28">
      <c r="A28" s="36" t="s">
        <v>19</v>
      </c>
      <c r="B28" s="45"/>
      <c r="C28" s="45"/>
      <c r="D28" s="18">
        <f>D27/Market_Package!B10-1</f>
        <v>-0.4936142583764348</v>
      </c>
      <c r="E28" s="18">
        <f>E27/Market_Package!B10-1</f>
        <v>-0.4346497427126187</v>
      </c>
      <c r="F28" s="18">
        <f>F27/Market_Package!B10-1</f>
        <v>-0.4051622217277633</v>
      </c>
      <c r="G28" s="1"/>
      <c r="H28" s="1"/>
      <c r="I28" s="1"/>
      <c r="J28" s="1"/>
      <c r="K28" s="1"/>
      <c r="L28" s="1"/>
      <c r="M28" s="1"/>
      <c r="N28" s="1"/>
      <c r="O28" s="1"/>
    </row>
    <row r="29">
      <c r="A29" s="12" t="s">
        <v>992</v>
      </c>
      <c r="B29" s="1"/>
      <c r="C29" s="1"/>
      <c r="D29" s="1"/>
      <c r="E29" s="5" t="str">
        <f>IF(I12&gt;0,K10*I12,"n.a.: LTM EBITDA negative")</f>
        <v>n.a.: LTM EBITDA negative</v>
      </c>
      <c r="F29" s="1"/>
      <c r="G29" s="1"/>
      <c r="H29" s="1"/>
      <c r="I29" s="1"/>
      <c r="J29" s="1"/>
      <c r="K29" s="1"/>
      <c r="L29" s="1"/>
      <c r="M29" s="1"/>
      <c r="N29" s="1"/>
      <c r="O29" s="1"/>
    </row>
    <row r="30">
      <c r="A30" s="1"/>
      <c r="B30" s="1"/>
      <c r="C30" s="1"/>
      <c r="D30" s="1"/>
      <c r="E30" s="1"/>
      <c r="F30" s="1"/>
      <c r="G30" s="1"/>
      <c r="H30" s="1"/>
      <c r="I30" s="1"/>
      <c r="J30" s="1"/>
      <c r="K30" s="1"/>
      <c r="L30" s="1"/>
      <c r="M30" s="1"/>
      <c r="N30" s="1"/>
      <c r="O30" s="1"/>
    </row>
    <row r="31">
      <c r="A31" s="4" t="s">
        <v>127</v>
      </c>
      <c r="B31" s="1"/>
      <c r="C31" s="1"/>
      <c r="D31" s="1"/>
      <c r="E31" s="1"/>
      <c r="F31" s="1"/>
      <c r="G31" s="1"/>
      <c r="H31" s="1"/>
      <c r="I31" s="1"/>
      <c r="J31" s="1"/>
      <c r="K31" s="1"/>
      <c r="L31" s="1"/>
      <c r="M31" s="1"/>
      <c r="N31" s="1"/>
      <c r="O31" s="1"/>
    </row>
    <row r="32">
      <c r="A32" s="12" t="s">
        <v>993</v>
      </c>
      <c r="B32" s="1"/>
      <c r="C32" s="1"/>
      <c r="D32" s="1"/>
      <c r="E32" s="1"/>
      <c r="F32" s="1"/>
      <c r="G32" s="1"/>
      <c r="H32" s="1"/>
      <c r="I32" s="1"/>
      <c r="J32" s="14">
        <f>ROUND(J10-18.064294192685978,4)</f>
        <v>0</v>
      </c>
      <c r="K32" s="1"/>
      <c r="L32" s="1"/>
      <c r="M32" s="1"/>
      <c r="N32" s="1"/>
      <c r="O32" s="1" t="s">
        <v>994</v>
      </c>
    </row>
    <row r="33">
      <c r="A33" s="12" t="s">
        <v>995</v>
      </c>
      <c r="B33" s="1"/>
      <c r="C33" s="1"/>
      <c r="D33" s="1"/>
      <c r="E33" s="1"/>
      <c r="F33" s="1"/>
      <c r="G33" s="1"/>
      <c r="H33" s="1"/>
      <c r="I33" s="1"/>
      <c r="J33" s="1"/>
      <c r="K33" s="14">
        <f>ROUND(K10-26.15086999294466,4)</f>
        <v>0</v>
      </c>
      <c r="L33" s="1"/>
      <c r="M33" s="1"/>
      <c r="N33" s="1"/>
      <c r="O33" s="1"/>
    </row>
    <row r="34">
      <c r="A34" s="12" t="s">
        <v>996</v>
      </c>
      <c r="B34" s="1"/>
      <c r="C34" s="1"/>
      <c r="D34" s="1"/>
      <c r="E34" s="1"/>
      <c r="F34" s="1"/>
      <c r="G34" s="1"/>
      <c r="H34" s="1"/>
      <c r="I34" s="1"/>
      <c r="J34" s="1"/>
      <c r="K34" s="1"/>
      <c r="L34" s="1"/>
      <c r="M34" s="14">
        <f>ROUND(M10-1.854,6)</f>
        <v>0</v>
      </c>
      <c r="N34" s="1"/>
      <c r="O34" s="1"/>
    </row>
    <row r="35">
      <c r="A35" s="12" t="s">
        <v>997</v>
      </c>
      <c r="B35" s="1"/>
      <c r="C35" s="1"/>
      <c r="D35" s="1"/>
      <c r="E35" s="1"/>
      <c r="F35" s="1"/>
      <c r="G35" s="14">
        <f>ABS(G5-5263281)+ABS(G6-904729)+ABS(G7-1671262)+ABS(G8-63086)</f>
        <v>0</v>
      </c>
      <c r="H35" s="1"/>
      <c r="I35" s="1"/>
      <c r="J35" s="1"/>
      <c r="K35" s="1"/>
      <c r="L35" s="1"/>
      <c r="M35" s="1"/>
      <c r="N35" s="1"/>
      <c r="O35" s="1"/>
    </row>
    <row r="36">
      <c r="A36" s="12" t="s">
        <v>998</v>
      </c>
      <c r="B36" s="1"/>
      <c r="C36" s="1"/>
      <c r="D36" s="1"/>
      <c r="E36" s="1"/>
      <c r="F36" s="1"/>
      <c r="G36" s="1"/>
      <c r="H36" s="14">
        <f>H12-SUM(Quarterly_Hist!H9:Quarterly_Hist!K9)</f>
        <v>0</v>
      </c>
      <c r="I36" s="1"/>
      <c r="J36" s="1"/>
      <c r="K36" s="1"/>
      <c r="L36" s="1"/>
      <c r="M36" s="1"/>
      <c r="N36" s="1"/>
      <c r="O36" s="1"/>
    </row>
  </sheetData>
</worksheet>
</file>

<file path=xl/worksheets/sheet18.xml><?xml version="1.0" encoding="utf-8"?>
<worksheet xmlns="http://schemas.openxmlformats.org/spreadsheetml/2006/main" xmlns:r="http://schemas.openxmlformats.org/officeDocument/2006/relationships">
  <sheetPr>
    <tabColor rgb="FFC0873A"/>
  </sheetPr>
  <dimension ref="A1:N69"/>
  <sheetViews>
    <sheetView showGridLines="0" workbookViewId="0"/>
  </sheetViews>
  <sheetFormatPr defaultColWidth="8.375" defaultRowHeight="15"/>
  <cols>
    <col min="1" max="1" width="99.375" customWidth="1"/>
    <col min="2" max="2" width="6.0390625" customWidth="1"/>
    <col min="3" max="12" width="12.70703125" customWidth="1"/>
    <col min="13" max="13" width="17.70703125" customWidth="1"/>
    <col min="14" max="14" width="86.0390625" customWidth="1"/>
  </cols>
  <sheetData>
    <row r="1">
      <c r="A1" s="21" t="s">
        <v>999</v>
      </c>
      <c r="B1" s="1"/>
      <c r="C1" s="1"/>
      <c r="D1" s="1"/>
      <c r="E1" s="1"/>
      <c r="F1" s="1"/>
      <c r="G1" s="1"/>
      <c r="H1" s="1"/>
      <c r="I1" s="1"/>
      <c r="J1" s="1"/>
      <c r="K1" s="1"/>
      <c r="L1" s="1"/>
      <c r="M1" s="1"/>
      <c r="N1" s="1"/>
    </row>
    <row r="2">
      <c r="A2" s="1" t="s">
        <v>1000</v>
      </c>
      <c r="B2" s="1"/>
      <c r="C2" s="1"/>
      <c r="D2" s="1"/>
      <c r="E2" s="1"/>
      <c r="F2" s="1"/>
      <c r="G2" s="1"/>
      <c r="H2" s="1"/>
      <c r="I2" s="1"/>
      <c r="J2" s="1"/>
      <c r="K2" s="1"/>
      <c r="L2" s="1"/>
      <c r="M2" s="1"/>
      <c r="N2" s="1"/>
    </row>
    <row r="3">
      <c r="A3" s="1"/>
      <c r="B3" s="1"/>
      <c r="C3" s="1" t="s">
        <v>452</v>
      </c>
      <c r="D3" s="1"/>
      <c r="E3" s="1"/>
      <c r="F3" s="1"/>
      <c r="G3" s="1"/>
      <c r="H3" s="1"/>
      <c r="I3" s="1"/>
      <c r="J3" s="1"/>
      <c r="K3" s="1"/>
      <c r="L3" s="1"/>
      <c r="M3" s="1"/>
      <c r="N3" s="1"/>
    </row>
    <row r="4">
      <c r="A4" s="3" t="s">
        <v>81</v>
      </c>
      <c r="B4" s="1"/>
      <c r="C4" s="33" t="s">
        <v>454</v>
      </c>
      <c r="D4" s="33" t="s">
        <v>455</v>
      </c>
      <c r="E4" s="33" t="s">
        <v>456</v>
      </c>
      <c r="F4" s="33" t="s">
        <v>457</v>
      </c>
      <c r="G4" s="33" t="s">
        <v>458</v>
      </c>
      <c r="H4" s="33" t="s">
        <v>459</v>
      </c>
      <c r="I4" s="33" t="s">
        <v>460</v>
      </c>
      <c r="J4" s="33" t="s">
        <v>461</v>
      </c>
      <c r="K4" s="33" t="s">
        <v>462</v>
      </c>
      <c r="L4" s="33" t="s">
        <v>463</v>
      </c>
      <c r="M4" s="6" t="s">
        <v>86</v>
      </c>
      <c r="N4" s="6" t="s">
        <v>87</v>
      </c>
    </row>
    <row r="5">
      <c r="A5" s="12" t="s">
        <v>88</v>
      </c>
      <c r="B5" s="1"/>
      <c r="C5" s="17">
        <f>Interim_Bridge!C13</f>
        <v>820.1555405285673</v>
      </c>
      <c r="D5" s="17">
        <f>Forecast_3Stmt!D13</f>
        <v>3010.437362114269</v>
      </c>
      <c r="E5" s="17">
        <f>Forecast_3Stmt!E13</f>
        <v>6502.663853861971</v>
      </c>
      <c r="F5" s="17">
        <f>Forecast_3Stmt!F13</f>
        <v>6839.121502577232</v>
      </c>
      <c r="G5" s="17">
        <f>Forecast_3Stmt!G13</f>
        <v>6879.986630547116</v>
      </c>
      <c r="H5" s="17">
        <f>Forecast_3Stmt!H13</f>
        <v>6935.756097371342</v>
      </c>
      <c r="I5" s="17">
        <f>Forecast_3Stmt!I13</f>
        <v>7492.17586371706</v>
      </c>
      <c r="J5" s="17">
        <f>Forecast_3Stmt!J13</f>
        <v>7767.988414213714</v>
      </c>
      <c r="K5" s="17">
        <f>Forecast_3Stmt!K13</f>
        <v>7590.0236952389605</v>
      </c>
      <c r="L5" s="17">
        <f>Forecast_3Stmt!L13</f>
        <v>7984.33910239379</v>
      </c>
      <c r="M5" s="1"/>
      <c r="N5" s="1"/>
    </row>
    <row r="6">
      <c r="A6" s="12" t="s">
        <v>792</v>
      </c>
      <c r="B6" s="1"/>
      <c r="C6" s="17">
        <f>Schedules!C39</f>
        <v>-347.9147837885731</v>
      </c>
      <c r="D6" s="17">
        <f>Schedules!D39</f>
        <v>-287.82372988107215</v>
      </c>
      <c r="E6" s="17">
        <f>Schedules!E39</f>
        <v>448.3749453100918</v>
      </c>
      <c r="F6" s="17">
        <f>Schedules!F39</f>
        <v>758.0380355534519</v>
      </c>
      <c r="G6" s="17">
        <f>Schedules!G39</f>
        <v>993.0163735317378</v>
      </c>
      <c r="H6" s="17">
        <f>Schedules!H39</f>
        <v>1159.3890782139656</v>
      </c>
      <c r="I6" s="17">
        <f>Schedules!I39</f>
        <v>1436.8017160758054</v>
      </c>
      <c r="J6" s="17">
        <f>Schedules!J39</f>
        <v>1563.4346233818806</v>
      </c>
      <c r="K6" s="17">
        <f>Schedules!K39</f>
        <v>1564.6419369865816</v>
      </c>
      <c r="L6" s="17">
        <f>Schedules!L39</f>
        <v>1706.0591645647742</v>
      </c>
      <c r="M6" s="1"/>
      <c r="N6" s="1"/>
    </row>
    <row r="7">
      <c r="A7" s="12" t="s">
        <v>1001</v>
      </c>
      <c r="B7" s="1"/>
      <c r="C7" s="5">
        <f>-Schedules!C40</f>
        <v>-2</v>
      </c>
      <c r="D7" s="5">
        <f>-Schedules!D40</f>
        <v>-4</v>
      </c>
      <c r="E7" s="5">
        <f>-Schedules!E40</f>
        <v>-18.831747703023858</v>
      </c>
      <c r="F7" s="5">
        <f>-Schedules!F40</f>
        <v>-42.66164687749926</v>
      </c>
      <c r="G7" s="5">
        <f>-Schedules!G40</f>
        <v>-208.5334384416649</v>
      </c>
      <c r="H7" s="5">
        <f>-Schedules!H40</f>
        <v>-243.47170642493273</v>
      </c>
      <c r="I7" s="5">
        <f>-Schedules!I40</f>
        <v>-301.7283603759191</v>
      </c>
      <c r="J7" s="5">
        <f>-Schedules!J40</f>
        <v>-328.3212709101949</v>
      </c>
      <c r="K7" s="5">
        <f>-Schedules!K40</f>
        <v>-328.57480676718217</v>
      </c>
      <c r="L7" s="5">
        <f>-Schedules!L40</f>
        <v>-358.27242455860255</v>
      </c>
      <c r="M7" s="1"/>
      <c r="N7" s="1"/>
    </row>
    <row r="8">
      <c r="A8" s="4" t="s">
        <v>795</v>
      </c>
      <c r="B8" s="34"/>
      <c r="C8" s="85">
        <f>Schedules!C41</f>
        <v>-349.9147837885731</v>
      </c>
      <c r="D8" s="85">
        <f>Schedules!D41</f>
        <v>-291.82372988107215</v>
      </c>
      <c r="E8" s="85">
        <f>Schedules!E41</f>
        <v>429.54319760706795</v>
      </c>
      <c r="F8" s="85">
        <f>Schedules!F41</f>
        <v>715.3763886759526</v>
      </c>
      <c r="G8" s="85">
        <f>Schedules!G41</f>
        <v>784.4829350900729</v>
      </c>
      <c r="H8" s="85">
        <f>Schedules!H41</f>
        <v>915.9173717890328</v>
      </c>
      <c r="I8" s="85">
        <f>Schedules!I41</f>
        <v>1135.0733556998862</v>
      </c>
      <c r="J8" s="85">
        <f>Schedules!J41</f>
        <v>1235.1133524716856</v>
      </c>
      <c r="K8" s="85">
        <f>Schedules!K41</f>
        <v>1236.0671302193996</v>
      </c>
      <c r="L8" s="85">
        <f>Schedules!L41</f>
        <v>1347.7867400061716</v>
      </c>
      <c r="M8" s="1"/>
      <c r="N8" s="1"/>
    </row>
    <row r="9">
      <c r="A9" s="12" t="s">
        <v>796</v>
      </c>
      <c r="B9" s="1"/>
      <c r="C9" s="17">
        <f>Schedules!C42</f>
        <v>179.601</v>
      </c>
      <c r="D9" s="17">
        <f>Schedules!D42</f>
        <v>604.811296145356</v>
      </c>
      <c r="E9" s="17">
        <f>Schedules!E42</f>
        <v>926.6939619474716</v>
      </c>
      <c r="F9" s="17">
        <f>Schedules!F42</f>
        <v>1184.6247127654908</v>
      </c>
      <c r="G9" s="17">
        <f>Schedules!G42</f>
        <v>1225.2412474646167</v>
      </c>
      <c r="H9" s="17">
        <f>Schedules!H42</f>
        <v>1181.8016191487652</v>
      </c>
      <c r="I9" s="17">
        <f>Schedules!I42</f>
        <v>1137.829056142118</v>
      </c>
      <c r="J9" s="17">
        <f>Schedules!J42</f>
        <v>1120.4493508532307</v>
      </c>
      <c r="K9" s="17">
        <f>Schedules!K42</f>
        <v>1111.3155327711645</v>
      </c>
      <c r="L9" s="17">
        <f>Schedules!L42</f>
        <v>1110.1583199528613</v>
      </c>
      <c r="M9" s="1"/>
      <c r="N9" s="1"/>
    </row>
    <row r="10">
      <c r="A10" s="12" t="s">
        <v>1002</v>
      </c>
      <c r="B10" s="1"/>
      <c r="C10" s="17">
        <f>Schedules!C43</f>
        <v>46.58445947143285</v>
      </c>
      <c r="D10" s="17">
        <f>Schedules!D43</f>
        <v>186.3378378857314</v>
      </c>
      <c r="E10" s="17">
        <f>Schedules!E43</f>
        <v>460.5509061380293</v>
      </c>
      <c r="F10" s="17">
        <f>Schedules!F43</f>
        <v>455.2572175617301</v>
      </c>
      <c r="G10" s="17">
        <f>Schedules!G43</f>
        <v>338.796068883148</v>
      </c>
      <c r="H10" s="17">
        <f>Schedules!H43</f>
        <v>222.3349202045659</v>
      </c>
      <c r="I10" s="17">
        <f>Schedules!I43</f>
        <v>75.608375312925</v>
      </c>
      <c r="J10" s="17">
        <f>Schedules!J43</f>
        <v>63.00697942743751</v>
      </c>
      <c r="K10" s="17">
        <f>Schedules!K43</f>
        <v>0</v>
      </c>
      <c r="L10" s="17">
        <f>Schedules!L43</f>
        <v>0</v>
      </c>
      <c r="M10" s="1"/>
      <c r="N10" s="1"/>
    </row>
    <row r="11">
      <c r="A11" s="12" t="s">
        <v>798</v>
      </c>
      <c r="B11" s="1"/>
      <c r="C11" s="17">
        <f>Schedules!C44</f>
        <v>21.78711340206184</v>
      </c>
      <c r="D11" s="17">
        <f>Schedules!D44</f>
        <v>43.57422680412368</v>
      </c>
      <c r="E11" s="17">
        <f>Schedules!E44</f>
        <v>43.57422680412368</v>
      </c>
      <c r="F11" s="17">
        <f>Schedules!F44</f>
        <v>17.86543298969073</v>
      </c>
      <c r="G11" s="17">
        <f>Schedules!G44</f>
        <v>0</v>
      </c>
      <c r="H11" s="17">
        <f>Schedules!H44</f>
        <v>0</v>
      </c>
      <c r="I11" s="17">
        <f>Schedules!I44</f>
        <v>0</v>
      </c>
      <c r="J11" s="17">
        <f>Schedules!J44</f>
        <v>0</v>
      </c>
      <c r="K11" s="17">
        <f>Schedules!K44</f>
        <v>0</v>
      </c>
      <c r="L11" s="17">
        <f>Schedules!L44</f>
        <v>0</v>
      </c>
      <c r="M11" s="1"/>
      <c r="N11" s="1"/>
    </row>
    <row r="12">
      <c r="A12" s="12" t="s">
        <v>799</v>
      </c>
      <c r="B12" s="1"/>
      <c r="C12" s="17">
        <f>Schedules!C45</f>
        <v>-900</v>
      </c>
      <c r="D12" s="17">
        <f>Schedules!D45</f>
        <v>-1424.076369162848</v>
      </c>
      <c r="E12" s="17">
        <f>Schedules!E45</f>
        <v>-2360.6075495447885</v>
      </c>
      <c r="F12" s="17">
        <f>Schedules!F45</f>
        <v>-1556.2263808943076</v>
      </c>
      <c r="G12" s="17">
        <f>Schedules!G45</f>
        <v>-1137.9553222296809</v>
      </c>
      <c r="H12" s="17">
        <f>Schedules!H45</f>
        <v>-965.0101461727411</v>
      </c>
      <c r="I12" s="17">
        <f>Schedules!I45</f>
        <v>-1046.81258807161</v>
      </c>
      <c r="J12" s="17">
        <f>Schedules!J45</f>
        <v>-1089.80788190153</v>
      </c>
      <c r="K12" s="17">
        <f>Schedules!K45</f>
        <v>-1078.0202751484007</v>
      </c>
      <c r="L12" s="17">
        <f>Schedules!L45</f>
        <v>-1135.3530878475021</v>
      </c>
      <c r="M12" s="1"/>
      <c r="N12" s="1"/>
    </row>
    <row r="13">
      <c r="A13" s="12" t="s">
        <v>800</v>
      </c>
      <c r="B13" s="1"/>
      <c r="C13" s="17">
        <f>Schedules!C46</f>
        <v>-22.126512394008515</v>
      </c>
      <c r="D13" s="17">
        <f>Schedules!D46</f>
        <v>-70.8161634677171</v>
      </c>
      <c r="E13" s="17">
        <f>Schedules!E46</f>
        <v>-200.1340703536921</v>
      </c>
      <c r="F13" s="17">
        <f>Schedules!F46</f>
        <v>-70.89313452672218</v>
      </c>
      <c r="G13" s="17">
        <f>Schedules!G46</f>
        <v>-36.42961991372306</v>
      </c>
      <c r="H13" s="17">
        <f>Schedules!H46</f>
        <v>-12.155453757673286</v>
      </c>
      <c r="I13" s="17">
        <f>Schedules!I46</f>
        <v>-38.35072083437865</v>
      </c>
      <c r="J13" s="17">
        <f>Schedules!J46</f>
        <v>-21.77858081526381</v>
      </c>
      <c r="K13" s="17">
        <f>Schedules!K46</f>
        <v>-0.5661099473325066</v>
      </c>
      <c r="L13" s="17">
        <f>Schedules!L46</f>
        <v>-27.478371044242294</v>
      </c>
      <c r="M13" s="1"/>
      <c r="N13" s="1"/>
    </row>
    <row r="14">
      <c r="A14" s="77" t="s">
        <v>801</v>
      </c>
      <c r="B14" s="34"/>
      <c r="C14" s="41">
        <f>C8+C9+C10+C11+C12+C13</f>
        <v>-1024.068723309087</v>
      </c>
      <c r="D14" s="41">
        <f>D8+D9+D10+D11+D12+D13</f>
        <v>-951.9929016764263</v>
      </c>
      <c r="E14" s="41">
        <f>E8+E9+E10+E11+E12+E13</f>
        <v>-700.3793274017878</v>
      </c>
      <c r="F14" s="41">
        <f>F8+F9+F10+F11+F12+F13</f>
        <v>746.0042365718348</v>
      </c>
      <c r="G14" s="41">
        <f>G8+G9+G10+G11+G12+G13</f>
        <v>1174.1353092944337</v>
      </c>
      <c r="H14" s="41">
        <f>H8+H9+H10+H11+H12+H13</f>
        <v>1342.8883112119497</v>
      </c>
      <c r="I14" s="41">
        <f>I8+I9+I10+I11+I12+I13</f>
        <v>1263.3474782489402</v>
      </c>
      <c r="J14" s="41">
        <f>J8+J9+J10+J11+J12+J13</f>
        <v>1306.9832200355604</v>
      </c>
      <c r="K14" s="41">
        <f>K8+K9+K10+K11+K12+K13</f>
        <v>1268.796277894831</v>
      </c>
      <c r="L14" s="41">
        <f>L8+L9+L10+L11+L12+L13</f>
        <v>1295.1136010672883</v>
      </c>
      <c r="M14" s="1"/>
      <c r="N14" s="1"/>
    </row>
    <row r="15">
      <c r="A15" s="12" t="s">
        <v>1003</v>
      </c>
      <c r="B15" s="1"/>
      <c r="C15" s="2">
        <v>0.25</v>
      </c>
      <c r="D15" s="2">
        <v>1</v>
      </c>
      <c r="E15" s="11">
        <f>D15+1</f>
        <v>2</v>
      </c>
      <c r="F15" s="11">
        <f>E15+1</f>
        <v>3</v>
      </c>
      <c r="G15" s="11">
        <f>F15+1</f>
        <v>4</v>
      </c>
      <c r="H15" s="11">
        <f>G15+1</f>
        <v>5</v>
      </c>
      <c r="I15" s="11">
        <f>H15+1</f>
        <v>6</v>
      </c>
      <c r="J15" s="11">
        <f>I15+1</f>
        <v>7</v>
      </c>
      <c r="K15" s="11">
        <f>J15+1</f>
        <v>8</v>
      </c>
      <c r="L15" s="11">
        <f>K15+1</f>
        <v>9</v>
      </c>
      <c r="M15" s="1"/>
      <c r="N15" s="1"/>
    </row>
    <row r="16">
      <c r="A16" s="12" t="s">
        <v>1004</v>
      </c>
      <c r="B16" s="1"/>
      <c r="C16" s="106">
        <f>1/(1+$C$21)^C15</f>
        <v>0.9704936478174635</v>
      </c>
      <c r="D16" s="106">
        <f>1/(1+$C$21)^D15</f>
        <v>0.8870963423220216</v>
      </c>
      <c r="E16" s="106">
        <f>1/(1+$C$21)^E15</f>
        <v>0.7869399205611094</v>
      </c>
      <c r="F16" s="106">
        <f>1/(1+$C$21)^F15</f>
        <v>0.6980915251569424</v>
      </c>
      <c r="G16" s="106">
        <f>1/(1+$C$21)^G15</f>
        <v>0.6192744385727251</v>
      </c>
      <c r="H16" s="106">
        <f>1/(1+$C$21)^H15</f>
        <v>0.5493560893513879</v>
      </c>
      <c r="I16" s="106">
        <f>1/(1+$C$21)^I15</f>
        <v>0.48733177749594586</v>
      </c>
      <c r="J16" s="106">
        <f>1/(1+$C$21)^J15</f>
        <v>0.4323102373139429</v>
      </c>
      <c r="K16" s="106">
        <f>1/(1+$C$21)^K15</f>
        <v>0.38350083026956383</v>
      </c>
      <c r="L16" s="106">
        <f>1/(1+$C$21)^L15</f>
        <v>0.34020218380958855</v>
      </c>
      <c r="M16" s="1"/>
      <c r="N16" s="1"/>
    </row>
    <row r="17">
      <c r="A17" s="12" t="s">
        <v>1005</v>
      </c>
      <c r="B17" s="1"/>
      <c r="C17" s="5">
        <f>C14*C16</f>
        <v>-993.8521909000086</v>
      </c>
      <c r="D17" s="5">
        <f>D14*D16</f>
        <v>-844.5094209936857</v>
      </c>
      <c r="E17" s="5">
        <f>E14*E16</f>
        <v>-551.1564522682062</v>
      </c>
      <c r="F17" s="5">
        <f>F14*F16</f>
        <v>520.7792352819727</v>
      </c>
      <c r="G17" s="5">
        <f>G14*G16</f>
        <v>727.1119844717234</v>
      </c>
      <c r="H17" s="5">
        <f>H14*H16</f>
        <v>737.7238710830862</v>
      </c>
      <c r="I17" s="5">
        <f>I14*I16</f>
        <v>615.6693721700768</v>
      </c>
      <c r="J17" s="5">
        <f>J14*J16</f>
        <v>565.0222260189144</v>
      </c>
      <c r="K17" s="5">
        <f>K14*K16</f>
        <v>486.58442601559995</v>
      </c>
      <c r="L17" s="5">
        <f>L14*L16</f>
        <v>440.6004753645918</v>
      </c>
      <c r="M17" s="1"/>
      <c r="N17" s="1"/>
    </row>
    <row r="18">
      <c r="A18" s="12" t="s">
        <v>1006</v>
      </c>
      <c r="B18" s="1"/>
      <c r="C18" s="14">
        <f>C14-Schedules!C47</f>
        <v>0</v>
      </c>
      <c r="D18" s="14">
        <f>D14-Schedules!D47</f>
        <v>0</v>
      </c>
      <c r="E18" s="14">
        <f>E14-Schedules!E47</f>
        <v>0</v>
      </c>
      <c r="F18" s="14">
        <f>F14-Schedules!F47</f>
        <v>0</v>
      </c>
      <c r="G18" s="14">
        <f>G14-Schedules!G47</f>
        <v>0</v>
      </c>
      <c r="H18" s="14">
        <f>H14-Schedules!H47</f>
        <v>0</v>
      </c>
      <c r="I18" s="14">
        <f>I14-Schedules!I47</f>
        <v>0</v>
      </c>
      <c r="J18" s="14">
        <f>J14-Schedules!J47</f>
        <v>0</v>
      </c>
      <c r="K18" s="14">
        <f>K14-Schedules!K47</f>
        <v>0</v>
      </c>
      <c r="L18" s="14">
        <f>L14-Schedules!L47</f>
        <v>0</v>
      </c>
      <c r="M18" s="1"/>
      <c r="N18" s="1"/>
    </row>
    <row r="19">
      <c r="A19" s="1"/>
      <c r="B19" s="1"/>
      <c r="C19" s="1"/>
      <c r="D19" s="1"/>
      <c r="E19" s="1"/>
      <c r="F19" s="1"/>
      <c r="G19" s="1"/>
      <c r="H19" s="1"/>
      <c r="I19" s="1"/>
      <c r="J19" s="1"/>
      <c r="K19" s="1"/>
      <c r="L19" s="1"/>
      <c r="M19" s="1"/>
      <c r="N19" s="1"/>
    </row>
    <row r="20">
      <c r="A20" s="4" t="s">
        <v>1007</v>
      </c>
      <c r="B20" s="1"/>
      <c r="C20" s="1"/>
      <c r="D20" s="1"/>
      <c r="E20" s="1"/>
      <c r="F20" s="1"/>
      <c r="G20" s="1"/>
      <c r="H20" s="1"/>
      <c r="I20" s="1"/>
      <c r="J20" s="1"/>
      <c r="K20" s="1"/>
      <c r="L20" s="1"/>
      <c r="M20" s="1"/>
      <c r="N20" s="1"/>
    </row>
    <row r="21">
      <c r="A21" s="36" t="s">
        <v>931</v>
      </c>
      <c r="B21" s="45"/>
      <c r="C21" s="31">
        <f>Market_Package!B37</f>
        <v>0.12727327607106012</v>
      </c>
      <c r="D21" s="1"/>
      <c r="E21" s="1"/>
      <c r="F21" s="1"/>
      <c r="G21" s="1"/>
      <c r="H21" s="1"/>
      <c r="I21" s="1"/>
      <c r="J21" s="1"/>
      <c r="K21" s="1"/>
      <c r="L21" s="1"/>
      <c r="M21" s="1"/>
      <c r="N21" s="1"/>
    </row>
    <row r="22">
      <c r="A22" s="36" t="s">
        <v>1008</v>
      </c>
      <c r="B22" s="45"/>
      <c r="C22" s="31">
        <f>Assumptions!$C$22</f>
        <v>0.03</v>
      </c>
      <c r="D22" s="1"/>
      <c r="E22" s="1"/>
      <c r="F22" s="1"/>
      <c r="G22" s="1"/>
      <c r="H22" s="1"/>
      <c r="I22" s="1"/>
      <c r="J22" s="1"/>
      <c r="K22" s="1"/>
      <c r="L22" s="1"/>
      <c r="M22" s="1"/>
      <c r="N22" s="1"/>
    </row>
    <row r="23">
      <c r="A23" s="36" t="s">
        <v>648</v>
      </c>
      <c r="B23" s="45"/>
      <c r="C23" s="31">
        <f>Assumptions!$C$23</f>
        <v>0.2</v>
      </c>
      <c r="D23" s="1"/>
      <c r="E23" s="1"/>
      <c r="F23" s="1"/>
      <c r="G23" s="1"/>
      <c r="H23" s="1"/>
      <c r="I23" s="1"/>
      <c r="J23" s="1"/>
      <c r="K23" s="1"/>
      <c r="L23" s="1"/>
      <c r="M23" s="1"/>
      <c r="N23" s="1"/>
    </row>
    <row r="24">
      <c r="A24" s="12" t="s">
        <v>1009</v>
      </c>
      <c r="B24" s="1"/>
      <c r="C24" s="5">
        <f>SUM(C17:L17)</f>
        <v>1703.9735262440647</v>
      </c>
      <c r="D24" s="1"/>
      <c r="E24" s="1"/>
      <c r="F24" s="1"/>
      <c r="G24" s="1"/>
      <c r="H24" s="1"/>
      <c r="I24" s="1"/>
      <c r="J24" s="1"/>
      <c r="K24" s="1"/>
      <c r="L24" s="1"/>
      <c r="M24" s="1"/>
      <c r="N24" s="1"/>
    </row>
    <row r="25">
      <c r="A25" s="12" t="s">
        <v>1010</v>
      </c>
      <c r="B25" s="1"/>
      <c r="C25" s="5">
        <f>L8*(1+C22)</f>
        <v>1388.2203422063567</v>
      </c>
      <c r="D25" s="1"/>
      <c r="E25" s="1"/>
      <c r="F25" s="1"/>
      <c r="G25" s="1"/>
      <c r="H25" s="1"/>
      <c r="I25" s="1"/>
      <c r="J25" s="1"/>
      <c r="K25" s="1"/>
      <c r="L25" s="1"/>
      <c r="M25" s="1"/>
      <c r="N25" s="1"/>
    </row>
    <row r="26">
      <c r="A26" s="36" t="s">
        <v>1011</v>
      </c>
      <c r="B26" s="45"/>
      <c r="C26" s="18">
        <f>C22/C23</f>
        <v>0.15</v>
      </c>
      <c r="D26" s="1"/>
      <c r="E26" s="1"/>
      <c r="F26" s="1"/>
      <c r="G26" s="1"/>
      <c r="H26" s="1"/>
      <c r="I26" s="1"/>
      <c r="J26" s="1"/>
      <c r="K26" s="1"/>
      <c r="L26" s="1"/>
      <c r="M26" s="1"/>
      <c r="N26" s="1"/>
    </row>
    <row r="27">
      <c r="A27" s="12" t="s">
        <v>1012</v>
      </c>
      <c r="B27" s="1"/>
      <c r="C27" s="5">
        <f>C25*(1-C26)</f>
        <v>1179.9872908754032</v>
      </c>
      <c r="D27" s="1"/>
      <c r="E27" s="1"/>
      <c r="F27" s="1"/>
      <c r="G27" s="1"/>
      <c r="H27" s="1"/>
      <c r="I27" s="1"/>
      <c r="J27" s="1"/>
      <c r="K27" s="1"/>
      <c r="L27" s="1"/>
      <c r="M27" s="1"/>
      <c r="N27" s="1"/>
    </row>
    <row r="28">
      <c r="A28" s="12" t="s">
        <v>1013</v>
      </c>
      <c r="B28" s="1"/>
      <c r="C28" s="5">
        <f>C27/(C21-C22)*(1+C21)^0.5</f>
        <v>12879.481888105038</v>
      </c>
      <c r="D28" s="1"/>
      <c r="E28" s="1"/>
      <c r="F28" s="1"/>
      <c r="G28" s="1"/>
      <c r="H28" s="1"/>
      <c r="I28" s="1"/>
      <c r="J28" s="1"/>
      <c r="K28" s="1"/>
      <c r="L28" s="1"/>
      <c r="M28" s="1"/>
      <c r="N28" s="1" t="s">
        <v>1014</v>
      </c>
    </row>
    <row r="29">
      <c r="A29" s="12" t="s">
        <v>1015</v>
      </c>
      <c r="B29" s="1"/>
      <c r="C29" s="11">
        <f>L15+0.5</f>
        <v>9.5</v>
      </c>
      <c r="D29" s="1"/>
      <c r="E29" s="1"/>
      <c r="F29" s="1"/>
      <c r="G29" s="1"/>
      <c r="H29" s="1"/>
      <c r="I29" s="1"/>
      <c r="J29" s="1"/>
      <c r="K29" s="1"/>
      <c r="L29" s="1"/>
      <c r="M29" s="1"/>
      <c r="N29" s="1"/>
    </row>
    <row r="30">
      <c r="A30" s="12" t="s">
        <v>1016</v>
      </c>
      <c r="B30" s="1"/>
      <c r="C30" s="5">
        <f>C28/(1+C21)^C29</f>
        <v>4126.870908821004</v>
      </c>
      <c r="D30" s="1"/>
      <c r="E30" s="1"/>
      <c r="F30" s="1"/>
      <c r="G30" s="1"/>
      <c r="H30" s="1"/>
      <c r="I30" s="1"/>
      <c r="J30" s="1"/>
      <c r="K30" s="1"/>
      <c r="L30" s="1"/>
      <c r="M30" s="1"/>
      <c r="N30" s="1"/>
    </row>
    <row r="31">
      <c r="A31" s="56" t="s">
        <v>1017</v>
      </c>
      <c r="B31" s="34"/>
      <c r="C31" s="22">
        <f>C24+C30</f>
        <v>5830.844435065069</v>
      </c>
      <c r="D31" s="1"/>
      <c r="E31" s="1"/>
      <c r="F31" s="1"/>
      <c r="G31" s="1"/>
      <c r="H31" s="1"/>
      <c r="I31" s="1"/>
      <c r="J31" s="1"/>
      <c r="K31" s="1"/>
      <c r="L31" s="1"/>
      <c r="M31" s="1"/>
      <c r="N31" s="1"/>
    </row>
    <row r="32">
      <c r="A32" s="12" t="s">
        <v>986</v>
      </c>
      <c r="B32" s="1"/>
      <c r="C32" s="17">
        <f>Market_Package!B15</f>
        <v>7921.5470000000005</v>
      </c>
      <c r="D32" s="1"/>
      <c r="E32" s="1"/>
      <c r="F32" s="1"/>
      <c r="G32" s="1"/>
      <c r="H32" s="1"/>
      <c r="I32" s="1"/>
      <c r="J32" s="1"/>
      <c r="K32" s="1"/>
      <c r="L32" s="1"/>
      <c r="M32" s="1"/>
      <c r="N32" s="1" t="s">
        <v>1018</v>
      </c>
    </row>
    <row r="33">
      <c r="A33" s="12" t="s">
        <v>1019</v>
      </c>
      <c r="B33" s="1"/>
      <c r="C33" s="5">
        <f>-Market_Package!B16</f>
        <v>-918.2439999999999</v>
      </c>
      <c r="D33" s="1"/>
      <c r="E33" s="1"/>
      <c r="F33" s="1"/>
      <c r="G33" s="1"/>
      <c r="H33" s="1"/>
      <c r="I33" s="1"/>
      <c r="J33" s="1"/>
      <c r="K33" s="1"/>
      <c r="L33" s="1"/>
      <c r="M33" s="1"/>
      <c r="N33" s="1"/>
    </row>
    <row r="34">
      <c r="A34" s="56" t="s">
        <v>1020</v>
      </c>
      <c r="B34" s="34"/>
      <c r="C34" s="22">
        <f>C31+C32+C33</f>
        <v>12834.14743506507</v>
      </c>
      <c r="D34" s="1"/>
      <c r="E34" s="1"/>
      <c r="F34" s="1"/>
      <c r="G34" s="1"/>
      <c r="H34" s="1"/>
      <c r="I34" s="1"/>
      <c r="J34" s="1"/>
      <c r="K34" s="1"/>
      <c r="L34" s="1"/>
      <c r="M34" s="1"/>
      <c r="N34" s="1"/>
    </row>
    <row r="35">
      <c r="A35" s="56" t="s">
        <v>1021</v>
      </c>
      <c r="B35" s="34"/>
      <c r="C35" s="20">
        <f>C31*(1+C21)^Market_Package!B9</f>
        <v>6063.095419845915</v>
      </c>
      <c r="D35" s="1"/>
      <c r="E35" s="1"/>
      <c r="F35" s="1"/>
      <c r="G35" s="1"/>
      <c r="H35" s="1"/>
      <c r="I35" s="1"/>
      <c r="J35" s="1"/>
      <c r="K35" s="1"/>
      <c r="L35" s="1"/>
      <c r="M35" s="1"/>
      <c r="N35" s="1" t="s">
        <v>1022</v>
      </c>
    </row>
    <row r="36">
      <c r="A36" s="12" t="s">
        <v>1023</v>
      </c>
      <c r="B36" s="1"/>
      <c r="C36" s="5">
        <f>C32*(1+Assumptions!$C$31)^Market_Package!B9</f>
        <v>8017.197154999207</v>
      </c>
      <c r="D36" s="1"/>
      <c r="E36" s="1"/>
      <c r="F36" s="1"/>
      <c r="G36" s="1"/>
      <c r="H36" s="1"/>
      <c r="I36" s="1"/>
      <c r="J36" s="1"/>
      <c r="K36" s="1"/>
      <c r="L36" s="1"/>
      <c r="M36" s="1"/>
      <c r="N36" s="1" t="s">
        <v>1024</v>
      </c>
    </row>
    <row r="37">
      <c r="A37" s="12" t="s">
        <v>1025</v>
      </c>
      <c r="B37" s="1"/>
      <c r="C37" s="5">
        <f>C33*(1+Assumptions!$C$32)^Market_Package!B9</f>
        <v>-935.8548699347402</v>
      </c>
      <c r="D37" s="1"/>
      <c r="E37" s="1"/>
      <c r="F37" s="1"/>
      <c r="G37" s="1"/>
      <c r="H37" s="1"/>
      <c r="I37" s="1"/>
      <c r="J37" s="1"/>
      <c r="K37" s="1"/>
      <c r="L37" s="1"/>
      <c r="M37" s="1"/>
      <c r="N37" s="1"/>
    </row>
    <row r="38">
      <c r="A38" s="56" t="s">
        <v>1026</v>
      </c>
      <c r="B38" s="34"/>
      <c r="C38" s="22">
        <f>C35+C36+C37</f>
        <v>13144.437704910382</v>
      </c>
      <c r="D38" s="1"/>
      <c r="E38" s="1"/>
      <c r="F38" s="1"/>
      <c r="G38" s="1"/>
      <c r="H38" s="1"/>
      <c r="I38" s="1"/>
      <c r="J38" s="1"/>
      <c r="K38" s="1"/>
      <c r="L38" s="1"/>
      <c r="M38" s="1"/>
      <c r="N38" s="1"/>
    </row>
    <row r="39">
      <c r="A39" s="12" t="s">
        <v>28</v>
      </c>
      <c r="B39" s="1"/>
      <c r="C39" s="44">
        <f>Market_Package!B11</f>
        <v>286.11751792479674</v>
      </c>
      <c r="D39" s="1"/>
      <c r="E39" s="1"/>
      <c r="F39" s="1"/>
      <c r="G39" s="1"/>
      <c r="H39" s="1"/>
      <c r="I39" s="1"/>
      <c r="J39" s="1"/>
      <c r="K39" s="1"/>
      <c r="L39" s="1"/>
      <c r="M39" s="1"/>
      <c r="N39" s="1"/>
    </row>
    <row r="40">
      <c r="A40" s="56" t="s">
        <v>990</v>
      </c>
      <c r="B40" s="34"/>
      <c r="C40" s="52">
        <f>C38/C39</f>
        <v>45.94069527880244</v>
      </c>
      <c r="D40" s="1"/>
      <c r="E40" s="1"/>
      <c r="F40" s="1"/>
      <c r="G40" s="1"/>
      <c r="H40" s="1"/>
      <c r="I40" s="1"/>
      <c r="J40" s="1"/>
      <c r="K40" s="1"/>
      <c r="L40" s="1"/>
      <c r="M40" s="1"/>
      <c r="N40" s="1"/>
    </row>
    <row r="41">
      <c r="A41" s="12" t="s">
        <v>17</v>
      </c>
      <c r="B41" s="1"/>
      <c r="C41" s="23">
        <f>Market_Package!B10</f>
        <v>119.31</v>
      </c>
      <c r="D41" s="1"/>
      <c r="E41" s="1"/>
      <c r="F41" s="1"/>
      <c r="G41" s="1"/>
      <c r="H41" s="1"/>
      <c r="I41" s="1"/>
      <c r="J41" s="1"/>
      <c r="K41" s="1"/>
      <c r="L41" s="1"/>
      <c r="M41" s="1"/>
      <c r="N41" s="1"/>
    </row>
    <row r="42">
      <c r="A42" s="36" t="s">
        <v>1027</v>
      </c>
      <c r="B42" s="45"/>
      <c r="C42" s="18">
        <f>C40/C41-1</f>
        <v>-0.61494681687367</v>
      </c>
      <c r="D42" s="1"/>
      <c r="E42" s="1"/>
      <c r="F42" s="1"/>
      <c r="G42" s="1"/>
      <c r="H42" s="1"/>
      <c r="I42" s="1"/>
      <c r="J42" s="1"/>
      <c r="K42" s="1"/>
      <c r="L42" s="1"/>
      <c r="M42" s="1"/>
      <c r="N42" s="1"/>
    </row>
    <row r="43">
      <c r="A43" s="36" t="s">
        <v>1028</v>
      </c>
      <c r="B43" s="45"/>
      <c r="C43" s="18">
        <f>C30/C31</f>
        <v>0.7077655654819319</v>
      </c>
      <c r="D43" s="1"/>
      <c r="E43" s="1"/>
      <c r="F43" s="1"/>
      <c r="G43" s="1"/>
      <c r="H43" s="1"/>
      <c r="I43" s="1"/>
      <c r="J43" s="1"/>
      <c r="K43" s="1"/>
      <c r="L43" s="1"/>
      <c r="M43" s="1"/>
      <c r="N43" s="1"/>
    </row>
    <row r="44">
      <c r="A44" s="12" t="s">
        <v>1029</v>
      </c>
      <c r="B44" s="1"/>
      <c r="C44" s="28">
        <f>IF(Forecast_3Stmt!L43&gt;0,C28/Forecast_3Stmt!L43,0)</f>
        <v>4.5733264419069</v>
      </c>
      <c r="D44" s="1"/>
      <c r="E44" s="1"/>
      <c r="F44" s="1"/>
      <c r="G44" s="1"/>
      <c r="H44" s="1"/>
      <c r="I44" s="1"/>
      <c r="J44" s="1"/>
      <c r="K44" s="1"/>
      <c r="L44" s="1"/>
      <c r="M44" s="1"/>
      <c r="N44" s="1"/>
    </row>
    <row r="45">
      <c r="A45" s="1"/>
      <c r="B45" s="1"/>
      <c r="C45" s="1"/>
      <c r="D45" s="1"/>
      <c r="E45" s="1"/>
      <c r="F45" s="1"/>
      <c r="G45" s="1"/>
      <c r="H45" s="1"/>
      <c r="I45" s="1"/>
      <c r="J45" s="1"/>
      <c r="K45" s="1"/>
      <c r="L45" s="1"/>
      <c r="M45" s="1"/>
      <c r="N45" s="1"/>
    </row>
    <row r="46">
      <c r="A46" s="4" t="s">
        <v>1030</v>
      </c>
      <c r="B46" s="1"/>
      <c r="C46" s="1"/>
      <c r="D46" s="1"/>
      <c r="E46" s="1"/>
      <c r="F46" s="1"/>
      <c r="G46" s="1"/>
      <c r="H46" s="1"/>
      <c r="I46" s="1"/>
      <c r="J46" s="1"/>
      <c r="K46" s="1"/>
      <c r="L46" s="1"/>
      <c r="M46" s="1"/>
      <c r="N46" s="1"/>
    </row>
    <row r="47">
      <c r="A47" s="12" t="s">
        <v>1031</v>
      </c>
      <c r="B47" s="1"/>
      <c r="C47" s="17">
        <f>Forecast_3Stmt!L43</f>
        <v>2816.2174845176355</v>
      </c>
      <c r="D47" s="1"/>
      <c r="E47" s="1"/>
      <c r="F47" s="1"/>
      <c r="G47" s="1"/>
      <c r="H47" s="1"/>
      <c r="I47" s="1"/>
      <c r="J47" s="1"/>
      <c r="K47" s="1"/>
      <c r="L47" s="1"/>
      <c r="M47" s="1"/>
      <c r="N47" s="1"/>
    </row>
    <row r="48">
      <c r="A48" s="36" t="s">
        <v>1032</v>
      </c>
      <c r="B48" s="45"/>
      <c r="C48" s="18">
        <f>Forecast_3Stmt!L40/C47</f>
        <v>0.3942019130468577</v>
      </c>
      <c r="D48" s="1"/>
      <c r="E48" s="1"/>
      <c r="F48" s="1"/>
      <c r="G48" s="1"/>
      <c r="H48" s="1"/>
      <c r="I48" s="1"/>
      <c r="J48" s="1"/>
      <c r="K48" s="1"/>
      <c r="L48" s="1"/>
      <c r="M48" s="1"/>
      <c r="N48" s="1"/>
    </row>
    <row r="49">
      <c r="A49" s="36" t="s">
        <v>1033</v>
      </c>
      <c r="B49" s="45"/>
      <c r="C49" s="18">
        <f>-L7/L6</f>
        <v>0.21</v>
      </c>
      <c r="D49" s="1"/>
      <c r="E49" s="1"/>
      <c r="F49" s="1"/>
      <c r="G49" s="1"/>
      <c r="H49" s="1"/>
      <c r="I49" s="1"/>
      <c r="J49" s="1"/>
      <c r="K49" s="1"/>
      <c r="L49" s="1"/>
      <c r="M49" s="1"/>
      <c r="N49" s="1"/>
    </row>
    <row r="50">
      <c r="A50" s="36" t="s">
        <v>1034</v>
      </c>
      <c r="B50" s="45"/>
      <c r="C50" s="18">
        <f>L8/C47</f>
        <v>0.4785804886929824</v>
      </c>
      <c r="D50" s="1"/>
      <c r="E50" s="1"/>
      <c r="F50" s="1"/>
      <c r="G50" s="1"/>
      <c r="H50" s="1"/>
      <c r="I50" s="1"/>
      <c r="J50" s="1"/>
      <c r="K50" s="1"/>
      <c r="L50" s="1"/>
      <c r="M50" s="1"/>
      <c r="N50" s="1"/>
    </row>
    <row r="51">
      <c r="A51" s="12" t="s">
        <v>1035</v>
      </c>
      <c r="B51" s="1"/>
      <c r="C51" s="74">
        <f>(1+C22)*(1-C26)</f>
        <v>0.8755</v>
      </c>
      <c r="D51" s="1"/>
      <c r="E51" s="1"/>
      <c r="F51" s="1"/>
      <c r="G51" s="1"/>
      <c r="H51" s="1"/>
      <c r="I51" s="1"/>
      <c r="J51" s="1"/>
      <c r="K51" s="1"/>
      <c r="L51" s="1"/>
      <c r="M51" s="1"/>
      <c r="N51" s="1"/>
    </row>
    <row r="52">
      <c r="A52" s="12" t="s">
        <v>1036</v>
      </c>
      <c r="B52" s="1"/>
      <c r="C52" s="28">
        <f>1/(C21-C22)</f>
        <v>10.28031583175506</v>
      </c>
      <c r="D52" s="1"/>
      <c r="E52" s="1"/>
      <c r="F52" s="1"/>
      <c r="G52" s="1"/>
      <c r="H52" s="1"/>
      <c r="I52" s="1"/>
      <c r="J52" s="1"/>
      <c r="K52" s="1"/>
      <c r="L52" s="1"/>
      <c r="M52" s="1"/>
      <c r="N52" s="1"/>
    </row>
    <row r="53">
      <c r="A53" s="12" t="s">
        <v>1037</v>
      </c>
      <c r="B53" s="1"/>
      <c r="C53" s="74">
        <f>(1+C21)^0.5</f>
        <v>1.0617312635837095</v>
      </c>
      <c r="D53" s="1"/>
      <c r="E53" s="1"/>
      <c r="F53" s="1"/>
      <c r="G53" s="1"/>
      <c r="H53" s="1"/>
      <c r="I53" s="1"/>
      <c r="J53" s="1"/>
      <c r="K53" s="1"/>
      <c r="L53" s="1"/>
      <c r="M53" s="1"/>
      <c r="N53" s="1"/>
    </row>
    <row r="54">
      <c r="A54" s="56" t="s">
        <v>1038</v>
      </c>
      <c r="B54" s="34"/>
      <c r="C54" s="80">
        <f>C50*C51*C52*C53</f>
        <v>4.573326441906899</v>
      </c>
      <c r="D54" s="1"/>
      <c r="E54" s="1"/>
      <c r="F54" s="1"/>
      <c r="G54" s="1"/>
      <c r="H54" s="1"/>
      <c r="I54" s="1"/>
      <c r="J54" s="1"/>
      <c r="K54" s="1"/>
      <c r="L54" s="1"/>
      <c r="M54" s="1"/>
      <c r="N54" s="1"/>
    </row>
    <row r="55">
      <c r="A55" s="12" t="s">
        <v>1039</v>
      </c>
      <c r="B55" s="1"/>
      <c r="C55" s="28">
        <f>-L12/L9</f>
        <v>1.0226947521284266</v>
      </c>
      <c r="D55" s="1"/>
      <c r="E55" s="1"/>
      <c r="F55" s="1"/>
      <c r="G55" s="1"/>
      <c r="H55" s="1"/>
      <c r="I55" s="1"/>
      <c r="J55" s="1"/>
      <c r="K55" s="1"/>
      <c r="L55" s="1"/>
      <c r="M55" s="1"/>
      <c r="N55" s="1"/>
    </row>
    <row r="56">
      <c r="A56" s="36" t="s">
        <v>1040</v>
      </c>
      <c r="B56" s="45"/>
      <c r="C56" s="18">
        <f>C22+C50*C51*C53/C64</f>
        <v>0.06707187046222407</v>
      </c>
      <c r="D56" s="1"/>
      <c r="E56" s="1"/>
      <c r="F56" s="1"/>
      <c r="G56" s="1"/>
      <c r="H56" s="1"/>
      <c r="I56" s="1"/>
      <c r="J56" s="1"/>
      <c r="K56" s="1"/>
      <c r="L56" s="1"/>
      <c r="M56" s="1"/>
      <c r="N56" s="1" t="s">
        <v>1041</v>
      </c>
    </row>
    <row r="57">
      <c r="A57" s="12" t="s">
        <v>1042</v>
      </c>
      <c r="B57" s="1"/>
      <c r="C57" s="1"/>
      <c r="D57" s="1"/>
      <c r="E57" s="1"/>
      <c r="F57" s="1"/>
      <c r="G57" s="1"/>
      <c r="H57" s="1"/>
      <c r="I57" s="1"/>
      <c r="J57" s="1"/>
      <c r="K57" s="1"/>
      <c r="L57" s="1"/>
      <c r="M57" s="1"/>
      <c r="N57" s="1"/>
    </row>
    <row r="58">
      <c r="A58" s="12" t="s">
        <v>1043</v>
      </c>
      <c r="B58" s="1"/>
      <c r="C58" s="1"/>
      <c r="D58" s="1"/>
      <c r="E58" s="1"/>
      <c r="F58" s="1"/>
      <c r="G58" s="1"/>
      <c r="H58" s="1"/>
      <c r="I58" s="1"/>
      <c r="J58" s="1"/>
      <c r="K58" s="1"/>
      <c r="L58" s="1"/>
      <c r="M58" s="1"/>
      <c r="N58" s="1"/>
    </row>
    <row r="59">
      <c r="A59" s="12" t="s">
        <v>1044</v>
      </c>
      <c r="B59" s="1"/>
      <c r="C59" s="1"/>
      <c r="D59" s="1"/>
      <c r="E59" s="1"/>
      <c r="F59" s="1"/>
      <c r="G59" s="1"/>
      <c r="H59" s="1"/>
      <c r="I59" s="1"/>
      <c r="J59" s="1"/>
      <c r="K59" s="1"/>
      <c r="L59" s="1"/>
      <c r="M59" s="1"/>
      <c r="N59" s="1"/>
    </row>
    <row r="60">
      <c r="A60" s="12" t="s">
        <v>1045</v>
      </c>
      <c r="B60" s="1"/>
      <c r="C60" s="1"/>
      <c r="D60" s="1"/>
      <c r="E60" s="1"/>
      <c r="F60" s="1"/>
      <c r="G60" s="1"/>
      <c r="H60" s="1"/>
      <c r="I60" s="1"/>
      <c r="J60" s="1"/>
      <c r="K60" s="1"/>
      <c r="L60" s="1"/>
      <c r="M60" s="1"/>
      <c r="N60" s="1"/>
    </row>
    <row r="61">
      <c r="A61" s="12" t="s">
        <v>1046</v>
      </c>
      <c r="B61" s="1"/>
      <c r="C61" s="1"/>
      <c r="D61" s="1"/>
      <c r="E61" s="1"/>
      <c r="F61" s="1"/>
      <c r="G61" s="1"/>
      <c r="H61" s="1"/>
      <c r="I61" s="1"/>
      <c r="J61" s="1"/>
      <c r="K61" s="1"/>
      <c r="L61" s="1"/>
      <c r="M61" s="1"/>
      <c r="N61" s="1"/>
    </row>
    <row r="62">
      <c r="A62" s="1"/>
      <c r="B62" s="1"/>
      <c r="C62" s="1"/>
      <c r="D62" s="1"/>
      <c r="E62" s="1"/>
      <c r="F62" s="1"/>
      <c r="G62" s="1"/>
      <c r="H62" s="1"/>
      <c r="I62" s="1"/>
      <c r="J62" s="1"/>
      <c r="K62" s="1"/>
      <c r="L62" s="1"/>
      <c r="M62" s="1"/>
      <c r="N62" s="1"/>
    </row>
    <row r="63">
      <c r="A63" s="4" t="s">
        <v>1047</v>
      </c>
      <c r="B63" s="1"/>
      <c r="C63" s="1"/>
      <c r="D63" s="1"/>
      <c r="E63" s="1"/>
      <c r="F63" s="1"/>
      <c r="G63" s="1"/>
      <c r="H63" s="1"/>
      <c r="I63" s="1"/>
      <c r="J63" s="1"/>
      <c r="K63" s="1"/>
      <c r="L63" s="1"/>
      <c r="M63" s="1"/>
      <c r="N63" s="1"/>
    </row>
    <row r="64">
      <c r="A64" s="12" t="s">
        <v>1048</v>
      </c>
      <c r="B64" s="1"/>
      <c r="C64" s="81">
        <f>Assumptions!$C$24</f>
        <v>12</v>
      </c>
      <c r="D64" s="1"/>
      <c r="E64" s="1"/>
      <c r="F64" s="1"/>
      <c r="G64" s="1"/>
      <c r="H64" s="1"/>
      <c r="I64" s="1"/>
      <c r="J64" s="1"/>
      <c r="K64" s="1"/>
      <c r="L64" s="1"/>
      <c r="M64" s="1"/>
      <c r="N64" s="1"/>
    </row>
    <row r="65">
      <c r="A65" s="12" t="s">
        <v>1049</v>
      </c>
      <c r="B65" s="1"/>
      <c r="C65" s="5">
        <f>Forecast_3Stmt!L43*C64</f>
        <v>33794.609814211624</v>
      </c>
      <c r="D65" s="1"/>
      <c r="E65" s="1"/>
      <c r="F65" s="1"/>
      <c r="G65" s="1"/>
      <c r="H65" s="1"/>
      <c r="I65" s="1"/>
      <c r="J65" s="1"/>
      <c r="K65" s="1"/>
      <c r="L65" s="1"/>
      <c r="M65" s="1"/>
      <c r="N65" s="1"/>
    </row>
    <row r="66">
      <c r="A66" s="56" t="s">
        <v>1050</v>
      </c>
      <c r="B66" s="34"/>
      <c r="C66" s="20">
        <f>(C24+C65/(1+C21)^C29)*(1+C21)^Market_Package!B9</f>
        <v>13031.702294375076</v>
      </c>
      <c r="D66" s="1"/>
      <c r="E66" s="1"/>
      <c r="F66" s="1"/>
      <c r="G66" s="1"/>
      <c r="H66" s="1"/>
      <c r="I66" s="1"/>
      <c r="J66" s="1"/>
      <c r="K66" s="1"/>
      <c r="L66" s="1"/>
      <c r="M66" s="1"/>
      <c r="N66" s="1"/>
    </row>
    <row r="67">
      <c r="A67" s="56" t="s">
        <v>990</v>
      </c>
      <c r="B67" s="34"/>
      <c r="C67" s="52">
        <f>(C66+C36+C37)/C39</f>
        <v>70.29644575878805</v>
      </c>
      <c r="D67" s="1"/>
      <c r="E67" s="1"/>
      <c r="F67" s="1"/>
      <c r="G67" s="1"/>
      <c r="H67" s="1"/>
      <c r="I67" s="1"/>
      <c r="J67" s="1"/>
      <c r="K67" s="1"/>
      <c r="L67" s="1"/>
      <c r="M67" s="1"/>
      <c r="N67" s="1"/>
    </row>
    <row r="68">
      <c r="A68" s="36" t="s">
        <v>1027</v>
      </c>
      <c r="B68" s="45"/>
      <c r="C68" s="18">
        <f>C67/C41-1</f>
        <v>-0.41080843383800136</v>
      </c>
      <c r="D68" s="1"/>
      <c r="E68" s="1"/>
      <c r="F68" s="1"/>
      <c r="G68" s="1"/>
      <c r="H68" s="1"/>
      <c r="I68" s="1"/>
      <c r="J68" s="1"/>
      <c r="K68" s="1"/>
      <c r="L68" s="1"/>
      <c r="M68" s="1"/>
      <c r="N68" s="1"/>
    </row>
    <row r="69">
      <c r="A69" s="12" t="s">
        <v>1051</v>
      </c>
      <c r="B69" s="1"/>
      <c r="C69" s="14">
        <f>C54-C44</f>
        <v>0</v>
      </c>
      <c r="D69" s="1"/>
      <c r="E69" s="1"/>
      <c r="F69" s="1"/>
      <c r="G69" s="1"/>
      <c r="H69" s="1"/>
      <c r="I69" s="1"/>
      <c r="J69" s="1"/>
      <c r="K69" s="1"/>
      <c r="L69" s="1"/>
      <c r="M69" s="1"/>
      <c r="N69" s="1"/>
    </row>
  </sheetData>
</worksheet>
</file>

<file path=xl/worksheets/sheet19.xml><?xml version="1.0" encoding="utf-8"?>
<worksheet xmlns="http://schemas.openxmlformats.org/spreadsheetml/2006/main" xmlns:r="http://schemas.openxmlformats.org/officeDocument/2006/relationships">
  <sheetPr>
    <tabColor rgb="FFC0873A"/>
  </sheetPr>
  <dimension ref="A1:H47"/>
  <sheetViews>
    <sheetView showGridLines="0" workbookViewId="0"/>
  </sheetViews>
  <sheetFormatPr defaultColWidth="8.375" defaultRowHeight="15"/>
  <cols>
    <col min="1" max="1" width="92.70703125" customWidth="1"/>
    <col min="2" max="2" width="14.375" customWidth="1"/>
    <col min="3" max="4" width="16.0390625" customWidth="1"/>
    <col min="5" max="5" width="19.375" customWidth="1"/>
    <col min="6" max="7" width="14.375" customWidth="1"/>
    <col min="8" max="8" width="86.0390625" customWidth="1"/>
  </cols>
  <sheetData>
    <row r="1">
      <c r="A1" s="21" t="s">
        <v>1052</v>
      </c>
      <c r="B1" s="1"/>
      <c r="C1" s="1"/>
      <c r="D1" s="1"/>
      <c r="E1" s="1"/>
      <c r="F1" s="1"/>
      <c r="G1" s="1"/>
      <c r="H1" s="1"/>
    </row>
    <row r="2">
      <c r="A2" s="1" t="s">
        <v>1053</v>
      </c>
      <c r="B2" s="1"/>
      <c r="C2" s="1"/>
      <c r="D2" s="1"/>
      <c r="E2" s="1"/>
      <c r="F2" s="1"/>
      <c r="G2" s="1"/>
      <c r="H2" s="1"/>
    </row>
    <row r="3">
      <c r="A3" s="1"/>
      <c r="B3" s="1"/>
      <c r="C3" s="1"/>
      <c r="D3" s="1"/>
      <c r="E3" s="1"/>
      <c r="F3" s="1"/>
      <c r="G3" s="1"/>
      <c r="H3" s="1"/>
    </row>
    <row r="4">
      <c r="A4" s="4" t="s">
        <v>1054</v>
      </c>
      <c r="B4" s="1"/>
      <c r="C4" s="1"/>
      <c r="D4" s="1"/>
      <c r="E4" s="1"/>
      <c r="F4" s="1"/>
      <c r="G4" s="1"/>
      <c r="H4" s="1"/>
    </row>
    <row r="5">
      <c r="A5" s="3" t="s">
        <v>1055</v>
      </c>
      <c r="B5" s="24" t="s">
        <v>1056</v>
      </c>
      <c r="C5" s="24" t="s">
        <v>1057</v>
      </c>
      <c r="D5" s="24" t="s">
        <v>1058</v>
      </c>
      <c r="E5" s="24" t="s">
        <v>1059</v>
      </c>
      <c r="F5" s="1"/>
      <c r="G5" s="1"/>
      <c r="H5" s="6" t="s">
        <v>87</v>
      </c>
    </row>
    <row r="6">
      <c r="A6" s="12" t="s">
        <v>619</v>
      </c>
      <c r="B6" s="23">
        <f>Scenario_Summary!D21</f>
        <v>45.94069527880244</v>
      </c>
      <c r="C6" s="23">
        <f>Scenario_Summary!D22</f>
        <v>70.29644575878805</v>
      </c>
      <c r="D6" s="23">
        <f>Market_Package!B10</f>
        <v>119.31</v>
      </c>
      <c r="E6" s="39">
        <f>B6/D6-1</f>
        <v>-0.61494681687367</v>
      </c>
      <c r="F6" s="1"/>
      <c r="G6" s="1"/>
      <c r="H6" s="1" t="s">
        <v>69</v>
      </c>
    </row>
    <row r="7">
      <c r="A7" s="12" t="s">
        <v>620</v>
      </c>
      <c r="B7" s="23">
        <f>Scenario_Summary!E21</f>
        <v>100.01525297361582</v>
      </c>
      <c r="C7" s="23">
        <f>Scenario_Summary!E22</f>
        <v>176.60982611830477</v>
      </c>
      <c r="D7" s="23">
        <f>Market_Package!B10</f>
        <v>119.31</v>
      </c>
      <c r="E7" s="39">
        <f>B7/D7-1</f>
        <v>-0.1617194453640448</v>
      </c>
      <c r="F7" s="1"/>
      <c r="G7" s="1"/>
      <c r="H7" s="1" t="s">
        <v>69</v>
      </c>
    </row>
    <row r="8">
      <c r="A8" s="12" t="s">
        <v>621</v>
      </c>
      <c r="B8" s="23">
        <f>Scenario_Summary!F21</f>
        <v>15.521380098164885</v>
      </c>
      <c r="C8" s="23">
        <f>Scenario_Summary!F22</f>
        <v>23.13249162034244</v>
      </c>
      <c r="D8" s="23">
        <f>Market_Package!B10</f>
        <v>119.31</v>
      </c>
      <c r="E8" s="39">
        <f>B8/D8-1</f>
        <v>-0.8699071318568026</v>
      </c>
      <c r="F8" s="1"/>
      <c r="G8" s="1"/>
      <c r="H8" s="1" t="s">
        <v>69</v>
      </c>
    </row>
    <row r="9">
      <c r="A9" s="12" t="s">
        <v>1060</v>
      </c>
      <c r="B9" s="23">
        <f>Comparables!E27</f>
        <v>67.45193919695747</v>
      </c>
      <c r="C9" s="11"/>
      <c r="D9" s="23">
        <f>Market_Package!B10</f>
        <v>119.31</v>
      </c>
      <c r="E9" s="39">
        <f>B9/D9-1</f>
        <v>-0.4346497427126187</v>
      </c>
      <c r="F9" s="1"/>
      <c r="G9" s="1"/>
      <c r="H9" s="1" t="s">
        <v>1061</v>
      </c>
    </row>
    <row r="10">
      <c r="A10" s="1"/>
      <c r="B10" s="1"/>
      <c r="C10" s="1"/>
      <c r="D10" s="1"/>
      <c r="E10" s="1"/>
      <c r="F10" s="1"/>
      <c r="G10" s="1"/>
      <c r="H10" s="1"/>
    </row>
    <row r="11">
      <c r="A11" s="4" t="s">
        <v>1062</v>
      </c>
      <c r="B11" s="1"/>
      <c r="C11" s="1"/>
      <c r="D11" s="1"/>
      <c r="E11" s="1"/>
      <c r="F11" s="1"/>
      <c r="G11" s="1"/>
      <c r="H11" s="1"/>
    </row>
    <row r="12">
      <c r="A12" s="12" t="s">
        <v>903</v>
      </c>
      <c r="B12" s="1"/>
      <c r="C12" s="17">
        <f>Market_Package!B17</f>
        <v>27133.378063607503</v>
      </c>
      <c r="D12" s="1"/>
      <c r="E12" s="1"/>
      <c r="F12" s="1"/>
      <c r="G12" s="1"/>
      <c r="H12" s="1"/>
    </row>
    <row r="13">
      <c r="A13" s="12" t="s">
        <v>908</v>
      </c>
      <c r="B13" s="1"/>
      <c r="C13" s="81">
        <f>Market_Package!B20</f>
        <v>9.01310168584653</v>
      </c>
      <c r="D13" s="1"/>
      <c r="E13" s="1"/>
      <c r="F13" s="1"/>
      <c r="G13" s="1"/>
      <c r="H13" s="1"/>
    </row>
    <row r="14">
      <c r="A14" s="12" t="s">
        <v>911</v>
      </c>
      <c r="B14" s="1"/>
      <c r="C14" s="81">
        <f>Market_Package!B23</f>
        <v>1.068243230850689</v>
      </c>
      <c r="D14" s="1"/>
      <c r="E14" s="1"/>
      <c r="F14" s="1"/>
      <c r="G14" s="1"/>
      <c r="H14" s="1"/>
    </row>
    <row r="15">
      <c r="A15" s="1"/>
      <c r="B15" s="1"/>
      <c r="C15" s="1"/>
      <c r="D15" s="1"/>
      <c r="E15" s="1"/>
      <c r="F15" s="1"/>
      <c r="G15" s="1"/>
      <c r="H15" s="1"/>
    </row>
    <row r="16">
      <c r="A16" s="4" t="s">
        <v>1063</v>
      </c>
      <c r="B16" s="1"/>
      <c r="C16" s="1"/>
      <c r="D16" s="1"/>
      <c r="E16" s="1"/>
      <c r="F16" s="1"/>
      <c r="G16" s="1"/>
      <c r="H16" s="1"/>
    </row>
    <row r="17">
      <c r="A17" s="3" t="s">
        <v>1064</v>
      </c>
      <c r="B17" s="24" t="s">
        <v>1065</v>
      </c>
      <c r="C17" s="24" t="s">
        <v>1066</v>
      </c>
      <c r="D17" s="24" t="s">
        <v>1067</v>
      </c>
      <c r="E17" s="24" t="s">
        <v>1068</v>
      </c>
      <c r="F17" s="1"/>
      <c r="G17" s="1"/>
      <c r="H17" s="6" t="s">
        <v>87</v>
      </c>
    </row>
    <row r="18">
      <c r="A18" s="12" t="s">
        <v>1069</v>
      </c>
      <c r="B18" s="26">
        <v>-0.2</v>
      </c>
      <c r="C18" s="2">
        <v>38.63621258885535</v>
      </c>
      <c r="D18" s="15">
        <v>5613.164142500857</v>
      </c>
      <c r="E18" s="18">
        <f>(D18/Forecast_3Stmt!C13)^(1/9)-1</f>
        <v>0.1876884818974367</v>
      </c>
      <c r="F18" s="1"/>
      <c r="G18" s="1"/>
      <c r="H18" s="1"/>
    </row>
    <row r="19">
      <c r="A19" s="12" t="s">
        <v>1070</v>
      </c>
      <c r="B19" s="26">
        <v>-0.1</v>
      </c>
      <c r="C19" s="2">
        <v>41.10247441055977</v>
      </c>
      <c r="D19" s="15">
        <v>6414.079245981769</v>
      </c>
      <c r="E19" s="18">
        <f>(D19/Forecast_3Stmt!C13)^(1/9)-1</f>
        <v>0.20542121687544013</v>
      </c>
      <c r="F19" s="1"/>
      <c r="G19" s="1"/>
      <c r="H19" s="1"/>
    </row>
    <row r="20">
      <c r="A20" s="12" t="s">
        <v>1071</v>
      </c>
      <c r="B20" s="26">
        <v>0</v>
      </c>
      <c r="C20" s="2">
        <v>45.94069527880244</v>
      </c>
      <c r="D20" s="15">
        <v>7984.33910239379</v>
      </c>
      <c r="E20" s="18">
        <f>(D20/Forecast_3Stmt!C13)^(1/9)-1</f>
        <v>0.23511107193262681</v>
      </c>
      <c r="F20" s="1"/>
      <c r="G20" s="1"/>
      <c r="H20" s="1"/>
    </row>
    <row r="21">
      <c r="A21" s="12" t="s">
        <v>1072</v>
      </c>
      <c r="B21" s="26">
        <v>0.1</v>
      </c>
      <c r="C21" s="2">
        <v>54.92273709851741</v>
      </c>
      <c r="D21" s="15">
        <v>10903.258301040652</v>
      </c>
      <c r="E21" s="18">
        <f>(D21/Forecast_3Stmt!C13)^(1/9)-1</f>
        <v>0.2786193527051639</v>
      </c>
      <c r="F21" s="1"/>
      <c r="G21" s="1"/>
      <c r="H21" s="1"/>
    </row>
    <row r="22">
      <c r="A22" s="12" t="s">
        <v>1073</v>
      </c>
      <c r="B22" s="26">
        <v>0.2</v>
      </c>
      <c r="C22" s="2">
        <v>70.8522159237236</v>
      </c>
      <c r="D22" s="15">
        <v>16088.590999335513</v>
      </c>
      <c r="E22" s="18">
        <f>(D22/Forecast_3Stmt!C13)^(1/9)-1</f>
        <v>0.33510307711873155</v>
      </c>
      <c r="F22" s="1"/>
      <c r="G22" s="1"/>
      <c r="H22" s="1"/>
    </row>
    <row r="23">
      <c r="A23" s="12" t="s">
        <v>1074</v>
      </c>
      <c r="B23" s="26">
        <v>0.3</v>
      </c>
      <c r="C23" s="2">
        <v>98.02531054008756</v>
      </c>
      <c r="D23" s="15">
        <v>24946.949789694772</v>
      </c>
      <c r="E23" s="18">
        <f>(D23/Forecast_3Stmt!C13)^(1/9)-1</f>
        <v>0.4017849775518709</v>
      </c>
      <c r="F23" s="1"/>
      <c r="G23" s="1"/>
      <c r="H23" s="1"/>
    </row>
    <row r="24">
      <c r="A24" s="12" t="s">
        <v>1075</v>
      </c>
      <c r="B24" s="26">
        <v>0.4</v>
      </c>
      <c r="C24" s="2">
        <v>142.8412027966891</v>
      </c>
      <c r="D24" s="15">
        <v>39573.40422179316</v>
      </c>
      <c r="E24" s="18">
        <f>(D24/Forecast_3Stmt!C13)^(1/9)-1</f>
        <v>0.47552478172562274</v>
      </c>
      <c r="F24" s="1"/>
      <c r="G24" s="1"/>
      <c r="H24" s="1"/>
    </row>
    <row r="25">
      <c r="A25" s="12" t="s">
        <v>1076</v>
      </c>
      <c r="B25" s="26">
        <v>0.5</v>
      </c>
      <c r="C25" s="2">
        <v>214.59749646359307</v>
      </c>
      <c r="D25" s="15">
        <v>63011.41689423866</v>
      </c>
      <c r="E25" s="18">
        <f>(D25/Forecast_3Stmt!C13)^(1/9)-1</f>
        <v>0.5537913942624364</v>
      </c>
      <c r="F25" s="1"/>
      <c r="G25" s="1"/>
      <c r="H25" s="1"/>
    </row>
    <row r="26">
      <c r="A26" s="12" t="s">
        <v>1077</v>
      </c>
      <c r="B26" s="26">
        <v>0.6</v>
      </c>
      <c r="C26" s="2">
        <v>326.50973363242167</v>
      </c>
      <c r="D26" s="15">
        <v>99585.84488520026</v>
      </c>
      <c r="E26" s="18">
        <f>(D26/Forecast_3Stmt!C13)^(1/9)-1</f>
        <v>0.6348548384785797</v>
      </c>
      <c r="F26" s="1"/>
      <c r="G26" s="1"/>
      <c r="H26" s="1"/>
    </row>
    <row r="27">
      <c r="A27" s="12" t="s">
        <v>1078</v>
      </c>
      <c r="B27" s="62" t="s">
        <v>1079</v>
      </c>
      <c r="C27" s="1"/>
      <c r="D27" s="1"/>
      <c r="E27" s="1"/>
      <c r="F27" s="1"/>
      <c r="G27" s="1"/>
      <c r="H27" s="1"/>
    </row>
    <row r="28">
      <c r="A28" s="72" t="s">
        <v>1080</v>
      </c>
      <c r="B28" s="87"/>
      <c r="C28" s="7">
        <f>IFERROR(INDEX($B$18:$B$26,MATCH(Market_Package!B10,$C$18:$C$26,1))+(Market_Package!B10-INDEX($C$18:$C$26,MATCH(Market_Package!B10,$C$18:$C$26,1)))*(INDEX($B$18:$B$26,MATCH(Market_Package!B10,$C$18:$C$26,1)+1)-INDEX($B$18:$B$26,MATCH(Market_Package!B10,$C$18:$C$26,1)))/(INDEX($C$18:$C$26,MATCH(Market_Package!B10,$C$18:$C$26,1)+1)-INDEX($C$18:$C$26,MATCH(Market_Package!B10,$C$18:$C$26,1))),"outside grid")</f>
        <v>0.34749361975890847</v>
      </c>
      <c r="D28" s="1"/>
      <c r="E28" s="1"/>
      <c r="F28" s="1"/>
      <c r="G28" s="1"/>
      <c r="H28" s="1" t="s">
        <v>1081</v>
      </c>
    </row>
    <row r="29">
      <c r="A29" s="12" t="s">
        <v>1082</v>
      </c>
      <c r="B29" s="1"/>
      <c r="C29" s="5">
        <f>IFERROR(INDEX($D$18:$D$26,MATCH(Market_Package!B10,$C$18:$C$26,1))+(Market_Package!B10-INDEX($C$18:$C$26,MATCH(Market_Package!B10,$C$18:$C$26,1)))*(INDEX($D$18:$D$26,MATCH(Market_Package!B10,$C$18:$C$26,1)+1)-INDEX($D$18:$D$26,MATCH(Market_Package!B10,$C$18:$C$26,1)))/(INDEX($C$18:$C$26,MATCH(Market_Package!B10,$C$18:$C$26,1)+1)-INDEX($C$18:$C$26,MATCH(Market_Package!B10,$C$18:$C$26,1))),"outside grid")</f>
        <v>31893.5824418856</v>
      </c>
      <c r="D29" s="1"/>
      <c r="E29" s="1"/>
      <c r="F29" s="1"/>
      <c r="G29" s="1"/>
      <c r="H29" s="1"/>
    </row>
    <row r="30">
      <c r="A30" s="36" t="s">
        <v>1083</v>
      </c>
      <c r="B30" s="45"/>
      <c r="C30" s="18">
        <f>IFERROR((C29/Forecast_3Stmt!C13)^(1/9)-1,"outside grid")</f>
        <v>0.44057337883550485</v>
      </c>
      <c r="D30" s="1"/>
      <c r="E30" s="1"/>
      <c r="F30" s="1"/>
      <c r="G30" s="1"/>
      <c r="H30" s="1"/>
    </row>
    <row r="31">
      <c r="A31" s="36" t="s">
        <v>1084</v>
      </c>
      <c r="B31" s="45"/>
      <c r="C31" s="18">
        <f>(Forecast_3Stmt!L13/Forecast_3Stmt!C13)^(1/9)-1</f>
        <v>0.23511107193262681</v>
      </c>
      <c r="D31" s="1"/>
      <c r="E31" s="1"/>
      <c r="F31" s="1"/>
      <c r="G31" s="1"/>
      <c r="H31" s="1"/>
    </row>
    <row r="32">
      <c r="A32" s="1"/>
      <c r="B32" s="1"/>
      <c r="C32" s="1"/>
      <c r="D32" s="1"/>
      <c r="E32" s="1"/>
      <c r="F32" s="1"/>
      <c r="G32" s="1"/>
      <c r="H32" s="1"/>
    </row>
    <row r="33">
      <c r="A33" s="4" t="s">
        <v>1085</v>
      </c>
      <c r="B33" s="1"/>
      <c r="C33" s="1"/>
      <c r="D33" s="1"/>
      <c r="E33" s="1"/>
      <c r="F33" s="1"/>
      <c r="G33" s="1"/>
      <c r="H33" s="1"/>
    </row>
    <row r="34">
      <c r="A34" s="3" t="s">
        <v>1086</v>
      </c>
      <c r="B34" s="24" t="s">
        <v>1087</v>
      </c>
      <c r="C34" s="24" t="s">
        <v>1088</v>
      </c>
      <c r="D34" s="24" t="s">
        <v>1089</v>
      </c>
      <c r="E34" s="3" t="s">
        <v>1090</v>
      </c>
      <c r="F34" s="3" t="s">
        <v>1091</v>
      </c>
      <c r="G34" s="3" t="s">
        <v>1092</v>
      </c>
      <c r="H34" s="6" t="s">
        <v>87</v>
      </c>
    </row>
    <row r="35">
      <c r="A35" s="12" t="s">
        <v>1093</v>
      </c>
      <c r="B35" s="23">
        <f>Scenario_Summary!F21</f>
        <v>15.521380098164885</v>
      </c>
      <c r="C35" s="23">
        <f>Scenario_Summary!D21</f>
        <v>45.94069527880244</v>
      </c>
      <c r="D35" s="23">
        <f>Scenario_Summary!E21</f>
        <v>100.01525297361582</v>
      </c>
      <c r="E35" s="1" t="s">
        <v>621</v>
      </c>
      <c r="F35" s="1" t="s">
        <v>619</v>
      </c>
      <c r="G35" s="1" t="s">
        <v>620</v>
      </c>
      <c r="H35" s="1" t="s">
        <v>1094</v>
      </c>
    </row>
    <row r="36">
      <c r="A36" s="12" t="s">
        <v>1095</v>
      </c>
      <c r="B36" s="23">
        <f>Scenario_Summary!F22</f>
        <v>23.13249162034244</v>
      </c>
      <c r="C36" s="23">
        <f>Scenario_Summary!D22</f>
        <v>70.29644575878805</v>
      </c>
      <c r="D36" s="23">
        <f>Scenario_Summary!E22</f>
        <v>176.60982611830477</v>
      </c>
      <c r="E36" s="1" t="s">
        <v>621</v>
      </c>
      <c r="F36" s="1" t="s">
        <v>619</v>
      </c>
      <c r="G36" s="1" t="s">
        <v>620</v>
      </c>
      <c r="H36" s="1" t="s">
        <v>1094</v>
      </c>
    </row>
    <row r="37">
      <c r="A37" s="12" t="s">
        <v>1096</v>
      </c>
      <c r="B37" s="23">
        <f>Market_Package!B41</f>
        <v>106.13</v>
      </c>
      <c r="C37" s="23">
        <f>Market_Package!B10</f>
        <v>119.31</v>
      </c>
      <c r="D37" s="23">
        <f>Market_Package!B42</f>
        <v>386.34</v>
      </c>
      <c r="E37" s="1" t="s">
        <v>1087</v>
      </c>
      <c r="F37" s="1" t="s">
        <v>1097</v>
      </c>
      <c r="G37" s="1" t="s">
        <v>1089</v>
      </c>
      <c r="H37" s="1" t="s">
        <v>1098</v>
      </c>
    </row>
    <row r="38">
      <c r="A38" s="12" t="s">
        <v>1099</v>
      </c>
      <c r="B38" s="23">
        <f>Comparables!D27</f>
        <v>60.416882833107564</v>
      </c>
      <c r="C38" s="23">
        <f>Comparables!E27</f>
        <v>67.45193919695747</v>
      </c>
      <c r="D38" s="23">
        <f>Comparables!F27</f>
        <v>70.97009532566057</v>
      </c>
      <c r="E38" s="1" t="s">
        <v>1100</v>
      </c>
      <c r="F38" s="1" t="s">
        <v>970</v>
      </c>
      <c r="G38" s="1" t="s">
        <v>1101</v>
      </c>
      <c r="H38" s="1" t="s">
        <v>1102</v>
      </c>
    </row>
    <row r="39">
      <c r="A39" s="12" t="s">
        <v>1103</v>
      </c>
      <c r="B39" s="23">
        <f>Market_Package!B40</f>
        <v>185</v>
      </c>
      <c r="C39" s="23">
        <f>Market_Package!B40</f>
        <v>185</v>
      </c>
      <c r="D39" s="23">
        <f>Market_Package!B40</f>
        <v>185</v>
      </c>
      <c r="E39" s="1" t="s">
        <v>1104</v>
      </c>
      <c r="F39" s="1" t="s">
        <v>1104</v>
      </c>
      <c r="G39" s="1" t="s">
        <v>1104</v>
      </c>
      <c r="H39" s="1" t="s">
        <v>1105</v>
      </c>
    </row>
    <row r="40">
      <c r="A40" s="1"/>
      <c r="B40" s="1"/>
      <c r="C40" s="1"/>
      <c r="D40" s="1"/>
      <c r="E40" s="1"/>
      <c r="F40" s="1"/>
      <c r="G40" s="1"/>
      <c r="H40" s="1"/>
    </row>
    <row r="41">
      <c r="A41" s="4" t="s">
        <v>1106</v>
      </c>
      <c r="B41" s="1"/>
      <c r="C41" s="1"/>
      <c r="D41" s="1"/>
      <c r="E41" s="1"/>
      <c r="F41" s="1"/>
      <c r="G41" s="1"/>
      <c r="H41" s="1"/>
    </row>
    <row r="42">
      <c r="A42" s="36" t="s">
        <v>1107</v>
      </c>
      <c r="B42" s="45"/>
      <c r="C42" s="64">
        <v>0.25</v>
      </c>
      <c r="D42" s="1"/>
      <c r="E42" s="1"/>
      <c r="F42" s="1"/>
      <c r="G42" s="1"/>
      <c r="H42" s="1"/>
    </row>
    <row r="43">
      <c r="A43" s="36" t="s">
        <v>1108</v>
      </c>
      <c r="B43" s="45"/>
      <c r="C43" s="64">
        <v>0.5</v>
      </c>
      <c r="D43" s="1"/>
      <c r="E43" s="1"/>
      <c r="F43" s="1"/>
      <c r="G43" s="1"/>
      <c r="H43" s="1"/>
    </row>
    <row r="44">
      <c r="A44" s="36" t="s">
        <v>1109</v>
      </c>
      <c r="B44" s="45"/>
      <c r="C44" s="64">
        <v>0.25</v>
      </c>
      <c r="D44" s="1"/>
      <c r="E44" s="1"/>
      <c r="F44" s="1"/>
      <c r="G44" s="1"/>
      <c r="H44" s="1"/>
    </row>
    <row r="45">
      <c r="A45" s="56" t="s">
        <v>1110</v>
      </c>
      <c r="B45" s="34"/>
      <c r="C45" s="52">
        <f>C42*Scenario_Summary!F21+C43*Scenario_Summary!D21+C44*Scenario_Summary!E21</f>
        <v>51.85450590734639</v>
      </c>
      <c r="D45" s="1"/>
      <c r="E45" s="1"/>
      <c r="F45" s="1"/>
      <c r="G45" s="1"/>
      <c r="H45" s="1"/>
    </row>
    <row r="46">
      <c r="A46" s="36" t="s">
        <v>19</v>
      </c>
      <c r="B46" s="45"/>
      <c r="C46" s="18">
        <f>C45/Market_Package!B10-1</f>
        <v>-0.5653800527420468</v>
      </c>
      <c r="D46" s="1"/>
      <c r="E46" s="1"/>
      <c r="F46" s="1"/>
      <c r="G46" s="1"/>
      <c r="H46" s="1"/>
    </row>
    <row r="47">
      <c r="A47" s="12" t="s">
        <v>1111</v>
      </c>
      <c r="B47" s="1"/>
      <c r="C47" s="14">
        <f>C42+C43+C44-1</f>
        <v>0</v>
      </c>
      <c r="D47" s="1"/>
      <c r="E47" s="1"/>
      <c r="F47" s="1"/>
      <c r="G47" s="1"/>
      <c r="H47" s="1"/>
    </row>
  </sheetData>
</worksheet>
</file>

<file path=xl/worksheets/sheet20.xml><?xml version="1.0" encoding="utf-8"?>
<worksheet xmlns="http://schemas.openxmlformats.org/spreadsheetml/2006/main" xmlns:r="http://schemas.openxmlformats.org/officeDocument/2006/relationships">
  <sheetPr>
    <tabColor rgb="FFC0873A"/>
  </sheetPr>
  <dimension ref="A1:H21"/>
  <sheetViews>
    <sheetView showGridLines="0" workbookViewId="0"/>
  </sheetViews>
  <sheetFormatPr defaultColWidth="8.375" defaultRowHeight="15"/>
  <cols>
    <col min="1" max="1" width="76.0390625" customWidth="1"/>
    <col min="2" max="6" width="14.375" customWidth="1"/>
    <col min="7" max="7" width="6.0390625" customWidth="1"/>
    <col min="8" max="8" width="69.375" customWidth="1"/>
  </cols>
  <sheetData>
    <row r="1">
      <c r="A1" s="21" t="s">
        <v>1112</v>
      </c>
      <c r="B1" s="1"/>
      <c r="C1" s="1"/>
      <c r="D1" s="1"/>
      <c r="E1" s="1"/>
      <c r="F1" s="1"/>
      <c r="G1" s="1"/>
      <c r="H1" s="1"/>
    </row>
    <row r="2">
      <c r="A2" s="1" t="s">
        <v>1113</v>
      </c>
      <c r="B2" s="1"/>
      <c r="C2" s="1"/>
      <c r="D2" s="1"/>
      <c r="E2" s="1"/>
      <c r="F2" s="1"/>
      <c r="G2" s="1"/>
      <c r="H2" s="1"/>
    </row>
    <row r="3">
      <c r="A3" s="1"/>
      <c r="B3" s="1"/>
      <c r="C3" s="1"/>
      <c r="D3" s="1"/>
      <c r="E3" s="1"/>
      <c r="F3" s="1"/>
      <c r="G3" s="1"/>
      <c r="H3" s="1"/>
    </row>
    <row r="4">
      <c r="A4" s="4" t="s">
        <v>1114</v>
      </c>
      <c r="B4" s="1"/>
      <c r="C4" s="1"/>
      <c r="D4" s="1"/>
      <c r="E4" s="1"/>
      <c r="F4" s="1"/>
      <c r="G4" s="1"/>
      <c r="H4" s="1"/>
    </row>
    <row r="5">
      <c r="A5" s="3" t="s">
        <v>1115</v>
      </c>
      <c r="B5" s="73">
        <f>DCF!C22+-0.01</f>
        <v>0.019999999999999997</v>
      </c>
      <c r="C5" s="73">
        <f>DCF!C22+-0.005</f>
        <v>0.024999999999999998</v>
      </c>
      <c r="D5" s="73">
        <f>DCF!C22+0.0</f>
        <v>0.03</v>
      </c>
      <c r="E5" s="73">
        <f>DCF!C22+0.005</f>
        <v>0.034999999999999996</v>
      </c>
      <c r="F5" s="73">
        <f>DCF!C22+0.01</f>
        <v>0.04</v>
      </c>
      <c r="G5" s="1"/>
      <c r="H5" s="1"/>
    </row>
    <row r="6">
      <c r="A6" s="7">
        <f>DCF!C21+-0.02</f>
        <v>0.10727327607106012</v>
      </c>
      <c r="B6" s="11">
        <f>((DCF!$C$14/(1+$A6)^DCF!$C$15+DCF!$D$14/(1+$A6)^DCF!$D$15+DCF!$E$14/(1+$A6)^DCF!$E$15+DCF!$F$14/(1+$A6)^DCF!$F$15+DCF!$G$14/(1+$A6)^DCF!$G$15+DCF!$H$14/(1+$A6)^DCF!$H$15+DCF!$I$14/(1+$A6)^DCF!$I$15+DCF!$J$14/(1+$A6)^DCF!$J$15+DCF!$K$14/(1+$A6)^DCF!$K$15+DCF!$L$14/(1+$A6)^DCF!$L$15+DCF!$L$8*(1+B$5)*(1-B$5/DCF!$C$23)/($A6-B$5)*(1+$A6)^0.5/(1+$A6)^DCF!$C$29)*(1+$A6)^Market_Package!$B$9+DCF!$C$36+DCF!$C$37)/DCF!$C$39</f>
        <v>52.857411747938194</v>
      </c>
      <c r="C6" s="11">
        <f>((DCF!$C$14/(1+$A6)^DCF!$C$15+DCF!$D$14/(1+$A6)^DCF!$D$15+DCF!$E$14/(1+$A6)^DCF!$E$15+DCF!$F$14/(1+$A6)^DCF!$F$15+DCF!$G$14/(1+$A6)^DCF!$G$15+DCF!$H$14/(1+$A6)^DCF!$H$15+DCF!$I$14/(1+$A6)^DCF!$I$15+DCF!$J$14/(1+$A6)^DCF!$J$15+DCF!$K$14/(1+$A6)^DCF!$K$15+DCF!$L$14/(1+$A6)^DCF!$L$15+DCF!$L$8*(1+C$5)*(1-C$5/DCF!$C$23)/($A6-C$5)*(1+$A6)^0.5/(1+$A6)^DCF!$C$29)*(1+$A6)^Market_Package!$B$9+DCF!$C$36+DCF!$C$37)/DCF!$C$39</f>
        <v>53.60184846488019</v>
      </c>
      <c r="D6" s="11">
        <f>((DCF!$C$14/(1+$A6)^DCF!$C$15+DCF!$D$14/(1+$A6)^DCF!$D$15+DCF!$E$14/(1+$A6)^DCF!$E$15+DCF!$F$14/(1+$A6)^DCF!$F$15+DCF!$G$14/(1+$A6)^DCF!$G$15+DCF!$H$14/(1+$A6)^DCF!$H$15+DCF!$I$14/(1+$A6)^DCF!$I$15+DCF!$J$14/(1+$A6)^DCF!$J$15+DCF!$K$14/(1+$A6)^DCF!$K$15+DCF!$L$14/(1+$A6)^DCF!$L$15+DCF!$L$8*(1+D$5)*(1-D$5/DCF!$C$23)/($A6-D$5)*(1+$A6)^0.5/(1+$A6)^DCF!$C$29)*(1+$A6)^Market_Package!$B$9+DCF!$C$36+DCF!$C$37)/DCF!$C$39</f>
        <v>54.43632653160117</v>
      </c>
      <c r="E6" s="11">
        <f>((DCF!$C$14/(1+$A6)^DCF!$C$15+DCF!$D$14/(1+$A6)^DCF!$D$15+DCF!$E$14/(1+$A6)^DCF!$E$15+DCF!$F$14/(1+$A6)^DCF!$F$15+DCF!$G$14/(1+$A6)^DCF!$G$15+DCF!$H$14/(1+$A6)^DCF!$H$15+DCF!$I$14/(1+$A6)^DCF!$I$15+DCF!$J$14/(1+$A6)^DCF!$J$15+DCF!$K$14/(1+$A6)^DCF!$K$15+DCF!$L$14/(1+$A6)^DCF!$L$15+DCF!$L$8*(1+E$5)*(1-E$5/DCF!$C$23)/($A6-E$5)*(1+$A6)^0.5/(1+$A6)^DCF!$C$29)*(1+$A6)^Market_Package!$B$9+DCF!$C$36+DCF!$C$37)/DCF!$C$39</f>
        <v>55.37953363350997</v>
      </c>
      <c r="F6" s="11">
        <f>((DCF!$C$14/(1+$A6)^DCF!$C$15+DCF!$D$14/(1+$A6)^DCF!$D$15+DCF!$E$14/(1+$A6)^DCF!$E$15+DCF!$F$14/(1+$A6)^DCF!$F$15+DCF!$G$14/(1+$A6)^DCF!$G$15+DCF!$H$14/(1+$A6)^DCF!$H$15+DCF!$I$14/(1+$A6)^DCF!$I$15+DCF!$J$14/(1+$A6)^DCF!$J$15+DCF!$K$14/(1+$A6)^DCF!$K$15+DCF!$L$14/(1+$A6)^DCF!$L$15+DCF!$L$8*(1+F$5)*(1-F$5/DCF!$C$23)/($A6-F$5)*(1+$A6)^0.5/(1+$A6)^DCF!$C$29)*(1+$A6)^Market_Package!$B$9+DCF!$C$36+DCF!$C$37)/DCF!$C$39</f>
        <v>56.45571320905751</v>
      </c>
      <c r="G6" s="1"/>
      <c r="H6" s="1"/>
    </row>
    <row r="7">
      <c r="A7" s="7">
        <f>DCF!C21+-0.01</f>
        <v>0.11727327607106013</v>
      </c>
      <c r="B7" s="11">
        <f>((DCF!$C$14/(1+$A7)^DCF!$C$15+DCF!$D$14/(1+$A7)^DCF!$D$15+DCF!$E$14/(1+$A7)^DCF!$E$15+DCF!$F$14/(1+$A7)^DCF!$F$15+DCF!$G$14/(1+$A7)^DCF!$G$15+DCF!$H$14/(1+$A7)^DCF!$H$15+DCF!$I$14/(1+$A7)^DCF!$I$15+DCF!$J$14/(1+$A7)^DCF!$J$15+DCF!$K$14/(1+$A7)^DCF!$K$15+DCF!$L$14/(1+$A7)^DCF!$L$15+DCF!$L$8*(1+B$5)*(1-B$5/DCF!$C$23)/($A7-B$5)*(1+$A7)^0.5/(1+$A7)^DCF!$C$29)*(1+$A7)^Market_Package!$B$9+DCF!$C$36+DCF!$C$37)/DCF!$C$39</f>
        <v>48.6295787951047</v>
      </c>
      <c r="C7" s="11">
        <f>((DCF!$C$14/(1+$A7)^DCF!$C$15+DCF!$D$14/(1+$A7)^DCF!$D$15+DCF!$E$14/(1+$A7)^DCF!$E$15+DCF!$F$14/(1+$A7)^DCF!$F$15+DCF!$G$14/(1+$A7)^DCF!$G$15+DCF!$H$14/(1+$A7)^DCF!$H$15+DCF!$I$14/(1+$A7)^DCF!$I$15+DCF!$J$14/(1+$A7)^DCF!$J$15+DCF!$K$14/(1+$A7)^DCF!$K$15+DCF!$L$14/(1+$A7)^DCF!$L$15+DCF!$L$8*(1+C$5)*(1-C$5/DCF!$C$23)/($A7-C$5)*(1+$A7)^0.5/(1+$A7)^DCF!$C$29)*(1+$A7)^Market_Package!$B$9+DCF!$C$36+DCF!$C$37)/DCF!$C$39</f>
        <v>49.13805341559875</v>
      </c>
      <c r="D7" s="11">
        <f>((DCF!$C$14/(1+$A7)^DCF!$C$15+DCF!$D$14/(1+$A7)^DCF!$D$15+DCF!$E$14/(1+$A7)^DCF!$E$15+DCF!$F$14/(1+$A7)^DCF!$F$15+DCF!$G$14/(1+$A7)^DCF!$G$15+DCF!$H$14/(1+$A7)^DCF!$H$15+DCF!$I$14/(1+$A7)^DCF!$I$15+DCF!$J$14/(1+$A7)^DCF!$J$15+DCF!$K$14/(1+$A7)^DCF!$K$15+DCF!$L$14/(1+$A7)^DCF!$L$15+DCF!$L$8*(1+D$5)*(1-D$5/DCF!$C$23)/($A7-D$5)*(1+$A7)^0.5/(1+$A7)^DCF!$C$29)*(1+$A7)^Market_Package!$B$9+DCF!$C$36+DCF!$C$37)/DCF!$C$39</f>
        <v>49.69963332826754</v>
      </c>
      <c r="E7" s="11">
        <f>((DCF!$C$14/(1+$A7)^DCF!$C$15+DCF!$D$14/(1+$A7)^DCF!$D$15+DCF!$E$14/(1+$A7)^DCF!$E$15+DCF!$F$14/(1+$A7)^DCF!$F$15+DCF!$G$14/(1+$A7)^DCF!$G$15+DCF!$H$14/(1+$A7)^DCF!$H$15+DCF!$I$14/(1+$A7)^DCF!$I$15+DCF!$J$14/(1+$A7)^DCF!$J$15+DCF!$K$14/(1+$A7)^DCF!$K$15+DCF!$L$14/(1+$A7)^DCF!$L$15+DCF!$L$8*(1+E$5)*(1-E$5/DCF!$C$23)/($A7-E$5)*(1+$A7)^0.5/(1+$A7)^DCF!$C$29)*(1+$A7)^Market_Package!$B$9+DCF!$C$36+DCF!$C$37)/DCF!$C$39</f>
        <v>50.32400064886799</v>
      </c>
      <c r="F7" s="11">
        <f>((DCF!$C$14/(1+$A7)^DCF!$C$15+DCF!$D$14/(1+$A7)^DCF!$D$15+DCF!$E$14/(1+$A7)^DCF!$E$15+DCF!$F$14/(1+$A7)^DCF!$F$15+DCF!$G$14/(1+$A7)^DCF!$G$15+DCF!$H$14/(1+$A7)^DCF!$H$15+DCF!$I$14/(1+$A7)^DCF!$I$15+DCF!$J$14/(1+$A7)^DCF!$J$15+DCF!$K$14/(1+$A7)^DCF!$K$15+DCF!$L$14/(1+$A7)^DCF!$L$15+DCF!$L$8*(1+F$5)*(1-F$5/DCF!$C$23)/($A7-F$5)*(1+$A7)^0.5/(1+$A7)^DCF!$C$29)*(1+$A7)^Market_Package!$B$9+DCF!$C$36+DCF!$C$37)/DCF!$C$39</f>
        <v>51.023343434731956</v>
      </c>
      <c r="G7" s="1"/>
      <c r="H7" s="1"/>
    </row>
    <row r="8">
      <c r="A8" s="7">
        <f>DCF!C21+0.0</f>
        <v>0.12727327607106012</v>
      </c>
      <c r="B8" s="11">
        <f>((DCF!$C$14/(1+$A8)^DCF!$C$15+DCF!$D$14/(1+$A8)^DCF!$D$15+DCF!$E$14/(1+$A8)^DCF!$E$15+DCF!$F$14/(1+$A8)^DCF!$F$15+DCF!$G$14/(1+$A8)^DCF!$G$15+DCF!$H$14/(1+$A8)^DCF!$H$15+DCF!$I$14/(1+$A8)^DCF!$I$15+DCF!$J$14/(1+$A8)^DCF!$J$15+DCF!$K$14/(1+$A8)^DCF!$K$15+DCF!$L$14/(1+$A8)^DCF!$L$15+DCF!$L$8*(1+B$5)*(1-B$5/DCF!$C$23)/($A8-B$5)*(1+$A8)^0.5/(1+$A8)^DCF!$C$29)*(1+$A8)^Market_Package!$B$9+DCF!$C$36+DCF!$C$37)/DCF!$C$39</f>
        <v>45.20276229673454</v>
      </c>
      <c r="C8" s="11">
        <f>((DCF!$C$14/(1+$A8)^DCF!$C$15+DCF!$D$14/(1+$A8)^DCF!$D$15+DCF!$E$14/(1+$A8)^DCF!$E$15+DCF!$F$14/(1+$A8)^DCF!$F$15+DCF!$G$14/(1+$A8)^DCF!$G$15+DCF!$H$14/(1+$A8)^DCF!$H$15+DCF!$I$14/(1+$A8)^DCF!$I$15+DCF!$J$14/(1+$A8)^DCF!$J$15+DCF!$K$14/(1+$A8)^DCF!$K$15+DCF!$L$14/(1+$A8)^DCF!$L$15+DCF!$L$8*(1+C$5)*(1-C$5/DCF!$C$23)/($A8-C$5)*(1+$A8)^0.5/(1+$A8)^DCF!$C$29)*(1+$A8)^Market_Package!$B$9+DCF!$C$36+DCF!$C$37)/DCF!$C$39</f>
        <v>45.55572721132539</v>
      </c>
      <c r="D8" s="11">
        <f>((DCF!$C$14/(1+$A8)^DCF!$C$15+DCF!$D$14/(1+$A8)^DCF!$D$15+DCF!$E$14/(1+$A8)^DCF!$E$15+DCF!$F$14/(1+$A8)^DCF!$F$15+DCF!$G$14/(1+$A8)^DCF!$G$15+DCF!$H$14/(1+$A8)^DCF!$H$15+DCF!$I$14/(1+$A8)^DCF!$I$15+DCF!$J$14/(1+$A8)^DCF!$J$15+DCF!$K$14/(1+$A8)^DCF!$K$15+DCF!$L$14/(1+$A8)^DCF!$L$15+DCF!$L$8*(1+D$5)*(1-D$5/DCF!$C$23)/($A8-D$5)*(1+$A8)^0.5/(1+$A8)^DCF!$C$29)*(1+$A8)^Market_Package!$B$9+DCF!$C$36+DCF!$C$37)/DCF!$C$39</f>
        <v>45.94069527880244</v>
      </c>
      <c r="E8" s="11">
        <f>((DCF!$C$14/(1+$A8)^DCF!$C$15+DCF!$D$14/(1+$A8)^DCF!$D$15+DCF!$E$14/(1+$A8)^DCF!$E$15+DCF!$F$14/(1+$A8)^DCF!$F$15+DCF!$G$14/(1+$A8)^DCF!$G$15+DCF!$H$14/(1+$A8)^DCF!$H$15+DCF!$I$14/(1+$A8)^DCF!$I$15+DCF!$J$14/(1+$A8)^DCF!$J$15+DCF!$K$14/(1+$A8)^DCF!$K$15+DCF!$L$14/(1+$A8)^DCF!$L$15+DCF!$L$8*(1+E$5)*(1-E$5/DCF!$C$23)/($A8-E$5)*(1+$A8)^0.5/(1+$A8)^DCF!$C$29)*(1+$A8)^Market_Package!$B$9+DCF!$C$36+DCF!$C$37)/DCF!$C$39</f>
        <v>46.36286895120522</v>
      </c>
      <c r="F8" s="11">
        <f>((DCF!$C$14/(1+$A8)^DCF!$C$15+DCF!$D$14/(1+$A8)^DCF!$D$15+DCF!$E$14/(1+$A8)^DCF!$E$15+DCF!$F$14/(1+$A8)^DCF!$F$15+DCF!$G$14/(1+$A8)^DCF!$G$15+DCF!$H$14/(1+$A8)^DCF!$H$15+DCF!$I$14/(1+$A8)^DCF!$I$15+DCF!$J$14/(1+$A8)^DCF!$J$15+DCF!$K$14/(1+$A8)^DCF!$K$15+DCF!$L$14/(1+$A8)^DCF!$L$15+DCF!$L$8*(1+F$5)*(1-F$5/DCF!$C$23)/($A8-F$5)*(1+$A8)^0.5/(1+$A8)^DCF!$C$29)*(1+$A8)^Market_Package!$B$9+DCF!$C$36+DCF!$C$37)/DCF!$C$39</f>
        <v>46.82864290166865</v>
      </c>
      <c r="G8" s="1"/>
      <c r="H8" s="1"/>
    </row>
    <row r="9">
      <c r="A9" s="7">
        <f>DCF!C21+0.01</f>
        <v>0.13727327607106013</v>
      </c>
      <c r="B9" s="11">
        <f>((DCF!$C$14/(1+$A9)^DCF!$C$15+DCF!$D$14/(1+$A9)^DCF!$D$15+DCF!$E$14/(1+$A9)^DCF!$E$15+DCF!$F$14/(1+$A9)^DCF!$F$15+DCF!$G$14/(1+$A9)^DCF!$G$15+DCF!$H$14/(1+$A9)^DCF!$H$15+DCF!$I$14/(1+$A9)^DCF!$I$15+DCF!$J$14/(1+$A9)^DCF!$J$15+DCF!$K$14/(1+$A9)^DCF!$K$15+DCF!$L$14/(1+$A9)^DCF!$L$15+DCF!$L$8*(1+B$5)*(1-B$5/DCF!$C$23)/($A9-B$5)*(1+$A9)^0.5/(1+$A9)^DCF!$C$29)*(1+$A9)^Market_Package!$B$9+DCF!$C$36+DCF!$C$37)/DCF!$C$39</f>
        <v>42.37215583517394</v>
      </c>
      <c r="C9" s="11">
        <f>((DCF!$C$14/(1+$A9)^DCF!$C$15+DCF!$D$14/(1+$A9)^DCF!$D$15+DCF!$E$14/(1+$A9)^DCF!$E$15+DCF!$F$14/(1+$A9)^DCF!$F$15+DCF!$G$14/(1+$A9)^DCF!$G$15+DCF!$H$14/(1+$A9)^DCF!$H$15+DCF!$I$14/(1+$A9)^DCF!$I$15+DCF!$J$14/(1+$A9)^DCF!$J$15+DCF!$K$14/(1+$A9)^DCF!$K$15+DCF!$L$14/(1+$A9)^DCF!$L$15+DCF!$L$8*(1+C$5)*(1-C$5/DCF!$C$23)/($A9-C$5)*(1+$A9)^0.5/(1+$A9)^DCF!$C$29)*(1+$A9)^Market_Package!$B$9+DCF!$C$36+DCF!$C$37)/DCF!$C$39</f>
        <v>42.61981187989545</v>
      </c>
      <c r="D9" s="11">
        <f>((DCF!$C$14/(1+$A9)^DCF!$C$15+DCF!$D$14/(1+$A9)^DCF!$D$15+DCF!$E$14/(1+$A9)^DCF!$E$15+DCF!$F$14/(1+$A9)^DCF!$F$15+DCF!$G$14/(1+$A9)^DCF!$G$15+DCF!$H$14/(1+$A9)^DCF!$H$15+DCF!$I$14/(1+$A9)^DCF!$I$15+DCF!$J$14/(1+$A9)^DCF!$J$15+DCF!$K$14/(1+$A9)^DCF!$K$15+DCF!$L$14/(1+$A9)^DCF!$L$15+DCF!$L$8*(1+D$5)*(1-D$5/DCF!$C$23)/($A9-D$5)*(1+$A9)^0.5/(1+$A9)^DCF!$C$29)*(1+$A9)^Market_Package!$B$9+DCF!$C$36+DCF!$C$37)/DCF!$C$39</f>
        <v>42.88695726505589</v>
      </c>
      <c r="E9" s="11">
        <f>((DCF!$C$14/(1+$A9)^DCF!$C$15+DCF!$D$14/(1+$A9)^DCF!$D$15+DCF!$E$14/(1+$A9)^DCF!$E$15+DCF!$F$14/(1+$A9)^DCF!$F$15+DCF!$G$14/(1+$A9)^DCF!$G$15+DCF!$H$14/(1+$A9)^DCF!$H$15+DCF!$I$14/(1+$A9)^DCF!$I$15+DCF!$J$14/(1+$A9)^DCF!$J$15+DCF!$K$14/(1+$A9)^DCF!$K$15+DCF!$L$14/(1+$A9)^DCF!$L$15+DCF!$L$8*(1+E$5)*(1-E$5/DCF!$C$23)/($A9-E$5)*(1+$A9)^0.5/(1+$A9)^DCF!$C$29)*(1+$A9)^Market_Package!$B$9+DCF!$C$36+DCF!$C$37)/DCF!$C$39</f>
        <v>43.17645041191459</v>
      </c>
      <c r="F9" s="11">
        <f>((DCF!$C$14/(1+$A9)^DCF!$C$15+DCF!$D$14/(1+$A9)^DCF!$D$15+DCF!$E$14/(1+$A9)^DCF!$E$15+DCF!$F$14/(1+$A9)^DCF!$F$15+DCF!$G$14/(1+$A9)^DCF!$G$15+DCF!$H$14/(1+$A9)^DCF!$H$15+DCF!$I$14/(1+$A9)^DCF!$I$15+DCF!$J$14/(1+$A9)^DCF!$J$15+DCF!$K$14/(1+$A9)^DCF!$K$15+DCF!$L$14/(1+$A9)^DCF!$L$15+DCF!$L$8*(1+F$5)*(1-F$5/DCF!$C$23)/($A9-F$5)*(1+$A9)^0.5/(1+$A9)^DCF!$C$29)*(1+$A9)^Market_Package!$B$9+DCF!$C$36+DCF!$C$37)/DCF!$C$39</f>
        <v>43.49173745119742</v>
      </c>
      <c r="G9" s="1"/>
      <c r="H9" s="1"/>
    </row>
    <row r="10">
      <c r="A10" s="7">
        <f>DCF!C21+0.02</f>
        <v>0.1472732760710601</v>
      </c>
      <c r="B10" s="11">
        <f>((DCF!$C$14/(1+$A10)^DCF!$C$15+DCF!$D$14/(1+$A10)^DCF!$D$15+DCF!$E$14/(1+$A10)^DCF!$E$15+DCF!$F$14/(1+$A10)^DCF!$F$15+DCF!$G$14/(1+$A10)^DCF!$G$15+DCF!$H$14/(1+$A10)^DCF!$H$15+DCF!$I$14/(1+$A10)^DCF!$I$15+DCF!$J$14/(1+$A10)^DCF!$J$15+DCF!$K$14/(1+$A10)^DCF!$K$15+DCF!$L$14/(1+$A10)^DCF!$L$15+DCF!$L$8*(1+B$5)*(1-B$5/DCF!$C$23)/($A10-B$5)*(1+$A10)^0.5/(1+$A10)^DCF!$C$29)*(1+$A10)^Market_Package!$B$9+DCF!$C$36+DCF!$C$37)/DCF!$C$39</f>
        <v>39.997276677033405</v>
      </c>
      <c r="C10" s="11">
        <f>((DCF!$C$14/(1+$A10)^DCF!$C$15+DCF!$D$14/(1+$A10)^DCF!$D$15+DCF!$E$14/(1+$A10)^DCF!$E$15+DCF!$F$14/(1+$A10)^DCF!$F$15+DCF!$G$14/(1+$A10)^DCF!$G$15+DCF!$H$14/(1+$A10)^DCF!$H$15+DCF!$I$14/(1+$A10)^DCF!$I$15+DCF!$J$14/(1+$A10)^DCF!$J$15+DCF!$K$14/(1+$A10)^DCF!$K$15+DCF!$L$14/(1+$A10)^DCF!$L$15+DCF!$L$8*(1+C$5)*(1-C$5/DCF!$C$23)/($A10-C$5)*(1+$A10)^0.5/(1+$A10)^DCF!$C$29)*(1+$A10)^Market_Package!$B$9+DCF!$C$36+DCF!$C$37)/DCF!$C$39</f>
        <v>40.1720687101033</v>
      </c>
      <c r="D10" s="11">
        <f>((DCF!$C$14/(1+$A10)^DCF!$C$15+DCF!$D$14/(1+$A10)^DCF!$D$15+DCF!$E$14/(1+$A10)^DCF!$E$15+DCF!$F$14/(1+$A10)^DCF!$F$15+DCF!$G$14/(1+$A10)^DCF!$G$15+DCF!$H$14/(1+$A10)^DCF!$H$15+DCF!$I$14/(1+$A10)^DCF!$I$15+DCF!$J$14/(1+$A10)^DCF!$J$15+DCF!$K$14/(1+$A10)^DCF!$K$15+DCF!$L$14/(1+$A10)^DCF!$L$15+DCF!$L$8*(1+D$5)*(1-D$5/DCF!$C$23)/($A10-D$5)*(1+$A10)^0.5/(1+$A10)^DCF!$C$29)*(1+$A10)^Market_Package!$B$9+DCF!$C$36+DCF!$C$37)/DCF!$C$39</f>
        <v>40.35871563826101</v>
      </c>
      <c r="E10" s="11">
        <f>((DCF!$C$14/(1+$A10)^DCF!$C$15+DCF!$D$14/(1+$A10)^DCF!$D$15+DCF!$E$14/(1+$A10)^DCF!$E$15+DCF!$F$14/(1+$A10)^DCF!$F$15+DCF!$G$14/(1+$A10)^DCF!$G$15+DCF!$H$14/(1+$A10)^DCF!$H$15+DCF!$I$14/(1+$A10)^DCF!$I$15+DCF!$J$14/(1+$A10)^DCF!$J$15+DCF!$K$14/(1+$A10)^DCF!$K$15+DCF!$L$14/(1+$A10)^DCF!$L$15+DCF!$L$8*(1+E$5)*(1-E$5/DCF!$C$23)/($A10-E$5)*(1+$A10)^0.5/(1+$A10)^DCF!$C$29)*(1+$A10)^Market_Package!$B$9+DCF!$C$36+DCF!$C$37)/DCF!$C$39</f>
        <v>40.55880130614474</v>
      </c>
      <c r="F10" s="11">
        <f>((DCF!$C$14/(1+$A10)^DCF!$C$15+DCF!$D$14/(1+$A10)^DCF!$D$15+DCF!$E$14/(1+$A10)^DCF!$E$15+DCF!$F$14/(1+$A10)^DCF!$F$15+DCF!$G$14/(1+$A10)^DCF!$G$15+DCF!$H$14/(1+$A10)^DCF!$H$15+DCF!$I$14/(1+$A10)^DCF!$I$15+DCF!$J$14/(1+$A10)^DCF!$J$15+DCF!$K$14/(1+$A10)^DCF!$K$15+DCF!$L$14/(1+$A10)^DCF!$L$15+DCF!$L$8*(1+F$5)*(1-F$5/DCF!$C$23)/($A10-F$5)*(1+$A10)^0.5/(1+$A10)^DCF!$C$29)*(1+$A10)^Market_Package!$B$9+DCF!$C$36+DCF!$C$37)/DCF!$C$39</f>
        <v>40.7742048499501</v>
      </c>
      <c r="G10" s="1"/>
      <c r="H10" s="1"/>
    </row>
    <row r="11">
      <c r="A11" s="12" t="s">
        <v>1116</v>
      </c>
      <c r="B11" s="1"/>
      <c r="C11" s="1"/>
      <c r="D11" s="14">
        <f>D8-DCF!C40</f>
        <v>0</v>
      </c>
      <c r="E11" s="1"/>
      <c r="F11" s="1"/>
      <c r="G11" s="1"/>
      <c r="H11" s="1"/>
    </row>
    <row r="12">
      <c r="A12" s="1"/>
      <c r="B12" s="1"/>
      <c r="C12" s="1"/>
      <c r="D12" s="1"/>
      <c r="E12" s="1"/>
      <c r="F12" s="1"/>
      <c r="G12" s="1"/>
      <c r="H12" s="1"/>
    </row>
    <row r="13">
      <c r="A13" s="4" t="s">
        <v>1117</v>
      </c>
      <c r="B13" s="1"/>
      <c r="C13" s="1"/>
      <c r="D13" s="1"/>
      <c r="E13" s="1"/>
      <c r="F13" s="1"/>
      <c r="G13" s="1"/>
      <c r="H13" s="1"/>
    </row>
    <row r="14">
      <c r="A14" s="3" t="s">
        <v>1118</v>
      </c>
      <c r="B14" s="42">
        <v>-0.1</v>
      </c>
      <c r="C14" s="42">
        <v>-0.05</v>
      </c>
      <c r="D14" s="42">
        <v>0</v>
      </c>
      <c r="E14" s="42">
        <v>0.05</v>
      </c>
      <c r="F14" s="42">
        <v>0.1</v>
      </c>
      <c r="G14" s="1"/>
      <c r="H14" s="1"/>
    </row>
    <row r="15">
      <c r="A15" s="7">
        <v>-0.2</v>
      </c>
      <c r="B15" s="2">
        <v>26.433017279047473</v>
      </c>
      <c r="C15" s="2">
        <v>32.59625052114723</v>
      </c>
      <c r="D15" s="2">
        <v>38.63621258885535</v>
      </c>
      <c r="E15" s="2">
        <v>44.634450117658226</v>
      </c>
      <c r="F15" s="2">
        <v>50.600344105571224</v>
      </c>
      <c r="G15" s="1"/>
      <c r="H15" s="1"/>
    </row>
    <row r="16">
      <c r="A16" s="7">
        <v>-0.1</v>
      </c>
      <c r="B16" s="2">
        <v>27.75385604146905</v>
      </c>
      <c r="C16" s="2">
        <v>34.484259401180516</v>
      </c>
      <c r="D16" s="2">
        <v>41.10247441055977</v>
      </c>
      <c r="E16" s="2">
        <v>47.682287355139465</v>
      </c>
      <c r="F16" s="2">
        <v>54.231930888354874</v>
      </c>
      <c r="G16" s="1"/>
      <c r="H16" s="1"/>
    </row>
    <row r="17">
      <c r="A17" s="7">
        <v>0</v>
      </c>
      <c r="B17" s="2">
        <v>30.5354404199191</v>
      </c>
      <c r="C17" s="2">
        <v>38.28768232062264</v>
      </c>
      <c r="D17" s="2">
        <v>45.94069527880244</v>
      </c>
      <c r="E17" s="2">
        <v>53.56110379210252</v>
      </c>
      <c r="F17" s="2">
        <v>61.15251446298437</v>
      </c>
      <c r="G17" s="1"/>
      <c r="H17" s="1"/>
    </row>
    <row r="18">
      <c r="A18" s="7">
        <v>0.1</v>
      </c>
      <c r="B18" s="2">
        <v>35.91483464363821</v>
      </c>
      <c r="C18" s="2">
        <v>45.4622061827645</v>
      </c>
      <c r="D18" s="2">
        <v>54.92273709851741</v>
      </c>
      <c r="E18" s="2">
        <v>64.35648062960028</v>
      </c>
      <c r="F18" s="2">
        <v>73.7624278008497</v>
      </c>
      <c r="G18" s="1"/>
      <c r="H18" s="1"/>
    </row>
    <row r="19">
      <c r="A19" s="7">
        <v>0.2</v>
      </c>
      <c r="B19" s="2">
        <v>45.714190689081725</v>
      </c>
      <c r="C19" s="2">
        <v>58.32139069944527</v>
      </c>
      <c r="D19" s="2">
        <v>70.8522159237236</v>
      </c>
      <c r="E19" s="2">
        <v>83.36182266587387</v>
      </c>
      <c r="F19" s="2">
        <v>95.8445568470971</v>
      </c>
      <c r="G19" s="1"/>
      <c r="H19" s="1"/>
    </row>
    <row r="20">
      <c r="A20" s="12" t="s">
        <v>1078</v>
      </c>
      <c r="B20" s="62" t="s">
        <v>1119</v>
      </c>
      <c r="C20" s="1"/>
      <c r="D20" s="1"/>
      <c r="E20" s="1"/>
      <c r="F20" s="1"/>
      <c r="G20" s="1"/>
      <c r="H20" s="1"/>
    </row>
    <row r="21">
      <c r="A21" s="12" t="s">
        <v>1120</v>
      </c>
      <c r="B21" s="1"/>
      <c r="C21" s="1"/>
      <c r="D21" s="14">
        <f>D17-Scenario_Summary!D21</f>
        <v>0</v>
      </c>
      <c r="E21" s="1"/>
      <c r="F21" s="1"/>
      <c r="G21" s="1"/>
      <c r="H21" s="1"/>
    </row>
  </sheetData>
</worksheet>
</file>

<file path=xl/worksheets/sheet21.xml><?xml version="1.0" encoding="utf-8"?>
<worksheet xmlns="http://schemas.openxmlformats.org/spreadsheetml/2006/main" xmlns:r="http://schemas.openxmlformats.org/officeDocument/2006/relationships">
  <sheetPr>
    <tabColor rgb="FFC0873A"/>
  </sheetPr>
  <dimension ref="A1:G35"/>
  <sheetViews>
    <sheetView showGridLines="0" workbookViewId="0"/>
  </sheetViews>
  <sheetFormatPr defaultColWidth="8.375" defaultRowHeight="15"/>
  <cols>
    <col min="1" max="1" width="77.70703125" customWidth="1"/>
    <col min="2" max="2" width="2.70703125" customWidth="1"/>
    <col min="3" max="6" width="15.20703125" customWidth="1"/>
    <col min="7" max="7" width="69.375" customWidth="1"/>
  </cols>
  <sheetData>
    <row r="1">
      <c r="A1" s="21" t="s">
        <v>1121</v>
      </c>
      <c r="B1" s="1"/>
      <c r="C1" s="1"/>
      <c r="D1" s="1"/>
      <c r="E1" s="1"/>
      <c r="F1" s="1"/>
      <c r="G1" s="1"/>
    </row>
    <row r="2">
      <c r="A2" s="1" t="s">
        <v>1122</v>
      </c>
      <c r="B2" s="1"/>
      <c r="C2" s="1"/>
      <c r="D2" s="1"/>
      <c r="E2" s="1"/>
      <c r="F2" s="1"/>
      <c r="G2" s="1"/>
    </row>
    <row r="3">
      <c r="A3" s="1"/>
      <c r="B3" s="1"/>
      <c r="C3" s="1"/>
      <c r="D3" s="1"/>
      <c r="E3" s="1"/>
      <c r="F3" s="1"/>
      <c r="G3" s="1"/>
    </row>
    <row r="4">
      <c r="A4" s="3" t="s">
        <v>1123</v>
      </c>
      <c r="B4" s="3"/>
      <c r="C4" s="24" t="s">
        <v>1124</v>
      </c>
      <c r="D4" s="24" t="s">
        <v>619</v>
      </c>
      <c r="E4" s="24" t="s">
        <v>620</v>
      </c>
      <c r="F4" s="24" t="s">
        <v>621</v>
      </c>
      <c r="G4" s="6" t="s">
        <v>87</v>
      </c>
    </row>
    <row r="5">
      <c r="A5" s="12" t="s">
        <v>1125</v>
      </c>
      <c r="B5" s="1"/>
      <c r="C5" s="17">
        <f>Forecast_3Stmt!C13</f>
        <v>1193.6715405285672</v>
      </c>
      <c r="D5" s="15">
        <v>1193.6715405285672</v>
      </c>
      <c r="E5" s="15">
        <v>1253.6715405285672</v>
      </c>
      <c r="F5" s="15">
        <v>1045.660540528567</v>
      </c>
      <c r="G5" s="1"/>
    </row>
    <row r="6">
      <c r="A6" s="12" t="s">
        <v>1126</v>
      </c>
      <c r="B6" s="1"/>
      <c r="C6" s="17">
        <f>Forecast_3Stmt!D13</f>
        <v>3010.437362114269</v>
      </c>
      <c r="D6" s="15">
        <v>3010.437362114269</v>
      </c>
      <c r="E6" s="15">
        <v>3225.729762114269</v>
      </c>
      <c r="F6" s="15">
        <v>2402.469162114269</v>
      </c>
      <c r="G6" s="1"/>
    </row>
    <row r="7">
      <c r="A7" s="12" t="s">
        <v>1127</v>
      </c>
      <c r="B7" s="1"/>
      <c r="C7" s="17">
        <f>Forecast_3Stmt!E13</f>
        <v>6502.663853861971</v>
      </c>
      <c r="D7" s="15">
        <v>6502.663853861971</v>
      </c>
      <c r="E7" s="15">
        <v>6968.858549861971</v>
      </c>
      <c r="F7" s="15">
        <v>5163.371823861971</v>
      </c>
      <c r="G7" s="1"/>
    </row>
    <row r="8">
      <c r="A8" s="12" t="s">
        <v>1128</v>
      </c>
      <c r="B8" s="1"/>
      <c r="C8" s="17">
        <f>Forecast_3Stmt!G13</f>
        <v>6879.986630547116</v>
      </c>
      <c r="D8" s="15">
        <v>6879.986630547116</v>
      </c>
      <c r="E8" s="15">
        <v>12165.426802447617</v>
      </c>
      <c r="F8" s="15">
        <v>4747.0343370782075</v>
      </c>
      <c r="G8" s="1"/>
    </row>
    <row r="9">
      <c r="A9" s="12" t="s">
        <v>1067</v>
      </c>
      <c r="B9" s="1"/>
      <c r="C9" s="17">
        <f>Forecast_3Stmt!L13</f>
        <v>7984.33910239379</v>
      </c>
      <c r="D9" s="15">
        <v>7984.33910239379</v>
      </c>
      <c r="E9" s="15">
        <v>17263.7599136541</v>
      </c>
      <c r="F9" s="15">
        <v>3589.4267223912325</v>
      </c>
      <c r="G9" s="1"/>
    </row>
    <row r="10">
      <c r="A10" s="36" t="s">
        <v>1068</v>
      </c>
      <c r="B10" s="45"/>
      <c r="C10" s="18">
        <f>(Forecast_3Stmt!L13/Forecast_3Stmt!C13)^(1/9)-1</f>
        <v>0.23511107193262681</v>
      </c>
      <c r="D10" s="26">
        <v>0.2351110719326268</v>
      </c>
      <c r="E10" s="26">
        <v>0.33828983740129415</v>
      </c>
      <c r="F10" s="26">
        <v>0.146871948057256</v>
      </c>
      <c r="G10" s="1"/>
    </row>
    <row r="11">
      <c r="A11" s="36" t="s">
        <v>1129</v>
      </c>
      <c r="B11" s="45"/>
      <c r="C11" s="31">
        <f>Forecast_3Stmt!D21</f>
        <v>0.23637234926993728</v>
      </c>
      <c r="D11" s="26">
        <v>0.23637234926993728</v>
      </c>
      <c r="E11" s="26">
        <v>0.2809259202635588</v>
      </c>
      <c r="F11" s="26">
        <v>0.14216266419959714</v>
      </c>
      <c r="G11" s="1"/>
    </row>
    <row r="12">
      <c r="A12" s="36" t="s">
        <v>1130</v>
      </c>
      <c r="B12" s="45"/>
      <c r="C12" s="31">
        <f>Forecast_3Stmt!G21</f>
        <v>0.3531516030347586</v>
      </c>
      <c r="D12" s="26">
        <v>0.3531516030347586</v>
      </c>
      <c r="E12" s="26">
        <v>0.4471977432573012</v>
      </c>
      <c r="F12" s="26">
        <v>0.2150189105100771</v>
      </c>
      <c r="G12" s="1"/>
    </row>
    <row r="13">
      <c r="A13" s="36" t="s">
        <v>1131</v>
      </c>
      <c r="B13" s="45"/>
      <c r="C13" s="31">
        <f>Forecast_3Stmt!D29</f>
        <v>-0.09560860940117015</v>
      </c>
      <c r="D13" s="26">
        <v>-0.09560860940117016</v>
      </c>
      <c r="E13" s="26">
        <v>-0.012324612637337229</v>
      </c>
      <c r="F13" s="26">
        <v>-0.2634674068633563</v>
      </c>
      <c r="G13" s="1"/>
    </row>
    <row r="14">
      <c r="A14" s="36" t="s">
        <v>1132</v>
      </c>
      <c r="B14" s="45"/>
      <c r="C14" s="31">
        <f>Forecast_3Stmt!G29</f>
        <v>0.14433405569754287</v>
      </c>
      <c r="D14" s="26">
        <v>0.14433405569754287</v>
      </c>
      <c r="E14" s="26">
        <v>0.2724089287551827</v>
      </c>
      <c r="F14" s="26">
        <v>-0.05853022668983776</v>
      </c>
      <c r="G14" s="1"/>
    </row>
    <row r="15">
      <c r="A15" s="36" t="s">
        <v>1133</v>
      </c>
      <c r="B15" s="45"/>
      <c r="C15" s="31">
        <f>Forecast_3Stmt!L29</f>
        <v>0.213675689707778</v>
      </c>
      <c r="D15" s="26">
        <v>0.213675689707778</v>
      </c>
      <c r="E15" s="26">
        <v>0.3052180056513325</v>
      </c>
      <c r="F15" s="26">
        <v>0.0019232506449201937</v>
      </c>
      <c r="G15" s="1"/>
    </row>
    <row r="16">
      <c r="A16" s="12" t="s">
        <v>1134</v>
      </c>
      <c r="B16" s="1"/>
      <c r="C16" s="17">
        <f>Forecast_3Stmt!G43</f>
        <v>2218.2576209963545</v>
      </c>
      <c r="D16" s="15">
        <v>2218.2576209963545</v>
      </c>
      <c r="E16" s="15">
        <v>4919.126839248799</v>
      </c>
      <c r="F16" s="15">
        <v>808.018630044859</v>
      </c>
      <c r="G16" s="1"/>
    </row>
    <row r="17">
      <c r="A17" s="12" t="s">
        <v>1135</v>
      </c>
      <c r="B17" s="1"/>
      <c r="C17" s="5">
        <f>SUM(Schedules!D47:Schedules!G47)</f>
        <v>267.76731678805436</v>
      </c>
      <c r="D17" s="15">
        <v>267.76731678805436</v>
      </c>
      <c r="E17" s="15">
        <v>1764.5780149066684</v>
      </c>
      <c r="F17" s="15">
        <v>-2672.9460099019575</v>
      </c>
      <c r="G17" s="1"/>
    </row>
    <row r="18">
      <c r="A18" s="12" t="s">
        <v>1136</v>
      </c>
      <c r="B18" s="1"/>
      <c r="C18" s="5">
        <f>Forecast_3Stmt!G48+Forecast_3Stmt!G49</f>
        <v>9404.655985409214</v>
      </c>
      <c r="D18" s="15">
        <v>9404.655985409214</v>
      </c>
      <c r="E18" s="15">
        <v>10901.491271140472</v>
      </c>
      <c r="F18" s="15">
        <v>6524.2880753864165</v>
      </c>
      <c r="G18" s="1"/>
    </row>
    <row r="19">
      <c r="A19" s="12" t="s">
        <v>1137</v>
      </c>
      <c r="B19" s="1"/>
      <c r="C19" s="17">
        <f>DCF!C35</f>
        <v>6063.095419845915</v>
      </c>
      <c r="D19" s="15">
        <v>6063.095419845915</v>
      </c>
      <c r="E19" s="15">
        <v>22266.495180137877</v>
      </c>
      <c r="F19" s="15">
        <v>-2640.4035366101916</v>
      </c>
      <c r="G19" s="1"/>
    </row>
    <row r="20">
      <c r="A20" s="36" t="s">
        <v>1028</v>
      </c>
      <c r="B20" s="45"/>
      <c r="C20" s="31">
        <f>DCF!C43</f>
        <v>0.7077655654819319</v>
      </c>
      <c r="D20" s="26">
        <v>0.7077655654819319</v>
      </c>
      <c r="E20" s="26">
        <v>0.6552542411352393</v>
      </c>
      <c r="F20" s="26">
        <v>-0.00703008027437996</v>
      </c>
      <c r="G20" s="1"/>
    </row>
    <row r="21">
      <c r="A21" s="56" t="s">
        <v>18</v>
      </c>
      <c r="B21" s="34"/>
      <c r="C21" s="82">
        <f>DCF!C40</f>
        <v>45.94069527880244</v>
      </c>
      <c r="D21" s="76">
        <v>45.94069527880244</v>
      </c>
      <c r="E21" s="76">
        <v>100.01525297361582</v>
      </c>
      <c r="F21" s="76">
        <v>15.521380098164885</v>
      </c>
      <c r="G21" s="1"/>
    </row>
    <row r="22">
      <c r="A22" s="12" t="s">
        <v>1138</v>
      </c>
      <c r="B22" s="1"/>
      <c r="C22" s="23">
        <f>DCF!C67</f>
        <v>70.29644575878805</v>
      </c>
      <c r="D22" s="2">
        <v>70.29644575878805</v>
      </c>
      <c r="E22" s="2">
        <v>176.60982611830477</v>
      </c>
      <c r="F22" s="2">
        <v>23.13249162034244</v>
      </c>
      <c r="G22" s="1"/>
    </row>
    <row r="23">
      <c r="A23" s="12" t="s">
        <v>23</v>
      </c>
      <c r="B23" s="1"/>
      <c r="C23" s="23">
        <f>Comparables!E27</f>
        <v>67.45193919695747</v>
      </c>
      <c r="D23" s="2">
        <v>67.45193919695747</v>
      </c>
      <c r="E23" s="2">
        <v>65.7701786177079</v>
      </c>
      <c r="F23" s="2">
        <v>67.45193919695747</v>
      </c>
      <c r="G23" s="1"/>
    </row>
    <row r="24">
      <c r="A24" s="36" t="s">
        <v>1139</v>
      </c>
      <c r="B24" s="45"/>
      <c r="C24" s="31">
        <f>DCF!C42</f>
        <v>-0.61494681687367</v>
      </c>
      <c r="D24" s="26">
        <v>-0.61494681687367</v>
      </c>
      <c r="E24" s="26">
        <v>-0.1617194453640448</v>
      </c>
      <c r="F24" s="26">
        <v>-0.8699071318568026</v>
      </c>
      <c r="G24" s="1"/>
    </row>
    <row r="25">
      <c r="A25" s="12" t="s">
        <v>1078</v>
      </c>
      <c r="B25" s="1"/>
      <c r="C25" s="1"/>
      <c r="D25" s="62" t="s">
        <v>1140</v>
      </c>
      <c r="E25" s="1"/>
      <c r="F25" s="1"/>
      <c r="G25" s="1"/>
    </row>
    <row r="26">
      <c r="A26" s="12" t="s">
        <v>1141</v>
      </c>
      <c r="B26" s="1"/>
      <c r="C26" s="14">
        <f>IF(Assumptions!$C$5=1,SUMXMY2(C5:C24,D5:D24),0)</f>
        <v>0.000000000000000000000000000000000962964972193618</v>
      </c>
      <c r="D26" s="1"/>
      <c r="E26" s="1"/>
      <c r="F26" s="1"/>
      <c r="G26" s="1"/>
    </row>
    <row r="27">
      <c r="A27" s="12" t="s">
        <v>1142</v>
      </c>
      <c r="B27" s="1"/>
      <c r="C27" s="1"/>
      <c r="D27" s="14">
        <f>MAX(0,F6-D6)+MAX(0,D6-E6)</f>
        <v>0</v>
      </c>
      <c r="E27" s="1"/>
      <c r="F27" s="1"/>
      <c r="G27" s="1"/>
    </row>
    <row r="28">
      <c r="A28" s="12" t="s">
        <v>1143</v>
      </c>
      <c r="B28" s="1"/>
      <c r="C28" s="1"/>
      <c r="D28" s="14">
        <f>MAX(0,F8-D8)+MAX(0,D8-E8)</f>
        <v>0</v>
      </c>
      <c r="E28" s="1"/>
      <c r="F28" s="1"/>
      <c r="G28" s="1"/>
    </row>
    <row r="29">
      <c r="A29" s="12" t="s">
        <v>1144</v>
      </c>
      <c r="B29" s="1"/>
      <c r="C29" s="1"/>
      <c r="D29" s="14">
        <f>MAX(0,F9-D9)+MAX(0,D9-E9)</f>
        <v>0</v>
      </c>
      <c r="E29" s="1"/>
      <c r="F29" s="1"/>
      <c r="G29" s="1"/>
    </row>
    <row r="30">
      <c r="A30" s="12" t="s">
        <v>1145</v>
      </c>
      <c r="B30" s="1"/>
      <c r="C30" s="1"/>
      <c r="D30" s="14">
        <f>MAX(0,F12-D12)+MAX(0,D12-E12)</f>
        <v>0</v>
      </c>
      <c r="E30" s="1"/>
      <c r="F30" s="1"/>
      <c r="G30" s="1"/>
    </row>
    <row r="31">
      <c r="A31" s="12" t="s">
        <v>1146</v>
      </c>
      <c r="B31" s="1"/>
      <c r="C31" s="1"/>
      <c r="D31" s="14">
        <f>MAX(0,F14-D14)+MAX(0,D14-E14)</f>
        <v>0</v>
      </c>
      <c r="E31" s="1"/>
      <c r="F31" s="1"/>
      <c r="G31" s="1"/>
    </row>
    <row r="32">
      <c r="A32" s="12" t="s">
        <v>1147</v>
      </c>
      <c r="B32" s="1"/>
      <c r="C32" s="1"/>
      <c r="D32" s="14">
        <f>MAX(0,F15-D15)+MAX(0,D15-E15)</f>
        <v>0</v>
      </c>
      <c r="E32" s="1"/>
      <c r="F32" s="1"/>
      <c r="G32" s="1"/>
    </row>
    <row r="33">
      <c r="A33" s="12" t="s">
        <v>1148</v>
      </c>
      <c r="B33" s="1"/>
      <c r="C33" s="1"/>
      <c r="D33" s="14">
        <f>MAX(0,F16-D16)+MAX(0,D16-E16)</f>
        <v>0</v>
      </c>
      <c r="E33" s="1"/>
      <c r="F33" s="1"/>
      <c r="G33" s="1"/>
    </row>
    <row r="34">
      <c r="A34" s="12" t="s">
        <v>1149</v>
      </c>
      <c r="B34" s="1"/>
      <c r="C34" s="1"/>
      <c r="D34" s="14">
        <f>MAX(0,F21-D21)+MAX(0,D21-E21)</f>
        <v>0</v>
      </c>
      <c r="E34" s="1"/>
      <c r="F34" s="1"/>
      <c r="G34" s="1"/>
    </row>
    <row r="35">
      <c r="A35" s="12" t="s">
        <v>1150</v>
      </c>
      <c r="B35" s="1"/>
      <c r="C35" s="1"/>
      <c r="D35" s="14">
        <f>MAX(0,F22-D22)+MAX(0,D22-E22)</f>
        <v>0</v>
      </c>
      <c r="E35" s="1"/>
      <c r="F35" s="1"/>
      <c r="G35" s="1"/>
    </row>
  </sheetData>
</worksheet>
</file>

<file path=xl/worksheets/sheet22.xml><?xml version="1.0" encoding="utf-8"?>
<worksheet xmlns="http://schemas.openxmlformats.org/spreadsheetml/2006/main" xmlns:r="http://schemas.openxmlformats.org/officeDocument/2006/relationships">
  <sheetPr>
    <tabColor rgb="FF6A7689"/>
  </sheetPr>
  <dimension ref="A1:E19"/>
  <sheetViews>
    <sheetView showGridLines="0" workbookViewId="0"/>
  </sheetViews>
  <sheetFormatPr defaultColWidth="8.375" defaultRowHeight="15"/>
  <cols>
    <col min="1" max="1" width="4.375" customWidth="1"/>
    <col min="2" max="2" width="216.0390625" customWidth="1"/>
    <col min="3" max="3" width="2.70703125" customWidth="1"/>
    <col min="4" max="4" width="17.70703125" customWidth="1"/>
    <col min="5" max="5" width="92.70703125" customWidth="1"/>
  </cols>
  <sheetData>
    <row r="1">
      <c r="A1" s="21" t="s">
        <v>1151</v>
      </c>
      <c r="B1" s="1"/>
      <c r="C1" s="1"/>
      <c r="D1" s="1"/>
      <c r="E1" s="1"/>
    </row>
    <row r="2">
      <c r="A2" s="1" t="s">
        <v>1152</v>
      </c>
      <c r="B2" s="1"/>
      <c r="C2" s="1"/>
      <c r="D2" s="1"/>
      <c r="E2" s="1"/>
    </row>
    <row r="3">
      <c r="A3" s="1"/>
      <c r="B3" s="1"/>
      <c r="C3" s="1"/>
      <c r="D3" s="1"/>
      <c r="E3" s="1"/>
    </row>
    <row r="4">
      <c r="A4" s="3" t="s">
        <v>1153</v>
      </c>
      <c r="B4" s="3" t="s">
        <v>1154</v>
      </c>
      <c r="C4" s="1"/>
      <c r="D4" s="6" t="s">
        <v>86</v>
      </c>
      <c r="E4" s="6" t="s">
        <v>1155</v>
      </c>
    </row>
    <row r="5">
      <c r="A5" s="16">
        <v>1</v>
      </c>
      <c r="B5" s="1" t="s">
        <v>1156</v>
      </c>
      <c r="C5" s="1"/>
      <c r="D5" s="1"/>
      <c r="E5" s="1" t="s">
        <v>1157</v>
      </c>
    </row>
    <row r="6">
      <c r="A6" s="16">
        <v>2</v>
      </c>
      <c r="B6" s="1" t="s">
        <v>1158</v>
      </c>
      <c r="C6" s="1"/>
      <c r="D6" s="1"/>
      <c r="E6" s="1" t="s">
        <v>1159</v>
      </c>
    </row>
    <row r="7">
      <c r="A7" s="16">
        <v>3</v>
      </c>
      <c r="B7" s="1" t="s">
        <v>1160</v>
      </c>
      <c r="C7" s="1"/>
      <c r="D7" s="1"/>
      <c r="E7" s="1" t="s">
        <v>1161</v>
      </c>
    </row>
    <row r="8">
      <c r="A8" s="16">
        <v>4</v>
      </c>
      <c r="B8" s="1" t="s">
        <v>1162</v>
      </c>
      <c r="C8" s="1"/>
      <c r="D8" s="1"/>
      <c r="E8" s="1" t="s">
        <v>1163</v>
      </c>
    </row>
    <row r="9">
      <c r="A9" s="16">
        <v>5</v>
      </c>
      <c r="B9" s="1" t="s">
        <v>1164</v>
      </c>
      <c r="C9" s="1"/>
      <c r="D9" s="1"/>
      <c r="E9" s="1" t="s">
        <v>1165</v>
      </c>
    </row>
    <row r="10">
      <c r="A10" s="16">
        <v>6</v>
      </c>
      <c r="B10" s="1" t="s">
        <v>1166</v>
      </c>
      <c r="C10" s="1"/>
      <c r="D10" s="1"/>
      <c r="E10" s="1" t="s">
        <v>1167</v>
      </c>
    </row>
    <row r="11">
      <c r="A11" s="16">
        <v>7</v>
      </c>
      <c r="B11" s="1" t="s">
        <v>1168</v>
      </c>
      <c r="C11" s="1"/>
      <c r="D11" s="1"/>
      <c r="E11" s="1" t="s">
        <v>1169</v>
      </c>
    </row>
    <row r="12">
      <c r="A12" s="16">
        <v>8</v>
      </c>
      <c r="B12" s="1" t="s">
        <v>1170</v>
      </c>
      <c r="C12" s="1"/>
      <c r="D12" s="1"/>
      <c r="E12" s="1" t="s">
        <v>1171</v>
      </c>
    </row>
    <row r="13">
      <c r="A13" s="16">
        <v>9</v>
      </c>
      <c r="B13" s="1" t="s">
        <v>1172</v>
      </c>
      <c r="C13" s="1"/>
      <c r="D13" s="1"/>
      <c r="E13" s="1" t="s">
        <v>1173</v>
      </c>
    </row>
    <row r="14">
      <c r="A14" s="16">
        <v>10</v>
      </c>
      <c r="B14" s="1" t="s">
        <v>1174</v>
      </c>
      <c r="C14" s="1"/>
      <c r="D14" s="1"/>
      <c r="E14" s="1" t="s">
        <v>1175</v>
      </c>
    </row>
    <row r="15">
      <c r="A15" s="16">
        <v>11</v>
      </c>
      <c r="B15" s="1" t="s">
        <v>1176</v>
      </c>
      <c r="C15" s="1"/>
      <c r="D15" s="1"/>
      <c r="E15" s="1" t="s">
        <v>1177</v>
      </c>
    </row>
    <row r="16">
      <c r="A16" s="16">
        <v>12</v>
      </c>
      <c r="B16" s="1" t="s">
        <v>1178</v>
      </c>
      <c r="C16" s="1"/>
      <c r="D16" s="1"/>
      <c r="E16" s="1" t="s">
        <v>1179</v>
      </c>
    </row>
    <row r="17">
      <c r="A17" s="16">
        <v>13</v>
      </c>
      <c r="B17" s="1" t="s">
        <v>1180</v>
      </c>
      <c r="C17" s="1"/>
      <c r="D17" s="1"/>
      <c r="E17" s="1" t="s">
        <v>1181</v>
      </c>
    </row>
    <row r="18">
      <c r="A18" s="16">
        <v>14</v>
      </c>
      <c r="B18" s="1" t="s">
        <v>1182</v>
      </c>
      <c r="C18" s="1"/>
      <c r="D18" s="1"/>
      <c r="E18" s="1" t="s">
        <v>1183</v>
      </c>
    </row>
    <row r="19">
      <c r="A19" s="16">
        <v>15</v>
      </c>
      <c r="B19" s="1" t="s">
        <v>1184</v>
      </c>
      <c r="C19" s="1"/>
      <c r="D19" s="1"/>
      <c r="E19" s="1" t="s">
        <v>1185</v>
      </c>
    </row>
  </sheetData>
</worksheet>
</file>

<file path=xl/worksheets/sheet23.xml><?xml version="1.0" encoding="utf-8"?>
<worksheet xmlns="http://schemas.openxmlformats.org/spreadsheetml/2006/main" xmlns:r="http://schemas.openxmlformats.org/officeDocument/2006/relationships">
  <sheetPr>
    <tabColor rgb="FF0E1A2B"/>
  </sheetPr>
  <dimension ref="A1:D119"/>
  <sheetViews>
    <sheetView showGridLines="0" workbookViewId="0"/>
  </sheetViews>
  <sheetFormatPr defaultColWidth="8.375" defaultRowHeight="15"/>
  <cols>
    <col min="1" max="1" width="99.375" customWidth="1"/>
    <col min="2" max="2" width="22.70703125" customWidth="1"/>
    <col min="3" max="3" width="17.70703125" customWidth="1"/>
    <col min="4" max="4" width="26.0390625" customWidth="1"/>
  </cols>
  <sheetData>
    <row r="1">
      <c r="A1" s="21" t="s">
        <v>1186</v>
      </c>
      <c r="B1" s="1"/>
      <c r="C1" s="1"/>
      <c r="D1" s="1"/>
    </row>
    <row r="2">
      <c r="A2" s="1" t="s">
        <v>1187</v>
      </c>
      <c r="B2" s="1"/>
      <c r="C2" s="1"/>
      <c r="D2" s="1"/>
    </row>
    <row r="3">
      <c r="A3" s="1"/>
      <c r="B3" s="1"/>
      <c r="C3" s="1"/>
      <c r="D3" s="1"/>
    </row>
    <row r="4">
      <c r="A4" s="34" t="s">
        <v>1188</v>
      </c>
      <c r="B4" s="34"/>
      <c r="C4" s="27" t="str">
        <f>IF(MAX(MAX(C7:C119),-MIN(C7:C119))&lt;0.01,"OK","ERROR")</f>
        <v>OK</v>
      </c>
      <c r="D4" s="1"/>
    </row>
    <row r="5">
      <c r="A5" s="1"/>
      <c r="B5" s="1"/>
      <c r="C5" s="1"/>
      <c r="D5" s="1"/>
    </row>
    <row r="6">
      <c r="A6" s="3" t="s">
        <v>1189</v>
      </c>
      <c r="B6" s="3" t="s">
        <v>29</v>
      </c>
      <c r="C6" s="24" t="s">
        <v>1190</v>
      </c>
      <c r="D6" s="3" t="s">
        <v>1191</v>
      </c>
    </row>
    <row r="7">
      <c r="A7" s="12" t="s">
        <v>92</v>
      </c>
      <c r="B7" s="1" t="s">
        <v>31</v>
      </c>
      <c r="C7" s="14">
        <f>MAX(MAX(IS_Hist!B37:E37),-MIN(IS_Hist!B37:E37))</f>
        <v>0</v>
      </c>
      <c r="D7" s="1" t="s">
        <v>1192</v>
      </c>
    </row>
    <row r="8">
      <c r="A8" s="12" t="s">
        <v>94</v>
      </c>
      <c r="B8" s="1" t="s">
        <v>31</v>
      </c>
      <c r="C8" s="14">
        <f>MAX(MAX(IS_Hist!B38:E38),-MIN(IS_Hist!B38:E38))</f>
        <v>0</v>
      </c>
      <c r="D8" s="1" t="s">
        <v>1193</v>
      </c>
    </row>
    <row r="9">
      <c r="A9" s="12" t="s">
        <v>95</v>
      </c>
      <c r="B9" s="1" t="s">
        <v>31</v>
      </c>
      <c r="C9" s="14">
        <f>MAX(MAX(IS_Hist!B39:E39),-MIN(IS_Hist!B39:E39))</f>
        <v>0</v>
      </c>
      <c r="D9" s="1" t="s">
        <v>1194</v>
      </c>
    </row>
    <row r="10">
      <c r="A10" s="12" t="s">
        <v>100</v>
      </c>
      <c r="B10" s="1" t="s">
        <v>31</v>
      </c>
      <c r="C10" s="14">
        <f>MAX(MAX(IS_Hist!B40:E40),-MIN(IS_Hist!B40:E40))</f>
        <v>0</v>
      </c>
      <c r="D10" s="1" t="s">
        <v>1195</v>
      </c>
    </row>
    <row r="11">
      <c r="A11" s="12" t="s">
        <v>101</v>
      </c>
      <c r="B11" s="1" t="s">
        <v>31</v>
      </c>
      <c r="C11" s="14">
        <f>MAX(MAX(IS_Hist!B41:E41),-MIN(IS_Hist!B41:E41))</f>
        <v>0</v>
      </c>
      <c r="D11" s="1" t="s">
        <v>1196</v>
      </c>
    </row>
    <row r="12">
      <c r="A12" s="12" t="s">
        <v>103</v>
      </c>
      <c r="B12" s="1" t="s">
        <v>31</v>
      </c>
      <c r="C12" s="14">
        <f>MAX(MAX(IS_Hist!B42:E42),-MIN(IS_Hist!B42:E42))</f>
        <v>0</v>
      </c>
      <c r="D12" s="1" t="s">
        <v>1197</v>
      </c>
    </row>
    <row r="13">
      <c r="A13" s="12" t="s">
        <v>105</v>
      </c>
      <c r="B13" s="1" t="s">
        <v>31</v>
      </c>
      <c r="C13" s="14">
        <f>MAX(MAX(IS_Hist!B43:E43),-MIN(IS_Hist!B43:E43))</f>
        <v>0</v>
      </c>
      <c r="D13" s="1" t="s">
        <v>1198</v>
      </c>
    </row>
    <row r="14">
      <c r="A14" s="12" t="s">
        <v>118</v>
      </c>
      <c r="B14" s="1" t="s">
        <v>31</v>
      </c>
      <c r="C14" s="14">
        <f>MAX(MAX(IS_Hist!B44:C44),-MIN(IS_Hist!B44:C44))</f>
        <v>0</v>
      </c>
      <c r="D14" s="1" t="s">
        <v>1199</v>
      </c>
    </row>
    <row r="15">
      <c r="A15" s="12" t="s">
        <v>119</v>
      </c>
      <c r="B15" s="1" t="s">
        <v>31</v>
      </c>
      <c r="C15" s="14">
        <f>MAX(MAX(IS_Hist!B45:E45),-MIN(IS_Hist!B45:E45))</f>
        <v>0</v>
      </c>
      <c r="D15" s="1" t="s">
        <v>1200</v>
      </c>
    </row>
    <row r="16">
      <c r="A16" s="12" t="s">
        <v>126</v>
      </c>
      <c r="B16" s="1" t="s">
        <v>33</v>
      </c>
      <c r="C16" s="14">
        <f>MAX(MAX(CI_Hist!B14:E14),-MIN(CI_Hist!B14:E14))</f>
        <v>0</v>
      </c>
      <c r="D16" s="1" t="s">
        <v>1201</v>
      </c>
    </row>
    <row r="17">
      <c r="A17" s="12" t="s">
        <v>128</v>
      </c>
      <c r="B17" s="1" t="s">
        <v>33</v>
      </c>
      <c r="C17" s="14">
        <f>MAX(MAX(CI_Hist!B15:E15),-MIN(CI_Hist!B15:E15))</f>
        <v>0</v>
      </c>
      <c r="D17" s="1" t="s">
        <v>1202</v>
      </c>
    </row>
    <row r="18">
      <c r="A18" s="12" t="s">
        <v>146</v>
      </c>
      <c r="B18" s="1" t="s">
        <v>35</v>
      </c>
      <c r="C18" s="14">
        <f>MAX(MAX(BS_Hist!B57:F57),-MIN(BS_Hist!B57:F57))</f>
        <v>0</v>
      </c>
      <c r="D18" s="1" t="s">
        <v>1203</v>
      </c>
    </row>
    <row r="19">
      <c r="A19" s="12" t="s">
        <v>151</v>
      </c>
      <c r="B19" s="1" t="s">
        <v>35</v>
      </c>
      <c r="C19" s="14">
        <f>MAX(MAX(BS_Hist!B58:F58),-MIN(BS_Hist!B58:F58))</f>
        <v>0</v>
      </c>
      <c r="D19" s="1" t="s">
        <v>1204</v>
      </c>
    </row>
    <row r="20">
      <c r="A20" s="12" t="s">
        <v>161</v>
      </c>
      <c r="B20" s="1" t="s">
        <v>35</v>
      </c>
      <c r="C20" s="14">
        <f>MAX(MAX(BS_Hist!B59:F59),-MIN(BS_Hist!B59:F59))</f>
        <v>0</v>
      </c>
      <c r="D20" s="1" t="s">
        <v>1205</v>
      </c>
    </row>
    <row r="21">
      <c r="A21" s="12" t="s">
        <v>166</v>
      </c>
      <c r="B21" s="1" t="s">
        <v>35</v>
      </c>
      <c r="C21" s="14">
        <f>MAX(MAX(BS_Hist!B60:F60),-MIN(BS_Hist!B60:F60))</f>
        <v>0</v>
      </c>
      <c r="D21" s="1" t="s">
        <v>1206</v>
      </c>
    </row>
    <row r="22">
      <c r="A22" s="12" t="s">
        <v>177</v>
      </c>
      <c r="B22" s="1" t="s">
        <v>35</v>
      </c>
      <c r="C22" s="14">
        <f>MAX(MAX(BS_Hist!B61:F61),-MIN(BS_Hist!B61:F61))</f>
        <v>0</v>
      </c>
      <c r="D22" s="1" t="s">
        <v>1207</v>
      </c>
    </row>
    <row r="23">
      <c r="A23" s="12" t="s">
        <v>189</v>
      </c>
      <c r="B23" s="1" t="s">
        <v>35</v>
      </c>
      <c r="C23" s="14">
        <f>MAX(MAX(BS_Hist!B62:F62),-MIN(BS_Hist!B62:F62))</f>
        <v>0</v>
      </c>
      <c r="D23" s="1" t="s">
        <v>1208</v>
      </c>
    </row>
    <row r="24">
      <c r="A24" s="12" t="s">
        <v>190</v>
      </c>
      <c r="B24" s="1" t="s">
        <v>35</v>
      </c>
      <c r="C24" s="14">
        <f>MAX(MAX(BS_Hist!B63:F63),-MIN(BS_Hist!B63:F63))</f>
        <v>0</v>
      </c>
      <c r="D24" s="1" t="s">
        <v>1209</v>
      </c>
    </row>
    <row r="25">
      <c r="A25" s="12" t="s">
        <v>191</v>
      </c>
      <c r="B25" s="1" t="s">
        <v>35</v>
      </c>
      <c r="C25" s="14">
        <f>MAX(MAX(BS_Hist!D64:D64),-MIN(BS_Hist!D64:D64))</f>
        <v>0</v>
      </c>
      <c r="D25" s="1" t="s">
        <v>1210</v>
      </c>
    </row>
    <row r="26">
      <c r="A26" s="12" t="s">
        <v>240</v>
      </c>
      <c r="B26" s="1" t="s">
        <v>37</v>
      </c>
      <c r="C26" s="14">
        <f>MAX(MAX(CF_Hist!B59:E59),-MIN(CF_Hist!B59:E59))</f>
        <v>0</v>
      </c>
      <c r="D26" s="1" t="s">
        <v>1211</v>
      </c>
    </row>
    <row r="27">
      <c r="A27" s="12" t="s">
        <v>241</v>
      </c>
      <c r="B27" s="1" t="s">
        <v>37</v>
      </c>
      <c r="C27" s="14">
        <f>MAX(MAX(CF_Hist!B60:E60),-MIN(CF_Hist!B60:E60))</f>
        <v>0</v>
      </c>
      <c r="D27" s="1" t="s">
        <v>1212</v>
      </c>
    </row>
    <row r="28">
      <c r="A28" s="12" t="s">
        <v>242</v>
      </c>
      <c r="B28" s="1" t="s">
        <v>37</v>
      </c>
      <c r="C28" s="14">
        <f>MAX(MAX(CF_Hist!B61:E61),-MIN(CF_Hist!B61:E61))</f>
        <v>0</v>
      </c>
      <c r="D28" s="1" t="s">
        <v>1213</v>
      </c>
    </row>
    <row r="29">
      <c r="A29" s="12" t="s">
        <v>243</v>
      </c>
      <c r="B29" s="1" t="s">
        <v>37</v>
      </c>
      <c r="C29" s="14">
        <f>MAX(MAX(CF_Hist!B62:E62),-MIN(CF_Hist!B62:E62))</f>
        <v>0</v>
      </c>
      <c r="D29" s="1" t="s">
        <v>1214</v>
      </c>
    </row>
    <row r="30">
      <c r="A30" s="12" t="s">
        <v>244</v>
      </c>
      <c r="B30" s="1" t="s">
        <v>37</v>
      </c>
      <c r="C30" s="14">
        <f>MAX(MAX(CF_Hist!B63:E63),-MIN(CF_Hist!B63:E63))</f>
        <v>0</v>
      </c>
      <c r="D30" s="1" t="s">
        <v>1215</v>
      </c>
    </row>
    <row r="31">
      <c r="A31" s="12" t="s">
        <v>128</v>
      </c>
      <c r="B31" s="1" t="s">
        <v>37</v>
      </c>
      <c r="C31" s="14">
        <f>MAX(MAX(CF_Hist!B64:E64),-MIN(CF_Hist!B64:E64))</f>
        <v>0</v>
      </c>
      <c r="D31" s="1" t="s">
        <v>1216</v>
      </c>
    </row>
    <row r="32">
      <c r="A32" s="12" t="s">
        <v>245</v>
      </c>
      <c r="B32" s="1" t="s">
        <v>37</v>
      </c>
      <c r="C32" s="14">
        <f>MAX(MAX(CF_Hist!B65:E65),-MIN(CF_Hist!B65:E65))</f>
        <v>0</v>
      </c>
      <c r="D32" s="1" t="s">
        <v>1217</v>
      </c>
    </row>
    <row r="33">
      <c r="A33" s="12" t="s">
        <v>247</v>
      </c>
      <c r="B33" s="1" t="s">
        <v>37</v>
      </c>
      <c r="C33" s="14">
        <f>MAX(MAX(CF_Hist!C66:E66),-MIN(CF_Hist!C66:E66))</f>
        <v>0</v>
      </c>
      <c r="D33" s="1" t="s">
        <v>1218</v>
      </c>
    </row>
    <row r="34">
      <c r="A34" s="12" t="s">
        <v>290</v>
      </c>
      <c r="B34" s="1" t="s">
        <v>39</v>
      </c>
      <c r="C34" s="14">
        <f>MAX(MAX(SCE_Hist!K61:K61),-MIN(SCE_Hist!K61:K61))</f>
        <v>0</v>
      </c>
      <c r="D34" s="1" t="s">
        <v>1219</v>
      </c>
    </row>
    <row r="35">
      <c r="A35" s="12" t="s">
        <v>291</v>
      </c>
      <c r="B35" s="1" t="s">
        <v>39</v>
      </c>
      <c r="C35" s="14">
        <f>MAX(MAX(SCE_Hist!K62:K62),-MIN(SCE_Hist!K62:K62))</f>
        <v>0</v>
      </c>
      <c r="D35" s="1" t="s">
        <v>1220</v>
      </c>
    </row>
    <row r="36">
      <c r="A36" s="12" t="s">
        <v>292</v>
      </c>
      <c r="B36" s="1" t="s">
        <v>39</v>
      </c>
      <c r="C36" s="14">
        <f>MAX(MAX(SCE_Hist!C63:C63),-MIN(SCE_Hist!C63:C63))</f>
        <v>0</v>
      </c>
      <c r="D36" s="1" t="s">
        <v>1221</v>
      </c>
    </row>
    <row r="37">
      <c r="A37" s="12" t="s">
        <v>293</v>
      </c>
      <c r="B37" s="1" t="s">
        <v>39</v>
      </c>
      <c r="C37" s="14">
        <f>MAX(MAX(SCE_Hist!K64:K64),-MIN(SCE_Hist!K64:K64))</f>
        <v>0</v>
      </c>
      <c r="D37" s="1" t="s">
        <v>1222</v>
      </c>
    </row>
    <row r="38">
      <c r="A38" s="12" t="s">
        <v>294</v>
      </c>
      <c r="B38" s="1" t="s">
        <v>39</v>
      </c>
      <c r="C38" s="14">
        <f>MAX(MAX(SCE_Hist!K65:K65),-MIN(SCE_Hist!K65:K65))</f>
        <v>0</v>
      </c>
      <c r="D38" s="1" t="s">
        <v>1223</v>
      </c>
    </row>
    <row r="39">
      <c r="A39" s="12" t="s">
        <v>295</v>
      </c>
      <c r="B39" s="1" t="s">
        <v>39</v>
      </c>
      <c r="C39" s="14">
        <f>MAX(MAX(SCE_Hist!C66:C66),-MIN(SCE_Hist!C66:C66))</f>
        <v>0</v>
      </c>
      <c r="D39" s="1" t="s">
        <v>1224</v>
      </c>
    </row>
    <row r="40">
      <c r="A40" s="12" t="s">
        <v>296</v>
      </c>
      <c r="B40" s="1" t="s">
        <v>39</v>
      </c>
      <c r="C40" s="14">
        <f>MAX(MAX(SCE_Hist!K67:K67),-MIN(SCE_Hist!K67:K67))</f>
        <v>0</v>
      </c>
      <c r="D40" s="1" t="s">
        <v>1225</v>
      </c>
    </row>
    <row r="41">
      <c r="A41" s="12" t="s">
        <v>297</v>
      </c>
      <c r="B41" s="1" t="s">
        <v>39</v>
      </c>
      <c r="C41" s="14">
        <f>MAX(MAX(SCE_Hist!K68:K68),-MIN(SCE_Hist!K68:K68))</f>
        <v>0</v>
      </c>
      <c r="D41" s="1" t="s">
        <v>1226</v>
      </c>
    </row>
    <row r="42">
      <c r="A42" s="12" t="s">
        <v>298</v>
      </c>
      <c r="B42" s="1" t="s">
        <v>39</v>
      </c>
      <c r="C42" s="14">
        <f>MAX(MAX(SCE_Hist!C69:C69),-MIN(SCE_Hist!C69:C69))</f>
        <v>0</v>
      </c>
      <c r="D42" s="1" t="s">
        <v>1227</v>
      </c>
    </row>
    <row r="43">
      <c r="A43" s="12" t="s">
        <v>299</v>
      </c>
      <c r="B43" s="1" t="s">
        <v>39</v>
      </c>
      <c r="C43" s="14">
        <f>MAX(MAX(SCE_Hist!K70:K70),-MIN(SCE_Hist!K70:K70))</f>
        <v>0</v>
      </c>
      <c r="D43" s="1" t="s">
        <v>1228</v>
      </c>
    </row>
    <row r="44">
      <c r="A44" s="12" t="s">
        <v>300</v>
      </c>
      <c r="B44" s="1" t="s">
        <v>39</v>
      </c>
      <c r="C44" s="14">
        <f>MAX(MAX(SCE_Hist!K71:K71),-MIN(SCE_Hist!K71:K71))</f>
        <v>0</v>
      </c>
      <c r="D44" s="1" t="s">
        <v>1229</v>
      </c>
    </row>
    <row r="45">
      <c r="A45" s="12" t="s">
        <v>301</v>
      </c>
      <c r="B45" s="1" t="s">
        <v>39</v>
      </c>
      <c r="C45" s="14">
        <f>MAX(MAX(SCE_Hist!C72:C72),-MIN(SCE_Hist!C72:C72))</f>
        <v>0</v>
      </c>
      <c r="D45" s="1" t="s">
        <v>1230</v>
      </c>
    </row>
    <row r="46">
      <c r="A46" s="12" t="s">
        <v>302</v>
      </c>
      <c r="B46" s="1" t="s">
        <v>39</v>
      </c>
      <c r="C46" s="14">
        <f>MAX(MAX(SCE_Hist!K73:K73),-MIN(SCE_Hist!K73:K73))</f>
        <v>0</v>
      </c>
      <c r="D46" s="1" t="s">
        <v>1231</v>
      </c>
    </row>
    <row r="47">
      <c r="A47" s="12" t="s">
        <v>356</v>
      </c>
      <c r="B47" s="1" t="s">
        <v>41</v>
      </c>
      <c r="C47" s="14">
        <f>MAX(MAX(Quarterly_Hist!B76:K76),-MIN(Quarterly_Hist!B76:K76))</f>
        <v>0</v>
      </c>
      <c r="D47" s="1" t="s">
        <v>1232</v>
      </c>
    </row>
    <row r="48">
      <c r="A48" s="12" t="s">
        <v>357</v>
      </c>
      <c r="B48" s="1" t="s">
        <v>41</v>
      </c>
      <c r="C48" s="14">
        <f>MAX(MAX(Quarterly_Hist!B77:K77),-MIN(Quarterly_Hist!B77:K77))</f>
        <v>0</v>
      </c>
      <c r="D48" s="1" t="s">
        <v>1233</v>
      </c>
    </row>
    <row r="49">
      <c r="A49" s="12" t="s">
        <v>358</v>
      </c>
      <c r="B49" s="1" t="s">
        <v>41</v>
      </c>
      <c r="C49" s="14">
        <f>MAX(MAX(Quarterly_Hist!B78:K78),-MIN(Quarterly_Hist!B78:K78))</f>
        <v>0</v>
      </c>
      <c r="D49" s="1" t="s">
        <v>1234</v>
      </c>
    </row>
    <row r="50">
      <c r="A50" s="12" t="s">
        <v>359</v>
      </c>
      <c r="B50" s="1" t="s">
        <v>41</v>
      </c>
      <c r="C50" s="14">
        <f>MAX(MAX(Quarterly_Hist!F79:K79),-MIN(Quarterly_Hist!F79:K79))</f>
        <v>0</v>
      </c>
      <c r="D50" s="1" t="s">
        <v>1235</v>
      </c>
    </row>
    <row r="51">
      <c r="A51" s="12" t="s">
        <v>360</v>
      </c>
      <c r="B51" s="1" t="s">
        <v>41</v>
      </c>
      <c r="C51" s="14">
        <f>MAX(MAX(Quarterly_Hist!F80:K80),-MIN(Quarterly_Hist!F80:K80))</f>
        <v>0</v>
      </c>
      <c r="D51" s="1" t="s">
        <v>1236</v>
      </c>
    </row>
    <row r="52">
      <c r="A52" s="12" t="s">
        <v>361</v>
      </c>
      <c r="B52" s="1" t="s">
        <v>41</v>
      </c>
      <c r="C52" s="14">
        <f>MAX(MAX(Quarterly_Hist!F81:K81),-MIN(Quarterly_Hist!F81:K81))</f>
        <v>0</v>
      </c>
      <c r="D52" s="1" t="s">
        <v>1237</v>
      </c>
    </row>
    <row r="53">
      <c r="A53" s="12" t="s">
        <v>362</v>
      </c>
      <c r="B53" s="1" t="s">
        <v>41</v>
      </c>
      <c r="C53" s="14">
        <f>MAX(MAX(Quarterly_Hist!F82:K82),-MIN(Quarterly_Hist!F82:K82))</f>
        <v>0</v>
      </c>
      <c r="D53" s="1" t="s">
        <v>1238</v>
      </c>
    </row>
    <row r="54">
      <c r="A54" s="12" t="s">
        <v>363</v>
      </c>
      <c r="B54" s="1" t="s">
        <v>41</v>
      </c>
      <c r="C54" s="14">
        <f>MAX(MAX(Quarterly_Hist!J83:J83),-MIN(Quarterly_Hist!J83:J83))</f>
        <v>0</v>
      </c>
      <c r="D54" s="1" t="s">
        <v>1239</v>
      </c>
    </row>
    <row r="55">
      <c r="A55" s="12" t="s">
        <v>364</v>
      </c>
      <c r="B55" s="1" t="s">
        <v>41</v>
      </c>
      <c r="C55" s="14">
        <f>MAX(MAX(Quarterly_Hist!J84:J84),-MIN(Quarterly_Hist!J84:J84))</f>
        <v>0</v>
      </c>
      <c r="D55" s="1" t="s">
        <v>1240</v>
      </c>
    </row>
    <row r="56">
      <c r="A56" s="12" t="s">
        <v>365</v>
      </c>
      <c r="B56" s="1" t="s">
        <v>41</v>
      </c>
      <c r="C56" s="14">
        <f>MAX(MAX(Quarterly_Hist!B85:E85),-MIN(Quarterly_Hist!B85:E85))</f>
        <v>0</v>
      </c>
      <c r="D56" s="1" t="s">
        <v>1241</v>
      </c>
    </row>
    <row r="57">
      <c r="A57" s="12" t="s">
        <v>367</v>
      </c>
      <c r="B57" s="1" t="s">
        <v>41</v>
      </c>
      <c r="C57" s="14">
        <f>MAX(MAX(Quarterly_Hist!B86:E86),-MIN(Quarterly_Hist!B86:E86))</f>
        <v>0</v>
      </c>
      <c r="D57" s="1" t="s">
        <v>1242</v>
      </c>
    </row>
    <row r="58">
      <c r="A58" s="12" t="s">
        <v>368</v>
      </c>
      <c r="B58" s="1" t="s">
        <v>41</v>
      </c>
      <c r="C58" s="14">
        <f>MAX(MAX(Quarterly_Hist!B87:E87),-MIN(Quarterly_Hist!B87:E87))</f>
        <v>0</v>
      </c>
      <c r="D58" s="1" t="s">
        <v>1243</v>
      </c>
    </row>
    <row r="59">
      <c r="A59" s="12" t="s">
        <v>369</v>
      </c>
      <c r="B59" s="1" t="s">
        <v>41</v>
      </c>
      <c r="C59" s="14">
        <f>MAX(MAX(Quarterly_Hist!B88:E88),-MIN(Quarterly_Hist!B88:E88))</f>
        <v>0</v>
      </c>
      <c r="D59" s="1" t="s">
        <v>1244</v>
      </c>
    </row>
    <row r="60">
      <c r="A60" s="12" t="s">
        <v>370</v>
      </c>
      <c r="B60" s="1" t="s">
        <v>41</v>
      </c>
      <c r="C60" s="14">
        <f>MAX(MAX(Quarterly_Hist!C89:E89),-MIN(Quarterly_Hist!C89:E89))</f>
        <v>0</v>
      </c>
      <c r="D60" s="1" t="s">
        <v>1245</v>
      </c>
    </row>
    <row r="61">
      <c r="A61" s="12" t="s">
        <v>440</v>
      </c>
      <c r="B61" s="1" t="s">
        <v>43</v>
      </c>
      <c r="C61" s="14">
        <f>MAX(MAX(Revenue_Hist!B76:E76),-MIN(Revenue_Hist!B76:E76))</f>
        <v>0</v>
      </c>
      <c r="D61" s="1" t="s">
        <v>1246</v>
      </c>
    </row>
    <row r="62">
      <c r="A62" s="12" t="s">
        <v>441</v>
      </c>
      <c r="B62" s="1" t="s">
        <v>43</v>
      </c>
      <c r="C62" s="14">
        <f>MAX(MAX(Revenue_Hist!B77:E77),-MIN(Revenue_Hist!B77:E77))</f>
        <v>0</v>
      </c>
      <c r="D62" s="1" t="s">
        <v>1247</v>
      </c>
    </row>
    <row r="63">
      <c r="A63" s="12" t="s">
        <v>442</v>
      </c>
      <c r="B63" s="1" t="s">
        <v>43</v>
      </c>
      <c r="C63" s="14">
        <f>MAX(MAX(Revenue_Hist!B78:E78),-MIN(Revenue_Hist!B78:E78))</f>
        <v>0</v>
      </c>
      <c r="D63" s="1" t="s">
        <v>1248</v>
      </c>
    </row>
    <row r="64">
      <c r="A64" s="12" t="s">
        <v>443</v>
      </c>
      <c r="B64" s="1" t="s">
        <v>43</v>
      </c>
      <c r="C64" s="14">
        <f>MAX(MAX(Revenue_Hist!B79:E79),-MIN(Revenue_Hist!B79:E79))</f>
        <v>0</v>
      </c>
      <c r="D64" s="1" t="s">
        <v>1249</v>
      </c>
    </row>
    <row r="65">
      <c r="A65" s="12" t="s">
        <v>444</v>
      </c>
      <c r="B65" s="1" t="s">
        <v>43</v>
      </c>
      <c r="C65" s="14">
        <f>MAX(MAX(Revenue_Hist!B80:E80),-MIN(Revenue_Hist!B80:E80))</f>
        <v>0</v>
      </c>
      <c r="D65" s="1" t="s">
        <v>1250</v>
      </c>
    </row>
    <row r="66">
      <c r="A66" s="12" t="s">
        <v>445</v>
      </c>
      <c r="B66" s="1" t="s">
        <v>43</v>
      </c>
      <c r="C66" s="14">
        <f>MAX(MAX(Revenue_Hist!B81:E81),-MIN(Revenue_Hist!B81:E81))</f>
        <v>0</v>
      </c>
      <c r="D66" s="1" t="s">
        <v>1251</v>
      </c>
    </row>
    <row r="67">
      <c r="A67" s="12" t="s">
        <v>446</v>
      </c>
      <c r="B67" s="1" t="s">
        <v>43</v>
      </c>
      <c r="C67" s="14">
        <f>MAX(MAX(Revenue_Hist!B82:E82),-MIN(Revenue_Hist!B82:E82))</f>
        <v>0</v>
      </c>
      <c r="D67" s="1" t="s">
        <v>1252</v>
      </c>
    </row>
    <row r="68">
      <c r="A68" s="12" t="s">
        <v>447</v>
      </c>
      <c r="B68" s="1" t="s">
        <v>43</v>
      </c>
      <c r="C68" s="14">
        <f>MAX(MAX(Revenue_Hist!B83:E83),-MIN(Revenue_Hist!B83:E83))</f>
        <v>0</v>
      </c>
      <c r="D68" s="1" t="s">
        <v>1253</v>
      </c>
    </row>
    <row r="69">
      <c r="A69" s="12" t="s">
        <v>448</v>
      </c>
      <c r="B69" s="1" t="s">
        <v>43</v>
      </c>
      <c r="C69" s="14">
        <f>MAX(MAX(Revenue_Hist!B84:E84),-MIN(Revenue_Hist!B84:E84))</f>
        <v>0</v>
      </c>
      <c r="D69" s="1" t="s">
        <v>1254</v>
      </c>
    </row>
    <row r="70">
      <c r="A70" s="12" t="s">
        <v>528</v>
      </c>
      <c r="B70" s="1" t="s">
        <v>45</v>
      </c>
      <c r="C70" s="14">
        <f>MAX(MAX(Backlog!C53:C53),-MIN(Backlog!C53:C53))</f>
        <v>0</v>
      </c>
      <c r="D70" s="1" t="s">
        <v>1255</v>
      </c>
    </row>
    <row r="71">
      <c r="A71" s="12" t="s">
        <v>529</v>
      </c>
      <c r="B71" s="1" t="s">
        <v>45</v>
      </c>
      <c r="C71" s="14">
        <f>MAX(MAX(Backlog!C54:C54),-MIN(Backlog!C54:C54))</f>
        <v>0</v>
      </c>
      <c r="D71" s="1" t="s">
        <v>1256</v>
      </c>
    </row>
    <row r="72">
      <c r="A72" s="12" t="s">
        <v>530</v>
      </c>
      <c r="B72" s="1" t="s">
        <v>45</v>
      </c>
      <c r="C72" s="14">
        <f>MAX(MAX(Backlog!C55:C55),-MIN(Backlog!C55:C55))</f>
        <v>0</v>
      </c>
      <c r="D72" s="1" t="s">
        <v>1257</v>
      </c>
    </row>
    <row r="73">
      <c r="A73" s="12" t="s">
        <v>531</v>
      </c>
      <c r="B73" s="1" t="s">
        <v>45</v>
      </c>
      <c r="C73" s="14">
        <f>MAX(MAX(Backlog!C56:C56),-MIN(Backlog!C56:C56))</f>
        <v>0</v>
      </c>
      <c r="D73" s="1" t="s">
        <v>1258</v>
      </c>
    </row>
    <row r="74">
      <c r="A74" s="12" t="s">
        <v>532</v>
      </c>
      <c r="B74" s="1" t="s">
        <v>45</v>
      </c>
      <c r="C74" s="14">
        <f>MAX(MAX(Backlog!C57:C57),-MIN(Backlog!C57:C57))</f>
        <v>0</v>
      </c>
      <c r="D74" s="1" t="s">
        <v>1259</v>
      </c>
    </row>
    <row r="75">
      <c r="A75" s="12" t="s">
        <v>533</v>
      </c>
      <c r="B75" s="1" t="s">
        <v>45</v>
      </c>
      <c r="C75" s="14">
        <f>MAX(MAX(Backlog!C58:C58),-MIN(Backlog!C58:C58))</f>
        <v>0</v>
      </c>
      <c r="D75" s="1" t="s">
        <v>1260</v>
      </c>
    </row>
    <row r="76">
      <c r="A76" s="12" t="s">
        <v>534</v>
      </c>
      <c r="B76" s="1" t="s">
        <v>45</v>
      </c>
      <c r="C76" s="14">
        <f>MAX(MAX(Backlog!C59:C59),-MIN(Backlog!C59:C59))</f>
        <v>0</v>
      </c>
      <c r="D76" s="1" t="s">
        <v>1261</v>
      </c>
    </row>
    <row r="77">
      <c r="A77" s="12" t="s">
        <v>535</v>
      </c>
      <c r="B77" s="1" t="s">
        <v>45</v>
      </c>
      <c r="C77" s="14">
        <f>MAX(MAX(Backlog!C60:C60),-MIN(Backlog!C60:C60))</f>
        <v>0</v>
      </c>
      <c r="D77" s="1" t="s">
        <v>1262</v>
      </c>
    </row>
    <row r="78">
      <c r="A78" s="12" t="s">
        <v>536</v>
      </c>
      <c r="B78" s="1" t="s">
        <v>45</v>
      </c>
      <c r="C78" s="14">
        <f>MAX(MAX(Backlog!B61:B61),-MIN(Backlog!B61:B61))</f>
        <v>0</v>
      </c>
      <c r="D78" s="1" t="s">
        <v>1263</v>
      </c>
    </row>
    <row r="79">
      <c r="A79" s="12" t="s">
        <v>604</v>
      </c>
      <c r="B79" s="1" t="s">
        <v>47</v>
      </c>
      <c r="C79" s="14">
        <f>MAX(MAX(Cap_Table!B49:B49),-MIN(Cap_Table!B49:B49))</f>
        <v>0</v>
      </c>
      <c r="D79" s="1" t="s">
        <v>1264</v>
      </c>
    </row>
    <row r="80">
      <c r="A80" s="12" t="s">
        <v>605</v>
      </c>
      <c r="B80" s="1" t="s">
        <v>47</v>
      </c>
      <c r="C80" s="14">
        <f>MAX(MAX(Cap_Table!B50:B50),-MIN(Cap_Table!B50:B50))</f>
        <v>0</v>
      </c>
      <c r="D80" s="1" t="s">
        <v>1265</v>
      </c>
    </row>
    <row r="81">
      <c r="A81" s="12" t="s">
        <v>606</v>
      </c>
      <c r="B81" s="1" t="s">
        <v>47</v>
      </c>
      <c r="C81" s="14">
        <f>MAX(MAX(Cap_Table!B51:B51),-MIN(Cap_Table!B51:B51))</f>
        <v>0</v>
      </c>
      <c r="D81" s="1" t="s">
        <v>1266</v>
      </c>
    </row>
    <row r="82">
      <c r="A82" s="12" t="s">
        <v>607</v>
      </c>
      <c r="B82" s="1" t="s">
        <v>47</v>
      </c>
      <c r="C82" s="14">
        <f>MAX(MAX(Cap_Table!B52:B52),-MIN(Cap_Table!B52:B52))</f>
        <v>0</v>
      </c>
      <c r="D82" s="1" t="s">
        <v>1267</v>
      </c>
    </row>
    <row r="83">
      <c r="A83" s="12" t="s">
        <v>609</v>
      </c>
      <c r="B83" s="1" t="s">
        <v>47</v>
      </c>
      <c r="C83" s="14">
        <f>MAX(MAX(Cap_Table!B53:B53),-MIN(Cap_Table!B53:B53))</f>
        <v>0</v>
      </c>
      <c r="D83" s="1" t="s">
        <v>1268</v>
      </c>
    </row>
    <row r="84">
      <c r="A84" s="12" t="s">
        <v>752</v>
      </c>
      <c r="B84" s="1" t="s">
        <v>51</v>
      </c>
      <c r="C84" s="14">
        <f>MAX(MAX(Interim_Bridge!B79:D79),-MIN(Interim_Bridge!B79:D79))</f>
        <v>0</v>
      </c>
      <c r="D84" s="1" t="s">
        <v>1269</v>
      </c>
    </row>
    <row r="85">
      <c r="A85" s="12" t="s">
        <v>753</v>
      </c>
      <c r="B85" s="1" t="s">
        <v>51</v>
      </c>
      <c r="C85" s="14">
        <f>MAX(MAX(Interim_Bridge!B80:B80),-MIN(Interim_Bridge!B80:B80))</f>
        <v>0</v>
      </c>
      <c r="D85" s="1" t="s">
        <v>1270</v>
      </c>
    </row>
    <row r="86">
      <c r="A86" s="12" t="s">
        <v>754</v>
      </c>
      <c r="B86" s="1" t="s">
        <v>51</v>
      </c>
      <c r="C86" s="14">
        <f>MAX(MAX(Interim_Bridge!B81:B81),-MIN(Interim_Bridge!B81:B81))</f>
        <v>0</v>
      </c>
      <c r="D86" s="1" t="s">
        <v>1271</v>
      </c>
    </row>
    <row r="87">
      <c r="A87" s="12" t="s">
        <v>755</v>
      </c>
      <c r="B87" s="1" t="s">
        <v>51</v>
      </c>
      <c r="C87" s="14">
        <f>MAX(MAX(Interim_Bridge!B82:B82),-MIN(Interim_Bridge!B82:B82))</f>
        <v>0</v>
      </c>
      <c r="D87" s="1" t="s">
        <v>1272</v>
      </c>
    </row>
    <row r="88">
      <c r="A88" s="12" t="s">
        <v>756</v>
      </c>
      <c r="B88" s="1" t="s">
        <v>51</v>
      </c>
      <c r="C88" s="14">
        <f>MAX(MAX(Interim_Bridge!E83:G83),-MIN(Interim_Bridge!E83:G83))</f>
        <v>0</v>
      </c>
      <c r="D88" s="1" t="s">
        <v>1273</v>
      </c>
    </row>
    <row r="89">
      <c r="A89" s="12" t="s">
        <v>804</v>
      </c>
      <c r="B89" s="1" t="s">
        <v>53</v>
      </c>
      <c r="C89" s="14">
        <f>MAX(MAX(Schedules!C51:L51),-MIN(Schedules!C51:L51))</f>
        <v>0</v>
      </c>
      <c r="D89" s="1" t="s">
        <v>1274</v>
      </c>
    </row>
    <row r="90">
      <c r="A90" s="12" t="s">
        <v>805</v>
      </c>
      <c r="B90" s="1" t="s">
        <v>53</v>
      </c>
      <c r="C90" s="14">
        <f>MAX(MAX(Schedules!C52:L52),-MIN(Schedules!C52:L52))</f>
        <v>0.00000000000007105427357601002</v>
      </c>
      <c r="D90" s="1" t="s">
        <v>1275</v>
      </c>
    </row>
    <row r="91">
      <c r="A91" s="12" t="s">
        <v>806</v>
      </c>
      <c r="B91" s="1" t="s">
        <v>53</v>
      </c>
      <c r="C91" s="14">
        <f>MAX(MAX(Schedules!C53:L53),-MIN(Schedules!C53:L53))</f>
        <v>0</v>
      </c>
      <c r="D91" s="1" t="s">
        <v>1276</v>
      </c>
    </row>
    <row r="92">
      <c r="A92" s="12" t="s">
        <v>807</v>
      </c>
      <c r="B92" s="1" t="s">
        <v>53</v>
      </c>
      <c r="C92" s="14">
        <f>MAX(MAX(Schedules!C54:L54),-MIN(Schedules!C54:L54))</f>
        <v>0</v>
      </c>
      <c r="D92" s="1" t="s">
        <v>1277</v>
      </c>
    </row>
    <row r="93">
      <c r="A93" s="12" t="s">
        <v>808</v>
      </c>
      <c r="B93" s="1" t="s">
        <v>53</v>
      </c>
      <c r="C93" s="14">
        <f>MAX(MAX(Schedules!C55:L55),-MIN(Schedules!C55:L55))</f>
        <v>0</v>
      </c>
      <c r="D93" s="1" t="s">
        <v>1278</v>
      </c>
    </row>
    <row r="94">
      <c r="A94" s="12" t="s">
        <v>752</v>
      </c>
      <c r="B94" s="1" t="s">
        <v>55</v>
      </c>
      <c r="C94" s="14">
        <f>MAX(MAX(Forecast_3Stmt!B88:L88),-MIN(Forecast_3Stmt!B88:L88))</f>
        <v>0</v>
      </c>
      <c r="D94" s="1" t="s">
        <v>1279</v>
      </c>
    </row>
    <row r="95">
      <c r="A95" s="12" t="s">
        <v>829</v>
      </c>
      <c r="B95" s="1" t="s">
        <v>55</v>
      </c>
      <c r="C95" s="14">
        <f>MAX(MAX(Forecast_3Stmt!C89:L89),-MIN(Forecast_3Stmt!C89:L89))</f>
        <v>0</v>
      </c>
      <c r="D95" s="1" t="s">
        <v>1280</v>
      </c>
    </row>
    <row r="96">
      <c r="A96" s="12" t="s">
        <v>830</v>
      </c>
      <c r="B96" s="1" t="s">
        <v>55</v>
      </c>
      <c r="C96" s="14">
        <f>MAX(MAX(Forecast_3Stmt!B90:B90),-MIN(Forecast_3Stmt!B90:B90))</f>
        <v>0</v>
      </c>
      <c r="D96" s="1" t="s">
        <v>1281</v>
      </c>
    </row>
    <row r="97">
      <c r="A97" s="12" t="s">
        <v>831</v>
      </c>
      <c r="B97" s="1" t="s">
        <v>55</v>
      </c>
      <c r="C97" s="14">
        <f>MAX(MAX(Forecast_3Stmt!B91:B91),-MIN(Forecast_3Stmt!B91:B91))</f>
        <v>0</v>
      </c>
      <c r="D97" s="1" t="s">
        <v>1282</v>
      </c>
    </row>
    <row r="98">
      <c r="A98" s="12" t="s">
        <v>832</v>
      </c>
      <c r="B98" s="1" t="s">
        <v>55</v>
      </c>
      <c r="C98" s="14">
        <f>MAX(MAX(Forecast_3Stmt!C92:C92),-MIN(Forecast_3Stmt!C92:C92))</f>
        <v>0</v>
      </c>
      <c r="D98" s="1" t="s">
        <v>1283</v>
      </c>
    </row>
    <row r="99">
      <c r="A99" s="12" t="s">
        <v>858</v>
      </c>
      <c r="B99" s="1" t="s">
        <v>57</v>
      </c>
      <c r="C99" s="14">
        <f>MAX(MAX(Debt_Credit!B28:B28),-MIN(Debt_Credit!B28:B28))</f>
        <v>0</v>
      </c>
      <c r="D99" s="1" t="s">
        <v>1284</v>
      </c>
    </row>
    <row r="100">
      <c r="A100" s="12" t="s">
        <v>993</v>
      </c>
      <c r="B100" s="1" t="s">
        <v>61</v>
      </c>
      <c r="C100" s="14">
        <f>MAX(MAX(Comparables!J32:J32),-MIN(Comparables!J32:J32))</f>
        <v>0</v>
      </c>
      <c r="D100" s="1" t="s">
        <v>1285</v>
      </c>
    </row>
    <row r="101">
      <c r="A101" s="12" t="s">
        <v>995</v>
      </c>
      <c r="B101" s="1" t="s">
        <v>61</v>
      </c>
      <c r="C101" s="14">
        <f>MAX(MAX(Comparables!K33:K33),-MIN(Comparables!K33:K33))</f>
        <v>0</v>
      </c>
      <c r="D101" s="1" t="s">
        <v>1286</v>
      </c>
    </row>
    <row r="102">
      <c r="A102" s="12" t="s">
        <v>996</v>
      </c>
      <c r="B102" s="1" t="s">
        <v>61</v>
      </c>
      <c r="C102" s="14">
        <f>MAX(MAX(Comparables!M34:M34),-MIN(Comparables!M34:M34))</f>
        <v>0</v>
      </c>
      <c r="D102" s="1" t="s">
        <v>1287</v>
      </c>
    </row>
    <row r="103">
      <c r="A103" s="12" t="s">
        <v>997</v>
      </c>
      <c r="B103" s="1" t="s">
        <v>61</v>
      </c>
      <c r="C103" s="14">
        <f>MAX(MAX(Comparables!G35:G35),-MIN(Comparables!G35:G35))</f>
        <v>0</v>
      </c>
      <c r="D103" s="1" t="s">
        <v>1288</v>
      </c>
    </row>
    <row r="104">
      <c r="A104" s="12" t="s">
        <v>998</v>
      </c>
      <c r="B104" s="1" t="s">
        <v>61</v>
      </c>
      <c r="C104" s="14">
        <f>MAX(MAX(Comparables!H36:H36),-MIN(Comparables!H36:H36))</f>
        <v>0</v>
      </c>
      <c r="D104" s="1" t="s">
        <v>1289</v>
      </c>
    </row>
    <row r="105">
      <c r="A105" s="12" t="s">
        <v>1006</v>
      </c>
      <c r="B105" s="1" t="s">
        <v>63</v>
      </c>
      <c r="C105" s="14">
        <f>MAX(MAX(DCF!C18:L18),-MIN(DCF!C18:L18))</f>
        <v>0</v>
      </c>
      <c r="D105" s="1" t="s">
        <v>1290</v>
      </c>
    </row>
    <row r="106">
      <c r="A106" s="12" t="s">
        <v>1051</v>
      </c>
      <c r="B106" s="1" t="s">
        <v>63</v>
      </c>
      <c r="C106" s="14">
        <f>MAX(MAX(DCF!C69:C69),-MIN(DCF!C69:C69))</f>
        <v>0</v>
      </c>
      <c r="D106" s="1" t="s">
        <v>1227</v>
      </c>
    </row>
    <row r="107">
      <c r="A107" s="12" t="s">
        <v>1111</v>
      </c>
      <c r="B107" s="1" t="s">
        <v>65</v>
      </c>
      <c r="C107" s="14">
        <f>MAX(MAX(Valuation!C47:C47),-MIN(Valuation!C47:C47))</f>
        <v>0</v>
      </c>
      <c r="D107" s="1" t="s">
        <v>1291</v>
      </c>
    </row>
    <row r="108">
      <c r="A108" s="12" t="s">
        <v>1116</v>
      </c>
      <c r="B108" s="1" t="s">
        <v>67</v>
      </c>
      <c r="C108" s="14">
        <f>MAX(MAX(Sensitivity!D11:D11),-MIN(Sensitivity!D11:D11))</f>
        <v>0</v>
      </c>
      <c r="D108" s="1" t="s">
        <v>1292</v>
      </c>
    </row>
    <row r="109">
      <c r="A109" s="12" t="s">
        <v>1120</v>
      </c>
      <c r="B109" s="1" t="s">
        <v>67</v>
      </c>
      <c r="C109" s="14">
        <f>MAX(MAX(Sensitivity!D21:D21),-MIN(Sensitivity!D21:D21))</f>
        <v>0</v>
      </c>
      <c r="D109" s="1" t="s">
        <v>1293</v>
      </c>
    </row>
    <row r="110">
      <c r="A110" s="12" t="s">
        <v>1141</v>
      </c>
      <c r="B110" s="1" t="s">
        <v>69</v>
      </c>
      <c r="C110" s="14">
        <f>MAX(MAX(Scenario_Summary!C26:C26),-MIN(Scenario_Summary!C26:C26))</f>
        <v>0.000000000000000000000000000000000962964972193618</v>
      </c>
      <c r="D110" s="1" t="s">
        <v>1294</v>
      </c>
    </row>
    <row r="111">
      <c r="A111" s="12" t="s">
        <v>1142</v>
      </c>
      <c r="B111" s="1" t="s">
        <v>69</v>
      </c>
      <c r="C111" s="14">
        <f>MAX(MAX(Scenario_Summary!D27:D27),-MIN(Scenario_Summary!D27:D27))</f>
        <v>0</v>
      </c>
      <c r="D111" s="1" t="s">
        <v>1295</v>
      </c>
    </row>
    <row r="112">
      <c r="A112" s="12" t="s">
        <v>1143</v>
      </c>
      <c r="B112" s="1" t="s">
        <v>69</v>
      </c>
      <c r="C112" s="14">
        <f>MAX(MAX(Scenario_Summary!D28:D28),-MIN(Scenario_Summary!D28:D28))</f>
        <v>0</v>
      </c>
      <c r="D112" s="1" t="s">
        <v>1296</v>
      </c>
    </row>
    <row r="113">
      <c r="A113" s="12" t="s">
        <v>1144</v>
      </c>
      <c r="B113" s="1" t="s">
        <v>69</v>
      </c>
      <c r="C113" s="14">
        <f>MAX(MAX(Scenario_Summary!D29:D29),-MIN(Scenario_Summary!D29:D29))</f>
        <v>0</v>
      </c>
      <c r="D113" s="1" t="s">
        <v>1297</v>
      </c>
    </row>
    <row r="114">
      <c r="A114" s="12" t="s">
        <v>1145</v>
      </c>
      <c r="B114" s="1" t="s">
        <v>69</v>
      </c>
      <c r="C114" s="14">
        <f>MAX(MAX(Scenario_Summary!D30:D30),-MIN(Scenario_Summary!D30:D30))</f>
        <v>0</v>
      </c>
      <c r="D114" s="1" t="s">
        <v>1298</v>
      </c>
    </row>
    <row r="115">
      <c r="A115" s="12" t="s">
        <v>1146</v>
      </c>
      <c r="B115" s="1" t="s">
        <v>69</v>
      </c>
      <c r="C115" s="14">
        <f>MAX(MAX(Scenario_Summary!D31:D31),-MIN(Scenario_Summary!D31:D31))</f>
        <v>0</v>
      </c>
      <c r="D115" s="1" t="s">
        <v>1299</v>
      </c>
    </row>
    <row r="116">
      <c r="A116" s="12" t="s">
        <v>1147</v>
      </c>
      <c r="B116" s="1" t="s">
        <v>69</v>
      </c>
      <c r="C116" s="14">
        <f>MAX(MAX(Scenario_Summary!D32:D32),-MIN(Scenario_Summary!D32:D32))</f>
        <v>0</v>
      </c>
      <c r="D116" s="1" t="s">
        <v>1300</v>
      </c>
    </row>
    <row r="117">
      <c r="A117" s="12" t="s">
        <v>1148</v>
      </c>
      <c r="B117" s="1" t="s">
        <v>69</v>
      </c>
      <c r="C117" s="14">
        <f>MAX(MAX(Scenario_Summary!D33:D33),-MIN(Scenario_Summary!D33:D33))</f>
        <v>0</v>
      </c>
      <c r="D117" s="1" t="s">
        <v>1301</v>
      </c>
    </row>
    <row r="118">
      <c r="A118" s="12" t="s">
        <v>1149</v>
      </c>
      <c r="B118" s="1" t="s">
        <v>69</v>
      </c>
      <c r="C118" s="14">
        <f>MAX(MAX(Scenario_Summary!D34:D34),-MIN(Scenario_Summary!D34:D34))</f>
        <v>0</v>
      </c>
      <c r="D118" s="1" t="s">
        <v>1302</v>
      </c>
    </row>
    <row r="119">
      <c r="A119" s="12" t="s">
        <v>1150</v>
      </c>
      <c r="B119" s="1" t="s">
        <v>69</v>
      </c>
      <c r="C119" s="14">
        <f>MAX(MAX(Scenario_Summary!D35:D35),-MIN(Scenario_Summary!D35:D35))</f>
        <v>0</v>
      </c>
      <c r="D119" s="1" t="s">
        <v>1303</v>
      </c>
    </row>
  </sheetData>
</worksheet>
</file>

<file path=xl/worksheets/sheet24.xml><?xml version="1.0" encoding="utf-8"?>
<worksheet xmlns="http://schemas.openxmlformats.org/spreadsheetml/2006/main" xmlns:r="http://schemas.openxmlformats.org/officeDocument/2006/relationships">
  <sheetPr>
    <tabColor rgb="FF0E1A2B"/>
  </sheetPr>
  <dimension ref="A1:F17"/>
  <sheetViews>
    <sheetView showGridLines="0" workbookViewId="0"/>
  </sheetViews>
  <sheetFormatPr defaultColWidth="8.375" defaultRowHeight="15"/>
  <cols>
    <col min="1" max="1" width="42.70703125" customWidth="1"/>
    <col min="2" max="2" width="69.375" customWidth="1"/>
    <col min="3" max="3" width="12.70703125" customWidth="1"/>
    <col min="4" max="4" width="32.70703125" customWidth="1"/>
    <col min="5" max="5" width="36.0390625" customWidth="1"/>
    <col min="6" max="6" width="9.375" customWidth="1"/>
  </cols>
  <sheetData>
    <row r="1">
      <c r="A1" s="21" t="s">
        <v>1304</v>
      </c>
      <c r="B1" s="1"/>
      <c r="C1" s="1"/>
      <c r="D1" s="1"/>
      <c r="E1" s="1"/>
      <c r="F1" s="1"/>
    </row>
    <row r="2">
      <c r="A2" s="1" t="s">
        <v>1305</v>
      </c>
      <c r="B2" s="1"/>
      <c r="C2" s="1"/>
      <c r="D2" s="1"/>
      <c r="E2" s="1"/>
      <c r="F2" s="1"/>
    </row>
    <row r="3">
      <c r="A3" s="1"/>
      <c r="B3" s="1"/>
      <c r="C3" s="1"/>
      <c r="D3" s="1"/>
      <c r="E3" s="1"/>
      <c r="F3" s="1"/>
    </row>
    <row r="4">
      <c r="A4" s="3" t="s">
        <v>1306</v>
      </c>
      <c r="B4" s="3" t="s">
        <v>1307</v>
      </c>
      <c r="C4" s="3" t="s">
        <v>1308</v>
      </c>
      <c r="D4" s="3" t="s">
        <v>1309</v>
      </c>
      <c r="E4" s="3" t="s">
        <v>1310</v>
      </c>
      <c r="F4" s="3" t="s">
        <v>1311</v>
      </c>
    </row>
    <row r="5">
      <c r="A5" s="1" t="s">
        <v>1312</v>
      </c>
      <c r="B5" s="1" t="s">
        <v>1313</v>
      </c>
      <c r="C5" s="1" t="s">
        <v>1314</v>
      </c>
      <c r="D5" s="1" t="s">
        <v>1315</v>
      </c>
      <c r="E5" s="1" t="s">
        <v>1316</v>
      </c>
      <c r="F5" s="53"/>
    </row>
    <row r="6">
      <c r="A6" s="1" t="s">
        <v>1317</v>
      </c>
      <c r="B6" s="1" t="s">
        <v>1318</v>
      </c>
      <c r="C6" s="1" t="s">
        <v>1319</v>
      </c>
      <c r="D6" s="1" t="s">
        <v>1320</v>
      </c>
      <c r="E6" s="1"/>
      <c r="F6" s="50"/>
    </row>
    <row r="7">
      <c r="A7" s="1" t="s">
        <v>1321</v>
      </c>
      <c r="B7" s="1" t="s">
        <v>1322</v>
      </c>
      <c r="C7" s="1" t="s">
        <v>1323</v>
      </c>
      <c r="D7" s="1" t="s">
        <v>1324</v>
      </c>
      <c r="E7" s="1"/>
      <c r="F7" s="48"/>
    </row>
    <row r="8">
      <c r="A8" s="1" t="s">
        <v>1325</v>
      </c>
      <c r="B8" s="1" t="s">
        <v>1326</v>
      </c>
      <c r="C8" s="1" t="s">
        <v>1327</v>
      </c>
      <c r="D8" s="1" t="s">
        <v>1328</v>
      </c>
      <c r="E8" s="1"/>
      <c r="F8" s="43"/>
    </row>
    <row r="9">
      <c r="A9" s="1" t="s">
        <v>1329</v>
      </c>
      <c r="B9" s="1" t="s">
        <v>1330</v>
      </c>
      <c r="C9" s="1" t="s">
        <v>1331</v>
      </c>
      <c r="D9" s="1" t="s">
        <v>1332</v>
      </c>
      <c r="E9" s="1" t="s">
        <v>1333</v>
      </c>
      <c r="F9" s="35"/>
    </row>
    <row r="10">
      <c r="A10" s="1" t="s">
        <v>1334</v>
      </c>
      <c r="B10" s="1" t="s">
        <v>1335</v>
      </c>
      <c r="C10" s="1" t="s">
        <v>1336</v>
      </c>
      <c r="D10" s="1" t="s">
        <v>1337</v>
      </c>
      <c r="E10" s="1"/>
      <c r="F10" s="19"/>
    </row>
    <row r="11">
      <c r="A11" s="1" t="s">
        <v>1338</v>
      </c>
      <c r="B11" s="1" t="s">
        <v>1339</v>
      </c>
      <c r="C11" s="1" t="s">
        <v>1340</v>
      </c>
      <c r="D11" s="1" t="s">
        <v>1341</v>
      </c>
      <c r="E11" s="1"/>
      <c r="F11" s="55"/>
    </row>
    <row r="12">
      <c r="A12" s="1" t="s">
        <v>1342</v>
      </c>
      <c r="B12" s="1" t="s">
        <v>1343</v>
      </c>
      <c r="C12" s="1" t="s">
        <v>1314</v>
      </c>
      <c r="D12" s="1" t="s">
        <v>1315</v>
      </c>
      <c r="E12" s="1"/>
      <c r="F12" s="53"/>
    </row>
    <row r="13">
      <c r="A13" s="1" t="s">
        <v>1344</v>
      </c>
      <c r="B13" s="1" t="s">
        <v>1345</v>
      </c>
      <c r="C13" s="1" t="s">
        <v>1346</v>
      </c>
      <c r="D13" s="1" t="s">
        <v>1347</v>
      </c>
      <c r="E13" s="1"/>
      <c r="F13" s="49"/>
    </row>
    <row r="14">
      <c r="A14" s="1" t="s">
        <v>1348</v>
      </c>
      <c r="B14" s="1" t="s">
        <v>1349</v>
      </c>
      <c r="C14" s="1" t="s">
        <v>1350</v>
      </c>
      <c r="D14" s="1" t="s">
        <v>1351</v>
      </c>
      <c r="E14" s="1" t="s">
        <v>1352</v>
      </c>
      <c r="F14" s="47"/>
    </row>
    <row r="15">
      <c r="A15" s="1" t="s">
        <v>1353</v>
      </c>
      <c r="B15" s="1" t="s">
        <v>1354</v>
      </c>
      <c r="C15" s="1" t="s">
        <v>1355</v>
      </c>
      <c r="D15" s="1" t="s">
        <v>1351</v>
      </c>
      <c r="E15" s="1" t="s">
        <v>1356</v>
      </c>
      <c r="F15" s="40"/>
    </row>
    <row r="16">
      <c r="A16" s="1" t="s">
        <v>1357</v>
      </c>
      <c r="B16" s="1" t="s">
        <v>1358</v>
      </c>
      <c r="C16" s="1" t="s">
        <v>1359</v>
      </c>
      <c r="D16" s="1" t="s">
        <v>1351</v>
      </c>
      <c r="E16" s="1" t="s">
        <v>1360</v>
      </c>
      <c r="F16" s="32"/>
    </row>
    <row r="17">
      <c r="A17" s="1" t="s">
        <v>1361</v>
      </c>
      <c r="B17" s="1" t="s">
        <v>1362</v>
      </c>
      <c r="C17" s="1" t="s">
        <v>1363</v>
      </c>
      <c r="D17" s="1" t="s">
        <v>1351</v>
      </c>
      <c r="E17" s="1"/>
      <c r="F17" s="58"/>
    </row>
  </sheetData>
</worksheet>
</file>

<file path=xl/worksheets/sheet25.xml><?xml version="1.0" encoding="utf-8"?>
<worksheet xmlns="http://schemas.openxmlformats.org/spreadsheetml/2006/main" xmlns:r="http://schemas.openxmlformats.org/officeDocument/2006/relationships">
  <dimension ref="A1:F2"/>
  <sheetViews>
    <sheetView showGridLines="0" workbookViewId="0"/>
  </sheetViews>
  <sheetFormatPr defaultColWidth="8.375" defaultRowHeight="15"/>
  <cols>
    <col min="1" max="1" width="8.70703125" customWidth="1"/>
    <col min="2" max="2" width="18.0390625" customWidth="1"/>
    <col min="3" max="4" width="57.70703125" customWidth="1"/>
    <col min="5" max="5" width="81.0390625" customWidth="1"/>
    <col min="6" max="6" width="46.0390625" customWidth="1"/>
  </cols>
  <sheetData>
    <row r="1">
      <c r="A1" s="34" t="s">
        <v>1364</v>
      </c>
      <c r="B1" s="34" t="s">
        <v>1365</v>
      </c>
      <c r="C1" s="34" t="s">
        <v>1366</v>
      </c>
      <c r="D1" s="34" t="s">
        <v>1367</v>
      </c>
      <c r="E1" s="34" t="s">
        <v>1368</v>
      </c>
      <c r="F1" s="34" t="s">
        <v>1369</v>
      </c>
    </row>
    <row r="2">
      <c r="A2" s="118">
        <v>1</v>
      </c>
      <c r="B2" s="119">
        <v>46324.35932570602</v>
      </c>
      <c r="C2" s="118" t="s">
        <v>1370</v>
      </c>
      <c r="D2" s="118" t="s">
        <v>1371</v>
      </c>
      <c r="E2" s="118" t="s">
        <v>1372</v>
      </c>
      <c r="F2" s="118" t="s">
        <v>1373</v>
      </c>
    </row>
  </sheetData>
</worksheet>
</file>