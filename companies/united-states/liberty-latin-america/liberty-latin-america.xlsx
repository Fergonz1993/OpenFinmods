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Calc"/>
  <workbookPr/>
  <workbookProtection/>
  <bookViews>
    <workbookView xWindow="0" yWindow="0" windowWidth="16384" windowHeight="8192" tabRatio="600"/>
  </bookViews>
  <sheets>
    <sheet name="00_Cover" sheetId="1" r:id="rId3"/>
    <sheet name="Sources" sheetId="2" r:id="rId4"/>
    <sheet name="Historical" sheetId="3" r:id="rId5"/>
    <sheet name="Assumptions" sheetId="4" r:id="rId6"/>
    <sheet name="Forecast" sheetId="5" r:id="rId7"/>
    <sheet name="Valuation" sheetId="6" r:id="rId8"/>
    <sheet name="Sensitivity" sheetId="7" r:id="rId9"/>
    <sheet name="Checks" sheetId="8" r:id="rId10"/>
    <sheet name="Sector_KPIs" sheetId="9" r:id="rId11"/>
    <sheet name="Change_Log" sheetId="10" r:id="rId12"/>
    <sheet name="Gate_9of10" sheetId="11" r:id="rId13"/>
    <sheet name="Claude Code Log" sheetId="12" r:id="rId15"/>
  </sheets>
  <calcPr calcId="0" iterateCount="100" iterateDelta="0.001"/>
  <extLst>
    <ext xmlns:loext="http://schemas.libreoffice.org/" uri="{7626C862-2A13-11E5-B345-FEFF819CDC9F}">
      <loext:extCalcPr stringRefSyntax="CalcA1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tc={86185F0A-32B8-2A52-2D21-51AFCC0F34BC}</author>
    <author>tc={461B5AA7-09FC-B598-C7B4-003E5EE0A244}</author>
    <author>tc={2499668E-4572-EE8B-41C6-761E555D9923}</author>
    <author>tc={EC2A3E9A-6D8D-7688-5910-1571038ABE2C}</author>
    <author>tc={89A036AD-62FD-106B-F843-7A42820F85D8}</author>
    <author>tc={87D4B63C-8BDC-28EA-0DB5-9BAE3C8EFE99}</author>
    <author>tc={35459AA2-42BD-FDA0-FF73-161C4C326283}</author>
    <author>tc={B7E6B9E6-C0C3-59AE-93AF-C08BCC453018}</author>
    <author>tc={017ECFD3-39C0-05DE-D2C9-4B381AD648ED}</author>
    <author>tc={2CE2172C-B63C-432D-76B0-90EF9893F51C}</author>
    <author>tc={25FBCFC1-4239-64DE-B4F5-D8F14AC5F002}</author>
    <author>tc={E4D8E177-553F-0860-EE23-8EFB566E37FB}</author>
    <author>tc={4ED109BA-F571-8B34-2BE2-B36EC2DB8BA8}</author>
    <author>tc={12EB34A1-8DD7-1EED-F28C-D12E693DC3E5}</author>
    <author>tc={C2C4D15B-BB22-A4D4-A731-DD082D885224}</author>
    <author>tc={F55687F1-0F8A-D335-DF23-0AA32100BCB7}</author>
    <author>tc={3F6A24E6-98BE-4831-90BF-32C09253B751}</author>
    <author>tc={D93A0A32-81E4-144A-33E1-76757F6673E8}</author>
    <author>tc={05043FFA-D317-C372-BEDD-33EA1216C7F7}</author>
    <author>tc={1E73BAE7-DD4A-9A00-3505-AC1E84E5C3D1}</author>
    <author>tc={17AA611A-4A01-EAA5-A8C2-D25C48C12C24}</author>
    <author>tc={E28300A9-2DA5-5621-5BD8-415D901D1ACA}</author>
    <author>tc={BF190BD5-9079-375F-8D5C-2B08988018AE}</author>
    <author>tc={487010FE-0D61-58F2-2A57-A9AD3BC6C1F2}</author>
    <author>tc={D1BE7FAE-EE03-62B7-F145-C5589AD566F4}</author>
    <author>tc={A3510CBB-876A-5CF9-98ED-F7248170A1FF}</author>
    <author>tc={190F7C94-EAB6-D292-989E-08E741EE6B66}</author>
    <author>tc={2711BADA-4796-F21D-293C-55947E434F18}</author>
    <author>tc={5A2E544F-7C29-E45E-85A1-CEEF853DEDB5}</author>
    <author>tc={BF6FF73C-A2AC-C22C-944C-A0AE70B972D7}</author>
    <author>tc={98821962-ABF6-D370-CB36-4FA4FB426620}</author>
    <author>tc={A5832819-679F-876E-D52A-E62976877CB0}</author>
    <author>tc={90996082-F2DE-8127-5BEB-C6804B7DECDE}</author>
    <author>tc={A60B8B54-CEB4-6963-BCC1-971DB05BA689}</author>
    <author>tc={FFF4AB1A-4D7B-DE3C-82D2-CFD1F3CEF7C5}</author>
    <author>tc={00D7B532-A53A-2303-E4A2-F85968B5EB36}</author>
    <author>tc={A6F2D603-1701-67B7-A224-8D0DCC239234}</author>
    <author>tc={1A2CCCB7-69A5-0DCA-CB08-1D2C5FDCD453}</author>
  </authors>
  <commentList>
    <comment ref="C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4</xdr:row>
            <xdr:rowOff>2</xdr:rowOff>
          </from>
          <to>
            <xdr:col>4</xdr:col>
            <xdr:colOff>15</xdr:colOff>
            <xdr:row>8</xdr:row>
            <xdr:rowOff>2</xdr:rowOff>
          </to>
        </anchor>
      </commentPr>
    </comment>
    <comment ref="C6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5</xdr:row>
            <xdr:rowOff>2</xdr:rowOff>
          </from>
          <to>
            <xdr:col>4</xdr:col>
            <xdr:colOff>15</xdr:colOff>
            <xdr:row>9</xdr:row>
            <xdr:rowOff>2</xdr:rowOff>
          </to>
        </anchor>
      </commentPr>
    </comment>
    <comment ref="C7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6</xdr:row>
            <xdr:rowOff>2</xdr:rowOff>
          </from>
          <to>
            <xdr:col>4</xdr:col>
            <xdr:colOff>15</xdr:colOff>
            <xdr:row>10</xdr:row>
            <xdr:rowOff>2</xdr:rowOff>
          </to>
        </anchor>
      </commentPr>
    </comment>
    <comment ref="C8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7</xdr:row>
            <xdr:rowOff>2</xdr:rowOff>
          </from>
          <to>
            <xdr:col>4</xdr:col>
            <xdr:colOff>15</xdr:colOff>
            <xdr:row>11</xdr:row>
            <xdr:rowOff>2</xdr:rowOff>
          </to>
        </anchor>
      </commentPr>
    </comment>
    <comment ref="C9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8</xdr:row>
            <xdr:rowOff>2</xdr:rowOff>
          </from>
          <to>
            <xdr:col>4</xdr:col>
            <xdr:colOff>15</xdr:colOff>
            <xdr:row>12</xdr:row>
            <xdr:rowOff>2</xdr:rowOff>
          </to>
        </anchor>
      </commentPr>
    </comment>
    <comment ref="C11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10</xdr:row>
            <xdr:rowOff>2</xdr:rowOff>
          </from>
          <to>
            <xdr:col>4</xdr:col>
            <xdr:colOff>15</xdr:colOff>
            <xdr:row>14</xdr:row>
            <xdr:rowOff>2</xdr:rowOff>
          </to>
        </anchor>
      </commentPr>
    </comment>
    <comment ref="C12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11</xdr:row>
            <xdr:rowOff>2</xdr:rowOff>
          </from>
          <to>
            <xdr:col>4</xdr:col>
            <xdr:colOff>15</xdr:colOff>
            <xdr:row>15</xdr:row>
            <xdr:rowOff>2</xdr:rowOff>
          </to>
        </anchor>
      </commentPr>
    </comment>
    <comment ref="C13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12</xdr:row>
            <xdr:rowOff>2</xdr:rowOff>
          </from>
          <to>
            <xdr:col>4</xdr:col>
            <xdr:colOff>15</xdr:colOff>
            <xdr:row>16</xdr:row>
            <xdr:rowOff>2</xdr:rowOff>
          </to>
        </anchor>
      </commentPr>
    </comment>
    <comment ref="C14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13</xdr:row>
            <xdr:rowOff>2</xdr:rowOff>
          </from>
          <to>
            <xdr:col>4</xdr:col>
            <xdr:colOff>15</xdr:colOff>
            <xdr:row>17</xdr:row>
            <xdr:rowOff>2</xdr:rowOff>
          </to>
        </anchor>
      </commentPr>
    </comment>
    <comment ref="C15" authorId="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14</xdr:row>
            <xdr:rowOff>2</xdr:rowOff>
          </from>
          <to>
            <xdr:col>4</xdr:col>
            <xdr:colOff>15</xdr:colOff>
            <xdr:row>18</xdr:row>
            <xdr:rowOff>2</xdr:rowOff>
          </to>
        </anchor>
      </commentPr>
    </comment>
    <comment ref="C16" authorId="1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15</xdr:row>
            <xdr:rowOff>2</xdr:rowOff>
          </from>
          <to>
            <xdr:col>4</xdr:col>
            <xdr:colOff>15</xdr:colOff>
            <xdr:row>19</xdr:row>
            <xdr:rowOff>2</xdr:rowOff>
          </to>
        </anchor>
      </commentPr>
    </comment>
    <comment ref="C17" authorId="1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16</xdr:row>
            <xdr:rowOff>2</xdr:rowOff>
          </from>
          <to>
            <xdr:col>4</xdr:col>
            <xdr:colOff>15</xdr:colOff>
            <xdr:row>20</xdr:row>
            <xdr:rowOff>2</xdr:rowOff>
          </to>
        </anchor>
      </commentPr>
    </comment>
    <comment ref="D5" authorId="1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4</xdr:row>
            <xdr:rowOff>2</xdr:rowOff>
          </from>
          <to>
            <xdr:col>5</xdr:col>
            <xdr:colOff>15</xdr:colOff>
            <xdr:row>8</xdr:row>
            <xdr:rowOff>2</xdr:rowOff>
          </to>
        </anchor>
      </commentPr>
    </comment>
    <comment ref="D6" authorId="1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5</xdr:row>
            <xdr:rowOff>2</xdr:rowOff>
          </from>
          <to>
            <xdr:col>5</xdr:col>
            <xdr:colOff>15</xdr:colOff>
            <xdr:row>9</xdr:row>
            <xdr:rowOff>2</xdr:rowOff>
          </to>
        </anchor>
      </commentPr>
    </comment>
    <comment ref="D7" authorId="1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6</xdr:row>
            <xdr:rowOff>2</xdr:rowOff>
          </from>
          <to>
            <xdr:col>5</xdr:col>
            <xdr:colOff>15</xdr:colOff>
            <xdr:row>10</xdr:row>
            <xdr:rowOff>2</xdr:rowOff>
          </to>
        </anchor>
      </commentPr>
    </comment>
    <comment ref="D8" authorId="1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7</xdr:row>
            <xdr:rowOff>2</xdr:rowOff>
          </from>
          <to>
            <xdr:col>5</xdr:col>
            <xdr:colOff>15</xdr:colOff>
            <xdr:row>11</xdr:row>
            <xdr:rowOff>2</xdr:rowOff>
          </to>
        </anchor>
      </commentPr>
    </comment>
    <comment ref="D9" authorId="1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8</xdr:row>
            <xdr:rowOff>2</xdr:rowOff>
          </from>
          <to>
            <xdr:col>5</xdr:col>
            <xdr:colOff>15</xdr:colOff>
            <xdr:row>12</xdr:row>
            <xdr:rowOff>2</xdr:rowOff>
          </to>
        </anchor>
      </commentPr>
    </comment>
    <comment ref="D10" authorId="1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9</xdr:row>
            <xdr:rowOff>2</xdr:rowOff>
          </from>
          <to>
            <xdr:col>5</xdr:col>
            <xdr:colOff>15</xdr:colOff>
            <xdr:row>13</xdr:row>
            <xdr:rowOff>2</xdr:rowOff>
          </to>
        </anchor>
      </commentPr>
    </comment>
    <comment ref="D11" authorId="1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10</xdr:row>
            <xdr:rowOff>2</xdr:rowOff>
          </from>
          <to>
            <xdr:col>5</xdr:col>
            <xdr:colOff>15</xdr:colOff>
            <xdr:row>14</xdr:row>
            <xdr:rowOff>2</xdr:rowOff>
          </to>
        </anchor>
      </commentPr>
    </comment>
    <comment ref="D12" authorId="1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11</xdr:row>
            <xdr:rowOff>2</xdr:rowOff>
          </from>
          <to>
            <xdr:col>5</xdr:col>
            <xdr:colOff>15</xdr:colOff>
            <xdr:row>15</xdr:row>
            <xdr:rowOff>2</xdr:rowOff>
          </to>
        </anchor>
      </commentPr>
    </comment>
    <comment ref="D13" authorId="2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12</xdr:row>
            <xdr:rowOff>2</xdr:rowOff>
          </from>
          <to>
            <xdr:col>5</xdr:col>
            <xdr:colOff>15</xdr:colOff>
            <xdr:row>16</xdr:row>
            <xdr:rowOff>2</xdr:rowOff>
          </to>
        </anchor>
      </commentPr>
    </comment>
    <comment ref="D14" authorId="2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13</xdr:row>
            <xdr:rowOff>2</xdr:rowOff>
          </from>
          <to>
            <xdr:col>5</xdr:col>
            <xdr:colOff>15</xdr:colOff>
            <xdr:row>17</xdr:row>
            <xdr:rowOff>2</xdr:rowOff>
          </to>
        </anchor>
      </commentPr>
    </comment>
    <comment ref="D15" authorId="2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14</xdr:row>
            <xdr:rowOff>2</xdr:rowOff>
          </from>
          <to>
            <xdr:col>5</xdr:col>
            <xdr:colOff>15</xdr:colOff>
            <xdr:row>18</xdr:row>
            <xdr:rowOff>2</xdr:rowOff>
          </to>
        </anchor>
      </commentPr>
    </comment>
    <comment ref="D16" authorId="2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15</xdr:row>
            <xdr:rowOff>2</xdr:rowOff>
          </from>
          <to>
            <xdr:col>5</xdr:col>
            <xdr:colOff>15</xdr:colOff>
            <xdr:row>19</xdr:row>
            <xdr:rowOff>2</xdr:rowOff>
          </to>
        </anchor>
      </commentPr>
    </comment>
    <comment ref="D17" authorId="2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16</xdr:row>
            <xdr:rowOff>2</xdr:rowOff>
          </from>
          <to>
            <xdr:col>5</xdr:col>
            <xdr:colOff>15</xdr:colOff>
            <xdr:row>20</xdr:row>
            <xdr:rowOff>2</xdr:rowOff>
          </to>
        </anchor>
      </commentPr>
    </comment>
    <comment ref="E5" authorId="2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4</xdr:row>
            <xdr:rowOff>2</xdr:rowOff>
          </from>
          <to>
            <xdr:col>6</xdr:col>
            <xdr:colOff>15</xdr:colOff>
            <xdr:row>8</xdr:row>
            <xdr:rowOff>2</xdr:rowOff>
          </to>
        </anchor>
      </commentPr>
    </comment>
    <comment ref="E6" authorId="2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5</xdr:row>
            <xdr:rowOff>2</xdr:rowOff>
          </from>
          <to>
            <xdr:col>6</xdr:col>
            <xdr:colOff>15</xdr:colOff>
            <xdr:row>9</xdr:row>
            <xdr:rowOff>2</xdr:rowOff>
          </to>
        </anchor>
      </commentPr>
    </comment>
    <comment ref="E7" authorId="2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6</xdr:row>
            <xdr:rowOff>2</xdr:rowOff>
          </from>
          <to>
            <xdr:col>6</xdr:col>
            <xdr:colOff>15</xdr:colOff>
            <xdr:row>10</xdr:row>
            <xdr:rowOff>2</xdr:rowOff>
          </to>
        </anchor>
      </commentPr>
    </comment>
    <comment ref="E8" authorId="2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7</xdr:row>
            <xdr:rowOff>2</xdr:rowOff>
          </from>
          <to>
            <xdr:col>6</xdr:col>
            <xdr:colOff>15</xdr:colOff>
            <xdr:row>11</xdr:row>
            <xdr:rowOff>2</xdr:rowOff>
          </to>
        </anchor>
      </commentPr>
    </comment>
    <comment ref="E9" authorId="2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8</xdr:row>
            <xdr:rowOff>2</xdr:rowOff>
          </from>
          <to>
            <xdr:col>6</xdr:col>
            <xdr:colOff>15</xdr:colOff>
            <xdr:row>12</xdr:row>
            <xdr:rowOff>2</xdr:rowOff>
          </to>
        </anchor>
      </commentPr>
    </comment>
    <comment ref="E10" authorId="3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9</xdr:row>
            <xdr:rowOff>2</xdr:rowOff>
          </from>
          <to>
            <xdr:col>6</xdr:col>
            <xdr:colOff>15</xdr:colOff>
            <xdr:row>13</xdr:row>
            <xdr:rowOff>2</xdr:rowOff>
          </to>
        </anchor>
      </commentPr>
    </comment>
    <comment ref="E11" authorId="3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10</xdr:row>
            <xdr:rowOff>2</xdr:rowOff>
          </from>
          <to>
            <xdr:col>6</xdr:col>
            <xdr:colOff>15</xdr:colOff>
            <xdr:row>14</xdr:row>
            <xdr:rowOff>2</xdr:rowOff>
          </to>
        </anchor>
      </commentPr>
    </comment>
    <comment ref="E12" authorId="3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11</xdr:row>
            <xdr:rowOff>2</xdr:rowOff>
          </from>
          <to>
            <xdr:col>6</xdr:col>
            <xdr:colOff>15</xdr:colOff>
            <xdr:row>15</xdr:row>
            <xdr:rowOff>2</xdr:rowOff>
          </to>
        </anchor>
      </commentPr>
    </comment>
    <comment ref="E13" authorId="3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12</xdr:row>
            <xdr:rowOff>2</xdr:rowOff>
          </from>
          <to>
            <xdr:col>6</xdr:col>
            <xdr:colOff>15</xdr:colOff>
            <xdr:row>16</xdr:row>
            <xdr:rowOff>2</xdr:rowOff>
          </to>
        </anchor>
      </commentPr>
    </comment>
    <comment ref="E14" authorId="3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13</xdr:row>
            <xdr:rowOff>2</xdr:rowOff>
          </from>
          <to>
            <xdr:col>6</xdr:col>
            <xdr:colOff>15</xdr:colOff>
            <xdr:row>17</xdr:row>
            <xdr:rowOff>2</xdr:rowOff>
          </to>
        </anchor>
      </commentPr>
    </comment>
    <comment ref="E15" authorId="3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14</xdr:row>
            <xdr:rowOff>2</xdr:rowOff>
          </from>
          <to>
            <xdr:col>6</xdr:col>
            <xdr:colOff>15</xdr:colOff>
            <xdr:row>18</xdr:row>
            <xdr:rowOff>2</xdr:rowOff>
          </to>
        </anchor>
      </commentPr>
    </comment>
    <comment ref="E16" authorId="3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15</xdr:row>
            <xdr:rowOff>2</xdr:rowOff>
          </from>
          <to>
            <xdr:col>6</xdr:col>
            <xdr:colOff>15</xdr:colOff>
            <xdr:row>19</xdr:row>
            <xdr:rowOff>2</xdr:rowOff>
          </to>
        </anchor>
      </commentPr>
    </comment>
    <comment ref="E17" authorId="3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Liberty Latin America Ltd.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16</xdr:row>
            <xdr:rowOff>2</xdr:rowOff>
          </from>
          <to>
            <xdr:col>6</xdr:col>
            <xdr:colOff>15</xdr:colOff>
            <xdr:row>20</xdr:row>
            <xdr:rowOff>2</xdr:rowOff>
          </to>
        </anchor>
      </commentPr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tc={12B23E19-EE1C-E0A3-50E8-424FB30E132A}</author>
    <author>tc={C3FEE72F-F64A-9405-86EF-CE4EA4C44430}</author>
    <author>tc={0A5AABB0-C657-D7A6-6C0F-C9B3C1681FCE}</author>
    <author>tc={A1DADD2C-2CF4-BEB7-4634-A21660075EFB}</author>
    <author>tc={7FCEDE4A-C22F-4C7E-3F14-130B2E5DFC5E}</author>
    <author>tc={8C246C86-134B-1F73-6F96-A53CA3923418}</author>
    <author>tc={7886718B-E3CC-E42F-FC90-5A9476840AE3}</author>
    <author>tc={E6D1A697-7E36-3883-42E8-E36A155C5CB5}</author>
    <author>tc={B2F900F3-717B-9396-11D1-D0222DDA132C}</author>
    <author>tc={DCECFF54-4335-40FA-7E00-19737A3CA562}</author>
    <author>tc={4B7297D9-C025-0F2F-76C7-02F02639DDF1}</author>
    <author>tc={3C2646C6-68D5-973B-D440-D422B59E09AE}</author>
    <author>tc={B8D59990-59B8-A736-E0C0-4A2787709981}</author>
    <author>tc={6B2AD5E4-B5F5-BCA9-A871-DBA2EB8F38D4}</author>
    <author>tc={83A41A9C-90BD-D9E4-907F-19A6B0F487D3}</author>
    <author>tc={241799C3-91BA-9828-14EA-4FE30D4DF6D0}</author>
    <author>tc={DEEC3824-4ED0-F1F9-ABDE-5556EA07B66D}</author>
    <author>tc={BBC8666E-0FD5-1819-04A2-CC2FD6713A1F}</author>
    <author>tc={40321607-26E3-2745-BBBA-D3C80954B3C8}</author>
    <author>tc={B2AC32A4-2DE3-AE90-C06B-652BFA4858E8}</author>
    <author>tc={07D74980-6BA4-5EA4-7685-13DF8CC47225}</author>
    <author>tc={958E5E78-2193-531B-B410-379C3CF6FE30}</author>
    <author>tc={7FA66E90-71A7-CBF0-39ED-C7F4AB813444}</author>
    <author>tc={8C766250-B0FB-8ED8-CB83-2607D1897961}</author>
    <author>tc={AD2D4A6B-5E90-3E6A-CB3B-82D923CF12C5}</author>
    <author>tc={A8F77AFB-CFAD-5909-751B-DEC17B608C17}</author>
    <author>tc={1D9C0D13-62A1-E9A9-9E6F-58992A80E516}</author>
    <author>tc={EE3B12C8-8469-7F0D-2CDF-22491D3FB1D4}</author>
    <author>tc={86562F43-F5BC-7BA3-F621-01C1BBCB2E93}</author>
    <author>tc={CF139AEE-C046-218B-2BE5-D6926253BDDD}</author>
    <author>tc={B12EB105-0096-8F12-21DE-5FDC95C4970E}</author>
    <author>tc={1705FF83-E66B-9699-2B15-99D3A1EDC0F4}</author>
    <author>tc={19753885-8B11-1521-1DD6-31B9FCCDC38E}</author>
    <author>tc={FA39695F-66AA-50A6-4313-F0E97CE84BB5}</author>
    <author>tc={9792DC03-C338-49C3-D7F1-DD0A28B81611}</author>
    <author>tc={CA00AE80-0EDA-58A7-1EA0-76C0374E0FDE}</author>
    <author>tc={BBF0FE8C-D651-C83F-42F5-B81E7168C635}</author>
    <author>tc={C8BEF181-72CA-C22E-0FA3-0C8DEEC6583C}</author>
    <author>tc={17E343A1-9727-C3AF-217F-07D3F9729962}</author>
    <author>tc={91AD5223-4342-F6D9-2DEA-0F46577149E0}</author>
    <author>tc={7D082610-1D92-AF17-9071-9330E4E1FB24}</author>
    <author>tc={56350C2D-5CE9-A3A6-1D2D-8300B01D90DB}</author>
  </authors>
  <commentList>
    <comment ref="C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2025 homes-passed base from the 10-K operating statistics table. Primary calibration source: https://www.sec.gov/Archives/edgar/data/1712184/000171218426000023/lila-20251231.htm</t>
        </r>
      </text>
      <commentPr locked="0" textHAlign="justify" textVAlign="top">
        <anchor>
          <from>
            <xdr:col>2</xdr:col>
            <xdr:colOff>15</xdr:colOff>
            <xdr:row>6</xdr:row>
            <xdr:rowOff>2</xdr:rowOff>
          </from>
          <to>
            <xdr:col>4</xdr:col>
            <xdr:colOff>15</xdr:colOff>
            <xdr:row>10</xdr:row>
            <xdr:rowOff>2</xdr:rowOff>
          </to>
        </anchor>
      </commentPr>
    </comment>
    <comment ref="C8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Captures fixed RGU additions and churn through RGUs per home passed. Primary calibration source: https://www.sec.gov/Archives/edgar/data/1712184/000171218426000023/lila-20251231.htm</t>
        </r>
      </text>
      <commentPr locked="0" textHAlign="justify" textVAlign="top">
        <anchor>
          <from>
            <xdr:col>2</xdr:col>
            <xdr:colOff>15</xdr:colOff>
            <xdr:row>7</xdr:row>
            <xdr:rowOff>2</xdr:rowOff>
          </from>
          <to>
            <xdr:col>4</xdr:col>
            <xdr:colOff>15</xdr:colOff>
            <xdr:row>11</xdr:row>
            <xdr:rowOff>2</xdr:rowOff>
          </to>
        </anchor>
      </commentPr>
    </comment>
    <comment ref="C9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2025 mobile subscriber base from the 10-K. Primary calibration source: https://www.sec.gov/Archives/edgar/data/1712184/000171218426000023/lila-20251231.htm</t>
        </r>
      </text>
      <commentPr locked="0" textHAlign="justify" textVAlign="top">
        <anchor>
          <from>
            <xdr:col>2</xdr:col>
            <xdr:colOff>15</xdr:colOff>
            <xdr:row>8</xdr:row>
            <xdr:rowOff>2</xdr:rowOff>
          </from>
          <to>
            <xdr:col>4</xdr:col>
            <xdr:colOff>15</xdr:colOff>
            <xdr:row>12</xdr:row>
            <xdr:rowOff>2</xdr:rowOff>
          </to>
        </anchor>
      </commentPr>
    </comment>
    <comment ref="C10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Proxy only; LILA reports directional ARPU effects rather than one consolidated absolute ARPU. Primary calibration source: https://www.sec.gov/Archives/edgar/data/1712184/000171218426000023/lila-20251231.htm</t>
        </r>
      </text>
      <commentPr locked="0" textHAlign="justify" textVAlign="top">
        <anchor>
          <from>
            <xdr:col>2</xdr:col>
            <xdr:colOff>15</xdr:colOff>
            <xdr:row>9</xdr:row>
            <xdr:rowOff>2</xdr:rowOff>
          </from>
          <to>
            <xdr:col>4</xdr:col>
            <xdr:colOff>15</xdr:colOff>
            <xdr:row>13</xdr:row>
            <xdr:rowOff>2</xdr:rowOff>
          </to>
        </anchor>
      </commentPr>
    </comment>
    <comment ref="C11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Residual revenue outside modeled residential revenue. Primary calibration source: https://www.sec.gov/Archives/edgar/data/1712184/000171218426000023/lila-20251231.htm</t>
        </r>
      </text>
      <commentPr locked="0" textHAlign="justify" textVAlign="top">
        <anchor>
          <from>
            <xdr:col>2</xdr:col>
            <xdr:colOff>15</xdr:colOff>
            <xdr:row>10</xdr:row>
            <xdr:rowOff>2</xdr:rowOff>
          </from>
          <to>
            <xdr:col>4</xdr:col>
            <xdr:colOff>15</xdr:colOff>
            <xdr:row>14</xdr:row>
            <xdr:rowOff>2</xdr:rowOff>
          </to>
        </anchor>
      </commentPr>
    </comment>
    <comment ref="C12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2025 reported margin was 38.4%. Primary calibration source: https://www.sec.gov/Archives/edgar/data/1712184/000171218426000023/lila-20251231.htm</t>
        </r>
      </text>
      <commentPr locked="0" textHAlign="justify" textVAlign="top">
        <anchor>
          <from>
            <xdr:col>2</xdr:col>
            <xdr:colOff>15</xdr:colOff>
            <xdr:row>11</xdr:row>
            <xdr:rowOff>2</xdr:rowOff>
          </from>
          <to>
            <xdr:col>4</xdr:col>
            <xdr:colOff>15</xdr:colOff>
            <xdr:row>15</xdr:row>
            <xdr:rowOff>2</xdr:rowOff>
          </to>
        </anchor>
      </commentPr>
    </comment>
    <comment ref="C13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Anchored to 2025 SEC D&amp;A / revenue. Primary calibration source: https://www.sec.gov/Archives/edgar/data/1712184/000171218426000023/lila-20251231.htm</t>
        </r>
      </text>
      <commentPr locked="0" textHAlign="justify" textVAlign="top">
        <anchor>
          <from>
            <xdr:col>2</xdr:col>
            <xdr:colOff>15</xdr:colOff>
            <xdr:row>12</xdr:row>
            <xdr:rowOff>2</xdr:rowOff>
          </from>
          <to>
            <xdr:col>4</xdr:col>
            <xdr:colOff>15</xdr:colOff>
            <xdr:row>16</xdr:row>
            <xdr:rowOff>2</xdr:rowOff>
          </to>
        </anchor>
      </commentPr>
    </comment>
    <comment ref="C14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2025 reported P&amp;E additions ratio was 14.4%. Primary calibration source: https://www.sec.gov/Archives/edgar/data/1712184/000171218426000023/lila-20251231.htm</t>
        </r>
      </text>
      <commentPr locked="0" textHAlign="justify" textVAlign="top">
        <anchor>
          <from>
            <xdr:col>2</xdr:col>
            <xdr:colOff>15</xdr:colOff>
            <xdr:row>13</xdr:row>
            <xdr:rowOff>2</xdr:rowOff>
          </from>
          <to>
            <xdr:col>4</xdr:col>
            <xdr:colOff>15</xdr:colOff>
            <xdr:row>17</xdr:row>
            <xdr:rowOff>2</xdr:rowOff>
          </to>
        </anchor>
      </commentPr>
    </comment>
    <comment ref="C15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Normalized cash-tax assumption. Primary calibration source: https://www.sec.gov/Archives/edgar/data/1712184/000171218426000023/lila-20251231.htm</t>
        </r>
      </text>
      <commentPr locked="0" textHAlign="justify" textVAlign="top">
        <anchor>
          <from>
            <xdr:col>2</xdr:col>
            <xdr:colOff>15</xdr:colOff>
            <xdr:row>14</xdr:row>
            <xdr:rowOff>2</xdr:rowOff>
          </from>
          <to>
            <xdr:col>4</xdr:col>
            <xdr:colOff>15</xdr:colOff>
            <xdr:row>18</xdr:row>
            <xdr:rowOff>2</xdr:rowOff>
          </to>
        </anchor>
      </commentPr>
    </comment>
    <comment ref="C16" authorId="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Working-capital sensitivity assumption. Primary calibration source: https://www.sec.gov/Archives/edgar/data/1712184/000171218426000023/lila-20251231.htm</t>
        </r>
      </text>
      <commentPr locked="0" textHAlign="justify" textVAlign="top">
        <anchor>
          <from>
            <xdr:col>2</xdr:col>
            <xdr:colOff>15</xdr:colOff>
            <xdr:row>15</xdr:row>
            <xdr:rowOff>2</xdr:rowOff>
          </from>
          <to>
            <xdr:col>4</xdr:col>
            <xdr:colOff>15</xdr:colOff>
            <xdr:row>19</xdr:row>
            <xdr:rowOff>2</xdr:rowOff>
          </to>
        </anchor>
      </commentPr>
    </comment>
    <comment ref="C17" authorId="1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Visible leverage-path assumption; no residual cash plug. Primary calibration source: https://www.sec.gov/Archives/edgar/data/1712184/000171218426000023/lila-20251231.htm</t>
        </r>
      </text>
      <commentPr locked="0" textHAlign="justify" textVAlign="top">
        <anchor>
          <from>
            <xdr:col>2</xdr:col>
            <xdr:colOff>15</xdr:colOff>
            <xdr:row>16</xdr:row>
            <xdr:rowOff>2</xdr:rowOff>
          </from>
          <to>
            <xdr:col>4</xdr:col>
            <xdr:colOff>15</xdr:colOff>
            <xdr:row>20</xdr:row>
            <xdr:rowOff>2</xdr:rowOff>
          </to>
        </anchor>
      </commentPr>
    </comment>
    <comment ref="C18" authorId="1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Leveraged multi-market telecom discount-rate assumption. Primary calibration source: https://www.sec.gov/Archives/edgar/data/1712184/000171218426000023/lila-20251231.htm</t>
        </r>
      </text>
      <commentPr locked="0" textHAlign="justify" textVAlign="top">
        <anchor>
          <from>
            <xdr:col>2</xdr:col>
            <xdr:colOff>15</xdr:colOff>
            <xdr:row>17</xdr:row>
            <xdr:rowOff>2</xdr:rowOff>
          </from>
          <to>
            <xdr:col>4</xdr:col>
            <xdr:colOff>15</xdr:colOff>
            <xdr:row>21</xdr:row>
            <xdr:rowOff>2</xdr:rowOff>
          </to>
        </anchor>
      </commentPr>
    </comment>
    <comment ref="C19" authorId="1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Long-run nominal growth assumption. Primary calibration source: https://www.sec.gov/Archives/edgar/data/1712184/000171218426000023/lila-20251231.htm</t>
        </r>
      </text>
      <commentPr locked="0" textHAlign="justify" textVAlign="top">
        <anchor>
          <from>
            <xdr:col>2</xdr:col>
            <xdr:colOff>15</xdr:colOff>
            <xdr:row>18</xdr:row>
            <xdr:rowOff>2</xdr:rowOff>
          </from>
          <to>
            <xdr:col>4</xdr:col>
            <xdr:colOff>15</xdr:colOff>
            <xdr:row>22</xdr:row>
            <xdr:rowOff>2</xdr:rowOff>
          </to>
        </anchor>
      </commentPr>
    </comment>
    <comment ref="C20" authorId="1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Telecom DCF cross-check multiple. Primary calibration source: https://www.sec.gov/Archives/edgar/data/1712184/000171218426000023/lila-20251231.htm</t>
        </r>
      </text>
      <commentPr locked="0" textHAlign="justify" textVAlign="top">
        <anchor>
          <from>
            <xdr:col>2</xdr:col>
            <xdr:colOff>15</xdr:colOff>
            <xdr:row>19</xdr:row>
            <xdr:rowOff>2</xdr:rowOff>
          </from>
          <to>
            <xdr:col>4</xdr:col>
            <xdr:colOff>15</xdr:colOff>
            <xdr:row>23</xdr:row>
            <xdr:rowOff>2</xdr:rowOff>
          </to>
        </anchor>
      </commentPr>
    </comment>
    <comment ref="D7" authorId="1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2025 homes-passed base from the 10-K operating statistics table. Primary calibration source: https://www.sec.gov/Archives/edgar/data/1712184/000171218426000023/lila-20251231.htm</t>
        </r>
      </text>
      <commentPr locked="0" textHAlign="justify" textVAlign="top">
        <anchor>
          <from>
            <xdr:col>3</xdr:col>
            <xdr:colOff>15</xdr:colOff>
            <xdr:row>6</xdr:row>
            <xdr:rowOff>2</xdr:rowOff>
          </from>
          <to>
            <xdr:col>5</xdr:col>
            <xdr:colOff>15</xdr:colOff>
            <xdr:row>10</xdr:row>
            <xdr:rowOff>2</xdr:rowOff>
          </to>
        </anchor>
      </commentPr>
    </comment>
    <comment ref="D8" authorId="1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Captures fixed RGU additions and churn through RGUs per home passed. Primary calibration source: https://www.sec.gov/Archives/edgar/data/1712184/000171218426000023/lila-20251231.htm</t>
        </r>
      </text>
      <commentPr locked="0" textHAlign="justify" textVAlign="top">
        <anchor>
          <from>
            <xdr:col>3</xdr:col>
            <xdr:colOff>15</xdr:colOff>
            <xdr:row>7</xdr:row>
            <xdr:rowOff>2</xdr:rowOff>
          </from>
          <to>
            <xdr:col>5</xdr:col>
            <xdr:colOff>15</xdr:colOff>
            <xdr:row>11</xdr:row>
            <xdr:rowOff>2</xdr:rowOff>
          </to>
        </anchor>
      </commentPr>
    </comment>
    <comment ref="D9" authorId="1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2025 mobile subscriber base from the 10-K. Primary calibration source: https://www.sec.gov/Archives/edgar/data/1712184/000171218426000023/lila-20251231.htm</t>
        </r>
      </text>
      <commentPr locked="0" textHAlign="justify" textVAlign="top">
        <anchor>
          <from>
            <xdr:col>3</xdr:col>
            <xdr:colOff>15</xdr:colOff>
            <xdr:row>8</xdr:row>
            <xdr:rowOff>2</xdr:rowOff>
          </from>
          <to>
            <xdr:col>5</xdr:col>
            <xdr:colOff>15</xdr:colOff>
            <xdr:row>12</xdr:row>
            <xdr:rowOff>2</xdr:rowOff>
          </to>
        </anchor>
      </commentPr>
    </comment>
    <comment ref="D10" authorId="1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Proxy only; LILA reports directional ARPU effects rather than one consolidated absolute ARPU. Primary calibration source: https://www.sec.gov/Archives/edgar/data/1712184/000171218426000023/lila-20251231.htm</t>
        </r>
      </text>
      <commentPr locked="0" textHAlign="justify" textVAlign="top">
        <anchor>
          <from>
            <xdr:col>3</xdr:col>
            <xdr:colOff>15</xdr:colOff>
            <xdr:row>9</xdr:row>
            <xdr:rowOff>2</xdr:rowOff>
          </from>
          <to>
            <xdr:col>5</xdr:col>
            <xdr:colOff>15</xdr:colOff>
            <xdr:row>13</xdr:row>
            <xdr:rowOff>2</xdr:rowOff>
          </to>
        </anchor>
      </commentPr>
    </comment>
    <comment ref="D11" authorId="1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Residual revenue outside modeled residential revenue. Primary calibration source: https://www.sec.gov/Archives/edgar/data/1712184/000171218426000023/lila-20251231.htm</t>
        </r>
      </text>
      <commentPr locked="0" textHAlign="justify" textVAlign="top">
        <anchor>
          <from>
            <xdr:col>3</xdr:col>
            <xdr:colOff>15</xdr:colOff>
            <xdr:row>10</xdr:row>
            <xdr:rowOff>2</xdr:rowOff>
          </from>
          <to>
            <xdr:col>5</xdr:col>
            <xdr:colOff>15</xdr:colOff>
            <xdr:row>14</xdr:row>
            <xdr:rowOff>2</xdr:rowOff>
          </to>
        </anchor>
      </commentPr>
    </comment>
    <comment ref="D12" authorId="1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2025 reported margin was 38.4%. Primary calibration source: https://www.sec.gov/Archives/edgar/data/1712184/000171218426000023/lila-20251231.htm</t>
        </r>
      </text>
      <commentPr locked="0" textHAlign="justify" textVAlign="top">
        <anchor>
          <from>
            <xdr:col>3</xdr:col>
            <xdr:colOff>15</xdr:colOff>
            <xdr:row>11</xdr:row>
            <xdr:rowOff>2</xdr:rowOff>
          </from>
          <to>
            <xdr:col>5</xdr:col>
            <xdr:colOff>15</xdr:colOff>
            <xdr:row>15</xdr:row>
            <xdr:rowOff>2</xdr:rowOff>
          </to>
        </anchor>
      </commentPr>
    </comment>
    <comment ref="D13" authorId="2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Anchored to 2025 SEC D&amp;A / revenue. Primary calibration source: https://www.sec.gov/Archives/edgar/data/1712184/000171218426000023/lila-20251231.htm</t>
        </r>
      </text>
      <commentPr locked="0" textHAlign="justify" textVAlign="top">
        <anchor>
          <from>
            <xdr:col>3</xdr:col>
            <xdr:colOff>15</xdr:colOff>
            <xdr:row>12</xdr:row>
            <xdr:rowOff>2</xdr:rowOff>
          </from>
          <to>
            <xdr:col>5</xdr:col>
            <xdr:colOff>15</xdr:colOff>
            <xdr:row>16</xdr:row>
            <xdr:rowOff>2</xdr:rowOff>
          </to>
        </anchor>
      </commentPr>
    </comment>
    <comment ref="D14" authorId="2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2025 reported P&amp;E additions ratio was 14.4%. Primary calibration source: https://www.sec.gov/Archives/edgar/data/1712184/000171218426000023/lila-20251231.htm</t>
        </r>
      </text>
      <commentPr locked="0" textHAlign="justify" textVAlign="top">
        <anchor>
          <from>
            <xdr:col>3</xdr:col>
            <xdr:colOff>15</xdr:colOff>
            <xdr:row>13</xdr:row>
            <xdr:rowOff>2</xdr:rowOff>
          </from>
          <to>
            <xdr:col>5</xdr:col>
            <xdr:colOff>15</xdr:colOff>
            <xdr:row>17</xdr:row>
            <xdr:rowOff>2</xdr:rowOff>
          </to>
        </anchor>
      </commentPr>
    </comment>
    <comment ref="D15" authorId="2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Normalized cash-tax assumption. Primary calibration source: https://www.sec.gov/Archives/edgar/data/1712184/000171218426000023/lila-20251231.htm</t>
        </r>
      </text>
      <commentPr locked="0" textHAlign="justify" textVAlign="top">
        <anchor>
          <from>
            <xdr:col>3</xdr:col>
            <xdr:colOff>15</xdr:colOff>
            <xdr:row>14</xdr:row>
            <xdr:rowOff>2</xdr:rowOff>
          </from>
          <to>
            <xdr:col>5</xdr:col>
            <xdr:colOff>15</xdr:colOff>
            <xdr:row>18</xdr:row>
            <xdr:rowOff>2</xdr:rowOff>
          </to>
        </anchor>
      </commentPr>
    </comment>
    <comment ref="D16" authorId="2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Working-capital sensitivity assumption. Primary calibration source: https://www.sec.gov/Archives/edgar/data/1712184/000171218426000023/lila-20251231.htm</t>
        </r>
      </text>
      <commentPr locked="0" textHAlign="justify" textVAlign="top">
        <anchor>
          <from>
            <xdr:col>3</xdr:col>
            <xdr:colOff>15</xdr:colOff>
            <xdr:row>15</xdr:row>
            <xdr:rowOff>2</xdr:rowOff>
          </from>
          <to>
            <xdr:col>5</xdr:col>
            <xdr:colOff>15</xdr:colOff>
            <xdr:row>19</xdr:row>
            <xdr:rowOff>2</xdr:rowOff>
          </to>
        </anchor>
      </commentPr>
    </comment>
    <comment ref="D17" authorId="2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Visible leverage-path assumption; no residual cash plug. Primary calibration source: https://www.sec.gov/Archives/edgar/data/1712184/000171218426000023/lila-20251231.htm</t>
        </r>
      </text>
      <commentPr locked="0" textHAlign="justify" textVAlign="top">
        <anchor>
          <from>
            <xdr:col>3</xdr:col>
            <xdr:colOff>15</xdr:colOff>
            <xdr:row>16</xdr:row>
            <xdr:rowOff>2</xdr:rowOff>
          </from>
          <to>
            <xdr:col>5</xdr:col>
            <xdr:colOff>15</xdr:colOff>
            <xdr:row>20</xdr:row>
            <xdr:rowOff>2</xdr:rowOff>
          </to>
        </anchor>
      </commentPr>
    </comment>
    <comment ref="D18" authorId="2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Leveraged multi-market telecom discount-rate assumption. Primary calibration source: https://www.sec.gov/Archives/edgar/data/1712184/000171218426000023/lila-20251231.htm</t>
        </r>
      </text>
      <commentPr locked="0" textHAlign="justify" textVAlign="top">
        <anchor>
          <from>
            <xdr:col>3</xdr:col>
            <xdr:colOff>15</xdr:colOff>
            <xdr:row>17</xdr:row>
            <xdr:rowOff>2</xdr:rowOff>
          </from>
          <to>
            <xdr:col>5</xdr:col>
            <xdr:colOff>15</xdr:colOff>
            <xdr:row>21</xdr:row>
            <xdr:rowOff>2</xdr:rowOff>
          </to>
        </anchor>
      </commentPr>
    </comment>
    <comment ref="D19" authorId="2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Long-run nominal growth assumption. Primary calibration source: https://www.sec.gov/Archives/edgar/data/1712184/000171218426000023/lila-20251231.htm</t>
        </r>
      </text>
      <commentPr locked="0" textHAlign="justify" textVAlign="top">
        <anchor>
          <from>
            <xdr:col>3</xdr:col>
            <xdr:colOff>15</xdr:colOff>
            <xdr:row>18</xdr:row>
            <xdr:rowOff>2</xdr:rowOff>
          </from>
          <to>
            <xdr:col>5</xdr:col>
            <xdr:colOff>15</xdr:colOff>
            <xdr:row>22</xdr:row>
            <xdr:rowOff>2</xdr:rowOff>
          </to>
        </anchor>
      </commentPr>
    </comment>
    <comment ref="D20" authorId="2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Telecom DCF cross-check multiple. Primary calibration source: https://www.sec.gov/Archives/edgar/data/1712184/000171218426000023/lila-20251231.htm</t>
        </r>
      </text>
      <commentPr locked="0" textHAlign="justify" textVAlign="top">
        <anchor>
          <from>
            <xdr:col>3</xdr:col>
            <xdr:colOff>15</xdr:colOff>
            <xdr:row>19</xdr:row>
            <xdr:rowOff>2</xdr:rowOff>
          </from>
          <to>
            <xdr:col>5</xdr:col>
            <xdr:colOff>15</xdr:colOff>
            <xdr:row>23</xdr:row>
            <xdr:rowOff>2</xdr:rowOff>
          </to>
        </anchor>
      </commentPr>
    </comment>
    <comment ref="E7" authorId="2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2025 homes-passed base from the 10-K operating statistics table. Primary calibration source: https://www.sec.gov/Archives/edgar/data/1712184/000171218426000023/lila-20251231.htm</t>
        </r>
      </text>
      <commentPr locked="0" textHAlign="justify" textVAlign="top">
        <anchor>
          <from>
            <xdr:col>4</xdr:col>
            <xdr:colOff>15</xdr:colOff>
            <xdr:row>6</xdr:row>
            <xdr:rowOff>2</xdr:rowOff>
          </from>
          <to>
            <xdr:col>6</xdr:col>
            <xdr:colOff>15</xdr:colOff>
            <xdr:row>10</xdr:row>
            <xdr:rowOff>2</xdr:rowOff>
          </to>
        </anchor>
      </commentPr>
    </comment>
    <comment ref="E8" authorId="2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Captures fixed RGU additions and churn through RGUs per home passed. Primary calibration source: https://www.sec.gov/Archives/edgar/data/1712184/000171218426000023/lila-20251231.htm</t>
        </r>
      </text>
      <commentPr locked="0" textHAlign="justify" textVAlign="top">
        <anchor>
          <from>
            <xdr:col>4</xdr:col>
            <xdr:colOff>15</xdr:colOff>
            <xdr:row>7</xdr:row>
            <xdr:rowOff>2</xdr:rowOff>
          </from>
          <to>
            <xdr:col>6</xdr:col>
            <xdr:colOff>15</xdr:colOff>
            <xdr:row>11</xdr:row>
            <xdr:rowOff>2</xdr:rowOff>
          </to>
        </anchor>
      </commentPr>
    </comment>
    <comment ref="E9" authorId="3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2025 mobile subscriber base from the 10-K. Primary calibration source: https://www.sec.gov/Archives/edgar/data/1712184/000171218426000023/lila-20251231.htm</t>
        </r>
      </text>
      <commentPr locked="0" textHAlign="justify" textVAlign="top">
        <anchor>
          <from>
            <xdr:col>4</xdr:col>
            <xdr:colOff>15</xdr:colOff>
            <xdr:row>8</xdr:row>
            <xdr:rowOff>2</xdr:rowOff>
          </from>
          <to>
            <xdr:col>6</xdr:col>
            <xdr:colOff>15</xdr:colOff>
            <xdr:row>12</xdr:row>
            <xdr:rowOff>2</xdr:rowOff>
          </to>
        </anchor>
      </commentPr>
    </comment>
    <comment ref="E10" authorId="3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Proxy only; LILA reports directional ARPU effects rather than one consolidated absolute ARPU. Primary calibration source: https://www.sec.gov/Archives/edgar/data/1712184/000171218426000023/lila-20251231.htm</t>
        </r>
      </text>
      <commentPr locked="0" textHAlign="justify" textVAlign="top">
        <anchor>
          <from>
            <xdr:col>4</xdr:col>
            <xdr:colOff>15</xdr:colOff>
            <xdr:row>9</xdr:row>
            <xdr:rowOff>2</xdr:rowOff>
          </from>
          <to>
            <xdr:col>6</xdr:col>
            <xdr:colOff>15</xdr:colOff>
            <xdr:row>13</xdr:row>
            <xdr:rowOff>2</xdr:rowOff>
          </to>
        </anchor>
      </commentPr>
    </comment>
    <comment ref="E11" authorId="3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Residual revenue outside modeled residential revenue. Primary calibration source: https://www.sec.gov/Archives/edgar/data/1712184/000171218426000023/lila-20251231.htm</t>
        </r>
      </text>
      <commentPr locked="0" textHAlign="justify" textVAlign="top">
        <anchor>
          <from>
            <xdr:col>4</xdr:col>
            <xdr:colOff>15</xdr:colOff>
            <xdr:row>10</xdr:row>
            <xdr:rowOff>2</xdr:rowOff>
          </from>
          <to>
            <xdr:col>6</xdr:col>
            <xdr:colOff>15</xdr:colOff>
            <xdr:row>14</xdr:row>
            <xdr:rowOff>2</xdr:rowOff>
          </to>
        </anchor>
      </commentPr>
    </comment>
    <comment ref="E12" authorId="3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2025 reported margin was 38.4%. Primary calibration source: https://www.sec.gov/Archives/edgar/data/1712184/000171218426000023/lila-20251231.htm</t>
        </r>
      </text>
      <commentPr locked="0" textHAlign="justify" textVAlign="top">
        <anchor>
          <from>
            <xdr:col>4</xdr:col>
            <xdr:colOff>15</xdr:colOff>
            <xdr:row>11</xdr:row>
            <xdr:rowOff>2</xdr:rowOff>
          </from>
          <to>
            <xdr:col>6</xdr:col>
            <xdr:colOff>15</xdr:colOff>
            <xdr:row>15</xdr:row>
            <xdr:rowOff>2</xdr:rowOff>
          </to>
        </anchor>
      </commentPr>
    </comment>
    <comment ref="E13" authorId="3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Anchored to 2025 SEC D&amp;A / revenue. Primary calibration source: https://www.sec.gov/Archives/edgar/data/1712184/000171218426000023/lila-20251231.htm</t>
        </r>
      </text>
      <commentPr locked="0" textHAlign="justify" textVAlign="top">
        <anchor>
          <from>
            <xdr:col>4</xdr:col>
            <xdr:colOff>15</xdr:colOff>
            <xdr:row>12</xdr:row>
            <xdr:rowOff>2</xdr:rowOff>
          </from>
          <to>
            <xdr:col>6</xdr:col>
            <xdr:colOff>15</xdr:colOff>
            <xdr:row>16</xdr:row>
            <xdr:rowOff>2</xdr:rowOff>
          </to>
        </anchor>
      </commentPr>
    </comment>
    <comment ref="E14" authorId="3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2025 reported P&amp;E additions ratio was 14.4%. Primary calibration source: https://www.sec.gov/Archives/edgar/data/1712184/000171218426000023/lila-20251231.htm</t>
        </r>
      </text>
      <commentPr locked="0" textHAlign="justify" textVAlign="top">
        <anchor>
          <from>
            <xdr:col>4</xdr:col>
            <xdr:colOff>15</xdr:colOff>
            <xdr:row>13</xdr:row>
            <xdr:rowOff>2</xdr:rowOff>
          </from>
          <to>
            <xdr:col>6</xdr:col>
            <xdr:colOff>15</xdr:colOff>
            <xdr:row>17</xdr:row>
            <xdr:rowOff>2</xdr:rowOff>
          </to>
        </anchor>
      </commentPr>
    </comment>
    <comment ref="E15" authorId="3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Normalized cash-tax assumption. Primary calibration source: https://www.sec.gov/Archives/edgar/data/1712184/000171218426000023/lila-20251231.htm</t>
        </r>
      </text>
      <commentPr locked="0" textHAlign="justify" textVAlign="top">
        <anchor>
          <from>
            <xdr:col>4</xdr:col>
            <xdr:colOff>15</xdr:colOff>
            <xdr:row>14</xdr:row>
            <xdr:rowOff>2</xdr:rowOff>
          </from>
          <to>
            <xdr:col>6</xdr:col>
            <xdr:colOff>15</xdr:colOff>
            <xdr:row>18</xdr:row>
            <xdr:rowOff>2</xdr:rowOff>
          </to>
        </anchor>
      </commentPr>
    </comment>
    <comment ref="E16" authorId="3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Working-capital sensitivity assumption. Primary calibration source: https://www.sec.gov/Archives/edgar/data/1712184/000171218426000023/lila-20251231.htm</t>
        </r>
      </text>
      <commentPr locked="0" textHAlign="justify" textVAlign="top">
        <anchor>
          <from>
            <xdr:col>4</xdr:col>
            <xdr:colOff>15</xdr:colOff>
            <xdr:row>15</xdr:row>
            <xdr:rowOff>2</xdr:rowOff>
          </from>
          <to>
            <xdr:col>6</xdr:col>
            <xdr:colOff>15</xdr:colOff>
            <xdr:row>19</xdr:row>
            <xdr:rowOff>2</xdr:rowOff>
          </to>
        </anchor>
      </commentPr>
    </comment>
    <comment ref="E17" authorId="3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Visible leverage-path assumption; no residual cash plug. Primary calibration source: https://www.sec.gov/Archives/edgar/data/1712184/000171218426000023/lila-20251231.htm</t>
        </r>
      </text>
      <commentPr locked="0" textHAlign="justify" textVAlign="top">
        <anchor>
          <from>
            <xdr:col>4</xdr:col>
            <xdr:colOff>15</xdr:colOff>
            <xdr:row>16</xdr:row>
            <xdr:rowOff>2</xdr:rowOff>
          </from>
          <to>
            <xdr:col>6</xdr:col>
            <xdr:colOff>15</xdr:colOff>
            <xdr:row>20</xdr:row>
            <xdr:rowOff>2</xdr:rowOff>
          </to>
        </anchor>
      </commentPr>
    </comment>
    <comment ref="E18" authorId="3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Leveraged multi-market telecom discount-rate assumption. Primary calibration source: https://www.sec.gov/Archives/edgar/data/1712184/000171218426000023/lila-20251231.htm</t>
        </r>
      </text>
      <commentPr locked="0" textHAlign="justify" textVAlign="top">
        <anchor>
          <from>
            <xdr:col>4</xdr:col>
            <xdr:colOff>15</xdr:colOff>
            <xdr:row>17</xdr:row>
            <xdr:rowOff>2</xdr:rowOff>
          </from>
          <to>
            <xdr:col>6</xdr:col>
            <xdr:colOff>15</xdr:colOff>
            <xdr:row>21</xdr:row>
            <xdr:rowOff>2</xdr:rowOff>
          </to>
        </anchor>
      </commentPr>
    </comment>
    <comment ref="E19" authorId="4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Long-run nominal growth assumption. Primary calibration source: https://www.sec.gov/Archives/edgar/data/1712184/000171218426000023/lila-20251231.htm</t>
        </r>
      </text>
      <commentPr locked="0" textHAlign="justify" textVAlign="top">
        <anchor>
          <from>
            <xdr:col>4</xdr:col>
            <xdr:colOff>15</xdr:colOff>
            <xdr:row>18</xdr:row>
            <xdr:rowOff>2</xdr:rowOff>
          </from>
          <to>
            <xdr:col>6</xdr:col>
            <xdr:colOff>15</xdr:colOff>
            <xdr:row>22</xdr:row>
            <xdr:rowOff>2</xdr:rowOff>
          </to>
        </anchor>
      </commentPr>
    </comment>
    <comment ref="E20" authorId="4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Telecom DCF cross-check multiple. Primary calibration source: https://www.sec.gov/Archives/edgar/data/1712184/000171218426000023/lila-20251231.htm</t>
        </r>
      </text>
      <commentPr locked="0" textHAlign="justify" textVAlign="top">
        <anchor>
          <from>
            <xdr:col>4</xdr:col>
            <xdr:colOff>15</xdr:colOff>
            <xdr:row>19</xdr:row>
            <xdr:rowOff>2</xdr:rowOff>
          </from>
          <to>
            <xdr:col>6</xdr:col>
            <xdr:colOff>15</xdr:colOff>
            <xdr:row>23</xdr:row>
            <xdr:rowOff>2</xdr:rowOff>
          </to>
        </anchor>
      </commentPr>
    </comment>
  </commentList>
</comments>
</file>

<file path=xl/sharedStrings.xml><?xml version="1.0" encoding="utf-8"?>
<sst xmlns="http://schemas.openxmlformats.org/spreadsheetml/2006/main" count="2110" uniqueCount="641">
  <si>
    <t>LILA / LILAK | 9-of-10 Regated Public-Company Model</t>
  </si>
  <si>
    <t>Liberty Latin America Ltd. | Telecommunications / cable | Controlled artifact-tool rebuild; independent certification remains outside owner scope.</t>
  </si>
  <si>
    <t>Company</t>
  </si>
  <si>
    <t>Liberty Latin America Ltd.</t>
  </si>
  <si>
    <t>Ticker</t>
  </si>
  <si>
    <t>LILA / LILAK</t>
  </si>
  <si>
    <t>Model as of</t>
  </si>
  <si>
    <t>2025-12-31</t>
  </si>
  <si>
    <t>Currency</t>
  </si>
  <si>
    <t>USD millions unless stated</t>
  </si>
  <si>
    <t>Forecast horizon</t>
  </si>
  <si>
    <t>2026E-2030E</t>
  </si>
  <si>
    <t>Active case</t>
  </si>
  <si>
    <t>Overall status</t>
  </si>
  <si>
    <t>Primary valuation</t>
  </si>
  <si>
    <t>Unlevered FCFF DCF</t>
  </si>
  <si>
    <t>Market-price comparison</t>
  </si>
  <si>
    <t>Omitted — no independently refreshed exact-dated quote in this owner lane</t>
  </si>
  <si>
    <t>Debt definition</t>
  </si>
  <si>
    <t>LongTermDebtAndCapitalLeaseObligationsIncludingCurrentMaturities; finance leases are already included and are not double counted.</t>
  </si>
  <si>
    <t>Cash policy</t>
  </si>
  <si>
    <t>Net debt deducts cash and cash equivalents only; restricted cash is excluded.</t>
  </si>
  <si>
    <t>Acquisition / perimeter</t>
  </si>
  <si>
    <t>2025 consolidated USD facts preserve filed currency and segment perimeter; no current-FX restatement across history. 2024 includes the LPR acquisition perimeter change.</t>
  </si>
  <si>
    <t>Known limitation</t>
  </si>
  <si>
    <t>LILA does not disclose a single consolidated absolute ARPU or churn rate. The model uses a clearly labeled residential revenue-per-unit proxy and reported Q4 organic RGU losses; neither is represented as company-reported ARPU/churn.</t>
  </si>
  <si>
    <t>Investor view: begin with operating drivers and the debt bridge, then assess valuation only after Checks!B4 passes. Gate_9of10 is owner preflight, not independent certification.</t>
  </si>
  <si>
    <t>LILA / LILAK | Source and Transformation Ledger</t>
  </si>
  <si>
    <t>Every material input identifies target, metric, period, filing metadata, retrieval date, exact URL, scale/sign transform and perimeter note.</t>
  </si>
  <si>
    <t>Source ID</t>
  </si>
  <si>
    <t>Target</t>
  </si>
  <si>
    <t>Metric</t>
  </si>
  <si>
    <t>Value</t>
  </si>
  <si>
    <t>Units</t>
  </si>
  <si>
    <t>Period start</t>
  </si>
  <si>
    <t>Period end / as-of</t>
  </si>
  <si>
    <t>Taxonomy / tag</t>
  </si>
  <si>
    <t>Form</t>
  </si>
  <si>
    <t>Filed</t>
  </si>
  <si>
    <t>Accession</t>
  </si>
  <si>
    <t>Source title</t>
  </si>
  <si>
    <t>Source class</t>
  </si>
  <si>
    <t>Retrieved</t>
  </si>
  <si>
    <t>Exact URL</t>
  </si>
  <si>
    <t>Transform</t>
  </si>
  <si>
    <t>Notes / perimeter</t>
  </si>
  <si>
    <t>SRC-001</t>
  </si>
  <si>
    <t>Historical!C5</t>
  </si>
  <si>
    <t>Revenue</t>
  </si>
  <si>
    <t>USD mm</t>
  </si>
  <si>
    <t>2023-01-01</t>
  </si>
  <si>
    <t>2023-12-31</t>
  </si>
  <si>
    <t>us-gaap:RevenueFromContractWithCustomerIncludingAssessedTax</t>
  </si>
  <si>
    <t>10-K</t>
  </si>
  <si>
    <t>2026-02-18</t>
  </si>
  <si>
    <t>0001712184-26-000023</t>
  </si>
  <si>
    <t>Liberty Latin America Ltd. Form 10-K / SEC Company Facts</t>
  </si>
  <si>
    <t>Primary — SEC filed</t>
  </si>
  <si>
    <t>2026-07-16</t>
  </si>
  <si>
    <t>https://data.sec.gov/api/xbrl/companyfacts/CIK0001712184.json</t>
  </si>
  <si>
    <t>Filed USD divided by 1,000,000; sign preserved</t>
  </si>
  <si>
    <t>SRC-002</t>
  </si>
  <si>
    <t>Historical!D5</t>
  </si>
  <si>
    <t>2024-01-01</t>
  </si>
  <si>
    <t>2024-12-31</t>
  </si>
  <si>
    <t>SRC-003</t>
  </si>
  <si>
    <t>Historical!E5</t>
  </si>
  <si>
    <t>2025-01-01</t>
  </si>
  <si>
    <t>SRC-004</t>
  </si>
  <si>
    <t>Historical!C6</t>
  </si>
  <si>
    <t>Operating income (EBIT)</t>
  </si>
  <si>
    <t>us-gaap:OperatingIncomeLoss</t>
  </si>
  <si>
    <t>SRC-005</t>
  </si>
  <si>
    <t>Historical!D6</t>
  </si>
  <si>
    <t>SRC-006</t>
  </si>
  <si>
    <t>Historical!E6</t>
  </si>
  <si>
    <t>SRC-007</t>
  </si>
  <si>
    <t>Historical!C7</t>
  </si>
  <si>
    <t>Net income</t>
  </si>
  <si>
    <t>us-gaap:NetIncomeLoss</t>
  </si>
  <si>
    <t>SRC-008</t>
  </si>
  <si>
    <t>Historical!D7</t>
  </si>
  <si>
    <t>SRC-009</t>
  </si>
  <si>
    <t>Historical!E7</t>
  </si>
  <si>
    <t>SRC-010</t>
  </si>
  <si>
    <t>Historical!C8</t>
  </si>
  <si>
    <t>Cash from operations</t>
  </si>
  <si>
    <t>us-gaap:NetCashProvidedByUsedInOperatingActivities</t>
  </si>
  <si>
    <t>SRC-011</t>
  </si>
  <si>
    <t>Historical!D8</t>
  </si>
  <si>
    <t>SRC-012</t>
  </si>
  <si>
    <t>Historical!E8</t>
  </si>
  <si>
    <t>SRC-013</t>
  </si>
  <si>
    <t>Historical!C9</t>
  </si>
  <si>
    <t>Depreciation &amp; amortization</t>
  </si>
  <si>
    <t>us-gaap:DepreciationDepletionAndAmortization</t>
  </si>
  <si>
    <t>SRC-014</t>
  </si>
  <si>
    <t>Historical!D9</t>
  </si>
  <si>
    <t>SRC-015</t>
  </si>
  <si>
    <t>Historical!E9</t>
  </si>
  <si>
    <t>SRC-016</t>
  </si>
  <si>
    <t>Historical!D10</t>
  </si>
  <si>
    <t>Cash capex / P&amp;E additions</t>
  </si>
  <si>
    <t>N/A</t>
  </si>
  <si>
    <t>Filed statements / debt footnote — fiscal 2024 — row: Cash capex / P&amp;E additions</t>
  </si>
  <si>
    <t>Liberty Latin America Ltd. 2025 Form 10-K</t>
  </si>
  <si>
    <t>https://www.sec.gov/Archives/edgar/data/1712184/000171218426000023/lila-20251231.htm</t>
  </si>
  <si>
    <t>Transcribed from filed table; USD values in millions unless stated</t>
  </si>
  <si>
    <t>Direct 10-K value used when a single comparable Company Facts tag was not reliable.</t>
  </si>
  <si>
    <t>SRC-017</t>
  </si>
  <si>
    <t>Historical!E10</t>
  </si>
  <si>
    <t>Filed statements / debt footnote — fiscal 2025 — row: Cash capex / P&amp;E additions</t>
  </si>
  <si>
    <t>SRC-018</t>
  </si>
  <si>
    <t>Historical!C11</t>
  </si>
  <si>
    <t>Total assets</t>
  </si>
  <si>
    <t>Instant</t>
  </si>
  <si>
    <t>us-gaap:Assets</t>
  </si>
  <si>
    <t>2025-02-19</t>
  </si>
  <si>
    <t>0001712184-25-000031</t>
  </si>
  <si>
    <t>SRC-019</t>
  </si>
  <si>
    <t>Historical!D11</t>
  </si>
  <si>
    <t>SRC-020</t>
  </si>
  <si>
    <t>Historical!E11</t>
  </si>
  <si>
    <t>SRC-021</t>
  </si>
  <si>
    <t>Historical!C12</t>
  </si>
  <si>
    <t>Stockholders' equity</t>
  </si>
  <si>
    <t>us-gaap:StockholdersEquity</t>
  </si>
  <si>
    <t>SRC-022</t>
  </si>
  <si>
    <t>Historical!D12</t>
  </si>
  <si>
    <t>SRC-023</t>
  </si>
  <si>
    <t>Historical!E12</t>
  </si>
  <si>
    <t>SRC-024</t>
  </si>
  <si>
    <t>Historical!C13</t>
  </si>
  <si>
    <t>Cash &amp; cash equivalents</t>
  </si>
  <si>
    <t>us-gaap:CashAndCashEquivalentsAtCarryingValue</t>
  </si>
  <si>
    <t>SRC-025</t>
  </si>
  <si>
    <t>Historical!D13</t>
  </si>
  <si>
    <t>SRC-026</t>
  </si>
  <si>
    <t>Historical!E13</t>
  </si>
  <si>
    <t>SRC-027</t>
  </si>
  <si>
    <t>Historical!C14</t>
  </si>
  <si>
    <t>Long-term debt</t>
  </si>
  <si>
    <t>us-gaap:LongTermDebtAndCapitalLeaseObligationsIncludingCurrentMaturities</t>
  </si>
  <si>
    <t>SRC-028</t>
  </si>
  <si>
    <t>Historical!D14</t>
  </si>
  <si>
    <t>SRC-029</t>
  </si>
  <si>
    <t>Historical!E14</t>
  </si>
  <si>
    <t>SRC-030</t>
  </si>
  <si>
    <t>Historical!C15</t>
  </si>
  <si>
    <t>Short-term borrowings</t>
  </si>
  <si>
    <t>Filed statements / debt footnote — fiscal 2023 — row: Short-term borrowings</t>
  </si>
  <si>
    <t>SRC-031</t>
  </si>
  <si>
    <t>Historical!D15</t>
  </si>
  <si>
    <t>Filed statements / debt footnote — fiscal 2024 — row: Short-term borrowings</t>
  </si>
  <si>
    <t>SRC-032</t>
  </si>
  <si>
    <t>Historical!E15</t>
  </si>
  <si>
    <t>Filed statements / debt footnote — fiscal 2025 — row: Short-term borrowings</t>
  </si>
  <si>
    <t>SRC-033</t>
  </si>
  <si>
    <t>Historical!C16</t>
  </si>
  <si>
    <t>Finance lease liability</t>
  </si>
  <si>
    <t>us-gaap:FinanceLeaseLiability</t>
  </si>
  <si>
    <t>SRC-034</t>
  </si>
  <si>
    <t>Historical!D16</t>
  </si>
  <si>
    <t>SRC-035</t>
  </si>
  <si>
    <t>Historical!E16</t>
  </si>
  <si>
    <t>SRC-036</t>
  </si>
  <si>
    <t>Historical!C17</t>
  </si>
  <si>
    <t>Diluted weighted-average shares</t>
  </si>
  <si>
    <t>mm shares</t>
  </si>
  <si>
    <t>us-gaap:WeightedAverageNumberOfDilutedSharesOutstanding</t>
  </si>
  <si>
    <t>Filed shares divided by 1,000,000</t>
  </si>
  <si>
    <t>SRC-037</t>
  </si>
  <si>
    <t>Historical!D17</t>
  </si>
  <si>
    <t>SRC-038</t>
  </si>
  <si>
    <t>Historical!E17</t>
  </si>
  <si>
    <t>SRC-039</t>
  </si>
  <si>
    <t>Assumptions!C7</t>
  </si>
  <si>
    <t>Homes passed growth — Bear</t>
  </si>
  <si>
    <t>% / year</t>
  </si>
  <si>
    <t>Model assumption</t>
  </si>
  <si>
    <t>LILA / LILAK scenario framework</t>
  </si>
  <si>
    <t>Model judgment</t>
  </si>
  <si>
    <t>Scenario calibration</t>
  </si>
  <si>
    <t>2025 homes-passed base from the 10-K operating statistics table.</t>
  </si>
  <si>
    <t>SRC-040</t>
  </si>
  <si>
    <t>Assumptions!D7</t>
  </si>
  <si>
    <t>Homes passed growth — Base</t>
  </si>
  <si>
    <t>SRC-041</t>
  </si>
  <si>
    <t>Assumptions!E7</t>
  </si>
  <si>
    <t>Homes passed growth — Bull</t>
  </si>
  <si>
    <t>SRC-042</t>
  </si>
  <si>
    <t>Assumptions!C8</t>
  </si>
  <si>
    <t>Fixed RGU density growth (net adds/churn) — Bear</t>
  </si>
  <si>
    <t>Captures fixed RGU additions and churn through RGUs per home passed.</t>
  </si>
  <si>
    <t>SRC-043</t>
  </si>
  <si>
    <t>Assumptions!D8</t>
  </si>
  <si>
    <t>Fixed RGU density growth (net adds/churn) — Base</t>
  </si>
  <si>
    <t>SRC-044</t>
  </si>
  <si>
    <t>Assumptions!E8</t>
  </si>
  <si>
    <t>Fixed RGU density growth (net adds/churn) — Bull</t>
  </si>
  <si>
    <t>SRC-045</t>
  </si>
  <si>
    <t>Assumptions!C9</t>
  </si>
  <si>
    <t>Mobile subscriber growth — Bear</t>
  </si>
  <si>
    <t>2025 mobile subscriber base from the 10-K.</t>
  </si>
  <si>
    <t>SRC-046</t>
  </si>
  <si>
    <t>Assumptions!D9</t>
  </si>
  <si>
    <t>Mobile subscriber growth — Base</t>
  </si>
  <si>
    <t>SRC-047</t>
  </si>
  <si>
    <t>Assumptions!E9</t>
  </si>
  <si>
    <t>Mobile subscriber growth — Bull</t>
  </si>
  <si>
    <t>SRC-048</t>
  </si>
  <si>
    <t>Assumptions!C10</t>
  </si>
  <si>
    <t>Residential revenue-per-unit proxy growth — Bear</t>
  </si>
  <si>
    <t>Proxy only; LILA reports directional ARPU effects rather than one consolidated absolute ARPU.</t>
  </si>
  <si>
    <t>SRC-049</t>
  </si>
  <si>
    <t>Assumptions!D10</t>
  </si>
  <si>
    <t>Residential revenue-per-unit proxy growth — Base</t>
  </si>
  <si>
    <t>SRC-050</t>
  </si>
  <si>
    <t>Assumptions!E10</t>
  </si>
  <si>
    <t>Residential revenue-per-unit proxy growth — Bull</t>
  </si>
  <si>
    <t>SRC-051</t>
  </si>
  <si>
    <t>Assumptions!C11</t>
  </si>
  <si>
    <t>B2B / other revenue growth — Bear</t>
  </si>
  <si>
    <t>Residual revenue outside modeled residential revenue.</t>
  </si>
  <si>
    <t>SRC-052</t>
  </si>
  <si>
    <t>Assumptions!D11</t>
  </si>
  <si>
    <t>B2B / other revenue growth — Base</t>
  </si>
  <si>
    <t>SRC-053</t>
  </si>
  <si>
    <t>Assumptions!E11</t>
  </si>
  <si>
    <t>B2B / other revenue growth — Bull</t>
  </si>
  <si>
    <t>SRC-054</t>
  </si>
  <si>
    <t>Assumptions!C12</t>
  </si>
  <si>
    <t>Adjusted OIBDA margin — Bear</t>
  </si>
  <si>
    <t>%</t>
  </si>
  <si>
    <t>2025 reported margin was 38.4%.</t>
  </si>
  <si>
    <t>SRC-055</t>
  </si>
  <si>
    <t>Assumptions!D12</t>
  </si>
  <si>
    <t>Adjusted OIBDA margin — Base</t>
  </si>
  <si>
    <t>SRC-056</t>
  </si>
  <si>
    <t>Assumptions!E12</t>
  </si>
  <si>
    <t>Adjusted OIBDA margin — Bull</t>
  </si>
  <si>
    <t>SRC-057</t>
  </si>
  <si>
    <t>Assumptions!C13</t>
  </si>
  <si>
    <t>D&amp;A as % revenue — Bear</t>
  </si>
  <si>
    <t>Anchored to 2025 SEC D&amp;A / revenue.</t>
  </si>
  <si>
    <t>SRC-058</t>
  </si>
  <si>
    <t>Assumptions!D13</t>
  </si>
  <si>
    <t>D&amp;A as % revenue — Base</t>
  </si>
  <si>
    <t>SRC-059</t>
  </si>
  <si>
    <t>Assumptions!E13</t>
  </si>
  <si>
    <t>D&amp;A as % revenue — Bull</t>
  </si>
  <si>
    <t>SRC-060</t>
  </si>
  <si>
    <t>Assumptions!C14</t>
  </si>
  <si>
    <t>P&amp;E additions as % revenue — Bear</t>
  </si>
  <si>
    <t>2025 reported P&amp;E additions ratio was 14.4%.</t>
  </si>
  <si>
    <t>SRC-061</t>
  </si>
  <si>
    <t>Assumptions!D14</t>
  </si>
  <si>
    <t>P&amp;E additions as % revenue — Base</t>
  </si>
  <si>
    <t>SRC-062</t>
  </si>
  <si>
    <t>Assumptions!E14</t>
  </si>
  <si>
    <t>P&amp;E additions as % revenue — Bull</t>
  </si>
  <si>
    <t>SRC-063</t>
  </si>
  <si>
    <t>Assumptions!C15</t>
  </si>
  <si>
    <t>Cash tax rate — Bear</t>
  </si>
  <si>
    <t>Normalized cash-tax assumption.</t>
  </si>
  <si>
    <t>SRC-064</t>
  </si>
  <si>
    <t>Assumptions!D15</t>
  </si>
  <si>
    <t>Cash tax rate — Base</t>
  </si>
  <si>
    <t>SRC-065</t>
  </si>
  <si>
    <t>Assumptions!E15</t>
  </si>
  <si>
    <t>Cash tax rate — Bull</t>
  </si>
  <si>
    <t>SRC-066</t>
  </si>
  <si>
    <t>Assumptions!C16</t>
  </si>
  <si>
    <t>NWC investment / change in revenue — Bear</t>
  </si>
  <si>
    <t>Working-capital sensitivity assumption.</t>
  </si>
  <si>
    <t>SRC-067</t>
  </si>
  <si>
    <t>Assumptions!D16</t>
  </si>
  <si>
    <t>NWC investment / change in revenue — Base</t>
  </si>
  <si>
    <t>SRC-068</t>
  </si>
  <si>
    <t>Assumptions!E16</t>
  </si>
  <si>
    <t>NWC investment / change in revenue — Bull</t>
  </si>
  <si>
    <t>SRC-069</t>
  </si>
  <si>
    <t>Assumptions!C17</t>
  </si>
  <si>
    <t>Annual net debt reduction — Bear</t>
  </si>
  <si>
    <t>Visible leverage-path assumption; no residual cash plug.</t>
  </si>
  <si>
    <t>SRC-070</t>
  </si>
  <si>
    <t>Assumptions!D17</t>
  </si>
  <si>
    <t>Annual net debt reduction — Base</t>
  </si>
  <si>
    <t>SRC-071</t>
  </si>
  <si>
    <t>Assumptions!E17</t>
  </si>
  <si>
    <t>Annual net debt reduction — Bull</t>
  </si>
  <si>
    <t>SRC-072</t>
  </si>
  <si>
    <t>Assumptions!C18</t>
  </si>
  <si>
    <t>WACC — Bear</t>
  </si>
  <si>
    <t>Leveraged multi-market telecom discount-rate assumption.</t>
  </si>
  <si>
    <t>SRC-073</t>
  </si>
  <si>
    <t>Assumptions!D18</t>
  </si>
  <si>
    <t>WACC — Base</t>
  </si>
  <si>
    <t>SRC-074</t>
  </si>
  <si>
    <t>Assumptions!E18</t>
  </si>
  <si>
    <t>WACC — Bull</t>
  </si>
  <si>
    <t>SRC-075</t>
  </si>
  <si>
    <t>Assumptions!C19</t>
  </si>
  <si>
    <t>Terminal growth — Bear</t>
  </si>
  <si>
    <t>Long-run nominal growth assumption.</t>
  </si>
  <si>
    <t>SRC-076</t>
  </si>
  <si>
    <t>Assumptions!D19</t>
  </si>
  <si>
    <t>Terminal growth — Base</t>
  </si>
  <si>
    <t>SRC-077</t>
  </si>
  <si>
    <t>Assumptions!E19</t>
  </si>
  <si>
    <t>Terminal growth — Bull</t>
  </si>
  <si>
    <t>SRC-078</t>
  </si>
  <si>
    <t>Assumptions!C20</t>
  </si>
  <si>
    <t>Exit EV / Adjusted OIBDA — Bear</t>
  </si>
  <si>
    <t>x</t>
  </si>
  <si>
    <t>Telecom DCF cross-check multiple.</t>
  </si>
  <si>
    <t>SRC-079</t>
  </si>
  <si>
    <t>Assumptions!D20</t>
  </si>
  <si>
    <t>Exit EV / Adjusted OIBDA — Base</t>
  </si>
  <si>
    <t>SRC-080</t>
  </si>
  <si>
    <t>Assumptions!E20</t>
  </si>
  <si>
    <t>Exit EV / Adjusted OIBDA — Bull</t>
  </si>
  <si>
    <t>SRC-081</t>
  </si>
  <si>
    <t>Sector_KPIs!E5</t>
  </si>
  <si>
    <t>Homes passed</t>
  </si>
  <si>
    <t>mm homes</t>
  </si>
  <si>
    <t>Item 7 MD&amp;A — Operating Data table — Total column — row: Homes Passed — December 31, 2025</t>
  </si>
  <si>
    <t>SRC-082</t>
  </si>
  <si>
    <t>Sector_KPIs!E6</t>
  </si>
  <si>
    <t>Fixed RGUs</t>
  </si>
  <si>
    <t>mm RGUs</t>
  </si>
  <si>
    <t>Item 7 MD&amp;A — Operating Data table — Total column — row: Fixed RGUs — December 31, 2025</t>
  </si>
  <si>
    <t>SRC-083</t>
  </si>
  <si>
    <t>Sector_KPIs!E9</t>
  </si>
  <si>
    <t>Mobile subscribers</t>
  </si>
  <si>
    <t>mm subscribers</t>
  </si>
  <si>
    <t>Item 7 MD&amp;A — Operating Data table — Total column — row: Mobile Subscribers — December 31, 2025</t>
  </si>
  <si>
    <t>SRC-084</t>
  </si>
  <si>
    <t>Sector_KPIs!E8</t>
  </si>
  <si>
    <t>Q4 organic RGU losses</t>
  </si>
  <si>
    <t>mm RGUs / quarter</t>
  </si>
  <si>
    <t>2025-10-01</t>
  </si>
  <si>
    <t>Exhibit 99.1 — Operating Highlights table — row: Organic RGU losses — Q4 2025 column</t>
  </si>
  <si>
    <t>8-K Exhibit 99.1</t>
  </si>
  <si>
    <t>0001712184-26-000025</t>
  </si>
  <si>
    <t>Liberty Latin America Q4 and full-year 2025 results</t>
  </si>
  <si>
    <t>Primary — SEC filed company results</t>
  </si>
  <si>
    <t>https://www.sec.gov/Archives/edgar/data/1712184/000171218426000025/ex991toform_llaq42025earni.htm</t>
  </si>
  <si>
    <t>Filed loss of 142,200 RGUs divided by 1,000,000 and sign preserved</t>
  </si>
  <si>
    <t>Quarterly diagnostic only; not represented as a full-year churn rate or used directly as a forecast driver.</t>
  </si>
  <si>
    <t>SRC-085</t>
  </si>
  <si>
    <t>Sector_KPIs!E16</t>
  </si>
  <si>
    <t>Adjusted OIBDA</t>
  </si>
  <si>
    <t>Exhibit 99.1 — Full-year consolidated results table — row: Adjusted OIBDA — year ended December 31, 2025</t>
  </si>
  <si>
    <t>Filed USD divided by 1,000,000 where applicable; sign preserved</t>
  </si>
  <si>
    <t>Reported non-GAAP measure; reconciliation is in the filed results.</t>
  </si>
  <si>
    <t>SRC-086</t>
  </si>
  <si>
    <t>Historical / Valuation</t>
  </si>
  <si>
    <t>Policy</t>
  </si>
  <si>
    <t>Accounting policy</t>
  </si>
  <si>
    <t>Explicit sum of filed debt components</t>
  </si>
  <si>
    <t>SRC-087</t>
  </si>
  <si>
    <t>Entire model</t>
  </si>
  <si>
    <t>Acquisition / perimeter note</t>
  </si>
  <si>
    <t>Perimeter policy</t>
  </si>
  <si>
    <t>No current-FX restatement; filed values preserved</t>
  </si>
  <si>
    <t>LILA / LILAK | Historical Financials</t>
  </si>
  <si>
    <t>Filed values and explicit debt bridge. USD in millions except per-share and share-count data.</t>
  </si>
  <si>
    <t>2023A</t>
  </si>
  <si>
    <t>2024A</t>
  </si>
  <si>
    <t>2025A</t>
  </si>
  <si>
    <t>Source definition</t>
  </si>
  <si>
    <t>Source IDs</t>
  </si>
  <si>
    <t>Policy / transform</t>
  </si>
  <si>
    <t>Quality</t>
  </si>
  <si>
    <t>SEC Company Facts / filed 10-K; RevenueFromContractWithCustomerIncludingAssessedTax or Revenues or SalesRevenueNet</t>
  </si>
  <si>
    <t>SRC-001, SRC-002, SRC-003</t>
  </si>
  <si>
    <t>Filed USD; no FX restatement; sign preserved.</t>
  </si>
  <si>
    <t>SEC Company Facts / filed 10-K; OperatingIncomeLoss</t>
  </si>
  <si>
    <t>SRC-004, SRC-005, SRC-006</t>
  </si>
  <si>
    <t>SEC Company Facts / filed 10-K; NetIncomeLoss or ProfitLoss</t>
  </si>
  <si>
    <t>SRC-007, SRC-008, SRC-009</t>
  </si>
  <si>
    <t>SEC Company Facts / filed 10-K; NetCashProvidedByUsedInOperatingActivities</t>
  </si>
  <si>
    <t>SRC-010, SRC-011, SRC-012</t>
  </si>
  <si>
    <t>SEC Company Facts / filed 10-K; DepreciationDepletionAndAmortization or DepreciationDepletionAndAmortization or DepreciationAndAmortization</t>
  </si>
  <si>
    <t>SRC-013, SRC-014, SRC-015</t>
  </si>
  <si>
    <t>SEC Company Facts / filed 10-K; PaymentsToAcquirePropertyPlantAndEquipment or PaymentsForAdditionsToPropertyPlantAndEquipment</t>
  </si>
  <si>
    <t>SRC-016, SRC-017</t>
  </si>
  <si>
    <t>Partial / see Sources</t>
  </si>
  <si>
    <t>SEC Company Facts / filed 10-K; Assets</t>
  </si>
  <si>
    <t>SRC-018, SRC-019, SRC-020</t>
  </si>
  <si>
    <t>SEC Company Facts / filed 10-K; StockholdersEquity or StockholdersEquityIncludingPortionAttributableToNoncontrollingInterest</t>
  </si>
  <si>
    <t>SRC-021, SRC-022, SRC-023</t>
  </si>
  <si>
    <t>SEC Company Facts / filed 10-K; CashAndCashEquivalentsAtCarryingValue or CashCashEquivalentsRestrictedCashAndRestrictedCashEquivalents</t>
  </si>
  <si>
    <t>SRC-024, SRC-025, SRC-026</t>
  </si>
  <si>
    <t>SEC Company Facts / filed 10-K; LongTermDebt or LongTermDebtAndCapitalLeaseObligationsIncludingCurrentMaturities</t>
  </si>
  <si>
    <t>SRC-027, SRC-028, SRC-029</t>
  </si>
  <si>
    <t>SEC Company Facts / filed 10-K; ShortTermBorrowings or CommercialPaper</t>
  </si>
  <si>
    <t>SRC-030, SRC-031, SRC-032</t>
  </si>
  <si>
    <t>SEC Company Facts / filed 10-K; FinanceLeaseLiability</t>
  </si>
  <si>
    <t>SRC-033, SRC-034, SRC-035</t>
  </si>
  <si>
    <t>SEC Company Facts / filed 10-K; WeightedAverageNumberOfDilutedSharesOutstanding</t>
  </si>
  <si>
    <t>SRC-036, SRC-037, SRC-038</t>
  </si>
  <si>
    <t>Total debt</t>
  </si>
  <si>
    <t>Formula</t>
  </si>
  <si>
    <t>Modeled</t>
  </si>
  <si>
    <t>Net debt</t>
  </si>
  <si>
    <t>Total debt less cash and cash equivalents</t>
  </si>
  <si>
    <t>Debt policy</t>
  </si>
  <si>
    <t>Perimeter</t>
  </si>
  <si>
    <t>LILA / LILAK | Scenario Assumptions</t>
  </si>
  <si>
    <t>Blue cells are inputs; green cells are links/formulas. Selector 1=Base, 2=Bull, 3=Bear.</t>
  </si>
  <si>
    <t>Scenario selector</t>
  </si>
  <si>
    <t>Driver</t>
  </si>
  <si>
    <t>Bear</t>
  </si>
  <si>
    <t>Base</t>
  </si>
  <si>
    <t>Bull</t>
  </si>
  <si>
    <t>Active</t>
  </si>
  <si>
    <t>Rationale / calibration</t>
  </si>
  <si>
    <t>Homes passed growth</t>
  </si>
  <si>
    <t>Fixed RGU density growth (net adds/churn)</t>
  </si>
  <si>
    <t>Mobile subscriber growth</t>
  </si>
  <si>
    <t>Residential revenue-per-unit proxy growth</t>
  </si>
  <si>
    <t>B2B / other revenue growth</t>
  </si>
  <si>
    <t>Adjusted OIBDA margin</t>
  </si>
  <si>
    <t>D&amp;A as % revenue</t>
  </si>
  <si>
    <t>P&amp;E additions as % revenue</t>
  </si>
  <si>
    <t>Cash tax rate</t>
  </si>
  <si>
    <t>NWC investment / change in revenue</t>
  </si>
  <si>
    <t>Annual net debt reduction</t>
  </si>
  <si>
    <t>WACC</t>
  </si>
  <si>
    <t>Terminal growth</t>
  </si>
  <si>
    <t>Exit EV / Adjusted OIBDA</t>
  </si>
  <si>
    <t>LILA / LILAK | Integrated Forecast</t>
  </si>
  <si>
    <t>Operating drivers flow from Sector_KPIs into FCFF and DCF valuation.</t>
  </si>
  <si>
    <t>2026E</t>
  </si>
  <si>
    <t>2027E</t>
  </si>
  <si>
    <t>2028E</t>
  </si>
  <si>
    <t>2029E</t>
  </si>
  <si>
    <t>2030E</t>
  </si>
  <si>
    <t>EBIT</t>
  </si>
  <si>
    <t>Cash taxes</t>
  </si>
  <si>
    <t>NOPAT</t>
  </si>
  <si>
    <t>D&amp;A add-back</t>
  </si>
  <si>
    <t>Capital expenditures</t>
  </si>
  <si>
    <t>Change in net working capital</t>
  </si>
  <si>
    <t>FCFF</t>
  </si>
  <si>
    <t>FCFF margin</t>
  </si>
  <si>
    <t>FCFF is derived from operating drivers, normalized cash taxes, explicit capex and a revenue-linked NWC assumption.</t>
  </si>
  <si>
    <t>LILA / LILAK | DCF Valuation</t>
  </si>
  <si>
    <t>Primary method: unlevered FCFF DCF. Exit EV / Adjusted OIBDA is an explicit cross-check.</t>
  </si>
  <si>
    <t>Discount period</t>
  </si>
  <si>
    <t>years</t>
  </si>
  <si>
    <t>Discount factor</t>
  </si>
  <si>
    <t>PV of FCFF</t>
  </si>
  <si>
    <t>Terminal value</t>
  </si>
  <si>
    <t>PV of terminal value</t>
  </si>
  <si>
    <t>Enterprise value</t>
  </si>
  <si>
    <t>Equity value</t>
  </si>
  <si>
    <t>DCF value / share</t>
  </si>
  <si>
    <t>Omitted</t>
  </si>
  <si>
    <t>Reason</t>
  </si>
  <si>
    <t>No independently refreshed exact-dated quote was obtained in the controlled owner lane.</t>
  </si>
  <si>
    <t>2030E Adjusted OIBDA</t>
  </si>
  <si>
    <t>Exit-multiple enterprise value</t>
  </si>
  <si>
    <t>Exit-multiple value / share</t>
  </si>
  <si>
    <t>Valuation date / horizon</t>
  </si>
  <si>
    <t>Filed FY2025 actuals with an explicit 2026E-2030E forecast; terminal value is measured at 2030E and discounted to the valuation date.</t>
  </si>
  <si>
    <t>Debt / cash policy</t>
  </si>
  <si>
    <t>LongTermDebtAndCapitalLeaseObligationsIncludingCurrentMaturities; finance leases are already included and are not double counted. Net debt deducts cash and cash equivalents only; restricted cash is excluded.</t>
  </si>
  <si>
    <t>Share-count basis</t>
  </si>
  <si>
    <t>Per-share valuation uses FY2025 diluted weighted-average shares; this is a period-average share count, not a point-in-time shares-outstanding quote.</t>
  </si>
  <si>
    <t>LILA / LILAK | DCF Sensitivity</t>
  </si>
  <si>
    <t>Equity value per share across WACC and terminal-growth assumptions. Center cell equals the active DCF case.</t>
  </si>
  <si>
    <t>Terminal growth → / WACC ↓</t>
  </si>
  <si>
    <t>Base DCF / share</t>
  </si>
  <si>
    <t>LILA / LILAK | Formula-Driven Model Checks</t>
  </si>
  <si>
    <t>Overall status is aggregated from check-row formulas. No check status is hardcoded.</t>
  </si>
  <si>
    <t>Overall model status</t>
  </si>
  <si>
    <t>Check ID</t>
  </si>
  <si>
    <t>Category</t>
  </si>
  <si>
    <t>Actual</t>
  </si>
  <si>
    <t>Expected</t>
  </si>
  <si>
    <t>Difference</t>
  </si>
  <si>
    <t>Tolerance</t>
  </si>
  <si>
    <t>Status</t>
  </si>
  <si>
    <t>Evidence / fix hint</t>
  </si>
  <si>
    <t>C01</t>
  </si>
  <si>
    <t>Source ledger exact URLs</t>
  </si>
  <si>
    <t>All material rows require an exact URL.</t>
  </si>
  <si>
    <t>C02</t>
  </si>
  <si>
    <t>Source ledger accession field complete</t>
  </si>
  <si>
    <t>Every source row must carry a filed accession or an explicit N/A.</t>
  </si>
  <si>
    <t>C03</t>
  </si>
  <si>
    <t>Debt bridge</t>
  </si>
  <si>
    <t>C04</t>
  </si>
  <si>
    <t>Net debt bridge</t>
  </si>
  <si>
    <t>C05</t>
  </si>
  <si>
    <t>Operating model historical revenue tie</t>
  </si>
  <si>
    <t>2025 operating schedule revenue must equal filed revenue.</t>
  </si>
  <si>
    <t>C06</t>
  </si>
  <si>
    <t>Forecast operating link</t>
  </si>
  <si>
    <t>2026E revenue must flow from the operating model.</t>
  </si>
  <si>
    <t>C07</t>
  </si>
  <si>
    <t>Selector must be 1, 2 or 3.</t>
  </si>
  <si>
    <t>C08</t>
  </si>
  <si>
    <t>Share count positive</t>
  </si>
  <si>
    <t>Per-share valuation requires a positive share count.</t>
  </si>
  <si>
    <t>C09</t>
  </si>
  <si>
    <t>Sensitivity center reconciliation</t>
  </si>
  <si>
    <t>Center sensitivity cell must equal the active valuation.</t>
  </si>
  <si>
    <t>C10</t>
  </si>
  <si>
    <t>Valuation finite / non-negative</t>
  </si>
  <si>
    <t>Primary equity value per share must be finite and non-negative; equity is floored at zero in downside cases.</t>
  </si>
  <si>
    <t>LILA | Homes / RGUs / Mobile-to-Cash-Flow Model</t>
  </si>
  <si>
    <t>No consolidated reported ARPU/churn exists; the model uses a residential revenue-per-unit proxy and fixed RGU density.</t>
  </si>
  <si>
    <t>mm</t>
  </si>
  <si>
    <t>Fixed RGUs / home passed</t>
  </si>
  <si>
    <t>Reported Q4 organic RGU losses</t>
  </si>
  <si>
    <t>mm / quarter</t>
  </si>
  <si>
    <t>Total modeled residential units</t>
  </si>
  <si>
    <t>Residential revenue / unit proxy</t>
  </si>
  <si>
    <t>$ / month</t>
  </si>
  <si>
    <t>Residential revenue</t>
  </si>
  <si>
    <t>B2B / other revenue</t>
  </si>
  <si>
    <t>Total revenue</t>
  </si>
  <si>
    <t>P&amp;E additions / revenue</t>
  </si>
  <si>
    <t>P&amp;E additions</t>
  </si>
  <si>
    <t>Modeled net leverage</t>
  </si>
  <si>
    <t>Reported consolidated net leverage</t>
  </si>
  <si>
    <t>Model limitation: LILA does not disclose a single consolidated absolute ARPU or churn rate. The model uses a clearly labeled residential revenue-per-unit proxy and reported Q4 organic RGU losses; neither is represented as company-reported ARPU/churn.</t>
  </si>
  <si>
    <t>Year</t>
  </si>
  <si>
    <t>LILA / LILAK | Controlled Change Log</t>
  </si>
  <si>
    <t>Prior workbook is preserved. This output is a new artifact with documented source, model, gate and recalculation changes.</t>
  </si>
  <si>
    <t>Timestamp</t>
  </si>
  <si>
    <t>Version</t>
  </si>
  <si>
    <t>Area</t>
  </si>
  <si>
    <t>Change</t>
  </si>
  <si>
    <t>Evidence</t>
  </si>
  <si>
    <t>Owner scope</t>
  </si>
  <si>
    <t>UTC 2026-07-16T21:40:00Z</t>
  </si>
  <si>
    <t>9of10-regated</t>
  </si>
  <si>
    <t>Preservation</t>
  </si>
  <si>
    <t>Prior workbook preserved without overwrite.</t>
  </si>
  <si>
    <t>Original SHA-256: 6d0729636bf8366712df47378856b6f4b2833e159e2b83d58fe77e2c3adb825e</t>
  </si>
  <si>
    <t>Controlled rebuild</t>
  </si>
  <si>
    <t>Sources</t>
  </si>
  <si>
    <t>Replaced generic source list with exact SEC accession, filing URL, taxonomy/tag, period, unit, transform and target-cell ledger.</t>
  </si>
  <si>
    <t>Sources!A4:Q*</t>
  </si>
  <si>
    <t>Owner preflight</t>
  </si>
  <si>
    <t>Debt / cash / shares</t>
  </si>
  <si>
    <t>Rebuilt total debt from explicit filed components; documented cash/restricted-cash and share-count policies.</t>
  </si>
  <si>
    <t>Historical!A13:I19</t>
  </si>
  <si>
    <t>Operating model</t>
  </si>
  <si>
    <t>Connected homes passed, RGU density, mobile subscribers and a labeled revenue-per-unit proxy to cash flow.</t>
  </si>
  <si>
    <t>Sector_KPIs</t>
  </si>
  <si>
    <t>Valuation</t>
  </si>
  <si>
    <t>Established formula-driven DCF with exit-multiple cross-check.</t>
  </si>
  <si>
    <t>Valuation + Sensitivity</t>
  </si>
  <si>
    <t>Gate</t>
  </si>
  <si>
    <t>Added formula-driven Checks and H0-H9 owner-preflight gate; independent certification is explicitly excluded.</t>
  </si>
  <si>
    <t>Checks + Gate_9of10</t>
  </si>
  <si>
    <t>Output</t>
  </si>
  <si>
    <t>Authored with artifact-tool; native recalculation and final visual manifest are referenced in Gate_9of10 and support evidence.</t>
  </si>
  <si>
    <t>Liberty_Latin_America_9of10_Regated.xlsx</t>
  </si>
  <si>
    <t>LILA / LILAK | H0-H9 Owner Preflight Gate</t>
  </si>
  <si>
    <t>This sheet records owner preflight readiness. Independent certification is still required and is not self-awarded.</t>
  </si>
  <si>
    <t>Control objective</t>
  </si>
  <si>
    <t>Weight</t>
  </si>
  <si>
    <t>Evidence range</t>
  </si>
  <si>
    <t>Owner note</t>
  </si>
  <si>
    <t>Independent certification</t>
  </si>
  <si>
    <t>H0</t>
  </si>
  <si>
    <t>Controlled lineage and package integrity</t>
  </si>
  <si>
    <t>Gate_9of10!A23:B28; internal QA evidence (not published)</t>
  </si>
  <si>
    <t>Original/output paths and original hash recorded; final hash and unzip evidence live beside the immutable reviewed file.</t>
  </si>
  <si>
    <t>Required</t>
  </si>
  <si>
    <t>H1</t>
  </si>
  <si>
    <t>Source fidelity and provenance</t>
  </si>
  <si>
    <t>Sources!A4:Q*; Historical comments; Assumptions comments</t>
  </si>
  <si>
    <t>SEC tags/periods/units/accessions/retrieval/targets/transforms. Undated inherited market price removed from outputs.</t>
  </si>
  <si>
    <t>H2</t>
  </si>
  <si>
    <t>Historical, formula and schedule mechanics</t>
  </si>
  <si>
    <t>Historical!A4:I23; Sector_KPIs!A4:J*; Forecast!A4:G15</t>
  </si>
  <si>
    <t>Historical hardcodes and forecast formulas trace without cash/debt plugs.</t>
  </si>
  <si>
    <t>H3</t>
  </si>
  <si>
    <t>Scenario and sensitivity integrity</t>
  </si>
  <si>
    <t>Assumptions!A3:G*; Sensitivity!A4:H9</t>
  </si>
  <si>
    <t>Editable selector drives Base/Bull/Bear; sensitivity is formula-backed.</t>
  </si>
  <si>
    <t>H4</t>
  </si>
  <si>
    <t>Valuation fit and mechanics</t>
  </si>
  <si>
    <t>Valuation!A4:G31; Sensitivity!A4:H9</t>
  </si>
  <si>
    <t>DCF with explicit PV/terminal/equity bridge plus exit-multiple cross-check; no stale market-price comparison.</t>
  </si>
  <si>
    <t>H5</t>
  </si>
  <si>
    <t>Model checks and error state</t>
  </si>
  <si>
    <t>Checks!A3:H16; post manifest formula_error_scan</t>
  </si>
  <si>
    <t>Transparent Actual/Expected/Difference/Tolerance/Status checks and post-recalc error scan.</t>
  </si>
  <si>
    <t>H6</t>
  </si>
  <si>
    <t>Native recalculation and reproducibility</t>
  </si>
  <si>
    <t>Gate_9of10!A20:B22; support native log; internal QA evidence (not published)</t>
  </si>
  <si>
    <t>Opened/recalculated/saved/closed in LibreOfficeDev, then reopened by artifact-tool.</t>
  </si>
  <si>
    <t>H7</t>
  </si>
  <si>
    <t>Visual QA after recalculation</t>
  </si>
  <si>
    <t>internal QA evidence (not published)</t>
  </si>
  <si>
    <t>Every user-facing sheet rendered after native recalculation and tied to final hash.</t>
  </si>
  <si>
    <t>H8</t>
  </si>
  <si>
    <t>Material economic upgrade</t>
  </si>
  <si>
    <t>Change_Log!A4:F*; Sector_KPIs; Valuation; Checks</t>
  </si>
  <si>
    <t>Source, debt, company-specific operating, scenario, valuation and check mechanics were substantively rebuilt.</t>
  </si>
  <si>
    <t>H9</t>
  </si>
  <si>
    <t>Governance, limitations and reviewer handoff</t>
  </si>
  <si>
    <t>00_Cover!A4:H19; Change_Log!A4:F*; Gate_9of10</t>
  </si>
  <si>
    <t>Purpose, version, as-of, units, horizon, case, status, limitations and reviewer handoff are explicit.</t>
  </si>
  <si>
    <t>Weighted score</t>
  </si>
  <si>
    <t>Owner preflight decision</t>
  </si>
  <si>
    <t>Certification status</t>
  </si>
  <si>
    <t>Independent certification required; not self-certified</t>
  </si>
  <si>
    <t>Build timestamp</t>
  </si>
  <si>
    <t>Native engine</t>
  </si>
  <si>
    <t>LibreOfficeDev 26.8.0.0.alpha0 (2c87e51eeaa2b413ff4ae097b2705eea1995d8e5)</t>
  </si>
  <si>
    <t>Visual manifest</t>
  </si>
  <si>
    <t>Original path</t>
  </si>
  <si>
    <t>Liberty_Latin_America_Institutional_Model.xlsx</t>
  </si>
  <si>
    <t>Original SHA-256</t>
  </si>
  <si>
    <t>6d0729636bf8366712df47378856b6f4b2833e159e2b83d58fe77e2c3adb825e</t>
  </si>
  <si>
    <t>Controlled path</t>
  </si>
  <si>
    <t>Calculation mode</t>
  </si>
  <si>
    <t>Automatic; full native recalculation forced during LibreOfficeDev conversion</t>
  </si>
  <si>
    <t>Evidence ledger</t>
  </si>
  <si>
    <t>Open blocker ledger</t>
  </si>
  <si>
    <t>No owner-preflight blocker; independent certification remains required</t>
  </si>
  <si>
    <t>Turn #</t>
  </si>
  <si>
    <t>Date</t>
  </si>
  <si>
    <t>User Request</t>
  </si>
  <si>
    <t>Action Taken</t>
  </si>
  <si>
    <t>Details</t>
  </si>
  <si>
    <t>Outcome</t>
  </si>
  <si>
    <t>Prepare a public model copy</t>
  </si>
  <si>
    <t>Remove local paths and private build references; preserve financial formulas and inputs</t>
  </si>
  <si>
    <t>Agent run with MOG as the tool, checked by guard v1. The guard measured every sheet before and after the run.
Changed: Change_Log: 1 cell written, at E11; Gate_9of10: 7 cells written, at E5, E11, E12, B22, B23, B25, B27.
Agent: OpenFinmods export</t>
  </si>
  <si>
    <t>Compare against source and review public copy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</si>
</sst>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0;\(#,##0.000\);\-"/>
    <numFmt numFmtId="166" formatCode="#,##0.0;\(#,##0.0\);\-"/>
    <numFmt numFmtId="167" formatCode="0.0%;\(0.0%\);\-"/>
    <numFmt numFmtId="168" formatCode="0.0\x"/>
    <numFmt numFmtId="169" formatCode="0.000\x"/>
    <numFmt numFmtId="170" formatCode="0.0%"/>
    <numFmt numFmtId="171" formatCode="\$0.00"/>
    <numFmt numFmtId="172" formatCode="0.000;&quot;(-&quot;0.000\);\-"/>
    <numFmt numFmtId="173" formatCode="0.000"/>
    <numFmt numFmtId="174" formatCode="0.00\x"/>
    <numFmt numFmtId="175" formatCode="0.0000"/>
    <numFmt numFmtId="176" formatCode="yyyy\-mm\-dd hh:mm"/>
  </numFmts>
  <fonts count="1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/>
      <sz val="16"/>
      <color rgb="FFFFFFFF"/>
      <name val="Calibri"/>
      <family val="0"/>
      <charset val="1"/>
    </font>
    <font>
      <i/>
      <sz val="11"/>
      <color rgb="FF0B1F3A"/>
      <name val="Calibri"/>
      <family val="0"/>
      <charset val="1"/>
    </font>
    <font>
      <b/>
      <sz val="11"/>
      <color rgb="FFFFFFFF"/>
      <name val="Calibri"/>
      <family val="0"/>
      <charset val="1"/>
    </font>
    <font>
      <b/>
      <sz val="11"/>
      <color rgb="FF0B1F3A"/>
      <name val="Calibri"/>
      <family val="0"/>
      <charset val="1"/>
    </font>
    <font>
      <sz val="11"/>
      <color rgb="FF008000"/>
      <name val="Calibri"/>
      <family val="0"/>
      <charset val="1"/>
    </font>
    <font>
      <b/>
      <sz val="11"/>
      <color rgb="FF000000"/>
      <name val="Calibri"/>
      <family val="0"/>
      <charset val="1"/>
    </font>
    <font>
      <b/>
      <sz val="11"/>
      <color rgb="FF008000"/>
      <name val="Calibri"/>
      <family val="0"/>
      <charset val="1"/>
    </font>
    <font>
      <b/>
      <sz val="11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 val="0"/>
      <i val="0"/>
      <strike val="0"/>
      <sz val="10"/>
      <color rgb="FF000000"/>
      <name val="Arial"/>
      <family val="2"/>
    </font>
    <font>
      <b/>
      <i val="0"/>
      <strike val="0"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B1F3A"/>
        <bgColor rgb="FF17365D"/>
      </patternFill>
    </fill>
    <fill>
      <patternFill patternType="solid">
        <fgColor rgb="FFD9EAF7"/>
        <bgColor rgb="FFE7E6E6"/>
      </patternFill>
    </fill>
    <fill>
      <patternFill patternType="solid">
        <fgColor rgb="FF17365D"/>
        <bgColor rgb="FF333333"/>
      </patternFill>
    </fill>
    <fill>
      <patternFill patternType="solid">
        <fgColor rgb="FFE2F0D9"/>
        <bgColor rgb="FFE7E6E6"/>
      </patternFill>
    </fill>
    <fill>
      <patternFill patternType="solid">
        <fgColor rgb="FFE7E6E6"/>
        <bgColor rgb="FFE2F0D9"/>
      </patternFill>
    </fill>
    <fill>
      <patternFill patternType="solid">
        <fgColor rgb="FFFCE4D6"/>
        <bgColor rgb="FFE7E6E6"/>
      </patternFill>
    </fill>
  </fills>
  <borders count="5">
    <border diagonalUp="0" diagonalDown="0">
      <left/>
      <right/>
      <top/>
      <bottom/>
      <diagonal/>
    </border>
    <border diagonalUp="0" diagonalDown="0">
      <left style="thin">
        <color rgb="FF7F8C8D"/>
      </left>
      <right/>
      <top style="thin">
        <color rgb="FF7F8C8D"/>
      </top>
      <bottom style="thin">
        <color rgb="FF7F8C8D"/>
      </bottom>
      <diagonal/>
    </border>
    <border diagonalUp="0" diagonalDown="0">
      <left/>
      <right/>
      <top style="thin">
        <color rgb="FF7F8C8D"/>
      </top>
      <bottom style="thin">
        <color rgb="FF7F8C8D"/>
      </bottom>
      <diagonal/>
    </border>
    <border diagonalUp="0" diagonalDown="0">
      <left/>
      <right style="thin">
        <color rgb="FF7F8C8D"/>
      </right>
      <top style="thin">
        <color rgb="FF7F8C8D"/>
      </top>
      <bottom style="thin">
        <color rgb="FF7F8C8D"/>
      </bottom>
      <diagonal/>
    </border>
    <border diagonalUp="0" diagonalDown="0">
      <left/>
      <right/>
      <top style="thin">
        <color rgb="FF0B1F3A"/>
      </top>
      <bottom/>
      <diagonal/>
    </border>
  </borders>
  <cellStyleXfs count="21">
    <xf numFmtId="164" fontId="0" fillId="0" borderId="0" applyFont="1" applyBorder="1" applyAlignment="1" applyProtection="1">
      <alignment horizontal="general" vertical="bottom" textRotation="0" indent="0"/>
      <protection locked="1" hidden="0"/>
    </xf>
    <xf numFmtId="0" fontId="1" fillId="0" borderId="0" applyFont="1" applyBorder="0" applyAlignment="0" applyProtection="0"/>
    <xf numFmtId="0" fontId="1" fillId="0" borderId="0" applyFont="1" applyBorder="0" applyAlignment="0" applyProtection="0"/>
    <xf numFmtId="0" fontId="2" fillId="0" borderId="0" applyFont="1" applyBorder="0" applyAlignment="0" applyProtection="0"/>
    <xf numFmtId="0" fontId="2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43" fontId="1" fillId="0" borderId="0" applyFont="1" applyBorder="0" applyAlignment="0" applyProtection="0"/>
    <xf numFmtId="41" fontId="1" fillId="0" borderId="0" applyFont="1" applyBorder="0" applyAlignment="0" applyProtection="0"/>
    <xf numFmtId="44" fontId="1" fillId="0" borderId="0" applyFont="1" applyBorder="0" applyAlignment="0" applyProtection="0"/>
    <xf numFmtId="42" fontId="1" fillId="0" borderId="0" applyFont="1" applyBorder="0" applyAlignment="0" applyProtection="0"/>
    <xf numFmtId="9" fontId="1" fillId="0" borderId="0" applyFont="1" applyBorder="0" applyAlignment="0" applyProtection="0"/>
    <xf numFmtId="164" fontId="4" fillId="0" borderId="0" applyFont="1" applyBorder="1" applyAlignment="1" applyProtection="1">
      <alignment horizontal="general" vertical="bottom" textRotation="0" indent="0"/>
      <protection locked="1" hidden="0"/>
    </xf>
  </cellStyleXfs>
  <cellXfs count="60">
    <xf numFmtId="164" fontId="0" fillId="0" borderId="0" xfId="0" applyFont="0" applyBorder="0" applyAlignment="0" applyProtection="0">
      <alignment horizontal="general" vertical="bottom" textRotation="0" indent="0"/>
      <protection locked="1" hidden="0"/>
    </xf>
    <xf numFmtId="164" fontId="5" fillId="2" borderId="0" xfId="20" applyFont="1" applyBorder="1" applyAlignment="1" applyProtection="0">
      <alignment horizontal="general" vertical="center" textRotation="0" indent="0"/>
      <protection locked="1" hidden="0"/>
    </xf>
    <xf numFmtId="164" fontId="6" fillId="3" borderId="0" xfId="20" applyFont="1" applyBorder="1" applyAlignment="1" applyProtection="0">
      <alignment horizontal="general" vertical="center" textRotation="0" wrapText="1" indent="0"/>
      <protection locked="1" hidden="0"/>
    </xf>
    <xf numFmtId="164" fontId="7" fillId="4" borderId="0" xfId="20" applyFont="1" applyBorder="1" applyAlignment="1" applyProtection="0">
      <alignment horizontal="general" vertical="bottom" textRotation="0" wrapText="1" indent="0"/>
      <protection locked="1" hidden="0"/>
    </xf>
    <xf numFmtId="164" fontId="4" fillId="0" borderId="0" xfId="20" applyFont="1" applyBorder="1" applyAlignment="1" applyProtection="0">
      <alignment horizontal="general" vertical="bottom" textRotation="0" wrapText="1" indent="0"/>
      <protection locked="1" hidden="0"/>
    </xf>
    <xf numFmtId="164" fontId="8" fillId="5" borderId="0" xfId="20" applyFont="1" applyBorder="1" applyAlignment="1" applyProtection="0">
      <alignment horizontal="general" vertical="bottom" textRotation="0" wrapText="1" indent="0"/>
      <protection locked="1" hidden="0"/>
    </xf>
    <xf numFmtId="164" fontId="6" fillId="3" borderId="0" xfId="20" applyFont="1" applyBorder="1" applyAlignment="1" applyProtection="0">
      <alignment horizontal="general" vertical="bottom" textRotation="0" wrapText="1" indent="0"/>
      <protection locked="1" hidden="0"/>
    </xf>
    <xf numFmtId="164" fontId="7" fillId="4" borderId="1" xfId="20" applyFont="1" applyBorder="1" applyAlignment="1" applyProtection="0">
      <alignment horizontal="center" vertical="center" textRotation="0" wrapText="1" indent="0"/>
      <protection locked="1" hidden="0"/>
    </xf>
    <xf numFmtId="164" fontId="7" fillId="4" borderId="2" xfId="20" applyFont="1" applyBorder="1" applyAlignment="1" applyProtection="0">
      <alignment horizontal="center" vertical="center" textRotation="0" wrapText="1" indent="0"/>
      <protection locked="1" hidden="0"/>
    </xf>
    <xf numFmtId="164" fontId="7" fillId="4" borderId="3" xfId="20" applyFont="1" applyBorder="1" applyAlignment="1" applyProtection="0">
      <alignment horizontal="center" vertical="center" textRotation="0" wrapText="1" indent="0"/>
      <protection locked="1" hidden="0"/>
    </xf>
    <xf numFmtId="164" fontId="8" fillId="0" borderId="0" xfId="20" applyFont="1" applyBorder="1" applyAlignment="1" applyProtection="0">
      <alignment horizontal="general" vertical="bottom" textRotation="0" wrapText="1" indent="0"/>
      <protection locked="1" hidden="0"/>
    </xf>
    <xf numFmtId="165" fontId="4" fillId="0" borderId="0" xfId="20" applyFont="1" applyBorder="1" applyAlignment="1" applyProtection="0">
      <alignment horizontal="general" vertical="bottom" textRotation="0" wrapText="1" indent="0"/>
      <protection locked="1" hidden="0"/>
    </xf>
    <xf numFmtId="164" fontId="9" fillId="0" borderId="0" xfId="20" applyFont="1" applyBorder="1" applyAlignment="1" applyProtection="0">
      <alignment horizontal="general" vertical="bottom" textRotation="0" wrapText="1" indent="0"/>
      <protection locked="1" hidden="0"/>
    </xf>
    <xf numFmtId="164" fontId="4" fillId="0" borderId="0" xfId="20" applyFont="1" applyBorder="1" applyAlignment="1" applyProtection="0">
      <alignment horizontal="left" vertical="bottom" textRotation="0" indent="0"/>
      <protection locked="1" hidden="0"/>
    </xf>
    <xf numFmtId="166" fontId="4" fillId="6" borderId="0" xfId="20" applyFont="1" applyBorder="1" applyAlignment="1" applyProtection="0">
      <alignment horizontal="right" vertical="bottom" textRotation="0" indent="0"/>
      <protection locked="1" hidden="0"/>
    </xf>
    <xf numFmtId="164" fontId="4" fillId="3" borderId="0" xfId="20" applyFont="1" applyBorder="1" applyAlignment="1" applyProtection="0">
      <alignment horizontal="right" vertical="bottom" textRotation="0" indent="0"/>
      <protection locked="1" hidden="0"/>
    </xf>
    <xf numFmtId="164" fontId="10" fillId="0" borderId="4" xfId="20" applyFont="1" applyBorder="1" applyAlignment="0" applyProtection="0">
      <alignment horizontal="general" vertical="bottom" textRotation="0" indent="0"/>
      <protection locked="1" hidden="0"/>
    </xf>
    <xf numFmtId="166" fontId="10" fillId="0" borderId="4" xfId="20" applyFont="1" applyBorder="1" applyAlignment="0" applyProtection="0">
      <alignment horizontal="general" vertical="bottom" textRotation="0" indent="0"/>
      <protection locked="1" hidden="0"/>
    </xf>
    <xf numFmtId="164" fontId="11" fillId="0" borderId="4" xfId="20" applyFont="1" applyBorder="1" applyAlignment="0" applyProtection="0">
      <alignment horizontal="general" vertical="bottom" textRotation="0" indent="0"/>
      <protection locked="1" hidden="0"/>
    </xf>
    <xf numFmtId="164" fontId="10" fillId="0" borderId="0" xfId="20" applyFont="1" applyBorder="0" applyAlignment="0" applyProtection="0">
      <alignment horizontal="general" vertical="bottom" textRotation="0" indent="0"/>
      <protection locked="1" hidden="0"/>
    </xf>
    <xf numFmtId="166" fontId="10" fillId="0" borderId="0" xfId="20" applyFont="1" applyBorder="0" applyAlignment="0" applyProtection="0">
      <alignment horizontal="general" vertical="bottom" textRotation="0" indent="0"/>
      <protection locked="1" hidden="0"/>
    </xf>
    <xf numFmtId="164" fontId="11" fillId="0" borderId="0" xfId="20" applyFont="1" applyBorder="0" applyAlignment="0" applyProtection="0">
      <alignment horizontal="general" vertical="bottom" textRotation="0" indent="0"/>
      <protection locked="1" hidden="0"/>
    </xf>
    <xf numFmtId="164" fontId="8" fillId="0" borderId="0" xfId="20" applyFont="1" applyBorder="1" applyAlignment="0" applyProtection="0">
      <alignment horizontal="general" vertical="bottom" textRotation="0" indent="0"/>
      <protection locked="1" hidden="0"/>
    </xf>
    <xf numFmtId="164" fontId="12" fillId="3" borderId="0" xfId="20" applyFont="1" applyBorder="1" applyAlignment="1" applyProtection="0">
      <alignment horizontal="center" vertical="bottom" textRotation="0" indent="0"/>
      <protection locked="1" hidden="0"/>
    </xf>
    <xf numFmtId="164" fontId="11" fillId="5" borderId="0" xfId="20" applyFont="1" applyBorder="1" applyAlignment="0" applyProtection="0">
      <alignment horizontal="general" vertical="bottom" textRotation="0" indent="0"/>
      <protection locked="1" hidden="0"/>
    </xf>
    <xf numFmtId="167" fontId="13" fillId="3" borderId="0" xfId="20" applyFont="1" applyBorder="1" applyAlignment="0" applyProtection="0">
      <alignment horizontal="general" vertical="bottom" textRotation="0" indent="0"/>
      <protection locked="1" hidden="0"/>
    </xf>
    <xf numFmtId="167" fontId="9" fillId="5" borderId="0" xfId="20" applyFont="1" applyBorder="1" applyAlignment="0" applyProtection="0">
      <alignment horizontal="general" vertical="bottom" textRotation="0" indent="0"/>
      <protection locked="1" hidden="0"/>
    </xf>
    <xf numFmtId="168" fontId="13" fillId="3" borderId="0" xfId="20" applyFont="1" applyBorder="1" applyAlignment="0" applyProtection="0">
      <alignment horizontal="general" vertical="bottom" textRotation="0" indent="0"/>
      <protection locked="1" hidden="0"/>
    </xf>
    <xf numFmtId="168" fontId="9" fillId="5" borderId="0" xfId="20" applyFont="1" applyBorder="1" applyAlignment="0" applyProtection="0">
      <alignment horizontal="general" vertical="bottom" textRotation="0" indent="0"/>
      <protection locked="1" hidden="0"/>
    </xf>
    <xf numFmtId="166" fontId="10" fillId="3" borderId="4" xfId="20" applyFont="1" applyBorder="1" applyAlignment="0" applyProtection="0">
      <alignment horizontal="general" vertical="bottom" textRotation="0" indent="0"/>
      <protection locked="1" hidden="0"/>
    </xf>
    <xf numFmtId="166" fontId="9" fillId="3" borderId="0" xfId="20" applyFont="1" applyBorder="1" applyAlignment="0" applyProtection="0">
      <alignment horizontal="general" vertical="bottom" textRotation="0" indent="0"/>
      <protection locked="1" hidden="0"/>
    </xf>
    <xf numFmtId="167" fontId="9" fillId="3" borderId="0" xfId="20" applyFont="1" applyBorder="1" applyAlignment="0" applyProtection="0">
      <alignment horizontal="general" vertical="bottom" textRotation="0" indent="0"/>
      <protection locked="1" hidden="0"/>
    </xf>
    <xf numFmtId="166" fontId="4" fillId="0" borderId="0" xfId="20" applyFont="1" applyBorder="1" applyAlignment="0" applyProtection="0">
      <alignment horizontal="general" vertical="bottom" textRotation="0" indent="0"/>
      <protection locked="1" hidden="0"/>
    </xf>
    <xf numFmtId="169" fontId="4" fillId="0" borderId="0" xfId="20" applyFont="1" applyBorder="1" applyAlignment="0" applyProtection="0">
      <alignment horizontal="general" vertical="bottom" textRotation="0" indent="0"/>
      <protection locked="1" hidden="0"/>
    </xf>
    <xf numFmtId="170" fontId="4" fillId="0" borderId="0" xfId="20" applyFont="1" applyBorder="1" applyAlignment="0" applyProtection="0">
      <alignment horizontal="general" vertical="bottom" textRotation="0" indent="0"/>
      <protection locked="1" hidden="0"/>
    </xf>
    <xf numFmtId="171" fontId="10" fillId="0" borderId="0" xfId="20" applyFont="1" applyBorder="0" applyAlignment="0" applyProtection="0">
      <alignment horizontal="general" vertical="bottom" textRotation="0" indent="0"/>
      <protection locked="1" hidden="0"/>
    </xf>
    <xf numFmtId="170" fontId="7" fillId="4" borderId="2" xfId="20" applyFont="1" applyBorder="1" applyAlignment="1" applyProtection="0">
      <alignment horizontal="center" vertical="center" textRotation="0" wrapText="1" indent="0"/>
      <protection locked="1" hidden="0"/>
    </xf>
    <xf numFmtId="171" fontId="7" fillId="4" borderId="3" xfId="20" applyFont="1" applyBorder="1" applyAlignment="1" applyProtection="0">
      <alignment horizontal="center" vertical="center" textRotation="0" wrapText="1" indent="0"/>
      <protection locked="1" hidden="0"/>
    </xf>
    <xf numFmtId="171" fontId="4" fillId="0" borderId="0" xfId="20" applyFont="1" applyBorder="1" applyAlignment="0" applyProtection="0">
      <alignment horizontal="general" vertical="bottom" textRotation="0" indent="0"/>
      <protection locked="1" hidden="0"/>
    </xf>
    <xf numFmtId="171" fontId="8" fillId="5" borderId="0" xfId="20" applyFont="1" applyBorder="1" applyAlignment="0" applyProtection="0">
      <alignment horizontal="general" vertical="bottom" textRotation="0" indent="0"/>
      <protection locked="1" hidden="0"/>
    </xf>
    <xf numFmtId="164" fontId="8" fillId="5" borderId="0" xfId="20" applyFont="1" applyBorder="1" applyAlignment="0" applyProtection="0">
      <alignment horizontal="general" vertical="bottom" textRotation="0" indent="0"/>
      <protection locked="1" hidden="0"/>
    </xf>
    <xf numFmtId="172" fontId="4" fillId="0" borderId="0" xfId="20" applyFont="1" applyBorder="1" applyAlignment="0" applyProtection="0">
      <alignment horizontal="general" vertical="bottom" textRotation="0" indent="0"/>
      <protection locked="1" hidden="0"/>
    </xf>
    <xf numFmtId="173" fontId="4" fillId="6" borderId="0" xfId="20" applyFont="1" applyBorder="1" applyAlignment="1" applyProtection="0">
      <alignment horizontal="right" vertical="bottom" textRotation="0" indent="0"/>
      <protection locked="1" hidden="0"/>
    </xf>
    <xf numFmtId="173" fontId="4" fillId="3" borderId="0" xfId="20" applyFont="1" applyBorder="1" applyAlignment="1" applyProtection="0">
      <alignment horizontal="right" vertical="bottom" textRotation="0" indent="0"/>
      <protection locked="1" hidden="0"/>
    </xf>
    <xf numFmtId="174" fontId="4" fillId="6" borderId="0" xfId="20" applyFont="1" applyBorder="1" applyAlignment="1" applyProtection="0">
      <alignment horizontal="right" vertical="bottom" textRotation="0" indent="0"/>
      <protection locked="1" hidden="0"/>
    </xf>
    <xf numFmtId="174" fontId="4" fillId="3" borderId="0" xfId="20" applyFont="1" applyBorder="1" applyAlignment="1" applyProtection="0">
      <alignment horizontal="right" vertical="bottom" textRotation="0" indent="0"/>
      <protection locked="1" hidden="0"/>
    </xf>
    <xf numFmtId="175" fontId="4" fillId="6" borderId="0" xfId="20" applyFont="1" applyBorder="1" applyAlignment="1" applyProtection="0">
      <alignment horizontal="right" vertical="bottom" textRotation="0" indent="0"/>
      <protection locked="1" hidden="0"/>
    </xf>
    <xf numFmtId="175" fontId="4" fillId="3" borderId="0" xfId="20" applyFont="1" applyBorder="1" applyAlignment="1" applyProtection="0">
      <alignment horizontal="right" vertical="bottom" textRotation="0" indent="0"/>
      <protection locked="1" hidden="0"/>
    </xf>
    <xf numFmtId="171" fontId="4" fillId="6" borderId="0" xfId="20" applyFont="1" applyBorder="1" applyAlignment="1" applyProtection="0">
      <alignment horizontal="right" vertical="bottom" textRotation="0" indent="0"/>
      <protection locked="1" hidden="0"/>
    </xf>
    <xf numFmtId="171" fontId="4" fillId="3" borderId="0" xfId="20" applyFont="1" applyBorder="1" applyAlignment="1" applyProtection="0">
      <alignment horizontal="right" vertical="bottom" textRotation="0" indent="0"/>
      <protection locked="1" hidden="0"/>
    </xf>
    <xf numFmtId="166" fontId="4" fillId="3" borderId="0" xfId="20" applyFont="1" applyBorder="1" applyAlignment="1" applyProtection="0">
      <alignment horizontal="right" vertical="bottom" textRotation="0" indent="0"/>
      <protection locked="1" hidden="0"/>
    </xf>
    <xf numFmtId="164" fontId="10" fillId="0" borderId="4" xfId="20" applyFont="1" applyBorder="1" applyAlignment="1" applyProtection="0">
      <alignment horizontal="left" vertical="bottom" textRotation="0" indent="0"/>
      <protection locked="1" hidden="0"/>
    </xf>
    <xf numFmtId="166" fontId="10" fillId="6" borderId="4" xfId="20" applyFont="1" applyBorder="1" applyAlignment="1" applyProtection="0">
      <alignment horizontal="right" vertical="bottom" textRotation="0" indent="0"/>
      <protection locked="1" hidden="0"/>
    </xf>
    <xf numFmtId="166" fontId="10" fillId="3" borderId="4" xfId="20" applyFont="1" applyBorder="1" applyAlignment="1" applyProtection="0">
      <alignment horizontal="right" vertical="bottom" textRotation="0" indent="0"/>
      <protection locked="1" hidden="0"/>
    </xf>
    <xf numFmtId="168" fontId="4" fillId="6" borderId="0" xfId="20" applyFont="1" applyBorder="1" applyAlignment="1" applyProtection="0">
      <alignment horizontal="right" vertical="bottom" textRotation="0" indent="0"/>
      <protection locked="1" hidden="0"/>
    </xf>
    <xf numFmtId="168" fontId="4" fillId="3" borderId="0" xfId="20" applyFont="1" applyBorder="1" applyAlignment="1" applyProtection="0">
      <alignment horizontal="right" vertical="bottom" textRotation="0" indent="0"/>
      <protection locked="1" hidden="0"/>
    </xf>
    <xf numFmtId="164" fontId="6" fillId="7" borderId="0" xfId="20" applyFont="1" applyBorder="1" applyAlignment="1" applyProtection="0">
      <alignment horizontal="general" vertical="bottom" textRotation="0" wrapText="1" indent="0"/>
      <protection locked="1" hidden="0"/>
    </xf>
    <xf numFmtId="0" fontId="16" fillId="0" borderId="0" xfId="0" applyFont="1" applyFill="1" applyBorder="1" applyAlignment="1" applyProtection="1">
      <alignment vertical="top" textRotation="0" indent="0"/>
      <protection locked="1" hidden="0"/>
    </xf>
    <xf numFmtId="0" fontId="17" fillId="0" borderId="0" xfId="0" applyFont="1" applyFill="1" applyBorder="1" applyProtection="1">
      <protection locked="1" hidden="0"/>
    </xf>
    <xf numFmtId="176" fontId="16" fillId="0" borderId="0" xfId="0" applyNumberFormat="1" applyFont="1" applyFill="1" applyBorder="1" applyAlignment="1" applyProtection="1">
      <alignment vertical="top" textRotation="0" indent="0"/>
      <protection locked="1" hidden="0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ont>
        <b/>
        <color rgb="FF0B1F3A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B1F3A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56082"/>
      <rgbColor rgb="FFCCCCCC"/>
      <rgbColor rgb="FF7F8C8D"/>
      <rgbColor rgb="FF9999FF"/>
      <rgbColor rgb="FF993366"/>
      <rgbColor rgb="FFFCE4D6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8B8B8B"/>
      <rgbColor rgb="FF17365D"/>
      <rgbColor rgb="FF339966"/>
      <rgbColor rgb="FF0B1F3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<Relationship Id="rId15" Type="http://schemas.openxmlformats.org/officeDocument/2006/relationships/worksheet" Target="worksheets/sheet1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Revenue and Adjusted OIBDA</a:t>
            </a:r>
          </a:p>
        </c:rich>
      </c:tx>
      <c:overlay val="0"/>
      <c:spPr>
        <a:noFill/>
        <a:ln w="0">
          <a:noFill/>
        </a:ln>
      </c:spPr>
      <c:txPr>
        <a:bodyPr rot="0"/>
        <a:p/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Sector_KPIs!$A$28:$A$33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Sector_KPIs!$B$28:$B$33</c:f>
              <c:numCache>
                <c:formatCode>General</c:formatCode>
                <c:ptCount val="6"/>
                <c:pt idx="0">
                  <c:v>4442.2</c:v>
                </c:pt>
                <c:pt idx="1">
                  <c:v>4566.35237298434</c:v>
                </c:pt>
                <c:pt idx="2">
                  <c:v>4694.74271076896</c:v>
                </c:pt>
                <c:pt idx="3">
                  <c:v>4827.52771013983</c:v>
                </c:pt>
                <c:pt idx="4">
                  <c:v>4964.87005111768</c:v>
                </c:pt>
                <c:pt idx="5">
                  <c:v>5106.93862914395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"Adjusted OIBDA"</c:f>
              <c:strCache>
                <c:ptCount val="1"/>
                <c:pt idx="0">
                  <c:v>Adjusted OIBDA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Sector_KPIs!$A$28:$A$33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Sector_KPIs!$C$28:$C$33</c:f>
              <c:numCache>
                <c:formatCode>General</c:formatCode>
                <c:ptCount val="6"/>
                <c:pt idx="0">
                  <c:v>1706.3</c:v>
                </c:pt>
                <c:pt idx="1">
                  <c:v>1753.47931122599</c:v>
                </c:pt>
                <c:pt idx="2">
                  <c:v>1802.78120093528</c:v>
                </c:pt>
                <c:pt idx="3">
                  <c:v>1853.7706406937</c:v>
                </c:pt>
                <c:pt idx="4">
                  <c:v>1906.51009962919</c:v>
                </c:pt>
                <c:pt idx="5">
                  <c:v>1961.06443359128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4622661"/>
        <c:axId val="39589557"/>
      </c:lineChart>
      <c:catAx>
        <c:axId val="34622661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9589557"/>
        <c:crosses val="autoZero"/>
        <c:auto val="1"/>
        <c:lblAlgn val="ctr"/>
        <c:lblOffset val="100"/>
        <c:noMultiLvlLbl val="0"/>
      </c:catAx>
      <c:valAx>
        <c:axId val="3958955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4622661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/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26</xdr:row>
      <xdr:rowOff>0</xdr:rowOff>
    </xdr:from>
    <xdr:to>
      <xdr:col>9</xdr:col>
      <xdr:colOff>916200</xdr:colOff>
      <xdr:row>41</xdr:row>
      <xdr:rowOff>190080</xdr:rowOff>
    </xdr:to>
    <xdr:graphicFrame>
      <xdr:nvGraphicFramePr>
        <xdr:cNvPr id="1" name="Chart"/>
        <xdr:cNvGraphicFramePr/>
      </xdr:nvGraphicFramePr>
      <xdr:xfrm>
        <a:off x="5779800" y="5600880"/>
        <a:ext cx="5497560" cy="315972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19"/>
  <sheetViews>
    <sheetView showGridLines="0" tabSelected="1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28" hidden="0" customWidth="1" outlineLevel="0" collapsed="0"/>
    <col min="2" max="2" width="19" hidden="0" customWidth="1" outlineLevel="0" collapsed="0"/>
    <col min="3" max="8" width="16" hidden="0" customWidth="1" outlineLevel="0" collapsed="0"/>
  </cols>
  <sheetData>
    <row r="1" ht="26" hidden="0" outlineLevel="0" collapsed="0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 ht="30" hidden="0" outlineLevel="0" collapsed="0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</row>
    <row r="4" ht="15" hidden="0" outlineLevel="0" collapsed="0">
      <c r="A4" s="3" t="s">
        <v>2</v>
      </c>
      <c r="B4" s="4" t="s">
        <v>3</v>
      </c>
      <c r="C4" s="4"/>
      <c r="D4" s="4"/>
      <c r="E4" s="4"/>
      <c r="F4" s="4"/>
      <c r="G4" s="4"/>
      <c r="H4" s="4"/>
    </row>
    <row r="5" ht="15" hidden="0" outlineLevel="0" collapsed="0">
      <c r="A5" s="3" t="s">
        <v>4</v>
      </c>
      <c r="B5" s="4" t="s">
        <v>5</v>
      </c>
      <c r="C5" s="4"/>
      <c r="D5" s="4"/>
      <c r="E5" s="4"/>
      <c r="F5" s="4"/>
      <c r="G5" s="4"/>
      <c r="H5" s="4"/>
    </row>
    <row r="6" ht="15" hidden="0" outlineLevel="0" collapsed="0">
      <c r="A6" s="3" t="s">
        <v>6</v>
      </c>
      <c r="B6" s="4" t="s">
        <v>7</v>
      </c>
      <c r="C6" s="4"/>
      <c r="D6" s="4"/>
      <c r="E6" s="4"/>
      <c r="F6" s="4"/>
      <c r="G6" s="4"/>
      <c r="H6" s="4"/>
    </row>
    <row r="7" ht="15" hidden="0" outlineLevel="0" collapsed="0">
      <c r="A7" s="3" t="s">
        <v>8</v>
      </c>
      <c r="B7" s="4" t="s">
        <v>9</v>
      </c>
      <c r="C7" s="4"/>
      <c r="D7" s="4"/>
      <c r="E7" s="4"/>
      <c r="F7" s="4"/>
      <c r="G7" s="4"/>
      <c r="H7" s="4"/>
    </row>
    <row r="8" ht="15" hidden="0" outlineLevel="0" collapsed="0">
      <c r="A8" s="3" t="s">
        <v>10</v>
      </c>
      <c r="B8" s="4" t="s">
        <v>11</v>
      </c>
      <c r="C8" s="4"/>
      <c r="D8" s="4"/>
      <c r="E8" s="4"/>
      <c r="F8" s="4"/>
      <c r="G8" s="4"/>
      <c r="H8" s="4"/>
    </row>
    <row r="9" ht="15" hidden="0" outlineLevel="0" collapsed="0">
      <c r="A9" s="3" t="s">
        <v>12</v>
      </c>
      <c r="B9" s="4" t="str">
        <f>Assumptions!B4</f>
        <v>Base</v>
      </c>
      <c r="C9" s="4"/>
      <c r="D9" s="4"/>
      <c r="E9" s="4"/>
      <c r="F9" s="4"/>
      <c r="G9" s="4"/>
      <c r="H9" s="4"/>
    </row>
    <row r="10" ht="15" hidden="0" outlineLevel="0" collapsed="0">
      <c r="A10" s="3" t="s">
        <v>13</v>
      </c>
      <c r="B10" s="5" t="str">
        <f>Checks!B4</f>
        <v>PASS</v>
      </c>
      <c r="C10" s="5"/>
      <c r="D10" s="5"/>
      <c r="E10" s="5"/>
      <c r="F10" s="5"/>
      <c r="G10" s="5"/>
      <c r="H10" s="5"/>
    </row>
    <row r="11" ht="15" hidden="0" outlineLevel="0" collapsed="0">
      <c r="A11" s="3" t="s">
        <v>14</v>
      </c>
      <c r="B11" s="4" t="s">
        <v>15</v>
      </c>
      <c r="C11" s="4"/>
      <c r="D11" s="4"/>
      <c r="E11" s="4"/>
      <c r="F11" s="4"/>
      <c r="G11" s="4"/>
      <c r="H11" s="4"/>
    </row>
    <row r="12" ht="15" hidden="0" outlineLevel="0" collapsed="0">
      <c r="A12" s="3" t="s">
        <v>16</v>
      </c>
      <c r="B12" s="4" t="s">
        <v>17</v>
      </c>
      <c r="C12" s="4"/>
      <c r="D12" s="4"/>
      <c r="E12" s="4"/>
      <c r="F12" s="4"/>
      <c r="G12" s="4"/>
      <c r="H12" s="4"/>
    </row>
    <row r="13" ht="23.85" hidden="0" outlineLevel="0" collapsed="0">
      <c r="A13" s="3" t="s">
        <v>18</v>
      </c>
      <c r="B13" s="4" t="s">
        <v>19</v>
      </c>
      <c r="C13" s="4"/>
      <c r="D13" s="4"/>
      <c r="E13" s="4"/>
      <c r="F13" s="4"/>
      <c r="G13" s="4"/>
      <c r="H13" s="4"/>
    </row>
    <row r="14" ht="15" hidden="0" outlineLevel="0" collapsed="0">
      <c r="A14" s="3" t="s">
        <v>20</v>
      </c>
      <c r="B14" s="4" t="s">
        <v>21</v>
      </c>
      <c r="C14" s="4"/>
      <c r="D14" s="4"/>
      <c r="E14" s="4"/>
      <c r="F14" s="4"/>
      <c r="G14" s="4"/>
      <c r="H14" s="4"/>
    </row>
    <row r="15" ht="45" hidden="0" outlineLevel="0" collapsed="0">
      <c r="A15" s="3" t="s">
        <v>22</v>
      </c>
      <c r="B15" s="4" t="s">
        <v>23</v>
      </c>
      <c r="C15" s="4"/>
      <c r="D15" s="4"/>
      <c r="E15" s="4"/>
      <c r="F15" s="4"/>
      <c r="G15" s="4"/>
      <c r="H15" s="4"/>
    </row>
    <row r="16" ht="23.85" hidden="0" outlineLevel="0" collapsed="0">
      <c r="A16" s="3" t="s">
        <v>24</v>
      </c>
      <c r="B16" s="4" t="s">
        <v>25</v>
      </c>
      <c r="C16" s="4"/>
      <c r="D16" s="4"/>
      <c r="E16" s="4"/>
      <c r="F16" s="4"/>
      <c r="G16" s="4"/>
      <c r="H16" s="4"/>
    </row>
    <row r="19" ht="40" hidden="0" outlineLevel="0" collapsed="0">
      <c r="A19" s="6" t="s">
        <v>26</v>
      </c>
      <c r="B19" s="6" t="s">
        <v>26</v>
      </c>
      <c r="C19" s="6" t="s">
        <v>26</v>
      </c>
      <c r="D19" s="6" t="s">
        <v>26</v>
      </c>
      <c r="E19" s="6" t="s">
        <v>26</v>
      </c>
      <c r="F19" s="6" t="s">
        <v>26</v>
      </c>
      <c r="G19" s="6" t="s">
        <v>26</v>
      </c>
      <c r="H19" s="6" t="s">
        <v>26</v>
      </c>
    </row>
  </sheetData>
  <mergeCells count="16">
    <mergeCell ref="A1:H1"/>
    <mergeCell ref="A2:H2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A19:H19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Q91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13" hidden="0" customWidth="1" outlineLevel="0" collapsed="0"/>
    <col min="2" max="2" width="28" hidden="0" customWidth="1" outlineLevel="0" collapsed="0"/>
    <col min="3" max="3" width="34" hidden="0" customWidth="1" outlineLevel="0" collapsed="0"/>
    <col min="4" max="4" width="20" hidden="0" customWidth="1" outlineLevel="0" collapsed="0"/>
    <col min="5" max="5" width="16" hidden="0" customWidth="1" outlineLevel="0" collapsed="0"/>
    <col min="6" max="6" width="14" hidden="0" customWidth="1" outlineLevel="0" collapsed="0"/>
    <col min="7" max="7" width="18" hidden="0" customWidth="1" outlineLevel="0" collapsed="0"/>
    <col min="8" max="8" width="40" hidden="0" customWidth="1" outlineLevel="0" collapsed="0"/>
    <col min="9" max="9" width="11" hidden="0" customWidth="1" outlineLevel="0" collapsed="0"/>
    <col min="10" max="10" width="14" hidden="0" customWidth="1" outlineLevel="0" collapsed="0"/>
    <col min="11" max="11" width="24" hidden="0" customWidth="1" outlineLevel="0" collapsed="0"/>
    <col min="12" max="12" width="34" hidden="0" customWidth="1" outlineLevel="0" collapsed="0"/>
    <col min="13" max="13" width="28" hidden="0" customWidth="1" outlineLevel="0" collapsed="0"/>
    <col min="14" max="14" width="14" hidden="0" customWidth="1" outlineLevel="0" collapsed="0"/>
    <col min="15" max="15" width="56" hidden="0" customWidth="1" outlineLevel="0" collapsed="0"/>
    <col min="16" max="16" width="42" hidden="0" customWidth="1" outlineLevel="0" collapsed="0"/>
    <col min="17" max="17" width="58" hidden="0" customWidth="1" outlineLevel="0" collapsed="0"/>
  </cols>
  <sheetData>
    <row r="1" ht="26" hidden="0" outlineLevel="0" collapsed="0">
      <c r="A1" s="1" t="s">
        <v>27</v>
      </c>
      <c r="B1" s="1" t="s">
        <v>27</v>
      </c>
      <c r="C1" s="1" t="s">
        <v>27</v>
      </c>
      <c r="D1" s="1" t="s">
        <v>27</v>
      </c>
      <c r="E1" s="1" t="s">
        <v>27</v>
      </c>
      <c r="F1" s="1" t="s">
        <v>27</v>
      </c>
      <c r="G1" s="1" t="s">
        <v>27</v>
      </c>
      <c r="H1" s="1" t="s">
        <v>27</v>
      </c>
      <c r="I1" s="1" t="s">
        <v>27</v>
      </c>
      <c r="J1" s="1" t="s">
        <v>27</v>
      </c>
      <c r="K1" s="1" t="s">
        <v>27</v>
      </c>
      <c r="L1" s="1" t="s">
        <v>27</v>
      </c>
      <c r="M1" s="1" t="s">
        <v>27</v>
      </c>
      <c r="N1" s="1" t="s">
        <v>27</v>
      </c>
      <c r="O1" s="1" t="s">
        <v>27</v>
      </c>
      <c r="P1" s="1" t="s">
        <v>27</v>
      </c>
      <c r="Q1" s="1" t="s">
        <v>27</v>
      </c>
    </row>
    <row r="2" ht="30" hidden="0" outlineLevel="0" collapsed="0">
      <c r="A2" s="2" t="s">
        <v>28</v>
      </c>
      <c r="B2" s="2" t="s">
        <v>28</v>
      </c>
      <c r="C2" s="2" t="s">
        <v>28</v>
      </c>
      <c r="D2" s="2" t="s">
        <v>28</v>
      </c>
      <c r="E2" s="2" t="s">
        <v>28</v>
      </c>
      <c r="F2" s="2" t="s">
        <v>28</v>
      </c>
      <c r="G2" s="2" t="s">
        <v>28</v>
      </c>
      <c r="H2" s="2" t="s">
        <v>28</v>
      </c>
      <c r="I2" s="2" t="s">
        <v>28</v>
      </c>
      <c r="J2" s="2" t="s">
        <v>28</v>
      </c>
      <c r="K2" s="2" t="s">
        <v>28</v>
      </c>
      <c r="L2" s="2" t="s">
        <v>28</v>
      </c>
      <c r="M2" s="2" t="s">
        <v>28</v>
      </c>
      <c r="N2" s="2" t="s">
        <v>28</v>
      </c>
      <c r="O2" s="2" t="s">
        <v>28</v>
      </c>
      <c r="P2" s="2" t="s">
        <v>28</v>
      </c>
      <c r="Q2" s="2" t="s">
        <v>28</v>
      </c>
    </row>
    <row r="4" ht="15" hidden="0" outlineLevel="0" collapsed="0">
      <c r="A4" s="7" t="s">
        <v>29</v>
      </c>
      <c r="B4" s="8" t="s">
        <v>30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35</v>
      </c>
      <c r="H4" s="8" t="s">
        <v>36</v>
      </c>
      <c r="I4" s="8" t="s">
        <v>37</v>
      </c>
      <c r="J4" s="8" t="s">
        <v>38</v>
      </c>
      <c r="K4" s="8" t="s">
        <v>39</v>
      </c>
      <c r="L4" s="8" t="s">
        <v>40</v>
      </c>
      <c r="M4" s="8" t="s">
        <v>41</v>
      </c>
      <c r="N4" s="8" t="s">
        <v>42</v>
      </c>
      <c r="O4" s="8" t="s">
        <v>43</v>
      </c>
      <c r="P4" s="8" t="s">
        <v>44</v>
      </c>
      <c r="Q4" s="9" t="s">
        <v>45</v>
      </c>
    </row>
    <row r="5" ht="35.05" hidden="0" outlineLevel="0" collapsed="0">
      <c r="A5" s="10" t="s">
        <v>46</v>
      </c>
      <c r="B5" s="4" t="s">
        <v>47</v>
      </c>
      <c r="C5" s="4" t="s">
        <v>48</v>
      </c>
      <c r="D5" s="11">
        <v>4511.1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53</v>
      </c>
      <c r="J5" s="4" t="s">
        <v>54</v>
      </c>
      <c r="K5" s="4" t="s">
        <v>55</v>
      </c>
      <c r="L5" s="4" t="s">
        <v>56</v>
      </c>
      <c r="M5" s="4" t="s">
        <v>57</v>
      </c>
      <c r="N5" s="4" t="s">
        <v>58</v>
      </c>
      <c r="O5" s="12" t="s">
        <v>59</v>
      </c>
      <c r="P5" s="4" t="s">
        <v>60</v>
      </c>
      <c r="Q5" s="4" t="s">
        <v>23</v>
      </c>
    </row>
    <row r="6" ht="35.05" hidden="0" outlineLevel="0" collapsed="0">
      <c r="A6" s="10" t="s">
        <v>61</v>
      </c>
      <c r="B6" s="4" t="s">
        <v>62</v>
      </c>
      <c r="C6" s="4" t="s">
        <v>48</v>
      </c>
      <c r="D6" s="11">
        <v>4446.8</v>
      </c>
      <c r="E6" s="4" t="s">
        <v>49</v>
      </c>
      <c r="F6" s="4" t="s">
        <v>63</v>
      </c>
      <c r="G6" s="4" t="s">
        <v>64</v>
      </c>
      <c r="H6" s="4" t="s">
        <v>52</v>
      </c>
      <c r="I6" s="4" t="s">
        <v>53</v>
      </c>
      <c r="J6" s="4" t="s">
        <v>54</v>
      </c>
      <c r="K6" s="4" t="s">
        <v>55</v>
      </c>
      <c r="L6" s="4" t="s">
        <v>56</v>
      </c>
      <c r="M6" s="4" t="s">
        <v>57</v>
      </c>
      <c r="N6" s="4" t="s">
        <v>58</v>
      </c>
      <c r="O6" s="12" t="s">
        <v>59</v>
      </c>
      <c r="P6" s="4" t="s">
        <v>60</v>
      </c>
      <c r="Q6" s="4" t="s">
        <v>23</v>
      </c>
    </row>
    <row r="7" ht="35.05" hidden="0" outlineLevel="0" collapsed="0">
      <c r="A7" s="10" t="s">
        <v>65</v>
      </c>
      <c r="B7" s="4" t="s">
        <v>66</v>
      </c>
      <c r="C7" s="4" t="s">
        <v>48</v>
      </c>
      <c r="D7" s="11">
        <v>4442.2</v>
      </c>
      <c r="E7" s="4" t="s">
        <v>49</v>
      </c>
      <c r="F7" s="4" t="s">
        <v>67</v>
      </c>
      <c r="G7" s="4" t="s">
        <v>7</v>
      </c>
      <c r="H7" s="4" t="s">
        <v>52</v>
      </c>
      <c r="I7" s="4" t="s">
        <v>53</v>
      </c>
      <c r="J7" s="4" t="s">
        <v>54</v>
      </c>
      <c r="K7" s="4" t="s">
        <v>55</v>
      </c>
      <c r="L7" s="4" t="s">
        <v>56</v>
      </c>
      <c r="M7" s="4" t="s">
        <v>57</v>
      </c>
      <c r="N7" s="4" t="s">
        <v>58</v>
      </c>
      <c r="O7" s="12" t="s">
        <v>59</v>
      </c>
      <c r="P7" s="4" t="s">
        <v>60</v>
      </c>
      <c r="Q7" s="4" t="s">
        <v>23</v>
      </c>
    </row>
    <row r="8" ht="35.05" hidden="0" outlineLevel="0" collapsed="0">
      <c r="A8" s="10" t="s">
        <v>68</v>
      </c>
      <c r="B8" s="4" t="s">
        <v>69</v>
      </c>
      <c r="C8" s="4" t="s">
        <v>70</v>
      </c>
      <c r="D8" s="11">
        <v>517.7</v>
      </c>
      <c r="E8" s="4" t="s">
        <v>49</v>
      </c>
      <c r="F8" s="4" t="s">
        <v>50</v>
      </c>
      <c r="G8" s="4" t="s">
        <v>51</v>
      </c>
      <c r="H8" s="4" t="s">
        <v>71</v>
      </c>
      <c r="I8" s="4" t="s">
        <v>53</v>
      </c>
      <c r="J8" s="4" t="s">
        <v>54</v>
      </c>
      <c r="K8" s="4" t="s">
        <v>55</v>
      </c>
      <c r="L8" s="4" t="s">
        <v>56</v>
      </c>
      <c r="M8" s="4" t="s">
        <v>57</v>
      </c>
      <c r="N8" s="4" t="s">
        <v>58</v>
      </c>
      <c r="O8" s="12" t="s">
        <v>59</v>
      </c>
      <c r="P8" s="4" t="s">
        <v>60</v>
      </c>
      <c r="Q8" s="4" t="s">
        <v>23</v>
      </c>
    </row>
    <row r="9" ht="35.05" hidden="0" outlineLevel="0" collapsed="0">
      <c r="A9" s="10" t="s">
        <v>72</v>
      </c>
      <c r="B9" s="4" t="s">
        <v>73</v>
      </c>
      <c r="C9" s="4" t="s">
        <v>70</v>
      </c>
      <c r="D9" s="11">
        <v>-76.8</v>
      </c>
      <c r="E9" s="4" t="s">
        <v>49</v>
      </c>
      <c r="F9" s="4" t="s">
        <v>63</v>
      </c>
      <c r="G9" s="4" t="s">
        <v>64</v>
      </c>
      <c r="H9" s="4" t="s">
        <v>71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12" t="s">
        <v>59</v>
      </c>
      <c r="P9" s="4" t="s">
        <v>60</v>
      </c>
      <c r="Q9" s="4" t="s">
        <v>23</v>
      </c>
    </row>
    <row r="10" ht="35.05" hidden="0" outlineLevel="0" collapsed="0">
      <c r="A10" s="10" t="s">
        <v>74</v>
      </c>
      <c r="B10" s="4" t="s">
        <v>75</v>
      </c>
      <c r="C10" s="4" t="s">
        <v>70</v>
      </c>
      <c r="D10" s="11">
        <v>108.2</v>
      </c>
      <c r="E10" s="4" t="s">
        <v>49</v>
      </c>
      <c r="F10" s="4" t="s">
        <v>67</v>
      </c>
      <c r="G10" s="4" t="s">
        <v>7</v>
      </c>
      <c r="H10" s="4" t="s">
        <v>71</v>
      </c>
      <c r="I10" s="4" t="s">
        <v>53</v>
      </c>
      <c r="J10" s="4" t="s">
        <v>54</v>
      </c>
      <c r="K10" s="4" t="s">
        <v>55</v>
      </c>
      <c r="L10" s="4" t="s">
        <v>56</v>
      </c>
      <c r="M10" s="4" t="s">
        <v>57</v>
      </c>
      <c r="N10" s="4" t="s">
        <v>58</v>
      </c>
      <c r="O10" s="12" t="s">
        <v>59</v>
      </c>
      <c r="P10" s="4" t="s">
        <v>60</v>
      </c>
      <c r="Q10" s="4" t="s">
        <v>23</v>
      </c>
    </row>
    <row r="11" ht="35.05" hidden="0" outlineLevel="0" collapsed="0">
      <c r="A11" s="10" t="s">
        <v>76</v>
      </c>
      <c r="B11" s="4" t="s">
        <v>77</v>
      </c>
      <c r="C11" s="4" t="s">
        <v>78</v>
      </c>
      <c r="D11" s="11">
        <v>-73.6</v>
      </c>
      <c r="E11" s="4" t="s">
        <v>49</v>
      </c>
      <c r="F11" s="4" t="s">
        <v>50</v>
      </c>
      <c r="G11" s="4" t="s">
        <v>51</v>
      </c>
      <c r="H11" s="4" t="s">
        <v>79</v>
      </c>
      <c r="I11" s="4" t="s">
        <v>53</v>
      </c>
      <c r="J11" s="4" t="s">
        <v>54</v>
      </c>
      <c r="K11" s="4" t="s">
        <v>55</v>
      </c>
      <c r="L11" s="4" t="s">
        <v>56</v>
      </c>
      <c r="M11" s="4" t="s">
        <v>57</v>
      </c>
      <c r="N11" s="4" t="s">
        <v>58</v>
      </c>
      <c r="O11" s="12" t="s">
        <v>59</v>
      </c>
      <c r="P11" s="4" t="s">
        <v>60</v>
      </c>
      <c r="Q11" s="4" t="s">
        <v>23</v>
      </c>
    </row>
    <row r="12" ht="35.05" hidden="0" outlineLevel="0" collapsed="0">
      <c r="A12" s="10" t="s">
        <v>80</v>
      </c>
      <c r="B12" s="4" t="s">
        <v>81</v>
      </c>
      <c r="C12" s="4" t="s">
        <v>78</v>
      </c>
      <c r="D12" s="11">
        <v>-689.4</v>
      </c>
      <c r="E12" s="4" t="s">
        <v>49</v>
      </c>
      <c r="F12" s="4" t="s">
        <v>63</v>
      </c>
      <c r="G12" s="4" t="s">
        <v>64</v>
      </c>
      <c r="H12" s="4" t="s">
        <v>79</v>
      </c>
      <c r="I12" s="4" t="s">
        <v>53</v>
      </c>
      <c r="J12" s="4" t="s">
        <v>54</v>
      </c>
      <c r="K12" s="4" t="s">
        <v>55</v>
      </c>
      <c r="L12" s="4" t="s">
        <v>56</v>
      </c>
      <c r="M12" s="4" t="s">
        <v>57</v>
      </c>
      <c r="N12" s="4" t="s">
        <v>58</v>
      </c>
      <c r="O12" s="12" t="s">
        <v>59</v>
      </c>
      <c r="P12" s="4" t="s">
        <v>60</v>
      </c>
      <c r="Q12" s="4" t="s">
        <v>23</v>
      </c>
    </row>
    <row r="13" ht="35.05" hidden="0" outlineLevel="0" collapsed="0">
      <c r="A13" s="10" t="s">
        <v>82</v>
      </c>
      <c r="B13" s="4" t="s">
        <v>83</v>
      </c>
      <c r="C13" s="4" t="s">
        <v>78</v>
      </c>
      <c r="D13" s="11">
        <v>-611.2</v>
      </c>
      <c r="E13" s="4" t="s">
        <v>49</v>
      </c>
      <c r="F13" s="4" t="s">
        <v>67</v>
      </c>
      <c r="G13" s="4" t="s">
        <v>7</v>
      </c>
      <c r="H13" s="4" t="s">
        <v>79</v>
      </c>
      <c r="I13" s="4" t="s">
        <v>53</v>
      </c>
      <c r="J13" s="4" t="s">
        <v>54</v>
      </c>
      <c r="K13" s="4" t="s">
        <v>55</v>
      </c>
      <c r="L13" s="4" t="s">
        <v>56</v>
      </c>
      <c r="M13" s="4" t="s">
        <v>57</v>
      </c>
      <c r="N13" s="4" t="s">
        <v>58</v>
      </c>
      <c r="O13" s="12" t="s">
        <v>59</v>
      </c>
      <c r="P13" s="4" t="s">
        <v>60</v>
      </c>
      <c r="Q13" s="4" t="s">
        <v>23</v>
      </c>
    </row>
    <row r="14" ht="35.05" hidden="0" outlineLevel="0" collapsed="0">
      <c r="A14" s="10" t="s">
        <v>84</v>
      </c>
      <c r="B14" s="4" t="s">
        <v>85</v>
      </c>
      <c r="C14" s="4" t="s">
        <v>86</v>
      </c>
      <c r="D14" s="11">
        <v>897</v>
      </c>
      <c r="E14" s="4" t="s">
        <v>49</v>
      </c>
      <c r="F14" s="4" t="s">
        <v>50</v>
      </c>
      <c r="G14" s="4" t="s">
        <v>51</v>
      </c>
      <c r="H14" s="4" t="s">
        <v>87</v>
      </c>
      <c r="I14" s="4" t="s">
        <v>53</v>
      </c>
      <c r="J14" s="4" t="s">
        <v>54</v>
      </c>
      <c r="K14" s="4" t="s">
        <v>55</v>
      </c>
      <c r="L14" s="4" t="s">
        <v>56</v>
      </c>
      <c r="M14" s="4" t="s">
        <v>57</v>
      </c>
      <c r="N14" s="4" t="s">
        <v>58</v>
      </c>
      <c r="O14" s="12" t="s">
        <v>59</v>
      </c>
      <c r="P14" s="4" t="s">
        <v>60</v>
      </c>
      <c r="Q14" s="4" t="s">
        <v>23</v>
      </c>
    </row>
    <row r="15" ht="35.05" hidden="0" outlineLevel="0" collapsed="0">
      <c r="A15" s="10" t="s">
        <v>88</v>
      </c>
      <c r="B15" s="4" t="s">
        <v>89</v>
      </c>
      <c r="C15" s="4" t="s">
        <v>86</v>
      </c>
      <c r="D15" s="11">
        <v>756.3</v>
      </c>
      <c r="E15" s="4" t="s">
        <v>49</v>
      </c>
      <c r="F15" s="4" t="s">
        <v>63</v>
      </c>
      <c r="G15" s="4" t="s">
        <v>64</v>
      </c>
      <c r="H15" s="4" t="s">
        <v>87</v>
      </c>
      <c r="I15" s="4" t="s">
        <v>53</v>
      </c>
      <c r="J15" s="4" t="s">
        <v>54</v>
      </c>
      <c r="K15" s="4" t="s">
        <v>55</v>
      </c>
      <c r="L15" s="4" t="s">
        <v>56</v>
      </c>
      <c r="M15" s="4" t="s">
        <v>57</v>
      </c>
      <c r="N15" s="4" t="s">
        <v>58</v>
      </c>
      <c r="O15" s="12" t="s">
        <v>59</v>
      </c>
      <c r="P15" s="4" t="s">
        <v>60</v>
      </c>
      <c r="Q15" s="4" t="s">
        <v>23</v>
      </c>
    </row>
    <row r="16" ht="35.05" hidden="0" outlineLevel="0" collapsed="0">
      <c r="A16" s="10" t="s">
        <v>90</v>
      </c>
      <c r="B16" s="4" t="s">
        <v>91</v>
      </c>
      <c r="C16" s="4" t="s">
        <v>86</v>
      </c>
      <c r="D16" s="11">
        <v>805.9</v>
      </c>
      <c r="E16" s="4" t="s">
        <v>49</v>
      </c>
      <c r="F16" s="4" t="s">
        <v>67</v>
      </c>
      <c r="G16" s="4" t="s">
        <v>7</v>
      </c>
      <c r="H16" s="4" t="s">
        <v>87</v>
      </c>
      <c r="I16" s="4" t="s">
        <v>53</v>
      </c>
      <c r="J16" s="4" t="s">
        <v>54</v>
      </c>
      <c r="K16" s="4" t="s">
        <v>55</v>
      </c>
      <c r="L16" s="4" t="s">
        <v>56</v>
      </c>
      <c r="M16" s="4" t="s">
        <v>57</v>
      </c>
      <c r="N16" s="4" t="s">
        <v>58</v>
      </c>
      <c r="O16" s="12" t="s">
        <v>59</v>
      </c>
      <c r="P16" s="4" t="s">
        <v>60</v>
      </c>
      <c r="Q16" s="4" t="s">
        <v>23</v>
      </c>
    </row>
    <row r="17" ht="35.05" hidden="0" outlineLevel="0" collapsed="0">
      <c r="A17" s="10" t="s">
        <v>92</v>
      </c>
      <c r="B17" s="4" t="s">
        <v>93</v>
      </c>
      <c r="C17" s="4" t="s">
        <v>94</v>
      </c>
      <c r="D17" s="11">
        <v>1008.3</v>
      </c>
      <c r="E17" s="4" t="s">
        <v>49</v>
      </c>
      <c r="F17" s="4" t="s">
        <v>50</v>
      </c>
      <c r="G17" s="4" t="s">
        <v>51</v>
      </c>
      <c r="H17" s="4" t="s">
        <v>95</v>
      </c>
      <c r="I17" s="4" t="s">
        <v>53</v>
      </c>
      <c r="J17" s="4" t="s">
        <v>54</v>
      </c>
      <c r="K17" s="4" t="s">
        <v>55</v>
      </c>
      <c r="L17" s="4" t="s">
        <v>56</v>
      </c>
      <c r="M17" s="4" t="s">
        <v>57</v>
      </c>
      <c r="N17" s="4" t="s">
        <v>58</v>
      </c>
      <c r="O17" s="12" t="s">
        <v>59</v>
      </c>
      <c r="P17" s="4" t="s">
        <v>60</v>
      </c>
      <c r="Q17" s="4" t="s">
        <v>23</v>
      </c>
    </row>
    <row r="18" ht="35.05" hidden="0" outlineLevel="0" collapsed="0">
      <c r="A18" s="10" t="s">
        <v>96</v>
      </c>
      <c r="B18" s="4" t="s">
        <v>97</v>
      </c>
      <c r="C18" s="4" t="s">
        <v>94</v>
      </c>
      <c r="D18" s="11">
        <v>968.3</v>
      </c>
      <c r="E18" s="4" t="s">
        <v>49</v>
      </c>
      <c r="F18" s="4" t="s">
        <v>63</v>
      </c>
      <c r="G18" s="4" t="s">
        <v>64</v>
      </c>
      <c r="H18" s="4" t="s">
        <v>95</v>
      </c>
      <c r="I18" s="4" t="s">
        <v>53</v>
      </c>
      <c r="J18" s="4" t="s">
        <v>54</v>
      </c>
      <c r="K18" s="4" t="s">
        <v>55</v>
      </c>
      <c r="L18" s="4" t="s">
        <v>56</v>
      </c>
      <c r="M18" s="4" t="s">
        <v>57</v>
      </c>
      <c r="N18" s="4" t="s">
        <v>58</v>
      </c>
      <c r="O18" s="12" t="s">
        <v>59</v>
      </c>
      <c r="P18" s="4" t="s">
        <v>60</v>
      </c>
      <c r="Q18" s="4" t="s">
        <v>23</v>
      </c>
    </row>
    <row r="19" ht="35.05" hidden="0" outlineLevel="0" collapsed="0">
      <c r="A19" s="10" t="s">
        <v>98</v>
      </c>
      <c r="B19" s="4" t="s">
        <v>99</v>
      </c>
      <c r="C19" s="4" t="s">
        <v>94</v>
      </c>
      <c r="D19" s="11">
        <v>904.9</v>
      </c>
      <c r="E19" s="4" t="s">
        <v>49</v>
      </c>
      <c r="F19" s="4" t="s">
        <v>67</v>
      </c>
      <c r="G19" s="4" t="s">
        <v>7</v>
      </c>
      <c r="H19" s="4" t="s">
        <v>95</v>
      </c>
      <c r="I19" s="4" t="s">
        <v>53</v>
      </c>
      <c r="J19" s="4" t="s">
        <v>54</v>
      </c>
      <c r="K19" s="4" t="s">
        <v>55</v>
      </c>
      <c r="L19" s="4" t="s">
        <v>56</v>
      </c>
      <c r="M19" s="4" t="s">
        <v>57</v>
      </c>
      <c r="N19" s="4" t="s">
        <v>58</v>
      </c>
      <c r="O19" s="12" t="s">
        <v>59</v>
      </c>
      <c r="P19" s="4" t="s">
        <v>60</v>
      </c>
      <c r="Q19" s="4" t="s">
        <v>23</v>
      </c>
    </row>
    <row r="20" ht="23.85" hidden="0" outlineLevel="0" collapsed="0">
      <c r="A20" s="10" t="s">
        <v>100</v>
      </c>
      <c r="B20" s="4" t="s">
        <v>101</v>
      </c>
      <c r="C20" s="4" t="s">
        <v>102</v>
      </c>
      <c r="D20" s="11">
        <v>725.3</v>
      </c>
      <c r="E20" s="4" t="s">
        <v>49</v>
      </c>
      <c r="F20" s="4" t="s">
        <v>103</v>
      </c>
      <c r="G20" s="4" t="s">
        <v>7</v>
      </c>
      <c r="H20" s="4" t="s">
        <v>104</v>
      </c>
      <c r="I20" s="4" t="s">
        <v>53</v>
      </c>
      <c r="J20" s="4" t="s">
        <v>54</v>
      </c>
      <c r="K20" s="4" t="s">
        <v>55</v>
      </c>
      <c r="L20" s="4" t="s">
        <v>105</v>
      </c>
      <c r="M20" s="4" t="s">
        <v>57</v>
      </c>
      <c r="N20" s="4" t="s">
        <v>58</v>
      </c>
      <c r="O20" s="12" t="s">
        <v>106</v>
      </c>
      <c r="P20" s="4" t="s">
        <v>107</v>
      </c>
      <c r="Q20" s="4" t="s">
        <v>108</v>
      </c>
    </row>
    <row r="21" ht="23.85" hidden="0" outlineLevel="0" collapsed="0">
      <c r="A21" s="10" t="s">
        <v>109</v>
      </c>
      <c r="B21" s="4" t="s">
        <v>110</v>
      </c>
      <c r="C21" s="4" t="s">
        <v>102</v>
      </c>
      <c r="D21" s="11">
        <v>640.1</v>
      </c>
      <c r="E21" s="4" t="s">
        <v>49</v>
      </c>
      <c r="F21" s="4" t="s">
        <v>103</v>
      </c>
      <c r="G21" s="4" t="s">
        <v>7</v>
      </c>
      <c r="H21" s="4" t="s">
        <v>111</v>
      </c>
      <c r="I21" s="4" t="s">
        <v>53</v>
      </c>
      <c r="J21" s="4" t="s">
        <v>54</v>
      </c>
      <c r="K21" s="4" t="s">
        <v>55</v>
      </c>
      <c r="L21" s="4" t="s">
        <v>105</v>
      </c>
      <c r="M21" s="4" t="s">
        <v>57</v>
      </c>
      <c r="N21" s="4" t="s">
        <v>58</v>
      </c>
      <c r="O21" s="12" t="s">
        <v>106</v>
      </c>
      <c r="P21" s="4" t="s">
        <v>107</v>
      </c>
      <c r="Q21" s="4" t="s">
        <v>108</v>
      </c>
    </row>
    <row r="22" ht="35.05" hidden="0" outlineLevel="0" collapsed="0">
      <c r="A22" s="10" t="s">
        <v>112</v>
      </c>
      <c r="B22" s="4" t="s">
        <v>113</v>
      </c>
      <c r="C22" s="4" t="s">
        <v>114</v>
      </c>
      <c r="D22" s="11">
        <v>13594.6</v>
      </c>
      <c r="E22" s="4" t="s">
        <v>49</v>
      </c>
      <c r="F22" s="4" t="s">
        <v>115</v>
      </c>
      <c r="G22" s="4" t="s">
        <v>51</v>
      </c>
      <c r="H22" s="4" t="s">
        <v>116</v>
      </c>
      <c r="I22" s="4" t="s">
        <v>53</v>
      </c>
      <c r="J22" s="4" t="s">
        <v>117</v>
      </c>
      <c r="K22" s="4" t="s">
        <v>118</v>
      </c>
      <c r="L22" s="4" t="s">
        <v>56</v>
      </c>
      <c r="M22" s="4" t="s">
        <v>57</v>
      </c>
      <c r="N22" s="4" t="s">
        <v>58</v>
      </c>
      <c r="O22" s="12" t="s">
        <v>59</v>
      </c>
      <c r="P22" s="4" t="s">
        <v>60</v>
      </c>
      <c r="Q22" s="4" t="s">
        <v>23</v>
      </c>
    </row>
    <row r="23" ht="35.05" hidden="0" outlineLevel="0" collapsed="0">
      <c r="A23" s="10" t="s">
        <v>119</v>
      </c>
      <c r="B23" s="4" t="s">
        <v>120</v>
      </c>
      <c r="C23" s="4" t="s">
        <v>114</v>
      </c>
      <c r="D23" s="11">
        <v>12783.7</v>
      </c>
      <c r="E23" s="4" t="s">
        <v>49</v>
      </c>
      <c r="F23" s="4" t="s">
        <v>115</v>
      </c>
      <c r="G23" s="4" t="s">
        <v>64</v>
      </c>
      <c r="H23" s="4" t="s">
        <v>116</v>
      </c>
      <c r="I23" s="4" t="s">
        <v>53</v>
      </c>
      <c r="J23" s="4" t="s">
        <v>54</v>
      </c>
      <c r="K23" s="4" t="s">
        <v>55</v>
      </c>
      <c r="L23" s="4" t="s">
        <v>56</v>
      </c>
      <c r="M23" s="4" t="s">
        <v>57</v>
      </c>
      <c r="N23" s="4" t="s">
        <v>58</v>
      </c>
      <c r="O23" s="12" t="s">
        <v>59</v>
      </c>
      <c r="P23" s="4" t="s">
        <v>60</v>
      </c>
      <c r="Q23" s="4" t="s">
        <v>23</v>
      </c>
    </row>
    <row r="24" ht="35.05" hidden="0" outlineLevel="0" collapsed="0">
      <c r="A24" s="10" t="s">
        <v>121</v>
      </c>
      <c r="B24" s="4" t="s">
        <v>122</v>
      </c>
      <c r="C24" s="4" t="s">
        <v>114</v>
      </c>
      <c r="D24" s="11">
        <v>12225.9</v>
      </c>
      <c r="E24" s="4" t="s">
        <v>49</v>
      </c>
      <c r="F24" s="4" t="s">
        <v>115</v>
      </c>
      <c r="G24" s="4" t="s">
        <v>7</v>
      </c>
      <c r="H24" s="4" t="s">
        <v>116</v>
      </c>
      <c r="I24" s="4" t="s">
        <v>53</v>
      </c>
      <c r="J24" s="4" t="s">
        <v>54</v>
      </c>
      <c r="K24" s="4" t="s">
        <v>55</v>
      </c>
      <c r="L24" s="4" t="s">
        <v>56</v>
      </c>
      <c r="M24" s="4" t="s">
        <v>57</v>
      </c>
      <c r="N24" s="4" t="s">
        <v>58</v>
      </c>
      <c r="O24" s="12" t="s">
        <v>59</v>
      </c>
      <c r="P24" s="4" t="s">
        <v>60</v>
      </c>
      <c r="Q24" s="4" t="s">
        <v>23</v>
      </c>
    </row>
    <row r="25" ht="35.05" hidden="0" outlineLevel="0" collapsed="0">
      <c r="A25" s="10" t="s">
        <v>123</v>
      </c>
      <c r="B25" s="4" t="s">
        <v>124</v>
      </c>
      <c r="C25" s="4" t="s">
        <v>125</v>
      </c>
      <c r="D25" s="11">
        <v>1763.5</v>
      </c>
      <c r="E25" s="4" t="s">
        <v>49</v>
      </c>
      <c r="F25" s="4" t="s">
        <v>115</v>
      </c>
      <c r="G25" s="4" t="s">
        <v>51</v>
      </c>
      <c r="H25" s="4" t="s">
        <v>126</v>
      </c>
      <c r="I25" s="4" t="s">
        <v>53</v>
      </c>
      <c r="J25" s="4" t="s">
        <v>117</v>
      </c>
      <c r="K25" s="4" t="s">
        <v>118</v>
      </c>
      <c r="L25" s="4" t="s">
        <v>56</v>
      </c>
      <c r="M25" s="4" t="s">
        <v>57</v>
      </c>
      <c r="N25" s="4" t="s">
        <v>58</v>
      </c>
      <c r="O25" s="12" t="s">
        <v>59</v>
      </c>
      <c r="P25" s="4" t="s">
        <v>60</v>
      </c>
      <c r="Q25" s="4" t="s">
        <v>23</v>
      </c>
    </row>
    <row r="26" ht="35.05" hidden="0" outlineLevel="0" collapsed="0">
      <c r="A26" s="10" t="s">
        <v>127</v>
      </c>
      <c r="B26" s="4" t="s">
        <v>128</v>
      </c>
      <c r="C26" s="4" t="s">
        <v>125</v>
      </c>
      <c r="D26" s="11">
        <v>1088.6</v>
      </c>
      <c r="E26" s="4" t="s">
        <v>49</v>
      </c>
      <c r="F26" s="4" t="s">
        <v>115</v>
      </c>
      <c r="G26" s="4" t="s">
        <v>64</v>
      </c>
      <c r="H26" s="4" t="s">
        <v>126</v>
      </c>
      <c r="I26" s="4" t="s">
        <v>53</v>
      </c>
      <c r="J26" s="4" t="s">
        <v>54</v>
      </c>
      <c r="K26" s="4" t="s">
        <v>55</v>
      </c>
      <c r="L26" s="4" t="s">
        <v>56</v>
      </c>
      <c r="M26" s="4" t="s">
        <v>57</v>
      </c>
      <c r="N26" s="4" t="s">
        <v>58</v>
      </c>
      <c r="O26" s="12" t="s">
        <v>59</v>
      </c>
      <c r="P26" s="4" t="s">
        <v>60</v>
      </c>
      <c r="Q26" s="4" t="s">
        <v>23</v>
      </c>
    </row>
    <row r="27" ht="35.05" hidden="0" outlineLevel="0" collapsed="0">
      <c r="A27" s="10" t="s">
        <v>129</v>
      </c>
      <c r="B27" s="4" t="s">
        <v>130</v>
      </c>
      <c r="C27" s="4" t="s">
        <v>125</v>
      </c>
      <c r="D27" s="11">
        <v>555.6</v>
      </c>
      <c r="E27" s="4" t="s">
        <v>49</v>
      </c>
      <c r="F27" s="4" t="s">
        <v>115</v>
      </c>
      <c r="G27" s="4" t="s">
        <v>7</v>
      </c>
      <c r="H27" s="4" t="s">
        <v>126</v>
      </c>
      <c r="I27" s="4" t="s">
        <v>53</v>
      </c>
      <c r="J27" s="4" t="s">
        <v>54</v>
      </c>
      <c r="K27" s="4" t="s">
        <v>55</v>
      </c>
      <c r="L27" s="4" t="s">
        <v>56</v>
      </c>
      <c r="M27" s="4" t="s">
        <v>57</v>
      </c>
      <c r="N27" s="4" t="s">
        <v>58</v>
      </c>
      <c r="O27" s="12" t="s">
        <v>59</v>
      </c>
      <c r="P27" s="4" t="s">
        <v>60</v>
      </c>
      <c r="Q27" s="4" t="s">
        <v>23</v>
      </c>
    </row>
    <row r="28" ht="35.05" hidden="0" outlineLevel="0" collapsed="0">
      <c r="A28" s="10" t="s">
        <v>131</v>
      </c>
      <c r="B28" s="4" t="s">
        <v>132</v>
      </c>
      <c r="C28" s="4" t="s">
        <v>133</v>
      </c>
      <c r="D28" s="11">
        <v>988.6</v>
      </c>
      <c r="E28" s="4" t="s">
        <v>49</v>
      </c>
      <c r="F28" s="4" t="s">
        <v>115</v>
      </c>
      <c r="G28" s="4" t="s">
        <v>51</v>
      </c>
      <c r="H28" s="4" t="s">
        <v>134</v>
      </c>
      <c r="I28" s="4" t="s">
        <v>53</v>
      </c>
      <c r="J28" s="4" t="s">
        <v>117</v>
      </c>
      <c r="K28" s="4" t="s">
        <v>118</v>
      </c>
      <c r="L28" s="4" t="s">
        <v>56</v>
      </c>
      <c r="M28" s="4" t="s">
        <v>57</v>
      </c>
      <c r="N28" s="4" t="s">
        <v>58</v>
      </c>
      <c r="O28" s="12" t="s">
        <v>59</v>
      </c>
      <c r="P28" s="4" t="s">
        <v>60</v>
      </c>
      <c r="Q28" s="4" t="s">
        <v>23</v>
      </c>
    </row>
    <row r="29" ht="35.05" hidden="0" outlineLevel="0" collapsed="0">
      <c r="A29" s="10" t="s">
        <v>135</v>
      </c>
      <c r="B29" s="4" t="s">
        <v>136</v>
      </c>
      <c r="C29" s="4" t="s">
        <v>133</v>
      </c>
      <c r="D29" s="11">
        <v>654.3</v>
      </c>
      <c r="E29" s="4" t="s">
        <v>49</v>
      </c>
      <c r="F29" s="4" t="s">
        <v>115</v>
      </c>
      <c r="G29" s="4" t="s">
        <v>64</v>
      </c>
      <c r="H29" s="4" t="s">
        <v>134</v>
      </c>
      <c r="I29" s="4" t="s">
        <v>53</v>
      </c>
      <c r="J29" s="4" t="s">
        <v>54</v>
      </c>
      <c r="K29" s="4" t="s">
        <v>55</v>
      </c>
      <c r="L29" s="4" t="s">
        <v>56</v>
      </c>
      <c r="M29" s="4" t="s">
        <v>57</v>
      </c>
      <c r="N29" s="4" t="s">
        <v>58</v>
      </c>
      <c r="O29" s="12" t="s">
        <v>59</v>
      </c>
      <c r="P29" s="4" t="s">
        <v>60</v>
      </c>
      <c r="Q29" s="4" t="s">
        <v>23</v>
      </c>
    </row>
    <row r="30" ht="35.05" hidden="0" outlineLevel="0" collapsed="0">
      <c r="A30" s="10" t="s">
        <v>137</v>
      </c>
      <c r="B30" s="4" t="s">
        <v>138</v>
      </c>
      <c r="C30" s="4" t="s">
        <v>133</v>
      </c>
      <c r="D30" s="11">
        <v>783.9</v>
      </c>
      <c r="E30" s="4" t="s">
        <v>49</v>
      </c>
      <c r="F30" s="4" t="s">
        <v>115</v>
      </c>
      <c r="G30" s="4" t="s">
        <v>7</v>
      </c>
      <c r="H30" s="4" t="s">
        <v>134</v>
      </c>
      <c r="I30" s="4" t="s">
        <v>53</v>
      </c>
      <c r="J30" s="4" t="s">
        <v>54</v>
      </c>
      <c r="K30" s="4" t="s">
        <v>55</v>
      </c>
      <c r="L30" s="4" t="s">
        <v>56</v>
      </c>
      <c r="M30" s="4" t="s">
        <v>57</v>
      </c>
      <c r="N30" s="4" t="s">
        <v>58</v>
      </c>
      <c r="O30" s="12" t="s">
        <v>59</v>
      </c>
      <c r="P30" s="4" t="s">
        <v>60</v>
      </c>
      <c r="Q30" s="4" t="s">
        <v>23</v>
      </c>
    </row>
    <row r="31" ht="35.05" hidden="0" outlineLevel="0" collapsed="0">
      <c r="A31" s="10" t="s">
        <v>139</v>
      </c>
      <c r="B31" s="4" t="s">
        <v>140</v>
      </c>
      <c r="C31" s="4" t="s">
        <v>141</v>
      </c>
      <c r="D31" s="11">
        <v>8179.9</v>
      </c>
      <c r="E31" s="4" t="s">
        <v>49</v>
      </c>
      <c r="F31" s="4" t="s">
        <v>115</v>
      </c>
      <c r="G31" s="4" t="s">
        <v>51</v>
      </c>
      <c r="H31" s="4" t="s">
        <v>142</v>
      </c>
      <c r="I31" s="4" t="s">
        <v>53</v>
      </c>
      <c r="J31" s="4" t="s">
        <v>117</v>
      </c>
      <c r="K31" s="4" t="s">
        <v>118</v>
      </c>
      <c r="L31" s="4" t="s">
        <v>56</v>
      </c>
      <c r="M31" s="4" t="s">
        <v>57</v>
      </c>
      <c r="N31" s="4" t="s">
        <v>58</v>
      </c>
      <c r="O31" s="12" t="s">
        <v>59</v>
      </c>
      <c r="P31" s="4" t="s">
        <v>60</v>
      </c>
      <c r="Q31" s="4" t="s">
        <v>23</v>
      </c>
    </row>
    <row r="32" ht="35.05" hidden="0" outlineLevel="0" collapsed="0">
      <c r="A32" s="10" t="s">
        <v>143</v>
      </c>
      <c r="B32" s="4" t="s">
        <v>144</v>
      </c>
      <c r="C32" s="4" t="s">
        <v>141</v>
      </c>
      <c r="D32" s="11">
        <v>8080.2</v>
      </c>
      <c r="E32" s="4" t="s">
        <v>49</v>
      </c>
      <c r="F32" s="4" t="s">
        <v>115</v>
      </c>
      <c r="G32" s="4" t="s">
        <v>64</v>
      </c>
      <c r="H32" s="4" t="s">
        <v>142</v>
      </c>
      <c r="I32" s="4" t="s">
        <v>53</v>
      </c>
      <c r="J32" s="4" t="s">
        <v>54</v>
      </c>
      <c r="K32" s="4" t="s">
        <v>55</v>
      </c>
      <c r="L32" s="4" t="s">
        <v>56</v>
      </c>
      <c r="M32" s="4" t="s">
        <v>57</v>
      </c>
      <c r="N32" s="4" t="s">
        <v>58</v>
      </c>
      <c r="O32" s="12" t="s">
        <v>59</v>
      </c>
      <c r="P32" s="4" t="s">
        <v>60</v>
      </c>
      <c r="Q32" s="4" t="s">
        <v>23</v>
      </c>
    </row>
    <row r="33" ht="35.05" hidden="0" outlineLevel="0" collapsed="0">
      <c r="A33" s="10" t="s">
        <v>145</v>
      </c>
      <c r="B33" s="4" t="s">
        <v>146</v>
      </c>
      <c r="C33" s="4" t="s">
        <v>141</v>
      </c>
      <c r="D33" s="11">
        <v>8279.2</v>
      </c>
      <c r="E33" s="4" t="s">
        <v>49</v>
      </c>
      <c r="F33" s="4" t="s">
        <v>115</v>
      </c>
      <c r="G33" s="4" t="s">
        <v>7</v>
      </c>
      <c r="H33" s="4" t="s">
        <v>142</v>
      </c>
      <c r="I33" s="4" t="s">
        <v>53</v>
      </c>
      <c r="J33" s="4" t="s">
        <v>54</v>
      </c>
      <c r="K33" s="4" t="s">
        <v>55</v>
      </c>
      <c r="L33" s="4" t="s">
        <v>56</v>
      </c>
      <c r="M33" s="4" t="s">
        <v>57</v>
      </c>
      <c r="N33" s="4" t="s">
        <v>58</v>
      </c>
      <c r="O33" s="12" t="s">
        <v>59</v>
      </c>
      <c r="P33" s="4" t="s">
        <v>60</v>
      </c>
      <c r="Q33" s="4" t="s">
        <v>23</v>
      </c>
    </row>
    <row r="34" ht="23.85" hidden="0" outlineLevel="0" collapsed="0">
      <c r="A34" s="10" t="s">
        <v>147</v>
      </c>
      <c r="B34" s="4" t="s">
        <v>148</v>
      </c>
      <c r="C34" s="4" t="s">
        <v>149</v>
      </c>
      <c r="D34" s="11">
        <v>0</v>
      </c>
      <c r="E34" s="4" t="s">
        <v>49</v>
      </c>
      <c r="F34" s="4" t="s">
        <v>103</v>
      </c>
      <c r="G34" s="4" t="s">
        <v>7</v>
      </c>
      <c r="H34" s="4" t="s">
        <v>150</v>
      </c>
      <c r="I34" s="4" t="s">
        <v>53</v>
      </c>
      <c r="J34" s="4" t="s">
        <v>54</v>
      </c>
      <c r="K34" s="4" t="s">
        <v>55</v>
      </c>
      <c r="L34" s="4" t="s">
        <v>105</v>
      </c>
      <c r="M34" s="4" t="s">
        <v>57</v>
      </c>
      <c r="N34" s="4" t="s">
        <v>58</v>
      </c>
      <c r="O34" s="12" t="s">
        <v>106</v>
      </c>
      <c r="P34" s="4" t="s">
        <v>107</v>
      </c>
      <c r="Q34" s="4" t="s">
        <v>108</v>
      </c>
    </row>
    <row r="35" ht="23.85" hidden="0" outlineLevel="0" collapsed="0">
      <c r="A35" s="10" t="s">
        <v>151</v>
      </c>
      <c r="B35" s="4" t="s">
        <v>152</v>
      </c>
      <c r="C35" s="4" t="s">
        <v>149</v>
      </c>
      <c r="D35" s="11">
        <v>0</v>
      </c>
      <c r="E35" s="4" t="s">
        <v>49</v>
      </c>
      <c r="F35" s="4" t="s">
        <v>103</v>
      </c>
      <c r="G35" s="4" t="s">
        <v>7</v>
      </c>
      <c r="H35" s="4" t="s">
        <v>153</v>
      </c>
      <c r="I35" s="4" t="s">
        <v>53</v>
      </c>
      <c r="J35" s="4" t="s">
        <v>54</v>
      </c>
      <c r="K35" s="4" t="s">
        <v>55</v>
      </c>
      <c r="L35" s="4" t="s">
        <v>105</v>
      </c>
      <c r="M35" s="4" t="s">
        <v>57</v>
      </c>
      <c r="N35" s="4" t="s">
        <v>58</v>
      </c>
      <c r="O35" s="12" t="s">
        <v>106</v>
      </c>
      <c r="P35" s="4" t="s">
        <v>107</v>
      </c>
      <c r="Q35" s="4" t="s">
        <v>108</v>
      </c>
    </row>
    <row r="36" ht="23.85" hidden="0" outlineLevel="0" collapsed="0">
      <c r="A36" s="10" t="s">
        <v>154</v>
      </c>
      <c r="B36" s="4" t="s">
        <v>155</v>
      </c>
      <c r="C36" s="4" t="s">
        <v>149</v>
      </c>
      <c r="D36" s="11">
        <v>0</v>
      </c>
      <c r="E36" s="4" t="s">
        <v>49</v>
      </c>
      <c r="F36" s="4" t="s">
        <v>103</v>
      </c>
      <c r="G36" s="4" t="s">
        <v>7</v>
      </c>
      <c r="H36" s="4" t="s">
        <v>156</v>
      </c>
      <c r="I36" s="4" t="s">
        <v>53</v>
      </c>
      <c r="J36" s="4" t="s">
        <v>54</v>
      </c>
      <c r="K36" s="4" t="s">
        <v>55</v>
      </c>
      <c r="L36" s="4" t="s">
        <v>105</v>
      </c>
      <c r="M36" s="4" t="s">
        <v>57</v>
      </c>
      <c r="N36" s="4" t="s">
        <v>58</v>
      </c>
      <c r="O36" s="12" t="s">
        <v>106</v>
      </c>
      <c r="P36" s="4" t="s">
        <v>107</v>
      </c>
      <c r="Q36" s="4" t="s">
        <v>108</v>
      </c>
    </row>
    <row r="37" ht="35.05" hidden="0" outlineLevel="0" collapsed="0">
      <c r="A37" s="10" t="s">
        <v>157</v>
      </c>
      <c r="B37" s="4" t="s">
        <v>158</v>
      </c>
      <c r="C37" s="4" t="s">
        <v>159</v>
      </c>
      <c r="D37" s="11">
        <v>5.5</v>
      </c>
      <c r="E37" s="4" t="s">
        <v>49</v>
      </c>
      <c r="F37" s="4" t="s">
        <v>115</v>
      </c>
      <c r="G37" s="4" t="s">
        <v>51</v>
      </c>
      <c r="H37" s="4" t="s">
        <v>160</v>
      </c>
      <c r="I37" s="4" t="s">
        <v>53</v>
      </c>
      <c r="J37" s="4" t="s">
        <v>117</v>
      </c>
      <c r="K37" s="4" t="s">
        <v>118</v>
      </c>
      <c r="L37" s="4" t="s">
        <v>56</v>
      </c>
      <c r="M37" s="4" t="s">
        <v>57</v>
      </c>
      <c r="N37" s="4" t="s">
        <v>58</v>
      </c>
      <c r="O37" s="12" t="s">
        <v>59</v>
      </c>
      <c r="P37" s="4" t="s">
        <v>60</v>
      </c>
      <c r="Q37" s="4" t="s">
        <v>23</v>
      </c>
    </row>
    <row r="38" ht="35.05" hidden="0" outlineLevel="0" collapsed="0">
      <c r="A38" s="10" t="s">
        <v>161</v>
      </c>
      <c r="B38" s="4" t="s">
        <v>162</v>
      </c>
      <c r="C38" s="4" t="s">
        <v>159</v>
      </c>
      <c r="D38" s="11">
        <v>4.6</v>
      </c>
      <c r="E38" s="4" t="s">
        <v>49</v>
      </c>
      <c r="F38" s="4" t="s">
        <v>115</v>
      </c>
      <c r="G38" s="4" t="s">
        <v>64</v>
      </c>
      <c r="H38" s="4" t="s">
        <v>160</v>
      </c>
      <c r="I38" s="4" t="s">
        <v>53</v>
      </c>
      <c r="J38" s="4" t="s">
        <v>54</v>
      </c>
      <c r="K38" s="4" t="s">
        <v>55</v>
      </c>
      <c r="L38" s="4" t="s">
        <v>56</v>
      </c>
      <c r="M38" s="4" t="s">
        <v>57</v>
      </c>
      <c r="N38" s="4" t="s">
        <v>58</v>
      </c>
      <c r="O38" s="12" t="s">
        <v>59</v>
      </c>
      <c r="P38" s="4" t="s">
        <v>60</v>
      </c>
      <c r="Q38" s="4" t="s">
        <v>23</v>
      </c>
    </row>
    <row r="39" ht="35.05" hidden="0" outlineLevel="0" collapsed="0">
      <c r="A39" s="10" t="s">
        <v>163</v>
      </c>
      <c r="B39" s="4" t="s">
        <v>164</v>
      </c>
      <c r="C39" s="4" t="s">
        <v>159</v>
      </c>
      <c r="D39" s="11">
        <v>8.7</v>
      </c>
      <c r="E39" s="4" t="s">
        <v>49</v>
      </c>
      <c r="F39" s="4" t="s">
        <v>115</v>
      </c>
      <c r="G39" s="4" t="s">
        <v>7</v>
      </c>
      <c r="H39" s="4" t="s">
        <v>160</v>
      </c>
      <c r="I39" s="4" t="s">
        <v>53</v>
      </c>
      <c r="J39" s="4" t="s">
        <v>54</v>
      </c>
      <c r="K39" s="4" t="s">
        <v>55</v>
      </c>
      <c r="L39" s="4" t="s">
        <v>56</v>
      </c>
      <c r="M39" s="4" t="s">
        <v>57</v>
      </c>
      <c r="N39" s="4" t="s">
        <v>58</v>
      </c>
      <c r="O39" s="12" t="s">
        <v>59</v>
      </c>
      <c r="P39" s="4" t="s">
        <v>60</v>
      </c>
      <c r="Q39" s="4" t="s">
        <v>23</v>
      </c>
    </row>
    <row r="40" ht="35.05" hidden="0" outlineLevel="0" collapsed="0">
      <c r="A40" s="10" t="s">
        <v>165</v>
      </c>
      <c r="B40" s="4" t="s">
        <v>166</v>
      </c>
      <c r="C40" s="4" t="s">
        <v>167</v>
      </c>
      <c r="D40" s="11">
        <v>210</v>
      </c>
      <c r="E40" s="4" t="s">
        <v>168</v>
      </c>
      <c r="F40" s="4" t="s">
        <v>50</v>
      </c>
      <c r="G40" s="4" t="s">
        <v>51</v>
      </c>
      <c r="H40" s="4" t="s">
        <v>169</v>
      </c>
      <c r="I40" s="4" t="s">
        <v>53</v>
      </c>
      <c r="J40" s="4" t="s">
        <v>54</v>
      </c>
      <c r="K40" s="4" t="s">
        <v>55</v>
      </c>
      <c r="L40" s="4" t="s">
        <v>56</v>
      </c>
      <c r="M40" s="4" t="s">
        <v>57</v>
      </c>
      <c r="N40" s="4" t="s">
        <v>58</v>
      </c>
      <c r="O40" s="12" t="s">
        <v>59</v>
      </c>
      <c r="P40" s="4" t="s">
        <v>170</v>
      </c>
      <c r="Q40" s="4" t="s">
        <v>23</v>
      </c>
    </row>
    <row r="41" ht="35.05" hidden="0" outlineLevel="0" collapsed="0">
      <c r="A41" s="10" t="s">
        <v>171</v>
      </c>
      <c r="B41" s="4" t="s">
        <v>172</v>
      </c>
      <c r="C41" s="4" t="s">
        <v>167</v>
      </c>
      <c r="D41" s="11">
        <v>198.4</v>
      </c>
      <c r="E41" s="4" t="s">
        <v>168</v>
      </c>
      <c r="F41" s="4" t="s">
        <v>63</v>
      </c>
      <c r="G41" s="4" t="s">
        <v>64</v>
      </c>
      <c r="H41" s="4" t="s">
        <v>169</v>
      </c>
      <c r="I41" s="4" t="s">
        <v>53</v>
      </c>
      <c r="J41" s="4" t="s">
        <v>54</v>
      </c>
      <c r="K41" s="4" t="s">
        <v>55</v>
      </c>
      <c r="L41" s="4" t="s">
        <v>56</v>
      </c>
      <c r="M41" s="4" t="s">
        <v>57</v>
      </c>
      <c r="N41" s="4" t="s">
        <v>58</v>
      </c>
      <c r="O41" s="12" t="s">
        <v>59</v>
      </c>
      <c r="P41" s="4" t="s">
        <v>170</v>
      </c>
      <c r="Q41" s="4" t="s">
        <v>23</v>
      </c>
    </row>
    <row r="42" ht="35.05" hidden="0" outlineLevel="0" collapsed="0">
      <c r="A42" s="10" t="s">
        <v>173</v>
      </c>
      <c r="B42" s="4" t="s">
        <v>174</v>
      </c>
      <c r="C42" s="4" t="s">
        <v>167</v>
      </c>
      <c r="D42" s="11">
        <v>199.5</v>
      </c>
      <c r="E42" s="4" t="s">
        <v>168</v>
      </c>
      <c r="F42" s="4" t="s">
        <v>67</v>
      </c>
      <c r="G42" s="4" t="s">
        <v>7</v>
      </c>
      <c r="H42" s="4" t="s">
        <v>169</v>
      </c>
      <c r="I42" s="4" t="s">
        <v>53</v>
      </c>
      <c r="J42" s="4" t="s">
        <v>54</v>
      </c>
      <c r="K42" s="4" t="s">
        <v>55</v>
      </c>
      <c r="L42" s="4" t="s">
        <v>56</v>
      </c>
      <c r="M42" s="4" t="s">
        <v>57</v>
      </c>
      <c r="N42" s="4" t="s">
        <v>58</v>
      </c>
      <c r="O42" s="12" t="s">
        <v>59</v>
      </c>
      <c r="P42" s="4" t="s">
        <v>170</v>
      </c>
      <c r="Q42" s="4" t="s">
        <v>23</v>
      </c>
    </row>
    <row r="43" ht="23.85" hidden="0" outlineLevel="0" collapsed="0">
      <c r="A43" s="10" t="s">
        <v>175</v>
      </c>
      <c r="B43" s="4" t="s">
        <v>176</v>
      </c>
      <c r="C43" s="4" t="s">
        <v>177</v>
      </c>
      <c r="D43" s="11">
        <v>0</v>
      </c>
      <c r="E43" s="4" t="s">
        <v>178</v>
      </c>
      <c r="F43" s="4" t="s">
        <v>103</v>
      </c>
      <c r="G43" s="4" t="s">
        <v>103</v>
      </c>
      <c r="H43" s="4" t="s">
        <v>179</v>
      </c>
      <c r="I43" s="4" t="s">
        <v>103</v>
      </c>
      <c r="J43" s="4" t="s">
        <v>103</v>
      </c>
      <c r="K43" s="4" t="s">
        <v>103</v>
      </c>
      <c r="L43" s="4" t="s">
        <v>180</v>
      </c>
      <c r="M43" s="4" t="s">
        <v>181</v>
      </c>
      <c r="N43" s="4" t="s">
        <v>58</v>
      </c>
      <c r="O43" s="12" t="s">
        <v>106</v>
      </c>
      <c r="P43" s="4" t="s">
        <v>182</v>
      </c>
      <c r="Q43" s="4" t="s">
        <v>183</v>
      </c>
    </row>
    <row r="44" ht="23.85" hidden="0" outlineLevel="0" collapsed="0">
      <c r="A44" s="10" t="s">
        <v>184</v>
      </c>
      <c r="B44" s="4" t="s">
        <v>185</v>
      </c>
      <c r="C44" s="4" t="s">
        <v>186</v>
      </c>
      <c r="D44" s="11">
        <v>0.02</v>
      </c>
      <c r="E44" s="4" t="s">
        <v>178</v>
      </c>
      <c r="F44" s="4" t="s">
        <v>103</v>
      </c>
      <c r="G44" s="4" t="s">
        <v>103</v>
      </c>
      <c r="H44" s="4" t="s">
        <v>179</v>
      </c>
      <c r="I44" s="4" t="s">
        <v>103</v>
      </c>
      <c r="J44" s="4" t="s">
        <v>103</v>
      </c>
      <c r="K44" s="4" t="s">
        <v>103</v>
      </c>
      <c r="L44" s="4" t="s">
        <v>180</v>
      </c>
      <c r="M44" s="4" t="s">
        <v>181</v>
      </c>
      <c r="N44" s="4" t="s">
        <v>58</v>
      </c>
      <c r="O44" s="12" t="s">
        <v>106</v>
      </c>
      <c r="P44" s="4" t="s">
        <v>182</v>
      </c>
      <c r="Q44" s="4" t="s">
        <v>183</v>
      </c>
    </row>
    <row r="45" ht="23.85" hidden="0" outlineLevel="0" collapsed="0">
      <c r="A45" s="10" t="s">
        <v>187</v>
      </c>
      <c r="B45" s="4" t="s">
        <v>188</v>
      </c>
      <c r="C45" s="4" t="s">
        <v>189</v>
      </c>
      <c r="D45" s="11">
        <v>0.035</v>
      </c>
      <c r="E45" s="4" t="s">
        <v>178</v>
      </c>
      <c r="F45" s="4" t="s">
        <v>103</v>
      </c>
      <c r="G45" s="4" t="s">
        <v>103</v>
      </c>
      <c r="H45" s="4" t="s">
        <v>179</v>
      </c>
      <c r="I45" s="4" t="s">
        <v>103</v>
      </c>
      <c r="J45" s="4" t="s">
        <v>103</v>
      </c>
      <c r="K45" s="4" t="s">
        <v>103</v>
      </c>
      <c r="L45" s="4" t="s">
        <v>180</v>
      </c>
      <c r="M45" s="4" t="s">
        <v>181</v>
      </c>
      <c r="N45" s="4" t="s">
        <v>58</v>
      </c>
      <c r="O45" s="12" t="s">
        <v>106</v>
      </c>
      <c r="P45" s="4" t="s">
        <v>182</v>
      </c>
      <c r="Q45" s="4" t="s">
        <v>183</v>
      </c>
    </row>
    <row r="46" ht="23.85" hidden="0" outlineLevel="0" collapsed="0">
      <c r="A46" s="10" t="s">
        <v>190</v>
      </c>
      <c r="B46" s="4" t="s">
        <v>191</v>
      </c>
      <c r="C46" s="4" t="s">
        <v>192</v>
      </c>
      <c r="D46" s="11">
        <v>-0.04</v>
      </c>
      <c r="E46" s="4" t="s">
        <v>178</v>
      </c>
      <c r="F46" s="4" t="s">
        <v>103</v>
      </c>
      <c r="G46" s="4" t="s">
        <v>103</v>
      </c>
      <c r="H46" s="4" t="s">
        <v>179</v>
      </c>
      <c r="I46" s="4" t="s">
        <v>103</v>
      </c>
      <c r="J46" s="4" t="s">
        <v>103</v>
      </c>
      <c r="K46" s="4" t="s">
        <v>103</v>
      </c>
      <c r="L46" s="4" t="s">
        <v>180</v>
      </c>
      <c r="M46" s="4" t="s">
        <v>181</v>
      </c>
      <c r="N46" s="4" t="s">
        <v>58</v>
      </c>
      <c r="O46" s="12" t="s">
        <v>106</v>
      </c>
      <c r="P46" s="4" t="s">
        <v>182</v>
      </c>
      <c r="Q46" s="4" t="s">
        <v>193</v>
      </c>
    </row>
    <row r="47" ht="23.85" hidden="0" outlineLevel="0" collapsed="0">
      <c r="A47" s="10" t="s">
        <v>194</v>
      </c>
      <c r="B47" s="4" t="s">
        <v>195</v>
      </c>
      <c r="C47" s="4" t="s">
        <v>196</v>
      </c>
      <c r="D47" s="11">
        <v>-0.01</v>
      </c>
      <c r="E47" s="4" t="s">
        <v>178</v>
      </c>
      <c r="F47" s="4" t="s">
        <v>103</v>
      </c>
      <c r="G47" s="4" t="s">
        <v>103</v>
      </c>
      <c r="H47" s="4" t="s">
        <v>179</v>
      </c>
      <c r="I47" s="4" t="s">
        <v>103</v>
      </c>
      <c r="J47" s="4" t="s">
        <v>103</v>
      </c>
      <c r="K47" s="4" t="s">
        <v>103</v>
      </c>
      <c r="L47" s="4" t="s">
        <v>180</v>
      </c>
      <c r="M47" s="4" t="s">
        <v>181</v>
      </c>
      <c r="N47" s="4" t="s">
        <v>58</v>
      </c>
      <c r="O47" s="12" t="s">
        <v>106</v>
      </c>
      <c r="P47" s="4" t="s">
        <v>182</v>
      </c>
      <c r="Q47" s="4" t="s">
        <v>193</v>
      </c>
    </row>
    <row r="48" ht="23.85" hidden="0" outlineLevel="0" collapsed="0">
      <c r="A48" s="10" t="s">
        <v>197</v>
      </c>
      <c r="B48" s="4" t="s">
        <v>198</v>
      </c>
      <c r="C48" s="4" t="s">
        <v>199</v>
      </c>
      <c r="D48" s="11">
        <v>0.01</v>
      </c>
      <c r="E48" s="4" t="s">
        <v>178</v>
      </c>
      <c r="F48" s="4" t="s">
        <v>103</v>
      </c>
      <c r="G48" s="4" t="s">
        <v>103</v>
      </c>
      <c r="H48" s="4" t="s">
        <v>179</v>
      </c>
      <c r="I48" s="4" t="s">
        <v>103</v>
      </c>
      <c r="J48" s="4" t="s">
        <v>103</v>
      </c>
      <c r="K48" s="4" t="s">
        <v>103</v>
      </c>
      <c r="L48" s="4" t="s">
        <v>180</v>
      </c>
      <c r="M48" s="4" t="s">
        <v>181</v>
      </c>
      <c r="N48" s="4" t="s">
        <v>58</v>
      </c>
      <c r="O48" s="12" t="s">
        <v>106</v>
      </c>
      <c r="P48" s="4" t="s">
        <v>182</v>
      </c>
      <c r="Q48" s="4" t="s">
        <v>193</v>
      </c>
    </row>
    <row r="49" ht="23.85" hidden="0" outlineLevel="0" collapsed="0">
      <c r="A49" s="10" t="s">
        <v>200</v>
      </c>
      <c r="B49" s="4" t="s">
        <v>201</v>
      </c>
      <c r="C49" s="4" t="s">
        <v>202</v>
      </c>
      <c r="D49" s="11">
        <v>-0.02</v>
      </c>
      <c r="E49" s="4" t="s">
        <v>178</v>
      </c>
      <c r="F49" s="4" t="s">
        <v>103</v>
      </c>
      <c r="G49" s="4" t="s">
        <v>103</v>
      </c>
      <c r="H49" s="4" t="s">
        <v>179</v>
      </c>
      <c r="I49" s="4" t="s">
        <v>103</v>
      </c>
      <c r="J49" s="4" t="s">
        <v>103</v>
      </c>
      <c r="K49" s="4" t="s">
        <v>103</v>
      </c>
      <c r="L49" s="4" t="s">
        <v>180</v>
      </c>
      <c r="M49" s="4" t="s">
        <v>181</v>
      </c>
      <c r="N49" s="4" t="s">
        <v>58</v>
      </c>
      <c r="O49" s="12" t="s">
        <v>106</v>
      </c>
      <c r="P49" s="4" t="s">
        <v>182</v>
      </c>
      <c r="Q49" s="4" t="s">
        <v>203</v>
      </c>
    </row>
    <row r="50" ht="23.85" hidden="0" outlineLevel="0" collapsed="0">
      <c r="A50" s="10" t="s">
        <v>204</v>
      </c>
      <c r="B50" s="4" t="s">
        <v>205</v>
      </c>
      <c r="C50" s="4" t="s">
        <v>206</v>
      </c>
      <c r="D50" s="11">
        <v>0.02</v>
      </c>
      <c r="E50" s="4" t="s">
        <v>178</v>
      </c>
      <c r="F50" s="4" t="s">
        <v>103</v>
      </c>
      <c r="G50" s="4" t="s">
        <v>103</v>
      </c>
      <c r="H50" s="4" t="s">
        <v>179</v>
      </c>
      <c r="I50" s="4" t="s">
        <v>103</v>
      </c>
      <c r="J50" s="4" t="s">
        <v>103</v>
      </c>
      <c r="K50" s="4" t="s">
        <v>103</v>
      </c>
      <c r="L50" s="4" t="s">
        <v>180</v>
      </c>
      <c r="M50" s="4" t="s">
        <v>181</v>
      </c>
      <c r="N50" s="4" t="s">
        <v>58</v>
      </c>
      <c r="O50" s="12" t="s">
        <v>106</v>
      </c>
      <c r="P50" s="4" t="s">
        <v>182</v>
      </c>
      <c r="Q50" s="4" t="s">
        <v>203</v>
      </c>
    </row>
    <row r="51" ht="23.85" hidden="0" outlineLevel="0" collapsed="0">
      <c r="A51" s="10" t="s">
        <v>207</v>
      </c>
      <c r="B51" s="4" t="s">
        <v>208</v>
      </c>
      <c r="C51" s="4" t="s">
        <v>209</v>
      </c>
      <c r="D51" s="11">
        <v>0.04</v>
      </c>
      <c r="E51" s="4" t="s">
        <v>178</v>
      </c>
      <c r="F51" s="4" t="s">
        <v>103</v>
      </c>
      <c r="G51" s="4" t="s">
        <v>103</v>
      </c>
      <c r="H51" s="4" t="s">
        <v>179</v>
      </c>
      <c r="I51" s="4" t="s">
        <v>103</v>
      </c>
      <c r="J51" s="4" t="s">
        <v>103</v>
      </c>
      <c r="K51" s="4" t="s">
        <v>103</v>
      </c>
      <c r="L51" s="4" t="s">
        <v>180</v>
      </c>
      <c r="M51" s="4" t="s">
        <v>181</v>
      </c>
      <c r="N51" s="4" t="s">
        <v>58</v>
      </c>
      <c r="O51" s="12" t="s">
        <v>106</v>
      </c>
      <c r="P51" s="4" t="s">
        <v>182</v>
      </c>
      <c r="Q51" s="4" t="s">
        <v>203</v>
      </c>
    </row>
    <row r="52" ht="23.85" hidden="0" outlineLevel="0" collapsed="0">
      <c r="A52" s="10" t="s">
        <v>210</v>
      </c>
      <c r="B52" s="4" t="s">
        <v>211</v>
      </c>
      <c r="C52" s="4" t="s">
        <v>212</v>
      </c>
      <c r="D52" s="11">
        <v>-0.01</v>
      </c>
      <c r="E52" s="4" t="s">
        <v>178</v>
      </c>
      <c r="F52" s="4" t="s">
        <v>103</v>
      </c>
      <c r="G52" s="4" t="s">
        <v>103</v>
      </c>
      <c r="H52" s="4" t="s">
        <v>179</v>
      </c>
      <c r="I52" s="4" t="s">
        <v>103</v>
      </c>
      <c r="J52" s="4" t="s">
        <v>103</v>
      </c>
      <c r="K52" s="4" t="s">
        <v>103</v>
      </c>
      <c r="L52" s="4" t="s">
        <v>180</v>
      </c>
      <c r="M52" s="4" t="s">
        <v>181</v>
      </c>
      <c r="N52" s="4" t="s">
        <v>58</v>
      </c>
      <c r="O52" s="12" t="s">
        <v>106</v>
      </c>
      <c r="P52" s="4" t="s">
        <v>182</v>
      </c>
      <c r="Q52" s="4" t="s">
        <v>213</v>
      </c>
    </row>
    <row r="53" ht="23.85" hidden="0" outlineLevel="0" collapsed="0">
      <c r="A53" s="10" t="s">
        <v>214</v>
      </c>
      <c r="B53" s="4" t="s">
        <v>215</v>
      </c>
      <c r="C53" s="4" t="s">
        <v>216</v>
      </c>
      <c r="D53" s="11">
        <v>0.02</v>
      </c>
      <c r="E53" s="4" t="s">
        <v>178</v>
      </c>
      <c r="F53" s="4" t="s">
        <v>103</v>
      </c>
      <c r="G53" s="4" t="s">
        <v>103</v>
      </c>
      <c r="H53" s="4" t="s">
        <v>179</v>
      </c>
      <c r="I53" s="4" t="s">
        <v>103</v>
      </c>
      <c r="J53" s="4" t="s">
        <v>103</v>
      </c>
      <c r="K53" s="4" t="s">
        <v>103</v>
      </c>
      <c r="L53" s="4" t="s">
        <v>180</v>
      </c>
      <c r="M53" s="4" t="s">
        <v>181</v>
      </c>
      <c r="N53" s="4" t="s">
        <v>58</v>
      </c>
      <c r="O53" s="12" t="s">
        <v>106</v>
      </c>
      <c r="P53" s="4" t="s">
        <v>182</v>
      </c>
      <c r="Q53" s="4" t="s">
        <v>213</v>
      </c>
    </row>
    <row r="54" ht="23.85" hidden="0" outlineLevel="0" collapsed="0">
      <c r="A54" s="10" t="s">
        <v>217</v>
      </c>
      <c r="B54" s="4" t="s">
        <v>218</v>
      </c>
      <c r="C54" s="4" t="s">
        <v>219</v>
      </c>
      <c r="D54" s="11">
        <v>0.04</v>
      </c>
      <c r="E54" s="4" t="s">
        <v>178</v>
      </c>
      <c r="F54" s="4" t="s">
        <v>103</v>
      </c>
      <c r="G54" s="4" t="s">
        <v>103</v>
      </c>
      <c r="H54" s="4" t="s">
        <v>179</v>
      </c>
      <c r="I54" s="4" t="s">
        <v>103</v>
      </c>
      <c r="J54" s="4" t="s">
        <v>103</v>
      </c>
      <c r="K54" s="4" t="s">
        <v>103</v>
      </c>
      <c r="L54" s="4" t="s">
        <v>180</v>
      </c>
      <c r="M54" s="4" t="s">
        <v>181</v>
      </c>
      <c r="N54" s="4" t="s">
        <v>58</v>
      </c>
      <c r="O54" s="12" t="s">
        <v>106</v>
      </c>
      <c r="P54" s="4" t="s">
        <v>182</v>
      </c>
      <c r="Q54" s="4" t="s">
        <v>213</v>
      </c>
    </row>
    <row r="55" ht="23.85" hidden="0" outlineLevel="0" collapsed="0">
      <c r="A55" s="10" t="s">
        <v>220</v>
      </c>
      <c r="B55" s="4" t="s">
        <v>221</v>
      </c>
      <c r="C55" s="4" t="s">
        <v>222</v>
      </c>
      <c r="D55" s="11">
        <v>-0.03</v>
      </c>
      <c r="E55" s="4" t="s">
        <v>178</v>
      </c>
      <c r="F55" s="4" t="s">
        <v>103</v>
      </c>
      <c r="G55" s="4" t="s">
        <v>103</v>
      </c>
      <c r="H55" s="4" t="s">
        <v>179</v>
      </c>
      <c r="I55" s="4" t="s">
        <v>103</v>
      </c>
      <c r="J55" s="4" t="s">
        <v>103</v>
      </c>
      <c r="K55" s="4" t="s">
        <v>103</v>
      </c>
      <c r="L55" s="4" t="s">
        <v>180</v>
      </c>
      <c r="M55" s="4" t="s">
        <v>181</v>
      </c>
      <c r="N55" s="4" t="s">
        <v>58</v>
      </c>
      <c r="O55" s="12" t="s">
        <v>106</v>
      </c>
      <c r="P55" s="4" t="s">
        <v>182</v>
      </c>
      <c r="Q55" s="4" t="s">
        <v>223</v>
      </c>
    </row>
    <row r="56" ht="23.85" hidden="0" outlineLevel="0" collapsed="0">
      <c r="A56" s="10" t="s">
        <v>224</v>
      </c>
      <c r="B56" s="4" t="s">
        <v>225</v>
      </c>
      <c r="C56" s="4" t="s">
        <v>226</v>
      </c>
      <c r="D56" s="11">
        <v>0.01</v>
      </c>
      <c r="E56" s="4" t="s">
        <v>178</v>
      </c>
      <c r="F56" s="4" t="s">
        <v>103</v>
      </c>
      <c r="G56" s="4" t="s">
        <v>103</v>
      </c>
      <c r="H56" s="4" t="s">
        <v>179</v>
      </c>
      <c r="I56" s="4" t="s">
        <v>103</v>
      </c>
      <c r="J56" s="4" t="s">
        <v>103</v>
      </c>
      <c r="K56" s="4" t="s">
        <v>103</v>
      </c>
      <c r="L56" s="4" t="s">
        <v>180</v>
      </c>
      <c r="M56" s="4" t="s">
        <v>181</v>
      </c>
      <c r="N56" s="4" t="s">
        <v>58</v>
      </c>
      <c r="O56" s="12" t="s">
        <v>106</v>
      </c>
      <c r="P56" s="4" t="s">
        <v>182</v>
      </c>
      <c r="Q56" s="4" t="s">
        <v>223</v>
      </c>
    </row>
    <row r="57" ht="23.85" hidden="0" outlineLevel="0" collapsed="0">
      <c r="A57" s="10" t="s">
        <v>227</v>
      </c>
      <c r="B57" s="4" t="s">
        <v>228</v>
      </c>
      <c r="C57" s="4" t="s">
        <v>229</v>
      </c>
      <c r="D57" s="11">
        <v>0.03</v>
      </c>
      <c r="E57" s="4" t="s">
        <v>178</v>
      </c>
      <c r="F57" s="4" t="s">
        <v>103</v>
      </c>
      <c r="G57" s="4" t="s">
        <v>103</v>
      </c>
      <c r="H57" s="4" t="s">
        <v>179</v>
      </c>
      <c r="I57" s="4" t="s">
        <v>103</v>
      </c>
      <c r="J57" s="4" t="s">
        <v>103</v>
      </c>
      <c r="K57" s="4" t="s">
        <v>103</v>
      </c>
      <c r="L57" s="4" t="s">
        <v>180</v>
      </c>
      <c r="M57" s="4" t="s">
        <v>181</v>
      </c>
      <c r="N57" s="4" t="s">
        <v>58</v>
      </c>
      <c r="O57" s="12" t="s">
        <v>106</v>
      </c>
      <c r="P57" s="4" t="s">
        <v>182</v>
      </c>
      <c r="Q57" s="4" t="s">
        <v>223</v>
      </c>
    </row>
    <row r="58" ht="23.85" hidden="0" outlineLevel="0" collapsed="0">
      <c r="A58" s="10" t="s">
        <v>230</v>
      </c>
      <c r="B58" s="4" t="s">
        <v>231</v>
      </c>
      <c r="C58" s="4" t="s">
        <v>232</v>
      </c>
      <c r="D58" s="11">
        <v>0.35</v>
      </c>
      <c r="E58" s="4" t="s">
        <v>233</v>
      </c>
      <c r="F58" s="4" t="s">
        <v>103</v>
      </c>
      <c r="G58" s="4" t="s">
        <v>103</v>
      </c>
      <c r="H58" s="4" t="s">
        <v>179</v>
      </c>
      <c r="I58" s="4" t="s">
        <v>103</v>
      </c>
      <c r="J58" s="4" t="s">
        <v>103</v>
      </c>
      <c r="K58" s="4" t="s">
        <v>103</v>
      </c>
      <c r="L58" s="4" t="s">
        <v>180</v>
      </c>
      <c r="M58" s="4" t="s">
        <v>181</v>
      </c>
      <c r="N58" s="4" t="s">
        <v>58</v>
      </c>
      <c r="O58" s="12" t="s">
        <v>106</v>
      </c>
      <c r="P58" s="4" t="s">
        <v>182</v>
      </c>
      <c r="Q58" s="4" t="s">
        <v>234</v>
      </c>
    </row>
    <row r="59" ht="23.85" hidden="0" outlineLevel="0" collapsed="0">
      <c r="A59" s="10" t="s">
        <v>235</v>
      </c>
      <c r="B59" s="4" t="s">
        <v>236</v>
      </c>
      <c r="C59" s="4" t="s">
        <v>237</v>
      </c>
      <c r="D59" s="11">
        <v>0.384</v>
      </c>
      <c r="E59" s="4" t="s">
        <v>233</v>
      </c>
      <c r="F59" s="4" t="s">
        <v>103</v>
      </c>
      <c r="G59" s="4" t="s">
        <v>103</v>
      </c>
      <c r="H59" s="4" t="s">
        <v>179</v>
      </c>
      <c r="I59" s="4" t="s">
        <v>103</v>
      </c>
      <c r="J59" s="4" t="s">
        <v>103</v>
      </c>
      <c r="K59" s="4" t="s">
        <v>103</v>
      </c>
      <c r="L59" s="4" t="s">
        <v>180</v>
      </c>
      <c r="M59" s="4" t="s">
        <v>181</v>
      </c>
      <c r="N59" s="4" t="s">
        <v>58</v>
      </c>
      <c r="O59" s="12" t="s">
        <v>106</v>
      </c>
      <c r="P59" s="4" t="s">
        <v>182</v>
      </c>
      <c r="Q59" s="4" t="s">
        <v>234</v>
      </c>
    </row>
    <row r="60" ht="23.85" hidden="0" outlineLevel="0" collapsed="0">
      <c r="A60" s="10" t="s">
        <v>238</v>
      </c>
      <c r="B60" s="4" t="s">
        <v>239</v>
      </c>
      <c r="C60" s="4" t="s">
        <v>240</v>
      </c>
      <c r="D60" s="11">
        <v>0.4</v>
      </c>
      <c r="E60" s="4" t="s">
        <v>233</v>
      </c>
      <c r="F60" s="4" t="s">
        <v>103</v>
      </c>
      <c r="G60" s="4" t="s">
        <v>103</v>
      </c>
      <c r="H60" s="4" t="s">
        <v>179</v>
      </c>
      <c r="I60" s="4" t="s">
        <v>103</v>
      </c>
      <c r="J60" s="4" t="s">
        <v>103</v>
      </c>
      <c r="K60" s="4" t="s">
        <v>103</v>
      </c>
      <c r="L60" s="4" t="s">
        <v>180</v>
      </c>
      <c r="M60" s="4" t="s">
        <v>181</v>
      </c>
      <c r="N60" s="4" t="s">
        <v>58</v>
      </c>
      <c r="O60" s="12" t="s">
        <v>106</v>
      </c>
      <c r="P60" s="4" t="s">
        <v>182</v>
      </c>
      <c r="Q60" s="4" t="s">
        <v>234</v>
      </c>
    </row>
    <row r="61" ht="23.85" hidden="0" outlineLevel="0" collapsed="0">
      <c r="A61" s="10" t="s">
        <v>241</v>
      </c>
      <c r="B61" s="4" t="s">
        <v>242</v>
      </c>
      <c r="C61" s="4" t="s">
        <v>243</v>
      </c>
      <c r="D61" s="11">
        <v>0.21</v>
      </c>
      <c r="E61" s="4" t="s">
        <v>233</v>
      </c>
      <c r="F61" s="4" t="s">
        <v>103</v>
      </c>
      <c r="G61" s="4" t="s">
        <v>103</v>
      </c>
      <c r="H61" s="4" t="s">
        <v>179</v>
      </c>
      <c r="I61" s="4" t="s">
        <v>103</v>
      </c>
      <c r="J61" s="4" t="s">
        <v>103</v>
      </c>
      <c r="K61" s="4" t="s">
        <v>103</v>
      </c>
      <c r="L61" s="4" t="s">
        <v>180</v>
      </c>
      <c r="M61" s="4" t="s">
        <v>181</v>
      </c>
      <c r="N61" s="4" t="s">
        <v>58</v>
      </c>
      <c r="O61" s="12" t="s">
        <v>106</v>
      </c>
      <c r="P61" s="4" t="s">
        <v>182</v>
      </c>
      <c r="Q61" s="4" t="s">
        <v>244</v>
      </c>
    </row>
    <row r="62" ht="23.85" hidden="0" outlineLevel="0" collapsed="0">
      <c r="A62" s="10" t="s">
        <v>245</v>
      </c>
      <c r="B62" s="4" t="s">
        <v>246</v>
      </c>
      <c r="C62" s="4" t="s">
        <v>247</v>
      </c>
      <c r="D62" s="11">
        <v>0.204</v>
      </c>
      <c r="E62" s="4" t="s">
        <v>233</v>
      </c>
      <c r="F62" s="4" t="s">
        <v>103</v>
      </c>
      <c r="G62" s="4" t="s">
        <v>103</v>
      </c>
      <c r="H62" s="4" t="s">
        <v>179</v>
      </c>
      <c r="I62" s="4" t="s">
        <v>103</v>
      </c>
      <c r="J62" s="4" t="s">
        <v>103</v>
      </c>
      <c r="K62" s="4" t="s">
        <v>103</v>
      </c>
      <c r="L62" s="4" t="s">
        <v>180</v>
      </c>
      <c r="M62" s="4" t="s">
        <v>181</v>
      </c>
      <c r="N62" s="4" t="s">
        <v>58</v>
      </c>
      <c r="O62" s="12" t="s">
        <v>106</v>
      </c>
      <c r="P62" s="4" t="s">
        <v>182</v>
      </c>
      <c r="Q62" s="4" t="s">
        <v>244</v>
      </c>
    </row>
    <row r="63" ht="23.85" hidden="0" outlineLevel="0" collapsed="0">
      <c r="A63" s="10" t="s">
        <v>248</v>
      </c>
      <c r="B63" s="4" t="s">
        <v>249</v>
      </c>
      <c r="C63" s="4" t="s">
        <v>250</v>
      </c>
      <c r="D63" s="11">
        <v>0.2</v>
      </c>
      <c r="E63" s="4" t="s">
        <v>233</v>
      </c>
      <c r="F63" s="4" t="s">
        <v>103</v>
      </c>
      <c r="G63" s="4" t="s">
        <v>103</v>
      </c>
      <c r="H63" s="4" t="s">
        <v>179</v>
      </c>
      <c r="I63" s="4" t="s">
        <v>103</v>
      </c>
      <c r="J63" s="4" t="s">
        <v>103</v>
      </c>
      <c r="K63" s="4" t="s">
        <v>103</v>
      </c>
      <c r="L63" s="4" t="s">
        <v>180</v>
      </c>
      <c r="M63" s="4" t="s">
        <v>181</v>
      </c>
      <c r="N63" s="4" t="s">
        <v>58</v>
      </c>
      <c r="O63" s="12" t="s">
        <v>106</v>
      </c>
      <c r="P63" s="4" t="s">
        <v>182</v>
      </c>
      <c r="Q63" s="4" t="s">
        <v>244</v>
      </c>
    </row>
    <row r="64" ht="23.85" hidden="0" outlineLevel="0" collapsed="0">
      <c r="A64" s="10" t="s">
        <v>251</v>
      </c>
      <c r="B64" s="4" t="s">
        <v>252</v>
      </c>
      <c r="C64" s="4" t="s">
        <v>253</v>
      </c>
      <c r="D64" s="11">
        <v>0.16</v>
      </c>
      <c r="E64" s="4" t="s">
        <v>233</v>
      </c>
      <c r="F64" s="4" t="s">
        <v>103</v>
      </c>
      <c r="G64" s="4" t="s">
        <v>103</v>
      </c>
      <c r="H64" s="4" t="s">
        <v>179</v>
      </c>
      <c r="I64" s="4" t="s">
        <v>103</v>
      </c>
      <c r="J64" s="4" t="s">
        <v>103</v>
      </c>
      <c r="K64" s="4" t="s">
        <v>103</v>
      </c>
      <c r="L64" s="4" t="s">
        <v>180</v>
      </c>
      <c r="M64" s="4" t="s">
        <v>181</v>
      </c>
      <c r="N64" s="4" t="s">
        <v>58</v>
      </c>
      <c r="O64" s="12" t="s">
        <v>106</v>
      </c>
      <c r="P64" s="4" t="s">
        <v>182</v>
      </c>
      <c r="Q64" s="4" t="s">
        <v>254</v>
      </c>
    </row>
    <row r="65" ht="23.85" hidden="0" outlineLevel="0" collapsed="0">
      <c r="A65" s="10" t="s">
        <v>255</v>
      </c>
      <c r="B65" s="4" t="s">
        <v>256</v>
      </c>
      <c r="C65" s="4" t="s">
        <v>257</v>
      </c>
      <c r="D65" s="11">
        <v>0.144</v>
      </c>
      <c r="E65" s="4" t="s">
        <v>233</v>
      </c>
      <c r="F65" s="4" t="s">
        <v>103</v>
      </c>
      <c r="G65" s="4" t="s">
        <v>103</v>
      </c>
      <c r="H65" s="4" t="s">
        <v>179</v>
      </c>
      <c r="I65" s="4" t="s">
        <v>103</v>
      </c>
      <c r="J65" s="4" t="s">
        <v>103</v>
      </c>
      <c r="K65" s="4" t="s">
        <v>103</v>
      </c>
      <c r="L65" s="4" t="s">
        <v>180</v>
      </c>
      <c r="M65" s="4" t="s">
        <v>181</v>
      </c>
      <c r="N65" s="4" t="s">
        <v>58</v>
      </c>
      <c r="O65" s="12" t="s">
        <v>106</v>
      </c>
      <c r="P65" s="4" t="s">
        <v>182</v>
      </c>
      <c r="Q65" s="4" t="s">
        <v>254</v>
      </c>
    </row>
    <row r="66" ht="23.85" hidden="0" outlineLevel="0" collapsed="0">
      <c r="A66" s="10" t="s">
        <v>258</v>
      </c>
      <c r="B66" s="4" t="s">
        <v>259</v>
      </c>
      <c r="C66" s="4" t="s">
        <v>260</v>
      </c>
      <c r="D66" s="11">
        <v>0.13</v>
      </c>
      <c r="E66" s="4" t="s">
        <v>233</v>
      </c>
      <c r="F66" s="4" t="s">
        <v>103</v>
      </c>
      <c r="G66" s="4" t="s">
        <v>103</v>
      </c>
      <c r="H66" s="4" t="s">
        <v>179</v>
      </c>
      <c r="I66" s="4" t="s">
        <v>103</v>
      </c>
      <c r="J66" s="4" t="s">
        <v>103</v>
      </c>
      <c r="K66" s="4" t="s">
        <v>103</v>
      </c>
      <c r="L66" s="4" t="s">
        <v>180</v>
      </c>
      <c r="M66" s="4" t="s">
        <v>181</v>
      </c>
      <c r="N66" s="4" t="s">
        <v>58</v>
      </c>
      <c r="O66" s="12" t="s">
        <v>106</v>
      </c>
      <c r="P66" s="4" t="s">
        <v>182</v>
      </c>
      <c r="Q66" s="4" t="s">
        <v>254</v>
      </c>
    </row>
    <row r="67" ht="23.85" hidden="0" outlineLevel="0" collapsed="0">
      <c r="A67" s="10" t="s">
        <v>261</v>
      </c>
      <c r="B67" s="4" t="s">
        <v>262</v>
      </c>
      <c r="C67" s="4" t="s">
        <v>263</v>
      </c>
      <c r="D67" s="11">
        <v>0.26</v>
      </c>
      <c r="E67" s="4" t="s">
        <v>233</v>
      </c>
      <c r="F67" s="4" t="s">
        <v>103</v>
      </c>
      <c r="G67" s="4" t="s">
        <v>103</v>
      </c>
      <c r="H67" s="4" t="s">
        <v>179</v>
      </c>
      <c r="I67" s="4" t="s">
        <v>103</v>
      </c>
      <c r="J67" s="4" t="s">
        <v>103</v>
      </c>
      <c r="K67" s="4" t="s">
        <v>103</v>
      </c>
      <c r="L67" s="4" t="s">
        <v>180</v>
      </c>
      <c r="M67" s="4" t="s">
        <v>181</v>
      </c>
      <c r="N67" s="4" t="s">
        <v>58</v>
      </c>
      <c r="O67" s="12" t="s">
        <v>106</v>
      </c>
      <c r="P67" s="4" t="s">
        <v>182</v>
      </c>
      <c r="Q67" s="4" t="s">
        <v>264</v>
      </c>
    </row>
    <row r="68" ht="23.85" hidden="0" outlineLevel="0" collapsed="0">
      <c r="A68" s="10" t="s">
        <v>265</v>
      </c>
      <c r="B68" s="4" t="s">
        <v>266</v>
      </c>
      <c r="C68" s="4" t="s">
        <v>267</v>
      </c>
      <c r="D68" s="11">
        <v>0.24</v>
      </c>
      <c r="E68" s="4" t="s">
        <v>233</v>
      </c>
      <c r="F68" s="4" t="s">
        <v>103</v>
      </c>
      <c r="G68" s="4" t="s">
        <v>103</v>
      </c>
      <c r="H68" s="4" t="s">
        <v>179</v>
      </c>
      <c r="I68" s="4" t="s">
        <v>103</v>
      </c>
      <c r="J68" s="4" t="s">
        <v>103</v>
      </c>
      <c r="K68" s="4" t="s">
        <v>103</v>
      </c>
      <c r="L68" s="4" t="s">
        <v>180</v>
      </c>
      <c r="M68" s="4" t="s">
        <v>181</v>
      </c>
      <c r="N68" s="4" t="s">
        <v>58</v>
      </c>
      <c r="O68" s="12" t="s">
        <v>106</v>
      </c>
      <c r="P68" s="4" t="s">
        <v>182</v>
      </c>
      <c r="Q68" s="4" t="s">
        <v>264</v>
      </c>
    </row>
    <row r="69" ht="23.85" hidden="0" outlineLevel="0" collapsed="0">
      <c r="A69" s="10" t="s">
        <v>268</v>
      </c>
      <c r="B69" s="4" t="s">
        <v>269</v>
      </c>
      <c r="C69" s="4" t="s">
        <v>270</v>
      </c>
      <c r="D69" s="11">
        <v>0.22</v>
      </c>
      <c r="E69" s="4" t="s">
        <v>233</v>
      </c>
      <c r="F69" s="4" t="s">
        <v>103</v>
      </c>
      <c r="G69" s="4" t="s">
        <v>103</v>
      </c>
      <c r="H69" s="4" t="s">
        <v>179</v>
      </c>
      <c r="I69" s="4" t="s">
        <v>103</v>
      </c>
      <c r="J69" s="4" t="s">
        <v>103</v>
      </c>
      <c r="K69" s="4" t="s">
        <v>103</v>
      </c>
      <c r="L69" s="4" t="s">
        <v>180</v>
      </c>
      <c r="M69" s="4" t="s">
        <v>181</v>
      </c>
      <c r="N69" s="4" t="s">
        <v>58</v>
      </c>
      <c r="O69" s="12" t="s">
        <v>106</v>
      </c>
      <c r="P69" s="4" t="s">
        <v>182</v>
      </c>
      <c r="Q69" s="4" t="s">
        <v>264</v>
      </c>
    </row>
    <row r="70" ht="23.85" hidden="0" outlineLevel="0" collapsed="0">
      <c r="A70" s="10" t="s">
        <v>271</v>
      </c>
      <c r="B70" s="4" t="s">
        <v>272</v>
      </c>
      <c r="C70" s="4" t="s">
        <v>273</v>
      </c>
      <c r="D70" s="11">
        <v>0.03</v>
      </c>
      <c r="E70" s="4" t="s">
        <v>233</v>
      </c>
      <c r="F70" s="4" t="s">
        <v>103</v>
      </c>
      <c r="G70" s="4" t="s">
        <v>103</v>
      </c>
      <c r="H70" s="4" t="s">
        <v>179</v>
      </c>
      <c r="I70" s="4" t="s">
        <v>103</v>
      </c>
      <c r="J70" s="4" t="s">
        <v>103</v>
      </c>
      <c r="K70" s="4" t="s">
        <v>103</v>
      </c>
      <c r="L70" s="4" t="s">
        <v>180</v>
      </c>
      <c r="M70" s="4" t="s">
        <v>181</v>
      </c>
      <c r="N70" s="4" t="s">
        <v>58</v>
      </c>
      <c r="O70" s="12" t="s">
        <v>106</v>
      </c>
      <c r="P70" s="4" t="s">
        <v>182</v>
      </c>
      <c r="Q70" s="4" t="s">
        <v>274</v>
      </c>
    </row>
    <row r="71" ht="23.85" hidden="0" outlineLevel="0" collapsed="0">
      <c r="A71" s="10" t="s">
        <v>275</v>
      </c>
      <c r="B71" s="4" t="s">
        <v>276</v>
      </c>
      <c r="C71" s="4" t="s">
        <v>277</v>
      </c>
      <c r="D71" s="11">
        <v>0.02</v>
      </c>
      <c r="E71" s="4" t="s">
        <v>233</v>
      </c>
      <c r="F71" s="4" t="s">
        <v>103</v>
      </c>
      <c r="G71" s="4" t="s">
        <v>103</v>
      </c>
      <c r="H71" s="4" t="s">
        <v>179</v>
      </c>
      <c r="I71" s="4" t="s">
        <v>103</v>
      </c>
      <c r="J71" s="4" t="s">
        <v>103</v>
      </c>
      <c r="K71" s="4" t="s">
        <v>103</v>
      </c>
      <c r="L71" s="4" t="s">
        <v>180</v>
      </c>
      <c r="M71" s="4" t="s">
        <v>181</v>
      </c>
      <c r="N71" s="4" t="s">
        <v>58</v>
      </c>
      <c r="O71" s="12" t="s">
        <v>106</v>
      </c>
      <c r="P71" s="4" t="s">
        <v>182</v>
      </c>
      <c r="Q71" s="4" t="s">
        <v>274</v>
      </c>
    </row>
    <row r="72" ht="23.85" hidden="0" outlineLevel="0" collapsed="0">
      <c r="A72" s="10" t="s">
        <v>278</v>
      </c>
      <c r="B72" s="4" t="s">
        <v>279</v>
      </c>
      <c r="C72" s="4" t="s">
        <v>280</v>
      </c>
      <c r="D72" s="11">
        <v>0.01</v>
      </c>
      <c r="E72" s="4" t="s">
        <v>233</v>
      </c>
      <c r="F72" s="4" t="s">
        <v>103</v>
      </c>
      <c r="G72" s="4" t="s">
        <v>103</v>
      </c>
      <c r="H72" s="4" t="s">
        <v>179</v>
      </c>
      <c r="I72" s="4" t="s">
        <v>103</v>
      </c>
      <c r="J72" s="4" t="s">
        <v>103</v>
      </c>
      <c r="K72" s="4" t="s">
        <v>103</v>
      </c>
      <c r="L72" s="4" t="s">
        <v>180</v>
      </c>
      <c r="M72" s="4" t="s">
        <v>181</v>
      </c>
      <c r="N72" s="4" t="s">
        <v>58</v>
      </c>
      <c r="O72" s="12" t="s">
        <v>106</v>
      </c>
      <c r="P72" s="4" t="s">
        <v>182</v>
      </c>
      <c r="Q72" s="4" t="s">
        <v>274</v>
      </c>
    </row>
    <row r="73" ht="23.85" hidden="0" outlineLevel="0" collapsed="0">
      <c r="A73" s="10" t="s">
        <v>281</v>
      </c>
      <c r="B73" s="4" t="s">
        <v>282</v>
      </c>
      <c r="C73" s="4" t="s">
        <v>283</v>
      </c>
      <c r="D73" s="11">
        <v>0.02</v>
      </c>
      <c r="E73" s="4" t="s">
        <v>233</v>
      </c>
      <c r="F73" s="4" t="s">
        <v>103</v>
      </c>
      <c r="G73" s="4" t="s">
        <v>103</v>
      </c>
      <c r="H73" s="4" t="s">
        <v>179</v>
      </c>
      <c r="I73" s="4" t="s">
        <v>103</v>
      </c>
      <c r="J73" s="4" t="s">
        <v>103</v>
      </c>
      <c r="K73" s="4" t="s">
        <v>103</v>
      </c>
      <c r="L73" s="4" t="s">
        <v>180</v>
      </c>
      <c r="M73" s="4" t="s">
        <v>181</v>
      </c>
      <c r="N73" s="4" t="s">
        <v>58</v>
      </c>
      <c r="O73" s="12" t="s">
        <v>106</v>
      </c>
      <c r="P73" s="4" t="s">
        <v>182</v>
      </c>
      <c r="Q73" s="4" t="s">
        <v>284</v>
      </c>
    </row>
    <row r="74" ht="23.85" hidden="0" outlineLevel="0" collapsed="0">
      <c r="A74" s="10" t="s">
        <v>285</v>
      </c>
      <c r="B74" s="4" t="s">
        <v>286</v>
      </c>
      <c r="C74" s="4" t="s">
        <v>287</v>
      </c>
      <c r="D74" s="11">
        <v>0.05</v>
      </c>
      <c r="E74" s="4" t="s">
        <v>233</v>
      </c>
      <c r="F74" s="4" t="s">
        <v>103</v>
      </c>
      <c r="G74" s="4" t="s">
        <v>103</v>
      </c>
      <c r="H74" s="4" t="s">
        <v>179</v>
      </c>
      <c r="I74" s="4" t="s">
        <v>103</v>
      </c>
      <c r="J74" s="4" t="s">
        <v>103</v>
      </c>
      <c r="K74" s="4" t="s">
        <v>103</v>
      </c>
      <c r="L74" s="4" t="s">
        <v>180</v>
      </c>
      <c r="M74" s="4" t="s">
        <v>181</v>
      </c>
      <c r="N74" s="4" t="s">
        <v>58</v>
      </c>
      <c r="O74" s="12" t="s">
        <v>106</v>
      </c>
      <c r="P74" s="4" t="s">
        <v>182</v>
      </c>
      <c r="Q74" s="4" t="s">
        <v>284</v>
      </c>
    </row>
    <row r="75" ht="23.85" hidden="0" outlineLevel="0" collapsed="0">
      <c r="A75" s="10" t="s">
        <v>288</v>
      </c>
      <c r="B75" s="4" t="s">
        <v>289</v>
      </c>
      <c r="C75" s="4" t="s">
        <v>290</v>
      </c>
      <c r="D75" s="11">
        <v>0.08</v>
      </c>
      <c r="E75" s="4" t="s">
        <v>233</v>
      </c>
      <c r="F75" s="4" t="s">
        <v>103</v>
      </c>
      <c r="G75" s="4" t="s">
        <v>103</v>
      </c>
      <c r="H75" s="4" t="s">
        <v>179</v>
      </c>
      <c r="I75" s="4" t="s">
        <v>103</v>
      </c>
      <c r="J75" s="4" t="s">
        <v>103</v>
      </c>
      <c r="K75" s="4" t="s">
        <v>103</v>
      </c>
      <c r="L75" s="4" t="s">
        <v>180</v>
      </c>
      <c r="M75" s="4" t="s">
        <v>181</v>
      </c>
      <c r="N75" s="4" t="s">
        <v>58</v>
      </c>
      <c r="O75" s="12" t="s">
        <v>106</v>
      </c>
      <c r="P75" s="4" t="s">
        <v>182</v>
      </c>
      <c r="Q75" s="4" t="s">
        <v>284</v>
      </c>
    </row>
    <row r="76" ht="23.85" hidden="0" outlineLevel="0" collapsed="0">
      <c r="A76" s="10" t="s">
        <v>291</v>
      </c>
      <c r="B76" s="4" t="s">
        <v>292</v>
      </c>
      <c r="C76" s="4" t="s">
        <v>293</v>
      </c>
      <c r="D76" s="11">
        <v>0.12</v>
      </c>
      <c r="E76" s="4" t="s">
        <v>233</v>
      </c>
      <c r="F76" s="4" t="s">
        <v>103</v>
      </c>
      <c r="G76" s="4" t="s">
        <v>103</v>
      </c>
      <c r="H76" s="4" t="s">
        <v>179</v>
      </c>
      <c r="I76" s="4" t="s">
        <v>103</v>
      </c>
      <c r="J76" s="4" t="s">
        <v>103</v>
      </c>
      <c r="K76" s="4" t="s">
        <v>103</v>
      </c>
      <c r="L76" s="4" t="s">
        <v>180</v>
      </c>
      <c r="M76" s="4" t="s">
        <v>181</v>
      </c>
      <c r="N76" s="4" t="s">
        <v>58</v>
      </c>
      <c r="O76" s="12" t="s">
        <v>106</v>
      </c>
      <c r="P76" s="4" t="s">
        <v>182</v>
      </c>
      <c r="Q76" s="4" t="s">
        <v>294</v>
      </c>
    </row>
    <row r="77" ht="23.85" hidden="0" outlineLevel="0" collapsed="0">
      <c r="A77" s="10" t="s">
        <v>295</v>
      </c>
      <c r="B77" s="4" t="s">
        <v>296</v>
      </c>
      <c r="C77" s="4" t="s">
        <v>297</v>
      </c>
      <c r="D77" s="11">
        <v>0.105</v>
      </c>
      <c r="E77" s="4" t="s">
        <v>233</v>
      </c>
      <c r="F77" s="4" t="s">
        <v>103</v>
      </c>
      <c r="G77" s="4" t="s">
        <v>103</v>
      </c>
      <c r="H77" s="4" t="s">
        <v>179</v>
      </c>
      <c r="I77" s="4" t="s">
        <v>103</v>
      </c>
      <c r="J77" s="4" t="s">
        <v>103</v>
      </c>
      <c r="K77" s="4" t="s">
        <v>103</v>
      </c>
      <c r="L77" s="4" t="s">
        <v>180</v>
      </c>
      <c r="M77" s="4" t="s">
        <v>181</v>
      </c>
      <c r="N77" s="4" t="s">
        <v>58</v>
      </c>
      <c r="O77" s="12" t="s">
        <v>106</v>
      </c>
      <c r="P77" s="4" t="s">
        <v>182</v>
      </c>
      <c r="Q77" s="4" t="s">
        <v>294</v>
      </c>
    </row>
    <row r="78" ht="23.85" hidden="0" outlineLevel="0" collapsed="0">
      <c r="A78" s="10" t="s">
        <v>298</v>
      </c>
      <c r="B78" s="4" t="s">
        <v>299</v>
      </c>
      <c r="C78" s="4" t="s">
        <v>300</v>
      </c>
      <c r="D78" s="11">
        <v>0.095</v>
      </c>
      <c r="E78" s="4" t="s">
        <v>233</v>
      </c>
      <c r="F78" s="4" t="s">
        <v>103</v>
      </c>
      <c r="G78" s="4" t="s">
        <v>103</v>
      </c>
      <c r="H78" s="4" t="s">
        <v>179</v>
      </c>
      <c r="I78" s="4" t="s">
        <v>103</v>
      </c>
      <c r="J78" s="4" t="s">
        <v>103</v>
      </c>
      <c r="K78" s="4" t="s">
        <v>103</v>
      </c>
      <c r="L78" s="4" t="s">
        <v>180</v>
      </c>
      <c r="M78" s="4" t="s">
        <v>181</v>
      </c>
      <c r="N78" s="4" t="s">
        <v>58</v>
      </c>
      <c r="O78" s="12" t="s">
        <v>106</v>
      </c>
      <c r="P78" s="4" t="s">
        <v>182</v>
      </c>
      <c r="Q78" s="4" t="s">
        <v>294</v>
      </c>
    </row>
    <row r="79" ht="23.85" hidden="0" outlineLevel="0" collapsed="0">
      <c r="A79" s="10" t="s">
        <v>301</v>
      </c>
      <c r="B79" s="4" t="s">
        <v>302</v>
      </c>
      <c r="C79" s="4" t="s">
        <v>303</v>
      </c>
      <c r="D79" s="11">
        <v>0.005</v>
      </c>
      <c r="E79" s="4" t="s">
        <v>233</v>
      </c>
      <c r="F79" s="4" t="s">
        <v>103</v>
      </c>
      <c r="G79" s="4" t="s">
        <v>103</v>
      </c>
      <c r="H79" s="4" t="s">
        <v>179</v>
      </c>
      <c r="I79" s="4" t="s">
        <v>103</v>
      </c>
      <c r="J79" s="4" t="s">
        <v>103</v>
      </c>
      <c r="K79" s="4" t="s">
        <v>103</v>
      </c>
      <c r="L79" s="4" t="s">
        <v>180</v>
      </c>
      <c r="M79" s="4" t="s">
        <v>181</v>
      </c>
      <c r="N79" s="4" t="s">
        <v>58</v>
      </c>
      <c r="O79" s="12" t="s">
        <v>106</v>
      </c>
      <c r="P79" s="4" t="s">
        <v>182</v>
      </c>
      <c r="Q79" s="4" t="s">
        <v>304</v>
      </c>
    </row>
    <row r="80" ht="23.85" hidden="0" outlineLevel="0" collapsed="0">
      <c r="A80" s="10" t="s">
        <v>305</v>
      </c>
      <c r="B80" s="4" t="s">
        <v>306</v>
      </c>
      <c r="C80" s="4" t="s">
        <v>307</v>
      </c>
      <c r="D80" s="11">
        <v>0.015</v>
      </c>
      <c r="E80" s="4" t="s">
        <v>233</v>
      </c>
      <c r="F80" s="4" t="s">
        <v>103</v>
      </c>
      <c r="G80" s="4" t="s">
        <v>103</v>
      </c>
      <c r="H80" s="4" t="s">
        <v>179</v>
      </c>
      <c r="I80" s="4" t="s">
        <v>103</v>
      </c>
      <c r="J80" s="4" t="s">
        <v>103</v>
      </c>
      <c r="K80" s="4" t="s">
        <v>103</v>
      </c>
      <c r="L80" s="4" t="s">
        <v>180</v>
      </c>
      <c r="M80" s="4" t="s">
        <v>181</v>
      </c>
      <c r="N80" s="4" t="s">
        <v>58</v>
      </c>
      <c r="O80" s="12" t="s">
        <v>106</v>
      </c>
      <c r="P80" s="4" t="s">
        <v>182</v>
      </c>
      <c r="Q80" s="4" t="s">
        <v>304</v>
      </c>
    </row>
    <row r="81" ht="23.85" hidden="0" outlineLevel="0" collapsed="0">
      <c r="A81" s="10" t="s">
        <v>308</v>
      </c>
      <c r="B81" s="4" t="s">
        <v>309</v>
      </c>
      <c r="C81" s="4" t="s">
        <v>310</v>
      </c>
      <c r="D81" s="11">
        <v>0.025</v>
      </c>
      <c r="E81" s="4" t="s">
        <v>233</v>
      </c>
      <c r="F81" s="4" t="s">
        <v>103</v>
      </c>
      <c r="G81" s="4" t="s">
        <v>103</v>
      </c>
      <c r="H81" s="4" t="s">
        <v>179</v>
      </c>
      <c r="I81" s="4" t="s">
        <v>103</v>
      </c>
      <c r="J81" s="4" t="s">
        <v>103</v>
      </c>
      <c r="K81" s="4" t="s">
        <v>103</v>
      </c>
      <c r="L81" s="4" t="s">
        <v>180</v>
      </c>
      <c r="M81" s="4" t="s">
        <v>181</v>
      </c>
      <c r="N81" s="4" t="s">
        <v>58</v>
      </c>
      <c r="O81" s="12" t="s">
        <v>106</v>
      </c>
      <c r="P81" s="4" t="s">
        <v>182</v>
      </c>
      <c r="Q81" s="4" t="s">
        <v>304</v>
      </c>
    </row>
    <row r="82" ht="23.85" hidden="0" outlineLevel="0" collapsed="0">
      <c r="A82" s="10" t="s">
        <v>311</v>
      </c>
      <c r="B82" s="4" t="s">
        <v>312</v>
      </c>
      <c r="C82" s="4" t="s">
        <v>313</v>
      </c>
      <c r="D82" s="11">
        <v>4.5</v>
      </c>
      <c r="E82" s="4" t="s">
        <v>314</v>
      </c>
      <c r="F82" s="4" t="s">
        <v>103</v>
      </c>
      <c r="G82" s="4" t="s">
        <v>103</v>
      </c>
      <c r="H82" s="4" t="s">
        <v>179</v>
      </c>
      <c r="I82" s="4" t="s">
        <v>103</v>
      </c>
      <c r="J82" s="4" t="s">
        <v>103</v>
      </c>
      <c r="K82" s="4" t="s">
        <v>103</v>
      </c>
      <c r="L82" s="4" t="s">
        <v>180</v>
      </c>
      <c r="M82" s="4" t="s">
        <v>181</v>
      </c>
      <c r="N82" s="4" t="s">
        <v>58</v>
      </c>
      <c r="O82" s="12" t="s">
        <v>106</v>
      </c>
      <c r="P82" s="4" t="s">
        <v>182</v>
      </c>
      <c r="Q82" s="4" t="s">
        <v>315</v>
      </c>
    </row>
    <row r="83" ht="23.85" hidden="0" outlineLevel="0" collapsed="0">
      <c r="A83" s="10" t="s">
        <v>316</v>
      </c>
      <c r="B83" s="4" t="s">
        <v>317</v>
      </c>
      <c r="C83" s="4" t="s">
        <v>318</v>
      </c>
      <c r="D83" s="11">
        <v>5.5</v>
      </c>
      <c r="E83" s="4" t="s">
        <v>314</v>
      </c>
      <c r="F83" s="4" t="s">
        <v>103</v>
      </c>
      <c r="G83" s="4" t="s">
        <v>103</v>
      </c>
      <c r="H83" s="4" t="s">
        <v>179</v>
      </c>
      <c r="I83" s="4" t="s">
        <v>103</v>
      </c>
      <c r="J83" s="4" t="s">
        <v>103</v>
      </c>
      <c r="K83" s="4" t="s">
        <v>103</v>
      </c>
      <c r="L83" s="4" t="s">
        <v>180</v>
      </c>
      <c r="M83" s="4" t="s">
        <v>181</v>
      </c>
      <c r="N83" s="4" t="s">
        <v>58</v>
      </c>
      <c r="O83" s="12" t="s">
        <v>106</v>
      </c>
      <c r="P83" s="4" t="s">
        <v>182</v>
      </c>
      <c r="Q83" s="4" t="s">
        <v>315</v>
      </c>
    </row>
    <row r="84" ht="23.85" hidden="0" outlineLevel="0" collapsed="0">
      <c r="A84" s="10" t="s">
        <v>319</v>
      </c>
      <c r="B84" s="4" t="s">
        <v>320</v>
      </c>
      <c r="C84" s="4" t="s">
        <v>321</v>
      </c>
      <c r="D84" s="11">
        <v>6.5</v>
      </c>
      <c r="E84" s="4" t="s">
        <v>314</v>
      </c>
      <c r="F84" s="4" t="s">
        <v>103</v>
      </c>
      <c r="G84" s="4" t="s">
        <v>103</v>
      </c>
      <c r="H84" s="4" t="s">
        <v>179</v>
      </c>
      <c r="I84" s="4" t="s">
        <v>103</v>
      </c>
      <c r="J84" s="4" t="s">
        <v>103</v>
      </c>
      <c r="K84" s="4" t="s">
        <v>103</v>
      </c>
      <c r="L84" s="4" t="s">
        <v>180</v>
      </c>
      <c r="M84" s="4" t="s">
        <v>181</v>
      </c>
      <c r="N84" s="4" t="s">
        <v>58</v>
      </c>
      <c r="O84" s="12" t="s">
        <v>106</v>
      </c>
      <c r="P84" s="4" t="s">
        <v>182</v>
      </c>
      <c r="Q84" s="4" t="s">
        <v>315</v>
      </c>
    </row>
    <row r="85" ht="35.05" hidden="0" outlineLevel="0" collapsed="0">
      <c r="A85" s="10" t="s">
        <v>322</v>
      </c>
      <c r="B85" s="4" t="s">
        <v>323</v>
      </c>
      <c r="C85" s="4" t="s">
        <v>324</v>
      </c>
      <c r="D85" s="11">
        <v>4.6926</v>
      </c>
      <c r="E85" s="4" t="s">
        <v>325</v>
      </c>
      <c r="F85" s="4" t="s">
        <v>103</v>
      </c>
      <c r="G85" s="4" t="s">
        <v>7</v>
      </c>
      <c r="H85" s="4" t="s">
        <v>326</v>
      </c>
      <c r="I85" s="4" t="s">
        <v>53</v>
      </c>
      <c r="J85" s="4" t="s">
        <v>54</v>
      </c>
      <c r="K85" s="4" t="s">
        <v>55</v>
      </c>
      <c r="L85" s="4" t="s">
        <v>105</v>
      </c>
      <c r="M85" s="4" t="s">
        <v>57</v>
      </c>
      <c r="N85" s="4" t="s">
        <v>58</v>
      </c>
      <c r="O85" s="12" t="s">
        <v>106</v>
      </c>
      <c r="P85" s="4" t="s">
        <v>107</v>
      </c>
      <c r="Q85" s="4" t="s">
        <v>23</v>
      </c>
    </row>
    <row r="86" ht="46.25" hidden="0" outlineLevel="0" collapsed="0">
      <c r="A86" s="10" t="s">
        <v>327</v>
      </c>
      <c r="B86" s="4" t="s">
        <v>328</v>
      </c>
      <c r="C86" s="4" t="s">
        <v>329</v>
      </c>
      <c r="D86" s="11">
        <v>3.8366</v>
      </c>
      <c r="E86" s="4" t="s">
        <v>330</v>
      </c>
      <c r="F86" s="4" t="s">
        <v>103</v>
      </c>
      <c r="G86" s="4" t="s">
        <v>7</v>
      </c>
      <c r="H86" s="4" t="s">
        <v>331</v>
      </c>
      <c r="I86" s="4" t="s">
        <v>53</v>
      </c>
      <c r="J86" s="4" t="s">
        <v>54</v>
      </c>
      <c r="K86" s="4" t="s">
        <v>55</v>
      </c>
      <c r="L86" s="4" t="s">
        <v>105</v>
      </c>
      <c r="M86" s="4" t="s">
        <v>57</v>
      </c>
      <c r="N86" s="4" t="s">
        <v>58</v>
      </c>
      <c r="O86" s="12" t="s">
        <v>106</v>
      </c>
      <c r="P86" s="4" t="s">
        <v>107</v>
      </c>
      <c r="Q86" s="4" t="s">
        <v>25</v>
      </c>
    </row>
    <row r="87" ht="35.05" hidden="0" outlineLevel="0" collapsed="0">
      <c r="A87" s="10" t="s">
        <v>332</v>
      </c>
      <c r="B87" s="4" t="s">
        <v>333</v>
      </c>
      <c r="C87" s="4" t="s">
        <v>334</v>
      </c>
      <c r="D87" s="11">
        <v>6.794</v>
      </c>
      <c r="E87" s="4" t="s">
        <v>335</v>
      </c>
      <c r="F87" s="4" t="s">
        <v>103</v>
      </c>
      <c r="G87" s="4" t="s">
        <v>7</v>
      </c>
      <c r="H87" s="4" t="s">
        <v>336</v>
      </c>
      <c r="I87" s="4" t="s">
        <v>53</v>
      </c>
      <c r="J87" s="4" t="s">
        <v>54</v>
      </c>
      <c r="K87" s="4" t="s">
        <v>55</v>
      </c>
      <c r="L87" s="4" t="s">
        <v>105</v>
      </c>
      <c r="M87" s="4" t="s">
        <v>57</v>
      </c>
      <c r="N87" s="4" t="s">
        <v>58</v>
      </c>
      <c r="O87" s="12" t="s">
        <v>106</v>
      </c>
      <c r="P87" s="4" t="s">
        <v>107</v>
      </c>
      <c r="Q87" s="4" t="s">
        <v>23</v>
      </c>
    </row>
    <row r="88" ht="35.05" hidden="0" outlineLevel="0" collapsed="0">
      <c r="A88" s="10" t="s">
        <v>337</v>
      </c>
      <c r="B88" s="4" t="s">
        <v>338</v>
      </c>
      <c r="C88" s="4" t="s">
        <v>339</v>
      </c>
      <c r="D88" s="11">
        <v>-0.1422</v>
      </c>
      <c r="E88" s="4" t="s">
        <v>340</v>
      </c>
      <c r="F88" s="4" t="s">
        <v>341</v>
      </c>
      <c r="G88" s="4" t="s">
        <v>7</v>
      </c>
      <c r="H88" s="4" t="s">
        <v>342</v>
      </c>
      <c r="I88" s="4" t="s">
        <v>343</v>
      </c>
      <c r="J88" s="4" t="s">
        <v>54</v>
      </c>
      <c r="K88" s="4" t="s">
        <v>344</v>
      </c>
      <c r="L88" s="4" t="s">
        <v>345</v>
      </c>
      <c r="M88" s="4" t="s">
        <v>346</v>
      </c>
      <c r="N88" s="4" t="s">
        <v>58</v>
      </c>
      <c r="O88" s="12" t="s">
        <v>347</v>
      </c>
      <c r="P88" s="4" t="s">
        <v>348</v>
      </c>
      <c r="Q88" s="4" t="s">
        <v>349</v>
      </c>
    </row>
    <row r="89" ht="35.05" hidden="0" outlineLevel="0" collapsed="0">
      <c r="A89" s="10" t="s">
        <v>350</v>
      </c>
      <c r="B89" s="4" t="s">
        <v>351</v>
      </c>
      <c r="C89" s="4" t="s">
        <v>352</v>
      </c>
      <c r="D89" s="11">
        <v>1706.3</v>
      </c>
      <c r="E89" s="4" t="s">
        <v>49</v>
      </c>
      <c r="F89" s="4" t="s">
        <v>67</v>
      </c>
      <c r="G89" s="4" t="s">
        <v>7</v>
      </c>
      <c r="H89" s="4" t="s">
        <v>353</v>
      </c>
      <c r="I89" s="4" t="s">
        <v>343</v>
      </c>
      <c r="J89" s="4" t="s">
        <v>54</v>
      </c>
      <c r="K89" s="4" t="s">
        <v>344</v>
      </c>
      <c r="L89" s="4" t="s">
        <v>345</v>
      </c>
      <c r="M89" s="4" t="s">
        <v>346</v>
      </c>
      <c r="N89" s="4" t="s">
        <v>58</v>
      </c>
      <c r="O89" s="12" t="s">
        <v>347</v>
      </c>
      <c r="P89" s="4" t="s">
        <v>354</v>
      </c>
      <c r="Q89" s="4" t="s">
        <v>355</v>
      </c>
    </row>
    <row r="90" ht="79.85" hidden="0" outlineLevel="0" collapsed="0">
      <c r="A90" s="10" t="s">
        <v>356</v>
      </c>
      <c r="B90" s="4" t="s">
        <v>357</v>
      </c>
      <c r="C90" s="4" t="s">
        <v>18</v>
      </c>
      <c r="D90" s="11" t="s">
        <v>19</v>
      </c>
      <c r="E90" s="4" t="s">
        <v>358</v>
      </c>
      <c r="F90" s="4" t="s">
        <v>103</v>
      </c>
      <c r="G90" s="4" t="s">
        <v>7</v>
      </c>
      <c r="H90" s="4" t="s">
        <v>359</v>
      </c>
      <c r="I90" s="4" t="s">
        <v>53</v>
      </c>
      <c r="J90" s="4" t="s">
        <v>54</v>
      </c>
      <c r="K90" s="4" t="s">
        <v>55</v>
      </c>
      <c r="L90" s="4" t="s">
        <v>105</v>
      </c>
      <c r="M90" s="4" t="s">
        <v>57</v>
      </c>
      <c r="N90" s="4" t="s">
        <v>58</v>
      </c>
      <c r="O90" s="12" t="s">
        <v>106</v>
      </c>
      <c r="P90" s="4" t="s">
        <v>360</v>
      </c>
      <c r="Q90" s="4" t="s">
        <v>21</v>
      </c>
    </row>
    <row r="91" ht="102.2" hidden="0" outlineLevel="0" collapsed="0">
      <c r="A91" s="10" t="s">
        <v>361</v>
      </c>
      <c r="B91" s="4" t="s">
        <v>362</v>
      </c>
      <c r="C91" s="4" t="s">
        <v>363</v>
      </c>
      <c r="D91" s="11" t="s">
        <v>23</v>
      </c>
      <c r="E91" s="4" t="s">
        <v>358</v>
      </c>
      <c r="F91" s="4" t="s">
        <v>103</v>
      </c>
      <c r="G91" s="4" t="s">
        <v>7</v>
      </c>
      <c r="H91" s="4" t="s">
        <v>364</v>
      </c>
      <c r="I91" s="4" t="s">
        <v>53</v>
      </c>
      <c r="J91" s="4" t="s">
        <v>54</v>
      </c>
      <c r="K91" s="4" t="s">
        <v>55</v>
      </c>
      <c r="L91" s="4" t="s">
        <v>105</v>
      </c>
      <c r="M91" s="4" t="s">
        <v>57</v>
      </c>
      <c r="N91" s="4" t="s">
        <v>58</v>
      </c>
      <c r="O91" s="12" t="s">
        <v>106</v>
      </c>
      <c r="P91" s="4" t="s">
        <v>365</v>
      </c>
      <c r="Q91" s="4" t="s">
        <v>25</v>
      </c>
    </row>
  </sheetData>
  <mergeCells count="2">
    <mergeCell ref="A1:Q1"/>
    <mergeCell ref="A2:Q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J23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hidden="0" customWidth="1" outlineLevel="0" collapsed="0"/>
    <col min="2" max="5" width="14" hidden="0" customWidth="1" outlineLevel="0" collapsed="0"/>
    <col min="6" max="6" width="34" hidden="0" customWidth="1" outlineLevel="0" collapsed="0"/>
    <col min="7" max="7" width="24" hidden="0" customWidth="1" outlineLevel="0" collapsed="0"/>
    <col min="8" max="8" width="44" hidden="0" customWidth="1" outlineLevel="0" collapsed="0"/>
    <col min="9" max="9" width="18" hidden="0" customWidth="1" outlineLevel="0" collapsed="0"/>
  </cols>
  <sheetData>
    <row r="1" ht="26" hidden="0" outlineLevel="0" collapsed="0">
      <c r="A1" s="1" t="s">
        <v>366</v>
      </c>
      <c r="B1" s="1" t="s">
        <v>366</v>
      </c>
      <c r="C1" s="1" t="s">
        <v>366</v>
      </c>
      <c r="D1" s="1" t="s">
        <v>366</v>
      </c>
      <c r="E1" s="1" t="s">
        <v>366</v>
      </c>
      <c r="F1" s="1" t="s">
        <v>366</v>
      </c>
      <c r="G1" s="1" t="s">
        <v>366</v>
      </c>
      <c r="H1" s="1" t="s">
        <v>366</v>
      </c>
      <c r="I1" s="1" t="s">
        <v>366</v>
      </c>
    </row>
    <row r="2" ht="30" hidden="0" outlineLevel="0" collapsed="0">
      <c r="A2" s="2" t="s">
        <v>367</v>
      </c>
      <c r="B2" s="2" t="s">
        <v>367</v>
      </c>
      <c r="C2" s="2" t="s">
        <v>367</v>
      </c>
      <c r="D2" s="2" t="s">
        <v>367</v>
      </c>
      <c r="E2" s="2" t="s">
        <v>367</v>
      </c>
      <c r="F2" s="2" t="s">
        <v>367</v>
      </c>
      <c r="G2" s="2" t="s">
        <v>367</v>
      </c>
      <c r="H2" s="2" t="s">
        <v>367</v>
      </c>
      <c r="I2" s="2" t="s">
        <v>367</v>
      </c>
    </row>
    <row r="4" ht="15" hidden="0" outlineLevel="0" collapsed="0">
      <c r="A4" s="7" t="s">
        <v>31</v>
      </c>
      <c r="B4" s="8" t="s">
        <v>33</v>
      </c>
      <c r="C4" s="8" t="s">
        <v>368</v>
      </c>
      <c r="D4" s="8" t="s">
        <v>369</v>
      </c>
      <c r="E4" s="8" t="s">
        <v>370</v>
      </c>
      <c r="F4" s="8" t="s">
        <v>371</v>
      </c>
      <c r="G4" s="8" t="s">
        <v>372</v>
      </c>
      <c r="H4" s="8" t="s">
        <v>373</v>
      </c>
      <c r="I4" s="9" t="s">
        <v>374</v>
      </c>
    </row>
    <row r="5" ht="15" hidden="0" outlineLevel="0" collapsed="0">
      <c r="A5" s="13" t="s">
        <v>48</v>
      </c>
      <c r="B5" s="13" t="s">
        <v>49</v>
      </c>
      <c r="C5" s="14">
        <v>4511.1</v>
      </c>
      <c r="D5" s="14">
        <v>4446.8</v>
      </c>
      <c r="E5" s="14">
        <v>4442.2</v>
      </c>
      <c r="F5" s="15" t="s">
        <v>375</v>
      </c>
      <c r="G5" s="15" t="s">
        <v>376</v>
      </c>
      <c r="H5" s="15" t="s">
        <v>377</v>
      </c>
      <c r="I5" s="15" t="s">
        <v>38</v>
      </c>
      <c r="J5" s="15"/>
    </row>
    <row r="6" ht="15" hidden="0" outlineLevel="0" collapsed="0">
      <c r="A6" s="13" t="s">
        <v>70</v>
      </c>
      <c r="B6" s="13" t="s">
        <v>49</v>
      </c>
      <c r="C6" s="14">
        <v>517.7</v>
      </c>
      <c r="D6" s="14">
        <v>-76.8</v>
      </c>
      <c r="E6" s="14">
        <v>108.2</v>
      </c>
      <c r="F6" s="15" t="s">
        <v>378</v>
      </c>
      <c r="G6" s="15" t="s">
        <v>379</v>
      </c>
      <c r="H6" s="15" t="s">
        <v>377</v>
      </c>
      <c r="I6" s="15" t="s">
        <v>38</v>
      </c>
      <c r="J6" s="15"/>
    </row>
    <row r="7" ht="15" hidden="0" outlineLevel="0" collapsed="0">
      <c r="A7" s="13" t="s">
        <v>78</v>
      </c>
      <c r="B7" s="13" t="s">
        <v>49</v>
      </c>
      <c r="C7" s="14">
        <v>-73.6</v>
      </c>
      <c r="D7" s="14">
        <v>-689.4</v>
      </c>
      <c r="E7" s="14">
        <v>-611.2</v>
      </c>
      <c r="F7" s="15" t="s">
        <v>380</v>
      </c>
      <c r="G7" s="15" t="s">
        <v>381</v>
      </c>
      <c r="H7" s="15" t="s">
        <v>377</v>
      </c>
      <c r="I7" s="15" t="s">
        <v>38</v>
      </c>
      <c r="J7" s="15"/>
    </row>
    <row r="8" ht="15" hidden="0" outlineLevel="0" collapsed="0">
      <c r="A8" s="13" t="s">
        <v>86</v>
      </c>
      <c r="B8" s="13" t="s">
        <v>49</v>
      </c>
      <c r="C8" s="14">
        <v>897</v>
      </c>
      <c r="D8" s="14">
        <v>756.3</v>
      </c>
      <c r="E8" s="14">
        <v>805.9</v>
      </c>
      <c r="F8" s="15" t="s">
        <v>382</v>
      </c>
      <c r="G8" s="15" t="s">
        <v>383</v>
      </c>
      <c r="H8" s="15" t="s">
        <v>377</v>
      </c>
      <c r="I8" s="15" t="s">
        <v>38</v>
      </c>
      <c r="J8" s="15"/>
    </row>
    <row r="9" ht="15" hidden="0" outlineLevel="0" collapsed="0">
      <c r="A9" s="13" t="s">
        <v>94</v>
      </c>
      <c r="B9" s="13" t="s">
        <v>49</v>
      </c>
      <c r="C9" s="14">
        <v>1008.3</v>
      </c>
      <c r="D9" s="14">
        <v>968.3</v>
      </c>
      <c r="E9" s="14">
        <v>904.9</v>
      </c>
      <c r="F9" s="15" t="s">
        <v>384</v>
      </c>
      <c r="G9" s="15" t="s">
        <v>385</v>
      </c>
      <c r="H9" s="15" t="s">
        <v>377</v>
      </c>
      <c r="I9" s="15" t="s">
        <v>38</v>
      </c>
      <c r="J9" s="15"/>
    </row>
    <row r="10" ht="15" hidden="0" outlineLevel="0" collapsed="0">
      <c r="A10" s="13" t="s">
        <v>102</v>
      </c>
      <c r="B10" s="13" t="s">
        <v>49</v>
      </c>
      <c r="C10" s="14"/>
      <c r="D10" s="14">
        <v>725.3</v>
      </c>
      <c r="E10" s="14">
        <v>640.1</v>
      </c>
      <c r="F10" s="15" t="s">
        <v>386</v>
      </c>
      <c r="G10" s="15" t="s">
        <v>387</v>
      </c>
      <c r="H10" s="15" t="s">
        <v>377</v>
      </c>
      <c r="I10" s="15" t="s">
        <v>388</v>
      </c>
      <c r="J10" s="15"/>
    </row>
    <row r="11" ht="15" hidden="0" outlineLevel="0" collapsed="0">
      <c r="A11" s="13" t="s">
        <v>114</v>
      </c>
      <c r="B11" s="13" t="s">
        <v>49</v>
      </c>
      <c r="C11" s="14">
        <v>13594.6</v>
      </c>
      <c r="D11" s="14">
        <v>12783.7</v>
      </c>
      <c r="E11" s="14">
        <v>12225.9</v>
      </c>
      <c r="F11" s="15" t="s">
        <v>389</v>
      </c>
      <c r="G11" s="15" t="s">
        <v>390</v>
      </c>
      <c r="H11" s="15" t="s">
        <v>377</v>
      </c>
      <c r="I11" s="15" t="s">
        <v>38</v>
      </c>
      <c r="J11" s="15"/>
    </row>
    <row r="12" ht="15" hidden="0" outlineLevel="0" collapsed="0">
      <c r="A12" s="13" t="s">
        <v>125</v>
      </c>
      <c r="B12" s="13" t="s">
        <v>49</v>
      </c>
      <c r="C12" s="14">
        <v>1763.5</v>
      </c>
      <c r="D12" s="14">
        <v>1088.6</v>
      </c>
      <c r="E12" s="14">
        <v>555.6</v>
      </c>
      <c r="F12" s="15" t="s">
        <v>391</v>
      </c>
      <c r="G12" s="15" t="s">
        <v>392</v>
      </c>
      <c r="H12" s="15" t="s">
        <v>377</v>
      </c>
      <c r="I12" s="15" t="s">
        <v>38</v>
      </c>
      <c r="J12" s="15"/>
    </row>
    <row r="13" ht="15" hidden="0" outlineLevel="0" collapsed="0">
      <c r="A13" s="13" t="s">
        <v>133</v>
      </c>
      <c r="B13" s="13" t="s">
        <v>49</v>
      </c>
      <c r="C13" s="14">
        <v>988.6</v>
      </c>
      <c r="D13" s="14">
        <v>654.3</v>
      </c>
      <c r="E13" s="14">
        <v>783.9</v>
      </c>
      <c r="F13" s="15" t="s">
        <v>393</v>
      </c>
      <c r="G13" s="15" t="s">
        <v>394</v>
      </c>
      <c r="H13" s="15" t="s">
        <v>377</v>
      </c>
      <c r="I13" s="15" t="s">
        <v>38</v>
      </c>
      <c r="J13" s="15"/>
    </row>
    <row r="14" ht="15" hidden="0" outlineLevel="0" collapsed="0">
      <c r="A14" s="13" t="s">
        <v>141</v>
      </c>
      <c r="B14" s="13" t="s">
        <v>49</v>
      </c>
      <c r="C14" s="14">
        <v>8179.9</v>
      </c>
      <c r="D14" s="14">
        <v>8080.2</v>
      </c>
      <c r="E14" s="14">
        <v>8279.2</v>
      </c>
      <c r="F14" s="15" t="s">
        <v>395</v>
      </c>
      <c r="G14" s="15" t="s">
        <v>396</v>
      </c>
      <c r="H14" s="15" t="s">
        <v>19</v>
      </c>
      <c r="I14" s="15" t="s">
        <v>38</v>
      </c>
      <c r="J14" s="15"/>
    </row>
    <row r="15" ht="15" hidden="0" outlineLevel="0" collapsed="0">
      <c r="A15" s="13" t="s">
        <v>149</v>
      </c>
      <c r="B15" s="13" t="s">
        <v>49</v>
      </c>
      <c r="C15" s="14">
        <v>0</v>
      </c>
      <c r="D15" s="14">
        <v>0</v>
      </c>
      <c r="E15" s="14">
        <v>0</v>
      </c>
      <c r="F15" s="15" t="s">
        <v>397</v>
      </c>
      <c r="G15" s="15" t="s">
        <v>398</v>
      </c>
      <c r="H15" s="15" t="s">
        <v>19</v>
      </c>
      <c r="I15" s="15" t="s">
        <v>38</v>
      </c>
      <c r="J15" s="15"/>
    </row>
    <row r="16" ht="15" hidden="0" outlineLevel="0" collapsed="0">
      <c r="A16" s="13" t="s">
        <v>159</v>
      </c>
      <c r="B16" s="13" t="s">
        <v>49</v>
      </c>
      <c r="C16" s="14">
        <v>0</v>
      </c>
      <c r="D16" s="14">
        <v>0</v>
      </c>
      <c r="E16" s="14">
        <v>0</v>
      </c>
      <c r="F16" s="15" t="s">
        <v>399</v>
      </c>
      <c r="G16" s="15" t="s">
        <v>400</v>
      </c>
      <c r="H16" s="15" t="s">
        <v>19</v>
      </c>
      <c r="I16" s="15" t="s">
        <v>38</v>
      </c>
      <c r="J16" s="15"/>
    </row>
    <row r="17" ht="15" hidden="0" outlineLevel="0" collapsed="0">
      <c r="A17" s="13" t="s">
        <v>167</v>
      </c>
      <c r="B17" s="13" t="s">
        <v>168</v>
      </c>
      <c r="C17" s="14">
        <v>210</v>
      </c>
      <c r="D17" s="14">
        <v>198.4</v>
      </c>
      <c r="E17" s="14">
        <v>199.5</v>
      </c>
      <c r="F17" s="15" t="s">
        <v>401</v>
      </c>
      <c r="G17" s="15" t="s">
        <v>402</v>
      </c>
      <c r="H17" s="15" t="s">
        <v>377</v>
      </c>
      <c r="I17" s="15" t="s">
        <v>38</v>
      </c>
      <c r="J17" s="15"/>
    </row>
    <row r="18" ht="15" hidden="0" outlineLevel="0" collapsed="0">
      <c r="A18" s="16" t="s">
        <v>403</v>
      </c>
      <c r="B18" s="16" t="s">
        <v>49</v>
      </c>
      <c r="C18" s="17">
        <f>C14+C15+C16</f>
        <v>8179.9</v>
      </c>
      <c r="D18" s="17">
        <f>D14+D15+D16</f>
        <v>8080.2</v>
      </c>
      <c r="E18" s="17">
        <f>E14+E15+E16</f>
        <v>8279.2</v>
      </c>
      <c r="F18" s="16" t="s">
        <v>19</v>
      </c>
      <c r="G18" s="18" t="s">
        <v>404</v>
      </c>
      <c r="H18" s="16" t="s">
        <v>19</v>
      </c>
      <c r="I18" s="16" t="s">
        <v>405</v>
      </c>
    </row>
    <row r="19" ht="15" hidden="0" outlineLevel="0" collapsed="0">
      <c r="A19" s="19" t="s">
        <v>406</v>
      </c>
      <c r="B19" s="19" t="s">
        <v>49</v>
      </c>
      <c r="C19" s="20">
        <f>C18-C13</f>
        <v>7191.299999999999</v>
      </c>
      <c r="D19" s="20">
        <f>D18-D13</f>
        <v>7425.9</v>
      </c>
      <c r="E19" s="20">
        <f>E18-E13</f>
        <v>7495.300000000001</v>
      </c>
      <c r="F19" s="19" t="s">
        <v>407</v>
      </c>
      <c r="G19" s="21" t="s">
        <v>404</v>
      </c>
      <c r="H19" s="19" t="s">
        <v>21</v>
      </c>
      <c r="I19" s="19" t="s">
        <v>405</v>
      </c>
    </row>
    <row r="21" ht="15" hidden="0" outlineLevel="0" collapsed="0">
      <c r="A21" s="22" t="s">
        <v>408</v>
      </c>
      <c r="B21" s="4" t="s">
        <v>19</v>
      </c>
      <c r="C21" s="4"/>
      <c r="D21" s="4"/>
      <c r="E21" s="4"/>
      <c r="F21" s="4"/>
      <c r="G21" s="4"/>
      <c r="H21" s="4"/>
      <c r="I21" s="4"/>
    </row>
    <row r="22" ht="15" hidden="0" outlineLevel="0" collapsed="0">
      <c r="A22" s="22" t="s">
        <v>20</v>
      </c>
      <c r="B22" s="4" t="s">
        <v>21</v>
      </c>
      <c r="C22" s="4"/>
      <c r="D22" s="4"/>
      <c r="E22" s="4"/>
      <c r="F22" s="4"/>
      <c r="G22" s="4"/>
      <c r="H22" s="4"/>
      <c r="I22" s="4"/>
    </row>
    <row r="23" ht="15" hidden="0" outlineLevel="0" collapsed="0">
      <c r="A23" s="22" t="s">
        <v>409</v>
      </c>
      <c r="B23" s="4" t="s">
        <v>23</v>
      </c>
      <c r="C23" s="4"/>
      <c r="D23" s="4"/>
      <c r="E23" s="4"/>
      <c r="F23" s="4"/>
      <c r="G23" s="4"/>
      <c r="H23" s="4"/>
      <c r="I23" s="4"/>
    </row>
  </sheetData>
  <mergeCells count="5">
    <mergeCell ref="A1:I1"/>
    <mergeCell ref="A2:I2"/>
    <mergeCell ref="B21:I21"/>
    <mergeCell ref="B22:I22"/>
    <mergeCell ref="B23:I23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G24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hidden="0" customWidth="1" outlineLevel="0" collapsed="0"/>
    <col min="2" max="2" width="15" hidden="0" customWidth="1" outlineLevel="0" collapsed="0"/>
    <col min="3" max="6" width="14" hidden="0" customWidth="1" outlineLevel="0" collapsed="0"/>
    <col min="7" max="7" width="58" hidden="0" customWidth="1" outlineLevel="0" collapsed="0"/>
    <col min="8" max="8" width="15" hidden="0" customWidth="1" outlineLevel="0" collapsed="0"/>
  </cols>
  <sheetData>
    <row r="1" ht="26" hidden="0" outlineLevel="0" collapsed="0">
      <c r="A1" s="1" t="s">
        <v>410</v>
      </c>
      <c r="B1" s="1" t="s">
        <v>410</v>
      </c>
      <c r="C1" s="1" t="s">
        <v>410</v>
      </c>
      <c r="D1" s="1" t="s">
        <v>410</v>
      </c>
      <c r="E1" s="1" t="s">
        <v>410</v>
      </c>
      <c r="F1" s="1" t="s">
        <v>410</v>
      </c>
      <c r="G1" s="1" t="s">
        <v>410</v>
      </c>
    </row>
    <row r="2" ht="30" hidden="0" outlineLevel="0" collapsed="0">
      <c r="A2" s="2" t="s">
        <v>411</v>
      </c>
      <c r="B2" s="2" t="s">
        <v>411</v>
      </c>
      <c r="C2" s="2" t="s">
        <v>411</v>
      </c>
      <c r="D2" s="2" t="s">
        <v>411</v>
      </c>
      <c r="E2" s="2" t="s">
        <v>411</v>
      </c>
      <c r="F2" s="2" t="s">
        <v>411</v>
      </c>
      <c r="G2" s="2" t="s">
        <v>411</v>
      </c>
    </row>
    <row r="3" ht="15" hidden="0" outlineLevel="0" collapsed="0">
      <c r="A3" s="0" t="s">
        <v>412</v>
      </c>
      <c r="B3" s="23">
        <v>1</v>
      </c>
    </row>
    <row r="4" ht="15" hidden="0" outlineLevel="0" collapsed="0">
      <c r="A4" s="0" t="s">
        <v>12</v>
      </c>
      <c r="B4" s="24" t="str">
        <f>CHOOSE(B3,"Base","Bull","Bear")</f>
        <v>Base</v>
      </c>
    </row>
    <row r="6" ht="15" hidden="0" outlineLevel="0" collapsed="0">
      <c r="A6" s="7" t="s">
        <v>413</v>
      </c>
      <c r="B6" s="8" t="s">
        <v>33</v>
      </c>
      <c r="C6" s="8" t="s">
        <v>414</v>
      </c>
      <c r="D6" s="8" t="s">
        <v>415</v>
      </c>
      <c r="E6" s="8" t="s">
        <v>416</v>
      </c>
      <c r="F6" s="8" t="s">
        <v>417</v>
      </c>
      <c r="G6" s="9" t="s">
        <v>418</v>
      </c>
    </row>
    <row r="7" ht="15" hidden="0" outlineLevel="0" collapsed="0">
      <c r="A7" s="0" t="s">
        <v>419</v>
      </c>
      <c r="B7" s="0" t="s">
        <v>178</v>
      </c>
      <c r="C7" s="25">
        <v>0</v>
      </c>
      <c r="D7" s="25">
        <v>0.02</v>
      </c>
      <c r="E7" s="25">
        <v>0.035</v>
      </c>
      <c r="F7" s="26">
        <f>CHOOSE($B$3,D7,E7,C7)</f>
        <v>0.02</v>
      </c>
      <c r="G7" s="0" t="s">
        <v>183</v>
      </c>
    </row>
    <row r="8" ht="15" hidden="0" outlineLevel="0" collapsed="0">
      <c r="A8" s="0" t="s">
        <v>420</v>
      </c>
      <c r="B8" s="0" t="s">
        <v>178</v>
      </c>
      <c r="C8" s="25">
        <v>-0.04</v>
      </c>
      <c r="D8" s="25">
        <v>-0.01</v>
      </c>
      <c r="E8" s="25">
        <v>0.01</v>
      </c>
      <c r="F8" s="26">
        <f>CHOOSE($B$3,D8,E8,C8)</f>
        <v>-0.01</v>
      </c>
      <c r="G8" s="0" t="s">
        <v>193</v>
      </c>
    </row>
    <row r="9" ht="15" hidden="0" outlineLevel="0" collapsed="0">
      <c r="A9" s="0" t="s">
        <v>421</v>
      </c>
      <c r="B9" s="0" t="s">
        <v>178</v>
      </c>
      <c r="C9" s="25">
        <v>-0.02</v>
      </c>
      <c r="D9" s="25">
        <v>0.02</v>
      </c>
      <c r="E9" s="25">
        <v>0.04</v>
      </c>
      <c r="F9" s="26">
        <f>CHOOSE($B$3,D9,E9,C9)</f>
        <v>0.02</v>
      </c>
      <c r="G9" s="0" t="s">
        <v>203</v>
      </c>
    </row>
    <row r="10" ht="15" hidden="0" outlineLevel="0" collapsed="0">
      <c r="A10" s="0" t="s">
        <v>422</v>
      </c>
      <c r="B10" s="0" t="s">
        <v>178</v>
      </c>
      <c r="C10" s="25">
        <v>-0.01</v>
      </c>
      <c r="D10" s="25">
        <v>0.02</v>
      </c>
      <c r="E10" s="25">
        <v>0.04</v>
      </c>
      <c r="F10" s="26">
        <f>CHOOSE($B$3,D10,E10,C10)</f>
        <v>0.02</v>
      </c>
      <c r="G10" s="0" t="s">
        <v>213</v>
      </c>
    </row>
    <row r="11" ht="15" hidden="0" outlineLevel="0" collapsed="0">
      <c r="A11" s="0" t="s">
        <v>423</v>
      </c>
      <c r="B11" s="0" t="s">
        <v>178</v>
      </c>
      <c r="C11" s="25">
        <v>-0.03</v>
      </c>
      <c r="D11" s="25">
        <v>0.01</v>
      </c>
      <c r="E11" s="25">
        <v>0.03</v>
      </c>
      <c r="F11" s="26">
        <f>CHOOSE($B$3,D11,E11,C11)</f>
        <v>0.01</v>
      </c>
      <c r="G11" s="0" t="s">
        <v>223</v>
      </c>
    </row>
    <row r="12" ht="15" hidden="0" outlineLevel="0" collapsed="0">
      <c r="A12" s="0" t="s">
        <v>424</v>
      </c>
      <c r="B12" s="0" t="s">
        <v>233</v>
      </c>
      <c r="C12" s="25">
        <v>0.35</v>
      </c>
      <c r="D12" s="25">
        <v>0.384</v>
      </c>
      <c r="E12" s="25">
        <v>0.4</v>
      </c>
      <c r="F12" s="26">
        <f>CHOOSE($B$3,D12,E12,C12)</f>
        <v>0.384</v>
      </c>
      <c r="G12" s="0" t="s">
        <v>234</v>
      </c>
    </row>
    <row r="13" ht="15" hidden="0" outlineLevel="0" collapsed="0">
      <c r="A13" s="0" t="s">
        <v>425</v>
      </c>
      <c r="B13" s="0" t="s">
        <v>233</v>
      </c>
      <c r="C13" s="25">
        <v>0.21</v>
      </c>
      <c r="D13" s="25">
        <v>0.204</v>
      </c>
      <c r="E13" s="25">
        <v>0.2</v>
      </c>
      <c r="F13" s="26">
        <f>CHOOSE($B$3,D13,E13,C13)</f>
        <v>0.204</v>
      </c>
      <c r="G13" s="0" t="s">
        <v>244</v>
      </c>
    </row>
    <row r="14" ht="15" hidden="0" outlineLevel="0" collapsed="0">
      <c r="A14" s="0" t="s">
        <v>426</v>
      </c>
      <c r="B14" s="0" t="s">
        <v>233</v>
      </c>
      <c r="C14" s="25">
        <v>0.16</v>
      </c>
      <c r="D14" s="25">
        <v>0.144</v>
      </c>
      <c r="E14" s="25">
        <v>0.13</v>
      </c>
      <c r="F14" s="26">
        <f>CHOOSE($B$3,D14,E14,C14)</f>
        <v>0.144</v>
      </c>
      <c r="G14" s="0" t="s">
        <v>254</v>
      </c>
    </row>
    <row r="15" ht="15" hidden="0" outlineLevel="0" collapsed="0">
      <c r="A15" s="0" t="s">
        <v>427</v>
      </c>
      <c r="B15" s="0" t="s">
        <v>233</v>
      </c>
      <c r="C15" s="25">
        <v>0.26</v>
      </c>
      <c r="D15" s="25">
        <v>0.24</v>
      </c>
      <c r="E15" s="25">
        <v>0.22</v>
      </c>
      <c r="F15" s="26">
        <f>CHOOSE($B$3,D15,E15,C15)</f>
        <v>0.24</v>
      </c>
      <c r="G15" s="0" t="s">
        <v>264</v>
      </c>
    </row>
    <row r="16" ht="15" hidden="0" outlineLevel="0" collapsed="0">
      <c r="A16" s="0" t="s">
        <v>428</v>
      </c>
      <c r="B16" s="0" t="s">
        <v>233</v>
      </c>
      <c r="C16" s="25">
        <v>0.03</v>
      </c>
      <c r="D16" s="25">
        <v>0.02</v>
      </c>
      <c r="E16" s="25">
        <v>0.01</v>
      </c>
      <c r="F16" s="26">
        <f>CHOOSE($B$3,D16,E16,C16)</f>
        <v>0.02</v>
      </c>
      <c r="G16" s="0" t="s">
        <v>274</v>
      </c>
    </row>
    <row r="17" ht="15" hidden="0" outlineLevel="0" collapsed="0">
      <c r="A17" s="0" t="s">
        <v>429</v>
      </c>
      <c r="B17" s="0" t="s">
        <v>233</v>
      </c>
      <c r="C17" s="25">
        <v>0.02</v>
      </c>
      <c r="D17" s="25">
        <v>0.05</v>
      </c>
      <c r="E17" s="25">
        <v>0.08</v>
      </c>
      <c r="F17" s="26">
        <f>CHOOSE($B$3,D17,E17,C17)</f>
        <v>0.05</v>
      </c>
      <c r="G17" s="0" t="s">
        <v>284</v>
      </c>
    </row>
    <row r="18" ht="15" hidden="0" outlineLevel="0" collapsed="0">
      <c r="A18" s="0" t="s">
        <v>430</v>
      </c>
      <c r="B18" s="0" t="s">
        <v>233</v>
      </c>
      <c r="C18" s="25">
        <v>0.12</v>
      </c>
      <c r="D18" s="25">
        <v>0.105</v>
      </c>
      <c r="E18" s="25">
        <v>0.095</v>
      </c>
      <c r="F18" s="26">
        <f>CHOOSE($B$3,D18,E18,C18)</f>
        <v>0.105</v>
      </c>
      <c r="G18" s="0" t="s">
        <v>294</v>
      </c>
    </row>
    <row r="19" ht="15" hidden="0" outlineLevel="0" collapsed="0">
      <c r="A19" s="0" t="s">
        <v>431</v>
      </c>
      <c r="B19" s="0" t="s">
        <v>233</v>
      </c>
      <c r="C19" s="25">
        <v>0.005</v>
      </c>
      <c r="D19" s="25">
        <v>0.015</v>
      </c>
      <c r="E19" s="25">
        <v>0.025</v>
      </c>
      <c r="F19" s="26">
        <f>CHOOSE($B$3,D19,E19,C19)</f>
        <v>0.015</v>
      </c>
      <c r="G19" s="0" t="s">
        <v>304</v>
      </c>
    </row>
    <row r="20" ht="15" hidden="0" outlineLevel="0" collapsed="0">
      <c r="A20" s="0" t="s">
        <v>432</v>
      </c>
      <c r="B20" s="0" t="s">
        <v>314</v>
      </c>
      <c r="C20" s="27">
        <v>4.5</v>
      </c>
      <c r="D20" s="27">
        <v>5.5</v>
      </c>
      <c r="E20" s="27">
        <v>6.5</v>
      </c>
      <c r="F20" s="28">
        <f>CHOOSE($B$3,D20,E20,C20)</f>
        <v>5.5</v>
      </c>
      <c r="G20" s="0" t="s">
        <v>315</v>
      </c>
    </row>
    <row r="22" ht="15" hidden="0" outlineLevel="0" collapsed="0">
      <c r="A22" s="22" t="s">
        <v>18</v>
      </c>
      <c r="B22" s="4" t="s">
        <v>19</v>
      </c>
      <c r="C22" s="4"/>
      <c r="D22" s="4"/>
      <c r="E22" s="4"/>
      <c r="F22" s="4"/>
      <c r="G22" s="4"/>
    </row>
    <row r="23" ht="15" hidden="0" outlineLevel="0" collapsed="0">
      <c r="A23" s="22" t="s">
        <v>20</v>
      </c>
      <c r="B23" s="4" t="s">
        <v>21</v>
      </c>
      <c r="C23" s="4"/>
      <c r="D23" s="4"/>
      <c r="E23" s="4"/>
      <c r="F23" s="4"/>
      <c r="G23" s="4"/>
    </row>
    <row r="24" ht="23.85" hidden="0" outlineLevel="0" collapsed="0">
      <c r="A24" s="22" t="s">
        <v>24</v>
      </c>
      <c r="B24" s="4" t="s">
        <v>25</v>
      </c>
      <c r="C24" s="4"/>
      <c r="D24" s="4"/>
      <c r="E24" s="4"/>
      <c r="F24" s="4"/>
      <c r="G24" s="4"/>
    </row>
  </sheetData>
  <mergeCells count="5">
    <mergeCell ref="A1:G1"/>
    <mergeCell ref="A2:G2"/>
    <mergeCell ref="B22:G22"/>
    <mergeCell ref="B23:G23"/>
    <mergeCell ref="B24:G24"/>
  </mergeCells>
  <dataValidations count="1">
    <dataValidation sqref="B3">
      <formula1>1</formula1>
    </dataValidation>
  </dataValidation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G18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8" hidden="0" customWidth="1" outlineLevel="0" collapsed="0"/>
    <col min="2" max="8" width="15" hidden="0" customWidth="1" outlineLevel="0" collapsed="0"/>
  </cols>
  <sheetData>
    <row r="1" ht="26" hidden="0" outlineLevel="0" collapsed="0">
      <c r="A1" s="1" t="s">
        <v>433</v>
      </c>
      <c r="B1" s="1" t="s">
        <v>433</v>
      </c>
      <c r="C1" s="1" t="s">
        <v>433</v>
      </c>
      <c r="D1" s="1" t="s">
        <v>433</v>
      </c>
      <c r="E1" s="1" t="s">
        <v>433</v>
      </c>
      <c r="F1" s="1" t="s">
        <v>433</v>
      </c>
      <c r="G1" s="1" t="s">
        <v>433</v>
      </c>
    </row>
    <row r="2" ht="30" hidden="0" outlineLevel="0" collapsed="0">
      <c r="A2" s="2" t="s">
        <v>434</v>
      </c>
      <c r="B2" s="2" t="s">
        <v>434</v>
      </c>
      <c r="C2" s="2" t="s">
        <v>434</v>
      </c>
      <c r="D2" s="2" t="s">
        <v>434</v>
      </c>
      <c r="E2" s="2" t="s">
        <v>434</v>
      </c>
      <c r="F2" s="2" t="s">
        <v>434</v>
      </c>
      <c r="G2" s="2" t="s">
        <v>434</v>
      </c>
    </row>
    <row r="4" ht="15" hidden="0" outlineLevel="0" collapsed="0">
      <c r="A4" s="7" t="s">
        <v>31</v>
      </c>
      <c r="B4" s="8" t="s">
        <v>33</v>
      </c>
      <c r="C4" s="8" t="s">
        <v>435</v>
      </c>
      <c r="D4" s="8" t="s">
        <v>436</v>
      </c>
      <c r="E4" s="8" t="s">
        <v>437</v>
      </c>
      <c r="F4" s="8" t="s">
        <v>438</v>
      </c>
      <c r="G4" s="9" t="s">
        <v>439</v>
      </c>
    </row>
    <row r="5" ht="15" hidden="0" outlineLevel="0" collapsed="0">
      <c r="A5" s="16" t="s">
        <v>48</v>
      </c>
      <c r="B5" s="16" t="s">
        <v>49</v>
      </c>
      <c r="C5" s="29">
        <f>Sector_KPIs!F14</f>
        <v>4566.352372984336</v>
      </c>
      <c r="D5" s="29">
        <f>Sector_KPIs!G14</f>
        <v>4694.742710768957</v>
      </c>
      <c r="E5" s="29">
        <f>Sector_KPIs!H14</f>
        <v>4827.527710139833</v>
      </c>
      <c r="F5" s="29">
        <f>Sector_KPIs!I14</f>
        <v>4964.870051117683</v>
      </c>
      <c r="G5" s="29">
        <f>Sector_KPIs!J14</f>
        <v>5106.938629143953</v>
      </c>
    </row>
    <row r="6" ht="15" hidden="0" outlineLevel="0" collapsed="0">
      <c r="A6" s="16" t="s">
        <v>352</v>
      </c>
      <c r="B6" s="16" t="s">
        <v>49</v>
      </c>
      <c r="C6" s="29">
        <f>Sector_KPIs!F16</f>
        <v>1753.4793112259852</v>
      </c>
      <c r="D6" s="29">
        <f>Sector_KPIs!G16</f>
        <v>1802.7812009352797</v>
      </c>
      <c r="E6" s="29">
        <f>Sector_KPIs!H16</f>
        <v>1853.7706406936961</v>
      </c>
      <c r="F6" s="29">
        <f>Sector_KPIs!I16</f>
        <v>1906.5100996291903</v>
      </c>
      <c r="G6" s="29">
        <f>Sector_KPIs!J16</f>
        <v>1961.064433591278</v>
      </c>
    </row>
    <row r="7" ht="15" hidden="0" outlineLevel="0" collapsed="0">
      <c r="A7" s="0" t="s">
        <v>94</v>
      </c>
      <c r="B7" s="0" t="s">
        <v>49</v>
      </c>
      <c r="C7" s="30">
        <f>C5*Assumptions!$F$13</f>
        <v>931.5358840888046</v>
      </c>
      <c r="D7" s="30">
        <f>D5*Assumptions!$F$13</f>
        <v>957.7275129968672</v>
      </c>
      <c r="E7" s="30">
        <f>E5*Assumptions!$F$13</f>
        <v>984.815652868526</v>
      </c>
      <c r="F7" s="30">
        <f>F5*Assumptions!$F$13</f>
        <v>1012.8334904280073</v>
      </c>
      <c r="G7" s="30">
        <f>G5*Assumptions!$F$13</f>
        <v>1041.8154803453665</v>
      </c>
    </row>
    <row r="8" ht="15" hidden="0" outlineLevel="0" collapsed="0">
      <c r="A8" s="16" t="s">
        <v>440</v>
      </c>
      <c r="B8" s="16" t="s">
        <v>49</v>
      </c>
      <c r="C8" s="29">
        <f>C6-C7</f>
        <v>821.9434271371806</v>
      </c>
      <c r="D8" s="29">
        <f>D6-D7</f>
        <v>845.0536879384125</v>
      </c>
      <c r="E8" s="29">
        <f>E6-E7</f>
        <v>868.9549878251702</v>
      </c>
      <c r="F8" s="29">
        <f>F6-F7</f>
        <v>893.676609201183</v>
      </c>
      <c r="G8" s="29">
        <f>G6-G7</f>
        <v>919.2489532459115</v>
      </c>
    </row>
    <row r="9" ht="15" hidden="0" outlineLevel="0" collapsed="0">
      <c r="A9" s="0" t="s">
        <v>441</v>
      </c>
      <c r="B9" s="0" t="s">
        <v>49</v>
      </c>
      <c r="C9" s="30">
        <f>MAX(0,C8*Assumptions!$F$15)</f>
        <v>197.26642251292333</v>
      </c>
      <c r="D9" s="30">
        <f>MAX(0,D8*Assumptions!$F$15)</f>
        <v>202.81288510521898</v>
      </c>
      <c r="E9" s="30">
        <f>MAX(0,E8*Assumptions!$F$15)</f>
        <v>208.54919707804083</v>
      </c>
      <c r="F9" s="30">
        <f>MAX(0,F8*Assumptions!$F$15)</f>
        <v>214.4823862082839</v>
      </c>
      <c r="G9" s="30">
        <f>MAX(0,G8*Assumptions!$F$15)</f>
        <v>220.61974877901875</v>
      </c>
    </row>
    <row r="10" ht="15" hidden="0" outlineLevel="0" collapsed="0">
      <c r="A10" s="16" t="s">
        <v>442</v>
      </c>
      <c r="B10" s="16" t="s">
        <v>49</v>
      </c>
      <c r="C10" s="29">
        <f>C8-C9</f>
        <v>624.6770046242573</v>
      </c>
      <c r="D10" s="29">
        <f>D8-D9</f>
        <v>642.2408028331936</v>
      </c>
      <c r="E10" s="29">
        <f>E8-E9</f>
        <v>660.4057907471293</v>
      </c>
      <c r="F10" s="29">
        <f>F8-F9</f>
        <v>679.1942229928991</v>
      </c>
      <c r="G10" s="29">
        <f>G8-G9</f>
        <v>698.6292044668927</v>
      </c>
    </row>
    <row r="11" ht="15" hidden="0" outlineLevel="0" collapsed="0">
      <c r="A11" s="0" t="s">
        <v>443</v>
      </c>
      <c r="B11" s="0" t="s">
        <v>49</v>
      </c>
      <c r="C11" s="30">
        <f>C7</f>
        <v>931.5358840888046</v>
      </c>
      <c r="D11" s="30">
        <f>D7</f>
        <v>957.7275129968672</v>
      </c>
      <c r="E11" s="30">
        <f>E7</f>
        <v>984.815652868526</v>
      </c>
      <c r="F11" s="30">
        <f>F7</f>
        <v>1012.8334904280073</v>
      </c>
      <c r="G11" s="30">
        <f>G7</f>
        <v>1041.8154803453665</v>
      </c>
    </row>
    <row r="12" ht="15" hidden="0" outlineLevel="0" collapsed="0">
      <c r="A12" s="0" t="s">
        <v>444</v>
      </c>
      <c r="B12" s="0" t="s">
        <v>49</v>
      </c>
      <c r="C12" s="30">
        <f>Sector_KPIs!F18</f>
        <v>657.5547417097443</v>
      </c>
      <c r="D12" s="30">
        <f>Sector_KPIs!G18</f>
        <v>676.0429503507298</v>
      </c>
      <c r="E12" s="30">
        <f>Sector_KPIs!H18</f>
        <v>695.163990260136</v>
      </c>
      <c r="F12" s="30">
        <f>Sector_KPIs!I18</f>
        <v>714.9412873609463</v>
      </c>
      <c r="G12" s="30">
        <f>Sector_KPIs!J18</f>
        <v>735.3991625967292</v>
      </c>
    </row>
    <row r="13" ht="15" hidden="0" outlineLevel="0" collapsed="0">
      <c r="A13" s="0" t="s">
        <v>445</v>
      </c>
      <c r="B13" s="0" t="s">
        <v>49</v>
      </c>
      <c r="C13" s="30">
        <f>MAX(0,(Sector_KPIs!F14-Sector_KPIs!E14)*Assumptions!$F$16)</f>
        <v>2.483047459686732</v>
      </c>
      <c r="D13" s="30">
        <f>MAX(0,(Sector_KPIs!G14-Sector_KPIs!F14)*Assumptions!$F$16)</f>
        <v>2.567806755692418</v>
      </c>
      <c r="E13" s="30">
        <f>MAX(0,(Sector_KPIs!H14-Sector_KPIs!G14)*Assumptions!$F$16)</f>
        <v>2.65569998741752</v>
      </c>
      <c r="F13" s="30">
        <f>MAX(0,(Sector_KPIs!I14-Sector_KPIs!H14)*Assumptions!$F$16)</f>
        <v>2.746846819556995</v>
      </c>
      <c r="G13" s="30">
        <f>MAX(0,(Sector_KPIs!J14-Sector_KPIs!I14)*Assumptions!$F$16)</f>
        <v>2.841371560525404</v>
      </c>
    </row>
    <row r="14" ht="15" hidden="0" outlineLevel="0" collapsed="0">
      <c r="A14" s="16" t="s">
        <v>446</v>
      </c>
      <c r="B14" s="16" t="s">
        <v>49</v>
      </c>
      <c r="C14" s="29">
        <f>C10+C11-C12-C13</f>
        <v>896.1750995436307</v>
      </c>
      <c r="D14" s="29">
        <f>D10+D11-D12-D13</f>
        <v>921.3575587236386</v>
      </c>
      <c r="E14" s="29">
        <f>E10+E11-E12-E13</f>
        <v>947.4017533681018</v>
      </c>
      <c r="F14" s="29">
        <f>F10+F11-F12-F13</f>
        <v>974.339579240403</v>
      </c>
      <c r="G14" s="29">
        <f>G10+G11-G12-G13</f>
        <v>1002.2041506550047</v>
      </c>
    </row>
    <row r="15" ht="15" hidden="0" outlineLevel="0" collapsed="0">
      <c r="A15" s="0" t="s">
        <v>447</v>
      </c>
      <c r="B15" s="0" t="s">
        <v>233</v>
      </c>
      <c r="C15" s="31">
        <f>IFERROR(C14/C5,0)</f>
        <v>0.1962562295554813</v>
      </c>
      <c r="D15" s="31">
        <f>IFERROR(D14/D5,0)</f>
        <v>0.1962530463299294</v>
      </c>
      <c r="E15" s="31">
        <f>IFERROR(E14/E5,0)</f>
        <v>0.19624988405103522</v>
      </c>
      <c r="F15" s="31">
        <f>IFERROR(F14/F5,0)</f>
        <v>0.19624674346130397</v>
      </c>
      <c r="G15" s="31">
        <f>IFERROR(G14/G5,0)</f>
        <v>0.1962436252779091</v>
      </c>
    </row>
    <row r="18" ht="35" hidden="0" outlineLevel="0" collapsed="0">
      <c r="A18" s="6" t="s">
        <v>448</v>
      </c>
      <c r="B18" s="6" t="s">
        <v>448</v>
      </c>
      <c r="C18" s="6" t="s">
        <v>448</v>
      </c>
      <c r="D18" s="6" t="s">
        <v>448</v>
      </c>
      <c r="E18" s="6" t="s">
        <v>448</v>
      </c>
      <c r="F18" s="6" t="s">
        <v>448</v>
      </c>
      <c r="G18" s="6" t="s">
        <v>448</v>
      </c>
    </row>
  </sheetData>
  <mergeCells count="3">
    <mergeCell ref="A1:G1"/>
    <mergeCell ref="A2:G2"/>
    <mergeCell ref="A18:G18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G31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8" hidden="0" customWidth="1" outlineLevel="0" collapsed="0"/>
    <col min="2" max="2" width="20" hidden="0" customWidth="1" outlineLevel="0" collapsed="0"/>
    <col min="3" max="5" width="15" hidden="0" customWidth="1" outlineLevel="0" collapsed="0"/>
    <col min="6" max="6" width="20" hidden="0" customWidth="1" outlineLevel="0" collapsed="0"/>
    <col min="7" max="8" width="15" hidden="0" customWidth="1" outlineLevel="0" collapsed="0"/>
  </cols>
  <sheetData>
    <row r="1" ht="26" hidden="0" outlineLevel="0" collapsed="0">
      <c r="A1" s="1" t="s">
        <v>449</v>
      </c>
      <c r="B1" s="1" t="s">
        <v>449</v>
      </c>
      <c r="C1" s="1" t="s">
        <v>449</v>
      </c>
      <c r="D1" s="1" t="s">
        <v>449</v>
      </c>
      <c r="E1" s="1" t="s">
        <v>449</v>
      </c>
      <c r="F1" s="1" t="s">
        <v>449</v>
      </c>
      <c r="G1" s="1" t="s">
        <v>449</v>
      </c>
    </row>
    <row r="2" ht="30" hidden="0" outlineLevel="0" collapsed="0">
      <c r="A2" s="2" t="s">
        <v>450</v>
      </c>
      <c r="B2" s="2" t="s">
        <v>450</v>
      </c>
      <c r="C2" s="2" t="s">
        <v>450</v>
      </c>
      <c r="D2" s="2" t="s">
        <v>450</v>
      </c>
      <c r="E2" s="2" t="s">
        <v>450</v>
      </c>
      <c r="F2" s="2" t="s">
        <v>450</v>
      </c>
      <c r="G2" s="2" t="s">
        <v>450</v>
      </c>
    </row>
    <row r="4" ht="15" hidden="0" outlineLevel="0" collapsed="0">
      <c r="A4" s="7" t="s">
        <v>31</v>
      </c>
      <c r="B4" s="8" t="s">
        <v>33</v>
      </c>
      <c r="C4" s="8" t="s">
        <v>435</v>
      </c>
      <c r="D4" s="8" t="s">
        <v>436</v>
      </c>
      <c r="E4" s="8" t="s">
        <v>437</v>
      </c>
      <c r="F4" s="8" t="s">
        <v>438</v>
      </c>
      <c r="G4" s="9" t="s">
        <v>439</v>
      </c>
    </row>
    <row r="5" ht="15" hidden="0" outlineLevel="0" collapsed="0">
      <c r="A5" s="0" t="s">
        <v>446</v>
      </c>
      <c r="B5" s="0" t="s">
        <v>49</v>
      </c>
      <c r="C5" s="32">
        <f>Forecast!C14</f>
        <v>896.1750995436307</v>
      </c>
      <c r="D5" s="32">
        <f>Forecast!D14</f>
        <v>921.3575587236386</v>
      </c>
      <c r="E5" s="32">
        <f>Forecast!E14</f>
        <v>947.4017533681018</v>
      </c>
      <c r="F5" s="32">
        <f>Forecast!F14</f>
        <v>974.339579240403</v>
      </c>
      <c r="G5" s="32">
        <f>Forecast!G14</f>
        <v>1002.2041506550047</v>
      </c>
    </row>
    <row r="6" ht="15" hidden="0" outlineLevel="0" collapsed="0">
      <c r="A6" s="0" t="s">
        <v>451</v>
      </c>
      <c r="B6" s="0" t="s">
        <v>452</v>
      </c>
      <c r="C6" s="32">
        <v>1</v>
      </c>
      <c r="D6" s="32">
        <v>2</v>
      </c>
      <c r="E6" s="32">
        <v>3</v>
      </c>
      <c r="F6" s="32">
        <v>4</v>
      </c>
      <c r="G6" s="32">
        <v>5</v>
      </c>
    </row>
    <row r="7" ht="15" hidden="0" outlineLevel="0" collapsed="0">
      <c r="A7" s="0" t="s">
        <v>453</v>
      </c>
      <c r="B7" s="0" t="s">
        <v>314</v>
      </c>
      <c r="C7" s="33">
        <f>1/(1+Assumptions!$F$18)^C6</f>
        <v>0.9049773755656109</v>
      </c>
      <c r="D7" s="33">
        <f>1/(1+Assumptions!$F$18)^D6</f>
        <v>0.8189840502856207</v>
      </c>
      <c r="E7" s="33">
        <f>1/(1+Assumptions!$F$18)^E6</f>
        <v>0.7411620364575753</v>
      </c>
      <c r="F7" s="33">
        <f>1/(1+Assumptions!$F$18)^F6</f>
        <v>0.6707348746222401</v>
      </c>
      <c r="G7" s="33">
        <f>1/(1+Assumptions!$F$18)^G6</f>
        <v>0.6069998865359639</v>
      </c>
    </row>
    <row r="8" ht="15" hidden="0" outlineLevel="0" collapsed="0">
      <c r="A8" s="0" t="s">
        <v>454</v>
      </c>
      <c r="B8" s="0" t="s">
        <v>49</v>
      </c>
      <c r="C8" s="32">
        <f>C5*C7</f>
        <v>811.018189632245</v>
      </c>
      <c r="D8" s="32">
        <f>D5*D7</f>
        <v>754.5771452047571</v>
      </c>
      <c r="E8" s="32">
        <f>E5*E7</f>
        <v>702.1782128697798</v>
      </c>
      <c r="F8" s="32">
        <f>F5*F7</f>
        <v>653.523535521298</v>
      </c>
      <c r="G8" s="32">
        <f>G5*G7</f>
        <v>608.33780573346</v>
      </c>
    </row>
    <row r="11" ht="15" hidden="0" outlineLevel="0" collapsed="0">
      <c r="A11" s="0" t="s">
        <v>430</v>
      </c>
      <c r="B11" s="34">
        <f>Assumptions!$F$18</f>
        <v>0.105</v>
      </c>
    </row>
    <row r="12" ht="15" hidden="0" outlineLevel="0" collapsed="0">
      <c r="A12" s="0" t="s">
        <v>431</v>
      </c>
      <c r="B12" s="34">
        <f>Assumptions!$F$19</f>
        <v>0.015</v>
      </c>
    </row>
    <row r="13" ht="15" hidden="0" outlineLevel="0" collapsed="0">
      <c r="A13" s="0" t="s">
        <v>455</v>
      </c>
      <c r="B13" s="32">
        <f>IFERROR(G5*(1+B12)/(B11-B12),0)</f>
        <v>11302.635699053664</v>
      </c>
    </row>
    <row r="14" ht="15" hidden="0" outlineLevel="0" collapsed="0">
      <c r="A14" s="0" t="s">
        <v>456</v>
      </c>
      <c r="B14" s="32">
        <f>B13*G7</f>
        <v>6860.69858688291</v>
      </c>
    </row>
    <row r="15" ht="15" hidden="0" outlineLevel="0" collapsed="0">
      <c r="A15" s="16" t="s">
        <v>457</v>
      </c>
      <c r="B15" s="17">
        <f>SUM(C8:G8)+B14</f>
        <v>10390.33347584445</v>
      </c>
    </row>
    <row r="16" ht="15" hidden="0" outlineLevel="0" collapsed="0">
      <c r="A16" s="19" t="s">
        <v>133</v>
      </c>
      <c r="B16" s="20">
        <f>Historical!E13</f>
        <v>783.9</v>
      </c>
    </row>
    <row r="17" ht="15" hidden="0" outlineLevel="0" collapsed="0">
      <c r="A17" s="19" t="s">
        <v>403</v>
      </c>
      <c r="B17" s="20">
        <f>Historical!E18</f>
        <v>8279.2</v>
      </c>
    </row>
    <row r="18" ht="15" hidden="0" outlineLevel="0" collapsed="0">
      <c r="A18" s="19" t="s">
        <v>458</v>
      </c>
      <c r="B18" s="20">
        <f>MAX(0,B15+B16-B17)</f>
        <v>2895.0334758444496</v>
      </c>
    </row>
    <row r="19" ht="15" hidden="0" outlineLevel="0" collapsed="0">
      <c r="A19" s="19" t="s">
        <v>167</v>
      </c>
      <c r="B19" s="20">
        <f>Historical!E17</f>
        <v>199.5</v>
      </c>
    </row>
    <row r="20" ht="15" hidden="0" outlineLevel="0" collapsed="0">
      <c r="A20" s="19" t="s">
        <v>459</v>
      </c>
      <c r="B20" s="35">
        <f>IFERROR(B18/B19,0)</f>
        <v>14.511445994207767</v>
      </c>
    </row>
    <row r="21" ht="15" hidden="0" outlineLevel="0" collapsed="0">
      <c r="A21" s="19" t="s">
        <v>16</v>
      </c>
      <c r="B21" s="19" t="s">
        <v>460</v>
      </c>
    </row>
    <row r="22" ht="15" hidden="0" outlineLevel="0" collapsed="0">
      <c r="A22" s="19" t="s">
        <v>461</v>
      </c>
      <c r="B22" s="19" t="s">
        <v>462</v>
      </c>
    </row>
    <row r="23" ht="15" hidden="0" outlineLevel="0" collapsed="0">
      <c r="A23" s="19" t="s">
        <v>463</v>
      </c>
      <c r="B23" s="20">
        <f>Sector_KPIs!J16</f>
        <v>1961.064433591278</v>
      </c>
    </row>
    <row r="24" ht="15" hidden="0" outlineLevel="0" collapsed="0">
      <c r="A24" s="19" t="s">
        <v>464</v>
      </c>
      <c r="B24" s="20">
        <f>B23*Assumptions!$F$20</f>
        <v>10785.854384752029</v>
      </c>
    </row>
    <row r="25" ht="15" hidden="0" outlineLevel="0" collapsed="0">
      <c r="A25" s="19" t="s">
        <v>465</v>
      </c>
      <c r="B25" s="35">
        <f>IFERROR(MAX(0,B24+B16-B17)/B19,0)</f>
        <v>16.49400694111292</v>
      </c>
    </row>
    <row r="29" ht="23.85" hidden="0" outlineLevel="0" collapsed="0">
      <c r="A29" s="22" t="s">
        <v>466</v>
      </c>
      <c r="B29" s="4" t="s">
        <v>467</v>
      </c>
      <c r="C29" s="4"/>
      <c r="D29" s="4"/>
      <c r="E29" s="4"/>
      <c r="F29" s="4"/>
    </row>
    <row r="30" ht="35.05" hidden="0" outlineLevel="0" collapsed="0">
      <c r="A30" s="22" t="s">
        <v>468</v>
      </c>
      <c r="B30" s="4" t="s">
        <v>469</v>
      </c>
      <c r="C30" s="4"/>
      <c r="D30" s="4"/>
      <c r="E30" s="4"/>
      <c r="F30" s="4"/>
    </row>
    <row r="31" ht="23.85" hidden="0" outlineLevel="0" collapsed="0">
      <c r="A31" s="22" t="s">
        <v>470</v>
      </c>
      <c r="B31" s="4" t="s">
        <v>471</v>
      </c>
      <c r="C31" s="4"/>
      <c r="D31" s="4"/>
      <c r="E31" s="4"/>
      <c r="F31" s="4"/>
    </row>
  </sheetData>
  <mergeCells count="5">
    <mergeCell ref="A1:G1"/>
    <mergeCell ref="A2:G2"/>
    <mergeCell ref="B29:F29"/>
    <mergeCell ref="B30:F30"/>
    <mergeCell ref="B31:F31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9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27" hidden="0" customWidth="1" outlineLevel="0" collapsed="0"/>
    <col min="2" max="6" width="14" hidden="0" customWidth="1" outlineLevel="0" collapsed="0"/>
    <col min="7" max="7" width="18" hidden="0" customWidth="1" outlineLevel="0" collapsed="0"/>
    <col min="8" max="8" width="16" hidden="0" customWidth="1" outlineLevel="0" collapsed="0"/>
  </cols>
  <sheetData>
    <row r="1" ht="26" hidden="0" outlineLevel="0" collapsed="0">
      <c r="A1" s="1" t="s">
        <v>472</v>
      </c>
      <c r="B1" s="1" t="s">
        <v>472</v>
      </c>
      <c r="C1" s="1" t="s">
        <v>472</v>
      </c>
      <c r="D1" s="1" t="s">
        <v>472</v>
      </c>
      <c r="E1" s="1" t="s">
        <v>472</v>
      </c>
      <c r="F1" s="1" t="s">
        <v>472</v>
      </c>
      <c r="G1" s="1" t="s">
        <v>472</v>
      </c>
      <c r="H1" s="1" t="s">
        <v>472</v>
      </c>
    </row>
    <row r="2" ht="30" hidden="0" outlineLevel="0" collapsed="0">
      <c r="A2" s="2" t="s">
        <v>473</v>
      </c>
      <c r="B2" s="2" t="s">
        <v>473</v>
      </c>
      <c r="C2" s="2" t="s">
        <v>473</v>
      </c>
      <c r="D2" s="2" t="s">
        <v>473</v>
      </c>
      <c r="E2" s="2" t="s">
        <v>473</v>
      </c>
      <c r="F2" s="2" t="s">
        <v>473</v>
      </c>
      <c r="G2" s="2" t="s">
        <v>473</v>
      </c>
      <c r="H2" s="2" t="s">
        <v>473</v>
      </c>
    </row>
    <row r="4" ht="15" hidden="0" outlineLevel="0" collapsed="0">
      <c r="A4" s="7" t="s">
        <v>474</v>
      </c>
      <c r="B4" s="36">
        <f>Assumptions!$F$19+-0.01</f>
        <v>0.004999999999999999</v>
      </c>
      <c r="C4" s="36">
        <f>Assumptions!$F$19+-0.005</f>
        <v>0.009999999999999998</v>
      </c>
      <c r="D4" s="36">
        <f>Assumptions!$F$19+0</f>
        <v>0.015</v>
      </c>
      <c r="E4" s="36">
        <f>Assumptions!$F$19+0.005</f>
        <v>0.02</v>
      </c>
      <c r="F4" s="36">
        <f>Assumptions!$F$19+0.01</f>
        <v>0.025</v>
      </c>
      <c r="G4" s="8" t="s">
        <v>475</v>
      </c>
      <c r="H4" s="37">
        <f>Valuation!B20</f>
        <v>14.511445994207767</v>
      </c>
    </row>
    <row r="5" ht="15" hidden="0" outlineLevel="0" collapsed="0">
      <c r="A5" s="34">
        <f>Assumptions!$F$18+0.02</f>
        <v>0.125</v>
      </c>
      <c r="B5" s="38">
        <f>IFERROR((Forecast!C14/(1+$A5)+Forecast!D14/(1+$A5)^2+Forecast!E14/(1+$A5)^3+Forecast!F14/(1+$A5)^4+Forecast!G14/(1+$A5)^5+Forecast!G14*(1+B$4)/($A5-B$4)/(1+$A5)^5+Historical!E13-Historical!E18)/Historical!E17,0)</f>
        <v>2.590868272195637</v>
      </c>
      <c r="C5" s="38">
        <f>IFERROR((Forecast!C14/(1+$A5)+Forecast!D14/(1+$A5)^2+Forecast!E14/(1+$A5)^3+Forecast!F14/(1+$A5)^4+Forecast!G14/(1+$A5)^5+Forecast!G14*(1+C$4)/($A5-C$4)/(1+$A5)^5+Historical!E13-Historical!E18)/Historical!E17,0)</f>
        <v>3.72717119866542</v>
      </c>
      <c r="D5" s="38">
        <f>IFERROR((Forecast!C14/(1+$A5)+Forecast!D14/(1+$A5)^2+Forecast!E14/(1+$A5)^3+Forecast!F14/(1+$A5)^4+Forecast!G14/(1+$A5)^5+Forecast!G14*(1+D$4)/($A5-D$4)/(1+$A5)^5+Historical!E13-Historical!E18)/Historical!E17,0)</f>
        <v>4.966774391177924</v>
      </c>
      <c r="E5" s="38">
        <f>IFERROR((Forecast!C14/(1+$A5)+Forecast!D14/(1+$A5)^2+Forecast!E14/(1+$A5)^3+Forecast!F14/(1+$A5)^4+Forecast!G14/(1+$A5)^5+Forecast!G14*(1+E$4)/($A5-E$4)/(1+$A5)^5+Historical!E13-Historical!E18)/Historical!E17,0)</f>
        <v>6.324435030596366</v>
      </c>
      <c r="F5" s="38">
        <f>IFERROR((Forecast!C14/(1+$A5)+Forecast!D14/(1+$A5)^2+Forecast!E14/(1+$A5)^3+Forecast!F14/(1+$A5)^4+Forecast!G14/(1+$A5)^5+Forecast!G14*(1+F$4)/($A5-F$4)/(1+$A5)^5+Historical!E13-Historical!E18)/Historical!E17,0)</f>
        <v>7.817861733956657</v>
      </c>
    </row>
    <row r="6" ht="15" hidden="0" outlineLevel="0" collapsed="0">
      <c r="A6" s="34">
        <f>Assumptions!$F$18+0.01</f>
        <v>0.11499999999999999</v>
      </c>
      <c r="B6" s="38">
        <f>IFERROR((Forecast!C14/(1+$A6)+Forecast!D14/(1+$A6)^2+Forecast!E14/(1+$A6)^3+Forecast!F14/(1+$A6)^4+Forecast!G14/(1+$A6)^5+Forecast!G14*(1+B$4)/($A6-B$4)/(1+$A6)^5+Historical!E13-Historical!E18)/Historical!E17,0)</f>
        <v>6.306394614073182</v>
      </c>
      <c r="C6" s="38">
        <f>IFERROR((Forecast!C14/(1+$A6)+Forecast!D14/(1+$A6)^2+Forecast!E14/(1+$A6)^3+Forecast!F14/(1+$A6)^4+Forecast!G14/(1+$A6)^5+Forecast!G14*(1+C$4)/($A6-C$4)/(1+$A6)^5+Historical!E13-Historical!E18)/Historical!E17,0)</f>
        <v>7.713419722798174</v>
      </c>
      <c r="D6" s="38">
        <f>IFERROR((Forecast!C14/(1+$A6)+Forecast!D14/(1+$A6)^2+Forecast!E14/(1+$A6)^3+Forecast!F14/(1+$A6)^4+Forecast!G14/(1+$A6)^5+Forecast!G14*(1+D$4)/($A6-D$4)/(1+$A6)^5+Historical!E13-Historical!E18)/Historical!E17,0)</f>
        <v>9.261147342395669</v>
      </c>
      <c r="E6" s="38">
        <f>IFERROR((Forecast!C14/(1+$A6)+Forecast!D14/(1+$A6)^2+Forecast!E14/(1+$A6)^3+Forecast!F14/(1+$A6)^4+Forecast!G14/(1+$A6)^5+Forecast!G14*(1+E$4)/($A6-E$4)/(1+$A6)^5+Historical!E13-Historical!E18)/Historical!E17,0)</f>
        <v>10.9717936587929</v>
      </c>
      <c r="F6" s="38">
        <f>IFERROR((Forecast!C14/(1+$A6)+Forecast!D14/(1+$A6)^2+Forecast!E14/(1+$A6)^3+Forecast!F14/(1+$A6)^4+Forecast!G14/(1+$A6)^5+Forecast!G14*(1+F$4)/($A6-F$4)/(1+$A6)^5+Historical!E13-Historical!E18)/Historical!E17,0)</f>
        <v>12.872511788123141</v>
      </c>
    </row>
    <row r="7" ht="15" hidden="0" outlineLevel="0" collapsed="0">
      <c r="A7" s="34">
        <f>Assumptions!$F$18+0</f>
        <v>0.105</v>
      </c>
      <c r="B7" s="38">
        <f>IFERROR((Forecast!C14/(1+$A7)+Forecast!D14/(1+$A7)^2+Forecast!E14/(1+$A7)^3+Forecast!F14/(1+$A7)^4+Forecast!G14/(1+$A7)^5+Forecast!G14*(1+B$4)/($A7-B$4)/(1+$A7)^5+Historical!E13-Historical!E18)/Historical!E17,0)</f>
        <v>10.767568103171978</v>
      </c>
      <c r="C7" s="38">
        <f>IFERROR((Forecast!C14/(1+$A7)+Forecast!D14/(1+$A7)^2+Forecast!E14/(1+$A7)^3+Forecast!F14/(1+$A7)^4+Forecast!G14/(1+$A7)^5+Forecast!G14*(1+C$4)/($A7-C$4)/(1+$A7)^5+Historical!E13-Historical!E18)/Historical!E17,0)</f>
        <v>12.540983946294189</v>
      </c>
      <c r="D7" s="39">
        <f>IFERROR((Forecast!C14/(1+$A7)+Forecast!D14/(1+$A7)^2+Forecast!E14/(1+$A7)^3+Forecast!F14/(1+$A7)^4+Forecast!G14/(1+$A7)^5+Forecast!G14*(1+D$4)/($A7-D$4)/(1+$A7)^5+Historical!E13-Historical!E18)/Historical!E17,0)</f>
        <v>14.511445994207758</v>
      </c>
      <c r="E7" s="38">
        <f>IFERROR((Forecast!C14/(1+$A7)+Forecast!D14/(1+$A7)^2+Forecast!E14/(1+$A7)^3+Forecast!F14/(1+$A7)^4+Forecast!G14/(1+$A7)^5+Forecast!G14*(1+E$4)/($A7-E$4)/(1+$A7)^5+Historical!E13-Historical!E18)/Historical!E17,0)</f>
        <v>16.71372710658175</v>
      </c>
      <c r="F7" s="38">
        <f>IFERROR((Forecast!C14/(1+$A7)+Forecast!D14/(1+$A7)^2+Forecast!E14/(1+$A7)^3+Forecast!F14/(1+$A7)^4+Forecast!G14/(1+$A7)^5+Forecast!G14*(1+F$4)/($A7-F$4)/(1+$A7)^5+Historical!E13-Historical!E18)/Historical!E17,0)</f>
        <v>19.191293358002476</v>
      </c>
    </row>
    <row r="8" ht="15" hidden="0" outlineLevel="0" collapsed="0">
      <c r="A8" s="34">
        <f>Assumptions!$F$18+-0.01</f>
        <v>0.095</v>
      </c>
      <c r="B8" s="38">
        <f>IFERROR((Forecast!C14/(1+$A8)+Forecast!D14/(1+$A8)^2+Forecast!E14/(1+$A8)^3+Forecast!F14/(1+$A8)^4+Forecast!G14/(1+$A8)^5+Forecast!G14*(1+B$4)/($A8-B$4)/(1+$A8)^5+Historical!E13-Historical!E18)/Historical!E17,0)</f>
        <v>16.22307309636777</v>
      </c>
      <c r="C8" s="38">
        <f>IFERROR((Forecast!C14/(1+$A8)+Forecast!D14/(1+$A8)^2+Forecast!E14/(1+$A8)^3+Forecast!F14/(1+$A8)^4+Forecast!G14/(1+$A8)^5+Forecast!G14*(1+C$4)/($A8-C$4)/(1+$A8)^5+Historical!E13-Historical!E18)/Historical!E17,0)</f>
        <v>18.50691159463378</v>
      </c>
      <c r="D8" s="38">
        <f>IFERROR((Forecast!C14/(1+$A8)+Forecast!D14/(1+$A8)^2+Forecast!E14/(1+$A8)^3+Forecast!F14/(1+$A8)^4+Forecast!G14/(1+$A8)^5+Forecast!G14*(1+D$4)/($A8-D$4)/(1+$A8)^5+Historical!E13-Historical!E18)/Historical!E17,0)</f>
        <v>21.076229905183038</v>
      </c>
      <c r="E8" s="38">
        <f>IFERROR((Forecast!C14/(1+$A8)+Forecast!D14/(1+$A8)^2+Forecast!E14/(1+$A8)^3+Forecast!F14/(1+$A8)^4+Forecast!G14/(1+$A8)^5+Forecast!G14*(1+E$4)/($A8-E$4)/(1+$A8)^5+Historical!E13-Historical!E18)/Historical!E17,0)</f>
        <v>23.988123990472197</v>
      </c>
      <c r="F8" s="38">
        <f>IFERROR((Forecast!C14/(1+$A8)+Forecast!D14/(1+$A8)^2+Forecast!E14/(1+$A8)^3+Forecast!F14/(1+$A8)^4+Forecast!G14/(1+$A8)^5+Forecast!G14*(1+F$4)/($A8-F$4)/(1+$A8)^5+Historical!E13-Historical!E18)/Historical!E17,0)</f>
        <v>27.316002945088368</v>
      </c>
    </row>
    <row r="9" ht="15" hidden="0" outlineLevel="0" collapsed="0">
      <c r="A9" s="34">
        <f>Assumptions!$F$18+-0.02</f>
        <v>0.08499999999999999</v>
      </c>
      <c r="B9" s="38">
        <f>IFERROR((Forecast!C14/(1+$A9)+Forecast!D14/(1+$A9)^2+Forecast!E14/(1+$A9)^3+Forecast!F14/(1+$A9)^4+Forecast!G14/(1+$A9)^5+Forecast!G14*(1+B$4)/($A9-B$4)/(1+$A9)^5+Historical!E13-Historical!E18)/Historical!E17,0)</f>
        <v>23.04594514493061</v>
      </c>
      <c r="C9" s="38">
        <f>IFERROR((Forecast!C14/(1+$A9)+Forecast!D14/(1+$A9)^2+Forecast!E14/(1+$A9)^3+Forecast!F14/(1+$A9)^4+Forecast!G14/(1+$A9)^5+Forecast!G14*(1+C$4)/($A9-C$4)/(1+$A9)^5+Historical!E13-Historical!E18)/Historical!E17,0)</f>
        <v>26.066683418528182</v>
      </c>
      <c r="D9" s="38">
        <f>IFERROR((Forecast!C14/(1+$A9)+Forecast!D14/(1+$A9)^2+Forecast!E14/(1+$A9)^3+Forecast!F14/(1+$A9)^4+Forecast!G14/(1+$A9)^5+Forecast!G14*(1+D$4)/($A9-D$4)/(1+$A9)^5+Historical!E13-Historical!E18)/Historical!E17,0)</f>
        <v>29.518955731211108</v>
      </c>
      <c r="E9" s="38">
        <f>IFERROR((Forecast!C14/(1+$A9)+Forecast!D14/(1+$A9)^2+Forecast!E14/(1+$A9)^3+Forecast!F14/(1+$A9)^4+Forecast!G14/(1+$A9)^5+Forecast!G14*(1+E$4)/($A9-E$4)/(1+$A9)^5+Historical!E13-Historical!E18)/Historical!E17,0)</f>
        <v>33.50234686122989</v>
      </c>
      <c r="F9" s="38">
        <f>IFERROR((Forecast!C14/(1+$A9)+Forecast!D14/(1+$A9)^2+Forecast!E14/(1+$A9)^3+Forecast!F14/(1+$A9)^4+Forecast!G14/(1+$A9)^5+Forecast!G14*(1+F$4)/($A9-F$4)/(1+$A9)^5+Historical!E13-Historical!E18)/Historical!E17,0)</f>
        <v>38.149636512918434</v>
      </c>
    </row>
  </sheetData>
  <mergeCells count="2">
    <mergeCell ref="A1:H1"/>
    <mergeCell ref="A2:H2"/>
  </mergeCells>
  <conditionalFormatting sqref="B5:F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16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12" hidden="0" customWidth="1" outlineLevel="0" collapsed="0"/>
    <col min="2" max="2" width="34" hidden="0" customWidth="1" outlineLevel="0" collapsed="0"/>
    <col min="3" max="5" width="16" hidden="0" customWidth="1" outlineLevel="0" collapsed="0"/>
    <col min="6" max="6" width="13" hidden="0" customWidth="1" outlineLevel="0" collapsed="0"/>
    <col min="7" max="7" width="16" hidden="0" customWidth="1" outlineLevel="0" collapsed="0"/>
    <col min="8" max="8" width="66" hidden="0" customWidth="1" outlineLevel="0" collapsed="0"/>
  </cols>
  <sheetData>
    <row r="1" ht="26" hidden="0" outlineLevel="0" collapsed="0">
      <c r="A1" s="1" t="s">
        <v>476</v>
      </c>
      <c r="B1" s="1" t="s">
        <v>476</v>
      </c>
      <c r="C1" s="1" t="s">
        <v>476</v>
      </c>
      <c r="D1" s="1" t="s">
        <v>476</v>
      </c>
      <c r="E1" s="1" t="s">
        <v>476</v>
      </c>
      <c r="F1" s="1" t="s">
        <v>476</v>
      </c>
      <c r="G1" s="1" t="s">
        <v>476</v>
      </c>
      <c r="H1" s="1" t="s">
        <v>476</v>
      </c>
    </row>
    <row r="2" ht="30" hidden="0" outlineLevel="0" collapsed="0">
      <c r="A2" s="2" t="s">
        <v>477</v>
      </c>
      <c r="B2" s="2" t="s">
        <v>477</v>
      </c>
      <c r="C2" s="2" t="s">
        <v>477</v>
      </c>
      <c r="D2" s="2" t="s">
        <v>477</v>
      </c>
      <c r="E2" s="2" t="s">
        <v>477</v>
      </c>
      <c r="F2" s="2" t="s">
        <v>477</v>
      </c>
      <c r="G2" s="2" t="s">
        <v>477</v>
      </c>
      <c r="H2" s="2" t="s">
        <v>477</v>
      </c>
    </row>
    <row r="3" ht="15" hidden="0" outlineLevel="0" collapsed="0">
      <c r="A3" s="0" t="s">
        <v>6</v>
      </c>
      <c r="B3" s="0" t="s">
        <v>7</v>
      </c>
    </row>
    <row r="4" ht="15" hidden="0" outlineLevel="0" collapsed="0">
      <c r="A4" s="0" t="s">
        <v>478</v>
      </c>
      <c r="B4" s="40" t="str">
        <f>IF(COUNTIF(G7:G16,"&lt;&gt;PASS")=0,"PASS","REMEDIATE")</f>
        <v>PASS</v>
      </c>
    </row>
    <row r="6" ht="15" hidden="0" outlineLevel="0" collapsed="0">
      <c r="A6" s="7" t="s">
        <v>479</v>
      </c>
      <c r="B6" s="8" t="s">
        <v>480</v>
      </c>
      <c r="C6" s="8" t="s">
        <v>481</v>
      </c>
      <c r="D6" s="8" t="s">
        <v>482</v>
      </c>
      <c r="E6" s="8" t="s">
        <v>483</v>
      </c>
      <c r="F6" s="8" t="s">
        <v>484</v>
      </c>
      <c r="G6" s="8" t="s">
        <v>485</v>
      </c>
      <c r="H6" s="9" t="s">
        <v>486</v>
      </c>
    </row>
    <row r="7" ht="15" hidden="0" outlineLevel="0" collapsed="0">
      <c r="A7" s="0" t="s">
        <v>487</v>
      </c>
      <c r="B7" s="0" t="s">
        <v>488</v>
      </c>
      <c r="C7" s="41">
        <f>COUNTBLANK(Sources!O5:O91)</f>
        <v>0</v>
      </c>
      <c r="D7" s="41">
        <v>0</v>
      </c>
      <c r="E7" s="41">
        <f>C7-D7</f>
        <v>0</v>
      </c>
      <c r="F7" s="41">
        <v>0.01</v>
      </c>
      <c r="G7" s="0" t="str">
        <f>IF(ABS(E7)&lt;=F7,"PASS","FAIL")</f>
        <v>PASS</v>
      </c>
      <c r="H7" s="0" t="s">
        <v>489</v>
      </c>
    </row>
    <row r="8" ht="15" hidden="0" outlineLevel="0" collapsed="0">
      <c r="A8" s="0" t="s">
        <v>490</v>
      </c>
      <c r="B8" s="0" t="s">
        <v>491</v>
      </c>
      <c r="C8" s="41">
        <f>COUNTBLANK(Sources!K5:K91)</f>
        <v>0</v>
      </c>
      <c r="D8" s="41">
        <v>0</v>
      </c>
      <c r="E8" s="41">
        <f>C8-D8</f>
        <v>0</v>
      </c>
      <c r="F8" s="41">
        <v>0.01</v>
      </c>
      <c r="G8" s="0" t="str">
        <f>IF(ABS(E8)&lt;=F8,"PASS","FAIL")</f>
        <v>PASS</v>
      </c>
      <c r="H8" s="0" t="s">
        <v>492</v>
      </c>
    </row>
    <row r="9" ht="15" hidden="0" outlineLevel="0" collapsed="0">
      <c r="A9" s="0" t="s">
        <v>493</v>
      </c>
      <c r="B9" s="0" t="s">
        <v>494</v>
      </c>
      <c r="C9" s="41">
        <f>Historical!E18-SUM(Historical!E14:E16)</f>
        <v>0</v>
      </c>
      <c r="D9" s="41">
        <v>0</v>
      </c>
      <c r="E9" s="41">
        <f>C9-D9</f>
        <v>0</v>
      </c>
      <c r="F9" s="41">
        <v>0.01</v>
      </c>
      <c r="G9" s="0" t="str">
        <f>IF(ABS(E9)&lt;=F9,"PASS","FAIL")</f>
        <v>PASS</v>
      </c>
      <c r="H9" s="0" t="s">
        <v>19</v>
      </c>
    </row>
    <row r="10" ht="15" hidden="0" outlineLevel="0" collapsed="0">
      <c r="A10" s="0" t="s">
        <v>495</v>
      </c>
      <c r="B10" s="0" t="s">
        <v>496</v>
      </c>
      <c r="C10" s="41">
        <f>Historical!E19-(Historical!E18-Historical!E13)</f>
        <v>0</v>
      </c>
      <c r="D10" s="41">
        <v>0</v>
      </c>
      <c r="E10" s="41">
        <f>C10-D10</f>
        <v>0</v>
      </c>
      <c r="F10" s="41">
        <v>0.01</v>
      </c>
      <c r="G10" s="0" t="str">
        <f>IF(ABS(E10)&lt;=F10,"PASS","FAIL")</f>
        <v>PASS</v>
      </c>
      <c r="H10" s="0" t="s">
        <v>21</v>
      </c>
    </row>
    <row r="11" ht="15" hidden="0" outlineLevel="0" collapsed="0">
      <c r="A11" s="0" t="s">
        <v>497</v>
      </c>
      <c r="B11" s="0" t="s">
        <v>498</v>
      </c>
      <c r="C11" s="41">
        <f>Sector_KPIs!E14-Historical!E5</f>
        <v>0</v>
      </c>
      <c r="D11" s="41">
        <v>0</v>
      </c>
      <c r="E11" s="41">
        <f>C11-D11</f>
        <v>0</v>
      </c>
      <c r="F11" s="41">
        <v>0.01</v>
      </c>
      <c r="G11" s="0" t="str">
        <f>IF(ABS(E11)&lt;=F11,"PASS","FAIL")</f>
        <v>PASS</v>
      </c>
      <c r="H11" s="0" t="s">
        <v>499</v>
      </c>
    </row>
    <row r="12" ht="15" hidden="0" outlineLevel="0" collapsed="0">
      <c r="A12" s="0" t="s">
        <v>500</v>
      </c>
      <c r="B12" s="0" t="s">
        <v>501</v>
      </c>
      <c r="C12" s="41">
        <f>Forecast!C5-Sector_KPIs!F14</f>
        <v>0</v>
      </c>
      <c r="D12" s="41">
        <v>0</v>
      </c>
      <c r="E12" s="41">
        <f>C12-D12</f>
        <v>0</v>
      </c>
      <c r="F12" s="41">
        <v>0.01</v>
      </c>
      <c r="G12" s="0" t="str">
        <f>IF(ABS(E12)&lt;=F12,"PASS","FAIL")</f>
        <v>PASS</v>
      </c>
      <c r="H12" s="0" t="s">
        <v>502</v>
      </c>
    </row>
    <row r="13" ht="15" hidden="0" outlineLevel="0" collapsed="0">
      <c r="A13" s="0" t="s">
        <v>503</v>
      </c>
      <c r="B13" s="0" t="s">
        <v>412</v>
      </c>
      <c r="C13" s="41">
        <f>IF(AND(Assumptions!B3&gt;=1,Assumptions!B3&lt;=3),1,0)</f>
        <v>1</v>
      </c>
      <c r="D13" s="41">
        <v>1</v>
      </c>
      <c r="E13" s="41">
        <f>C13-D13</f>
        <v>0</v>
      </c>
      <c r="F13" s="41">
        <v>0.01</v>
      </c>
      <c r="G13" s="0" t="str">
        <f>IF(ABS(E13)&lt;=F13,"PASS","FAIL")</f>
        <v>PASS</v>
      </c>
      <c r="H13" s="0" t="s">
        <v>504</v>
      </c>
    </row>
    <row r="14" ht="15" hidden="0" outlineLevel="0" collapsed="0">
      <c r="A14" s="0" t="s">
        <v>505</v>
      </c>
      <c r="B14" s="0" t="s">
        <v>506</v>
      </c>
      <c r="C14" s="41">
        <f>IF(Historical!E17&gt;0,1,0)</f>
        <v>1</v>
      </c>
      <c r="D14" s="41">
        <v>1</v>
      </c>
      <c r="E14" s="41">
        <f>C14-D14</f>
        <v>0</v>
      </c>
      <c r="F14" s="41">
        <v>0.01</v>
      </c>
      <c r="G14" s="0" t="str">
        <f>IF(ABS(E14)&lt;=F14,"PASS","FAIL")</f>
        <v>PASS</v>
      </c>
      <c r="H14" s="0" t="s">
        <v>507</v>
      </c>
    </row>
    <row r="15" ht="15" hidden="0" outlineLevel="0" collapsed="0">
      <c r="A15" s="0" t="s">
        <v>508</v>
      </c>
      <c r="B15" s="0" t="s">
        <v>509</v>
      </c>
      <c r="C15" s="41">
        <f>Sensitivity!D7-Valuation!B20</f>
        <v>0</v>
      </c>
      <c r="D15" s="41">
        <v>0</v>
      </c>
      <c r="E15" s="41">
        <f>C15-D15</f>
        <v>0</v>
      </c>
      <c r="F15" s="41">
        <v>0.01</v>
      </c>
      <c r="G15" s="0" t="str">
        <f>IF(ABS(E15)&lt;=F15,"PASS","FAIL")</f>
        <v>PASS</v>
      </c>
      <c r="H15" s="0" t="s">
        <v>510</v>
      </c>
    </row>
    <row r="16" ht="15" hidden="0" outlineLevel="0" collapsed="0">
      <c r="A16" s="0" t="s">
        <v>511</v>
      </c>
      <c r="B16" s="0" t="s">
        <v>512</v>
      </c>
      <c r="C16" s="41">
        <f>IF(AND(ISNUMBER(Valuation!B20),Valuation!B20&gt;=0),1,0)</f>
        <v>1</v>
      </c>
      <c r="D16" s="41">
        <v>1</v>
      </c>
      <c r="E16" s="41">
        <f>C16-D16</f>
        <v>0</v>
      </c>
      <c r="F16" s="41">
        <v>0.01</v>
      </c>
      <c r="G16" s="0" t="str">
        <f>IF(ABS(E16)&lt;=F16,"PASS","FAIL")</f>
        <v>PASS</v>
      </c>
      <c r="H16" s="0" t="s">
        <v>513</v>
      </c>
    </row>
  </sheetData>
  <mergeCells count="2">
    <mergeCell ref="A1:H1"/>
    <mergeCell ref="A2:H2"/>
  </mergeCells>
  <conditionalFormatting sqref="G7:G16">
    <cfRule type="expression" priority="2" text="" dxfId="0">
      <formula>G7="PASS"</formula>
    </cfRule>
    <cfRule type="expression" priority="3" text="" dxfId="1">
      <formula>G7="FAIL"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J33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40" hidden="0" customWidth="1" outlineLevel="0" collapsed="0"/>
    <col min="2" max="2" width="16" hidden="0" customWidth="1" outlineLevel="0" collapsed="0"/>
    <col min="3" max="10" width="13" hidden="0" customWidth="1" outlineLevel="0" collapsed="0"/>
  </cols>
  <sheetData>
    <row r="1" ht="26" hidden="0" outlineLevel="0" collapsed="0">
      <c r="A1" s="1" t="s">
        <v>514</v>
      </c>
      <c r="B1" s="1" t="s">
        <v>514</v>
      </c>
      <c r="C1" s="1" t="s">
        <v>514</v>
      </c>
      <c r="D1" s="1" t="s">
        <v>514</v>
      </c>
      <c r="E1" s="1" t="s">
        <v>514</v>
      </c>
      <c r="F1" s="1" t="s">
        <v>514</v>
      </c>
      <c r="G1" s="1" t="s">
        <v>514</v>
      </c>
      <c r="H1" s="1" t="s">
        <v>514</v>
      </c>
      <c r="I1" s="1" t="s">
        <v>514</v>
      </c>
      <c r="J1" s="1" t="s">
        <v>514</v>
      </c>
    </row>
    <row r="2" ht="30" hidden="0" outlineLevel="0" collapsed="0">
      <c r="A2" s="2" t="s">
        <v>515</v>
      </c>
      <c r="B2" s="2" t="s">
        <v>515</v>
      </c>
      <c r="C2" s="2" t="s">
        <v>515</v>
      </c>
      <c r="D2" s="2" t="s">
        <v>515</v>
      </c>
      <c r="E2" s="2" t="s">
        <v>515</v>
      </c>
      <c r="F2" s="2" t="s">
        <v>515</v>
      </c>
      <c r="G2" s="2" t="s">
        <v>515</v>
      </c>
      <c r="H2" s="2" t="s">
        <v>515</v>
      </c>
      <c r="I2" s="2" t="s">
        <v>515</v>
      </c>
      <c r="J2" s="2" t="s">
        <v>515</v>
      </c>
    </row>
    <row r="4" ht="15" hidden="0" outlineLevel="0" collapsed="0">
      <c r="A4" s="7" t="s">
        <v>31</v>
      </c>
      <c r="B4" s="8" t="s">
        <v>33</v>
      </c>
      <c r="C4" s="8" t="s">
        <v>368</v>
      </c>
      <c r="D4" s="8" t="s">
        <v>369</v>
      </c>
      <c r="E4" s="8" t="s">
        <v>370</v>
      </c>
      <c r="F4" s="8" t="s">
        <v>435</v>
      </c>
      <c r="G4" s="8" t="s">
        <v>436</v>
      </c>
      <c r="H4" s="8" t="s">
        <v>437</v>
      </c>
      <c r="I4" s="8" t="s">
        <v>438</v>
      </c>
      <c r="J4" s="9" t="s">
        <v>439</v>
      </c>
    </row>
    <row r="5" ht="15" hidden="0" outlineLevel="0" collapsed="0">
      <c r="A5" s="13" t="s">
        <v>324</v>
      </c>
      <c r="B5" s="13" t="s">
        <v>516</v>
      </c>
      <c r="C5" s="42"/>
      <c r="D5" s="42"/>
      <c r="E5" s="42">
        <v>4.6926</v>
      </c>
      <c r="F5" s="43">
        <f>E5*(1+Assumptions!$F$7)</f>
        <v>4.786452</v>
      </c>
      <c r="G5" s="43">
        <f>F5*(1+Assumptions!$F$7)</f>
        <v>4.88218104</v>
      </c>
      <c r="H5" s="43">
        <f>G5*(1+Assumptions!$F$7)</f>
        <v>4.9798246608</v>
      </c>
      <c r="I5" s="43">
        <f>H5*(1+Assumptions!$F$7)</f>
        <v>5.079421154016001</v>
      </c>
      <c r="J5" s="43">
        <f>I5*(1+Assumptions!$F$7)</f>
        <v>5.1810095770963205</v>
      </c>
    </row>
    <row r="6" ht="15" hidden="0" outlineLevel="0" collapsed="0">
      <c r="A6" s="13" t="s">
        <v>329</v>
      </c>
      <c r="B6" s="13" t="s">
        <v>516</v>
      </c>
      <c r="C6" s="42"/>
      <c r="D6" s="42"/>
      <c r="E6" s="42">
        <v>3.8366</v>
      </c>
      <c r="F6" s="43">
        <f>F5*F7</f>
        <v>3.8741986799999997</v>
      </c>
      <c r="G6" s="43">
        <f>G5*G7</f>
        <v>3.9121658270639994</v>
      </c>
      <c r="H6" s="43">
        <f>H5*H7</f>
        <v>3.950505052169227</v>
      </c>
      <c r="I6" s="43">
        <f>I5*I7</f>
        <v>3.9892200016804855</v>
      </c>
      <c r="J6" s="43">
        <f>J5*J7</f>
        <v>4.028314357696954</v>
      </c>
    </row>
    <row r="7" ht="15" hidden="0" outlineLevel="0" collapsed="0">
      <c r="A7" s="13" t="s">
        <v>517</v>
      </c>
      <c r="B7" s="13" t="s">
        <v>314</v>
      </c>
      <c r="C7" s="44"/>
      <c r="D7" s="44" t="str">
        <f>IF(OR(D5="",D6=""),"",D6/D5)</f>
        <v/>
      </c>
      <c r="E7" s="44">
        <f>IF(OR(E5="",E6=""),"",E6/E5)</f>
        <v>0.8175851340408302</v>
      </c>
      <c r="F7" s="45">
        <f>E7*(1+Assumptions!$F$8)</f>
        <v>0.8094092827004219</v>
      </c>
      <c r="G7" s="45">
        <f>F7*(1+Assumptions!$F$8)</f>
        <v>0.8013151898734177</v>
      </c>
      <c r="H7" s="45">
        <f>G7*(1+Assumptions!$F$8)</f>
        <v>0.7933020379746835</v>
      </c>
      <c r="I7" s="45">
        <f>H7*(1+Assumptions!$F$8)</f>
        <v>0.7853690175949366</v>
      </c>
      <c r="J7" s="45">
        <f>I7*(1+Assumptions!$F$8)</f>
        <v>0.7775153274189872</v>
      </c>
    </row>
    <row r="8" ht="15" hidden="0" outlineLevel="0" collapsed="0">
      <c r="A8" s="13" t="s">
        <v>518</v>
      </c>
      <c r="B8" s="13" t="s">
        <v>519</v>
      </c>
      <c r="C8" s="46"/>
      <c r="D8" s="46"/>
      <c r="E8" s="46">
        <v>-0.1422</v>
      </c>
      <c r="F8" s="47"/>
      <c r="G8" s="47"/>
      <c r="H8" s="47"/>
      <c r="I8" s="47"/>
      <c r="J8" s="47"/>
    </row>
    <row r="9" ht="15" hidden="0" outlineLevel="0" collapsed="0">
      <c r="A9" s="13" t="s">
        <v>334</v>
      </c>
      <c r="B9" s="13" t="s">
        <v>516</v>
      </c>
      <c r="C9" s="42"/>
      <c r="D9" s="42"/>
      <c r="E9" s="42">
        <v>6.794</v>
      </c>
      <c r="F9" s="43">
        <f>E9*(1+Assumptions!$F$9)</f>
        <v>6.92988</v>
      </c>
      <c r="G9" s="43">
        <f>F9*(1+Assumptions!$F$9)</f>
        <v>7.0684776</v>
      </c>
      <c r="H9" s="43">
        <f>G9*(1+Assumptions!$F$9)</f>
        <v>7.209847152</v>
      </c>
      <c r="I9" s="43">
        <f>H9*(1+Assumptions!$F$9)</f>
        <v>7.35404409504</v>
      </c>
      <c r="J9" s="43">
        <f>I9*(1+Assumptions!$F$9)</f>
        <v>7.5011249769408</v>
      </c>
    </row>
    <row r="10" ht="15" hidden="0" outlineLevel="0" collapsed="0">
      <c r="A10" s="13" t="s">
        <v>520</v>
      </c>
      <c r="B10" s="13" t="s">
        <v>516</v>
      </c>
      <c r="C10" s="42"/>
      <c r="D10" s="42" t="str">
        <f>IF(AND(D6="",D9=""),"",SUM(D6,D9))</f>
        <v/>
      </c>
      <c r="E10" s="42">
        <f>IF(AND(E6="",E9=""),"",SUM(E6,E9))</f>
        <v>10.6306</v>
      </c>
      <c r="F10" s="43">
        <f>F6+F9</f>
        <v>10.80407868</v>
      </c>
      <c r="G10" s="43">
        <f>G6+G9</f>
        <v>10.980643427063999</v>
      </c>
      <c r="H10" s="43">
        <f>H6+H9</f>
        <v>11.160352204169227</v>
      </c>
      <c r="I10" s="43">
        <f>I6+I9</f>
        <v>11.343264096720485</v>
      </c>
      <c r="J10" s="43">
        <f>J6+J9</f>
        <v>11.529439334637754</v>
      </c>
    </row>
    <row r="11" ht="15" hidden="0" outlineLevel="0" collapsed="0">
      <c r="A11" s="13" t="s">
        <v>521</v>
      </c>
      <c r="B11" s="13" t="s">
        <v>522</v>
      </c>
      <c r="C11" s="48"/>
      <c r="D11" s="48" t="str">
        <f>IF(OR(D10="",D10=0,D12=""),"",D12/D10/12)</f>
        <v/>
      </c>
      <c r="E11" s="48">
        <f>IF(OR(E10="",E10=0,E12=""),"",E12/E10/12)</f>
        <v>23.45665657002741</v>
      </c>
      <c r="F11" s="49">
        <f>E11*(1+Assumptions!$F$10)</f>
        <v>23.92578970142796</v>
      </c>
      <c r="G11" s="49">
        <f>F11*(1+Assumptions!$F$10)</f>
        <v>24.40430549545652</v>
      </c>
      <c r="H11" s="49">
        <f>G11*(1+Assumptions!$F$10)</f>
        <v>24.89239160536565</v>
      </c>
      <c r="I11" s="49">
        <f>H11*(1+Assumptions!$F$10)</f>
        <v>25.390239437472964</v>
      </c>
      <c r="J11" s="49">
        <f>I11*(1+Assumptions!$F$10)</f>
        <v>25.898044226222424</v>
      </c>
    </row>
    <row r="12" ht="15" hidden="0" outlineLevel="0" collapsed="0">
      <c r="A12" s="13" t="s">
        <v>523</v>
      </c>
      <c r="B12" s="13" t="s">
        <v>49</v>
      </c>
      <c r="C12" s="14"/>
      <c r="D12" s="14">
        <v>2953.8</v>
      </c>
      <c r="E12" s="14">
        <v>2992.3</v>
      </c>
      <c r="F12" s="50">
        <f>F10*F11*12</f>
        <v>3101.9533729843365</v>
      </c>
      <c r="G12" s="50">
        <f>G10*G11*12</f>
        <v>3215.6997207689574</v>
      </c>
      <c r="H12" s="50">
        <f>H10*H11*12</f>
        <v>3333.694290239833</v>
      </c>
      <c r="I12" s="50">
        <f>I10*I11*12</f>
        <v>3456.0982970186833</v>
      </c>
      <c r="J12" s="50">
        <f>J10*J11*12</f>
        <v>3583.079157503964</v>
      </c>
    </row>
    <row r="13" ht="15" hidden="0" outlineLevel="0" collapsed="0">
      <c r="A13" s="13" t="s">
        <v>524</v>
      </c>
      <c r="B13" s="13" t="s">
        <v>49</v>
      </c>
      <c r="C13" s="14"/>
      <c r="D13" s="14">
        <f>D14-D12</f>
        <v>1493</v>
      </c>
      <c r="E13" s="14">
        <f>E14-E12</f>
        <v>1449.8999999999996</v>
      </c>
      <c r="F13" s="50">
        <f>E13*(1+Assumptions!$F$11)</f>
        <v>1464.3989999999997</v>
      </c>
      <c r="G13" s="50">
        <f>F13*(1+Assumptions!$F$11)</f>
        <v>1479.0429899999997</v>
      </c>
      <c r="H13" s="50">
        <f>G13*(1+Assumptions!$F$11)</f>
        <v>1493.8334198999996</v>
      </c>
      <c r="I13" s="50">
        <f>H13*(1+Assumptions!$F$11)</f>
        <v>1508.7717540989997</v>
      </c>
      <c r="J13" s="50">
        <f>I13*(1+Assumptions!$F$11)</f>
        <v>1523.8594716399898</v>
      </c>
    </row>
    <row r="14" ht="15" hidden="0" outlineLevel="0" collapsed="0">
      <c r="A14" s="51" t="s">
        <v>525</v>
      </c>
      <c r="B14" s="51" t="s">
        <v>49</v>
      </c>
      <c r="C14" s="52"/>
      <c r="D14" s="52">
        <v>4446.8</v>
      </c>
      <c r="E14" s="52">
        <v>4442.2</v>
      </c>
      <c r="F14" s="53">
        <f>F12+F13</f>
        <v>4566.352372984336</v>
      </c>
      <c r="G14" s="53">
        <f>G12+G13</f>
        <v>4694.742710768957</v>
      </c>
      <c r="H14" s="53">
        <f>H12+H13</f>
        <v>4827.527710139833</v>
      </c>
      <c r="I14" s="53">
        <f>I12+I13</f>
        <v>4964.870051117683</v>
      </c>
      <c r="J14" s="53">
        <f>J12+J13</f>
        <v>5106.938629143953</v>
      </c>
    </row>
    <row r="15" ht="15" hidden="0" outlineLevel="0" collapsed="0">
      <c r="A15" s="13" t="s">
        <v>424</v>
      </c>
      <c r="B15" s="13" t="s">
        <v>233</v>
      </c>
      <c r="C15" s="14"/>
      <c r="D15" s="14">
        <v>0.351983448772151</v>
      </c>
      <c r="E15" s="14">
        <v>0.384111476295529</v>
      </c>
      <c r="F15" s="50">
        <f>Assumptions!$F$12</f>
        <v>0.384</v>
      </c>
      <c r="G15" s="50">
        <f>Assumptions!$F$12</f>
        <v>0.384</v>
      </c>
      <c r="H15" s="50">
        <f>Assumptions!$F$12</f>
        <v>0.384</v>
      </c>
      <c r="I15" s="50">
        <f>Assumptions!$F$12</f>
        <v>0.384</v>
      </c>
      <c r="J15" s="50">
        <f>Assumptions!$F$12</f>
        <v>0.384</v>
      </c>
    </row>
    <row r="16" ht="15" hidden="0" outlineLevel="0" collapsed="0">
      <c r="A16" s="51" t="s">
        <v>352</v>
      </c>
      <c r="B16" s="51" t="s">
        <v>49</v>
      </c>
      <c r="C16" s="52"/>
      <c r="D16" s="52">
        <v>1565.2</v>
      </c>
      <c r="E16" s="52">
        <v>1706.3</v>
      </c>
      <c r="F16" s="53">
        <f>F14*F15</f>
        <v>1753.4793112259852</v>
      </c>
      <c r="G16" s="53">
        <f>G14*G15</f>
        <v>1802.7812009352797</v>
      </c>
      <c r="H16" s="53">
        <f>H14*H15</f>
        <v>1853.7706406936961</v>
      </c>
      <c r="I16" s="53">
        <f>I14*I15</f>
        <v>1906.5100996291903</v>
      </c>
      <c r="J16" s="53">
        <f>J14*J15</f>
        <v>1961.064433591278</v>
      </c>
    </row>
    <row r="17" ht="15" hidden="0" outlineLevel="0" collapsed="0">
      <c r="A17" s="13" t="s">
        <v>526</v>
      </c>
      <c r="B17" s="13" t="s">
        <v>233</v>
      </c>
      <c r="C17" s="14"/>
      <c r="D17" s="14">
        <v>0.16310605379149</v>
      </c>
      <c r="E17" s="14">
        <v>0.144095268110396</v>
      </c>
      <c r="F17" s="50">
        <f>Assumptions!$F$14</f>
        <v>0.144</v>
      </c>
      <c r="G17" s="50">
        <f>Assumptions!$F$14</f>
        <v>0.144</v>
      </c>
      <c r="H17" s="50">
        <f>Assumptions!$F$14</f>
        <v>0.144</v>
      </c>
      <c r="I17" s="50">
        <f>Assumptions!$F$14</f>
        <v>0.144</v>
      </c>
      <c r="J17" s="50">
        <f>Assumptions!$F$14</f>
        <v>0.144</v>
      </c>
    </row>
    <row r="18" ht="15" hidden="0" outlineLevel="0" collapsed="0">
      <c r="A18" s="13" t="s">
        <v>527</v>
      </c>
      <c r="B18" s="13" t="s">
        <v>49</v>
      </c>
      <c r="C18" s="14"/>
      <c r="D18" s="14">
        <v>725.3</v>
      </c>
      <c r="E18" s="14">
        <v>640.1</v>
      </c>
      <c r="F18" s="50">
        <f>F14*F17</f>
        <v>657.5547417097443</v>
      </c>
      <c r="G18" s="50">
        <f>G14*G17</f>
        <v>676.0429503507298</v>
      </c>
      <c r="H18" s="50">
        <f>H14*H17</f>
        <v>695.163990260136</v>
      </c>
      <c r="I18" s="50">
        <f>I14*I17</f>
        <v>714.9412873609463</v>
      </c>
      <c r="J18" s="50">
        <f>J14*J17</f>
        <v>735.3991625967292</v>
      </c>
    </row>
    <row r="19" ht="15" hidden="0" outlineLevel="0" collapsed="0">
      <c r="A19" s="13" t="s">
        <v>406</v>
      </c>
      <c r="B19" s="13" t="s">
        <v>49</v>
      </c>
      <c r="C19" s="14"/>
      <c r="D19" s="14">
        <f>Historical!D19</f>
        <v>7425.9</v>
      </c>
      <c r="E19" s="14">
        <f>Historical!E19</f>
        <v>7495.300000000001</v>
      </c>
      <c r="F19" s="50">
        <f>E19*(1-Assumptions!$F$17)</f>
        <v>7120.535000000001</v>
      </c>
      <c r="G19" s="50">
        <f>F19*(1-Assumptions!$F$17)</f>
        <v>6764.508250000001</v>
      </c>
      <c r="H19" s="50">
        <f>G19*(1-Assumptions!$F$17)</f>
        <v>6426.282837500001</v>
      </c>
      <c r="I19" s="50">
        <f>H19*(1-Assumptions!$F$17)</f>
        <v>6104.968695625001</v>
      </c>
      <c r="J19" s="50">
        <f>I19*(1-Assumptions!$F$17)</f>
        <v>5799.72026084375</v>
      </c>
    </row>
    <row r="20" ht="15" hidden="0" outlineLevel="0" collapsed="0">
      <c r="A20" s="13" t="s">
        <v>528</v>
      </c>
      <c r="B20" s="13" t="s">
        <v>314</v>
      </c>
      <c r="C20" s="54"/>
      <c r="D20" s="54">
        <f>IFERROR(D19/D16,0)</f>
        <v>4.744377715307947</v>
      </c>
      <c r="E20" s="54">
        <f>IFERROR(E19/E16,0)</f>
        <v>4.3927210924222</v>
      </c>
      <c r="F20" s="55">
        <f>IFERROR(F19/F16,0)</f>
        <v>4.06080354322602</v>
      </c>
      <c r="G20" s="55">
        <f>IFERROR(G19/G16,0)</f>
        <v>3.752262474498062</v>
      </c>
      <c r="H20" s="55">
        <f>IFERROR(H19/H16,0)</f>
        <v>3.4666008277567895</v>
      </c>
      <c r="I20" s="55">
        <f>IFERROR(I19/I16,0)</f>
        <v>3.2021696065561867</v>
      </c>
      <c r="J20" s="55">
        <f>IFERROR(J19/J16,0)</f>
        <v>2.9574348305439306</v>
      </c>
    </row>
    <row r="21" ht="15" hidden="0" outlineLevel="0" collapsed="0">
      <c r="A21" s="13" t="s">
        <v>529</v>
      </c>
      <c r="B21" s="13" t="s">
        <v>314</v>
      </c>
      <c r="C21" s="54"/>
      <c r="D21" s="54"/>
      <c r="E21" s="54">
        <v>4.3</v>
      </c>
      <c r="F21" s="55"/>
      <c r="G21" s="55"/>
      <c r="H21" s="55"/>
      <c r="I21" s="55"/>
      <c r="J21" s="55"/>
    </row>
    <row r="24" ht="40" hidden="0" outlineLevel="0" collapsed="0">
      <c r="A24" s="56" t="s">
        <v>530</v>
      </c>
      <c r="B24" s="56" t="s">
        <v>530</v>
      </c>
      <c r="C24" s="56" t="s">
        <v>530</v>
      </c>
      <c r="D24" s="56" t="s">
        <v>530</v>
      </c>
      <c r="E24" s="56" t="s">
        <v>530</v>
      </c>
      <c r="F24" s="56" t="s">
        <v>530</v>
      </c>
      <c r="G24" s="56" t="s">
        <v>530</v>
      </c>
      <c r="H24" s="56" t="s">
        <v>530</v>
      </c>
      <c r="I24" s="56" t="s">
        <v>530</v>
      </c>
      <c r="J24" s="56" t="s">
        <v>530</v>
      </c>
    </row>
    <row r="27" ht="23.85" hidden="0" outlineLevel="0" collapsed="0">
      <c r="A27" s="7" t="s">
        <v>531</v>
      </c>
      <c r="B27" s="8" t="s">
        <v>48</v>
      </c>
      <c r="C27" s="9" t="s">
        <v>352</v>
      </c>
    </row>
    <row r="28" ht="15" hidden="0" outlineLevel="0" collapsed="0">
      <c r="A28" s="0" t="s">
        <v>370</v>
      </c>
      <c r="B28" s="0">
        <f>E14</f>
        <v>4442.2</v>
      </c>
      <c r="C28" s="0">
        <f>E16</f>
        <v>1706.3</v>
      </c>
    </row>
    <row r="29" ht="15" hidden="0" outlineLevel="0" collapsed="0">
      <c r="A29" s="0" t="s">
        <v>435</v>
      </c>
      <c r="B29" s="0">
        <f>F14</f>
        <v>4566.352372984336</v>
      </c>
      <c r="C29" s="0">
        <f>F16</f>
        <v>1753.4793112259852</v>
      </c>
    </row>
    <row r="30" ht="15" hidden="0" outlineLevel="0" collapsed="0">
      <c r="A30" s="0" t="s">
        <v>436</v>
      </c>
      <c r="B30" s="0">
        <f>G14</f>
        <v>4694.742710768957</v>
      </c>
      <c r="C30" s="0">
        <f>G16</f>
        <v>1802.7812009352797</v>
      </c>
    </row>
    <row r="31" ht="15" hidden="0" outlineLevel="0" collapsed="0">
      <c r="A31" s="0" t="s">
        <v>437</v>
      </c>
      <c r="B31" s="0">
        <f>H14</f>
        <v>4827.527710139833</v>
      </c>
      <c r="C31" s="0">
        <f>H16</f>
        <v>1853.7706406936961</v>
      </c>
    </row>
    <row r="32" ht="15" hidden="0" outlineLevel="0" collapsed="0">
      <c r="A32" s="0" t="s">
        <v>438</v>
      </c>
      <c r="B32" s="0">
        <f>I14</f>
        <v>4964.870051117683</v>
      </c>
      <c r="C32" s="0">
        <f>I16</f>
        <v>1906.5100996291903</v>
      </c>
    </row>
    <row r="33" ht="15" hidden="0" outlineLevel="0" collapsed="0">
      <c r="A33" s="0" t="s">
        <v>439</v>
      </c>
      <c r="B33" s="0">
        <f>J14</f>
        <v>5106.938629143953</v>
      </c>
      <c r="C33" s="0">
        <f>J16</f>
        <v>1961.064433591278</v>
      </c>
    </row>
  </sheetData>
  <mergeCells count="3">
    <mergeCell ref="A1:J1"/>
    <mergeCell ref="A2:J2"/>
    <mergeCell ref="A24:J24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F11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24" hidden="0" customWidth="1" outlineLevel="0" collapsed="0"/>
    <col min="2" max="2" width="18" hidden="0" customWidth="1" outlineLevel="0" collapsed="0"/>
    <col min="3" max="3" width="22" hidden="0" customWidth="1" outlineLevel="0" collapsed="0"/>
    <col min="4" max="4" width="74" hidden="0" customWidth="1" outlineLevel="0" collapsed="0"/>
    <col min="5" max="5" width="62" hidden="0" customWidth="1" outlineLevel="0" collapsed="0"/>
    <col min="6" max="6" width="22" hidden="0" customWidth="1" outlineLevel="0" collapsed="0"/>
    <col min="7" max="8" width="15" hidden="0" customWidth="1" outlineLevel="0" collapsed="0"/>
  </cols>
  <sheetData>
    <row r="1" ht="26" hidden="0" outlineLevel="0" collapsed="0">
      <c r="A1" s="1" t="s">
        <v>532</v>
      </c>
      <c r="B1" s="1" t="s">
        <v>532</v>
      </c>
      <c r="C1" s="1" t="s">
        <v>532</v>
      </c>
      <c r="D1" s="1" t="s">
        <v>532</v>
      </c>
      <c r="E1" s="1" t="s">
        <v>532</v>
      </c>
      <c r="F1" s="1" t="s">
        <v>532</v>
      </c>
    </row>
    <row r="2" ht="30" hidden="0" outlineLevel="0" collapsed="0">
      <c r="A2" s="2" t="s">
        <v>533</v>
      </c>
      <c r="B2" s="2" t="s">
        <v>533</v>
      </c>
      <c r="C2" s="2" t="s">
        <v>533</v>
      </c>
      <c r="D2" s="2" t="s">
        <v>533</v>
      </c>
      <c r="E2" s="2" t="s">
        <v>533</v>
      </c>
      <c r="F2" s="2" t="s">
        <v>533</v>
      </c>
    </row>
    <row r="4" ht="15" hidden="0" outlineLevel="0" collapsed="0">
      <c r="A4" s="7" t="s">
        <v>534</v>
      </c>
      <c r="B4" s="8" t="s">
        <v>535</v>
      </c>
      <c r="C4" s="8" t="s">
        <v>536</v>
      </c>
      <c r="D4" s="8" t="s">
        <v>537</v>
      </c>
      <c r="E4" s="8" t="s">
        <v>538</v>
      </c>
      <c r="F4" s="9" t="s">
        <v>539</v>
      </c>
    </row>
    <row r="5" ht="35.05" hidden="0" outlineLevel="0" collapsed="0">
      <c r="A5" s="4" t="s">
        <v>540</v>
      </c>
      <c r="B5" s="4" t="s">
        <v>541</v>
      </c>
      <c r="C5" s="4" t="s">
        <v>542</v>
      </c>
      <c r="D5" s="4" t="s">
        <v>543</v>
      </c>
      <c r="E5" s="4" t="s">
        <v>544</v>
      </c>
      <c r="F5" s="4" t="s">
        <v>545</v>
      </c>
    </row>
    <row r="6" ht="23.85" hidden="0" outlineLevel="0" collapsed="0">
      <c r="A6" s="4" t="s">
        <v>540</v>
      </c>
      <c r="B6" s="4" t="s">
        <v>541</v>
      </c>
      <c r="C6" s="4" t="s">
        <v>546</v>
      </c>
      <c r="D6" s="4" t="s">
        <v>547</v>
      </c>
      <c r="E6" s="4" t="s">
        <v>548</v>
      </c>
      <c r="F6" s="4" t="s">
        <v>549</v>
      </c>
    </row>
    <row r="7" ht="23.85" hidden="0" outlineLevel="0" collapsed="0">
      <c r="A7" s="4" t="s">
        <v>540</v>
      </c>
      <c r="B7" s="4" t="s">
        <v>541</v>
      </c>
      <c r="C7" s="4" t="s">
        <v>550</v>
      </c>
      <c r="D7" s="4" t="s">
        <v>551</v>
      </c>
      <c r="E7" s="4" t="s">
        <v>552</v>
      </c>
      <c r="F7" s="4" t="s">
        <v>549</v>
      </c>
    </row>
    <row r="8" ht="23.85" hidden="0" outlineLevel="0" collapsed="0">
      <c r="A8" s="4" t="s">
        <v>540</v>
      </c>
      <c r="B8" s="4" t="s">
        <v>541</v>
      </c>
      <c r="C8" s="4" t="s">
        <v>553</v>
      </c>
      <c r="D8" s="4" t="s">
        <v>554</v>
      </c>
      <c r="E8" s="4" t="s">
        <v>555</v>
      </c>
      <c r="F8" s="4" t="s">
        <v>549</v>
      </c>
    </row>
    <row r="9" ht="15" hidden="0" outlineLevel="0" collapsed="0">
      <c r="A9" s="4" t="s">
        <v>540</v>
      </c>
      <c r="B9" s="4" t="s">
        <v>541</v>
      </c>
      <c r="C9" s="4" t="s">
        <v>556</v>
      </c>
      <c r="D9" s="4" t="s">
        <v>557</v>
      </c>
      <c r="E9" s="4" t="s">
        <v>558</v>
      </c>
      <c r="F9" s="4" t="s">
        <v>549</v>
      </c>
    </row>
    <row r="10" ht="23.85" hidden="0" outlineLevel="0" collapsed="0">
      <c r="A10" s="4" t="s">
        <v>540</v>
      </c>
      <c r="B10" s="4" t="s">
        <v>541</v>
      </c>
      <c r="C10" s="4" t="s">
        <v>559</v>
      </c>
      <c r="D10" s="4" t="s">
        <v>560</v>
      </c>
      <c r="E10" s="4" t="s">
        <v>561</v>
      </c>
      <c r="F10" s="4" t="s">
        <v>549</v>
      </c>
    </row>
    <row r="11" ht="35.05" hidden="0" outlineLevel="0" collapsed="0">
      <c r="A11" s="4" t="s">
        <v>540</v>
      </c>
      <c r="B11" s="4" t="s">
        <v>541</v>
      </c>
      <c r="C11" s="4" t="s">
        <v>562</v>
      </c>
      <c r="D11" s="4" t="s">
        <v>563</v>
      </c>
      <c r="E11" s="4" t="s">
        <v>564</v>
      </c>
      <c r="F11" s="4" t="s">
        <v>549</v>
      </c>
    </row>
  </sheetData>
  <mergeCells count="2">
    <mergeCell ref="A1:F1"/>
    <mergeCell ref="A2:F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G28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28" hidden="0" customWidth="1" outlineLevel="0" collapsed="0"/>
    <col min="2" max="2" width="42" hidden="0" customWidth="1" outlineLevel="0" collapsed="0"/>
    <col min="3" max="3" width="11" hidden="0" customWidth="1" outlineLevel="0" collapsed="0"/>
    <col min="4" max="4" width="18" hidden="0" customWidth="1" outlineLevel="0" collapsed="0"/>
    <col min="5" max="5" width="50" hidden="0" customWidth="1" outlineLevel="0" collapsed="0"/>
    <col min="6" max="6" width="62" hidden="0" customWidth="1" outlineLevel="0" collapsed="0"/>
    <col min="7" max="7" width="24" hidden="0" customWidth="1" outlineLevel="0" collapsed="0"/>
  </cols>
  <sheetData>
    <row r="1" ht="26" hidden="0" outlineLevel="0" collapsed="0">
      <c r="A1" s="1" t="s">
        <v>565</v>
      </c>
      <c r="B1" s="1" t="s">
        <v>565</v>
      </c>
      <c r="C1" s="1" t="s">
        <v>565</v>
      </c>
      <c r="D1" s="1" t="s">
        <v>565</v>
      </c>
      <c r="E1" s="1" t="s">
        <v>565</v>
      </c>
      <c r="F1" s="1" t="s">
        <v>565</v>
      </c>
      <c r="G1" s="1" t="s">
        <v>565</v>
      </c>
    </row>
    <row r="2" ht="30" hidden="0" outlineLevel="0" collapsed="0">
      <c r="A2" s="2" t="s">
        <v>566</v>
      </c>
      <c r="B2" s="2" t="s">
        <v>566</v>
      </c>
      <c r="C2" s="2" t="s">
        <v>566</v>
      </c>
      <c r="D2" s="2" t="s">
        <v>566</v>
      </c>
      <c r="E2" s="2" t="s">
        <v>566</v>
      </c>
      <c r="F2" s="2" t="s">
        <v>566</v>
      </c>
      <c r="G2" s="2" t="s">
        <v>566</v>
      </c>
    </row>
    <row r="4" ht="15" hidden="0" outlineLevel="0" collapsed="0">
      <c r="A4" s="7" t="s">
        <v>559</v>
      </c>
      <c r="B4" s="8" t="s">
        <v>567</v>
      </c>
      <c r="C4" s="8" t="s">
        <v>568</v>
      </c>
      <c r="D4" s="8" t="s">
        <v>485</v>
      </c>
      <c r="E4" s="8" t="s">
        <v>569</v>
      </c>
      <c r="F4" s="8" t="s">
        <v>570</v>
      </c>
      <c r="G4" s="9" t="s">
        <v>571</v>
      </c>
    </row>
    <row r="5" ht="44" hidden="0" outlineLevel="0" collapsed="0">
      <c r="A5" s="4" t="s">
        <v>572</v>
      </c>
      <c r="B5" s="4" t="s">
        <v>573</v>
      </c>
      <c r="C5" s="4">
        <v>5</v>
      </c>
      <c r="D5" s="4" t="str">
        <f>IF(AND(B23&lt;&gt;"",B24&lt;&gt;"",B25&lt;&gt;""),"PASS","FAIL")</f>
        <v>PASS</v>
      </c>
      <c r="E5" s="4" t="s">
        <v>574</v>
      </c>
      <c r="F5" s="4" t="s">
        <v>575</v>
      </c>
      <c r="G5" s="4" t="s">
        <v>576</v>
      </c>
    </row>
    <row r="6" ht="44" hidden="0" outlineLevel="0" collapsed="0">
      <c r="A6" s="4" t="s">
        <v>577</v>
      </c>
      <c r="B6" s="4" t="s">
        <v>578</v>
      </c>
      <c r="C6" s="4">
        <v>20</v>
      </c>
      <c r="D6" s="4" t="str">
        <f>IF(AND(Checks!G7="PASS",Checks!G8="PASS"),"PASS","FAIL")</f>
        <v>PASS</v>
      </c>
      <c r="E6" s="4" t="s">
        <v>579</v>
      </c>
      <c r="F6" s="4" t="s">
        <v>580</v>
      </c>
      <c r="G6" s="4" t="s">
        <v>576</v>
      </c>
    </row>
    <row r="7" ht="44" hidden="0" outlineLevel="0" collapsed="0">
      <c r="A7" s="4" t="s">
        <v>581</v>
      </c>
      <c r="B7" s="4" t="s">
        <v>582</v>
      </c>
      <c r="C7" s="4">
        <v>15</v>
      </c>
      <c r="D7" s="4" t="str">
        <f>IF(AND(Checks!G9="PASS",Checks!G10="PASS",Checks!G11="PASS",Checks!G12="PASS"),"PASS","FAIL")</f>
        <v>PASS</v>
      </c>
      <c r="E7" s="4" t="s">
        <v>583</v>
      </c>
      <c r="F7" s="4" t="s">
        <v>584</v>
      </c>
      <c r="G7" s="4" t="s">
        <v>576</v>
      </c>
    </row>
    <row r="8" ht="44" hidden="0" outlineLevel="0" collapsed="0">
      <c r="A8" s="4" t="s">
        <v>585</v>
      </c>
      <c r="B8" s="4" t="s">
        <v>586</v>
      </c>
      <c r="C8" s="4">
        <v>10</v>
      </c>
      <c r="D8" s="4" t="str">
        <f>IF(AND(Checks!G13="PASS",Checks!G15="PASS"),"PASS","FAIL")</f>
        <v>PASS</v>
      </c>
      <c r="E8" s="4" t="s">
        <v>587</v>
      </c>
      <c r="F8" s="4" t="s">
        <v>588</v>
      </c>
      <c r="G8" s="4" t="s">
        <v>576</v>
      </c>
    </row>
    <row r="9" ht="44" hidden="0" outlineLevel="0" collapsed="0">
      <c r="A9" s="4" t="s">
        <v>589</v>
      </c>
      <c r="B9" s="4" t="s">
        <v>590</v>
      </c>
      <c r="C9" s="4">
        <v>15</v>
      </c>
      <c r="D9" s="4" t="str">
        <f>IF(AND(Checks!G14="PASS",Checks!G15="PASS",Checks!G16="PASS"),"PASS","FAIL")</f>
        <v>PASS</v>
      </c>
      <c r="E9" s="4" t="s">
        <v>591</v>
      </c>
      <c r="F9" s="4" t="s">
        <v>592</v>
      </c>
      <c r="G9" s="4" t="s">
        <v>576</v>
      </c>
    </row>
    <row r="10" ht="44" hidden="0" outlineLevel="0" collapsed="0">
      <c r="A10" s="4" t="s">
        <v>593</v>
      </c>
      <c r="B10" s="4" t="s">
        <v>594</v>
      </c>
      <c r="C10" s="4">
        <v>8</v>
      </c>
      <c r="D10" s="4" t="str">
        <f>IF(Checks!B4="PASS","PASS","FAIL")</f>
        <v>PASS</v>
      </c>
      <c r="E10" s="4" t="s">
        <v>595</v>
      </c>
      <c r="F10" s="4" t="s">
        <v>596</v>
      </c>
      <c r="G10" s="4" t="s">
        <v>576</v>
      </c>
    </row>
    <row r="11" ht="44" hidden="0" outlineLevel="0" collapsed="0">
      <c r="A11" s="4" t="s">
        <v>597</v>
      </c>
      <c r="B11" s="4" t="s">
        <v>598</v>
      </c>
      <c r="C11" s="4">
        <v>10</v>
      </c>
      <c r="D11" s="4" t="str">
        <f>IF(B21&lt;&gt;"","PASS","FAIL")</f>
        <v>PASS</v>
      </c>
      <c r="E11" s="4" t="s">
        <v>599</v>
      </c>
      <c r="F11" s="4" t="s">
        <v>600</v>
      </c>
      <c r="G11" s="4" t="s">
        <v>576</v>
      </c>
    </row>
    <row r="12" ht="44" hidden="0" outlineLevel="0" collapsed="0">
      <c r="A12" s="4" t="s">
        <v>601</v>
      </c>
      <c r="B12" s="4" t="s">
        <v>602</v>
      </c>
      <c r="C12" s="4">
        <v>7</v>
      </c>
      <c r="D12" s="4" t="str">
        <f>IF(B22&lt;&gt;"","PASS","FAIL")</f>
        <v>PASS</v>
      </c>
      <c r="E12" s="4" t="s">
        <v>603</v>
      </c>
      <c r="F12" s="4" t="s">
        <v>604</v>
      </c>
      <c r="G12" s="4" t="s">
        <v>576</v>
      </c>
    </row>
    <row r="13" ht="44" hidden="0" outlineLevel="0" collapsed="0">
      <c r="A13" s="4" t="s">
        <v>605</v>
      </c>
      <c r="B13" s="4" t="s">
        <v>606</v>
      </c>
      <c r="C13" s="4">
        <v>5</v>
      </c>
      <c r="D13" s="4" t="str">
        <f>IF(AND(COUNTA(Change_Log!A5:A20)&gt;=6,COUNTA(Sector_KPIs!F5:J20)&gt;0),"PASS","FAIL")</f>
        <v>PASS</v>
      </c>
      <c r="E13" s="4" t="s">
        <v>607</v>
      </c>
      <c r="F13" s="4" t="s">
        <v>608</v>
      </c>
      <c r="G13" s="4" t="s">
        <v>576</v>
      </c>
    </row>
    <row r="14" ht="44" hidden="0" outlineLevel="0" collapsed="0">
      <c r="A14" s="4" t="s">
        <v>609</v>
      </c>
      <c r="B14" s="4" t="s">
        <v>610</v>
      </c>
      <c r="C14" s="4">
        <v>5</v>
      </c>
      <c r="D14" s="4" t="str">
        <f>IF(AND('00_Cover'!B4&lt;&gt;"",'00_Cover'!B16&lt;&gt;"",COUNTA(Change_Log!A5:A20)&gt;=6),"PASS","FAIL")</f>
        <v>PASS</v>
      </c>
      <c r="E14" s="4" t="s">
        <v>611</v>
      </c>
      <c r="F14" s="4" t="s">
        <v>612</v>
      </c>
      <c r="G14" s="4" t="s">
        <v>576</v>
      </c>
    </row>
    <row r="16" ht="44" hidden="0" outlineLevel="0" collapsed="0">
      <c r="A16" s="22" t="s">
        <v>613</v>
      </c>
      <c r="B16" s="4">
        <f>SUMPRODUCT(C5:C14,--(D5:D14="PASS"))</f>
        <v>100</v>
      </c>
    </row>
    <row r="17" ht="44" hidden="0" outlineLevel="0" collapsed="0">
      <c r="A17" s="22" t="s">
        <v>614</v>
      </c>
      <c r="B17" s="4" t="str">
        <f>IF(AND(B16&gt;=90,COUNTIF(D5:D14,"FAIL")=0),"OWNER PRE-FLIGHT 9/10 READY — INDEPENDENT CERTIFICATION REQUIRED","REMEDIATE BEFORE INDEPENDENT CERTIFICATION")</f>
        <v>OWNER PRE-FLIGHT 9/10 READY — INDEPENDENT CERTIFICATION REQUIRED</v>
      </c>
    </row>
    <row r="18" ht="44" hidden="0" outlineLevel="0" collapsed="0">
      <c r="A18" s="22" t="s">
        <v>615</v>
      </c>
      <c r="B18" s="4" t="s">
        <v>616</v>
      </c>
    </row>
    <row r="19" ht="15" hidden="0" outlineLevel="0" collapsed="0">
      <c r="A19" s="22"/>
      <c r="B19" s="4"/>
    </row>
    <row r="20" ht="58" hidden="0" outlineLevel="0" collapsed="0">
      <c r="A20" s="22" t="s">
        <v>617</v>
      </c>
      <c r="B20" s="4" t="s">
        <v>540</v>
      </c>
    </row>
    <row r="21" ht="58" hidden="0" outlineLevel="0" collapsed="0">
      <c r="A21" s="22" t="s">
        <v>618</v>
      </c>
      <c r="B21" s="4" t="s">
        <v>619</v>
      </c>
    </row>
    <row r="22" ht="58" hidden="0" outlineLevel="0" collapsed="0">
      <c r="A22" s="22" t="s">
        <v>620</v>
      </c>
      <c r="B22" s="4" t="s">
        <v>603</v>
      </c>
    </row>
    <row r="23" ht="58" hidden="0" outlineLevel="0" collapsed="0">
      <c r="A23" s="22" t="s">
        <v>621</v>
      </c>
      <c r="B23" s="4" t="s">
        <v>622</v>
      </c>
    </row>
    <row r="24" ht="58" hidden="0" outlineLevel="0" collapsed="0">
      <c r="A24" s="22" t="s">
        <v>623</v>
      </c>
      <c r="B24" s="4" t="s">
        <v>624</v>
      </c>
    </row>
    <row r="25" ht="58" hidden="0" outlineLevel="0" collapsed="0">
      <c r="A25" s="22" t="s">
        <v>625</v>
      </c>
      <c r="B25" s="4" t="s">
        <v>564</v>
      </c>
    </row>
    <row r="26" ht="58" hidden="0" outlineLevel="0" collapsed="0">
      <c r="A26" s="22" t="s">
        <v>626</v>
      </c>
      <c r="B26" s="4" t="s">
        <v>627</v>
      </c>
    </row>
    <row r="27" ht="58" hidden="0" outlineLevel="0" collapsed="0">
      <c r="A27" s="22" t="s">
        <v>628</v>
      </c>
      <c r="B27" s="4" t="s">
        <v>603</v>
      </c>
    </row>
    <row r="28" ht="58" hidden="0" outlineLevel="0" collapsed="0">
      <c r="A28" s="22" t="s">
        <v>629</v>
      </c>
      <c r="B28" s="4" t="s">
        <v>630</v>
      </c>
    </row>
  </sheetData>
  <mergeCells count="2">
    <mergeCell ref="A1:G1"/>
    <mergeCell ref="A2:G2"/>
  </mergeCells>
  <conditionalFormatting sqref="D5:D14">
    <cfRule type="expression" priority="2" text="" dxfId="2">
      <formula>D5="PASS"</formula>
    </cfRule>
    <cfRule type="expression" priority="3" text="" dxfId="3">
      <formula>D5="FAIL"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/>
  </sheetViews>
  <sheetFormatPr defaultColWidth="8.375" defaultRowHeight="15"/>
  <cols>
    <col min="1" max="1" width="8.70703125" customWidth="1"/>
    <col min="2" max="2" width="18.0390625" customWidth="1"/>
    <col min="3" max="4" width="57.70703125" customWidth="1"/>
    <col min="5" max="5" width="81.0390625" customWidth="1"/>
    <col min="6" max="6" width="46.0390625" customWidth="1"/>
  </cols>
  <sheetData>
    <row r="1">
      <c r="A1" s="58" t="s">
        <v>631</v>
      </c>
      <c r="B1" s="58" t="s">
        <v>632</v>
      </c>
      <c r="C1" s="58" t="s">
        <v>633</v>
      </c>
      <c r="D1" s="58" t="s">
        <v>634</v>
      </c>
      <c r="E1" s="58" t="s">
        <v>635</v>
      </c>
      <c r="F1" s="58" t="s">
        <v>636</v>
      </c>
    </row>
    <row r="2">
      <c r="A2" s="57">
        <v>1</v>
      </c>
      <c r="B2" s="59">
        <v>46324.359330625</v>
      </c>
      <c r="C2" s="57" t="s">
        <v>637</v>
      </c>
      <c r="D2" s="57" t="s">
        <v>638</v>
      </c>
      <c r="E2" s="57" t="s">
        <v>639</v>
      </c>
      <c r="F2" s="57" t="s">
        <v>640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