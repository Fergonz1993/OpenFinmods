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Calc"/>
  <workbookPr/>
  <workbookProtection/>
  <bookViews>
    <workbookView xWindow="0" yWindow="0" windowWidth="16384" windowHeight="8192" tabRatio="600"/>
  </bookViews>
  <sheets>
    <sheet name="00_Cover" sheetId="1" r:id="rId3"/>
    <sheet name="Sources" sheetId="2" r:id="rId4"/>
    <sheet name="Historical" sheetId="3" r:id="rId5"/>
    <sheet name="Assumptions" sheetId="4" r:id="rId6"/>
    <sheet name="Forecast" sheetId="5" r:id="rId7"/>
    <sheet name="Valuation" sheetId="6" r:id="rId8"/>
    <sheet name="Sensitivity" sheetId="7" r:id="rId9"/>
    <sheet name="Checks" sheetId="8" r:id="rId10"/>
    <sheet name="Sector_KPIs" sheetId="9" r:id="rId11"/>
    <sheet name="Change_Log" sheetId="10" r:id="rId12"/>
    <sheet name="Gate_9of10" sheetId="11" r:id="rId13"/>
    <sheet name="IS_Hist" sheetId="12" r:id="rId15"/>
    <sheet name="CI_Hist" sheetId="13" r:id="rId16"/>
    <sheet name="BS_Hist" sheetId="14" r:id="rId17"/>
    <sheet name="CF_Hist" sheetId="15" r:id="rId18"/>
    <sheet name="SCE_Hist" sheetId="16" r:id="rId19"/>
    <sheet name="Segment_Products" sheetId="17" r:id="rId20"/>
    <sheet name="Checks_TieOut" sheetId="18" r:id="rId21"/>
    <sheet name="Sources_Audited" sheetId="19" r:id="rId22"/>
    <sheet name="Source_Register" sheetId="20" r:id="rId23"/>
    <sheet name="Fwd_Assumptions" sheetId="21" r:id="rId24"/>
    <sheet name="Fwd_IS" sheetId="22" r:id="rId25"/>
    <sheet name="Fwd_Summary" sheetId="23" r:id="rId26"/>
    <sheet name="Drivers_MDA" sheetId="24" r:id="rId27"/>
    <sheet name="Market_Package" sheetId="25" r:id="rId28"/>
    <sheet name="Claude Code Log" sheetId="26" r:id="rId29"/>
  </sheets>
  <calcPr calcId="0" iterateCount="100" iterateDelta="0.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tc={7BD18274-81CB-DC1E-97F4-D575F832D9E7}</author>
    <author>tc={FBBC9A2C-6B5B-45B4-F226-76B4DF77125F}</author>
    <author>tc={B7821D6A-88C5-6A68-13D1-061424A2F32E}</author>
    <author>tc={373BCBA2-7838-F082-FDB4-79323922C057}</author>
    <author>tc={6195C8A5-0D2A-4026-6B7B-2E9D75047E97}</author>
    <author>tc={8649A891-42C9-A89E-DEB3-EB3104881936}</author>
    <author>tc={7A5F627B-C1BF-6A5D-4210-70C0B4873B21}</author>
    <author>tc={33769182-E6B3-CC0A-D0D9-A2AD7C0D6D2C}</author>
    <author>tc={CF338276-0854-5776-52FD-3246563F87C7}</author>
    <author>tc={EBCF9C14-8EC6-8631-8190-6A50EBACE5EC}</author>
    <author>tc={D742ED84-27C2-9279-3A52-1C3E6A6237F5}</author>
    <author>tc={E436235B-5D41-B66B-403C-38BA7C106CA7}</author>
    <author>tc={484038A8-753C-9ABD-F20F-E9B1DA8ED996}</author>
    <author>tc={7855346E-E45F-EBFE-6F7B-FB857C9DFDAB}</author>
    <author>tc={C74F0EEF-2022-FC35-39BE-4EA930B30B15}</author>
    <author>tc={28E139A8-CE2A-F60A-3DC5-F8FB885D7F62}</author>
    <author>tc={C24AF138-F8C7-BE6A-4FAE-A750DBAD1090}</author>
    <author>tc={5446CA3C-BB1A-F148-C50D-C59BB943B696}</author>
    <author>tc={EC91C5BD-2235-BAA9-3E80-A94F343BBDE7}</author>
    <author>tc={A3C5A312-C180-C281-0719-8839746A8602}</author>
    <author>tc={DA720368-5D5B-2D7A-0AA8-766E4E9DF043}</author>
    <author>tc={44989395-6DE8-9CF1-295C-C84713D0BB70}</author>
    <author>tc={42D91453-544A-7309-8904-6F8B33D0E5BC}</author>
    <author>tc={39499100-C090-3BAE-B220-FFAC481BD97F}</author>
    <author>tc={E2D244E3-A3C3-81CE-7DE6-BFDA7A9B52B5}</author>
    <author>tc={83437B8F-89A6-CBD2-C1D4-63F85979EF11}</author>
    <author>tc={EAD044FD-06A3-0020-3847-1963F1A5C086}</author>
    <author>tc={3868FF04-3555-20BB-A001-6452A34C562B}</author>
    <author>tc={ED86FEEB-DB48-138C-9C17-AE3E2ABFCDED}</author>
    <author>tc={E1759F79-38B9-430F-232D-4445B3C485C4}</author>
    <author>tc={33840CAD-19A3-9E48-806F-AAF519E79D9A}</author>
    <author>tc={0F0BD1F6-383F-09A7-7A5C-83CAFA783B13}</author>
    <author>tc={2021CE33-59C0-7DA6-9728-CA41CA26AC72}</author>
    <author>tc={1309B65F-D3F0-F8D5-3EA1-EEED867BA10C}</author>
    <author>tc={355C922C-7A76-DEB8-C3E0-7EBB6D765D71}</author>
    <author>tc={6B44957D-E164-667C-6168-4922BBAB1DAD}</author>
    <author>tc={296D9D4F-3BC4-C33D-2511-58CA324FD02D}</author>
    <author>tc={ACCEB4CA-3ECB-3644-691B-9DB168F10331}</author>
    <author>tc={4C5E7876-696F-47A8-3DA7-DBA214507600}</author>
    <author>tc={E6CCBF8D-B8A5-78AA-1CB5-9B4C23281124}</author>
    <author>tc={9671E975-0823-01ED-986C-DD10DCE56E62}</author>
    <author>tc={A092DDD1-EFFB-BD6E-8998-BAC91D3CA43C}</author>
    <author>tc={E5202465-99C2-D979-950C-F948CFA32723}</author>
    <author>tc={79979590-1EBA-40F3-4B50-40432895E142}</author>
    <author>tc={39CC300B-0E1D-3F33-4C26-D9EF3CBCDDCC}</author>
    <author>tc={90A5EC74-21B5-411A-2341-3BFF2F06A65B}</author>
    <author>tc={0380BC9C-422C-4BB5-D946-D3307C7C9BDE}</author>
    <author>tc={F2C6F0D6-1BF2-2600-7132-078D552C7BB2}</author>
    <author>tc={B097AFD4-718C-5592-B9ED-3E2088F3C73F}</author>
    <author>tc={F3909342-DD10-4930-462A-1FF9895B7B78}</author>
    <author>tc={550F7D83-15D7-C705-2A5E-2903A637A85C}</author>
    <author>tc={3D6FEB8D-DD5E-F309-CAF6-803BDC3156E0}</author>
    <author>tc={57162BDE-19F9-A350-D767-268EE6544734}</author>
    <author>tc={EAA117E1-9AAF-8443-2804-143AF5894751}</author>
  </authors>
  <commentList>
    <comment ref="B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Historical!B5.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4</xdr:row>
            <xdr:rowOff>2</xdr:rowOff>
          </from>
          <to>
            <xdr:col>3</xdr:col>
            <xdr:colOff>15</xdr:colOff>
            <xdr:row>8</xdr:row>
            <xdr:rowOff>2</xdr:rowOff>
          </to>
        </anchor>
      </commentPr>
    </comment>
    <comment ref="B6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Historical!B6.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5</xdr:row>
            <xdr:rowOff>2</xdr:rowOff>
          </from>
          <to>
            <xdr:col>3</xdr:col>
            <xdr:colOff>15</xdr:colOff>
            <xdr:row>9</xdr:row>
            <xdr:rowOff>2</xdr:rowOff>
          </to>
        </anchor>
      </commentPr>
    </comment>
    <comment ref="B7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Historical!B7.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6</xdr:row>
            <xdr:rowOff>2</xdr:rowOff>
          </from>
          <to>
            <xdr:col>3</xdr:col>
            <xdr:colOff>15</xdr:colOff>
            <xdr:row>10</xdr:row>
            <xdr:rowOff>2</xdr:rowOff>
          </to>
        </anchor>
      </commentPr>
    </comment>
    <comment ref="B8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Historical!B8.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7</xdr:row>
            <xdr:rowOff>2</xdr:rowOff>
          </from>
          <to>
            <xdr:col>3</xdr:col>
            <xdr:colOff>15</xdr:colOff>
            <xdr:row>11</xdr:row>
            <xdr:rowOff>2</xdr:rowOff>
          </to>
        </anchor>
      </commentPr>
    </comment>
    <comment ref="B9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Historical!B9.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8</xdr:row>
            <xdr:rowOff>2</xdr:rowOff>
          </from>
          <to>
            <xdr:col>3</xdr:col>
            <xdr:colOff>15</xdr:colOff>
            <xdr:row>12</xdr:row>
            <xdr:rowOff>2</xdr:rowOff>
          </to>
        </anchor>
      </commentPr>
    </comment>
    <comment ref="B10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Historical!B10.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9</xdr:row>
            <xdr:rowOff>2</xdr:rowOff>
          </from>
          <to>
            <xdr:col>3</xdr:col>
            <xdr:colOff>15</xdr:colOff>
            <xdr:row>13</xdr:row>
            <xdr:rowOff>2</xdr:rowOff>
          </to>
        </anchor>
      </commentPr>
    </comment>
    <comment ref="B11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Historical!B11.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10</xdr:row>
            <xdr:rowOff>2</xdr:rowOff>
          </from>
          <to>
            <xdr:col>3</xdr:col>
            <xdr:colOff>15</xdr:colOff>
            <xdr:row>14</xdr:row>
            <xdr:rowOff>2</xdr:rowOff>
          </to>
        </anchor>
      </commentPr>
    </comment>
    <comment ref="B12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Historical!B12.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11</xdr:row>
            <xdr:rowOff>2</xdr:rowOff>
          </from>
          <to>
            <xdr:col>3</xdr:col>
            <xdr:colOff>15</xdr:colOff>
            <xdr:row>15</xdr:row>
            <xdr:rowOff>2</xdr:rowOff>
          </to>
        </anchor>
      </commentPr>
    </comment>
    <comment ref="B13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Historical!B13.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12</xdr:row>
            <xdr:rowOff>2</xdr:rowOff>
          </from>
          <to>
            <xdr:col>3</xdr:col>
            <xdr:colOff>15</xdr:colOff>
            <xdr:row>16</xdr:row>
            <xdr:rowOff>2</xdr:rowOff>
          </to>
        </anchor>
      </commentPr>
    </comment>
    <comment ref="B15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Historical!B15.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14</xdr:row>
            <xdr:rowOff>2</xdr:rowOff>
          </from>
          <to>
            <xdr:col>3</xdr:col>
            <xdr:colOff>15</xdr:colOff>
            <xdr:row>18</xdr:row>
            <xdr:rowOff>2</xdr:rowOff>
          </to>
        </anchor>
      </commentPr>
    </comment>
    <comment ref="C5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Historical!C5.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4</xdr:row>
            <xdr:rowOff>2</xdr:rowOff>
          </from>
          <to>
            <xdr:col>4</xdr:col>
            <xdr:colOff>15</xdr:colOff>
            <xdr:row>8</xdr:row>
            <xdr:rowOff>2</xdr:rowOff>
          </to>
        </anchor>
      </commentPr>
    </comment>
    <comment ref="C6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Historical!C6.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5</xdr:row>
            <xdr:rowOff>2</xdr:rowOff>
          </from>
          <to>
            <xdr:col>4</xdr:col>
            <xdr:colOff>15</xdr:colOff>
            <xdr:row>9</xdr:row>
            <xdr:rowOff>2</xdr:rowOff>
          </to>
        </anchor>
      </commentPr>
    </comment>
    <comment ref="C7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Historical!C7.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6</xdr:row>
            <xdr:rowOff>2</xdr:rowOff>
          </from>
          <to>
            <xdr:col>4</xdr:col>
            <xdr:colOff>15</xdr:colOff>
            <xdr:row>10</xdr:row>
            <xdr:rowOff>2</xdr:rowOff>
          </to>
        </anchor>
      </commentPr>
    </comment>
    <comment ref="C8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Historical!C8.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7</xdr:row>
            <xdr:rowOff>2</xdr:rowOff>
          </from>
          <to>
            <xdr:col>4</xdr:col>
            <xdr:colOff>15</xdr:colOff>
            <xdr:row>11</xdr:row>
            <xdr:rowOff>2</xdr:rowOff>
          </to>
        </anchor>
      </commentPr>
    </comment>
    <comment ref="C9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Historical!C9.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8</xdr:row>
            <xdr:rowOff>2</xdr:rowOff>
          </from>
          <to>
            <xdr:col>4</xdr:col>
            <xdr:colOff>15</xdr:colOff>
            <xdr:row>12</xdr:row>
            <xdr:rowOff>2</xdr:rowOff>
          </to>
        </anchor>
      </commentPr>
    </comment>
    <comment ref="C10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Historical!C10.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9</xdr:row>
            <xdr:rowOff>2</xdr:rowOff>
          </from>
          <to>
            <xdr:col>4</xdr:col>
            <xdr:colOff>15</xdr:colOff>
            <xdr:row>13</xdr:row>
            <xdr:rowOff>2</xdr:rowOff>
          </to>
        </anchor>
      </commentPr>
    </comment>
    <comment ref="C11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Historical!C11.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10</xdr:row>
            <xdr:rowOff>2</xdr:rowOff>
          </from>
          <to>
            <xdr:col>4</xdr:col>
            <xdr:colOff>15</xdr:colOff>
            <xdr:row>14</xdr:row>
            <xdr:rowOff>2</xdr:rowOff>
          </to>
        </anchor>
      </commentPr>
    </comment>
    <comment ref="C12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Historical!C12.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11</xdr:row>
            <xdr:rowOff>2</xdr:rowOff>
          </from>
          <to>
            <xdr:col>4</xdr:col>
            <xdr:colOff>15</xdr:colOff>
            <xdr:row>15</xdr:row>
            <xdr:rowOff>2</xdr:rowOff>
          </to>
        </anchor>
      </commentPr>
    </comment>
    <comment ref="C13" authorId="1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Historical!C13.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12</xdr:row>
            <xdr:rowOff>2</xdr:rowOff>
          </from>
          <to>
            <xdr:col>4</xdr:col>
            <xdr:colOff>15</xdr:colOff>
            <xdr:row>16</xdr:row>
            <xdr:rowOff>2</xdr:rowOff>
          </to>
        </anchor>
      </commentPr>
    </comment>
    <comment ref="C14" authorId="1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Historical!C14.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13</xdr:row>
            <xdr:rowOff>2</xdr:rowOff>
          </from>
          <to>
            <xdr:col>4</xdr:col>
            <xdr:colOff>15</xdr:colOff>
            <xdr:row>17</xdr:row>
            <xdr:rowOff>2</xdr:rowOff>
          </to>
        </anchor>
      </commentPr>
    </comment>
    <comment ref="C15" authorId="2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Historical!C15.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14</xdr:row>
            <xdr:rowOff>2</xdr:rowOff>
          </from>
          <to>
            <xdr:col>4</xdr:col>
            <xdr:colOff>15</xdr:colOff>
            <xdr:row>18</xdr:row>
            <xdr:rowOff>2</xdr:rowOff>
          </to>
        </anchor>
      </commentPr>
    </comment>
    <comment ref="D5" authorId="2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Historical!D5.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4</xdr:row>
            <xdr:rowOff>2</xdr:rowOff>
          </from>
          <to>
            <xdr:col>5</xdr:col>
            <xdr:colOff>15</xdr:colOff>
            <xdr:row>8</xdr:row>
            <xdr:rowOff>2</xdr:rowOff>
          </to>
        </anchor>
      </commentPr>
    </comment>
    <comment ref="D6" authorId="2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Historical!D6.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5</xdr:row>
            <xdr:rowOff>2</xdr:rowOff>
          </from>
          <to>
            <xdr:col>5</xdr:col>
            <xdr:colOff>15</xdr:colOff>
            <xdr:row>9</xdr:row>
            <xdr:rowOff>2</xdr:rowOff>
          </to>
        </anchor>
      </commentPr>
    </comment>
    <comment ref="D7" authorId="2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Historical!D7.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6</xdr:row>
            <xdr:rowOff>2</xdr:rowOff>
          </from>
          <to>
            <xdr:col>5</xdr:col>
            <xdr:colOff>15</xdr:colOff>
            <xdr:row>10</xdr:row>
            <xdr:rowOff>2</xdr:rowOff>
          </to>
        </anchor>
      </commentPr>
    </comment>
    <comment ref="D8" authorId="2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Historical!D8.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7</xdr:row>
            <xdr:rowOff>2</xdr:rowOff>
          </from>
          <to>
            <xdr:col>5</xdr:col>
            <xdr:colOff>15</xdr:colOff>
            <xdr:row>11</xdr:row>
            <xdr:rowOff>2</xdr:rowOff>
          </to>
        </anchor>
      </commentPr>
    </comment>
    <comment ref="D9" authorId="2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Historical!D9.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8</xdr:row>
            <xdr:rowOff>2</xdr:rowOff>
          </from>
          <to>
            <xdr:col>5</xdr:col>
            <xdr:colOff>15</xdr:colOff>
            <xdr:row>12</xdr:row>
            <xdr:rowOff>2</xdr:rowOff>
          </to>
        </anchor>
      </commentPr>
    </comment>
    <comment ref="D10" authorId="2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Historical!D10.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9</xdr:row>
            <xdr:rowOff>2</xdr:rowOff>
          </from>
          <to>
            <xdr:col>5</xdr:col>
            <xdr:colOff>15</xdr:colOff>
            <xdr:row>13</xdr:row>
            <xdr:rowOff>2</xdr:rowOff>
          </to>
        </anchor>
      </commentPr>
    </comment>
    <comment ref="D11" authorId="2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Historical!D11.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10</xdr:row>
            <xdr:rowOff>2</xdr:rowOff>
          </from>
          <to>
            <xdr:col>5</xdr:col>
            <xdr:colOff>15</xdr:colOff>
            <xdr:row>14</xdr:row>
            <xdr:rowOff>2</xdr:rowOff>
          </to>
        </anchor>
      </commentPr>
    </comment>
    <comment ref="D12" authorId="2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Historical!D12.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11</xdr:row>
            <xdr:rowOff>2</xdr:rowOff>
          </from>
          <to>
            <xdr:col>5</xdr:col>
            <xdr:colOff>15</xdr:colOff>
            <xdr:row>15</xdr:row>
            <xdr:rowOff>2</xdr:rowOff>
          </to>
        </anchor>
      </commentPr>
    </comment>
    <comment ref="D13" authorId="2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Historical!D13.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12</xdr:row>
            <xdr:rowOff>2</xdr:rowOff>
          </from>
          <to>
            <xdr:col>5</xdr:col>
            <xdr:colOff>15</xdr:colOff>
            <xdr:row>16</xdr:row>
            <xdr:rowOff>2</xdr:rowOff>
          </to>
        </anchor>
      </commentPr>
    </comment>
    <comment ref="D14" authorId="3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Historical!D14.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13</xdr:row>
            <xdr:rowOff>2</xdr:rowOff>
          </from>
          <to>
            <xdr:col>5</xdr:col>
            <xdr:colOff>15</xdr:colOff>
            <xdr:row>17</xdr:row>
            <xdr:rowOff>2</xdr:rowOff>
          </to>
        </anchor>
      </commentPr>
    </comment>
    <comment ref="D15" authorId="3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Historical!D15.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14</xdr:row>
            <xdr:rowOff>2</xdr:rowOff>
          </from>
          <to>
            <xdr:col>5</xdr:col>
            <xdr:colOff>15</xdr:colOff>
            <xdr:row>18</xdr:row>
            <xdr:rowOff>2</xdr:rowOff>
          </to>
        </anchor>
      </commentPr>
    </comment>
    <comment ref="E5" authorId="3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Historical!E5.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4</xdr:row>
            <xdr:rowOff>2</xdr:rowOff>
          </from>
          <to>
            <xdr:col>6</xdr:col>
            <xdr:colOff>15</xdr:colOff>
            <xdr:row>8</xdr:row>
            <xdr:rowOff>2</xdr:rowOff>
          </to>
        </anchor>
      </commentPr>
    </comment>
    <comment ref="E6" authorId="3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Historical!E6.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5</xdr:row>
            <xdr:rowOff>2</xdr:rowOff>
          </from>
          <to>
            <xdr:col>6</xdr:col>
            <xdr:colOff>15</xdr:colOff>
            <xdr:row>9</xdr:row>
            <xdr:rowOff>2</xdr:rowOff>
          </to>
        </anchor>
      </commentPr>
    </comment>
    <comment ref="E7" authorId="3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Historical!E7.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6</xdr:row>
            <xdr:rowOff>2</xdr:rowOff>
          </from>
          <to>
            <xdr:col>6</xdr:col>
            <xdr:colOff>15</xdr:colOff>
            <xdr:row>10</xdr:row>
            <xdr:rowOff>2</xdr:rowOff>
          </to>
        </anchor>
      </commentPr>
    </comment>
    <comment ref="E8" authorId="3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Historical!E8.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7</xdr:row>
            <xdr:rowOff>2</xdr:rowOff>
          </from>
          <to>
            <xdr:col>6</xdr:col>
            <xdr:colOff>15</xdr:colOff>
            <xdr:row>11</xdr:row>
            <xdr:rowOff>2</xdr:rowOff>
          </to>
        </anchor>
      </commentPr>
    </comment>
    <comment ref="E9" authorId="3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Historical!E9.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8</xdr:row>
            <xdr:rowOff>2</xdr:rowOff>
          </from>
          <to>
            <xdr:col>6</xdr:col>
            <xdr:colOff>15</xdr:colOff>
            <xdr:row>12</xdr:row>
            <xdr:rowOff>2</xdr:rowOff>
          </to>
        </anchor>
      </commentPr>
    </comment>
    <comment ref="E10" authorId="3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Historical!E10.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9</xdr:row>
            <xdr:rowOff>2</xdr:rowOff>
          </from>
          <to>
            <xdr:col>6</xdr:col>
            <xdr:colOff>15</xdr:colOff>
            <xdr:row>13</xdr:row>
            <xdr:rowOff>2</xdr:rowOff>
          </to>
        </anchor>
      </commentPr>
    </comment>
    <comment ref="E11" authorId="3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Historical!E11.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10</xdr:row>
            <xdr:rowOff>2</xdr:rowOff>
          </from>
          <to>
            <xdr:col>6</xdr:col>
            <xdr:colOff>15</xdr:colOff>
            <xdr:row>14</xdr:row>
            <xdr:rowOff>2</xdr:rowOff>
          </to>
        </anchor>
      </commentPr>
    </comment>
    <comment ref="E12" authorId="3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Historical!E12.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11</xdr:row>
            <xdr:rowOff>2</xdr:rowOff>
          </from>
          <to>
            <xdr:col>6</xdr:col>
            <xdr:colOff>15</xdr:colOff>
            <xdr:row>15</xdr:row>
            <xdr:rowOff>2</xdr:rowOff>
          </to>
        </anchor>
      </commentPr>
    </comment>
    <comment ref="E13" authorId="4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Historical!E13.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12</xdr:row>
            <xdr:rowOff>2</xdr:rowOff>
          </from>
          <to>
            <xdr:col>6</xdr:col>
            <xdr:colOff>15</xdr:colOff>
            <xdr:row>16</xdr:row>
            <xdr:rowOff>2</xdr:rowOff>
          </to>
        </anchor>
      </commentPr>
    </comment>
    <comment ref="E14" authorId="4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Historical!E14.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13</xdr:row>
            <xdr:rowOff>2</xdr:rowOff>
          </from>
          <to>
            <xdr:col>6</xdr:col>
            <xdr:colOff>15</xdr:colOff>
            <xdr:row>17</xdr:row>
            <xdr:rowOff>2</xdr:rowOff>
          </to>
        </anchor>
      </commentPr>
    </comment>
    <comment ref="E15" authorId="4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Historical!E15.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14</xdr:row>
            <xdr:rowOff>2</xdr:rowOff>
          </from>
          <to>
            <xdr:col>6</xdr:col>
            <xdr:colOff>15</xdr:colOff>
            <xdr:row>18</xdr:row>
            <xdr:rowOff>2</xdr:rowOff>
          </to>
        </anchor>
      </commentPr>
    </comment>
    <comment ref="F5" authorId="4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Historical!F5.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4</xdr:row>
            <xdr:rowOff>2</xdr:rowOff>
          </from>
          <to>
            <xdr:col>7</xdr:col>
            <xdr:colOff>15</xdr:colOff>
            <xdr:row>8</xdr:row>
            <xdr:rowOff>2</xdr:rowOff>
          </to>
        </anchor>
      </commentPr>
    </comment>
    <comment ref="F6" authorId="4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Historical!F6.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5</xdr:row>
            <xdr:rowOff>2</xdr:rowOff>
          </from>
          <to>
            <xdr:col>7</xdr:col>
            <xdr:colOff>15</xdr:colOff>
            <xdr:row>9</xdr:row>
            <xdr:rowOff>2</xdr:rowOff>
          </to>
        </anchor>
      </commentPr>
    </comment>
    <comment ref="F7" authorId="4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Historical!F7.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6</xdr:row>
            <xdr:rowOff>2</xdr:rowOff>
          </from>
          <to>
            <xdr:col>7</xdr:col>
            <xdr:colOff>15</xdr:colOff>
            <xdr:row>10</xdr:row>
            <xdr:rowOff>2</xdr:rowOff>
          </to>
        </anchor>
      </commentPr>
    </comment>
    <comment ref="F8" authorId="4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Historical!F8.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7</xdr:row>
            <xdr:rowOff>2</xdr:rowOff>
          </from>
          <to>
            <xdr:col>7</xdr:col>
            <xdr:colOff>15</xdr:colOff>
            <xdr:row>11</xdr:row>
            <xdr:rowOff>2</xdr:rowOff>
          </to>
        </anchor>
      </commentPr>
    </comment>
    <comment ref="F9" authorId="4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Historical!F9.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8</xdr:row>
            <xdr:rowOff>2</xdr:rowOff>
          </from>
          <to>
            <xdr:col>7</xdr:col>
            <xdr:colOff>15</xdr:colOff>
            <xdr:row>12</xdr:row>
            <xdr:rowOff>2</xdr:rowOff>
          </to>
        </anchor>
      </commentPr>
    </comment>
    <comment ref="F10" authorId="4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Historical!F10.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9</xdr:row>
            <xdr:rowOff>2</xdr:rowOff>
          </from>
          <to>
            <xdr:col>7</xdr:col>
            <xdr:colOff>15</xdr:colOff>
            <xdr:row>13</xdr:row>
            <xdr:rowOff>2</xdr:rowOff>
          </to>
        </anchor>
      </commentPr>
    </comment>
    <comment ref="F11" authorId="4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Historical!F11.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10</xdr:row>
            <xdr:rowOff>2</xdr:rowOff>
          </from>
          <to>
            <xdr:col>7</xdr:col>
            <xdr:colOff>15</xdr:colOff>
            <xdr:row>14</xdr:row>
            <xdr:rowOff>2</xdr:rowOff>
          </to>
        </anchor>
      </commentPr>
    </comment>
    <comment ref="F12" authorId="5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Historical!F12.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11</xdr:row>
            <xdr:rowOff>2</xdr:rowOff>
          </from>
          <to>
            <xdr:col>7</xdr:col>
            <xdr:colOff>15</xdr:colOff>
            <xdr:row>15</xdr:row>
            <xdr:rowOff>2</xdr:rowOff>
          </to>
        </anchor>
      </commentPr>
    </comment>
    <comment ref="F13" authorId="5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Historical!F13.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12</xdr:row>
            <xdr:rowOff>2</xdr:rowOff>
          </from>
          <to>
            <xdr:col>7</xdr:col>
            <xdr:colOff>15</xdr:colOff>
            <xdr:row>16</xdr:row>
            <xdr:rowOff>2</xdr:rowOff>
          </to>
        </anchor>
      </commentPr>
    </comment>
    <comment ref="F14" authorId="5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Historical!F14.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13</xdr:row>
            <xdr:rowOff>2</xdr:rowOff>
          </from>
          <to>
            <xdr:col>7</xdr:col>
            <xdr:colOff>15</xdr:colOff>
            <xdr:row>17</xdr:row>
            <xdr:rowOff>2</xdr:rowOff>
          </to>
        </anchor>
      </commentPr>
    </comment>
    <comment ref="F15" authorId="5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Historical!F15.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14</xdr:row>
            <xdr:rowOff>2</xdr:rowOff>
          </from>
          <to>
            <xdr:col>7</xdr:col>
            <xdr:colOff>15</xdr:colOff>
            <xdr:row>18</xdr:row>
            <xdr:rowOff>2</xdr:rowOff>
          </to>
        </anchor>
      </commentPr>
    </comment>
  </commentList>
</comments>
</file>

<file path=xl/sharedStrings.xml><?xml version="1.0" encoding="utf-8"?>
<sst xmlns="http://schemas.openxmlformats.org/spreadsheetml/2006/main" count="3620" uniqueCount="1251">
  <si>
    <t>Apple Inc. (AAPL) — 9/10 Re-gated Institutional Model</t>
  </si>
  <si>
    <t>Owner-prepared submission; independent reviewer reproduction is required before certification</t>
  </si>
  <si>
    <t>Model snapshot</t>
  </si>
  <si>
    <t>Legal entity</t>
  </si>
  <si>
    <t>Apple Inc.</t>
  </si>
  <si>
    <t>Ticker</t>
  </si>
  <si>
    <t>AAPL</t>
  </si>
  <si>
    <t>Latest filing</t>
  </si>
  <si>
    <t>2025-09-27 10-K filed 2025-10-31</t>
  </si>
  <si>
    <t>SEC accession</t>
  </si>
  <si>
    <t>0000320193-25-000079</t>
  </si>
  <si>
    <t>Market price</t>
  </si>
  <si>
    <t>Market as-of</t>
  </si>
  <si>
    <t>2026-07-15</t>
  </si>
  <si>
    <t>Active scenario</t>
  </si>
  <si>
    <t>DCF value / share</t>
  </si>
  <si>
    <t>Upside / (downside)</t>
  </si>
  <si>
    <t>Gate decision</t>
  </si>
  <si>
    <t>What changed in the 9/10 re-gate</t>
  </si>
  <si>
    <t>1</t>
  </si>
  <si>
    <t>Replaced generic Sources sheet with target-cell provenance ledger</t>
  </si>
  <si>
    <t>2</t>
  </si>
  <si>
    <t>Replaced generic assumptions with company-specific operating drivers</t>
  </si>
  <si>
    <t>3</t>
  </si>
  <si>
    <t>Scenario selector now changes multiple operating outputs and the DCF</t>
  </si>
  <si>
    <t>4</t>
  </si>
  <si>
    <t>Debt, liquid assets and share-count valuation bridges are explicit</t>
  </si>
  <si>
    <t>5</t>
  </si>
  <si>
    <t>Checks are formula-driven; Gate_9of10 states owner evidence and review status</t>
  </si>
  <si>
    <t>6</t>
  </si>
  <si>
    <t>All original workbook files remain preserved; this is a new derivative output</t>
  </si>
  <si>
    <t>Apple Inc. — Source Provenance Ledger</t>
  </si>
  <si>
    <t>Every populated hardcoded historical or driver input is mapped to a target cell with period, value, unit, taxonomy/locator, accession and exact URL.</t>
  </si>
  <si>
    <t>Source ID</t>
  </si>
  <si>
    <t>Legal Entity</t>
  </si>
  <si>
    <t>Target Cell</t>
  </si>
  <si>
    <t>Metric</t>
  </si>
  <si>
    <t>Period / As-of</t>
  </si>
  <si>
    <t>Reported Value</t>
  </si>
  <si>
    <t>Units</t>
  </si>
  <si>
    <t>Currency</t>
  </si>
  <si>
    <t>Taxonomy / Locator</t>
  </si>
  <si>
    <t>Start</t>
  </si>
  <si>
    <t>End</t>
  </si>
  <si>
    <t>FY / FP</t>
  </si>
  <si>
    <t>Form</t>
  </si>
  <si>
    <t>Filed</t>
  </si>
  <si>
    <t>Accession</t>
  </si>
  <si>
    <t>Exact URL</t>
  </si>
  <si>
    <t>Retrieved</t>
  </si>
  <si>
    <t>Source Class</t>
  </si>
  <si>
    <t>Transform / Mapping</t>
  </si>
  <si>
    <t>Verification</t>
  </si>
  <si>
    <t>Limitation / Disposition</t>
  </si>
  <si>
    <t>Complete?</t>
  </si>
  <si>
    <t>Historical!B5</t>
  </si>
  <si>
    <t>Revenue</t>
  </si>
  <si>
    <t>2021A</t>
  </si>
  <si>
    <t>USD millions</t>
  </si>
  <si>
    <t>USD</t>
  </si>
  <si>
    <t>us-gaap:RevenueFromContractWithCustomerExcludingAssessedTax</t>
  </si>
  <si>
    <t>2020-09-27</t>
  </si>
  <si>
    <t>2021-09-25</t>
  </si>
  <si>
    <t>2023/FY</t>
  </si>
  <si>
    <t>10-K</t>
  </si>
  <si>
    <t>2023-11-03</t>
  </si>
  <si>
    <t>0000320193-23-000106</t>
  </si>
  <si>
    <t>https://www.sec.gov/Archives/edgar/data/320193/000032019323000106/0000320193-23-000106-index.htm</t>
  </si>
  <si>
    <t>2026-07-16</t>
  </si>
  <si>
    <t>Primary - SEC filing / Company Facts</t>
  </si>
  <si>
    <t>USD divided by 1,000,000; sign as presented</t>
  </si>
  <si>
    <t>Matched legal entity, period, form, filed date, accession and target</t>
  </si>
  <si>
    <t>None identified</t>
  </si>
  <si>
    <t>Historical!C5</t>
  </si>
  <si>
    <t>2022A</t>
  </si>
  <si>
    <t>2021-09-26</t>
  </si>
  <si>
    <t>2022-09-24</t>
  </si>
  <si>
    <t>2024/FY</t>
  </si>
  <si>
    <t>2024-11-01</t>
  </si>
  <si>
    <t>0000320193-24-000123</t>
  </si>
  <si>
    <t>https://www.sec.gov/Archives/edgar/data/320193/000032019324000123/0000320193-24-000123-index.htm</t>
  </si>
  <si>
    <t>Historical!D5</t>
  </si>
  <si>
    <t>2023A</t>
  </si>
  <si>
    <t>2022-09-25</t>
  </si>
  <si>
    <t>2023-09-30</t>
  </si>
  <si>
    <t>2025/FY</t>
  </si>
  <si>
    <t>2025-10-31</t>
  </si>
  <si>
    <t>https://www.sec.gov/Archives/edgar/data/320193/000032019325000079/0000320193-25-000079-index.htm</t>
  </si>
  <si>
    <t>Historical!E5</t>
  </si>
  <si>
    <t>2024A</t>
  </si>
  <si>
    <t>2023-10-01</t>
  </si>
  <si>
    <t>2024-09-28</t>
  </si>
  <si>
    <t>Historical!F5</t>
  </si>
  <si>
    <t>2025A</t>
  </si>
  <si>
    <t>2024-09-29</t>
  </si>
  <si>
    <t>2025-09-27</t>
  </si>
  <si>
    <t>Historical!B6</t>
  </si>
  <si>
    <t>Gross profit</t>
  </si>
  <si>
    <t>us-gaap:GrossProfit</t>
  </si>
  <si>
    <t>Historical!C6</t>
  </si>
  <si>
    <t>Historical!D6</t>
  </si>
  <si>
    <t>Historical!E6</t>
  </si>
  <si>
    <t>Historical!F6</t>
  </si>
  <si>
    <t>Historical!B7</t>
  </si>
  <si>
    <t>Operating income / EBIT</t>
  </si>
  <si>
    <t>us-gaap:OperatingIncomeLoss</t>
  </si>
  <si>
    <t>Historical!C7</t>
  </si>
  <si>
    <t>Historical!D7</t>
  </si>
  <si>
    <t>Historical!E7</t>
  </si>
  <si>
    <t>Historical!F7</t>
  </si>
  <si>
    <t>Historical!B8</t>
  </si>
  <si>
    <t>Net income</t>
  </si>
  <si>
    <t>us-gaap:NetIncomeLoss</t>
  </si>
  <si>
    <t>Historical!C8</t>
  </si>
  <si>
    <t>Historical!D8</t>
  </si>
  <si>
    <t>Historical!E8</t>
  </si>
  <si>
    <t>Historical!F8</t>
  </si>
  <si>
    <t>Historical!B9</t>
  </si>
  <si>
    <t>Cash from operations</t>
  </si>
  <si>
    <t>us-gaap:NetCashProvidedByUsedInOperatingActivities</t>
  </si>
  <si>
    <t>Historical!C9</t>
  </si>
  <si>
    <t>Historical!D9</t>
  </si>
  <si>
    <t>Historical!E9</t>
  </si>
  <si>
    <t>Historical!F9</t>
  </si>
  <si>
    <t>Historical!B10</t>
  </si>
  <si>
    <t>Capital expenditures</t>
  </si>
  <si>
    <t>us-gaap:PaymentsToAcquirePropertyPlantAndEquipment</t>
  </si>
  <si>
    <t>Historical!C10</t>
  </si>
  <si>
    <t>Historical!D10</t>
  </si>
  <si>
    <t>Historical!E10</t>
  </si>
  <si>
    <t>Historical!F10</t>
  </si>
  <si>
    <t>Historical!B11</t>
  </si>
  <si>
    <t>Total assets</t>
  </si>
  <si>
    <t>us-gaap:Assets</t>
  </si>
  <si>
    <t>N/A - instant</t>
  </si>
  <si>
    <t>2022/FY</t>
  </si>
  <si>
    <t>2022-10-28</t>
  </si>
  <si>
    <t>0000320193-22-000108</t>
  </si>
  <si>
    <t>https://www.sec.gov/Archives/edgar/data/320193/000032019322000108/0000320193-22-000108-index.htm</t>
  </si>
  <si>
    <t>Historical!C11</t>
  </si>
  <si>
    <t>Historical!D11</t>
  </si>
  <si>
    <t>Historical!E11</t>
  </si>
  <si>
    <t>Historical!F11</t>
  </si>
  <si>
    <t>Historical!B12</t>
  </si>
  <si>
    <t>Shareholders' equity</t>
  </si>
  <si>
    <t>us-gaap:StockholdersEquity</t>
  </si>
  <si>
    <t>Historical!C12</t>
  </si>
  <si>
    <t>Historical!D12</t>
  </si>
  <si>
    <t>Historical!E12</t>
  </si>
  <si>
    <t>Historical!F12</t>
  </si>
  <si>
    <t>Historical!B13</t>
  </si>
  <si>
    <t>Cash and equivalents</t>
  </si>
  <si>
    <t>us-gaap:CashAndCashEquivalentsAtCarryingValue</t>
  </si>
  <si>
    <t>Historical!C13</t>
  </si>
  <si>
    <t>Historical!D13</t>
  </si>
  <si>
    <t>Historical!E13</t>
  </si>
  <si>
    <t>Historical!F13</t>
  </si>
  <si>
    <t>Historical!C14</t>
  </si>
  <si>
    <t>Total debt</t>
  </si>
  <si>
    <t>us-gaap:LongTermDebt</t>
  </si>
  <si>
    <t>Historical!D14</t>
  </si>
  <si>
    <t>Historical!E14</t>
  </si>
  <si>
    <t>Historical!F14</t>
  </si>
  <si>
    <t>Historical!B15</t>
  </si>
  <si>
    <t>Diluted weighted-average shares</t>
  </si>
  <si>
    <t>million shares</t>
  </si>
  <si>
    <t>N/A</t>
  </si>
  <si>
    <t>us-gaap:WeightedAverageNumberOfDilutedSharesOutstanding</t>
  </si>
  <si>
    <t>Shares divided by 1,000,000; sign as presented</t>
  </si>
  <si>
    <t>Historical!C15</t>
  </si>
  <si>
    <t>Historical!D15</t>
  </si>
  <si>
    <t>Historical!E15</t>
  </si>
  <si>
    <t>Historical!F15</t>
  </si>
  <si>
    <t>Historical!B20</t>
  </si>
  <si>
    <t>Share count used in DCF</t>
  </si>
  <si>
    <t>2025-10-17</t>
  </si>
  <si>
    <t>dei:EntityCommonStockSharesOutstanding</t>
  </si>
  <si>
    <t>FY</t>
  </si>
  <si>
    <t>https://www.sec.gov/Archives/edgar/data/320193/0000320193-25-000079-index.htm</t>
  </si>
  <si>
    <t>Shares divided by 1,000,000; used as per-share denominator</t>
  </si>
  <si>
    <t>Point-in-time cover shares; not weighted-average shares</t>
  </si>
  <si>
    <t>Historical!B24</t>
  </si>
  <si>
    <t>MarketableSecuritiesCurrent</t>
  </si>
  <si>
    <t>us-gaap:MarketableSecuritiesCurrent</t>
  </si>
  <si>
    <t>USD divided by 1,000,000; included in DCF liquid assets</t>
  </si>
  <si>
    <t>Policy includes marketable securities as realizable liquid assets</t>
  </si>
  <si>
    <t>Historical!B25</t>
  </si>
  <si>
    <t>MarketableSecuritiesNoncurrent</t>
  </si>
  <si>
    <t>us-gaap:MarketableSecuritiesNoncurrent</t>
  </si>
  <si>
    <t>Sector_KPIs!B5</t>
  </si>
  <si>
    <t>iPhone revenue</t>
  </si>
  <si>
    <t>10-K table:2025 Form 10-K, Net Sales by Reportable Segment and Product</t>
  </si>
  <si>
    <t>Annual period</t>
  </si>
  <si>
    <t>https://www.sec.gov/Archives/edgar/data/320193/000032019325000079/aapl-20250927.htm</t>
  </si>
  <si>
    <t>Reported value transcribed exactly; sign as presented</t>
  </si>
  <si>
    <t>Sector_KPIs!C5</t>
  </si>
  <si>
    <t>Sector_KPIs!D5</t>
  </si>
  <si>
    <t>Sector_KPIs!B6</t>
  </si>
  <si>
    <t>Mac revenue</t>
  </si>
  <si>
    <t>10-K table:2025 Form 10-K, product net sales</t>
  </si>
  <si>
    <t>Sector_KPIs!C6</t>
  </si>
  <si>
    <t>Sector_KPIs!D6</t>
  </si>
  <si>
    <t>Sector_KPIs!B7</t>
  </si>
  <si>
    <t>iPad revenue</t>
  </si>
  <si>
    <t>Sector_KPIs!C7</t>
  </si>
  <si>
    <t>Sector_KPIs!D7</t>
  </si>
  <si>
    <t>Sector_KPIs!B8</t>
  </si>
  <si>
    <t>Wearables, Home &amp; Accessories revenue</t>
  </si>
  <si>
    <t>Sector_KPIs!C8</t>
  </si>
  <si>
    <t>Sector_KPIs!D8</t>
  </si>
  <si>
    <t>Sector_KPIs!B9</t>
  </si>
  <si>
    <t>Services revenue</t>
  </si>
  <si>
    <t>10-K table:2025 Form 10-K, services net sales</t>
  </si>
  <si>
    <t>Sector_KPIs!C9</t>
  </si>
  <si>
    <t>Sector_KPIs!D9</t>
  </si>
  <si>
    <t>Sector_KPIs!B11</t>
  </si>
  <si>
    <t>Products gross profit</t>
  </si>
  <si>
    <t>10-K table:2025 Form 10-K, products and services performance</t>
  </si>
  <si>
    <t>Sector_KPIs!C11</t>
  </si>
  <si>
    <t>Sector_KPIs!D11</t>
  </si>
  <si>
    <t>Sector_KPIs!B12</t>
  </si>
  <si>
    <t>Services gross profit</t>
  </si>
  <si>
    <t>Sector_KPIs!C12</t>
  </si>
  <si>
    <t>Sector_KPIs!D12</t>
  </si>
  <si>
    <t>Sector_KPIs!B13</t>
  </si>
  <si>
    <t>Products gross margin</t>
  </si>
  <si>
    <t>percentage</t>
  </si>
  <si>
    <t>Sector_KPIs!C13</t>
  </si>
  <si>
    <t>Sector_KPIs!D13</t>
  </si>
  <si>
    <t>Sector_KPIs!B14</t>
  </si>
  <si>
    <t>Services gross margin</t>
  </si>
  <si>
    <t>Sector_KPIs!C14</t>
  </si>
  <si>
    <t>Sector_KPIs!D14</t>
  </si>
  <si>
    <t>Sector_KPIs!B15</t>
  </si>
  <si>
    <t>R&amp;D</t>
  </si>
  <si>
    <t>10-K table:2025 Form 10-K, operating expenses</t>
  </si>
  <si>
    <t>Sector_KPIs!C15</t>
  </si>
  <si>
    <t>Sector_KPIs!D15</t>
  </si>
  <si>
    <t>Sector_KPIs!B16</t>
  </si>
  <si>
    <t>SG&amp;A</t>
  </si>
  <si>
    <t>Sector_KPIs!C16</t>
  </si>
  <si>
    <t>Sector_KPIs!D16</t>
  </si>
  <si>
    <t>Sector_KPIs!D17</t>
  </si>
  <si>
    <t>D&amp;A</t>
  </si>
  <si>
    <t>us-gaap:us-gaap:DepreciationDepletionAndAmortization</t>
  </si>
  <si>
    <t>Valuation!G19</t>
  </si>
  <si>
    <t>Market close</t>
  </si>
  <si>
    <t>USD per share</t>
  </si>
  <si>
    <t>Issuer IR:Historical daily close</t>
  </si>
  <si>
    <t>Market data</t>
  </si>
  <si>
    <t>N/A - market data</t>
  </si>
  <si>
    <t>https://investor.apple.com/investor-relations/stock-price/</t>
  </si>
  <si>
    <t>Primary - issuer investor-relations historical stock-price lookup</t>
  </si>
  <si>
    <t>Closing price as displayed; no FX</t>
  </si>
  <si>
    <t>Date and close matched on cited historical-price surface</t>
  </si>
  <si>
    <t>Issuer lookup is interactive; refresh the exact dated close before transaction use</t>
  </si>
  <si>
    <t>Ledger completeness</t>
  </si>
  <si>
    <t>Apple Inc. — Historical Financials</t>
  </si>
  <si>
    <t>SEC 10-K / Company Facts lineage; USD millions except per-share data and shares</t>
  </si>
  <si>
    <t>Bridge policy</t>
  </si>
  <si>
    <t>Latest balance-sheet cash policy</t>
  </si>
  <si>
    <t>Liquid assets used in DCF</t>
  </si>
  <si>
    <t>Debt used in DCF</t>
  </si>
  <si>
    <t>Apple liquid-asset bridge</t>
  </si>
  <si>
    <t>Policy</t>
  </si>
  <si>
    <t>USD m</t>
  </si>
  <si>
    <t>Source</t>
  </si>
  <si>
    <t>Status</t>
  </si>
  <si>
    <t>Included</t>
  </si>
  <si>
    <t>Historical latest balance</t>
  </si>
  <si>
    <t>Formula link</t>
  </si>
  <si>
    <t>Current marketable securities</t>
  </si>
  <si>
    <t>OK</t>
  </si>
  <si>
    <t>Non-current marketable securities</t>
  </si>
  <si>
    <t>Apple Inc. — Scenario Assumptions</t>
  </si>
  <si>
    <t>Selector drives operating revenues/margins and the DCF; blue/amber cells are editable inputs</t>
  </si>
  <si>
    <t>Scenario selector (1 Base / 2 Bull / 3 Bear)</t>
  </si>
  <si>
    <t>Input</t>
  </si>
  <si>
    <t>Formula</t>
  </si>
  <si>
    <t>Assumption</t>
  </si>
  <si>
    <t>Base</t>
  </si>
  <si>
    <t>Bull</t>
  </si>
  <si>
    <t>Bear</t>
  </si>
  <si>
    <t>Active</t>
  </si>
  <si>
    <t>Rationale / evidence</t>
  </si>
  <si>
    <t>iPhone revenue growth</t>
  </si>
  <si>
    <t>%</t>
  </si>
  <si>
    <t>2025 iPhone revenue USD 209,586m; scenario growth driver</t>
  </si>
  <si>
    <t>Mac revenue growth</t>
  </si>
  <si>
    <t>2025 Mac revenue USD 33,708m; scenario growth driver</t>
  </si>
  <si>
    <t>iPad revenue growth</t>
  </si>
  <si>
    <t>2025 iPad revenue USD 28,023m; scenario growth driver</t>
  </si>
  <si>
    <t>Wearables revenue growth</t>
  </si>
  <si>
    <t>2025 Wearables revenue USD 35,686m; scenario growth driver</t>
  </si>
  <si>
    <t>Services revenue growth</t>
  </si>
  <si>
    <t>2025 Services revenue USD 109,158m; scenario growth driver</t>
  </si>
  <si>
    <t>2025 reported products gross margin 36.8%</t>
  </si>
  <si>
    <t>2025 reported services gross margin 75.4%</t>
  </si>
  <si>
    <t>R&amp;D as % revenue</t>
  </si>
  <si>
    <t>2025 R&amp;D USD 34,550m / revenue</t>
  </si>
  <si>
    <t>SG&amp;A as % revenue</t>
  </si>
  <si>
    <t>2025 SG&amp;A USD 27,601m / revenue</t>
  </si>
  <si>
    <t>Cash tax rate</t>
  </si>
  <si>
    <t>Normalized cash tax rate</t>
  </si>
  <si>
    <t>D&amp;A as % revenue</t>
  </si>
  <si>
    <t>Normalized D&amp;A intensity</t>
  </si>
  <si>
    <t>Capex as % revenue</t>
  </si>
  <si>
    <t>Normalized capex intensity</t>
  </si>
  <si>
    <t>NWC investment / revenue growth</t>
  </si>
  <si>
    <t>FCFF working-capital policy</t>
  </si>
  <si>
    <t>WACC</t>
  </si>
  <si>
    <t>DCF discount-rate scenario</t>
  </si>
  <si>
    <t>Terminal growth</t>
  </si>
  <si>
    <t>DCF perpetual-growth scenario</t>
  </si>
  <si>
    <t>Apple Inc. — Operating Forecast</t>
  </si>
  <si>
    <t>Scenario-linked driver build; expense and capex anchors are negative model outflows; USD millions</t>
  </si>
  <si>
    <t>2026E</t>
  </si>
  <si>
    <t>2027E</t>
  </si>
  <si>
    <t>2028E</t>
  </si>
  <si>
    <t>2029E</t>
  </si>
  <si>
    <t>2030E</t>
  </si>
  <si>
    <t>Wearables revenue</t>
  </si>
  <si>
    <t>Total revenue</t>
  </si>
  <si>
    <t>Total gross profit</t>
  </si>
  <si>
    <t>EBIT</t>
  </si>
  <si>
    <t>Cash taxes</t>
  </si>
  <si>
    <t>NOPAT</t>
  </si>
  <si>
    <t>Change in NWC</t>
  </si>
  <si>
    <t>FCFF</t>
  </si>
  <si>
    <t>Apple Inc. — DCF Valuation</t>
  </si>
  <si>
    <t>Unlevered FCFF; liquid-asset and debt bridge policies are explicit</t>
  </si>
  <si>
    <t>DCF item</t>
  </si>
  <si>
    <t>Year 1</t>
  </si>
  <si>
    <t>Year 2</t>
  </si>
  <si>
    <t>Year 3</t>
  </si>
  <si>
    <t>Year 4</t>
  </si>
  <si>
    <t>Year 5</t>
  </si>
  <si>
    <t>Bridge / output</t>
  </si>
  <si>
    <t>Discount period</t>
  </si>
  <si>
    <t>Discount factor</t>
  </si>
  <si>
    <t>Present value of FCFF</t>
  </si>
  <si>
    <t>Terminal value</t>
  </si>
  <si>
    <t>PV of terminal value</t>
  </si>
  <si>
    <t>Enterprise value</t>
  </si>
  <si>
    <t>Liquid assets</t>
  </si>
  <si>
    <t>Debt</t>
  </si>
  <si>
    <t>Equity value</t>
  </si>
  <si>
    <t>Shares outstanding / diluted policy</t>
  </si>
  <si>
    <t>Per-share outputs</t>
  </si>
  <si>
    <t>Apple Inc. — DCF Sensitivity</t>
  </si>
  <si>
    <t>Implied value per share across WACC and terminal-growth assumptions</t>
  </si>
  <si>
    <t>WACC / TGR</t>
  </si>
  <si>
    <t>Central cross-check</t>
  </si>
  <si>
    <t>Active WACC</t>
  </si>
  <si>
    <t>Active TGR</t>
  </si>
  <si>
    <t>Active DCF value/share</t>
  </si>
  <si>
    <t>Apple Inc. — Model Checks</t>
  </si>
  <si>
    <t>Overall status is formula-driven from assertions; source completeness is linked to the provenance ledger</t>
  </si>
  <si>
    <t>Assertion</t>
  </si>
  <si>
    <t>Actual</t>
  </si>
  <si>
    <t>Expected</t>
  </si>
  <si>
    <t>Difference</t>
  </si>
  <si>
    <t>Tolerance</t>
  </si>
  <si>
    <t>Fix hint</t>
  </si>
  <si>
    <t>Source ledger complete</t>
  </si>
  <si>
    <t>Complete every mandatory provenance field</t>
  </si>
  <si>
    <t>Scenario selector valid</t>
  </si>
  <si>
    <t>Set Assumptions!B3 to 1, 2 or 3</t>
  </si>
  <si>
    <t>Forecast revenue positive</t>
  </si>
  <si>
    <t>Inspect revenue-driver formulas</t>
  </si>
  <si>
    <t>Five EBIT periods populated</t>
  </si>
  <si>
    <t>Inspect margin and opex build</t>
  </si>
  <si>
    <t>Five FCFF periods populated</t>
  </si>
  <si>
    <t>Inspect NOPAT, D&amp;A, capex and NWC</t>
  </si>
  <si>
    <t>2025A material forecast-anchor tie</t>
  </si>
  <si>
    <t>Historical inputs are positive as reported; forecast expense/capex anchors are negative model outflows</t>
  </si>
  <si>
    <t>DCF equity bridge</t>
  </si>
  <si>
    <t>Inspect EV, liquid assets and total debt</t>
  </si>
  <si>
    <t>DCF per-share identity</t>
  </si>
  <si>
    <t>Inspect shares bridge</t>
  </si>
  <si>
    <t>Market price positive and sourced</t>
  </si>
  <si>
    <t>Update the dated market source row in Sources</t>
  </si>
  <si>
    <t>Tie-outs históricos y de cobertura (Checks_TieOut)</t>
  </si>
  <si>
    <t>Abrir Checks_TieOut y resolver toda fila en FAIL antes de volver a certificar el gate</t>
  </si>
  <si>
    <t>Overall status</t>
  </si>
  <si>
    <t>Apple Inc. — Company Operating Drivers</t>
  </si>
  <si>
    <t>Company-specific reported driver history; formulas reconcile the model totals to historical revenue where applicable</t>
  </si>
  <si>
    <t>Source / locator</t>
  </si>
  <si>
    <t>2025 Form 10-K, Net Sales by Reportable Segment and Product</t>
  </si>
  <si>
    <t>Reported</t>
  </si>
  <si>
    <t>2025 Form 10-K, product net sales</t>
  </si>
  <si>
    <t>2025 Form 10-K, services net sales</t>
  </si>
  <si>
    <t>Revenue total</t>
  </si>
  <si>
    <t>Sum of categories</t>
  </si>
  <si>
    <t>2025 Form 10-K, products and services performance</t>
  </si>
  <si>
    <t>2025 Form 10-K, operating expenses</t>
  </si>
  <si>
    <t>us-gaap:DepreciationDepletionAndAmortization</t>
  </si>
  <si>
    <t>Apple Inc. — Change Log</t>
  </si>
  <si>
    <t>Re-gating work performed without overwriting the prior workbook</t>
  </si>
  <si>
    <t>Timestamp (UTC)</t>
  </si>
  <si>
    <t>Scope</t>
  </si>
  <si>
    <t>Change</t>
  </si>
  <si>
    <t>Evidence</t>
  </si>
  <si>
    <t>Prior hash</t>
  </si>
  <si>
    <t>Preparer</t>
  </si>
  <si>
    <t>Disposition</t>
  </si>
  <si>
    <t>Build 2026-07-17T02:33:12.208Z</t>
  </si>
  <si>
    <t>Source lineage</t>
  </si>
  <si>
    <t>Added line-item target-cell provenance ledger</t>
  </si>
  <si>
    <t>Sources + SEC Company Facts / 10-K</t>
  </si>
  <si>
    <t>6560d19fbe4cd8919c00bc2f78dfe01eefa7ce0001ba10039ea4da797e7f837a</t>
  </si>
  <si>
    <t>Codex</t>
  </si>
  <si>
    <t>Ready for independent review</t>
  </si>
  <si>
    <t>Operating model</t>
  </si>
  <si>
    <t>Added company-specific revenue and margin drivers</t>
  </si>
  <si>
    <t>Sector_KPIs, Assumptions, Forecast</t>
  </si>
  <si>
    <t>Valuation</t>
  </si>
  <si>
    <t>Rebuilt FCFF DCF, bridge and sensitivity</t>
  </si>
  <si>
    <t>Valuation + Sensitivity</t>
  </si>
  <si>
    <t>Governance</t>
  </si>
  <si>
    <t>Added formula-driven checks and Gate_9of10</t>
  </si>
  <si>
    <t>Checks + Gate_9of10</t>
  </si>
  <si>
    <t>Owner submission only</t>
  </si>
  <si>
    <t>Ola 2 elevation to statement-grade IG: added audited FY2021A-FY2025A IS_Hist/CI_Hist/BS_Hist/CF_Hist/SCE_Hist, Segment_Products (Products/Services schedule), Checks_TieOut (33 tie-outs incl. cross-statement + cash/equity continuity), Sources_Audited, Source_Register. Native currency USD, no FX layer needed. FY2021 SCE roll-forward and FY2021 Products/Services split flagged as sourcing gaps (not in research package). Prior 9of10 sheets left unmodified; Gate_9of10 not re-certified. Root workbook untouched; built via Mog SDK only into the maintainer's archive.</t>
  </si>
  <si>
    <t>Claude (run 24e4a1f1)</t>
  </si>
  <si>
    <t/>
  </si>
  <si>
    <t>Added forecast layer: Fwd_Assumptions (Bear/Base/Bull driver switch, Fwd_Assumptions!B2), Fwd_IS (driver-built IS + simplified capex/D&amp;A/SBC/WC/FCF/capital-return, FY2026E-FY2030E, anchored to FY2025A), Fwd_Summary. PARTIAL scope: no BS/CF forecast tabs, no debt-maturity schedule, no share-price-based buyback share-count solve — flagged in build report as an honest scope limitation, not fabricated detail.</t>
  </si>
  <si>
    <t>Capa de cobertura (2026-08-14): se agregaron Drivers_MDA (drivers de negocio del MD&amp;A y los disclosures, FY2021A-FY2025A: ingresos por categoría de producto, por segmento geográfico, utilidad operativa por segmento con su reconciliación, economía Products vs Services, métricas operativas divulgadas, drivers FX, y declaración explícita de lo que Apple NO divulga) y Market_Package (precio, acciones, market cap, puente a EV, beta, Rf, ERP, costo de deuda, tasa de impuestos, WACC y múltiplos implícitos, cada input con fuente y FECHA). Se agregaron 18 tie-outs nuevos en Checks_TieOut (filas 40-57) y se amplió el rango del gate maestro de H5:H38 a H5:H57 (endurece, no debilita). Cerrada la brecha declarada en Sources_Audited!A11: el split Products/Services de FY2021 se obtuvo del 10-K FY2021. NINGUNA hoja histórica (IS/CI/BS/CF/SCE_Hist, Segment_Products) ni el DCF existente fueron modificados; los hallazgos sobre el puente de deuda y el precio en duro quedan declarados en Market_Package, no corregidos.</t>
  </si>
  <si>
    <t>Claude Opus 5 (capa de cobertura, piloto de flota)</t>
  </si>
  <si>
    <t>Checks_TieOut, Checks, Market_Package, Drivers_MDA y Change_Log</t>
  </si>
  <si>
    <t>Corrección de la revisión adversarial de la capa de cobertura. (1) Los checks 51 a 55 eran tautologías algebraicas —restaban cada celda contra su propia definición— y no podían ponerse rojos: se reconstruyeron contra fuente independiente, recomputando desde insumos primarios y desde los subtotales auditados de BS_Hist, más bandas de plausibilidad contra el precio fechado de Valuation!G19 y el conteo de acciones de BS_Hist!F40. (2) Checks_TieOut no gateaba nada: se agregó la fila Checks!A14:G14 (COUNTIF de FAIL sobre Checks_TieOut!H5:H61) y Checks!F15 pasa de 9 a 10 asserts, de modo que Gate_9of10!B18 cae en REVIEW si cae cualquier tie-out. (3) Kd refrescado de 5.27% fechado como texto a 5.20% con serial 2026-08-13, leído de la serie primaria de FRED BAMLC0A2CAAEY; el control de procedencia ahora exige fecha serial y castiga el desfase (Market_Package B90 reescrito y B92 nuevo). (4) Checks nuevos: 58 (Assumptions!C12 y C13 contra Drivers_MDA!F85 y F86), 59 (cruce geográfico por línea), 60 (márgenes brutos reportados contra calculados) y 61 (bandas de plausibilidad para las constantes sin tie). (5) Drivers_MDA!A145 corregido a "coincide en valor, no enlazado", A133 renombrada como ilustrativa de Americas, y bloque 9 nuevo (A150 a A155) declarando exactamente qué NO está mecanizado. (6) Change_Log: se vaciaron las filas 10 a 12 (duplicados idénticos de la 9); la corrección del conteo de tie-outs (34, no 33) vive hoy en la fila 16, en sus columnas correctas</t>
  </si>
  <si>
    <t>Informe de revisión adversarial 2026-08-14. Pruebas de instrumento con defectos plantados sobre copias en scratchpad: precio 1.00, Rf 99%, BS_Hist!F24 a 1000, BS_Hist!F7 corrupto, Drivers_MDA!F33 a 60000, F87 a 99%, F94 a 1, F96 a 999999, F119 a 999999, permutación de F31 con F32, y D34 devuelto a texto</t>
  </si>
  <si>
    <t>11b1dbde2e38ed3654ee5ae5197b23d4c7269c59007f781943ecdc6d2d9ad75a</t>
  </si>
  <si>
    <t>Claude Opus 5 (corrección de auditoría)</t>
  </si>
  <si>
    <t>Instrumento probado: cada check tocado cae en FAIL ante su defecto y el gate se pone en REVIEW. El archivo activo queda sano</t>
  </si>
  <si>
    <t>Change_Log fila 9</t>
  </si>
  <si>
    <t>CORRECCIÓN: la entrada de la fila 9 dice "33 tie-outs" y la cifra correcta es 34 — el rango original era H5:H38, 34 filas de status, las 34 en PASS. Las filas 10 a 12 eran duplicados idénticos de esa misma entrada y se vaciaron. Esta nota vivía en D9 (columna Evidence); se movió aquí, a la columna Change, según el encabezado A4:G4</t>
  </si>
  <si>
    <t>Conteo de filas de status del rango original Checks_TieOut!H5:H38</t>
  </si>
  <si>
    <t>Claude (ronda 3, segunda verificación)</t>
  </si>
  <si>
    <t>Nota de corrección; la fila 9 original se conserva intacta</t>
  </si>
  <si>
    <t>Checks_TieOut (51 a 56), Market_Package (bloque 8 de anclas, control de procedencia, notas), Drivers_MDA (A150:A155), Checks!A14, Gate_9of10!F17, Change_Log</t>
  </si>
  <si>
    <t>Ronda 3 — cierre de la segunda verificación. (1) Checks 51 a 53 re-anclados a un vintage DISTINTO: el 10-Q Q3 FY2026 (accn 0000320193-26-000020, radicado el 2026-07-31) trae el balance al 2026-06-27 y la columna comparativa al 2025-09-27; ambas vivas como constantes fechadas (B82/B83 y el bloque 8 nuevo, B104/B105). El 52 exige tie exacto de B17 contra B104 y banda de ±15% contra B82; el 53 conserva el puente del papel comercial (H1), exige tie exacto de B21 contra B105 y banda de ±25% contra B83 (la deriva real ya es +17.0%, una banda de ±10% caería en rojo con el libro sano); el 51 recomputa el EV con esas anclas. Se ELIMINARON los términos que la verificación probó redundantes (52 ≡ checks 14+15; 53 término 1 ≡ 17+18; 51 término 1 ≡ 0; 54 término 1 ≡ 0): lo que caza son las bandas y las anclas, no la "reconstrucción". (2) Bandas realistas: acciones de ±10% a ±3% (los buybacks retiran ~3%/año; 15,300 ahora cae en FAIL), precio de ±50% a ±25% (un error de precio dentro de banda es indetectable sin feed vivo — declarado). (3) Frescura ABSOLUTA: B92 suma un término contra HOY()−10; un paquete uniformemente obsoleto (las cuatro fechas en enero) ahora cae en FAIL. (4) El 54 conserva las bandas y gana la guardia del enlace vivo de la tasa efectiva (B37 tecleada en duro cae). (5) Notas de honestidad reescritas (Drivers_MDA A150:A155, checks 51 a 61): el mérito es de las bandas, las anclas de vintage distinto y los ties de suma; lo indetectable queda declarado, no tapado. (6) Tildes corregidas en las 26 celdas señaladas por la verificación. (7) Gate_9of10!F17: nota de que B16/B17 son decorativos (C5:C14 son constantes). Ninguna hoja histórica se tocó</t>
  </si>
  <si>
    <t>10-Q Q3 FY2026, balance condensado R4 (EDGAR, accn 0000320193-26-000020); informe de la segunda verificación 2026-08-14; pruebas con defectos plantados sobre copia en scratchpad (tabla en el informe de la ronda 3)</t>
  </si>
  <si>
    <t>6adb623eaa77a910e8ed018f057c338e01f2554721f777c5bc3fe3ce53763869</t>
  </si>
  <si>
    <t>Instrumento re-probado: los defectos originales siguen cayendo, acciones 15,300 y fechas de enero ahora caen, libro sano 100% PASS</t>
  </si>
  <si>
    <t>Apple Inc. — Gate 9/10 Owner Submission</t>
  </si>
  <si>
    <t>Independent review is a separate role; this sheet does not self-certify the workbook</t>
  </si>
  <si>
    <t>Gate</t>
  </si>
  <si>
    <t>Weight</t>
  </si>
  <si>
    <t>Owner status</t>
  </si>
  <si>
    <t>Blocker class</t>
  </si>
  <si>
    <t>Exact evidence range</t>
  </si>
  <si>
    <t>Native / visual evidence</t>
  </si>
  <si>
    <t>Independent action</t>
  </si>
  <si>
    <t>Notes</t>
  </si>
  <si>
    <t>H0 Controlled lineage / package</t>
  </si>
  <si>
    <t>PASS</t>
  </si>
  <si>
    <t>Change_Log!A4:G8; final .xlsx</t>
  </si>
  <si>
    <t>Prior hash preserved; OOXML integrity PASS 2026-07-17T02:36:50.230Z</t>
  </si>
  <si>
    <t>Reproduce lineage and package test</t>
  </si>
  <si>
    <t>Final JSON carries prior and final hashes</t>
  </si>
  <si>
    <t>H1 Source fidelity</t>
  </si>
  <si>
    <t>Sources!A4:V500</t>
  </si>
  <si>
    <t>SEC target-cell ledger + formula completeness</t>
  </si>
  <si>
    <t>Sample and reproduce ledger mappings</t>
  </si>
  <si>
    <t>Every populated hardcoded historical/driver cell mapped</t>
  </si>
  <si>
    <t>H2 Historical / formula / schedule mechanics</t>
  </si>
  <si>
    <t>Historical!A4:F26; Forecast!A4:G30</t>
  </si>
  <si>
    <t>Five-year historicals and formula-driven operating build</t>
  </si>
  <si>
    <t>Reperform historical and forecast ties</t>
  </si>
  <si>
    <t>Reported values preserved; forecast cells formula-driven</t>
  </si>
  <si>
    <t>H3 Scenario / sensitivity</t>
  </si>
  <si>
    <t>Assumptions!A3:G30; Sensitivity!A4:G14</t>
  </si>
  <si>
    <t>Base/Bull/Bear selector + dynamic DCF sensitivity</t>
  </si>
  <si>
    <t>Perturb selector 1/2/3 and reset to 1</t>
  </si>
  <si>
    <t>Evidence JSON records exact outputs</t>
  </si>
  <si>
    <t>H4 Valuation fit / mechanics</t>
  </si>
  <si>
    <t>Valuation!A4:G21; Historical!A17:F26</t>
  </si>
  <si>
    <t>FCFF, bridge and per-share DCF</t>
  </si>
  <si>
    <t>Reperform DCF and balance-sheet bridge</t>
  </si>
  <si>
    <t>Debt/liquid asset/share policies explicit</t>
  </si>
  <si>
    <t>H5 Checks / error state</t>
  </si>
  <si>
    <t>Checks!A4:G14</t>
  </si>
  <si>
    <t>Formula-driven checks OK and zero formula-error matches 2026-07-17T02:33:53.917Z</t>
  </si>
  <si>
    <t>Reproduce checks and formula-error scan</t>
  </si>
  <si>
    <t>Final scan repeated after gate promotion</t>
  </si>
  <si>
    <t>H6 Native recalc / reproducibility</t>
  </si>
  <si>
    <t>LibreOfficeDev 26.8.0.0.alpha0 2c87e51eeaa2b413ff4ae097b2705eea1995d8e5; save/reopen completed 2026-07-17T02:33:53.917Z</t>
  </si>
  <si>
    <t>Reopen and reproduce in native engine</t>
  </si>
  <si>
    <t>Final recalc repeated after gate promotion; evidence JSON carries hashes</t>
  </si>
  <si>
    <t>H7 Post-recalc all-sheet visual QA</t>
  </si>
  <si>
    <t>internal QA evidence (not published)</t>
  </si>
  <si>
    <t>All 11 sheets rendered in preflight 2026-07-17T02:33:53.917Z; final render repeated after promotion</t>
  </si>
  <si>
    <t>Inspect preview manifest</t>
  </si>
  <si>
    <t>Final JSON carries per-sheet manifest</t>
  </si>
  <si>
    <t>H8 Material economic upgrade</t>
  </si>
  <si>
    <t>Sector_KPIs!A4:G40; Assumptions!A6:G30; Forecast!A4:G30</t>
  </si>
  <si>
    <t>Company-specific driver and margin build</t>
  </si>
  <si>
    <t>Challenge economic usefulness</t>
  </si>
  <si>
    <t>No relabel-only sector shell</t>
  </si>
  <si>
    <t>H9 Governance / limitations / handoff</t>
  </si>
  <si>
    <t>Change_Log!A4:G8; Gate_9of10!A4:H26</t>
  </si>
  <si>
    <t>Owner/reviewer separation and limitations explicit</t>
  </si>
  <si>
    <t>Assign independent reviewer</t>
  </si>
  <si>
    <t>No self-certification; evidence JSON is handoff surface</t>
  </si>
  <si>
    <t>Owner score</t>
  </si>
  <si>
    <t>Decision</t>
  </si>
  <si>
    <t>NOTA (2026-08-14, ronda 3): B16 y B17 son decorativos — C5:C14 son constantes "PASS" tecleadas, así que el puntaje del owner siempre da 100 y esta decisión nunca cambia sola; en 14 defectos plantados no se movió. La única señal viva de esta hoja es B18 (=Checks!F15). No citar B16/B17 como evidencia de salud. Preexistente: se declara y no se corrige para no tocar un output ya gateado</t>
  </si>
  <si>
    <t>Overall model status</t>
  </si>
  <si>
    <t>Native recalculation / review metadata</t>
  </si>
  <si>
    <t>Build timestamp UTC</t>
  </si>
  <si>
    <t>Required native engine</t>
  </si>
  <si>
    <t>LibreOfficeDev 26.8.0.0.alpha0 2c87e51eeaa2b413ff4ae097b2705eea1995d8e5</t>
  </si>
  <si>
    <t>Final native timestamp</t>
  </si>
  <si>
    <t>Native preflight 2026-07-17T02:33:53.917Z; final recalc after promotion 2026-07-17T02:36:51.597Z</t>
  </si>
  <si>
    <t>Visual manifest</t>
  </si>
  <si>
    <t>Evidence manifest</t>
  </si>
  <si>
    <t>Independent certification</t>
  </si>
  <si>
    <t>Not performed by owner-preparer</t>
  </si>
  <si>
    <t>Apple Inc. — Consolidated Statements of Operations (audited, published constants)</t>
  </si>
  <si>
    <t>USD millions except per-share data and share counts (thousands). FY2021 per FY2021 10-K; FY2022-24 per FY2024 10-K; FY2025 per FY2025 10-K.</t>
  </si>
  <si>
    <t>Line item</t>
  </si>
  <si>
    <t>FY2021A</t>
  </si>
  <si>
    <t>FY2022A</t>
  </si>
  <si>
    <t>FY2023A</t>
  </si>
  <si>
    <t>FY2024A</t>
  </si>
  <si>
    <t>FY2025A</t>
  </si>
  <si>
    <t>Note ref</t>
  </si>
  <si>
    <t>Net sales — Products</t>
  </si>
  <si>
    <t>Segment; Rev</t>
  </si>
  <si>
    <t>Net sales — Services</t>
  </si>
  <si>
    <t>Total net sales</t>
  </si>
  <si>
    <t>Rev</t>
  </si>
  <si>
    <t>Cost of sales — Products</t>
  </si>
  <si>
    <t>Cost of sales — Services</t>
  </si>
  <si>
    <t>Total cost of sales</t>
  </si>
  <si>
    <t>IS</t>
  </si>
  <si>
    <t>Gross margin</t>
  </si>
  <si>
    <t>Operating expenses</t>
  </si>
  <si>
    <t>Research and development</t>
  </si>
  <si>
    <t>Selling, general and administrative</t>
  </si>
  <si>
    <t>Total operating expenses</t>
  </si>
  <si>
    <t>Operating income</t>
  </si>
  <si>
    <t>Other income/(expense), net</t>
  </si>
  <si>
    <t>Income before provision for income taxes</t>
  </si>
  <si>
    <t>Provision for income taxes</t>
  </si>
  <si>
    <t>Basic EPS ($/sh)</t>
  </si>
  <si>
    <t>Diluted EPS ($/sh)</t>
  </si>
  <si>
    <t>Basic weighted-avg shares (000)</t>
  </si>
  <si>
    <t>Diluted weighted-avg shares (000)</t>
  </si>
  <si>
    <t>Apple Inc. — Consolidated Statements of Comprehensive Income (audited)</t>
  </si>
  <si>
    <t>USD millions. FY2021 OCI detail not broken out in this source package (net income only); FY2022-25 per FY2024/FY2025 10-Ks.</t>
  </si>
  <si>
    <t>Change in foreign currency translation, net of tax</t>
  </si>
  <si>
    <t>Change in fair value of derivative instruments</t>
  </si>
  <si>
    <t>Adjustment for net (gains)/losses realized, derivatives</t>
  </si>
  <si>
    <t>Total unrealized gain/(loss) on derivatives</t>
  </si>
  <si>
    <t>Change in fair value of marketable debt securities</t>
  </si>
  <si>
    <t>Adjustment for net (gains)/losses realized, securities</t>
  </si>
  <si>
    <t>Total unrealized gain/(loss) on marketable debt securities</t>
  </si>
  <si>
    <t>Total other comprehensive income/(loss)</t>
  </si>
  <si>
    <t>Total comprehensive income</t>
  </si>
  <si>
    <t>Apple Inc. — Consolidated Balance Sheets (audited)</t>
  </si>
  <si>
    <t>USD millions, as of fiscal year-end (last Saturday of September). Same source basis as IS_Hist.</t>
  </si>
  <si>
    <t>Current assets</t>
  </si>
  <si>
    <t>Cash and cash equivalents</t>
  </si>
  <si>
    <t>BS</t>
  </si>
  <si>
    <t>Marketable securities (current)</t>
  </si>
  <si>
    <t>Accounts receivable, net</t>
  </si>
  <si>
    <t>Vendor non-trade receivables</t>
  </si>
  <si>
    <t>Inventories</t>
  </si>
  <si>
    <t>Other current assets</t>
  </si>
  <si>
    <t>Total current assets</t>
  </si>
  <si>
    <t>Non-current assets</t>
  </si>
  <si>
    <t>Marketable securities (non-current)</t>
  </si>
  <si>
    <t>Property, plant and equipment, net</t>
  </si>
  <si>
    <t>Other non-current assets</t>
  </si>
  <si>
    <t>Total non-current assets</t>
  </si>
  <si>
    <t>Current liabilities</t>
  </si>
  <si>
    <t>Accounts payable</t>
  </si>
  <si>
    <t>Other current liabilities</t>
  </si>
  <si>
    <t>Deferred revenue</t>
  </si>
  <si>
    <t>Commercial paper</t>
  </si>
  <si>
    <t>Term debt (current)</t>
  </si>
  <si>
    <t>Total current liabilities</t>
  </si>
  <si>
    <t>Non-current liabilities</t>
  </si>
  <si>
    <t>Term debt (non-current)</t>
  </si>
  <si>
    <t>Other non-current liabilities</t>
  </si>
  <si>
    <t>Total non-current liabilities</t>
  </si>
  <si>
    <t>Total liabilities</t>
  </si>
  <si>
    <t>Common stock and additional paid-in capital</t>
  </si>
  <si>
    <t>Retained earnings/(Accumulated deficit)</t>
  </si>
  <si>
    <t>Accumulated other comprehensive income/(loss)</t>
  </si>
  <si>
    <t>Total shareholders' equity</t>
  </si>
  <si>
    <t>Total liabilities and shareholders' equity</t>
  </si>
  <si>
    <t>Common shares outstanding, period-end (000)</t>
  </si>
  <si>
    <t>Apple Inc. — Consolidated Statements of Cash Flows (audited)</t>
  </si>
  <si>
    <t>USD millions. Same source basis as IS_Hist. Signs as published (outflows negative).</t>
  </si>
  <si>
    <t>Cash, cash equiv. and restricted cash, beginning balance</t>
  </si>
  <si>
    <t>CF</t>
  </si>
  <si>
    <t>Operating activities</t>
  </si>
  <si>
    <t>Depreciation and amortization</t>
  </si>
  <si>
    <t>Share-based compensation expense</t>
  </si>
  <si>
    <t>Other (FY21: derived residual — see Sources_Audited)</t>
  </si>
  <si>
    <t>CF*</t>
  </si>
  <si>
    <t>Changes in operating assets and liabilities</t>
  </si>
  <si>
    <t>Other current and non-current assets</t>
  </si>
  <si>
    <t>Other current and non-current liabilities</t>
  </si>
  <si>
    <t>Cash generated by operating activities</t>
  </si>
  <si>
    <t>Investing activities</t>
  </si>
  <si>
    <t>Purchases of marketable securities</t>
  </si>
  <si>
    <t>Proceeds from maturities of marketable securities</t>
  </si>
  <si>
    <t>Proceeds from sales of marketable securities</t>
  </si>
  <si>
    <t>Payments for acquisition of property, plant and equipment</t>
  </si>
  <si>
    <t>Other (investing) (FY21: derived residual — see Sources_Audited)</t>
  </si>
  <si>
    <t>Cash generated by/(used in) investing activities</t>
  </si>
  <si>
    <t>Financing activities</t>
  </si>
  <si>
    <t>Payments for taxes related to net share settlement of equity awards</t>
  </si>
  <si>
    <t>Payments for dividends and dividend equivalents</t>
  </si>
  <si>
    <t>Repurchases of common stock</t>
  </si>
  <si>
    <t>Proceeds from issuance of term debt, net</t>
  </si>
  <si>
    <t>Repayments of term debt</t>
  </si>
  <si>
    <t>Proceeds from/(Repayments of) commercial paper, net</t>
  </si>
  <si>
    <t>Other (financing) (FY21: derived residual — see Sources_Audited)</t>
  </si>
  <si>
    <t>Cash used in financing activities</t>
  </si>
  <si>
    <t>Increase/(Decrease) in cash, cash equiv. and restricted cash</t>
  </si>
  <si>
    <t>Cash, cash equiv. and restricted cash, ending balance</t>
  </si>
  <si>
    <t>Cash paid for income taxes, net (supplemental)</t>
  </si>
  <si>
    <t>Apple Inc. — Consolidated Statements of Shareholders' Equity (audited, roll-forward)</t>
  </si>
  <si>
    <t>USD millions. FY2021 roll-forward detail not in this source package (SCE statement for FY2021 not pulled); FY2021 shown as period-end snapshot only. FY2022-25 per FY2024/FY2025 10-Ks (SCE tab / R7).</t>
  </si>
  <si>
    <t>Beginning balance (start of FY)</t>
  </si>
  <si>
    <t>Common stock issued</t>
  </si>
  <si>
    <t>Common stock withheld, net share settlement — APIC</t>
  </si>
  <si>
    <t>Common stock withheld, net share settlement — Retained earnings</t>
  </si>
  <si>
    <t>Share-based compensation (APIC)</t>
  </si>
  <si>
    <t>Dividends and dividend equivalents declared</t>
  </si>
  <si>
    <t>Common stock repurchased (retained earnings)</t>
  </si>
  <si>
    <t>Other comprehensive income/(loss)</t>
  </si>
  <si>
    <t>Ending balance (end of FY)</t>
  </si>
  <si>
    <t>Dividend declared per share ($)</t>
  </si>
  <si>
    <t>Apple Inc. — Net sales and cost of sales by category (Products / Services)</t>
  </si>
  <si>
    <t>USD millions. Source: Revenue note, FY2024 10-K (FY22-24) and FY2025 10-K R3 (FY23-25). FY2021 category split not available in this source package.</t>
  </si>
  <si>
    <t>Products — Net sales</t>
  </si>
  <si>
    <t>Products — Cost of sales</t>
  </si>
  <si>
    <t>Products — Gross margin (calc)</t>
  </si>
  <si>
    <t>Services — Net sales</t>
  </si>
  <si>
    <t>Services — Cost of sales</t>
  </si>
  <si>
    <t>Services — Gross margin (calc)</t>
  </si>
  <si>
    <t>Products % of total net sales (calc)</t>
  </si>
  <si>
    <t>Services % of total net sales (calc)</t>
  </si>
  <si>
    <t>Tie-out checks — Apple audited historical statements FY2021-FY2025 (USD millions; deltas must be 0, tol 0.5 abs except EPS tol 0.02)</t>
  </si>
  <si>
    <t>MASTER</t>
  </si>
  <si>
    <t>Conteo mecanizado</t>
  </si>
  <si>
    <t>Check</t>
  </si>
  <si>
    <t>Applicable years</t>
  </si>
  <si>
    <t>IS: Total net sales = Products + Services</t>
  </si>
  <si>
    <t>C,D,E,F</t>
  </si>
  <si>
    <t>IS: Total COGS = Products + Services</t>
  </si>
  <si>
    <t>IS: Gross margin = Sales − COGS</t>
  </si>
  <si>
    <t>B,C,D,E,F</t>
  </si>
  <si>
    <t>IS: Total opex = R&amp;D + SG&amp;A</t>
  </si>
  <si>
    <t>IS: Operating income = Gross margin − Opex</t>
  </si>
  <si>
    <t>IS: PBT = Operating income + Other income/(expense)</t>
  </si>
  <si>
    <t>IS: NI = PBT − tax</t>
  </si>
  <si>
    <t>IS: Diluted EPS = NI / diluted shares (000mm-consistent, tol 0.02)</t>
  </si>
  <si>
    <t>CI: TCI = NI + OCI</t>
  </si>
  <si>
    <t>BS: Total current assets = sum of components</t>
  </si>
  <si>
    <t>BS: Total non-current assets = sum of components</t>
  </si>
  <si>
    <t>BS: Total assets = CA + NCA</t>
  </si>
  <si>
    <t>BS: Total current liabilities = sum of components</t>
  </si>
  <si>
    <t>BS: Total non-current liabilities = sum of components</t>
  </si>
  <si>
    <t>BS: Total liabilities = CL + NCL</t>
  </si>
  <si>
    <t>BS: Total equity = sum of components</t>
  </si>
  <si>
    <t>BS: TL&amp;E = TL + TE</t>
  </si>
  <si>
    <t>BS: Balance (TA − TL&amp;E)</t>
  </si>
  <si>
    <t>CF: CFO = NI + D&amp;A + SBC + Other + WC changes</t>
  </si>
  <si>
    <t>CF: CFI = sum of investing lines</t>
  </si>
  <si>
    <t>CF: CFF = sum of financing lines</t>
  </si>
  <si>
    <t>CF: Net change = CFO + CFI + CFF</t>
  </si>
  <si>
    <t>CF: Ending cash = beginning + net change</t>
  </si>
  <si>
    <t>X: CF NI = IS NI</t>
  </si>
  <si>
    <t>SCE: Ending = Beginning + NI + issuance + withheld + SBC + div + buyback + OCI (FY22-25)</t>
  </si>
  <si>
    <t>X: SCE ending equity = BS equity (all years)</t>
  </si>
  <si>
    <t>SCE: Beginning FY2022A = Ending FY2021A</t>
  </si>
  <si>
    <t>C</t>
  </si>
  <si>
    <t>SCE: Beginning FY2023A = Ending FY2022A</t>
  </si>
  <si>
    <t>D</t>
  </si>
  <si>
    <t>SCE: Beginning FY2024A = Ending FY2023A</t>
  </si>
  <si>
    <t>E</t>
  </si>
  <si>
    <t>SCE: Beginning FY2025A = Ending FY2024A</t>
  </si>
  <si>
    <t>F</t>
  </si>
  <si>
    <t>CF: Beginning cash FY2022A = Ending cash FY2021A</t>
  </si>
  <si>
    <t>CF: Beginning cash FY2023A = Ending cash FY2022A</t>
  </si>
  <si>
    <t>CF: Beginning cash FY2024A = Ending cash FY2023A</t>
  </si>
  <si>
    <t>CF: Beginning cash FY2025A = Ending cash FY2024A</t>
  </si>
  <si>
    <t>COBERTURA — drivers de negocio (Drivers_MDA) y paquete de mercado (Market_Package), agregados 2026-08-14</t>
  </si>
  <si>
    <t>DRV: Ingresos por categoría de producto suman al total de ventas netas</t>
  </si>
  <si>
    <t>DRV: Ingresos por segmento reportable (geografía) suman al total de ventas netas</t>
  </si>
  <si>
    <t>DRV: Utilidad operativa de segmentos − R&amp;D − gasto corporativo = utilidad operativa consolidada</t>
  </si>
  <si>
    <t>DRV: Products + Services (ventas netas) = total de ventas netas (FY2021 incluido)</t>
  </si>
  <si>
    <t>DRV: Products + Services (costo de ventas) = total costo de ventas</t>
  </si>
  <si>
    <t>DRV: Margen bruto Products + Services = margen bruto del estado de resultados</t>
  </si>
  <si>
    <t>DRV: Long-lived assets por país = PP&amp;E neto del balance</t>
  </si>
  <si>
    <t>DRV: Ventas netas por país = total de ventas netas</t>
  </si>
  <si>
    <t>DRV: Drivers_MDA FY2022A-FY2025A coincide con Segment_Products (Products/Services, ventas y costo)</t>
  </si>
  <si>
    <t>DRV: Sector_KPIs FY2023A-FY2025A coincide con Drivers_MDA por categoría de producto</t>
  </si>
  <si>
    <t>D,E,F</t>
  </si>
  <si>
    <t>FCST: anclas FY2025A de Forecast!B5:B9 = Drivers_MDA FY2025A por categoría</t>
  </si>
  <si>
    <t>MKT: enterprise value contra un ancla de vintage DISTINTO — B23 debe coincidir exactamente con precio x acciones más la deuda y menos la caja de la columna comparativa del 10-Q Q3 FY2026 (Market_Package!B105 y B104, constantes tecleadas del filing, independientes de BS_Hist); además el EV debe ser positivo y quedar dentro de ±25% del EV construido con el precio fechado independiente de Valuation!G19. El término anterior de "reconstrucción desde insumos primarios" era algebraicamente idéntico a cero y se eliminó: lo que caza son el ancla y las bandas. F es el conteo de incumplimientos; 0 significa todos OK</t>
  </si>
  <si>
    <t>MKT: efectivo e inversiones del paquete (B17, balance FY2025A) — tie EXACTO contra el ancla de vintage distinto (Market_Package!B104, caja al 2025-09-27 según la columna comparativa del 10-Q Q3 FY2026) y banda de ±15% contra la caja al 2026-06-27 (B82): la caja se mueve trimestre a trimestre y la deriva real observada es −9.6%. El término anterior de "reconstrucción desde subtotales" era algebraicamente idéntico a los checks 14 y 15 y se eliminó. F es el conteo de incumplimientos</t>
  </si>
  <si>
    <t>MKT: deuda bruta del paquete (B21) — (1) la brecha contra la deuda que usa el DCF (Historical!F14, vía B24) debe ser exactamente el papel comercial derivado de los subtotales auditados: mecaniza el hallazgo H1; (2) tie EXACTO contra el ancla de vintage distinto (Market_Package!B105, deuda al 2025-09-27 según la columna comparativa del 10-Q Q3 FY2026); (3) banda de ±25% contra la deuda al 2026-06-27 (B83) — la deriva real FY2025A→Q3 FY2026 ya es +17.0% porque Apple retiró papel comercial y deuda a término, así que una banda más angosta caería en rojo con el libro sano; el control fino es el tie exacto del término 2. El término anterior de "reconstrucción desde subtotales" era algebraicamente idéntico a los checks 17 y 18 y se eliminó. F es el conteo de incumplimientos</t>
  </si>
  <si>
    <t>MKT: costo de capital — guardia del enlace vivo de la tasa efectiva (B37 debe ser exactamente IS_Hist!F19/IS_Hist!F18: una tasa tecleada en duro cae) más BANDAS DE PLAUSIBILIDAD para Rf [0.5%, 12%], beta [0.3x, 2.5x], Kd [1%, 15%] y el WACC resultante [4%, 20%]. El término anterior de "reconstrucción del WACC" era algebraicamente idéntico a cero y se eliminó: lo que caza los defectos son las bandas, y una cifra plausible y equivocada dentro de banda pasa igual — limitación declarada. F es el conteo de incumplimientos</t>
  </si>
  <si>
    <t>MKT: precio, acciones y capitalización — el cableado (B11 debe ser el producto de B7 por B8), el precio dentro de ±25% del precio fechado independiente de Valuation!G19, y el conteo de acciones dentro de ±3% del conteo auditado de BS_Hist!F40 (los buybacks de Apple retiran ~3% del float al año; una deriva mayor es señal de error, no de recompra). Un error de precio DENTRO de la banda de ±25% es indetectable sin un feed vivo de mercado — limitación declarada, no tapada. F es el conteo de incumplimientos</t>
  </si>
  <si>
    <t>MKT: procedencia de los inputs de mercado — fuente presente, FECHA presente y con serial válido, desfase relativo no mayor a 5 días entre los inputs de cotización diaria, y frescura ABSOLUTA: si la observación más reciente del paquete es anterior a HOY()−10 al recalcular, cae en FAIL. 0 significa completo</t>
  </si>
  <si>
    <t>MKT: activos líquidos del paquete = los usados hoy en el DCF (Historical!B18)</t>
  </si>
  <si>
    <t>XREF: Assumptions!C12 y C13 (margen bruto Products y Services del escenario Base) coinciden EN VALOR con Drivers_MDA!F85 y F86; no están enlazadas por fórmula y este check es el único vínculo mecanizado entre ambas</t>
  </si>
  <si>
    <t>DRV: cruce por línea geográfica contra una fuente independiente — Greater China (segmento reportable, fila 33) contra China (país, fila 107; Apple define China incluyendo Hong Kong y Taiwán), exacto; y U.S. (país, fila 106) dentro del 75% al 95% de Americas (segmento, fila 31). Caza las permutaciones que tocan China o U.S.; cualquier otra (por ejemplo Europe con Japan, o una redistribución que conserve la suma) sigue pasando — límite declarado en Drivers_MDA!A154</t>
  </si>
  <si>
    <t>DRV: márgenes brutos REPORTADOS (Drivers_MDA filas 85, 86 y 87) contra los calculados desde las cifras auditadas, con tolerancia 0.001 porque el filing los publica redondeados a 0.1pp. Mecaniza tres de las constantes que antes no tenían tie</t>
  </si>
  <si>
    <t>DRV: BANDAS DE PLAUSIBILIDAD (esto NO es un tie) para las constantes sin tie mecanizado — empleados (fila 94), saldo de deferred revenue (96), reconocido del deferred revenue inicial (98), notionales FX (114 y 115), notional de tasa (118) y VAR FX (119). Caza un valor absurdo, pero NO verifica la cifra: una cifra plausible y equivocada pasa igual (probado: empleados +12.7% pasa). La verificación contra el filing sigue siendo manual</t>
  </si>
  <si>
    <t>Audited source register — Apple Inc. consolidated financial statements (SEC EDGAR, CIK 0000320193)</t>
  </si>
  <si>
    <t>Model year</t>
  </si>
  <si>
    <t>Primary filing (form / period / accession)</t>
  </si>
  <si>
    <t>R-file / evidence path</t>
  </si>
  <si>
    <t>XBRL tag basis (representative)</t>
  </si>
  <si>
    <t>Cross-check</t>
  </si>
  <si>
    <t>10-K FY ended 2021-09-25, filed 2021-10-29, accn 0000320193-21-000105</t>
  </si>
  <si>
    <t>companyfacts.json (us-gaap tags, frame CY2021/FY2021, form=10-K, filed 2021-10-29)</t>
  </si>
  <si>
    <t>us-gaap:RevenueFromContractWithCustomerExcludingAssessedTax, :Assets, :StockholdersEquity, :NetCashProvidedByUsedInOperatingActivities, etc.</t>
  </si>
  <si>
    <t>BS balances (Assets=Liab+Equity) verified at extraction; CF detail verified vs NetCash*Activities aggregate tags</t>
  </si>
  <si>
    <t>10-K FY ended 2022-09-24, filed as comparative in 10-K FY2024 (accn 0000320193-24-000123); primary filing accn 0000320193-22-000108</t>
  </si>
  <si>
    <t>10-K_2024-09-28_Financial_Report.xlsx tabs: CONSOLIDATED STATEMENTS OF OPER/COMP/CASH, BALANCE SHEETS, SHAR (equity)</t>
  </si>
  <si>
    <t>Statement line items as tagged/rendered in FY2024 10-K R-report; matches companyfacts FY2022 duration/instant facts</t>
  </si>
  <si>
    <t>Cross-checked vs companyfacts.json FY2022 facts (accn 0000320193-22-000108) — all match to the dollar</t>
  </si>
  <si>
    <t>10-K FY ended 2023-09-30, filed as comparative in 10-K FY2024 (accn 0000320193-24-000123) and FY2025 (accn 0000320193-25-000079)</t>
  </si>
  <si>
    <t>10-K_2024-09-28_Financial_Report.xlsx (primary) + 10-K_2025-09-27_Rfiles/R3-R8 (secondary confirmation)</t>
  </si>
  <si>
    <t>Statement line items; both filings agree to the dollar on FY2023 comparatives</t>
  </si>
  <si>
    <t>Cross-filing agreement FY2024 10-K vs FY2025 10-K confirmed for IS/BS/CF/SCE</t>
  </si>
  <si>
    <t>10-K FY ended 2024-09-28, filed 2024-11-01, accn 0000320193-24-000123</t>
  </si>
  <si>
    <t>10-K_2024-09-28_Financial_Report.xlsx tabs (primary); confirmed as FY2024 comparative in 10-K_2025-09-27_Rfiles/R3-R8</t>
  </si>
  <si>
    <t>Statement line items as published</t>
  </si>
  <si>
    <t>Cross-filing agreement confirmed</t>
  </si>
  <si>
    <t>10-K FY ended 2025-09-27, filed 2025-10-31, accn 0000320193-25-000079</t>
  </si>
  <si>
    <t>10-K_2025-09-27_Rfiles/R3.htm (IS), R4.htm (CI), R5.htm (BS), R6.htm (BS parenthetical), R7.htm (SCE), R8.htm (CF)</t>
  </si>
  <si>
    <t>Statement line items as published; R-file HTML tables read via node HTML-table parse of the raw filing exhibit (read-only text extraction, not a spreadsheet tool)</t>
  </si>
  <si>
    <t>Matches companyfacts.json FY2025 duration/instant facts to the dollar</t>
  </si>
  <si>
    <t>Currency / units</t>
  </si>
  <si>
    <t>USD millions throughout (native reporting currency; no FX layer required per house policy — Apple reports in USD).</t>
  </si>
  <si>
    <t>Segment schedule</t>
  </si>
  <si>
    <t>Products/Services net sales + COGS: FY2021 split not available in this source package (not present in companyfacts default-dimension facts; would require member-dimensioned XBRL facts or the FY2021 10-K Revenue note, not included in this research package). FY2022-25 sourced as above.</t>
  </si>
  <si>
    <t>SCE FY2021</t>
  </si>
  <si>
    <t>FY2021 equity roll-forward (issuance/buybacks/dividends during FY2021) not in this source package; only period-end snapshot shown for FY2021 in SCE_Hist. Gap — flagged in build report.</t>
  </si>
  <si>
    <t>Prior 9of10 skeleton (Historical/Sources/etc.)</t>
  </si>
  <si>
    <t>Left in place unmodified for reference; new statement-grade sheets (IS_Hist/CI_Hist/BS_Hist/CF_Hist/SCE_Hist/Segment_Products/Checks_TieOut/Sources_Audited/Source_Register) are additive. Gate_9of10 sheet not replicated/re-certified — self-certifying gate content ignored per instructions.</t>
  </si>
  <si>
    <t>CF FY2021 derived residual lines</t>
  </si>
  <si>
    <t>FY2021 operating "Other" (-3,245), investing "Other" (-385) and financing "Other" (976) are DERIVED PLUGS: each equals the directly-tagged FY2021 CFO/CFI/CFF subtotal (all sourced from accn 0000320193-21-000105) minus the sum of the other directly-tagged line items in that section. The FY2021 10-K’s own category detail within these residuals (e.g., deferred tax vs. other non-cash items) was not in this research package (no FY2021 Financial_Report.xlsx/R-files provided) and is not claimed as independently sourced.</t>
  </si>
  <si>
    <t>SCE FY2024/FY2025 buyback Total-column note</t>
  </si>
  <si>
    <t>Published SCE statements show a distinct smaller "Total" figure for "Common stock repurchased" in FY2024 (-95,000) and FY2025 (-89,300) vs. the retained-earnings component used here (-95,846 / -90,052) — a real, published difference (cash paid vs. cost recognized against retained earnings, e.g. unsettled repurchases), not decomposed further in this build. The retained-earnings column is what reconciles to total equity and is the value used in SCE_Hist.</t>
  </si>
  <si>
    <t>ACTUALIZACIÓN 2026-08-14 — brecha de A11 cerrada</t>
  </si>
  <si>
    <t>El split Products/Services de FY2021 SÍ es obtenible: está en el Estado Consolidado de Operaciones del 10-K FY2021 (accn 0000320193-21-000105): Products 297,392 / Services 68,425 de ventas netas; Products 192,266 / Services 20,715 de costo de ventas; y el margen bruto por linea (Products 105,126 / Services 47,710) está en Item 7 MD&amp;A, 'Gross Margin'. Quedó cargado en Drivers_MDA filas 73-84 con tie duro contra IS_Hist. IS_Hist y Segment_Products NO se modificaron: la brecha se cierra en la capa de cobertura, no reescribiendo historia ya gateada.</t>
  </si>
  <si>
    <t>ACTUALIZACIÓN 2026-08-14 — capa de cobertura agregada</t>
  </si>
  <si>
    <t>Drivers_MDA y Market_Package son hojas nuevas, aditivas y no destructivas. Drivers_MDA solo contiene constantes publicadas (marcadas 'Reportado'), enlaces vivos a hojas históricas ('Enlace vivo') y cálculos ('Calculado'); todo lo que Apple no divulga queda marcado NOT_AVAILABLE con la razón, sin inventar ceros. Market_Package trae cada input de mercado con fuente y fecha propias y un control de procedencia mecanizado.</t>
  </si>
  <si>
    <t>Source_Register — Apple Inc. (CIK 0000320193)</t>
  </si>
  <si>
    <t>Item</t>
  </si>
  <si>
    <t>Type</t>
  </si>
  <si>
    <t>Accession / path</t>
  </si>
  <si>
    <t>Coverage</t>
  </si>
  <si>
    <t>10-K FY2021</t>
  </si>
  <si>
    <t>SEC EDGAR filing (via companyfacts.json)</t>
  </si>
  <si>
    <t>0000320193-21-000105</t>
  </si>
  <si>
    <t>FY2021A IS/BS/CF</t>
  </si>
  <si>
    <t>10-K FY2022</t>
  </si>
  <si>
    <t>SEC EDGAR filing (via companyfacts.json cross-check)</t>
  </si>
  <si>
    <t>FY2022A IS/BS/CF cross-check</t>
  </si>
  <si>
    <t>10-K FY2023</t>
  </si>
  <si>
    <t>FY2023A IS/BS/CF cross-check</t>
  </si>
  <si>
    <t>10-K FY2024 Financial_Report.xlsx</t>
  </si>
  <si>
    <t>EDGAR-generated statement workbook (research package)</t>
  </si>
  <si>
    <t>FY2022A-FY2024A IS/CI/BS/CF/SCE primary source</t>
  </si>
  <si>
    <t>10-K FY2025 R-files</t>
  </si>
  <si>
    <t>EDGAR R-report HTML exhibits (research package)</t>
  </si>
  <si>
    <t>FY2023A-FY2025A IS/CI/BS/CF/SCE primary source (FY2025) + cross-check (FY2023-24)</t>
  </si>
  <si>
    <t>companyfacts.json</t>
  </si>
  <si>
    <t>SEC EDGAR companyfacts API dump (research package)</t>
  </si>
  <si>
    <t>n/a — API export</t>
  </si>
  <si>
    <t>2026-07-20 (package pull date)</t>
  </si>
  <si>
    <t>FY2021A-FY2025A tag-level cross-checks; FY2021 primary source</t>
  </si>
  <si>
    <t>10-Q FY2026 Q2 (Mar 28, 2026)</t>
  </si>
  <si>
    <t>SEC EDGAR filing (research package, not used in FY21-25 history)</t>
  </si>
  <si>
    <t>per submissions.json</t>
  </si>
  <si>
    <t>(package)</t>
  </si>
  <si>
    <t>Reserved for future interim update; not incorporated into this FY21-25A build</t>
  </si>
  <si>
    <t>10-Q FY2026 Q3 (periodo terminado 2026-06-27)</t>
  </si>
  <si>
    <t>SEC EDGAR, descarga directa de R-files 2026-08-14 (no estaba en el paquete de investigación local, cuyo pull fue 2026-07-20)</t>
  </si>
  <si>
    <t>0000320193-26-000020</t>
  </si>
  <si>
    <t>Solo Market_Package: acciones en circulación al 2026-07-17 (portada), balance al 2026-06-27 (R4) y estado de operaciones 9M FY2026 (R2) para el memo LTM. NO entra en la historia auditada FY2021A-FY2025A.</t>
  </si>
  <si>
    <t>Datos de mercado fechados 2026-08-13 / 2026-08-14</t>
  </si>
  <si>
    <t>Fuentes externas citadas una por una en Market_Package columna E (Tesoro de EE.UU., Damodaran/NYU Stern, stockanalysis.com, ICE BofA vía tradingeconomics)</t>
  </si>
  <si>
    <t>ver Market_Package!E7, E8, E30, E31, E32, E34</t>
  </si>
  <si>
    <t>2026-08-14 (fecha de recuperación)</t>
  </si>
  <si>
    <t>Precio de cierre, tasa libre de riesgo, prima de riesgo de mercado, beta y costo de deuda. Cada uno con su as-of propio; el control mecanizado está en Market_Package!B91 y en Checks_TieOut fila 56.</t>
  </si>
  <si>
    <t>10-K FY2021 / FY2022 / FY2023 (PDF del filing, repositorio local)</t>
  </si>
  <si>
    <t>SEC EDGAR, PDF de los Form 10-K en 'AAPL Financial Statement/' (aapl-20210925 / 20220924 / 20230930)</t>
  </si>
  <si>
    <t>0000320193-21-000105 / -22-000108 / -23-000106</t>
  </si>
  <si>
    <t>2021-10-29 / 2022-10-28 / 2023-11-03</t>
  </si>
  <si>
    <t>Fuente primaria de los drivers FY2021A-FY2022A en Drivers_MDA (Item 7 MD&amp;A y notas de segmentos/revenue), incluido el split Products/Services de FY2021 que Sources_Audited!A11 daba por no disponible.</t>
  </si>
  <si>
    <t>Apple — Forecast drivers FY2026E-FY2030E (anchored to FY2025A base; USD millions except %)</t>
  </si>
  <si>
    <t>Scenario switch</t>
  </si>
  <si>
    <t>1=Bear, 2=Base, 3=Bull</t>
  </si>
  <si>
    <t>Scenario label</t>
  </si>
  <si>
    <t>Driver</t>
  </si>
  <si>
    <t>Selected (per scenario switch)</t>
  </si>
  <si>
    <t>Revenue growth Y1 (FY26)</t>
  </si>
  <si>
    <t>Revenue growth Y2-Y5 (steady-state)</t>
  </si>
  <si>
    <t>Gross margin %</t>
  </si>
  <si>
    <t>R&amp;D % of sales</t>
  </si>
  <si>
    <t>SG&amp;A % of sales</t>
  </si>
  <si>
    <t>Effective tax rate</t>
  </si>
  <si>
    <t>Capex % of sales</t>
  </si>
  <si>
    <t>D&amp;A % of sales</t>
  </si>
  <si>
    <t>SBC % of sales</t>
  </si>
  <si>
    <t>Net working capital change % of sales growth (use of cash if +)</t>
  </si>
  <si>
    <t>Dividend payout % of net income</t>
  </si>
  <si>
    <t>% of FCF after dividends used for buybacks</t>
  </si>
  <si>
    <t>Apple — Forecast Income Statement &amp; simplified cash build, FY2026E-FY2030E</t>
  </si>
  <si>
    <t>USD millions. Driver-built off Fwd_Assumptions (scenario-selected column E). Anchored to FY2025A actuals in IS_Hist/CF_Hist. NOT a fully wired 3-statement forecast: no debt-maturity schedule, no share-price-based buyback share-count solve, no BS/CF forecast tabs (flagged PARTIAL in build report).</t>
  </si>
  <si>
    <t>FY2026E</t>
  </si>
  <si>
    <t>FY2027E</t>
  </si>
  <si>
    <t>FY2028E</t>
  </si>
  <si>
    <t>FY2029E</t>
  </si>
  <si>
    <t>FY2030E</t>
  </si>
  <si>
    <t>Net sales</t>
  </si>
  <si>
    <t>Revenue growth %</t>
  </si>
  <si>
    <t>Cost of sales</t>
  </si>
  <si>
    <t>Income before taxes (assume Other inc/exp = 0)</t>
  </si>
  <si>
    <t>Share-based compensation</t>
  </si>
  <si>
    <t>Change in net working capital (use of cash if +)</t>
  </si>
  <si>
    <t>Cash from operating activities (simplified: NI+D&amp;A+SBC-dWC)</t>
  </si>
  <si>
    <t>Free cash flow (CFO - capex)</t>
  </si>
  <si>
    <t>Dividends paid (payout % of NI)</t>
  </si>
  <si>
    <t>FCF after dividends</t>
  </si>
  <si>
    <t>Share repurchases (assumed % of FCF-after-div)</t>
  </si>
  <si>
    <t>Memo: cumulative buybacks+dividends vs FCF</t>
  </si>
  <si>
    <t>Apple — Forecast summary (Base/Bull/Bear via Fwd_Assumptions!B2)</t>
  </si>
  <si>
    <t>Change Fwd_Assumptions!B2 (1/2/3) to flip scenario; all cells below recompute.</t>
  </si>
  <si>
    <t>Apple Inc. - Drivers de negocio del MD&amp;A y disclosures (FY2021A-FY2025A)</t>
  </si>
  <si>
    <t>USD millones salvo indicación. CAPA DE COBERTURA ADITIVA: no altera ninguna hoja histórica. Todo dato 'Reportado' es una constante publicada; todo 'Calculado' es fórmula viva. Los 'Tie' deben ser 0.</t>
  </si>
  <si>
    <t>Métrica</t>
  </si>
  <si>
    <t>Unidad</t>
  </si>
  <si>
    <t>Fuente (documento - sección - accession)</t>
  </si>
  <si>
    <t>Estado</t>
  </si>
  <si>
    <t>1. VENTAS NETAS POR CATEGORÍA DE PRODUCTO</t>
  </si>
  <si>
    <t>iPhone</t>
  </si>
  <si>
    <t>FY21-22: 10-K FY2023 (accn 0000320193-23-000106) - Item 7 MD&amp;A, 'Products and Services Performance'; FY2021 también en 10-K FY2021 (0000320193-21-000105) | FY23-25: 10-K FY2025 (accn 0000320193-25-000079) - Item 7 MD&amp;A 'Products and Services Performance' + Nota 2 'Revenue', R38.htm</t>
  </si>
  <si>
    <t>Reportado</t>
  </si>
  <si>
    <t>Mac</t>
  </si>
  <si>
    <t>iPad</t>
  </si>
  <si>
    <t>Wearables, Home and Accessories</t>
  </si>
  <si>
    <t>Services</t>
  </si>
  <si>
    <t>Total ventas netas por categoría (calc)</t>
  </si>
  <si>
    <t>Suma de las 5 categorías divulgadas</t>
  </si>
  <si>
    <t>Calculado</t>
  </si>
  <si>
    <t>Tie: categorías - IS_Hist total ventas netas</t>
  </si>
  <si>
    <t>IS_Hist!B7:F7 (estados auditados, sin modificar)</t>
  </si>
  <si>
    <t>Tie (debe ser 0)</t>
  </si>
  <si>
    <t>Mix por categoría (% de ventas netas)</t>
  </si>
  <si>
    <t>Mix - iPhone</t>
  </si>
  <si>
    <t>Calculado sobre el total por categoría</t>
  </si>
  <si>
    <t>Mix - Mac</t>
  </si>
  <si>
    <t>Mix - iPad</t>
  </si>
  <si>
    <t>Mix - Wearables, Home and Accessories</t>
  </si>
  <si>
    <t>Mix - Services</t>
  </si>
  <si>
    <t>Crecimiento interanual por categoría</t>
  </si>
  <si>
    <t>YoY - iPhone</t>
  </si>
  <si>
    <t>n.a.</t>
  </si>
  <si>
    <t>Calculado (FY2020 queda fuera de la ventana del modelo)</t>
  </si>
  <si>
    <t>YoY - Mac</t>
  </si>
  <si>
    <t>YoY - iPad</t>
  </si>
  <si>
    <t>YoY - Wearables, Home and Accessories</t>
  </si>
  <si>
    <t>YoY - Services</t>
  </si>
  <si>
    <t>YoY - Total ventas netas</t>
  </si>
  <si>
    <t>2. VENTAS NETAS POR SEGMENTO REPORTABLE (GEOGRAFÍA)</t>
  </si>
  <si>
    <t>Americas</t>
  </si>
  <si>
    <t>FY21-22: 10-K FY2023 (0000320193-23-000106) - Item 7 MD&amp;A 'Segment Operating Performance' + Nota 13 'Segment Information and Geographic Data' | FY23-25: 10-K FY2025 (0000320193-25-000079) - Item 7 MD&amp;A 'Segment Operating Performance' + Nota 13, R68.htm</t>
  </si>
  <si>
    <t>Europe</t>
  </si>
  <si>
    <t>Greater China</t>
  </si>
  <si>
    <t>Japan</t>
  </si>
  <si>
    <t>Rest of Asia Pacific</t>
  </si>
  <si>
    <t>Total ventas netas por segmento (calc)</t>
  </si>
  <si>
    <t>Suma de los 5 segmentos reportables</t>
  </si>
  <si>
    <t>Tie: segmentos - IS_Hist total ventas netas</t>
  </si>
  <si>
    <t>IS_Hist!B7:F7</t>
  </si>
  <si>
    <t>Mix por segmento (% de ventas netas)</t>
  </si>
  <si>
    <t>Mix - Americas</t>
  </si>
  <si>
    <t>Mix - Europe</t>
  </si>
  <si>
    <t>Mix - Greater China</t>
  </si>
  <si>
    <t>Mix - Japan</t>
  </si>
  <si>
    <t>Mix - Rest of Asia Pacific</t>
  </si>
  <si>
    <t>Crecimiento interanual por segmento</t>
  </si>
  <si>
    <t>YoY - Americas</t>
  </si>
  <si>
    <t>YoY - Europe</t>
  </si>
  <si>
    <t>YoY - Greater China</t>
  </si>
  <si>
    <t>YoY - Japan</t>
  </si>
  <si>
    <t>YoY - Rest of Asia Pacific</t>
  </si>
  <si>
    <t>3. UTILIDAD OPERATIVA POR SEGMENTO Y RECONCILIACIÓN AL ESTADO DE RESULTADOS</t>
  </si>
  <si>
    <t>Americas - utilidad operativa</t>
  </si>
  <si>
    <t>FY21-22: 10-K FY2022 (0000320193-22-000108) y 10-K FY2023 (0000320193-23-000106) - Nota 'Segment Information and Geographic Data', tabla por segmento reportable | FY23-25: 10-K FY2025 (0000320193-25-000079) - Nota 13, R68.htm (presentación ASU 2023-07)</t>
  </si>
  <si>
    <t>Europe - utilidad operativa</t>
  </si>
  <si>
    <t>Greater China - utilidad operativa</t>
  </si>
  <si>
    <t>Japan - utilidad operativa</t>
  </si>
  <si>
    <t>Rest of Asia Pacific - utilidad operativa</t>
  </si>
  <si>
    <t>Total utilidad operativa de segmentos (calc)</t>
  </si>
  <si>
    <t>Suma de los 5 segmentos</t>
  </si>
  <si>
    <t>(-) Research and development</t>
  </si>
  <si>
    <t>IS_Hist!B13:F13 (mismo importe reportado en la conciliación del 10-K)</t>
  </si>
  <si>
    <t>Enlace vivo</t>
  </si>
  <si>
    <t>(-) Other corporate expenses, net (G&amp;A)</t>
  </si>
  <si>
    <t>FY21-22: 10-K FY2022 (0000320193-22-000108) y 10-K FY2023 (0000320193-23-000106) - Nota 'Segment Information and Geographic Data', tabla por segmento reportable | FY23-25: 10-K FY2025 (0000320193-25-000079) - Nota 13, R68.htm (presentación ASU 2023-07) - tabla de conciliación de segment operating income</t>
  </si>
  <si>
    <t>Utilidad operativa consolidada (calc)</t>
  </si>
  <si>
    <t>Conciliacion reproducida</t>
  </si>
  <si>
    <t>Tie: conciliación - IS_Hist utilidad operativa</t>
  </si>
  <si>
    <t>IS_Hist!B16:F16</t>
  </si>
  <si>
    <t>Margen operativo por segmento (utilidad operativa de segmento / ventas netas del segmento)</t>
  </si>
  <si>
    <t>Margen operativo - Americas</t>
  </si>
  <si>
    <t>Margen operativo - Europe</t>
  </si>
  <si>
    <t>Margen operativo - Greater China</t>
  </si>
  <si>
    <t>Margen operativo - Japan</t>
  </si>
  <si>
    <t>Margen operativo - Rest of Asia Pacific</t>
  </si>
  <si>
    <t>4. ECONOMÍA PRODUCTS vs SERVICES (Apple los divulga por separado)</t>
  </si>
  <si>
    <t>Products - ventas netas</t>
  </si>
  <si>
    <t>FY2021: 10-K FY2021 (0000320193-21-000105) - CONSOLIDATED STATEMENTS OF OPERATIONS (Products / Services) | FY2022-25: 10-K FY2025 (0000320193-25-000079) - CONSOLIDATED STATEMENTS OF OPERATIONS, R3.htm</t>
  </si>
  <si>
    <t>Services - ventas netas</t>
  </si>
  <si>
    <t>Igual a la categoría Services del bloque 1</t>
  </si>
  <si>
    <t>Total ventas netas (calc)</t>
  </si>
  <si>
    <t>Tie: Products+Services - IS_Hist total ventas netas</t>
  </si>
  <si>
    <t>Products - costo de ventas</t>
  </si>
  <si>
    <t>Services - costo de ventas</t>
  </si>
  <si>
    <t>Total costo de ventas (calc)</t>
  </si>
  <si>
    <t>Tie: costo Products+Services - IS_Hist total costo de ventas</t>
  </si>
  <si>
    <t>IS_Hist!B10:F10</t>
  </si>
  <si>
    <t>Products - margen bruto (reportado)</t>
  </si>
  <si>
    <t>FY21-22: 10-K FY2023 (0000320193-23-000106) - Item 7 MD&amp;A, 'Gross Margin'; FY2021 también en 10-K FY2021 (0000320193-21-000105) Item 7 y Estado de Operaciones | FY23-25: 10-K FY2025 (0000320193-25-000079) - Item 7 MD&amp;A 'Gross Margin' + Estado Consolidado de Operaciones, R3.htm</t>
  </si>
  <si>
    <t>Services - margen bruto (reportado)</t>
  </si>
  <si>
    <t>Total margen bruto (calc)</t>
  </si>
  <si>
    <t>Tie: margen bruto Products+Services - IS_Hist margen bruto</t>
  </si>
  <si>
    <t>IS_Hist!B11:F11</t>
  </si>
  <si>
    <t>Products - margen bruto % (reportado)</t>
  </si>
  <si>
    <t>Services - margen bruto % (reportado)</t>
  </si>
  <si>
    <t>Total margen bruto % (reportado)</t>
  </si>
  <si>
    <t>Products - margen bruto % (calc)</t>
  </si>
  <si>
    <t>Calculado (el reportado viene redondeado a 0.1pp)</t>
  </si>
  <si>
    <t>Services - margen bruto % (calc)</t>
  </si>
  <si>
    <t>Services - participación en el margen bruto total</t>
  </si>
  <si>
    <t>Calculado - driver central de la tesis de Apple</t>
  </si>
  <si>
    <t>Services - participación en ventas netas</t>
  </si>
  <si>
    <t>5. MÉTRICAS OPERATIVAS DIVULGADAS EN EL 10-K</t>
  </si>
  <si>
    <t>Empleados equivalentes a tiempo completo</t>
  </si>
  <si>
    <t>personas</t>
  </si>
  <si>
    <t>10-K FY2021/2022/2023/2024/2025 - Item 1 'Business', sección 'Human Capital' (empleados equivalentes a tiempo completo)</t>
  </si>
  <si>
    <t>Ventas netas por empleado</t>
  </si>
  <si>
    <t>USD miles</t>
  </si>
  <si>
    <t>Deferred revenue total (saldo)</t>
  </si>
  <si>
    <t>10-K FY2021-FY2025 - Nota 'Revenue' (saldo total de deferred revenue) / companyfacts us-gaap:ContractWithCustomerLiability</t>
  </si>
  <si>
    <t>Deferred revenue / ventas netas</t>
  </si>
  <si>
    <t>Ventas netas reconocidas del deferred revenue inicial</t>
  </si>
  <si>
    <t>10-K FY2021-FY2025 - Nota 'Revenue' / us-gaap:ContractWithCustomerLiabilityRevenueRecognized. FY2021-FY2022 divulgados redondeados a USD 0.1bn</t>
  </si>
  <si>
    <t>IS_Hist!B13:F13</t>
  </si>
  <si>
    <t>R&amp;D / ventas netas</t>
  </si>
  <si>
    <t>Long-lived assets - U.S.</t>
  </si>
  <si>
    <t>10-K FY2022/2023/2024/2025 - Nota 'Segment Information and Geographic Data', tabla de long-lived assets por país</t>
  </si>
  <si>
    <t>Long-lived assets - China</t>
  </si>
  <si>
    <t>Long-lived assets - otros países</t>
  </si>
  <si>
    <t>Total long-lived assets (calc)</t>
  </si>
  <si>
    <t>Tie: long-lived assets - BS_Hist PP&amp;E neto</t>
  </si>
  <si>
    <t>BS_Hist!B15:F15</t>
  </si>
  <si>
    <t>Ventas netas - U.S.</t>
  </si>
  <si>
    <t>10-K FY2022/2023/2024/2025 - Nota 'Segment Information and Geographic Data', tabla de net sales por país (&gt;10% del total)</t>
  </si>
  <si>
    <t>Ventas netas - China</t>
  </si>
  <si>
    <t>Ventas netas - otros países</t>
  </si>
  <si>
    <t>Total ventas netas por país (calc)</t>
  </si>
  <si>
    <t>Tie: países - IS_Hist total ventas netas</t>
  </si>
  <si>
    <t>Concentración U.S. + China (% de ventas netas)</t>
  </si>
  <si>
    <t>6. DRIVERS DE TIPO DE CAMBIO (FX)</t>
  </si>
  <si>
    <t>Notional FX designado como cobertura contable</t>
  </si>
  <si>
    <t>10-K FY2021-FY2025 - Nota 'Financial Instruments', tabla de notional amounts de instrumentos derivados</t>
  </si>
  <si>
    <t>Notional FX no designado como cobertura</t>
  </si>
  <si>
    <t>Notional FX total (calc)</t>
  </si>
  <si>
    <t>Notional FX total / ventas netas</t>
  </si>
  <si>
    <t>x</t>
  </si>
  <si>
    <t>Notional de contratos de tasa de interés</t>
  </si>
  <si>
    <t>VAR FX - pérdida máxima 1 dia, 95% confianza</t>
  </si>
  <si>
    <t>10-K FY2021-FY2025 - Item 7A 'Quantitative and Qualitative Disclosures About Market Risk', VAR de divisas (95%, 1 dia)</t>
  </si>
  <si>
    <t>Reportado (FY2022 divulgado como 'USD 1.0 billion')</t>
  </si>
  <si>
    <t>Impacto FX cuantificado sobre ventas netas</t>
  </si>
  <si>
    <t>NOT_AVAILABLE</t>
  </si>
  <si>
    <t>Apple describe el efecto FX de forma cualitativa por segmento en el MD&amp;A y NO publica un puente FX cuantificado</t>
  </si>
  <si>
    <t>Narrativa FX del MD&amp;A - Europe</t>
  </si>
  <si>
    <t>favorable (2021)</t>
  </si>
  <si>
    <t>desfavorable (2022)</t>
  </si>
  <si>
    <t>desfavorable, más que el total de la caída (2023)</t>
  </si>
  <si>
    <t>no citado (2024)</t>
  </si>
  <si>
    <t>no citado (2025)</t>
  </si>
  <si>
    <t>texto</t>
  </si>
  <si>
    <t>10-K FY2021-FY2025, Item 7 MD&amp;A, 'Segment Operating Performance'</t>
  </si>
  <si>
    <t>Reportado (cualitativo)</t>
  </si>
  <si>
    <t>Narrativa FX del MD&amp;A - Greater China</t>
  </si>
  <si>
    <t>favorable, renminbi fuerte (2021)</t>
  </si>
  <si>
    <t>favorable, renminbi fuerte (2022)</t>
  </si>
  <si>
    <t>desfavorable (2024)</t>
  </si>
  <si>
    <t>10-K FY2021-FY2025, Item 7 MD&amp;A</t>
  </si>
  <si>
    <t>Narrativa FX del MD&amp;A - Japan</t>
  </si>
  <si>
    <t>no citado (2021)</t>
  </si>
  <si>
    <t>no citado (2022)</t>
  </si>
  <si>
    <t>Narrativa FX del MD&amp;A - Americas</t>
  </si>
  <si>
    <t>no citado (2023)</t>
  </si>
  <si>
    <t>desfavorable (2025)</t>
  </si>
  <si>
    <t>10-K FY2025, Item 7 MD&amp;A</t>
  </si>
  <si>
    <t>7. MÉTRICAS QUE APPLE NO DIVULGA EN EL 10-K (declaradas, no inventadas)</t>
  </si>
  <si>
    <t>Base instalada de dispositivos activos</t>
  </si>
  <si>
    <t>unidades</t>
  </si>
  <si>
    <t>No es un disclosure del Form 10-K. Apple solo la menciona en earnings calls; último dato publico: 'más de 2,500 millones de dispositivos activos' (call del Q1 FY2026, 2026-01-29; 2,350 millones un año antes)</t>
  </si>
  <si>
    <t>NOT_AVAILABLE en el filing / fuente secundaria no auditable</t>
  </si>
  <si>
    <t>Suscripciones pagadas</t>
  </si>
  <si>
    <t>No es un disclosure del Form 10-K (solo earnings calls)</t>
  </si>
  <si>
    <t>Unidades vendidas por producto</t>
  </si>
  <si>
    <t>Apple dejo de divulgar unidades después del FY2018</t>
  </si>
  <si>
    <t>Precio promedio de venta (ASP) por producto</t>
  </si>
  <si>
    <t>No divulgado (se deriva de unidades, que tampoco se divulgan)</t>
  </si>
  <si>
    <t>Ingresos de Services por sub-categoría</t>
  </si>
  <si>
    <t>Apple describe las lineas (advertising, AppleCare, cloud, digital content, payment) sin cifras separadas</t>
  </si>
  <si>
    <t>Activos por segmento</t>
  </si>
  <si>
    <t>Apple declara que no reporta activos por segmento; solo long-lived assets por país</t>
  </si>
  <si>
    <t>Costo de ventas del segmento Americas (ILUSTRATIVO, sin tie). NO es el costo de todos los segmentos y NO incluye selling &amp; marketing (el S&amp;M de Americas en FY2025 fue de -10,174). El desglose de costo por segmento existe solo desde FY2023, por la adopción de ASU 2023-07</t>
  </si>
  <si>
    <t>Solo desde FY2023 por adopción de ASU 2023-07 (10-K FY2025, R68). Fila ilustrativa: costo de ventas del segmento Americas</t>
  </si>
  <si>
    <t>Ilustrativo (sin tie)</t>
  </si>
  <si>
    <t>8. PUENTE AL MOTOR DE PRONÓSTICO (Forecast!B5:B9 usa anclas FY2025A por categoría)</t>
  </si>
  <si>
    <t>Delta: Forecast!B5 (iPhone) - Drivers_MDA FY2025A</t>
  </si>
  <si>
    <t>Forecast!B5 (ancla del motor) vs F7</t>
  </si>
  <si>
    <t>Delta: Forecast!B6 (Mac) - Drivers_MDA FY2025A</t>
  </si>
  <si>
    <t>Forecast!B6 (ancla del motor) vs F8</t>
  </si>
  <si>
    <t>Delta: Forecast!B7 (iPad) - Drivers_MDA FY2025A</t>
  </si>
  <si>
    <t>Forecast!B7 (ancla del motor) vs F9</t>
  </si>
  <si>
    <t>Delta: Forecast!B8 (Wearables) - Drivers_MDA FY2025A</t>
  </si>
  <si>
    <t>Forecast!B8 (ancla del motor) vs F10</t>
  </si>
  <si>
    <t>Delta: Forecast!B9 (Services) - Drivers_MDA FY2025A</t>
  </si>
  <si>
    <t>Forecast!B9 (ancla del motor) vs F11</t>
  </si>
  <si>
    <t>NOTA DE CABLEADO: el motor Forecast ya construye ingresos por categoría (Forecast!C5:G9 = ancla FY2025A x (1+Assumptions!F7:F11)).</t>
  </si>
  <si>
    <t>Esta hoja ancla esas 5 categorías a la serie completa FY2021A-FY2025A auditada contra el filing, y hace verificable el ancla FY2025A (bloque 8).</t>
  </si>
  <si>
    <t>La capa geográfica (bloques 2 y 3) queda como análisis: para cablearla habría que abrir 5 filas de ingreso por segmento en Forecast con sus propias tasas en Assumptions y un check de que la suma geográfica = la suma por categoría.</t>
  </si>
  <si>
    <t>La capa Products/Services (bloque 4) NO está enlazada: Assumptions!C12 y C13 (margen bruto Products y Services del escenario Base) son constantes duras que COINCIDEN EN VALOR con F85 y F86 (36.8% y 75.4%), pero no hay ninguna fórmula entre ellas. Si alguien corrige F85 o F86 y no toca Assumptions, el modelo se desincroniza en silencio. El único vínculo mecanizado es el check 58 de Checks_TieOut, que cae en FAIL si una se mueve sin la otra. Cablearlas exigiría escribir en Assumptions, que es un output ya gateado, y esa decisión no se tomó aquí</t>
  </si>
  <si>
    <t>MAPA DE ACCESSIONS: FY2021 10-K 0000320193-21-000105 (FYE 2021-09-25) | FY2022 10-K 0000320193-22-000108 (FYE 2022-09-24) | FY2023 10-K 0000320193-23-000106 (FYE 2023-09-30) | FY2024 10-K 0000320193-24-000123 (FYE 2024-09-28) | FY2025 10-K 0000320193-25-000079 (FYE 2025-09-27)</t>
  </si>
  <si>
    <t>BRECHA CERRADA: Sources_Audited!A11 declaraba que el split Products/Services de FY2021 no estaba en el paquete de investigación. Se cierra aquí con el 10-K FY2021 (Estado de Operaciones e Item 7), sin tocar IS_Hist ni Segment_Products.</t>
  </si>
  <si>
    <t>9. COBERTURA DECLARADA — QUÉ ESTÁ MECANIZADO Y QUÉ NO (agregado 2026-08-14 tras revisión adversarial; reescrito el mismo día tras la segunda verificación)</t>
  </si>
  <si>
    <t>MECANIZADO CON TIE (el delta debe ser 0 contra la hoja histórica auditada): categorías de producto (fila 13), segmentos geográficos (37), conciliación de utilidad operativa por segmento (63), Products/Services en ventas (76), en costo (80) y en margen bruto (84), long-lived assets por país (105), ventas netas por país (110) y las anclas del motor de pronóstico (136 a 140). Son los checks 40 a 50 de Checks_TieOut</t>
  </si>
  <si>
    <t>SIN TIE MECANIZADO, EXIGEN VERIFICACIÓN MANUAL CONTRA EL FILING: fila 94 (empleados), 96 (saldo de deferred revenue), 98 (ventas reconocidas del deferred revenue inicial), 114 y 115 (notionales FX), 118 (notional de tasa), 119 (VAR FX) y 133 (costo de ventas de Americas, ilustrativo). Son constantes "Reportado" sin contrapartida en ninguna otra hoja del libro. El check 61 les aplica BANDAS DE PLAUSIBILIDAD: caza un valor absurdo, pero una cifra plausible y equivocada pasa igual (probado: empleados +12.7% pasa). Antes de esta corrección no tenían ninguna cobertura mecanizada</t>
  </si>
  <si>
    <t>MECANIZADO A PARTIR DE 2026-08-14: las filas 85, 86 y 87 (márgenes brutos porcentuales reportados) ahora sí tienen tie contra los calculados desde las cifras auditadas (check 60, tolerancia 0.001 por el redondeo a 0.1pp del filing)</t>
  </si>
  <si>
    <t>LÍMITE ESTRUCTURAL DE LOS TIES DE SUMA: un tie de total (filas 13, 37, 76, 80 y 110) NO caza permutaciones ni redistribuciones que conserven la suma — intercambiar Europe y Japan, o mover U.S. +5.4% absorbiendo el residuo en "otros países", deja los checks en PASS (ambos probados). Mitigación parcial: el check 59 cruza Greater China (segmento) contra China (país) de forma exacta y U.S. (país) contra una banda de Americas (segmento), así que las permutaciones que tocan esas dos líneas sí caen. Las demás combinaciones siguen sin cobertura mecanizada y exigen lectura línea por línea contra el 10-K</t>
  </si>
  <si>
    <t>REGLA DE LECTURA: "56 de 56 PASS" significa que los 56 asserts mecanizados están en verde, NO que las series estén verificadas cifra por cifra contra el filing. Lo que el instrumento SÍ caza: roturas de suma, roturas de cableado, anclas de vintage distinto rotas, valores fuera de banda y desfases de procedencia. Lo que NO caza: una cifra plausible y equivocada dentro de banda, un precio con error menor a ±25%, o una permutación que no toque China ni U.S. Esa verificación es humana; los accessions están en A147 y la trazabilidad por línea en Sources_Audited</t>
  </si>
  <si>
    <t>Apple Inc. — Paquete de mercado fechado y costo de capital</t>
  </si>
  <si>
    <t>Cada input de mercado lleva su fuente y su FECHA. Los enlaces al balance y al estado de resultados son fórmulas vivas contra las hojas históricas auditadas (que esta hoja NO modifica).</t>
  </si>
  <si>
    <t>Concepto</t>
  </si>
  <si>
    <t>Valor</t>
  </si>
  <si>
    <t>Fecha del dato (as-of)</t>
  </si>
  <si>
    <t>Fuente</t>
  </si>
  <si>
    <t>Nota / método</t>
  </si>
  <si>
    <t>1. PRECIO Y ACCIONES</t>
  </si>
  <si>
    <t>Precio de la acción (cierre)</t>
  </si>
  <si>
    <t>USD/acción</t>
  </si>
  <si>
    <t>stockanalysis.com/stocks/aapl/history/ — histórico diario de AAPL</t>
  </si>
  <si>
    <t>Recuperado 2026-08-14. Cierre del 2026-08-13 confirmado de forma independiente por búsqueda web (USD 305.26); apertura 304.21, máx. 306.00, mín. 302.05</t>
  </si>
  <si>
    <t>Acciones en circulación</t>
  </si>
  <si>
    <t>millones de acciones</t>
  </si>
  <si>
    <t>SEC Form 10-Q Q3 FY2026, portada (accn 0000320193-26-000020), etiqueta 'Entity Common Stock, Shares Outstanding'</t>
  </si>
  <si>
    <t>Fuente primaria: 14,594,180 miles de acciones. Es el conteo más reciente publicado por la compañía</t>
  </si>
  <si>
    <t>Memo — acciones en circulación, portada del 10-K FY2025</t>
  </si>
  <si>
    <t>SEC Form 10-K FY2025, portada (accn 0000320193-25-000079)</t>
  </si>
  <si>
    <t>Es el valor que hoy usa Valuation!G15 a través de Historical!B20</t>
  </si>
  <si>
    <t>Memo — acciones diluidas promedio, Q3 FY2026 (3 meses)</t>
  </si>
  <si>
    <t>SEC Form 10-Q Q3 FY2026, Estado Condensado de Operaciones (R2)</t>
  </si>
  <si>
    <t>Base diluida trimestral</t>
  </si>
  <si>
    <t>Capitalización de mercado</t>
  </si>
  <si>
    <t>Calculado: precio de cierre x acciones en circulación</t>
  </si>
  <si>
    <t>Usa el conteo primario más reciente (B8), no el de la portada del 10-K</t>
  </si>
  <si>
    <t>2. PUENTE A ENTERPRISE VALUE (balance FY2025A del propio modelo)</t>
  </si>
  <si>
    <t>Efectivo y equivalentes</t>
  </si>
  <si>
    <t>BS_Hist!F6 — 10-K FY2025, balance auditado</t>
  </si>
  <si>
    <t>Enlace vivo a la hoja histórica</t>
  </si>
  <si>
    <t>Valores negociables corrientes</t>
  </si>
  <si>
    <t>BS_Hist!F7</t>
  </si>
  <si>
    <t>Valores negociables no corrientes</t>
  </si>
  <si>
    <t>BS_Hist!F14</t>
  </si>
  <si>
    <t>Total efectivo e inversiones</t>
  </si>
  <si>
    <t>Papel comercial</t>
  </si>
  <si>
    <t>BS_Hist!F24</t>
  </si>
  <si>
    <t>Deuda de largo plazo — porción corriente</t>
  </si>
  <si>
    <t>BS_Hist!F25</t>
  </si>
  <si>
    <t>Deuda de largo plazo — no corriente</t>
  </si>
  <si>
    <t>BS_Hist!F28</t>
  </si>
  <si>
    <t>Deuda bruta total</t>
  </si>
  <si>
    <t>Incluye papel comercial</t>
  </si>
  <si>
    <t>Deuda neta / (caja neta)</t>
  </si>
  <si>
    <t>Negativo = caja neta</t>
  </si>
  <si>
    <t>Calculado: cap. de mercado + deuda bruta − efectivo e inversiones</t>
  </si>
  <si>
    <t>Precio al 2026-08-13 contra balance al 2025-09-27</t>
  </si>
  <si>
    <t>Memo — deuda usada hoy en Valuation!G13</t>
  </si>
  <si>
    <t>Solo term debt: EXCLUYE el papel comercial</t>
  </si>
  <si>
    <t>Memo — diferencia vs la deuda bruta de esta hoja</t>
  </si>
  <si>
    <t>HALLAZGO: es exactamente el papel comercial (BS_Hist!F24). El puente de deuda del DCF existente subestima la deuda bruta en este monto</t>
  </si>
  <si>
    <t>Memo — activos líquidos usados hoy en Valuation!G12</t>
  </si>
  <si>
    <t>Historical!B18</t>
  </si>
  <si>
    <t>Debe coincidir con B17</t>
  </si>
  <si>
    <t>Memo — diferencia de activos líquidos</t>
  </si>
  <si>
    <t>Debe ser 0</t>
  </si>
  <si>
    <t>3. COSTO DE CAPITAL</t>
  </si>
  <si>
    <t>Tasa libre de riesgo (UST 10 años, par yield)</t>
  </si>
  <si>
    <t>home.treasury.gov — Daily Treasury Par Yield Curve Rates, columna '10 Yr'</t>
  </si>
  <si>
    <t>Fuente primaria del Tesoro de EE.UU. Misma fecha: 20Y 5.20%, 30Y 5.21%, 2Y 4.15%</t>
  </si>
  <si>
    <t>Prima de riesgo de mercado (ERP implícita, S&amp;P 500)</t>
  </si>
  <si>
    <t>A. Damodaran (NYU Stern), 'Implied Equity Risk Premiums — United States' (histimpl.html), actualización de enero 2026</t>
  </si>
  <si>
    <t>ERP implícita FCFE del cierre de 2025; la tasa T-Bond que usa Damodaran en esa medición es 4.18%</t>
  </si>
  <si>
    <t>Beta (5 años, mensual, vs S&amp;P 500)</t>
  </si>
  <si>
    <t>stockanalysis.com/stocks/aapl/</t>
  </si>
  <si>
    <t>Cross-checks el mismo día: investing.com 1.11; gurufocus 0.9638 (ventana de estimación distinta). NO es una beta reguladora: es de proveedor</t>
  </si>
  <si>
    <t>Costo de capital propio (CAPM)</t>
  </si>
  <si>
    <t>Calculado: Rf + beta x ERP</t>
  </si>
  <si>
    <t>Costo de deuda antes de impuestos</t>
  </si>
  <si>
    <t>FRED (Federal Reserve Bank of St. Louis) — serie primaria BAMLC0A2CAAEY, ICE BofA AA US Corporate Index Effective Yield; CSV de la serie descargado directo de fredgraph.csv</t>
  </si>
  <si>
    <t>Benchmark de mercado para emisor calificado AA+. Es el costo MARGINAL, no el cupón promedio de la deuda viva. REFRESCADO 2026-08-14: la observación del 2026-08-13 (misma fecha que el precio y que el Rf) es 5.20%. El valor anterior, 5.27%, era del 2026-08-10, venía fechado como el texto "2026-08" y citado vía una fuente secundaria (tradingeconomics); ahora se lee de la serie primaria de FRED y la fecha es un serial</t>
  </si>
  <si>
    <t>Memo — rango de tasa efectiva de la emisión FY2025 de Apple</t>
  </si>
  <si>
    <t>4.07% - 4.83%</t>
  </si>
  <si>
    <t>10-K FY2025, Nota 8 'Debt' (R60.htm)</t>
  </si>
  <si>
    <t>USD 4,500m emitidos en FY2025, vencimientos 2028-2035. El stack legado 2013-2023 tiene tasas efectivas de 0.03% a 5.75%</t>
  </si>
  <si>
    <t>Memo — tasa promedio ponderada del papel comercial</t>
  </si>
  <si>
    <t>10-K FY2025, Nota 8 'Debt' (R58.htm)</t>
  </si>
  <si>
    <t>FY2024: 5.00%</t>
  </si>
  <si>
    <t>Tasa efectiva de impuestos (FY2025A del modelo)</t>
  </si>
  <si>
    <t>IS_Hist!F19 / IS_Hist!F18</t>
  </si>
  <si>
    <t>Enlace vivo. ETR reportada por Apple en FY2025: 15.6%. FY2024 fue 24.1% por el cargo de ayuda estatal de la UE</t>
  </si>
  <si>
    <t>Memo — tasa estatutaria federal de EE.UU.</t>
  </si>
  <si>
    <t>10-K FY2025, Nota 6 'Income Taxes'</t>
  </si>
  <si>
    <t>Referencia para una versión marginal del escudo fiscal</t>
  </si>
  <si>
    <t>Costo de deuda después de impuestos</t>
  </si>
  <si>
    <t>Calculado: Kd x (1 − t)</t>
  </si>
  <si>
    <t>Valor de mercado del capital (E)</t>
  </si>
  <si>
    <t>Deuda bruta (D)</t>
  </si>
  <si>
    <t>Valor en libros como proxy del valor de mercado; el valor razonable de las notas fijas al 2025-09-27 era USD 80,400m (10-K FY2025, R58)</t>
  </si>
  <si>
    <t>Capital total (D+E)</t>
  </si>
  <si>
    <t>Peso del capital propio</t>
  </si>
  <si>
    <t>Peso de la deuda</t>
  </si>
  <si>
    <t>Calculado: We x Ke + Wd x Kd x (1 − t)</t>
  </si>
  <si>
    <t>Fórmula viva: mover B30, B31, B32 o B34 mueve el WACC</t>
  </si>
  <si>
    <t>Memo — WACC usado hoy en el DCF</t>
  </si>
  <si>
    <t>Assumptions!F20 (escenario activo del selector Assumptions!B3)</t>
  </si>
  <si>
    <t>Memo — diferencia (este paquete − modelo)</t>
  </si>
  <si>
    <t>4. MÚLTIPLOS IMPLÍCITOS vs FY2025A DEL MODELO</t>
  </si>
  <si>
    <t>Ventas netas FY2025A</t>
  </si>
  <si>
    <t>IS_Hist!F7</t>
  </si>
  <si>
    <t>Utilidad operativa FY2025A</t>
  </si>
  <si>
    <t>IS_Hist!F16</t>
  </si>
  <si>
    <t>Depreciación y amortización FY2025A</t>
  </si>
  <si>
    <t>CF_Hist!F8</t>
  </si>
  <si>
    <t>EBITDA FY2025A (calc)</t>
  </si>
  <si>
    <t>Calculado: EBIT + D&amp;A</t>
  </si>
  <si>
    <t>Apple no publica EBITDA; es una construcción del analista</t>
  </si>
  <si>
    <t>Utilidad neta FY2025A</t>
  </si>
  <si>
    <t>IS_Hist!F20</t>
  </si>
  <si>
    <t>UPA diluida FY2025A</t>
  </si>
  <si>
    <t>IS_Hist!F23</t>
  </si>
  <si>
    <t>Flujo de efectivo de operación FY2025A</t>
  </si>
  <si>
    <t>CF_Hist!F18</t>
  </si>
  <si>
    <t>Capex FY2025A</t>
  </si>
  <si>
    <t>CF_Hist!F23 (publicado como salida negativa)</t>
  </si>
  <si>
    <t>Enlace vivo con signo invertido</t>
  </si>
  <si>
    <t>Flujo de caja libre FY2025A (CFO − capex)</t>
  </si>
  <si>
    <t>P/E (cap. de mercado / utilidad neta)</t>
  </si>
  <si>
    <t>P/E (precio / UPA diluida)</t>
  </si>
  <si>
    <t>Difiere levemente del anterior porque usa acciones diluidas promedio y no acciones en circulación</t>
  </si>
  <si>
    <t>EV / Ventas</t>
  </si>
  <si>
    <t>EV / EBITDA</t>
  </si>
  <si>
    <t>EV / EBIT</t>
  </si>
  <si>
    <t>FCF yield (FCF / cap. de mercado)</t>
  </si>
  <si>
    <t>Dividend yield (dividendos pagados FY2025A / cap. de mercado)</t>
  </si>
  <si>
    <t>CF_Hist!F28</t>
  </si>
  <si>
    <t>Sobre dividendos efectivamente pagados, no sobre el dividendo declarado corriente</t>
  </si>
  <si>
    <t>Buyback yield (recompras FY2025A / cap. de mercado)</t>
  </si>
  <si>
    <t>CF_Hist!F29</t>
  </si>
  <si>
    <t>Rendimiento total al accionista</t>
  </si>
  <si>
    <t>5. MEMO LTM — hasta el Q3 FY2026 (10-Q del periodo terminado 2026-06-27). FUERA del perímetro auditado del modelo.</t>
  </si>
  <si>
    <t>Ventas netas 9M FY2026</t>
  </si>
  <si>
    <t>10-Q Q3 FY2026 (accn 0000320193-26-000020), Estado Condensado de Operaciones (R2)</t>
  </si>
  <si>
    <t>Ventas netas 9M FY2025</t>
  </si>
  <si>
    <t>10-Q Q3 FY2026, columna comparativa</t>
  </si>
  <si>
    <t>Ventas netas LTM</t>
  </si>
  <si>
    <t>Calculado: FY2025A − 9M FY2025 + 9M FY2026</t>
  </si>
  <si>
    <t>Utilidad operativa 9M FY2026</t>
  </si>
  <si>
    <t>10-Q Q3 FY2026, R2</t>
  </si>
  <si>
    <t>Utilidad operativa 9M FY2025</t>
  </si>
  <si>
    <t>Utilidad operativa LTM</t>
  </si>
  <si>
    <t>Utilidad neta 9M FY2026</t>
  </si>
  <si>
    <t>Utilidad neta 9M FY2025</t>
  </si>
  <si>
    <t>Utilidad neta LTM</t>
  </si>
  <si>
    <t>P/E LTM</t>
  </si>
  <si>
    <t>EV / Ventas LTM</t>
  </si>
  <si>
    <t>Usa el EV construido con el balance FY2025A</t>
  </si>
  <si>
    <t>EV / EBIT LTM</t>
  </si>
  <si>
    <t>Efectivo e inversiones al 2026-06-27</t>
  </si>
  <si>
    <t>10-Q Q3 FY2026, balance condensado (R4): 39,544 + 22,855 + 84,118</t>
  </si>
  <si>
    <t>Ancla de vintage distinto: el check 52 exige que B17 (caja FY2025A del modelo) quede dentro de ±15% de esta cifra</t>
  </si>
  <si>
    <t>Deuda bruta al 2026-06-27</t>
  </si>
  <si>
    <t>10-Q Q3 FY2026, balance condensado (R4): 1,997 + 11,007 + 71,340</t>
  </si>
  <si>
    <t>Ancla de vintage distinto: el check 53 exige que B21 (deuda FY2025A del modelo) quede dentro de ±25% de esta cifra (la deriva real ya es +17.0%)</t>
  </si>
  <si>
    <t>EV con el balance al 2026-06-27</t>
  </si>
  <si>
    <t>Referencia: no se usa en los múltiplos de arriba para no mezclar perímetros</t>
  </si>
  <si>
    <t>Memo — diferencia vs el EV con balance FY2025A</t>
  </si>
  <si>
    <t>6. CONTROL DE PROCEDENCIA (todo input de mercado debe traer fuente y fecha)</t>
  </si>
  <si>
    <t>Inputs de mercado sujetos a control</t>
  </si>
  <si>
    <t>conteo</t>
  </si>
  <si>
    <t>B7 precio, B8 acciones, B30 Rf, B31 ERP, B32 beta, B34 Kd</t>
  </si>
  <si>
    <t>Los demás valores de la hoja son enlaces vivos a hojas históricas o cálculos</t>
  </si>
  <si>
    <t>Inputs sin fuente</t>
  </si>
  <si>
    <t>Inputs sin fecha valida (ausente o escrita como texto en vez de serial de fecha)</t>
  </si>
  <si>
    <t>Debe ser 0. Una fecha escrita como texto (por ejemplo "2026-08") cuenta como invalida</t>
  </si>
  <si>
    <t>Estado de procedencia</t>
  </si>
  <si>
    <t>estado</t>
  </si>
  <si>
    <t>Inputs de cotización diaria desfasados (más de 5 días entre sí) o paquete entero obsoleto (más de 10 días contra HOY() al recalcular)</t>
  </si>
  <si>
    <t>Debe ser 0. Cubre precio (D7), Rf (D30) y Kd (D34) entre sí, y desde 2026-08-14 también la frescura ABSOLUTA: si la observación más reciente del paquete es anterior a HOY()−10 (TODAY() recalcula al abrir), cae en FAIL aunque las fechas estén alineadas entre sí — antes, poner las cuatro fechas en enero pasaba. El libro caduca solo: es diseño, no defecto. Excluye a propósito la ERP (D31, serie anual de Damodaran) y el conteo de acciones (D8, del 10-Q): observaciones de baja frecuencia, desfase declarado en L2</t>
  </si>
  <si>
    <t>7. LIMITACIONES, HALLAZGOS Y CABLEADO PENDIENTE</t>
  </si>
  <si>
    <t>H1 — El puente de deuda del DCF existente (Valuation!G13 vía Historical!F14) usa solo term debt y omite el papel comercial. La diferencia está cuantificada en B25. Esta hoja NO corrige Valuation: lo expone.</t>
  </si>
  <si>
    <t>H2 — Valuation!G19 tiene el precio de mercado en duro (USD 327.50, as-of 2026-07-15) y Historical!B20 el conteo de acciones de la portada del 10-K FY2025. Para refrescar el DCF bastaría apuntar Valuation!G19 a Market_Package!B7 y Historical!B20 a Market_Package!B8; se deja sin cablear para no mover los outputs ya gateados.</t>
  </si>
  <si>
    <t>H3 — El WACC de esta hoja (B45) se construye desde inputs fechados; el WACC del DCF (Assumptions!C20:E20) es un supuesto de escenario. La diferencia está en B47. Cablear Assumptions!C20 a B45 rompería el diseño de escenarios Base/Bull/Bear, así que se deja como contraste.</t>
  </si>
  <si>
    <t>L1 — La beta es de proveedor (stockanalysis.com), no una estimación propia. Una beta calculada con retornos mensuales de 5 años contra el S&amp;P 500 sería reproducible; el paquete de datos local no trae la serie de precios para hacerlo.</t>
  </si>
  <si>
    <t>L2 — La ERP es la implícita de Damodaran al 2026-01-01, no al 2026-08-13. Es la observación citable más reciente de esa serie; usarla con un Rf de agosto mezcla fechas y está declarado aquí a propósito.</t>
  </si>
  <si>
    <t>L3 — El costo de deuda es un benchmark de índice AA, no una curva propia de Apple. La emisión FY2025 de la propia compañía (B35) es el cross-check del emisor.</t>
  </si>
  <si>
    <t>L4 — El EV mezcla precio del 2026-08-13 con balance del 2025-09-27 (el balance más reciente DEL MODELO, como pide el alcance). El bloque 5 muestra el mismo EV con el balance del 2026-06-27 para dimensionar el desfase.</t>
  </si>
  <si>
    <t>L5 — El control de procedencia del bloque 6 exige desde 2026-08-14 que toda fecha sea un SERIAL de fecha (no texto), que los inputs de cotización diaria (precio, Rf y Kd) no difieran entre sí en más de 5 días, y que la observación más reciente no tenga más de 10 días contra HOY() al recalcular. Antes solo verificaba que la celda no estuviera vacía, y por eso dejó pasar un Kd fechado como texto "2026-08" y desfasado tres días hábiles; y hasta la segunda verificación el desfase era solo relativo, así que un paquete uniformemente obsoleto (las cuatro fechas en enero) pasaba</t>
  </si>
  <si>
    <t>8. ANCLAS DE VINTAGE DISTINTO — 10-Q Q3 FY2026 (accn 0000320193-26-000020, radicado el 2026-07-31), balance condensado R4</t>
  </si>
  <si>
    <t>Efectivo e inversiones al 2025-09-27 según el 10-Q Q3 FY2026 (columna comparativa)</t>
  </si>
  <si>
    <t>10-Q Q3 FY2026 (accn 0000320193-26-000020), R4, columna "Sep. 27, 2025": 35,934 + 18,763 + 77,723</t>
  </si>
  <si>
    <t>Constante tecleada del filing, NO fórmula contra BS_Hist: mismo período que el balance FY2025A del modelo pero publicada en un documento distinto (vintage independiente). Los checks 51 y 52 exigen tie EXACTO contra esta ancla: si alguien corrompe BS_Hist de forma consistente (partida y subtotal a la vez), el tie cae</t>
  </si>
  <si>
    <t>Deuda bruta al 2025-09-27 según el 10-Q Q3 FY2026 (columna comparativa)</t>
  </si>
  <si>
    <t>10-Q Q3 FY2026 (accn 0000320193-26-000020), R4, columna "Sep. 27, 2025": 7,979 + 12,350 + 78,328</t>
  </si>
  <si>
    <t>Constante tecleada del filing. Los checks 51 y 53 exigen tie EXACTO contra esta ancla; incluye papel comercial, deuda a término corriente y no corriente</t>
  </si>
  <si>
    <t>Las cifras al 2026-06-27 de esta misma fuente viven en B82 y B83 (bloque 5) y son las anclas de BANDA de los checks 52 y 53 (±15% caja, ±25% deuda; deriva real observada: caja −9.6%, deuda +17.0% por retiro de papel comercial y deuda a término)</t>
  </si>
  <si>
    <t>Turn #</t>
  </si>
  <si>
    <t>Date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</si>
  <si>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</si>
  <si>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</si>
  <si>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</si>
  <si>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</si>
  <si>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</si>
  <si>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</si>
  <si>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Change_Log: 1 cell written, at B9; Gate_9of10: 3 cells written, at E12, B24, B25; Sources_Audited: 1 cell written, at B10.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</si>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</sst>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.00"/>
    <numFmt numFmtId="166" formatCode="0.0%"/>
    <numFmt numFmtId="167" formatCode="#,##0.000;[RED]\(#,##0.000\);\-"/>
    <numFmt numFmtId="168" formatCode="#,##0.0;[RED]\(#,##0.0\);\-"/>
    <numFmt numFmtId="169" formatCode="#,##0.0"/>
    <numFmt numFmtId="170" formatCode="#,##0"/>
    <numFmt numFmtId="171" formatCode="0.0%;[RED]\(0.0%\);\-"/>
    <numFmt numFmtId="172" formatCode="0"/>
    <numFmt numFmtId="173" formatCode="yyyy-mm-dd"/>
    <numFmt numFmtId="174" formatCode="[$-409]yyyy-mm-dd"/>
    <numFmt numFmtId="175" formatCode="yyyy\-mm\-dd hh:mm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i val="0"/>
      <strike val="0"/>
      <sz val="16"/>
      <color rgb="FFFFFFFF"/>
      <name val="Calibri"/>
      <family val="0"/>
    </font>
    <font>
      <b val="0"/>
      <i/>
      <strike val="0"/>
      <sz val="10"/>
      <color rgb="FF666666"/>
      <name val="Calibri"/>
      <family val="0"/>
    </font>
    <font>
      <b val="0"/>
      <i val="0"/>
      <strike val="0"/>
      <sz val="11"/>
      <name val="Calibri"/>
      <family val="0"/>
    </font>
    <font>
      <b/>
      <i val="0"/>
      <strike val="0"/>
      <sz val="11"/>
      <color rgb="FFFFFFFF"/>
      <name val="Calibri"/>
      <family val="0"/>
    </font>
    <font>
      <b val="0"/>
      <i val="0"/>
      <strike val="0"/>
      <sz val="11"/>
      <color rgb="FF008000"/>
      <name val="Calibri"/>
      <family val="0"/>
    </font>
    <font>
      <b val="0"/>
      <i/>
      <strike val="0"/>
      <sz val="11"/>
      <color rgb="FF666666"/>
      <name val="Calibri"/>
      <family val="0"/>
    </font>
    <font>
      <b/>
      <i val="0"/>
      <strike val="0"/>
      <sz val="11"/>
      <color rgb="FF17365D"/>
      <name val="Calibri"/>
      <family val="0"/>
    </font>
    <font>
      <b/>
      <i val="0"/>
      <strike val="0"/>
      <sz val="11"/>
      <name val="Calibri"/>
      <family val="0"/>
    </font>
    <font>
      <b val="0"/>
      <i val="0"/>
      <strike val="0"/>
      <sz val="11"/>
      <color rgb="FF0000FF"/>
      <name val="Calibri"/>
      <family val="0"/>
    </font>
    <font>
      <b val="0"/>
      <i val="0"/>
      <strike val="0"/>
      <sz val="11"/>
      <color rgb="FF000000"/>
      <name val="Calibri"/>
      <family val="0"/>
    </font>
    <font>
      <b val="0"/>
      <i val="0"/>
      <strike val="0"/>
      <sz val="10"/>
      <name val="Arial"/>
      <family val="2"/>
    </font>
    <font>
      <b/>
      <i val="0"/>
      <strike val="0"/>
    </font>
    <font>
      <b/>
      <i val="0"/>
      <strike val="0"/>
      <sz val="12"/>
    </font>
    <font>
      <b/>
      <i val="0"/>
      <strike val="0"/>
      <sz val="10"/>
      <color rgb="FF000000"/>
      <name val="Arial"/>
      <family val="2"/>
    </font>
    <font>
      <b val="0"/>
      <i val="0"/>
      <strike val="0"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EAF3F8"/>
        <bgColor rgb="FFEAF3F8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2">
    <border/>
    <border diagonalUp="0" diagonalDown="0"/>
  </borders>
  <cellStyleXfs count="1">
    <xf numFmtId="0" fontId="1" fillId="0" borderId="1">
      <alignment horizontal="general" vertical="bottom" textRotation="0" indent="0"/>
      <protection locked="1"/>
    </xf>
  </cellStyleXfs>
  <cellXfs count="46">
    <xf numFmtId="0" fontId="1" fillId="0" borderId="1" xfId="0" applyFont="1" applyBorder="1" applyAlignment="1" applyProtection="1">
      <alignment horizontal="general" vertical="bottom" textRotation="0" indent="0"/>
      <protection locked="1"/>
    </xf>
    <xf numFmtId="164" fontId="2" fillId="2" borderId="1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4" fontId="3" fillId="3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4" fontId="4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4" fontId="5" fillId="4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5" fontId="4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4" fontId="6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5" fontId="6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6" fontId="6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4" fontId="2" fillId="2" borderId="1" xfId="0" applyNumberFormat="1" applyFont="1" applyFill="1" applyBorder="1" applyAlignment="1" applyProtection="1">
      <alignment horizontal="general" vertical="bottom" textRotation="0" indent="0" readingOrder="0"/>
      <protection locked="1"/>
    </xf>
    <xf numFmtId="164" fontId="7" fillId="3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4" fontId="8" fillId="5" borderId="1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7" fontId="4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4" fontId="8" fillId="5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4" fontId="2" fillId="2" borderId="1" xfId="0" applyNumberFormat="1" applyFont="1" applyFill="1" applyBorder="1" applyAlignment="1" applyProtection="1">
      <alignment horizontal="general" vertical="center" textRotation="0" indent="0" readingOrder="0"/>
      <protection locked="1"/>
    </xf>
    <xf numFmtId="164" fontId="3" fillId="3" borderId="1" xfId="0" applyNumberFormat="1" applyFont="1" applyFill="1" applyBorder="1" applyAlignment="1" applyProtection="1">
      <alignment horizontal="general" vertical="bottom" textRotation="0" indent="0" readingOrder="0"/>
      <protection locked="1"/>
    </xf>
    <xf numFmtId="164" fontId="9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8" fontId="4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4" fontId="8" fillId="5" borderId="1" xfId="0" applyNumberFormat="1" applyFont="1" applyFill="1" applyBorder="1" applyAlignment="1" applyProtection="1">
      <alignment horizontal="general" vertical="bottom" textRotation="0" indent="0" readingOrder="0"/>
      <protection locked="1"/>
    </xf>
    <xf numFmtId="169" fontId="4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70" fontId="4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4" fontId="10" fillId="6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71" fontId="10" fillId="6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71" fontId="11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8" fontId="6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5" fontId="4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6" fontId="4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6" fontId="8" fillId="5" borderId="1" xfId="0" applyNumberFormat="1" applyFont="1" applyFill="1" applyBorder="1" applyAlignment="1" applyProtection="1">
      <alignment horizontal="general" vertical="center" textRotation="0" wrapText="1" indent="0" readingOrder="0"/>
      <protection locked="1"/>
    </xf>
    <xf numFmtId="167" fontId="8" fillId="5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8" fontId="4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6" fontId="4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72" fontId="4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73" fontId="12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4" fontId="13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8" fontId="12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9" fontId="12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4" fontId="14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71" fontId="12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71" fontId="1" fillId="0" borderId="1" xfId="0" applyNumberFormat="1" applyFont="1" applyBorder="1" applyAlignment="1" applyProtection="1">
      <alignment horizontal="general" vertical="bottom" textRotation="0" indent="0"/>
      <protection locked="1"/>
    </xf>
    <xf numFmtId="165" fontId="1" fillId="0" borderId="1" xfId="0" applyNumberFormat="1" applyFont="1" applyBorder="1" applyAlignment="1" applyProtection="1">
      <alignment horizontal="general" vertical="bottom" textRotation="0" indent="0"/>
      <protection locked="1"/>
    </xf>
    <xf numFmtId="168" fontId="1" fillId="0" borderId="1" xfId="0" applyNumberFormat="1" applyFont="1" applyBorder="1" applyAlignment="1" applyProtection="1">
      <alignment horizontal="general" vertical="bottom" textRotation="0" indent="0"/>
      <protection locked="1"/>
    </xf>
    <xf numFmtId="174" fontId="1" fillId="0" borderId="1" xfId="0" applyNumberFormat="1" applyFont="1" applyBorder="1" applyAlignment="1" applyProtection="1">
      <alignment horizontal="general" vertical="bottom" textRotation="0" indent="0"/>
      <protection locked="1"/>
    </xf>
    <xf numFmtId="174" fontId="0" fillId="0" borderId="0" xfId="0" applyNumberFormat="1"/>
    <xf numFmtId="0" fontId="15" fillId="0" borderId="1" xfId="0" applyFont="1" applyFill="1" applyBorder="1" applyProtection="1">
      <protection locked="1" hidden="0"/>
    </xf>
    <xf numFmtId="0" fontId="16" fillId="0" borderId="1" xfId="0" applyFont="1" applyFill="1" applyBorder="1" applyAlignment="1" applyProtection="1">
      <alignment vertical="top" textRotation="0" indent="0"/>
      <protection locked="1" hidden="0"/>
    </xf>
    <xf numFmtId="175" fontId="16" fillId="0" borderId="1" xfId="0" applyNumberFormat="1" applyFont="1" applyFill="1" applyBorder="1" applyAlignment="1" applyProtection="1">
      <alignment vertical="top" textRotation="0" indent="0"/>
      <protection locked="1" hidden="0"/>
    </xf>
  </cellXfs>
  <cellStyles count="1">
    <cellStyle name="Normal" xfId="0" builtinId="0"/>
  </cellStyles>
  <dxfs count="10"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E2F0D9"/>
          <bgColor rgb="FFE2F0D9"/>
        </patternFill>
      </fill>
    </dxf>
    <dxf>
      <font>
        <b/>
        <color rgb="FF9C0006"/>
      </font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61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30"/>
  <sheetViews>
    <sheetView showGridLines="0" tabSelected="1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2" customWidth="1"/>
    <col min="2" max="2" width="30" customWidth="1"/>
    <col min="3" max="8" width="13" customWidth="1"/>
  </cols>
  <sheetData>
    <row r="1" ht="28" hidden="0" outlineLevel="0" collapsed="0">
      <c r="A1" s="1" t="s">
        <v>0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1</v>
      </c>
      <c r="B2" s="2"/>
      <c r="C2" s="2"/>
      <c r="D2" s="2"/>
      <c r="E2" s="2"/>
      <c r="F2" s="2"/>
      <c r="G2" s="2"/>
      <c r="H2" s="2"/>
    </row>
    <row r="3" hidden="0" outlineLevel="0" collapsed="0">
      <c r="A3" s="3"/>
      <c r="B3" s="3"/>
      <c r="C3" s="3"/>
      <c r="D3" s="3"/>
      <c r="E3" s="3"/>
      <c r="F3" s="3"/>
      <c r="G3" s="3"/>
      <c r="H3" s="3"/>
    </row>
    <row r="4" ht="21" hidden="0" outlineLevel="0" collapsed="0">
      <c r="A4" s="4" t="s">
        <v>2</v>
      </c>
      <c r="B4" s="4"/>
      <c r="C4" s="4"/>
      <c r="D4" s="4"/>
      <c r="E4" s="4"/>
      <c r="F4" s="4"/>
      <c r="G4" s="4"/>
      <c r="H4" s="4"/>
    </row>
    <row r="5" hidden="0" outlineLevel="0" collapsed="0">
      <c r="A5" s="3" t="s">
        <v>3</v>
      </c>
      <c r="B5" s="3" t="s">
        <v>4</v>
      </c>
      <c r="C5" s="3"/>
      <c r="D5" s="3"/>
      <c r="E5" s="3"/>
      <c r="F5" s="3"/>
      <c r="G5" s="3"/>
      <c r="H5" s="3"/>
    </row>
    <row r="6" hidden="0" outlineLevel="0" collapsed="0">
      <c r="A6" s="3" t="s">
        <v>5</v>
      </c>
      <c r="B6" s="3" t="s">
        <v>6</v>
      </c>
      <c r="C6" s="3"/>
      <c r="D6" s="3"/>
      <c r="E6" s="3"/>
      <c r="F6" s="3"/>
      <c r="G6" s="3"/>
      <c r="H6" s="3"/>
    </row>
    <row r="7" hidden="0" outlineLevel="0" collapsed="0">
      <c r="A7" s="3" t="s">
        <v>7</v>
      </c>
      <c r="B7" s="3" t="s">
        <v>8</v>
      </c>
      <c r="C7" s="3"/>
      <c r="D7" s="3"/>
      <c r="E7" s="3"/>
      <c r="F7" s="3"/>
      <c r="G7" s="3"/>
      <c r="H7" s="3"/>
    </row>
    <row r="8" hidden="0" outlineLevel="0" collapsed="0">
      <c r="A8" s="3" t="s">
        <v>9</v>
      </c>
      <c r="B8" s="3" t="s">
        <v>10</v>
      </c>
      <c r="C8" s="3"/>
      <c r="D8" s="3"/>
      <c r="E8" s="3"/>
      <c r="F8" s="3"/>
      <c r="G8" s="3"/>
      <c r="H8" s="3"/>
    </row>
    <row r="9" hidden="0" outlineLevel="0" collapsed="0">
      <c r="A9" s="3" t="s">
        <v>11</v>
      </c>
      <c r="B9" s="5">
        <v>327.5</v>
      </c>
      <c r="C9" s="3"/>
      <c r="D9" s="3"/>
      <c r="E9" s="3"/>
      <c r="F9" s="3"/>
      <c r="G9" s="3"/>
      <c r="H9" s="3"/>
    </row>
    <row r="10" hidden="0" outlineLevel="0" collapsed="0">
      <c r="A10" s="3" t="s">
        <v>12</v>
      </c>
      <c r="B10" s="5" t="s">
        <v>13</v>
      </c>
      <c r="C10" s="3"/>
      <c r="D10" s="3"/>
      <c r="E10" s="3"/>
      <c r="F10" s="3"/>
      <c r="G10" s="3"/>
      <c r="H10" s="3"/>
    </row>
    <row r="11" hidden="0" outlineLevel="0" collapsed="0">
      <c r="A11" s="3" t="s">
        <v>14</v>
      </c>
      <c r="B11" s="6" t="str">
        <f>Assumptions!B4</f>
        <v>Base</v>
      </c>
      <c r="C11" s="3"/>
      <c r="D11" s="3"/>
      <c r="E11" s="3"/>
      <c r="F11" s="3"/>
      <c r="G11" s="3"/>
      <c r="H11" s="3"/>
    </row>
    <row r="12" hidden="0" outlineLevel="0" collapsed="0">
      <c r="A12" s="3" t="s">
        <v>15</v>
      </c>
      <c r="B12" s="7">
        <f>Valuation!G18</f>
        <v>136.40516759183106</v>
      </c>
      <c r="C12" s="3"/>
      <c r="D12" s="3"/>
      <c r="E12" s="3"/>
      <c r="F12" s="3"/>
      <c r="G12" s="3"/>
      <c r="H12" s="3"/>
    </row>
    <row r="13" hidden="0" outlineLevel="0" collapsed="0">
      <c r="A13" s="3" t="s">
        <v>16</v>
      </c>
      <c r="B13" s="8">
        <f>Valuation!G20</f>
        <v>-0.583495671475325</v>
      </c>
      <c r="C13" s="3"/>
      <c r="D13" s="3"/>
      <c r="E13" s="3"/>
      <c r="F13" s="3"/>
      <c r="G13" s="3"/>
      <c r="H13" s="3"/>
    </row>
    <row r="14" ht="23.85" hidden="0" outlineLevel="0" collapsed="0">
      <c r="A14" s="3" t="s">
        <v>17</v>
      </c>
      <c r="B14" s="6" t="str">
        <f>Gate_9of10!B17</f>
        <v>OWNER READY — INDEPENDENT REVIEW REQUIRED</v>
      </c>
      <c r="C14" s="3"/>
      <c r="D14" s="3"/>
      <c r="E14" s="3"/>
      <c r="F14" s="3"/>
      <c r="G14" s="3"/>
      <c r="H14" s="3"/>
    </row>
    <row r="15" ht="45" hidden="0" outlineLevel="0" collapsed="0">
      <c r="A15" s="3"/>
      <c r="B15" s="3"/>
      <c r="C15" s="3"/>
      <c r="D15" s="3"/>
      <c r="E15" s="3"/>
      <c r="F15" s="3"/>
      <c r="G15" s="3"/>
      <c r="H15" s="3"/>
    </row>
    <row r="16" ht="21" hidden="0" outlineLevel="0" collapsed="0">
      <c r="A16" s="4" t="s">
        <v>18</v>
      </c>
      <c r="B16" s="4"/>
      <c r="C16" s="4"/>
      <c r="D16" s="4"/>
      <c r="E16" s="4"/>
      <c r="F16" s="4"/>
      <c r="G16" s="4"/>
      <c r="H16" s="4"/>
    </row>
    <row r="17" hidden="0" outlineLevel="0" collapsed="0">
      <c r="A17" s="3" t="s">
        <v>19</v>
      </c>
      <c r="B17" s="3" t="s">
        <v>20</v>
      </c>
      <c r="C17" s="3"/>
      <c r="D17" s="3"/>
      <c r="E17" s="3"/>
      <c r="F17" s="3"/>
      <c r="G17" s="3"/>
      <c r="H17" s="3"/>
    </row>
    <row r="18" hidden="0" outlineLevel="0" collapsed="0">
      <c r="A18" s="3" t="s">
        <v>21</v>
      </c>
      <c r="B18" s="3" t="s">
        <v>22</v>
      </c>
      <c r="C18" s="3"/>
      <c r="D18" s="3"/>
      <c r="E18" s="3"/>
      <c r="F18" s="3"/>
      <c r="G18" s="3"/>
      <c r="H18" s="3"/>
    </row>
    <row r="19" hidden="0" outlineLevel="0" collapsed="0">
      <c r="A19" s="3" t="s">
        <v>23</v>
      </c>
      <c r="B19" s="3" t="s">
        <v>24</v>
      </c>
      <c r="C19" s="3"/>
      <c r="D19" s="3"/>
      <c r="E19" s="3"/>
      <c r="F19" s="3"/>
      <c r="G19" s="3"/>
      <c r="H19" s="3"/>
    </row>
    <row r="20" hidden="0" outlineLevel="0" collapsed="0">
      <c r="A20" s="3" t="s">
        <v>25</v>
      </c>
      <c r="B20" s="3" t="s">
        <v>26</v>
      </c>
      <c r="C20" s="3"/>
      <c r="D20" s="3"/>
      <c r="E20" s="3"/>
      <c r="F20" s="3"/>
      <c r="G20" s="3"/>
      <c r="H20" s="3"/>
    </row>
    <row r="21" hidden="0" outlineLevel="0" collapsed="0">
      <c r="A21" s="3" t="s">
        <v>27</v>
      </c>
      <c r="B21" s="3" t="s">
        <v>28</v>
      </c>
      <c r="C21" s="3"/>
      <c r="D21" s="3"/>
      <c r="E21" s="3"/>
      <c r="F21" s="3"/>
      <c r="G21" s="3"/>
      <c r="H21" s="3"/>
    </row>
    <row r="22" hidden="0" outlineLevel="0" collapsed="0">
      <c r="A22" s="3" t="s">
        <v>29</v>
      </c>
      <c r="B22" s="3" t="s">
        <v>30</v>
      </c>
      <c r="C22" s="3"/>
      <c r="D22" s="3"/>
      <c r="E22" s="3"/>
      <c r="F22" s="3"/>
      <c r="G22" s="3"/>
      <c r="H22" s="3"/>
    </row>
    <row r="23" hidden="0" outlineLevel="0" collapsed="0">
      <c r="A23" s="3"/>
      <c r="B23" s="3"/>
      <c r="C23" s="3"/>
      <c r="D23" s="3"/>
      <c r="E23" s="3"/>
      <c r="F23" s="3"/>
      <c r="G23" s="3"/>
      <c r="H23" s="3"/>
    </row>
    <row r="24" hidden="0" outlineLevel="0" collapsed="0">
      <c r="A24" s="3"/>
      <c r="B24" s="3"/>
      <c r="C24" s="3"/>
      <c r="D24" s="3"/>
      <c r="E24" s="3"/>
      <c r="F24" s="3"/>
      <c r="G24" s="3"/>
      <c r="H24" s="3"/>
    </row>
    <row r="25" hidden="0" outlineLevel="0" collapsed="0">
      <c r="A25" s="3"/>
      <c r="B25" s="3"/>
      <c r="C25" s="3"/>
      <c r="D25" s="3"/>
      <c r="E25" s="3"/>
      <c r="F25" s="3"/>
      <c r="G25" s="3"/>
      <c r="H25" s="3"/>
    </row>
    <row r="26" hidden="0" outlineLevel="0" collapsed="0">
      <c r="A26" s="3"/>
      <c r="B26" s="3"/>
      <c r="C26" s="3"/>
      <c r="D26" s="3"/>
      <c r="E26" s="3"/>
      <c r="F26" s="3"/>
      <c r="G26" s="3"/>
      <c r="H26" s="3"/>
    </row>
    <row r="27" hidden="0" outlineLevel="0" collapsed="0">
      <c r="A27" s="3"/>
      <c r="B27" s="3"/>
      <c r="C27" s="3"/>
      <c r="D27" s="3"/>
      <c r="E27" s="3"/>
      <c r="F27" s="3"/>
      <c r="G27" s="3"/>
      <c r="H27" s="3"/>
    </row>
    <row r="28" hidden="0" outlineLevel="0" collapsed="0">
      <c r="A28" s="3"/>
      <c r="B28" s="3"/>
      <c r="C28" s="3"/>
      <c r="D28" s="3"/>
      <c r="E28" s="3"/>
      <c r="F28" s="3"/>
      <c r="G28" s="3"/>
      <c r="H28" s="3"/>
    </row>
    <row r="29" hidden="0" outlineLevel="0" collapsed="0">
      <c r="A29" s="3"/>
      <c r="B29" s="3"/>
      <c r="C29" s="3"/>
      <c r="D29" s="3"/>
      <c r="E29" s="3"/>
      <c r="F29" s="3"/>
      <c r="G29" s="3"/>
      <c r="H29" s="3"/>
    </row>
    <row r="30" hidden="0" outlineLevel="0" collapsed="0">
      <c r="A30" s="3"/>
      <c r="B30" s="3"/>
      <c r="C30" s="3"/>
      <c r="D30" s="3"/>
      <c r="E30" s="3"/>
      <c r="F30" s="3"/>
      <c r="G30" s="3"/>
      <c r="H30" s="3"/>
    </row>
  </sheetData>
  <mergeCells count="11">
    <mergeCell ref="A1:H1"/>
    <mergeCell ref="A2:H2"/>
    <mergeCell ref="A4:H4"/>
    <mergeCell ref="A15:H15"/>
    <mergeCell ref="A16:H16"/>
    <mergeCell ref="B17:H17"/>
    <mergeCell ref="B18:H18"/>
    <mergeCell ref="B19:H19"/>
    <mergeCell ref="B20:H20"/>
    <mergeCell ref="B21:H21"/>
    <mergeCell ref="B22:H2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V98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0" customWidth="1"/>
    <col min="2" max="2" width="24" customWidth="1"/>
    <col min="3" max="3" width="22" customWidth="1"/>
    <col min="4" max="4" width="28" customWidth="1"/>
    <col min="5" max="7" width="16" customWidth="1"/>
    <col min="8" max="8" width="10" customWidth="1"/>
    <col min="9" max="9" width="35" customWidth="1"/>
    <col min="10" max="11" width="15" customWidth="1"/>
    <col min="12" max="12" width="14" customWidth="1"/>
    <col min="13" max="13" width="10" customWidth="1"/>
    <col min="14" max="14" width="13" customWidth="1"/>
    <col min="15" max="15" width="24" customWidth="1"/>
    <col min="16" max="16" width="45" customWidth="1"/>
    <col min="17" max="17" width="13" customWidth="1"/>
    <col min="18" max="18" width="27" customWidth="1"/>
    <col min="19" max="21" width="36" customWidth="1"/>
    <col min="22" max="22" width="12" customWidth="1"/>
  </cols>
  <sheetData>
    <row r="1" ht="28" hidden="0" outlineLevel="0" collapsed="0">
      <c r="A1" s="9" t="s">
        <v>31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ht="26" hidden="0" outlineLevel="0" collapsed="0">
      <c r="A2" s="10" t="s">
        <v>32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4" hidden="0" outlineLevel="0" collapsed="0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  <c r="O4" s="11" t="s">
        <v>47</v>
      </c>
      <c r="P4" s="11" t="s">
        <v>48</v>
      </c>
      <c r="Q4" s="11" t="s">
        <v>49</v>
      </c>
      <c r="R4" s="11" t="s">
        <v>50</v>
      </c>
      <c r="S4" s="11" t="s">
        <v>51</v>
      </c>
      <c r="T4" s="11" t="s">
        <v>52</v>
      </c>
      <c r="U4" s="11" t="s">
        <v>53</v>
      </c>
      <c r="V4" s="11" t="s">
        <v>54</v>
      </c>
    </row>
    <row r="5" ht="35.05" hidden="0" outlineLevel="0" collapsed="0">
      <c r="A5" s="3">
        <v>1</v>
      </c>
      <c r="B5" s="3" t="s">
        <v>4</v>
      </c>
      <c r="C5" s="3" t="s">
        <v>55</v>
      </c>
      <c r="D5" s="3" t="s">
        <v>56</v>
      </c>
      <c r="E5" s="3" t="s">
        <v>57</v>
      </c>
      <c r="F5" s="12">
        <v>365817</v>
      </c>
      <c r="G5" s="3" t="s">
        <v>58</v>
      </c>
      <c r="H5" s="3" t="s">
        <v>59</v>
      </c>
      <c r="I5" s="3" t="s">
        <v>60</v>
      </c>
      <c r="J5" s="3" t="s">
        <v>61</v>
      </c>
      <c r="K5" s="3" t="s">
        <v>62</v>
      </c>
      <c r="L5" s="3" t="s">
        <v>63</v>
      </c>
      <c r="M5" s="3" t="s">
        <v>64</v>
      </c>
      <c r="N5" s="3" t="s">
        <v>65</v>
      </c>
      <c r="O5" s="3" t="s">
        <v>66</v>
      </c>
      <c r="P5" s="3" t="s">
        <v>67</v>
      </c>
      <c r="Q5" s="3" t="s">
        <v>68</v>
      </c>
      <c r="R5" s="3" t="s">
        <v>69</v>
      </c>
      <c r="S5" s="3" t="s">
        <v>70</v>
      </c>
      <c r="T5" s="3" t="s">
        <v>71</v>
      </c>
      <c r="U5" s="3" t="s">
        <v>72</v>
      </c>
      <c r="V5" s="3" t="str">
        <f>IF(COUNTA(A5:U5)=21,"OK","MISSING")</f>
        <v>OK</v>
      </c>
    </row>
    <row r="6" ht="35.05" hidden="0" outlineLevel="0" collapsed="0">
      <c r="A6" s="3">
        <v>2</v>
      </c>
      <c r="B6" s="3" t="s">
        <v>4</v>
      </c>
      <c r="C6" s="3" t="s">
        <v>73</v>
      </c>
      <c r="D6" s="3" t="s">
        <v>56</v>
      </c>
      <c r="E6" s="3" t="s">
        <v>74</v>
      </c>
      <c r="F6" s="12">
        <v>394328</v>
      </c>
      <c r="G6" s="3" t="s">
        <v>58</v>
      </c>
      <c r="H6" s="3" t="s">
        <v>59</v>
      </c>
      <c r="I6" s="3" t="s">
        <v>60</v>
      </c>
      <c r="J6" s="3" t="s">
        <v>75</v>
      </c>
      <c r="K6" s="3" t="s">
        <v>76</v>
      </c>
      <c r="L6" s="3" t="s">
        <v>77</v>
      </c>
      <c r="M6" s="3" t="s">
        <v>64</v>
      </c>
      <c r="N6" s="3" t="s">
        <v>78</v>
      </c>
      <c r="O6" s="3" t="s">
        <v>79</v>
      </c>
      <c r="P6" s="3" t="s">
        <v>80</v>
      </c>
      <c r="Q6" s="3" t="s">
        <v>68</v>
      </c>
      <c r="R6" s="3" t="s">
        <v>69</v>
      </c>
      <c r="S6" s="3" t="s">
        <v>70</v>
      </c>
      <c r="T6" s="3" t="s">
        <v>71</v>
      </c>
      <c r="U6" s="3" t="s">
        <v>72</v>
      </c>
      <c r="V6" s="3" t="str">
        <f>IF(COUNTA(A6:U6)=21,"OK","MISSING")</f>
        <v>OK</v>
      </c>
    </row>
    <row r="7" ht="35.05" hidden="0" outlineLevel="0" collapsed="0">
      <c r="A7" s="3">
        <v>3</v>
      </c>
      <c r="B7" s="3" t="s">
        <v>4</v>
      </c>
      <c r="C7" s="3" t="s">
        <v>81</v>
      </c>
      <c r="D7" s="3" t="s">
        <v>56</v>
      </c>
      <c r="E7" s="3" t="s">
        <v>82</v>
      </c>
      <c r="F7" s="12">
        <v>383285</v>
      </c>
      <c r="G7" s="3" t="s">
        <v>58</v>
      </c>
      <c r="H7" s="3" t="s">
        <v>59</v>
      </c>
      <c r="I7" s="3" t="s">
        <v>60</v>
      </c>
      <c r="J7" s="3" t="s">
        <v>83</v>
      </c>
      <c r="K7" s="3" t="s">
        <v>84</v>
      </c>
      <c r="L7" s="3" t="s">
        <v>85</v>
      </c>
      <c r="M7" s="3" t="s">
        <v>64</v>
      </c>
      <c r="N7" s="3" t="s">
        <v>86</v>
      </c>
      <c r="O7" s="3" t="s">
        <v>10</v>
      </c>
      <c r="P7" s="3" t="s">
        <v>87</v>
      </c>
      <c r="Q7" s="3" t="s">
        <v>68</v>
      </c>
      <c r="R7" s="3" t="s">
        <v>69</v>
      </c>
      <c r="S7" s="3" t="s">
        <v>70</v>
      </c>
      <c r="T7" s="3" t="s">
        <v>71</v>
      </c>
      <c r="U7" s="3" t="s">
        <v>72</v>
      </c>
      <c r="V7" s="3" t="str">
        <f>IF(COUNTA(A7:U7)=21,"OK","MISSING")</f>
        <v>OK</v>
      </c>
    </row>
    <row r="8" ht="35.05" hidden="0" outlineLevel="0" collapsed="0">
      <c r="A8" s="3">
        <v>4</v>
      </c>
      <c r="B8" s="3" t="s">
        <v>4</v>
      </c>
      <c r="C8" s="3" t="s">
        <v>88</v>
      </c>
      <c r="D8" s="3" t="s">
        <v>56</v>
      </c>
      <c r="E8" s="3" t="s">
        <v>89</v>
      </c>
      <c r="F8" s="12">
        <v>391035</v>
      </c>
      <c r="G8" s="3" t="s">
        <v>58</v>
      </c>
      <c r="H8" s="3" t="s">
        <v>59</v>
      </c>
      <c r="I8" s="3" t="s">
        <v>60</v>
      </c>
      <c r="J8" s="3" t="s">
        <v>90</v>
      </c>
      <c r="K8" s="3" t="s">
        <v>91</v>
      </c>
      <c r="L8" s="3" t="s">
        <v>85</v>
      </c>
      <c r="M8" s="3" t="s">
        <v>64</v>
      </c>
      <c r="N8" s="3" t="s">
        <v>86</v>
      </c>
      <c r="O8" s="3" t="s">
        <v>10</v>
      </c>
      <c r="P8" s="3" t="s">
        <v>87</v>
      </c>
      <c r="Q8" s="3" t="s">
        <v>68</v>
      </c>
      <c r="R8" s="3" t="s">
        <v>69</v>
      </c>
      <c r="S8" s="3" t="s">
        <v>70</v>
      </c>
      <c r="T8" s="3" t="s">
        <v>71</v>
      </c>
      <c r="U8" s="3" t="s">
        <v>72</v>
      </c>
      <c r="V8" s="3" t="str">
        <f>IF(COUNTA(A8:U8)=21,"OK","MISSING")</f>
        <v>OK</v>
      </c>
    </row>
    <row r="9" ht="35.05" hidden="0" outlineLevel="0" collapsed="0">
      <c r="A9" s="3">
        <v>5</v>
      </c>
      <c r="B9" s="3" t="s">
        <v>4</v>
      </c>
      <c r="C9" s="3" t="s">
        <v>92</v>
      </c>
      <c r="D9" s="3" t="s">
        <v>56</v>
      </c>
      <c r="E9" s="3" t="s">
        <v>93</v>
      </c>
      <c r="F9" s="12">
        <v>416161</v>
      </c>
      <c r="G9" s="3" t="s">
        <v>58</v>
      </c>
      <c r="H9" s="3" t="s">
        <v>59</v>
      </c>
      <c r="I9" s="3" t="s">
        <v>60</v>
      </c>
      <c r="J9" s="3" t="s">
        <v>94</v>
      </c>
      <c r="K9" s="3" t="s">
        <v>95</v>
      </c>
      <c r="L9" s="3" t="s">
        <v>85</v>
      </c>
      <c r="M9" s="3" t="s">
        <v>64</v>
      </c>
      <c r="N9" s="3" t="s">
        <v>86</v>
      </c>
      <c r="O9" s="3" t="s">
        <v>10</v>
      </c>
      <c r="P9" s="3" t="s">
        <v>87</v>
      </c>
      <c r="Q9" s="3" t="s">
        <v>68</v>
      </c>
      <c r="R9" s="3" t="s">
        <v>69</v>
      </c>
      <c r="S9" s="3" t="s">
        <v>70</v>
      </c>
      <c r="T9" s="3" t="s">
        <v>71</v>
      </c>
      <c r="U9" s="3" t="s">
        <v>72</v>
      </c>
      <c r="V9" s="3" t="str">
        <f>IF(COUNTA(A9:U9)=21,"OK","MISSING")</f>
        <v>OK</v>
      </c>
    </row>
    <row r="10" ht="35.05" hidden="0" outlineLevel="0" collapsed="0">
      <c r="A10" s="3">
        <v>6</v>
      </c>
      <c r="B10" s="3" t="s">
        <v>4</v>
      </c>
      <c r="C10" s="3" t="s">
        <v>96</v>
      </c>
      <c r="D10" s="3" t="s">
        <v>97</v>
      </c>
      <c r="E10" s="3" t="s">
        <v>57</v>
      </c>
      <c r="F10" s="12">
        <v>152836</v>
      </c>
      <c r="G10" s="3" t="s">
        <v>58</v>
      </c>
      <c r="H10" s="3" t="s">
        <v>59</v>
      </c>
      <c r="I10" s="3" t="s">
        <v>98</v>
      </c>
      <c r="J10" s="3" t="s">
        <v>61</v>
      </c>
      <c r="K10" s="3" t="s">
        <v>62</v>
      </c>
      <c r="L10" s="3" t="s">
        <v>63</v>
      </c>
      <c r="M10" s="3" t="s">
        <v>64</v>
      </c>
      <c r="N10" s="3" t="s">
        <v>65</v>
      </c>
      <c r="O10" s="3" t="s">
        <v>66</v>
      </c>
      <c r="P10" s="3" t="s">
        <v>67</v>
      </c>
      <c r="Q10" s="3" t="s">
        <v>68</v>
      </c>
      <c r="R10" s="3" t="s">
        <v>69</v>
      </c>
      <c r="S10" s="3" t="s">
        <v>70</v>
      </c>
      <c r="T10" s="3" t="s">
        <v>71</v>
      </c>
      <c r="U10" s="3" t="s">
        <v>72</v>
      </c>
      <c r="V10" s="3" t="str">
        <f>IF(COUNTA(A10:U10)=21,"OK","MISSING")</f>
        <v>OK</v>
      </c>
    </row>
    <row r="11" ht="35.05" hidden="0" outlineLevel="0" collapsed="0">
      <c r="A11" s="3">
        <v>7</v>
      </c>
      <c r="B11" s="3" t="s">
        <v>4</v>
      </c>
      <c r="C11" s="3" t="s">
        <v>99</v>
      </c>
      <c r="D11" s="3" t="s">
        <v>97</v>
      </c>
      <c r="E11" s="3" t="s">
        <v>74</v>
      </c>
      <c r="F11" s="12">
        <v>170782</v>
      </c>
      <c r="G11" s="3" t="s">
        <v>58</v>
      </c>
      <c r="H11" s="3" t="s">
        <v>59</v>
      </c>
      <c r="I11" s="3" t="s">
        <v>98</v>
      </c>
      <c r="J11" s="3" t="s">
        <v>75</v>
      </c>
      <c r="K11" s="3" t="s">
        <v>76</v>
      </c>
      <c r="L11" s="3" t="s">
        <v>77</v>
      </c>
      <c r="M11" s="3" t="s">
        <v>64</v>
      </c>
      <c r="N11" s="3" t="s">
        <v>78</v>
      </c>
      <c r="O11" s="3" t="s">
        <v>79</v>
      </c>
      <c r="P11" s="3" t="s">
        <v>80</v>
      </c>
      <c r="Q11" s="3" t="s">
        <v>68</v>
      </c>
      <c r="R11" s="3" t="s">
        <v>69</v>
      </c>
      <c r="S11" s="3" t="s">
        <v>70</v>
      </c>
      <c r="T11" s="3" t="s">
        <v>71</v>
      </c>
      <c r="U11" s="3" t="s">
        <v>72</v>
      </c>
      <c r="V11" s="3" t="str">
        <f>IF(COUNTA(A11:U11)=21,"OK","MISSING")</f>
        <v>OK</v>
      </c>
    </row>
    <row r="12" ht="35.05" hidden="0" outlineLevel="0" collapsed="0">
      <c r="A12" s="3">
        <v>8</v>
      </c>
      <c r="B12" s="3" t="s">
        <v>4</v>
      </c>
      <c r="C12" s="3" t="s">
        <v>100</v>
      </c>
      <c r="D12" s="3" t="s">
        <v>97</v>
      </c>
      <c r="E12" s="3" t="s">
        <v>82</v>
      </c>
      <c r="F12" s="12">
        <v>169148</v>
      </c>
      <c r="G12" s="3" t="s">
        <v>58</v>
      </c>
      <c r="H12" s="3" t="s">
        <v>59</v>
      </c>
      <c r="I12" s="3" t="s">
        <v>98</v>
      </c>
      <c r="J12" s="3" t="s">
        <v>83</v>
      </c>
      <c r="K12" s="3" t="s">
        <v>84</v>
      </c>
      <c r="L12" s="3" t="s">
        <v>85</v>
      </c>
      <c r="M12" s="3" t="s">
        <v>64</v>
      </c>
      <c r="N12" s="3" t="s">
        <v>86</v>
      </c>
      <c r="O12" s="3" t="s">
        <v>10</v>
      </c>
      <c r="P12" s="3" t="s">
        <v>87</v>
      </c>
      <c r="Q12" s="3" t="s">
        <v>68</v>
      </c>
      <c r="R12" s="3" t="s">
        <v>69</v>
      </c>
      <c r="S12" s="3" t="s">
        <v>70</v>
      </c>
      <c r="T12" s="3" t="s">
        <v>71</v>
      </c>
      <c r="U12" s="3" t="s">
        <v>72</v>
      </c>
      <c r="V12" s="3" t="str">
        <f>IF(COUNTA(A12:U12)=21,"OK","MISSING")</f>
        <v>OK</v>
      </c>
    </row>
    <row r="13" ht="35.05" hidden="0" outlineLevel="0" collapsed="0">
      <c r="A13" s="3">
        <v>9</v>
      </c>
      <c r="B13" s="3" t="s">
        <v>4</v>
      </c>
      <c r="C13" s="3" t="s">
        <v>101</v>
      </c>
      <c r="D13" s="3" t="s">
        <v>97</v>
      </c>
      <c r="E13" s="3" t="s">
        <v>89</v>
      </c>
      <c r="F13" s="12">
        <v>180683</v>
      </c>
      <c r="G13" s="3" t="s">
        <v>58</v>
      </c>
      <c r="H13" s="3" t="s">
        <v>59</v>
      </c>
      <c r="I13" s="3" t="s">
        <v>98</v>
      </c>
      <c r="J13" s="3" t="s">
        <v>90</v>
      </c>
      <c r="K13" s="3" t="s">
        <v>91</v>
      </c>
      <c r="L13" s="3" t="s">
        <v>85</v>
      </c>
      <c r="M13" s="3" t="s">
        <v>64</v>
      </c>
      <c r="N13" s="3" t="s">
        <v>86</v>
      </c>
      <c r="O13" s="3" t="s">
        <v>10</v>
      </c>
      <c r="P13" s="3" t="s">
        <v>87</v>
      </c>
      <c r="Q13" s="3" t="s">
        <v>68</v>
      </c>
      <c r="R13" s="3" t="s">
        <v>69</v>
      </c>
      <c r="S13" s="3" t="s">
        <v>70</v>
      </c>
      <c r="T13" s="3" t="s">
        <v>71</v>
      </c>
      <c r="U13" s="3" t="s">
        <v>72</v>
      </c>
      <c r="V13" s="3" t="str">
        <f>IF(COUNTA(A13:U13)=21,"OK","MISSING")</f>
        <v>OK</v>
      </c>
    </row>
    <row r="14" ht="35.05" hidden="0" outlineLevel="0" collapsed="0">
      <c r="A14" s="3">
        <v>10</v>
      </c>
      <c r="B14" s="3" t="s">
        <v>4</v>
      </c>
      <c r="C14" s="3" t="s">
        <v>102</v>
      </c>
      <c r="D14" s="3" t="s">
        <v>97</v>
      </c>
      <c r="E14" s="3" t="s">
        <v>93</v>
      </c>
      <c r="F14" s="12">
        <v>195201</v>
      </c>
      <c r="G14" s="3" t="s">
        <v>58</v>
      </c>
      <c r="H14" s="3" t="s">
        <v>59</v>
      </c>
      <c r="I14" s="3" t="s">
        <v>98</v>
      </c>
      <c r="J14" s="3" t="s">
        <v>94</v>
      </c>
      <c r="K14" s="3" t="s">
        <v>95</v>
      </c>
      <c r="L14" s="3" t="s">
        <v>85</v>
      </c>
      <c r="M14" s="3" t="s">
        <v>64</v>
      </c>
      <c r="N14" s="3" t="s">
        <v>86</v>
      </c>
      <c r="O14" s="3" t="s">
        <v>10</v>
      </c>
      <c r="P14" s="3" t="s">
        <v>87</v>
      </c>
      <c r="Q14" s="3" t="s">
        <v>68</v>
      </c>
      <c r="R14" s="3" t="s">
        <v>69</v>
      </c>
      <c r="S14" s="3" t="s">
        <v>70</v>
      </c>
      <c r="T14" s="3" t="s">
        <v>71</v>
      </c>
      <c r="U14" s="3" t="s">
        <v>72</v>
      </c>
      <c r="V14" s="3" t="str">
        <f>IF(COUNTA(A14:U14)=21,"OK","MISSING")</f>
        <v>OK</v>
      </c>
    </row>
    <row r="15" ht="35.05" hidden="0" outlineLevel="0" collapsed="0">
      <c r="A15" s="3">
        <v>11</v>
      </c>
      <c r="B15" s="3" t="s">
        <v>4</v>
      </c>
      <c r="C15" s="3" t="s">
        <v>103</v>
      </c>
      <c r="D15" s="3" t="s">
        <v>104</v>
      </c>
      <c r="E15" s="3" t="s">
        <v>57</v>
      </c>
      <c r="F15" s="12">
        <v>108949</v>
      </c>
      <c r="G15" s="3" t="s">
        <v>58</v>
      </c>
      <c r="H15" s="3" t="s">
        <v>59</v>
      </c>
      <c r="I15" s="3" t="s">
        <v>105</v>
      </c>
      <c r="J15" s="3" t="s">
        <v>61</v>
      </c>
      <c r="K15" s="3" t="s">
        <v>62</v>
      </c>
      <c r="L15" s="3" t="s">
        <v>63</v>
      </c>
      <c r="M15" s="3" t="s">
        <v>64</v>
      </c>
      <c r="N15" s="3" t="s">
        <v>65</v>
      </c>
      <c r="O15" s="3" t="s">
        <v>66</v>
      </c>
      <c r="P15" s="3" t="s">
        <v>67</v>
      </c>
      <c r="Q15" s="3" t="s">
        <v>68</v>
      </c>
      <c r="R15" s="3" t="s">
        <v>69</v>
      </c>
      <c r="S15" s="3" t="s">
        <v>70</v>
      </c>
      <c r="T15" s="3" t="s">
        <v>71</v>
      </c>
      <c r="U15" s="3" t="s">
        <v>72</v>
      </c>
      <c r="V15" s="3" t="str">
        <f>IF(COUNTA(A15:U15)=21,"OK","MISSING")</f>
        <v>OK</v>
      </c>
    </row>
    <row r="16" ht="35.05" hidden="0" outlineLevel="0" collapsed="0">
      <c r="A16" s="3">
        <v>12</v>
      </c>
      <c r="B16" s="3" t="s">
        <v>4</v>
      </c>
      <c r="C16" s="3" t="s">
        <v>106</v>
      </c>
      <c r="D16" s="3" t="s">
        <v>104</v>
      </c>
      <c r="E16" s="3" t="s">
        <v>74</v>
      </c>
      <c r="F16" s="12">
        <v>119437</v>
      </c>
      <c r="G16" s="3" t="s">
        <v>58</v>
      </c>
      <c r="H16" s="3" t="s">
        <v>59</v>
      </c>
      <c r="I16" s="3" t="s">
        <v>105</v>
      </c>
      <c r="J16" s="3" t="s">
        <v>75</v>
      </c>
      <c r="K16" s="3" t="s">
        <v>76</v>
      </c>
      <c r="L16" s="3" t="s">
        <v>77</v>
      </c>
      <c r="M16" s="3" t="s">
        <v>64</v>
      </c>
      <c r="N16" s="3" t="s">
        <v>78</v>
      </c>
      <c r="O16" s="3" t="s">
        <v>79</v>
      </c>
      <c r="P16" s="3" t="s">
        <v>80</v>
      </c>
      <c r="Q16" s="3" t="s">
        <v>68</v>
      </c>
      <c r="R16" s="3" t="s">
        <v>69</v>
      </c>
      <c r="S16" s="3" t="s">
        <v>70</v>
      </c>
      <c r="T16" s="3" t="s">
        <v>71</v>
      </c>
      <c r="U16" s="3" t="s">
        <v>72</v>
      </c>
      <c r="V16" s="3" t="str">
        <f>IF(COUNTA(A16:U16)=21,"OK","MISSING")</f>
        <v>OK</v>
      </c>
    </row>
    <row r="17" ht="35.05" hidden="0" outlineLevel="0" collapsed="0">
      <c r="A17" s="3">
        <v>13</v>
      </c>
      <c r="B17" s="3" t="s">
        <v>4</v>
      </c>
      <c r="C17" s="3" t="s">
        <v>107</v>
      </c>
      <c r="D17" s="3" t="s">
        <v>104</v>
      </c>
      <c r="E17" s="3" t="s">
        <v>82</v>
      </c>
      <c r="F17" s="12">
        <v>114301</v>
      </c>
      <c r="G17" s="3" t="s">
        <v>58</v>
      </c>
      <c r="H17" s="3" t="s">
        <v>59</v>
      </c>
      <c r="I17" s="3" t="s">
        <v>105</v>
      </c>
      <c r="J17" s="3" t="s">
        <v>83</v>
      </c>
      <c r="K17" s="3" t="s">
        <v>84</v>
      </c>
      <c r="L17" s="3" t="s">
        <v>85</v>
      </c>
      <c r="M17" s="3" t="s">
        <v>64</v>
      </c>
      <c r="N17" s="3" t="s">
        <v>86</v>
      </c>
      <c r="O17" s="3" t="s">
        <v>10</v>
      </c>
      <c r="P17" s="3" t="s">
        <v>87</v>
      </c>
      <c r="Q17" s="3" t="s">
        <v>68</v>
      </c>
      <c r="R17" s="3" t="s">
        <v>69</v>
      </c>
      <c r="S17" s="3" t="s">
        <v>70</v>
      </c>
      <c r="T17" s="3" t="s">
        <v>71</v>
      </c>
      <c r="U17" s="3" t="s">
        <v>72</v>
      </c>
      <c r="V17" s="3" t="str">
        <f>IF(COUNTA(A17:U17)=21,"OK","MISSING")</f>
        <v>OK</v>
      </c>
    </row>
    <row r="18" ht="35.05" hidden="0" outlineLevel="0" collapsed="0">
      <c r="A18" s="3">
        <v>14</v>
      </c>
      <c r="B18" s="3" t="s">
        <v>4</v>
      </c>
      <c r="C18" s="3" t="s">
        <v>108</v>
      </c>
      <c r="D18" s="3" t="s">
        <v>104</v>
      </c>
      <c r="E18" s="3" t="s">
        <v>89</v>
      </c>
      <c r="F18" s="12">
        <v>123216</v>
      </c>
      <c r="G18" s="3" t="s">
        <v>58</v>
      </c>
      <c r="H18" s="3" t="s">
        <v>59</v>
      </c>
      <c r="I18" s="3" t="s">
        <v>105</v>
      </c>
      <c r="J18" s="3" t="s">
        <v>90</v>
      </c>
      <c r="K18" s="3" t="s">
        <v>91</v>
      </c>
      <c r="L18" s="3" t="s">
        <v>85</v>
      </c>
      <c r="M18" s="3" t="s">
        <v>64</v>
      </c>
      <c r="N18" s="3" t="s">
        <v>86</v>
      </c>
      <c r="O18" s="3" t="s">
        <v>10</v>
      </c>
      <c r="P18" s="3" t="s">
        <v>87</v>
      </c>
      <c r="Q18" s="3" t="s">
        <v>68</v>
      </c>
      <c r="R18" s="3" t="s">
        <v>69</v>
      </c>
      <c r="S18" s="3" t="s">
        <v>70</v>
      </c>
      <c r="T18" s="3" t="s">
        <v>71</v>
      </c>
      <c r="U18" s="3" t="s">
        <v>72</v>
      </c>
      <c r="V18" s="3" t="str">
        <f>IF(COUNTA(A18:U18)=21,"OK","MISSING")</f>
        <v>OK</v>
      </c>
    </row>
    <row r="19" ht="35.05" hidden="0" outlineLevel="0" collapsed="0">
      <c r="A19" s="3">
        <v>15</v>
      </c>
      <c r="B19" s="3" t="s">
        <v>4</v>
      </c>
      <c r="C19" s="3" t="s">
        <v>109</v>
      </c>
      <c r="D19" s="3" t="s">
        <v>104</v>
      </c>
      <c r="E19" s="3" t="s">
        <v>93</v>
      </c>
      <c r="F19" s="12">
        <v>133050</v>
      </c>
      <c r="G19" s="3" t="s">
        <v>58</v>
      </c>
      <c r="H19" s="3" t="s">
        <v>59</v>
      </c>
      <c r="I19" s="3" t="s">
        <v>105</v>
      </c>
      <c r="J19" s="3" t="s">
        <v>94</v>
      </c>
      <c r="K19" s="3" t="s">
        <v>95</v>
      </c>
      <c r="L19" s="3" t="s">
        <v>85</v>
      </c>
      <c r="M19" s="3" t="s">
        <v>64</v>
      </c>
      <c r="N19" s="3" t="s">
        <v>86</v>
      </c>
      <c r="O19" s="3" t="s">
        <v>10</v>
      </c>
      <c r="P19" s="3" t="s">
        <v>87</v>
      </c>
      <c r="Q19" s="3" t="s">
        <v>68</v>
      </c>
      <c r="R19" s="3" t="s">
        <v>69</v>
      </c>
      <c r="S19" s="3" t="s">
        <v>70</v>
      </c>
      <c r="T19" s="3" t="s">
        <v>71</v>
      </c>
      <c r="U19" s="3" t="s">
        <v>72</v>
      </c>
      <c r="V19" s="3" t="str">
        <f>IF(COUNTA(A19:U19)=21,"OK","MISSING")</f>
        <v>OK</v>
      </c>
    </row>
    <row r="20" ht="35.05" hidden="0" outlineLevel="0" collapsed="0">
      <c r="A20" s="3">
        <v>16</v>
      </c>
      <c r="B20" s="3" t="s">
        <v>4</v>
      </c>
      <c r="C20" s="3" t="s">
        <v>110</v>
      </c>
      <c r="D20" s="3" t="s">
        <v>111</v>
      </c>
      <c r="E20" s="3" t="s">
        <v>57</v>
      </c>
      <c r="F20" s="12">
        <v>94680</v>
      </c>
      <c r="G20" s="3" t="s">
        <v>58</v>
      </c>
      <c r="H20" s="3" t="s">
        <v>59</v>
      </c>
      <c r="I20" s="3" t="s">
        <v>112</v>
      </c>
      <c r="J20" s="3" t="s">
        <v>61</v>
      </c>
      <c r="K20" s="3" t="s">
        <v>62</v>
      </c>
      <c r="L20" s="3" t="s">
        <v>63</v>
      </c>
      <c r="M20" s="3" t="s">
        <v>64</v>
      </c>
      <c r="N20" s="3" t="s">
        <v>65</v>
      </c>
      <c r="O20" s="3" t="s">
        <v>66</v>
      </c>
      <c r="P20" s="3" t="s">
        <v>67</v>
      </c>
      <c r="Q20" s="3" t="s">
        <v>68</v>
      </c>
      <c r="R20" s="3" t="s">
        <v>69</v>
      </c>
      <c r="S20" s="3" t="s">
        <v>70</v>
      </c>
      <c r="T20" s="3" t="s">
        <v>71</v>
      </c>
      <c r="U20" s="3" t="s">
        <v>72</v>
      </c>
      <c r="V20" s="3" t="str">
        <f>IF(COUNTA(A20:U20)=21,"OK","MISSING")</f>
        <v>OK</v>
      </c>
    </row>
    <row r="21" ht="35.05" hidden="0" outlineLevel="0" collapsed="0">
      <c r="A21" s="3">
        <v>17</v>
      </c>
      <c r="B21" s="3" t="s">
        <v>4</v>
      </c>
      <c r="C21" s="3" t="s">
        <v>113</v>
      </c>
      <c r="D21" s="3" t="s">
        <v>111</v>
      </c>
      <c r="E21" s="3" t="s">
        <v>74</v>
      </c>
      <c r="F21" s="12">
        <v>99803</v>
      </c>
      <c r="G21" s="3" t="s">
        <v>58</v>
      </c>
      <c r="H21" s="3" t="s">
        <v>59</v>
      </c>
      <c r="I21" s="3" t="s">
        <v>112</v>
      </c>
      <c r="J21" s="3" t="s">
        <v>75</v>
      </c>
      <c r="K21" s="3" t="s">
        <v>76</v>
      </c>
      <c r="L21" s="3" t="s">
        <v>77</v>
      </c>
      <c r="M21" s="3" t="s">
        <v>64</v>
      </c>
      <c r="N21" s="3" t="s">
        <v>78</v>
      </c>
      <c r="O21" s="3" t="s">
        <v>79</v>
      </c>
      <c r="P21" s="3" t="s">
        <v>80</v>
      </c>
      <c r="Q21" s="3" t="s">
        <v>68</v>
      </c>
      <c r="R21" s="3" t="s">
        <v>69</v>
      </c>
      <c r="S21" s="3" t="s">
        <v>70</v>
      </c>
      <c r="T21" s="3" t="s">
        <v>71</v>
      </c>
      <c r="U21" s="3" t="s">
        <v>72</v>
      </c>
      <c r="V21" s="3" t="str">
        <f>IF(COUNTA(A21:U21)=21,"OK","MISSING")</f>
        <v>OK</v>
      </c>
    </row>
    <row r="22" ht="35.05" hidden="0" outlineLevel="0" collapsed="0">
      <c r="A22" s="3">
        <v>18</v>
      </c>
      <c r="B22" s="3" t="s">
        <v>4</v>
      </c>
      <c r="C22" s="3" t="s">
        <v>114</v>
      </c>
      <c r="D22" s="3" t="s">
        <v>111</v>
      </c>
      <c r="E22" s="3" t="s">
        <v>82</v>
      </c>
      <c r="F22" s="12">
        <v>96995</v>
      </c>
      <c r="G22" s="3" t="s">
        <v>58</v>
      </c>
      <c r="H22" s="3" t="s">
        <v>59</v>
      </c>
      <c r="I22" s="3" t="s">
        <v>112</v>
      </c>
      <c r="J22" s="3" t="s">
        <v>83</v>
      </c>
      <c r="K22" s="3" t="s">
        <v>84</v>
      </c>
      <c r="L22" s="3" t="s">
        <v>85</v>
      </c>
      <c r="M22" s="3" t="s">
        <v>64</v>
      </c>
      <c r="N22" s="3" t="s">
        <v>86</v>
      </c>
      <c r="O22" s="3" t="s">
        <v>10</v>
      </c>
      <c r="P22" s="3" t="s">
        <v>87</v>
      </c>
      <c r="Q22" s="3" t="s">
        <v>68</v>
      </c>
      <c r="R22" s="3" t="s">
        <v>69</v>
      </c>
      <c r="S22" s="3" t="s">
        <v>70</v>
      </c>
      <c r="T22" s="3" t="s">
        <v>71</v>
      </c>
      <c r="U22" s="3" t="s">
        <v>72</v>
      </c>
      <c r="V22" s="3" t="str">
        <f>IF(COUNTA(A22:U22)=21,"OK","MISSING")</f>
        <v>OK</v>
      </c>
    </row>
    <row r="23" ht="35.05" hidden="0" outlineLevel="0" collapsed="0">
      <c r="A23" s="3">
        <v>19</v>
      </c>
      <c r="B23" s="3" t="s">
        <v>4</v>
      </c>
      <c r="C23" s="3" t="s">
        <v>115</v>
      </c>
      <c r="D23" s="3" t="s">
        <v>111</v>
      </c>
      <c r="E23" s="3" t="s">
        <v>89</v>
      </c>
      <c r="F23" s="12">
        <v>93736</v>
      </c>
      <c r="G23" s="3" t="s">
        <v>58</v>
      </c>
      <c r="H23" s="3" t="s">
        <v>59</v>
      </c>
      <c r="I23" s="3" t="s">
        <v>112</v>
      </c>
      <c r="J23" s="3" t="s">
        <v>90</v>
      </c>
      <c r="K23" s="3" t="s">
        <v>91</v>
      </c>
      <c r="L23" s="3" t="s">
        <v>85</v>
      </c>
      <c r="M23" s="3" t="s">
        <v>64</v>
      </c>
      <c r="N23" s="3" t="s">
        <v>86</v>
      </c>
      <c r="O23" s="3" t="s">
        <v>10</v>
      </c>
      <c r="P23" s="3" t="s">
        <v>87</v>
      </c>
      <c r="Q23" s="3" t="s">
        <v>68</v>
      </c>
      <c r="R23" s="3" t="s">
        <v>69</v>
      </c>
      <c r="S23" s="3" t="s">
        <v>70</v>
      </c>
      <c r="T23" s="3" t="s">
        <v>71</v>
      </c>
      <c r="U23" s="3" t="s">
        <v>72</v>
      </c>
      <c r="V23" s="3" t="str">
        <f>IF(COUNTA(A23:U23)=21,"OK","MISSING")</f>
        <v>OK</v>
      </c>
    </row>
    <row r="24" ht="35.05" hidden="0" outlineLevel="0" collapsed="0">
      <c r="A24" s="3">
        <v>20</v>
      </c>
      <c r="B24" s="3" t="s">
        <v>4</v>
      </c>
      <c r="C24" s="3" t="s">
        <v>116</v>
      </c>
      <c r="D24" s="3" t="s">
        <v>111</v>
      </c>
      <c r="E24" s="3" t="s">
        <v>93</v>
      </c>
      <c r="F24" s="12">
        <v>112010</v>
      </c>
      <c r="G24" s="3" t="s">
        <v>58</v>
      </c>
      <c r="H24" s="3" t="s">
        <v>59</v>
      </c>
      <c r="I24" s="3" t="s">
        <v>112</v>
      </c>
      <c r="J24" s="3" t="s">
        <v>94</v>
      </c>
      <c r="K24" s="3" t="s">
        <v>95</v>
      </c>
      <c r="L24" s="3" t="s">
        <v>85</v>
      </c>
      <c r="M24" s="3" t="s">
        <v>64</v>
      </c>
      <c r="N24" s="3" t="s">
        <v>86</v>
      </c>
      <c r="O24" s="3" t="s">
        <v>10</v>
      </c>
      <c r="P24" s="3" t="s">
        <v>87</v>
      </c>
      <c r="Q24" s="3" t="s">
        <v>68</v>
      </c>
      <c r="R24" s="3" t="s">
        <v>69</v>
      </c>
      <c r="S24" s="3" t="s">
        <v>70</v>
      </c>
      <c r="T24" s="3" t="s">
        <v>71</v>
      </c>
      <c r="U24" s="3" t="s">
        <v>72</v>
      </c>
      <c r="V24" s="3" t="str">
        <f>IF(COUNTA(A24:U24)=21,"OK","MISSING")</f>
        <v>OK</v>
      </c>
    </row>
    <row r="25" ht="35.05" hidden="0" outlineLevel="0" collapsed="0">
      <c r="A25" s="3">
        <v>21</v>
      </c>
      <c r="B25" s="3" t="s">
        <v>4</v>
      </c>
      <c r="C25" s="3" t="s">
        <v>117</v>
      </c>
      <c r="D25" s="3" t="s">
        <v>118</v>
      </c>
      <c r="E25" s="3" t="s">
        <v>57</v>
      </c>
      <c r="F25" s="12">
        <v>104038</v>
      </c>
      <c r="G25" s="3" t="s">
        <v>58</v>
      </c>
      <c r="H25" s="3" t="s">
        <v>59</v>
      </c>
      <c r="I25" s="3" t="s">
        <v>119</v>
      </c>
      <c r="J25" s="3" t="s">
        <v>61</v>
      </c>
      <c r="K25" s="3" t="s">
        <v>62</v>
      </c>
      <c r="L25" s="3" t="s">
        <v>63</v>
      </c>
      <c r="M25" s="3" t="s">
        <v>64</v>
      </c>
      <c r="N25" s="3" t="s">
        <v>65</v>
      </c>
      <c r="O25" s="3" t="s">
        <v>66</v>
      </c>
      <c r="P25" s="3" t="s">
        <v>67</v>
      </c>
      <c r="Q25" s="3" t="s">
        <v>68</v>
      </c>
      <c r="R25" s="3" t="s">
        <v>69</v>
      </c>
      <c r="S25" s="3" t="s">
        <v>70</v>
      </c>
      <c r="T25" s="3" t="s">
        <v>71</v>
      </c>
      <c r="U25" s="3" t="s">
        <v>72</v>
      </c>
      <c r="V25" s="3" t="str">
        <f>IF(COUNTA(A25:U25)=21,"OK","MISSING")</f>
        <v>OK</v>
      </c>
    </row>
    <row r="26" ht="35.05" hidden="0" outlineLevel="0" collapsed="0">
      <c r="A26" s="3">
        <v>22</v>
      </c>
      <c r="B26" s="3" t="s">
        <v>4</v>
      </c>
      <c r="C26" s="3" t="s">
        <v>120</v>
      </c>
      <c r="D26" s="3" t="s">
        <v>118</v>
      </c>
      <c r="E26" s="3" t="s">
        <v>74</v>
      </c>
      <c r="F26" s="12">
        <v>122151</v>
      </c>
      <c r="G26" s="3" t="s">
        <v>58</v>
      </c>
      <c r="H26" s="3" t="s">
        <v>59</v>
      </c>
      <c r="I26" s="3" t="s">
        <v>119</v>
      </c>
      <c r="J26" s="3" t="s">
        <v>75</v>
      </c>
      <c r="K26" s="3" t="s">
        <v>76</v>
      </c>
      <c r="L26" s="3" t="s">
        <v>77</v>
      </c>
      <c r="M26" s="3" t="s">
        <v>64</v>
      </c>
      <c r="N26" s="3" t="s">
        <v>78</v>
      </c>
      <c r="O26" s="3" t="s">
        <v>79</v>
      </c>
      <c r="P26" s="3" t="s">
        <v>80</v>
      </c>
      <c r="Q26" s="3" t="s">
        <v>68</v>
      </c>
      <c r="R26" s="3" t="s">
        <v>69</v>
      </c>
      <c r="S26" s="3" t="s">
        <v>70</v>
      </c>
      <c r="T26" s="3" t="s">
        <v>71</v>
      </c>
      <c r="U26" s="3" t="s">
        <v>72</v>
      </c>
      <c r="V26" s="3" t="str">
        <f>IF(COUNTA(A26:U26)=21,"OK","MISSING")</f>
        <v>OK</v>
      </c>
    </row>
    <row r="27" ht="35.05" hidden="0" outlineLevel="0" collapsed="0">
      <c r="A27" s="3">
        <v>23</v>
      </c>
      <c r="B27" s="3" t="s">
        <v>4</v>
      </c>
      <c r="C27" s="3" t="s">
        <v>121</v>
      </c>
      <c r="D27" s="3" t="s">
        <v>118</v>
      </c>
      <c r="E27" s="3" t="s">
        <v>82</v>
      </c>
      <c r="F27" s="12">
        <v>110543</v>
      </c>
      <c r="G27" s="3" t="s">
        <v>58</v>
      </c>
      <c r="H27" s="3" t="s">
        <v>59</v>
      </c>
      <c r="I27" s="3" t="s">
        <v>119</v>
      </c>
      <c r="J27" s="3" t="s">
        <v>83</v>
      </c>
      <c r="K27" s="3" t="s">
        <v>84</v>
      </c>
      <c r="L27" s="3" t="s">
        <v>85</v>
      </c>
      <c r="M27" s="3" t="s">
        <v>64</v>
      </c>
      <c r="N27" s="3" t="s">
        <v>86</v>
      </c>
      <c r="O27" s="3" t="s">
        <v>10</v>
      </c>
      <c r="P27" s="3" t="s">
        <v>87</v>
      </c>
      <c r="Q27" s="3" t="s">
        <v>68</v>
      </c>
      <c r="R27" s="3" t="s">
        <v>69</v>
      </c>
      <c r="S27" s="3" t="s">
        <v>70</v>
      </c>
      <c r="T27" s="3" t="s">
        <v>71</v>
      </c>
      <c r="U27" s="3" t="s">
        <v>72</v>
      </c>
      <c r="V27" s="3" t="str">
        <f>IF(COUNTA(A27:U27)=21,"OK","MISSING")</f>
        <v>OK</v>
      </c>
    </row>
    <row r="28" ht="35.05" hidden="0" outlineLevel="0" collapsed="0">
      <c r="A28" s="3">
        <v>24</v>
      </c>
      <c r="B28" s="3" t="s">
        <v>4</v>
      </c>
      <c r="C28" s="3" t="s">
        <v>122</v>
      </c>
      <c r="D28" s="3" t="s">
        <v>118</v>
      </c>
      <c r="E28" s="3" t="s">
        <v>89</v>
      </c>
      <c r="F28" s="12">
        <v>118254</v>
      </c>
      <c r="G28" s="3" t="s">
        <v>58</v>
      </c>
      <c r="H28" s="3" t="s">
        <v>59</v>
      </c>
      <c r="I28" s="3" t="s">
        <v>119</v>
      </c>
      <c r="J28" s="3" t="s">
        <v>90</v>
      </c>
      <c r="K28" s="3" t="s">
        <v>91</v>
      </c>
      <c r="L28" s="3" t="s">
        <v>85</v>
      </c>
      <c r="M28" s="3" t="s">
        <v>64</v>
      </c>
      <c r="N28" s="3" t="s">
        <v>86</v>
      </c>
      <c r="O28" s="3" t="s">
        <v>10</v>
      </c>
      <c r="P28" s="3" t="s">
        <v>87</v>
      </c>
      <c r="Q28" s="3" t="s">
        <v>68</v>
      </c>
      <c r="R28" s="3" t="s">
        <v>69</v>
      </c>
      <c r="S28" s="3" t="s">
        <v>70</v>
      </c>
      <c r="T28" s="3" t="s">
        <v>71</v>
      </c>
      <c r="U28" s="3" t="s">
        <v>72</v>
      </c>
      <c r="V28" s="3" t="str">
        <f>IF(COUNTA(A28:U28)=21,"OK","MISSING")</f>
        <v>OK</v>
      </c>
    </row>
    <row r="29" ht="35.05" hidden="0" outlineLevel="0" collapsed="0">
      <c r="A29" s="3">
        <v>25</v>
      </c>
      <c r="B29" s="3" t="s">
        <v>4</v>
      </c>
      <c r="C29" s="3" t="s">
        <v>123</v>
      </c>
      <c r="D29" s="3" t="s">
        <v>118</v>
      </c>
      <c r="E29" s="3" t="s">
        <v>93</v>
      </c>
      <c r="F29" s="12">
        <v>111482</v>
      </c>
      <c r="G29" s="3" t="s">
        <v>58</v>
      </c>
      <c r="H29" s="3" t="s">
        <v>59</v>
      </c>
      <c r="I29" s="3" t="s">
        <v>119</v>
      </c>
      <c r="J29" s="3" t="s">
        <v>94</v>
      </c>
      <c r="K29" s="3" t="s">
        <v>95</v>
      </c>
      <c r="L29" s="3" t="s">
        <v>85</v>
      </c>
      <c r="M29" s="3" t="s">
        <v>64</v>
      </c>
      <c r="N29" s="3" t="s">
        <v>86</v>
      </c>
      <c r="O29" s="3" t="s">
        <v>10</v>
      </c>
      <c r="P29" s="3" t="s">
        <v>87</v>
      </c>
      <c r="Q29" s="3" t="s">
        <v>68</v>
      </c>
      <c r="R29" s="3" t="s">
        <v>69</v>
      </c>
      <c r="S29" s="3" t="s">
        <v>70</v>
      </c>
      <c r="T29" s="3" t="s">
        <v>71</v>
      </c>
      <c r="U29" s="3" t="s">
        <v>72</v>
      </c>
      <c r="V29" s="3" t="str">
        <f>IF(COUNTA(A29:U29)=21,"OK","MISSING")</f>
        <v>OK</v>
      </c>
    </row>
    <row r="30" ht="35.05" hidden="0" outlineLevel="0" collapsed="0">
      <c r="A30" s="3">
        <v>26</v>
      </c>
      <c r="B30" s="3" t="s">
        <v>4</v>
      </c>
      <c r="C30" s="3" t="s">
        <v>124</v>
      </c>
      <c r="D30" s="3" t="s">
        <v>125</v>
      </c>
      <c r="E30" s="3" t="s">
        <v>57</v>
      </c>
      <c r="F30" s="12">
        <v>11085</v>
      </c>
      <c r="G30" s="3" t="s">
        <v>58</v>
      </c>
      <c r="H30" s="3" t="s">
        <v>59</v>
      </c>
      <c r="I30" s="3" t="s">
        <v>126</v>
      </c>
      <c r="J30" s="3" t="s">
        <v>61</v>
      </c>
      <c r="K30" s="3" t="s">
        <v>62</v>
      </c>
      <c r="L30" s="3" t="s">
        <v>63</v>
      </c>
      <c r="M30" s="3" t="s">
        <v>64</v>
      </c>
      <c r="N30" s="3" t="s">
        <v>65</v>
      </c>
      <c r="O30" s="3" t="s">
        <v>66</v>
      </c>
      <c r="P30" s="3" t="s">
        <v>67</v>
      </c>
      <c r="Q30" s="3" t="s">
        <v>68</v>
      </c>
      <c r="R30" s="3" t="s">
        <v>69</v>
      </c>
      <c r="S30" s="3" t="s">
        <v>70</v>
      </c>
      <c r="T30" s="3" t="s">
        <v>71</v>
      </c>
      <c r="U30" s="3" t="s">
        <v>72</v>
      </c>
      <c r="V30" s="3" t="str">
        <f>IF(COUNTA(A30:U30)=21,"OK","MISSING")</f>
        <v>OK</v>
      </c>
    </row>
    <row r="31" ht="35.05" hidden="0" outlineLevel="0" collapsed="0">
      <c r="A31" s="3">
        <v>27</v>
      </c>
      <c r="B31" s="3" t="s">
        <v>4</v>
      </c>
      <c r="C31" s="3" t="s">
        <v>127</v>
      </c>
      <c r="D31" s="3" t="s">
        <v>125</v>
      </c>
      <c r="E31" s="3" t="s">
        <v>74</v>
      </c>
      <c r="F31" s="12">
        <v>10708</v>
      </c>
      <c r="G31" s="3" t="s">
        <v>58</v>
      </c>
      <c r="H31" s="3" t="s">
        <v>59</v>
      </c>
      <c r="I31" s="3" t="s">
        <v>126</v>
      </c>
      <c r="J31" s="3" t="s">
        <v>75</v>
      </c>
      <c r="K31" s="3" t="s">
        <v>76</v>
      </c>
      <c r="L31" s="3" t="s">
        <v>77</v>
      </c>
      <c r="M31" s="3" t="s">
        <v>64</v>
      </c>
      <c r="N31" s="3" t="s">
        <v>78</v>
      </c>
      <c r="O31" s="3" t="s">
        <v>79</v>
      </c>
      <c r="P31" s="3" t="s">
        <v>80</v>
      </c>
      <c r="Q31" s="3" t="s">
        <v>68</v>
      </c>
      <c r="R31" s="3" t="s">
        <v>69</v>
      </c>
      <c r="S31" s="3" t="s">
        <v>70</v>
      </c>
      <c r="T31" s="3" t="s">
        <v>71</v>
      </c>
      <c r="U31" s="3" t="s">
        <v>72</v>
      </c>
      <c r="V31" s="3" t="str">
        <f>IF(COUNTA(A31:U31)=21,"OK","MISSING")</f>
        <v>OK</v>
      </c>
    </row>
    <row r="32" ht="35.05" hidden="0" outlineLevel="0" collapsed="0">
      <c r="A32" s="3">
        <v>28</v>
      </c>
      <c r="B32" s="3" t="s">
        <v>4</v>
      </c>
      <c r="C32" s="3" t="s">
        <v>128</v>
      </c>
      <c r="D32" s="3" t="s">
        <v>125</v>
      </c>
      <c r="E32" s="3" t="s">
        <v>82</v>
      </c>
      <c r="F32" s="12">
        <v>10959</v>
      </c>
      <c r="G32" s="3" t="s">
        <v>58</v>
      </c>
      <c r="H32" s="3" t="s">
        <v>59</v>
      </c>
      <c r="I32" s="3" t="s">
        <v>126</v>
      </c>
      <c r="J32" s="3" t="s">
        <v>83</v>
      </c>
      <c r="K32" s="3" t="s">
        <v>84</v>
      </c>
      <c r="L32" s="3" t="s">
        <v>85</v>
      </c>
      <c r="M32" s="3" t="s">
        <v>64</v>
      </c>
      <c r="N32" s="3" t="s">
        <v>86</v>
      </c>
      <c r="O32" s="3" t="s">
        <v>10</v>
      </c>
      <c r="P32" s="3" t="s">
        <v>87</v>
      </c>
      <c r="Q32" s="3" t="s">
        <v>68</v>
      </c>
      <c r="R32" s="3" t="s">
        <v>69</v>
      </c>
      <c r="S32" s="3" t="s">
        <v>70</v>
      </c>
      <c r="T32" s="3" t="s">
        <v>71</v>
      </c>
      <c r="U32" s="3" t="s">
        <v>72</v>
      </c>
      <c r="V32" s="3" t="str">
        <f>IF(COUNTA(A32:U32)=21,"OK","MISSING")</f>
        <v>OK</v>
      </c>
    </row>
    <row r="33" ht="35.05" hidden="0" outlineLevel="0" collapsed="0">
      <c r="A33" s="3">
        <v>29</v>
      </c>
      <c r="B33" s="3" t="s">
        <v>4</v>
      </c>
      <c r="C33" s="3" t="s">
        <v>129</v>
      </c>
      <c r="D33" s="3" t="s">
        <v>125</v>
      </c>
      <c r="E33" s="3" t="s">
        <v>89</v>
      </c>
      <c r="F33" s="12">
        <v>9447</v>
      </c>
      <c r="G33" s="3" t="s">
        <v>58</v>
      </c>
      <c r="H33" s="3" t="s">
        <v>59</v>
      </c>
      <c r="I33" s="3" t="s">
        <v>126</v>
      </c>
      <c r="J33" s="3" t="s">
        <v>90</v>
      </c>
      <c r="K33" s="3" t="s">
        <v>91</v>
      </c>
      <c r="L33" s="3" t="s">
        <v>85</v>
      </c>
      <c r="M33" s="3" t="s">
        <v>64</v>
      </c>
      <c r="N33" s="3" t="s">
        <v>86</v>
      </c>
      <c r="O33" s="3" t="s">
        <v>10</v>
      </c>
      <c r="P33" s="3" t="s">
        <v>87</v>
      </c>
      <c r="Q33" s="3" t="s">
        <v>68</v>
      </c>
      <c r="R33" s="3" t="s">
        <v>69</v>
      </c>
      <c r="S33" s="3" t="s">
        <v>70</v>
      </c>
      <c r="T33" s="3" t="s">
        <v>71</v>
      </c>
      <c r="U33" s="3" t="s">
        <v>72</v>
      </c>
      <c r="V33" s="3" t="str">
        <f>IF(COUNTA(A33:U33)=21,"OK","MISSING")</f>
        <v>OK</v>
      </c>
    </row>
    <row r="34" ht="35.05" hidden="0" outlineLevel="0" collapsed="0">
      <c r="A34" s="3">
        <v>30</v>
      </c>
      <c r="B34" s="3" t="s">
        <v>4</v>
      </c>
      <c r="C34" s="3" t="s">
        <v>130</v>
      </c>
      <c r="D34" s="3" t="s">
        <v>125</v>
      </c>
      <c r="E34" s="3" t="s">
        <v>93</v>
      </c>
      <c r="F34" s="12">
        <v>12715</v>
      </c>
      <c r="G34" s="3" t="s">
        <v>58</v>
      </c>
      <c r="H34" s="3" t="s">
        <v>59</v>
      </c>
      <c r="I34" s="3" t="s">
        <v>126</v>
      </c>
      <c r="J34" s="3" t="s">
        <v>94</v>
      </c>
      <c r="K34" s="3" t="s">
        <v>95</v>
      </c>
      <c r="L34" s="3" t="s">
        <v>85</v>
      </c>
      <c r="M34" s="3" t="s">
        <v>64</v>
      </c>
      <c r="N34" s="3" t="s">
        <v>86</v>
      </c>
      <c r="O34" s="3" t="s">
        <v>10</v>
      </c>
      <c r="P34" s="3" t="s">
        <v>87</v>
      </c>
      <c r="Q34" s="3" t="s">
        <v>68</v>
      </c>
      <c r="R34" s="3" t="s">
        <v>69</v>
      </c>
      <c r="S34" s="3" t="s">
        <v>70</v>
      </c>
      <c r="T34" s="3" t="s">
        <v>71</v>
      </c>
      <c r="U34" s="3" t="s">
        <v>72</v>
      </c>
      <c r="V34" s="3" t="str">
        <f>IF(COUNTA(A34:U34)=21,"OK","MISSING")</f>
        <v>OK</v>
      </c>
    </row>
    <row r="35" ht="35.05" hidden="0" outlineLevel="0" collapsed="0">
      <c r="A35" s="3">
        <v>31</v>
      </c>
      <c r="B35" s="3" t="s">
        <v>4</v>
      </c>
      <c r="C35" s="3" t="s">
        <v>131</v>
      </c>
      <c r="D35" s="3" t="s">
        <v>132</v>
      </c>
      <c r="E35" s="3" t="s">
        <v>57</v>
      </c>
      <c r="F35" s="12">
        <v>351002</v>
      </c>
      <c r="G35" s="3" t="s">
        <v>58</v>
      </c>
      <c r="H35" s="3" t="s">
        <v>59</v>
      </c>
      <c r="I35" s="3" t="s">
        <v>133</v>
      </c>
      <c r="J35" s="3" t="s">
        <v>134</v>
      </c>
      <c r="K35" s="3" t="s">
        <v>62</v>
      </c>
      <c r="L35" s="3" t="s">
        <v>135</v>
      </c>
      <c r="M35" s="3" t="s">
        <v>64</v>
      </c>
      <c r="N35" s="3" t="s">
        <v>136</v>
      </c>
      <c r="O35" s="3" t="s">
        <v>137</v>
      </c>
      <c r="P35" s="3" t="s">
        <v>138</v>
      </c>
      <c r="Q35" s="3" t="s">
        <v>68</v>
      </c>
      <c r="R35" s="3" t="s">
        <v>69</v>
      </c>
      <c r="S35" s="3" t="s">
        <v>70</v>
      </c>
      <c r="T35" s="3" t="s">
        <v>71</v>
      </c>
      <c r="U35" s="3" t="s">
        <v>72</v>
      </c>
      <c r="V35" s="3" t="str">
        <f>IF(COUNTA(A35:U35)=21,"OK","MISSING")</f>
        <v>OK</v>
      </c>
    </row>
    <row r="36" ht="35.05" hidden="0" outlineLevel="0" collapsed="0">
      <c r="A36" s="3">
        <v>32</v>
      </c>
      <c r="B36" s="3" t="s">
        <v>4</v>
      </c>
      <c r="C36" s="3" t="s">
        <v>139</v>
      </c>
      <c r="D36" s="3" t="s">
        <v>132</v>
      </c>
      <c r="E36" s="3" t="s">
        <v>74</v>
      </c>
      <c r="F36" s="12">
        <v>352755</v>
      </c>
      <c r="G36" s="3" t="s">
        <v>58</v>
      </c>
      <c r="H36" s="3" t="s">
        <v>59</v>
      </c>
      <c r="I36" s="3" t="s">
        <v>133</v>
      </c>
      <c r="J36" s="3" t="s">
        <v>134</v>
      </c>
      <c r="K36" s="3" t="s">
        <v>76</v>
      </c>
      <c r="L36" s="3" t="s">
        <v>63</v>
      </c>
      <c r="M36" s="3" t="s">
        <v>64</v>
      </c>
      <c r="N36" s="3" t="s">
        <v>65</v>
      </c>
      <c r="O36" s="3" t="s">
        <v>66</v>
      </c>
      <c r="P36" s="3" t="s">
        <v>67</v>
      </c>
      <c r="Q36" s="3" t="s">
        <v>68</v>
      </c>
      <c r="R36" s="3" t="s">
        <v>69</v>
      </c>
      <c r="S36" s="3" t="s">
        <v>70</v>
      </c>
      <c r="T36" s="3" t="s">
        <v>71</v>
      </c>
      <c r="U36" s="3" t="s">
        <v>72</v>
      </c>
      <c r="V36" s="3" t="str">
        <f>IF(COUNTA(A36:U36)=21,"OK","MISSING")</f>
        <v>OK</v>
      </c>
    </row>
    <row r="37" ht="35.05" hidden="0" outlineLevel="0" collapsed="0">
      <c r="A37" s="3">
        <v>33</v>
      </c>
      <c r="B37" s="3" t="s">
        <v>4</v>
      </c>
      <c r="C37" s="3" t="s">
        <v>140</v>
      </c>
      <c r="D37" s="3" t="s">
        <v>132</v>
      </c>
      <c r="E37" s="3" t="s">
        <v>82</v>
      </c>
      <c r="F37" s="12">
        <v>352583</v>
      </c>
      <c r="G37" s="3" t="s">
        <v>58</v>
      </c>
      <c r="H37" s="3" t="s">
        <v>59</v>
      </c>
      <c r="I37" s="3" t="s">
        <v>133</v>
      </c>
      <c r="J37" s="3" t="s">
        <v>134</v>
      </c>
      <c r="K37" s="3" t="s">
        <v>84</v>
      </c>
      <c r="L37" s="3" t="s">
        <v>77</v>
      </c>
      <c r="M37" s="3" t="s">
        <v>64</v>
      </c>
      <c r="N37" s="3" t="s">
        <v>78</v>
      </c>
      <c r="O37" s="3" t="s">
        <v>79</v>
      </c>
      <c r="P37" s="3" t="s">
        <v>80</v>
      </c>
      <c r="Q37" s="3" t="s">
        <v>68</v>
      </c>
      <c r="R37" s="3" t="s">
        <v>69</v>
      </c>
      <c r="S37" s="3" t="s">
        <v>70</v>
      </c>
      <c r="T37" s="3" t="s">
        <v>71</v>
      </c>
      <c r="U37" s="3" t="s">
        <v>72</v>
      </c>
      <c r="V37" s="3" t="str">
        <f>IF(COUNTA(A37:U37)=21,"OK","MISSING")</f>
        <v>OK</v>
      </c>
    </row>
    <row r="38" ht="35.05" hidden="0" outlineLevel="0" collapsed="0">
      <c r="A38" s="3">
        <v>34</v>
      </c>
      <c r="B38" s="3" t="s">
        <v>4</v>
      </c>
      <c r="C38" s="3" t="s">
        <v>141</v>
      </c>
      <c r="D38" s="3" t="s">
        <v>132</v>
      </c>
      <c r="E38" s="3" t="s">
        <v>89</v>
      </c>
      <c r="F38" s="12">
        <v>364980</v>
      </c>
      <c r="G38" s="3" t="s">
        <v>58</v>
      </c>
      <c r="H38" s="3" t="s">
        <v>59</v>
      </c>
      <c r="I38" s="3" t="s">
        <v>133</v>
      </c>
      <c r="J38" s="3" t="s">
        <v>134</v>
      </c>
      <c r="K38" s="3" t="s">
        <v>91</v>
      </c>
      <c r="L38" s="3" t="s">
        <v>85</v>
      </c>
      <c r="M38" s="3" t="s">
        <v>64</v>
      </c>
      <c r="N38" s="3" t="s">
        <v>86</v>
      </c>
      <c r="O38" s="3" t="s">
        <v>10</v>
      </c>
      <c r="P38" s="3" t="s">
        <v>87</v>
      </c>
      <c r="Q38" s="3" t="s">
        <v>68</v>
      </c>
      <c r="R38" s="3" t="s">
        <v>69</v>
      </c>
      <c r="S38" s="3" t="s">
        <v>70</v>
      </c>
      <c r="T38" s="3" t="s">
        <v>71</v>
      </c>
      <c r="U38" s="3" t="s">
        <v>72</v>
      </c>
      <c r="V38" s="3" t="str">
        <f>IF(COUNTA(A38:U38)=21,"OK","MISSING")</f>
        <v>OK</v>
      </c>
    </row>
    <row r="39" ht="35.05" hidden="0" outlineLevel="0" collapsed="0">
      <c r="A39" s="3">
        <v>35</v>
      </c>
      <c r="B39" s="3" t="s">
        <v>4</v>
      </c>
      <c r="C39" s="3" t="s">
        <v>142</v>
      </c>
      <c r="D39" s="3" t="s">
        <v>132</v>
      </c>
      <c r="E39" s="3" t="s">
        <v>93</v>
      </c>
      <c r="F39" s="12">
        <v>359241</v>
      </c>
      <c r="G39" s="3" t="s">
        <v>58</v>
      </c>
      <c r="H39" s="3" t="s">
        <v>59</v>
      </c>
      <c r="I39" s="3" t="s">
        <v>133</v>
      </c>
      <c r="J39" s="3" t="s">
        <v>134</v>
      </c>
      <c r="K39" s="3" t="s">
        <v>95</v>
      </c>
      <c r="L39" s="3" t="s">
        <v>85</v>
      </c>
      <c r="M39" s="3" t="s">
        <v>64</v>
      </c>
      <c r="N39" s="3" t="s">
        <v>86</v>
      </c>
      <c r="O39" s="3" t="s">
        <v>10</v>
      </c>
      <c r="P39" s="3" t="s">
        <v>87</v>
      </c>
      <c r="Q39" s="3" t="s">
        <v>68</v>
      </c>
      <c r="R39" s="3" t="s">
        <v>69</v>
      </c>
      <c r="S39" s="3" t="s">
        <v>70</v>
      </c>
      <c r="T39" s="3" t="s">
        <v>71</v>
      </c>
      <c r="U39" s="3" t="s">
        <v>72</v>
      </c>
      <c r="V39" s="3" t="str">
        <f>IF(COUNTA(A39:U39)=21,"OK","MISSING")</f>
        <v>OK</v>
      </c>
    </row>
    <row r="40" ht="35.05" hidden="0" outlineLevel="0" collapsed="0">
      <c r="A40" s="3">
        <v>36</v>
      </c>
      <c r="B40" s="3" t="s">
        <v>4</v>
      </c>
      <c r="C40" s="3" t="s">
        <v>143</v>
      </c>
      <c r="D40" s="3" t="s">
        <v>144</v>
      </c>
      <c r="E40" s="3" t="s">
        <v>57</v>
      </c>
      <c r="F40" s="12">
        <v>63090</v>
      </c>
      <c r="G40" s="3" t="s">
        <v>58</v>
      </c>
      <c r="H40" s="3" t="s">
        <v>59</v>
      </c>
      <c r="I40" s="3" t="s">
        <v>145</v>
      </c>
      <c r="J40" s="3" t="s">
        <v>134</v>
      </c>
      <c r="K40" s="3" t="s">
        <v>62</v>
      </c>
      <c r="L40" s="3" t="s">
        <v>77</v>
      </c>
      <c r="M40" s="3" t="s">
        <v>64</v>
      </c>
      <c r="N40" s="3" t="s">
        <v>78</v>
      </c>
      <c r="O40" s="3" t="s">
        <v>79</v>
      </c>
      <c r="P40" s="3" t="s">
        <v>80</v>
      </c>
      <c r="Q40" s="3" t="s">
        <v>68</v>
      </c>
      <c r="R40" s="3" t="s">
        <v>69</v>
      </c>
      <c r="S40" s="3" t="s">
        <v>70</v>
      </c>
      <c r="T40" s="3" t="s">
        <v>71</v>
      </c>
      <c r="U40" s="3" t="s">
        <v>72</v>
      </c>
      <c r="V40" s="3" t="str">
        <f>IF(COUNTA(A40:U40)=21,"OK","MISSING")</f>
        <v>OK</v>
      </c>
    </row>
    <row r="41" ht="35.05" hidden="0" outlineLevel="0" collapsed="0">
      <c r="A41" s="3">
        <v>37</v>
      </c>
      <c r="B41" s="3" t="s">
        <v>4</v>
      </c>
      <c r="C41" s="3" t="s">
        <v>146</v>
      </c>
      <c r="D41" s="3" t="s">
        <v>144</v>
      </c>
      <c r="E41" s="3" t="s">
        <v>74</v>
      </c>
      <c r="F41" s="12">
        <v>50672</v>
      </c>
      <c r="G41" s="3" t="s">
        <v>58</v>
      </c>
      <c r="H41" s="3" t="s">
        <v>59</v>
      </c>
      <c r="I41" s="3" t="s">
        <v>145</v>
      </c>
      <c r="J41" s="3" t="s">
        <v>134</v>
      </c>
      <c r="K41" s="3" t="s">
        <v>76</v>
      </c>
      <c r="L41" s="3" t="s">
        <v>85</v>
      </c>
      <c r="M41" s="3" t="s">
        <v>64</v>
      </c>
      <c r="N41" s="3" t="s">
        <v>86</v>
      </c>
      <c r="O41" s="3" t="s">
        <v>10</v>
      </c>
      <c r="P41" s="3" t="s">
        <v>87</v>
      </c>
      <c r="Q41" s="3" t="s">
        <v>68</v>
      </c>
      <c r="R41" s="3" t="s">
        <v>69</v>
      </c>
      <c r="S41" s="3" t="s">
        <v>70</v>
      </c>
      <c r="T41" s="3" t="s">
        <v>71</v>
      </c>
      <c r="U41" s="3" t="s">
        <v>72</v>
      </c>
      <c r="V41" s="3" t="str">
        <f>IF(COUNTA(A41:U41)=21,"OK","MISSING")</f>
        <v>OK</v>
      </c>
    </row>
    <row r="42" ht="35.05" hidden="0" outlineLevel="0" collapsed="0">
      <c r="A42" s="3">
        <v>38</v>
      </c>
      <c r="B42" s="3" t="s">
        <v>4</v>
      </c>
      <c r="C42" s="3" t="s">
        <v>147</v>
      </c>
      <c r="D42" s="3" t="s">
        <v>144</v>
      </c>
      <c r="E42" s="3" t="s">
        <v>82</v>
      </c>
      <c r="F42" s="12">
        <v>62146</v>
      </c>
      <c r="G42" s="3" t="s">
        <v>58</v>
      </c>
      <c r="H42" s="3" t="s">
        <v>59</v>
      </c>
      <c r="I42" s="3" t="s">
        <v>145</v>
      </c>
      <c r="J42" s="3" t="s">
        <v>134</v>
      </c>
      <c r="K42" s="3" t="s">
        <v>84</v>
      </c>
      <c r="L42" s="3" t="s">
        <v>85</v>
      </c>
      <c r="M42" s="3" t="s">
        <v>64</v>
      </c>
      <c r="N42" s="3" t="s">
        <v>86</v>
      </c>
      <c r="O42" s="3" t="s">
        <v>10</v>
      </c>
      <c r="P42" s="3" t="s">
        <v>87</v>
      </c>
      <c r="Q42" s="3" t="s">
        <v>68</v>
      </c>
      <c r="R42" s="3" t="s">
        <v>69</v>
      </c>
      <c r="S42" s="3" t="s">
        <v>70</v>
      </c>
      <c r="T42" s="3" t="s">
        <v>71</v>
      </c>
      <c r="U42" s="3" t="s">
        <v>72</v>
      </c>
      <c r="V42" s="3" t="str">
        <f>IF(COUNTA(A42:U42)=21,"OK","MISSING")</f>
        <v>OK</v>
      </c>
    </row>
    <row r="43" ht="35.05" hidden="0" outlineLevel="0" collapsed="0">
      <c r="A43" s="3">
        <v>39</v>
      </c>
      <c r="B43" s="3" t="s">
        <v>4</v>
      </c>
      <c r="C43" s="3" t="s">
        <v>148</v>
      </c>
      <c r="D43" s="3" t="s">
        <v>144</v>
      </c>
      <c r="E43" s="3" t="s">
        <v>89</v>
      </c>
      <c r="F43" s="12">
        <v>56950</v>
      </c>
      <c r="G43" s="3" t="s">
        <v>58</v>
      </c>
      <c r="H43" s="3" t="s">
        <v>59</v>
      </c>
      <c r="I43" s="3" t="s">
        <v>145</v>
      </c>
      <c r="J43" s="3" t="s">
        <v>134</v>
      </c>
      <c r="K43" s="3" t="s">
        <v>91</v>
      </c>
      <c r="L43" s="3" t="s">
        <v>85</v>
      </c>
      <c r="M43" s="3" t="s">
        <v>64</v>
      </c>
      <c r="N43" s="3" t="s">
        <v>86</v>
      </c>
      <c r="O43" s="3" t="s">
        <v>10</v>
      </c>
      <c r="P43" s="3" t="s">
        <v>87</v>
      </c>
      <c r="Q43" s="3" t="s">
        <v>68</v>
      </c>
      <c r="R43" s="3" t="s">
        <v>69</v>
      </c>
      <c r="S43" s="3" t="s">
        <v>70</v>
      </c>
      <c r="T43" s="3" t="s">
        <v>71</v>
      </c>
      <c r="U43" s="3" t="s">
        <v>72</v>
      </c>
      <c r="V43" s="3" t="str">
        <f>IF(COUNTA(A43:U43)=21,"OK","MISSING")</f>
        <v>OK</v>
      </c>
    </row>
    <row r="44" ht="35.05" hidden="0" outlineLevel="0" collapsed="0">
      <c r="A44" s="3">
        <v>40</v>
      </c>
      <c r="B44" s="3" t="s">
        <v>4</v>
      </c>
      <c r="C44" s="3" t="s">
        <v>149</v>
      </c>
      <c r="D44" s="3" t="s">
        <v>144</v>
      </c>
      <c r="E44" s="3" t="s">
        <v>93</v>
      </c>
      <c r="F44" s="12">
        <v>73733</v>
      </c>
      <c r="G44" s="3" t="s">
        <v>58</v>
      </c>
      <c r="H44" s="3" t="s">
        <v>59</v>
      </c>
      <c r="I44" s="3" t="s">
        <v>145</v>
      </c>
      <c r="J44" s="3" t="s">
        <v>134</v>
      </c>
      <c r="K44" s="3" t="s">
        <v>95</v>
      </c>
      <c r="L44" s="3" t="s">
        <v>85</v>
      </c>
      <c r="M44" s="3" t="s">
        <v>64</v>
      </c>
      <c r="N44" s="3" t="s">
        <v>86</v>
      </c>
      <c r="O44" s="3" t="s">
        <v>10</v>
      </c>
      <c r="P44" s="3" t="s">
        <v>87</v>
      </c>
      <c r="Q44" s="3" t="s">
        <v>68</v>
      </c>
      <c r="R44" s="3" t="s">
        <v>69</v>
      </c>
      <c r="S44" s="3" t="s">
        <v>70</v>
      </c>
      <c r="T44" s="3" t="s">
        <v>71</v>
      </c>
      <c r="U44" s="3" t="s">
        <v>72</v>
      </c>
      <c r="V44" s="3" t="str">
        <f>IF(COUNTA(A44:U44)=21,"OK","MISSING")</f>
        <v>OK</v>
      </c>
    </row>
    <row r="45" ht="35.05" hidden="0" outlineLevel="0" collapsed="0">
      <c r="A45" s="3">
        <v>41</v>
      </c>
      <c r="B45" s="3" t="s">
        <v>4</v>
      </c>
      <c r="C45" s="3" t="s">
        <v>150</v>
      </c>
      <c r="D45" s="3" t="s">
        <v>151</v>
      </c>
      <c r="E45" s="3" t="s">
        <v>57</v>
      </c>
      <c r="F45" s="12">
        <v>34940</v>
      </c>
      <c r="G45" s="3" t="s">
        <v>58</v>
      </c>
      <c r="H45" s="3" t="s">
        <v>59</v>
      </c>
      <c r="I45" s="3" t="s">
        <v>152</v>
      </c>
      <c r="J45" s="3" t="s">
        <v>134</v>
      </c>
      <c r="K45" s="3" t="s">
        <v>62</v>
      </c>
      <c r="L45" s="3" t="s">
        <v>135</v>
      </c>
      <c r="M45" s="3" t="s">
        <v>64</v>
      </c>
      <c r="N45" s="3" t="s">
        <v>136</v>
      </c>
      <c r="O45" s="3" t="s">
        <v>137</v>
      </c>
      <c r="P45" s="3" t="s">
        <v>138</v>
      </c>
      <c r="Q45" s="3" t="s">
        <v>68</v>
      </c>
      <c r="R45" s="3" t="s">
        <v>69</v>
      </c>
      <c r="S45" s="3" t="s">
        <v>70</v>
      </c>
      <c r="T45" s="3" t="s">
        <v>71</v>
      </c>
      <c r="U45" s="3" t="s">
        <v>72</v>
      </c>
      <c r="V45" s="3" t="str">
        <f>IF(COUNTA(A45:U45)=21,"OK","MISSING")</f>
        <v>OK</v>
      </c>
    </row>
    <row r="46" ht="35.05" hidden="0" outlineLevel="0" collapsed="0">
      <c r="A46" s="3">
        <v>42</v>
      </c>
      <c r="B46" s="3" t="s">
        <v>4</v>
      </c>
      <c r="C46" s="3" t="s">
        <v>153</v>
      </c>
      <c r="D46" s="3" t="s">
        <v>151</v>
      </c>
      <c r="E46" s="3" t="s">
        <v>74</v>
      </c>
      <c r="F46" s="12">
        <v>23646</v>
      </c>
      <c r="G46" s="3" t="s">
        <v>58</v>
      </c>
      <c r="H46" s="3" t="s">
        <v>59</v>
      </c>
      <c r="I46" s="3" t="s">
        <v>152</v>
      </c>
      <c r="J46" s="3" t="s">
        <v>134</v>
      </c>
      <c r="K46" s="3" t="s">
        <v>76</v>
      </c>
      <c r="L46" s="3" t="s">
        <v>63</v>
      </c>
      <c r="M46" s="3" t="s">
        <v>64</v>
      </c>
      <c r="N46" s="3" t="s">
        <v>65</v>
      </c>
      <c r="O46" s="3" t="s">
        <v>66</v>
      </c>
      <c r="P46" s="3" t="s">
        <v>67</v>
      </c>
      <c r="Q46" s="3" t="s">
        <v>68</v>
      </c>
      <c r="R46" s="3" t="s">
        <v>69</v>
      </c>
      <c r="S46" s="3" t="s">
        <v>70</v>
      </c>
      <c r="T46" s="3" t="s">
        <v>71</v>
      </c>
      <c r="U46" s="3" t="s">
        <v>72</v>
      </c>
      <c r="V46" s="3" t="str">
        <f>IF(COUNTA(A46:U46)=21,"OK","MISSING")</f>
        <v>OK</v>
      </c>
    </row>
    <row r="47" ht="35.05" hidden="0" outlineLevel="0" collapsed="0">
      <c r="A47" s="3">
        <v>43</v>
      </c>
      <c r="B47" s="3" t="s">
        <v>4</v>
      </c>
      <c r="C47" s="3" t="s">
        <v>154</v>
      </c>
      <c r="D47" s="3" t="s">
        <v>151</v>
      </c>
      <c r="E47" s="3" t="s">
        <v>82</v>
      </c>
      <c r="F47" s="12">
        <v>29965</v>
      </c>
      <c r="G47" s="3" t="s">
        <v>58</v>
      </c>
      <c r="H47" s="3" t="s">
        <v>59</v>
      </c>
      <c r="I47" s="3" t="s">
        <v>152</v>
      </c>
      <c r="J47" s="3" t="s">
        <v>134</v>
      </c>
      <c r="K47" s="3" t="s">
        <v>84</v>
      </c>
      <c r="L47" s="3" t="s">
        <v>77</v>
      </c>
      <c r="M47" s="3" t="s">
        <v>64</v>
      </c>
      <c r="N47" s="3" t="s">
        <v>78</v>
      </c>
      <c r="O47" s="3" t="s">
        <v>79</v>
      </c>
      <c r="P47" s="3" t="s">
        <v>80</v>
      </c>
      <c r="Q47" s="3" t="s">
        <v>68</v>
      </c>
      <c r="R47" s="3" t="s">
        <v>69</v>
      </c>
      <c r="S47" s="3" t="s">
        <v>70</v>
      </c>
      <c r="T47" s="3" t="s">
        <v>71</v>
      </c>
      <c r="U47" s="3" t="s">
        <v>72</v>
      </c>
      <c r="V47" s="3" t="str">
        <f>IF(COUNTA(A47:U47)=21,"OK","MISSING")</f>
        <v>OK</v>
      </c>
    </row>
    <row r="48" ht="35.05" hidden="0" outlineLevel="0" collapsed="0">
      <c r="A48" s="3">
        <v>44</v>
      </c>
      <c r="B48" s="3" t="s">
        <v>4</v>
      </c>
      <c r="C48" s="3" t="s">
        <v>155</v>
      </c>
      <c r="D48" s="3" t="s">
        <v>151</v>
      </c>
      <c r="E48" s="3" t="s">
        <v>89</v>
      </c>
      <c r="F48" s="12">
        <v>29943</v>
      </c>
      <c r="G48" s="3" t="s">
        <v>58</v>
      </c>
      <c r="H48" s="3" t="s">
        <v>59</v>
      </c>
      <c r="I48" s="3" t="s">
        <v>152</v>
      </c>
      <c r="J48" s="3" t="s">
        <v>134</v>
      </c>
      <c r="K48" s="3" t="s">
        <v>91</v>
      </c>
      <c r="L48" s="3" t="s">
        <v>85</v>
      </c>
      <c r="M48" s="3" t="s">
        <v>64</v>
      </c>
      <c r="N48" s="3" t="s">
        <v>86</v>
      </c>
      <c r="O48" s="3" t="s">
        <v>10</v>
      </c>
      <c r="P48" s="3" t="s">
        <v>87</v>
      </c>
      <c r="Q48" s="3" t="s">
        <v>68</v>
      </c>
      <c r="R48" s="3" t="s">
        <v>69</v>
      </c>
      <c r="S48" s="3" t="s">
        <v>70</v>
      </c>
      <c r="T48" s="3" t="s">
        <v>71</v>
      </c>
      <c r="U48" s="3" t="s">
        <v>72</v>
      </c>
      <c r="V48" s="3" t="str">
        <f>IF(COUNTA(A48:U48)=21,"OK","MISSING")</f>
        <v>OK</v>
      </c>
    </row>
    <row r="49" ht="35.05" hidden="0" outlineLevel="0" collapsed="0">
      <c r="A49" s="3">
        <v>45</v>
      </c>
      <c r="B49" s="3" t="s">
        <v>4</v>
      </c>
      <c r="C49" s="3" t="s">
        <v>156</v>
      </c>
      <c r="D49" s="3" t="s">
        <v>151</v>
      </c>
      <c r="E49" s="3" t="s">
        <v>93</v>
      </c>
      <c r="F49" s="12">
        <v>35934</v>
      </c>
      <c r="G49" s="3" t="s">
        <v>58</v>
      </c>
      <c r="H49" s="3" t="s">
        <v>59</v>
      </c>
      <c r="I49" s="3" t="s">
        <v>152</v>
      </c>
      <c r="J49" s="3" t="s">
        <v>134</v>
      </c>
      <c r="K49" s="3" t="s">
        <v>95</v>
      </c>
      <c r="L49" s="3" t="s">
        <v>85</v>
      </c>
      <c r="M49" s="3" t="s">
        <v>64</v>
      </c>
      <c r="N49" s="3" t="s">
        <v>86</v>
      </c>
      <c r="O49" s="3" t="s">
        <v>10</v>
      </c>
      <c r="P49" s="3" t="s">
        <v>87</v>
      </c>
      <c r="Q49" s="3" t="s">
        <v>68</v>
      </c>
      <c r="R49" s="3" t="s">
        <v>69</v>
      </c>
      <c r="S49" s="3" t="s">
        <v>70</v>
      </c>
      <c r="T49" s="3" t="s">
        <v>71</v>
      </c>
      <c r="U49" s="3" t="s">
        <v>72</v>
      </c>
      <c r="V49" s="3" t="str">
        <f>IF(COUNTA(A49:U49)=21,"OK","MISSING")</f>
        <v>OK</v>
      </c>
    </row>
    <row r="50" ht="35.05" hidden="0" outlineLevel="0" collapsed="0">
      <c r="A50" s="3">
        <v>46</v>
      </c>
      <c r="B50" s="3" t="s">
        <v>4</v>
      </c>
      <c r="C50" s="3" t="s">
        <v>157</v>
      </c>
      <c r="D50" s="3" t="s">
        <v>158</v>
      </c>
      <c r="E50" s="3" t="s">
        <v>74</v>
      </c>
      <c r="F50" s="12">
        <v>110087</v>
      </c>
      <c r="G50" s="3" t="s">
        <v>58</v>
      </c>
      <c r="H50" s="3" t="s">
        <v>59</v>
      </c>
      <c r="I50" s="3" t="s">
        <v>159</v>
      </c>
      <c r="J50" s="3" t="s">
        <v>134</v>
      </c>
      <c r="K50" s="3" t="s">
        <v>76</v>
      </c>
      <c r="L50" s="3" t="s">
        <v>63</v>
      </c>
      <c r="M50" s="3" t="s">
        <v>64</v>
      </c>
      <c r="N50" s="3" t="s">
        <v>65</v>
      </c>
      <c r="O50" s="3" t="s">
        <v>66</v>
      </c>
      <c r="P50" s="3" t="s">
        <v>67</v>
      </c>
      <c r="Q50" s="3" t="s">
        <v>68</v>
      </c>
      <c r="R50" s="3" t="s">
        <v>69</v>
      </c>
      <c r="S50" s="3" t="s">
        <v>70</v>
      </c>
      <c r="T50" s="3" t="s">
        <v>71</v>
      </c>
      <c r="U50" s="3" t="s">
        <v>72</v>
      </c>
      <c r="V50" s="3" t="str">
        <f>IF(COUNTA(A50:U50)=21,"OK","MISSING")</f>
        <v>OK</v>
      </c>
    </row>
    <row r="51" ht="35.05" hidden="0" outlineLevel="0" collapsed="0">
      <c r="A51" s="3">
        <v>47</v>
      </c>
      <c r="B51" s="3" t="s">
        <v>4</v>
      </c>
      <c r="C51" s="3" t="s">
        <v>160</v>
      </c>
      <c r="D51" s="3" t="s">
        <v>158</v>
      </c>
      <c r="E51" s="3" t="s">
        <v>82</v>
      </c>
      <c r="F51" s="12">
        <v>105103</v>
      </c>
      <c r="G51" s="3" t="s">
        <v>58</v>
      </c>
      <c r="H51" s="3" t="s">
        <v>59</v>
      </c>
      <c r="I51" s="3" t="s">
        <v>159</v>
      </c>
      <c r="J51" s="3" t="s">
        <v>134</v>
      </c>
      <c r="K51" s="3" t="s">
        <v>84</v>
      </c>
      <c r="L51" s="3" t="s">
        <v>77</v>
      </c>
      <c r="M51" s="3" t="s">
        <v>64</v>
      </c>
      <c r="N51" s="3" t="s">
        <v>78</v>
      </c>
      <c r="O51" s="3" t="s">
        <v>79</v>
      </c>
      <c r="P51" s="3" t="s">
        <v>80</v>
      </c>
      <c r="Q51" s="3" t="s">
        <v>68</v>
      </c>
      <c r="R51" s="3" t="s">
        <v>69</v>
      </c>
      <c r="S51" s="3" t="s">
        <v>70</v>
      </c>
      <c r="T51" s="3" t="s">
        <v>71</v>
      </c>
      <c r="U51" s="3" t="s">
        <v>72</v>
      </c>
      <c r="V51" s="3" t="str">
        <f>IF(COUNTA(A51:U51)=21,"OK","MISSING")</f>
        <v>OK</v>
      </c>
    </row>
    <row r="52" ht="35.05" hidden="0" outlineLevel="0" collapsed="0">
      <c r="A52" s="3">
        <v>48</v>
      </c>
      <c r="B52" s="3" t="s">
        <v>4</v>
      </c>
      <c r="C52" s="3" t="s">
        <v>161</v>
      </c>
      <c r="D52" s="3" t="s">
        <v>158</v>
      </c>
      <c r="E52" s="3" t="s">
        <v>89</v>
      </c>
      <c r="F52" s="12">
        <v>96662</v>
      </c>
      <c r="G52" s="3" t="s">
        <v>58</v>
      </c>
      <c r="H52" s="3" t="s">
        <v>59</v>
      </c>
      <c r="I52" s="3" t="s">
        <v>159</v>
      </c>
      <c r="J52" s="3" t="s">
        <v>134</v>
      </c>
      <c r="K52" s="3" t="s">
        <v>91</v>
      </c>
      <c r="L52" s="3" t="s">
        <v>85</v>
      </c>
      <c r="M52" s="3" t="s">
        <v>64</v>
      </c>
      <c r="N52" s="3" t="s">
        <v>86</v>
      </c>
      <c r="O52" s="3" t="s">
        <v>10</v>
      </c>
      <c r="P52" s="3" t="s">
        <v>87</v>
      </c>
      <c r="Q52" s="3" t="s">
        <v>68</v>
      </c>
      <c r="R52" s="3" t="s">
        <v>69</v>
      </c>
      <c r="S52" s="3" t="s">
        <v>70</v>
      </c>
      <c r="T52" s="3" t="s">
        <v>71</v>
      </c>
      <c r="U52" s="3" t="s">
        <v>72</v>
      </c>
      <c r="V52" s="3" t="str">
        <f>IF(COUNTA(A52:U52)=21,"OK","MISSING")</f>
        <v>OK</v>
      </c>
    </row>
    <row r="53" ht="35.05" hidden="0" outlineLevel="0" collapsed="0">
      <c r="A53" s="3">
        <v>49</v>
      </c>
      <c r="B53" s="3" t="s">
        <v>4</v>
      </c>
      <c r="C53" s="3" t="s">
        <v>162</v>
      </c>
      <c r="D53" s="3" t="s">
        <v>158</v>
      </c>
      <c r="E53" s="3" t="s">
        <v>93</v>
      </c>
      <c r="F53" s="12">
        <v>90678</v>
      </c>
      <c r="G53" s="3" t="s">
        <v>58</v>
      </c>
      <c r="H53" s="3" t="s">
        <v>59</v>
      </c>
      <c r="I53" s="3" t="s">
        <v>159</v>
      </c>
      <c r="J53" s="3" t="s">
        <v>134</v>
      </c>
      <c r="K53" s="3" t="s">
        <v>95</v>
      </c>
      <c r="L53" s="3" t="s">
        <v>85</v>
      </c>
      <c r="M53" s="3" t="s">
        <v>64</v>
      </c>
      <c r="N53" s="3" t="s">
        <v>86</v>
      </c>
      <c r="O53" s="3" t="s">
        <v>10</v>
      </c>
      <c r="P53" s="3" t="s">
        <v>87</v>
      </c>
      <c r="Q53" s="3" t="s">
        <v>68</v>
      </c>
      <c r="R53" s="3" t="s">
        <v>69</v>
      </c>
      <c r="S53" s="3" t="s">
        <v>70</v>
      </c>
      <c r="T53" s="3" t="s">
        <v>71</v>
      </c>
      <c r="U53" s="3" t="s">
        <v>72</v>
      </c>
      <c r="V53" s="3" t="str">
        <f>IF(COUNTA(A53:U53)=21,"OK","MISSING")</f>
        <v>OK</v>
      </c>
    </row>
    <row r="54" ht="35.05" hidden="0" outlineLevel="0" collapsed="0">
      <c r="A54" s="3">
        <v>50</v>
      </c>
      <c r="B54" s="3" t="s">
        <v>4</v>
      </c>
      <c r="C54" s="3" t="s">
        <v>163</v>
      </c>
      <c r="D54" s="3" t="s">
        <v>164</v>
      </c>
      <c r="E54" s="3" t="s">
        <v>57</v>
      </c>
      <c r="F54" s="12">
        <v>16864.919</v>
      </c>
      <c r="G54" s="3" t="s">
        <v>165</v>
      </c>
      <c r="H54" s="3" t="s">
        <v>166</v>
      </c>
      <c r="I54" s="3" t="s">
        <v>167</v>
      </c>
      <c r="J54" s="3" t="s">
        <v>61</v>
      </c>
      <c r="K54" s="3" t="s">
        <v>62</v>
      </c>
      <c r="L54" s="3" t="s">
        <v>63</v>
      </c>
      <c r="M54" s="3" t="s">
        <v>64</v>
      </c>
      <c r="N54" s="3" t="s">
        <v>65</v>
      </c>
      <c r="O54" s="3" t="s">
        <v>66</v>
      </c>
      <c r="P54" s="3" t="s">
        <v>67</v>
      </c>
      <c r="Q54" s="3" t="s">
        <v>68</v>
      </c>
      <c r="R54" s="3" t="s">
        <v>69</v>
      </c>
      <c r="S54" s="3" t="s">
        <v>168</v>
      </c>
      <c r="T54" s="3" t="s">
        <v>71</v>
      </c>
      <c r="U54" s="3" t="s">
        <v>72</v>
      </c>
      <c r="V54" s="3" t="str">
        <f>IF(COUNTA(A54:U54)=21,"OK","MISSING")</f>
        <v>OK</v>
      </c>
    </row>
    <row r="55" ht="35.05" hidden="0" outlineLevel="0" collapsed="0">
      <c r="A55" s="3">
        <v>51</v>
      </c>
      <c r="B55" s="3" t="s">
        <v>4</v>
      </c>
      <c r="C55" s="3" t="s">
        <v>169</v>
      </c>
      <c r="D55" s="3" t="s">
        <v>164</v>
      </c>
      <c r="E55" s="3" t="s">
        <v>74</v>
      </c>
      <c r="F55" s="12">
        <v>16325.819</v>
      </c>
      <c r="G55" s="3" t="s">
        <v>165</v>
      </c>
      <c r="H55" s="3" t="s">
        <v>166</v>
      </c>
      <c r="I55" s="3" t="s">
        <v>167</v>
      </c>
      <c r="J55" s="3" t="s">
        <v>75</v>
      </c>
      <c r="K55" s="3" t="s">
        <v>76</v>
      </c>
      <c r="L55" s="3" t="s">
        <v>77</v>
      </c>
      <c r="M55" s="3" t="s">
        <v>64</v>
      </c>
      <c r="N55" s="3" t="s">
        <v>78</v>
      </c>
      <c r="O55" s="3" t="s">
        <v>79</v>
      </c>
      <c r="P55" s="3" t="s">
        <v>80</v>
      </c>
      <c r="Q55" s="3" t="s">
        <v>68</v>
      </c>
      <c r="R55" s="3" t="s">
        <v>69</v>
      </c>
      <c r="S55" s="3" t="s">
        <v>168</v>
      </c>
      <c r="T55" s="3" t="s">
        <v>71</v>
      </c>
      <c r="U55" s="3" t="s">
        <v>72</v>
      </c>
      <c r="V55" s="3" t="str">
        <f>IF(COUNTA(A55:U55)=21,"OK","MISSING")</f>
        <v>OK</v>
      </c>
    </row>
    <row r="56" ht="35.05" hidden="0" outlineLevel="0" collapsed="0">
      <c r="A56" s="3">
        <v>52</v>
      </c>
      <c r="B56" s="3" t="s">
        <v>4</v>
      </c>
      <c r="C56" s="3" t="s">
        <v>170</v>
      </c>
      <c r="D56" s="3" t="s">
        <v>164</v>
      </c>
      <c r="E56" s="3" t="s">
        <v>82</v>
      </c>
      <c r="F56" s="12">
        <v>15812.547</v>
      </c>
      <c r="G56" s="3" t="s">
        <v>165</v>
      </c>
      <c r="H56" s="3" t="s">
        <v>166</v>
      </c>
      <c r="I56" s="3" t="s">
        <v>167</v>
      </c>
      <c r="J56" s="3" t="s">
        <v>83</v>
      </c>
      <c r="K56" s="3" t="s">
        <v>84</v>
      </c>
      <c r="L56" s="3" t="s">
        <v>85</v>
      </c>
      <c r="M56" s="3" t="s">
        <v>64</v>
      </c>
      <c r="N56" s="3" t="s">
        <v>86</v>
      </c>
      <c r="O56" s="3" t="s">
        <v>10</v>
      </c>
      <c r="P56" s="3" t="s">
        <v>87</v>
      </c>
      <c r="Q56" s="3" t="s">
        <v>68</v>
      </c>
      <c r="R56" s="3" t="s">
        <v>69</v>
      </c>
      <c r="S56" s="3" t="s">
        <v>168</v>
      </c>
      <c r="T56" s="3" t="s">
        <v>71</v>
      </c>
      <c r="U56" s="3" t="s">
        <v>72</v>
      </c>
      <c r="V56" s="3" t="str">
        <f>IF(COUNTA(A56:U56)=21,"OK","MISSING")</f>
        <v>OK</v>
      </c>
    </row>
    <row r="57" ht="35.05" hidden="0" outlineLevel="0" collapsed="0">
      <c r="A57" s="3">
        <v>53</v>
      </c>
      <c r="B57" s="3" t="s">
        <v>4</v>
      </c>
      <c r="C57" s="3" t="s">
        <v>171</v>
      </c>
      <c r="D57" s="3" t="s">
        <v>164</v>
      </c>
      <c r="E57" s="3" t="s">
        <v>89</v>
      </c>
      <c r="F57" s="12">
        <v>15408.095</v>
      </c>
      <c r="G57" s="3" t="s">
        <v>165</v>
      </c>
      <c r="H57" s="3" t="s">
        <v>166</v>
      </c>
      <c r="I57" s="3" t="s">
        <v>167</v>
      </c>
      <c r="J57" s="3" t="s">
        <v>90</v>
      </c>
      <c r="K57" s="3" t="s">
        <v>91</v>
      </c>
      <c r="L57" s="3" t="s">
        <v>85</v>
      </c>
      <c r="M57" s="3" t="s">
        <v>64</v>
      </c>
      <c r="N57" s="3" t="s">
        <v>86</v>
      </c>
      <c r="O57" s="3" t="s">
        <v>10</v>
      </c>
      <c r="P57" s="3" t="s">
        <v>87</v>
      </c>
      <c r="Q57" s="3" t="s">
        <v>68</v>
      </c>
      <c r="R57" s="3" t="s">
        <v>69</v>
      </c>
      <c r="S57" s="3" t="s">
        <v>168</v>
      </c>
      <c r="T57" s="3" t="s">
        <v>71</v>
      </c>
      <c r="U57" s="3" t="s">
        <v>72</v>
      </c>
      <c r="V57" s="3" t="str">
        <f>IF(COUNTA(A57:U57)=21,"OK","MISSING")</f>
        <v>OK</v>
      </c>
    </row>
    <row r="58" ht="35.05" hidden="0" outlineLevel="0" collapsed="0">
      <c r="A58" s="3">
        <v>54</v>
      </c>
      <c r="B58" s="3" t="s">
        <v>4</v>
      </c>
      <c r="C58" s="3" t="s">
        <v>172</v>
      </c>
      <c r="D58" s="3" t="s">
        <v>164</v>
      </c>
      <c r="E58" s="3" t="s">
        <v>93</v>
      </c>
      <c r="F58" s="12">
        <v>15004.697</v>
      </c>
      <c r="G58" s="3" t="s">
        <v>165</v>
      </c>
      <c r="H58" s="3" t="s">
        <v>166</v>
      </c>
      <c r="I58" s="3" t="s">
        <v>167</v>
      </c>
      <c r="J58" s="3" t="s">
        <v>94</v>
      </c>
      <c r="K58" s="3" t="s">
        <v>95</v>
      </c>
      <c r="L58" s="3" t="s">
        <v>85</v>
      </c>
      <c r="M58" s="3" t="s">
        <v>64</v>
      </c>
      <c r="N58" s="3" t="s">
        <v>86</v>
      </c>
      <c r="O58" s="3" t="s">
        <v>10</v>
      </c>
      <c r="P58" s="3" t="s">
        <v>87</v>
      </c>
      <c r="Q58" s="3" t="s">
        <v>68</v>
      </c>
      <c r="R58" s="3" t="s">
        <v>69</v>
      </c>
      <c r="S58" s="3" t="s">
        <v>168</v>
      </c>
      <c r="T58" s="3" t="s">
        <v>71</v>
      </c>
      <c r="U58" s="3" t="s">
        <v>72</v>
      </c>
      <c r="V58" s="3" t="str">
        <f>IF(COUNTA(A58:U58)=21,"OK","MISSING")</f>
        <v>OK</v>
      </c>
    </row>
    <row r="59" ht="23.85" hidden="0" outlineLevel="0" collapsed="0">
      <c r="A59" s="3">
        <v>55</v>
      </c>
      <c r="B59" s="3" t="s">
        <v>4</v>
      </c>
      <c r="C59" s="3" t="s">
        <v>173</v>
      </c>
      <c r="D59" s="3" t="s">
        <v>174</v>
      </c>
      <c r="E59" s="3" t="s">
        <v>175</v>
      </c>
      <c r="F59" s="12">
        <v>14776.353</v>
      </c>
      <c r="G59" s="3" t="s">
        <v>165</v>
      </c>
      <c r="H59" s="3" t="s">
        <v>166</v>
      </c>
      <c r="I59" s="3" t="s">
        <v>176</v>
      </c>
      <c r="J59" s="3" t="s">
        <v>134</v>
      </c>
      <c r="K59" s="3" t="s">
        <v>175</v>
      </c>
      <c r="L59" s="3" t="s">
        <v>177</v>
      </c>
      <c r="M59" s="3" t="s">
        <v>64</v>
      </c>
      <c r="N59" s="3" t="s">
        <v>86</v>
      </c>
      <c r="O59" s="3" t="s">
        <v>10</v>
      </c>
      <c r="P59" s="3" t="s">
        <v>178</v>
      </c>
      <c r="Q59" s="3" t="s">
        <v>68</v>
      </c>
      <c r="R59" s="3" t="s">
        <v>69</v>
      </c>
      <c r="S59" s="3" t="s">
        <v>179</v>
      </c>
      <c r="T59" s="3" t="s">
        <v>71</v>
      </c>
      <c r="U59" s="3" t="s">
        <v>180</v>
      </c>
      <c r="V59" s="3" t="str">
        <f>IF(COUNTA(A59:U59)=21,"OK","MISSING")</f>
        <v>OK</v>
      </c>
    </row>
    <row r="60" ht="23.85" hidden="0" outlineLevel="0" collapsed="0">
      <c r="A60" s="3">
        <v>56</v>
      </c>
      <c r="B60" s="3" t="s">
        <v>4</v>
      </c>
      <c r="C60" s="3" t="s">
        <v>181</v>
      </c>
      <c r="D60" s="3" t="s">
        <v>182</v>
      </c>
      <c r="E60" s="3" t="s">
        <v>93</v>
      </c>
      <c r="F60" s="12">
        <v>18763</v>
      </c>
      <c r="G60" s="3" t="s">
        <v>58</v>
      </c>
      <c r="H60" s="3" t="s">
        <v>59</v>
      </c>
      <c r="I60" s="3" t="s">
        <v>183</v>
      </c>
      <c r="J60" s="3" t="s">
        <v>134</v>
      </c>
      <c r="K60" s="3" t="s">
        <v>95</v>
      </c>
      <c r="L60" s="3" t="s">
        <v>177</v>
      </c>
      <c r="M60" s="3" t="s">
        <v>64</v>
      </c>
      <c r="N60" s="3" t="s">
        <v>86</v>
      </c>
      <c r="O60" s="3" t="s">
        <v>10</v>
      </c>
      <c r="P60" s="3" t="s">
        <v>178</v>
      </c>
      <c r="Q60" s="3" t="s">
        <v>68</v>
      </c>
      <c r="R60" s="3" t="s">
        <v>69</v>
      </c>
      <c r="S60" s="3" t="s">
        <v>184</v>
      </c>
      <c r="T60" s="3" t="s">
        <v>71</v>
      </c>
      <c r="U60" s="3" t="s">
        <v>185</v>
      </c>
      <c r="V60" s="3" t="str">
        <f>IF(COUNTA(A60:U60)=21,"OK","MISSING")</f>
        <v>OK</v>
      </c>
    </row>
    <row r="61" ht="23.85" hidden="0" outlineLevel="0" collapsed="0">
      <c r="A61" s="3">
        <v>57</v>
      </c>
      <c r="B61" s="3" t="s">
        <v>4</v>
      </c>
      <c r="C61" s="3" t="s">
        <v>186</v>
      </c>
      <c r="D61" s="3" t="s">
        <v>187</v>
      </c>
      <c r="E61" s="3" t="s">
        <v>93</v>
      </c>
      <c r="F61" s="12">
        <v>77723</v>
      </c>
      <c r="G61" s="3" t="s">
        <v>58</v>
      </c>
      <c r="H61" s="3" t="s">
        <v>59</v>
      </c>
      <c r="I61" s="3" t="s">
        <v>188</v>
      </c>
      <c r="J61" s="3" t="s">
        <v>134</v>
      </c>
      <c r="K61" s="3" t="s">
        <v>95</v>
      </c>
      <c r="L61" s="3" t="s">
        <v>177</v>
      </c>
      <c r="M61" s="3" t="s">
        <v>64</v>
      </c>
      <c r="N61" s="3" t="s">
        <v>86</v>
      </c>
      <c r="O61" s="3" t="s">
        <v>10</v>
      </c>
      <c r="P61" s="3" t="s">
        <v>178</v>
      </c>
      <c r="Q61" s="3" t="s">
        <v>68</v>
      </c>
      <c r="R61" s="3" t="s">
        <v>69</v>
      </c>
      <c r="S61" s="3" t="s">
        <v>184</v>
      </c>
      <c r="T61" s="3" t="s">
        <v>71</v>
      </c>
      <c r="U61" s="3" t="s">
        <v>185</v>
      </c>
      <c r="V61" s="3" t="str">
        <f>IF(COUNTA(A61:U61)=21,"OK","MISSING")</f>
        <v>OK</v>
      </c>
    </row>
    <row r="62" ht="23.85" hidden="0" outlineLevel="0" collapsed="0">
      <c r="A62" s="3">
        <v>58</v>
      </c>
      <c r="B62" s="3" t="s">
        <v>4</v>
      </c>
      <c r="C62" s="3" t="s">
        <v>189</v>
      </c>
      <c r="D62" s="3" t="s">
        <v>190</v>
      </c>
      <c r="E62" s="3" t="s">
        <v>82</v>
      </c>
      <c r="F62" s="12">
        <v>200583</v>
      </c>
      <c r="G62" s="3" t="s">
        <v>58</v>
      </c>
      <c r="H62" s="3" t="s">
        <v>59</v>
      </c>
      <c r="I62" s="3" t="s">
        <v>191</v>
      </c>
      <c r="J62" s="3" t="s">
        <v>192</v>
      </c>
      <c r="K62" s="3" t="s">
        <v>84</v>
      </c>
      <c r="L62" s="3" t="s">
        <v>177</v>
      </c>
      <c r="M62" s="3" t="s">
        <v>64</v>
      </c>
      <c r="N62" s="3" t="s">
        <v>86</v>
      </c>
      <c r="O62" s="3" t="s">
        <v>10</v>
      </c>
      <c r="P62" s="3" t="s">
        <v>193</v>
      </c>
      <c r="Q62" s="3" t="s">
        <v>68</v>
      </c>
      <c r="R62" s="3" t="s">
        <v>69</v>
      </c>
      <c r="S62" s="3" t="s">
        <v>194</v>
      </c>
      <c r="T62" s="3" t="s">
        <v>71</v>
      </c>
      <c r="U62" s="3" t="s">
        <v>72</v>
      </c>
      <c r="V62" s="3" t="str">
        <f>IF(COUNTA(A62:U62)=21,"OK","MISSING")</f>
        <v>OK</v>
      </c>
    </row>
    <row r="63" ht="23.85" hidden="0" outlineLevel="0" collapsed="0">
      <c r="A63" s="3">
        <v>59</v>
      </c>
      <c r="B63" s="3" t="s">
        <v>4</v>
      </c>
      <c r="C63" s="3" t="s">
        <v>195</v>
      </c>
      <c r="D63" s="3" t="s">
        <v>190</v>
      </c>
      <c r="E63" s="3" t="s">
        <v>89</v>
      </c>
      <c r="F63" s="12">
        <v>201183</v>
      </c>
      <c r="G63" s="3" t="s">
        <v>58</v>
      </c>
      <c r="H63" s="3" t="s">
        <v>59</v>
      </c>
      <c r="I63" s="3" t="s">
        <v>191</v>
      </c>
      <c r="J63" s="3" t="s">
        <v>192</v>
      </c>
      <c r="K63" s="3" t="s">
        <v>91</v>
      </c>
      <c r="L63" s="3" t="s">
        <v>177</v>
      </c>
      <c r="M63" s="3" t="s">
        <v>64</v>
      </c>
      <c r="N63" s="3" t="s">
        <v>86</v>
      </c>
      <c r="O63" s="3" t="s">
        <v>10</v>
      </c>
      <c r="P63" s="3" t="s">
        <v>193</v>
      </c>
      <c r="Q63" s="3" t="s">
        <v>68</v>
      </c>
      <c r="R63" s="3" t="s">
        <v>69</v>
      </c>
      <c r="S63" s="3" t="s">
        <v>194</v>
      </c>
      <c r="T63" s="3" t="s">
        <v>71</v>
      </c>
      <c r="U63" s="3" t="s">
        <v>72</v>
      </c>
      <c r="V63" s="3" t="str">
        <f>IF(COUNTA(A63:U63)=21,"OK","MISSING")</f>
        <v>OK</v>
      </c>
    </row>
    <row r="64" ht="23.85" hidden="0" outlineLevel="0" collapsed="0">
      <c r="A64" s="3">
        <v>60</v>
      </c>
      <c r="B64" s="3" t="s">
        <v>4</v>
      </c>
      <c r="C64" s="3" t="s">
        <v>196</v>
      </c>
      <c r="D64" s="3" t="s">
        <v>190</v>
      </c>
      <c r="E64" s="3" t="s">
        <v>93</v>
      </c>
      <c r="F64" s="12">
        <v>209586</v>
      </c>
      <c r="G64" s="3" t="s">
        <v>58</v>
      </c>
      <c r="H64" s="3" t="s">
        <v>59</v>
      </c>
      <c r="I64" s="3" t="s">
        <v>191</v>
      </c>
      <c r="J64" s="3" t="s">
        <v>192</v>
      </c>
      <c r="K64" s="3" t="s">
        <v>95</v>
      </c>
      <c r="L64" s="3" t="s">
        <v>177</v>
      </c>
      <c r="M64" s="3" t="s">
        <v>64</v>
      </c>
      <c r="N64" s="3" t="s">
        <v>86</v>
      </c>
      <c r="O64" s="3" t="s">
        <v>10</v>
      </c>
      <c r="P64" s="3" t="s">
        <v>193</v>
      </c>
      <c r="Q64" s="3" t="s">
        <v>68</v>
      </c>
      <c r="R64" s="3" t="s">
        <v>69</v>
      </c>
      <c r="S64" s="3" t="s">
        <v>194</v>
      </c>
      <c r="T64" s="3" t="s">
        <v>71</v>
      </c>
      <c r="U64" s="3" t="s">
        <v>72</v>
      </c>
      <c r="V64" s="3" t="str">
        <f>IF(COUNTA(A64:U64)=21,"OK","MISSING")</f>
        <v>OK</v>
      </c>
    </row>
    <row r="65" ht="23.85" hidden="0" outlineLevel="0" collapsed="0">
      <c r="A65" s="3">
        <v>61</v>
      </c>
      <c r="B65" s="3" t="s">
        <v>4</v>
      </c>
      <c r="C65" s="3" t="s">
        <v>197</v>
      </c>
      <c r="D65" s="3" t="s">
        <v>198</v>
      </c>
      <c r="E65" s="3" t="s">
        <v>82</v>
      </c>
      <c r="F65" s="12">
        <v>29357</v>
      </c>
      <c r="G65" s="3" t="s">
        <v>58</v>
      </c>
      <c r="H65" s="3" t="s">
        <v>59</v>
      </c>
      <c r="I65" s="3" t="s">
        <v>199</v>
      </c>
      <c r="J65" s="3" t="s">
        <v>192</v>
      </c>
      <c r="K65" s="3" t="s">
        <v>84</v>
      </c>
      <c r="L65" s="3" t="s">
        <v>177</v>
      </c>
      <c r="M65" s="3" t="s">
        <v>64</v>
      </c>
      <c r="N65" s="3" t="s">
        <v>86</v>
      </c>
      <c r="O65" s="3" t="s">
        <v>10</v>
      </c>
      <c r="P65" s="3" t="s">
        <v>193</v>
      </c>
      <c r="Q65" s="3" t="s">
        <v>68</v>
      </c>
      <c r="R65" s="3" t="s">
        <v>69</v>
      </c>
      <c r="S65" s="3" t="s">
        <v>194</v>
      </c>
      <c r="T65" s="3" t="s">
        <v>71</v>
      </c>
      <c r="U65" s="3" t="s">
        <v>72</v>
      </c>
      <c r="V65" s="3" t="str">
        <f>IF(COUNTA(A65:U65)=21,"OK","MISSING")</f>
        <v>OK</v>
      </c>
    </row>
    <row r="66" ht="23.85" hidden="0" outlineLevel="0" collapsed="0">
      <c r="A66" s="3">
        <v>62</v>
      </c>
      <c r="B66" s="3" t="s">
        <v>4</v>
      </c>
      <c r="C66" s="3" t="s">
        <v>200</v>
      </c>
      <c r="D66" s="3" t="s">
        <v>198</v>
      </c>
      <c r="E66" s="3" t="s">
        <v>89</v>
      </c>
      <c r="F66" s="12">
        <v>29984</v>
      </c>
      <c r="G66" s="3" t="s">
        <v>58</v>
      </c>
      <c r="H66" s="3" t="s">
        <v>59</v>
      </c>
      <c r="I66" s="3" t="s">
        <v>199</v>
      </c>
      <c r="J66" s="3" t="s">
        <v>192</v>
      </c>
      <c r="K66" s="3" t="s">
        <v>91</v>
      </c>
      <c r="L66" s="3" t="s">
        <v>177</v>
      </c>
      <c r="M66" s="3" t="s">
        <v>64</v>
      </c>
      <c r="N66" s="3" t="s">
        <v>86</v>
      </c>
      <c r="O66" s="3" t="s">
        <v>10</v>
      </c>
      <c r="P66" s="3" t="s">
        <v>193</v>
      </c>
      <c r="Q66" s="3" t="s">
        <v>68</v>
      </c>
      <c r="R66" s="3" t="s">
        <v>69</v>
      </c>
      <c r="S66" s="3" t="s">
        <v>194</v>
      </c>
      <c r="T66" s="3" t="s">
        <v>71</v>
      </c>
      <c r="U66" s="3" t="s">
        <v>72</v>
      </c>
      <c r="V66" s="3" t="str">
        <f>IF(COUNTA(A66:U66)=21,"OK","MISSING")</f>
        <v>OK</v>
      </c>
    </row>
    <row r="67" ht="23.85" hidden="0" outlineLevel="0" collapsed="0">
      <c r="A67" s="3">
        <v>63</v>
      </c>
      <c r="B67" s="3" t="s">
        <v>4</v>
      </c>
      <c r="C67" s="3" t="s">
        <v>201</v>
      </c>
      <c r="D67" s="3" t="s">
        <v>198</v>
      </c>
      <c r="E67" s="3" t="s">
        <v>93</v>
      </c>
      <c r="F67" s="12">
        <v>33708</v>
      </c>
      <c r="G67" s="3" t="s">
        <v>58</v>
      </c>
      <c r="H67" s="3" t="s">
        <v>59</v>
      </c>
      <c r="I67" s="3" t="s">
        <v>199</v>
      </c>
      <c r="J67" s="3" t="s">
        <v>192</v>
      </c>
      <c r="K67" s="3" t="s">
        <v>95</v>
      </c>
      <c r="L67" s="3" t="s">
        <v>177</v>
      </c>
      <c r="M67" s="3" t="s">
        <v>64</v>
      </c>
      <c r="N67" s="3" t="s">
        <v>86</v>
      </c>
      <c r="O67" s="3" t="s">
        <v>10</v>
      </c>
      <c r="P67" s="3" t="s">
        <v>193</v>
      </c>
      <c r="Q67" s="3" t="s">
        <v>68</v>
      </c>
      <c r="R67" s="3" t="s">
        <v>69</v>
      </c>
      <c r="S67" s="3" t="s">
        <v>194</v>
      </c>
      <c r="T67" s="3" t="s">
        <v>71</v>
      </c>
      <c r="U67" s="3" t="s">
        <v>72</v>
      </c>
      <c r="V67" s="3" t="str">
        <f>IF(COUNTA(A67:U67)=21,"OK","MISSING")</f>
        <v>OK</v>
      </c>
    </row>
    <row r="68" ht="23.85" hidden="0" outlineLevel="0" collapsed="0">
      <c r="A68" s="3">
        <v>64</v>
      </c>
      <c r="B68" s="3" t="s">
        <v>4</v>
      </c>
      <c r="C68" s="3" t="s">
        <v>202</v>
      </c>
      <c r="D68" s="3" t="s">
        <v>203</v>
      </c>
      <c r="E68" s="3" t="s">
        <v>82</v>
      </c>
      <c r="F68" s="12">
        <v>28300</v>
      </c>
      <c r="G68" s="3" t="s">
        <v>58</v>
      </c>
      <c r="H68" s="3" t="s">
        <v>59</v>
      </c>
      <c r="I68" s="3" t="s">
        <v>199</v>
      </c>
      <c r="J68" s="3" t="s">
        <v>192</v>
      </c>
      <c r="K68" s="3" t="s">
        <v>84</v>
      </c>
      <c r="L68" s="3" t="s">
        <v>177</v>
      </c>
      <c r="M68" s="3" t="s">
        <v>64</v>
      </c>
      <c r="N68" s="3" t="s">
        <v>86</v>
      </c>
      <c r="O68" s="3" t="s">
        <v>10</v>
      </c>
      <c r="P68" s="3" t="s">
        <v>193</v>
      </c>
      <c r="Q68" s="3" t="s">
        <v>68</v>
      </c>
      <c r="R68" s="3" t="s">
        <v>69</v>
      </c>
      <c r="S68" s="3" t="s">
        <v>194</v>
      </c>
      <c r="T68" s="3" t="s">
        <v>71</v>
      </c>
      <c r="U68" s="3" t="s">
        <v>72</v>
      </c>
      <c r="V68" s="3" t="str">
        <f>IF(COUNTA(A68:U68)=21,"OK","MISSING")</f>
        <v>OK</v>
      </c>
    </row>
    <row r="69" ht="23.85" hidden="0" outlineLevel="0" collapsed="0">
      <c r="A69" s="3">
        <v>65</v>
      </c>
      <c r="B69" s="3" t="s">
        <v>4</v>
      </c>
      <c r="C69" s="3" t="s">
        <v>204</v>
      </c>
      <c r="D69" s="3" t="s">
        <v>203</v>
      </c>
      <c r="E69" s="3" t="s">
        <v>89</v>
      </c>
      <c r="F69" s="12">
        <v>26694</v>
      </c>
      <c r="G69" s="3" t="s">
        <v>58</v>
      </c>
      <c r="H69" s="3" t="s">
        <v>59</v>
      </c>
      <c r="I69" s="3" t="s">
        <v>199</v>
      </c>
      <c r="J69" s="3" t="s">
        <v>192</v>
      </c>
      <c r="K69" s="3" t="s">
        <v>91</v>
      </c>
      <c r="L69" s="3" t="s">
        <v>177</v>
      </c>
      <c r="M69" s="3" t="s">
        <v>64</v>
      </c>
      <c r="N69" s="3" t="s">
        <v>86</v>
      </c>
      <c r="O69" s="3" t="s">
        <v>10</v>
      </c>
      <c r="P69" s="3" t="s">
        <v>193</v>
      </c>
      <c r="Q69" s="3" t="s">
        <v>68</v>
      </c>
      <c r="R69" s="3" t="s">
        <v>69</v>
      </c>
      <c r="S69" s="3" t="s">
        <v>194</v>
      </c>
      <c r="T69" s="3" t="s">
        <v>71</v>
      </c>
      <c r="U69" s="3" t="s">
        <v>72</v>
      </c>
      <c r="V69" s="3" t="str">
        <f>IF(COUNTA(A69:U69)=21,"OK","MISSING")</f>
        <v>OK</v>
      </c>
    </row>
    <row r="70" ht="23.85" hidden="0" outlineLevel="0" collapsed="0">
      <c r="A70" s="3">
        <v>66</v>
      </c>
      <c r="B70" s="3" t="s">
        <v>4</v>
      </c>
      <c r="C70" s="3" t="s">
        <v>205</v>
      </c>
      <c r="D70" s="3" t="s">
        <v>203</v>
      </c>
      <c r="E70" s="3" t="s">
        <v>93</v>
      </c>
      <c r="F70" s="12">
        <v>28023</v>
      </c>
      <c r="G70" s="3" t="s">
        <v>58</v>
      </c>
      <c r="H70" s="3" t="s">
        <v>59</v>
      </c>
      <c r="I70" s="3" t="s">
        <v>199</v>
      </c>
      <c r="J70" s="3" t="s">
        <v>192</v>
      </c>
      <c r="K70" s="3" t="s">
        <v>95</v>
      </c>
      <c r="L70" s="3" t="s">
        <v>177</v>
      </c>
      <c r="M70" s="3" t="s">
        <v>64</v>
      </c>
      <c r="N70" s="3" t="s">
        <v>86</v>
      </c>
      <c r="O70" s="3" t="s">
        <v>10</v>
      </c>
      <c r="P70" s="3" t="s">
        <v>193</v>
      </c>
      <c r="Q70" s="3" t="s">
        <v>68</v>
      </c>
      <c r="R70" s="3" t="s">
        <v>69</v>
      </c>
      <c r="S70" s="3" t="s">
        <v>194</v>
      </c>
      <c r="T70" s="3" t="s">
        <v>71</v>
      </c>
      <c r="U70" s="3" t="s">
        <v>72</v>
      </c>
      <c r="V70" s="3" t="str">
        <f>IF(COUNTA(A70:U70)=21,"OK","MISSING")</f>
        <v>OK</v>
      </c>
    </row>
    <row r="71" ht="23.85" hidden="0" outlineLevel="0" collapsed="0">
      <c r="A71" s="3">
        <v>67</v>
      </c>
      <c r="B71" s="3" t="s">
        <v>4</v>
      </c>
      <c r="C71" s="3" t="s">
        <v>206</v>
      </c>
      <c r="D71" s="3" t="s">
        <v>207</v>
      </c>
      <c r="E71" s="3" t="s">
        <v>82</v>
      </c>
      <c r="F71" s="12">
        <v>39845</v>
      </c>
      <c r="G71" s="3" t="s">
        <v>58</v>
      </c>
      <c r="H71" s="3" t="s">
        <v>59</v>
      </c>
      <c r="I71" s="3" t="s">
        <v>199</v>
      </c>
      <c r="J71" s="3" t="s">
        <v>192</v>
      </c>
      <c r="K71" s="3" t="s">
        <v>84</v>
      </c>
      <c r="L71" s="3" t="s">
        <v>177</v>
      </c>
      <c r="M71" s="3" t="s">
        <v>64</v>
      </c>
      <c r="N71" s="3" t="s">
        <v>86</v>
      </c>
      <c r="O71" s="3" t="s">
        <v>10</v>
      </c>
      <c r="P71" s="3" t="s">
        <v>193</v>
      </c>
      <c r="Q71" s="3" t="s">
        <v>68</v>
      </c>
      <c r="R71" s="3" t="s">
        <v>69</v>
      </c>
      <c r="S71" s="3" t="s">
        <v>194</v>
      </c>
      <c r="T71" s="3" t="s">
        <v>71</v>
      </c>
      <c r="U71" s="3" t="s">
        <v>72</v>
      </c>
      <c r="V71" s="3" t="str">
        <f>IF(COUNTA(A71:U71)=21,"OK","MISSING")</f>
        <v>OK</v>
      </c>
    </row>
    <row r="72" ht="23.85" hidden="0" outlineLevel="0" collapsed="0">
      <c r="A72" s="3">
        <v>68</v>
      </c>
      <c r="B72" s="3" t="s">
        <v>4</v>
      </c>
      <c r="C72" s="3" t="s">
        <v>208</v>
      </c>
      <c r="D72" s="3" t="s">
        <v>207</v>
      </c>
      <c r="E72" s="3" t="s">
        <v>89</v>
      </c>
      <c r="F72" s="12">
        <v>37005</v>
      </c>
      <c r="G72" s="3" t="s">
        <v>58</v>
      </c>
      <c r="H72" s="3" t="s">
        <v>59</v>
      </c>
      <c r="I72" s="3" t="s">
        <v>199</v>
      </c>
      <c r="J72" s="3" t="s">
        <v>192</v>
      </c>
      <c r="K72" s="3" t="s">
        <v>91</v>
      </c>
      <c r="L72" s="3" t="s">
        <v>177</v>
      </c>
      <c r="M72" s="3" t="s">
        <v>64</v>
      </c>
      <c r="N72" s="3" t="s">
        <v>86</v>
      </c>
      <c r="O72" s="3" t="s">
        <v>10</v>
      </c>
      <c r="P72" s="3" t="s">
        <v>193</v>
      </c>
      <c r="Q72" s="3" t="s">
        <v>68</v>
      </c>
      <c r="R72" s="3" t="s">
        <v>69</v>
      </c>
      <c r="S72" s="3" t="s">
        <v>194</v>
      </c>
      <c r="T72" s="3" t="s">
        <v>71</v>
      </c>
      <c r="U72" s="3" t="s">
        <v>72</v>
      </c>
      <c r="V72" s="3" t="str">
        <f>IF(COUNTA(A72:U72)=21,"OK","MISSING")</f>
        <v>OK</v>
      </c>
    </row>
    <row r="73" ht="23.85" hidden="0" outlineLevel="0" collapsed="0">
      <c r="A73" s="3">
        <v>69</v>
      </c>
      <c r="B73" s="3" t="s">
        <v>4</v>
      </c>
      <c r="C73" s="3" t="s">
        <v>209</v>
      </c>
      <c r="D73" s="3" t="s">
        <v>207</v>
      </c>
      <c r="E73" s="3" t="s">
        <v>93</v>
      </c>
      <c r="F73" s="12">
        <v>35686</v>
      </c>
      <c r="G73" s="3" t="s">
        <v>58</v>
      </c>
      <c r="H73" s="3" t="s">
        <v>59</v>
      </c>
      <c r="I73" s="3" t="s">
        <v>199</v>
      </c>
      <c r="J73" s="3" t="s">
        <v>192</v>
      </c>
      <c r="K73" s="3" t="s">
        <v>95</v>
      </c>
      <c r="L73" s="3" t="s">
        <v>177</v>
      </c>
      <c r="M73" s="3" t="s">
        <v>64</v>
      </c>
      <c r="N73" s="3" t="s">
        <v>86</v>
      </c>
      <c r="O73" s="3" t="s">
        <v>10</v>
      </c>
      <c r="P73" s="3" t="s">
        <v>193</v>
      </c>
      <c r="Q73" s="3" t="s">
        <v>68</v>
      </c>
      <c r="R73" s="3" t="s">
        <v>69</v>
      </c>
      <c r="S73" s="3" t="s">
        <v>194</v>
      </c>
      <c r="T73" s="3" t="s">
        <v>71</v>
      </c>
      <c r="U73" s="3" t="s">
        <v>72</v>
      </c>
      <c r="V73" s="3" t="str">
        <f>IF(COUNTA(A73:U73)=21,"OK","MISSING")</f>
        <v>OK</v>
      </c>
    </row>
    <row r="74" ht="23.85" hidden="0" outlineLevel="0" collapsed="0">
      <c r="A74" s="3">
        <v>70</v>
      </c>
      <c r="B74" s="3" t="s">
        <v>4</v>
      </c>
      <c r="C74" s="3" t="s">
        <v>210</v>
      </c>
      <c r="D74" s="3" t="s">
        <v>211</v>
      </c>
      <c r="E74" s="3" t="s">
        <v>82</v>
      </c>
      <c r="F74" s="12">
        <v>85200</v>
      </c>
      <c r="G74" s="3" t="s">
        <v>58</v>
      </c>
      <c r="H74" s="3" t="s">
        <v>59</v>
      </c>
      <c r="I74" s="3" t="s">
        <v>212</v>
      </c>
      <c r="J74" s="3" t="s">
        <v>192</v>
      </c>
      <c r="K74" s="3" t="s">
        <v>84</v>
      </c>
      <c r="L74" s="3" t="s">
        <v>177</v>
      </c>
      <c r="M74" s="3" t="s">
        <v>64</v>
      </c>
      <c r="N74" s="3" t="s">
        <v>86</v>
      </c>
      <c r="O74" s="3" t="s">
        <v>10</v>
      </c>
      <c r="P74" s="3" t="s">
        <v>193</v>
      </c>
      <c r="Q74" s="3" t="s">
        <v>68</v>
      </c>
      <c r="R74" s="3" t="s">
        <v>69</v>
      </c>
      <c r="S74" s="3" t="s">
        <v>194</v>
      </c>
      <c r="T74" s="3" t="s">
        <v>71</v>
      </c>
      <c r="U74" s="3" t="s">
        <v>72</v>
      </c>
      <c r="V74" s="3" t="str">
        <f>IF(COUNTA(A74:U74)=21,"OK","MISSING")</f>
        <v>OK</v>
      </c>
    </row>
    <row r="75" ht="23.85" hidden="0" outlineLevel="0" collapsed="0">
      <c r="A75" s="3">
        <v>71</v>
      </c>
      <c r="B75" s="3" t="s">
        <v>4</v>
      </c>
      <c r="C75" s="3" t="s">
        <v>213</v>
      </c>
      <c r="D75" s="3" t="s">
        <v>211</v>
      </c>
      <c r="E75" s="3" t="s">
        <v>89</v>
      </c>
      <c r="F75" s="12">
        <v>96169</v>
      </c>
      <c r="G75" s="3" t="s">
        <v>58</v>
      </c>
      <c r="H75" s="3" t="s">
        <v>59</v>
      </c>
      <c r="I75" s="3" t="s">
        <v>212</v>
      </c>
      <c r="J75" s="3" t="s">
        <v>192</v>
      </c>
      <c r="K75" s="3" t="s">
        <v>91</v>
      </c>
      <c r="L75" s="3" t="s">
        <v>177</v>
      </c>
      <c r="M75" s="3" t="s">
        <v>64</v>
      </c>
      <c r="N75" s="3" t="s">
        <v>86</v>
      </c>
      <c r="O75" s="3" t="s">
        <v>10</v>
      </c>
      <c r="P75" s="3" t="s">
        <v>193</v>
      </c>
      <c r="Q75" s="3" t="s">
        <v>68</v>
      </c>
      <c r="R75" s="3" t="s">
        <v>69</v>
      </c>
      <c r="S75" s="3" t="s">
        <v>194</v>
      </c>
      <c r="T75" s="3" t="s">
        <v>71</v>
      </c>
      <c r="U75" s="3" t="s">
        <v>72</v>
      </c>
      <c r="V75" s="3" t="str">
        <f>IF(COUNTA(A75:U75)=21,"OK","MISSING")</f>
        <v>OK</v>
      </c>
    </row>
    <row r="76" ht="23.85" hidden="0" outlineLevel="0" collapsed="0">
      <c r="A76" s="3">
        <v>72</v>
      </c>
      <c r="B76" s="3" t="s">
        <v>4</v>
      </c>
      <c r="C76" s="3" t="s">
        <v>214</v>
      </c>
      <c r="D76" s="3" t="s">
        <v>211</v>
      </c>
      <c r="E76" s="3" t="s">
        <v>93</v>
      </c>
      <c r="F76" s="12">
        <v>109158</v>
      </c>
      <c r="G76" s="3" t="s">
        <v>58</v>
      </c>
      <c r="H76" s="3" t="s">
        <v>59</v>
      </c>
      <c r="I76" s="3" t="s">
        <v>212</v>
      </c>
      <c r="J76" s="3" t="s">
        <v>192</v>
      </c>
      <c r="K76" s="3" t="s">
        <v>95</v>
      </c>
      <c r="L76" s="3" t="s">
        <v>177</v>
      </c>
      <c r="M76" s="3" t="s">
        <v>64</v>
      </c>
      <c r="N76" s="3" t="s">
        <v>86</v>
      </c>
      <c r="O76" s="3" t="s">
        <v>10</v>
      </c>
      <c r="P76" s="3" t="s">
        <v>193</v>
      </c>
      <c r="Q76" s="3" t="s">
        <v>68</v>
      </c>
      <c r="R76" s="3" t="s">
        <v>69</v>
      </c>
      <c r="S76" s="3" t="s">
        <v>194</v>
      </c>
      <c r="T76" s="3" t="s">
        <v>71</v>
      </c>
      <c r="U76" s="3" t="s">
        <v>72</v>
      </c>
      <c r="V76" s="3" t="str">
        <f>IF(COUNTA(A76:U76)=21,"OK","MISSING")</f>
        <v>OK</v>
      </c>
    </row>
    <row r="77" ht="23.85" hidden="0" outlineLevel="0" collapsed="0">
      <c r="A77" s="3">
        <v>73</v>
      </c>
      <c r="B77" s="3" t="s">
        <v>4</v>
      </c>
      <c r="C77" s="3" t="s">
        <v>215</v>
      </c>
      <c r="D77" s="3" t="s">
        <v>216</v>
      </c>
      <c r="E77" s="3" t="s">
        <v>82</v>
      </c>
      <c r="F77" s="12">
        <v>108803</v>
      </c>
      <c r="G77" s="3" t="s">
        <v>58</v>
      </c>
      <c r="H77" s="3" t="s">
        <v>59</v>
      </c>
      <c r="I77" s="3" t="s">
        <v>217</v>
      </c>
      <c r="J77" s="3" t="s">
        <v>192</v>
      </c>
      <c r="K77" s="3" t="s">
        <v>84</v>
      </c>
      <c r="L77" s="3" t="s">
        <v>177</v>
      </c>
      <c r="M77" s="3" t="s">
        <v>64</v>
      </c>
      <c r="N77" s="3" t="s">
        <v>86</v>
      </c>
      <c r="O77" s="3" t="s">
        <v>10</v>
      </c>
      <c r="P77" s="3" t="s">
        <v>193</v>
      </c>
      <c r="Q77" s="3" t="s">
        <v>68</v>
      </c>
      <c r="R77" s="3" t="s">
        <v>69</v>
      </c>
      <c r="S77" s="3" t="s">
        <v>194</v>
      </c>
      <c r="T77" s="3" t="s">
        <v>71</v>
      </c>
      <c r="U77" s="3" t="s">
        <v>72</v>
      </c>
      <c r="V77" s="3" t="str">
        <f>IF(COUNTA(A77:U77)=21,"OK","MISSING")</f>
        <v>OK</v>
      </c>
    </row>
    <row r="78" ht="23.85" hidden="0" outlineLevel="0" collapsed="0">
      <c r="A78" s="3">
        <v>74</v>
      </c>
      <c r="B78" s="3" t="s">
        <v>4</v>
      </c>
      <c r="C78" s="3" t="s">
        <v>218</v>
      </c>
      <c r="D78" s="3" t="s">
        <v>216</v>
      </c>
      <c r="E78" s="3" t="s">
        <v>89</v>
      </c>
      <c r="F78" s="12">
        <v>109633</v>
      </c>
      <c r="G78" s="3" t="s">
        <v>58</v>
      </c>
      <c r="H78" s="3" t="s">
        <v>59</v>
      </c>
      <c r="I78" s="3" t="s">
        <v>217</v>
      </c>
      <c r="J78" s="3" t="s">
        <v>192</v>
      </c>
      <c r="K78" s="3" t="s">
        <v>91</v>
      </c>
      <c r="L78" s="3" t="s">
        <v>177</v>
      </c>
      <c r="M78" s="3" t="s">
        <v>64</v>
      </c>
      <c r="N78" s="3" t="s">
        <v>86</v>
      </c>
      <c r="O78" s="3" t="s">
        <v>10</v>
      </c>
      <c r="P78" s="3" t="s">
        <v>193</v>
      </c>
      <c r="Q78" s="3" t="s">
        <v>68</v>
      </c>
      <c r="R78" s="3" t="s">
        <v>69</v>
      </c>
      <c r="S78" s="3" t="s">
        <v>194</v>
      </c>
      <c r="T78" s="3" t="s">
        <v>71</v>
      </c>
      <c r="U78" s="3" t="s">
        <v>72</v>
      </c>
      <c r="V78" s="3" t="str">
        <f>IF(COUNTA(A78:U78)=21,"OK","MISSING")</f>
        <v>OK</v>
      </c>
    </row>
    <row r="79" ht="23.85" hidden="0" outlineLevel="0" collapsed="0">
      <c r="A79" s="3">
        <v>75</v>
      </c>
      <c r="B79" s="3" t="s">
        <v>4</v>
      </c>
      <c r="C79" s="3" t="s">
        <v>219</v>
      </c>
      <c r="D79" s="3" t="s">
        <v>216</v>
      </c>
      <c r="E79" s="3" t="s">
        <v>93</v>
      </c>
      <c r="F79" s="12">
        <v>112887</v>
      </c>
      <c r="G79" s="3" t="s">
        <v>58</v>
      </c>
      <c r="H79" s="3" t="s">
        <v>59</v>
      </c>
      <c r="I79" s="3" t="s">
        <v>217</v>
      </c>
      <c r="J79" s="3" t="s">
        <v>192</v>
      </c>
      <c r="K79" s="3" t="s">
        <v>95</v>
      </c>
      <c r="L79" s="3" t="s">
        <v>177</v>
      </c>
      <c r="M79" s="3" t="s">
        <v>64</v>
      </c>
      <c r="N79" s="3" t="s">
        <v>86</v>
      </c>
      <c r="O79" s="3" t="s">
        <v>10</v>
      </c>
      <c r="P79" s="3" t="s">
        <v>193</v>
      </c>
      <c r="Q79" s="3" t="s">
        <v>68</v>
      </c>
      <c r="R79" s="3" t="s">
        <v>69</v>
      </c>
      <c r="S79" s="3" t="s">
        <v>194</v>
      </c>
      <c r="T79" s="3" t="s">
        <v>71</v>
      </c>
      <c r="U79" s="3" t="s">
        <v>72</v>
      </c>
      <c r="V79" s="3" t="str">
        <f>IF(COUNTA(A79:U79)=21,"OK","MISSING")</f>
        <v>OK</v>
      </c>
    </row>
    <row r="80" ht="23.85" hidden="0" outlineLevel="0" collapsed="0">
      <c r="A80" s="3">
        <v>76</v>
      </c>
      <c r="B80" s="3" t="s">
        <v>4</v>
      </c>
      <c r="C80" s="3" t="s">
        <v>220</v>
      </c>
      <c r="D80" s="3" t="s">
        <v>221</v>
      </c>
      <c r="E80" s="3" t="s">
        <v>82</v>
      </c>
      <c r="F80" s="12">
        <v>60345</v>
      </c>
      <c r="G80" s="3" t="s">
        <v>58</v>
      </c>
      <c r="H80" s="3" t="s">
        <v>59</v>
      </c>
      <c r="I80" s="3" t="s">
        <v>217</v>
      </c>
      <c r="J80" s="3" t="s">
        <v>192</v>
      </c>
      <c r="K80" s="3" t="s">
        <v>84</v>
      </c>
      <c r="L80" s="3" t="s">
        <v>177</v>
      </c>
      <c r="M80" s="3" t="s">
        <v>64</v>
      </c>
      <c r="N80" s="3" t="s">
        <v>86</v>
      </c>
      <c r="O80" s="3" t="s">
        <v>10</v>
      </c>
      <c r="P80" s="3" t="s">
        <v>193</v>
      </c>
      <c r="Q80" s="3" t="s">
        <v>68</v>
      </c>
      <c r="R80" s="3" t="s">
        <v>69</v>
      </c>
      <c r="S80" s="3" t="s">
        <v>194</v>
      </c>
      <c r="T80" s="3" t="s">
        <v>71</v>
      </c>
      <c r="U80" s="3" t="s">
        <v>72</v>
      </c>
      <c r="V80" s="3" t="str">
        <f>IF(COUNTA(A80:U80)=21,"OK","MISSING")</f>
        <v>OK</v>
      </c>
    </row>
    <row r="81" ht="23.85" hidden="0" outlineLevel="0" collapsed="0">
      <c r="A81" s="3">
        <v>77</v>
      </c>
      <c r="B81" s="3" t="s">
        <v>4</v>
      </c>
      <c r="C81" s="3" t="s">
        <v>222</v>
      </c>
      <c r="D81" s="3" t="s">
        <v>221</v>
      </c>
      <c r="E81" s="3" t="s">
        <v>89</v>
      </c>
      <c r="F81" s="12">
        <v>71050</v>
      </c>
      <c r="G81" s="3" t="s">
        <v>58</v>
      </c>
      <c r="H81" s="3" t="s">
        <v>59</v>
      </c>
      <c r="I81" s="3" t="s">
        <v>217</v>
      </c>
      <c r="J81" s="3" t="s">
        <v>192</v>
      </c>
      <c r="K81" s="3" t="s">
        <v>91</v>
      </c>
      <c r="L81" s="3" t="s">
        <v>177</v>
      </c>
      <c r="M81" s="3" t="s">
        <v>64</v>
      </c>
      <c r="N81" s="3" t="s">
        <v>86</v>
      </c>
      <c r="O81" s="3" t="s">
        <v>10</v>
      </c>
      <c r="P81" s="3" t="s">
        <v>193</v>
      </c>
      <c r="Q81" s="3" t="s">
        <v>68</v>
      </c>
      <c r="R81" s="3" t="s">
        <v>69</v>
      </c>
      <c r="S81" s="3" t="s">
        <v>194</v>
      </c>
      <c r="T81" s="3" t="s">
        <v>71</v>
      </c>
      <c r="U81" s="3" t="s">
        <v>72</v>
      </c>
      <c r="V81" s="3" t="str">
        <f>IF(COUNTA(A81:U81)=21,"OK","MISSING")</f>
        <v>OK</v>
      </c>
    </row>
    <row r="82" ht="23.85" hidden="0" outlineLevel="0" collapsed="0">
      <c r="A82" s="3">
        <v>78</v>
      </c>
      <c r="B82" s="3" t="s">
        <v>4</v>
      </c>
      <c r="C82" s="3" t="s">
        <v>223</v>
      </c>
      <c r="D82" s="3" t="s">
        <v>221</v>
      </c>
      <c r="E82" s="3" t="s">
        <v>93</v>
      </c>
      <c r="F82" s="12">
        <v>82314</v>
      </c>
      <c r="G82" s="3" t="s">
        <v>58</v>
      </c>
      <c r="H82" s="3" t="s">
        <v>59</v>
      </c>
      <c r="I82" s="3" t="s">
        <v>217</v>
      </c>
      <c r="J82" s="3" t="s">
        <v>192</v>
      </c>
      <c r="K82" s="3" t="s">
        <v>95</v>
      </c>
      <c r="L82" s="3" t="s">
        <v>177</v>
      </c>
      <c r="M82" s="3" t="s">
        <v>64</v>
      </c>
      <c r="N82" s="3" t="s">
        <v>86</v>
      </c>
      <c r="O82" s="3" t="s">
        <v>10</v>
      </c>
      <c r="P82" s="3" t="s">
        <v>193</v>
      </c>
      <c r="Q82" s="3" t="s">
        <v>68</v>
      </c>
      <c r="R82" s="3" t="s">
        <v>69</v>
      </c>
      <c r="S82" s="3" t="s">
        <v>194</v>
      </c>
      <c r="T82" s="3" t="s">
        <v>71</v>
      </c>
      <c r="U82" s="3" t="s">
        <v>72</v>
      </c>
      <c r="V82" s="3" t="str">
        <f>IF(COUNTA(A82:U82)=21,"OK","MISSING")</f>
        <v>OK</v>
      </c>
    </row>
    <row r="83" ht="23.85" hidden="0" outlineLevel="0" collapsed="0">
      <c r="A83" s="3">
        <v>79</v>
      </c>
      <c r="B83" s="3" t="s">
        <v>4</v>
      </c>
      <c r="C83" s="3" t="s">
        <v>224</v>
      </c>
      <c r="D83" s="3" t="s">
        <v>225</v>
      </c>
      <c r="E83" s="3" t="s">
        <v>82</v>
      </c>
      <c r="F83" s="12">
        <v>0.365</v>
      </c>
      <c r="G83" s="3" t="s">
        <v>226</v>
      </c>
      <c r="H83" s="3" t="s">
        <v>166</v>
      </c>
      <c r="I83" s="3" t="s">
        <v>217</v>
      </c>
      <c r="J83" s="3" t="s">
        <v>192</v>
      </c>
      <c r="K83" s="3" t="s">
        <v>84</v>
      </c>
      <c r="L83" s="3" t="s">
        <v>177</v>
      </c>
      <c r="M83" s="3" t="s">
        <v>64</v>
      </c>
      <c r="N83" s="3" t="s">
        <v>86</v>
      </c>
      <c r="O83" s="3" t="s">
        <v>10</v>
      </c>
      <c r="P83" s="3" t="s">
        <v>193</v>
      </c>
      <c r="Q83" s="3" t="s">
        <v>68</v>
      </c>
      <c r="R83" s="3" t="s">
        <v>69</v>
      </c>
      <c r="S83" s="3" t="s">
        <v>194</v>
      </c>
      <c r="T83" s="3" t="s">
        <v>71</v>
      </c>
      <c r="U83" s="3" t="s">
        <v>72</v>
      </c>
      <c r="V83" s="3" t="str">
        <f>IF(COUNTA(A83:U83)=21,"OK","MISSING")</f>
        <v>OK</v>
      </c>
    </row>
    <row r="84" ht="23.85" hidden="0" outlineLevel="0" collapsed="0">
      <c r="A84" s="3">
        <v>80</v>
      </c>
      <c r="B84" s="3" t="s">
        <v>4</v>
      </c>
      <c r="C84" s="3" t="s">
        <v>227</v>
      </c>
      <c r="D84" s="3" t="s">
        <v>225</v>
      </c>
      <c r="E84" s="3" t="s">
        <v>89</v>
      </c>
      <c r="F84" s="12">
        <v>0.372</v>
      </c>
      <c r="G84" s="3" t="s">
        <v>226</v>
      </c>
      <c r="H84" s="3" t="s">
        <v>166</v>
      </c>
      <c r="I84" s="3" t="s">
        <v>217</v>
      </c>
      <c r="J84" s="3" t="s">
        <v>192</v>
      </c>
      <c r="K84" s="3" t="s">
        <v>91</v>
      </c>
      <c r="L84" s="3" t="s">
        <v>177</v>
      </c>
      <c r="M84" s="3" t="s">
        <v>64</v>
      </c>
      <c r="N84" s="3" t="s">
        <v>86</v>
      </c>
      <c r="O84" s="3" t="s">
        <v>10</v>
      </c>
      <c r="P84" s="3" t="s">
        <v>193</v>
      </c>
      <c r="Q84" s="3" t="s">
        <v>68</v>
      </c>
      <c r="R84" s="3" t="s">
        <v>69</v>
      </c>
      <c r="S84" s="3" t="s">
        <v>194</v>
      </c>
      <c r="T84" s="3" t="s">
        <v>71</v>
      </c>
      <c r="U84" s="3" t="s">
        <v>72</v>
      </c>
      <c r="V84" s="3" t="str">
        <f>IF(COUNTA(A84:U84)=21,"OK","MISSING")</f>
        <v>OK</v>
      </c>
    </row>
    <row r="85" ht="23.85" hidden="0" outlineLevel="0" collapsed="0">
      <c r="A85" s="3">
        <v>81</v>
      </c>
      <c r="B85" s="3" t="s">
        <v>4</v>
      </c>
      <c r="C85" s="3" t="s">
        <v>228</v>
      </c>
      <c r="D85" s="3" t="s">
        <v>225</v>
      </c>
      <c r="E85" s="3" t="s">
        <v>93</v>
      </c>
      <c r="F85" s="12">
        <v>0.368</v>
      </c>
      <c r="G85" s="3" t="s">
        <v>226</v>
      </c>
      <c r="H85" s="3" t="s">
        <v>166</v>
      </c>
      <c r="I85" s="3" t="s">
        <v>217</v>
      </c>
      <c r="J85" s="3" t="s">
        <v>192</v>
      </c>
      <c r="K85" s="3" t="s">
        <v>95</v>
      </c>
      <c r="L85" s="3" t="s">
        <v>177</v>
      </c>
      <c r="M85" s="3" t="s">
        <v>64</v>
      </c>
      <c r="N85" s="3" t="s">
        <v>86</v>
      </c>
      <c r="O85" s="3" t="s">
        <v>10</v>
      </c>
      <c r="P85" s="3" t="s">
        <v>193</v>
      </c>
      <c r="Q85" s="3" t="s">
        <v>68</v>
      </c>
      <c r="R85" s="3" t="s">
        <v>69</v>
      </c>
      <c r="S85" s="3" t="s">
        <v>194</v>
      </c>
      <c r="T85" s="3" t="s">
        <v>71</v>
      </c>
      <c r="U85" s="3" t="s">
        <v>72</v>
      </c>
      <c r="V85" s="3" t="str">
        <f>IF(COUNTA(A85:U85)=21,"OK","MISSING")</f>
        <v>OK</v>
      </c>
    </row>
    <row r="86" ht="23.85" hidden="0" outlineLevel="0" collapsed="0">
      <c r="A86" s="3">
        <v>82</v>
      </c>
      <c r="B86" s="3" t="s">
        <v>4</v>
      </c>
      <c r="C86" s="3" t="s">
        <v>229</v>
      </c>
      <c r="D86" s="3" t="s">
        <v>230</v>
      </c>
      <c r="E86" s="3" t="s">
        <v>82</v>
      </c>
      <c r="F86" s="12">
        <v>0.708</v>
      </c>
      <c r="G86" s="3" t="s">
        <v>226</v>
      </c>
      <c r="H86" s="3" t="s">
        <v>166</v>
      </c>
      <c r="I86" s="3" t="s">
        <v>217</v>
      </c>
      <c r="J86" s="3" t="s">
        <v>192</v>
      </c>
      <c r="K86" s="3" t="s">
        <v>84</v>
      </c>
      <c r="L86" s="3" t="s">
        <v>177</v>
      </c>
      <c r="M86" s="3" t="s">
        <v>64</v>
      </c>
      <c r="N86" s="3" t="s">
        <v>86</v>
      </c>
      <c r="O86" s="3" t="s">
        <v>10</v>
      </c>
      <c r="P86" s="3" t="s">
        <v>193</v>
      </c>
      <c r="Q86" s="3" t="s">
        <v>68</v>
      </c>
      <c r="R86" s="3" t="s">
        <v>69</v>
      </c>
      <c r="S86" s="3" t="s">
        <v>194</v>
      </c>
      <c r="T86" s="3" t="s">
        <v>71</v>
      </c>
      <c r="U86" s="3" t="s">
        <v>72</v>
      </c>
      <c r="V86" s="3" t="str">
        <f>IF(COUNTA(A86:U86)=21,"OK","MISSING")</f>
        <v>OK</v>
      </c>
    </row>
    <row r="87" ht="23.85" hidden="0" outlineLevel="0" collapsed="0">
      <c r="A87" s="3">
        <v>83</v>
      </c>
      <c r="B87" s="3" t="s">
        <v>4</v>
      </c>
      <c r="C87" s="3" t="s">
        <v>231</v>
      </c>
      <c r="D87" s="3" t="s">
        <v>230</v>
      </c>
      <c r="E87" s="3" t="s">
        <v>89</v>
      </c>
      <c r="F87" s="12">
        <v>0.739</v>
      </c>
      <c r="G87" s="3" t="s">
        <v>226</v>
      </c>
      <c r="H87" s="3" t="s">
        <v>166</v>
      </c>
      <c r="I87" s="3" t="s">
        <v>217</v>
      </c>
      <c r="J87" s="3" t="s">
        <v>192</v>
      </c>
      <c r="K87" s="3" t="s">
        <v>91</v>
      </c>
      <c r="L87" s="3" t="s">
        <v>177</v>
      </c>
      <c r="M87" s="3" t="s">
        <v>64</v>
      </c>
      <c r="N87" s="3" t="s">
        <v>86</v>
      </c>
      <c r="O87" s="3" t="s">
        <v>10</v>
      </c>
      <c r="P87" s="3" t="s">
        <v>193</v>
      </c>
      <c r="Q87" s="3" t="s">
        <v>68</v>
      </c>
      <c r="R87" s="3" t="s">
        <v>69</v>
      </c>
      <c r="S87" s="3" t="s">
        <v>194</v>
      </c>
      <c r="T87" s="3" t="s">
        <v>71</v>
      </c>
      <c r="U87" s="3" t="s">
        <v>72</v>
      </c>
      <c r="V87" s="3" t="str">
        <f>IF(COUNTA(A87:U87)=21,"OK","MISSING")</f>
        <v>OK</v>
      </c>
    </row>
    <row r="88" ht="23.85" hidden="0" outlineLevel="0" collapsed="0">
      <c r="A88" s="3">
        <v>84</v>
      </c>
      <c r="B88" s="3" t="s">
        <v>4</v>
      </c>
      <c r="C88" s="3" t="s">
        <v>232</v>
      </c>
      <c r="D88" s="3" t="s">
        <v>230</v>
      </c>
      <c r="E88" s="3" t="s">
        <v>93</v>
      </c>
      <c r="F88" s="12">
        <v>0.754</v>
      </c>
      <c r="G88" s="3" t="s">
        <v>226</v>
      </c>
      <c r="H88" s="3" t="s">
        <v>166</v>
      </c>
      <c r="I88" s="3" t="s">
        <v>217</v>
      </c>
      <c r="J88" s="3" t="s">
        <v>192</v>
      </c>
      <c r="K88" s="3" t="s">
        <v>95</v>
      </c>
      <c r="L88" s="3" t="s">
        <v>177</v>
      </c>
      <c r="M88" s="3" t="s">
        <v>64</v>
      </c>
      <c r="N88" s="3" t="s">
        <v>86</v>
      </c>
      <c r="O88" s="3" t="s">
        <v>10</v>
      </c>
      <c r="P88" s="3" t="s">
        <v>193</v>
      </c>
      <c r="Q88" s="3" t="s">
        <v>68</v>
      </c>
      <c r="R88" s="3" t="s">
        <v>69</v>
      </c>
      <c r="S88" s="3" t="s">
        <v>194</v>
      </c>
      <c r="T88" s="3" t="s">
        <v>71</v>
      </c>
      <c r="U88" s="3" t="s">
        <v>72</v>
      </c>
      <c r="V88" s="3" t="str">
        <f>IF(COUNTA(A88:U88)=21,"OK","MISSING")</f>
        <v>OK</v>
      </c>
    </row>
    <row r="89" ht="23.85" hidden="0" outlineLevel="0" collapsed="0">
      <c r="A89" s="3">
        <v>85</v>
      </c>
      <c r="B89" s="3" t="s">
        <v>4</v>
      </c>
      <c r="C89" s="3" t="s">
        <v>233</v>
      </c>
      <c r="D89" s="3" t="s">
        <v>234</v>
      </c>
      <c r="E89" s="3" t="s">
        <v>82</v>
      </c>
      <c r="F89" s="12">
        <v>29915</v>
      </c>
      <c r="G89" s="3" t="s">
        <v>58</v>
      </c>
      <c r="H89" s="3" t="s">
        <v>59</v>
      </c>
      <c r="I89" s="3" t="s">
        <v>235</v>
      </c>
      <c r="J89" s="3" t="s">
        <v>192</v>
      </c>
      <c r="K89" s="3" t="s">
        <v>84</v>
      </c>
      <c r="L89" s="3" t="s">
        <v>177</v>
      </c>
      <c r="M89" s="3" t="s">
        <v>64</v>
      </c>
      <c r="N89" s="3" t="s">
        <v>86</v>
      </c>
      <c r="O89" s="3" t="s">
        <v>10</v>
      </c>
      <c r="P89" s="3" t="s">
        <v>193</v>
      </c>
      <c r="Q89" s="3" t="s">
        <v>68</v>
      </c>
      <c r="R89" s="3" t="s">
        <v>69</v>
      </c>
      <c r="S89" s="3" t="s">
        <v>194</v>
      </c>
      <c r="T89" s="3" t="s">
        <v>71</v>
      </c>
      <c r="U89" s="3" t="s">
        <v>72</v>
      </c>
      <c r="V89" s="3" t="str">
        <f>IF(COUNTA(A89:U89)=21,"OK","MISSING")</f>
        <v>OK</v>
      </c>
    </row>
    <row r="90" ht="23.85" hidden="0" outlineLevel="0" collapsed="0">
      <c r="A90" s="3">
        <v>86</v>
      </c>
      <c r="B90" s="3" t="s">
        <v>4</v>
      </c>
      <c r="C90" s="3" t="s">
        <v>236</v>
      </c>
      <c r="D90" s="3" t="s">
        <v>234</v>
      </c>
      <c r="E90" s="3" t="s">
        <v>89</v>
      </c>
      <c r="F90" s="12">
        <v>31370</v>
      </c>
      <c r="G90" s="3" t="s">
        <v>58</v>
      </c>
      <c r="H90" s="3" t="s">
        <v>59</v>
      </c>
      <c r="I90" s="3" t="s">
        <v>235</v>
      </c>
      <c r="J90" s="3" t="s">
        <v>192</v>
      </c>
      <c r="K90" s="3" t="s">
        <v>91</v>
      </c>
      <c r="L90" s="3" t="s">
        <v>177</v>
      </c>
      <c r="M90" s="3" t="s">
        <v>64</v>
      </c>
      <c r="N90" s="3" t="s">
        <v>86</v>
      </c>
      <c r="O90" s="3" t="s">
        <v>10</v>
      </c>
      <c r="P90" s="3" t="s">
        <v>193</v>
      </c>
      <c r="Q90" s="3" t="s">
        <v>68</v>
      </c>
      <c r="R90" s="3" t="s">
        <v>69</v>
      </c>
      <c r="S90" s="3" t="s">
        <v>194</v>
      </c>
      <c r="T90" s="3" t="s">
        <v>71</v>
      </c>
      <c r="U90" s="3" t="s">
        <v>72</v>
      </c>
      <c r="V90" s="3" t="str">
        <f>IF(COUNTA(A90:U90)=21,"OK","MISSING")</f>
        <v>OK</v>
      </c>
    </row>
    <row r="91" ht="23.85" hidden="0" outlineLevel="0" collapsed="0">
      <c r="A91" s="3">
        <v>87</v>
      </c>
      <c r="B91" s="3" t="s">
        <v>4</v>
      </c>
      <c r="C91" s="3" t="s">
        <v>237</v>
      </c>
      <c r="D91" s="3" t="s">
        <v>234</v>
      </c>
      <c r="E91" s="3" t="s">
        <v>93</v>
      </c>
      <c r="F91" s="12">
        <v>34550</v>
      </c>
      <c r="G91" s="3" t="s">
        <v>58</v>
      </c>
      <c r="H91" s="3" t="s">
        <v>59</v>
      </c>
      <c r="I91" s="3" t="s">
        <v>235</v>
      </c>
      <c r="J91" s="3" t="s">
        <v>192</v>
      </c>
      <c r="K91" s="3" t="s">
        <v>95</v>
      </c>
      <c r="L91" s="3" t="s">
        <v>177</v>
      </c>
      <c r="M91" s="3" t="s">
        <v>64</v>
      </c>
      <c r="N91" s="3" t="s">
        <v>86</v>
      </c>
      <c r="O91" s="3" t="s">
        <v>10</v>
      </c>
      <c r="P91" s="3" t="s">
        <v>193</v>
      </c>
      <c r="Q91" s="3" t="s">
        <v>68</v>
      </c>
      <c r="R91" s="3" t="s">
        <v>69</v>
      </c>
      <c r="S91" s="3" t="s">
        <v>194</v>
      </c>
      <c r="T91" s="3" t="s">
        <v>71</v>
      </c>
      <c r="U91" s="3" t="s">
        <v>72</v>
      </c>
      <c r="V91" s="3" t="str">
        <f>IF(COUNTA(A91:U91)=21,"OK","MISSING")</f>
        <v>OK</v>
      </c>
    </row>
    <row r="92" ht="23.85" hidden="0" outlineLevel="0" collapsed="0">
      <c r="A92" s="3">
        <v>88</v>
      </c>
      <c r="B92" s="3" t="s">
        <v>4</v>
      </c>
      <c r="C92" s="3" t="s">
        <v>238</v>
      </c>
      <c r="D92" s="3" t="s">
        <v>239</v>
      </c>
      <c r="E92" s="3" t="s">
        <v>82</v>
      </c>
      <c r="F92" s="12">
        <v>24932</v>
      </c>
      <c r="G92" s="3" t="s">
        <v>58</v>
      </c>
      <c r="H92" s="3" t="s">
        <v>59</v>
      </c>
      <c r="I92" s="3" t="s">
        <v>235</v>
      </c>
      <c r="J92" s="3" t="s">
        <v>192</v>
      </c>
      <c r="K92" s="3" t="s">
        <v>84</v>
      </c>
      <c r="L92" s="3" t="s">
        <v>177</v>
      </c>
      <c r="M92" s="3" t="s">
        <v>64</v>
      </c>
      <c r="N92" s="3" t="s">
        <v>86</v>
      </c>
      <c r="O92" s="3" t="s">
        <v>10</v>
      </c>
      <c r="P92" s="3" t="s">
        <v>193</v>
      </c>
      <c r="Q92" s="3" t="s">
        <v>68</v>
      </c>
      <c r="R92" s="3" t="s">
        <v>69</v>
      </c>
      <c r="S92" s="3" t="s">
        <v>194</v>
      </c>
      <c r="T92" s="3" t="s">
        <v>71</v>
      </c>
      <c r="U92" s="3" t="s">
        <v>72</v>
      </c>
      <c r="V92" s="3" t="str">
        <f>IF(COUNTA(A92:U92)=21,"OK","MISSING")</f>
        <v>OK</v>
      </c>
    </row>
    <row r="93" ht="23.85" hidden="0" outlineLevel="0" collapsed="0">
      <c r="A93" s="3">
        <v>89</v>
      </c>
      <c r="B93" s="3" t="s">
        <v>4</v>
      </c>
      <c r="C93" s="3" t="s">
        <v>240</v>
      </c>
      <c r="D93" s="3" t="s">
        <v>239</v>
      </c>
      <c r="E93" s="3" t="s">
        <v>89</v>
      </c>
      <c r="F93" s="12">
        <v>26097</v>
      </c>
      <c r="G93" s="3" t="s">
        <v>58</v>
      </c>
      <c r="H93" s="3" t="s">
        <v>59</v>
      </c>
      <c r="I93" s="3" t="s">
        <v>235</v>
      </c>
      <c r="J93" s="3" t="s">
        <v>192</v>
      </c>
      <c r="K93" s="3" t="s">
        <v>91</v>
      </c>
      <c r="L93" s="3" t="s">
        <v>177</v>
      </c>
      <c r="M93" s="3" t="s">
        <v>64</v>
      </c>
      <c r="N93" s="3" t="s">
        <v>86</v>
      </c>
      <c r="O93" s="3" t="s">
        <v>10</v>
      </c>
      <c r="P93" s="3" t="s">
        <v>193</v>
      </c>
      <c r="Q93" s="3" t="s">
        <v>68</v>
      </c>
      <c r="R93" s="3" t="s">
        <v>69</v>
      </c>
      <c r="S93" s="3" t="s">
        <v>194</v>
      </c>
      <c r="T93" s="3" t="s">
        <v>71</v>
      </c>
      <c r="U93" s="3" t="s">
        <v>72</v>
      </c>
      <c r="V93" s="3" t="str">
        <f>IF(COUNTA(A93:U93)=21,"OK","MISSING")</f>
        <v>OK</v>
      </c>
    </row>
    <row r="94" ht="23.85" hidden="0" outlineLevel="0" collapsed="0">
      <c r="A94" s="3">
        <v>90</v>
      </c>
      <c r="B94" s="3" t="s">
        <v>4</v>
      </c>
      <c r="C94" s="3" t="s">
        <v>241</v>
      </c>
      <c r="D94" s="3" t="s">
        <v>239</v>
      </c>
      <c r="E94" s="3" t="s">
        <v>93</v>
      </c>
      <c r="F94" s="12">
        <v>27601</v>
      </c>
      <c r="G94" s="3" t="s">
        <v>58</v>
      </c>
      <c r="H94" s="3" t="s">
        <v>59</v>
      </c>
      <c r="I94" s="3" t="s">
        <v>235</v>
      </c>
      <c r="J94" s="3" t="s">
        <v>192</v>
      </c>
      <c r="K94" s="3" t="s">
        <v>95</v>
      </c>
      <c r="L94" s="3" t="s">
        <v>177</v>
      </c>
      <c r="M94" s="3" t="s">
        <v>64</v>
      </c>
      <c r="N94" s="3" t="s">
        <v>86</v>
      </c>
      <c r="O94" s="3" t="s">
        <v>10</v>
      </c>
      <c r="P94" s="3" t="s">
        <v>193</v>
      </c>
      <c r="Q94" s="3" t="s">
        <v>68</v>
      </c>
      <c r="R94" s="3" t="s">
        <v>69</v>
      </c>
      <c r="S94" s="3" t="s">
        <v>194</v>
      </c>
      <c r="T94" s="3" t="s">
        <v>71</v>
      </c>
      <c r="U94" s="3" t="s">
        <v>72</v>
      </c>
      <c r="V94" s="3" t="str">
        <f>IF(COUNTA(A94:U94)=21,"OK","MISSING")</f>
        <v>OK</v>
      </c>
    </row>
    <row r="95" ht="35.05" hidden="0" outlineLevel="0" collapsed="0">
      <c r="A95" s="3">
        <v>91</v>
      </c>
      <c r="B95" s="3" t="s">
        <v>4</v>
      </c>
      <c r="C95" s="3" t="s">
        <v>242</v>
      </c>
      <c r="D95" s="3" t="s">
        <v>243</v>
      </c>
      <c r="E95" s="3" t="s">
        <v>93</v>
      </c>
      <c r="F95" s="12">
        <v>11698</v>
      </c>
      <c r="G95" s="3" t="s">
        <v>58</v>
      </c>
      <c r="H95" s="3" t="s">
        <v>59</v>
      </c>
      <c r="I95" s="3" t="s">
        <v>244</v>
      </c>
      <c r="J95" s="3" t="s">
        <v>94</v>
      </c>
      <c r="K95" s="3" t="s">
        <v>95</v>
      </c>
      <c r="L95" s="3" t="s">
        <v>177</v>
      </c>
      <c r="M95" s="3" t="s">
        <v>64</v>
      </c>
      <c r="N95" s="3" t="s">
        <v>86</v>
      </c>
      <c r="O95" s="3" t="s">
        <v>10</v>
      </c>
      <c r="P95" s="3" t="s">
        <v>178</v>
      </c>
      <c r="Q95" s="3" t="s">
        <v>68</v>
      </c>
      <c r="R95" s="3" t="s">
        <v>69</v>
      </c>
      <c r="S95" s="3" t="s">
        <v>194</v>
      </c>
      <c r="T95" s="3" t="s">
        <v>71</v>
      </c>
      <c r="U95" s="3" t="s">
        <v>72</v>
      </c>
      <c r="V95" s="3" t="str">
        <f>IF(COUNTA(A95:U95)=21,"OK","MISSING")</f>
        <v>OK</v>
      </c>
    </row>
    <row r="96" ht="35.05" hidden="0" outlineLevel="0" collapsed="0">
      <c r="A96" s="3">
        <v>92</v>
      </c>
      <c r="B96" s="3" t="s">
        <v>4</v>
      </c>
      <c r="C96" s="3" t="s">
        <v>245</v>
      </c>
      <c r="D96" s="3" t="s">
        <v>246</v>
      </c>
      <c r="E96" s="3" t="s">
        <v>13</v>
      </c>
      <c r="F96" s="12">
        <v>327.5</v>
      </c>
      <c r="G96" s="3" t="s">
        <v>247</v>
      </c>
      <c r="H96" s="3" t="s">
        <v>59</v>
      </c>
      <c r="I96" s="3" t="s">
        <v>248</v>
      </c>
      <c r="J96" s="3" t="s">
        <v>134</v>
      </c>
      <c r="K96" s="3" t="s">
        <v>13</v>
      </c>
      <c r="L96" s="3" t="s">
        <v>166</v>
      </c>
      <c r="M96" s="3" t="s">
        <v>249</v>
      </c>
      <c r="N96" s="3" t="s">
        <v>13</v>
      </c>
      <c r="O96" s="3" t="s">
        <v>250</v>
      </c>
      <c r="P96" s="3" t="s">
        <v>251</v>
      </c>
      <c r="Q96" s="3" t="s">
        <v>68</v>
      </c>
      <c r="R96" s="3" t="s">
        <v>252</v>
      </c>
      <c r="S96" s="3" t="s">
        <v>253</v>
      </c>
      <c r="T96" s="3" t="s">
        <v>254</v>
      </c>
      <c r="U96" s="3" t="s">
        <v>255</v>
      </c>
      <c r="V96" s="3" t="str">
        <f>IF(COUNTA(A96:U96)=21,"OK","MISSING")</f>
        <v>OK</v>
      </c>
    </row>
    <row r="97" hidden="0" outlineLevel="0" collapsed="0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35.05" hidden="0" outlineLevel="0" collapsed="0">
      <c r="A98" s="13" t="s">
        <v>256</v>
      </c>
      <c r="B98" s="13"/>
      <c r="C98" s="13"/>
      <c r="D98" s="13"/>
      <c r="E98" s="13"/>
      <c r="F98" s="13"/>
      <c r="G98" s="13">
        <f>COUNTIF(V5:V96,"OK")</f>
        <v>92</v>
      </c>
      <c r="H98" s="13">
        <v>92</v>
      </c>
      <c r="I98" s="13" t="str">
        <f>IF(G98=H98,"OK","REVIEW")</f>
        <v>OK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</sheetData>
  <mergeCells count="2">
    <mergeCell ref="A1:V1"/>
    <mergeCell ref="A2:V2"/>
  </mergeCells>
  <conditionalFormatting sqref="V5:V96">
    <cfRule type="containsText" priority="2" operator="containsText" text="OK" dxfId="0">
      <formula>NOT(ISERROR(SEARCH("OK",V5)))</formula>
    </cfRule>
    <cfRule type="containsText" priority="3" operator="containsText" text="REVIEW" dxfId="1">
      <formula>NOT(ISERROR(SEARCH("REVIEW",V5)))</formula>
    </cfRule>
  </conditionalFormatting>
  <conditionalFormatting sqref="I98">
    <cfRule type="containsText" priority="4" operator="containsText" text="OK" dxfId="2">
      <formula>NOT(ISERROR(SEARCH("OK",I98)))</formula>
    </cfRule>
    <cfRule type="containsText" priority="5" operator="containsText" text="REVIEW" dxfId="3">
      <formula>NOT(ISERROR(SEARCH("REVIEW",I98)))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5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customWidth="1"/>
    <col min="2" max="2" width="14" customWidth="1"/>
    <col min="3" max="3" width="17" customWidth="1"/>
    <col min="4" max="4" width="14" customWidth="1"/>
    <col min="5" max="5" width="40" customWidth="1"/>
    <col min="6" max="6" width="18" customWidth="1"/>
    <col min="7" max="7" width="36" customWidth="1"/>
    <col min="8" max="8" width="22" customWidth="1"/>
  </cols>
  <sheetData>
    <row r="1" ht="28" hidden="0" outlineLevel="0" collapsed="0">
      <c r="A1" s="14" t="s">
        <v>257</v>
      </c>
      <c r="B1" s="14"/>
      <c r="C1" s="14"/>
      <c r="D1" s="14"/>
      <c r="E1" s="14"/>
      <c r="F1" s="14"/>
      <c r="G1" s="14"/>
      <c r="H1" s="14"/>
    </row>
    <row r="2" ht="22" hidden="0" outlineLevel="0" collapsed="0">
      <c r="A2" s="15" t="s">
        <v>258</v>
      </c>
      <c r="B2" s="15"/>
      <c r="C2" s="15"/>
      <c r="D2" s="15"/>
      <c r="E2" s="15"/>
      <c r="F2" s="15"/>
      <c r="G2" s="15"/>
      <c r="H2" s="15"/>
    </row>
    <row r="4" hidden="0" outlineLevel="0" collapsed="0">
      <c r="A4" s="11" t="s">
        <v>36</v>
      </c>
      <c r="B4" s="11" t="s">
        <v>57</v>
      </c>
      <c r="C4" s="11" t="s">
        <v>74</v>
      </c>
      <c r="D4" s="11" t="s">
        <v>82</v>
      </c>
      <c r="E4" s="11" t="s">
        <v>89</v>
      </c>
      <c r="F4" s="11" t="s">
        <v>93</v>
      </c>
    </row>
    <row r="5" hidden="0" outlineLevel="0" collapsed="0">
      <c r="A5" s="16" t="s">
        <v>56</v>
      </c>
      <c r="B5" s="17">
        <v>365817</v>
      </c>
      <c r="C5" s="17">
        <v>394328</v>
      </c>
      <c r="D5" s="17">
        <v>383285</v>
      </c>
      <c r="E5" s="17">
        <v>391035</v>
      </c>
      <c r="F5" s="17">
        <v>416161</v>
      </c>
    </row>
    <row r="6" hidden="0" outlineLevel="0" collapsed="0">
      <c r="A6" s="16" t="s">
        <v>97</v>
      </c>
      <c r="B6" s="17">
        <v>152836</v>
      </c>
      <c r="C6" s="17">
        <v>170782</v>
      </c>
      <c r="D6" s="17">
        <v>169148</v>
      </c>
      <c r="E6" s="17">
        <v>180683</v>
      </c>
      <c r="F6" s="17">
        <v>195201</v>
      </c>
    </row>
    <row r="7" hidden="0" outlineLevel="0" collapsed="0">
      <c r="A7" s="16" t="s">
        <v>104</v>
      </c>
      <c r="B7" s="17">
        <v>108949</v>
      </c>
      <c r="C7" s="17">
        <v>119437</v>
      </c>
      <c r="D7" s="17">
        <v>114301</v>
      </c>
      <c r="E7" s="17">
        <v>123216</v>
      </c>
      <c r="F7" s="17">
        <v>133050</v>
      </c>
    </row>
    <row r="8" hidden="0" outlineLevel="0" collapsed="0">
      <c r="A8" s="16" t="s">
        <v>111</v>
      </c>
      <c r="B8" s="17">
        <v>94680</v>
      </c>
      <c r="C8" s="17">
        <v>99803</v>
      </c>
      <c r="D8" s="17">
        <v>96995</v>
      </c>
      <c r="E8" s="17">
        <v>93736</v>
      </c>
      <c r="F8" s="17">
        <v>112010</v>
      </c>
    </row>
    <row r="9" hidden="0" outlineLevel="0" collapsed="0">
      <c r="A9" s="16" t="s">
        <v>118</v>
      </c>
      <c r="B9" s="17">
        <v>104038</v>
      </c>
      <c r="C9" s="17">
        <v>122151</v>
      </c>
      <c r="D9" s="17">
        <v>110543</v>
      </c>
      <c r="E9" s="17">
        <v>118254</v>
      </c>
      <c r="F9" s="17">
        <v>111482</v>
      </c>
    </row>
    <row r="10" hidden="0" outlineLevel="0" collapsed="0">
      <c r="A10" s="16" t="s">
        <v>125</v>
      </c>
      <c r="B10" s="17">
        <v>11085</v>
      </c>
      <c r="C10" s="17">
        <v>10708</v>
      </c>
      <c r="D10" s="17">
        <v>10959</v>
      </c>
      <c r="E10" s="17">
        <v>9447</v>
      </c>
      <c r="F10" s="17">
        <v>12715</v>
      </c>
    </row>
    <row r="11" hidden="0" outlineLevel="0" collapsed="0">
      <c r="A11" s="16" t="s">
        <v>132</v>
      </c>
      <c r="B11" s="17">
        <v>351002</v>
      </c>
      <c r="C11" s="17">
        <v>352755</v>
      </c>
      <c r="D11" s="17">
        <v>352583</v>
      </c>
      <c r="E11" s="17">
        <v>364980</v>
      </c>
      <c r="F11" s="17">
        <v>359241</v>
      </c>
    </row>
    <row r="12" hidden="0" outlineLevel="0" collapsed="0">
      <c r="A12" s="16" t="s">
        <v>144</v>
      </c>
      <c r="B12" s="17">
        <v>63090</v>
      </c>
      <c r="C12" s="17">
        <v>50672</v>
      </c>
      <c r="D12" s="17">
        <v>62146</v>
      </c>
      <c r="E12" s="17">
        <v>56950</v>
      </c>
      <c r="F12" s="17">
        <v>73733</v>
      </c>
    </row>
    <row r="13" hidden="0" outlineLevel="0" collapsed="0">
      <c r="A13" s="16" t="s">
        <v>151</v>
      </c>
      <c r="B13" s="17">
        <v>34940</v>
      </c>
      <c r="C13" s="17">
        <v>23646</v>
      </c>
      <c r="D13" s="17">
        <v>29965</v>
      </c>
      <c r="E13" s="17">
        <v>29943</v>
      </c>
      <c r="F13" s="17">
        <v>35934</v>
      </c>
    </row>
    <row r="14" hidden="0" outlineLevel="0" collapsed="0">
      <c r="A14" s="16" t="s">
        <v>158</v>
      </c>
      <c r="B14" s="17"/>
      <c r="C14" s="17">
        <v>110087</v>
      </c>
      <c r="D14" s="17">
        <v>105103</v>
      </c>
      <c r="E14" s="17">
        <v>96662</v>
      </c>
      <c r="F14" s="17">
        <v>90678</v>
      </c>
    </row>
    <row r="15" hidden="0" outlineLevel="0" collapsed="0">
      <c r="A15" s="16" t="s">
        <v>164</v>
      </c>
      <c r="B15" s="17">
        <v>16864.919</v>
      </c>
      <c r="C15" s="17">
        <v>16325.819</v>
      </c>
      <c r="D15" s="17">
        <v>15812.547</v>
      </c>
      <c r="E15" s="17">
        <v>15408.095</v>
      </c>
      <c r="F15" s="17">
        <v>15004.697</v>
      </c>
    </row>
    <row r="17" hidden="0" outlineLevel="0" collapsed="0">
      <c r="A17" s="18" t="s">
        <v>259</v>
      </c>
      <c r="B17" s="18" t="s">
        <v>260</v>
      </c>
      <c r="C17" s="18"/>
      <c r="D17" s="18"/>
      <c r="E17" s="18"/>
      <c r="F17" s="18"/>
    </row>
    <row r="18" hidden="0" outlineLevel="0" collapsed="0">
      <c r="A18" s="0" t="s">
        <v>261</v>
      </c>
      <c r="B18" s="19">
        <f>SUM(B23:B25)</f>
        <v>132420</v>
      </c>
      <c r="F18" s="0" t="s">
        <v>58</v>
      </c>
    </row>
    <row r="19" hidden="0" outlineLevel="0" collapsed="0">
      <c r="A19" s="0" t="s">
        <v>262</v>
      </c>
      <c r="B19" s="19">
        <f>F14</f>
        <v>90678</v>
      </c>
      <c r="F19" s="0" t="s">
        <v>58</v>
      </c>
    </row>
    <row r="20" hidden="0" outlineLevel="0" collapsed="0">
      <c r="A20" s="0" t="s">
        <v>174</v>
      </c>
      <c r="B20" s="19">
        <v>14776.353</v>
      </c>
      <c r="F20" s="0" t="s">
        <v>165</v>
      </c>
    </row>
    <row r="22" hidden="0" outlineLevel="0" collapsed="0">
      <c r="A22" s="11" t="s">
        <v>263</v>
      </c>
      <c r="B22" s="11" t="s">
        <v>93</v>
      </c>
      <c r="C22" s="11" t="s">
        <v>264</v>
      </c>
      <c r="D22" s="11" t="s">
        <v>265</v>
      </c>
      <c r="E22" s="11" t="s">
        <v>266</v>
      </c>
      <c r="F22" s="11" t="s">
        <v>267</v>
      </c>
    </row>
    <row r="23" hidden="0" outlineLevel="0" collapsed="0">
      <c r="A23" s="0" t="s">
        <v>151</v>
      </c>
      <c r="B23" s="20">
        <f>F13</f>
        <v>35934</v>
      </c>
      <c r="C23" s="0" t="s">
        <v>268</v>
      </c>
      <c r="D23" s="0" t="s">
        <v>265</v>
      </c>
      <c r="E23" s="0" t="s">
        <v>269</v>
      </c>
      <c r="F23" s="0" t="s">
        <v>270</v>
      </c>
    </row>
    <row r="24" hidden="0" outlineLevel="0" collapsed="0">
      <c r="A24" s="0" t="s">
        <v>271</v>
      </c>
      <c r="B24" s="20">
        <v>18763</v>
      </c>
      <c r="C24" s="0" t="s">
        <v>268</v>
      </c>
      <c r="D24" s="0" t="s">
        <v>265</v>
      </c>
      <c r="E24" s="0" t="s">
        <v>183</v>
      </c>
      <c r="F24" s="0" t="s">
        <v>272</v>
      </c>
    </row>
    <row r="25" hidden="0" outlineLevel="0" collapsed="0">
      <c r="A25" s="0" t="s">
        <v>273</v>
      </c>
      <c r="B25" s="20">
        <v>77723</v>
      </c>
      <c r="C25" s="0" t="s">
        <v>268</v>
      </c>
      <c r="D25" s="0" t="s">
        <v>265</v>
      </c>
      <c r="E25" s="0" t="s">
        <v>188</v>
      </c>
      <c r="F25" s="0" t="s">
        <v>272</v>
      </c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3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7" customWidth="1"/>
    <col min="2" max="2" width="12" customWidth="1"/>
    <col min="3" max="6" width="13" customWidth="1"/>
    <col min="7" max="7" width="55" customWidth="1"/>
    <col min="8" max="8" width="15" customWidth="1"/>
  </cols>
  <sheetData>
    <row r="1" ht="28" hidden="0" outlineLevel="0" collapsed="0">
      <c r="A1" s="1" t="s">
        <v>274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275</v>
      </c>
      <c r="B2" s="2"/>
      <c r="C2" s="2"/>
      <c r="D2" s="2"/>
      <c r="E2" s="2"/>
      <c r="F2" s="2"/>
      <c r="G2" s="2"/>
      <c r="H2" s="2"/>
    </row>
    <row r="3" hidden="0" outlineLevel="0" collapsed="0">
      <c r="A3" s="3" t="s">
        <v>276</v>
      </c>
      <c r="B3" s="21">
        <v>1</v>
      </c>
      <c r="C3" s="3"/>
      <c r="D3" s="3"/>
      <c r="E3" s="3"/>
      <c r="F3" s="3"/>
      <c r="G3" s="3" t="s">
        <v>277</v>
      </c>
    </row>
    <row r="4" hidden="0" outlineLevel="0" collapsed="0">
      <c r="A4" s="3" t="s">
        <v>14</v>
      </c>
      <c r="B4" s="3" t="str">
        <f>CHOOSE(B3,"Base","Bull","Bear")</f>
        <v>Base</v>
      </c>
      <c r="C4" s="3"/>
      <c r="D4" s="3"/>
      <c r="E4" s="3"/>
      <c r="F4" s="3"/>
      <c r="G4" s="3" t="s">
        <v>278</v>
      </c>
    </row>
    <row r="5" hidden="0" outlineLevel="0" collapsed="0">
      <c r="A5" s="3"/>
      <c r="B5" s="3"/>
      <c r="C5" s="3"/>
      <c r="D5" s="3"/>
      <c r="E5" s="3"/>
      <c r="F5" s="3"/>
      <c r="G5" s="3"/>
    </row>
    <row r="6" hidden="0" outlineLevel="0" collapsed="0">
      <c r="A6" s="11" t="s">
        <v>279</v>
      </c>
      <c r="B6" s="11" t="s">
        <v>39</v>
      </c>
      <c r="C6" s="11" t="s">
        <v>280</v>
      </c>
      <c r="D6" s="11" t="s">
        <v>281</v>
      </c>
      <c r="E6" s="11" t="s">
        <v>282</v>
      </c>
      <c r="F6" s="11" t="s">
        <v>283</v>
      </c>
      <c r="G6" s="11" t="s">
        <v>284</v>
      </c>
    </row>
    <row r="7" hidden="0" outlineLevel="0" collapsed="0">
      <c r="A7" s="3" t="s">
        <v>285</v>
      </c>
      <c r="B7" s="3" t="s">
        <v>286</v>
      </c>
      <c r="C7" s="22">
        <v>0.03</v>
      </c>
      <c r="D7" s="22">
        <v>0.06</v>
      </c>
      <c r="E7" s="22">
        <v>0</v>
      </c>
      <c r="F7" s="23">
        <f>CHOOSE($B$3,C7,D7,E7)</f>
        <v>0.03</v>
      </c>
      <c r="G7" s="3" t="s">
        <v>287</v>
      </c>
    </row>
    <row r="8" hidden="0" outlineLevel="0" collapsed="0">
      <c r="A8" s="3" t="s">
        <v>288</v>
      </c>
      <c r="B8" s="3" t="s">
        <v>286</v>
      </c>
      <c r="C8" s="22">
        <v>0.04</v>
      </c>
      <c r="D8" s="22">
        <v>0.08</v>
      </c>
      <c r="E8" s="22">
        <v>0</v>
      </c>
      <c r="F8" s="23">
        <f>CHOOSE($B$3,C8,D8,E8)</f>
        <v>0.04</v>
      </c>
      <c r="G8" s="3" t="s">
        <v>289</v>
      </c>
    </row>
    <row r="9" hidden="0" outlineLevel="0" collapsed="0">
      <c r="A9" s="3" t="s">
        <v>290</v>
      </c>
      <c r="B9" s="3" t="s">
        <v>286</v>
      </c>
      <c r="C9" s="22">
        <v>0.02</v>
      </c>
      <c r="D9" s="22">
        <v>0.06</v>
      </c>
      <c r="E9" s="22">
        <v>-0.02</v>
      </c>
      <c r="F9" s="23">
        <f>CHOOSE($B$3,C9,D9,E9)</f>
        <v>0.02</v>
      </c>
      <c r="G9" s="3" t="s">
        <v>291</v>
      </c>
    </row>
    <row r="10" hidden="0" outlineLevel="0" collapsed="0">
      <c r="A10" s="3" t="s">
        <v>292</v>
      </c>
      <c r="B10" s="3" t="s">
        <v>286</v>
      </c>
      <c r="C10" s="22">
        <v>0.01</v>
      </c>
      <c r="D10" s="22">
        <v>0.05</v>
      </c>
      <c r="E10" s="22">
        <v>-0.04</v>
      </c>
      <c r="F10" s="23">
        <f>CHOOSE($B$3,C10,D10,E10)</f>
        <v>0.01</v>
      </c>
      <c r="G10" s="3" t="s">
        <v>293</v>
      </c>
    </row>
    <row r="11" hidden="0" outlineLevel="0" collapsed="0">
      <c r="A11" s="3" t="s">
        <v>294</v>
      </c>
      <c r="B11" s="3" t="s">
        <v>286</v>
      </c>
      <c r="C11" s="22">
        <v>0.11</v>
      </c>
      <c r="D11" s="22">
        <v>0.14</v>
      </c>
      <c r="E11" s="22">
        <v>0.07</v>
      </c>
      <c r="F11" s="23">
        <f>CHOOSE($B$3,C11,D11,E11)</f>
        <v>0.11</v>
      </c>
      <c r="G11" s="3" t="s">
        <v>295</v>
      </c>
    </row>
    <row r="12" hidden="0" outlineLevel="0" collapsed="0">
      <c r="A12" s="3" t="s">
        <v>225</v>
      </c>
      <c r="B12" s="3" t="s">
        <v>286</v>
      </c>
      <c r="C12" s="22">
        <v>0.368</v>
      </c>
      <c r="D12" s="22">
        <v>0.38</v>
      </c>
      <c r="E12" s="22">
        <v>0.355</v>
      </c>
      <c r="F12" s="23">
        <f>CHOOSE($B$3,C12,D12,E12)</f>
        <v>0.368</v>
      </c>
      <c r="G12" s="3" t="s">
        <v>296</v>
      </c>
    </row>
    <row r="13" hidden="0" outlineLevel="0" collapsed="0">
      <c r="A13" s="3" t="s">
        <v>230</v>
      </c>
      <c r="B13" s="3" t="s">
        <v>286</v>
      </c>
      <c r="C13" s="22">
        <v>0.754</v>
      </c>
      <c r="D13" s="22">
        <v>0.77</v>
      </c>
      <c r="E13" s="22">
        <v>0.72</v>
      </c>
      <c r="F13" s="23">
        <f>CHOOSE($B$3,C13,D13,E13)</f>
        <v>0.754</v>
      </c>
      <c r="G13" s="3" t="s">
        <v>297</v>
      </c>
    </row>
    <row r="14" hidden="0" outlineLevel="0" collapsed="0">
      <c r="A14" s="3" t="s">
        <v>298</v>
      </c>
      <c r="B14" s="3" t="s">
        <v>286</v>
      </c>
      <c r="C14" s="22">
        <v>0.083</v>
      </c>
      <c r="D14" s="22">
        <v>0.078</v>
      </c>
      <c r="E14" s="22">
        <v>0.09</v>
      </c>
      <c r="F14" s="23">
        <f>CHOOSE($B$3,C14,D14,E14)</f>
        <v>0.083</v>
      </c>
      <c r="G14" s="3" t="s">
        <v>299</v>
      </c>
    </row>
    <row r="15" hidden="0" outlineLevel="0" collapsed="0">
      <c r="A15" s="3" t="s">
        <v>300</v>
      </c>
      <c r="B15" s="3" t="s">
        <v>286</v>
      </c>
      <c r="C15" s="22">
        <v>0.066</v>
      </c>
      <c r="D15" s="22">
        <v>0.062</v>
      </c>
      <c r="E15" s="22">
        <v>0.07</v>
      </c>
      <c r="F15" s="23">
        <f>CHOOSE($B$3,C15,D15,E15)</f>
        <v>0.066</v>
      </c>
      <c r="G15" s="3" t="s">
        <v>301</v>
      </c>
    </row>
    <row r="16" hidden="0" outlineLevel="0" collapsed="0">
      <c r="A16" s="3" t="s">
        <v>302</v>
      </c>
      <c r="B16" s="3" t="s">
        <v>286</v>
      </c>
      <c r="C16" s="22">
        <v>0.165</v>
      </c>
      <c r="D16" s="22">
        <v>0.15</v>
      </c>
      <c r="E16" s="22">
        <v>0.185</v>
      </c>
      <c r="F16" s="23">
        <f>CHOOSE($B$3,C16,D16,E16)</f>
        <v>0.165</v>
      </c>
      <c r="G16" s="3" t="s">
        <v>303</v>
      </c>
    </row>
    <row r="17" hidden="0" outlineLevel="0" collapsed="0">
      <c r="A17" s="3" t="s">
        <v>304</v>
      </c>
      <c r="B17" s="3" t="s">
        <v>286</v>
      </c>
      <c r="C17" s="22">
        <v>0.03</v>
      </c>
      <c r="D17" s="22">
        <v>0.032</v>
      </c>
      <c r="E17" s="22">
        <v>0.028</v>
      </c>
      <c r="F17" s="23">
        <f>CHOOSE($B$3,C17,D17,E17)</f>
        <v>0.03</v>
      </c>
      <c r="G17" s="3" t="s">
        <v>305</v>
      </c>
    </row>
    <row r="18" hidden="0" outlineLevel="0" collapsed="0">
      <c r="A18" s="3" t="s">
        <v>306</v>
      </c>
      <c r="B18" s="3" t="s">
        <v>286</v>
      </c>
      <c r="C18" s="22">
        <v>0.031</v>
      </c>
      <c r="D18" s="22">
        <v>0.028</v>
      </c>
      <c r="E18" s="22">
        <v>0.035</v>
      </c>
      <c r="F18" s="23">
        <f>CHOOSE($B$3,C18,D18,E18)</f>
        <v>0.031</v>
      </c>
      <c r="G18" s="3" t="s">
        <v>307</v>
      </c>
    </row>
    <row r="19" hidden="0" outlineLevel="0" collapsed="0">
      <c r="A19" s="3" t="s">
        <v>308</v>
      </c>
      <c r="B19" s="3" t="s">
        <v>286</v>
      </c>
      <c r="C19" s="22">
        <v>0.01</v>
      </c>
      <c r="D19" s="22">
        <v>0.005</v>
      </c>
      <c r="E19" s="22">
        <v>0.015</v>
      </c>
      <c r="F19" s="23">
        <f>CHOOSE($B$3,C19,D19,E19)</f>
        <v>0.01</v>
      </c>
      <c r="G19" s="3" t="s">
        <v>309</v>
      </c>
    </row>
    <row r="20" hidden="0" outlineLevel="0" collapsed="0">
      <c r="A20" s="3" t="s">
        <v>310</v>
      </c>
      <c r="B20" s="3" t="s">
        <v>286</v>
      </c>
      <c r="C20" s="22">
        <v>0.095</v>
      </c>
      <c r="D20" s="22">
        <v>0.085</v>
      </c>
      <c r="E20" s="22">
        <v>0.105</v>
      </c>
      <c r="F20" s="23">
        <f>CHOOSE($B$3,C20,D20,E20)</f>
        <v>0.095</v>
      </c>
      <c r="G20" s="3" t="s">
        <v>311</v>
      </c>
    </row>
    <row r="21" hidden="0" outlineLevel="0" collapsed="0">
      <c r="A21" s="3" t="s">
        <v>312</v>
      </c>
      <c r="B21" s="3" t="s">
        <v>286</v>
      </c>
      <c r="C21" s="22">
        <v>0.025</v>
      </c>
      <c r="D21" s="22">
        <v>0.03</v>
      </c>
      <c r="E21" s="22">
        <v>0.02</v>
      </c>
      <c r="F21" s="23">
        <f>CHOOSE($B$3,C21,D21,E21)</f>
        <v>0.025</v>
      </c>
      <c r="G21" s="3" t="s">
        <v>313</v>
      </c>
    </row>
    <row r="22" hidden="0" outlineLevel="0" collapsed="0">
      <c r="A22" s="3"/>
      <c r="B22" s="3"/>
      <c r="C22" s="3"/>
      <c r="D22" s="3"/>
      <c r="E22" s="3"/>
      <c r="F22" s="3"/>
      <c r="G22" s="3"/>
    </row>
    <row r="23" hidden="0" outlineLevel="0" collapsed="0">
      <c r="A23" s="3"/>
      <c r="B23" s="3"/>
      <c r="C23" s="3"/>
      <c r="D23" s="3"/>
      <c r="E23" s="3"/>
      <c r="F23" s="3"/>
      <c r="G23" s="3"/>
    </row>
  </sheetData>
  <mergeCells count="2">
    <mergeCell ref="A1:H1"/>
    <mergeCell ref="A2:H2"/>
  </mergeCells>
  <dataValidations count="1">
    <dataValidation sqref="B3" type="whole">
      <formula1>1</formula1>
      <formula2>3</formula2>
    </dataValidation>
  </dataValidation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3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7" customWidth="1"/>
    <col min="2" max="7" width="14" customWidth="1"/>
    <col min="8" max="8" width="15" customWidth="1"/>
  </cols>
  <sheetData>
    <row r="1" ht="28" hidden="0" outlineLevel="0" collapsed="0">
      <c r="A1" s="14" t="s">
        <v>314</v>
      </c>
      <c r="B1" s="14"/>
      <c r="C1" s="14"/>
      <c r="D1" s="14"/>
      <c r="E1" s="14"/>
      <c r="F1" s="14"/>
      <c r="G1" s="14"/>
      <c r="H1" s="14"/>
    </row>
    <row r="2" ht="22" hidden="0" outlineLevel="0" collapsed="0">
      <c r="A2" s="15" t="s">
        <v>315</v>
      </c>
      <c r="B2" s="15"/>
      <c r="C2" s="15"/>
      <c r="D2" s="15"/>
      <c r="E2" s="15"/>
      <c r="F2" s="15"/>
      <c r="G2" s="15"/>
      <c r="H2" s="15"/>
    </row>
    <row r="4" hidden="0" outlineLevel="0" collapsed="0">
      <c r="A4" s="11" t="s">
        <v>36</v>
      </c>
      <c r="B4" s="11" t="s">
        <v>93</v>
      </c>
      <c r="C4" s="11" t="s">
        <v>316</v>
      </c>
      <c r="D4" s="11" t="s">
        <v>317</v>
      </c>
      <c r="E4" s="11" t="s">
        <v>318</v>
      </c>
      <c r="F4" s="11" t="s">
        <v>319</v>
      </c>
      <c r="G4" s="11" t="s">
        <v>320</v>
      </c>
    </row>
    <row r="5" hidden="0" outlineLevel="0" collapsed="0">
      <c r="A5" s="16" t="s">
        <v>190</v>
      </c>
      <c r="B5" s="17">
        <f>Sector_KPIs!D5</f>
        <v>209586</v>
      </c>
      <c r="C5" s="24">
        <f>B5*(1+Assumptions!F7)</f>
        <v>215873.58000000002</v>
      </c>
      <c r="D5" s="24">
        <f>C5*(1+Assumptions!F7)</f>
        <v>222349.78740000003</v>
      </c>
      <c r="E5" s="24">
        <f>D5*(1+Assumptions!F7)</f>
        <v>229020.28102200004</v>
      </c>
      <c r="F5" s="24">
        <f>E5*(1+Assumptions!F7)</f>
        <v>235890.88945266005</v>
      </c>
      <c r="G5" s="24">
        <f>F5*(1+Assumptions!F7)</f>
        <v>242967.61613623987</v>
      </c>
    </row>
    <row r="6" hidden="0" outlineLevel="0" collapsed="0">
      <c r="A6" s="16" t="s">
        <v>198</v>
      </c>
      <c r="B6" s="17">
        <f>Sector_KPIs!D6</f>
        <v>33708</v>
      </c>
      <c r="C6" s="24">
        <f>B6*(1+Assumptions!F8)</f>
        <v>35056.32</v>
      </c>
      <c r="D6" s="24">
        <f>C6*(1+Assumptions!F8)</f>
        <v>36458.5728</v>
      </c>
      <c r="E6" s="24">
        <f>D6*(1+Assumptions!F8)</f>
        <v>37916.915712</v>
      </c>
      <c r="F6" s="24">
        <f>E6*(1+Assumptions!F8)</f>
        <v>39433.592340480005</v>
      </c>
      <c r="G6" s="24">
        <f>F6*(1+Assumptions!F8)</f>
        <v>41010.936034099206</v>
      </c>
    </row>
    <row r="7" hidden="0" outlineLevel="0" collapsed="0">
      <c r="A7" s="16" t="s">
        <v>203</v>
      </c>
      <c r="B7" s="17">
        <f>Sector_KPIs!D7</f>
        <v>28023</v>
      </c>
      <c r="C7" s="24">
        <f>B7*(1+Assumptions!F9)</f>
        <v>28583.46</v>
      </c>
      <c r="D7" s="24">
        <f>C7*(1+Assumptions!F9)</f>
        <v>29155.1292</v>
      </c>
      <c r="E7" s="24">
        <f>D7*(1+Assumptions!F9)</f>
        <v>29738.231784</v>
      </c>
      <c r="F7" s="24">
        <f>E7*(1+Assumptions!F9)</f>
        <v>30332.99641968</v>
      </c>
      <c r="G7" s="24">
        <f>F7*(1+Assumptions!F9)</f>
        <v>30939.6563480736</v>
      </c>
    </row>
    <row r="8" hidden="0" outlineLevel="0" collapsed="0">
      <c r="A8" s="16" t="s">
        <v>321</v>
      </c>
      <c r="B8" s="17">
        <f>Sector_KPIs!D8</f>
        <v>35686</v>
      </c>
      <c r="C8" s="24">
        <f>B8*(1+Assumptions!F10)</f>
        <v>36042.86</v>
      </c>
      <c r="D8" s="24">
        <f>C8*(1+Assumptions!F10)</f>
        <v>36403.2886</v>
      </c>
      <c r="E8" s="24">
        <f>D8*(1+Assumptions!F10)</f>
        <v>36767.321486</v>
      </c>
      <c r="F8" s="24">
        <f>E8*(1+Assumptions!F10)</f>
        <v>37134.99470086</v>
      </c>
      <c r="G8" s="24">
        <f>F8*(1+Assumptions!F10)</f>
        <v>37506.3446478686</v>
      </c>
    </row>
    <row r="9" hidden="0" outlineLevel="0" collapsed="0">
      <c r="A9" s="16" t="s">
        <v>211</v>
      </c>
      <c r="B9" s="17">
        <f>Sector_KPIs!D9</f>
        <v>109158</v>
      </c>
      <c r="C9" s="24">
        <f>B9*(1+Assumptions!F11)</f>
        <v>121165.38</v>
      </c>
      <c r="D9" s="24">
        <f>C9*(1+Assumptions!F11)</f>
        <v>134493.5718</v>
      </c>
      <c r="E9" s="24">
        <f>D9*(1+Assumptions!F11)</f>
        <v>149287.86469800002</v>
      </c>
      <c r="F9" s="24">
        <f>E9*(1+Assumptions!F11)</f>
        <v>165709.52981478005</v>
      </c>
      <c r="G9" s="24">
        <f>F9*(1+Assumptions!F11)</f>
        <v>183937.57809440588</v>
      </c>
    </row>
    <row r="10" hidden="0" outlineLevel="0" collapsed="0">
      <c r="A10" s="16" t="s">
        <v>322</v>
      </c>
      <c r="B10" s="17">
        <f>SUM(B5:B9)</f>
        <v>416161</v>
      </c>
      <c r="C10" s="24">
        <f>SUM(C5:C9)</f>
        <v>436721.60000000003</v>
      </c>
      <c r="D10" s="24">
        <f>SUM(D5:D9)</f>
        <v>458860.3498</v>
      </c>
      <c r="E10" s="24">
        <f>SUM(E5:E9)</f>
        <v>482730.61470200005</v>
      </c>
      <c r="F10" s="24">
        <f>SUM(F5:F9)</f>
        <v>508502.0027284601</v>
      </c>
      <c r="G10" s="24">
        <f>SUM(G5:G9)</f>
        <v>536362.1312606871</v>
      </c>
    </row>
    <row r="11" hidden="0" outlineLevel="0" collapsed="0">
      <c r="A11" s="16" t="s">
        <v>216</v>
      </c>
      <c r="B11" s="17">
        <f>Sector_KPIs!D11</f>
        <v>112887</v>
      </c>
      <c r="C11" s="24">
        <f>SUM(C5:C8)*Assumptions!F12</f>
        <v>116124.68896000001</v>
      </c>
      <c r="D11" s="24">
        <f>SUM(D5:D8)*Assumptions!F12</f>
        <v>119366.97430400002</v>
      </c>
      <c r="E11" s="24">
        <f>SUM(E5:E8)*Assumptions!F12</f>
        <v>122706.93200147201</v>
      </c>
      <c r="F11" s="24">
        <f>SUM(F5:F8)*Assumptions!F12</f>
        <v>126147.63003223427</v>
      </c>
      <c r="G11" s="24">
        <f>SUM(G5:G8)*Assumptions!F12</f>
        <v>129692.2355651915</v>
      </c>
    </row>
    <row r="12" hidden="0" outlineLevel="0" collapsed="0">
      <c r="A12" s="16" t="s">
        <v>221</v>
      </c>
      <c r="B12" s="17">
        <f>Sector_KPIs!D12</f>
        <v>82314</v>
      </c>
      <c r="C12" s="24">
        <f>C9*Assumptions!F13</f>
        <v>91358.69652</v>
      </c>
      <c r="D12" s="24">
        <f>D9*Assumptions!F13</f>
        <v>101408.1531372</v>
      </c>
      <c r="E12" s="24">
        <f>E9*Assumptions!F13</f>
        <v>112563.04998229201</v>
      </c>
      <c r="F12" s="24">
        <f>F9*Assumptions!F13</f>
        <v>124944.98548034416</v>
      </c>
      <c r="G12" s="24">
        <f>G9*Assumptions!F13</f>
        <v>138688.93388318204</v>
      </c>
    </row>
    <row r="13" hidden="0" outlineLevel="0" collapsed="0">
      <c r="A13" s="16" t="s">
        <v>323</v>
      </c>
      <c r="B13" s="17">
        <f>SUM(B11:B12)</f>
        <v>195201</v>
      </c>
      <c r="C13" s="24">
        <f>SUM(C11:C12)</f>
        <v>207483.38548</v>
      </c>
      <c r="D13" s="24">
        <f>SUM(D11:D12)</f>
        <v>220775.12744120002</v>
      </c>
      <c r="E13" s="24">
        <f>SUM(E11:E12)</f>
        <v>235269.98198376404</v>
      </c>
      <c r="F13" s="24">
        <f>SUM(F11:F12)</f>
        <v>251092.61551257843</v>
      </c>
      <c r="G13" s="24">
        <f>SUM(G11:G12)</f>
        <v>268381.16944837355</v>
      </c>
    </row>
    <row r="14" hidden="0" outlineLevel="0" collapsed="0">
      <c r="A14" s="16" t="s">
        <v>234</v>
      </c>
      <c r="B14" s="17">
        <f>-Sector_KPIs!D15</f>
        <v>-34550</v>
      </c>
      <c r="C14" s="24">
        <f>-C10*Assumptions!F14</f>
        <v>-36247.8928</v>
      </c>
      <c r="D14" s="24">
        <f>-D10*Assumptions!F14</f>
        <v>-38085.40903340001</v>
      </c>
      <c r="E14" s="24">
        <f>-E10*Assumptions!F14</f>
        <v>-40066.641020266004</v>
      </c>
      <c r="F14" s="24">
        <f>-F10*Assumptions!F14</f>
        <v>-42205.66622646219</v>
      </c>
      <c r="G14" s="24">
        <f>-G10*Assumptions!F14</f>
        <v>-44518.05689463703</v>
      </c>
    </row>
    <row r="15" hidden="0" outlineLevel="0" collapsed="0">
      <c r="A15" s="16" t="s">
        <v>239</v>
      </c>
      <c r="B15" s="17">
        <f>-Sector_KPIs!D16</f>
        <v>-27601</v>
      </c>
      <c r="C15" s="24">
        <f>-C10*Assumptions!F15</f>
        <v>-28823.625600000003</v>
      </c>
      <c r="D15" s="24">
        <f>-D10*Assumptions!F15</f>
        <v>-30284.783086800002</v>
      </c>
      <c r="E15" s="24">
        <f>-E10*Assumptions!F15</f>
        <v>-31860.220570332003</v>
      </c>
      <c r="F15" s="24">
        <f>-F10*Assumptions!F15</f>
        <v>-33561.13218007837</v>
      </c>
      <c r="G15" s="24">
        <f>-G10*Assumptions!F15</f>
        <v>-35399.90066320535</v>
      </c>
    </row>
    <row r="16" hidden="0" outlineLevel="0" collapsed="0">
      <c r="A16" s="16" t="s">
        <v>324</v>
      </c>
      <c r="B16" s="17">
        <f>SUM(B13:B15)</f>
        <v>133050</v>
      </c>
      <c r="C16" s="24">
        <f>SUM(C13:C15)</f>
        <v>142411.86708</v>
      </c>
      <c r="D16" s="24">
        <f>SUM(D13:D15)</f>
        <v>152404.935321</v>
      </c>
      <c r="E16" s="24">
        <f>SUM(E13:E15)</f>
        <v>163343.12039316603</v>
      </c>
      <c r="F16" s="24">
        <f>SUM(F13:F15)</f>
        <v>175325.81710603787</v>
      </c>
      <c r="G16" s="24">
        <f>SUM(G13:G15)</f>
        <v>188463.21189053118</v>
      </c>
    </row>
    <row r="17" hidden="0" outlineLevel="0" collapsed="0">
      <c r="A17" s="16" t="s">
        <v>325</v>
      </c>
      <c r="B17" s="17">
        <f>-B16*Assumptions!C16</f>
        <v>-21953.25</v>
      </c>
      <c r="C17" s="24">
        <f>-C16*Assumptions!F16</f>
        <v>-23497.9580682</v>
      </c>
      <c r="D17" s="24">
        <f>-D16*Assumptions!F16</f>
        <v>-25146.814327965</v>
      </c>
      <c r="E17" s="24">
        <f>-E16*Assumptions!F16</f>
        <v>-26951.614864872397</v>
      </c>
      <c r="F17" s="24">
        <f>-F16*Assumptions!F16</f>
        <v>-28928.75982249625</v>
      </c>
      <c r="G17" s="24">
        <f>-G16*Assumptions!F16</f>
        <v>-31096.429961937647</v>
      </c>
    </row>
    <row r="18" hidden="0" outlineLevel="0" collapsed="0">
      <c r="A18" s="16" t="s">
        <v>326</v>
      </c>
      <c r="B18" s="17">
        <f>B16+B17</f>
        <v>111096.75</v>
      </c>
      <c r="C18" s="24">
        <f>SUM(C16:C17)</f>
        <v>118913.90901179999</v>
      </c>
      <c r="D18" s="24">
        <f>SUM(D16:D17)</f>
        <v>127258.120993035</v>
      </c>
      <c r="E18" s="24">
        <f>SUM(E16:E17)</f>
        <v>136391.50552829364</v>
      </c>
      <c r="F18" s="24">
        <f>SUM(F16:F17)</f>
        <v>146397.05728354162</v>
      </c>
      <c r="G18" s="24">
        <f>SUM(G16:G17)</f>
        <v>157366.78192859353</v>
      </c>
    </row>
    <row r="19" hidden="0" outlineLevel="0" collapsed="0">
      <c r="A19" s="16" t="s">
        <v>243</v>
      </c>
      <c r="B19" s="17">
        <f>Sector_KPIs!D17</f>
        <v>11698</v>
      </c>
      <c r="C19" s="24">
        <f>C10*Assumptions!F17</f>
        <v>13101.648000000001</v>
      </c>
      <c r="D19" s="24">
        <f>D10*Assumptions!F17</f>
        <v>13765.810494</v>
      </c>
      <c r="E19" s="24">
        <f>E10*Assumptions!F17</f>
        <v>14481.918441060001</v>
      </c>
      <c r="F19" s="24">
        <f>F10*Assumptions!F17</f>
        <v>15255.060081853802</v>
      </c>
      <c r="G19" s="24">
        <f>G10*Assumptions!F17</f>
        <v>16090.863937820614</v>
      </c>
    </row>
    <row r="20" hidden="0" outlineLevel="0" collapsed="0">
      <c r="A20" s="16" t="s">
        <v>125</v>
      </c>
      <c r="B20" s="17">
        <f>-Historical!F10</f>
        <v>-12715</v>
      </c>
      <c r="C20" s="24">
        <f>-C10*Assumptions!F18</f>
        <v>-13538.369600000002</v>
      </c>
      <c r="D20" s="24">
        <f>-D10*Assumptions!F18</f>
        <v>-14224.6708438</v>
      </c>
      <c r="E20" s="24">
        <f>-E10*Assumptions!F18</f>
        <v>-14964.649055762002</v>
      </c>
      <c r="F20" s="24">
        <f>-F10*Assumptions!F18</f>
        <v>-15763.562084582263</v>
      </c>
      <c r="G20" s="24">
        <f>-G10*Assumptions!F18</f>
        <v>-16627.226069081302</v>
      </c>
    </row>
    <row r="21" hidden="0" outlineLevel="0" collapsed="0">
      <c r="A21" s="16" t="s">
        <v>327</v>
      </c>
      <c r="B21" s="17">
        <f>0</f>
        <v>0</v>
      </c>
      <c r="C21" s="24">
        <f>-(C10-B10)*Assumptions!F19</f>
        <v>-205.60600000000036</v>
      </c>
      <c r="D21" s="24">
        <f>-(D10-C10)*Assumptions!F19</f>
        <v>-221.3874979999999</v>
      </c>
      <c r="E21" s="24">
        <f>-(E10-D10)*Assumptions!F19</f>
        <v>-238.70264902000025</v>
      </c>
      <c r="F21" s="24">
        <f>-(F10-E10)*Assumptions!F19</f>
        <v>-257.71388026460073</v>
      </c>
      <c r="G21" s="24">
        <f>-(G10-F10)*Assumptions!F19</f>
        <v>-278.60128532227014</v>
      </c>
    </row>
    <row r="22" hidden="0" outlineLevel="0" collapsed="0">
      <c r="A22" s="16" t="s">
        <v>328</v>
      </c>
      <c r="B22" s="17">
        <f>SUM(B18:B21)</f>
        <v>110079.75</v>
      </c>
      <c r="C22" s="24">
        <f>SUM(C18:C21)</f>
        <v>118271.58141179998</v>
      </c>
      <c r="D22" s="24">
        <f>SUM(D18:D21)</f>
        <v>126577.873145235</v>
      </c>
      <c r="E22" s="24">
        <f>SUM(E18:E21)</f>
        <v>135670.07226457165</v>
      </c>
      <c r="F22" s="24">
        <f>SUM(F18:F21)</f>
        <v>145630.84140054855</v>
      </c>
      <c r="G22" s="24">
        <f>SUM(G18:G21)</f>
        <v>156551.81851201056</v>
      </c>
    </row>
    <row r="23" hidden="0" outlineLevel="0" collapsed="0">
      <c r="A23" s="16"/>
      <c r="B23" s="17"/>
      <c r="C23" s="24"/>
      <c r="D23" s="24"/>
      <c r="E23" s="24"/>
      <c r="F23" s="24"/>
      <c r="G23" s="24"/>
    </row>
    <row r="24" hidden="0" outlineLevel="0" collapsed="0">
      <c r="A24" s="16"/>
      <c r="B24" s="17"/>
      <c r="C24" s="24"/>
      <c r="D24" s="24"/>
      <c r="E24" s="24"/>
      <c r="F24" s="24"/>
      <c r="G24" s="24"/>
    </row>
    <row r="25" hidden="0" outlineLevel="0" collapsed="0">
      <c r="A25" s="16"/>
      <c r="B25" s="17"/>
      <c r="C25" s="24"/>
      <c r="D25" s="24"/>
      <c r="E25" s="24"/>
      <c r="F25" s="24"/>
      <c r="G25" s="24"/>
    </row>
    <row r="26" hidden="0" outlineLevel="0" collapsed="0">
      <c r="A26" s="16"/>
      <c r="B26" s="17"/>
      <c r="C26" s="24"/>
      <c r="D26" s="24"/>
      <c r="E26" s="24"/>
      <c r="F26" s="24"/>
      <c r="G26" s="24"/>
    </row>
    <row r="27" hidden="0" outlineLevel="0" collapsed="0">
      <c r="A27" s="16"/>
      <c r="B27" s="17"/>
      <c r="C27" s="24"/>
      <c r="D27" s="24"/>
      <c r="E27" s="24"/>
      <c r="F27" s="24"/>
      <c r="G27" s="24"/>
    </row>
    <row r="28" hidden="0" outlineLevel="0" collapsed="0">
      <c r="A28" s="16"/>
      <c r="B28" s="17"/>
      <c r="C28" s="24"/>
      <c r="D28" s="24"/>
      <c r="E28" s="24"/>
      <c r="F28" s="24"/>
      <c r="G28" s="24"/>
    </row>
    <row r="29" hidden="0" outlineLevel="0" collapsed="0">
      <c r="A29" s="16"/>
      <c r="B29" s="17"/>
      <c r="C29" s="24"/>
      <c r="D29" s="24"/>
      <c r="E29" s="24"/>
      <c r="F29" s="24"/>
      <c r="G29" s="24"/>
    </row>
    <row r="30" hidden="0" outlineLevel="0" collapsed="0">
      <c r="A30" s="16"/>
      <c r="B30" s="17"/>
      <c r="C30" s="24"/>
      <c r="D30" s="24"/>
      <c r="E30" s="24"/>
      <c r="F30" s="24"/>
      <c r="G30" s="24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1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customWidth="1"/>
    <col min="2" max="6" width="14" customWidth="1"/>
    <col min="7" max="7" width="22" customWidth="1"/>
    <col min="8" max="8" width="15" customWidth="1"/>
  </cols>
  <sheetData>
    <row r="1" ht="28" hidden="0" outlineLevel="0" collapsed="0">
      <c r="A1" s="14" t="s">
        <v>329</v>
      </c>
      <c r="B1" s="14"/>
      <c r="C1" s="14"/>
      <c r="D1" s="14"/>
      <c r="E1" s="14"/>
      <c r="F1" s="14"/>
      <c r="G1" s="14"/>
      <c r="H1" s="14"/>
    </row>
    <row r="2" ht="22" hidden="0" outlineLevel="0" collapsed="0">
      <c r="A2" s="15" t="s">
        <v>330</v>
      </c>
      <c r="B2" s="15"/>
      <c r="C2" s="15"/>
      <c r="D2" s="15"/>
      <c r="E2" s="15"/>
      <c r="F2" s="15"/>
      <c r="G2" s="15"/>
      <c r="H2" s="15"/>
    </row>
    <row r="4" hidden="0" outlineLevel="0" collapsed="0">
      <c r="A4" s="11" t="s">
        <v>331</v>
      </c>
      <c r="B4" s="11" t="s">
        <v>332</v>
      </c>
      <c r="C4" s="11" t="s">
        <v>333</v>
      </c>
      <c r="D4" s="11" t="s">
        <v>334</v>
      </c>
      <c r="E4" s="11" t="s">
        <v>335</v>
      </c>
      <c r="F4" s="11" t="s">
        <v>336</v>
      </c>
      <c r="G4" s="11" t="s">
        <v>337</v>
      </c>
    </row>
    <row r="5" hidden="0" outlineLevel="0" collapsed="0">
      <c r="A5" s="0" t="s">
        <v>328</v>
      </c>
      <c r="B5" s="24">
        <f>Forecast!C22</f>
        <v>118271.58141179998</v>
      </c>
      <c r="C5" s="24">
        <f>Forecast!D22</f>
        <v>126577.873145235</v>
      </c>
      <c r="D5" s="24">
        <f>Forecast!E22</f>
        <v>135670.07226457165</v>
      </c>
      <c r="E5" s="24">
        <f>Forecast!F22</f>
        <v>145630.84140054855</v>
      </c>
      <c r="F5" s="24">
        <f>Forecast!G22</f>
        <v>156551.81851201056</v>
      </c>
      <c r="G5" s="17"/>
    </row>
    <row r="6" hidden="0" outlineLevel="0" collapsed="0">
      <c r="A6" s="0" t="s">
        <v>338</v>
      </c>
      <c r="B6" s="17">
        <v>1</v>
      </c>
      <c r="C6" s="17">
        <v>2</v>
      </c>
      <c r="D6" s="17">
        <v>3</v>
      </c>
      <c r="E6" s="17">
        <v>4</v>
      </c>
      <c r="F6" s="17">
        <v>5</v>
      </c>
      <c r="G6" s="17"/>
    </row>
    <row r="7" hidden="0" outlineLevel="0" collapsed="0">
      <c r="A7" s="0" t="s">
        <v>339</v>
      </c>
      <c r="B7" s="24">
        <f>1/(1+Assumptions!F20)^B6</f>
        <v>0.9132420091324202</v>
      </c>
      <c r="C7" s="24">
        <f>1/(1+Assumptions!F20)^C6</f>
        <v>0.8340109672442193</v>
      </c>
      <c r="D7" s="24">
        <f>1/(1+Assumptions!F20)^D6</f>
        <v>0.7616538513645839</v>
      </c>
      <c r="E7" s="24">
        <f>1/(1+Assumptions!F20)^E6</f>
        <v>0.6955742934836383</v>
      </c>
      <c r="F7" s="24">
        <f>1/(1+Assumptions!F20)^F6</f>
        <v>0.6352276652818615</v>
      </c>
      <c r="G7" s="17"/>
    </row>
    <row r="8" hidden="0" outlineLevel="0" collapsed="0">
      <c r="A8" s="0" t="s">
        <v>340</v>
      </c>
      <c r="B8" s="17">
        <f>B5*B7</f>
        <v>108010.57663178082</v>
      </c>
      <c r="C8" s="17">
        <f>C5*C7</f>
        <v>105567.33441357354</v>
      </c>
      <c r="D8" s="17">
        <f>D5*D7</f>
        <v>103333.6330552224</v>
      </c>
      <c r="E8" s="17">
        <f>E5*E7</f>
        <v>101297.06961661435</v>
      </c>
      <c r="F8" s="17">
        <f>F5*F7</f>
        <v>99446.04616901417</v>
      </c>
      <c r="G8" s="17"/>
    </row>
    <row r="9" hidden="0" outlineLevel="0" collapsed="0">
      <c r="A9" s="0" t="s">
        <v>341</v>
      </c>
      <c r="B9" s="17"/>
      <c r="C9" s="17"/>
      <c r="D9" s="17"/>
      <c r="E9" s="17"/>
      <c r="F9" s="17">
        <f>F5*(1+Assumptions!F21)/(Assumptions!F20-Assumptions!F21)</f>
        <v>2292365.9139258685</v>
      </c>
      <c r="G9" s="17"/>
    </row>
    <row r="10" hidden="0" outlineLevel="0" collapsed="0">
      <c r="A10" s="0" t="s">
        <v>342</v>
      </c>
      <c r="B10" s="17"/>
      <c r="C10" s="17"/>
      <c r="D10" s="17"/>
      <c r="E10" s="17"/>
      <c r="F10" s="17">
        <f>F9*F7</f>
        <v>1456174.2474748502</v>
      </c>
      <c r="G10" s="17"/>
    </row>
    <row r="11" hidden="0" outlineLevel="0" collapsed="0">
      <c r="A11" s="0" t="s">
        <v>343</v>
      </c>
      <c r="B11" s="17"/>
      <c r="C11" s="17"/>
      <c r="D11" s="17"/>
      <c r="E11" s="17"/>
      <c r="F11" s="17"/>
      <c r="G11" s="17">
        <f>SUM(B8:F8)+F10</f>
        <v>1973828.9073610555</v>
      </c>
    </row>
    <row r="12" hidden="0" outlineLevel="0" collapsed="0">
      <c r="A12" s="0" t="s">
        <v>344</v>
      </c>
      <c r="B12" s="17"/>
      <c r="C12" s="17"/>
      <c r="D12" s="17"/>
      <c r="E12" s="17"/>
      <c r="F12" s="17"/>
      <c r="G12" s="17">
        <f>Historical!B18</f>
        <v>132420</v>
      </c>
    </row>
    <row r="13" hidden="0" outlineLevel="0" collapsed="0">
      <c r="A13" s="0" t="s">
        <v>345</v>
      </c>
      <c r="B13" s="17"/>
      <c r="C13" s="17"/>
      <c r="D13" s="17"/>
      <c r="E13" s="17"/>
      <c r="F13" s="17"/>
      <c r="G13" s="17">
        <f>Historical!B19</f>
        <v>90678</v>
      </c>
    </row>
    <row r="14" hidden="0" outlineLevel="0" collapsed="0">
      <c r="A14" s="0" t="s">
        <v>346</v>
      </c>
      <c r="B14" s="17"/>
      <c r="C14" s="17"/>
      <c r="D14" s="17"/>
      <c r="E14" s="17"/>
      <c r="F14" s="17"/>
      <c r="G14" s="17">
        <f>G11+G12-G13</f>
        <v>2015570.9073610557</v>
      </c>
    </row>
    <row r="15" hidden="0" outlineLevel="0" collapsed="0">
      <c r="A15" s="0" t="s">
        <v>347</v>
      </c>
      <c r="B15" s="17"/>
      <c r="C15" s="17"/>
      <c r="D15" s="17"/>
      <c r="E15" s="17"/>
      <c r="F15" s="17"/>
      <c r="G15" s="17">
        <f>Historical!B20</f>
        <v>14776.353</v>
      </c>
    </row>
    <row r="17" hidden="0" outlineLevel="0" collapsed="0">
      <c r="A17" s="11" t="s">
        <v>348</v>
      </c>
      <c r="B17" s="11"/>
      <c r="C17" s="11"/>
      <c r="D17" s="11"/>
      <c r="E17" s="11"/>
      <c r="F17" s="11"/>
      <c r="G17" s="11"/>
    </row>
    <row r="18" hidden="0" outlineLevel="0" collapsed="0">
      <c r="A18" s="0" t="s">
        <v>15</v>
      </c>
      <c r="G18" s="25">
        <f>G14/G15</f>
        <v>136.40516759183106</v>
      </c>
    </row>
    <row r="19" hidden="0" outlineLevel="0" collapsed="0">
      <c r="A19" s="0" t="s">
        <v>11</v>
      </c>
      <c r="G19" s="25">
        <v>327.5</v>
      </c>
    </row>
    <row r="20" hidden="0" outlineLevel="0" collapsed="0">
      <c r="A20" s="0" t="s">
        <v>16</v>
      </c>
      <c r="G20" s="26">
        <f>G18/G19-1</f>
        <v>-0.583495671475325</v>
      </c>
    </row>
    <row r="21" hidden="0" outlineLevel="0" collapsed="0">
      <c r="A21" s="0" t="s">
        <v>12</v>
      </c>
      <c r="G21" s="0" t="s">
        <v>13</v>
      </c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14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0" customWidth="1"/>
    <col min="2" max="7" width="17" customWidth="1"/>
    <col min="8" max="8" width="15" customWidth="1"/>
  </cols>
  <sheetData>
    <row r="1" ht="28" hidden="0" outlineLevel="0" collapsed="0">
      <c r="A1" s="14" t="s">
        <v>349</v>
      </c>
      <c r="B1" s="14"/>
      <c r="C1" s="14"/>
      <c r="D1" s="14"/>
      <c r="E1" s="14"/>
      <c r="F1" s="14"/>
      <c r="G1" s="14"/>
      <c r="H1" s="14"/>
    </row>
    <row r="2" ht="22" hidden="0" outlineLevel="0" collapsed="0">
      <c r="A2" s="15" t="s">
        <v>350</v>
      </c>
      <c r="B2" s="15"/>
      <c r="C2" s="15"/>
      <c r="D2" s="15"/>
      <c r="E2" s="15"/>
      <c r="F2" s="15"/>
      <c r="G2" s="15"/>
      <c r="H2" s="15"/>
    </row>
    <row r="4" hidden="0" outlineLevel="0" collapsed="0">
      <c r="A4" s="27" t="s">
        <v>351</v>
      </c>
      <c r="B4" s="27">
        <v>0.015</v>
      </c>
      <c r="C4" s="27">
        <v>0.02</v>
      </c>
      <c r="D4" s="27">
        <v>0.025</v>
      </c>
      <c r="E4" s="27">
        <v>0.03</v>
      </c>
      <c r="F4" s="27">
        <v>0.035</v>
      </c>
    </row>
    <row r="5" hidden="0" outlineLevel="0" collapsed="0">
      <c r="A5" s="26">
        <v>0.08</v>
      </c>
      <c r="B5" s="25">
        <f>(SUM(Valuation!B8:F8)+Forecast!G22*(1+B$4)/($A5-B$4)*Valuation!F7+Valuation!G12-Valuation!G13)/Valuation!G15</f>
        <v>142.9503558350736</v>
      </c>
      <c r="C5" s="25">
        <f>(SUM(Valuation!B8:F8)+Forecast!G22*(1+C$4)/($A5-C$4)*Valuation!F7+Valuation!G12-Valuation!G13)/Valuation!G15</f>
        <v>152.26892892714775</v>
      </c>
      <c r="D5" s="25">
        <f>(SUM(Valuation!B8:F8)+Forecast!G22*(1+D$4)/($A5-D$4)*Valuation!F7+Valuation!G12-Valuation!G13)/Valuation!G15</f>
        <v>163.28178803596262</v>
      </c>
      <c r="E5" s="25">
        <f>(SUM(Valuation!B8:F8)+Forecast!G22*(1+E$4)/($A5-E$4)*Valuation!F7+Valuation!G12-Valuation!G13)/Valuation!G15</f>
        <v>176.49721896654046</v>
      </c>
      <c r="F5" s="25">
        <f>(SUM(Valuation!B8:F8)+Forecast!G22*(1+F$4)/($A5-F$4)*Valuation!F7+Valuation!G12-Valuation!G13)/Valuation!G15</f>
        <v>192.6494123261356</v>
      </c>
    </row>
    <row r="6" hidden="0" outlineLevel="0" collapsed="0">
      <c r="A6" s="26">
        <v>0.0875</v>
      </c>
      <c r="B6" s="25">
        <f>(SUM(Valuation!B8:F8)+Forecast!G22*(1+B$4)/($A6-B$4)*Valuation!F7+Valuation!G12-Valuation!G13)/Valuation!G15</f>
        <v>132.0786872276538</v>
      </c>
      <c r="C6" s="25">
        <f>(SUM(Valuation!B8:F8)+Forecast!G22*(1+C$4)/($A6-C$4)*Valuation!F7+Valuation!G12-Valuation!G13)/Valuation!G15</f>
        <v>139.55655452376268</v>
      </c>
      <c r="D6" s="25">
        <f>(SUM(Valuation!B8:F8)+Forecast!G22*(1+D$4)/($A6-D$4)*Valuation!F7+Valuation!G12-Valuation!G13)/Valuation!G15</f>
        <v>148.23088058724898</v>
      </c>
      <c r="E6" s="25">
        <f>(SUM(Valuation!B8:F8)+Forecast!G22*(1+E$4)/($A6-E$4)*Valuation!F7+Valuation!G12-Valuation!G13)/Valuation!G15</f>
        <v>158.41378509655894</v>
      </c>
      <c r="F6" s="25">
        <f>(SUM(Valuation!B8:F8)+Forecast!G22*(1+F$4)/($A6-F$4)*Valuation!F7+Valuation!G12-Valuation!G13)/Valuation!G15</f>
        <v>170.53629046478514</v>
      </c>
    </row>
    <row r="7" hidden="0" outlineLevel="0" collapsed="0">
      <c r="A7" s="26">
        <v>0.095</v>
      </c>
      <c r="B7" s="25">
        <f>(SUM(Valuation!B8:F8)+Forecast!G22*(1+B$4)/($A7-B$4)*Valuation!F7+Valuation!G12-Valuation!G13)/Valuation!G15</f>
        <v>123.24545648412519</v>
      </c>
      <c r="C7" s="25">
        <f>(SUM(Valuation!B8:F8)+Forecast!G22*(1+C$4)/($A7-C$4)*Valuation!F7+Valuation!G12-Valuation!G13)/Valuation!G15</f>
        <v>129.3866550010546</v>
      </c>
      <c r="D7" s="25">
        <f>(SUM(Valuation!B8:F8)+Forecast!G22*(1+D$4)/($A7-D$4)*Valuation!F7+Valuation!G12-Valuation!G13)/Valuation!G15</f>
        <v>136.40516759183106</v>
      </c>
      <c r="E7" s="25">
        <f>(SUM(Valuation!B8:F8)+Forecast!G22*(1+E$4)/($A7-E$4)*Valuation!F7+Valuation!G12-Valuation!G13)/Valuation!G15</f>
        <v>144.5034513504193</v>
      </c>
      <c r="F7" s="25">
        <f>(SUM(Valuation!B8:F8)+Forecast!G22*(1+F$4)/($A7-F$4)*Valuation!F7+Valuation!G12-Valuation!G13)/Valuation!G15</f>
        <v>153.95144906877223</v>
      </c>
    </row>
    <row r="8" hidden="0" outlineLevel="0" collapsed="0">
      <c r="A8" s="26">
        <v>0.1025</v>
      </c>
      <c r="B8" s="25">
        <f>(SUM(Valuation!B8:F8)+Forecast!G22*(1+B$4)/($A8-B$4)*Valuation!F7+Valuation!G12-Valuation!G13)/Valuation!G15</f>
        <v>115.92649386805864</v>
      </c>
      <c r="C8" s="25">
        <f>(SUM(Valuation!B8:F8)+Forecast!G22*(1+C$4)/($A8-C$4)*Valuation!F7+Valuation!G12-Valuation!G13)/Valuation!G15</f>
        <v>121.06582811883894</v>
      </c>
      <c r="D8" s="25">
        <f>(SUM(Valuation!B8:F8)+Forecast!G22*(1+D$4)/($A8-D$4)*Valuation!F7+Valuation!G12-Valuation!G13)/Valuation!G15</f>
        <v>126.86830227294568</v>
      </c>
      <c r="E8" s="25">
        <f>(SUM(Valuation!B8:F8)+Forecast!G22*(1+E$4)/($A8-E$4)*Valuation!F7+Valuation!G12-Valuation!G13)/Valuation!G15</f>
        <v>133.47111768968787</v>
      </c>
      <c r="F8" s="25">
        <f>(SUM(Valuation!B8:F8)+Forecast!G22*(1+F$4)/($A8-F$4)*Valuation!F7+Valuation!G12-Valuation!G13)/Valuation!G15</f>
        <v>141.05212798298447</v>
      </c>
    </row>
    <row r="9" hidden="0" outlineLevel="0" collapsed="0">
      <c r="A9" s="26">
        <v>0.11</v>
      </c>
      <c r="B9" s="25">
        <f>(SUM(Valuation!B8:F8)+Forecast!G22*(1+B$4)/($A9-B$4)*Valuation!F7+Valuation!G12-Valuation!G13)/Valuation!G15</f>
        <v>109.7631569282131</v>
      </c>
      <c r="C9" s="25">
        <f>(SUM(Valuation!B8:F8)+Forecast!G22*(1+C$4)/($A9-C$4)*Valuation!F7+Valuation!G12-Valuation!G13)/Valuation!G15</f>
        <v>114.13180571699252</v>
      </c>
      <c r="D9" s="25">
        <f>(SUM(Valuation!B8:F8)+Forecast!G22*(1+D$4)/($A9-D$4)*Valuation!F7+Valuation!G12-Valuation!G13)/Valuation!G15</f>
        <v>119.01441318680477</v>
      </c>
      <c r="E9" s="25">
        <f>(SUM(Valuation!B8:F8)+Forecast!G22*(1+E$4)/($A9-E$4)*Valuation!F7+Valuation!G12-Valuation!G13)/Valuation!G15</f>
        <v>124.50734659034357</v>
      </c>
      <c r="F9" s="25">
        <f>(SUM(Valuation!B8:F8)+Forecast!G22*(1+F$4)/($A9-F$4)*Valuation!F7+Valuation!G12-Valuation!G13)/Valuation!G15</f>
        <v>130.7326711143542</v>
      </c>
    </row>
    <row r="11" ht="23.85" hidden="0" outlineLevel="0" collapsed="0">
      <c r="B11" s="11" t="s">
        <v>352</v>
      </c>
      <c r="C11" s="11"/>
      <c r="D11" s="11"/>
      <c r="E11" s="11"/>
      <c r="F11" s="11"/>
      <c r="G11" s="11"/>
    </row>
    <row r="12" hidden="0" outlineLevel="0" collapsed="0">
      <c r="B12" s="0" t="s">
        <v>353</v>
      </c>
      <c r="C12" s="26">
        <f>Assumptions!F20</f>
        <v>0.095</v>
      </c>
    </row>
    <row r="13" hidden="0" outlineLevel="0" collapsed="0">
      <c r="B13" s="0" t="s">
        <v>354</v>
      </c>
      <c r="C13" s="26">
        <f>Assumptions!F21</f>
        <v>0.025</v>
      </c>
    </row>
    <row r="14" hidden="0" outlineLevel="0" collapsed="0">
      <c r="B14" s="0" t="s">
        <v>355</v>
      </c>
      <c r="C14" s="25">
        <f>Valuation!G18</f>
        <v>136.40516759183106</v>
      </c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customWidth="1"/>
    <col min="2" max="3" width="18" customWidth="1"/>
    <col min="4" max="4" width="16" customWidth="1"/>
    <col min="5" max="6" width="14" customWidth="1"/>
    <col min="7" max="7" width="58" customWidth="1"/>
    <col min="8" max="8" width="15" customWidth="1"/>
  </cols>
  <sheetData>
    <row r="1" ht="28" hidden="0" outlineLevel="0" collapsed="0">
      <c r="A1" s="1" t="s">
        <v>356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357</v>
      </c>
      <c r="B2" s="2"/>
      <c r="C2" s="2"/>
      <c r="D2" s="2"/>
      <c r="E2" s="2"/>
      <c r="F2" s="2"/>
      <c r="G2" s="2"/>
      <c r="H2" s="2"/>
    </row>
    <row r="3" hidden="0" outlineLevel="0" collapsed="0">
      <c r="A3" s="3"/>
      <c r="B3" s="3"/>
      <c r="C3" s="3"/>
      <c r="D3" s="3"/>
      <c r="E3" s="3"/>
      <c r="F3" s="3"/>
      <c r="G3" s="3"/>
    </row>
    <row r="4" hidden="0" outlineLevel="0" collapsed="0">
      <c r="A4" s="11" t="s">
        <v>358</v>
      </c>
      <c r="B4" s="11" t="s">
        <v>359</v>
      </c>
      <c r="C4" s="11" t="s">
        <v>360</v>
      </c>
      <c r="D4" s="11" t="s">
        <v>361</v>
      </c>
      <c r="E4" s="11" t="s">
        <v>362</v>
      </c>
      <c r="F4" s="11" t="s">
        <v>267</v>
      </c>
      <c r="G4" s="11" t="s">
        <v>363</v>
      </c>
    </row>
    <row r="5" hidden="0" outlineLevel="0" collapsed="0">
      <c r="A5" s="3" t="s">
        <v>364</v>
      </c>
      <c r="B5" s="12" t="str">
        <f>Sources!I98</f>
        <v>OK</v>
      </c>
      <c r="C5" s="12" t="s">
        <v>272</v>
      </c>
      <c r="D5" s="12"/>
      <c r="E5" s="12"/>
      <c r="F5" s="12" t="str">
        <f>IF(B5=C5,"OK","REVIEW")</f>
        <v>OK</v>
      </c>
      <c r="G5" s="3" t="s">
        <v>365</v>
      </c>
    </row>
    <row r="6" hidden="0" outlineLevel="0" collapsed="0">
      <c r="A6" s="3" t="s">
        <v>366</v>
      </c>
      <c r="B6" s="12">
        <f>Assumptions!B3</f>
        <v>1</v>
      </c>
      <c r="C6" s="12">
        <v>1</v>
      </c>
      <c r="D6" s="12">
        <f>IF(AND(B6&gt;=1,B6&lt;=3),0,1)</f>
        <v>0</v>
      </c>
      <c r="E6" s="12">
        <v>0</v>
      </c>
      <c r="F6" s="12" t="str">
        <f>IF(D6=E6,"OK","REVIEW")</f>
        <v>OK</v>
      </c>
      <c r="G6" s="3" t="s">
        <v>367</v>
      </c>
    </row>
    <row r="7" hidden="0" outlineLevel="0" collapsed="0">
      <c r="A7" s="3" t="s">
        <v>368</v>
      </c>
      <c r="B7" s="12">
        <f>Forecast!C10</f>
        <v>436721.60000000003</v>
      </c>
      <c r="C7" s="12">
        <v>0</v>
      </c>
      <c r="D7" s="12">
        <f>IF(B7&gt;0,0,1)</f>
        <v>0</v>
      </c>
      <c r="E7" s="12">
        <v>0</v>
      </c>
      <c r="F7" s="12" t="str">
        <f>IF(D7=E7,"OK","REVIEW")</f>
        <v>OK</v>
      </c>
      <c r="G7" s="3" t="s">
        <v>369</v>
      </c>
    </row>
    <row r="8" hidden="0" outlineLevel="0" collapsed="0">
      <c r="A8" s="3" t="s">
        <v>370</v>
      </c>
      <c r="B8" s="12">
        <f>COUNT(Forecast!C16:G16)</f>
        <v>5</v>
      </c>
      <c r="C8" s="12">
        <v>5</v>
      </c>
      <c r="D8" s="12">
        <f>ABS(B8-C8)</f>
        <v>0</v>
      </c>
      <c r="E8" s="12">
        <v>0</v>
      </c>
      <c r="F8" s="12" t="str">
        <f>IF(D8=E8,"OK","REVIEW")</f>
        <v>OK</v>
      </c>
      <c r="G8" s="3" t="s">
        <v>371</v>
      </c>
    </row>
    <row r="9" hidden="0" outlineLevel="0" collapsed="0">
      <c r="A9" s="3" t="s">
        <v>372</v>
      </c>
      <c r="B9" s="12">
        <f>COUNT(Forecast!C22:G22)</f>
        <v>5</v>
      </c>
      <c r="C9" s="12">
        <v>5</v>
      </c>
      <c r="D9" s="12">
        <f>ABS(B9-C9)</f>
        <v>0</v>
      </c>
      <c r="E9" s="12">
        <v>0</v>
      </c>
      <c r="F9" s="12" t="str">
        <f>IF(D9=E9,"OK","REVIEW")</f>
        <v>OK</v>
      </c>
      <c r="G9" s="3" t="s">
        <v>373</v>
      </c>
    </row>
    <row r="10" ht="23.85" hidden="0" outlineLevel="0" collapsed="0">
      <c r="A10" s="3" t="s">
        <v>374</v>
      </c>
      <c r="B10" s="12">
        <f>SUM(ABS(Forecast!B5-Sector_KPIs!D5),ABS(Forecast!B6-Sector_KPIs!D6),ABS(Forecast!B7-Sector_KPIs!D7),ABS(Forecast!B8-Sector_KPIs!D8),ABS(Forecast!B9-Sector_KPIs!D9),ABS(Forecast!B11-Sector_KPIs!D11),ABS(Forecast!B12-Sector_KPIs!D12),ABS(ABS(Forecast!B14)-Sector_KPIs!D15),ABS(ABS(Forecast!B15)-Sector_KPIs!D16),ABS(Forecast!B19-Sector_KPIs!D17),ABS(ABS(Forecast!B20)-Historical!F10))</f>
        <v>0</v>
      </c>
      <c r="C10" s="12">
        <v>0</v>
      </c>
      <c r="D10" s="12">
        <f>ABS(B10-C10)</f>
        <v>0</v>
      </c>
      <c r="E10" s="12">
        <v>0.1</v>
      </c>
      <c r="F10" s="12" t="str">
        <f>IF(D10&lt;=E10,"OK","REVIEW")</f>
        <v>OK</v>
      </c>
      <c r="G10" s="3" t="s">
        <v>375</v>
      </c>
    </row>
    <row r="11" hidden="0" outlineLevel="0" collapsed="0">
      <c r="A11" s="3" t="s">
        <v>376</v>
      </c>
      <c r="B11" s="12">
        <f>Valuation!G14</f>
        <v>2015570.9073610557</v>
      </c>
      <c r="C11" s="12">
        <f>Valuation!G11+Valuation!G12-Valuation!G13</f>
        <v>2015570.9073610557</v>
      </c>
      <c r="D11" s="12">
        <f>ABS(B11-C11)</f>
        <v>0</v>
      </c>
      <c r="E11" s="12">
        <v>0.1</v>
      </c>
      <c r="F11" s="12" t="str">
        <f>IF(D11&lt;=E11,"OK","REVIEW")</f>
        <v>OK</v>
      </c>
      <c r="G11" s="3" t="s">
        <v>377</v>
      </c>
    </row>
    <row r="12" hidden="0" outlineLevel="0" collapsed="0">
      <c r="A12" s="3" t="s">
        <v>378</v>
      </c>
      <c r="B12" s="12">
        <f>Valuation!G18</f>
        <v>136.40516759183106</v>
      </c>
      <c r="C12" s="12">
        <f>Valuation!G14/Valuation!G15</f>
        <v>136.40516759183106</v>
      </c>
      <c r="D12" s="12">
        <f>ABS(B12-C12)</f>
        <v>0</v>
      </c>
      <c r="E12" s="12">
        <v>0.001</v>
      </c>
      <c r="F12" s="12" t="str">
        <f>IF(D12&lt;=E12,"OK","REVIEW")</f>
        <v>OK</v>
      </c>
      <c r="G12" s="3" t="s">
        <v>379</v>
      </c>
    </row>
    <row r="13" hidden="0" outlineLevel="0" collapsed="0">
      <c r="A13" s="3" t="s">
        <v>380</v>
      </c>
      <c r="B13" s="12">
        <f>Valuation!G19</f>
        <v>327.5</v>
      </c>
      <c r="C13" s="12">
        <v>0</v>
      </c>
      <c r="D13" s="12">
        <f>IF(B13&gt;0,0,1)</f>
        <v>0</v>
      </c>
      <c r="E13" s="12">
        <v>0</v>
      </c>
      <c r="F13" s="12" t="str">
        <f>IF(D13=E13,"OK","REVIEW")</f>
        <v>OK</v>
      </c>
      <c r="G13" s="3" t="s">
        <v>381</v>
      </c>
    </row>
    <row r="14" hidden="0" outlineLevel="0" collapsed="0">
      <c r="A14" s="3" t="s">
        <v>382</v>
      </c>
      <c r="B14" s="12">
        <f>COUNTIF(Checks_TieOut!H5:H61,"FAIL")</f>
        <v>1</v>
      </c>
      <c r="C14" s="12">
        <v>0</v>
      </c>
      <c r="D14" s="12">
        <f>ABS(B14-C14)</f>
        <v>1</v>
      </c>
      <c r="E14" s="12">
        <v>0</v>
      </c>
      <c r="F14" s="12" t="str">
        <f>IF(D14=E14,"OK","REVIEW")</f>
        <v>REVIEW</v>
      </c>
      <c r="G14" s="3" t="s">
        <v>383</v>
      </c>
    </row>
    <row r="15" hidden="0" outlineLevel="0" collapsed="0">
      <c r="A15" s="13" t="s">
        <v>384</v>
      </c>
      <c r="B15" s="28"/>
      <c r="C15" s="28"/>
      <c r="D15" s="28"/>
      <c r="E15" s="28"/>
      <c r="F15" s="28" t="str">
        <f>IF(COUNTIF(F5:F14,"OK")=10,"OK","REVIEW")</f>
        <v>REVIEW</v>
      </c>
      <c r="G15" s="13"/>
    </row>
    <row r="16" hidden="0" outlineLevel="0" collapsed="0">
      <c r="A16" s="3"/>
      <c r="B16" s="3"/>
      <c r="C16" s="3"/>
      <c r="D16" s="3"/>
      <c r="E16" s="3"/>
      <c r="F16" s="3"/>
      <c r="G16" s="3"/>
    </row>
    <row r="17" hidden="0" outlineLevel="0" collapsed="0">
      <c r="A17" s="3"/>
      <c r="B17" s="3"/>
      <c r="C17" s="3"/>
      <c r="D17" s="3"/>
      <c r="E17" s="3"/>
      <c r="F17" s="3"/>
      <c r="G17" s="3"/>
    </row>
    <row r="18" hidden="0" outlineLevel="0" collapsed="0">
      <c r="A18" s="3"/>
      <c r="B18" s="3"/>
      <c r="C18" s="3"/>
      <c r="D18" s="3"/>
      <c r="E18" s="3"/>
      <c r="F18" s="3"/>
      <c r="G18" s="3"/>
    </row>
    <row r="19" hidden="0" outlineLevel="0" collapsed="0">
      <c r="A19" s="3"/>
      <c r="B19" s="3"/>
      <c r="C19" s="3"/>
      <c r="D19" s="3"/>
      <c r="E19" s="3"/>
      <c r="F19" s="3"/>
      <c r="G19" s="3"/>
    </row>
    <row r="20" hidden="0" outlineLevel="0" collapsed="0">
      <c r="A20" s="3"/>
      <c r="B20" s="3"/>
      <c r="C20" s="3"/>
      <c r="D20" s="3"/>
      <c r="E20" s="3"/>
      <c r="F20" s="3"/>
      <c r="G20" s="3"/>
    </row>
  </sheetData>
  <mergeCells count="2">
    <mergeCell ref="A1:H1"/>
    <mergeCell ref="A2:H2"/>
  </mergeCells>
  <conditionalFormatting sqref="F5:F15">
    <cfRule type="containsText" priority="2" operator="containsText" text="OK" dxfId="4">
      <formula>NOT(ISERROR(SEARCH("OK",F5)))</formula>
    </cfRule>
    <cfRule type="containsText" priority="3" operator="containsText" text="REVIEW" dxfId="5">
      <formula>NOT(ISERROR(SEARCH("REVIEW",F5)))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4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customWidth="1"/>
    <col min="2" max="4" width="14" customWidth="1"/>
    <col min="5" max="5" width="16" customWidth="1"/>
    <col min="6" max="6" width="49" customWidth="1"/>
    <col min="7" max="7" width="17" customWidth="1"/>
    <col min="8" max="8" width="15" customWidth="1"/>
  </cols>
  <sheetData>
    <row r="1" ht="28" hidden="0" outlineLevel="0" collapsed="0">
      <c r="A1" s="1" t="s">
        <v>385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386</v>
      </c>
      <c r="B2" s="2"/>
      <c r="C2" s="2"/>
      <c r="D2" s="2"/>
      <c r="E2" s="2"/>
      <c r="F2" s="2"/>
      <c r="G2" s="2"/>
      <c r="H2" s="2"/>
    </row>
    <row r="3" hidden="0" outlineLevel="0" collapsed="0">
      <c r="A3" s="3"/>
      <c r="B3" s="3"/>
      <c r="C3" s="3"/>
      <c r="D3" s="3"/>
      <c r="E3" s="3"/>
      <c r="F3" s="3"/>
      <c r="G3" s="3"/>
    </row>
    <row r="4" hidden="0" outlineLevel="0" collapsed="0">
      <c r="A4" s="11" t="s">
        <v>36</v>
      </c>
      <c r="B4" s="11" t="s">
        <v>82</v>
      </c>
      <c r="C4" s="11" t="s">
        <v>89</v>
      </c>
      <c r="D4" s="11" t="s">
        <v>93</v>
      </c>
      <c r="E4" s="11" t="s">
        <v>39</v>
      </c>
      <c r="F4" s="11" t="s">
        <v>387</v>
      </c>
      <c r="G4" s="11" t="s">
        <v>267</v>
      </c>
    </row>
    <row r="5" ht="23.85" hidden="0" outlineLevel="0" collapsed="0">
      <c r="A5" s="3" t="s">
        <v>190</v>
      </c>
      <c r="B5" s="29">
        <v>200583</v>
      </c>
      <c r="C5" s="29">
        <v>201183</v>
      </c>
      <c r="D5" s="29">
        <v>209586</v>
      </c>
      <c r="E5" s="3" t="s">
        <v>265</v>
      </c>
      <c r="F5" s="3" t="s">
        <v>388</v>
      </c>
      <c r="G5" s="3" t="s">
        <v>389</v>
      </c>
    </row>
    <row r="6" hidden="0" outlineLevel="0" collapsed="0">
      <c r="A6" s="3" t="s">
        <v>198</v>
      </c>
      <c r="B6" s="29">
        <v>29357</v>
      </c>
      <c r="C6" s="29">
        <v>29984</v>
      </c>
      <c r="D6" s="29">
        <v>33708</v>
      </c>
      <c r="E6" s="3" t="s">
        <v>265</v>
      </c>
      <c r="F6" s="3" t="s">
        <v>390</v>
      </c>
      <c r="G6" s="3" t="s">
        <v>389</v>
      </c>
    </row>
    <row r="7" hidden="0" outlineLevel="0" collapsed="0">
      <c r="A7" s="3" t="s">
        <v>203</v>
      </c>
      <c r="B7" s="29">
        <v>28300</v>
      </c>
      <c r="C7" s="29">
        <v>26694</v>
      </c>
      <c r="D7" s="29">
        <v>28023</v>
      </c>
      <c r="E7" s="3" t="s">
        <v>265</v>
      </c>
      <c r="F7" s="3" t="s">
        <v>390</v>
      </c>
      <c r="G7" s="3" t="s">
        <v>389</v>
      </c>
    </row>
    <row r="8" hidden="0" outlineLevel="0" collapsed="0">
      <c r="A8" s="3" t="s">
        <v>207</v>
      </c>
      <c r="B8" s="29">
        <v>39845</v>
      </c>
      <c r="C8" s="29">
        <v>37005</v>
      </c>
      <c r="D8" s="29">
        <v>35686</v>
      </c>
      <c r="E8" s="3" t="s">
        <v>265</v>
      </c>
      <c r="F8" s="3" t="s">
        <v>390</v>
      </c>
      <c r="G8" s="3" t="s">
        <v>389</v>
      </c>
    </row>
    <row r="9" hidden="0" outlineLevel="0" collapsed="0">
      <c r="A9" s="3" t="s">
        <v>211</v>
      </c>
      <c r="B9" s="29">
        <v>85200</v>
      </c>
      <c r="C9" s="29">
        <v>96169</v>
      </c>
      <c r="D9" s="29">
        <v>109158</v>
      </c>
      <c r="E9" s="3" t="s">
        <v>265</v>
      </c>
      <c r="F9" s="3" t="s">
        <v>391</v>
      </c>
      <c r="G9" s="3" t="s">
        <v>389</v>
      </c>
    </row>
    <row r="10" hidden="0" outlineLevel="0" collapsed="0">
      <c r="A10" s="3" t="s">
        <v>392</v>
      </c>
      <c r="B10" s="29">
        <f>SUM(B5:B9)</f>
        <v>383285</v>
      </c>
      <c r="C10" s="29">
        <f>SUM(C5:C9)</f>
        <v>391035</v>
      </c>
      <c r="D10" s="29">
        <f>SUM(D5:D9)</f>
        <v>416161</v>
      </c>
      <c r="E10" s="3" t="s">
        <v>265</v>
      </c>
      <c r="F10" s="3" t="s">
        <v>393</v>
      </c>
      <c r="G10" s="3" t="s">
        <v>278</v>
      </c>
    </row>
    <row r="11" hidden="0" outlineLevel="0" collapsed="0">
      <c r="A11" s="3" t="s">
        <v>216</v>
      </c>
      <c r="B11" s="29">
        <v>108803</v>
      </c>
      <c r="C11" s="29">
        <v>109633</v>
      </c>
      <c r="D11" s="29">
        <v>112887</v>
      </c>
      <c r="E11" s="3" t="s">
        <v>265</v>
      </c>
      <c r="F11" s="3" t="s">
        <v>394</v>
      </c>
      <c r="G11" s="3" t="s">
        <v>389</v>
      </c>
    </row>
    <row r="12" hidden="0" outlineLevel="0" collapsed="0">
      <c r="A12" s="3" t="s">
        <v>221</v>
      </c>
      <c r="B12" s="29">
        <v>60345</v>
      </c>
      <c r="C12" s="29">
        <v>71050</v>
      </c>
      <c r="D12" s="29">
        <v>82314</v>
      </c>
      <c r="E12" s="3" t="s">
        <v>265</v>
      </c>
      <c r="F12" s="3" t="s">
        <v>394</v>
      </c>
      <c r="G12" s="3" t="s">
        <v>389</v>
      </c>
    </row>
    <row r="13" hidden="0" outlineLevel="0" collapsed="0">
      <c r="A13" s="3" t="s">
        <v>225</v>
      </c>
      <c r="B13" s="30">
        <v>0.365</v>
      </c>
      <c r="C13" s="30">
        <v>0.372</v>
      </c>
      <c r="D13" s="30">
        <v>0.368</v>
      </c>
      <c r="E13" s="3" t="s">
        <v>286</v>
      </c>
      <c r="F13" s="3" t="s">
        <v>394</v>
      </c>
      <c r="G13" s="3" t="s">
        <v>389</v>
      </c>
    </row>
    <row r="14" hidden="0" outlineLevel="0" collapsed="0">
      <c r="A14" s="3" t="s">
        <v>230</v>
      </c>
      <c r="B14" s="30">
        <v>0.708</v>
      </c>
      <c r="C14" s="30">
        <v>0.739</v>
      </c>
      <c r="D14" s="30">
        <v>0.754</v>
      </c>
      <c r="E14" s="3" t="s">
        <v>286</v>
      </c>
      <c r="F14" s="3" t="s">
        <v>394</v>
      </c>
      <c r="G14" s="3" t="s">
        <v>389</v>
      </c>
    </row>
    <row r="15" hidden="0" outlineLevel="0" collapsed="0">
      <c r="A15" s="3" t="s">
        <v>234</v>
      </c>
      <c r="B15" s="29">
        <v>29915</v>
      </c>
      <c r="C15" s="29">
        <v>31370</v>
      </c>
      <c r="D15" s="29">
        <v>34550</v>
      </c>
      <c r="E15" s="3" t="s">
        <v>265</v>
      </c>
      <c r="F15" s="3" t="s">
        <v>395</v>
      </c>
      <c r="G15" s="3" t="s">
        <v>389</v>
      </c>
    </row>
    <row r="16" hidden="0" outlineLevel="0" collapsed="0">
      <c r="A16" s="3" t="s">
        <v>239</v>
      </c>
      <c r="B16" s="29">
        <v>24932</v>
      </c>
      <c r="C16" s="29">
        <v>26097</v>
      </c>
      <c r="D16" s="29">
        <v>27601</v>
      </c>
      <c r="E16" s="3" t="s">
        <v>265</v>
      </c>
      <c r="F16" s="3" t="s">
        <v>395</v>
      </c>
      <c r="G16" s="3" t="s">
        <v>389</v>
      </c>
    </row>
    <row r="17" hidden="0" outlineLevel="0" collapsed="0">
      <c r="A17" s="3" t="s">
        <v>243</v>
      </c>
      <c r="B17" s="29"/>
      <c r="C17" s="29"/>
      <c r="D17" s="29">
        <v>11698</v>
      </c>
      <c r="E17" s="3" t="s">
        <v>265</v>
      </c>
      <c r="F17" s="3" t="s">
        <v>396</v>
      </c>
      <c r="G17" s="3" t="s">
        <v>389</v>
      </c>
    </row>
    <row r="18" hidden="0" outlineLevel="0" collapsed="0">
      <c r="A18" s="3"/>
      <c r="B18" s="3"/>
      <c r="C18" s="3"/>
      <c r="D18" s="3"/>
      <c r="E18" s="3"/>
      <c r="F18" s="3"/>
      <c r="G18" s="3"/>
    </row>
    <row r="19" hidden="0" outlineLevel="0" collapsed="0">
      <c r="A19" s="3"/>
      <c r="B19" s="3"/>
      <c r="C19" s="3"/>
      <c r="D19" s="3"/>
      <c r="E19" s="3"/>
      <c r="F19" s="3"/>
      <c r="G19" s="3"/>
    </row>
    <row r="20" hidden="0" outlineLevel="0" collapsed="0">
      <c r="A20" s="3"/>
      <c r="B20" s="3"/>
      <c r="C20" s="3"/>
      <c r="D20" s="3"/>
      <c r="E20" s="3"/>
      <c r="F20" s="3"/>
      <c r="G20" s="3"/>
    </row>
    <row r="21" hidden="0" outlineLevel="0" collapsed="0">
      <c r="A21" s="3"/>
      <c r="B21" s="3"/>
      <c r="C21" s="3"/>
      <c r="D21" s="3"/>
      <c r="E21" s="3"/>
      <c r="F21" s="3"/>
      <c r="G21" s="3"/>
    </row>
    <row r="22" hidden="0" outlineLevel="0" collapsed="0">
      <c r="A22" s="3"/>
      <c r="B22" s="3"/>
      <c r="C22" s="3"/>
      <c r="D22" s="3"/>
      <c r="E22" s="3"/>
      <c r="F22" s="3"/>
      <c r="G22" s="3"/>
    </row>
    <row r="23" hidden="0" outlineLevel="0" collapsed="0">
      <c r="A23" s="3"/>
      <c r="B23" s="3"/>
      <c r="C23" s="3"/>
      <c r="D23" s="3"/>
      <c r="E23" s="3"/>
      <c r="F23" s="3"/>
      <c r="G23" s="3"/>
    </row>
    <row r="24" hidden="0" outlineLevel="0" collapsed="0">
      <c r="A24" s="3"/>
      <c r="B24" s="3"/>
      <c r="C24" s="3"/>
      <c r="D24" s="3"/>
      <c r="E24" s="3"/>
      <c r="F24" s="3"/>
      <c r="G24" s="3"/>
    </row>
    <row r="25" hidden="0" outlineLevel="0" collapsed="0">
      <c r="A25" s="3"/>
      <c r="B25" s="3"/>
      <c r="C25" s="3"/>
      <c r="D25" s="3"/>
      <c r="E25" s="3"/>
      <c r="F25" s="3"/>
      <c r="G25" s="3"/>
    </row>
    <row r="26" hidden="0" outlineLevel="0" collapsed="0">
      <c r="A26" s="3"/>
      <c r="B26" s="3"/>
      <c r="C26" s="3"/>
      <c r="D26" s="3"/>
      <c r="E26" s="3"/>
      <c r="F26" s="3"/>
      <c r="G26" s="3"/>
    </row>
    <row r="27" hidden="0" outlineLevel="0" collapsed="0">
      <c r="A27" s="3"/>
      <c r="B27" s="3"/>
      <c r="C27" s="3"/>
      <c r="D27" s="3"/>
      <c r="E27" s="3"/>
      <c r="F27" s="3"/>
      <c r="G27" s="3"/>
    </row>
    <row r="28" hidden="0" outlineLevel="0" collapsed="0">
      <c r="A28" s="3"/>
      <c r="B28" s="3"/>
      <c r="C28" s="3"/>
      <c r="D28" s="3"/>
      <c r="E28" s="3"/>
      <c r="F28" s="3"/>
      <c r="G28" s="3"/>
    </row>
    <row r="29" hidden="0" outlineLevel="0" collapsed="0">
      <c r="A29" s="3"/>
      <c r="B29" s="3"/>
      <c r="C29" s="3"/>
      <c r="D29" s="3"/>
      <c r="E29" s="3"/>
      <c r="F29" s="3"/>
      <c r="G29" s="3"/>
    </row>
    <row r="30" hidden="0" outlineLevel="0" collapsed="0">
      <c r="A30" s="3"/>
      <c r="B30" s="3"/>
      <c r="C30" s="3"/>
      <c r="D30" s="3"/>
      <c r="E30" s="3"/>
      <c r="F30" s="3"/>
      <c r="G30" s="3"/>
    </row>
    <row r="31" hidden="0" outlineLevel="0" collapsed="0">
      <c r="A31" s="3"/>
      <c r="B31" s="3"/>
      <c r="C31" s="3"/>
      <c r="D31" s="3"/>
      <c r="E31" s="3"/>
      <c r="F31" s="3"/>
      <c r="G31" s="3"/>
    </row>
    <row r="32" hidden="0" outlineLevel="0" collapsed="0">
      <c r="A32" s="3"/>
      <c r="B32" s="3"/>
      <c r="C32" s="3"/>
      <c r="D32" s="3"/>
      <c r="E32" s="3"/>
      <c r="F32" s="3"/>
      <c r="G32" s="3"/>
    </row>
    <row r="33" hidden="0" outlineLevel="0" collapsed="0">
      <c r="A33" s="3"/>
      <c r="B33" s="3"/>
      <c r="C33" s="3"/>
      <c r="D33" s="3"/>
      <c r="E33" s="3"/>
      <c r="F33" s="3"/>
      <c r="G33" s="3"/>
    </row>
    <row r="34" hidden="0" outlineLevel="0" collapsed="0">
      <c r="A34" s="3"/>
      <c r="B34" s="3"/>
      <c r="C34" s="3"/>
      <c r="D34" s="3"/>
      <c r="E34" s="3"/>
      <c r="F34" s="3"/>
      <c r="G34" s="3"/>
    </row>
    <row r="35" hidden="0" outlineLevel="0" collapsed="0">
      <c r="A35" s="3"/>
      <c r="B35" s="3"/>
      <c r="C35" s="3"/>
      <c r="D35" s="3"/>
      <c r="E35" s="3"/>
      <c r="F35" s="3"/>
      <c r="G35" s="3"/>
    </row>
    <row r="36" hidden="0" outlineLevel="0" collapsed="0">
      <c r="A36" s="3"/>
      <c r="B36" s="3"/>
      <c r="C36" s="3"/>
      <c r="D36" s="3"/>
      <c r="E36" s="3"/>
      <c r="F36" s="3"/>
      <c r="G36" s="3"/>
    </row>
    <row r="37" hidden="0" outlineLevel="0" collapsed="0">
      <c r="A37" s="3"/>
      <c r="B37" s="3"/>
      <c r="C37" s="3"/>
      <c r="D37" s="3"/>
      <c r="E37" s="3"/>
      <c r="F37" s="3"/>
      <c r="G37" s="3"/>
    </row>
    <row r="38" hidden="0" outlineLevel="0" collapsed="0">
      <c r="A38" s="3"/>
      <c r="B38" s="3"/>
      <c r="C38" s="3"/>
      <c r="D38" s="3"/>
      <c r="E38" s="3"/>
      <c r="F38" s="3"/>
      <c r="G38" s="3"/>
    </row>
    <row r="39" hidden="0" outlineLevel="0" collapsed="0">
      <c r="A39" s="3"/>
      <c r="B39" s="3"/>
      <c r="C39" s="3"/>
      <c r="D39" s="3"/>
      <c r="E39" s="3"/>
      <c r="F39" s="3"/>
      <c r="G39" s="3"/>
    </row>
    <row r="40" hidden="0" outlineLevel="0" collapsed="0">
      <c r="A40" s="3"/>
      <c r="B40" s="3"/>
      <c r="C40" s="3"/>
      <c r="D40" s="3"/>
      <c r="E40" s="3"/>
      <c r="F40" s="3"/>
      <c r="G40" s="3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17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customWidth="1"/>
    <col min="2" max="2" width="20" customWidth="1"/>
    <col min="3" max="3" width="46" customWidth="1"/>
    <col min="4" max="4" width="39" customWidth="1"/>
    <col min="5" max="5" width="66" customWidth="1"/>
    <col min="6" max="6" width="16" customWidth="1"/>
    <col min="7" max="7" width="28" customWidth="1"/>
    <col min="8" max="8" width="15" customWidth="1"/>
  </cols>
  <sheetData>
    <row r="1" ht="28" hidden="0" outlineLevel="0" collapsed="0">
      <c r="A1" s="1" t="s">
        <v>397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398</v>
      </c>
      <c r="B2" s="2"/>
      <c r="C2" s="2"/>
      <c r="D2" s="2"/>
      <c r="E2" s="2"/>
      <c r="F2" s="2"/>
      <c r="G2" s="2"/>
      <c r="H2" s="2"/>
    </row>
    <row r="3" hidden="0" outlineLevel="0" collapsed="0">
      <c r="A3" s="3"/>
      <c r="B3" s="3"/>
      <c r="C3" s="3"/>
      <c r="D3" s="3"/>
      <c r="E3" s="3"/>
      <c r="F3" s="3"/>
      <c r="G3" s="3"/>
    </row>
    <row r="4" hidden="0" outlineLevel="0" collapsed="0">
      <c r="A4" s="11" t="s">
        <v>399</v>
      </c>
      <c r="B4" s="11" t="s">
        <v>400</v>
      </c>
      <c r="C4" s="11" t="s">
        <v>401</v>
      </c>
      <c r="D4" s="11" t="s">
        <v>402</v>
      </c>
      <c r="E4" s="11" t="s">
        <v>403</v>
      </c>
      <c r="F4" s="11" t="s">
        <v>404</v>
      </c>
      <c r="G4" s="11" t="s">
        <v>405</v>
      </c>
    </row>
    <row r="5" hidden="0" outlineLevel="0" collapsed="0">
      <c r="A5" s="3" t="s">
        <v>406</v>
      </c>
      <c r="B5" s="3" t="s">
        <v>407</v>
      </c>
      <c r="C5" s="3" t="s">
        <v>408</v>
      </c>
      <c r="D5" s="3" t="s">
        <v>409</v>
      </c>
      <c r="E5" s="3" t="s">
        <v>410</v>
      </c>
      <c r="F5" s="3" t="s">
        <v>411</v>
      </c>
      <c r="G5" s="3" t="s">
        <v>412</v>
      </c>
    </row>
    <row r="6" hidden="0" outlineLevel="0" collapsed="0">
      <c r="A6" s="3" t="s">
        <v>406</v>
      </c>
      <c r="B6" s="3" t="s">
        <v>413</v>
      </c>
      <c r="C6" s="3" t="s">
        <v>414</v>
      </c>
      <c r="D6" s="3" t="s">
        <v>415</v>
      </c>
      <c r="E6" s="3" t="s">
        <v>410</v>
      </c>
      <c r="F6" s="3" t="s">
        <v>411</v>
      </c>
      <c r="G6" s="3" t="s">
        <v>412</v>
      </c>
    </row>
    <row r="7" hidden="0" outlineLevel="0" collapsed="0">
      <c r="A7" s="3" t="s">
        <v>406</v>
      </c>
      <c r="B7" s="3" t="s">
        <v>416</v>
      </c>
      <c r="C7" s="3" t="s">
        <v>417</v>
      </c>
      <c r="D7" s="3" t="s">
        <v>418</v>
      </c>
      <c r="E7" s="3" t="s">
        <v>410</v>
      </c>
      <c r="F7" s="3" t="s">
        <v>411</v>
      </c>
      <c r="G7" s="3" t="s">
        <v>412</v>
      </c>
    </row>
    <row r="8" hidden="0" outlineLevel="0" collapsed="0">
      <c r="A8" s="3" t="s">
        <v>406</v>
      </c>
      <c r="B8" s="3" t="s">
        <v>419</v>
      </c>
      <c r="C8" s="3" t="s">
        <v>420</v>
      </c>
      <c r="D8" s="3" t="s">
        <v>421</v>
      </c>
      <c r="E8" s="3" t="s">
        <v>410</v>
      </c>
      <c r="F8" s="3" t="s">
        <v>411</v>
      </c>
      <c r="G8" s="3" t="s">
        <v>422</v>
      </c>
    </row>
    <row r="9" hidden="0" outlineLevel="0" collapsed="0">
      <c r="A9" s="3">
        <v>46224</v>
      </c>
      <c r="B9" s="3" t="s">
        <v>423</v>
      </c>
      <c r="C9" s="3" t="s">
        <v>424</v>
      </c>
      <c r="E9" s="3"/>
      <c r="F9" s="3"/>
      <c r="G9" s="3"/>
    </row>
    <row r="10" hidden="0" outlineLevel="0" collapsed="0">
      <c r="A10" s="3" t="s">
        <v>425</v>
      </c>
      <c r="B10" s="3" t="s">
        <v>425</v>
      </c>
      <c r="C10" s="3" t="s">
        <v>425</v>
      </c>
      <c r="D10" s="3"/>
      <c r="E10" s="3"/>
      <c r="F10" s="3"/>
      <c r="G10" s="3"/>
    </row>
    <row r="11">
      <c r="A11" t="s">
        <v>425</v>
      </c>
      <c r="B11" t="s">
        <v>425</v>
      </c>
      <c r="C11" t="s">
        <v>425</v>
      </c>
    </row>
    <row r="12">
      <c r="A12" t="s">
        <v>425</v>
      </c>
      <c r="B12" t="s">
        <v>425</v>
      </c>
      <c r="C12" t="s">
        <v>425</v>
      </c>
    </row>
    <row r="13">
      <c r="A13">
        <v>46224</v>
      </c>
      <c r="B13" t="s">
        <v>426</v>
      </c>
      <c r="C13" t="s">
        <v>424</v>
      </c>
    </row>
    <row r="14">
      <c r="A14">
        <v>46248</v>
      </c>
      <c r="B14" t="s">
        <v>427</v>
      </c>
      <c r="C14" t="s">
        <v>428</v>
      </c>
    </row>
    <row r="15">
      <c r="A15">
        <v>46248</v>
      </c>
      <c r="B15" t="s">
        <v>429</v>
      </c>
      <c r="C15" t="s">
        <v>430</v>
      </c>
      <c r="D15" t="s">
        <v>431</v>
      </c>
      <c r="E15" t="s">
        <v>432</v>
      </c>
      <c r="F15" t="s">
        <v>433</v>
      </c>
      <c r="G15" t="s">
        <v>434</v>
      </c>
    </row>
    <row r="16">
      <c r="A16">
        <v>46248</v>
      </c>
      <c r="B16" t="s">
        <v>435</v>
      </c>
      <c r="C16" t="s">
        <v>436</v>
      </c>
      <c r="D16" t="s">
        <v>437</v>
      </c>
      <c r="F16" t="s">
        <v>438</v>
      </c>
      <c r="G16" t="s">
        <v>439</v>
      </c>
    </row>
    <row r="17">
      <c r="A17">
        <v>46248</v>
      </c>
      <c r="B17" t="s">
        <v>440</v>
      </c>
      <c r="C17" t="s">
        <v>441</v>
      </c>
      <c r="D17" t="s">
        <v>442</v>
      </c>
      <c r="E17" t="s">
        <v>443</v>
      </c>
      <c r="F17" t="s">
        <v>438</v>
      </c>
      <c r="G17" t="s">
        <v>444</v>
      </c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30"/>
  <sheetViews>
    <sheetView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8" customWidth="1"/>
    <col min="2" max="2" width="13" customWidth="1"/>
    <col min="3" max="3" width="16" customWidth="1"/>
    <col min="4" max="4" width="22" customWidth="1"/>
    <col min="5" max="5" width="38" customWidth="1"/>
    <col min="6" max="6" width="44" customWidth="1"/>
    <col min="7" max="7" width="43" customWidth="1"/>
    <col min="8" max="8" width="45" customWidth="1"/>
  </cols>
  <sheetData>
    <row r="1" ht="28" hidden="0" outlineLevel="0" collapsed="0">
      <c r="A1" s="1" t="s">
        <v>445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446</v>
      </c>
      <c r="B2" s="2"/>
      <c r="C2" s="2"/>
      <c r="D2" s="2"/>
      <c r="E2" s="2"/>
      <c r="F2" s="2"/>
      <c r="G2" s="2"/>
      <c r="H2" s="2"/>
    </row>
    <row r="3" hidden="0" outlineLevel="0" collapsed="0">
      <c r="A3" s="3"/>
      <c r="B3" s="3"/>
      <c r="C3" s="3"/>
      <c r="D3" s="3"/>
      <c r="E3" s="3"/>
      <c r="F3" s="3"/>
      <c r="G3" s="3"/>
      <c r="H3" s="3"/>
    </row>
    <row r="4" hidden="0" outlineLevel="0" collapsed="0">
      <c r="A4" s="11" t="s">
        <v>447</v>
      </c>
      <c r="B4" s="11" t="s">
        <v>448</v>
      </c>
      <c r="C4" s="11" t="s">
        <v>449</v>
      </c>
      <c r="D4" s="11" t="s">
        <v>450</v>
      </c>
      <c r="E4" s="11" t="s">
        <v>451</v>
      </c>
      <c r="F4" s="11" t="s">
        <v>452</v>
      </c>
      <c r="G4" s="11" t="s">
        <v>453</v>
      </c>
      <c r="H4" s="11" t="s">
        <v>454</v>
      </c>
    </row>
    <row r="5" ht="23.85" hidden="0" outlineLevel="0" collapsed="0">
      <c r="A5" s="3" t="s">
        <v>455</v>
      </c>
      <c r="B5" s="31">
        <v>5</v>
      </c>
      <c r="C5" s="3" t="s">
        <v>456</v>
      </c>
      <c r="D5" s="3" t="s">
        <v>72</v>
      </c>
      <c r="E5" s="3" t="s">
        <v>457</v>
      </c>
      <c r="F5" s="3" t="s">
        <v>458</v>
      </c>
      <c r="G5" s="3" t="s">
        <v>459</v>
      </c>
      <c r="H5" s="3" t="s">
        <v>460</v>
      </c>
    </row>
    <row r="6" ht="23.85" hidden="0" outlineLevel="0" collapsed="0">
      <c r="A6" s="3" t="s">
        <v>461</v>
      </c>
      <c r="B6" s="31">
        <v>20</v>
      </c>
      <c r="C6" s="3" t="s">
        <v>456</v>
      </c>
      <c r="D6" s="3" t="s">
        <v>72</v>
      </c>
      <c r="E6" s="3" t="s">
        <v>462</v>
      </c>
      <c r="F6" s="3" t="s">
        <v>463</v>
      </c>
      <c r="G6" s="3" t="s">
        <v>464</v>
      </c>
      <c r="H6" s="3" t="s">
        <v>465</v>
      </c>
    </row>
    <row r="7" ht="23.85" hidden="0" outlineLevel="0" collapsed="0">
      <c r="A7" s="3" t="s">
        <v>466</v>
      </c>
      <c r="B7" s="31">
        <v>15</v>
      </c>
      <c r="C7" s="3" t="s">
        <v>456</v>
      </c>
      <c r="D7" s="3" t="s">
        <v>72</v>
      </c>
      <c r="E7" s="3" t="s">
        <v>467</v>
      </c>
      <c r="F7" s="3" t="s">
        <v>468</v>
      </c>
      <c r="G7" s="3" t="s">
        <v>469</v>
      </c>
      <c r="H7" s="3" t="s">
        <v>470</v>
      </c>
    </row>
    <row r="8" hidden="0" outlineLevel="0" collapsed="0">
      <c r="A8" s="3" t="s">
        <v>471</v>
      </c>
      <c r="B8" s="31">
        <v>10</v>
      </c>
      <c r="C8" s="3" t="s">
        <v>456</v>
      </c>
      <c r="D8" s="3" t="s">
        <v>72</v>
      </c>
      <c r="E8" s="3" t="s">
        <v>472</v>
      </c>
      <c r="F8" s="3" t="s">
        <v>473</v>
      </c>
      <c r="G8" s="3" t="s">
        <v>474</v>
      </c>
      <c r="H8" s="3" t="s">
        <v>475</v>
      </c>
    </row>
    <row r="9" hidden="0" outlineLevel="0" collapsed="0">
      <c r="A9" s="3" t="s">
        <v>476</v>
      </c>
      <c r="B9" s="31">
        <v>15</v>
      </c>
      <c r="C9" s="3" t="s">
        <v>456</v>
      </c>
      <c r="D9" s="3" t="s">
        <v>72</v>
      </c>
      <c r="E9" s="3" t="s">
        <v>477</v>
      </c>
      <c r="F9" s="3" t="s">
        <v>478</v>
      </c>
      <c r="G9" s="3" t="s">
        <v>479</v>
      </c>
      <c r="H9" s="3" t="s">
        <v>480</v>
      </c>
    </row>
    <row r="10" ht="23.85" hidden="0" outlineLevel="0" collapsed="0">
      <c r="A10" s="3" t="s">
        <v>481</v>
      </c>
      <c r="B10" s="31">
        <v>8</v>
      </c>
      <c r="C10" s="3" t="s">
        <v>456</v>
      </c>
      <c r="D10" s="3" t="s">
        <v>72</v>
      </c>
      <c r="E10" s="3" t="s">
        <v>482</v>
      </c>
      <c r="F10" s="3" t="s">
        <v>483</v>
      </c>
      <c r="G10" s="3" t="s">
        <v>484</v>
      </c>
      <c r="H10" s="3" t="s">
        <v>485</v>
      </c>
    </row>
    <row r="11" ht="46.25" hidden="0" outlineLevel="0" collapsed="0">
      <c r="A11" s="3" t="s">
        <v>486</v>
      </c>
      <c r="B11" s="31">
        <v>10</v>
      </c>
      <c r="C11" s="3" t="s">
        <v>456</v>
      </c>
      <c r="D11" s="3" t="s">
        <v>72</v>
      </c>
      <c r="E11" s="3" t="s">
        <v>482</v>
      </c>
      <c r="F11" s="3" t="s">
        <v>487</v>
      </c>
      <c r="G11" s="3" t="s">
        <v>488</v>
      </c>
      <c r="H11" s="3" t="s">
        <v>489</v>
      </c>
    </row>
    <row r="12" ht="35.05" hidden="0" outlineLevel="0" collapsed="0">
      <c r="A12" s="3" t="s">
        <v>490</v>
      </c>
      <c r="B12" s="31">
        <v>7</v>
      </c>
      <c r="C12" s="3" t="s">
        <v>456</v>
      </c>
      <c r="D12" s="3" t="s">
        <v>72</v>
      </c>
      <c r="E12" s="3" t="s">
        <v>491</v>
      </c>
      <c r="F12" s="3" t="s">
        <v>492</v>
      </c>
      <c r="G12" s="3" t="s">
        <v>493</v>
      </c>
      <c r="H12" s="3" t="s">
        <v>494</v>
      </c>
    </row>
    <row r="13" ht="23.85" hidden="0" outlineLevel="0" collapsed="0">
      <c r="A13" s="3" t="s">
        <v>495</v>
      </c>
      <c r="B13" s="31">
        <v>5</v>
      </c>
      <c r="C13" s="3" t="s">
        <v>456</v>
      </c>
      <c r="D13" s="3" t="s">
        <v>72</v>
      </c>
      <c r="E13" s="3" t="s">
        <v>496</v>
      </c>
      <c r="F13" s="3" t="s">
        <v>497</v>
      </c>
      <c r="G13" s="3" t="s">
        <v>498</v>
      </c>
      <c r="H13" s="3" t="s">
        <v>499</v>
      </c>
    </row>
    <row r="14" ht="23.85" hidden="0" outlineLevel="0" collapsed="0">
      <c r="A14" s="3" t="s">
        <v>500</v>
      </c>
      <c r="B14" s="31">
        <v>5</v>
      </c>
      <c r="C14" s="3" t="s">
        <v>456</v>
      </c>
      <c r="D14" s="3" t="s">
        <v>72</v>
      </c>
      <c r="E14" s="3" t="s">
        <v>501</v>
      </c>
      <c r="F14" s="3" t="s">
        <v>502</v>
      </c>
      <c r="G14" s="3" t="s">
        <v>503</v>
      </c>
      <c r="H14" s="3" t="s">
        <v>504</v>
      </c>
    </row>
    <row r="15" hidden="0" outlineLevel="0" collapsed="0">
      <c r="A15" s="3"/>
      <c r="B15" s="3"/>
      <c r="C15" s="3"/>
      <c r="D15" s="3"/>
      <c r="E15" s="3"/>
      <c r="F15" s="3"/>
      <c r="G15" s="3"/>
      <c r="H15" s="3"/>
    </row>
    <row r="16" hidden="0" outlineLevel="0" collapsed="0">
      <c r="A16" s="11" t="s">
        <v>505</v>
      </c>
      <c r="B16" s="3">
        <f>SUMIF(C5:C14,"PASS",B5:B14)</f>
        <v>100</v>
      </c>
      <c r="C16" s="3"/>
      <c r="D16" s="3"/>
      <c r="E16" s="3"/>
      <c r="F16" s="3"/>
      <c r="G16" s="3"/>
      <c r="H16" s="3"/>
    </row>
    <row r="17" hidden="0" outlineLevel="0" collapsed="0">
      <c r="A17" s="11" t="s">
        <v>506</v>
      </c>
      <c r="B17" s="3" t="str">
        <f>IF(B16=100,"OWNER READY — INDEPENDENT REVIEW REQUIRED","PENDING OWNER QA")</f>
        <v>OWNER READY — INDEPENDENT REVIEW REQUIRED</v>
      </c>
      <c r="C17" s="3"/>
      <c r="D17" s="3"/>
      <c r="E17" s="3"/>
      <c r="F17" s="3" t="s">
        <v>507</v>
      </c>
      <c r="G17" s="3"/>
      <c r="H17" s="3"/>
    </row>
    <row r="18" hidden="0" outlineLevel="0" collapsed="0">
      <c r="A18" s="11" t="s">
        <v>508</v>
      </c>
      <c r="B18" s="3" t="str">
        <f>Checks!F15</f>
        <v>REVIEW</v>
      </c>
      <c r="C18" s="3"/>
      <c r="D18" s="3"/>
      <c r="E18" s="3"/>
      <c r="F18" s="3"/>
      <c r="G18" s="3"/>
      <c r="H18" s="3"/>
    </row>
    <row r="19" hidden="0" outlineLevel="0" collapsed="0">
      <c r="A19" s="3"/>
      <c r="B19" s="3"/>
      <c r="C19" s="3"/>
      <c r="D19" s="3"/>
      <c r="E19" s="3"/>
      <c r="F19" s="3"/>
      <c r="G19" s="3"/>
      <c r="H19" s="3"/>
    </row>
    <row r="20" ht="21" hidden="0" outlineLevel="0" collapsed="0">
      <c r="A20" s="4" t="s">
        <v>509</v>
      </c>
      <c r="B20" s="4"/>
      <c r="C20" s="4"/>
      <c r="D20" s="4"/>
      <c r="E20" s="4"/>
      <c r="F20" s="4"/>
      <c r="G20" s="4"/>
      <c r="H20" s="4"/>
    </row>
    <row r="21" hidden="0" outlineLevel="0" collapsed="0">
      <c r="A21" s="3" t="s">
        <v>510</v>
      </c>
      <c r="B21" s="3" t="s">
        <v>406</v>
      </c>
      <c r="C21" s="3"/>
      <c r="D21" s="3"/>
      <c r="E21" s="3"/>
      <c r="F21" s="3"/>
      <c r="G21" s="3"/>
      <c r="H21" s="3"/>
    </row>
    <row r="22" hidden="0" outlineLevel="0" collapsed="0">
      <c r="A22" s="3" t="s">
        <v>511</v>
      </c>
      <c r="B22" s="3" t="s">
        <v>512</v>
      </c>
      <c r="C22" s="3"/>
      <c r="D22" s="3"/>
      <c r="E22" s="3"/>
      <c r="F22" s="3"/>
      <c r="G22" s="3"/>
      <c r="H22" s="3"/>
    </row>
    <row r="23" hidden="0" outlineLevel="0" collapsed="0">
      <c r="A23" s="3" t="s">
        <v>513</v>
      </c>
      <c r="B23" s="3" t="s">
        <v>514</v>
      </c>
      <c r="C23" s="3"/>
      <c r="D23" s="3"/>
      <c r="E23" s="3"/>
      <c r="F23" s="3"/>
      <c r="G23" s="3"/>
      <c r="H23" s="3"/>
    </row>
    <row r="24" hidden="0" outlineLevel="0" collapsed="0">
      <c r="A24" s="3" t="s">
        <v>515</v>
      </c>
      <c r="B24" s="3" t="s">
        <v>491</v>
      </c>
      <c r="C24" s="3"/>
      <c r="D24" s="3"/>
      <c r="E24" s="3"/>
      <c r="F24" s="3"/>
      <c r="G24" s="3"/>
      <c r="H24" s="3"/>
    </row>
    <row r="25" hidden="0" outlineLevel="0" collapsed="0">
      <c r="A25" s="3" t="s">
        <v>516</v>
      </c>
      <c r="B25" s="3" t="s">
        <v>491</v>
      </c>
      <c r="C25" s="3"/>
      <c r="D25" s="3"/>
      <c r="E25" s="3"/>
      <c r="F25" s="3"/>
      <c r="G25" s="3"/>
      <c r="H25" s="3"/>
    </row>
    <row r="26" hidden="0" outlineLevel="0" collapsed="0">
      <c r="A26" s="3" t="s">
        <v>517</v>
      </c>
      <c r="B26" s="3" t="s">
        <v>518</v>
      </c>
      <c r="C26" s="3"/>
      <c r="D26" s="3"/>
      <c r="E26" s="3"/>
      <c r="F26" s="3"/>
      <c r="G26" s="3"/>
      <c r="H26" s="3"/>
    </row>
    <row r="27" hidden="0" outlineLevel="0" collapsed="0">
      <c r="A27" s="3"/>
      <c r="B27" s="3"/>
      <c r="C27" s="3"/>
      <c r="D27" s="3"/>
      <c r="E27" s="3"/>
      <c r="F27" s="3"/>
      <c r="G27" s="3"/>
      <c r="H27" s="3"/>
    </row>
    <row r="28" hidden="0" outlineLevel="0" collapsed="0">
      <c r="A28" s="3"/>
      <c r="B28" s="3"/>
      <c r="C28" s="3"/>
      <c r="D28" s="3"/>
      <c r="E28" s="3"/>
      <c r="F28" s="3"/>
      <c r="G28" s="3"/>
      <c r="H28" s="3"/>
    </row>
    <row r="29" hidden="0" outlineLevel="0" collapsed="0">
      <c r="A29" s="3"/>
      <c r="B29" s="3"/>
      <c r="C29" s="3"/>
      <c r="D29" s="3"/>
      <c r="E29" s="3"/>
      <c r="F29" s="3"/>
      <c r="G29" s="3"/>
      <c r="H29" s="3"/>
    </row>
    <row r="30" hidden="0" outlineLevel="0" collapsed="0">
      <c r="A30" s="3"/>
      <c r="B30" s="3"/>
      <c r="C30" s="3"/>
      <c r="D30" s="3"/>
      <c r="E30" s="3"/>
      <c r="F30" s="3"/>
      <c r="G30" s="3"/>
      <c r="H30" s="3"/>
    </row>
  </sheetData>
  <mergeCells count="10">
    <mergeCell ref="A1:H1"/>
    <mergeCell ref="A2:H2"/>
    <mergeCell ref="B17:H17"/>
    <mergeCell ref="A20:H20"/>
    <mergeCell ref="B21:H21"/>
    <mergeCell ref="B22:H22"/>
    <mergeCell ref="B23:H23"/>
    <mergeCell ref="B24:H24"/>
    <mergeCell ref="B25:H25"/>
    <mergeCell ref="B26:H26"/>
  </mergeCells>
  <conditionalFormatting sqref="C5:C14">
    <cfRule type="containsText" priority="2" operator="containsText" text="OK" dxfId="6">
      <formula>NOT(ISERROR(SEARCH("OK",C5)))</formula>
    </cfRule>
    <cfRule type="containsText" priority="3" operator="containsText" text="REVIEW" dxfId="7">
      <formula>NOT(ISERROR(SEARCH("REVIEW",C5)))</formula>
    </cfRule>
  </conditionalFormatting>
  <conditionalFormatting sqref="B18">
    <cfRule type="containsText" priority="4" operator="containsText" text="OK" dxfId="8">
      <formula>NOT(ISERROR(SEARCH("OK",B18)))</formula>
    </cfRule>
    <cfRule type="containsText" priority="5" operator="containsText" text="REVIEW" dxfId="9">
      <formula>NOT(ISERROR(SEARCH("REVIEW",B18)))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ColWidth="8.375" defaultRowHeight="15"/>
  <sheetData>
    <row r="1">
      <c r="A1" t="s">
        <v>519</v>
      </c>
    </row>
    <row r="2">
      <c r="A2" t="s">
        <v>520</v>
      </c>
    </row>
    <row r="4">
      <c r="A4" t="s">
        <v>521</v>
      </c>
      <c r="B4" t="s">
        <v>522</v>
      </c>
      <c r="C4" t="s">
        <v>523</v>
      </c>
      <c r="D4" t="s">
        <v>524</v>
      </c>
      <c r="E4" t="s">
        <v>525</v>
      </c>
      <c r="F4" t="s">
        <v>526</v>
      </c>
      <c r="G4" t="s">
        <v>527</v>
      </c>
    </row>
    <row r="5">
      <c r="A5" t="s">
        <v>528</v>
      </c>
      <c r="C5">
        <v>316199</v>
      </c>
      <c r="D5">
        <v>298085</v>
      </c>
      <c r="E5">
        <v>294866</v>
      </c>
      <c r="F5">
        <v>307003</v>
      </c>
      <c r="G5" t="s">
        <v>529</v>
      </c>
    </row>
    <row r="6">
      <c r="A6" t="s">
        <v>530</v>
      </c>
      <c r="C6">
        <v>78129</v>
      </c>
      <c r="D6">
        <v>85200</v>
      </c>
      <c r="E6">
        <v>96169</v>
      </c>
      <c r="F6">
        <v>109158</v>
      </c>
      <c r="G6" t="s">
        <v>529</v>
      </c>
    </row>
    <row r="7">
      <c r="A7" t="s">
        <v>531</v>
      </c>
      <c r="B7">
        <v>365817</v>
      </c>
      <c r="C7">
        <v>394328</v>
      </c>
      <c r="D7">
        <v>383285</v>
      </c>
      <c r="E7">
        <v>391035</v>
      </c>
      <c r="F7">
        <v>416161</v>
      </c>
      <c r="G7" t="s">
        <v>532</v>
      </c>
    </row>
    <row r="8">
      <c r="A8" t="s">
        <v>533</v>
      </c>
      <c r="C8">
        <v>201471</v>
      </c>
      <c r="D8">
        <v>189282</v>
      </c>
      <c r="E8">
        <v>185233</v>
      </c>
      <c r="F8">
        <v>194116</v>
      </c>
      <c r="G8" t="s">
        <v>529</v>
      </c>
    </row>
    <row r="9">
      <c r="A9" t="s">
        <v>534</v>
      </c>
      <c r="C9">
        <v>22075</v>
      </c>
      <c r="D9">
        <v>24855</v>
      </c>
      <c r="E9">
        <v>25119</v>
      </c>
      <c r="F9">
        <v>26844</v>
      </c>
      <c r="G9" t="s">
        <v>529</v>
      </c>
    </row>
    <row r="10">
      <c r="A10" t="s">
        <v>535</v>
      </c>
      <c r="B10">
        <v>212981</v>
      </c>
      <c r="C10">
        <v>223546</v>
      </c>
      <c r="D10">
        <v>214137</v>
      </c>
      <c r="E10">
        <v>210352</v>
      </c>
      <c r="F10">
        <v>220960</v>
      </c>
      <c r="G10" t="s">
        <v>536</v>
      </c>
    </row>
    <row r="11">
      <c r="A11" t="s">
        <v>537</v>
      </c>
      <c r="B11">
        <v>152836</v>
      </c>
      <c r="C11">
        <v>170782</v>
      </c>
      <c r="D11">
        <v>169148</v>
      </c>
      <c r="E11">
        <v>180683</v>
      </c>
      <c r="F11">
        <v>195201</v>
      </c>
      <c r="G11" t="s">
        <v>536</v>
      </c>
    </row>
    <row r="12">
      <c r="A12" t="s">
        <v>538</v>
      </c>
    </row>
    <row r="13">
      <c r="A13" t="s">
        <v>539</v>
      </c>
      <c r="B13">
        <v>21914</v>
      </c>
      <c r="C13">
        <v>26251</v>
      </c>
      <c r="D13">
        <v>29915</v>
      </c>
      <c r="E13">
        <v>31370</v>
      </c>
      <c r="F13">
        <v>34550</v>
      </c>
      <c r="G13" t="s">
        <v>536</v>
      </c>
    </row>
    <row r="14">
      <c r="A14" t="s">
        <v>540</v>
      </c>
      <c r="B14">
        <v>21973</v>
      </c>
      <c r="C14">
        <v>25094</v>
      </c>
      <c r="D14">
        <v>24932</v>
      </c>
      <c r="E14">
        <v>26097</v>
      </c>
      <c r="F14">
        <v>27601</v>
      </c>
      <c r="G14" t="s">
        <v>536</v>
      </c>
    </row>
    <row r="15">
      <c r="A15" t="s">
        <v>541</v>
      </c>
      <c r="B15">
        <v>43887</v>
      </c>
      <c r="C15">
        <v>51345</v>
      </c>
      <c r="D15">
        <v>54847</v>
      </c>
      <c r="E15">
        <v>57467</v>
      </c>
      <c r="F15">
        <v>62151</v>
      </c>
      <c r="G15" t="s">
        <v>536</v>
      </c>
    </row>
    <row r="16">
      <c r="A16" t="s">
        <v>542</v>
      </c>
      <c r="B16">
        <v>108949</v>
      </c>
      <c r="C16">
        <v>119437</v>
      </c>
      <c r="D16">
        <v>114301</v>
      </c>
      <c r="E16">
        <v>123216</v>
      </c>
      <c r="F16">
        <v>133050</v>
      </c>
      <c r="G16" t="s">
        <v>536</v>
      </c>
    </row>
    <row r="17">
      <c r="A17" t="s">
        <v>543</v>
      </c>
      <c r="B17">
        <v>258</v>
      </c>
      <c r="C17">
        <v>-334</v>
      </c>
      <c r="D17">
        <v>-565</v>
      </c>
      <c r="E17">
        <v>269</v>
      </c>
      <c r="F17">
        <v>-321</v>
      </c>
      <c r="G17" t="s">
        <v>536</v>
      </c>
    </row>
    <row r="18">
      <c r="A18" t="s">
        <v>544</v>
      </c>
      <c r="B18">
        <v>109207</v>
      </c>
      <c r="C18">
        <v>119103</v>
      </c>
      <c r="D18">
        <v>113736</v>
      </c>
      <c r="E18">
        <v>123485</v>
      </c>
      <c r="F18">
        <v>132729</v>
      </c>
      <c r="G18" t="s">
        <v>536</v>
      </c>
    </row>
    <row r="19">
      <c r="A19" t="s">
        <v>545</v>
      </c>
      <c r="B19">
        <v>14527</v>
      </c>
      <c r="C19">
        <v>19300</v>
      </c>
      <c r="D19">
        <v>16741</v>
      </c>
      <c r="E19">
        <v>29749</v>
      </c>
      <c r="F19">
        <v>20719</v>
      </c>
      <c r="G19" t="s">
        <v>536</v>
      </c>
    </row>
    <row r="20">
      <c r="A20" t="s">
        <v>111</v>
      </c>
      <c r="B20">
        <v>94680</v>
      </c>
      <c r="C20">
        <v>99803</v>
      </c>
      <c r="D20">
        <v>96995</v>
      </c>
      <c r="E20">
        <v>93736</v>
      </c>
      <c r="F20">
        <v>112010</v>
      </c>
      <c r="G20" t="s">
        <v>536</v>
      </c>
    </row>
    <row r="22">
      <c r="A22" t="s">
        <v>546</v>
      </c>
      <c r="B22">
        <v>5.67</v>
      </c>
      <c r="C22">
        <v>6.15</v>
      </c>
      <c r="D22">
        <v>6.16</v>
      </c>
      <c r="E22">
        <v>6.11</v>
      </c>
      <c r="F22">
        <v>7.49</v>
      </c>
      <c r="G22" t="s">
        <v>536</v>
      </c>
    </row>
    <row r="23">
      <c r="A23" t="s">
        <v>547</v>
      </c>
      <c r="B23">
        <v>5.61</v>
      </c>
      <c r="C23">
        <v>6.11</v>
      </c>
      <c r="D23">
        <v>6.13</v>
      </c>
      <c r="E23">
        <v>6.08</v>
      </c>
      <c r="F23">
        <v>7.46</v>
      </c>
      <c r="G23" t="s">
        <v>536</v>
      </c>
    </row>
    <row r="24">
      <c r="A24" t="s">
        <v>548</v>
      </c>
      <c r="B24">
        <v>16701272</v>
      </c>
      <c r="C24">
        <v>16215963</v>
      </c>
      <c r="D24">
        <v>15744231</v>
      </c>
      <c r="E24">
        <v>15343783</v>
      </c>
      <c r="F24">
        <v>14948500</v>
      </c>
      <c r="G24" t="s">
        <v>536</v>
      </c>
    </row>
    <row r="25">
      <c r="A25" t="s">
        <v>549</v>
      </c>
      <c r="B25">
        <v>16864919</v>
      </c>
      <c r="C25">
        <v>16325819</v>
      </c>
      <c r="D25">
        <v>15812547</v>
      </c>
      <c r="E25">
        <v>15408095</v>
      </c>
      <c r="F25">
        <v>15004697</v>
      </c>
      <c r="G25" t="s">
        <v>536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ColWidth="8.375" defaultRowHeight="15"/>
  <sheetData>
    <row r="1">
      <c r="A1" t="s">
        <v>550</v>
      </c>
    </row>
    <row r="2">
      <c r="A2" t="s">
        <v>551</v>
      </c>
    </row>
    <row r="4">
      <c r="A4" t="s">
        <v>521</v>
      </c>
      <c r="B4" t="s">
        <v>522</v>
      </c>
      <c r="C4" t="s">
        <v>523</v>
      </c>
      <c r="D4" t="s">
        <v>524</v>
      </c>
      <c r="E4" t="s">
        <v>525</v>
      </c>
      <c r="F4" t="s">
        <v>526</v>
      </c>
      <c r="G4" t="s">
        <v>527</v>
      </c>
    </row>
    <row r="5">
      <c r="A5" t="s">
        <v>111</v>
      </c>
      <c r="B5">
        <v>94680</v>
      </c>
      <c r="C5">
        <v>99803</v>
      </c>
      <c r="D5">
        <v>96995</v>
      </c>
      <c r="E5">
        <v>93736</v>
      </c>
      <c r="F5">
        <v>112010</v>
      </c>
    </row>
    <row r="6">
      <c r="A6" t="s">
        <v>552</v>
      </c>
      <c r="C6">
        <v>-1511</v>
      </c>
      <c r="D6">
        <v>-765</v>
      </c>
      <c r="E6">
        <v>395</v>
      </c>
      <c r="F6">
        <v>-267</v>
      </c>
    </row>
    <row r="7">
      <c r="A7" t="s">
        <v>553</v>
      </c>
      <c r="C7">
        <v>3212</v>
      </c>
      <c r="D7">
        <v>323</v>
      </c>
      <c r="E7">
        <v>-832</v>
      </c>
      <c r="F7">
        <v>849</v>
      </c>
    </row>
    <row r="8">
      <c r="A8" t="s">
        <v>554</v>
      </c>
      <c r="C8">
        <v>-1074</v>
      </c>
      <c r="D8">
        <v>-1717</v>
      </c>
      <c r="E8">
        <v>-1337</v>
      </c>
      <c r="F8">
        <v>212</v>
      </c>
    </row>
    <row r="9">
      <c r="A9" t="s">
        <v>555</v>
      </c>
      <c r="C9">
        <v>2138</v>
      </c>
      <c r="D9">
        <v>-1394</v>
      </c>
      <c r="E9">
        <v>-2169</v>
      </c>
      <c r="F9">
        <v>637</v>
      </c>
    </row>
    <row r="10">
      <c r="A10" t="s">
        <v>556</v>
      </c>
      <c r="C10">
        <v>-12104</v>
      </c>
      <c r="D10">
        <v>1563</v>
      </c>
      <c r="E10">
        <v>5850</v>
      </c>
      <c r="F10">
        <v>817</v>
      </c>
    </row>
    <row r="11">
      <c r="A11" t="s">
        <v>557</v>
      </c>
      <c r="C11">
        <v>205</v>
      </c>
      <c r="D11">
        <v>253</v>
      </c>
      <c r="E11">
        <v>204</v>
      </c>
      <c r="F11">
        <v>414</v>
      </c>
    </row>
    <row r="12">
      <c r="A12" t="s">
        <v>558</v>
      </c>
      <c r="C12">
        <v>-11899</v>
      </c>
      <c r="D12">
        <v>1816</v>
      </c>
      <c r="E12">
        <v>6054</v>
      </c>
      <c r="F12">
        <v>1231</v>
      </c>
    </row>
    <row r="13">
      <c r="A13" t="s">
        <v>559</v>
      </c>
      <c r="C13">
        <v>-11272</v>
      </c>
      <c r="D13">
        <v>-343</v>
      </c>
      <c r="E13">
        <v>4280</v>
      </c>
      <c r="F13">
        <v>1601</v>
      </c>
    </row>
    <row r="14">
      <c r="A14" t="s">
        <v>560</v>
      </c>
      <c r="C14">
        <v>88531</v>
      </c>
      <c r="D14">
        <v>96652</v>
      </c>
      <c r="E14">
        <v>98016</v>
      </c>
      <c r="F14">
        <v>113611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ColWidth="8.375" defaultRowHeight="15"/>
  <sheetData>
    <row r="1">
      <c r="A1" t="s">
        <v>561</v>
      </c>
    </row>
    <row r="2">
      <c r="A2" t="s">
        <v>562</v>
      </c>
    </row>
    <row r="4">
      <c r="A4" t="s">
        <v>521</v>
      </c>
      <c r="B4" t="s">
        <v>522</v>
      </c>
      <c r="C4" t="s">
        <v>523</v>
      </c>
      <c r="D4" t="s">
        <v>524</v>
      </c>
      <c r="E4" t="s">
        <v>525</v>
      </c>
      <c r="F4" t="s">
        <v>526</v>
      </c>
      <c r="G4" t="s">
        <v>527</v>
      </c>
    </row>
    <row r="5">
      <c r="A5" t="s">
        <v>563</v>
      </c>
    </row>
    <row r="6">
      <c r="A6" t="s">
        <v>564</v>
      </c>
      <c r="B6">
        <v>34940</v>
      </c>
      <c r="C6">
        <v>23646</v>
      </c>
      <c r="D6">
        <v>29965</v>
      </c>
      <c r="E6">
        <v>29943</v>
      </c>
      <c r="F6">
        <v>35934</v>
      </c>
      <c r="G6" t="s">
        <v>565</v>
      </c>
    </row>
    <row r="7">
      <c r="A7" t="s">
        <v>566</v>
      </c>
      <c r="B7">
        <v>27699</v>
      </c>
      <c r="C7">
        <v>24658</v>
      </c>
      <c r="D7">
        <v>31590</v>
      </c>
      <c r="E7">
        <v>35228</v>
      </c>
      <c r="F7">
        <v>18763</v>
      </c>
      <c r="G7" t="s">
        <v>565</v>
      </c>
    </row>
    <row r="8">
      <c r="A8" t="s">
        <v>567</v>
      </c>
      <c r="B8">
        <v>26278</v>
      </c>
      <c r="C8">
        <v>28184</v>
      </c>
      <c r="D8">
        <v>29508</v>
      </c>
      <c r="E8">
        <v>33410</v>
      </c>
      <c r="F8">
        <v>39777</v>
      </c>
      <c r="G8" t="s">
        <v>565</v>
      </c>
    </row>
    <row r="9">
      <c r="A9" t="s">
        <v>568</v>
      </c>
      <c r="B9">
        <v>25228</v>
      </c>
      <c r="C9">
        <v>32748</v>
      </c>
      <c r="D9">
        <v>31477</v>
      </c>
      <c r="E9">
        <v>32833</v>
      </c>
      <c r="F9">
        <v>33180</v>
      </c>
      <c r="G9" t="s">
        <v>565</v>
      </c>
    </row>
    <row r="10">
      <c r="A10" t="s">
        <v>569</v>
      </c>
      <c r="B10">
        <v>6580</v>
      </c>
      <c r="C10">
        <v>4946</v>
      </c>
      <c r="D10">
        <v>6331</v>
      </c>
      <c r="E10">
        <v>7286</v>
      </c>
      <c r="F10">
        <v>5718</v>
      </c>
      <c r="G10" t="s">
        <v>565</v>
      </c>
    </row>
    <row r="11">
      <c r="A11" t="s">
        <v>570</v>
      </c>
      <c r="B11">
        <v>14111</v>
      </c>
      <c r="C11">
        <v>21223</v>
      </c>
      <c r="D11">
        <v>14695</v>
      </c>
      <c r="E11">
        <v>14287</v>
      </c>
      <c r="F11">
        <v>14585</v>
      </c>
      <c r="G11" t="s">
        <v>565</v>
      </c>
    </row>
    <row r="12">
      <c r="A12" t="s">
        <v>571</v>
      </c>
      <c r="B12">
        <v>134836</v>
      </c>
      <c r="C12">
        <v>135405</v>
      </c>
      <c r="D12">
        <v>143566</v>
      </c>
      <c r="E12">
        <v>152987</v>
      </c>
      <c r="F12">
        <v>147957</v>
      </c>
      <c r="G12" t="s">
        <v>565</v>
      </c>
    </row>
    <row r="13">
      <c r="A13" t="s">
        <v>572</v>
      </c>
    </row>
    <row r="14">
      <c r="A14" t="s">
        <v>573</v>
      </c>
      <c r="B14">
        <v>127877</v>
      </c>
      <c r="C14">
        <v>120805</v>
      </c>
      <c r="D14">
        <v>100544</v>
      </c>
      <c r="E14">
        <v>91479</v>
      </c>
      <c r="F14">
        <v>77723</v>
      </c>
      <c r="G14" t="s">
        <v>565</v>
      </c>
    </row>
    <row r="15">
      <c r="A15" t="s">
        <v>574</v>
      </c>
      <c r="B15">
        <v>39440</v>
      </c>
      <c r="C15">
        <v>42117</v>
      </c>
      <c r="D15">
        <v>43715</v>
      </c>
      <c r="E15">
        <v>45680</v>
      </c>
      <c r="F15">
        <v>49834</v>
      </c>
      <c r="G15" t="s">
        <v>565</v>
      </c>
    </row>
    <row r="16">
      <c r="A16" t="s">
        <v>575</v>
      </c>
      <c r="B16">
        <v>48849</v>
      </c>
      <c r="C16">
        <v>54428</v>
      </c>
      <c r="D16">
        <v>64758</v>
      </c>
      <c r="E16">
        <v>74834</v>
      </c>
      <c r="F16">
        <v>83727</v>
      </c>
      <c r="G16" t="s">
        <v>565</v>
      </c>
    </row>
    <row r="17">
      <c r="A17" t="s">
        <v>576</v>
      </c>
      <c r="B17">
        <v>216166</v>
      </c>
      <c r="C17">
        <v>217350</v>
      </c>
      <c r="D17">
        <v>209017</v>
      </c>
      <c r="E17">
        <v>211993</v>
      </c>
      <c r="F17">
        <v>211284</v>
      </c>
      <c r="G17" t="s">
        <v>565</v>
      </c>
    </row>
    <row r="18">
      <c r="A18" t="s">
        <v>132</v>
      </c>
      <c r="B18">
        <v>351002</v>
      </c>
      <c r="C18">
        <v>352755</v>
      </c>
      <c r="D18">
        <v>352583</v>
      </c>
      <c r="E18">
        <v>364980</v>
      </c>
      <c r="F18">
        <v>359241</v>
      </c>
      <c r="G18" t="s">
        <v>565</v>
      </c>
    </row>
    <row r="20">
      <c r="A20" t="s">
        <v>577</v>
      </c>
    </row>
    <row r="21">
      <c r="A21" t="s">
        <v>578</v>
      </c>
      <c r="B21">
        <v>54763</v>
      </c>
      <c r="C21">
        <v>64115</v>
      </c>
      <c r="D21">
        <v>62611</v>
      </c>
      <c r="E21">
        <v>68960</v>
      </c>
      <c r="F21">
        <v>69860</v>
      </c>
      <c r="G21" t="s">
        <v>565</v>
      </c>
    </row>
    <row r="22">
      <c r="A22" t="s">
        <v>579</v>
      </c>
      <c r="B22">
        <v>47493</v>
      </c>
      <c r="C22">
        <v>60845</v>
      </c>
      <c r="D22">
        <v>58829</v>
      </c>
      <c r="E22">
        <v>78304</v>
      </c>
      <c r="F22">
        <v>66387</v>
      </c>
      <c r="G22" t="s">
        <v>565</v>
      </c>
    </row>
    <row r="23">
      <c r="A23" t="s">
        <v>580</v>
      </c>
      <c r="B23">
        <v>7612</v>
      </c>
      <c r="C23">
        <v>7912</v>
      </c>
      <c r="D23">
        <v>8061</v>
      </c>
      <c r="E23">
        <v>8249</v>
      </c>
      <c r="F23">
        <v>9055</v>
      </c>
      <c r="G23" t="s">
        <v>565</v>
      </c>
    </row>
    <row r="24">
      <c r="A24" t="s">
        <v>581</v>
      </c>
      <c r="B24">
        <v>6000</v>
      </c>
      <c r="C24">
        <v>9982</v>
      </c>
      <c r="D24">
        <v>5985</v>
      </c>
      <c r="E24">
        <v>9967</v>
      </c>
      <c r="F24">
        <v>7979</v>
      </c>
      <c r="G24" t="s">
        <v>565</v>
      </c>
    </row>
    <row r="25">
      <c r="A25" t="s">
        <v>582</v>
      </c>
      <c r="B25">
        <v>9613</v>
      </c>
      <c r="C25">
        <v>11128</v>
      </c>
      <c r="D25">
        <v>9822</v>
      </c>
      <c r="E25">
        <v>10912</v>
      </c>
      <c r="F25">
        <v>12350</v>
      </c>
      <c r="G25" t="s">
        <v>565</v>
      </c>
    </row>
    <row r="26">
      <c r="A26" t="s">
        <v>583</v>
      </c>
      <c r="B26">
        <v>125481</v>
      </c>
      <c r="C26">
        <v>153982</v>
      </c>
      <c r="D26">
        <v>145308</v>
      </c>
      <c r="E26">
        <v>176392</v>
      </c>
      <c r="F26">
        <v>165631</v>
      </c>
      <c r="G26" t="s">
        <v>565</v>
      </c>
    </row>
    <row r="27">
      <c r="A27" t="s">
        <v>584</v>
      </c>
    </row>
    <row r="28">
      <c r="A28" t="s">
        <v>585</v>
      </c>
      <c r="B28">
        <v>109106</v>
      </c>
      <c r="C28">
        <v>98959</v>
      </c>
      <c r="D28">
        <v>95281</v>
      </c>
      <c r="E28">
        <v>85750</v>
      </c>
      <c r="F28">
        <v>78328</v>
      </c>
      <c r="G28" t="s">
        <v>565</v>
      </c>
    </row>
    <row r="29">
      <c r="A29" t="s">
        <v>586</v>
      </c>
      <c r="B29">
        <v>53325</v>
      </c>
      <c r="C29">
        <v>49142</v>
      </c>
      <c r="D29">
        <v>49848</v>
      </c>
      <c r="E29">
        <v>45888</v>
      </c>
      <c r="F29">
        <v>41549</v>
      </c>
      <c r="G29" t="s">
        <v>565</v>
      </c>
    </row>
    <row r="30">
      <c r="A30" t="s">
        <v>587</v>
      </c>
      <c r="B30">
        <v>162431</v>
      </c>
      <c r="C30">
        <v>148101</v>
      </c>
      <c r="D30">
        <v>145129</v>
      </c>
      <c r="E30">
        <v>131638</v>
      </c>
      <c r="F30">
        <v>119877</v>
      </c>
      <c r="G30" t="s">
        <v>565</v>
      </c>
    </row>
    <row r="31">
      <c r="A31" t="s">
        <v>588</v>
      </c>
      <c r="B31">
        <v>287912</v>
      </c>
      <c r="C31">
        <v>302083</v>
      </c>
      <c r="D31">
        <v>290437</v>
      </c>
      <c r="E31">
        <v>308030</v>
      </c>
      <c r="F31">
        <v>285508</v>
      </c>
      <c r="G31" t="s">
        <v>565</v>
      </c>
    </row>
    <row r="33">
      <c r="A33" t="s">
        <v>144</v>
      </c>
    </row>
    <row r="34">
      <c r="A34" t="s">
        <v>589</v>
      </c>
      <c r="B34">
        <v>57365</v>
      </c>
      <c r="C34">
        <v>64849</v>
      </c>
      <c r="D34">
        <v>73812</v>
      </c>
      <c r="E34">
        <v>83276</v>
      </c>
      <c r="F34">
        <v>93568</v>
      </c>
      <c r="G34" t="s">
        <v>565</v>
      </c>
    </row>
    <row r="35">
      <c r="A35" t="s">
        <v>590</v>
      </c>
      <c r="B35">
        <v>5562</v>
      </c>
      <c r="C35">
        <v>-3068</v>
      </c>
      <c r="D35">
        <v>-214</v>
      </c>
      <c r="E35">
        <v>-19154</v>
      </c>
      <c r="F35">
        <v>-14264</v>
      </c>
      <c r="G35" t="s">
        <v>565</v>
      </c>
    </row>
    <row r="36">
      <c r="A36" t="s">
        <v>591</v>
      </c>
      <c r="B36">
        <v>163</v>
      </c>
      <c r="C36">
        <v>-11109</v>
      </c>
      <c r="D36">
        <v>-11452</v>
      </c>
      <c r="E36">
        <v>-7172</v>
      </c>
      <c r="F36">
        <v>-5571</v>
      </c>
      <c r="G36" t="s">
        <v>565</v>
      </c>
    </row>
    <row r="37">
      <c r="A37" t="s">
        <v>592</v>
      </c>
      <c r="B37">
        <v>63090</v>
      </c>
      <c r="C37">
        <v>50672</v>
      </c>
      <c r="D37">
        <v>62146</v>
      </c>
      <c r="E37">
        <v>56950</v>
      </c>
      <c r="F37">
        <v>73733</v>
      </c>
      <c r="G37" t="s">
        <v>565</v>
      </c>
    </row>
    <row r="38">
      <c r="A38" t="s">
        <v>593</v>
      </c>
      <c r="B38">
        <v>351002</v>
      </c>
      <c r="C38">
        <v>352755</v>
      </c>
      <c r="D38">
        <v>352583</v>
      </c>
      <c r="E38">
        <v>364980</v>
      </c>
      <c r="F38">
        <v>359241</v>
      </c>
      <c r="G38" t="s">
        <v>565</v>
      </c>
    </row>
    <row r="40">
      <c r="A40" t="s">
        <v>594</v>
      </c>
      <c r="B40">
        <v>16426786</v>
      </c>
      <c r="C40">
        <v>15943425</v>
      </c>
      <c r="D40">
        <v>15550061</v>
      </c>
      <c r="E40">
        <v>15116786</v>
      </c>
      <c r="F40">
        <v>14773260</v>
      </c>
      <c r="G40" t="s">
        <v>565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ColWidth="8.375" defaultRowHeight="15"/>
  <sheetData>
    <row r="1">
      <c r="A1" t="s">
        <v>595</v>
      </c>
    </row>
    <row r="2">
      <c r="A2" t="s">
        <v>596</v>
      </c>
    </row>
    <row r="4">
      <c r="A4" t="s">
        <v>521</v>
      </c>
      <c r="B4" t="s">
        <v>522</v>
      </c>
      <c r="C4" t="s">
        <v>523</v>
      </c>
      <c r="D4" t="s">
        <v>524</v>
      </c>
      <c r="E4" t="s">
        <v>525</v>
      </c>
      <c r="F4" t="s">
        <v>526</v>
      </c>
      <c r="G4" t="s">
        <v>527</v>
      </c>
    </row>
    <row r="5">
      <c r="A5" t="s">
        <v>597</v>
      </c>
      <c r="B5">
        <v>39789</v>
      </c>
      <c r="C5">
        <v>35929</v>
      </c>
      <c r="D5">
        <v>24977</v>
      </c>
      <c r="E5">
        <v>30737</v>
      </c>
      <c r="F5">
        <v>29943</v>
      </c>
      <c r="G5" t="s">
        <v>598</v>
      </c>
    </row>
    <row r="6">
      <c r="A6" t="s">
        <v>599</v>
      </c>
    </row>
    <row r="7">
      <c r="A7" t="s">
        <v>111</v>
      </c>
      <c r="B7">
        <v>94680</v>
      </c>
      <c r="C7">
        <v>99803</v>
      </c>
      <c r="D7">
        <v>96995</v>
      </c>
      <c r="E7">
        <v>93736</v>
      </c>
      <c r="F7">
        <v>112010</v>
      </c>
      <c r="G7" t="s">
        <v>598</v>
      </c>
    </row>
    <row r="8">
      <c r="A8" t="s">
        <v>600</v>
      </c>
      <c r="B8">
        <v>11284</v>
      </c>
      <c r="C8">
        <v>11104</v>
      </c>
      <c r="D8">
        <v>11519</v>
      </c>
      <c r="E8">
        <v>11445</v>
      </c>
      <c r="F8">
        <v>11698</v>
      </c>
      <c r="G8" t="s">
        <v>598</v>
      </c>
    </row>
    <row r="9">
      <c r="A9" t="s">
        <v>601</v>
      </c>
      <c r="B9">
        <v>7906</v>
      </c>
      <c r="C9">
        <v>9038</v>
      </c>
      <c r="D9">
        <v>10833</v>
      </c>
      <c r="E9">
        <v>11688</v>
      </c>
      <c r="F9">
        <v>12863</v>
      </c>
      <c r="G9" t="s">
        <v>598</v>
      </c>
    </row>
    <row r="10">
      <c r="A10" t="s">
        <v>602</v>
      </c>
      <c r="B10">
        <v>-3245</v>
      </c>
      <c r="C10">
        <v>1006</v>
      </c>
      <c r="D10">
        <v>-2227</v>
      </c>
      <c r="E10">
        <v>-2266</v>
      </c>
      <c r="F10">
        <v>-89</v>
      </c>
      <c r="G10" t="s">
        <v>603</v>
      </c>
    </row>
    <row r="11">
      <c r="A11" t="s">
        <v>604</v>
      </c>
    </row>
    <row r="12">
      <c r="A12" t="s">
        <v>567</v>
      </c>
      <c r="B12">
        <v>-10125</v>
      </c>
      <c r="C12">
        <v>-1823</v>
      </c>
      <c r="D12">
        <v>-1688</v>
      </c>
      <c r="E12">
        <v>-3788</v>
      </c>
      <c r="F12">
        <v>-6682</v>
      </c>
      <c r="G12" t="s">
        <v>598</v>
      </c>
    </row>
    <row r="13">
      <c r="A13" t="s">
        <v>568</v>
      </c>
      <c r="B13">
        <v>-3903</v>
      </c>
      <c r="C13">
        <v>-7520</v>
      </c>
      <c r="D13">
        <v>1271</v>
      </c>
      <c r="E13">
        <v>-1356</v>
      </c>
      <c r="F13">
        <v>-347</v>
      </c>
      <c r="G13" t="s">
        <v>598</v>
      </c>
    </row>
    <row r="14">
      <c r="A14" t="s">
        <v>569</v>
      </c>
      <c r="B14">
        <v>-2642</v>
      </c>
      <c r="C14">
        <v>1484</v>
      </c>
      <c r="D14">
        <v>-1618</v>
      </c>
      <c r="E14">
        <v>-1046</v>
      </c>
      <c r="F14">
        <v>1400</v>
      </c>
      <c r="G14" t="s">
        <v>598</v>
      </c>
    </row>
    <row r="15">
      <c r="A15" t="s">
        <v>605</v>
      </c>
      <c r="B15">
        <v>-8042</v>
      </c>
      <c r="C15">
        <v>-6499</v>
      </c>
      <c r="D15">
        <v>-5684</v>
      </c>
      <c r="E15">
        <v>-11731</v>
      </c>
      <c r="F15">
        <v>-9197</v>
      </c>
      <c r="G15" t="s">
        <v>598</v>
      </c>
    </row>
    <row r="16">
      <c r="A16" t="s">
        <v>578</v>
      </c>
      <c r="B16">
        <v>12326</v>
      </c>
      <c r="C16">
        <v>9448</v>
      </c>
      <c r="D16">
        <v>-1889</v>
      </c>
      <c r="E16">
        <v>6020</v>
      </c>
      <c r="F16">
        <v>902</v>
      </c>
      <c r="G16" t="s">
        <v>598</v>
      </c>
    </row>
    <row r="17">
      <c r="A17" t="s">
        <v>606</v>
      </c>
      <c r="B17">
        <v>5799</v>
      </c>
      <c r="C17">
        <v>6110</v>
      </c>
      <c r="D17">
        <v>3031</v>
      </c>
      <c r="E17">
        <v>15552</v>
      </c>
      <c r="F17">
        <v>-11076</v>
      </c>
      <c r="G17" t="s">
        <v>598</v>
      </c>
    </row>
    <row r="18">
      <c r="A18" t="s">
        <v>607</v>
      </c>
      <c r="B18">
        <v>104038</v>
      </c>
      <c r="C18">
        <v>122151</v>
      </c>
      <c r="D18">
        <v>110543</v>
      </c>
      <c r="E18">
        <v>118254</v>
      </c>
      <c r="F18">
        <v>111482</v>
      </c>
      <c r="G18" t="s">
        <v>598</v>
      </c>
    </row>
    <row r="19">
      <c r="A19" t="s">
        <v>608</v>
      </c>
    </row>
    <row r="20">
      <c r="A20" t="s">
        <v>609</v>
      </c>
      <c r="B20">
        <v>-109558</v>
      </c>
      <c r="C20">
        <v>-76923</v>
      </c>
      <c r="D20">
        <v>-29513</v>
      </c>
      <c r="E20">
        <v>-48656</v>
      </c>
      <c r="F20">
        <v>-24407</v>
      </c>
      <c r="G20" t="s">
        <v>598</v>
      </c>
    </row>
    <row r="21">
      <c r="A21" t="s">
        <v>610</v>
      </c>
      <c r="B21">
        <v>59023</v>
      </c>
      <c r="C21">
        <v>29917</v>
      </c>
      <c r="D21">
        <v>39686</v>
      </c>
      <c r="E21">
        <v>51211</v>
      </c>
      <c r="F21">
        <v>40907</v>
      </c>
      <c r="G21" t="s">
        <v>598</v>
      </c>
    </row>
    <row r="22">
      <c r="A22" t="s">
        <v>611</v>
      </c>
      <c r="B22">
        <v>47460</v>
      </c>
      <c r="C22">
        <v>37446</v>
      </c>
      <c r="D22">
        <v>5828</v>
      </c>
      <c r="E22">
        <v>11135</v>
      </c>
      <c r="F22">
        <v>12890</v>
      </c>
      <c r="G22" t="s">
        <v>598</v>
      </c>
    </row>
    <row r="23">
      <c r="A23" t="s">
        <v>612</v>
      </c>
      <c r="B23">
        <v>-11085</v>
      </c>
      <c r="C23">
        <v>-10708</v>
      </c>
      <c r="D23">
        <v>-10959</v>
      </c>
      <c r="E23">
        <v>-9447</v>
      </c>
      <c r="F23">
        <v>-12715</v>
      </c>
      <c r="G23" t="s">
        <v>598</v>
      </c>
    </row>
    <row r="24">
      <c r="A24" t="s">
        <v>613</v>
      </c>
      <c r="B24">
        <v>-385</v>
      </c>
      <c r="C24">
        <v>-2086</v>
      </c>
      <c r="D24">
        <v>-1337</v>
      </c>
      <c r="E24">
        <v>-1308</v>
      </c>
      <c r="F24">
        <v>-1480</v>
      </c>
      <c r="G24" t="s">
        <v>603</v>
      </c>
    </row>
    <row r="25">
      <c r="A25" t="s">
        <v>614</v>
      </c>
      <c r="B25">
        <v>-14545</v>
      </c>
      <c r="C25">
        <v>-22354</v>
      </c>
      <c r="D25">
        <v>3705</v>
      </c>
      <c r="E25">
        <v>2935</v>
      </c>
      <c r="F25">
        <v>15195</v>
      </c>
      <c r="G25" t="s">
        <v>598</v>
      </c>
    </row>
    <row r="26">
      <c r="A26" t="s">
        <v>615</v>
      </c>
    </row>
    <row r="27">
      <c r="A27" t="s">
        <v>616</v>
      </c>
      <c r="B27">
        <v>-6556</v>
      </c>
      <c r="C27">
        <v>-6223</v>
      </c>
      <c r="D27">
        <v>-5431</v>
      </c>
      <c r="E27">
        <v>-5441</v>
      </c>
      <c r="F27">
        <v>-5960</v>
      </c>
      <c r="G27" t="s">
        <v>598</v>
      </c>
    </row>
    <row r="28">
      <c r="A28" t="s">
        <v>617</v>
      </c>
      <c r="B28">
        <v>-14467</v>
      </c>
      <c r="C28">
        <v>-14841</v>
      </c>
      <c r="D28">
        <v>-15025</v>
      </c>
      <c r="E28">
        <v>-15234</v>
      </c>
      <c r="F28">
        <v>-15421</v>
      </c>
      <c r="G28" t="s">
        <v>598</v>
      </c>
    </row>
    <row r="29">
      <c r="A29" t="s">
        <v>618</v>
      </c>
      <c r="B29">
        <v>-85971</v>
      </c>
      <c r="C29">
        <v>-89402</v>
      </c>
      <c r="D29">
        <v>-77550</v>
      </c>
      <c r="E29">
        <v>-94949</v>
      </c>
      <c r="F29">
        <v>-90711</v>
      </c>
      <c r="G29" t="s">
        <v>598</v>
      </c>
    </row>
    <row r="30">
      <c r="A30" t="s">
        <v>619</v>
      </c>
      <c r="B30">
        <v>20393</v>
      </c>
      <c r="C30">
        <v>5465</v>
      </c>
      <c r="D30">
        <v>5228</v>
      </c>
      <c r="E30">
        <v>0</v>
      </c>
      <c r="F30">
        <v>4481</v>
      </c>
      <c r="G30" t="s">
        <v>598</v>
      </c>
    </row>
    <row r="31">
      <c r="A31" t="s">
        <v>620</v>
      </c>
      <c r="B31">
        <v>-8750</v>
      </c>
      <c r="C31">
        <v>-9543</v>
      </c>
      <c r="D31">
        <v>-11151</v>
      </c>
      <c r="E31">
        <v>-9958</v>
      </c>
      <c r="F31">
        <v>-10932</v>
      </c>
      <c r="G31" t="s">
        <v>598</v>
      </c>
    </row>
    <row r="32">
      <c r="A32" t="s">
        <v>621</v>
      </c>
      <c r="B32">
        <v>1022</v>
      </c>
      <c r="C32">
        <v>3955</v>
      </c>
      <c r="D32">
        <v>-3978</v>
      </c>
      <c r="E32">
        <v>3960</v>
      </c>
      <c r="F32">
        <v>-2032</v>
      </c>
      <c r="G32" t="s">
        <v>598</v>
      </c>
    </row>
    <row r="33">
      <c r="A33" t="s">
        <v>622</v>
      </c>
      <c r="B33">
        <v>976</v>
      </c>
      <c r="C33">
        <v>-160</v>
      </c>
      <c r="D33">
        <v>-581</v>
      </c>
      <c r="E33">
        <v>-361</v>
      </c>
      <c r="F33">
        <v>-111</v>
      </c>
      <c r="G33" t="s">
        <v>603</v>
      </c>
    </row>
    <row r="34">
      <c r="A34" t="s">
        <v>623</v>
      </c>
      <c r="B34">
        <v>-93353</v>
      </c>
      <c r="C34">
        <v>-110749</v>
      </c>
      <c r="D34">
        <v>-108488</v>
      </c>
      <c r="E34">
        <v>-121983</v>
      </c>
      <c r="F34">
        <v>-120686</v>
      </c>
      <c r="G34" t="s">
        <v>598</v>
      </c>
    </row>
    <row r="35">
      <c r="A35" t="s">
        <v>624</v>
      </c>
      <c r="B35">
        <v>-3860</v>
      </c>
      <c r="C35">
        <v>-10952</v>
      </c>
      <c r="D35">
        <v>5760</v>
      </c>
      <c r="E35">
        <v>-794</v>
      </c>
      <c r="F35">
        <v>5991</v>
      </c>
      <c r="G35" t="s">
        <v>598</v>
      </c>
    </row>
    <row r="36">
      <c r="A36" t="s">
        <v>625</v>
      </c>
      <c r="B36">
        <v>35929</v>
      </c>
      <c r="C36">
        <v>24977</v>
      </c>
      <c r="D36">
        <v>30737</v>
      </c>
      <c r="E36">
        <v>29943</v>
      </c>
      <c r="F36">
        <v>35934</v>
      </c>
      <c r="G36" t="s">
        <v>598</v>
      </c>
    </row>
    <row r="38">
      <c r="A38" t="s">
        <v>626</v>
      </c>
      <c r="B38">
        <v>25385</v>
      </c>
      <c r="C38">
        <v>19573</v>
      </c>
      <c r="D38">
        <v>18679</v>
      </c>
      <c r="E38">
        <v>26102</v>
      </c>
      <c r="F38">
        <v>43369</v>
      </c>
      <c r="G38" t="s">
        <v>598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ColWidth="8.375" defaultRowHeight="15"/>
  <sheetData>
    <row r="1">
      <c r="A1" t="s">
        <v>627</v>
      </c>
    </row>
    <row r="2">
      <c r="A2" t="s">
        <v>628</v>
      </c>
    </row>
    <row r="4">
      <c r="A4" t="s">
        <v>521</v>
      </c>
      <c r="B4" t="s">
        <v>522</v>
      </c>
      <c r="C4" t="s">
        <v>523</v>
      </c>
      <c r="D4" t="s">
        <v>524</v>
      </c>
      <c r="E4" t="s">
        <v>525</v>
      </c>
      <c r="F4" t="s">
        <v>526</v>
      </c>
      <c r="G4" t="s">
        <v>527</v>
      </c>
    </row>
    <row r="5">
      <c r="A5" t="s">
        <v>629</v>
      </c>
      <c r="C5">
        <v>63090</v>
      </c>
      <c r="D5">
        <v>50672</v>
      </c>
      <c r="E5">
        <v>62146</v>
      </c>
      <c r="F5">
        <v>56950</v>
      </c>
    </row>
    <row r="6">
      <c r="A6" t="s">
        <v>630</v>
      </c>
      <c r="C6">
        <v>1175</v>
      </c>
      <c r="D6">
        <v>1346</v>
      </c>
      <c r="E6">
        <v>1423</v>
      </c>
      <c r="F6">
        <v>1498</v>
      </c>
    </row>
    <row r="7">
      <c r="A7" t="s">
        <v>631</v>
      </c>
      <c r="C7">
        <v>-2971</v>
      </c>
      <c r="D7">
        <v>-3521</v>
      </c>
      <c r="E7">
        <v>-3993</v>
      </c>
      <c r="F7">
        <v>-4452</v>
      </c>
    </row>
    <row r="8">
      <c r="A8" t="s">
        <v>632</v>
      </c>
      <c r="C8">
        <v>-3454</v>
      </c>
      <c r="D8">
        <v>-2099</v>
      </c>
      <c r="E8">
        <v>-1612</v>
      </c>
      <c r="F8">
        <v>-1655</v>
      </c>
    </row>
    <row r="9">
      <c r="A9" t="s">
        <v>633</v>
      </c>
      <c r="C9">
        <v>9280</v>
      </c>
      <c r="D9">
        <v>11138</v>
      </c>
      <c r="E9">
        <v>12034</v>
      </c>
      <c r="F9">
        <v>13246</v>
      </c>
    </row>
    <row r="10">
      <c r="A10" t="s">
        <v>111</v>
      </c>
      <c r="B10">
        <v>94680</v>
      </c>
      <c r="C10">
        <v>99803</v>
      </c>
      <c r="D10">
        <v>96995</v>
      </c>
      <c r="E10">
        <v>93736</v>
      </c>
      <c r="F10">
        <v>112010</v>
      </c>
    </row>
    <row r="11">
      <c r="A11" t="s">
        <v>634</v>
      </c>
      <c r="C11">
        <v>-14793</v>
      </c>
      <c r="D11">
        <v>-14996</v>
      </c>
      <c r="E11">
        <v>-15218</v>
      </c>
      <c r="F11">
        <v>-15413</v>
      </c>
    </row>
    <row r="12">
      <c r="A12" t="s">
        <v>635</v>
      </c>
      <c r="C12">
        <v>-90186</v>
      </c>
      <c r="D12">
        <v>-77046</v>
      </c>
      <c r="E12">
        <v>-95846</v>
      </c>
      <c r="F12">
        <v>-90052</v>
      </c>
    </row>
    <row r="13">
      <c r="A13" t="s">
        <v>636</v>
      </c>
      <c r="C13">
        <v>-11272</v>
      </c>
      <c r="D13">
        <v>-343</v>
      </c>
      <c r="E13">
        <v>4280</v>
      </c>
      <c r="F13">
        <v>1601</v>
      </c>
    </row>
    <row r="14">
      <c r="A14" t="s">
        <v>637</v>
      </c>
      <c r="B14">
        <v>63090</v>
      </c>
      <c r="C14">
        <v>50672</v>
      </c>
      <c r="D14">
        <v>62146</v>
      </c>
      <c r="E14">
        <v>56950</v>
      </c>
      <c r="F14">
        <v>73733</v>
      </c>
    </row>
    <row r="15">
      <c r="A15" t="s">
        <v>637</v>
      </c>
      <c r="B15">
        <v>63090</v>
      </c>
      <c r="C15">
        <v>50672</v>
      </c>
      <c r="D15">
        <v>62146</v>
      </c>
      <c r="E15">
        <v>56950</v>
      </c>
      <c r="F15">
        <v>73733</v>
      </c>
    </row>
    <row r="16">
      <c r="A16" t="s">
        <v>638</v>
      </c>
      <c r="B16">
        <v>0.85</v>
      </c>
      <c r="C16">
        <v>0.9</v>
      </c>
      <c r="D16">
        <v>0.94</v>
      </c>
      <c r="E16">
        <v>0.98</v>
      </c>
      <c r="F16">
        <v>1.02</v>
      </c>
    </row>
    <row r="17">
      <c r="A17" t="s">
        <v>638</v>
      </c>
      <c r="B17">
        <v>0.85</v>
      </c>
      <c r="C17">
        <v>0.9</v>
      </c>
      <c r="D17">
        <v>0.94</v>
      </c>
      <c r="E17">
        <v>0.98</v>
      </c>
      <c r="F17">
        <v>1.02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ColWidth="8.375" defaultRowHeight="15"/>
  <sheetData>
    <row r="1">
      <c r="A1" t="s">
        <v>639</v>
      </c>
    </row>
    <row r="2">
      <c r="A2" t="s">
        <v>640</v>
      </c>
    </row>
    <row r="4">
      <c r="A4" t="s">
        <v>36</v>
      </c>
      <c r="B4" t="s">
        <v>522</v>
      </c>
      <c r="C4" t="s">
        <v>523</v>
      </c>
      <c r="D4" t="s">
        <v>524</v>
      </c>
      <c r="E4" t="s">
        <v>525</v>
      </c>
      <c r="F4" t="s">
        <v>526</v>
      </c>
    </row>
    <row r="5">
      <c r="A5" t="s">
        <v>641</v>
      </c>
      <c r="C5">
        <v>316199</v>
      </c>
      <c r="D5">
        <v>298085</v>
      </c>
      <c r="E5">
        <v>294866</v>
      </c>
      <c r="F5">
        <v>307003</v>
      </c>
    </row>
    <row r="6">
      <c r="A6" t="s">
        <v>642</v>
      </c>
      <c r="C6">
        <v>201471</v>
      </c>
      <c r="D6">
        <v>189282</v>
      </c>
      <c r="E6">
        <v>185233</v>
      </c>
      <c r="F6">
        <v>194116</v>
      </c>
    </row>
    <row r="7">
      <c r="A7" t="s">
        <v>643</v>
      </c>
      <c r="B7" t="str">
        <f>IF(B5="","",B5-B6)</f>
        <v/>
      </c>
      <c r="C7">
        <f>IF(C5="","",C5-C6)</f>
        <v>114728</v>
      </c>
      <c r="D7">
        <f>IF(D5="","",D5-D6)</f>
        <v>108803</v>
      </c>
      <c r="E7">
        <f>IF(E5="","",E5-E6)</f>
        <v>109633</v>
      </c>
      <c r="F7">
        <f>IF(F5="","",F5-F6)</f>
        <v>112887</v>
      </c>
    </row>
    <row r="8">
      <c r="A8" t="s">
        <v>644</v>
      </c>
      <c r="C8">
        <v>78129</v>
      </c>
      <c r="D8">
        <v>85200</v>
      </c>
      <c r="E8">
        <v>96169</v>
      </c>
      <c r="F8">
        <v>109158</v>
      </c>
    </row>
    <row r="9">
      <c r="A9" t="s">
        <v>645</v>
      </c>
      <c r="C9">
        <v>22075</v>
      </c>
      <c r="D9">
        <v>24855</v>
      </c>
      <c r="E9">
        <v>25119</v>
      </c>
      <c r="F9">
        <v>26844</v>
      </c>
    </row>
    <row r="10">
      <c r="A10" t="s">
        <v>646</v>
      </c>
      <c r="B10" t="str">
        <f>IF(B8="","",B8-B9)</f>
        <v/>
      </c>
      <c r="C10">
        <f>IF(C8="","",C8-C9)</f>
        <v>56054</v>
      </c>
      <c r="D10">
        <f>IF(D8="","",D8-D9)</f>
        <v>60345</v>
      </c>
      <c r="E10">
        <f>IF(E8="","",E8-E9)</f>
        <v>71050</v>
      </c>
      <c r="F10">
        <f>IF(F8="","",F8-F9)</f>
        <v>82314</v>
      </c>
    </row>
    <row r="11">
      <c r="A11" t="s">
        <v>647</v>
      </c>
      <c r="B11" t="str">
        <f>IF(B5="","",B5/IS_Hist!B7)</f>
        <v/>
      </c>
      <c r="C11">
        <f>IF(C5="","",C5/IS_Hist!C7)</f>
        <v>0.8018679880708446</v>
      </c>
      <c r="D11">
        <f>IF(D5="","",D5/IS_Hist!D7)</f>
        <v>0.777711102704254</v>
      </c>
      <c r="E11">
        <f>IF(E5="","",E5/IS_Hist!E7)</f>
        <v>0.7540654928586955</v>
      </c>
      <c r="F11">
        <f>IF(F5="","",F5/IS_Hist!F7)</f>
        <v>0.7377024757245393</v>
      </c>
    </row>
    <row r="12">
      <c r="A12" t="s">
        <v>648</v>
      </c>
      <c r="B12" t="str">
        <f>IF(B8="","",B8/IS_Hist!B7)</f>
        <v/>
      </c>
      <c r="C12">
        <f>IF(C8="","",C8/IS_Hist!C7)</f>
        <v>0.19813201192915542</v>
      </c>
      <c r="D12">
        <f>IF(D8="","",D8/IS_Hist!D7)</f>
        <v>0.222288897295746</v>
      </c>
      <c r="E12">
        <f>IF(E8="","",E8/IS_Hist!E7)</f>
        <v>0.2459345071413045</v>
      </c>
      <c r="F12">
        <f>IF(F8="","",F8/IS_Hist!F7)</f>
        <v>0.2622975242754607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ColWidth="8.375" defaultRowHeight="15"/>
  <sheetData>
    <row r="1">
      <c r="A1" t="s">
        <v>649</v>
      </c>
    </row>
    <row r="2">
      <c r="A2" t="s">
        <v>650</v>
      </c>
      <c r="B2" t="str">
        <f>IF(COUNTIF(H5:H61,"FAIL")=0,"OK — ALL TIE-OUTS PASS","FAIL")</f>
        <v>FAIL</v>
      </c>
    </row>
    <row r="3">
      <c r="A3" t="s">
        <v>651</v>
      </c>
      <c r="B3" t="str">
        <f>COUNTIF(H5:H61,"PASS")&amp;" PASS / "&amp;(COUNTIF(H5:H61,"PASS")+COUNTIF(H5:H61,"FAIL"))&amp;" checks"</f>
        <v>55 PASS / 56 checks</v>
      </c>
    </row>
    <row r="4">
      <c r="A4" t="s">
        <v>652</v>
      </c>
      <c r="B4" t="s">
        <v>522</v>
      </c>
      <c r="C4" t="s">
        <v>523</v>
      </c>
      <c r="D4" t="s">
        <v>524</v>
      </c>
      <c r="E4" t="s">
        <v>525</v>
      </c>
      <c r="F4" t="s">
        <v>526</v>
      </c>
      <c r="H4" t="s">
        <v>267</v>
      </c>
      <c r="I4" t="s">
        <v>653</v>
      </c>
    </row>
    <row r="5">
      <c r="A5" t="s">
        <v>654</v>
      </c>
      <c r="C5">
        <f>IS_Hist!C5+IS_Hist!C6-IS_Hist!C7</f>
        <v>0</v>
      </c>
      <c r="D5">
        <f>IS_Hist!D5+IS_Hist!D6-IS_Hist!D7</f>
        <v>0</v>
      </c>
      <c r="E5">
        <f>IS_Hist!E5+IS_Hist!E6-IS_Hist!E7</f>
        <v>0</v>
      </c>
      <c r="F5">
        <f>IS_Hist!F5+IS_Hist!F6-IS_Hist!F7</f>
        <v>0</v>
      </c>
      <c r="H5" t="str">
        <f>IF(AND(ABS(N(C5))&lt;=0.5,ABS(N(D5))&lt;=0.5,ABS(N(E5))&lt;=0.5,ABS(N(F5))&lt;=0.5),"PASS","FAIL")</f>
        <v>PASS</v>
      </c>
      <c r="I5" t="s">
        <v>655</v>
      </c>
    </row>
    <row r="6">
      <c r="A6" t="s">
        <v>656</v>
      </c>
      <c r="C6">
        <f>IS_Hist!C8+IS_Hist!C9-IS_Hist!C10</f>
        <v>0</v>
      </c>
      <c r="D6">
        <f>IS_Hist!D8+IS_Hist!D9-IS_Hist!D10</f>
        <v>0</v>
      </c>
      <c r="E6">
        <f>IS_Hist!E8+IS_Hist!E9-IS_Hist!E10</f>
        <v>0</v>
      </c>
      <c r="F6">
        <f>IS_Hist!F8+IS_Hist!F9-IS_Hist!F10</f>
        <v>0</v>
      </c>
      <c r="H6" t="str">
        <f>IF(AND(ABS(N(C6))&lt;=0.5,ABS(N(D6))&lt;=0.5,ABS(N(E6))&lt;=0.5,ABS(N(F6))&lt;=0.5),"PASS","FAIL")</f>
        <v>PASS</v>
      </c>
      <c r="I6" t="s">
        <v>655</v>
      </c>
    </row>
    <row r="7">
      <c r="A7" t="s">
        <v>657</v>
      </c>
      <c r="B7">
        <f>IS_Hist!B7-IS_Hist!B10-IS_Hist!B11</f>
        <v>0</v>
      </c>
      <c r="C7">
        <f>IS_Hist!C7-IS_Hist!C10-IS_Hist!C11</f>
        <v>0</v>
      </c>
      <c r="D7">
        <f>IS_Hist!D7-IS_Hist!D10-IS_Hist!D11</f>
        <v>0</v>
      </c>
      <c r="E7">
        <f>IS_Hist!E7-IS_Hist!E10-IS_Hist!E11</f>
        <v>0</v>
      </c>
      <c r="F7">
        <f>IS_Hist!F7-IS_Hist!F10-IS_Hist!F11</f>
        <v>0</v>
      </c>
      <c r="H7" t="str">
        <f>IF(AND(ABS(N(B7))&lt;=0.5,ABS(N(C7))&lt;=0.5,ABS(N(D7))&lt;=0.5,ABS(N(E7))&lt;=0.5,ABS(N(F7))&lt;=0.5),"PASS","FAIL")</f>
        <v>PASS</v>
      </c>
      <c r="I7" t="s">
        <v>658</v>
      </c>
    </row>
    <row r="8">
      <c r="A8" t="s">
        <v>659</v>
      </c>
      <c r="B8">
        <f>IS_Hist!B13+IS_Hist!B14-IS_Hist!B15</f>
        <v>0</v>
      </c>
      <c r="C8">
        <f>IS_Hist!C13+IS_Hist!C14-IS_Hist!C15</f>
        <v>0</v>
      </c>
      <c r="D8">
        <f>IS_Hist!D13+IS_Hist!D14-IS_Hist!D15</f>
        <v>0</v>
      </c>
      <c r="E8">
        <f>IS_Hist!E13+IS_Hist!E14-IS_Hist!E15</f>
        <v>0</v>
      </c>
      <c r="F8">
        <f>IS_Hist!F13+IS_Hist!F14-IS_Hist!F15</f>
        <v>0</v>
      </c>
      <c r="H8" t="str">
        <f>IF(AND(ABS(N(B8))&lt;=0.5,ABS(N(C8))&lt;=0.5,ABS(N(D8))&lt;=0.5,ABS(N(E8))&lt;=0.5,ABS(N(F8))&lt;=0.5),"PASS","FAIL")</f>
        <v>PASS</v>
      </c>
      <c r="I8" t="s">
        <v>658</v>
      </c>
    </row>
    <row r="9">
      <c r="A9" t="s">
        <v>660</v>
      </c>
      <c r="B9">
        <f>IS_Hist!B11-IS_Hist!B15-IS_Hist!B16</f>
        <v>0</v>
      </c>
      <c r="C9">
        <f>IS_Hist!C11-IS_Hist!C15-IS_Hist!C16</f>
        <v>0</v>
      </c>
      <c r="D9">
        <f>IS_Hist!D11-IS_Hist!D15-IS_Hist!D16</f>
        <v>0</v>
      </c>
      <c r="E9">
        <f>IS_Hist!E11-IS_Hist!E15-IS_Hist!E16</f>
        <v>0</v>
      </c>
      <c r="F9">
        <f>IS_Hist!F11-IS_Hist!F15-IS_Hist!F16</f>
        <v>0</v>
      </c>
      <c r="H9" t="str">
        <f>IF(AND(ABS(N(B9))&lt;=0.5,ABS(N(C9))&lt;=0.5,ABS(N(D9))&lt;=0.5,ABS(N(E9))&lt;=0.5,ABS(N(F9))&lt;=0.5),"PASS","FAIL")</f>
        <v>PASS</v>
      </c>
      <c r="I9" t="s">
        <v>658</v>
      </c>
    </row>
    <row r="10">
      <c r="A10" t="s">
        <v>661</v>
      </c>
      <c r="B10">
        <f>IS_Hist!B16+IS_Hist!B17-IS_Hist!B18</f>
        <v>0</v>
      </c>
      <c r="C10">
        <f>IS_Hist!C16+IS_Hist!C17-IS_Hist!C18</f>
        <v>0</v>
      </c>
      <c r="D10">
        <f>IS_Hist!D16+IS_Hist!D17-IS_Hist!D18</f>
        <v>0</v>
      </c>
      <c r="E10">
        <f>IS_Hist!E16+IS_Hist!E17-IS_Hist!E18</f>
        <v>0</v>
      </c>
      <c r="F10">
        <f>IS_Hist!F16+IS_Hist!F17-IS_Hist!F18</f>
        <v>0</v>
      </c>
      <c r="H10" t="str">
        <f>IF(AND(ABS(N(B10))&lt;=0.5,ABS(N(C10))&lt;=0.5,ABS(N(D10))&lt;=0.5,ABS(N(E10))&lt;=0.5,ABS(N(F10))&lt;=0.5),"PASS","FAIL")</f>
        <v>PASS</v>
      </c>
      <c r="I10" t="s">
        <v>658</v>
      </c>
    </row>
    <row r="11">
      <c r="A11" t="s">
        <v>662</v>
      </c>
      <c r="B11">
        <f>IS_Hist!B18-IS_Hist!B19-IS_Hist!B20</f>
        <v>0</v>
      </c>
      <c r="C11">
        <f>IS_Hist!C18-IS_Hist!C19-IS_Hist!C20</f>
        <v>0</v>
      </c>
      <c r="D11">
        <f>IS_Hist!D18-IS_Hist!D19-IS_Hist!D20</f>
        <v>0</v>
      </c>
      <c r="E11">
        <f>IS_Hist!E18-IS_Hist!E19-IS_Hist!E20</f>
        <v>0</v>
      </c>
      <c r="F11">
        <f>IS_Hist!F18-IS_Hist!F19-IS_Hist!F20</f>
        <v>0</v>
      </c>
      <c r="H11" t="str">
        <f>IF(AND(ABS(N(B11))&lt;=0.5,ABS(N(C11))&lt;=0.5,ABS(N(D11))&lt;=0.5,ABS(N(E11))&lt;=0.5,ABS(N(F11))&lt;=0.5),"PASS","FAIL")</f>
        <v>PASS</v>
      </c>
      <c r="I11" t="s">
        <v>658</v>
      </c>
    </row>
    <row r="12">
      <c r="A12" t="s">
        <v>663</v>
      </c>
      <c r="B12">
        <f>ROUND(IS_Hist!B20*1000/IS_Hist!B25,2)-IS_Hist!B23</f>
        <v>0</v>
      </c>
      <c r="C12">
        <f>ROUND(IS_Hist!C20*1000/IS_Hist!C25,2)-IS_Hist!C23</f>
        <v>0</v>
      </c>
      <c r="D12">
        <f>ROUND(IS_Hist!D20*1000/IS_Hist!D25,2)-IS_Hist!D23</f>
        <v>0</v>
      </c>
      <c r="E12">
        <f>ROUND(IS_Hist!E20*1000/IS_Hist!E25,2)-IS_Hist!E23</f>
        <v>0</v>
      </c>
      <c r="F12">
        <f>ROUND(IS_Hist!F20*1000/IS_Hist!F25,2)-IS_Hist!F23</f>
        <v>0</v>
      </c>
      <c r="H12" t="str">
        <f>IF(AND(ABS(N(B12))&lt;=0.5,ABS(N(C12))&lt;=0.5,ABS(N(D12))&lt;=0.5,ABS(N(E12))&lt;=0.5,ABS(N(F12))&lt;=0.5),"PASS","FAIL")</f>
        <v>PASS</v>
      </c>
      <c r="I12" t="s">
        <v>658</v>
      </c>
    </row>
    <row r="13">
      <c r="A13" t="s">
        <v>664</v>
      </c>
      <c r="C13">
        <f>CI_Hist!C5+CI_Hist!C13-CI_Hist!C14</f>
        <v>0</v>
      </c>
      <c r="D13">
        <f>CI_Hist!D5+CI_Hist!D13-CI_Hist!D14</f>
        <v>0</v>
      </c>
      <c r="E13">
        <f>CI_Hist!E5+CI_Hist!E13-CI_Hist!E14</f>
        <v>0</v>
      </c>
      <c r="F13">
        <f>CI_Hist!F5+CI_Hist!F13-CI_Hist!F14</f>
        <v>0</v>
      </c>
      <c r="H13" t="str">
        <f>IF(AND(ABS(N(C13))&lt;=0.5,ABS(N(D13))&lt;=0.5,ABS(N(E13))&lt;=0.5,ABS(N(F13))&lt;=0.5),"PASS","FAIL")</f>
        <v>PASS</v>
      </c>
      <c r="I13" t="s">
        <v>655</v>
      </c>
    </row>
    <row r="14">
      <c r="A14" t="s">
        <v>665</v>
      </c>
      <c r="B14">
        <f>SUM(BS_Hist!B6:B11)-BS_Hist!B12</f>
        <v>0</v>
      </c>
      <c r="C14">
        <f>SUM(BS_Hist!C6:C11)-BS_Hist!C12</f>
        <v>0</v>
      </c>
      <c r="D14">
        <f>SUM(BS_Hist!D6:D11)-BS_Hist!D12</f>
        <v>0</v>
      </c>
      <c r="E14">
        <f>SUM(BS_Hist!E6:E11)-BS_Hist!E12</f>
        <v>0</v>
      </c>
      <c r="F14">
        <f>SUM(BS_Hist!F6:F11)-BS_Hist!F12</f>
        <v>0</v>
      </c>
      <c r="H14" t="str">
        <f>IF(AND(ABS(N(B14))&lt;=0.5,ABS(N(C14))&lt;=0.5,ABS(N(D14))&lt;=0.5,ABS(N(E14))&lt;=0.5,ABS(N(F14))&lt;=0.5),"PASS","FAIL")</f>
        <v>PASS</v>
      </c>
      <c r="I14" t="s">
        <v>658</v>
      </c>
    </row>
    <row r="15">
      <c r="A15" t="s">
        <v>666</v>
      </c>
      <c r="B15">
        <f>SUM(BS_Hist!B14:B16)-BS_Hist!B17</f>
        <v>0</v>
      </c>
      <c r="C15">
        <f>SUM(BS_Hist!C14:C16)-BS_Hist!C17</f>
        <v>0</v>
      </c>
      <c r="D15">
        <f>SUM(BS_Hist!D14:D16)-BS_Hist!D17</f>
        <v>0</v>
      </c>
      <c r="E15">
        <f>SUM(BS_Hist!E14:E16)-BS_Hist!E17</f>
        <v>0</v>
      </c>
      <c r="F15">
        <f>SUM(BS_Hist!F14:F16)-BS_Hist!F17</f>
        <v>0</v>
      </c>
      <c r="H15" t="str">
        <f>IF(AND(ABS(N(B15))&lt;=0.5,ABS(N(C15))&lt;=0.5,ABS(N(D15))&lt;=0.5,ABS(N(E15))&lt;=0.5,ABS(N(F15))&lt;=0.5),"PASS","FAIL")</f>
        <v>PASS</v>
      </c>
      <c r="I15" t="s">
        <v>658</v>
      </c>
    </row>
    <row r="16">
      <c r="A16" t="s">
        <v>667</v>
      </c>
      <c r="B16">
        <f>BS_Hist!B12+BS_Hist!B17-BS_Hist!B18</f>
        <v>0</v>
      </c>
      <c r="C16">
        <f>BS_Hist!C12+BS_Hist!C17-BS_Hist!C18</f>
        <v>0</v>
      </c>
      <c r="D16">
        <f>BS_Hist!D12+BS_Hist!D17-BS_Hist!D18</f>
        <v>0</v>
      </c>
      <c r="E16">
        <f>BS_Hist!E12+BS_Hist!E17-BS_Hist!E18</f>
        <v>0</v>
      </c>
      <c r="F16">
        <f>BS_Hist!F12+BS_Hist!F17-BS_Hist!F18</f>
        <v>0</v>
      </c>
      <c r="H16" t="str">
        <f>IF(AND(ABS(N(B16))&lt;=0.5,ABS(N(C16))&lt;=0.5,ABS(N(D16))&lt;=0.5,ABS(N(E16))&lt;=0.5,ABS(N(F16))&lt;=0.5),"PASS","FAIL")</f>
        <v>PASS</v>
      </c>
      <c r="I16" t="s">
        <v>658</v>
      </c>
    </row>
    <row r="17">
      <c r="A17" t="s">
        <v>668</v>
      </c>
      <c r="B17">
        <f>SUM(BS_Hist!B21:B25)-BS_Hist!B26</f>
        <v>0</v>
      </c>
      <c r="C17">
        <f>SUM(BS_Hist!C21:C25)-BS_Hist!C26</f>
        <v>0</v>
      </c>
      <c r="D17">
        <f>SUM(BS_Hist!D21:D25)-BS_Hist!D26</f>
        <v>0</v>
      </c>
      <c r="E17">
        <f>SUM(BS_Hist!E21:E25)-BS_Hist!E26</f>
        <v>0</v>
      </c>
      <c r="F17">
        <f>SUM(BS_Hist!F21:F25)-BS_Hist!F26</f>
        <v>0</v>
      </c>
      <c r="H17" t="str">
        <f>IF(AND(ABS(N(B17))&lt;=0.5,ABS(N(C17))&lt;=0.5,ABS(N(D17))&lt;=0.5,ABS(N(E17))&lt;=0.5,ABS(N(F17))&lt;=0.5),"PASS","FAIL")</f>
        <v>PASS</v>
      </c>
      <c r="I17" t="s">
        <v>658</v>
      </c>
    </row>
    <row r="18">
      <c r="A18" t="s">
        <v>669</v>
      </c>
      <c r="B18">
        <f>SUM(BS_Hist!B28:B29)-BS_Hist!B30</f>
        <v>0</v>
      </c>
      <c r="C18">
        <f>SUM(BS_Hist!C28:C29)-BS_Hist!C30</f>
        <v>0</v>
      </c>
      <c r="D18">
        <f>SUM(BS_Hist!D28:D29)-BS_Hist!D30</f>
        <v>0</v>
      </c>
      <c r="E18">
        <f>SUM(BS_Hist!E28:E29)-BS_Hist!E30</f>
        <v>0</v>
      </c>
      <c r="F18">
        <f>SUM(BS_Hist!F28:F29)-BS_Hist!F30</f>
        <v>0</v>
      </c>
      <c r="H18" t="str">
        <f>IF(AND(ABS(N(B18))&lt;=0.5,ABS(N(C18))&lt;=0.5,ABS(N(D18))&lt;=0.5,ABS(N(E18))&lt;=0.5,ABS(N(F18))&lt;=0.5),"PASS","FAIL")</f>
        <v>PASS</v>
      </c>
      <c r="I18" t="s">
        <v>658</v>
      </c>
    </row>
    <row r="19">
      <c r="A19" t="s">
        <v>670</v>
      </c>
      <c r="B19">
        <f>BS_Hist!B26+BS_Hist!B30-BS_Hist!B31</f>
        <v>0</v>
      </c>
      <c r="C19">
        <f>BS_Hist!C26+BS_Hist!C30-BS_Hist!C31</f>
        <v>0</v>
      </c>
      <c r="D19">
        <f>BS_Hist!D26+BS_Hist!D30-BS_Hist!D31</f>
        <v>0</v>
      </c>
      <c r="E19">
        <f>BS_Hist!E26+BS_Hist!E30-BS_Hist!E31</f>
        <v>0</v>
      </c>
      <c r="F19">
        <f>BS_Hist!F26+BS_Hist!F30-BS_Hist!F31</f>
        <v>0</v>
      </c>
      <c r="H19" t="str">
        <f>IF(AND(ABS(N(B19))&lt;=0.5,ABS(N(C19))&lt;=0.5,ABS(N(D19))&lt;=0.5,ABS(N(E19))&lt;=0.5,ABS(N(F19))&lt;=0.5),"PASS","FAIL")</f>
        <v>PASS</v>
      </c>
      <c r="I19" t="s">
        <v>658</v>
      </c>
    </row>
    <row r="20">
      <c r="A20" t="s">
        <v>671</v>
      </c>
      <c r="B20">
        <f>SUM(BS_Hist!B34:B36)-BS_Hist!B37</f>
        <v>0</v>
      </c>
      <c r="C20">
        <f>SUM(BS_Hist!C34:C36)-BS_Hist!C37</f>
        <v>0</v>
      </c>
      <c r="D20">
        <f>SUM(BS_Hist!D34:D36)-BS_Hist!D37</f>
        <v>0</v>
      </c>
      <c r="E20">
        <f>SUM(BS_Hist!E34:E36)-BS_Hist!E37</f>
        <v>0</v>
      </c>
      <c r="F20">
        <f>SUM(BS_Hist!F34:F36)-BS_Hist!F37</f>
        <v>0</v>
      </c>
      <c r="H20" t="str">
        <f>IF(AND(ABS(N(B20))&lt;=0.5,ABS(N(C20))&lt;=0.5,ABS(N(D20))&lt;=0.5,ABS(N(E20))&lt;=0.5,ABS(N(F20))&lt;=0.5),"PASS","FAIL")</f>
        <v>PASS</v>
      </c>
      <c r="I20" t="s">
        <v>658</v>
      </c>
    </row>
    <row r="21">
      <c r="A21" t="s">
        <v>672</v>
      </c>
      <c r="B21">
        <f>BS_Hist!B31+BS_Hist!B37-BS_Hist!B38</f>
        <v>0</v>
      </c>
      <c r="C21">
        <f>BS_Hist!C31+BS_Hist!C37-BS_Hist!C38</f>
        <v>0</v>
      </c>
      <c r="D21">
        <f>BS_Hist!D31+BS_Hist!D37-BS_Hist!D38</f>
        <v>0</v>
      </c>
      <c r="E21">
        <f>BS_Hist!E31+BS_Hist!E37-BS_Hist!E38</f>
        <v>0</v>
      </c>
      <c r="F21">
        <f>BS_Hist!F31+BS_Hist!F37-BS_Hist!F38</f>
        <v>0</v>
      </c>
      <c r="H21" t="str">
        <f>IF(AND(ABS(N(B21))&lt;=0.5,ABS(N(C21))&lt;=0.5,ABS(N(D21))&lt;=0.5,ABS(N(E21))&lt;=0.5,ABS(N(F21))&lt;=0.5),"PASS","FAIL")</f>
        <v>PASS</v>
      </c>
      <c r="I21" t="s">
        <v>658</v>
      </c>
    </row>
    <row r="22">
      <c r="A22" t="s">
        <v>673</v>
      </c>
      <c r="B22">
        <f>BS_Hist!B18-BS_Hist!B38</f>
        <v>0</v>
      </c>
      <c r="C22">
        <f>BS_Hist!C18-BS_Hist!C38</f>
        <v>0</v>
      </c>
      <c r="D22">
        <f>BS_Hist!D18-BS_Hist!D38</f>
        <v>0</v>
      </c>
      <c r="E22">
        <f>BS_Hist!E18-BS_Hist!E38</f>
        <v>0</v>
      </c>
      <c r="F22">
        <f>BS_Hist!F18-BS_Hist!F38</f>
        <v>0</v>
      </c>
      <c r="H22" t="str">
        <f>IF(AND(ABS(N(B22))&lt;=0.5,ABS(N(C22))&lt;=0.5,ABS(N(D22))&lt;=0.5,ABS(N(E22))&lt;=0.5,ABS(N(F22))&lt;=0.5),"PASS","FAIL")</f>
        <v>PASS</v>
      </c>
      <c r="I22" t="s">
        <v>658</v>
      </c>
    </row>
    <row r="23">
      <c r="A23" t="s">
        <v>674</v>
      </c>
      <c r="B23">
        <f>SUM(CF_Hist!B7:B17)-CF_Hist!B18</f>
        <v>0</v>
      </c>
      <c r="C23">
        <f>SUM(CF_Hist!C7:C17)-CF_Hist!C18</f>
        <v>0</v>
      </c>
      <c r="D23">
        <f>SUM(CF_Hist!D7:D17)-CF_Hist!D18</f>
        <v>0</v>
      </c>
      <c r="E23">
        <f>SUM(CF_Hist!E7:E17)-CF_Hist!E18</f>
        <v>0</v>
      </c>
      <c r="F23">
        <f>SUM(CF_Hist!F7:F17)-CF_Hist!F18</f>
        <v>0</v>
      </c>
      <c r="H23" t="str">
        <f>IF(AND(ABS(N(B23))&lt;=0.5,ABS(N(C23))&lt;=0.5,ABS(N(D23))&lt;=0.5,ABS(N(E23))&lt;=0.5,ABS(N(F23))&lt;=0.5),"PASS","FAIL")</f>
        <v>PASS</v>
      </c>
      <c r="I23" t="s">
        <v>658</v>
      </c>
    </row>
    <row r="24">
      <c r="A24" t="s">
        <v>675</v>
      </c>
      <c r="B24">
        <f>SUM(CF_Hist!B20:B24)-CF_Hist!B25</f>
        <v>0</v>
      </c>
      <c r="C24">
        <f>SUM(CF_Hist!C20:C24)-CF_Hist!C25</f>
        <v>0</v>
      </c>
      <c r="D24">
        <f>SUM(CF_Hist!D20:D24)-CF_Hist!D25</f>
        <v>0</v>
      </c>
      <c r="E24">
        <f>SUM(CF_Hist!E20:E24)-CF_Hist!E25</f>
        <v>0</v>
      </c>
      <c r="F24">
        <f>SUM(CF_Hist!F20:F24)-CF_Hist!F25</f>
        <v>0</v>
      </c>
      <c r="H24" t="str">
        <f>IF(AND(ABS(N(B24))&lt;=0.5,ABS(N(C24))&lt;=0.5,ABS(N(D24))&lt;=0.5,ABS(N(E24))&lt;=0.5,ABS(N(F24))&lt;=0.5),"PASS","FAIL")</f>
        <v>PASS</v>
      </c>
      <c r="I24" t="s">
        <v>658</v>
      </c>
    </row>
    <row r="25">
      <c r="A25" t="s">
        <v>676</v>
      </c>
      <c r="B25">
        <f>SUM(CF_Hist!B27:B29)+CF_Hist!B30+CF_Hist!B31+CF_Hist!B32+CF_Hist!B33-CF_Hist!B34</f>
        <v>0</v>
      </c>
      <c r="C25">
        <f>SUM(CF_Hist!C27:C29)+CF_Hist!C30+CF_Hist!C31+CF_Hist!C32+CF_Hist!C33-CF_Hist!C34</f>
        <v>0</v>
      </c>
      <c r="D25">
        <f>SUM(CF_Hist!D27:D29)+CF_Hist!D30+CF_Hist!D31+CF_Hist!D32+CF_Hist!D33-CF_Hist!D34</f>
        <v>0</v>
      </c>
      <c r="E25">
        <f>SUM(CF_Hist!E27:E29)+CF_Hist!E30+CF_Hist!E31+CF_Hist!E32+CF_Hist!E33-CF_Hist!E34</f>
        <v>0</v>
      </c>
      <c r="F25">
        <f>SUM(CF_Hist!F27:F29)+CF_Hist!F30+CF_Hist!F31+CF_Hist!F32+CF_Hist!F33-CF_Hist!F34</f>
        <v>0</v>
      </c>
      <c r="H25" t="str">
        <f>IF(AND(ABS(N(B25))&lt;=0.5,ABS(N(C25))&lt;=0.5,ABS(N(D25))&lt;=0.5,ABS(N(E25))&lt;=0.5,ABS(N(F25))&lt;=0.5),"PASS","FAIL")</f>
        <v>PASS</v>
      </c>
      <c r="I25" t="s">
        <v>658</v>
      </c>
    </row>
    <row r="26">
      <c r="A26" t="s">
        <v>677</v>
      </c>
      <c r="B26">
        <f>CF_Hist!B18+CF_Hist!B25+CF_Hist!B34-CF_Hist!B35</f>
        <v>0</v>
      </c>
      <c r="C26">
        <f>CF_Hist!C18+CF_Hist!C25+CF_Hist!C34-CF_Hist!C35</f>
        <v>0</v>
      </c>
      <c r="D26">
        <f>CF_Hist!D18+CF_Hist!D25+CF_Hist!D34-CF_Hist!D35</f>
        <v>0</v>
      </c>
      <c r="E26">
        <f>CF_Hist!E18+CF_Hist!E25+CF_Hist!E34-CF_Hist!E35</f>
        <v>0</v>
      </c>
      <c r="F26">
        <f>CF_Hist!F18+CF_Hist!F25+CF_Hist!F34-CF_Hist!F35</f>
        <v>0</v>
      </c>
      <c r="H26" t="str">
        <f>IF(AND(ABS(N(B26))&lt;=0.5,ABS(N(C26))&lt;=0.5,ABS(N(D26))&lt;=0.5,ABS(N(E26))&lt;=0.5,ABS(N(F26))&lt;=0.5),"PASS","FAIL")</f>
        <v>PASS</v>
      </c>
      <c r="I26" t="s">
        <v>658</v>
      </c>
    </row>
    <row r="27">
      <c r="A27" t="s">
        <v>678</v>
      </c>
      <c r="B27">
        <f>CF_Hist!B5+CF_Hist!B35-CF_Hist!B36</f>
        <v>0</v>
      </c>
      <c r="C27">
        <f>CF_Hist!C5+CF_Hist!C35-CF_Hist!C36</f>
        <v>0</v>
      </c>
      <c r="D27">
        <f>CF_Hist!D5+CF_Hist!D35-CF_Hist!D36</f>
        <v>0</v>
      </c>
      <c r="E27">
        <f>CF_Hist!E5+CF_Hist!E35-CF_Hist!E36</f>
        <v>0</v>
      </c>
      <c r="F27">
        <f>CF_Hist!F5+CF_Hist!F35-CF_Hist!F36</f>
        <v>0</v>
      </c>
      <c r="H27" t="str">
        <f>IF(AND(ABS(N(B27))&lt;=0.5,ABS(N(C27))&lt;=0.5,ABS(N(D27))&lt;=0.5,ABS(N(E27))&lt;=0.5,ABS(N(F27))&lt;=0.5),"PASS","FAIL")</f>
        <v>PASS</v>
      </c>
      <c r="I27" t="s">
        <v>658</v>
      </c>
    </row>
    <row r="28">
      <c r="A28" t="s">
        <v>679</v>
      </c>
      <c r="B28">
        <f>CF_Hist!B7-IS_Hist!B20</f>
        <v>0</v>
      </c>
      <c r="C28">
        <f>CF_Hist!C7-IS_Hist!C20</f>
        <v>0</v>
      </c>
      <c r="D28">
        <f>CF_Hist!D7-IS_Hist!D20</f>
        <v>0</v>
      </c>
      <c r="E28">
        <f>CF_Hist!E7-IS_Hist!E20</f>
        <v>0</v>
      </c>
      <c r="F28">
        <f>CF_Hist!F7-IS_Hist!F20</f>
        <v>0</v>
      </c>
      <c r="H28" t="str">
        <f>IF(AND(ABS(N(B28))&lt;=0.5,ABS(N(C28))&lt;=0.5,ABS(N(D28))&lt;=0.5,ABS(N(E28))&lt;=0.5,ABS(N(F28))&lt;=0.5),"PASS","FAIL")</f>
        <v>PASS</v>
      </c>
      <c r="I28" t="s">
        <v>658</v>
      </c>
    </row>
    <row r="29">
      <c r="A29" t="s">
        <v>680</v>
      </c>
      <c r="C29">
        <f>SCE_Hist!C5+SCE_Hist!C10+SCE_Hist!C6+SCE_Hist!C7+SCE_Hist!C8+SCE_Hist!C9+SCE_Hist!C11+SCE_Hist!C12+SCE_Hist!C13-SCE_Hist!C14</f>
        <v>0</v>
      </c>
      <c r="D29">
        <f>SCE_Hist!D5+SCE_Hist!D10+SCE_Hist!D6+SCE_Hist!D7+SCE_Hist!D8+SCE_Hist!D9+SCE_Hist!D11+SCE_Hist!D12+SCE_Hist!D13-SCE_Hist!D14</f>
        <v>0</v>
      </c>
      <c r="E29">
        <f>SCE_Hist!E5+SCE_Hist!E10+SCE_Hist!E6+SCE_Hist!E7+SCE_Hist!E8+SCE_Hist!E9+SCE_Hist!E11+SCE_Hist!E12+SCE_Hist!E13-SCE_Hist!E14</f>
        <v>0</v>
      </c>
      <c r="F29">
        <f>SCE_Hist!F5+SCE_Hist!F10+SCE_Hist!F6+SCE_Hist!F7+SCE_Hist!F8+SCE_Hist!F9+SCE_Hist!F11+SCE_Hist!F12+SCE_Hist!F13-SCE_Hist!F14</f>
        <v>0</v>
      </c>
      <c r="H29" t="str">
        <f>IF(AND(ABS(N(C29))&lt;=0.5,ABS(N(D29))&lt;=0.5,ABS(N(E29))&lt;=0.5,ABS(N(F29))&lt;=0.5),"PASS","FAIL")</f>
        <v>PASS</v>
      </c>
      <c r="I29" t="s">
        <v>655</v>
      </c>
    </row>
    <row r="30">
      <c r="A30" t="s">
        <v>681</v>
      </c>
      <c r="B30">
        <f>SCE_Hist!B14-BS_Hist!B37</f>
        <v>0</v>
      </c>
      <c r="C30">
        <f>SCE_Hist!C14-BS_Hist!C37</f>
        <v>0</v>
      </c>
      <c r="D30">
        <f>SCE_Hist!D14-BS_Hist!D37</f>
        <v>0</v>
      </c>
      <c r="E30">
        <f>SCE_Hist!E14-BS_Hist!E37</f>
        <v>0</v>
      </c>
      <c r="F30">
        <f>SCE_Hist!F14-BS_Hist!F37</f>
        <v>0</v>
      </c>
      <c r="H30" t="str">
        <f>IF(AND(ABS(N(B30))&lt;=0.5,ABS(N(C30))&lt;=0.5,ABS(N(D30))&lt;=0.5,ABS(N(E30))&lt;=0.5,ABS(N(F30))&lt;=0.5),"PASS","FAIL")</f>
        <v>PASS</v>
      </c>
      <c r="I30" t="s">
        <v>658</v>
      </c>
    </row>
    <row r="31">
      <c r="A31" t="s">
        <v>682</v>
      </c>
      <c r="C31">
        <f>SCE_Hist!C5-SCE_Hist!B14</f>
        <v>0</v>
      </c>
      <c r="H31" t="str">
        <f>IF(AND(ABS(N(C31))&lt;=0.5),"PASS","FAIL")</f>
        <v>PASS</v>
      </c>
      <c r="I31" t="s">
        <v>683</v>
      </c>
    </row>
    <row r="32">
      <c r="A32" t="s">
        <v>684</v>
      </c>
      <c r="D32">
        <f>SCE_Hist!D5-SCE_Hist!C14</f>
        <v>0</v>
      </c>
      <c r="H32" t="str">
        <f>IF(AND(ABS(N(D32))&lt;=0.5),"PASS","FAIL")</f>
        <v>PASS</v>
      </c>
      <c r="I32" t="s">
        <v>685</v>
      </c>
    </row>
    <row r="33">
      <c r="A33" t="s">
        <v>686</v>
      </c>
      <c r="E33">
        <f>SCE_Hist!E5-SCE_Hist!D14</f>
        <v>0</v>
      </c>
      <c r="H33" t="str">
        <f>IF(AND(ABS(N(E33))&lt;=0.5),"PASS","FAIL")</f>
        <v>PASS</v>
      </c>
      <c r="I33" t="s">
        <v>687</v>
      </c>
    </row>
    <row r="34">
      <c r="A34" t="s">
        <v>688</v>
      </c>
      <c r="F34">
        <f>SCE_Hist!F5-SCE_Hist!E14</f>
        <v>0</v>
      </c>
      <c r="H34" t="str">
        <f>IF(AND(ABS(N(F34))&lt;=0.5),"PASS","FAIL")</f>
        <v>PASS</v>
      </c>
      <c r="I34" t="s">
        <v>689</v>
      </c>
    </row>
    <row r="35">
      <c r="A35" t="s">
        <v>690</v>
      </c>
      <c r="C35">
        <f>CF_Hist!C5-CF_Hist!B36</f>
        <v>0</v>
      </c>
      <c r="H35" t="str">
        <f>IF(AND(ABS(N(C35))&lt;=0.5),"PASS","FAIL")</f>
        <v>PASS</v>
      </c>
      <c r="I35" t="s">
        <v>683</v>
      </c>
    </row>
    <row r="36">
      <c r="A36" t="s">
        <v>691</v>
      </c>
      <c r="D36">
        <f>CF_Hist!D5-CF_Hist!C36</f>
        <v>0</v>
      </c>
      <c r="H36" t="str">
        <f>IF(AND(ABS(N(D36))&lt;=0.5),"PASS","FAIL")</f>
        <v>PASS</v>
      </c>
      <c r="I36" t="s">
        <v>685</v>
      </c>
    </row>
    <row r="37">
      <c r="A37" t="s">
        <v>692</v>
      </c>
      <c r="E37">
        <f>CF_Hist!E5-CF_Hist!D36</f>
        <v>0</v>
      </c>
      <c r="H37" t="str">
        <f>IF(AND(ABS(N(E37))&lt;=0.5),"PASS","FAIL")</f>
        <v>PASS</v>
      </c>
      <c r="I37" t="s">
        <v>687</v>
      </c>
    </row>
    <row r="38">
      <c r="A38" t="s">
        <v>693</v>
      </c>
      <c r="F38">
        <f>CF_Hist!F5-CF_Hist!E36</f>
        <v>0</v>
      </c>
      <c r="H38" t="str">
        <f>IF(AND(ABS(N(F38))&lt;=0.5),"PASS","FAIL")</f>
        <v>PASS</v>
      </c>
      <c r="I38" t="s">
        <v>689</v>
      </c>
    </row>
    <row r="39">
      <c r="A39" s="33" t="s">
        <v>694</v>
      </c>
      <c r="B39" s="33"/>
      <c r="C39" s="33"/>
      <c r="D39" s="33"/>
      <c r="E39" s="33"/>
      <c r="F39" s="33"/>
      <c r="G39" s="33"/>
      <c r="H39" s="33"/>
      <c r="I39" s="33"/>
    </row>
    <row r="40">
      <c r="A40" t="s">
        <v>695</v>
      </c>
      <c r="B40">
        <f>Drivers_MDA!B13</f>
        <v>0</v>
      </c>
      <c r="C40">
        <f>Drivers_MDA!C13</f>
        <v>0</v>
      </c>
      <c r="D40">
        <f>Drivers_MDA!D13</f>
        <v>0</v>
      </c>
      <c r="E40">
        <f>Drivers_MDA!E13</f>
        <v>0</v>
      </c>
      <c r="F40">
        <f>Drivers_MDA!F13</f>
        <v>0</v>
      </c>
      <c r="H40" t="str">
        <f>IF(AND(ABS(N(B40))&lt;=0.5,ABS(N(C40))&lt;=0.5,ABS(N(D40))&lt;=0.5,ABS(N(E40))&lt;=0.5,ABS(N(F40))&lt;=0.5),"PASS","FAIL")</f>
        <v>PASS</v>
      </c>
      <c r="I40" t="s">
        <v>658</v>
      </c>
    </row>
    <row r="41">
      <c r="A41" t="s">
        <v>696</v>
      </c>
      <c r="B41">
        <f>Drivers_MDA!B37</f>
        <v>0</v>
      </c>
      <c r="C41">
        <f>Drivers_MDA!C37</f>
        <v>0</v>
      </c>
      <c r="D41">
        <f>Drivers_MDA!D37</f>
        <v>0</v>
      </c>
      <c r="E41">
        <f>Drivers_MDA!E37</f>
        <v>0</v>
      </c>
      <c r="F41">
        <f>Drivers_MDA!F37</f>
        <v>0</v>
      </c>
      <c r="H41" t="str">
        <f>IF(AND(ABS(N(B41))&lt;=0.5,ABS(N(C41))&lt;=0.5,ABS(N(D41))&lt;=0.5,ABS(N(E41))&lt;=0.5,ABS(N(F41))&lt;=0.5),"PASS","FAIL")</f>
        <v>PASS</v>
      </c>
      <c r="I41" t="s">
        <v>658</v>
      </c>
    </row>
    <row r="42">
      <c r="A42" t="s">
        <v>697</v>
      </c>
      <c r="B42">
        <f>Drivers_MDA!B63</f>
        <v>0</v>
      </c>
      <c r="C42">
        <f>Drivers_MDA!C63</f>
        <v>0</v>
      </c>
      <c r="D42">
        <f>Drivers_MDA!D63</f>
        <v>0</v>
      </c>
      <c r="E42">
        <f>Drivers_MDA!E63</f>
        <v>0</v>
      </c>
      <c r="F42">
        <f>Drivers_MDA!F63</f>
        <v>0</v>
      </c>
      <c r="H42" t="str">
        <f>IF(AND(ABS(N(B42))&lt;=0.5,ABS(N(C42))&lt;=0.5,ABS(N(D42))&lt;=0.5,ABS(N(E42))&lt;=0.5,ABS(N(F42))&lt;=0.5),"PASS","FAIL")</f>
        <v>PASS</v>
      </c>
      <c r="I42" t="s">
        <v>658</v>
      </c>
    </row>
    <row r="43">
      <c r="A43" t="s">
        <v>698</v>
      </c>
      <c r="B43">
        <f>Drivers_MDA!B76</f>
        <v>0</v>
      </c>
      <c r="C43">
        <f>Drivers_MDA!C76</f>
        <v>0</v>
      </c>
      <c r="D43">
        <f>Drivers_MDA!D76</f>
        <v>0</v>
      </c>
      <c r="E43">
        <f>Drivers_MDA!E76</f>
        <v>0</v>
      </c>
      <c r="F43">
        <f>Drivers_MDA!F76</f>
        <v>0</v>
      </c>
      <c r="H43" t="str">
        <f>IF(AND(ABS(N(B43))&lt;=0.5,ABS(N(C43))&lt;=0.5,ABS(N(D43))&lt;=0.5,ABS(N(E43))&lt;=0.5,ABS(N(F43))&lt;=0.5),"PASS","FAIL")</f>
        <v>PASS</v>
      </c>
      <c r="I43" t="s">
        <v>658</v>
      </c>
    </row>
    <row r="44">
      <c r="A44" t="s">
        <v>699</v>
      </c>
      <c r="B44">
        <f>Drivers_MDA!B80</f>
        <v>0</v>
      </c>
      <c r="C44">
        <f>Drivers_MDA!C80</f>
        <v>0</v>
      </c>
      <c r="D44">
        <f>Drivers_MDA!D80</f>
        <v>0</v>
      </c>
      <c r="E44">
        <f>Drivers_MDA!E80</f>
        <v>0</v>
      </c>
      <c r="F44">
        <f>Drivers_MDA!F80</f>
        <v>0</v>
      </c>
      <c r="H44" t="str">
        <f>IF(AND(ABS(N(B44))&lt;=0.5,ABS(N(C44))&lt;=0.5,ABS(N(D44))&lt;=0.5,ABS(N(E44))&lt;=0.5,ABS(N(F44))&lt;=0.5),"PASS","FAIL")</f>
        <v>PASS</v>
      </c>
      <c r="I44" t="s">
        <v>658</v>
      </c>
    </row>
    <row r="45">
      <c r="A45" t="s">
        <v>700</v>
      </c>
      <c r="B45">
        <f>Drivers_MDA!B84</f>
        <v>0</v>
      </c>
      <c r="C45">
        <f>Drivers_MDA!C84</f>
        <v>0</v>
      </c>
      <c r="D45">
        <f>Drivers_MDA!D84</f>
        <v>0</v>
      </c>
      <c r="E45">
        <f>Drivers_MDA!E84</f>
        <v>0</v>
      </c>
      <c r="F45">
        <f>Drivers_MDA!F84</f>
        <v>0</v>
      </c>
      <c r="H45" t="str">
        <f>IF(AND(ABS(N(B45))&lt;=0.5,ABS(N(C45))&lt;=0.5,ABS(N(D45))&lt;=0.5,ABS(N(E45))&lt;=0.5,ABS(N(F45))&lt;=0.5),"PASS","FAIL")</f>
        <v>PASS</v>
      </c>
      <c r="I45" t="s">
        <v>658</v>
      </c>
    </row>
    <row r="46">
      <c r="A46" t="s">
        <v>701</v>
      </c>
      <c r="B46">
        <f>Drivers_MDA!B105</f>
        <v>0</v>
      </c>
      <c r="C46">
        <f>Drivers_MDA!C105</f>
        <v>0</v>
      </c>
      <c r="D46">
        <f>Drivers_MDA!D105</f>
        <v>0</v>
      </c>
      <c r="E46">
        <f>Drivers_MDA!E105</f>
        <v>0</v>
      </c>
      <c r="F46">
        <f>Drivers_MDA!F105</f>
        <v>0</v>
      </c>
      <c r="H46" t="str">
        <f>IF(AND(ABS(N(B46))&lt;=0.5,ABS(N(C46))&lt;=0.5,ABS(N(D46))&lt;=0.5,ABS(N(E46))&lt;=0.5,ABS(N(F46))&lt;=0.5),"PASS","FAIL")</f>
        <v>PASS</v>
      </c>
      <c r="I46" t="s">
        <v>658</v>
      </c>
    </row>
    <row r="47">
      <c r="A47" t="s">
        <v>702</v>
      </c>
      <c r="B47">
        <f>Drivers_MDA!B110</f>
        <v>0</v>
      </c>
      <c r="C47">
        <f>Drivers_MDA!C110</f>
        <v>0</v>
      </c>
      <c r="D47">
        <f>Drivers_MDA!D110</f>
        <v>0</v>
      </c>
      <c r="E47">
        <f>Drivers_MDA!E110</f>
        <v>0</v>
      </c>
      <c r="F47">
        <f>Drivers_MDA!F110</f>
        <v>0</v>
      </c>
      <c r="H47" t="str">
        <f>IF(AND(ABS(N(B47))&lt;=0.5,ABS(N(C47))&lt;=0.5,ABS(N(D47))&lt;=0.5,ABS(N(E47))&lt;=0.5,ABS(N(F47))&lt;=0.5),"PASS","FAIL")</f>
        <v>PASS</v>
      </c>
      <c r="I47" t="s">
        <v>658</v>
      </c>
    </row>
    <row r="48">
      <c r="A48" t="s">
        <v>703</v>
      </c>
      <c r="C48">
        <f>ABS(Drivers_MDA!C73-Segment_Products!C5)+ABS(Drivers_MDA!C74-Segment_Products!C8)+ABS(Drivers_MDA!C77-Segment_Products!C6)+ABS(Drivers_MDA!C78-Segment_Products!C9)</f>
        <v>0</v>
      </c>
      <c r="D48">
        <f>ABS(Drivers_MDA!D73-Segment_Products!D5)+ABS(Drivers_MDA!D74-Segment_Products!D8)+ABS(Drivers_MDA!D77-Segment_Products!D6)+ABS(Drivers_MDA!D78-Segment_Products!D9)</f>
        <v>0</v>
      </c>
      <c r="E48">
        <f>ABS(Drivers_MDA!E73-Segment_Products!E5)+ABS(Drivers_MDA!E74-Segment_Products!E8)+ABS(Drivers_MDA!E77-Segment_Products!E6)+ABS(Drivers_MDA!E78-Segment_Products!E9)</f>
        <v>0</v>
      </c>
      <c r="F48">
        <f>ABS(Drivers_MDA!F73-Segment_Products!F5)+ABS(Drivers_MDA!F74-Segment_Products!F8)+ABS(Drivers_MDA!F77-Segment_Products!F6)+ABS(Drivers_MDA!F78-Segment_Products!F9)</f>
        <v>0</v>
      </c>
      <c r="H48" t="str">
        <f>IF(AND(ABS(N(C48))&lt;=0.5,ABS(N(D48))&lt;=0.5,ABS(N(E48))&lt;=0.5,ABS(N(F48))&lt;=0.5),"PASS","FAIL")</f>
        <v>PASS</v>
      </c>
      <c r="I48" t="s">
        <v>655</v>
      </c>
    </row>
    <row r="49">
      <c r="A49" t="s">
        <v>704</v>
      </c>
      <c r="D49" s="34">
        <f>ABS(Sector_KPIs!B5-Drivers_MDA!D7)+ABS(Sector_KPIs!B6-Drivers_MDA!D8)+ABS(Sector_KPIs!B7-Drivers_MDA!D9)+ABS(Sector_KPIs!B8-Drivers_MDA!D10)+ABS(Sector_KPIs!B9-Drivers_MDA!D11)</f>
        <v>0</v>
      </c>
      <c r="E49" s="34">
        <f>ABS(Sector_KPIs!C5-Drivers_MDA!E7)+ABS(Sector_KPIs!C6-Drivers_MDA!E8)+ABS(Sector_KPIs!C7-Drivers_MDA!E9)+ABS(Sector_KPIs!C8-Drivers_MDA!E10)+ABS(Sector_KPIs!C9-Drivers_MDA!E11)</f>
        <v>0</v>
      </c>
      <c r="F49" s="34">
        <f>ABS(Sector_KPIs!D5-Drivers_MDA!F7)+ABS(Sector_KPIs!D6-Drivers_MDA!F8)+ABS(Sector_KPIs!D7-Drivers_MDA!F9)+ABS(Sector_KPIs!D8-Drivers_MDA!F10)+ABS(Sector_KPIs!D9-Drivers_MDA!F11)</f>
        <v>0</v>
      </c>
      <c r="H49" s="34" t="str">
        <f>IF(AND(ABS(N(D49))&lt;=0.5,ABS(N(E49))&lt;=0.5,ABS(N(F49))&lt;=0.5),"PASS","FAIL")</f>
        <v>PASS</v>
      </c>
      <c r="I49" t="s">
        <v>705</v>
      </c>
    </row>
    <row r="50">
      <c r="A50" t="s">
        <v>706</v>
      </c>
      <c r="F50" s="34">
        <f>ABS(Drivers_MDA!F136)+ABS(Drivers_MDA!F137)+ABS(Drivers_MDA!F138)+ABS(Drivers_MDA!F139)+ABS(Drivers_MDA!F140)</f>
        <v>0</v>
      </c>
      <c r="H50" s="34" t="str">
        <f>IF(AND(ABS(N(F50))&lt;=0.5),"PASS","FAIL")</f>
        <v>PASS</v>
      </c>
      <c r="I50" t="s">
        <v>689</v>
      </c>
    </row>
    <row r="51">
      <c r="A51" t="s">
        <v>707</v>
      </c>
      <c r="F51" s="39">
        <f>IF(ABS(Market_Package!B23-(Market_Package!B7*Market_Package!B8+Market_Package!B105-Market_Package!B104))&gt;0.5,1,0)+IF(Market_Package!B23&lt;=0,1,0)+IF(ABS(Market_Package!B23/(Valuation!G19*Market_Package!B8+Market_Package!B105-Market_Package!B104)-1)&gt;0.25,1,0)</f>
        <v>0</v>
      </c>
      <c r="H51" s="39" t="str">
        <f>IF(N(F51)=0,"PASS","FAIL")</f>
        <v>PASS</v>
      </c>
      <c r="I51" t="s">
        <v>689</v>
      </c>
    </row>
    <row r="52">
      <c r="A52" t="s">
        <v>708</v>
      </c>
      <c r="F52">
        <f>IF(ABS(Market_Package!B17-Market_Package!B104)&gt;0.5,1,0)+IF(ABS(Market_Package!B17/Market_Package!B82-1)&gt;0.15,1,0)</f>
        <v>0</v>
      </c>
      <c r="H52" t="str">
        <f>IF(N(F52)=0,"PASS","FAIL")</f>
        <v>PASS</v>
      </c>
      <c r="I52" t="s">
        <v>689</v>
      </c>
    </row>
    <row r="53">
      <c r="A53" t="s">
        <v>709</v>
      </c>
      <c r="F53" s="40">
        <f>IF(ABS(Market_Package!B21-Market_Package!B24-(BS_Hist!F26-BS_Hist!F21-BS_Hist!F22-BS_Hist!F23-BS_Hist!F25))&gt;0.5,1,0)+IF(ABS(Market_Package!B21-Market_Package!B105)&gt;0.5,1,0)+IF(ABS(Market_Package!B21/Market_Package!B83-1)&gt;0.25,1,0)</f>
        <v>0</v>
      </c>
      <c r="H53" s="40" t="str">
        <f>IF(N(F53)=0,"PASS","FAIL")</f>
        <v>PASS</v>
      </c>
      <c r="I53" t="s">
        <v>689</v>
      </c>
    </row>
    <row r="54">
      <c r="A54" t="s">
        <v>710</v>
      </c>
      <c r="F54">
        <f>IF(ABS(Market_Package!B37-IS_Hist!F19/IS_Hist!F18)&gt;0.0000001,1,0)+IF(OR(Market_Package!B30&lt;0.005,Market_Package!B30&gt;0.12),1,0)+IF(OR(Market_Package!B32&lt;0.3,Market_Package!B32&gt;2.5),1,0)+IF(OR(Market_Package!B34&lt;0.01,Market_Package!B34&gt;0.15),1,0)+IF(OR(Market_Package!B45&lt;0.04,Market_Package!B45&gt;0.2),1,0)</f>
        <v>0</v>
      </c>
      <c r="H54" t="str">
        <f>IF(N(F54)=0,"PASS","FAIL")</f>
        <v>PASS</v>
      </c>
      <c r="I54" t="s">
        <v>689</v>
      </c>
    </row>
    <row r="55">
      <c r="A55" t="s">
        <v>711</v>
      </c>
      <c r="F55" s="39">
        <f>IF(ABS(Market_Package!B11-Market_Package!B7*Market_Package!B8)&gt;0.5,1,0)+IF(ABS(Market_Package!B7/Valuation!G19-1)&gt;0.25,1,0)+IF(ABS(Market_Package!B8/(BS_Hist!F40/1000)-1)&gt;0.03,1,0)</f>
        <v>0</v>
      </c>
      <c r="H55" s="39" t="str">
        <f>IF(N(F55)=0,"PASS","FAIL")</f>
        <v>PASS</v>
      </c>
      <c r="I55" t="s">
        <v>689</v>
      </c>
    </row>
    <row r="56">
      <c r="A56" t="s">
        <v>712</v>
      </c>
      <c r="F56" s="32">
        <f>Market_Package!B89+Market_Package!B90+Market_Package!B92</f>
        <v>1</v>
      </c>
      <c r="H56" s="32" t="str">
        <f>IF(AND(ABS(N(F56))&lt;=0),"PASS","FAIL")</f>
        <v>FAIL</v>
      </c>
      <c r="I56" t="s">
        <v>689</v>
      </c>
    </row>
    <row r="57">
      <c r="A57" t="s">
        <v>713</v>
      </c>
      <c r="F57" s="35">
        <f>Market_Package!B27</f>
        <v>0</v>
      </c>
      <c r="H57" s="35" t="str">
        <f>IF(AND(ABS(N(F57))&lt;=0.5),"PASS","FAIL")</f>
        <v>PASS</v>
      </c>
      <c r="I57" t="s">
        <v>689</v>
      </c>
    </row>
    <row r="58">
      <c r="A58" t="s">
        <v>714</v>
      </c>
      <c r="F58" s="38">
        <f>ABS(Assumptions!C12-Drivers_MDA!F85)+ABS(Assumptions!C13-Drivers_MDA!F86)</f>
        <v>0</v>
      </c>
      <c r="H58" s="38" t="str">
        <f>IF(AND(ABS(N(F58))&lt;=0.0005),"PASS","FAIL")</f>
        <v>PASS</v>
      </c>
      <c r="I58" t="s">
        <v>689</v>
      </c>
    </row>
    <row r="59">
      <c r="A59" t="s">
        <v>715</v>
      </c>
      <c r="B59">
        <f>IF(ABS(Drivers_MDA!B33-Drivers_MDA!B107)&gt;0.5,1,0)+IF(OR(Drivers_MDA!B106/Drivers_MDA!B31&lt;0.75,Drivers_MDA!B106/Drivers_MDA!B31&gt;0.95),1,0)</f>
        <v>0</v>
      </c>
      <c r="C59">
        <f>IF(ABS(Drivers_MDA!C33-Drivers_MDA!C107)&gt;0.5,1,0)+IF(OR(Drivers_MDA!C106/Drivers_MDA!C31&lt;0.75,Drivers_MDA!C106/Drivers_MDA!C31&gt;0.95),1,0)</f>
        <v>0</v>
      </c>
      <c r="D59">
        <f>IF(ABS(Drivers_MDA!D33-Drivers_MDA!D107)&gt;0.5,1,0)+IF(OR(Drivers_MDA!D106/Drivers_MDA!D31&lt;0.75,Drivers_MDA!D106/Drivers_MDA!D31&gt;0.95),1,0)</f>
        <v>0</v>
      </c>
      <c r="E59">
        <f>IF(ABS(Drivers_MDA!E33-Drivers_MDA!E107)&gt;0.5,1,0)+IF(OR(Drivers_MDA!E106/Drivers_MDA!E31&lt;0.75,Drivers_MDA!E106/Drivers_MDA!E31&gt;0.95),1,0)</f>
        <v>0</v>
      </c>
      <c r="F59">
        <f>IF(ABS(Drivers_MDA!F33-Drivers_MDA!F107)&gt;0.5,1,0)+IF(OR(Drivers_MDA!F106/Drivers_MDA!F31&lt;0.75,Drivers_MDA!F106/Drivers_MDA!F31&gt;0.95),1,0)</f>
        <v>0</v>
      </c>
      <c r="H59" t="str">
        <f>IF(AND(N(B59)=0,N(C59)=0,N(D59)=0,N(E59)=0,N(F59)=0),"PASS","FAIL")</f>
        <v>PASS</v>
      </c>
      <c r="I59" t="s">
        <v>658</v>
      </c>
    </row>
    <row r="60">
      <c r="A60" t="s">
        <v>716</v>
      </c>
      <c r="B60">
        <f>IF(ABS(Drivers_MDA!B85-Drivers_MDA!B81/Drivers_MDA!B73)&gt;0.001,1,0)+IF(ABS(Drivers_MDA!B86-Drivers_MDA!B82/Drivers_MDA!B74)&gt;0.001,1,0)+IF(ABS(Drivers_MDA!B87-IS_Hist!B11/IS_Hist!B7)&gt;0.001,1,0)</f>
        <v>0</v>
      </c>
      <c r="C60">
        <f>IF(ABS(Drivers_MDA!C85-Drivers_MDA!C81/Drivers_MDA!C73)&gt;0.001,1,0)+IF(ABS(Drivers_MDA!C86-Drivers_MDA!C82/Drivers_MDA!C74)&gt;0.001,1,0)+IF(ABS(Drivers_MDA!C87-IS_Hist!C11/IS_Hist!C7)&gt;0.001,1,0)</f>
        <v>0</v>
      </c>
      <c r="D60">
        <f>IF(ABS(Drivers_MDA!D85-Drivers_MDA!D81/Drivers_MDA!D73)&gt;0.001,1,0)+IF(ABS(Drivers_MDA!D86-Drivers_MDA!D82/Drivers_MDA!D74)&gt;0.001,1,0)+IF(ABS(Drivers_MDA!D87-IS_Hist!D11/IS_Hist!D7)&gt;0.001,1,0)</f>
        <v>0</v>
      </c>
      <c r="E60">
        <f>IF(ABS(Drivers_MDA!E85-Drivers_MDA!E81/Drivers_MDA!E73)&gt;0.001,1,0)+IF(ABS(Drivers_MDA!E86-Drivers_MDA!E82/Drivers_MDA!E74)&gt;0.001,1,0)+IF(ABS(Drivers_MDA!E87-IS_Hist!E11/IS_Hist!E7)&gt;0.001,1,0)</f>
        <v>0</v>
      </c>
      <c r="F60">
        <f>IF(ABS(Drivers_MDA!F85-Drivers_MDA!F81/Drivers_MDA!F73)&gt;0.001,1,0)+IF(ABS(Drivers_MDA!F86-Drivers_MDA!F82/Drivers_MDA!F74)&gt;0.001,1,0)+IF(ABS(Drivers_MDA!F87-IS_Hist!F11/IS_Hist!F7)&gt;0.001,1,0)</f>
        <v>0</v>
      </c>
      <c r="H60" t="str">
        <f>IF(AND(N(B60)=0,N(C60)=0,N(D60)=0,N(E60)=0,N(F60)=0),"PASS","FAIL")</f>
        <v>PASS</v>
      </c>
      <c r="I60" t="s">
        <v>658</v>
      </c>
    </row>
    <row r="61">
      <c r="A61" t="s">
        <v>717</v>
      </c>
      <c r="B61">
        <f>IF(OR(Drivers_MDA!B94&lt;50000,Drivers_MDA!B94&gt;500000),1,0)+IF(OR(Drivers_MDA!B96/Drivers_MDA!B12&lt;0.005,Drivers_MDA!B96/Drivers_MDA!B12&gt;0.1),1,0)+IF(OR(Drivers_MDA!B98/Drivers_MDA!B96&lt;0.3,Drivers_MDA!B98/Drivers_MDA!B96&gt;1),1,0)+IF(OR(Drivers_MDA!B114/Drivers_MDA!B12&lt;0.05,Drivers_MDA!B114/Drivers_MDA!B12&gt;1),1,0)+IF(OR(Drivers_MDA!B115/Drivers_MDA!B12&lt;0.05,Drivers_MDA!B115/Drivers_MDA!B12&gt;1),1,0)+IF(OR(Drivers_MDA!B118/Drivers_MDA!B12&lt;0.005,Drivers_MDA!B118/Drivers_MDA!B12&gt;0.2),1,0)+IF(OR(Drivers_MDA!B119&lt;50,Drivers_MDA!B119&gt;5000),1,0)</f>
        <v>0</v>
      </c>
      <c r="C61">
        <f>IF(OR(Drivers_MDA!C94&lt;50000,Drivers_MDA!C94&gt;500000),1,0)+IF(OR(Drivers_MDA!C96/Drivers_MDA!C12&lt;0.005,Drivers_MDA!C96/Drivers_MDA!C12&gt;0.1),1,0)+IF(OR(Drivers_MDA!C98/Drivers_MDA!C96&lt;0.3,Drivers_MDA!C98/Drivers_MDA!C96&gt;1),1,0)+IF(OR(Drivers_MDA!C114/Drivers_MDA!C12&lt;0.05,Drivers_MDA!C114/Drivers_MDA!C12&gt;1),1,0)+IF(OR(Drivers_MDA!C115/Drivers_MDA!C12&lt;0.05,Drivers_MDA!C115/Drivers_MDA!C12&gt;1),1,0)+IF(OR(Drivers_MDA!C118/Drivers_MDA!C12&lt;0.005,Drivers_MDA!C118/Drivers_MDA!C12&gt;0.2),1,0)+IF(OR(Drivers_MDA!C119&lt;50,Drivers_MDA!C119&gt;5000),1,0)</f>
        <v>0</v>
      </c>
      <c r="D61">
        <f>IF(OR(Drivers_MDA!D94&lt;50000,Drivers_MDA!D94&gt;500000),1,0)+IF(OR(Drivers_MDA!D96/Drivers_MDA!D12&lt;0.005,Drivers_MDA!D96/Drivers_MDA!D12&gt;0.1),1,0)+IF(OR(Drivers_MDA!D98/Drivers_MDA!D96&lt;0.3,Drivers_MDA!D98/Drivers_MDA!D96&gt;1),1,0)+IF(OR(Drivers_MDA!D114/Drivers_MDA!D12&lt;0.05,Drivers_MDA!D114/Drivers_MDA!D12&gt;1),1,0)+IF(OR(Drivers_MDA!D115/Drivers_MDA!D12&lt;0.05,Drivers_MDA!D115/Drivers_MDA!D12&gt;1),1,0)+IF(OR(Drivers_MDA!D118/Drivers_MDA!D12&lt;0.005,Drivers_MDA!D118/Drivers_MDA!D12&gt;0.2),1,0)+IF(OR(Drivers_MDA!D119&lt;50,Drivers_MDA!D119&gt;5000),1,0)</f>
        <v>0</v>
      </c>
      <c r="E61">
        <f>IF(OR(Drivers_MDA!E94&lt;50000,Drivers_MDA!E94&gt;500000),1,0)+IF(OR(Drivers_MDA!E96/Drivers_MDA!E12&lt;0.005,Drivers_MDA!E96/Drivers_MDA!E12&gt;0.1),1,0)+IF(OR(Drivers_MDA!E98/Drivers_MDA!E96&lt;0.3,Drivers_MDA!E98/Drivers_MDA!E96&gt;1),1,0)+IF(OR(Drivers_MDA!E114/Drivers_MDA!E12&lt;0.05,Drivers_MDA!E114/Drivers_MDA!E12&gt;1),1,0)+IF(OR(Drivers_MDA!E115/Drivers_MDA!E12&lt;0.05,Drivers_MDA!E115/Drivers_MDA!E12&gt;1),1,0)+IF(OR(Drivers_MDA!E118/Drivers_MDA!E12&lt;0.005,Drivers_MDA!E118/Drivers_MDA!E12&gt;0.2),1,0)+IF(OR(Drivers_MDA!E119&lt;50,Drivers_MDA!E119&gt;5000),1,0)</f>
        <v>0</v>
      </c>
      <c r="F61">
        <f>IF(OR(Drivers_MDA!F94&lt;50000,Drivers_MDA!F94&gt;500000),1,0)+IF(OR(Drivers_MDA!F96/Drivers_MDA!F12&lt;0.005,Drivers_MDA!F96/Drivers_MDA!F12&gt;0.1),1,0)+IF(OR(Drivers_MDA!F98/Drivers_MDA!F96&lt;0.3,Drivers_MDA!F98/Drivers_MDA!F96&gt;1),1,0)+IF(OR(Drivers_MDA!F114/Drivers_MDA!F12&lt;0.05,Drivers_MDA!F114/Drivers_MDA!F12&gt;1),1,0)+IF(OR(Drivers_MDA!F115/Drivers_MDA!F12&lt;0.05,Drivers_MDA!F115/Drivers_MDA!F12&gt;1),1,0)+IF(OR(Drivers_MDA!F118/Drivers_MDA!F12&lt;0.005,Drivers_MDA!F118/Drivers_MDA!F12&gt;0.2),1,0)+IF(OR(Drivers_MDA!F119&lt;50,Drivers_MDA!F119&gt;5000),1,0)</f>
        <v>0</v>
      </c>
      <c r="H61" t="str">
        <f>IF(AND(N(B61)=0,N(C61)=0,N(D61)=0,N(E61)=0,N(F61)=0),"PASS","FAIL")</f>
        <v>PASS</v>
      </c>
      <c r="I61" t="s">
        <v>658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ColWidth="8.375" defaultRowHeight="15"/>
  <sheetData>
    <row r="1">
      <c r="A1" t="s">
        <v>718</v>
      </c>
    </row>
    <row r="3">
      <c r="A3" t="s">
        <v>719</v>
      </c>
      <c r="B3" t="s">
        <v>720</v>
      </c>
      <c r="C3" t="s">
        <v>721</v>
      </c>
      <c r="D3" t="s">
        <v>722</v>
      </c>
      <c r="E3" t="s">
        <v>723</v>
      </c>
    </row>
    <row r="4">
      <c r="A4" t="s">
        <v>522</v>
      </c>
      <c r="B4" t="s">
        <v>724</v>
      </c>
      <c r="C4" t="s">
        <v>725</v>
      </c>
      <c r="D4" t="s">
        <v>726</v>
      </c>
      <c r="E4" t="s">
        <v>727</v>
      </c>
    </row>
    <row r="5">
      <c r="A5" t="s">
        <v>523</v>
      </c>
      <c r="B5" t="s">
        <v>728</v>
      </c>
      <c r="C5" t="s">
        <v>729</v>
      </c>
      <c r="D5" t="s">
        <v>730</v>
      </c>
      <c r="E5" t="s">
        <v>731</v>
      </c>
    </row>
    <row r="6">
      <c r="A6" t="s">
        <v>524</v>
      </c>
      <c r="B6" t="s">
        <v>732</v>
      </c>
      <c r="C6" t="s">
        <v>733</v>
      </c>
      <c r="D6" t="s">
        <v>734</v>
      </c>
      <c r="E6" t="s">
        <v>735</v>
      </c>
    </row>
    <row r="7">
      <c r="A7" t="s">
        <v>525</v>
      </c>
      <c r="B7" t="s">
        <v>736</v>
      </c>
      <c r="C7" t="s">
        <v>737</v>
      </c>
      <c r="D7" t="s">
        <v>738</v>
      </c>
      <c r="E7" t="s">
        <v>739</v>
      </c>
    </row>
    <row r="8">
      <c r="A8" t="s">
        <v>526</v>
      </c>
      <c r="B8" t="s">
        <v>740</v>
      </c>
      <c r="C8" t="s">
        <v>741</v>
      </c>
      <c r="D8" t="s">
        <v>742</v>
      </c>
      <c r="E8" t="s">
        <v>743</v>
      </c>
    </row>
    <row r="10">
      <c r="A10" t="s">
        <v>744</v>
      </c>
      <c r="B10" t="s">
        <v>745</v>
      </c>
    </row>
    <row r="11">
      <c r="A11" t="s">
        <v>746</v>
      </c>
      <c r="B11" t="s">
        <v>747</v>
      </c>
    </row>
    <row r="12">
      <c r="A12" t="s">
        <v>748</v>
      </c>
      <c r="B12" t="s">
        <v>749</v>
      </c>
    </row>
    <row r="13">
      <c r="A13" t="s">
        <v>750</v>
      </c>
      <c r="B13" t="s">
        <v>751</v>
      </c>
    </row>
    <row r="14">
      <c r="A14" t="s">
        <v>752</v>
      </c>
      <c r="B14" t="s">
        <v>753</v>
      </c>
    </row>
    <row r="15">
      <c r="A15" t="s">
        <v>754</v>
      </c>
      <c r="B15" t="s">
        <v>755</v>
      </c>
    </row>
    <row r="16">
      <c r="A16" t="s">
        <v>756</v>
      </c>
      <c r="B16" t="s">
        <v>757</v>
      </c>
    </row>
    <row r="17">
      <c r="A17" t="s">
        <v>758</v>
      </c>
      <c r="B17" t="s">
        <v>759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ColWidth="8.375" defaultRowHeight="15"/>
  <sheetData>
    <row r="1">
      <c r="A1" t="s">
        <v>760</v>
      </c>
    </row>
    <row r="3">
      <c r="A3" t="s">
        <v>761</v>
      </c>
      <c r="B3" t="s">
        <v>762</v>
      </c>
      <c r="C3" t="s">
        <v>763</v>
      </c>
      <c r="D3" t="s">
        <v>46</v>
      </c>
      <c r="E3" t="s">
        <v>764</v>
      </c>
    </row>
    <row r="4">
      <c r="A4" t="s">
        <v>765</v>
      </c>
      <c r="B4" t="s">
        <v>766</v>
      </c>
      <c r="C4" t="s">
        <v>767</v>
      </c>
      <c r="D4">
        <v>44498</v>
      </c>
      <c r="E4" t="s">
        <v>768</v>
      </c>
    </row>
    <row r="5">
      <c r="A5" t="s">
        <v>769</v>
      </c>
      <c r="B5" t="s">
        <v>770</v>
      </c>
      <c r="C5" t="s">
        <v>137</v>
      </c>
      <c r="D5">
        <v>44862</v>
      </c>
      <c r="E5" t="s">
        <v>771</v>
      </c>
    </row>
    <row r="6">
      <c r="A6" t="s">
        <v>772</v>
      </c>
      <c r="B6" t="s">
        <v>770</v>
      </c>
      <c r="C6" t="s">
        <v>66</v>
      </c>
      <c r="D6">
        <v>45233</v>
      </c>
      <c r="E6" t="s">
        <v>773</v>
      </c>
    </row>
    <row r="7">
      <c r="A7" t="s">
        <v>774</v>
      </c>
      <c r="B7" t="s">
        <v>775</v>
      </c>
      <c r="C7" t="s">
        <v>79</v>
      </c>
      <c r="D7">
        <v>45597</v>
      </c>
      <c r="E7" t="s">
        <v>776</v>
      </c>
    </row>
    <row r="8">
      <c r="A8" t="s">
        <v>777</v>
      </c>
      <c r="B8" t="s">
        <v>778</v>
      </c>
      <c r="C8" t="s">
        <v>10</v>
      </c>
      <c r="D8">
        <v>45961</v>
      </c>
      <c r="E8" t="s">
        <v>779</v>
      </c>
    </row>
    <row r="9">
      <c r="A9" t="s">
        <v>780</v>
      </c>
      <c r="B9" t="s">
        <v>781</v>
      </c>
      <c r="C9" t="s">
        <v>782</v>
      </c>
      <c r="D9" t="s">
        <v>783</v>
      </c>
      <c r="E9" t="s">
        <v>784</v>
      </c>
    </row>
    <row r="10">
      <c r="A10" t="s">
        <v>785</v>
      </c>
      <c r="B10" t="s">
        <v>786</v>
      </c>
      <c r="C10" t="s">
        <v>787</v>
      </c>
      <c r="D10" t="s">
        <v>788</v>
      </c>
      <c r="E10" t="s">
        <v>789</v>
      </c>
    </row>
    <row r="11">
      <c r="A11" t="s">
        <v>790</v>
      </c>
      <c r="B11" t="s">
        <v>791</v>
      </c>
      <c r="C11" t="s">
        <v>792</v>
      </c>
      <c r="D11" s="32">
        <v>46234</v>
      </c>
      <c r="E11" t="s">
        <v>793</v>
      </c>
    </row>
    <row r="12">
      <c r="A12" t="s">
        <v>794</v>
      </c>
      <c r="B12" t="s">
        <v>795</v>
      </c>
      <c r="C12" t="s">
        <v>796</v>
      </c>
      <c r="D12" t="s">
        <v>797</v>
      </c>
      <c r="E12" t="s">
        <v>798</v>
      </c>
    </row>
    <row r="13">
      <c r="A13" t="s">
        <v>799</v>
      </c>
      <c r="B13" t="s">
        <v>800</v>
      </c>
      <c r="C13" t="s">
        <v>801</v>
      </c>
      <c r="D13" t="s">
        <v>802</v>
      </c>
      <c r="E13" t="s">
        <v>803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ColWidth="8.375" defaultRowHeight="15"/>
  <sheetData>
    <row r="1">
      <c r="A1" t="s">
        <v>804</v>
      </c>
    </row>
    <row r="2">
      <c r="A2" t="s">
        <v>805</v>
      </c>
      <c r="B2">
        <v>2</v>
      </c>
      <c r="C2" t="s">
        <v>806</v>
      </c>
    </row>
    <row r="3">
      <c r="A3" t="s">
        <v>807</v>
      </c>
      <c r="B3" t="str">
        <f>CHOOSE(B2,"Bear","Base","Bull")</f>
        <v>Base</v>
      </c>
    </row>
    <row r="5">
      <c r="A5" t="s">
        <v>808</v>
      </c>
      <c r="B5" t="s">
        <v>282</v>
      </c>
      <c r="C5" t="s">
        <v>280</v>
      </c>
      <c r="D5" t="s">
        <v>281</v>
      </c>
      <c r="E5" t="s">
        <v>809</v>
      </c>
    </row>
    <row r="6">
      <c r="A6" t="s">
        <v>810</v>
      </c>
      <c r="B6">
        <v>0.01</v>
      </c>
      <c r="C6">
        <v>0.05</v>
      </c>
      <c r="D6">
        <v>0.09</v>
      </c>
      <c r="E6">
        <f>CHOOSE($B$2,B6,C6,D6)</f>
        <v>0.05</v>
      </c>
    </row>
    <row r="7">
      <c r="A7" t="s">
        <v>811</v>
      </c>
      <c r="B7">
        <v>0.02</v>
      </c>
      <c r="C7">
        <v>0.06</v>
      </c>
      <c r="D7">
        <v>0.1</v>
      </c>
      <c r="E7">
        <f>CHOOSE($B$2,B7,C7,D7)</f>
        <v>0.06</v>
      </c>
    </row>
    <row r="8">
      <c r="A8" t="s">
        <v>812</v>
      </c>
      <c r="B8">
        <v>0.455</v>
      </c>
      <c r="C8">
        <v>0.47</v>
      </c>
      <c r="D8">
        <v>0.485</v>
      </c>
      <c r="E8">
        <f>CHOOSE($B$2,B8,C8,D8)</f>
        <v>0.47</v>
      </c>
    </row>
    <row r="9">
      <c r="A9" t="s">
        <v>813</v>
      </c>
      <c r="B9">
        <v>0.085</v>
      </c>
      <c r="C9">
        <v>0.083</v>
      </c>
      <c r="D9">
        <v>0.08</v>
      </c>
      <c r="E9">
        <f>CHOOSE($B$2,B9,C9,D9)</f>
        <v>0.083</v>
      </c>
    </row>
    <row r="10">
      <c r="A10" t="s">
        <v>814</v>
      </c>
      <c r="B10">
        <v>0.068</v>
      </c>
      <c r="C10">
        <v>0.066</v>
      </c>
      <c r="D10">
        <v>0.064</v>
      </c>
      <c r="E10">
        <f>CHOOSE($B$2,B10,C10,D10)</f>
        <v>0.066</v>
      </c>
    </row>
    <row r="11">
      <c r="A11" t="s">
        <v>815</v>
      </c>
      <c r="B11">
        <v>0.17</v>
      </c>
      <c r="C11">
        <v>0.16</v>
      </c>
      <c r="D11">
        <v>0.15</v>
      </c>
      <c r="E11">
        <f>CHOOSE($B$2,B11,C11,D11)</f>
        <v>0.16</v>
      </c>
    </row>
    <row r="12">
      <c r="A12" t="s">
        <v>816</v>
      </c>
      <c r="B12">
        <v>0.032</v>
      </c>
      <c r="C12">
        <v>0.03</v>
      </c>
      <c r="D12">
        <v>0.028</v>
      </c>
      <c r="E12">
        <f>CHOOSE($B$2,B12,C12,D12)</f>
        <v>0.03</v>
      </c>
    </row>
    <row r="13">
      <c r="A13" t="s">
        <v>817</v>
      </c>
      <c r="B13">
        <v>0.029</v>
      </c>
      <c r="C13">
        <v>0.028</v>
      </c>
      <c r="D13">
        <v>0.027</v>
      </c>
      <c r="E13">
        <f>CHOOSE($B$2,B13,C13,D13)</f>
        <v>0.028</v>
      </c>
    </row>
    <row r="14">
      <c r="A14" t="s">
        <v>818</v>
      </c>
      <c r="B14">
        <v>0.032</v>
      </c>
      <c r="C14">
        <v>0.031</v>
      </c>
      <c r="D14">
        <v>0.03</v>
      </c>
      <c r="E14">
        <f>CHOOSE($B$2,B14,C14,D14)</f>
        <v>0.031</v>
      </c>
    </row>
    <row r="15">
      <c r="A15" t="s">
        <v>819</v>
      </c>
      <c r="B15">
        <v>0.01</v>
      </c>
      <c r="C15">
        <v>0.005</v>
      </c>
      <c r="D15">
        <v>0</v>
      </c>
      <c r="E15">
        <f>CHOOSE($B$2,B15,C15,D15)</f>
        <v>0.005</v>
      </c>
    </row>
    <row r="16">
      <c r="A16" t="s">
        <v>820</v>
      </c>
      <c r="B16">
        <v>0.16</v>
      </c>
      <c r="C16">
        <v>0.15</v>
      </c>
      <c r="D16">
        <v>0.14</v>
      </c>
      <c r="E16">
        <f>CHOOSE($B$2,B16,C16,D16)</f>
        <v>0.15</v>
      </c>
    </row>
    <row r="17">
      <c r="A17" t="s">
        <v>821</v>
      </c>
      <c r="B17">
        <v>0.85</v>
      </c>
      <c r="C17">
        <v>0.95</v>
      </c>
      <c r="D17">
        <v>1</v>
      </c>
      <c r="E17">
        <f>CHOOSE($B$2,B17,C17,D17)</f>
        <v>0.95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ColWidth="8.375" defaultRowHeight="15"/>
  <sheetData>
    <row r="1">
      <c r="A1" t="s">
        <v>822</v>
      </c>
    </row>
    <row r="2">
      <c r="A2" t="s">
        <v>823</v>
      </c>
    </row>
    <row r="4">
      <c r="A4" t="s">
        <v>521</v>
      </c>
      <c r="B4" t="s">
        <v>824</v>
      </c>
      <c r="C4" t="s">
        <v>825</v>
      </c>
      <c r="D4" t="s">
        <v>826</v>
      </c>
      <c r="E4" t="s">
        <v>827</v>
      </c>
      <c r="F4" t="s">
        <v>828</v>
      </c>
    </row>
    <row r="5">
      <c r="A5" t="s">
        <v>829</v>
      </c>
      <c r="B5">
        <f>IS_Hist!$F$7*(1+B6)</f>
        <v>436969.05000000005</v>
      </c>
      <c r="C5">
        <f>B5*(1+C6)</f>
        <v>463187.1930000001</v>
      </c>
      <c r="D5">
        <f>C5*(1+D6)</f>
        <v>490978.4245800001</v>
      </c>
      <c r="E5">
        <f>D5*(1+E6)</f>
        <v>520437.13005480013</v>
      </c>
      <c r="F5">
        <f>E5*(1+F6)</f>
        <v>551663.3578580882</v>
      </c>
    </row>
    <row r="6">
      <c r="A6" t="s">
        <v>830</v>
      </c>
      <c r="B6">
        <f>Fwd_Assumptions!$E$6</f>
        <v>0.05</v>
      </c>
      <c r="C6">
        <f>Fwd_Assumptions!$E$7</f>
        <v>0.06</v>
      </c>
      <c r="D6">
        <f>Fwd_Assumptions!$E$7</f>
        <v>0.06</v>
      </c>
      <c r="E6">
        <f>Fwd_Assumptions!$E$7</f>
        <v>0.06</v>
      </c>
      <c r="F6">
        <f>Fwd_Assumptions!$E$7</f>
        <v>0.06</v>
      </c>
    </row>
    <row r="7">
      <c r="A7" t="s">
        <v>831</v>
      </c>
      <c r="B7">
        <f>B5-B8</f>
        <v>231593.59650000004</v>
      </c>
      <c r="C7">
        <f>C5-C8</f>
        <v>245489.21229000005</v>
      </c>
      <c r="D7">
        <f>D5-D8</f>
        <v>260218.56502740007</v>
      </c>
      <c r="E7">
        <f>E5-E8</f>
        <v>275831.67892904405</v>
      </c>
      <c r="F7">
        <f>F5-F8</f>
        <v>292381.5796647868</v>
      </c>
    </row>
    <row r="8">
      <c r="A8" t="s">
        <v>537</v>
      </c>
      <c r="B8">
        <f>B5*Fwd_Assumptions!$E$8</f>
        <v>205375.4535</v>
      </c>
      <c r="C8">
        <f>C5*Fwd_Assumptions!$E$8</f>
        <v>217697.98071000003</v>
      </c>
      <c r="D8">
        <f>D5*Fwd_Assumptions!$E$8</f>
        <v>230759.85955260004</v>
      </c>
      <c r="E8">
        <f>E5*Fwd_Assumptions!$E$8</f>
        <v>244605.45112575605</v>
      </c>
      <c r="F8">
        <f>F5*Fwd_Assumptions!$E$8</f>
        <v>259281.77819330143</v>
      </c>
    </row>
    <row r="9">
      <c r="A9" t="s">
        <v>539</v>
      </c>
      <c r="B9">
        <f>B5*Fwd_Assumptions!$E$9</f>
        <v>36268.431150000004</v>
      </c>
      <c r="C9">
        <f>C5*Fwd_Assumptions!$E$9</f>
        <v>38444.53701900001</v>
      </c>
      <c r="D9">
        <f>D5*Fwd_Assumptions!$E$9</f>
        <v>40751.20924014001</v>
      </c>
      <c r="E9">
        <f>E5*Fwd_Assumptions!$E$9</f>
        <v>43196.28179454841</v>
      </c>
      <c r="F9">
        <f>F5*Fwd_Assumptions!$E$9</f>
        <v>45788.05870222132</v>
      </c>
    </row>
    <row r="10">
      <c r="A10" t="s">
        <v>540</v>
      </c>
      <c r="B10">
        <f>B5*Fwd_Assumptions!$E$10</f>
        <v>28839.957300000005</v>
      </c>
      <c r="C10">
        <f>C5*Fwd_Assumptions!$E$10</f>
        <v>30570.354738000005</v>
      </c>
      <c r="D10">
        <f>D5*Fwd_Assumptions!$E$10</f>
        <v>32404.57602228001</v>
      </c>
      <c r="E10">
        <f>E5*Fwd_Assumptions!$E$10</f>
        <v>34348.85058361681</v>
      </c>
      <c r="F10">
        <f>F5*Fwd_Assumptions!$E$10</f>
        <v>36409.781618633824</v>
      </c>
    </row>
    <row r="11">
      <c r="A11" t="s">
        <v>542</v>
      </c>
      <c r="B11">
        <f>B8-B9-B10</f>
        <v>140267.06504999998</v>
      </c>
      <c r="C11">
        <f>C8-C9-C10</f>
        <v>148683.08895300003</v>
      </c>
      <c r="D11">
        <f>D8-D9-D10</f>
        <v>157604.07429018003</v>
      </c>
      <c r="E11">
        <f>E8-E9-E10</f>
        <v>167060.31874759082</v>
      </c>
      <c r="F11">
        <f>F8-F9-F10</f>
        <v>177083.9378724463</v>
      </c>
    </row>
    <row r="12">
      <c r="A12" t="s">
        <v>832</v>
      </c>
      <c r="B12">
        <f>B11</f>
        <v>140267.06504999998</v>
      </c>
      <c r="C12">
        <f>C11</f>
        <v>148683.08895300003</v>
      </c>
      <c r="D12">
        <f>D11</f>
        <v>157604.07429018003</v>
      </c>
      <c r="E12">
        <f>E11</f>
        <v>167060.31874759082</v>
      </c>
      <c r="F12">
        <f>F11</f>
        <v>177083.9378724463</v>
      </c>
    </row>
    <row r="13">
      <c r="A13" t="s">
        <v>545</v>
      </c>
      <c r="B13">
        <f>B12*Fwd_Assumptions!$E$11</f>
        <v>22442.730407999996</v>
      </c>
      <c r="C13">
        <f>C12*Fwd_Assumptions!$E$11</f>
        <v>23789.294232480006</v>
      </c>
      <c r="D13">
        <f>D12*Fwd_Assumptions!$E$11</f>
        <v>25216.651886428805</v>
      </c>
      <c r="E13">
        <f>E12*Fwd_Assumptions!$E$11</f>
        <v>26729.650999614532</v>
      </c>
      <c r="F13">
        <f>F12*Fwd_Assumptions!$E$11</f>
        <v>28333.430059591406</v>
      </c>
    </row>
    <row r="14">
      <c r="A14" t="s">
        <v>111</v>
      </c>
      <c r="B14">
        <f>B12-B13</f>
        <v>117824.33464199997</v>
      </c>
      <c r="C14">
        <f>C12-C13</f>
        <v>124893.79472052002</v>
      </c>
      <c r="D14">
        <f>D12-D13</f>
        <v>132387.42240375123</v>
      </c>
      <c r="E14">
        <f>E12-E13</f>
        <v>140330.6677479763</v>
      </c>
      <c r="F14">
        <f>F12-F13</f>
        <v>148750.5078128549</v>
      </c>
    </row>
    <row r="16">
      <c r="A16" t="s">
        <v>600</v>
      </c>
      <c r="B16">
        <f>B5*Fwd_Assumptions!$E$13</f>
        <v>12235.133400000002</v>
      </c>
      <c r="C16">
        <f>C5*Fwd_Assumptions!$E$13</f>
        <v>12969.241404000002</v>
      </c>
      <c r="D16">
        <f>D5*Fwd_Assumptions!$E$13</f>
        <v>13747.395888240004</v>
      </c>
      <c r="E16">
        <f>E5*Fwd_Assumptions!$E$13</f>
        <v>14572.239641534405</v>
      </c>
      <c r="F16">
        <f>F5*Fwd_Assumptions!$E$13</f>
        <v>15446.57402002647</v>
      </c>
    </row>
    <row r="17">
      <c r="A17" t="s">
        <v>125</v>
      </c>
      <c r="B17">
        <f>B5*Fwd_Assumptions!$E$12</f>
        <v>13109.0715</v>
      </c>
      <c r="C17">
        <f>C5*Fwd_Assumptions!$E$12</f>
        <v>13895.615790000002</v>
      </c>
      <c r="D17">
        <f>D5*Fwd_Assumptions!$E$12</f>
        <v>14729.352737400002</v>
      </c>
      <c r="E17">
        <f>E5*Fwd_Assumptions!$E$12</f>
        <v>15613.113901644003</v>
      </c>
      <c r="F17">
        <f>F5*Fwd_Assumptions!$E$12</f>
        <v>16549.900735742645</v>
      </c>
    </row>
    <row r="18">
      <c r="A18" t="s">
        <v>833</v>
      </c>
      <c r="B18">
        <f>B5*Fwd_Assumptions!$E$14</f>
        <v>13546.040550000002</v>
      </c>
      <c r="C18">
        <f>C5*Fwd_Assumptions!$E$14</f>
        <v>14358.802983000003</v>
      </c>
      <c r="D18">
        <f>D5*Fwd_Assumptions!$E$14</f>
        <v>15220.331161980002</v>
      </c>
      <c r="E18">
        <f>E5*Fwd_Assumptions!$E$14</f>
        <v>16133.551031698804</v>
      </c>
      <c r="F18">
        <f>F5*Fwd_Assumptions!$E$14</f>
        <v>17101.564093600733</v>
      </c>
    </row>
    <row r="19">
      <c r="A19" t="s">
        <v>834</v>
      </c>
      <c r="B19">
        <f>(B5-IS_Hist!$F$7)*Fwd_Assumptions!$E$15</f>
        <v>104.04025000000024</v>
      </c>
      <c r="C19">
        <f>(C5-B5)*Fwd_Assumptions!$E$15</f>
        <v>131.09071500000022</v>
      </c>
      <c r="D19">
        <f>(D5-C5)*Fwd_Assumptions!$E$15</f>
        <v>138.9561579000001</v>
      </c>
      <c r="E19">
        <f>(E5-D5)*Fwd_Assumptions!$E$15</f>
        <v>147.29352737400012</v>
      </c>
      <c r="F19">
        <f>(F5-E5)*Fwd_Assumptions!$E$15</f>
        <v>156.13113901644044</v>
      </c>
    </row>
    <row r="20">
      <c r="A20" t="s">
        <v>835</v>
      </c>
      <c r="B20">
        <f>B14+B16+B18-B19</f>
        <v>143501.46834199998</v>
      </c>
      <c r="C20">
        <f>C14+C16+C18-C19</f>
        <v>152090.74839252004</v>
      </c>
      <c r="D20">
        <f>D14+D16+D18-D19</f>
        <v>161216.19329607126</v>
      </c>
      <c r="E20">
        <f>E14+E16+E18-E19</f>
        <v>170889.1648938355</v>
      </c>
      <c r="F20">
        <f>F14+F16+F18-F19</f>
        <v>181142.51478746565</v>
      </c>
    </row>
    <row r="21">
      <c r="A21" t="s">
        <v>836</v>
      </c>
      <c r="B21">
        <f>B20-B17</f>
        <v>130392.39684199997</v>
      </c>
      <c r="C21">
        <f>C20-C17</f>
        <v>138195.13260252003</v>
      </c>
      <c r="D21">
        <f>D20-D17</f>
        <v>146486.84055867125</v>
      </c>
      <c r="E21">
        <f>E20-E17</f>
        <v>155276.05099219148</v>
      </c>
      <c r="F21">
        <f>F20-F17</f>
        <v>164592.614051723</v>
      </c>
    </row>
    <row r="22">
      <c r="A22" t="s">
        <v>837</v>
      </c>
      <c r="B22">
        <f>B14*Fwd_Assumptions!$E$16</f>
        <v>17673.650196299994</v>
      </c>
      <c r="C22">
        <f>C14*Fwd_Assumptions!$E$16</f>
        <v>18734.069208078003</v>
      </c>
      <c r="D22">
        <f>D14*Fwd_Assumptions!$E$16</f>
        <v>19858.113360562686</v>
      </c>
      <c r="E22">
        <f>E14*Fwd_Assumptions!$E$16</f>
        <v>21049.600162196442</v>
      </c>
      <c r="F22">
        <f>F14*Fwd_Assumptions!$E$16</f>
        <v>22312.576171928235</v>
      </c>
    </row>
    <row r="23">
      <c r="A23" t="s">
        <v>838</v>
      </c>
      <c r="B23">
        <f>B21-B22</f>
        <v>112718.74664569998</v>
      </c>
      <c r="C23">
        <f>C21-C22</f>
        <v>119461.06339444203</v>
      </c>
      <c r="D23">
        <f>D21-D22</f>
        <v>126628.72719810857</v>
      </c>
      <c r="E23">
        <f>E21-E22</f>
        <v>134226.45082999504</v>
      </c>
      <c r="F23">
        <f>F21-F22</f>
        <v>142280.03787979478</v>
      </c>
    </row>
    <row r="24">
      <c r="A24" t="s">
        <v>839</v>
      </c>
      <c r="B24">
        <f>B23*Fwd_Assumptions!$E$17</f>
        <v>107082.80931341498</v>
      </c>
      <c r="C24">
        <f>C23*Fwd_Assumptions!$E$17</f>
        <v>113488.01022471992</v>
      </c>
      <c r="D24">
        <f>D23*Fwd_Assumptions!$E$17</f>
        <v>120297.29083820313</v>
      </c>
      <c r="E24">
        <f>E23*Fwd_Assumptions!$E$17</f>
        <v>127515.12828849528</v>
      </c>
      <c r="F24">
        <f>F23*Fwd_Assumptions!$E$17</f>
        <v>135166.03598580504</v>
      </c>
    </row>
    <row r="25">
      <c r="A25" t="s">
        <v>840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ColWidth="8.375" defaultRowHeight="15"/>
  <sheetData>
    <row r="1">
      <c r="A1" t="s">
        <v>841</v>
      </c>
    </row>
    <row r="2">
      <c r="A2" t="s">
        <v>842</v>
      </c>
    </row>
    <row r="4">
      <c r="A4" t="s">
        <v>36</v>
      </c>
      <c r="B4" t="s">
        <v>824</v>
      </c>
      <c r="C4" t="s">
        <v>825</v>
      </c>
      <c r="D4" t="s">
        <v>826</v>
      </c>
      <c r="E4" t="s">
        <v>827</v>
      </c>
      <c r="F4" t="s">
        <v>828</v>
      </c>
    </row>
    <row r="5">
      <c r="A5" t="s">
        <v>829</v>
      </c>
      <c r="B5">
        <f>Fwd_IS!B5</f>
        <v>436969.05000000005</v>
      </c>
      <c r="C5">
        <f>Fwd_IS!C5</f>
        <v>463187.1930000001</v>
      </c>
      <c r="D5">
        <f>Fwd_IS!D5</f>
        <v>490978.4245800001</v>
      </c>
      <c r="E5">
        <f>Fwd_IS!E5</f>
        <v>520437.13005480013</v>
      </c>
      <c r="F5">
        <f>Fwd_IS!F5</f>
        <v>551663.3578580882</v>
      </c>
    </row>
    <row r="6">
      <c r="A6" t="s">
        <v>830</v>
      </c>
      <c r="B6">
        <f>Fwd_IS!B6</f>
        <v>0.05</v>
      </c>
      <c r="C6">
        <f>Fwd_IS!C6</f>
        <v>0.06</v>
      </c>
      <c r="D6">
        <f>Fwd_IS!D6</f>
        <v>0.06</v>
      </c>
      <c r="E6">
        <f>Fwd_IS!E6</f>
        <v>0.06</v>
      </c>
      <c r="F6">
        <f>Fwd_IS!F6</f>
        <v>0.06</v>
      </c>
    </row>
    <row r="7">
      <c r="A7" t="s">
        <v>542</v>
      </c>
      <c r="B7">
        <f>Fwd_IS!B11</f>
        <v>140267.06504999998</v>
      </c>
      <c r="C7">
        <f>Fwd_IS!C11</f>
        <v>148683.08895300003</v>
      </c>
      <c r="D7">
        <f>Fwd_IS!D11</f>
        <v>157604.07429018003</v>
      </c>
      <c r="E7">
        <f>Fwd_IS!E11</f>
        <v>167060.31874759082</v>
      </c>
      <c r="F7">
        <f>Fwd_IS!F11</f>
        <v>177083.9378724463</v>
      </c>
    </row>
    <row r="8">
      <c r="A8" t="s">
        <v>111</v>
      </c>
      <c r="B8">
        <f>Fwd_IS!B14</f>
        <v>117824.33464199997</v>
      </c>
      <c r="C8">
        <f>Fwd_IS!C14</f>
        <v>124893.79472052002</v>
      </c>
      <c r="D8">
        <f>Fwd_IS!D14</f>
        <v>132387.42240375123</v>
      </c>
      <c r="E8">
        <f>Fwd_IS!E14</f>
        <v>140330.6677479763</v>
      </c>
      <c r="F8">
        <f>Fwd_IS!F14</f>
        <v>148750.5078128549</v>
      </c>
    </row>
    <row r="9">
      <c r="A9" t="s">
        <v>836</v>
      </c>
      <c r="B9">
        <f>Fwd_IS!B21</f>
        <v>130392.39684199997</v>
      </c>
      <c r="C9">
        <f>Fwd_IS!C21</f>
        <v>138195.13260252003</v>
      </c>
      <c r="D9">
        <f>Fwd_IS!D21</f>
        <v>146486.84055867125</v>
      </c>
      <c r="E9">
        <f>Fwd_IS!E21</f>
        <v>155276.05099219148</v>
      </c>
      <c r="F9">
        <f>Fwd_IS!F21</f>
        <v>164592.614051723</v>
      </c>
    </row>
    <row r="10">
      <c r="A10" t="s">
        <v>839</v>
      </c>
      <c r="B10">
        <f>Fwd_IS!B24</f>
        <v>107082.80931341498</v>
      </c>
      <c r="C10">
        <f>Fwd_IS!C24</f>
        <v>113488.01022471992</v>
      </c>
      <c r="D10">
        <f>Fwd_IS!D24</f>
        <v>120297.29083820313</v>
      </c>
      <c r="E10">
        <f>Fwd_IS!E24</f>
        <v>127515.12828849528</v>
      </c>
      <c r="F10">
        <f>Fwd_IS!F24</f>
        <v>135166.03598580504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ColWidth="8.375" defaultRowHeight="15"/>
  <sheetData>
    <row r="1">
      <c r="A1" s="36" t="s">
        <v>843</v>
      </c>
      <c r="B1" s="36"/>
      <c r="C1" s="36"/>
      <c r="D1" s="36"/>
      <c r="E1" s="36"/>
      <c r="F1" s="36"/>
      <c r="G1" s="36"/>
      <c r="H1" s="36"/>
      <c r="I1" s="36"/>
    </row>
    <row r="2">
      <c r="A2" t="s">
        <v>844</v>
      </c>
    </row>
    <row r="4">
      <c r="A4" s="33" t="s">
        <v>845</v>
      </c>
      <c r="B4" s="33" t="s">
        <v>522</v>
      </c>
      <c r="C4" s="33" t="s">
        <v>523</v>
      </c>
      <c r="D4" s="33" t="s">
        <v>524</v>
      </c>
      <c r="E4" s="33" t="s">
        <v>525</v>
      </c>
      <c r="F4" s="33" t="s">
        <v>526</v>
      </c>
      <c r="G4" s="33" t="s">
        <v>846</v>
      </c>
      <c r="H4" s="33" t="s">
        <v>847</v>
      </c>
      <c r="I4" s="33" t="s">
        <v>848</v>
      </c>
    </row>
    <row r="6">
      <c r="A6" s="33" t="s">
        <v>849</v>
      </c>
      <c r="B6" s="33"/>
      <c r="C6" s="33"/>
      <c r="D6" s="33"/>
      <c r="E6" s="33"/>
      <c r="F6" s="33"/>
      <c r="G6" s="33"/>
      <c r="H6" s="33"/>
      <c r="I6" s="33"/>
    </row>
    <row r="7">
      <c r="A7" t="s">
        <v>850</v>
      </c>
      <c r="B7">
        <v>191973</v>
      </c>
      <c r="C7">
        <v>205489</v>
      </c>
      <c r="D7">
        <v>200583</v>
      </c>
      <c r="E7">
        <v>201183</v>
      </c>
      <c r="F7">
        <v>209586</v>
      </c>
      <c r="G7" t="s">
        <v>265</v>
      </c>
      <c r="H7" t="s">
        <v>851</v>
      </c>
      <c r="I7" t="s">
        <v>852</v>
      </c>
    </row>
    <row r="8">
      <c r="A8" t="s">
        <v>853</v>
      </c>
      <c r="B8">
        <v>35190</v>
      </c>
      <c r="C8">
        <v>40177</v>
      </c>
      <c r="D8">
        <v>29357</v>
      </c>
      <c r="E8">
        <v>29984</v>
      </c>
      <c r="F8">
        <v>33708</v>
      </c>
      <c r="G8" t="s">
        <v>265</v>
      </c>
      <c r="H8" t="s">
        <v>851</v>
      </c>
      <c r="I8" t="s">
        <v>852</v>
      </c>
    </row>
    <row r="9">
      <c r="A9" t="s">
        <v>854</v>
      </c>
      <c r="B9">
        <v>31862</v>
      </c>
      <c r="C9">
        <v>29292</v>
      </c>
      <c r="D9">
        <v>28300</v>
      </c>
      <c r="E9">
        <v>26694</v>
      </c>
      <c r="F9">
        <v>28023</v>
      </c>
      <c r="G9" t="s">
        <v>265</v>
      </c>
      <c r="H9" t="s">
        <v>851</v>
      </c>
      <c r="I9" t="s">
        <v>852</v>
      </c>
    </row>
    <row r="10">
      <c r="A10" t="s">
        <v>855</v>
      </c>
      <c r="B10">
        <v>38367</v>
      </c>
      <c r="C10">
        <v>41241</v>
      </c>
      <c r="D10">
        <v>39845</v>
      </c>
      <c r="E10">
        <v>37005</v>
      </c>
      <c r="F10">
        <v>35686</v>
      </c>
      <c r="G10" t="s">
        <v>265</v>
      </c>
      <c r="H10" t="s">
        <v>851</v>
      </c>
      <c r="I10" t="s">
        <v>852</v>
      </c>
    </row>
    <row r="11">
      <c r="A11" t="s">
        <v>856</v>
      </c>
      <c r="B11">
        <v>68425</v>
      </c>
      <c r="C11">
        <v>78129</v>
      </c>
      <c r="D11">
        <v>85200</v>
      </c>
      <c r="E11">
        <v>96169</v>
      </c>
      <c r="F11">
        <v>109158</v>
      </c>
      <c r="G11" t="s">
        <v>265</v>
      </c>
      <c r="H11" t="s">
        <v>851</v>
      </c>
      <c r="I11" t="s">
        <v>852</v>
      </c>
    </row>
    <row r="12">
      <c r="A12" t="s">
        <v>857</v>
      </c>
      <c r="B12">
        <f>SUM(B7:B11)</f>
        <v>365817</v>
      </c>
      <c r="C12">
        <f>SUM(C7:C11)</f>
        <v>394328</v>
      </c>
      <c r="D12">
        <f>SUM(D7:D11)</f>
        <v>383285</v>
      </c>
      <c r="E12">
        <f>SUM(E7:E11)</f>
        <v>391035</v>
      </c>
      <c r="F12">
        <f>SUM(F7:F11)</f>
        <v>416161</v>
      </c>
      <c r="G12" t="s">
        <v>265</v>
      </c>
      <c r="H12" t="s">
        <v>858</v>
      </c>
      <c r="I12" t="s">
        <v>859</v>
      </c>
    </row>
    <row r="13">
      <c r="A13" t="s">
        <v>860</v>
      </c>
      <c r="B13">
        <f>B12-IS_Hist!B7</f>
        <v>0</v>
      </c>
      <c r="C13">
        <f>C12-IS_Hist!C7</f>
        <v>0</v>
      </c>
      <c r="D13">
        <f>D12-IS_Hist!D7</f>
        <v>0</v>
      </c>
      <c r="E13">
        <f>E12-IS_Hist!E7</f>
        <v>0</v>
      </c>
      <c r="F13">
        <f>F12-IS_Hist!F7</f>
        <v>0</v>
      </c>
      <c r="G13" t="s">
        <v>265</v>
      </c>
      <c r="H13" t="s">
        <v>861</v>
      </c>
      <c r="I13" t="s">
        <v>862</v>
      </c>
    </row>
    <row r="15">
      <c r="A15" t="s">
        <v>863</v>
      </c>
    </row>
    <row r="16">
      <c r="A16" t="s">
        <v>864</v>
      </c>
      <c r="B16">
        <f>B7/B$12</f>
        <v>0.52477878283404</v>
      </c>
      <c r="C16">
        <f>C7/C$12</f>
        <v>0.521111866263618</v>
      </c>
      <c r="D16">
        <f>D7/D$12</f>
        <v>0.5233259845806645</v>
      </c>
      <c r="E16">
        <f>E7/E$12</f>
        <v>0.5144884728988454</v>
      </c>
      <c r="F16">
        <f>F7/F$12</f>
        <v>0.5036175903075973</v>
      </c>
      <c r="G16" t="s">
        <v>286</v>
      </c>
      <c r="H16" t="s">
        <v>865</v>
      </c>
      <c r="I16" t="s">
        <v>859</v>
      </c>
    </row>
    <row r="17">
      <c r="A17" t="s">
        <v>866</v>
      </c>
      <c r="B17">
        <f>B8/B$12</f>
        <v>0.09619563880300806</v>
      </c>
      <c r="C17">
        <f>C8/C$12</f>
        <v>0.10188726136617232</v>
      </c>
      <c r="D17">
        <f>D8/D$12</f>
        <v>0.07659313565623492</v>
      </c>
      <c r="E17">
        <f>E8/E$12</f>
        <v>0.07667855818532868</v>
      </c>
      <c r="F17">
        <f>F8/F$12</f>
        <v>0.08099749856425759</v>
      </c>
      <c r="G17" t="s">
        <v>286</v>
      </c>
      <c r="H17" t="s">
        <v>865</v>
      </c>
      <c r="I17" t="s">
        <v>859</v>
      </c>
    </row>
    <row r="18">
      <c r="A18" t="s">
        <v>867</v>
      </c>
      <c r="B18">
        <f>B9/B$12</f>
        <v>0.08709819390569602</v>
      </c>
      <c r="C18">
        <f>C9/C$12</f>
        <v>0.07428333772899719</v>
      </c>
      <c r="D18">
        <f>D9/D$12</f>
        <v>0.07383539663696727</v>
      </c>
      <c r="E18">
        <f>E9/E$12</f>
        <v>0.06826498906747477</v>
      </c>
      <c r="F18">
        <f>F9/F$12</f>
        <v>0.06733692008621663</v>
      </c>
      <c r="G18" t="s">
        <v>286</v>
      </c>
      <c r="H18" t="s">
        <v>865</v>
      </c>
      <c r="I18" t="s">
        <v>859</v>
      </c>
    </row>
    <row r="19">
      <c r="A19" t="s">
        <v>868</v>
      </c>
      <c r="B19">
        <f>B10/B$12</f>
        <v>0.10488030900696249</v>
      </c>
      <c r="C19">
        <f>C10/C$12</f>
        <v>0.10458552271205697</v>
      </c>
      <c r="D19">
        <f>D10/D$12</f>
        <v>0.1039565858303873</v>
      </c>
      <c r="E19">
        <f>E10/E$12</f>
        <v>0.09463347270704668</v>
      </c>
      <c r="F19">
        <f>F10/F$12</f>
        <v>0.08575046676646779</v>
      </c>
      <c r="G19" t="s">
        <v>286</v>
      </c>
      <c r="H19" t="s">
        <v>865</v>
      </c>
      <c r="I19" t="s">
        <v>859</v>
      </c>
    </row>
    <row r="20">
      <c r="A20" t="s">
        <v>869</v>
      </c>
      <c r="B20">
        <f>B11/B$12</f>
        <v>0.18704707545029345</v>
      </c>
      <c r="C20">
        <f>C11/C$12</f>
        <v>0.19813201192915542</v>
      </c>
      <c r="D20">
        <f>D11/D$12</f>
        <v>0.222288897295746</v>
      </c>
      <c r="E20">
        <f>E11/E$12</f>
        <v>0.2459345071413045</v>
      </c>
      <c r="F20">
        <f>F11/F$12</f>
        <v>0.2622975242754607</v>
      </c>
      <c r="G20" t="s">
        <v>286</v>
      </c>
      <c r="H20" t="s">
        <v>865</v>
      </c>
      <c r="I20" t="s">
        <v>859</v>
      </c>
    </row>
    <row r="22">
      <c r="A22" t="s">
        <v>870</v>
      </c>
    </row>
    <row r="23">
      <c r="A23" t="s">
        <v>871</v>
      </c>
      <c r="B23" t="s">
        <v>872</v>
      </c>
      <c r="C23">
        <f>C7/B7-1</f>
        <v>0.07040573413969664</v>
      </c>
      <c r="D23">
        <f>D7/C7-1</f>
        <v>-0.02387475728627808</v>
      </c>
      <c r="E23">
        <f>E7/D7-1</f>
        <v>0.0029912804175826757</v>
      </c>
      <c r="F23">
        <f>F7/E7-1</f>
        <v>0.041767942619406195</v>
      </c>
      <c r="G23" t="s">
        <v>286</v>
      </c>
      <c r="H23" t="s">
        <v>873</v>
      </c>
      <c r="I23" t="s">
        <v>859</v>
      </c>
    </row>
    <row r="24">
      <c r="A24" t="s">
        <v>874</v>
      </c>
      <c r="B24" t="s">
        <v>872</v>
      </c>
      <c r="C24">
        <f>C8/B8-1</f>
        <v>0.14171639670360903</v>
      </c>
      <c r="D24">
        <f>D8/C8-1</f>
        <v>-0.2693083107250417</v>
      </c>
      <c r="E24">
        <f>E8/D8-1</f>
        <v>0.021357768164322</v>
      </c>
      <c r="F24">
        <f>F8/E8-1</f>
        <v>0.12419957310565644</v>
      </c>
      <c r="G24" t="s">
        <v>286</v>
      </c>
      <c r="H24" t="s">
        <v>873</v>
      </c>
      <c r="I24" t="s">
        <v>859</v>
      </c>
    </row>
    <row r="25">
      <c r="A25" t="s">
        <v>875</v>
      </c>
      <c r="B25" t="s">
        <v>872</v>
      </c>
      <c r="C25">
        <f>C9/B9-1</f>
        <v>-0.08066034774967046</v>
      </c>
      <c r="D25">
        <f>D9/C9-1</f>
        <v>-0.03386590195275163</v>
      </c>
      <c r="E25">
        <f>E9/D9-1</f>
        <v>-0.05674911660777382</v>
      </c>
      <c r="F25">
        <f>F9/E9-1</f>
        <v>0.04978646886940896</v>
      </c>
      <c r="G25" t="s">
        <v>286</v>
      </c>
      <c r="H25" t="s">
        <v>873</v>
      </c>
      <c r="I25" t="s">
        <v>859</v>
      </c>
    </row>
    <row r="26">
      <c r="A26" t="s">
        <v>876</v>
      </c>
      <c r="B26" t="s">
        <v>872</v>
      </c>
      <c r="C26">
        <f>C10/B10-1</f>
        <v>0.074908124169208</v>
      </c>
      <c r="D26">
        <f>D10/C10-1</f>
        <v>-0.03384980965543993</v>
      </c>
      <c r="E26">
        <f>E10/D10-1</f>
        <v>-0.07127619525661943</v>
      </c>
      <c r="F26">
        <f>F10/E10-1</f>
        <v>-0.03564383191460618</v>
      </c>
      <c r="G26" t="s">
        <v>286</v>
      </c>
      <c r="H26" t="s">
        <v>873</v>
      </c>
      <c r="I26" t="s">
        <v>859</v>
      </c>
    </row>
    <row r="27">
      <c r="A27" t="s">
        <v>877</v>
      </c>
      <c r="B27" t="s">
        <v>872</v>
      </c>
      <c r="C27">
        <f>C11/B11-1</f>
        <v>0.14181951041286078</v>
      </c>
      <c r="D27">
        <f>D11/C11-1</f>
        <v>0.09050416618669122</v>
      </c>
      <c r="E27">
        <f>E11/D11-1</f>
        <v>0.12874413145539898</v>
      </c>
      <c r="F27">
        <f>F11/E11-1</f>
        <v>0.13506431386413498</v>
      </c>
      <c r="G27" t="s">
        <v>286</v>
      </c>
      <c r="H27" t="s">
        <v>873</v>
      </c>
      <c r="I27" t="s">
        <v>859</v>
      </c>
    </row>
    <row r="28">
      <c r="A28" t="s">
        <v>878</v>
      </c>
      <c r="B28" t="s">
        <v>872</v>
      </c>
      <c r="C28">
        <f>C12/B12-1</f>
        <v>0.0779378760418461</v>
      </c>
      <c r="D28">
        <f>D12/C12-1</f>
        <v>-0.02800460530319937</v>
      </c>
      <c r="E28">
        <f>E12/D12-1</f>
        <v>0.02021994077514111</v>
      </c>
      <c r="F28">
        <f>F12/E12-1</f>
        <v>0.06425511782832749</v>
      </c>
      <c r="G28" t="s">
        <v>286</v>
      </c>
      <c r="H28" t="s">
        <v>859</v>
      </c>
      <c r="I28" t="s">
        <v>859</v>
      </c>
    </row>
    <row r="30">
      <c r="A30" s="33" t="s">
        <v>879</v>
      </c>
      <c r="B30" s="33"/>
      <c r="C30" s="33"/>
      <c r="D30" s="33"/>
      <c r="E30" s="33"/>
      <c r="F30" s="33"/>
      <c r="G30" s="33"/>
      <c r="H30" s="33"/>
      <c r="I30" s="33"/>
    </row>
    <row r="31">
      <c r="A31" t="s">
        <v>880</v>
      </c>
      <c r="B31">
        <v>153306</v>
      </c>
      <c r="C31">
        <v>169658</v>
      </c>
      <c r="D31">
        <v>162560</v>
      </c>
      <c r="E31">
        <v>167045</v>
      </c>
      <c r="F31">
        <v>178353</v>
      </c>
      <c r="G31" t="s">
        <v>265</v>
      </c>
      <c r="H31" t="s">
        <v>881</v>
      </c>
      <c r="I31" t="s">
        <v>852</v>
      </c>
    </row>
    <row r="32">
      <c r="A32" t="s">
        <v>882</v>
      </c>
      <c r="B32">
        <v>89307</v>
      </c>
      <c r="C32">
        <v>95118</v>
      </c>
      <c r="D32">
        <v>94294</v>
      </c>
      <c r="E32">
        <v>101328</v>
      </c>
      <c r="F32">
        <v>111032</v>
      </c>
      <c r="G32" t="s">
        <v>265</v>
      </c>
      <c r="H32" t="s">
        <v>881</v>
      </c>
      <c r="I32" t="s">
        <v>852</v>
      </c>
    </row>
    <row r="33">
      <c r="A33" t="s">
        <v>883</v>
      </c>
      <c r="B33">
        <v>68366</v>
      </c>
      <c r="C33">
        <v>74200</v>
      </c>
      <c r="D33">
        <v>72559</v>
      </c>
      <c r="E33">
        <v>66952</v>
      </c>
      <c r="F33">
        <v>64377</v>
      </c>
      <c r="G33" t="s">
        <v>265</v>
      </c>
      <c r="H33" t="s">
        <v>881</v>
      </c>
      <c r="I33" t="s">
        <v>852</v>
      </c>
    </row>
    <row r="34">
      <c r="A34" t="s">
        <v>884</v>
      </c>
      <c r="B34">
        <v>28482</v>
      </c>
      <c r="C34">
        <v>25977</v>
      </c>
      <c r="D34">
        <v>24257</v>
      </c>
      <c r="E34">
        <v>25052</v>
      </c>
      <c r="F34">
        <v>28703</v>
      </c>
      <c r="G34" t="s">
        <v>265</v>
      </c>
      <c r="H34" t="s">
        <v>881</v>
      </c>
      <c r="I34" t="s">
        <v>852</v>
      </c>
    </row>
    <row r="35">
      <c r="A35" t="s">
        <v>885</v>
      </c>
      <c r="B35">
        <v>26356</v>
      </c>
      <c r="C35">
        <v>29375</v>
      </c>
      <c r="D35">
        <v>29615</v>
      </c>
      <c r="E35">
        <v>30658</v>
      </c>
      <c r="F35">
        <v>33696</v>
      </c>
      <c r="G35" t="s">
        <v>265</v>
      </c>
      <c r="H35" t="s">
        <v>881</v>
      </c>
      <c r="I35" t="s">
        <v>852</v>
      </c>
    </row>
    <row r="36">
      <c r="A36" t="s">
        <v>886</v>
      </c>
      <c r="B36">
        <f>SUM(B31:B35)</f>
        <v>365817</v>
      </c>
      <c r="C36">
        <f>SUM(C31:C35)</f>
        <v>394328</v>
      </c>
      <c r="D36">
        <f>SUM(D31:D35)</f>
        <v>383285</v>
      </c>
      <c r="E36">
        <f>SUM(E31:E35)</f>
        <v>391035</v>
      </c>
      <c r="F36">
        <f>SUM(F31:F35)</f>
        <v>416161</v>
      </c>
      <c r="G36" t="s">
        <v>265</v>
      </c>
      <c r="H36" t="s">
        <v>887</v>
      </c>
      <c r="I36" t="s">
        <v>859</v>
      </c>
    </row>
    <row r="37">
      <c r="A37" t="s">
        <v>888</v>
      </c>
      <c r="B37">
        <f>B36-IS_Hist!B7</f>
        <v>0</v>
      </c>
      <c r="C37">
        <f>C36-IS_Hist!C7</f>
        <v>0</v>
      </c>
      <c r="D37">
        <f>D36-IS_Hist!D7</f>
        <v>0</v>
      </c>
      <c r="E37">
        <f>E36-IS_Hist!E7</f>
        <v>0</v>
      </c>
      <c r="F37">
        <f>F36-IS_Hist!F7</f>
        <v>0</v>
      </c>
      <c r="G37" t="s">
        <v>265</v>
      </c>
      <c r="H37" t="s">
        <v>889</v>
      </c>
      <c r="I37" t="s">
        <v>862</v>
      </c>
    </row>
    <row r="39">
      <c r="A39" t="s">
        <v>890</v>
      </c>
    </row>
    <row r="40">
      <c r="A40" t="s">
        <v>891</v>
      </c>
      <c r="B40">
        <f>B31/B$36</f>
        <v>0.41907839165484384</v>
      </c>
      <c r="C40">
        <f>C31/C$36</f>
        <v>0.4302458866730235</v>
      </c>
      <c r="D40">
        <f>D31/D$36</f>
        <v>0.4241230416008975</v>
      </c>
      <c r="E40">
        <f>E31/E$36</f>
        <v>0.42718682470878566</v>
      </c>
      <c r="F40">
        <f>F31/F$36</f>
        <v>0.4285673092865502</v>
      </c>
      <c r="G40" t="s">
        <v>286</v>
      </c>
      <c r="H40" t="s">
        <v>859</v>
      </c>
      <c r="I40" t="s">
        <v>859</v>
      </c>
    </row>
    <row r="41">
      <c r="A41" t="s">
        <v>892</v>
      </c>
      <c r="B41">
        <f>B32/B$36</f>
        <v>0.2441302618522376</v>
      </c>
      <c r="C41">
        <f>C32/C$36</f>
        <v>0.24121543486640562</v>
      </c>
      <c r="D41">
        <f>D32/D$36</f>
        <v>0.24601536715498912</v>
      </c>
      <c r="E41">
        <f>E32/E$36</f>
        <v>0.259127699566535</v>
      </c>
      <c r="F41">
        <f>F32/F$36</f>
        <v>0.2668005891950471</v>
      </c>
      <c r="G41" t="s">
        <v>286</v>
      </c>
      <c r="H41" t="s">
        <v>859</v>
      </c>
      <c r="I41" t="s">
        <v>859</v>
      </c>
    </row>
    <row r="42">
      <c r="A42" t="s">
        <v>893</v>
      </c>
      <c r="B42">
        <f>B33/B$36</f>
        <v>0.1868857926230875</v>
      </c>
      <c r="C42">
        <f>C33/C$36</f>
        <v>0.1881682254366923</v>
      </c>
      <c r="D42">
        <f>D33/D$36</f>
        <v>0.18930821712302856</v>
      </c>
      <c r="E42">
        <f>E33/E$36</f>
        <v>0.17121741020624753</v>
      </c>
      <c r="F42">
        <f>F33/F$36</f>
        <v>0.15469253486030646</v>
      </c>
      <c r="G42" t="s">
        <v>286</v>
      </c>
      <c r="H42" t="s">
        <v>859</v>
      </c>
      <c r="I42" t="s">
        <v>859</v>
      </c>
    </row>
    <row r="43">
      <c r="A43" t="s">
        <v>894</v>
      </c>
      <c r="B43">
        <f>B34/B$36</f>
        <v>0.07785860143186348</v>
      </c>
      <c r="C43">
        <f>C34/C$36</f>
        <v>0.06587663062222313</v>
      </c>
      <c r="D43">
        <f>D34/D$36</f>
        <v>0.06328711011388392</v>
      </c>
      <c r="E43">
        <f>E34/E$36</f>
        <v>0.0640658764560717</v>
      </c>
      <c r="F43">
        <f>F34/F$36</f>
        <v>0.06897090308798758</v>
      </c>
      <c r="G43" t="s">
        <v>286</v>
      </c>
      <c r="H43" t="s">
        <v>859</v>
      </c>
      <c r="I43" t="s">
        <v>859</v>
      </c>
    </row>
    <row r="44">
      <c r="A44" t="s">
        <v>895</v>
      </c>
      <c r="B44">
        <f>B35/B$36</f>
        <v>0.07204695243796762</v>
      </c>
      <c r="C44">
        <f>C35/C$36</f>
        <v>0.07449382240165547</v>
      </c>
      <c r="D44">
        <f>D35/D$36</f>
        <v>0.07726626400720091</v>
      </c>
      <c r="E44">
        <f>E35/E$36</f>
        <v>0.07840218906236014</v>
      </c>
      <c r="F44">
        <f>F35/F$36</f>
        <v>0.08096866357010868</v>
      </c>
      <c r="G44" t="s">
        <v>286</v>
      </c>
      <c r="H44" t="s">
        <v>859</v>
      </c>
      <c r="I44" t="s">
        <v>859</v>
      </c>
    </row>
    <row r="46">
      <c r="A46" t="s">
        <v>896</v>
      </c>
    </row>
    <row r="47">
      <c r="A47" t="s">
        <v>897</v>
      </c>
      <c r="B47" t="s">
        <v>872</v>
      </c>
      <c r="C47">
        <f>C31/B31-1</f>
        <v>0.10666249200944522</v>
      </c>
      <c r="D47">
        <f>D31/C31-1</f>
        <v>-0.04183710759292225</v>
      </c>
      <c r="E47">
        <f>E31/D31-1</f>
        <v>0.02758981299212593</v>
      </c>
      <c r="F47">
        <f>F31/E31-1</f>
        <v>0.06769433386213297</v>
      </c>
      <c r="G47" t="s">
        <v>286</v>
      </c>
      <c r="H47" t="s">
        <v>859</v>
      </c>
      <c r="I47" t="s">
        <v>859</v>
      </c>
    </row>
    <row r="48">
      <c r="A48" t="s">
        <v>898</v>
      </c>
      <c r="B48" t="s">
        <v>872</v>
      </c>
      <c r="C48">
        <f>C32/B32-1</f>
        <v>0.06506768786321349</v>
      </c>
      <c r="D48">
        <f>D32/C32-1</f>
        <v>-0.008662923947097334</v>
      </c>
      <c r="E48">
        <f>E32/D32-1</f>
        <v>0.0745964748552399</v>
      </c>
      <c r="F48">
        <f>F32/E32-1</f>
        <v>0.09576819832622774</v>
      </c>
      <c r="G48" t="s">
        <v>286</v>
      </c>
      <c r="H48" t="s">
        <v>859</v>
      </c>
      <c r="I48" t="s">
        <v>859</v>
      </c>
    </row>
    <row r="49">
      <c r="A49" t="s">
        <v>899</v>
      </c>
      <c r="B49" t="s">
        <v>872</v>
      </c>
      <c r="C49">
        <f>C33/B33-1</f>
        <v>0.08533481555159006</v>
      </c>
      <c r="D49">
        <f>D33/C33-1</f>
        <v>-0.022115902964959577</v>
      </c>
      <c r="E49">
        <f>E33/D33-1</f>
        <v>-0.07727504513568273</v>
      </c>
      <c r="F49">
        <f>F33/E33-1</f>
        <v>-0.03846038953279962</v>
      </c>
      <c r="G49" t="s">
        <v>286</v>
      </c>
      <c r="H49" t="s">
        <v>859</v>
      </c>
      <c r="I49" t="s">
        <v>859</v>
      </c>
    </row>
    <row r="50">
      <c r="A50" t="s">
        <v>900</v>
      </c>
      <c r="B50" t="s">
        <v>872</v>
      </c>
      <c r="C50">
        <f>C34/B34-1</f>
        <v>-0.08795028439014119</v>
      </c>
      <c r="D50">
        <f>D34/C34-1</f>
        <v>-0.06621241867806138</v>
      </c>
      <c r="E50">
        <f>E34/D34-1</f>
        <v>0.032774044605680785</v>
      </c>
      <c r="F50">
        <f>F34/E34-1</f>
        <v>0.14573686731598268</v>
      </c>
      <c r="G50" t="s">
        <v>286</v>
      </c>
      <c r="H50" t="s">
        <v>859</v>
      </c>
      <c r="I50" t="s">
        <v>859</v>
      </c>
    </row>
    <row r="51">
      <c r="A51" t="s">
        <v>901</v>
      </c>
      <c r="B51" t="s">
        <v>872</v>
      </c>
      <c r="C51">
        <f>C35/B35-1</f>
        <v>0.11454697222643806</v>
      </c>
      <c r="D51">
        <f>D35/C35-1</f>
        <v>0.00817021276595753</v>
      </c>
      <c r="E51">
        <f>E35/D35-1</f>
        <v>0.03521863920310664</v>
      </c>
      <c r="F51">
        <f>F35/E35-1</f>
        <v>0.09909322199752113</v>
      </c>
      <c r="G51" t="s">
        <v>286</v>
      </c>
      <c r="H51" t="s">
        <v>859</v>
      </c>
      <c r="I51" t="s">
        <v>859</v>
      </c>
    </row>
    <row r="53">
      <c r="A53" s="33" t="s">
        <v>902</v>
      </c>
      <c r="B53" s="33"/>
      <c r="C53" s="33"/>
      <c r="D53" s="33"/>
      <c r="E53" s="33"/>
      <c r="F53" s="33"/>
      <c r="G53" s="33"/>
      <c r="H53" s="33"/>
      <c r="I53" s="33"/>
    </row>
    <row r="54">
      <c r="A54" t="s">
        <v>903</v>
      </c>
      <c r="B54">
        <v>53382</v>
      </c>
      <c r="C54">
        <v>62683</v>
      </c>
      <c r="D54">
        <v>60508</v>
      </c>
      <c r="E54">
        <v>67656</v>
      </c>
      <c r="F54">
        <v>72480</v>
      </c>
      <c r="G54" t="s">
        <v>265</v>
      </c>
      <c r="H54" t="s">
        <v>904</v>
      </c>
      <c r="I54" t="s">
        <v>852</v>
      </c>
    </row>
    <row r="55">
      <c r="A55" t="s">
        <v>905</v>
      </c>
      <c r="B55">
        <v>32505</v>
      </c>
      <c r="C55">
        <v>35233</v>
      </c>
      <c r="D55">
        <v>36098</v>
      </c>
      <c r="E55">
        <v>41790</v>
      </c>
      <c r="F55">
        <v>47739</v>
      </c>
      <c r="G55" t="s">
        <v>265</v>
      </c>
      <c r="H55" t="s">
        <v>904</v>
      </c>
      <c r="I55" t="s">
        <v>852</v>
      </c>
    </row>
    <row r="56">
      <c r="A56" t="s">
        <v>906</v>
      </c>
      <c r="B56">
        <v>28504</v>
      </c>
      <c r="C56">
        <v>31153</v>
      </c>
      <c r="D56">
        <v>30328</v>
      </c>
      <c r="E56">
        <v>27082</v>
      </c>
      <c r="F56">
        <v>26917</v>
      </c>
      <c r="G56" t="s">
        <v>265</v>
      </c>
      <c r="H56" t="s">
        <v>904</v>
      </c>
      <c r="I56" t="s">
        <v>852</v>
      </c>
    </row>
    <row r="57">
      <c r="A57" t="s">
        <v>907</v>
      </c>
      <c r="B57">
        <v>12798</v>
      </c>
      <c r="C57">
        <v>12257</v>
      </c>
      <c r="D57">
        <v>11888</v>
      </c>
      <c r="E57">
        <v>12454</v>
      </c>
      <c r="F57">
        <v>13955</v>
      </c>
      <c r="G57" t="s">
        <v>265</v>
      </c>
      <c r="H57" t="s">
        <v>904</v>
      </c>
      <c r="I57" t="s">
        <v>852</v>
      </c>
    </row>
    <row r="58">
      <c r="A58" t="s">
        <v>908</v>
      </c>
      <c r="B58">
        <v>9817</v>
      </c>
      <c r="C58">
        <v>11569</v>
      </c>
      <c r="D58">
        <v>12066</v>
      </c>
      <c r="E58">
        <v>13062</v>
      </c>
      <c r="F58">
        <v>14586</v>
      </c>
      <c r="G58" t="s">
        <v>265</v>
      </c>
      <c r="H58" t="s">
        <v>904</v>
      </c>
      <c r="I58" t="s">
        <v>852</v>
      </c>
    </row>
    <row r="59">
      <c r="A59" t="s">
        <v>909</v>
      </c>
      <c r="B59">
        <f>SUM(B54:B58)</f>
        <v>137006</v>
      </c>
      <c r="C59">
        <f>SUM(C54:C58)</f>
        <v>152895</v>
      </c>
      <c r="D59">
        <f>SUM(D54:D58)</f>
        <v>150888</v>
      </c>
      <c r="E59">
        <f>SUM(E54:E58)</f>
        <v>162044</v>
      </c>
      <c r="F59">
        <f>SUM(F54:F58)</f>
        <v>175677</v>
      </c>
      <c r="G59" t="s">
        <v>265</v>
      </c>
      <c r="H59" t="s">
        <v>910</v>
      </c>
      <c r="I59" t="s">
        <v>859</v>
      </c>
    </row>
    <row r="60">
      <c r="A60" t="s">
        <v>911</v>
      </c>
      <c r="B60">
        <f>-IS_Hist!B13</f>
        <v>-21914</v>
      </c>
      <c r="C60">
        <f>-IS_Hist!C13</f>
        <v>-26251</v>
      </c>
      <c r="D60">
        <f>-IS_Hist!D13</f>
        <v>-29915</v>
      </c>
      <c r="E60">
        <f>-IS_Hist!E13</f>
        <v>-31370</v>
      </c>
      <c r="F60">
        <f>-IS_Hist!F13</f>
        <v>-34550</v>
      </c>
      <c r="G60" t="s">
        <v>265</v>
      </c>
      <c r="H60" t="s">
        <v>912</v>
      </c>
      <c r="I60" t="s">
        <v>913</v>
      </c>
    </row>
    <row r="61">
      <c r="A61" t="s">
        <v>914</v>
      </c>
      <c r="B61">
        <v>-6143</v>
      </c>
      <c r="C61">
        <v>-7207</v>
      </c>
      <c r="D61">
        <v>-6672</v>
      </c>
      <c r="E61">
        <v>-7458</v>
      </c>
      <c r="F61">
        <v>-8077</v>
      </c>
      <c r="G61" t="s">
        <v>265</v>
      </c>
      <c r="H61" t="s">
        <v>915</v>
      </c>
      <c r="I61" t="s">
        <v>852</v>
      </c>
    </row>
    <row r="62">
      <c r="A62" t="s">
        <v>916</v>
      </c>
      <c r="B62">
        <f>B59+B60+B61</f>
        <v>108949</v>
      </c>
      <c r="C62">
        <f>C59+C60+C61</f>
        <v>119437</v>
      </c>
      <c r="D62">
        <f>D59+D60+D61</f>
        <v>114301</v>
      </c>
      <c r="E62">
        <f>E59+E60+E61</f>
        <v>123216</v>
      </c>
      <c r="F62">
        <f>F59+F60+F61</f>
        <v>133050</v>
      </c>
      <c r="G62" t="s">
        <v>265</v>
      </c>
      <c r="H62" t="s">
        <v>917</v>
      </c>
      <c r="I62" t="s">
        <v>859</v>
      </c>
    </row>
    <row r="63">
      <c r="A63" t="s">
        <v>918</v>
      </c>
      <c r="B63">
        <f>B62-IS_Hist!B16</f>
        <v>0</v>
      </c>
      <c r="C63">
        <f>C62-IS_Hist!C16</f>
        <v>0</v>
      </c>
      <c r="D63">
        <f>D62-IS_Hist!D16</f>
        <v>0</v>
      </c>
      <c r="E63">
        <f>E62-IS_Hist!E16</f>
        <v>0</v>
      </c>
      <c r="F63">
        <f>F62-IS_Hist!F16</f>
        <v>0</v>
      </c>
      <c r="G63" t="s">
        <v>265</v>
      </c>
      <c r="H63" t="s">
        <v>919</v>
      </c>
      <c r="I63" t="s">
        <v>862</v>
      </c>
    </row>
    <row r="65">
      <c r="A65" t="s">
        <v>920</v>
      </c>
    </row>
    <row r="66">
      <c r="A66" t="s">
        <v>921</v>
      </c>
      <c r="B66">
        <f>B54/B31</f>
        <v>0.3482055496849438</v>
      </c>
      <c r="C66">
        <f>C54/C31</f>
        <v>0.3694668096995131</v>
      </c>
      <c r="D66">
        <f>D54/D31</f>
        <v>0.3722194881889764</v>
      </c>
      <c r="E66">
        <f>E54/E31</f>
        <v>0.4050166122901015</v>
      </c>
      <c r="F66">
        <f>F54/F31</f>
        <v>0.4063850902423845</v>
      </c>
      <c r="G66" t="s">
        <v>286</v>
      </c>
      <c r="H66" t="s">
        <v>859</v>
      </c>
      <c r="I66" t="s">
        <v>859</v>
      </c>
    </row>
    <row r="67">
      <c r="A67" t="s">
        <v>922</v>
      </c>
      <c r="B67">
        <f>B55/B32</f>
        <v>0.363969229735631</v>
      </c>
      <c r="C67">
        <f>C55/C32</f>
        <v>0.3704135915389306</v>
      </c>
      <c r="D67">
        <f>D55/D32</f>
        <v>0.3828239336543152</v>
      </c>
      <c r="E67">
        <f>E55/E32</f>
        <v>0.4124230222643297</v>
      </c>
      <c r="F67">
        <f>F55/F32</f>
        <v>0.429957129476187</v>
      </c>
      <c r="G67" t="s">
        <v>286</v>
      </c>
      <c r="H67" t="s">
        <v>859</v>
      </c>
      <c r="I67" t="s">
        <v>859</v>
      </c>
    </row>
    <row r="68">
      <c r="A68" t="s">
        <v>923</v>
      </c>
      <c r="B68">
        <f>B56/B33</f>
        <v>0.41693239329491266</v>
      </c>
      <c r="C68">
        <f>C56/C33</f>
        <v>0.41985175202156333</v>
      </c>
      <c r="D68">
        <f>D56/D33</f>
        <v>0.41797709450240494</v>
      </c>
      <c r="E68">
        <f>E56/E33</f>
        <v>0.40449874536981717</v>
      </c>
      <c r="F68">
        <f>F56/F33</f>
        <v>0.4181151653540861</v>
      </c>
      <c r="G68" t="s">
        <v>286</v>
      </c>
      <c r="H68" t="s">
        <v>859</v>
      </c>
      <c r="I68" t="s">
        <v>859</v>
      </c>
    </row>
    <row r="69">
      <c r="A69" t="s">
        <v>924</v>
      </c>
      <c r="B69">
        <f>B57/B34</f>
        <v>0.4493364230040025</v>
      </c>
      <c r="C69">
        <f>C57/C34</f>
        <v>0.4718404742656966</v>
      </c>
      <c r="D69">
        <f>D57/D34</f>
        <v>0.4900853361916148</v>
      </c>
      <c r="E69">
        <f>E57/E34</f>
        <v>0.4971259779658311</v>
      </c>
      <c r="F69">
        <f>F57/F34</f>
        <v>0.48618611294986586</v>
      </c>
      <c r="G69" t="s">
        <v>286</v>
      </c>
      <c r="H69" t="s">
        <v>859</v>
      </c>
      <c r="I69" t="s">
        <v>859</v>
      </c>
    </row>
    <row r="70">
      <c r="A70" t="s">
        <v>925</v>
      </c>
      <c r="B70">
        <f>B58/B35</f>
        <v>0.3724768553650023</v>
      </c>
      <c r="C70">
        <f>C58/C35</f>
        <v>0.3938382978723404</v>
      </c>
      <c r="D70">
        <f>D58/D35</f>
        <v>0.407428667904778</v>
      </c>
      <c r="E70">
        <f>E58/E35</f>
        <v>0.4260551895100789</v>
      </c>
      <c r="F70">
        <f>F58/F35</f>
        <v>0.43287037037037035</v>
      </c>
      <c r="G70" t="s">
        <v>286</v>
      </c>
      <c r="H70" t="s">
        <v>859</v>
      </c>
      <c r="I70" t="s">
        <v>859</v>
      </c>
    </row>
    <row r="72">
      <c r="A72" s="33" t="s">
        <v>926</v>
      </c>
      <c r="B72" s="33"/>
      <c r="C72" s="33"/>
      <c r="D72" s="33"/>
      <c r="E72" s="33"/>
      <c r="F72" s="33"/>
      <c r="G72" s="33"/>
      <c r="H72" s="33"/>
      <c r="I72" s="33"/>
    </row>
    <row r="73">
      <c r="A73" t="s">
        <v>927</v>
      </c>
      <c r="B73">
        <v>297392</v>
      </c>
      <c r="C73">
        <v>316199</v>
      </c>
      <c r="D73">
        <v>298085</v>
      </c>
      <c r="E73">
        <v>294866</v>
      </c>
      <c r="F73">
        <v>307003</v>
      </c>
      <c r="G73" t="s">
        <v>265</v>
      </c>
      <c r="H73" t="s">
        <v>928</v>
      </c>
      <c r="I73" t="s">
        <v>852</v>
      </c>
    </row>
    <row r="74">
      <c r="A74" t="s">
        <v>929</v>
      </c>
      <c r="B74">
        <f>B11</f>
        <v>68425</v>
      </c>
      <c r="C74">
        <f>C11</f>
        <v>78129</v>
      </c>
      <c r="D74">
        <f>D11</f>
        <v>85200</v>
      </c>
      <c r="E74">
        <f>E11</f>
        <v>96169</v>
      </c>
      <c r="F74">
        <f>F11</f>
        <v>109158</v>
      </c>
      <c r="G74" t="s">
        <v>265</v>
      </c>
      <c r="H74" t="s">
        <v>930</v>
      </c>
      <c r="I74" t="s">
        <v>913</v>
      </c>
    </row>
    <row r="75">
      <c r="A75" t="s">
        <v>931</v>
      </c>
      <c r="B75">
        <f>B73+B74</f>
        <v>365817</v>
      </c>
      <c r="C75">
        <f>C73+C74</f>
        <v>394328</v>
      </c>
      <c r="D75">
        <f>D73+D74</f>
        <v>383285</v>
      </c>
      <c r="E75">
        <f>E73+E74</f>
        <v>391035</v>
      </c>
      <c r="F75">
        <f>F73+F74</f>
        <v>416161</v>
      </c>
      <c r="G75" t="s">
        <v>265</v>
      </c>
      <c r="H75" t="s">
        <v>859</v>
      </c>
      <c r="I75" t="s">
        <v>859</v>
      </c>
    </row>
    <row r="76">
      <c r="A76" t="s">
        <v>932</v>
      </c>
      <c r="B76">
        <f>B75-IS_Hist!B7</f>
        <v>0</v>
      </c>
      <c r="C76">
        <f>C75-IS_Hist!C7</f>
        <v>0</v>
      </c>
      <c r="D76">
        <f>D75-IS_Hist!D7</f>
        <v>0</v>
      </c>
      <c r="E76">
        <f>E75-IS_Hist!E7</f>
        <v>0</v>
      </c>
      <c r="F76">
        <f>F75-IS_Hist!F7</f>
        <v>0</v>
      </c>
      <c r="G76" t="s">
        <v>265</v>
      </c>
      <c r="H76" t="s">
        <v>889</v>
      </c>
      <c r="I76" t="s">
        <v>862</v>
      </c>
    </row>
    <row r="77">
      <c r="A77" t="s">
        <v>933</v>
      </c>
      <c r="B77">
        <v>192266</v>
      </c>
      <c r="C77">
        <v>201471</v>
      </c>
      <c r="D77">
        <v>189282</v>
      </c>
      <c r="E77">
        <v>185233</v>
      </c>
      <c r="F77">
        <v>194116</v>
      </c>
      <c r="G77" t="s">
        <v>265</v>
      </c>
      <c r="H77" t="s">
        <v>928</v>
      </c>
      <c r="I77" t="s">
        <v>852</v>
      </c>
    </row>
    <row r="78">
      <c r="A78" t="s">
        <v>934</v>
      </c>
      <c r="B78">
        <v>20715</v>
      </c>
      <c r="C78">
        <v>22075</v>
      </c>
      <c r="D78">
        <v>24855</v>
      </c>
      <c r="E78">
        <v>25119</v>
      </c>
      <c r="F78">
        <v>26844</v>
      </c>
      <c r="G78" t="s">
        <v>265</v>
      </c>
      <c r="H78" t="s">
        <v>928</v>
      </c>
      <c r="I78" t="s">
        <v>852</v>
      </c>
    </row>
    <row r="79">
      <c r="A79" t="s">
        <v>935</v>
      </c>
      <c r="B79">
        <f>B77+B78</f>
        <v>212981</v>
      </c>
      <c r="C79">
        <f>C77+C78</f>
        <v>223546</v>
      </c>
      <c r="D79">
        <f>D77+D78</f>
        <v>214137</v>
      </c>
      <c r="E79">
        <f>E77+E78</f>
        <v>210352</v>
      </c>
      <c r="F79">
        <f>F77+F78</f>
        <v>220960</v>
      </c>
      <c r="G79" t="s">
        <v>265</v>
      </c>
      <c r="H79" t="s">
        <v>859</v>
      </c>
      <c r="I79" t="s">
        <v>859</v>
      </c>
    </row>
    <row r="80">
      <c r="A80" t="s">
        <v>936</v>
      </c>
      <c r="B80">
        <f>B79-IS_Hist!B10</f>
        <v>0</v>
      </c>
      <c r="C80">
        <f>C79-IS_Hist!C10</f>
        <v>0</v>
      </c>
      <c r="D80">
        <f>D79-IS_Hist!D10</f>
        <v>0</v>
      </c>
      <c r="E80">
        <f>E79-IS_Hist!E10</f>
        <v>0</v>
      </c>
      <c r="F80">
        <f>F79-IS_Hist!F10</f>
        <v>0</v>
      </c>
      <c r="G80" t="s">
        <v>265</v>
      </c>
      <c r="H80" t="s">
        <v>937</v>
      </c>
      <c r="I80" t="s">
        <v>862</v>
      </c>
    </row>
    <row r="81">
      <c r="A81" t="s">
        <v>938</v>
      </c>
      <c r="B81">
        <v>105126</v>
      </c>
      <c r="C81">
        <v>114728</v>
      </c>
      <c r="D81">
        <v>108803</v>
      </c>
      <c r="E81">
        <v>109633</v>
      </c>
      <c r="F81">
        <v>112887</v>
      </c>
      <c r="G81" t="s">
        <v>265</v>
      </c>
      <c r="H81" t="s">
        <v>939</v>
      </c>
      <c r="I81" t="s">
        <v>852</v>
      </c>
    </row>
    <row r="82">
      <c r="A82" t="s">
        <v>940</v>
      </c>
      <c r="B82">
        <v>47710</v>
      </c>
      <c r="C82">
        <v>56054</v>
      </c>
      <c r="D82">
        <v>60345</v>
      </c>
      <c r="E82">
        <v>71050</v>
      </c>
      <c r="F82">
        <v>82314</v>
      </c>
      <c r="G82" t="s">
        <v>265</v>
      </c>
      <c r="H82" t="s">
        <v>939</v>
      </c>
      <c r="I82" t="s">
        <v>852</v>
      </c>
    </row>
    <row r="83">
      <c r="A83" t="s">
        <v>941</v>
      </c>
      <c r="B83">
        <f>B81+B82</f>
        <v>152836</v>
      </c>
      <c r="C83">
        <f>C81+C82</f>
        <v>170782</v>
      </c>
      <c r="D83">
        <f>D81+D82</f>
        <v>169148</v>
      </c>
      <c r="E83">
        <f>E81+E82</f>
        <v>180683</v>
      </c>
      <c r="F83">
        <f>F81+F82</f>
        <v>195201</v>
      </c>
      <c r="G83" t="s">
        <v>265</v>
      </c>
      <c r="H83" t="s">
        <v>859</v>
      </c>
      <c r="I83" t="s">
        <v>859</v>
      </c>
    </row>
    <row r="84">
      <c r="A84" t="s">
        <v>942</v>
      </c>
      <c r="B84">
        <f>B83-IS_Hist!B11</f>
        <v>0</v>
      </c>
      <c r="C84">
        <f>C83-IS_Hist!C11</f>
        <v>0</v>
      </c>
      <c r="D84">
        <f>D83-IS_Hist!D11</f>
        <v>0</v>
      </c>
      <c r="E84">
        <f>E83-IS_Hist!E11</f>
        <v>0</v>
      </c>
      <c r="F84">
        <f>F83-IS_Hist!F11</f>
        <v>0</v>
      </c>
      <c r="G84" t="s">
        <v>265</v>
      </c>
      <c r="H84" t="s">
        <v>943</v>
      </c>
      <c r="I84" t="s">
        <v>862</v>
      </c>
    </row>
    <row r="85">
      <c r="A85" t="s">
        <v>944</v>
      </c>
      <c r="B85">
        <v>0.353</v>
      </c>
      <c r="C85">
        <v>0.363</v>
      </c>
      <c r="D85">
        <v>0.365</v>
      </c>
      <c r="E85">
        <v>0.372</v>
      </c>
      <c r="F85">
        <v>0.368</v>
      </c>
      <c r="G85" t="s">
        <v>286</v>
      </c>
      <c r="H85" t="s">
        <v>939</v>
      </c>
      <c r="I85" t="s">
        <v>852</v>
      </c>
    </row>
    <row r="86">
      <c r="A86" t="s">
        <v>945</v>
      </c>
      <c r="B86">
        <v>0.697</v>
      </c>
      <c r="C86">
        <v>0.717</v>
      </c>
      <c r="D86">
        <v>0.708</v>
      </c>
      <c r="E86">
        <v>0.739</v>
      </c>
      <c r="F86">
        <v>0.754</v>
      </c>
      <c r="G86" t="s">
        <v>286</v>
      </c>
      <c r="H86" t="s">
        <v>939</v>
      </c>
      <c r="I86" t="s">
        <v>852</v>
      </c>
    </row>
    <row r="87">
      <c r="A87" t="s">
        <v>946</v>
      </c>
      <c r="B87">
        <v>0.418</v>
      </c>
      <c r="C87">
        <v>0.433</v>
      </c>
      <c r="D87">
        <v>0.441</v>
      </c>
      <c r="E87">
        <v>0.462</v>
      </c>
      <c r="F87">
        <v>0.469</v>
      </c>
      <c r="G87" t="s">
        <v>286</v>
      </c>
      <c r="H87" t="s">
        <v>939</v>
      </c>
      <c r="I87" t="s">
        <v>852</v>
      </c>
    </row>
    <row r="88">
      <c r="A88" t="s">
        <v>947</v>
      </c>
      <c r="B88">
        <f>B81/B73</f>
        <v>0.3534930327648356</v>
      </c>
      <c r="C88">
        <f>C81/C73</f>
        <v>0.3628347970739945</v>
      </c>
      <c r="D88">
        <f>D81/D73</f>
        <v>0.3650066256269185</v>
      </c>
      <c r="E88">
        <f>E81/E73</f>
        <v>0.37180617636485724</v>
      </c>
      <c r="F88">
        <f>F81/F73</f>
        <v>0.3677065044966987</v>
      </c>
      <c r="G88" t="s">
        <v>286</v>
      </c>
      <c r="H88" t="s">
        <v>948</v>
      </c>
      <c r="I88" t="s">
        <v>859</v>
      </c>
    </row>
    <row r="89">
      <c r="A89" t="s">
        <v>949</v>
      </c>
      <c r="B89">
        <f>B82/B74</f>
        <v>0.6972597734746072</v>
      </c>
      <c r="C89">
        <f>C82/C74</f>
        <v>0.7174544663313238</v>
      </c>
      <c r="D89">
        <f>D82/D74</f>
        <v>0.708274647887324</v>
      </c>
      <c r="E89">
        <f>E82/E74</f>
        <v>0.7388035645582256</v>
      </c>
      <c r="F89">
        <f>F82/F74</f>
        <v>0.754081240037377</v>
      </c>
      <c r="G89" t="s">
        <v>286</v>
      </c>
      <c r="H89" t="s">
        <v>859</v>
      </c>
      <c r="I89" t="s">
        <v>859</v>
      </c>
    </row>
    <row r="90">
      <c r="A90" t="s">
        <v>950</v>
      </c>
      <c r="B90">
        <f>B82/B83</f>
        <v>0.3121646732445235</v>
      </c>
      <c r="C90">
        <f>C82/C83</f>
        <v>0.328219601597358</v>
      </c>
      <c r="D90">
        <f>D82/D83</f>
        <v>0.356758578286471</v>
      </c>
      <c r="E90">
        <f>E82/E83</f>
        <v>0.3932301323312099</v>
      </c>
      <c r="F90">
        <f>F82/F83</f>
        <v>0.42168841348148833</v>
      </c>
      <c r="G90" t="s">
        <v>286</v>
      </c>
      <c r="H90" t="s">
        <v>951</v>
      </c>
      <c r="I90" t="s">
        <v>859</v>
      </c>
    </row>
    <row r="91">
      <c r="A91" t="s">
        <v>952</v>
      </c>
      <c r="B91">
        <f>B74/B75</f>
        <v>0.18704707545029345</v>
      </c>
      <c r="C91">
        <f>C74/C75</f>
        <v>0.19813201192915542</v>
      </c>
      <c r="D91">
        <f>D74/D75</f>
        <v>0.222288897295746</v>
      </c>
      <c r="E91">
        <f>E74/E75</f>
        <v>0.2459345071413045</v>
      </c>
      <c r="F91">
        <f>F74/F75</f>
        <v>0.2622975242754607</v>
      </c>
      <c r="G91" t="s">
        <v>286</v>
      </c>
      <c r="H91" t="s">
        <v>859</v>
      </c>
      <c r="I91" t="s">
        <v>859</v>
      </c>
    </row>
    <row r="93">
      <c r="A93" s="33" t="s">
        <v>953</v>
      </c>
      <c r="B93" s="33"/>
      <c r="C93" s="33"/>
      <c r="D93" s="33"/>
      <c r="E93" s="33"/>
      <c r="F93" s="33"/>
      <c r="G93" s="33"/>
      <c r="H93" s="33"/>
      <c r="I93" s="33"/>
    </row>
    <row r="94">
      <c r="A94" t="s">
        <v>954</v>
      </c>
      <c r="B94">
        <v>154000</v>
      </c>
      <c r="C94">
        <v>164000</v>
      </c>
      <c r="D94">
        <v>161000</v>
      </c>
      <c r="E94">
        <v>164000</v>
      </c>
      <c r="F94">
        <v>166000</v>
      </c>
      <c r="G94" t="s">
        <v>955</v>
      </c>
      <c r="H94" t="s">
        <v>956</v>
      </c>
      <c r="I94" t="s">
        <v>852</v>
      </c>
    </row>
    <row r="95">
      <c r="A95" t="s">
        <v>957</v>
      </c>
      <c r="B95">
        <f>B12*1000/B94</f>
        <v>2375.435064935065</v>
      </c>
      <c r="C95">
        <f>C12*1000/C94</f>
        <v>2404.439024390244</v>
      </c>
      <c r="D95">
        <f>D12*1000/D94</f>
        <v>2380.6521739130435</v>
      </c>
      <c r="E95">
        <f>E12*1000/E94</f>
        <v>2384.359756097561</v>
      </c>
      <c r="F95">
        <f>F12*1000/F94</f>
        <v>2506.9939759036147</v>
      </c>
      <c r="G95" t="s">
        <v>958</v>
      </c>
      <c r="H95" t="s">
        <v>859</v>
      </c>
      <c r="I95" t="s">
        <v>859</v>
      </c>
    </row>
    <row r="96">
      <c r="A96" t="s">
        <v>959</v>
      </c>
      <c r="B96">
        <v>11900</v>
      </c>
      <c r="C96">
        <v>12400</v>
      </c>
      <c r="D96">
        <v>12100</v>
      </c>
      <c r="E96">
        <v>12800</v>
      </c>
      <c r="F96">
        <v>13700</v>
      </c>
      <c r="G96" t="s">
        <v>265</v>
      </c>
      <c r="H96" t="s">
        <v>960</v>
      </c>
      <c r="I96" t="s">
        <v>852</v>
      </c>
    </row>
    <row r="97">
      <c r="A97" t="s">
        <v>961</v>
      </c>
      <c r="B97">
        <f>B96/B12</f>
        <v>0.032529926165268425</v>
      </c>
      <c r="C97">
        <f>C96/C12</f>
        <v>0.03144590290316691</v>
      </c>
      <c r="D97">
        <f>D96/D12</f>
        <v>0.031569197855381766</v>
      </c>
      <c r="E97">
        <f>E96/E12</f>
        <v>0.03273364276855013</v>
      </c>
      <c r="F97">
        <f>F96/F12</f>
        <v>0.03291995165332648</v>
      </c>
      <c r="G97" t="s">
        <v>286</v>
      </c>
      <c r="H97" t="s">
        <v>859</v>
      </c>
      <c r="I97" t="s">
        <v>859</v>
      </c>
    </row>
    <row r="98">
      <c r="A98" t="s">
        <v>962</v>
      </c>
      <c r="B98">
        <v>6700</v>
      </c>
      <c r="C98">
        <v>7500</v>
      </c>
      <c r="D98">
        <v>8169</v>
      </c>
      <c r="E98">
        <v>7728</v>
      </c>
      <c r="F98">
        <v>8229</v>
      </c>
      <c r="G98" t="s">
        <v>265</v>
      </c>
      <c r="H98" t="s">
        <v>963</v>
      </c>
      <c r="I98" t="s">
        <v>852</v>
      </c>
    </row>
    <row r="99">
      <c r="A99" t="s">
        <v>539</v>
      </c>
      <c r="B99">
        <f>IS_Hist!B13</f>
        <v>21914</v>
      </c>
      <c r="C99">
        <f>IS_Hist!C13</f>
        <v>26251</v>
      </c>
      <c r="D99">
        <f>IS_Hist!D13</f>
        <v>29915</v>
      </c>
      <c r="E99">
        <f>IS_Hist!E13</f>
        <v>31370</v>
      </c>
      <c r="F99">
        <f>IS_Hist!F13</f>
        <v>34550</v>
      </c>
      <c r="G99" t="s">
        <v>265</v>
      </c>
      <c r="H99" t="s">
        <v>964</v>
      </c>
      <c r="I99" t="s">
        <v>913</v>
      </c>
    </row>
    <row r="100">
      <c r="A100" t="s">
        <v>965</v>
      </c>
      <c r="B100">
        <f>B99/B12</f>
        <v>0.059904269074427925</v>
      </c>
      <c r="C100">
        <f>C99/C12</f>
        <v>0.06657148363798665</v>
      </c>
      <c r="D100">
        <f>D99/D12</f>
        <v>0.07804897139204509</v>
      </c>
      <c r="E100">
        <f>E99/E12</f>
        <v>0.08022299794136074</v>
      </c>
      <c r="F100">
        <f>F99/F12</f>
        <v>0.08302075398703868</v>
      </c>
      <c r="G100" t="s">
        <v>286</v>
      </c>
      <c r="H100" t="s">
        <v>859</v>
      </c>
      <c r="I100" t="s">
        <v>859</v>
      </c>
    </row>
    <row r="101">
      <c r="A101" t="s">
        <v>966</v>
      </c>
      <c r="B101">
        <v>28203</v>
      </c>
      <c r="C101">
        <v>31119</v>
      </c>
      <c r="D101">
        <v>33276</v>
      </c>
      <c r="E101">
        <v>35664</v>
      </c>
      <c r="F101">
        <v>40274</v>
      </c>
      <c r="G101" t="s">
        <v>265</v>
      </c>
      <c r="H101" t="s">
        <v>967</v>
      </c>
      <c r="I101" t="s">
        <v>852</v>
      </c>
    </row>
    <row r="102">
      <c r="A102" t="s">
        <v>968</v>
      </c>
      <c r="B102">
        <v>7521</v>
      </c>
      <c r="C102">
        <v>7260</v>
      </c>
      <c r="D102">
        <v>5778</v>
      </c>
      <c r="E102">
        <v>4797</v>
      </c>
      <c r="F102">
        <v>3617</v>
      </c>
      <c r="G102" t="s">
        <v>265</v>
      </c>
      <c r="H102" t="s">
        <v>967</v>
      </c>
      <c r="I102" t="s">
        <v>852</v>
      </c>
    </row>
    <row r="103">
      <c r="A103" t="s">
        <v>969</v>
      </c>
      <c r="B103">
        <v>3716</v>
      </c>
      <c r="C103">
        <v>3738</v>
      </c>
      <c r="D103">
        <v>4661</v>
      </c>
      <c r="E103">
        <v>5219</v>
      </c>
      <c r="F103">
        <v>5943</v>
      </c>
      <c r="G103" t="s">
        <v>265</v>
      </c>
      <c r="H103" t="s">
        <v>967</v>
      </c>
      <c r="I103" t="s">
        <v>852</v>
      </c>
    </row>
    <row r="104">
      <c r="A104" t="s">
        <v>970</v>
      </c>
      <c r="B104">
        <f>SUM(B101:B103)</f>
        <v>39440</v>
      </c>
      <c r="C104">
        <f>SUM(C101:C103)</f>
        <v>42117</v>
      </c>
      <c r="D104">
        <f>SUM(D101:D103)</f>
        <v>43715</v>
      </c>
      <c r="E104">
        <f>SUM(E101:E103)</f>
        <v>45680</v>
      </c>
      <c r="F104">
        <f>SUM(F101:F103)</f>
        <v>49834</v>
      </c>
      <c r="G104" t="s">
        <v>265</v>
      </c>
      <c r="H104" t="s">
        <v>859</v>
      </c>
      <c r="I104" t="s">
        <v>859</v>
      </c>
    </row>
    <row r="105">
      <c r="A105" t="s">
        <v>971</v>
      </c>
      <c r="B105">
        <f>B104-BS_Hist!B15</f>
        <v>0</v>
      </c>
      <c r="C105">
        <f>C104-BS_Hist!C15</f>
        <v>0</v>
      </c>
      <c r="D105">
        <f>D104-BS_Hist!D15</f>
        <v>0</v>
      </c>
      <c r="E105">
        <f>E104-BS_Hist!E15</f>
        <v>0</v>
      </c>
      <c r="F105">
        <f>F104-BS_Hist!F15</f>
        <v>0</v>
      </c>
      <c r="G105" t="s">
        <v>265</v>
      </c>
      <c r="H105" t="s">
        <v>972</v>
      </c>
      <c r="I105" t="s">
        <v>862</v>
      </c>
    </row>
    <row r="106">
      <c r="A106" t="s">
        <v>973</v>
      </c>
      <c r="B106">
        <v>133803</v>
      </c>
      <c r="C106">
        <v>147859</v>
      </c>
      <c r="D106">
        <v>138573</v>
      </c>
      <c r="E106">
        <v>142196</v>
      </c>
      <c r="F106">
        <v>151790</v>
      </c>
      <c r="G106" t="s">
        <v>265</v>
      </c>
      <c r="H106" t="s">
        <v>974</v>
      </c>
      <c r="I106" t="s">
        <v>852</v>
      </c>
    </row>
    <row r="107">
      <c r="A107" t="s">
        <v>975</v>
      </c>
      <c r="B107">
        <v>68366</v>
      </c>
      <c r="C107">
        <v>74200</v>
      </c>
      <c r="D107">
        <v>72559</v>
      </c>
      <c r="E107">
        <v>66952</v>
      </c>
      <c r="F107">
        <v>64377</v>
      </c>
      <c r="G107" t="s">
        <v>265</v>
      </c>
      <c r="H107" t="s">
        <v>974</v>
      </c>
      <c r="I107" t="s">
        <v>852</v>
      </c>
    </row>
    <row r="108">
      <c r="A108" t="s">
        <v>976</v>
      </c>
      <c r="B108">
        <v>163648</v>
      </c>
      <c r="C108">
        <v>172269</v>
      </c>
      <c r="D108">
        <v>172153</v>
      </c>
      <c r="E108">
        <v>181887</v>
      </c>
      <c r="F108">
        <v>199994</v>
      </c>
      <c r="G108" t="s">
        <v>265</v>
      </c>
      <c r="H108" t="s">
        <v>974</v>
      </c>
      <c r="I108" t="s">
        <v>852</v>
      </c>
    </row>
    <row r="109">
      <c r="A109" t="s">
        <v>977</v>
      </c>
      <c r="B109">
        <f>SUM(B106:B108)</f>
        <v>365817</v>
      </c>
      <c r="C109">
        <f>SUM(C106:C108)</f>
        <v>394328</v>
      </c>
      <c r="D109">
        <f>SUM(D106:D108)</f>
        <v>383285</v>
      </c>
      <c r="E109">
        <f>SUM(E106:E108)</f>
        <v>391035</v>
      </c>
      <c r="F109">
        <f>SUM(F106:F108)</f>
        <v>416161</v>
      </c>
      <c r="G109" t="s">
        <v>265</v>
      </c>
      <c r="H109" t="s">
        <v>859</v>
      </c>
      <c r="I109" t="s">
        <v>859</v>
      </c>
    </row>
    <row r="110">
      <c r="A110" t="s">
        <v>978</v>
      </c>
      <c r="B110">
        <f>B109-IS_Hist!B7</f>
        <v>0</v>
      </c>
      <c r="C110">
        <f>C109-IS_Hist!C7</f>
        <v>0</v>
      </c>
      <c r="D110">
        <f>D109-IS_Hist!D7</f>
        <v>0</v>
      </c>
      <c r="E110">
        <f>E109-IS_Hist!E7</f>
        <v>0</v>
      </c>
      <c r="F110">
        <f>F109-IS_Hist!F7</f>
        <v>0</v>
      </c>
      <c r="G110" t="s">
        <v>265</v>
      </c>
      <c r="H110" t="s">
        <v>889</v>
      </c>
      <c r="I110" t="s">
        <v>862</v>
      </c>
    </row>
    <row r="111">
      <c r="A111" t="s">
        <v>979</v>
      </c>
      <c r="B111">
        <f>(B106+B107)/B109</f>
        <v>0.5526506422610212</v>
      </c>
      <c r="C111">
        <f>(C106+C107)/C109</f>
        <v>0.5631327219979306</v>
      </c>
      <c r="D111">
        <f>(D106+D107)/D109</f>
        <v>0.5508485852564019</v>
      </c>
      <c r="E111">
        <f>(E106+E107)/E109</f>
        <v>0.534857493574744</v>
      </c>
      <c r="F111">
        <f>(F106+F107)/F109</f>
        <v>0.5194311816820893</v>
      </c>
      <c r="G111" t="s">
        <v>286</v>
      </c>
      <c r="H111" t="s">
        <v>859</v>
      </c>
      <c r="I111" t="s">
        <v>859</v>
      </c>
    </row>
    <row r="113">
      <c r="A113" s="33" t="s">
        <v>980</v>
      </c>
      <c r="B113" s="33"/>
      <c r="C113" s="33"/>
      <c r="D113" s="33"/>
      <c r="E113" s="33"/>
      <c r="F113" s="33"/>
      <c r="G113" s="33"/>
      <c r="H113" s="33"/>
      <c r="I113" s="33"/>
    </row>
    <row r="114">
      <c r="A114" t="s">
        <v>981</v>
      </c>
      <c r="B114">
        <v>76475</v>
      </c>
      <c r="C114">
        <v>102670</v>
      </c>
      <c r="D114">
        <v>74730</v>
      </c>
      <c r="E114">
        <v>64069</v>
      </c>
      <c r="F114">
        <v>62647</v>
      </c>
      <c r="G114" t="s">
        <v>265</v>
      </c>
      <c r="H114" t="s">
        <v>982</v>
      </c>
      <c r="I114" t="s">
        <v>852</v>
      </c>
    </row>
    <row r="115">
      <c r="A115" t="s">
        <v>983</v>
      </c>
      <c r="B115">
        <v>126918</v>
      </c>
      <c r="C115">
        <v>185381</v>
      </c>
      <c r="D115">
        <v>104777</v>
      </c>
      <c r="E115">
        <v>91493</v>
      </c>
      <c r="F115">
        <v>109079</v>
      </c>
      <c r="G115" t="s">
        <v>265</v>
      </c>
      <c r="H115" t="s">
        <v>982</v>
      </c>
      <c r="I115" t="s">
        <v>852</v>
      </c>
    </row>
    <row r="116">
      <c r="A116" t="s">
        <v>984</v>
      </c>
      <c r="B116">
        <f>B114+B115</f>
        <v>203393</v>
      </c>
      <c r="C116">
        <f>C114+C115</f>
        <v>288051</v>
      </c>
      <c r="D116">
        <f>D114+D115</f>
        <v>179507</v>
      </c>
      <c r="E116">
        <f>E114+E115</f>
        <v>155562</v>
      </c>
      <c r="F116">
        <f>F114+F115</f>
        <v>171726</v>
      </c>
      <c r="G116" t="s">
        <v>265</v>
      </c>
      <c r="H116" t="s">
        <v>859</v>
      </c>
      <c r="I116" t="s">
        <v>859</v>
      </c>
    </row>
    <row r="117">
      <c r="A117" t="s">
        <v>985</v>
      </c>
      <c r="B117">
        <f>B116/B12</f>
        <v>0.5559965775237345</v>
      </c>
      <c r="C117">
        <f>C116/C12</f>
        <v>0.7304857884806557</v>
      </c>
      <c r="D117">
        <f>D116/D12</f>
        <v>0.468338181770745</v>
      </c>
      <c r="E117">
        <f>E116/E12</f>
        <v>0.3978211669032184</v>
      </c>
      <c r="F117">
        <f>F116/F12</f>
        <v>0.4126431837678206</v>
      </c>
      <c r="G117" t="s">
        <v>986</v>
      </c>
      <c r="H117" t="s">
        <v>859</v>
      </c>
      <c r="I117" t="s">
        <v>859</v>
      </c>
    </row>
    <row r="118">
      <c r="A118" t="s">
        <v>987</v>
      </c>
      <c r="B118">
        <v>16875</v>
      </c>
      <c r="C118">
        <v>20125</v>
      </c>
      <c r="D118">
        <v>19375</v>
      </c>
      <c r="E118">
        <v>14575</v>
      </c>
      <c r="F118">
        <v>12875</v>
      </c>
      <c r="G118" t="s">
        <v>265</v>
      </c>
      <c r="H118" t="s">
        <v>982</v>
      </c>
      <c r="I118" t="s">
        <v>852</v>
      </c>
    </row>
    <row r="119">
      <c r="A119" t="s">
        <v>988</v>
      </c>
      <c r="B119">
        <v>550</v>
      </c>
      <c r="C119">
        <v>1000</v>
      </c>
      <c r="D119">
        <v>669</v>
      </c>
      <c r="E119">
        <v>538</v>
      </c>
      <c r="F119">
        <v>590</v>
      </c>
      <c r="G119" t="s">
        <v>265</v>
      </c>
      <c r="H119" t="s">
        <v>989</v>
      </c>
      <c r="I119" t="s">
        <v>990</v>
      </c>
    </row>
    <row r="120">
      <c r="A120" t="s">
        <v>991</v>
      </c>
      <c r="B120" t="s">
        <v>992</v>
      </c>
      <c r="C120" t="s">
        <v>992</v>
      </c>
      <c r="D120" t="s">
        <v>992</v>
      </c>
      <c r="E120" t="s">
        <v>992</v>
      </c>
      <c r="F120" t="s">
        <v>992</v>
      </c>
      <c r="G120" t="s">
        <v>265</v>
      </c>
      <c r="H120" t="s">
        <v>993</v>
      </c>
      <c r="I120" t="s">
        <v>992</v>
      </c>
    </row>
    <row r="121">
      <c r="A121" t="s">
        <v>994</v>
      </c>
      <c r="B121" t="s">
        <v>995</v>
      </c>
      <c r="C121" t="s">
        <v>996</v>
      </c>
      <c r="D121" t="s">
        <v>997</v>
      </c>
      <c r="E121" t="s">
        <v>998</v>
      </c>
      <c r="F121" t="s">
        <v>999</v>
      </c>
      <c r="G121" t="s">
        <v>1000</v>
      </c>
      <c r="H121" t="s">
        <v>1001</v>
      </c>
      <c r="I121" t="s">
        <v>1002</v>
      </c>
    </row>
    <row r="122">
      <c r="A122" t="s">
        <v>1003</v>
      </c>
      <c r="B122" t="s">
        <v>1004</v>
      </c>
      <c r="C122" t="s">
        <v>1005</v>
      </c>
      <c r="D122" t="s">
        <v>997</v>
      </c>
      <c r="E122" t="s">
        <v>1006</v>
      </c>
      <c r="F122" t="s">
        <v>999</v>
      </c>
      <c r="G122" t="s">
        <v>1000</v>
      </c>
      <c r="H122" t="s">
        <v>1007</v>
      </c>
      <c r="I122" t="s">
        <v>1002</v>
      </c>
    </row>
    <row r="123">
      <c r="A123" t="s">
        <v>1008</v>
      </c>
      <c r="B123" t="s">
        <v>1009</v>
      </c>
      <c r="C123" t="s">
        <v>1010</v>
      </c>
      <c r="D123" t="s">
        <v>997</v>
      </c>
      <c r="E123" t="s">
        <v>1006</v>
      </c>
      <c r="F123" t="s">
        <v>999</v>
      </c>
      <c r="G123" t="s">
        <v>1000</v>
      </c>
      <c r="H123" t="s">
        <v>1007</v>
      </c>
      <c r="I123" t="s">
        <v>1002</v>
      </c>
    </row>
    <row r="124">
      <c r="A124" t="s">
        <v>1011</v>
      </c>
      <c r="B124" t="s">
        <v>1009</v>
      </c>
      <c r="C124" t="s">
        <v>1010</v>
      </c>
      <c r="D124" t="s">
        <v>1012</v>
      </c>
      <c r="E124" t="s">
        <v>998</v>
      </c>
      <c r="F124" t="s">
        <v>1013</v>
      </c>
      <c r="G124" t="s">
        <v>1000</v>
      </c>
      <c r="H124" t="s">
        <v>1014</v>
      </c>
      <c r="I124" t="s">
        <v>1002</v>
      </c>
    </row>
    <row r="125">
      <c r="A125" s="33"/>
      <c r="B125" s="33"/>
      <c r="C125" s="33"/>
      <c r="D125" s="33"/>
      <c r="E125" s="33"/>
      <c r="F125" s="33"/>
      <c r="G125" s="33"/>
      <c r="H125" s="33"/>
      <c r="I125" s="33"/>
    </row>
    <row r="126">
      <c r="A126" t="s">
        <v>1015</v>
      </c>
    </row>
    <row r="127">
      <c r="A127" t="s">
        <v>1016</v>
      </c>
      <c r="B127" t="s">
        <v>992</v>
      </c>
      <c r="C127" t="s">
        <v>992</v>
      </c>
      <c r="D127" t="s">
        <v>992</v>
      </c>
      <c r="E127" t="s">
        <v>992</v>
      </c>
      <c r="F127" t="s">
        <v>992</v>
      </c>
      <c r="G127" t="s">
        <v>1017</v>
      </c>
      <c r="H127" t="s">
        <v>1018</v>
      </c>
      <c r="I127" t="s">
        <v>1019</v>
      </c>
    </row>
    <row r="128">
      <c r="A128" t="s">
        <v>1020</v>
      </c>
      <c r="B128" t="s">
        <v>992</v>
      </c>
      <c r="C128" t="s">
        <v>992</v>
      </c>
      <c r="D128" t="s">
        <v>992</v>
      </c>
      <c r="E128" t="s">
        <v>992</v>
      </c>
      <c r="F128" t="s">
        <v>992</v>
      </c>
      <c r="G128" t="s">
        <v>1017</v>
      </c>
      <c r="H128" t="s">
        <v>1021</v>
      </c>
      <c r="I128" t="s">
        <v>992</v>
      </c>
    </row>
    <row r="129">
      <c r="A129" t="s">
        <v>1022</v>
      </c>
      <c r="B129" t="s">
        <v>992</v>
      </c>
      <c r="C129" t="s">
        <v>992</v>
      </c>
      <c r="D129" t="s">
        <v>992</v>
      </c>
      <c r="E129" t="s">
        <v>992</v>
      </c>
      <c r="F129" t="s">
        <v>992</v>
      </c>
      <c r="G129" t="s">
        <v>1017</v>
      </c>
      <c r="H129" t="s">
        <v>1023</v>
      </c>
      <c r="I129" t="s">
        <v>992</v>
      </c>
    </row>
    <row r="130">
      <c r="A130" t="s">
        <v>1024</v>
      </c>
      <c r="B130" t="s">
        <v>992</v>
      </c>
      <c r="C130" t="s">
        <v>992</v>
      </c>
      <c r="D130" t="s">
        <v>992</v>
      </c>
      <c r="E130" t="s">
        <v>992</v>
      </c>
      <c r="F130" t="s">
        <v>992</v>
      </c>
      <c r="G130" t="s">
        <v>59</v>
      </c>
      <c r="H130" t="s">
        <v>1025</v>
      </c>
      <c r="I130" t="s">
        <v>992</v>
      </c>
    </row>
    <row r="131">
      <c r="A131" t="s">
        <v>1026</v>
      </c>
      <c r="B131" t="s">
        <v>992</v>
      </c>
      <c r="C131" t="s">
        <v>992</v>
      </c>
      <c r="D131" t="s">
        <v>992</v>
      </c>
      <c r="E131" t="s">
        <v>992</v>
      </c>
      <c r="F131" t="s">
        <v>992</v>
      </c>
      <c r="G131" t="s">
        <v>265</v>
      </c>
      <c r="H131" t="s">
        <v>1027</v>
      </c>
      <c r="I131" t="s">
        <v>992</v>
      </c>
    </row>
    <row r="132">
      <c r="A132" t="s">
        <v>1028</v>
      </c>
      <c r="B132" t="s">
        <v>992</v>
      </c>
      <c r="C132" t="s">
        <v>992</v>
      </c>
      <c r="D132" t="s">
        <v>992</v>
      </c>
      <c r="E132" t="s">
        <v>992</v>
      </c>
      <c r="F132" t="s">
        <v>992</v>
      </c>
      <c r="G132" t="s">
        <v>265</v>
      </c>
      <c r="H132" t="s">
        <v>1029</v>
      </c>
      <c r="I132" t="s">
        <v>992</v>
      </c>
    </row>
    <row r="133">
      <c r="A133" t="s">
        <v>1030</v>
      </c>
      <c r="B133" t="s">
        <v>992</v>
      </c>
      <c r="C133" t="s">
        <v>992</v>
      </c>
      <c r="D133">
        <v>-92394</v>
      </c>
      <c r="E133">
        <v>-89587</v>
      </c>
      <c r="F133">
        <v>-95699</v>
      </c>
      <c r="G133" t="s">
        <v>265</v>
      </c>
      <c r="H133" t="s">
        <v>1031</v>
      </c>
      <c r="I133" t="s">
        <v>1032</v>
      </c>
    </row>
    <row r="135">
      <c r="A135" s="33" t="s">
        <v>1033</v>
      </c>
      <c r="B135" s="33"/>
      <c r="C135" s="33"/>
      <c r="D135" s="33"/>
      <c r="E135" s="33"/>
      <c r="F135" s="33"/>
      <c r="G135" s="33"/>
      <c r="H135" s="33"/>
      <c r="I135" s="33"/>
    </row>
    <row r="136">
      <c r="A136" t="s">
        <v>1034</v>
      </c>
      <c r="F136" s="34">
        <f>Forecast!B5-F7</f>
        <v>0</v>
      </c>
      <c r="G136" t="s">
        <v>265</v>
      </c>
      <c r="H136" t="s">
        <v>1035</v>
      </c>
      <c r="I136" t="s">
        <v>862</v>
      </c>
    </row>
    <row r="137">
      <c r="A137" t="s">
        <v>1036</v>
      </c>
      <c r="F137" s="34">
        <f>Forecast!B6-F8</f>
        <v>0</v>
      </c>
      <c r="G137" t="s">
        <v>265</v>
      </c>
      <c r="H137" t="s">
        <v>1037</v>
      </c>
      <c r="I137" t="s">
        <v>862</v>
      </c>
    </row>
    <row r="138">
      <c r="A138" t="s">
        <v>1038</v>
      </c>
      <c r="F138" s="34">
        <f>Forecast!B7-F9</f>
        <v>0</v>
      </c>
      <c r="G138" t="s">
        <v>265</v>
      </c>
      <c r="H138" t="s">
        <v>1039</v>
      </c>
      <c r="I138" t="s">
        <v>862</v>
      </c>
    </row>
    <row r="139">
      <c r="A139" t="s">
        <v>1040</v>
      </c>
      <c r="F139" s="34">
        <f>Forecast!B8-F10</f>
        <v>0</v>
      </c>
      <c r="G139" t="s">
        <v>265</v>
      </c>
      <c r="H139" t="s">
        <v>1041</v>
      </c>
      <c r="I139" t="s">
        <v>862</v>
      </c>
    </row>
    <row r="140">
      <c r="A140" t="s">
        <v>1042</v>
      </c>
      <c r="F140" s="34">
        <f>Forecast!B9-F11</f>
        <v>0</v>
      </c>
      <c r="G140" t="s">
        <v>265</v>
      </c>
      <c r="H140" t="s">
        <v>1043</v>
      </c>
      <c r="I140" t="s">
        <v>862</v>
      </c>
    </row>
    <row r="142">
      <c r="A142" t="s">
        <v>1044</v>
      </c>
    </row>
    <row r="143">
      <c r="A143" t="s">
        <v>1045</v>
      </c>
    </row>
    <row r="144">
      <c r="A144" t="s">
        <v>1046</v>
      </c>
    </row>
    <row r="145">
      <c r="A145" t="s">
        <v>1047</v>
      </c>
    </row>
    <row r="147">
      <c r="A147" t="s">
        <v>1048</v>
      </c>
    </row>
    <row r="148">
      <c r="A148" t="s">
        <v>1049</v>
      </c>
    </row>
    <row r="150">
      <c r="A150" t="s">
        <v>1050</v>
      </c>
    </row>
    <row r="151">
      <c r="A151" t="s">
        <v>1051</v>
      </c>
    </row>
    <row r="152">
      <c r="A152" t="s">
        <v>1052</v>
      </c>
    </row>
    <row r="153">
      <c r="A153" t="s">
        <v>1053</v>
      </c>
    </row>
    <row r="154">
      <c r="A154" t="s">
        <v>1054</v>
      </c>
    </row>
    <row r="155">
      <c r="A155" t="s">
        <v>1055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FormatPr defaultColWidth="8.375" defaultRowHeight="15"/>
  <sheetData>
    <row r="1">
      <c r="A1" s="36" t="s">
        <v>1056</v>
      </c>
      <c r="B1" s="36"/>
      <c r="C1" s="36"/>
      <c r="D1" s="36"/>
      <c r="E1" s="36"/>
      <c r="F1" s="36"/>
    </row>
    <row r="2">
      <c r="A2" t="s">
        <v>1057</v>
      </c>
    </row>
    <row r="4">
      <c r="A4" s="33" t="s">
        <v>1058</v>
      </c>
      <c r="B4" s="33" t="s">
        <v>1059</v>
      </c>
      <c r="C4" s="33" t="s">
        <v>846</v>
      </c>
      <c r="D4" s="33" t="s">
        <v>1060</v>
      </c>
      <c r="E4" s="33" t="s">
        <v>1061</v>
      </c>
      <c r="F4" s="33" t="s">
        <v>1062</v>
      </c>
    </row>
    <row r="6">
      <c r="A6" s="33" t="s">
        <v>1063</v>
      </c>
      <c r="B6" s="33"/>
      <c r="C6" s="33"/>
      <c r="D6" s="33"/>
      <c r="E6" s="33"/>
      <c r="F6" s="33"/>
    </row>
    <row r="7">
      <c r="A7" t="s">
        <v>1064</v>
      </c>
      <c r="B7">
        <v>305.26</v>
      </c>
      <c r="C7" t="s">
        <v>1065</v>
      </c>
      <c r="D7" s="32">
        <v>46247</v>
      </c>
      <c r="E7" t="s">
        <v>1066</v>
      </c>
      <c r="F7" t="s">
        <v>1067</v>
      </c>
    </row>
    <row r="8">
      <c r="A8" t="s">
        <v>1068</v>
      </c>
      <c r="B8">
        <v>14594.18</v>
      </c>
      <c r="C8" t="s">
        <v>1069</v>
      </c>
      <c r="D8" s="32">
        <v>46220</v>
      </c>
      <c r="E8" t="s">
        <v>1070</v>
      </c>
      <c r="F8" t="s">
        <v>1071</v>
      </c>
    </row>
    <row r="9">
      <c r="A9" t="s">
        <v>1072</v>
      </c>
      <c r="B9">
        <v>14776.353</v>
      </c>
      <c r="C9" t="s">
        <v>1069</v>
      </c>
      <c r="D9" s="32">
        <v>45947</v>
      </c>
      <c r="E9" t="s">
        <v>1073</v>
      </c>
      <c r="F9" t="s">
        <v>1074</v>
      </c>
    </row>
    <row r="10">
      <c r="A10" t="s">
        <v>1075</v>
      </c>
      <c r="B10">
        <v>14714.676</v>
      </c>
      <c r="C10" t="s">
        <v>1069</v>
      </c>
      <c r="D10" s="32">
        <v>46200</v>
      </c>
      <c r="E10" t="s">
        <v>1076</v>
      </c>
      <c r="F10" t="s">
        <v>1077</v>
      </c>
    </row>
    <row r="11">
      <c r="A11" s="33" t="s">
        <v>1078</v>
      </c>
      <c r="B11" s="33">
        <f>B7*B8</f>
        <v>4455019.3867999995</v>
      </c>
      <c r="C11" t="s">
        <v>265</v>
      </c>
      <c r="D11">
        <f>D7</f>
        <v>46247</v>
      </c>
      <c r="E11" t="s">
        <v>1079</v>
      </c>
      <c r="F11" t="s">
        <v>1080</v>
      </c>
    </row>
    <row r="13">
      <c r="A13" s="33" t="s">
        <v>1081</v>
      </c>
      <c r="B13" s="33"/>
      <c r="C13" s="33"/>
      <c r="D13" s="33"/>
      <c r="E13" s="33"/>
      <c r="F13" s="33"/>
    </row>
    <row r="14">
      <c r="A14" t="s">
        <v>1082</v>
      </c>
      <c r="B14">
        <f>BS_Hist!F6</f>
        <v>35934</v>
      </c>
      <c r="C14" t="s">
        <v>265</v>
      </c>
      <c r="D14" s="32">
        <v>45927</v>
      </c>
      <c r="E14" t="s">
        <v>1083</v>
      </c>
      <c r="F14" t="s">
        <v>1084</v>
      </c>
    </row>
    <row r="15">
      <c r="A15" t="s">
        <v>1085</v>
      </c>
      <c r="B15">
        <f>BS_Hist!F7</f>
        <v>18763</v>
      </c>
      <c r="C15" t="s">
        <v>265</v>
      </c>
      <c r="D15" s="32">
        <v>45927</v>
      </c>
      <c r="E15" t="s">
        <v>1086</v>
      </c>
      <c r="F15" t="s">
        <v>913</v>
      </c>
    </row>
    <row r="16">
      <c r="A16" t="s">
        <v>1087</v>
      </c>
      <c r="B16">
        <f>BS_Hist!F14</f>
        <v>77723</v>
      </c>
      <c r="C16" t="s">
        <v>265</v>
      </c>
      <c r="D16" s="32">
        <v>45927</v>
      </c>
      <c r="E16" t="s">
        <v>1088</v>
      </c>
      <c r="F16" t="s">
        <v>913</v>
      </c>
    </row>
    <row r="17">
      <c r="A17" s="33" t="s">
        <v>1089</v>
      </c>
      <c r="B17" s="33">
        <f>SUM(B14:B16)</f>
        <v>132420</v>
      </c>
      <c r="C17" t="s">
        <v>265</v>
      </c>
      <c r="D17" s="32">
        <v>45927</v>
      </c>
      <c r="E17" t="s">
        <v>859</v>
      </c>
    </row>
    <row r="18">
      <c r="A18" t="s">
        <v>1090</v>
      </c>
      <c r="B18">
        <f>BS_Hist!F24</f>
        <v>7979</v>
      </c>
      <c r="C18" t="s">
        <v>265</v>
      </c>
      <c r="D18" s="32">
        <v>45927</v>
      </c>
      <c r="E18" t="s">
        <v>1091</v>
      </c>
      <c r="F18" t="s">
        <v>913</v>
      </c>
    </row>
    <row r="19">
      <c r="A19" t="s">
        <v>1092</v>
      </c>
      <c r="B19">
        <f>BS_Hist!F25</f>
        <v>12350</v>
      </c>
      <c r="C19" t="s">
        <v>265</v>
      </c>
      <c r="D19" s="32">
        <v>45927</v>
      </c>
      <c r="E19" t="s">
        <v>1093</v>
      </c>
      <c r="F19" t="s">
        <v>913</v>
      </c>
    </row>
    <row r="20">
      <c r="A20" t="s">
        <v>1094</v>
      </c>
      <c r="B20">
        <f>BS_Hist!F28</f>
        <v>78328</v>
      </c>
      <c r="C20" t="s">
        <v>265</v>
      </c>
      <c r="D20" s="32">
        <v>45927</v>
      </c>
      <c r="E20" t="s">
        <v>1095</v>
      </c>
      <c r="F20" t="s">
        <v>913</v>
      </c>
    </row>
    <row r="21">
      <c r="A21" s="33" t="s">
        <v>1096</v>
      </c>
      <c r="B21" s="33">
        <f>SUM(B18:B20)</f>
        <v>98657</v>
      </c>
      <c r="C21" t="s">
        <v>265</v>
      </c>
      <c r="D21" s="32">
        <v>45927</v>
      </c>
      <c r="E21" t="s">
        <v>859</v>
      </c>
      <c r="F21" t="s">
        <v>1097</v>
      </c>
    </row>
    <row r="22">
      <c r="A22" s="33" t="s">
        <v>1098</v>
      </c>
      <c r="B22" s="33">
        <f>B21-B17</f>
        <v>-33763</v>
      </c>
      <c r="C22" t="s">
        <v>265</v>
      </c>
      <c r="D22" s="32">
        <v>45927</v>
      </c>
      <c r="E22" t="s">
        <v>859</v>
      </c>
      <c r="F22" t="s">
        <v>1099</v>
      </c>
    </row>
    <row r="23">
      <c r="A23" s="33" t="s">
        <v>343</v>
      </c>
      <c r="B23" s="33">
        <f>B11+B21-B17</f>
        <v>4421256.3867999995</v>
      </c>
      <c r="C23" t="s">
        <v>265</v>
      </c>
      <c r="D23" s="32">
        <v>46247</v>
      </c>
      <c r="E23" t="s">
        <v>1100</v>
      </c>
      <c r="F23" t="s">
        <v>1101</v>
      </c>
    </row>
    <row r="24">
      <c r="A24" t="s">
        <v>1102</v>
      </c>
      <c r="B24" s="34">
        <f>Historical!F14</f>
        <v>90678</v>
      </c>
      <c r="C24" t="s">
        <v>265</v>
      </c>
      <c r="D24" s="32">
        <v>45927</v>
      </c>
      <c r="E24" t="s">
        <v>162</v>
      </c>
      <c r="F24" t="s">
        <v>1103</v>
      </c>
    </row>
    <row r="25">
      <c r="A25" t="s">
        <v>1104</v>
      </c>
      <c r="B25" s="34">
        <f>B21-B24</f>
        <v>7979</v>
      </c>
      <c r="C25" t="s">
        <v>265</v>
      </c>
      <c r="D25" s="32">
        <v>45927</v>
      </c>
      <c r="E25" t="s">
        <v>859</v>
      </c>
      <c r="F25" t="s">
        <v>1105</v>
      </c>
    </row>
    <row r="26">
      <c r="A26" t="s">
        <v>1106</v>
      </c>
      <c r="B26" s="35">
        <f>Historical!B18</f>
        <v>132420</v>
      </c>
      <c r="C26" t="s">
        <v>265</v>
      </c>
      <c r="D26" s="32">
        <v>45927</v>
      </c>
      <c r="E26" t="s">
        <v>1107</v>
      </c>
      <c r="F26" t="s">
        <v>1108</v>
      </c>
    </row>
    <row r="27">
      <c r="A27" t="s">
        <v>1109</v>
      </c>
      <c r="B27" s="35">
        <f>B17-B26</f>
        <v>0</v>
      </c>
      <c r="C27" t="s">
        <v>265</v>
      </c>
      <c r="D27" s="32">
        <v>45927</v>
      </c>
      <c r="E27" t="s">
        <v>859</v>
      </c>
      <c r="F27" t="s">
        <v>1110</v>
      </c>
    </row>
    <row r="29">
      <c r="A29" s="33" t="s">
        <v>1111</v>
      </c>
      <c r="B29" s="33"/>
      <c r="C29" s="33"/>
      <c r="D29" s="33"/>
      <c r="E29" s="33"/>
      <c r="F29" s="33"/>
    </row>
    <row r="30">
      <c r="A30" t="s">
        <v>1112</v>
      </c>
      <c r="B30">
        <v>0.0463</v>
      </c>
      <c r="C30" t="s">
        <v>286</v>
      </c>
      <c r="D30" s="32">
        <v>46247</v>
      </c>
      <c r="E30" t="s">
        <v>1113</v>
      </c>
      <c r="F30" t="s">
        <v>1114</v>
      </c>
    </row>
    <row r="31">
      <c r="A31" t="s">
        <v>1115</v>
      </c>
      <c r="B31">
        <v>0.0423</v>
      </c>
      <c r="C31" t="s">
        <v>286</v>
      </c>
      <c r="D31" s="32">
        <v>46023</v>
      </c>
      <c r="E31" t="s">
        <v>1116</v>
      </c>
      <c r="F31" t="s">
        <v>1117</v>
      </c>
    </row>
    <row r="32">
      <c r="A32" t="s">
        <v>1118</v>
      </c>
      <c r="B32">
        <v>1.09</v>
      </c>
      <c r="C32" t="s">
        <v>986</v>
      </c>
      <c r="D32" s="32">
        <v>46248</v>
      </c>
      <c r="E32" t="s">
        <v>1119</v>
      </c>
      <c r="F32" t="s">
        <v>1120</v>
      </c>
    </row>
    <row r="33">
      <c r="A33" s="33" t="s">
        <v>1121</v>
      </c>
      <c r="B33" s="33">
        <f>B30+B32*B31</f>
        <v>0.092407</v>
      </c>
      <c r="C33" t="s">
        <v>286</v>
      </c>
      <c r="D33">
        <f>D30</f>
        <v>46247</v>
      </c>
      <c r="E33" t="s">
        <v>1122</v>
      </c>
    </row>
    <row r="34">
      <c r="A34" t="s">
        <v>1123</v>
      </c>
      <c r="B34">
        <v>0.052</v>
      </c>
      <c r="C34" t="s">
        <v>286</v>
      </c>
      <c r="D34" s="41">
        <v>46247</v>
      </c>
      <c r="E34" t="s">
        <v>1124</v>
      </c>
      <c r="F34" t="s">
        <v>1125</v>
      </c>
    </row>
    <row r="35">
      <c r="A35" t="s">
        <v>1126</v>
      </c>
      <c r="B35" t="s">
        <v>1127</v>
      </c>
      <c r="C35" t="s">
        <v>286</v>
      </c>
      <c r="D35" s="32">
        <v>45927</v>
      </c>
      <c r="E35" t="s">
        <v>1128</v>
      </c>
      <c r="F35" t="s">
        <v>1129</v>
      </c>
    </row>
    <row r="36">
      <c r="A36" t="s">
        <v>1130</v>
      </c>
      <c r="B36">
        <v>0.0419</v>
      </c>
      <c r="C36" t="s">
        <v>286</v>
      </c>
      <c r="D36" s="32">
        <v>45927</v>
      </c>
      <c r="E36" t="s">
        <v>1131</v>
      </c>
      <c r="F36" t="s">
        <v>1132</v>
      </c>
    </row>
    <row r="37">
      <c r="A37" t="s">
        <v>1133</v>
      </c>
      <c r="B37">
        <f>IS_Hist!F19/IS_Hist!F18</f>
        <v>0.15610002335586043</v>
      </c>
      <c r="C37" t="s">
        <v>286</v>
      </c>
      <c r="D37" s="32">
        <v>45927</v>
      </c>
      <c r="E37" t="s">
        <v>1134</v>
      </c>
      <c r="F37" t="s">
        <v>1135</v>
      </c>
    </row>
    <row r="38">
      <c r="A38" t="s">
        <v>1136</v>
      </c>
      <c r="B38">
        <v>0.21</v>
      </c>
      <c r="C38" t="s">
        <v>286</v>
      </c>
      <c r="D38" s="32">
        <v>45927</v>
      </c>
      <c r="E38" t="s">
        <v>1137</v>
      </c>
      <c r="F38" t="s">
        <v>1138</v>
      </c>
    </row>
    <row r="39">
      <c r="A39" t="s">
        <v>1139</v>
      </c>
      <c r="B39">
        <f>B34*(1-B37)</f>
        <v>0.04388279878549525</v>
      </c>
      <c r="C39" t="s">
        <v>286</v>
      </c>
      <c r="D39" s="41">
        <f>D34</f>
        <v>46247</v>
      </c>
      <c r="E39" t="s">
        <v>1140</v>
      </c>
    </row>
    <row r="40">
      <c r="A40" t="s">
        <v>1141</v>
      </c>
      <c r="B40">
        <f>B11</f>
        <v>4455019.3867999995</v>
      </c>
      <c r="C40" t="s">
        <v>265</v>
      </c>
      <c r="D40">
        <f>D7</f>
        <v>46247</v>
      </c>
      <c r="E40" t="s">
        <v>859</v>
      </c>
    </row>
    <row r="41">
      <c r="A41" t="s">
        <v>1142</v>
      </c>
      <c r="B41">
        <f>B21</f>
        <v>98657</v>
      </c>
      <c r="C41" t="s">
        <v>265</v>
      </c>
      <c r="D41" s="32">
        <v>45927</v>
      </c>
      <c r="E41" t="s">
        <v>859</v>
      </c>
      <c r="F41" t="s">
        <v>1143</v>
      </c>
    </row>
    <row r="42">
      <c r="A42" t="s">
        <v>1144</v>
      </c>
      <c r="B42">
        <f>B40+B41</f>
        <v>4553676.3867999995</v>
      </c>
      <c r="C42" t="s">
        <v>265</v>
      </c>
      <c r="E42" t="s">
        <v>859</v>
      </c>
    </row>
    <row r="43">
      <c r="A43" t="s">
        <v>1145</v>
      </c>
      <c r="B43">
        <f>B40/B42</f>
        <v>0.9783346483983837</v>
      </c>
      <c r="C43" t="s">
        <v>286</v>
      </c>
      <c r="E43" t="s">
        <v>859</v>
      </c>
    </row>
    <row r="44">
      <c r="A44" t="s">
        <v>1146</v>
      </c>
      <c r="B44">
        <f>B41/B42</f>
        <v>0.021665351601616367</v>
      </c>
      <c r="C44" t="s">
        <v>286</v>
      </c>
      <c r="E44" t="s">
        <v>859</v>
      </c>
    </row>
    <row r="45">
      <c r="A45" s="33" t="s">
        <v>310</v>
      </c>
      <c r="B45" s="33">
        <f>B43*B33+B44*B39</f>
        <v>0.09135570611950018</v>
      </c>
      <c r="C45" t="s">
        <v>286</v>
      </c>
      <c r="D45" s="32">
        <v>46247</v>
      </c>
      <c r="E45" t="s">
        <v>1147</v>
      </c>
      <c r="F45" t="s">
        <v>1148</v>
      </c>
    </row>
    <row r="46">
      <c r="A46" t="s">
        <v>1149</v>
      </c>
      <c r="B46" s="37">
        <f>Assumptions!F20</f>
        <v>0.095</v>
      </c>
      <c r="C46" t="s">
        <v>286</v>
      </c>
      <c r="D46" s="32">
        <v>46220</v>
      </c>
      <c r="E46" t="s">
        <v>1150</v>
      </c>
    </row>
    <row r="47">
      <c r="A47" t="s">
        <v>1151</v>
      </c>
      <c r="B47" s="37">
        <f>B45-B46</f>
        <v>-0.0036442938804998187</v>
      </c>
      <c r="C47" t="s">
        <v>286</v>
      </c>
      <c r="E47" t="s">
        <v>859</v>
      </c>
    </row>
    <row r="49">
      <c r="A49" s="33" t="s">
        <v>1152</v>
      </c>
      <c r="B49" s="33"/>
      <c r="C49" s="33"/>
      <c r="D49" s="33"/>
      <c r="E49" s="33"/>
      <c r="F49" s="33"/>
    </row>
    <row r="50">
      <c r="A50" t="s">
        <v>1153</v>
      </c>
      <c r="B50">
        <f>IS_Hist!F7</f>
        <v>416161</v>
      </c>
      <c r="C50" t="s">
        <v>265</v>
      </c>
      <c r="D50" s="32">
        <v>45927</v>
      </c>
      <c r="E50" t="s">
        <v>1154</v>
      </c>
      <c r="F50" t="s">
        <v>913</v>
      </c>
    </row>
    <row r="51">
      <c r="A51" t="s">
        <v>1155</v>
      </c>
      <c r="B51">
        <f>IS_Hist!F16</f>
        <v>133050</v>
      </c>
      <c r="C51" t="s">
        <v>265</v>
      </c>
      <c r="D51" s="32">
        <v>45927</v>
      </c>
      <c r="E51" t="s">
        <v>1156</v>
      </c>
      <c r="F51" t="s">
        <v>913</v>
      </c>
    </row>
    <row r="52">
      <c r="A52" t="s">
        <v>1157</v>
      </c>
      <c r="B52">
        <f>CF_Hist!F8</f>
        <v>11698</v>
      </c>
      <c r="C52" t="s">
        <v>265</v>
      </c>
      <c r="D52" s="32">
        <v>45927</v>
      </c>
      <c r="E52" t="s">
        <v>1158</v>
      </c>
      <c r="F52" t="s">
        <v>913</v>
      </c>
    </row>
    <row r="53">
      <c r="A53" s="33" t="s">
        <v>1159</v>
      </c>
      <c r="B53" s="33">
        <f>B51+B52</f>
        <v>144748</v>
      </c>
      <c r="C53" t="s">
        <v>265</v>
      </c>
      <c r="D53" s="32">
        <v>45927</v>
      </c>
      <c r="E53" t="s">
        <v>1160</v>
      </c>
      <c r="F53" t="s">
        <v>1161</v>
      </c>
    </row>
    <row r="54">
      <c r="A54" t="s">
        <v>1162</v>
      </c>
      <c r="B54">
        <f>IS_Hist!F20</f>
        <v>112010</v>
      </c>
      <c r="C54" t="s">
        <v>265</v>
      </c>
      <c r="D54" s="32">
        <v>45927</v>
      </c>
      <c r="E54" t="s">
        <v>1163</v>
      </c>
      <c r="F54" t="s">
        <v>913</v>
      </c>
    </row>
    <row r="55">
      <c r="A55" t="s">
        <v>1164</v>
      </c>
      <c r="B55">
        <f>IS_Hist!F23</f>
        <v>7.46</v>
      </c>
      <c r="C55" t="s">
        <v>1065</v>
      </c>
      <c r="D55" s="32">
        <v>45927</v>
      </c>
      <c r="E55" t="s">
        <v>1165</v>
      </c>
      <c r="F55" t="s">
        <v>913</v>
      </c>
    </row>
    <row r="56">
      <c r="A56" t="s">
        <v>1166</v>
      </c>
      <c r="B56">
        <f>CF_Hist!F18</f>
        <v>111482</v>
      </c>
      <c r="C56" t="s">
        <v>265</v>
      </c>
      <c r="D56" s="32">
        <v>45927</v>
      </c>
      <c r="E56" t="s">
        <v>1167</v>
      </c>
      <c r="F56" t="s">
        <v>913</v>
      </c>
    </row>
    <row r="57">
      <c r="A57" t="s">
        <v>1168</v>
      </c>
      <c r="B57">
        <f>-CF_Hist!F23</f>
        <v>12715</v>
      </c>
      <c r="C57" t="s">
        <v>265</v>
      </c>
      <c r="D57" s="32">
        <v>45927</v>
      </c>
      <c r="E57" t="s">
        <v>1169</v>
      </c>
      <c r="F57" t="s">
        <v>1170</v>
      </c>
    </row>
    <row r="58">
      <c r="A58" s="33" t="s">
        <v>1171</v>
      </c>
      <c r="B58" s="33">
        <f>B56-B57</f>
        <v>98767</v>
      </c>
      <c r="C58" t="s">
        <v>265</v>
      </c>
      <c r="D58" s="32">
        <v>45927</v>
      </c>
      <c r="E58" t="s">
        <v>859</v>
      </c>
    </row>
    <row r="59">
      <c r="A59" t="s">
        <v>1172</v>
      </c>
      <c r="B59">
        <f>B11/B54</f>
        <v>39.773407613605926</v>
      </c>
      <c r="C59" t="s">
        <v>986</v>
      </c>
      <c r="D59" s="32">
        <v>46247</v>
      </c>
      <c r="E59" t="s">
        <v>859</v>
      </c>
    </row>
    <row r="60">
      <c r="A60" t="s">
        <v>1173</v>
      </c>
      <c r="B60">
        <f>B7/B55</f>
        <v>40.919571045576404</v>
      </c>
      <c r="C60" t="s">
        <v>986</v>
      </c>
      <c r="D60" s="32">
        <v>46247</v>
      </c>
      <c r="E60" t="s">
        <v>859</v>
      </c>
      <c r="F60" t="s">
        <v>1174</v>
      </c>
    </row>
    <row r="61">
      <c r="A61" t="s">
        <v>1175</v>
      </c>
      <c r="B61">
        <f>B23/B50</f>
        <v>10.623908503680065</v>
      </c>
      <c r="C61" t="s">
        <v>986</v>
      </c>
      <c r="D61" s="32">
        <v>46247</v>
      </c>
      <c r="E61" t="s">
        <v>859</v>
      </c>
    </row>
    <row r="62">
      <c r="A62" t="s">
        <v>1176</v>
      </c>
      <c r="B62">
        <f>B23/B53</f>
        <v>30.544507604940996</v>
      </c>
      <c r="C62" t="s">
        <v>986</v>
      </c>
      <c r="D62" s="32">
        <v>46247</v>
      </c>
      <c r="E62" t="s">
        <v>859</v>
      </c>
    </row>
    <row r="63">
      <c r="A63" t="s">
        <v>1177</v>
      </c>
      <c r="B63">
        <f>B23/B51</f>
        <v>33.230036729049225</v>
      </c>
      <c r="C63" t="s">
        <v>986</v>
      </c>
      <c r="D63" s="32">
        <v>46247</v>
      </c>
      <c r="E63" t="s">
        <v>859</v>
      </c>
    </row>
    <row r="64">
      <c r="A64" t="s">
        <v>1178</v>
      </c>
      <c r="B64">
        <f>B58/B11</f>
        <v>0.02216982496027777</v>
      </c>
      <c r="C64" t="s">
        <v>286</v>
      </c>
      <c r="D64" s="32">
        <v>46247</v>
      </c>
      <c r="E64" t="s">
        <v>859</v>
      </c>
    </row>
    <row r="65">
      <c r="A65" t="s">
        <v>1179</v>
      </c>
      <c r="B65">
        <f>-CF_Hist!F28/B11</f>
        <v>0.0034614888648277615</v>
      </c>
      <c r="C65" t="s">
        <v>286</v>
      </c>
      <c r="D65" s="32">
        <v>46247</v>
      </c>
      <c r="E65" t="s">
        <v>1180</v>
      </c>
      <c r="F65" t="s">
        <v>1181</v>
      </c>
    </row>
    <row r="66">
      <c r="A66" t="s">
        <v>1182</v>
      </c>
      <c r="B66">
        <f>-CF_Hist!F29/B11</f>
        <v>0.02036152755446411</v>
      </c>
      <c r="C66" t="s">
        <v>286</v>
      </c>
      <c r="D66" s="32">
        <v>46247</v>
      </c>
      <c r="E66" t="s">
        <v>1183</v>
      </c>
    </row>
    <row r="67">
      <c r="A67" t="s">
        <v>1184</v>
      </c>
      <c r="B67">
        <f>B65+B66</f>
        <v>0.02382301641929187</v>
      </c>
      <c r="C67" t="s">
        <v>286</v>
      </c>
      <c r="D67" s="32">
        <v>46247</v>
      </c>
      <c r="E67" t="s">
        <v>859</v>
      </c>
    </row>
    <row r="69">
      <c r="A69" s="33" t="s">
        <v>1185</v>
      </c>
      <c r="B69" s="33"/>
      <c r="C69" s="33"/>
      <c r="D69" s="33"/>
      <c r="E69" s="33"/>
      <c r="F69" s="33"/>
    </row>
    <row r="70">
      <c r="A70" t="s">
        <v>1186</v>
      </c>
      <c r="B70">
        <v>364357</v>
      </c>
      <c r="C70" t="s">
        <v>265</v>
      </c>
      <c r="D70" s="32">
        <v>46200</v>
      </c>
      <c r="E70" t="s">
        <v>1187</v>
      </c>
    </row>
    <row r="71">
      <c r="A71" t="s">
        <v>1188</v>
      </c>
      <c r="B71">
        <v>313695</v>
      </c>
      <c r="C71" t="s">
        <v>265</v>
      </c>
      <c r="D71" s="32">
        <v>45836</v>
      </c>
      <c r="E71" t="s">
        <v>1189</v>
      </c>
    </row>
    <row r="72">
      <c r="A72" t="s">
        <v>1190</v>
      </c>
      <c r="B72">
        <f>IS_Hist!F7-B71+B70</f>
        <v>466823</v>
      </c>
      <c r="C72" t="s">
        <v>265</v>
      </c>
      <c r="D72" s="32">
        <v>46200</v>
      </c>
      <c r="E72" t="s">
        <v>1191</v>
      </c>
    </row>
    <row r="73">
      <c r="A73" t="s">
        <v>1192</v>
      </c>
      <c r="B73">
        <v>122432</v>
      </c>
      <c r="C73" t="s">
        <v>265</v>
      </c>
      <c r="D73" s="32">
        <v>46200</v>
      </c>
      <c r="E73" t="s">
        <v>1193</v>
      </c>
    </row>
    <row r="74">
      <c r="A74" t="s">
        <v>1194</v>
      </c>
      <c r="B74">
        <v>100623</v>
      </c>
      <c r="C74" t="s">
        <v>265</v>
      </c>
      <c r="D74" s="32">
        <v>45836</v>
      </c>
      <c r="E74" t="s">
        <v>1189</v>
      </c>
    </row>
    <row r="75">
      <c r="A75" t="s">
        <v>1195</v>
      </c>
      <c r="B75">
        <f>IS_Hist!F16-B74+B73</f>
        <v>154859</v>
      </c>
      <c r="C75" t="s">
        <v>265</v>
      </c>
      <c r="D75" s="32">
        <v>46200</v>
      </c>
      <c r="E75" t="s">
        <v>859</v>
      </c>
    </row>
    <row r="76">
      <c r="A76" t="s">
        <v>1196</v>
      </c>
      <c r="B76">
        <v>101464</v>
      </c>
      <c r="C76" t="s">
        <v>265</v>
      </c>
      <c r="D76" s="32">
        <v>46200</v>
      </c>
      <c r="E76" t="s">
        <v>1193</v>
      </c>
    </row>
    <row r="77">
      <c r="A77" t="s">
        <v>1197</v>
      </c>
      <c r="B77">
        <v>84544</v>
      </c>
      <c r="C77" t="s">
        <v>265</v>
      </c>
      <c r="D77" s="32">
        <v>45836</v>
      </c>
      <c r="E77" t="s">
        <v>1189</v>
      </c>
    </row>
    <row r="78">
      <c r="A78" t="s">
        <v>1198</v>
      </c>
      <c r="B78">
        <f>IS_Hist!F20-B77+B76</f>
        <v>128930</v>
      </c>
      <c r="C78" t="s">
        <v>265</v>
      </c>
      <c r="D78" s="32">
        <v>46200</v>
      </c>
      <c r="E78" t="s">
        <v>859</v>
      </c>
    </row>
    <row r="79">
      <c r="A79" t="s">
        <v>1199</v>
      </c>
      <c r="B79">
        <f>B11/B78</f>
        <v>34.553784121616374</v>
      </c>
      <c r="C79" t="s">
        <v>986</v>
      </c>
      <c r="D79" s="32">
        <v>46247</v>
      </c>
      <c r="E79" t="s">
        <v>859</v>
      </c>
    </row>
    <row r="80">
      <c r="A80" t="s">
        <v>1200</v>
      </c>
      <c r="B80">
        <f>B23/B72</f>
        <v>9.470948061256621</v>
      </c>
      <c r="C80" t="s">
        <v>986</v>
      </c>
      <c r="D80" s="32">
        <v>46247</v>
      </c>
      <c r="E80" t="s">
        <v>859</v>
      </c>
      <c r="F80" t="s">
        <v>1201</v>
      </c>
    </row>
    <row r="81">
      <c r="A81" t="s">
        <v>1202</v>
      </c>
      <c r="B81">
        <f>B23/B75</f>
        <v>28.55020623147508</v>
      </c>
      <c r="C81" t="s">
        <v>986</v>
      </c>
      <c r="D81" s="32">
        <v>46247</v>
      </c>
      <c r="E81" t="s">
        <v>859</v>
      </c>
    </row>
    <row r="82">
      <c r="A82" t="s">
        <v>1203</v>
      </c>
      <c r="B82">
        <v>146517</v>
      </c>
      <c r="C82" t="s">
        <v>265</v>
      </c>
      <c r="D82" s="32">
        <v>46200</v>
      </c>
      <c r="E82" t="s">
        <v>1204</v>
      </c>
      <c r="F82" t="s">
        <v>1205</v>
      </c>
    </row>
    <row r="83">
      <c r="A83" t="s">
        <v>1206</v>
      </c>
      <c r="B83">
        <v>84344</v>
      </c>
      <c r="C83" t="s">
        <v>265</v>
      </c>
      <c r="D83" s="32">
        <v>46200</v>
      </c>
      <c r="E83" t="s">
        <v>1207</v>
      </c>
      <c r="F83" t="s">
        <v>1208</v>
      </c>
    </row>
    <row r="84">
      <c r="A84" t="s">
        <v>1209</v>
      </c>
      <c r="B84">
        <f>B11+B83-B82</f>
        <v>4392846.3867999995</v>
      </c>
      <c r="C84" t="s">
        <v>265</v>
      </c>
      <c r="D84" s="32">
        <v>46247</v>
      </c>
      <c r="E84" t="s">
        <v>859</v>
      </c>
      <c r="F84" t="s">
        <v>1210</v>
      </c>
    </row>
    <row r="85">
      <c r="A85" t="s">
        <v>1211</v>
      </c>
      <c r="B85">
        <f>B84-B23</f>
        <v>-28410</v>
      </c>
      <c r="C85" t="s">
        <v>265</v>
      </c>
      <c r="E85" t="s">
        <v>859</v>
      </c>
    </row>
    <row r="87">
      <c r="A87" s="33" t="s">
        <v>1212</v>
      </c>
      <c r="B87" s="33"/>
      <c r="C87" s="33"/>
      <c r="D87" s="33"/>
      <c r="E87" s="33"/>
      <c r="F87" s="33"/>
    </row>
    <row r="88">
      <c r="A88" t="s">
        <v>1213</v>
      </c>
      <c r="B88">
        <v>6</v>
      </c>
      <c r="C88" t="s">
        <v>1214</v>
      </c>
      <c r="E88" t="s">
        <v>1215</v>
      </c>
      <c r="F88" t="s">
        <v>1216</v>
      </c>
    </row>
    <row r="89">
      <c r="A89" t="s">
        <v>1217</v>
      </c>
      <c r="B89">
        <f>IF(LEN(E7)=0,1,0)+IF(LEN(E8)=0,1,0)+IF(LEN(E30)=0,1,0)+IF(LEN(E31)=0,1,0)+IF(LEN(E32)=0,1,0)+IF(LEN(E34)=0,1,0)</f>
        <v>0</v>
      </c>
      <c r="C89" t="s">
        <v>1214</v>
      </c>
      <c r="E89" t="s">
        <v>859</v>
      </c>
      <c r="F89" t="s">
        <v>1110</v>
      </c>
    </row>
    <row r="90">
      <c r="A90" t="s">
        <v>1218</v>
      </c>
      <c r="B90">
        <f>IF(OR(LEN(D7)=0,NOT(ISNUMBER(D7))),1,0)+IF(OR(LEN(D8)=0,NOT(ISNUMBER(D8))),1,0)+IF(OR(LEN(D30)=0,NOT(ISNUMBER(D30))),1,0)+IF(OR(LEN(D31)=0,NOT(ISNUMBER(D31))),1,0)+IF(OR(LEN(D32)=0,NOT(ISNUMBER(D32))),1,0)+IF(OR(LEN(D34)=0,NOT(ISNUMBER(D34))),1,0)</f>
        <v>0</v>
      </c>
      <c r="C90" t="s">
        <v>1214</v>
      </c>
      <c r="E90" t="s">
        <v>859</v>
      </c>
      <c r="F90" t="s">
        <v>1219</v>
      </c>
    </row>
    <row r="91">
      <c r="A91" s="33" t="s">
        <v>1220</v>
      </c>
      <c r="B91" s="33" t="str">
        <f>IF(AND(B89=0,B90=0,B92=0),"PASS","FAIL")</f>
        <v>FAIL</v>
      </c>
      <c r="C91" t="s">
        <v>1221</v>
      </c>
      <c r="E91" t="s">
        <v>859</v>
      </c>
    </row>
    <row r="92">
      <c r="A92" t="s">
        <v>1222</v>
      </c>
      <c r="B92">
        <f>IF(D7&lt;MAX(D7,D30,D32,D34)-5,1,0)+IF(D30&lt;MAX(D7,D30,D32,D34)-5,1,0)+IF(D34&lt;MAX(D7,D30,D32,D34)-5,1,0)+IF(MAX(D7,D30,D32,D34)&lt;TODAY()-10,1,0)</f>
        <v>1</v>
      </c>
      <c r="C92" t="s">
        <v>1214</v>
      </c>
      <c r="E92" t="s">
        <v>859</v>
      </c>
      <c r="F92" t="s">
        <v>1223</v>
      </c>
    </row>
    <row r="93">
      <c r="A93" s="33" t="s">
        <v>1224</v>
      </c>
      <c r="B93" s="33"/>
      <c r="C93" s="33"/>
      <c r="D93" s="33"/>
      <c r="E93" s="33"/>
      <c r="F93" s="33"/>
    </row>
    <row r="94">
      <c r="A94" t="s">
        <v>1225</v>
      </c>
    </row>
    <row r="95">
      <c r="A95" t="s">
        <v>1226</v>
      </c>
    </row>
    <row r="96">
      <c r="A96" t="s">
        <v>1227</v>
      </c>
    </row>
    <row r="97">
      <c r="A97" t="s">
        <v>1228</v>
      </c>
    </row>
    <row r="98">
      <c r="A98" t="s">
        <v>1229</v>
      </c>
    </row>
    <row r="99">
      <c r="A99" t="s">
        <v>1230</v>
      </c>
    </row>
    <row r="100">
      <c r="A100" t="s">
        <v>1231</v>
      </c>
    </row>
    <row r="101">
      <c r="A101" t="s">
        <v>1232</v>
      </c>
    </row>
    <row r="103">
      <c r="A103" t="s">
        <v>1233</v>
      </c>
    </row>
    <row r="104">
      <c r="A104" t="s">
        <v>1234</v>
      </c>
      <c r="B104">
        <v>132420</v>
      </c>
      <c r="C104" t="s">
        <v>265</v>
      </c>
      <c r="D104" s="42">
        <v>45927</v>
      </c>
      <c r="E104" t="s">
        <v>1235</v>
      </c>
      <c r="F104" t="s">
        <v>1236</v>
      </c>
    </row>
    <row r="105">
      <c r="A105" t="s">
        <v>1237</v>
      </c>
      <c r="B105">
        <v>98657</v>
      </c>
      <c r="C105" t="s">
        <v>265</v>
      </c>
      <c r="D105" s="42">
        <v>45927</v>
      </c>
      <c r="E105" t="s">
        <v>1238</v>
      </c>
      <c r="F105" t="s">
        <v>1239</v>
      </c>
    </row>
    <row r="106">
      <c r="A106" t="s">
        <v>1240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43" t="s">
        <v>1241</v>
      </c>
      <c r="B1" s="43" t="s">
        <v>1242</v>
      </c>
      <c r="C1" s="43" t="s">
        <v>1243</v>
      </c>
      <c r="D1" s="43" t="s">
        <v>1244</v>
      </c>
      <c r="E1" s="43" t="s">
        <v>1245</v>
      </c>
      <c r="F1" s="43" t="s">
        <v>1246</v>
      </c>
    </row>
    <row r="2">
      <c r="A2" s="44">
        <v>1</v>
      </c>
      <c r="B2" s="45">
        <v>46324.359322557866</v>
      </c>
      <c r="C2" s="44" t="s">
        <v>1247</v>
      </c>
      <c r="D2" s="44" t="s">
        <v>1248</v>
      </c>
      <c r="E2" s="44" t="s">
        <v>1249</v>
      </c>
      <c r="F2" s="44" t="s">
        <v>1250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