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Calc"/>
  <workbookPr/>
  <workbookProtection/>
  <bookViews>
    <workbookView xWindow="0" yWindow="0" windowWidth="16384" windowHeight="8192" tabRatio="600"/>
  </bookViews>
  <sheets>
    <sheet name="00_Cover" sheetId="1" r:id="rId3"/>
    <sheet name="Sources" sheetId="2" r:id="rId4"/>
    <sheet name="Historical" sheetId="3" r:id="rId5"/>
    <sheet name="Assumptions" sheetId="4" r:id="rId6"/>
    <sheet name="Forecast" sheetId="5" r:id="rId7"/>
    <sheet name="Valuation" sheetId="6" r:id="rId8"/>
    <sheet name="Sensitivity" sheetId="7" r:id="rId9"/>
    <sheet name="Checks" sheetId="8" r:id="rId10"/>
    <sheet name="Sector_KPIs" sheetId="9" r:id="rId11"/>
    <sheet name="Change_Log" sheetId="10" r:id="rId12"/>
    <sheet name="Gate_9of10" sheetId="11" r:id="rId13"/>
    <sheet name="Claude Code Log" sheetId="12" r:id="rId15"/>
  </sheets>
  <calcPr calcId="0" iterateCount="100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<sst xmlns="http://schemas.openxmlformats.org/spreadsheetml/2006/main" count="1974" uniqueCount="567">
  <si>
    <t>NVIDIA Corporation — Regated institutional model</t>
  </si>
  <si>
    <t>Native-currency, source-ledgered semiconductor model | 2026-07-16 | owner-ready, independent certification pending</t>
  </si>
  <si>
    <t>Model identifier</t>
  </si>
  <si>
    <t>NVIDIA_9of10_Regated</t>
  </si>
  <si>
    <t>Ticker / CIK</t>
  </si>
  <si>
    <t>NVDA / 0001045810</t>
  </si>
  <si>
    <t>Reporting currency / scale</t>
  </si>
  <si>
    <t>USD / USD millions</t>
  </si>
  <si>
    <t>Latest historical period</t>
  </si>
  <si>
    <t>FY2026A</t>
  </si>
  <si>
    <t>Forecast horizon</t>
  </si>
  <si>
    <t>Five fiscal years</t>
  </si>
  <si>
    <t>Valuation method</t>
  </si>
  <si>
    <t>Unlevered DCF to USD traded-security value</t>
  </si>
  <si>
    <t>Scenario control</t>
  </si>
  <si>
    <t>Assumptions!B3 — 1 Base / 2 Bull / 3 Bear</t>
  </si>
  <si>
    <t>Source gate</t>
  </si>
  <si>
    <t>Formula-driven exact claim ledger</t>
  </si>
  <si>
    <t>Native recalculation</t>
  </si>
  <si>
    <t>LibreOffice 26.2.4.2; two isolated-profile passes + reopen</t>
  </si>
  <si>
    <t>Architecture</t>
  </si>
  <si>
    <t>Prior ten-sheet order preserved; Gate_9of10 appended last</t>
  </si>
  <si>
    <t>Decision status</t>
  </si>
  <si>
    <t>READY FOR INDEPENDENT 9/10 REVIEW — not self-certified</t>
  </si>
  <si>
    <t>Use sequence: Sources → Historical → Assumptions → Forecast → Valuation → Sensitivity → Checks → Gate_9of10. Forecasts are estimates. Historical values remain in native currency; only the final security bridge uses dated FX and ADR ratio.</t>
  </si>
  <si>
    <t>Claim-level source and provenance ledger</t>
  </si>
  <si>
    <t>Every historical hardcode and external valuation input carries exact identity, period, value, locator, accession/URL, target, transform and review status.</t>
  </si>
  <si>
    <t>Source ID</t>
  </si>
  <si>
    <t>Legal entity / identifier</t>
  </si>
  <si>
    <t>Metric / line item</t>
  </si>
  <si>
    <t>Value</t>
  </si>
  <si>
    <t>Unit</t>
  </si>
  <si>
    <t>Period / as-of</t>
  </si>
  <si>
    <t>Source / class</t>
  </si>
  <si>
    <t>Taxonomy / claim locator</t>
  </si>
  <si>
    <t>Form</t>
  </si>
  <si>
    <t>Filed</t>
  </si>
  <si>
    <t>Accession</t>
  </si>
  <si>
    <t>Target cell</t>
  </si>
  <si>
    <t>Scale / FX / sign transform</t>
  </si>
  <si>
    <t>Exact official URL</t>
  </si>
  <si>
    <t>Retrieved</t>
  </si>
  <si>
    <t>Preparer</t>
  </si>
  <si>
    <t>Verification</t>
  </si>
  <si>
    <t>Limitation / disposition</t>
  </si>
  <si>
    <t>NVIDIA-S001</t>
  </si>
  <si>
    <t>NVIDIA Corporation | NVDA | CIK 0001045810</t>
  </si>
  <si>
    <t>Revenue</t>
  </si>
  <si>
    <t>USDm</t>
  </si>
  <si>
    <t>2022-01-30</t>
  </si>
  <si>
    <t>10-K / Official regulator filing / XBRL</t>
  </si>
  <si>
    <t>us-gaap:Revenues</t>
  </si>
  <si>
    <t>10-K</t>
  </si>
  <si>
    <t>2024-02-21</t>
  </si>
  <si>
    <t>0001045810-24-000029</t>
  </si>
  <si>
    <t>Historical!B5</t>
  </si>
  <si>
    <t>USD / 1e6; sign preserved</t>
  </si>
  <si>
    <t>https://www.sec.gov/Archives/edgar/data/1045810/000104581024000029/0001045810-24-000029-index.html</t>
  </si>
  <si>
    <t>2026-07-16</t>
  </si>
  <si>
    <t>Codex / semiconductor cluster</t>
  </si>
  <si>
    <t>VERIFIED</t>
  </si>
  <si>
    <t>None</t>
  </si>
  <si>
    <t>NVIDIA-S002</t>
  </si>
  <si>
    <t>2023-01-29</t>
  </si>
  <si>
    <t>2025-02-26</t>
  </si>
  <si>
    <t>0001045810-25-000023</t>
  </si>
  <si>
    <t>Historical!C5</t>
  </si>
  <si>
    <t>https://www.sec.gov/Archives/edgar/data/1045810/000104581025000023/0001045810-25-000023-index.html</t>
  </si>
  <si>
    <t>NVIDIA-S003</t>
  </si>
  <si>
    <t>2024-01-28</t>
  </si>
  <si>
    <t>2026-02-25</t>
  </si>
  <si>
    <t>0001045810-26-000021</t>
  </si>
  <si>
    <t>Historical!D5</t>
  </si>
  <si>
    <t>https://www.sec.gov/Archives/edgar/data/1045810/000104581026000021/0001045810-26-000021-index.html</t>
  </si>
  <si>
    <t>NVIDIA-S004</t>
  </si>
  <si>
    <t>2025-01-26</t>
  </si>
  <si>
    <t>Historical!E5</t>
  </si>
  <si>
    <t>NVIDIA-S005</t>
  </si>
  <si>
    <t>2026-01-25</t>
  </si>
  <si>
    <t>Historical!F5</t>
  </si>
  <si>
    <t>NVIDIA-S006</t>
  </si>
  <si>
    <t>Gross profit</t>
  </si>
  <si>
    <t>us-gaap:GrossProfit</t>
  </si>
  <si>
    <t>Historical!B7</t>
  </si>
  <si>
    <t>NVIDIA-S007</t>
  </si>
  <si>
    <t>Historical!C7</t>
  </si>
  <si>
    <t>NVIDIA-S008</t>
  </si>
  <si>
    <t>Historical!D7</t>
  </si>
  <si>
    <t>NVIDIA-S009</t>
  </si>
  <si>
    <t>Historical!E7</t>
  </si>
  <si>
    <t>NVIDIA-S010</t>
  </si>
  <si>
    <t>Historical!F7</t>
  </si>
  <si>
    <t>NVIDIA-S011</t>
  </si>
  <si>
    <t>Operating income</t>
  </si>
  <si>
    <t>us-gaap:OperatingIncomeLoss</t>
  </si>
  <si>
    <t>Historical!B9</t>
  </si>
  <si>
    <t>NVIDIA-S012</t>
  </si>
  <si>
    <t>Historical!C9</t>
  </si>
  <si>
    <t>NVIDIA-S013</t>
  </si>
  <si>
    <t>Historical!D9</t>
  </si>
  <si>
    <t>NVIDIA-S014</t>
  </si>
  <si>
    <t>Historical!E9</t>
  </si>
  <si>
    <t>NVIDIA-S015</t>
  </si>
  <si>
    <t>Historical!F9</t>
  </si>
  <si>
    <t>NVIDIA-S016</t>
  </si>
  <si>
    <t>Net income attributable / consolidated</t>
  </si>
  <si>
    <t>us-gaap:NetIncomeLoss</t>
  </si>
  <si>
    <t>Historical!B11</t>
  </si>
  <si>
    <t>NVIDIA-S017</t>
  </si>
  <si>
    <t>Historical!C11</t>
  </si>
  <si>
    <t>NVIDIA-S018</t>
  </si>
  <si>
    <t>Historical!D11</t>
  </si>
  <si>
    <t>NVIDIA-S019</t>
  </si>
  <si>
    <t>Historical!E11</t>
  </si>
  <si>
    <t>NVIDIA-S020</t>
  </si>
  <si>
    <t>Historical!F11</t>
  </si>
  <si>
    <t>NVIDIA-S021</t>
  </si>
  <si>
    <t>Cash flow from operations</t>
  </si>
  <si>
    <t>us-gaap:NetCashProvidedByUsedInOperatingActivities</t>
  </si>
  <si>
    <t>Historical!B12</t>
  </si>
  <si>
    <t>NVIDIA-S022</t>
  </si>
  <si>
    <t>Historical!C12</t>
  </si>
  <si>
    <t>NVIDIA-S023</t>
  </si>
  <si>
    <t>Historical!D12</t>
  </si>
  <si>
    <t>NVIDIA-S024</t>
  </si>
  <si>
    <t>Historical!E12</t>
  </si>
  <si>
    <t>NVIDIA-S025</t>
  </si>
  <si>
    <t>Historical!F12</t>
  </si>
  <si>
    <t>NVIDIA-S026</t>
  </si>
  <si>
    <t>Capital expenditure</t>
  </si>
  <si>
    <t>us-gaap:PaymentsToAcquireProductiveAssets</t>
  </si>
  <si>
    <t>Historical!B13</t>
  </si>
  <si>
    <t>NVIDIA-S027</t>
  </si>
  <si>
    <t>Historical!C13</t>
  </si>
  <si>
    <t>NVIDIA-S028</t>
  </si>
  <si>
    <t>Historical!D13</t>
  </si>
  <si>
    <t>NVIDIA-S029</t>
  </si>
  <si>
    <t>Historical!E13</t>
  </si>
  <si>
    <t>NVIDIA-S030</t>
  </si>
  <si>
    <t>Historical!F13</t>
  </si>
  <si>
    <t>NVIDIA-S031</t>
  </si>
  <si>
    <t>Research and development</t>
  </si>
  <si>
    <t>us-gaap:ResearchAndDevelopmentExpense</t>
  </si>
  <si>
    <t>Historical!B14</t>
  </si>
  <si>
    <t>NVIDIA-S032</t>
  </si>
  <si>
    <t>Historical!C14</t>
  </si>
  <si>
    <t>NVIDIA-S033</t>
  </si>
  <si>
    <t>Historical!D14</t>
  </si>
  <si>
    <t>NVIDIA-S034</t>
  </si>
  <si>
    <t>Historical!E14</t>
  </si>
  <si>
    <t>NVIDIA-S035</t>
  </si>
  <si>
    <t>Historical!F14</t>
  </si>
  <si>
    <t>NVIDIA-S036</t>
  </si>
  <si>
    <t>Total assets</t>
  </si>
  <si>
    <t>us-gaap:Assets</t>
  </si>
  <si>
    <t>2023-02-24</t>
  </si>
  <si>
    <t>0001045810-23-000017</t>
  </si>
  <si>
    <t>Historical!B15</t>
  </si>
  <si>
    <t>https://www.sec.gov/Archives/edgar/data/1045810/000104581023000017/0001045810-23-000017-index.html</t>
  </si>
  <si>
    <t>NVIDIA-S037</t>
  </si>
  <si>
    <t>Historical!C15</t>
  </si>
  <si>
    <t>NVIDIA-S038</t>
  </si>
  <si>
    <t>Historical!D15</t>
  </si>
  <si>
    <t>NVIDIA-S039</t>
  </si>
  <si>
    <t>Historical!E15</t>
  </si>
  <si>
    <t>NVIDIA-S040</t>
  </si>
  <si>
    <t>Historical!F15</t>
  </si>
  <si>
    <t>NVIDIA-S041</t>
  </si>
  <si>
    <t>Total liabilities</t>
  </si>
  <si>
    <t>us-gaap:Liabilities</t>
  </si>
  <si>
    <t>Historical!B16</t>
  </si>
  <si>
    <t>NVIDIA-S042</t>
  </si>
  <si>
    <t>Historical!C16</t>
  </si>
  <si>
    <t>NVIDIA-S043</t>
  </si>
  <si>
    <t>Historical!D16</t>
  </si>
  <si>
    <t>NVIDIA-S044</t>
  </si>
  <si>
    <t>Historical!E16</t>
  </si>
  <si>
    <t>NVIDIA-S045</t>
  </si>
  <si>
    <t>Historical!F16</t>
  </si>
  <si>
    <t>NVIDIA-S046</t>
  </si>
  <si>
    <t>Equity attributable / stockholders' equity</t>
  </si>
  <si>
    <t>us-gaap:StockholdersEquity</t>
  </si>
  <si>
    <t>Historical!B17</t>
  </si>
  <si>
    <t>NVIDIA-S047</t>
  </si>
  <si>
    <t>Historical!C17</t>
  </si>
  <si>
    <t>NVIDIA-S048</t>
  </si>
  <si>
    <t>Historical!D17</t>
  </si>
  <si>
    <t>NVIDIA-S049</t>
  </si>
  <si>
    <t>Historical!E17</t>
  </si>
  <si>
    <t>NVIDIA-S050</t>
  </si>
  <si>
    <t>Historical!F17</t>
  </si>
  <si>
    <t>NVIDIA-S051</t>
  </si>
  <si>
    <t>Interest-bearing debt</t>
  </si>
  <si>
    <t>us-gaap:LongTermDebt</t>
  </si>
  <si>
    <t>Historical!B19</t>
  </si>
  <si>
    <t>NVIDIA-S052</t>
  </si>
  <si>
    <t>Historical!C19</t>
  </si>
  <si>
    <t>NVIDIA-S053</t>
  </si>
  <si>
    <t>Historical!D19</t>
  </si>
  <si>
    <t>NVIDIA-S054</t>
  </si>
  <si>
    <t>Historical!E19</t>
  </si>
  <si>
    <t>NVIDIA-S055</t>
  </si>
  <si>
    <t>Historical!F19</t>
  </si>
  <si>
    <t>NVIDIA-S056</t>
  </si>
  <si>
    <t>Diluted weighted-average shares</t>
  </si>
  <si>
    <t>millions of shares</t>
  </si>
  <si>
    <t>us-gaap:WeightedAverageNumberOfDilutedSharesOutstanding</t>
  </si>
  <si>
    <t>Historical!B20</t>
  </si>
  <si>
    <t>reported shares x10 for 2024 ten-for-one split / 1e6</t>
  </si>
  <si>
    <t>NVIDIA-S057</t>
  </si>
  <si>
    <t>Historical!C20</t>
  </si>
  <si>
    <t>reported shares / 1e6</t>
  </si>
  <si>
    <t>NVIDIA-S058</t>
  </si>
  <si>
    <t>Historical!D20</t>
  </si>
  <si>
    <t>NVIDIA-S059</t>
  </si>
  <si>
    <t>Historical!E20</t>
  </si>
  <si>
    <t>NVIDIA-S060</t>
  </si>
  <si>
    <t>Historical!F20</t>
  </si>
  <si>
    <t>NVIDIA-S061</t>
  </si>
  <si>
    <t>Cash, cash equivalents and marketable securities</t>
  </si>
  <si>
    <t>10-K / Official regulator filing</t>
  </si>
  <si>
    <t>10-K liquidity / balance-sheet disclosure</t>
  </si>
  <si>
    <t>2022-03-18</t>
  </si>
  <si>
    <t>0001045810-22-000036</t>
  </si>
  <si>
    <t>Historical!B18</t>
  </si>
  <si>
    <t>reported total; no FX</t>
  </si>
  <si>
    <t>https://www.sec.gov/Archives/edgar/data/1045810/000104581022000036/0001045810-22-000036-index.html</t>
  </si>
  <si>
    <t>NVIDIA-S062</t>
  </si>
  <si>
    <t>Historical!C18</t>
  </si>
  <si>
    <t>NVIDIA-S063</t>
  </si>
  <si>
    <t>Historical!D18</t>
  </si>
  <si>
    <t>NVIDIA-S064</t>
  </si>
  <si>
    <t>Historical!E18</t>
  </si>
  <si>
    <t>NVIDIA-S065</t>
  </si>
  <si>
    <t>Historical!F18</t>
  </si>
  <si>
    <t>NVIDIA-S066</t>
  </si>
  <si>
    <t>Current traded-security price</t>
  </si>
  <si>
    <t>USD / traded security</t>
  </si>
  <si>
    <t>2026-07-15</t>
  </si>
  <si>
    <t>Market data / Dated market-data source</t>
  </si>
  <si>
    <t>NVDA regularMarketPrice</t>
  </si>
  <si>
    <t>Market data</t>
  </si>
  <si>
    <t>n/a</t>
  </si>
  <si>
    <t>Assumptions!B24:D24</t>
  </si>
  <si>
    <t>dated spot; no historical normalization</t>
  </si>
  <si>
    <t>https://query1.finance.yahoo.com/v8/finance/chart/NVDA?interval=1m&amp;range=5d</t>
  </si>
  <si>
    <t>Not an audited filing</t>
  </si>
  <si>
    <t>NVIDIA-S067</t>
  </si>
  <si>
    <t>Ordinary shares per traded security</t>
  </si>
  <si>
    <t>ratio</t>
  </si>
  <si>
    <t>One listed security represents one ordinary/common share</t>
  </si>
  <si>
    <t>Assumptions!B23:D23</t>
  </si>
  <si>
    <t>structural ratio</t>
  </si>
  <si>
    <t>https://www.sec.gov/Archives/edgar/data/1045810/000104581026000021/nvda-20260125.htm</t>
  </si>
  <si>
    <t>NVIDIA-S068</t>
  </si>
  <si>
    <t>Data Center revenue</t>
  </si>
  <si>
    <t>Issuer annual report / results</t>
  </si>
  <si>
    <t>Official FY2026 platform total; rounded disclosure</t>
  </si>
  <si>
    <t>Issuer report</t>
  </si>
  <si>
    <t>Sector_KPIs!B5</t>
  </si>
  <si>
    <t>reported value; native units</t>
  </si>
  <si>
    <t>https://investor.nvidia.com/news/press-release-details/2026/NVIDIA-Announces-Financial-Results-for-Fourth-Quarter-and-Fiscal-2026/</t>
  </si>
  <si>
    <t>Codex / semiconductor finish-high</t>
  </si>
  <si>
    <t>NVIDIA-S069</t>
  </si>
  <si>
    <t>Gaming revenue</t>
  </si>
  <si>
    <t>Sector_KPIs!B6</t>
  </si>
  <si>
    <t>NVIDIA-S070</t>
  </si>
  <si>
    <t>Other platform revenue</t>
  </si>
  <si>
    <t>Formula-derived KPI / issuer-reported components</t>
  </si>
  <si>
    <t>Formula-derived: total revenue less Data Center and Gaming</t>
  </si>
  <si>
    <t>Formula-derived KPI</t>
  </si>
  <si>
    <t>Sector_KPIs!B7</t>
  </si>
  <si>
    <t>formula-derived from separately cited components</t>
  </si>
  <si>
    <t>Formula-derived from cited values</t>
  </si>
  <si>
    <t>NVIDIA-S071</t>
  </si>
  <si>
    <t>Data Center mix</t>
  </si>
  <si>
    <t>%</t>
  </si>
  <si>
    <t>Formula-derived from official revenue disclosures</t>
  </si>
  <si>
    <t>Sector_KPIs!B8</t>
  </si>
  <si>
    <t>NVIDIA-S072</t>
  </si>
  <si>
    <t>Gross margin</t>
  </si>
  <si>
    <t>SEC Company Facts / FY2026 10-K</t>
  </si>
  <si>
    <t>Sector_KPIs!B9</t>
  </si>
  <si>
    <t>NVIDIA-S073</t>
  </si>
  <si>
    <t>R&amp;D intensity</t>
  </si>
  <si>
    <t>Formula-derived from SEC Company Facts</t>
  </si>
  <si>
    <t>Sector_KPIs!B10</t>
  </si>
  <si>
    <t>NVIDIA-S074</t>
  </si>
  <si>
    <t>Q1 FY2027 revenue</t>
  </si>
  <si>
    <t>Q1 FY2027</t>
  </si>
  <si>
    <t>Official Q1 FY2027 results</t>
  </si>
  <si>
    <t>2026-05-20</t>
  </si>
  <si>
    <t>Sector_KPIs!B11</t>
  </si>
  <si>
    <t>https://investor.nvidia.com/news/press-release-details/2026/NVIDIA-Announces-Financial-Results-for-First-Quarter-Fiscal-2027/default.aspx</t>
  </si>
  <si>
    <t>NVIDIA-S075</t>
  </si>
  <si>
    <t>Q1 FY2027 gross margin</t>
  </si>
  <si>
    <t>Official Q1 FY2027 GAAP gross margin</t>
  </si>
  <si>
    <t>Sector_KPIs!B12</t>
  </si>
  <si>
    <t>NVIDIA-S076</t>
  </si>
  <si>
    <t>Data Center revenue growth — Y1</t>
  </si>
  <si>
    <t>model input</t>
  </si>
  <si>
    <t>Model input / Forecast assumption / model input</t>
  </si>
  <si>
    <t>Base/Bull/Bear estimate</t>
  </si>
  <si>
    <t>Model input</t>
  </si>
  <si>
    <t>Assumptions!B5:D5</t>
  </si>
  <si>
    <t>blue model input</t>
  </si>
  <si>
    <t>Not a reported fact</t>
  </si>
  <si>
    <t>NVIDIA-S077</t>
  </si>
  <si>
    <t>Data Center revenue growth — Y5</t>
  </si>
  <si>
    <t>Assumptions!B6:D6</t>
  </si>
  <si>
    <t>NVIDIA-S078</t>
  </si>
  <si>
    <t>Gaming revenue growth — Y1</t>
  </si>
  <si>
    <t>Assumptions!B7:D7</t>
  </si>
  <si>
    <t>NVIDIA-S079</t>
  </si>
  <si>
    <t>Gaming revenue growth — Y5</t>
  </si>
  <si>
    <t>Assumptions!B8:D8</t>
  </si>
  <si>
    <t>NVIDIA-S080</t>
  </si>
  <si>
    <t>Other platform revenue growth — Y1</t>
  </si>
  <si>
    <t>Assumptions!B9:D9</t>
  </si>
  <si>
    <t>NVIDIA-S081</t>
  </si>
  <si>
    <t>Other platform revenue growth — Y5</t>
  </si>
  <si>
    <t>Assumptions!B10:D10</t>
  </si>
  <si>
    <t>NVIDIA-S082</t>
  </si>
  <si>
    <t>Gross margin — Y1</t>
  </si>
  <si>
    <t>Assumptions!B11:D11</t>
  </si>
  <si>
    <t>NVIDIA-S083</t>
  </si>
  <si>
    <t>Gross margin — Y5</t>
  </si>
  <si>
    <t>Assumptions!B12:D12</t>
  </si>
  <si>
    <t>NVIDIA-S084</t>
  </si>
  <si>
    <t>R&amp;D / revenue</t>
  </si>
  <si>
    <t>Assumptions!B13:D13</t>
  </si>
  <si>
    <t>NVIDIA-S085</t>
  </si>
  <si>
    <t>Other operating expense / revenue</t>
  </si>
  <si>
    <t>Assumptions!B14:D14</t>
  </si>
  <si>
    <t>NVIDIA-S086</t>
  </si>
  <si>
    <t>Cash tax rate</t>
  </si>
  <si>
    <t>Assumptions!B15:D15</t>
  </si>
  <si>
    <t>NVIDIA-S087</t>
  </si>
  <si>
    <t>D&amp;A / revenue</t>
  </si>
  <si>
    <t>Assumptions!B16:D16</t>
  </si>
  <si>
    <t>NVIDIA-S088</t>
  </si>
  <si>
    <t>Capex / revenue — Y1</t>
  </si>
  <si>
    <t>Assumptions!B17:D17</t>
  </si>
  <si>
    <t>NVIDIA-S089</t>
  </si>
  <si>
    <t>Capex / revenue — Y5</t>
  </si>
  <si>
    <t>Assumptions!B18:D18</t>
  </si>
  <si>
    <t>NVIDIA-S090</t>
  </si>
  <si>
    <t>Change in NWC / incremental revenue</t>
  </si>
  <si>
    <t>Assumptions!B19:D19</t>
  </si>
  <si>
    <t>NVIDIA-S091</t>
  </si>
  <si>
    <t>WACC</t>
  </si>
  <si>
    <t>Assumptions!B20:D20</t>
  </si>
  <si>
    <t>NVIDIA-S092</t>
  </si>
  <si>
    <t>Terminal growth</t>
  </si>
  <si>
    <t>Assumptions!B21:D21</t>
  </si>
  <si>
    <t>Historical financials</t>
  </si>
  <si>
    <t>USD millions; native reported history. Percent rows are formula-derived.</t>
  </si>
  <si>
    <t>Metric</t>
  </si>
  <si>
    <t>FY2022A</t>
  </si>
  <si>
    <t>FY2023A</t>
  </si>
  <si>
    <t>FY2024A</t>
  </si>
  <si>
    <t>FY2025A</t>
  </si>
  <si>
    <t>Source coverage</t>
  </si>
  <si>
    <t>USD millions</t>
  </si>
  <si>
    <t>Growth</t>
  </si>
  <si>
    <t>Formula-derived</t>
  </si>
  <si>
    <t>Operating margin</t>
  </si>
  <si>
    <t>Cash + marketable securities</t>
  </si>
  <si>
    <t>Scenario assumptions</t>
  </si>
  <si>
    <t>Blue = input; green = selected formula. Selector 1 Base / 2 Bull / 3 Bear. USD stays native through DCF.</t>
  </si>
  <si>
    <t>Scenario selector</t>
  </si>
  <si>
    <t>Driver</t>
  </si>
  <si>
    <t>Base</t>
  </si>
  <si>
    <t>Bull</t>
  </si>
  <si>
    <t>Bear</t>
  </si>
  <si>
    <t>Active</t>
  </si>
  <si>
    <t>Classification / rationale</t>
  </si>
  <si>
    <t>Company-specific revenue driver estimate</t>
  </si>
  <si>
    <t>Operating / FCFF estimate</t>
  </si>
  <si>
    <t>Valuation input</t>
  </si>
  <si>
    <t>USD conversion</t>
  </si>
  <si>
    <t>Dated market / structural bridge</t>
  </si>
  <si>
    <t>Current traded-security price (USD)</t>
  </si>
  <si>
    <t>Company-specific operating forecast</t>
  </si>
  <si>
    <t>USD millions; sector operating drivers build revenue bottom-up.</t>
  </si>
  <si>
    <t>FY2027E</t>
  </si>
  <si>
    <t>FY2028E</t>
  </si>
  <si>
    <t>FY2029E</t>
  </si>
  <si>
    <t>FY2030E</t>
  </si>
  <si>
    <t>FY2031E</t>
  </si>
  <si>
    <t>Total revenue</t>
  </si>
  <si>
    <t>Revenue growth</t>
  </si>
  <si>
    <t>R&amp;D</t>
  </si>
  <si>
    <t>Other operating expense</t>
  </si>
  <si>
    <t>NOPAT</t>
  </si>
  <si>
    <t>D&amp;A</t>
  </si>
  <si>
    <t>Capex / revenue</t>
  </si>
  <si>
    <t>Change in NWC</t>
  </si>
  <si>
    <t>FCFF</t>
  </si>
  <si>
    <t>Cash / liquidity</t>
  </si>
  <si>
    <t>Diluted shares</t>
  </si>
  <si>
    <t>Discounted cash flow valuation</t>
  </si>
  <si>
    <t>USD millions; DCF stays native through equity value. Final line converts to the USD traded security.</t>
  </si>
  <si>
    <t>Year 1</t>
  </si>
  <si>
    <t>Year 2</t>
  </si>
  <si>
    <t>Year 3</t>
  </si>
  <si>
    <t>Year 4</t>
  </si>
  <si>
    <t>Year 5</t>
  </si>
  <si>
    <t>Output</t>
  </si>
  <si>
    <t>Discount factor</t>
  </si>
  <si>
    <t>PV of FCFF</t>
  </si>
  <si>
    <t>PV explicit FCFF</t>
  </si>
  <si>
    <t>Terminal value</t>
  </si>
  <si>
    <t>PV terminal value</t>
  </si>
  <si>
    <t>Enterprise value</t>
  </si>
  <si>
    <t>Equity value</t>
  </si>
  <si>
    <t>Diluted shares (mm)</t>
  </si>
  <si>
    <t>Implied USD / ordinary share</t>
  </si>
  <si>
    <t>FX conversion input</t>
  </si>
  <si>
    <t>Implied USD / traded security</t>
  </si>
  <si>
    <t>Upside / (downside)</t>
  </si>
  <si>
    <t>DCF sensitivity — implied USD / traded security</t>
  </si>
  <si>
    <t>Dynamic per-share matrix; center is active WACC / terminal growth.</t>
  </si>
  <si>
    <t>Terminal growth / WACC</t>
  </si>
  <si>
    <t>Formula-driven model checks</t>
  </si>
  <si>
    <t>Critical checks must pass after native recalculation/reopen; source coverage is computed, never hardcoded.</t>
  </si>
  <si>
    <t>Assertion</t>
  </si>
  <si>
    <t>Actual</t>
  </si>
  <si>
    <t>Expected</t>
  </si>
  <si>
    <t>Difference</t>
  </si>
  <si>
    <t>Tolerance</t>
  </si>
  <si>
    <t>Status</t>
  </si>
  <si>
    <t>Severity</t>
  </si>
  <si>
    <t>Fix hint</t>
  </si>
  <si>
    <t>Source records verified</t>
  </si>
  <si>
    <t>Critical</t>
  </si>
  <si>
    <t>Complete missing ledger rows</t>
  </si>
  <si>
    <t>Historical source coverage</t>
  </si>
  <si>
    <t>Resolve metric-to-source mapping</t>
  </si>
  <si>
    <t>Revenue driver tie</t>
  </si>
  <si>
    <t>Repair bottom-up formula</t>
  </si>
  <si>
    <t>Operating income tie</t>
  </si>
  <si>
    <t>Repair operating formula</t>
  </si>
  <si>
    <t>FCFF tie</t>
  </si>
  <si>
    <t>Repair FCFF formula</t>
  </si>
  <si>
    <t>WACC exceeds terminal growth</t>
  </si>
  <si>
    <t>Adjust WACC / g</t>
  </si>
  <si>
    <t>Valuation bridge</t>
  </si>
  <si>
    <t>Repair bridge</t>
  </si>
  <si>
    <t>Sensitivity center tie</t>
  </si>
  <si>
    <t>Repair matrix</t>
  </si>
  <si>
    <t>Scenario selector valid</t>
  </si>
  <si>
    <t>Reset 1/2/3</t>
  </si>
  <si>
    <t>Forecast revenue non-negative</t>
  </si>
  <si>
    <t>Review drivers</t>
  </si>
  <si>
    <t>Cash and debt non-negative</t>
  </si>
  <si>
    <t>Review balances</t>
  </si>
  <si>
    <t>Traded-security price positive</t>
  </si>
  <si>
    <t>Review FX / ADR bridge</t>
  </si>
  <si>
    <t>Semantic KPI links</t>
  </si>
  <si>
    <t>Repair company-specific KPI links</t>
  </si>
  <si>
    <t>KPI unit / range sanity</t>
  </si>
  <si>
    <t>Repair units or economic ranges</t>
  </si>
  <si>
    <t>Source target-cell link coverage</t>
  </si>
  <si>
    <t>Add exact sheet-and-cell targets</t>
  </si>
  <si>
    <t>Source unit completeness</t>
  </si>
  <si>
    <t>Populate source units</t>
  </si>
  <si>
    <t>Exact source URL completeness</t>
  </si>
  <si>
    <t>Use exact primary-source URLs</t>
  </si>
  <si>
    <t>Overall gate</t>
  </si>
  <si>
    <t>Decision use</t>
  </si>
  <si>
    <t>Owner-ready only after independent review</t>
  </si>
  <si>
    <t>Semiconductor operating KPI framework</t>
  </si>
  <si>
    <t>Reported sector drivers plus formula-linked active outputs; no generic blanks.</t>
  </si>
  <si>
    <t>KPI</t>
  </si>
  <si>
    <t>Reported latest</t>
  </si>
  <si>
    <t>Forecast / active output</t>
  </si>
  <si>
    <t>Source / method</t>
  </si>
  <si>
    <t>Change log and governance</t>
  </si>
  <si>
    <t>Controlled rebuild; prior workbook preserved unchanged.</t>
  </si>
  <si>
    <t>Date</t>
  </si>
  <si>
    <t>Version</t>
  </si>
  <si>
    <t>Author</t>
  </si>
  <si>
    <t>Change</t>
  </si>
  <si>
    <t>Evidence</t>
  </si>
  <si>
    <t>Reviewer status</t>
  </si>
  <si>
    <t>Disposition</t>
  </si>
  <si>
    <t>2.0</t>
  </si>
  <si>
    <t>Codex</t>
  </si>
  <si>
    <t>Preserved prior ten sheets; appended Gate_9of10</t>
  </si>
  <si>
    <t>Prior SHA-256 ae85d62b81ce96676fb9667d58cb6625bb2c673f33b6fd53aa4bbdbad264d35b</t>
  </si>
  <si>
    <t>Builder verified</t>
  </si>
  <si>
    <t>No overwrite</t>
  </si>
  <si>
    <t>Native-currency exact-source history</t>
  </si>
  <si>
    <t>Sources + Historical</t>
  </si>
  <si>
    <t>Independent review pending</t>
  </si>
  <si>
    <t>Company-specific forecast, DCF, sensitivity and checks</t>
  </si>
  <si>
    <t>Forecast + Valuation + Checks</t>
  </si>
  <si>
    <t>Native recalc/reopen and full-sheet QA</t>
  </si>
  <si>
    <t>internal QA evidence (not published)</t>
  </si>
  <si>
    <t>Post-LO evidence</t>
  </si>
  <si>
    <t>2.1</t>
  </si>
  <si>
    <t>Repaired KPI semantics, exact source targets, unit/range/link gates and TSMC H1/H2/H5</t>
  </si>
  <si>
    <t>Sector_KPIs + Sources + Checks + Gate_9of10</t>
  </si>
  <si>
    <t>High-effort repair; independent review pending</t>
  </si>
  <si>
    <t>Frozen only after native recalc and hash-bound QA</t>
  </si>
  <si>
    <t>9-of-10 gate evidence</t>
  </si>
  <si>
    <t>Owner evidence register aligned exactly to the governing independent rubric; PASS means ready for review, not self-certification.</t>
  </si>
  <si>
    <t>Gate</t>
  </si>
  <si>
    <t>Weight</t>
  </si>
  <si>
    <t>Earned</t>
  </si>
  <si>
    <t>Exact workbook / external evidence</t>
  </si>
  <si>
    <t>Blocker class</t>
  </si>
  <si>
    <t>Notes</t>
  </si>
  <si>
    <t>H0 Controlled lineage / package</t>
  </si>
  <si>
    <t>PASS</t>
  </si>
  <si>
    <t>Change_Log!A5:G5; internal QA evidence (not published)</t>
  </si>
  <si>
    <t>Lineage</t>
  </si>
  <si>
    <t>Prior file preserved; 10-sheet order + Gate_9of10</t>
  </si>
  <si>
    <t>H1 Source fidelity</t>
  </si>
  <si>
    <t>Sources!A4:R; Checks!A5:F6; Checks!A19:F21</t>
  </si>
  <si>
    <t>Source</t>
  </si>
  <si>
    <t>Claim-level exact-source ledger</t>
  </si>
  <si>
    <t>H2 Historical / formula / schedule mechanics</t>
  </si>
  <si>
    <t>Historical!A4:H20; Forecast!A5:G28; Sector_KPIs!A4:F12; Checks!A7:F9; Checks!A17:F18</t>
  </si>
  <si>
    <t>Mechanics</t>
  </si>
  <si>
    <t>Native history and formula-driven operating schedule</t>
  </si>
  <si>
    <t>H3 Scenario / sensitivity</t>
  </si>
  <si>
    <t>Assumptions!B3:E24; Sensitivity!A4:F9; Checks!A12:F13</t>
  </si>
  <si>
    <t>Scenario</t>
  </si>
  <si>
    <t>B/B/B perturb-reset evidence in support JSON</t>
  </si>
  <si>
    <t>H4 Valuation fit / mechanics</t>
  </si>
  <si>
    <t>Valuation!A4:G23; Checks!A10:F12</t>
  </si>
  <si>
    <t>Valuation</t>
  </si>
  <si>
    <t>Native-currency DCF and dated security bridge</t>
  </si>
  <si>
    <t>H5 Checks / error state</t>
  </si>
  <si>
    <t>Checks!A4:H23; internal QA evidence (not published)</t>
  </si>
  <si>
    <t>Checks</t>
  </si>
  <si>
    <t>All critical checks and post-recalc error scan</t>
  </si>
  <si>
    <t>H6 Native recalc / reproducibility</t>
  </si>
  <si>
    <t>internal QA evidence (not published) | native LibreOffice x2 + reopen</t>
  </si>
  <si>
    <t>Recalc</t>
  </si>
  <si>
    <t>Two unique LibreOffice profiles; evidence bound to final SHA-256</t>
  </si>
  <si>
    <t>H7 Post-recalc visual QA</t>
  </si>
  <si>
    <t>Visual</t>
  </si>
  <si>
    <t>Every final sheet rendered and reviewed</t>
  </si>
  <si>
    <t>H8 Economic upgrade</t>
  </si>
  <si>
    <t>Forecast!A5:G28; Sector_KPIs!A4:F</t>
  </si>
  <si>
    <t>Economics</t>
  </si>
  <si>
    <t>Company-specific semiconductor operating build</t>
  </si>
  <si>
    <t>H9 Governance / handoff</t>
  </si>
  <si>
    <t>00_Cover!A14:B18; Change_Log!A4:G8; Gate_9of10!A16:B18</t>
  </si>
  <si>
    <t>Governance</t>
  </si>
  <si>
    <t>Independent certification remains pending</t>
  </si>
  <si>
    <t>Owner score</t>
  </si>
  <si>
    <t>Decision</t>
  </si>
  <si>
    <t>Independent certification</t>
  </si>
  <si>
    <t>PENDING</t>
  </si>
  <si>
    <t>Turn #</t>
  </si>
  <si>
    <t>User Request</t>
  </si>
  <si>
    <t>Action Taken</t>
  </si>
  <si>
    <t>Details</t>
  </si>
  <si>
    <t>Outcome</t>
  </si>
  <si>
    <t>Prepare a public model copy</t>
  </si>
  <si>
    <t>Remove local paths and private build references; preserve financial formulas and inputs</t>
  </si>
  <si>
    <t>Agent run with MOG as the tool, checked by guard v1. The guard measured every sheet before and after the run.
Changed: Change_Log: 1 cell written, at E8; Gate_9of10: 4 cells written, at E5, E10, E11, E12.
Agent: OpenFinmods export</t>
  </si>
  <si>
    <t>Compare against source and review public copy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</si>
</sst>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* #,##0.00_-;\-* #,##0.00_-;_-* \-??_-;_-@_-"/>
    <numFmt numFmtId="166" formatCode="_-* #,##0_-;\-* #,##0_-;_-* \-_-;_-@_-"/>
    <numFmt numFmtId="167" formatCode="0%"/>
    <numFmt numFmtId="168" formatCode="#,##0.0;[RED]\(#,##0.0\);\-"/>
    <numFmt numFmtId="169" formatCode="0.0%"/>
    <numFmt numFmtId="170" formatCode="0.0000"/>
    <numFmt numFmtId="171" formatCode="0.0\x"/>
    <numFmt numFmtId="172" formatCode="\$#,##0.00"/>
    <numFmt numFmtId="173" formatCode="0.000\x"/>
    <numFmt numFmtId="174" formatCode="yyyy\-mm\-dd hh:mm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b/>
      <sz val="10"/>
      <color rgb="FFFFFFFF"/>
      <name val="Aptos"/>
      <family val="0"/>
      <charset val="1"/>
    </font>
    <font>
      <i/>
      <sz val="10"/>
      <color rgb="FF595959"/>
      <name val="Aptos"/>
      <family val="0"/>
      <charset val="1"/>
    </font>
    <font>
      <sz val="10"/>
      <name val="Aptos"/>
      <family val="0"/>
      <charset val="1"/>
    </font>
    <font>
      <b/>
      <sz val="10"/>
      <color rgb="FF17365D"/>
      <name val="Aptos"/>
      <family val="0"/>
      <charset val="1"/>
    </font>
    <font>
      <b/>
      <sz val="10"/>
      <color rgb="FF0000FF"/>
      <name val="Aptos"/>
      <family val="0"/>
      <charset val="1"/>
    </font>
    <font>
      <sz val="10"/>
      <color rgb="FF0000FF"/>
      <name val="Aptos"/>
      <family val="0"/>
      <charset val="1"/>
    </font>
    <font>
      <b/>
      <sz val="10"/>
      <color rgb="FF008000"/>
      <name val="Aptos"/>
      <family val="0"/>
      <charset val="1"/>
    </font>
    <font>
      <sz val="10"/>
      <color rgb="FF000000"/>
      <name val="Aptos"/>
      <family val="0"/>
      <charset val="1"/>
    </font>
    <font>
      <b val="0"/>
      <i val="0"/>
      <strike val="0"/>
      <sz val="10"/>
      <color rgb="FF000000"/>
      <name val="Arial"/>
      <family val="2"/>
      <charset val="1"/>
    </font>
    <font>
      <b/>
      <i val="0"/>
      <strike val="0"/>
      <sz val="10"/>
      <color rgb="FF0000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1F4E78"/>
        <bgColor rgb="FF17365D"/>
      </patternFill>
    </fill>
    <fill>
      <patternFill patternType="solid">
        <fgColor rgb="FFFFF2CC"/>
        <bgColor rgb="FFE2F0D9"/>
      </patternFill>
    </fill>
    <fill>
      <patternFill patternType="solid">
        <fgColor rgb="FFEAF3F8"/>
        <bgColor rgb="FFE2F0D9"/>
      </patternFill>
    </fill>
    <fill>
      <patternFill patternType="solid">
        <fgColor rgb="FFD9EAF7"/>
        <bgColor rgb="FFE7E6E6"/>
      </patternFill>
    </fill>
    <fill>
      <patternFill patternType="solid">
        <fgColor rgb="FFE2F0D9"/>
        <bgColor rgb="FFE7E6E6"/>
      </patternFill>
    </fill>
    <fill>
      <patternFill patternType="solid">
        <fgColor rgb="FFFFFFFF"/>
        <bgColor rgb="FFEAF3F8"/>
      </patternFill>
    </fill>
  </fills>
  <borders count="2">
    <border diagonalUp="0" diagonalDown="0">
      <left/>
      <right/>
      <top/>
      <bottom/>
      <diagonal/>
    </border>
    <border diagonalUp="0" diagonalDown="0"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33">
    <xf numFmtId="164" fontId="0" fillId="0" borderId="0" applyFont="1" applyBorder="1" applyAlignment="1" applyProtection="1">
      <alignment horizontal="general" vertical="bottom" textRotation="0" indent="0"/>
      <protection locked="1" hidden="0"/>
    </xf>
    <xf numFmtId="0" fontId="1" fillId="0" borderId="0" applyFont="1" applyBorder="0" applyAlignment="0" applyProtection="0"/>
    <xf numFmtId="0" fontId="1" fillId="0" borderId="0" applyFont="1" applyBorder="0" applyAlignment="0" applyProtection="0"/>
    <xf numFmtId="0" fontId="2" fillId="0" borderId="0" applyFont="1" applyBorder="0" applyAlignment="0" applyProtection="0"/>
    <xf numFmtId="0" fontId="2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43" fontId="1" fillId="0" borderId="0" applyFont="1" applyBorder="0" applyAlignment="0" applyProtection="0"/>
    <xf numFmtId="41" fontId="1" fillId="0" borderId="0" applyFont="1" applyBorder="0" applyAlignment="0" applyProtection="0"/>
    <xf numFmtId="44" fontId="1" fillId="0" borderId="0" applyFont="1" applyBorder="0" applyAlignment="0" applyProtection="0"/>
    <xf numFmtId="42" fontId="1" fillId="0" borderId="0" applyFont="1" applyBorder="0" applyAlignment="0" applyProtection="0"/>
    <xf numFmtId="9" fontId="1" fillId="0" borderId="0" applyFont="1" applyBorder="0" applyAlignment="0" applyProtection="0"/>
    <xf numFmtId="165" fontId="4" fillId="0" borderId="0" applyFont="1" applyBorder="0" applyAlignment="1" applyProtection="0">
      <alignment horizontal="general" vertical="bottom" textRotation="0" indent="0"/>
    </xf>
    <xf numFmtId="165" fontId="4" fillId="0" borderId="0" applyFont="1" applyBorder="0" applyAlignment="1" applyProtection="0">
      <alignment horizontal="general" vertical="bottom" textRotation="0" indent="0"/>
    </xf>
    <xf numFmtId="166" fontId="4" fillId="0" borderId="0" applyFont="1" applyBorder="0" applyAlignment="1" applyProtection="0">
      <alignment horizontal="general" vertical="bottom" textRotation="0" indent="0"/>
    </xf>
    <xf numFmtId="166" fontId="4" fillId="0" borderId="0" applyFont="1" applyBorder="0" applyAlignment="1" applyProtection="0">
      <alignment horizontal="general" vertical="bottom" textRotation="0" indent="0"/>
    </xf>
    <xf numFmtId="165" fontId="4" fillId="0" borderId="0" applyFont="1" applyBorder="0" applyAlignment="1" applyProtection="0">
      <alignment horizontal="general" vertical="bottom" textRotation="0" indent="0"/>
    </xf>
    <xf numFmtId="165" fontId="4" fillId="0" borderId="0" applyFont="1" applyBorder="0" applyAlignment="1" applyProtection="0">
      <alignment horizontal="general" vertical="bottom" textRotation="0" indent="0"/>
    </xf>
    <xf numFmtId="166" fontId="4" fillId="0" borderId="0" applyFont="1" applyBorder="0" applyAlignment="1" applyProtection="0">
      <alignment horizontal="general" vertical="bottom" textRotation="0" indent="0"/>
    </xf>
    <xf numFmtId="166" fontId="4" fillId="0" borderId="0" applyFont="1" applyBorder="0" applyAlignment="1" applyProtection="0">
      <alignment horizontal="general" vertical="bottom" textRotation="0" indent="0"/>
    </xf>
    <xf numFmtId="164" fontId="4" fillId="0" borderId="0" applyFont="1" applyBorder="1" applyAlignment="1" applyProtection="1">
      <alignment horizontal="general" vertical="bottom" textRotation="0" indent="0"/>
      <protection locked="1" hidden="0"/>
    </xf>
    <xf numFmtId="164" fontId="5" fillId="0" borderId="0" applyFont="1" applyBorder="1" applyAlignment="1" applyProtection="1">
      <alignment horizontal="general" vertical="bottom" textRotation="0" indent="0"/>
      <protection locked="1" hidden="0"/>
    </xf>
    <xf numFmtId="164" fontId="4" fillId="0" borderId="0" applyFont="1" applyBorder="1" applyAlignment="1" applyProtection="1">
      <alignment horizontal="general" vertical="bottom" textRotation="0" indent="0"/>
      <protection locked="1" hidden="0"/>
    </xf>
    <xf numFmtId="167" fontId="4" fillId="0" borderId="0" applyFont="1" applyBorder="0" applyAlignment="1" applyProtection="0">
      <alignment horizontal="general" vertical="bottom" textRotation="0" indent="0"/>
    </xf>
    <xf numFmtId="167" fontId="4" fillId="0" borderId="0" applyFont="1" applyBorder="0" applyAlignment="1" applyProtection="0">
      <alignment horizontal="general" vertical="bottom" textRotation="0" indent="0"/>
    </xf>
  </cellStyleXfs>
  <cellXfs count="36">
    <xf numFmtId="164" fontId="0" fillId="0" borderId="0" xfId="0" applyFont="0" applyBorder="0" applyAlignment="0" applyProtection="0">
      <alignment horizontal="general" vertical="bottom" textRotation="0" indent="0"/>
      <protection locked="1" hidden="0"/>
    </xf>
    <xf numFmtId="164" fontId="4" fillId="0" borderId="0" xfId="30" applyFont="0" applyBorder="0" applyAlignment="1" applyProtection="1">
      <alignment horizontal="general" vertical="bottom" textRotation="0" indent="0"/>
      <protection locked="1" hidden="0"/>
    </xf>
    <xf numFmtId="164" fontId="6" fillId="2" borderId="0" xfId="29" applyFont="1" applyBorder="1" applyAlignment="1" applyProtection="1">
      <alignment horizontal="general" vertical="bottom" textRotation="0" wrapText="1" indent="0"/>
      <protection locked="1" hidden="0"/>
    </xf>
    <xf numFmtId="164" fontId="7" fillId="0" borderId="0" xfId="29" applyFont="1" applyBorder="1" applyAlignment="1" applyProtection="1">
      <alignment horizontal="general" vertical="bottom" textRotation="0" wrapText="1" indent="0"/>
      <protection locked="1" hidden="0"/>
    </xf>
    <xf numFmtId="164" fontId="8" fillId="0" borderId="0" xfId="29" applyFont="1" applyBorder="1" applyAlignment="1" applyProtection="1">
      <alignment horizontal="general" vertical="bottom" textRotation="0" wrapText="1" indent="0"/>
      <protection locked="1" hidden="0"/>
    </xf>
    <xf numFmtId="164" fontId="6" fillId="3" borderId="1" xfId="29" applyFont="1" applyBorder="1" applyAlignment="1" applyProtection="1">
      <alignment horizontal="general" vertical="bottom" textRotation="0" wrapText="1" indent="0"/>
      <protection locked="1" hidden="0"/>
    </xf>
    <xf numFmtId="164" fontId="8" fillId="4" borderId="0" xfId="29" applyFont="1" applyBorder="1" applyAlignment="1" applyProtection="1">
      <alignment horizontal="general" vertical="bottom" textRotation="0" wrapText="1" indent="0"/>
      <protection locked="1" hidden="0"/>
    </xf>
    <xf numFmtId="164" fontId="8" fillId="5" borderId="0" xfId="29" applyFont="1" applyBorder="1" applyAlignment="1" applyProtection="1">
      <alignment horizontal="general" vertical="bottom" textRotation="0" wrapText="1" indent="0"/>
      <protection locked="1" hidden="0"/>
    </xf>
    <xf numFmtId="164" fontId="8" fillId="0" borderId="1" xfId="29" applyFont="1" applyBorder="1" applyAlignment="1" applyProtection="1">
      <alignment horizontal="general" vertical="bottom" textRotation="0" wrapText="1" indent="0"/>
      <protection locked="1" hidden="0"/>
    </xf>
    <xf numFmtId="168" fontId="8" fillId="0" borderId="1" xfId="29" applyFont="1" applyBorder="1" applyAlignment="1" applyProtection="1">
      <alignment horizontal="general" vertical="bottom" textRotation="0" wrapText="1" indent="0"/>
      <protection locked="1" hidden="0"/>
    </xf>
    <xf numFmtId="164" fontId="9" fillId="6" borderId="1" xfId="29" applyFont="1" applyBorder="1" applyAlignment="1" applyProtection="1">
      <alignment horizontal="general" vertical="bottom" textRotation="0" wrapText="1" indent="0"/>
      <protection locked="1" hidden="0"/>
    </xf>
    <xf numFmtId="169" fontId="8" fillId="0" borderId="1" xfId="29" applyFont="1" applyBorder="1" applyAlignment="1" applyProtection="1">
      <alignment horizontal="general" vertical="bottom" textRotation="0" wrapText="1" indent="0"/>
      <protection locked="1" hidden="0"/>
    </xf>
    <xf numFmtId="164" fontId="10" fillId="0" borderId="0" xfId="29" applyFont="1" applyBorder="1" applyAlignment="1" applyProtection="1">
      <alignment horizontal="general" vertical="bottom" textRotation="0" wrapText="1" indent="0"/>
      <protection locked="1" hidden="0"/>
    </xf>
    <xf numFmtId="169" fontId="11" fillId="0" borderId="1" xfId="29" applyFont="1" applyBorder="1" applyAlignment="1" applyProtection="1">
      <alignment horizontal="general" vertical="bottom" textRotation="0" wrapText="1" indent="0"/>
      <protection locked="1" hidden="0"/>
    </xf>
    <xf numFmtId="169" fontId="12" fillId="0" borderId="1" xfId="29" applyFont="1" applyBorder="1" applyAlignment="1" applyProtection="1">
      <alignment horizontal="general" vertical="bottom" textRotation="0" wrapText="1" indent="0"/>
      <protection locked="1" hidden="0"/>
    </xf>
    <xf numFmtId="170" fontId="11" fillId="0" borderId="1" xfId="29" applyFont="1" applyBorder="1" applyAlignment="1" applyProtection="1">
      <alignment horizontal="general" vertical="bottom" textRotation="0" wrapText="1" indent="0"/>
      <protection locked="1" hidden="0"/>
    </xf>
    <xf numFmtId="170" fontId="12" fillId="0" borderId="1" xfId="29" applyFont="1" applyBorder="1" applyAlignment="1" applyProtection="1">
      <alignment horizontal="general" vertical="bottom" textRotation="0" wrapText="1" indent="0"/>
      <protection locked="1" hidden="0"/>
    </xf>
    <xf numFmtId="171" fontId="11" fillId="0" borderId="1" xfId="29" applyFont="1" applyBorder="1" applyAlignment="1" applyProtection="1">
      <alignment horizontal="general" vertical="bottom" textRotation="0" wrapText="1" indent="0"/>
      <protection locked="1" hidden="0"/>
    </xf>
    <xf numFmtId="171" fontId="12" fillId="0" borderId="1" xfId="29" applyFont="1" applyBorder="1" applyAlignment="1" applyProtection="1">
      <alignment horizontal="general" vertical="bottom" textRotation="0" wrapText="1" indent="0"/>
      <protection locked="1" hidden="0"/>
    </xf>
    <xf numFmtId="172" fontId="11" fillId="0" borderId="1" xfId="29" applyFont="1" applyBorder="1" applyAlignment="1" applyProtection="1">
      <alignment horizontal="general" vertical="bottom" textRotation="0" wrapText="1" indent="0"/>
      <protection locked="1" hidden="0"/>
    </xf>
    <xf numFmtId="172" fontId="12" fillId="0" borderId="1" xfId="29" applyFont="1" applyBorder="1" applyAlignment="1" applyProtection="1">
      <alignment horizontal="general" vertical="bottom" textRotation="0" wrapText="1" indent="0"/>
      <protection locked="1" hidden="0"/>
    </xf>
    <xf numFmtId="173" fontId="8" fillId="0" borderId="1" xfId="29" applyFont="1" applyBorder="1" applyAlignment="1" applyProtection="1">
      <alignment horizontal="general" vertical="bottom" textRotation="0" wrapText="1" indent="0"/>
      <protection locked="1" hidden="0"/>
    </xf>
    <xf numFmtId="168" fontId="6" fillId="3" borderId="1" xfId="29" applyFont="1" applyBorder="1" applyAlignment="1" applyProtection="1">
      <alignment horizontal="general" vertical="bottom" textRotation="0" wrapText="1" indent="0"/>
      <protection locked="1" hidden="0"/>
    </xf>
    <xf numFmtId="170" fontId="8" fillId="0" borderId="1" xfId="29" applyFont="1" applyBorder="1" applyAlignment="1" applyProtection="1">
      <alignment horizontal="general" vertical="bottom" textRotation="0" wrapText="1" indent="0"/>
      <protection locked="1" hidden="0"/>
    </xf>
    <xf numFmtId="172" fontId="8" fillId="0" borderId="1" xfId="29" applyFont="1" applyBorder="1" applyAlignment="1" applyProtection="1">
      <alignment horizontal="general" vertical="bottom" textRotation="0" wrapText="1" indent="0"/>
      <protection locked="1" hidden="0"/>
    </xf>
    <xf numFmtId="169" fontId="6" fillId="3" borderId="1" xfId="29" applyFont="1" applyBorder="1" applyAlignment="1" applyProtection="1">
      <alignment horizontal="general" vertical="bottom" textRotation="0" wrapText="1" indent="0"/>
      <protection locked="1" hidden="0"/>
    </xf>
    <xf numFmtId="172" fontId="8" fillId="7" borderId="1" xfId="29" applyFont="1" applyBorder="1" applyAlignment="1" applyProtection="1">
      <alignment horizontal="general" vertical="bottom" textRotation="0" wrapText="1" indent="0"/>
      <protection locked="1" hidden="0"/>
    </xf>
    <xf numFmtId="164" fontId="13" fillId="8" borderId="1" xfId="28" applyFont="1" applyBorder="1" applyAlignment="1" applyProtection="1">
      <alignment horizontal="general" vertical="bottom" textRotation="0" wrapText="1" indent="0"/>
      <protection locked="1" hidden="0"/>
    </xf>
    <xf numFmtId="164" fontId="13" fillId="8" borderId="0" xfId="28" applyFont="1" applyBorder="1" applyAlignment="1" applyProtection="1">
      <alignment horizontal="general" vertical="bottom" textRotation="0" wrapText="1" indent="0"/>
      <protection locked="1" hidden="0"/>
    </xf>
    <xf numFmtId="164" fontId="6" fillId="3" borderId="1" xfId="28" applyFont="1" applyBorder="1" applyAlignment="1" applyProtection="1">
      <alignment horizontal="general" vertical="bottom" textRotation="0" wrapText="1" indent="0"/>
      <protection locked="1" hidden="0"/>
    </xf>
    <xf numFmtId="164" fontId="8" fillId="0" borderId="1" xfId="28" applyFont="1" applyBorder="1" applyAlignment="1" applyProtection="1">
      <alignment horizontal="general" vertical="bottom" textRotation="0" wrapText="1" indent="0"/>
      <protection locked="1" hidden="0"/>
    </xf>
    <xf numFmtId="168" fontId="8" fillId="0" borderId="1" xfId="28" applyFont="1" applyBorder="1" applyAlignment="1" applyProtection="1">
      <alignment horizontal="general" vertical="bottom" textRotation="0" wrapText="1" indent="0"/>
      <protection locked="1" hidden="0"/>
    </xf>
    <xf numFmtId="169" fontId="8" fillId="0" borderId="1" xfId="28" applyFont="1" applyBorder="1" applyAlignment="1" applyProtection="1">
      <alignment horizontal="general" vertical="bottom" textRotation="0" wrapText="1" indent="0"/>
      <protection locked="1" hidden="0"/>
    </xf>
    <xf numFmtId="174" fontId="14" fillId="0" borderId="0" xfId="0" applyNumberFormat="1" applyFont="1" applyFill="1" applyBorder="1" applyAlignment="1" applyProtection="1">
      <alignment vertical="top" textRotation="0" indent="0"/>
      <protection locked="1" hidden="0"/>
    </xf>
    <xf numFmtId="0" fontId="15" fillId="0" borderId="0" xfId="0" applyFont="1" applyFill="1" applyBorder="1" applyProtection="1">
      <protection locked="1" hidden="0"/>
    </xf>
    <xf numFmtId="0" fontId="14" fillId="0" borderId="0" xfId="0" applyFont="1" applyFill="1" applyBorder="1" applyAlignment="1" applyProtection="1">
      <alignment vertical="top" textRotation="0" indent="0"/>
      <protection locked="1" hidden="0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1" xfId="21"/>
    <cellStyle name="Comma [0]" xfId="22"/>
    <cellStyle name="Comma [0] 2" xfId="23"/>
    <cellStyle name="Currency" xfId="24"/>
    <cellStyle name="Currency 3" xfId="25"/>
    <cellStyle name="Currency [0]" xfId="26"/>
    <cellStyle name="Currency [0] 4" xfId="27"/>
    <cellStyle name="Normal" xfId="28"/>
    <cellStyle name="Normal 1" xfId="29"/>
    <cellStyle name="Normal 5" xfId="30"/>
    <cellStyle name="Percent" xfId="31"/>
    <cellStyle name="Percent 6" xfId="3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0"/>
  <sheetViews>
    <sheetView showGridLines="0" tabSelected="1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style="1" hidden="0" customWidth="1" outlineLevel="0" collapsed="0"/>
    <col min="2" max="2" width="78" style="1" hidden="0" customWidth="1" outlineLevel="0" collapsed="0"/>
  </cols>
  <sheetData>
    <row r="1" ht="15" hidden="0" outlineLevel="0" collapsed="0">
      <c r="A1" s="2" t="s">
        <v>0</v>
      </c>
      <c r="B1" s="2"/>
      <c r="C1" s="2"/>
      <c r="D1" s="2"/>
      <c r="E1" s="2"/>
      <c r="F1" s="2"/>
      <c r="G1" s="2"/>
      <c r="H1" s="2"/>
    </row>
    <row r="2" ht="34" hidden="0" outlineLevel="0" collapsed="0">
      <c r="A2" s="3" t="s">
        <v>1</v>
      </c>
      <c r="B2" s="3"/>
      <c r="C2" s="3"/>
      <c r="D2" s="3"/>
      <c r="E2" s="3"/>
      <c r="F2" s="3"/>
      <c r="G2" s="3"/>
      <c r="H2" s="3"/>
    </row>
    <row r="3" ht="15" hidden="0" outlineLevel="0" collapsed="0">
      <c r="A3" s="4"/>
      <c r="B3" s="4"/>
      <c r="C3" s="4"/>
      <c r="D3" s="4"/>
      <c r="E3" s="4"/>
      <c r="F3" s="4"/>
      <c r="G3" s="4"/>
      <c r="H3" s="4"/>
    </row>
    <row r="4" ht="15" hidden="0" outlineLevel="0" collapsed="0">
      <c r="A4" s="5" t="s">
        <v>2</v>
      </c>
      <c r="B4" s="5" t="s">
        <v>3</v>
      </c>
      <c r="C4" s="4"/>
      <c r="D4" s="4"/>
      <c r="E4" s="4"/>
      <c r="F4" s="4"/>
      <c r="G4" s="4"/>
      <c r="H4" s="4"/>
    </row>
    <row r="5" ht="15" hidden="0" outlineLevel="0" collapsed="0">
      <c r="A5" s="4" t="s">
        <v>4</v>
      </c>
      <c r="B5" s="4" t="s">
        <v>5</v>
      </c>
      <c r="C5" s="4"/>
      <c r="D5" s="4"/>
      <c r="E5" s="4"/>
      <c r="F5" s="4"/>
      <c r="G5" s="4"/>
      <c r="H5" s="4"/>
    </row>
    <row r="6" ht="15" hidden="0" outlineLevel="0" collapsed="0">
      <c r="A6" s="4" t="s">
        <v>6</v>
      </c>
      <c r="B6" s="4" t="s">
        <v>7</v>
      </c>
      <c r="C6" s="4"/>
      <c r="D6" s="4"/>
      <c r="E6" s="4"/>
      <c r="F6" s="4"/>
      <c r="G6" s="4"/>
      <c r="H6" s="4"/>
    </row>
    <row r="7" ht="15" hidden="0" outlineLevel="0" collapsed="0">
      <c r="A7" s="4" t="s">
        <v>8</v>
      </c>
      <c r="B7" s="4" t="s">
        <v>9</v>
      </c>
      <c r="C7" s="4"/>
      <c r="D7" s="4"/>
      <c r="E7" s="4"/>
      <c r="F7" s="4"/>
      <c r="G7" s="4"/>
      <c r="H7" s="4"/>
    </row>
    <row r="8" ht="15" hidden="0" outlineLevel="0" collapsed="0">
      <c r="A8" s="4" t="s">
        <v>10</v>
      </c>
      <c r="B8" s="4" t="s">
        <v>11</v>
      </c>
      <c r="C8" s="4"/>
      <c r="D8" s="4"/>
      <c r="E8" s="4"/>
      <c r="F8" s="4"/>
      <c r="G8" s="4"/>
      <c r="H8" s="4"/>
    </row>
    <row r="9" ht="15" hidden="0" outlineLevel="0" collapsed="0">
      <c r="A9" s="4" t="s">
        <v>12</v>
      </c>
      <c r="B9" s="4" t="s">
        <v>13</v>
      </c>
      <c r="C9" s="4"/>
      <c r="D9" s="4"/>
      <c r="E9" s="4"/>
      <c r="F9" s="4"/>
      <c r="G9" s="4"/>
      <c r="H9" s="4"/>
    </row>
    <row r="10" ht="15" hidden="0" outlineLevel="0" collapsed="0">
      <c r="A10" s="4" t="s">
        <v>14</v>
      </c>
      <c r="B10" s="4" t="s">
        <v>15</v>
      </c>
      <c r="C10" s="4"/>
      <c r="D10" s="4"/>
      <c r="E10" s="4"/>
      <c r="F10" s="4"/>
      <c r="G10" s="4"/>
      <c r="H10" s="4"/>
    </row>
    <row r="11" ht="15" hidden="0" outlineLevel="0" collapsed="0">
      <c r="A11" s="4" t="s">
        <v>16</v>
      </c>
      <c r="B11" s="4" t="s">
        <v>17</v>
      </c>
      <c r="C11" s="4"/>
      <c r="D11" s="4"/>
      <c r="E11" s="4"/>
      <c r="F11" s="4"/>
      <c r="G11" s="4"/>
      <c r="H11" s="4"/>
    </row>
    <row r="12" ht="15" hidden="0" outlineLevel="0" collapsed="0">
      <c r="A12" s="4" t="s">
        <v>18</v>
      </c>
      <c r="B12" s="4" t="s">
        <v>19</v>
      </c>
      <c r="C12" s="4"/>
      <c r="D12" s="4"/>
      <c r="E12" s="4"/>
      <c r="F12" s="4"/>
      <c r="G12" s="4"/>
      <c r="H12" s="4"/>
    </row>
    <row r="13" ht="15" hidden="0" outlineLevel="0" collapsed="0">
      <c r="A13" s="4" t="s">
        <v>20</v>
      </c>
      <c r="B13" s="4" t="s">
        <v>21</v>
      </c>
      <c r="C13" s="4"/>
      <c r="D13" s="4"/>
      <c r="E13" s="4"/>
      <c r="F13" s="4"/>
      <c r="G13" s="4"/>
      <c r="H13" s="4"/>
    </row>
    <row r="14" ht="15" hidden="0" outlineLevel="0" collapsed="0">
      <c r="A14" s="6" t="s">
        <v>22</v>
      </c>
      <c r="B14" s="6" t="s">
        <v>23</v>
      </c>
      <c r="C14" s="4"/>
      <c r="D14" s="4"/>
      <c r="E14" s="4"/>
      <c r="F14" s="4"/>
      <c r="G14" s="4"/>
      <c r="H14" s="4"/>
    </row>
    <row r="15" ht="15" hidden="0" outlineLevel="0" collapsed="0">
      <c r="A15" s="4"/>
      <c r="B15" s="4"/>
      <c r="C15" s="4"/>
      <c r="D15" s="4"/>
      <c r="E15" s="4"/>
      <c r="F15" s="4"/>
      <c r="G15" s="4"/>
      <c r="H15" s="4"/>
    </row>
    <row r="16" ht="15" hidden="0" outlineLevel="0" collapsed="0">
      <c r="A16" s="7" t="s">
        <v>24</v>
      </c>
      <c r="B16" s="7"/>
      <c r="C16" s="7"/>
      <c r="D16" s="7"/>
      <c r="E16" s="7"/>
      <c r="F16" s="7"/>
      <c r="G16" s="7"/>
      <c r="H16" s="7"/>
    </row>
    <row r="17" ht="15" hidden="0" outlineLevel="0" collapsed="0">
      <c r="A17" s="7"/>
      <c r="B17" s="7"/>
      <c r="C17" s="7"/>
      <c r="D17" s="7"/>
      <c r="E17" s="7"/>
      <c r="F17" s="7"/>
      <c r="G17" s="7"/>
      <c r="H17" s="7"/>
    </row>
    <row r="18" ht="15" hidden="0" outlineLevel="0" collapsed="0">
      <c r="A18" s="7"/>
      <c r="B18" s="7"/>
      <c r="C18" s="7"/>
      <c r="D18" s="7"/>
      <c r="E18" s="7"/>
      <c r="F18" s="7"/>
      <c r="G18" s="7"/>
      <c r="H18" s="7"/>
    </row>
    <row r="19" ht="15" hidden="0" outlineLevel="0" collapsed="0">
      <c r="A19" s="4"/>
      <c r="B19" s="4"/>
      <c r="C19" s="4"/>
      <c r="D19" s="4"/>
      <c r="E19" s="4"/>
      <c r="F19" s="4"/>
      <c r="G19" s="4"/>
      <c r="H19" s="4"/>
    </row>
    <row r="20" ht="15" hidden="0" outlineLevel="0" collapsed="0">
      <c r="A20" s="4"/>
      <c r="B20" s="4"/>
      <c r="C20" s="4"/>
      <c r="D20" s="4"/>
      <c r="E20" s="4"/>
      <c r="F20" s="4"/>
      <c r="G20" s="4"/>
      <c r="H20" s="4"/>
    </row>
  </sheetData>
  <mergeCells count="3">
    <mergeCell ref="A1:H1"/>
    <mergeCell ref="A2:H2"/>
    <mergeCell ref="A16:H18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R98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17" style="1" hidden="0" customWidth="1" outlineLevel="0" collapsed="0"/>
    <col min="2" max="2" width="34" style="1" hidden="0" customWidth="1" outlineLevel="0" collapsed="0"/>
    <col min="3" max="3" width="30" style="1" hidden="0" customWidth="1" outlineLevel="0" collapsed="0"/>
    <col min="4" max="4" width="14" style="1" hidden="0" customWidth="1" outlineLevel="0" collapsed="0"/>
    <col min="5" max="6" width="18" style="1" hidden="0" customWidth="1" outlineLevel="0" collapsed="0"/>
    <col min="7" max="8" width="32" style="1" hidden="0" customWidth="1" outlineLevel="0" collapsed="0"/>
    <col min="9" max="9" width="14" style="1" hidden="0" customWidth="1" outlineLevel="0" collapsed="0"/>
    <col min="10" max="10" width="16" style="1" hidden="0" customWidth="1" outlineLevel="0" collapsed="0"/>
    <col min="11" max="12" width="20" style="1" hidden="0" customWidth="1" outlineLevel="0" collapsed="0"/>
    <col min="13" max="13" width="35" style="1" hidden="0" customWidth="1" outlineLevel="0" collapsed="0"/>
    <col min="14" max="14" width="55" style="1" hidden="0" customWidth="1" outlineLevel="0" collapsed="0"/>
    <col min="15" max="15" width="16" style="1" hidden="0" customWidth="1" outlineLevel="0" collapsed="0"/>
    <col min="16" max="16" width="24" style="1" hidden="0" customWidth="1" outlineLevel="0" collapsed="0"/>
    <col min="17" max="17" width="16" style="1" hidden="0" customWidth="1" outlineLevel="0" collapsed="0"/>
    <col min="18" max="18" width="30" style="1" hidden="0" customWidth="1" outlineLevel="0" collapsed="0"/>
  </cols>
  <sheetData>
    <row r="1" ht="15" hidden="0" outlineLevel="0" collapsed="0">
      <c r="A1" s="2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34" hidden="0" outlineLevel="0" collapsed="0">
      <c r="A2" s="3" t="s">
        <v>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5" hidden="0" outlineLevel="0" collapsed="0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5" hidden="0" outlineLevel="0" collapsed="0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39</v>
      </c>
      <c r="N4" s="5" t="s">
        <v>40</v>
      </c>
      <c r="O4" s="5" t="s">
        <v>41</v>
      </c>
      <c r="P4" s="5" t="s">
        <v>42</v>
      </c>
      <c r="Q4" s="5" t="s">
        <v>43</v>
      </c>
      <c r="R4" s="5" t="s">
        <v>44</v>
      </c>
    </row>
    <row r="5" ht="28.35" hidden="0" outlineLevel="0" collapsed="0">
      <c r="A5" s="8" t="s">
        <v>45</v>
      </c>
      <c r="B5" s="8" t="s">
        <v>46</v>
      </c>
      <c r="C5" s="8" t="s">
        <v>47</v>
      </c>
      <c r="D5" s="9">
        <v>26914</v>
      </c>
      <c r="E5" s="8" t="s">
        <v>48</v>
      </c>
      <c r="F5" s="8" t="s">
        <v>49</v>
      </c>
      <c r="G5" s="8" t="s">
        <v>50</v>
      </c>
      <c r="H5" s="8" t="s">
        <v>51</v>
      </c>
      <c r="I5" s="8" t="s">
        <v>52</v>
      </c>
      <c r="J5" s="8" t="s">
        <v>53</v>
      </c>
      <c r="K5" s="8" t="s">
        <v>54</v>
      </c>
      <c r="L5" s="8" t="s">
        <v>55</v>
      </c>
      <c r="M5" s="8" t="s">
        <v>56</v>
      </c>
      <c r="N5" s="8" t="s">
        <v>57</v>
      </c>
      <c r="O5" s="8" t="s">
        <v>58</v>
      </c>
      <c r="P5" s="8" t="s">
        <v>59</v>
      </c>
      <c r="Q5" s="8" t="s">
        <v>60</v>
      </c>
      <c r="R5" s="8" t="s">
        <v>61</v>
      </c>
    </row>
    <row r="6" ht="28.35" hidden="0" outlineLevel="0" collapsed="0">
      <c r="A6" s="8" t="s">
        <v>62</v>
      </c>
      <c r="B6" s="8" t="s">
        <v>46</v>
      </c>
      <c r="C6" s="8" t="s">
        <v>47</v>
      </c>
      <c r="D6" s="9">
        <v>26974</v>
      </c>
      <c r="E6" s="8" t="s">
        <v>48</v>
      </c>
      <c r="F6" s="8" t="s">
        <v>63</v>
      </c>
      <c r="G6" s="8" t="s">
        <v>50</v>
      </c>
      <c r="H6" s="8" t="s">
        <v>51</v>
      </c>
      <c r="I6" s="8" t="s">
        <v>52</v>
      </c>
      <c r="J6" s="8" t="s">
        <v>64</v>
      </c>
      <c r="K6" s="8" t="s">
        <v>65</v>
      </c>
      <c r="L6" s="8" t="s">
        <v>66</v>
      </c>
      <c r="M6" s="8" t="s">
        <v>56</v>
      </c>
      <c r="N6" s="8" t="s">
        <v>67</v>
      </c>
      <c r="O6" s="8" t="s">
        <v>58</v>
      </c>
      <c r="P6" s="8" t="s">
        <v>59</v>
      </c>
      <c r="Q6" s="8" t="s">
        <v>60</v>
      </c>
      <c r="R6" s="8" t="s">
        <v>61</v>
      </c>
    </row>
    <row r="7" ht="28.35" hidden="0" outlineLevel="0" collapsed="0">
      <c r="A7" s="8" t="s">
        <v>68</v>
      </c>
      <c r="B7" s="8" t="s">
        <v>46</v>
      </c>
      <c r="C7" s="8" t="s">
        <v>47</v>
      </c>
      <c r="D7" s="9">
        <v>60922</v>
      </c>
      <c r="E7" s="8" t="s">
        <v>48</v>
      </c>
      <c r="F7" s="8" t="s">
        <v>69</v>
      </c>
      <c r="G7" s="8" t="s">
        <v>50</v>
      </c>
      <c r="H7" s="8" t="s">
        <v>51</v>
      </c>
      <c r="I7" s="8" t="s">
        <v>52</v>
      </c>
      <c r="J7" s="8" t="s">
        <v>70</v>
      </c>
      <c r="K7" s="8" t="s">
        <v>71</v>
      </c>
      <c r="L7" s="8" t="s">
        <v>72</v>
      </c>
      <c r="M7" s="8" t="s">
        <v>56</v>
      </c>
      <c r="N7" s="8" t="s">
        <v>73</v>
      </c>
      <c r="O7" s="8" t="s">
        <v>58</v>
      </c>
      <c r="P7" s="8" t="s">
        <v>59</v>
      </c>
      <c r="Q7" s="8" t="s">
        <v>60</v>
      </c>
      <c r="R7" s="8" t="s">
        <v>61</v>
      </c>
    </row>
    <row r="8" ht="28.35" hidden="0" outlineLevel="0" collapsed="0">
      <c r="A8" s="8" t="s">
        <v>74</v>
      </c>
      <c r="B8" s="8" t="s">
        <v>46</v>
      </c>
      <c r="C8" s="8" t="s">
        <v>47</v>
      </c>
      <c r="D8" s="9">
        <v>130497</v>
      </c>
      <c r="E8" s="8" t="s">
        <v>48</v>
      </c>
      <c r="F8" s="8" t="s">
        <v>75</v>
      </c>
      <c r="G8" s="8" t="s">
        <v>50</v>
      </c>
      <c r="H8" s="8" t="s">
        <v>51</v>
      </c>
      <c r="I8" s="8" t="s">
        <v>52</v>
      </c>
      <c r="J8" s="8" t="s">
        <v>70</v>
      </c>
      <c r="K8" s="8" t="s">
        <v>71</v>
      </c>
      <c r="L8" s="8" t="s">
        <v>76</v>
      </c>
      <c r="M8" s="8" t="s">
        <v>56</v>
      </c>
      <c r="N8" s="8" t="s">
        <v>73</v>
      </c>
      <c r="O8" s="8" t="s">
        <v>58</v>
      </c>
      <c r="P8" s="8" t="s">
        <v>59</v>
      </c>
      <c r="Q8" s="8" t="s">
        <v>60</v>
      </c>
      <c r="R8" s="8" t="s">
        <v>61</v>
      </c>
    </row>
    <row r="9" ht="28.35" hidden="0" outlineLevel="0" collapsed="0">
      <c r="A9" s="8" t="s">
        <v>77</v>
      </c>
      <c r="B9" s="8" t="s">
        <v>46</v>
      </c>
      <c r="C9" s="8" t="s">
        <v>47</v>
      </c>
      <c r="D9" s="9">
        <v>215938</v>
      </c>
      <c r="E9" s="8" t="s">
        <v>48</v>
      </c>
      <c r="F9" s="8" t="s">
        <v>78</v>
      </c>
      <c r="G9" s="8" t="s">
        <v>50</v>
      </c>
      <c r="H9" s="8" t="s">
        <v>51</v>
      </c>
      <c r="I9" s="8" t="s">
        <v>52</v>
      </c>
      <c r="J9" s="8" t="s">
        <v>70</v>
      </c>
      <c r="K9" s="8" t="s">
        <v>71</v>
      </c>
      <c r="L9" s="8" t="s">
        <v>79</v>
      </c>
      <c r="M9" s="8" t="s">
        <v>56</v>
      </c>
      <c r="N9" s="8" t="s">
        <v>73</v>
      </c>
      <c r="O9" s="8" t="s">
        <v>58</v>
      </c>
      <c r="P9" s="8" t="s">
        <v>59</v>
      </c>
      <c r="Q9" s="8" t="s">
        <v>60</v>
      </c>
      <c r="R9" s="8" t="s">
        <v>61</v>
      </c>
    </row>
    <row r="10" ht="28.35" hidden="0" outlineLevel="0" collapsed="0">
      <c r="A10" s="8" t="s">
        <v>80</v>
      </c>
      <c r="B10" s="8" t="s">
        <v>46</v>
      </c>
      <c r="C10" s="8" t="s">
        <v>81</v>
      </c>
      <c r="D10" s="9">
        <v>17475</v>
      </c>
      <c r="E10" s="8" t="s">
        <v>48</v>
      </c>
      <c r="F10" s="8" t="s">
        <v>49</v>
      </c>
      <c r="G10" s="8" t="s">
        <v>50</v>
      </c>
      <c r="H10" s="8" t="s">
        <v>82</v>
      </c>
      <c r="I10" s="8" t="s">
        <v>52</v>
      </c>
      <c r="J10" s="8" t="s">
        <v>53</v>
      </c>
      <c r="K10" s="8" t="s">
        <v>54</v>
      </c>
      <c r="L10" s="8" t="s">
        <v>83</v>
      </c>
      <c r="M10" s="8" t="s">
        <v>56</v>
      </c>
      <c r="N10" s="8" t="s">
        <v>57</v>
      </c>
      <c r="O10" s="8" t="s">
        <v>58</v>
      </c>
      <c r="P10" s="8" t="s">
        <v>59</v>
      </c>
      <c r="Q10" s="8" t="s">
        <v>60</v>
      </c>
      <c r="R10" s="8" t="s">
        <v>61</v>
      </c>
    </row>
    <row r="11" ht="28.35" hidden="0" outlineLevel="0" collapsed="0">
      <c r="A11" s="8" t="s">
        <v>84</v>
      </c>
      <c r="B11" s="8" t="s">
        <v>46</v>
      </c>
      <c r="C11" s="8" t="s">
        <v>81</v>
      </c>
      <c r="D11" s="9">
        <v>15356</v>
      </c>
      <c r="E11" s="8" t="s">
        <v>48</v>
      </c>
      <c r="F11" s="8" t="s">
        <v>63</v>
      </c>
      <c r="G11" s="8" t="s">
        <v>50</v>
      </c>
      <c r="H11" s="8" t="s">
        <v>82</v>
      </c>
      <c r="I11" s="8" t="s">
        <v>52</v>
      </c>
      <c r="J11" s="8" t="s">
        <v>64</v>
      </c>
      <c r="K11" s="8" t="s">
        <v>65</v>
      </c>
      <c r="L11" s="8" t="s">
        <v>85</v>
      </c>
      <c r="M11" s="8" t="s">
        <v>56</v>
      </c>
      <c r="N11" s="8" t="s">
        <v>67</v>
      </c>
      <c r="O11" s="8" t="s">
        <v>58</v>
      </c>
      <c r="P11" s="8" t="s">
        <v>59</v>
      </c>
      <c r="Q11" s="8" t="s">
        <v>60</v>
      </c>
      <c r="R11" s="8" t="s">
        <v>61</v>
      </c>
    </row>
    <row r="12" ht="28.35" hidden="0" outlineLevel="0" collapsed="0">
      <c r="A12" s="8" t="s">
        <v>86</v>
      </c>
      <c r="B12" s="8" t="s">
        <v>46</v>
      </c>
      <c r="C12" s="8" t="s">
        <v>81</v>
      </c>
      <c r="D12" s="9">
        <v>44301</v>
      </c>
      <c r="E12" s="8" t="s">
        <v>48</v>
      </c>
      <c r="F12" s="8" t="s">
        <v>69</v>
      </c>
      <c r="G12" s="8" t="s">
        <v>50</v>
      </c>
      <c r="H12" s="8" t="s">
        <v>82</v>
      </c>
      <c r="I12" s="8" t="s">
        <v>52</v>
      </c>
      <c r="J12" s="8" t="s">
        <v>70</v>
      </c>
      <c r="K12" s="8" t="s">
        <v>71</v>
      </c>
      <c r="L12" s="8" t="s">
        <v>87</v>
      </c>
      <c r="M12" s="8" t="s">
        <v>56</v>
      </c>
      <c r="N12" s="8" t="s">
        <v>73</v>
      </c>
      <c r="O12" s="8" t="s">
        <v>58</v>
      </c>
      <c r="P12" s="8" t="s">
        <v>59</v>
      </c>
      <c r="Q12" s="8" t="s">
        <v>60</v>
      </c>
      <c r="R12" s="8" t="s">
        <v>61</v>
      </c>
    </row>
    <row r="13" ht="28.35" hidden="0" outlineLevel="0" collapsed="0">
      <c r="A13" s="8" t="s">
        <v>88</v>
      </c>
      <c r="B13" s="8" t="s">
        <v>46</v>
      </c>
      <c r="C13" s="8" t="s">
        <v>81</v>
      </c>
      <c r="D13" s="9">
        <v>97858</v>
      </c>
      <c r="E13" s="8" t="s">
        <v>48</v>
      </c>
      <c r="F13" s="8" t="s">
        <v>75</v>
      </c>
      <c r="G13" s="8" t="s">
        <v>50</v>
      </c>
      <c r="H13" s="8" t="s">
        <v>82</v>
      </c>
      <c r="I13" s="8" t="s">
        <v>52</v>
      </c>
      <c r="J13" s="8" t="s">
        <v>70</v>
      </c>
      <c r="K13" s="8" t="s">
        <v>71</v>
      </c>
      <c r="L13" s="8" t="s">
        <v>89</v>
      </c>
      <c r="M13" s="8" t="s">
        <v>56</v>
      </c>
      <c r="N13" s="8" t="s">
        <v>73</v>
      </c>
      <c r="O13" s="8" t="s">
        <v>58</v>
      </c>
      <c r="P13" s="8" t="s">
        <v>59</v>
      </c>
      <c r="Q13" s="8" t="s">
        <v>60</v>
      </c>
      <c r="R13" s="8" t="s">
        <v>61</v>
      </c>
    </row>
    <row r="14" ht="28.35" hidden="0" outlineLevel="0" collapsed="0">
      <c r="A14" s="8" t="s">
        <v>90</v>
      </c>
      <c r="B14" s="8" t="s">
        <v>46</v>
      </c>
      <c r="C14" s="8" t="s">
        <v>81</v>
      </c>
      <c r="D14" s="9">
        <v>153463</v>
      </c>
      <c r="E14" s="8" t="s">
        <v>48</v>
      </c>
      <c r="F14" s="8" t="s">
        <v>78</v>
      </c>
      <c r="G14" s="8" t="s">
        <v>50</v>
      </c>
      <c r="H14" s="8" t="s">
        <v>82</v>
      </c>
      <c r="I14" s="8" t="s">
        <v>52</v>
      </c>
      <c r="J14" s="8" t="s">
        <v>70</v>
      </c>
      <c r="K14" s="8" t="s">
        <v>71</v>
      </c>
      <c r="L14" s="8" t="s">
        <v>91</v>
      </c>
      <c r="M14" s="8" t="s">
        <v>56</v>
      </c>
      <c r="N14" s="8" t="s">
        <v>73</v>
      </c>
      <c r="O14" s="8" t="s">
        <v>58</v>
      </c>
      <c r="P14" s="8" t="s">
        <v>59</v>
      </c>
      <c r="Q14" s="8" t="s">
        <v>60</v>
      </c>
      <c r="R14" s="8" t="s">
        <v>61</v>
      </c>
    </row>
    <row r="15" ht="28.35" hidden="0" outlineLevel="0" collapsed="0">
      <c r="A15" s="8" t="s">
        <v>92</v>
      </c>
      <c r="B15" s="8" t="s">
        <v>46</v>
      </c>
      <c r="C15" s="8" t="s">
        <v>93</v>
      </c>
      <c r="D15" s="9">
        <v>10041</v>
      </c>
      <c r="E15" s="8" t="s">
        <v>48</v>
      </c>
      <c r="F15" s="8" t="s">
        <v>49</v>
      </c>
      <c r="G15" s="8" t="s">
        <v>50</v>
      </c>
      <c r="H15" s="8" t="s">
        <v>94</v>
      </c>
      <c r="I15" s="8" t="s">
        <v>52</v>
      </c>
      <c r="J15" s="8" t="s">
        <v>53</v>
      </c>
      <c r="K15" s="8" t="s">
        <v>54</v>
      </c>
      <c r="L15" s="8" t="s">
        <v>95</v>
      </c>
      <c r="M15" s="8" t="s">
        <v>56</v>
      </c>
      <c r="N15" s="8" t="s">
        <v>57</v>
      </c>
      <c r="O15" s="8" t="s">
        <v>58</v>
      </c>
      <c r="P15" s="8" t="s">
        <v>59</v>
      </c>
      <c r="Q15" s="8" t="s">
        <v>60</v>
      </c>
      <c r="R15" s="8" t="s">
        <v>61</v>
      </c>
    </row>
    <row r="16" ht="28.35" hidden="0" outlineLevel="0" collapsed="0">
      <c r="A16" s="8" t="s">
        <v>96</v>
      </c>
      <c r="B16" s="8" t="s">
        <v>46</v>
      </c>
      <c r="C16" s="8" t="s">
        <v>93</v>
      </c>
      <c r="D16" s="9">
        <v>4224</v>
      </c>
      <c r="E16" s="8" t="s">
        <v>48</v>
      </c>
      <c r="F16" s="8" t="s">
        <v>63</v>
      </c>
      <c r="G16" s="8" t="s">
        <v>50</v>
      </c>
      <c r="H16" s="8" t="s">
        <v>94</v>
      </c>
      <c r="I16" s="8" t="s">
        <v>52</v>
      </c>
      <c r="J16" s="8" t="s">
        <v>64</v>
      </c>
      <c r="K16" s="8" t="s">
        <v>65</v>
      </c>
      <c r="L16" s="8" t="s">
        <v>97</v>
      </c>
      <c r="M16" s="8" t="s">
        <v>56</v>
      </c>
      <c r="N16" s="8" t="s">
        <v>67</v>
      </c>
      <c r="O16" s="8" t="s">
        <v>58</v>
      </c>
      <c r="P16" s="8" t="s">
        <v>59</v>
      </c>
      <c r="Q16" s="8" t="s">
        <v>60</v>
      </c>
      <c r="R16" s="8" t="s">
        <v>61</v>
      </c>
    </row>
    <row r="17" ht="28.35" hidden="0" outlineLevel="0" collapsed="0">
      <c r="A17" s="8" t="s">
        <v>98</v>
      </c>
      <c r="B17" s="8" t="s">
        <v>46</v>
      </c>
      <c r="C17" s="8" t="s">
        <v>93</v>
      </c>
      <c r="D17" s="9">
        <v>32972</v>
      </c>
      <c r="E17" s="8" t="s">
        <v>48</v>
      </c>
      <c r="F17" s="8" t="s">
        <v>69</v>
      </c>
      <c r="G17" s="8" t="s">
        <v>50</v>
      </c>
      <c r="H17" s="8" t="s">
        <v>94</v>
      </c>
      <c r="I17" s="8" t="s">
        <v>52</v>
      </c>
      <c r="J17" s="8" t="s">
        <v>70</v>
      </c>
      <c r="K17" s="8" t="s">
        <v>71</v>
      </c>
      <c r="L17" s="8" t="s">
        <v>99</v>
      </c>
      <c r="M17" s="8" t="s">
        <v>56</v>
      </c>
      <c r="N17" s="8" t="s">
        <v>73</v>
      </c>
      <c r="O17" s="8" t="s">
        <v>58</v>
      </c>
      <c r="P17" s="8" t="s">
        <v>59</v>
      </c>
      <c r="Q17" s="8" t="s">
        <v>60</v>
      </c>
      <c r="R17" s="8" t="s">
        <v>61</v>
      </c>
    </row>
    <row r="18" ht="28.35" hidden="0" outlineLevel="0" collapsed="0">
      <c r="A18" s="8" t="s">
        <v>100</v>
      </c>
      <c r="B18" s="8" t="s">
        <v>46</v>
      </c>
      <c r="C18" s="8" t="s">
        <v>93</v>
      </c>
      <c r="D18" s="9">
        <v>81453</v>
      </c>
      <c r="E18" s="8" t="s">
        <v>48</v>
      </c>
      <c r="F18" s="8" t="s">
        <v>75</v>
      </c>
      <c r="G18" s="8" t="s">
        <v>50</v>
      </c>
      <c r="H18" s="8" t="s">
        <v>94</v>
      </c>
      <c r="I18" s="8" t="s">
        <v>52</v>
      </c>
      <c r="J18" s="8" t="s">
        <v>70</v>
      </c>
      <c r="K18" s="8" t="s">
        <v>71</v>
      </c>
      <c r="L18" s="8" t="s">
        <v>101</v>
      </c>
      <c r="M18" s="8" t="s">
        <v>56</v>
      </c>
      <c r="N18" s="8" t="s">
        <v>73</v>
      </c>
      <c r="O18" s="8" t="s">
        <v>58</v>
      </c>
      <c r="P18" s="8" t="s">
        <v>59</v>
      </c>
      <c r="Q18" s="8" t="s">
        <v>60</v>
      </c>
      <c r="R18" s="8" t="s">
        <v>61</v>
      </c>
    </row>
    <row r="19" ht="28.35" hidden="0" outlineLevel="0" collapsed="0">
      <c r="A19" s="8" t="s">
        <v>102</v>
      </c>
      <c r="B19" s="8" t="s">
        <v>46</v>
      </c>
      <c r="C19" s="8" t="s">
        <v>93</v>
      </c>
      <c r="D19" s="9">
        <v>130387</v>
      </c>
      <c r="E19" s="8" t="s">
        <v>48</v>
      </c>
      <c r="F19" s="8" t="s">
        <v>78</v>
      </c>
      <c r="G19" s="8" t="s">
        <v>50</v>
      </c>
      <c r="H19" s="8" t="s">
        <v>94</v>
      </c>
      <c r="I19" s="8" t="s">
        <v>52</v>
      </c>
      <c r="J19" s="8" t="s">
        <v>70</v>
      </c>
      <c r="K19" s="8" t="s">
        <v>71</v>
      </c>
      <c r="L19" s="8" t="s">
        <v>103</v>
      </c>
      <c r="M19" s="8" t="s">
        <v>56</v>
      </c>
      <c r="N19" s="8" t="s">
        <v>73</v>
      </c>
      <c r="O19" s="8" t="s">
        <v>58</v>
      </c>
      <c r="P19" s="8" t="s">
        <v>59</v>
      </c>
      <c r="Q19" s="8" t="s">
        <v>60</v>
      </c>
      <c r="R19" s="8" t="s">
        <v>61</v>
      </c>
    </row>
    <row r="20" ht="28.35" hidden="0" outlineLevel="0" collapsed="0">
      <c r="A20" s="8" t="s">
        <v>104</v>
      </c>
      <c r="B20" s="8" t="s">
        <v>46</v>
      </c>
      <c r="C20" s="8" t="s">
        <v>105</v>
      </c>
      <c r="D20" s="9">
        <v>9752</v>
      </c>
      <c r="E20" s="8" t="s">
        <v>48</v>
      </c>
      <c r="F20" s="8" t="s">
        <v>49</v>
      </c>
      <c r="G20" s="8" t="s">
        <v>50</v>
      </c>
      <c r="H20" s="8" t="s">
        <v>106</v>
      </c>
      <c r="I20" s="8" t="s">
        <v>52</v>
      </c>
      <c r="J20" s="8" t="s">
        <v>53</v>
      </c>
      <c r="K20" s="8" t="s">
        <v>54</v>
      </c>
      <c r="L20" s="8" t="s">
        <v>107</v>
      </c>
      <c r="M20" s="8" t="s">
        <v>56</v>
      </c>
      <c r="N20" s="8" t="s">
        <v>57</v>
      </c>
      <c r="O20" s="8" t="s">
        <v>58</v>
      </c>
      <c r="P20" s="8" t="s">
        <v>59</v>
      </c>
      <c r="Q20" s="8" t="s">
        <v>60</v>
      </c>
      <c r="R20" s="8" t="s">
        <v>61</v>
      </c>
    </row>
    <row r="21" ht="28.35" hidden="0" outlineLevel="0" collapsed="0">
      <c r="A21" s="8" t="s">
        <v>108</v>
      </c>
      <c r="B21" s="8" t="s">
        <v>46</v>
      </c>
      <c r="C21" s="8" t="s">
        <v>105</v>
      </c>
      <c r="D21" s="9">
        <v>4368</v>
      </c>
      <c r="E21" s="8" t="s">
        <v>48</v>
      </c>
      <c r="F21" s="8" t="s">
        <v>63</v>
      </c>
      <c r="G21" s="8" t="s">
        <v>50</v>
      </c>
      <c r="H21" s="8" t="s">
        <v>106</v>
      </c>
      <c r="I21" s="8" t="s">
        <v>52</v>
      </c>
      <c r="J21" s="8" t="s">
        <v>64</v>
      </c>
      <c r="K21" s="8" t="s">
        <v>65</v>
      </c>
      <c r="L21" s="8" t="s">
        <v>109</v>
      </c>
      <c r="M21" s="8" t="s">
        <v>56</v>
      </c>
      <c r="N21" s="8" t="s">
        <v>67</v>
      </c>
      <c r="O21" s="8" t="s">
        <v>58</v>
      </c>
      <c r="P21" s="8" t="s">
        <v>59</v>
      </c>
      <c r="Q21" s="8" t="s">
        <v>60</v>
      </c>
      <c r="R21" s="8" t="s">
        <v>61</v>
      </c>
    </row>
    <row r="22" ht="28.35" hidden="0" outlineLevel="0" collapsed="0">
      <c r="A22" s="8" t="s">
        <v>110</v>
      </c>
      <c r="B22" s="8" t="s">
        <v>46</v>
      </c>
      <c r="C22" s="8" t="s">
        <v>105</v>
      </c>
      <c r="D22" s="9">
        <v>29760</v>
      </c>
      <c r="E22" s="8" t="s">
        <v>48</v>
      </c>
      <c r="F22" s="8" t="s">
        <v>69</v>
      </c>
      <c r="G22" s="8" t="s">
        <v>50</v>
      </c>
      <c r="H22" s="8" t="s">
        <v>106</v>
      </c>
      <c r="I22" s="8" t="s">
        <v>52</v>
      </c>
      <c r="J22" s="8" t="s">
        <v>70</v>
      </c>
      <c r="K22" s="8" t="s">
        <v>71</v>
      </c>
      <c r="L22" s="8" t="s">
        <v>111</v>
      </c>
      <c r="M22" s="8" t="s">
        <v>56</v>
      </c>
      <c r="N22" s="8" t="s">
        <v>73</v>
      </c>
      <c r="O22" s="8" t="s">
        <v>58</v>
      </c>
      <c r="P22" s="8" t="s">
        <v>59</v>
      </c>
      <c r="Q22" s="8" t="s">
        <v>60</v>
      </c>
      <c r="R22" s="8" t="s">
        <v>61</v>
      </c>
    </row>
    <row r="23" ht="28.35" hidden="0" outlineLevel="0" collapsed="0">
      <c r="A23" s="8" t="s">
        <v>112</v>
      </c>
      <c r="B23" s="8" t="s">
        <v>46</v>
      </c>
      <c r="C23" s="8" t="s">
        <v>105</v>
      </c>
      <c r="D23" s="9">
        <v>72880</v>
      </c>
      <c r="E23" s="8" t="s">
        <v>48</v>
      </c>
      <c r="F23" s="8" t="s">
        <v>75</v>
      </c>
      <c r="G23" s="8" t="s">
        <v>50</v>
      </c>
      <c r="H23" s="8" t="s">
        <v>106</v>
      </c>
      <c r="I23" s="8" t="s">
        <v>52</v>
      </c>
      <c r="J23" s="8" t="s">
        <v>70</v>
      </c>
      <c r="K23" s="8" t="s">
        <v>71</v>
      </c>
      <c r="L23" s="8" t="s">
        <v>113</v>
      </c>
      <c r="M23" s="8" t="s">
        <v>56</v>
      </c>
      <c r="N23" s="8" t="s">
        <v>73</v>
      </c>
      <c r="O23" s="8" t="s">
        <v>58</v>
      </c>
      <c r="P23" s="8" t="s">
        <v>59</v>
      </c>
      <c r="Q23" s="8" t="s">
        <v>60</v>
      </c>
      <c r="R23" s="8" t="s">
        <v>61</v>
      </c>
    </row>
    <row r="24" ht="28.35" hidden="0" outlineLevel="0" collapsed="0">
      <c r="A24" s="8" t="s">
        <v>114</v>
      </c>
      <c r="B24" s="8" t="s">
        <v>46</v>
      </c>
      <c r="C24" s="8" t="s">
        <v>105</v>
      </c>
      <c r="D24" s="9">
        <v>120067</v>
      </c>
      <c r="E24" s="8" t="s">
        <v>48</v>
      </c>
      <c r="F24" s="8" t="s">
        <v>78</v>
      </c>
      <c r="G24" s="8" t="s">
        <v>50</v>
      </c>
      <c r="H24" s="8" t="s">
        <v>106</v>
      </c>
      <c r="I24" s="8" t="s">
        <v>52</v>
      </c>
      <c r="J24" s="8" t="s">
        <v>70</v>
      </c>
      <c r="K24" s="8" t="s">
        <v>71</v>
      </c>
      <c r="L24" s="8" t="s">
        <v>115</v>
      </c>
      <c r="M24" s="8" t="s">
        <v>56</v>
      </c>
      <c r="N24" s="8" t="s">
        <v>73</v>
      </c>
      <c r="O24" s="8" t="s">
        <v>58</v>
      </c>
      <c r="P24" s="8" t="s">
        <v>59</v>
      </c>
      <c r="Q24" s="8" t="s">
        <v>60</v>
      </c>
      <c r="R24" s="8" t="s">
        <v>61</v>
      </c>
    </row>
    <row r="25" ht="41.75" hidden="0" outlineLevel="0" collapsed="0">
      <c r="A25" s="8" t="s">
        <v>116</v>
      </c>
      <c r="B25" s="8" t="s">
        <v>46</v>
      </c>
      <c r="C25" s="8" t="s">
        <v>117</v>
      </c>
      <c r="D25" s="9">
        <v>9108</v>
      </c>
      <c r="E25" s="8" t="s">
        <v>48</v>
      </c>
      <c r="F25" s="8" t="s">
        <v>49</v>
      </c>
      <c r="G25" s="8" t="s">
        <v>50</v>
      </c>
      <c r="H25" s="8" t="s">
        <v>118</v>
      </c>
      <c r="I25" s="8" t="s">
        <v>52</v>
      </c>
      <c r="J25" s="8" t="s">
        <v>53</v>
      </c>
      <c r="K25" s="8" t="s">
        <v>54</v>
      </c>
      <c r="L25" s="8" t="s">
        <v>119</v>
      </c>
      <c r="M25" s="8" t="s">
        <v>56</v>
      </c>
      <c r="N25" s="8" t="s">
        <v>57</v>
      </c>
      <c r="O25" s="8" t="s">
        <v>58</v>
      </c>
      <c r="P25" s="8" t="s">
        <v>59</v>
      </c>
      <c r="Q25" s="8" t="s">
        <v>60</v>
      </c>
      <c r="R25" s="8" t="s">
        <v>61</v>
      </c>
    </row>
    <row r="26" ht="41.75" hidden="0" outlineLevel="0" collapsed="0">
      <c r="A26" s="8" t="s">
        <v>120</v>
      </c>
      <c r="B26" s="8" t="s">
        <v>46</v>
      </c>
      <c r="C26" s="8" t="s">
        <v>117</v>
      </c>
      <c r="D26" s="9">
        <v>5641</v>
      </c>
      <c r="E26" s="8" t="s">
        <v>48</v>
      </c>
      <c r="F26" s="8" t="s">
        <v>63</v>
      </c>
      <c r="G26" s="8" t="s">
        <v>50</v>
      </c>
      <c r="H26" s="8" t="s">
        <v>118</v>
      </c>
      <c r="I26" s="8" t="s">
        <v>52</v>
      </c>
      <c r="J26" s="8" t="s">
        <v>64</v>
      </c>
      <c r="K26" s="8" t="s">
        <v>65</v>
      </c>
      <c r="L26" s="8" t="s">
        <v>121</v>
      </c>
      <c r="M26" s="8" t="s">
        <v>56</v>
      </c>
      <c r="N26" s="8" t="s">
        <v>67</v>
      </c>
      <c r="O26" s="8" t="s">
        <v>58</v>
      </c>
      <c r="P26" s="8" t="s">
        <v>59</v>
      </c>
      <c r="Q26" s="8" t="s">
        <v>60</v>
      </c>
      <c r="R26" s="8" t="s">
        <v>61</v>
      </c>
    </row>
    <row r="27" ht="41.75" hidden="0" outlineLevel="0" collapsed="0">
      <c r="A27" s="8" t="s">
        <v>122</v>
      </c>
      <c r="B27" s="8" t="s">
        <v>46</v>
      </c>
      <c r="C27" s="8" t="s">
        <v>117</v>
      </c>
      <c r="D27" s="9">
        <v>28090</v>
      </c>
      <c r="E27" s="8" t="s">
        <v>48</v>
      </c>
      <c r="F27" s="8" t="s">
        <v>69</v>
      </c>
      <c r="G27" s="8" t="s">
        <v>50</v>
      </c>
      <c r="H27" s="8" t="s">
        <v>118</v>
      </c>
      <c r="I27" s="8" t="s">
        <v>52</v>
      </c>
      <c r="J27" s="8" t="s">
        <v>70</v>
      </c>
      <c r="K27" s="8" t="s">
        <v>71</v>
      </c>
      <c r="L27" s="8" t="s">
        <v>123</v>
      </c>
      <c r="M27" s="8" t="s">
        <v>56</v>
      </c>
      <c r="N27" s="8" t="s">
        <v>73</v>
      </c>
      <c r="O27" s="8" t="s">
        <v>58</v>
      </c>
      <c r="P27" s="8" t="s">
        <v>59</v>
      </c>
      <c r="Q27" s="8" t="s">
        <v>60</v>
      </c>
      <c r="R27" s="8" t="s">
        <v>61</v>
      </c>
    </row>
    <row r="28" ht="41.75" hidden="0" outlineLevel="0" collapsed="0">
      <c r="A28" s="8" t="s">
        <v>124</v>
      </c>
      <c r="B28" s="8" t="s">
        <v>46</v>
      </c>
      <c r="C28" s="8" t="s">
        <v>117</v>
      </c>
      <c r="D28" s="9">
        <v>64089</v>
      </c>
      <c r="E28" s="8" t="s">
        <v>48</v>
      </c>
      <c r="F28" s="8" t="s">
        <v>75</v>
      </c>
      <c r="G28" s="8" t="s">
        <v>50</v>
      </c>
      <c r="H28" s="8" t="s">
        <v>118</v>
      </c>
      <c r="I28" s="8" t="s">
        <v>52</v>
      </c>
      <c r="J28" s="8" t="s">
        <v>70</v>
      </c>
      <c r="K28" s="8" t="s">
        <v>71</v>
      </c>
      <c r="L28" s="8" t="s">
        <v>125</v>
      </c>
      <c r="M28" s="8" t="s">
        <v>56</v>
      </c>
      <c r="N28" s="8" t="s">
        <v>73</v>
      </c>
      <c r="O28" s="8" t="s">
        <v>58</v>
      </c>
      <c r="P28" s="8" t="s">
        <v>59</v>
      </c>
      <c r="Q28" s="8" t="s">
        <v>60</v>
      </c>
      <c r="R28" s="8" t="s">
        <v>61</v>
      </c>
    </row>
    <row r="29" ht="41.75" hidden="0" outlineLevel="0" collapsed="0">
      <c r="A29" s="8" t="s">
        <v>126</v>
      </c>
      <c r="B29" s="8" t="s">
        <v>46</v>
      </c>
      <c r="C29" s="8" t="s">
        <v>117</v>
      </c>
      <c r="D29" s="9">
        <v>102718</v>
      </c>
      <c r="E29" s="8" t="s">
        <v>48</v>
      </c>
      <c r="F29" s="8" t="s">
        <v>78</v>
      </c>
      <c r="G29" s="8" t="s">
        <v>50</v>
      </c>
      <c r="H29" s="8" t="s">
        <v>118</v>
      </c>
      <c r="I29" s="8" t="s">
        <v>52</v>
      </c>
      <c r="J29" s="8" t="s">
        <v>70</v>
      </c>
      <c r="K29" s="8" t="s">
        <v>71</v>
      </c>
      <c r="L29" s="8" t="s">
        <v>127</v>
      </c>
      <c r="M29" s="8" t="s">
        <v>56</v>
      </c>
      <c r="N29" s="8" t="s">
        <v>73</v>
      </c>
      <c r="O29" s="8" t="s">
        <v>58</v>
      </c>
      <c r="P29" s="8" t="s">
        <v>59</v>
      </c>
      <c r="Q29" s="8" t="s">
        <v>60</v>
      </c>
      <c r="R29" s="8" t="s">
        <v>61</v>
      </c>
    </row>
    <row r="30" ht="41.75" hidden="0" outlineLevel="0" collapsed="0">
      <c r="A30" s="8" t="s">
        <v>128</v>
      </c>
      <c r="B30" s="8" t="s">
        <v>46</v>
      </c>
      <c r="C30" s="8" t="s">
        <v>129</v>
      </c>
      <c r="D30" s="9">
        <v>976</v>
      </c>
      <c r="E30" s="8" t="s">
        <v>48</v>
      </c>
      <c r="F30" s="8" t="s">
        <v>49</v>
      </c>
      <c r="G30" s="8" t="s">
        <v>50</v>
      </c>
      <c r="H30" s="8" t="s">
        <v>130</v>
      </c>
      <c r="I30" s="8" t="s">
        <v>52</v>
      </c>
      <c r="J30" s="8" t="s">
        <v>53</v>
      </c>
      <c r="K30" s="8" t="s">
        <v>54</v>
      </c>
      <c r="L30" s="8" t="s">
        <v>131</v>
      </c>
      <c r="M30" s="8" t="s">
        <v>56</v>
      </c>
      <c r="N30" s="8" t="s">
        <v>57</v>
      </c>
      <c r="O30" s="8" t="s">
        <v>58</v>
      </c>
      <c r="P30" s="8" t="s">
        <v>59</v>
      </c>
      <c r="Q30" s="8" t="s">
        <v>60</v>
      </c>
      <c r="R30" s="8" t="s">
        <v>61</v>
      </c>
    </row>
    <row r="31" ht="41.75" hidden="0" outlineLevel="0" collapsed="0">
      <c r="A31" s="8" t="s">
        <v>132</v>
      </c>
      <c r="B31" s="8" t="s">
        <v>46</v>
      </c>
      <c r="C31" s="8" t="s">
        <v>129</v>
      </c>
      <c r="D31" s="9">
        <v>1833</v>
      </c>
      <c r="E31" s="8" t="s">
        <v>48</v>
      </c>
      <c r="F31" s="8" t="s">
        <v>63</v>
      </c>
      <c r="G31" s="8" t="s">
        <v>50</v>
      </c>
      <c r="H31" s="8" t="s">
        <v>130</v>
      </c>
      <c r="I31" s="8" t="s">
        <v>52</v>
      </c>
      <c r="J31" s="8" t="s">
        <v>64</v>
      </c>
      <c r="K31" s="8" t="s">
        <v>65</v>
      </c>
      <c r="L31" s="8" t="s">
        <v>133</v>
      </c>
      <c r="M31" s="8" t="s">
        <v>56</v>
      </c>
      <c r="N31" s="8" t="s">
        <v>67</v>
      </c>
      <c r="O31" s="8" t="s">
        <v>58</v>
      </c>
      <c r="P31" s="8" t="s">
        <v>59</v>
      </c>
      <c r="Q31" s="8" t="s">
        <v>60</v>
      </c>
      <c r="R31" s="8" t="s">
        <v>61</v>
      </c>
    </row>
    <row r="32" ht="41.75" hidden="0" outlineLevel="0" collapsed="0">
      <c r="A32" s="8" t="s">
        <v>134</v>
      </c>
      <c r="B32" s="8" t="s">
        <v>46</v>
      </c>
      <c r="C32" s="8" t="s">
        <v>129</v>
      </c>
      <c r="D32" s="9">
        <v>1069</v>
      </c>
      <c r="E32" s="8" t="s">
        <v>48</v>
      </c>
      <c r="F32" s="8" t="s">
        <v>69</v>
      </c>
      <c r="G32" s="8" t="s">
        <v>50</v>
      </c>
      <c r="H32" s="8" t="s">
        <v>130</v>
      </c>
      <c r="I32" s="8" t="s">
        <v>52</v>
      </c>
      <c r="J32" s="8" t="s">
        <v>70</v>
      </c>
      <c r="K32" s="8" t="s">
        <v>71</v>
      </c>
      <c r="L32" s="8" t="s">
        <v>135</v>
      </c>
      <c r="M32" s="8" t="s">
        <v>56</v>
      </c>
      <c r="N32" s="8" t="s">
        <v>73</v>
      </c>
      <c r="O32" s="8" t="s">
        <v>58</v>
      </c>
      <c r="P32" s="8" t="s">
        <v>59</v>
      </c>
      <c r="Q32" s="8" t="s">
        <v>60</v>
      </c>
      <c r="R32" s="8" t="s">
        <v>61</v>
      </c>
    </row>
    <row r="33" ht="41.75" hidden="0" outlineLevel="0" collapsed="0">
      <c r="A33" s="8" t="s">
        <v>136</v>
      </c>
      <c r="B33" s="8" t="s">
        <v>46</v>
      </c>
      <c r="C33" s="8" t="s">
        <v>129</v>
      </c>
      <c r="D33" s="9">
        <v>3236</v>
      </c>
      <c r="E33" s="8" t="s">
        <v>48</v>
      </c>
      <c r="F33" s="8" t="s">
        <v>75</v>
      </c>
      <c r="G33" s="8" t="s">
        <v>50</v>
      </c>
      <c r="H33" s="8" t="s">
        <v>130</v>
      </c>
      <c r="I33" s="8" t="s">
        <v>52</v>
      </c>
      <c r="J33" s="8" t="s">
        <v>70</v>
      </c>
      <c r="K33" s="8" t="s">
        <v>71</v>
      </c>
      <c r="L33" s="8" t="s">
        <v>137</v>
      </c>
      <c r="M33" s="8" t="s">
        <v>56</v>
      </c>
      <c r="N33" s="8" t="s">
        <v>73</v>
      </c>
      <c r="O33" s="8" t="s">
        <v>58</v>
      </c>
      <c r="P33" s="8" t="s">
        <v>59</v>
      </c>
      <c r="Q33" s="8" t="s">
        <v>60</v>
      </c>
      <c r="R33" s="8" t="s">
        <v>61</v>
      </c>
    </row>
    <row r="34" ht="41.75" hidden="0" outlineLevel="0" collapsed="0">
      <c r="A34" s="8" t="s">
        <v>138</v>
      </c>
      <c r="B34" s="8" t="s">
        <v>46</v>
      </c>
      <c r="C34" s="8" t="s">
        <v>129</v>
      </c>
      <c r="D34" s="9">
        <v>6042</v>
      </c>
      <c r="E34" s="8" t="s">
        <v>48</v>
      </c>
      <c r="F34" s="8" t="s">
        <v>78</v>
      </c>
      <c r="G34" s="8" t="s">
        <v>50</v>
      </c>
      <c r="H34" s="8" t="s">
        <v>130</v>
      </c>
      <c r="I34" s="8" t="s">
        <v>52</v>
      </c>
      <c r="J34" s="8" t="s">
        <v>70</v>
      </c>
      <c r="K34" s="8" t="s">
        <v>71</v>
      </c>
      <c r="L34" s="8" t="s">
        <v>139</v>
      </c>
      <c r="M34" s="8" t="s">
        <v>56</v>
      </c>
      <c r="N34" s="8" t="s">
        <v>73</v>
      </c>
      <c r="O34" s="8" t="s">
        <v>58</v>
      </c>
      <c r="P34" s="8" t="s">
        <v>59</v>
      </c>
      <c r="Q34" s="8" t="s">
        <v>60</v>
      </c>
      <c r="R34" s="8" t="s">
        <v>61</v>
      </c>
    </row>
    <row r="35" ht="41.75" hidden="0" outlineLevel="0" collapsed="0">
      <c r="A35" s="8" t="s">
        <v>140</v>
      </c>
      <c r="B35" s="8" t="s">
        <v>46</v>
      </c>
      <c r="C35" s="8" t="s">
        <v>141</v>
      </c>
      <c r="D35" s="9">
        <v>5268</v>
      </c>
      <c r="E35" s="8" t="s">
        <v>48</v>
      </c>
      <c r="F35" s="8" t="s">
        <v>49</v>
      </c>
      <c r="G35" s="8" t="s">
        <v>50</v>
      </c>
      <c r="H35" s="8" t="s">
        <v>142</v>
      </c>
      <c r="I35" s="8" t="s">
        <v>52</v>
      </c>
      <c r="J35" s="8" t="s">
        <v>53</v>
      </c>
      <c r="K35" s="8" t="s">
        <v>54</v>
      </c>
      <c r="L35" s="8" t="s">
        <v>143</v>
      </c>
      <c r="M35" s="8" t="s">
        <v>56</v>
      </c>
      <c r="N35" s="8" t="s">
        <v>57</v>
      </c>
      <c r="O35" s="8" t="s">
        <v>58</v>
      </c>
      <c r="P35" s="8" t="s">
        <v>59</v>
      </c>
      <c r="Q35" s="8" t="s">
        <v>60</v>
      </c>
      <c r="R35" s="8" t="s">
        <v>61</v>
      </c>
    </row>
    <row r="36" ht="41.75" hidden="0" outlineLevel="0" collapsed="0">
      <c r="A36" s="8" t="s">
        <v>144</v>
      </c>
      <c r="B36" s="8" t="s">
        <v>46</v>
      </c>
      <c r="C36" s="8" t="s">
        <v>141</v>
      </c>
      <c r="D36" s="9">
        <v>7339</v>
      </c>
      <c r="E36" s="8" t="s">
        <v>48</v>
      </c>
      <c r="F36" s="8" t="s">
        <v>63</v>
      </c>
      <c r="G36" s="8" t="s">
        <v>50</v>
      </c>
      <c r="H36" s="8" t="s">
        <v>142</v>
      </c>
      <c r="I36" s="8" t="s">
        <v>52</v>
      </c>
      <c r="J36" s="8" t="s">
        <v>64</v>
      </c>
      <c r="K36" s="8" t="s">
        <v>65</v>
      </c>
      <c r="L36" s="8" t="s">
        <v>145</v>
      </c>
      <c r="M36" s="8" t="s">
        <v>56</v>
      </c>
      <c r="N36" s="8" t="s">
        <v>67</v>
      </c>
      <c r="O36" s="8" t="s">
        <v>58</v>
      </c>
      <c r="P36" s="8" t="s">
        <v>59</v>
      </c>
      <c r="Q36" s="8" t="s">
        <v>60</v>
      </c>
      <c r="R36" s="8" t="s">
        <v>61</v>
      </c>
    </row>
    <row r="37" ht="41.75" hidden="0" outlineLevel="0" collapsed="0">
      <c r="A37" s="8" t="s">
        <v>146</v>
      </c>
      <c r="B37" s="8" t="s">
        <v>46</v>
      </c>
      <c r="C37" s="8" t="s">
        <v>141</v>
      </c>
      <c r="D37" s="9">
        <v>8675</v>
      </c>
      <c r="E37" s="8" t="s">
        <v>48</v>
      </c>
      <c r="F37" s="8" t="s">
        <v>69</v>
      </c>
      <c r="G37" s="8" t="s">
        <v>50</v>
      </c>
      <c r="H37" s="8" t="s">
        <v>142</v>
      </c>
      <c r="I37" s="8" t="s">
        <v>52</v>
      </c>
      <c r="J37" s="8" t="s">
        <v>70</v>
      </c>
      <c r="K37" s="8" t="s">
        <v>71</v>
      </c>
      <c r="L37" s="8" t="s">
        <v>147</v>
      </c>
      <c r="M37" s="8" t="s">
        <v>56</v>
      </c>
      <c r="N37" s="8" t="s">
        <v>73</v>
      </c>
      <c r="O37" s="8" t="s">
        <v>58</v>
      </c>
      <c r="P37" s="8" t="s">
        <v>59</v>
      </c>
      <c r="Q37" s="8" t="s">
        <v>60</v>
      </c>
      <c r="R37" s="8" t="s">
        <v>61</v>
      </c>
    </row>
    <row r="38" ht="41.75" hidden="0" outlineLevel="0" collapsed="0">
      <c r="A38" s="8" t="s">
        <v>148</v>
      </c>
      <c r="B38" s="8" t="s">
        <v>46</v>
      </c>
      <c r="C38" s="8" t="s">
        <v>141</v>
      </c>
      <c r="D38" s="9">
        <v>12914</v>
      </c>
      <c r="E38" s="8" t="s">
        <v>48</v>
      </c>
      <c r="F38" s="8" t="s">
        <v>75</v>
      </c>
      <c r="G38" s="8" t="s">
        <v>50</v>
      </c>
      <c r="H38" s="8" t="s">
        <v>142</v>
      </c>
      <c r="I38" s="8" t="s">
        <v>52</v>
      </c>
      <c r="J38" s="8" t="s">
        <v>70</v>
      </c>
      <c r="K38" s="8" t="s">
        <v>71</v>
      </c>
      <c r="L38" s="8" t="s">
        <v>149</v>
      </c>
      <c r="M38" s="8" t="s">
        <v>56</v>
      </c>
      <c r="N38" s="8" t="s">
        <v>73</v>
      </c>
      <c r="O38" s="8" t="s">
        <v>58</v>
      </c>
      <c r="P38" s="8" t="s">
        <v>59</v>
      </c>
      <c r="Q38" s="8" t="s">
        <v>60</v>
      </c>
      <c r="R38" s="8" t="s">
        <v>61</v>
      </c>
    </row>
    <row r="39" ht="41.75" hidden="0" outlineLevel="0" collapsed="0">
      <c r="A39" s="8" t="s">
        <v>150</v>
      </c>
      <c r="B39" s="8" t="s">
        <v>46</v>
      </c>
      <c r="C39" s="8" t="s">
        <v>141</v>
      </c>
      <c r="D39" s="9">
        <v>18497</v>
      </c>
      <c r="E39" s="8" t="s">
        <v>48</v>
      </c>
      <c r="F39" s="8" t="s">
        <v>78</v>
      </c>
      <c r="G39" s="8" t="s">
        <v>50</v>
      </c>
      <c r="H39" s="8" t="s">
        <v>142</v>
      </c>
      <c r="I39" s="8" t="s">
        <v>52</v>
      </c>
      <c r="J39" s="8" t="s">
        <v>70</v>
      </c>
      <c r="K39" s="8" t="s">
        <v>71</v>
      </c>
      <c r="L39" s="8" t="s">
        <v>151</v>
      </c>
      <c r="M39" s="8" t="s">
        <v>56</v>
      </c>
      <c r="N39" s="8" t="s">
        <v>73</v>
      </c>
      <c r="O39" s="8" t="s">
        <v>58</v>
      </c>
      <c r="P39" s="8" t="s">
        <v>59</v>
      </c>
      <c r="Q39" s="8" t="s">
        <v>60</v>
      </c>
      <c r="R39" s="8" t="s">
        <v>61</v>
      </c>
    </row>
    <row r="40" ht="28.35" hidden="0" outlineLevel="0" collapsed="0">
      <c r="A40" s="8" t="s">
        <v>152</v>
      </c>
      <c r="B40" s="8" t="s">
        <v>46</v>
      </c>
      <c r="C40" s="8" t="s">
        <v>153</v>
      </c>
      <c r="D40" s="9">
        <v>44187</v>
      </c>
      <c r="E40" s="8" t="s">
        <v>48</v>
      </c>
      <c r="F40" s="8" t="s">
        <v>49</v>
      </c>
      <c r="G40" s="8" t="s">
        <v>50</v>
      </c>
      <c r="H40" s="8" t="s">
        <v>154</v>
      </c>
      <c r="I40" s="8" t="s">
        <v>52</v>
      </c>
      <c r="J40" s="8" t="s">
        <v>155</v>
      </c>
      <c r="K40" s="8" t="s">
        <v>156</v>
      </c>
      <c r="L40" s="8" t="s">
        <v>157</v>
      </c>
      <c r="M40" s="8" t="s">
        <v>56</v>
      </c>
      <c r="N40" s="8" t="s">
        <v>158</v>
      </c>
      <c r="O40" s="8" t="s">
        <v>58</v>
      </c>
      <c r="P40" s="8" t="s">
        <v>59</v>
      </c>
      <c r="Q40" s="8" t="s">
        <v>60</v>
      </c>
      <c r="R40" s="8" t="s">
        <v>61</v>
      </c>
    </row>
    <row r="41" ht="28.35" hidden="0" outlineLevel="0" collapsed="0">
      <c r="A41" s="8" t="s">
        <v>159</v>
      </c>
      <c r="B41" s="8" t="s">
        <v>46</v>
      </c>
      <c r="C41" s="8" t="s">
        <v>153</v>
      </c>
      <c r="D41" s="9">
        <v>41182</v>
      </c>
      <c r="E41" s="8" t="s">
        <v>48</v>
      </c>
      <c r="F41" s="8" t="s">
        <v>63</v>
      </c>
      <c r="G41" s="8" t="s">
        <v>50</v>
      </c>
      <c r="H41" s="8" t="s">
        <v>154</v>
      </c>
      <c r="I41" s="8" t="s">
        <v>52</v>
      </c>
      <c r="J41" s="8" t="s">
        <v>53</v>
      </c>
      <c r="K41" s="8" t="s">
        <v>54</v>
      </c>
      <c r="L41" s="8" t="s">
        <v>160</v>
      </c>
      <c r="M41" s="8" t="s">
        <v>56</v>
      </c>
      <c r="N41" s="8" t="s">
        <v>57</v>
      </c>
      <c r="O41" s="8" t="s">
        <v>58</v>
      </c>
      <c r="P41" s="8" t="s">
        <v>59</v>
      </c>
      <c r="Q41" s="8" t="s">
        <v>60</v>
      </c>
      <c r="R41" s="8" t="s">
        <v>61</v>
      </c>
    </row>
    <row r="42" ht="28.35" hidden="0" outlineLevel="0" collapsed="0">
      <c r="A42" s="8" t="s">
        <v>161</v>
      </c>
      <c r="B42" s="8" t="s">
        <v>46</v>
      </c>
      <c r="C42" s="8" t="s">
        <v>153</v>
      </c>
      <c r="D42" s="9">
        <v>65728</v>
      </c>
      <c r="E42" s="8" t="s">
        <v>48</v>
      </c>
      <c r="F42" s="8" t="s">
        <v>69</v>
      </c>
      <c r="G42" s="8" t="s">
        <v>50</v>
      </c>
      <c r="H42" s="8" t="s">
        <v>154</v>
      </c>
      <c r="I42" s="8" t="s">
        <v>52</v>
      </c>
      <c r="J42" s="8" t="s">
        <v>64</v>
      </c>
      <c r="K42" s="8" t="s">
        <v>65</v>
      </c>
      <c r="L42" s="8" t="s">
        <v>162</v>
      </c>
      <c r="M42" s="8" t="s">
        <v>56</v>
      </c>
      <c r="N42" s="8" t="s">
        <v>67</v>
      </c>
      <c r="O42" s="8" t="s">
        <v>58</v>
      </c>
      <c r="P42" s="8" t="s">
        <v>59</v>
      </c>
      <c r="Q42" s="8" t="s">
        <v>60</v>
      </c>
      <c r="R42" s="8" t="s">
        <v>61</v>
      </c>
    </row>
    <row r="43" ht="28.35" hidden="0" outlineLevel="0" collapsed="0">
      <c r="A43" s="8" t="s">
        <v>163</v>
      </c>
      <c r="B43" s="8" t="s">
        <v>46</v>
      </c>
      <c r="C43" s="8" t="s">
        <v>153</v>
      </c>
      <c r="D43" s="9">
        <v>111601</v>
      </c>
      <c r="E43" s="8" t="s">
        <v>48</v>
      </c>
      <c r="F43" s="8" t="s">
        <v>75</v>
      </c>
      <c r="G43" s="8" t="s">
        <v>50</v>
      </c>
      <c r="H43" s="8" t="s">
        <v>154</v>
      </c>
      <c r="I43" s="8" t="s">
        <v>52</v>
      </c>
      <c r="J43" s="8" t="s">
        <v>70</v>
      </c>
      <c r="K43" s="8" t="s">
        <v>71</v>
      </c>
      <c r="L43" s="8" t="s">
        <v>164</v>
      </c>
      <c r="M43" s="8" t="s">
        <v>56</v>
      </c>
      <c r="N43" s="8" t="s">
        <v>73</v>
      </c>
      <c r="O43" s="8" t="s">
        <v>58</v>
      </c>
      <c r="P43" s="8" t="s">
        <v>59</v>
      </c>
      <c r="Q43" s="8" t="s">
        <v>60</v>
      </c>
      <c r="R43" s="8" t="s">
        <v>61</v>
      </c>
    </row>
    <row r="44" ht="28.35" hidden="0" outlineLevel="0" collapsed="0">
      <c r="A44" s="8" t="s">
        <v>165</v>
      </c>
      <c r="B44" s="8" t="s">
        <v>46</v>
      </c>
      <c r="C44" s="8" t="s">
        <v>153</v>
      </c>
      <c r="D44" s="9">
        <v>206803</v>
      </c>
      <c r="E44" s="8" t="s">
        <v>48</v>
      </c>
      <c r="F44" s="8" t="s">
        <v>78</v>
      </c>
      <c r="G44" s="8" t="s">
        <v>50</v>
      </c>
      <c r="H44" s="8" t="s">
        <v>154</v>
      </c>
      <c r="I44" s="8" t="s">
        <v>52</v>
      </c>
      <c r="J44" s="8" t="s">
        <v>70</v>
      </c>
      <c r="K44" s="8" t="s">
        <v>71</v>
      </c>
      <c r="L44" s="8" t="s">
        <v>166</v>
      </c>
      <c r="M44" s="8" t="s">
        <v>56</v>
      </c>
      <c r="N44" s="8" t="s">
        <v>73</v>
      </c>
      <c r="O44" s="8" t="s">
        <v>58</v>
      </c>
      <c r="P44" s="8" t="s">
        <v>59</v>
      </c>
      <c r="Q44" s="8" t="s">
        <v>60</v>
      </c>
      <c r="R44" s="8" t="s">
        <v>61</v>
      </c>
    </row>
    <row r="45" ht="28.35" hidden="0" outlineLevel="0" collapsed="0">
      <c r="A45" s="8" t="s">
        <v>167</v>
      </c>
      <c r="B45" s="8" t="s">
        <v>46</v>
      </c>
      <c r="C45" s="8" t="s">
        <v>168</v>
      </c>
      <c r="D45" s="9">
        <v>17575</v>
      </c>
      <c r="E45" s="8" t="s">
        <v>48</v>
      </c>
      <c r="F45" s="8" t="s">
        <v>49</v>
      </c>
      <c r="G45" s="8" t="s">
        <v>50</v>
      </c>
      <c r="H45" s="8" t="s">
        <v>169</v>
      </c>
      <c r="I45" s="8" t="s">
        <v>52</v>
      </c>
      <c r="J45" s="8" t="s">
        <v>155</v>
      </c>
      <c r="K45" s="8" t="s">
        <v>156</v>
      </c>
      <c r="L45" s="8" t="s">
        <v>170</v>
      </c>
      <c r="M45" s="8" t="s">
        <v>56</v>
      </c>
      <c r="N45" s="8" t="s">
        <v>158</v>
      </c>
      <c r="O45" s="8" t="s">
        <v>58</v>
      </c>
      <c r="P45" s="8" t="s">
        <v>59</v>
      </c>
      <c r="Q45" s="8" t="s">
        <v>60</v>
      </c>
      <c r="R45" s="8" t="s">
        <v>61</v>
      </c>
    </row>
    <row r="46" ht="28.35" hidden="0" outlineLevel="0" collapsed="0">
      <c r="A46" s="8" t="s">
        <v>171</v>
      </c>
      <c r="B46" s="8" t="s">
        <v>46</v>
      </c>
      <c r="C46" s="8" t="s">
        <v>168</v>
      </c>
      <c r="D46" s="9">
        <v>19081</v>
      </c>
      <c r="E46" s="8" t="s">
        <v>48</v>
      </c>
      <c r="F46" s="8" t="s">
        <v>63</v>
      </c>
      <c r="G46" s="8" t="s">
        <v>50</v>
      </c>
      <c r="H46" s="8" t="s">
        <v>169</v>
      </c>
      <c r="I46" s="8" t="s">
        <v>52</v>
      </c>
      <c r="J46" s="8" t="s">
        <v>53</v>
      </c>
      <c r="K46" s="8" t="s">
        <v>54</v>
      </c>
      <c r="L46" s="8" t="s">
        <v>172</v>
      </c>
      <c r="M46" s="8" t="s">
        <v>56</v>
      </c>
      <c r="N46" s="8" t="s">
        <v>57</v>
      </c>
      <c r="O46" s="8" t="s">
        <v>58</v>
      </c>
      <c r="P46" s="8" t="s">
        <v>59</v>
      </c>
      <c r="Q46" s="8" t="s">
        <v>60</v>
      </c>
      <c r="R46" s="8" t="s">
        <v>61</v>
      </c>
    </row>
    <row r="47" ht="28.35" hidden="0" outlineLevel="0" collapsed="0">
      <c r="A47" s="8" t="s">
        <v>173</v>
      </c>
      <c r="B47" s="8" t="s">
        <v>46</v>
      </c>
      <c r="C47" s="8" t="s">
        <v>168</v>
      </c>
      <c r="D47" s="9">
        <v>22750</v>
      </c>
      <c r="E47" s="8" t="s">
        <v>48</v>
      </c>
      <c r="F47" s="8" t="s">
        <v>69</v>
      </c>
      <c r="G47" s="8" t="s">
        <v>50</v>
      </c>
      <c r="H47" s="8" t="s">
        <v>169</v>
      </c>
      <c r="I47" s="8" t="s">
        <v>52</v>
      </c>
      <c r="J47" s="8" t="s">
        <v>64</v>
      </c>
      <c r="K47" s="8" t="s">
        <v>65</v>
      </c>
      <c r="L47" s="8" t="s">
        <v>174</v>
      </c>
      <c r="M47" s="8" t="s">
        <v>56</v>
      </c>
      <c r="N47" s="8" t="s">
        <v>67</v>
      </c>
      <c r="O47" s="8" t="s">
        <v>58</v>
      </c>
      <c r="P47" s="8" t="s">
        <v>59</v>
      </c>
      <c r="Q47" s="8" t="s">
        <v>60</v>
      </c>
      <c r="R47" s="8" t="s">
        <v>61</v>
      </c>
    </row>
    <row r="48" ht="28.35" hidden="0" outlineLevel="0" collapsed="0">
      <c r="A48" s="8" t="s">
        <v>175</v>
      </c>
      <c r="B48" s="8" t="s">
        <v>46</v>
      </c>
      <c r="C48" s="8" t="s">
        <v>168</v>
      </c>
      <c r="D48" s="9">
        <v>32274</v>
      </c>
      <c r="E48" s="8" t="s">
        <v>48</v>
      </c>
      <c r="F48" s="8" t="s">
        <v>75</v>
      </c>
      <c r="G48" s="8" t="s">
        <v>50</v>
      </c>
      <c r="H48" s="8" t="s">
        <v>169</v>
      </c>
      <c r="I48" s="8" t="s">
        <v>52</v>
      </c>
      <c r="J48" s="8" t="s">
        <v>70</v>
      </c>
      <c r="K48" s="8" t="s">
        <v>71</v>
      </c>
      <c r="L48" s="8" t="s">
        <v>176</v>
      </c>
      <c r="M48" s="8" t="s">
        <v>56</v>
      </c>
      <c r="N48" s="8" t="s">
        <v>73</v>
      </c>
      <c r="O48" s="8" t="s">
        <v>58</v>
      </c>
      <c r="P48" s="8" t="s">
        <v>59</v>
      </c>
      <c r="Q48" s="8" t="s">
        <v>60</v>
      </c>
      <c r="R48" s="8" t="s">
        <v>61</v>
      </c>
    </row>
    <row r="49" ht="28.35" hidden="0" outlineLevel="0" collapsed="0">
      <c r="A49" s="8" t="s">
        <v>177</v>
      </c>
      <c r="B49" s="8" t="s">
        <v>46</v>
      </c>
      <c r="C49" s="8" t="s">
        <v>168</v>
      </c>
      <c r="D49" s="9">
        <v>49510</v>
      </c>
      <c r="E49" s="8" t="s">
        <v>48</v>
      </c>
      <c r="F49" s="8" t="s">
        <v>78</v>
      </c>
      <c r="G49" s="8" t="s">
        <v>50</v>
      </c>
      <c r="H49" s="8" t="s">
        <v>169</v>
      </c>
      <c r="I49" s="8" t="s">
        <v>52</v>
      </c>
      <c r="J49" s="8" t="s">
        <v>70</v>
      </c>
      <c r="K49" s="8" t="s">
        <v>71</v>
      </c>
      <c r="L49" s="8" t="s">
        <v>178</v>
      </c>
      <c r="M49" s="8" t="s">
        <v>56</v>
      </c>
      <c r="N49" s="8" t="s">
        <v>73</v>
      </c>
      <c r="O49" s="8" t="s">
        <v>58</v>
      </c>
      <c r="P49" s="8" t="s">
        <v>59</v>
      </c>
      <c r="Q49" s="8" t="s">
        <v>60</v>
      </c>
      <c r="R49" s="8" t="s">
        <v>61</v>
      </c>
    </row>
    <row r="50" ht="28.35" hidden="0" outlineLevel="0" collapsed="0">
      <c r="A50" s="8" t="s">
        <v>179</v>
      </c>
      <c r="B50" s="8" t="s">
        <v>46</v>
      </c>
      <c r="C50" s="8" t="s">
        <v>180</v>
      </c>
      <c r="D50" s="9">
        <v>26612</v>
      </c>
      <c r="E50" s="8" t="s">
        <v>48</v>
      </c>
      <c r="F50" s="8" t="s">
        <v>49</v>
      </c>
      <c r="G50" s="8" t="s">
        <v>50</v>
      </c>
      <c r="H50" s="8" t="s">
        <v>181</v>
      </c>
      <c r="I50" s="8" t="s">
        <v>52</v>
      </c>
      <c r="J50" s="8" t="s">
        <v>64</v>
      </c>
      <c r="K50" s="8" t="s">
        <v>65</v>
      </c>
      <c r="L50" s="8" t="s">
        <v>182</v>
      </c>
      <c r="M50" s="8" t="s">
        <v>56</v>
      </c>
      <c r="N50" s="8" t="s">
        <v>67</v>
      </c>
      <c r="O50" s="8" t="s">
        <v>58</v>
      </c>
      <c r="P50" s="8" t="s">
        <v>59</v>
      </c>
      <c r="Q50" s="8" t="s">
        <v>60</v>
      </c>
      <c r="R50" s="8" t="s">
        <v>61</v>
      </c>
    </row>
    <row r="51" ht="28.35" hidden="0" outlineLevel="0" collapsed="0">
      <c r="A51" s="8" t="s">
        <v>183</v>
      </c>
      <c r="B51" s="8" t="s">
        <v>46</v>
      </c>
      <c r="C51" s="8" t="s">
        <v>180</v>
      </c>
      <c r="D51" s="9">
        <v>22101</v>
      </c>
      <c r="E51" s="8" t="s">
        <v>48</v>
      </c>
      <c r="F51" s="8" t="s">
        <v>63</v>
      </c>
      <c r="G51" s="8" t="s">
        <v>50</v>
      </c>
      <c r="H51" s="8" t="s">
        <v>181</v>
      </c>
      <c r="I51" s="8" t="s">
        <v>52</v>
      </c>
      <c r="J51" s="8" t="s">
        <v>70</v>
      </c>
      <c r="K51" s="8" t="s">
        <v>71</v>
      </c>
      <c r="L51" s="8" t="s">
        <v>184</v>
      </c>
      <c r="M51" s="8" t="s">
        <v>56</v>
      </c>
      <c r="N51" s="8" t="s">
        <v>73</v>
      </c>
      <c r="O51" s="8" t="s">
        <v>58</v>
      </c>
      <c r="P51" s="8" t="s">
        <v>59</v>
      </c>
      <c r="Q51" s="8" t="s">
        <v>60</v>
      </c>
      <c r="R51" s="8" t="s">
        <v>61</v>
      </c>
    </row>
    <row r="52" ht="28.35" hidden="0" outlineLevel="0" collapsed="0">
      <c r="A52" s="8" t="s">
        <v>185</v>
      </c>
      <c r="B52" s="8" t="s">
        <v>46</v>
      </c>
      <c r="C52" s="8" t="s">
        <v>180</v>
      </c>
      <c r="D52" s="9">
        <v>42978</v>
      </c>
      <c r="E52" s="8" t="s">
        <v>48</v>
      </c>
      <c r="F52" s="8" t="s">
        <v>69</v>
      </c>
      <c r="G52" s="8" t="s">
        <v>50</v>
      </c>
      <c r="H52" s="8" t="s">
        <v>181</v>
      </c>
      <c r="I52" s="8" t="s">
        <v>52</v>
      </c>
      <c r="J52" s="8" t="s">
        <v>70</v>
      </c>
      <c r="K52" s="8" t="s">
        <v>71</v>
      </c>
      <c r="L52" s="8" t="s">
        <v>186</v>
      </c>
      <c r="M52" s="8" t="s">
        <v>56</v>
      </c>
      <c r="N52" s="8" t="s">
        <v>73</v>
      </c>
      <c r="O52" s="8" t="s">
        <v>58</v>
      </c>
      <c r="P52" s="8" t="s">
        <v>59</v>
      </c>
      <c r="Q52" s="8" t="s">
        <v>60</v>
      </c>
      <c r="R52" s="8" t="s">
        <v>61</v>
      </c>
    </row>
    <row r="53" ht="28.35" hidden="0" outlineLevel="0" collapsed="0">
      <c r="A53" s="8" t="s">
        <v>187</v>
      </c>
      <c r="B53" s="8" t="s">
        <v>46</v>
      </c>
      <c r="C53" s="8" t="s">
        <v>180</v>
      </c>
      <c r="D53" s="9">
        <v>79327</v>
      </c>
      <c r="E53" s="8" t="s">
        <v>48</v>
      </c>
      <c r="F53" s="8" t="s">
        <v>75</v>
      </c>
      <c r="G53" s="8" t="s">
        <v>50</v>
      </c>
      <c r="H53" s="8" t="s">
        <v>181</v>
      </c>
      <c r="I53" s="8" t="s">
        <v>52</v>
      </c>
      <c r="J53" s="8" t="s">
        <v>70</v>
      </c>
      <c r="K53" s="8" t="s">
        <v>71</v>
      </c>
      <c r="L53" s="8" t="s">
        <v>188</v>
      </c>
      <c r="M53" s="8" t="s">
        <v>56</v>
      </c>
      <c r="N53" s="8" t="s">
        <v>73</v>
      </c>
      <c r="O53" s="8" t="s">
        <v>58</v>
      </c>
      <c r="P53" s="8" t="s">
        <v>59</v>
      </c>
      <c r="Q53" s="8" t="s">
        <v>60</v>
      </c>
      <c r="R53" s="8" t="s">
        <v>61</v>
      </c>
    </row>
    <row r="54" ht="28.35" hidden="0" outlineLevel="0" collapsed="0">
      <c r="A54" s="8" t="s">
        <v>189</v>
      </c>
      <c r="B54" s="8" t="s">
        <v>46</v>
      </c>
      <c r="C54" s="8" t="s">
        <v>180</v>
      </c>
      <c r="D54" s="9">
        <v>157293</v>
      </c>
      <c r="E54" s="8" t="s">
        <v>48</v>
      </c>
      <c r="F54" s="8" t="s">
        <v>78</v>
      </c>
      <c r="G54" s="8" t="s">
        <v>50</v>
      </c>
      <c r="H54" s="8" t="s">
        <v>181</v>
      </c>
      <c r="I54" s="8" t="s">
        <v>52</v>
      </c>
      <c r="J54" s="8" t="s">
        <v>70</v>
      </c>
      <c r="K54" s="8" t="s">
        <v>71</v>
      </c>
      <c r="L54" s="8" t="s">
        <v>190</v>
      </c>
      <c r="M54" s="8" t="s">
        <v>56</v>
      </c>
      <c r="N54" s="8" t="s">
        <v>73</v>
      </c>
      <c r="O54" s="8" t="s">
        <v>58</v>
      </c>
      <c r="P54" s="8" t="s">
        <v>59</v>
      </c>
      <c r="Q54" s="8" t="s">
        <v>60</v>
      </c>
      <c r="R54" s="8" t="s">
        <v>61</v>
      </c>
    </row>
    <row r="55" ht="28.35" hidden="0" outlineLevel="0" collapsed="0">
      <c r="A55" s="8" t="s">
        <v>191</v>
      </c>
      <c r="B55" s="8" t="s">
        <v>46</v>
      </c>
      <c r="C55" s="8" t="s">
        <v>192</v>
      </c>
      <c r="D55" s="9">
        <v>10946</v>
      </c>
      <c r="E55" s="8" t="s">
        <v>48</v>
      </c>
      <c r="F55" s="8" t="s">
        <v>49</v>
      </c>
      <c r="G55" s="8" t="s">
        <v>50</v>
      </c>
      <c r="H55" s="8" t="s">
        <v>193</v>
      </c>
      <c r="I55" s="8" t="s">
        <v>52</v>
      </c>
      <c r="J55" s="8" t="s">
        <v>155</v>
      </c>
      <c r="K55" s="8" t="s">
        <v>156</v>
      </c>
      <c r="L55" s="8" t="s">
        <v>194</v>
      </c>
      <c r="M55" s="8" t="s">
        <v>56</v>
      </c>
      <c r="N55" s="8" t="s">
        <v>158</v>
      </c>
      <c r="O55" s="8" t="s">
        <v>58</v>
      </c>
      <c r="P55" s="8" t="s">
        <v>59</v>
      </c>
      <c r="Q55" s="8" t="s">
        <v>60</v>
      </c>
      <c r="R55" s="8" t="s">
        <v>61</v>
      </c>
    </row>
    <row r="56" ht="28.35" hidden="0" outlineLevel="0" collapsed="0">
      <c r="A56" s="8" t="s">
        <v>195</v>
      </c>
      <c r="B56" s="8" t="s">
        <v>46</v>
      </c>
      <c r="C56" s="8" t="s">
        <v>192</v>
      </c>
      <c r="D56" s="9">
        <v>10953</v>
      </c>
      <c r="E56" s="8" t="s">
        <v>48</v>
      </c>
      <c r="F56" s="8" t="s">
        <v>63</v>
      </c>
      <c r="G56" s="8" t="s">
        <v>50</v>
      </c>
      <c r="H56" s="8" t="s">
        <v>193</v>
      </c>
      <c r="I56" s="8" t="s">
        <v>52</v>
      </c>
      <c r="J56" s="8" t="s">
        <v>53</v>
      </c>
      <c r="K56" s="8" t="s">
        <v>54</v>
      </c>
      <c r="L56" s="8" t="s">
        <v>196</v>
      </c>
      <c r="M56" s="8" t="s">
        <v>56</v>
      </c>
      <c r="N56" s="8" t="s">
        <v>57</v>
      </c>
      <c r="O56" s="8" t="s">
        <v>58</v>
      </c>
      <c r="P56" s="8" t="s">
        <v>59</v>
      </c>
      <c r="Q56" s="8" t="s">
        <v>60</v>
      </c>
      <c r="R56" s="8" t="s">
        <v>61</v>
      </c>
    </row>
    <row r="57" ht="28.35" hidden="0" outlineLevel="0" collapsed="0">
      <c r="A57" s="8" t="s">
        <v>197</v>
      </c>
      <c r="B57" s="8" t="s">
        <v>46</v>
      </c>
      <c r="C57" s="8" t="s">
        <v>192</v>
      </c>
      <c r="D57" s="9">
        <v>9709</v>
      </c>
      <c r="E57" s="8" t="s">
        <v>48</v>
      </c>
      <c r="F57" s="8" t="s">
        <v>69</v>
      </c>
      <c r="G57" s="8" t="s">
        <v>50</v>
      </c>
      <c r="H57" s="8" t="s">
        <v>193</v>
      </c>
      <c r="I57" s="8" t="s">
        <v>52</v>
      </c>
      <c r="J57" s="8" t="s">
        <v>64</v>
      </c>
      <c r="K57" s="8" t="s">
        <v>65</v>
      </c>
      <c r="L57" s="8" t="s">
        <v>198</v>
      </c>
      <c r="M57" s="8" t="s">
        <v>56</v>
      </c>
      <c r="N57" s="8" t="s">
        <v>67</v>
      </c>
      <c r="O57" s="8" t="s">
        <v>58</v>
      </c>
      <c r="P57" s="8" t="s">
        <v>59</v>
      </c>
      <c r="Q57" s="8" t="s">
        <v>60</v>
      </c>
      <c r="R57" s="8" t="s">
        <v>61</v>
      </c>
    </row>
    <row r="58" ht="28.35" hidden="0" outlineLevel="0" collapsed="0">
      <c r="A58" s="8" t="s">
        <v>199</v>
      </c>
      <c r="B58" s="8" t="s">
        <v>46</v>
      </c>
      <c r="C58" s="8" t="s">
        <v>192</v>
      </c>
      <c r="D58" s="9">
        <v>8463</v>
      </c>
      <c r="E58" s="8" t="s">
        <v>48</v>
      </c>
      <c r="F58" s="8" t="s">
        <v>75</v>
      </c>
      <c r="G58" s="8" t="s">
        <v>50</v>
      </c>
      <c r="H58" s="8" t="s">
        <v>193</v>
      </c>
      <c r="I58" s="8" t="s">
        <v>52</v>
      </c>
      <c r="J58" s="8" t="s">
        <v>70</v>
      </c>
      <c r="K58" s="8" t="s">
        <v>71</v>
      </c>
      <c r="L58" s="8" t="s">
        <v>200</v>
      </c>
      <c r="M58" s="8" t="s">
        <v>56</v>
      </c>
      <c r="N58" s="8" t="s">
        <v>73</v>
      </c>
      <c r="O58" s="8" t="s">
        <v>58</v>
      </c>
      <c r="P58" s="8" t="s">
        <v>59</v>
      </c>
      <c r="Q58" s="8" t="s">
        <v>60</v>
      </c>
      <c r="R58" s="8" t="s">
        <v>61</v>
      </c>
    </row>
    <row r="59" ht="28.35" hidden="0" outlineLevel="0" collapsed="0">
      <c r="A59" s="8" t="s">
        <v>201</v>
      </c>
      <c r="B59" s="8" t="s">
        <v>46</v>
      </c>
      <c r="C59" s="8" t="s">
        <v>192</v>
      </c>
      <c r="D59" s="9">
        <v>8468</v>
      </c>
      <c r="E59" s="8" t="s">
        <v>48</v>
      </c>
      <c r="F59" s="8" t="s">
        <v>78</v>
      </c>
      <c r="G59" s="8" t="s">
        <v>50</v>
      </c>
      <c r="H59" s="8" t="s">
        <v>193</v>
      </c>
      <c r="I59" s="8" t="s">
        <v>52</v>
      </c>
      <c r="J59" s="8" t="s">
        <v>70</v>
      </c>
      <c r="K59" s="8" t="s">
        <v>71</v>
      </c>
      <c r="L59" s="8" t="s">
        <v>202</v>
      </c>
      <c r="M59" s="8" t="s">
        <v>56</v>
      </c>
      <c r="N59" s="8" t="s">
        <v>73</v>
      </c>
      <c r="O59" s="8" t="s">
        <v>58</v>
      </c>
      <c r="P59" s="8" t="s">
        <v>59</v>
      </c>
      <c r="Q59" s="8" t="s">
        <v>60</v>
      </c>
      <c r="R59" s="8" t="s">
        <v>61</v>
      </c>
    </row>
    <row r="60" ht="41.75" hidden="0" outlineLevel="0" collapsed="0">
      <c r="A60" s="8" t="s">
        <v>203</v>
      </c>
      <c r="B60" s="8" t="s">
        <v>46</v>
      </c>
      <c r="C60" s="8" t="s">
        <v>204</v>
      </c>
      <c r="D60" s="9">
        <v>25350</v>
      </c>
      <c r="E60" s="8" t="s">
        <v>205</v>
      </c>
      <c r="F60" s="8" t="s">
        <v>49</v>
      </c>
      <c r="G60" s="8" t="s">
        <v>50</v>
      </c>
      <c r="H60" s="8" t="s">
        <v>206</v>
      </c>
      <c r="I60" s="8" t="s">
        <v>52</v>
      </c>
      <c r="J60" s="8" t="s">
        <v>53</v>
      </c>
      <c r="K60" s="8" t="s">
        <v>54</v>
      </c>
      <c r="L60" s="8" t="s">
        <v>207</v>
      </c>
      <c r="M60" s="8" t="s">
        <v>208</v>
      </c>
      <c r="N60" s="8" t="s">
        <v>57</v>
      </c>
      <c r="O60" s="8" t="s">
        <v>58</v>
      </c>
      <c r="P60" s="8" t="s">
        <v>59</v>
      </c>
      <c r="Q60" s="8" t="s">
        <v>60</v>
      </c>
      <c r="R60" s="8" t="s">
        <v>61</v>
      </c>
    </row>
    <row r="61" ht="41.75" hidden="0" outlineLevel="0" collapsed="0">
      <c r="A61" s="8" t="s">
        <v>209</v>
      </c>
      <c r="B61" s="8" t="s">
        <v>46</v>
      </c>
      <c r="C61" s="8" t="s">
        <v>204</v>
      </c>
      <c r="D61" s="9">
        <v>25070</v>
      </c>
      <c r="E61" s="8" t="s">
        <v>205</v>
      </c>
      <c r="F61" s="8" t="s">
        <v>63</v>
      </c>
      <c r="G61" s="8" t="s">
        <v>50</v>
      </c>
      <c r="H61" s="8" t="s">
        <v>206</v>
      </c>
      <c r="I61" s="8" t="s">
        <v>52</v>
      </c>
      <c r="J61" s="8" t="s">
        <v>64</v>
      </c>
      <c r="K61" s="8" t="s">
        <v>65</v>
      </c>
      <c r="L61" s="8" t="s">
        <v>210</v>
      </c>
      <c r="M61" s="8" t="s">
        <v>211</v>
      </c>
      <c r="N61" s="8" t="s">
        <v>67</v>
      </c>
      <c r="O61" s="8" t="s">
        <v>58</v>
      </c>
      <c r="P61" s="8" t="s">
        <v>59</v>
      </c>
      <c r="Q61" s="8" t="s">
        <v>60</v>
      </c>
      <c r="R61" s="8" t="s">
        <v>61</v>
      </c>
    </row>
    <row r="62" ht="41.75" hidden="0" outlineLevel="0" collapsed="0">
      <c r="A62" s="8" t="s">
        <v>212</v>
      </c>
      <c r="B62" s="8" t="s">
        <v>46</v>
      </c>
      <c r="C62" s="8" t="s">
        <v>204</v>
      </c>
      <c r="D62" s="9">
        <v>24940</v>
      </c>
      <c r="E62" s="8" t="s">
        <v>205</v>
      </c>
      <c r="F62" s="8" t="s">
        <v>69</v>
      </c>
      <c r="G62" s="8" t="s">
        <v>50</v>
      </c>
      <c r="H62" s="8" t="s">
        <v>206</v>
      </c>
      <c r="I62" s="8" t="s">
        <v>52</v>
      </c>
      <c r="J62" s="8" t="s">
        <v>70</v>
      </c>
      <c r="K62" s="8" t="s">
        <v>71</v>
      </c>
      <c r="L62" s="8" t="s">
        <v>213</v>
      </c>
      <c r="M62" s="8" t="s">
        <v>211</v>
      </c>
      <c r="N62" s="8" t="s">
        <v>73</v>
      </c>
      <c r="O62" s="8" t="s">
        <v>58</v>
      </c>
      <c r="P62" s="8" t="s">
        <v>59</v>
      </c>
      <c r="Q62" s="8" t="s">
        <v>60</v>
      </c>
      <c r="R62" s="8" t="s">
        <v>61</v>
      </c>
    </row>
    <row r="63" ht="41.75" hidden="0" outlineLevel="0" collapsed="0">
      <c r="A63" s="8" t="s">
        <v>214</v>
      </c>
      <c r="B63" s="8" t="s">
        <v>46</v>
      </c>
      <c r="C63" s="8" t="s">
        <v>204</v>
      </c>
      <c r="D63" s="9">
        <v>24804</v>
      </c>
      <c r="E63" s="8" t="s">
        <v>205</v>
      </c>
      <c r="F63" s="8" t="s">
        <v>75</v>
      </c>
      <c r="G63" s="8" t="s">
        <v>50</v>
      </c>
      <c r="H63" s="8" t="s">
        <v>206</v>
      </c>
      <c r="I63" s="8" t="s">
        <v>52</v>
      </c>
      <c r="J63" s="8" t="s">
        <v>70</v>
      </c>
      <c r="K63" s="8" t="s">
        <v>71</v>
      </c>
      <c r="L63" s="8" t="s">
        <v>215</v>
      </c>
      <c r="M63" s="8" t="s">
        <v>211</v>
      </c>
      <c r="N63" s="8" t="s">
        <v>73</v>
      </c>
      <c r="O63" s="8" t="s">
        <v>58</v>
      </c>
      <c r="P63" s="8" t="s">
        <v>59</v>
      </c>
      <c r="Q63" s="8" t="s">
        <v>60</v>
      </c>
      <c r="R63" s="8" t="s">
        <v>61</v>
      </c>
    </row>
    <row r="64" ht="41.75" hidden="0" outlineLevel="0" collapsed="0">
      <c r="A64" s="8" t="s">
        <v>216</v>
      </c>
      <c r="B64" s="8" t="s">
        <v>46</v>
      </c>
      <c r="C64" s="8" t="s">
        <v>204</v>
      </c>
      <c r="D64" s="9">
        <v>24514</v>
      </c>
      <c r="E64" s="8" t="s">
        <v>205</v>
      </c>
      <c r="F64" s="8" t="s">
        <v>78</v>
      </c>
      <c r="G64" s="8" t="s">
        <v>50</v>
      </c>
      <c r="H64" s="8" t="s">
        <v>206</v>
      </c>
      <c r="I64" s="8" t="s">
        <v>52</v>
      </c>
      <c r="J64" s="8" t="s">
        <v>70</v>
      </c>
      <c r="K64" s="8" t="s">
        <v>71</v>
      </c>
      <c r="L64" s="8" t="s">
        <v>217</v>
      </c>
      <c r="M64" s="8" t="s">
        <v>211</v>
      </c>
      <c r="N64" s="8" t="s">
        <v>73</v>
      </c>
      <c r="O64" s="8" t="s">
        <v>58</v>
      </c>
      <c r="P64" s="8" t="s">
        <v>59</v>
      </c>
      <c r="Q64" s="8" t="s">
        <v>60</v>
      </c>
      <c r="R64" s="8" t="s">
        <v>61</v>
      </c>
    </row>
    <row r="65" ht="28.35" hidden="0" outlineLevel="0" collapsed="0">
      <c r="A65" s="8" t="s">
        <v>218</v>
      </c>
      <c r="B65" s="8" t="s">
        <v>46</v>
      </c>
      <c r="C65" s="8" t="s">
        <v>219</v>
      </c>
      <c r="D65" s="9">
        <v>21208</v>
      </c>
      <c r="E65" s="8" t="s">
        <v>48</v>
      </c>
      <c r="F65" s="8" t="s">
        <v>49</v>
      </c>
      <c r="G65" s="8" t="s">
        <v>220</v>
      </c>
      <c r="H65" s="8" t="s">
        <v>221</v>
      </c>
      <c r="I65" s="8" t="s">
        <v>52</v>
      </c>
      <c r="J65" s="8" t="s">
        <v>222</v>
      </c>
      <c r="K65" s="8" t="s">
        <v>223</v>
      </c>
      <c r="L65" s="8" t="s">
        <v>224</v>
      </c>
      <c r="M65" s="8" t="s">
        <v>225</v>
      </c>
      <c r="N65" s="8" t="s">
        <v>226</v>
      </c>
      <c r="O65" s="8" t="s">
        <v>58</v>
      </c>
      <c r="P65" s="8" t="s">
        <v>59</v>
      </c>
      <c r="Q65" s="8" t="s">
        <v>60</v>
      </c>
      <c r="R65" s="8" t="s">
        <v>61</v>
      </c>
    </row>
    <row r="66" ht="28.35" hidden="0" outlineLevel="0" collapsed="0">
      <c r="A66" s="8" t="s">
        <v>227</v>
      </c>
      <c r="B66" s="8" t="s">
        <v>46</v>
      </c>
      <c r="C66" s="8" t="s">
        <v>219</v>
      </c>
      <c r="D66" s="9">
        <v>13296</v>
      </c>
      <c r="E66" s="8" t="s">
        <v>48</v>
      </c>
      <c r="F66" s="8" t="s">
        <v>63</v>
      </c>
      <c r="G66" s="8" t="s">
        <v>220</v>
      </c>
      <c r="H66" s="8" t="s">
        <v>221</v>
      </c>
      <c r="I66" s="8" t="s">
        <v>52</v>
      </c>
      <c r="J66" s="8" t="s">
        <v>155</v>
      </c>
      <c r="K66" s="8" t="s">
        <v>156</v>
      </c>
      <c r="L66" s="8" t="s">
        <v>228</v>
      </c>
      <c r="M66" s="8" t="s">
        <v>225</v>
      </c>
      <c r="N66" s="8" t="s">
        <v>158</v>
      </c>
      <c r="O66" s="8" t="s">
        <v>58</v>
      </c>
      <c r="P66" s="8" t="s">
        <v>59</v>
      </c>
      <c r="Q66" s="8" t="s">
        <v>60</v>
      </c>
      <c r="R66" s="8" t="s">
        <v>61</v>
      </c>
    </row>
    <row r="67" ht="28.35" hidden="0" outlineLevel="0" collapsed="0">
      <c r="A67" s="8" t="s">
        <v>229</v>
      </c>
      <c r="B67" s="8" t="s">
        <v>46</v>
      </c>
      <c r="C67" s="8" t="s">
        <v>219</v>
      </c>
      <c r="D67" s="9">
        <v>25984</v>
      </c>
      <c r="E67" s="8" t="s">
        <v>48</v>
      </c>
      <c r="F67" s="8" t="s">
        <v>69</v>
      </c>
      <c r="G67" s="8" t="s">
        <v>220</v>
      </c>
      <c r="H67" s="8" t="s">
        <v>221</v>
      </c>
      <c r="I67" s="8" t="s">
        <v>52</v>
      </c>
      <c r="J67" s="8" t="s">
        <v>53</v>
      </c>
      <c r="K67" s="8" t="s">
        <v>54</v>
      </c>
      <c r="L67" s="8" t="s">
        <v>230</v>
      </c>
      <c r="M67" s="8" t="s">
        <v>225</v>
      </c>
      <c r="N67" s="8" t="s">
        <v>57</v>
      </c>
      <c r="O67" s="8" t="s">
        <v>58</v>
      </c>
      <c r="P67" s="8" t="s">
        <v>59</v>
      </c>
      <c r="Q67" s="8" t="s">
        <v>60</v>
      </c>
      <c r="R67" s="8" t="s">
        <v>61</v>
      </c>
    </row>
    <row r="68" ht="28.35" hidden="0" outlineLevel="0" collapsed="0">
      <c r="A68" s="8" t="s">
        <v>231</v>
      </c>
      <c r="B68" s="8" t="s">
        <v>46</v>
      </c>
      <c r="C68" s="8" t="s">
        <v>219</v>
      </c>
      <c r="D68" s="9">
        <v>43210</v>
      </c>
      <c r="E68" s="8" t="s">
        <v>48</v>
      </c>
      <c r="F68" s="8" t="s">
        <v>75</v>
      </c>
      <c r="G68" s="8" t="s">
        <v>220</v>
      </c>
      <c r="H68" s="8" t="s">
        <v>221</v>
      </c>
      <c r="I68" s="8" t="s">
        <v>52</v>
      </c>
      <c r="J68" s="8" t="s">
        <v>64</v>
      </c>
      <c r="K68" s="8" t="s">
        <v>65</v>
      </c>
      <c r="L68" s="8" t="s">
        <v>232</v>
      </c>
      <c r="M68" s="8" t="s">
        <v>225</v>
      </c>
      <c r="N68" s="8" t="s">
        <v>67</v>
      </c>
      <c r="O68" s="8" t="s">
        <v>58</v>
      </c>
      <c r="P68" s="8" t="s">
        <v>59</v>
      </c>
      <c r="Q68" s="8" t="s">
        <v>60</v>
      </c>
      <c r="R68" s="8" t="s">
        <v>61</v>
      </c>
    </row>
    <row r="69" ht="28.35" hidden="0" outlineLevel="0" collapsed="0">
      <c r="A69" s="8" t="s">
        <v>233</v>
      </c>
      <c r="B69" s="8" t="s">
        <v>46</v>
      </c>
      <c r="C69" s="8" t="s">
        <v>219</v>
      </c>
      <c r="D69" s="9">
        <v>62556</v>
      </c>
      <c r="E69" s="8" t="s">
        <v>48</v>
      </c>
      <c r="F69" s="8" t="s">
        <v>78</v>
      </c>
      <c r="G69" s="8" t="s">
        <v>220</v>
      </c>
      <c r="H69" s="8" t="s">
        <v>221</v>
      </c>
      <c r="I69" s="8" t="s">
        <v>52</v>
      </c>
      <c r="J69" s="8" t="s">
        <v>70</v>
      </c>
      <c r="K69" s="8" t="s">
        <v>71</v>
      </c>
      <c r="L69" s="8" t="s">
        <v>234</v>
      </c>
      <c r="M69" s="8" t="s">
        <v>225</v>
      </c>
      <c r="N69" s="8" t="s">
        <v>73</v>
      </c>
      <c r="O69" s="8" t="s">
        <v>58</v>
      </c>
      <c r="P69" s="8" t="s">
        <v>59</v>
      </c>
      <c r="Q69" s="8" t="s">
        <v>60</v>
      </c>
      <c r="R69" s="8" t="s">
        <v>61</v>
      </c>
    </row>
    <row r="70" ht="28.35" hidden="0" outlineLevel="0" collapsed="0">
      <c r="A70" s="8" t="s">
        <v>235</v>
      </c>
      <c r="B70" s="8" t="s">
        <v>46</v>
      </c>
      <c r="C70" s="8" t="s">
        <v>236</v>
      </c>
      <c r="D70" s="9">
        <v>212.5</v>
      </c>
      <c r="E70" s="8" t="s">
        <v>237</v>
      </c>
      <c r="F70" s="8" t="s">
        <v>238</v>
      </c>
      <c r="G70" s="8" t="s">
        <v>239</v>
      </c>
      <c r="H70" s="8" t="s">
        <v>240</v>
      </c>
      <c r="I70" s="8" t="s">
        <v>241</v>
      </c>
      <c r="J70" s="8" t="s">
        <v>238</v>
      </c>
      <c r="K70" s="8" t="s">
        <v>242</v>
      </c>
      <c r="L70" s="8" t="s">
        <v>243</v>
      </c>
      <c r="M70" s="8" t="s">
        <v>244</v>
      </c>
      <c r="N70" s="8" t="s">
        <v>245</v>
      </c>
      <c r="O70" s="8" t="s">
        <v>58</v>
      </c>
      <c r="P70" s="8" t="s">
        <v>59</v>
      </c>
      <c r="Q70" s="8" t="s">
        <v>60</v>
      </c>
      <c r="R70" s="8" t="s">
        <v>246</v>
      </c>
    </row>
    <row r="71" ht="28.35" hidden="0" outlineLevel="0" collapsed="0">
      <c r="A71" s="8" t="s">
        <v>247</v>
      </c>
      <c r="B71" s="8" t="s">
        <v>46</v>
      </c>
      <c r="C71" s="8" t="s">
        <v>248</v>
      </c>
      <c r="D71" s="9">
        <v>1</v>
      </c>
      <c r="E71" s="8" t="s">
        <v>249</v>
      </c>
      <c r="F71" s="8" t="s">
        <v>58</v>
      </c>
      <c r="G71" s="8" t="s">
        <v>220</v>
      </c>
      <c r="H71" s="8" t="s">
        <v>250</v>
      </c>
      <c r="I71" s="8" t="s">
        <v>52</v>
      </c>
      <c r="J71" s="8" t="s">
        <v>70</v>
      </c>
      <c r="K71" s="8" t="s">
        <v>71</v>
      </c>
      <c r="L71" s="8" t="s">
        <v>251</v>
      </c>
      <c r="M71" s="8" t="s">
        <v>252</v>
      </c>
      <c r="N71" s="8" t="s">
        <v>253</v>
      </c>
      <c r="O71" s="8" t="s">
        <v>58</v>
      </c>
      <c r="P71" s="8" t="s">
        <v>59</v>
      </c>
      <c r="Q71" s="8" t="s">
        <v>60</v>
      </c>
      <c r="R71" s="8" t="s">
        <v>61</v>
      </c>
    </row>
    <row r="72" ht="41.75" hidden="0" outlineLevel="0" collapsed="0">
      <c r="A72" s="8" t="s">
        <v>254</v>
      </c>
      <c r="B72" s="8" t="s">
        <v>46</v>
      </c>
      <c r="C72" s="8" t="s">
        <v>255</v>
      </c>
      <c r="D72" s="9">
        <v>193700</v>
      </c>
      <c r="E72" s="8" t="s">
        <v>48</v>
      </c>
      <c r="F72" s="8" t="s">
        <v>9</v>
      </c>
      <c r="G72" s="8" t="s">
        <v>256</v>
      </c>
      <c r="H72" s="8" t="s">
        <v>257</v>
      </c>
      <c r="I72" s="8" t="s">
        <v>258</v>
      </c>
      <c r="J72" s="8" t="s">
        <v>70</v>
      </c>
      <c r="K72" s="8" t="s">
        <v>242</v>
      </c>
      <c r="L72" s="8" t="s">
        <v>259</v>
      </c>
      <c r="M72" s="8" t="s">
        <v>260</v>
      </c>
      <c r="N72" s="8" t="s">
        <v>261</v>
      </c>
      <c r="O72" s="8" t="s">
        <v>58</v>
      </c>
      <c r="P72" s="8" t="s">
        <v>262</v>
      </c>
      <c r="Q72" s="8" t="s">
        <v>60</v>
      </c>
      <c r="R72" s="8" t="s">
        <v>61</v>
      </c>
    </row>
    <row r="73" ht="41.75" hidden="0" outlineLevel="0" collapsed="0">
      <c r="A73" s="8" t="s">
        <v>263</v>
      </c>
      <c r="B73" s="8" t="s">
        <v>46</v>
      </c>
      <c r="C73" s="8" t="s">
        <v>264</v>
      </c>
      <c r="D73" s="9">
        <v>16000</v>
      </c>
      <c r="E73" s="8" t="s">
        <v>48</v>
      </c>
      <c r="F73" s="8" t="s">
        <v>9</v>
      </c>
      <c r="G73" s="8" t="s">
        <v>256</v>
      </c>
      <c r="H73" s="8" t="s">
        <v>257</v>
      </c>
      <c r="I73" s="8" t="s">
        <v>258</v>
      </c>
      <c r="J73" s="8" t="s">
        <v>70</v>
      </c>
      <c r="K73" s="8" t="s">
        <v>242</v>
      </c>
      <c r="L73" s="8" t="s">
        <v>265</v>
      </c>
      <c r="M73" s="8" t="s">
        <v>260</v>
      </c>
      <c r="N73" s="8" t="s">
        <v>261</v>
      </c>
      <c r="O73" s="8" t="s">
        <v>58</v>
      </c>
      <c r="P73" s="8" t="s">
        <v>262</v>
      </c>
      <c r="Q73" s="8" t="s">
        <v>60</v>
      </c>
      <c r="R73" s="8" t="s">
        <v>61</v>
      </c>
    </row>
    <row r="74" ht="41.75" hidden="0" outlineLevel="0" collapsed="0">
      <c r="A74" s="8" t="s">
        <v>266</v>
      </c>
      <c r="B74" s="8" t="s">
        <v>46</v>
      </c>
      <c r="C74" s="8" t="s">
        <v>267</v>
      </c>
      <c r="D74" s="9">
        <v>6238</v>
      </c>
      <c r="E74" s="8" t="s">
        <v>48</v>
      </c>
      <c r="F74" s="8" t="s">
        <v>9</v>
      </c>
      <c r="G74" s="8" t="s">
        <v>268</v>
      </c>
      <c r="H74" s="8" t="s">
        <v>269</v>
      </c>
      <c r="I74" s="8" t="s">
        <v>270</v>
      </c>
      <c r="J74" s="8" t="s">
        <v>70</v>
      </c>
      <c r="K74" s="8" t="s">
        <v>242</v>
      </c>
      <c r="L74" s="8" t="s">
        <v>271</v>
      </c>
      <c r="M74" s="8" t="s">
        <v>272</v>
      </c>
      <c r="N74" s="8" t="s">
        <v>261</v>
      </c>
      <c r="O74" s="8" t="s">
        <v>58</v>
      </c>
      <c r="P74" s="8" t="s">
        <v>262</v>
      </c>
      <c r="Q74" s="8" t="s">
        <v>60</v>
      </c>
      <c r="R74" s="8" t="s">
        <v>273</v>
      </c>
    </row>
    <row r="75" ht="41.75" hidden="0" outlineLevel="0" collapsed="0">
      <c r="A75" s="8" t="s">
        <v>274</v>
      </c>
      <c r="B75" s="8" t="s">
        <v>46</v>
      </c>
      <c r="C75" s="8" t="s">
        <v>275</v>
      </c>
      <c r="D75" s="9">
        <v>0.897016736285415</v>
      </c>
      <c r="E75" s="8" t="s">
        <v>276</v>
      </c>
      <c r="F75" s="8" t="s">
        <v>9</v>
      </c>
      <c r="G75" s="8" t="s">
        <v>268</v>
      </c>
      <c r="H75" s="8" t="s">
        <v>277</v>
      </c>
      <c r="I75" s="8" t="s">
        <v>270</v>
      </c>
      <c r="J75" s="8" t="s">
        <v>70</v>
      </c>
      <c r="K75" s="8" t="s">
        <v>242</v>
      </c>
      <c r="L75" s="8" t="s">
        <v>278</v>
      </c>
      <c r="M75" s="8" t="s">
        <v>272</v>
      </c>
      <c r="N75" s="8" t="s">
        <v>261</v>
      </c>
      <c r="O75" s="8" t="s">
        <v>58</v>
      </c>
      <c r="P75" s="8" t="s">
        <v>262</v>
      </c>
      <c r="Q75" s="8" t="s">
        <v>60</v>
      </c>
      <c r="R75" s="8" t="s">
        <v>273</v>
      </c>
    </row>
    <row r="76" ht="28.35" hidden="0" outlineLevel="0" collapsed="0">
      <c r="A76" s="8" t="s">
        <v>279</v>
      </c>
      <c r="B76" s="8" t="s">
        <v>46</v>
      </c>
      <c r="C76" s="8" t="s">
        <v>280</v>
      </c>
      <c r="D76" s="9">
        <v>0.710680843575471</v>
      </c>
      <c r="E76" s="8" t="s">
        <v>276</v>
      </c>
      <c r="F76" s="8" t="s">
        <v>9</v>
      </c>
      <c r="G76" s="8" t="s">
        <v>256</v>
      </c>
      <c r="H76" s="8" t="s">
        <v>281</v>
      </c>
      <c r="I76" s="8" t="s">
        <v>258</v>
      </c>
      <c r="J76" s="8" t="s">
        <v>70</v>
      </c>
      <c r="K76" s="8" t="s">
        <v>242</v>
      </c>
      <c r="L76" s="8" t="s">
        <v>282</v>
      </c>
      <c r="M76" s="8" t="s">
        <v>260</v>
      </c>
      <c r="N76" s="8" t="s">
        <v>253</v>
      </c>
      <c r="O76" s="8" t="s">
        <v>58</v>
      </c>
      <c r="P76" s="8" t="s">
        <v>262</v>
      </c>
      <c r="Q76" s="8" t="s">
        <v>60</v>
      </c>
      <c r="R76" s="8" t="s">
        <v>61</v>
      </c>
    </row>
    <row r="77" ht="28.35" hidden="0" outlineLevel="0" collapsed="0">
      <c r="A77" s="8" t="s">
        <v>283</v>
      </c>
      <c r="B77" s="8" t="s">
        <v>46</v>
      </c>
      <c r="C77" s="8" t="s">
        <v>284</v>
      </c>
      <c r="D77" s="9">
        <v>0.0856588465207606</v>
      </c>
      <c r="E77" s="8" t="s">
        <v>276</v>
      </c>
      <c r="F77" s="8" t="s">
        <v>9</v>
      </c>
      <c r="G77" s="8" t="s">
        <v>268</v>
      </c>
      <c r="H77" s="8" t="s">
        <v>285</v>
      </c>
      <c r="I77" s="8" t="s">
        <v>270</v>
      </c>
      <c r="J77" s="8" t="s">
        <v>70</v>
      </c>
      <c r="K77" s="8" t="s">
        <v>242</v>
      </c>
      <c r="L77" s="8" t="s">
        <v>286</v>
      </c>
      <c r="M77" s="8" t="s">
        <v>272</v>
      </c>
      <c r="N77" s="8" t="s">
        <v>253</v>
      </c>
      <c r="O77" s="8" t="s">
        <v>58</v>
      </c>
      <c r="P77" s="8" t="s">
        <v>262</v>
      </c>
      <c r="Q77" s="8" t="s">
        <v>60</v>
      </c>
      <c r="R77" s="8" t="s">
        <v>273</v>
      </c>
    </row>
    <row r="78" ht="41.75" hidden="0" outlineLevel="0" collapsed="0">
      <c r="A78" s="8" t="s">
        <v>287</v>
      </c>
      <c r="B78" s="8" t="s">
        <v>46</v>
      </c>
      <c r="C78" s="8" t="s">
        <v>288</v>
      </c>
      <c r="D78" s="9">
        <v>81615</v>
      </c>
      <c r="E78" s="8" t="s">
        <v>48</v>
      </c>
      <c r="F78" s="8" t="s">
        <v>289</v>
      </c>
      <c r="G78" s="8" t="s">
        <v>256</v>
      </c>
      <c r="H78" s="8" t="s">
        <v>290</v>
      </c>
      <c r="I78" s="8" t="s">
        <v>258</v>
      </c>
      <c r="J78" s="8" t="s">
        <v>291</v>
      </c>
      <c r="K78" s="8" t="s">
        <v>242</v>
      </c>
      <c r="L78" s="8" t="s">
        <v>292</v>
      </c>
      <c r="M78" s="8" t="s">
        <v>260</v>
      </c>
      <c r="N78" s="8" t="s">
        <v>293</v>
      </c>
      <c r="O78" s="8" t="s">
        <v>58</v>
      </c>
      <c r="P78" s="8" t="s">
        <v>262</v>
      </c>
      <c r="Q78" s="8" t="s">
        <v>60</v>
      </c>
      <c r="R78" s="8" t="s">
        <v>61</v>
      </c>
    </row>
    <row r="79" ht="41.75" hidden="0" outlineLevel="0" collapsed="0">
      <c r="A79" s="8" t="s">
        <v>294</v>
      </c>
      <c r="B79" s="8" t="s">
        <v>46</v>
      </c>
      <c r="C79" s="8" t="s">
        <v>295</v>
      </c>
      <c r="D79" s="9">
        <v>0.749</v>
      </c>
      <c r="E79" s="8" t="s">
        <v>276</v>
      </c>
      <c r="F79" s="8" t="s">
        <v>289</v>
      </c>
      <c r="G79" s="8" t="s">
        <v>256</v>
      </c>
      <c r="H79" s="8" t="s">
        <v>296</v>
      </c>
      <c r="I79" s="8" t="s">
        <v>258</v>
      </c>
      <c r="J79" s="8" t="s">
        <v>291</v>
      </c>
      <c r="K79" s="8" t="s">
        <v>242</v>
      </c>
      <c r="L79" s="8" t="s">
        <v>297</v>
      </c>
      <c r="M79" s="8" t="s">
        <v>260</v>
      </c>
      <c r="N79" s="8" t="s">
        <v>293</v>
      </c>
      <c r="O79" s="8" t="s">
        <v>58</v>
      </c>
      <c r="P79" s="8" t="s">
        <v>262</v>
      </c>
      <c r="Q79" s="8" t="s">
        <v>60</v>
      </c>
      <c r="R79" s="8" t="s">
        <v>61</v>
      </c>
    </row>
    <row r="80" ht="28.35" hidden="0" outlineLevel="0" collapsed="0">
      <c r="A80" s="8" t="s">
        <v>298</v>
      </c>
      <c r="B80" s="8" t="s">
        <v>46</v>
      </c>
      <c r="C80" s="8" t="s">
        <v>299</v>
      </c>
      <c r="D80" s="9">
        <v>0.32</v>
      </c>
      <c r="E80" s="8" t="s">
        <v>300</v>
      </c>
      <c r="F80" s="8" t="s">
        <v>10</v>
      </c>
      <c r="G80" s="8" t="s">
        <v>301</v>
      </c>
      <c r="H80" s="8" t="s">
        <v>302</v>
      </c>
      <c r="I80" s="8" t="s">
        <v>303</v>
      </c>
      <c r="J80" s="8" t="s">
        <v>58</v>
      </c>
      <c r="K80" s="8" t="s">
        <v>242</v>
      </c>
      <c r="L80" s="8" t="s">
        <v>304</v>
      </c>
      <c r="M80" s="8" t="s">
        <v>305</v>
      </c>
      <c r="N80" s="8" t="s">
        <v>253</v>
      </c>
      <c r="O80" s="8" t="s">
        <v>58</v>
      </c>
      <c r="P80" s="8" t="s">
        <v>59</v>
      </c>
      <c r="Q80" s="8" t="s">
        <v>60</v>
      </c>
      <c r="R80" s="8" t="s">
        <v>306</v>
      </c>
    </row>
    <row r="81" ht="28.35" hidden="0" outlineLevel="0" collapsed="0">
      <c r="A81" s="8" t="s">
        <v>307</v>
      </c>
      <c r="B81" s="8" t="s">
        <v>46</v>
      </c>
      <c r="C81" s="8" t="s">
        <v>308</v>
      </c>
      <c r="D81" s="9">
        <v>0.16</v>
      </c>
      <c r="E81" s="8" t="s">
        <v>300</v>
      </c>
      <c r="F81" s="8" t="s">
        <v>10</v>
      </c>
      <c r="G81" s="8" t="s">
        <v>301</v>
      </c>
      <c r="H81" s="8" t="s">
        <v>302</v>
      </c>
      <c r="I81" s="8" t="s">
        <v>303</v>
      </c>
      <c r="J81" s="8" t="s">
        <v>58</v>
      </c>
      <c r="K81" s="8" t="s">
        <v>242</v>
      </c>
      <c r="L81" s="8" t="s">
        <v>309</v>
      </c>
      <c r="M81" s="8" t="s">
        <v>305</v>
      </c>
      <c r="N81" s="8" t="s">
        <v>253</v>
      </c>
      <c r="O81" s="8" t="s">
        <v>58</v>
      </c>
      <c r="P81" s="8" t="s">
        <v>59</v>
      </c>
      <c r="Q81" s="8" t="s">
        <v>60</v>
      </c>
      <c r="R81" s="8" t="s">
        <v>306</v>
      </c>
    </row>
    <row r="82" ht="28.35" hidden="0" outlineLevel="0" collapsed="0">
      <c r="A82" s="8" t="s">
        <v>310</v>
      </c>
      <c r="B82" s="8" t="s">
        <v>46</v>
      </c>
      <c r="C82" s="8" t="s">
        <v>311</v>
      </c>
      <c r="D82" s="9">
        <v>0.12</v>
      </c>
      <c r="E82" s="8" t="s">
        <v>300</v>
      </c>
      <c r="F82" s="8" t="s">
        <v>10</v>
      </c>
      <c r="G82" s="8" t="s">
        <v>301</v>
      </c>
      <c r="H82" s="8" t="s">
        <v>302</v>
      </c>
      <c r="I82" s="8" t="s">
        <v>303</v>
      </c>
      <c r="J82" s="8" t="s">
        <v>58</v>
      </c>
      <c r="K82" s="8" t="s">
        <v>242</v>
      </c>
      <c r="L82" s="8" t="s">
        <v>312</v>
      </c>
      <c r="M82" s="8" t="s">
        <v>305</v>
      </c>
      <c r="N82" s="8" t="s">
        <v>253</v>
      </c>
      <c r="O82" s="8" t="s">
        <v>58</v>
      </c>
      <c r="P82" s="8" t="s">
        <v>59</v>
      </c>
      <c r="Q82" s="8" t="s">
        <v>60</v>
      </c>
      <c r="R82" s="8" t="s">
        <v>306</v>
      </c>
    </row>
    <row r="83" ht="28.35" hidden="0" outlineLevel="0" collapsed="0">
      <c r="A83" s="8" t="s">
        <v>313</v>
      </c>
      <c r="B83" s="8" t="s">
        <v>46</v>
      </c>
      <c r="C83" s="8" t="s">
        <v>314</v>
      </c>
      <c r="D83" s="9">
        <v>0.08</v>
      </c>
      <c r="E83" s="8" t="s">
        <v>300</v>
      </c>
      <c r="F83" s="8" t="s">
        <v>10</v>
      </c>
      <c r="G83" s="8" t="s">
        <v>301</v>
      </c>
      <c r="H83" s="8" t="s">
        <v>302</v>
      </c>
      <c r="I83" s="8" t="s">
        <v>303</v>
      </c>
      <c r="J83" s="8" t="s">
        <v>58</v>
      </c>
      <c r="K83" s="8" t="s">
        <v>242</v>
      </c>
      <c r="L83" s="8" t="s">
        <v>315</v>
      </c>
      <c r="M83" s="8" t="s">
        <v>305</v>
      </c>
      <c r="N83" s="8" t="s">
        <v>253</v>
      </c>
      <c r="O83" s="8" t="s">
        <v>58</v>
      </c>
      <c r="P83" s="8" t="s">
        <v>59</v>
      </c>
      <c r="Q83" s="8" t="s">
        <v>60</v>
      </c>
      <c r="R83" s="8" t="s">
        <v>306</v>
      </c>
    </row>
    <row r="84" ht="28.35" hidden="0" outlineLevel="0" collapsed="0">
      <c r="A84" s="8" t="s">
        <v>316</v>
      </c>
      <c r="B84" s="8" t="s">
        <v>46</v>
      </c>
      <c r="C84" s="8" t="s">
        <v>317</v>
      </c>
      <c r="D84" s="9">
        <v>0.12</v>
      </c>
      <c r="E84" s="8" t="s">
        <v>300</v>
      </c>
      <c r="F84" s="8" t="s">
        <v>10</v>
      </c>
      <c r="G84" s="8" t="s">
        <v>301</v>
      </c>
      <c r="H84" s="8" t="s">
        <v>302</v>
      </c>
      <c r="I84" s="8" t="s">
        <v>303</v>
      </c>
      <c r="J84" s="8" t="s">
        <v>58</v>
      </c>
      <c r="K84" s="8" t="s">
        <v>242</v>
      </c>
      <c r="L84" s="8" t="s">
        <v>318</v>
      </c>
      <c r="M84" s="8" t="s">
        <v>305</v>
      </c>
      <c r="N84" s="8" t="s">
        <v>253</v>
      </c>
      <c r="O84" s="8" t="s">
        <v>58</v>
      </c>
      <c r="P84" s="8" t="s">
        <v>59</v>
      </c>
      <c r="Q84" s="8" t="s">
        <v>60</v>
      </c>
      <c r="R84" s="8" t="s">
        <v>306</v>
      </c>
    </row>
    <row r="85" ht="28.35" hidden="0" outlineLevel="0" collapsed="0">
      <c r="A85" s="8" t="s">
        <v>319</v>
      </c>
      <c r="B85" s="8" t="s">
        <v>46</v>
      </c>
      <c r="C85" s="8" t="s">
        <v>320</v>
      </c>
      <c r="D85" s="9">
        <v>0.07</v>
      </c>
      <c r="E85" s="8" t="s">
        <v>300</v>
      </c>
      <c r="F85" s="8" t="s">
        <v>10</v>
      </c>
      <c r="G85" s="8" t="s">
        <v>301</v>
      </c>
      <c r="H85" s="8" t="s">
        <v>302</v>
      </c>
      <c r="I85" s="8" t="s">
        <v>303</v>
      </c>
      <c r="J85" s="8" t="s">
        <v>58</v>
      </c>
      <c r="K85" s="8" t="s">
        <v>242</v>
      </c>
      <c r="L85" s="8" t="s">
        <v>321</v>
      </c>
      <c r="M85" s="8" t="s">
        <v>305</v>
      </c>
      <c r="N85" s="8" t="s">
        <v>253</v>
      </c>
      <c r="O85" s="8" t="s">
        <v>58</v>
      </c>
      <c r="P85" s="8" t="s">
        <v>59</v>
      </c>
      <c r="Q85" s="8" t="s">
        <v>60</v>
      </c>
      <c r="R85" s="8" t="s">
        <v>306</v>
      </c>
    </row>
    <row r="86" ht="28.35" hidden="0" outlineLevel="0" collapsed="0">
      <c r="A86" s="8" t="s">
        <v>322</v>
      </c>
      <c r="B86" s="8" t="s">
        <v>46</v>
      </c>
      <c r="C86" s="8" t="s">
        <v>323</v>
      </c>
      <c r="D86" s="9">
        <v>0.735</v>
      </c>
      <c r="E86" s="8" t="s">
        <v>300</v>
      </c>
      <c r="F86" s="8" t="s">
        <v>10</v>
      </c>
      <c r="G86" s="8" t="s">
        <v>301</v>
      </c>
      <c r="H86" s="8" t="s">
        <v>302</v>
      </c>
      <c r="I86" s="8" t="s">
        <v>303</v>
      </c>
      <c r="J86" s="8" t="s">
        <v>58</v>
      </c>
      <c r="K86" s="8" t="s">
        <v>242</v>
      </c>
      <c r="L86" s="8" t="s">
        <v>324</v>
      </c>
      <c r="M86" s="8" t="s">
        <v>305</v>
      </c>
      <c r="N86" s="8" t="s">
        <v>253</v>
      </c>
      <c r="O86" s="8" t="s">
        <v>58</v>
      </c>
      <c r="P86" s="8" t="s">
        <v>59</v>
      </c>
      <c r="Q86" s="8" t="s">
        <v>60</v>
      </c>
      <c r="R86" s="8" t="s">
        <v>306</v>
      </c>
    </row>
    <row r="87" ht="28.35" hidden="0" outlineLevel="0" collapsed="0">
      <c r="A87" s="8" t="s">
        <v>325</v>
      </c>
      <c r="B87" s="8" t="s">
        <v>46</v>
      </c>
      <c r="C87" s="8" t="s">
        <v>326</v>
      </c>
      <c r="D87" s="9">
        <v>0.75</v>
      </c>
      <c r="E87" s="8" t="s">
        <v>300</v>
      </c>
      <c r="F87" s="8" t="s">
        <v>10</v>
      </c>
      <c r="G87" s="8" t="s">
        <v>301</v>
      </c>
      <c r="H87" s="8" t="s">
        <v>302</v>
      </c>
      <c r="I87" s="8" t="s">
        <v>303</v>
      </c>
      <c r="J87" s="8" t="s">
        <v>58</v>
      </c>
      <c r="K87" s="8" t="s">
        <v>242</v>
      </c>
      <c r="L87" s="8" t="s">
        <v>327</v>
      </c>
      <c r="M87" s="8" t="s">
        <v>305</v>
      </c>
      <c r="N87" s="8" t="s">
        <v>253</v>
      </c>
      <c r="O87" s="8" t="s">
        <v>58</v>
      </c>
      <c r="P87" s="8" t="s">
        <v>59</v>
      </c>
      <c r="Q87" s="8" t="s">
        <v>60</v>
      </c>
      <c r="R87" s="8" t="s">
        <v>306</v>
      </c>
    </row>
    <row r="88" ht="28.35" hidden="0" outlineLevel="0" collapsed="0">
      <c r="A88" s="8" t="s">
        <v>328</v>
      </c>
      <c r="B88" s="8" t="s">
        <v>46</v>
      </c>
      <c r="C88" s="8" t="s">
        <v>329</v>
      </c>
      <c r="D88" s="9">
        <v>0.086</v>
      </c>
      <c r="E88" s="8" t="s">
        <v>300</v>
      </c>
      <c r="F88" s="8" t="s">
        <v>10</v>
      </c>
      <c r="G88" s="8" t="s">
        <v>301</v>
      </c>
      <c r="H88" s="8" t="s">
        <v>302</v>
      </c>
      <c r="I88" s="8" t="s">
        <v>303</v>
      </c>
      <c r="J88" s="8" t="s">
        <v>58</v>
      </c>
      <c r="K88" s="8" t="s">
        <v>242</v>
      </c>
      <c r="L88" s="8" t="s">
        <v>330</v>
      </c>
      <c r="M88" s="8" t="s">
        <v>305</v>
      </c>
      <c r="N88" s="8" t="s">
        <v>253</v>
      </c>
      <c r="O88" s="8" t="s">
        <v>58</v>
      </c>
      <c r="P88" s="8" t="s">
        <v>59</v>
      </c>
      <c r="Q88" s="8" t="s">
        <v>60</v>
      </c>
      <c r="R88" s="8" t="s">
        <v>306</v>
      </c>
    </row>
    <row r="89" ht="28.35" hidden="0" outlineLevel="0" collapsed="0">
      <c r="A89" s="8" t="s">
        <v>331</v>
      </c>
      <c r="B89" s="8" t="s">
        <v>46</v>
      </c>
      <c r="C89" s="8" t="s">
        <v>332</v>
      </c>
      <c r="D89" s="9">
        <v>0.021</v>
      </c>
      <c r="E89" s="8" t="s">
        <v>300</v>
      </c>
      <c r="F89" s="8" t="s">
        <v>10</v>
      </c>
      <c r="G89" s="8" t="s">
        <v>301</v>
      </c>
      <c r="H89" s="8" t="s">
        <v>302</v>
      </c>
      <c r="I89" s="8" t="s">
        <v>303</v>
      </c>
      <c r="J89" s="8" t="s">
        <v>58</v>
      </c>
      <c r="K89" s="8" t="s">
        <v>242</v>
      </c>
      <c r="L89" s="8" t="s">
        <v>333</v>
      </c>
      <c r="M89" s="8" t="s">
        <v>305</v>
      </c>
      <c r="N89" s="8" t="s">
        <v>253</v>
      </c>
      <c r="O89" s="8" t="s">
        <v>58</v>
      </c>
      <c r="P89" s="8" t="s">
        <v>59</v>
      </c>
      <c r="Q89" s="8" t="s">
        <v>60</v>
      </c>
      <c r="R89" s="8" t="s">
        <v>306</v>
      </c>
    </row>
    <row r="90" ht="28.35" hidden="0" outlineLevel="0" collapsed="0">
      <c r="A90" s="8" t="s">
        <v>334</v>
      </c>
      <c r="B90" s="8" t="s">
        <v>46</v>
      </c>
      <c r="C90" s="8" t="s">
        <v>335</v>
      </c>
      <c r="D90" s="9">
        <v>0.18</v>
      </c>
      <c r="E90" s="8" t="s">
        <v>300</v>
      </c>
      <c r="F90" s="8" t="s">
        <v>10</v>
      </c>
      <c r="G90" s="8" t="s">
        <v>301</v>
      </c>
      <c r="H90" s="8" t="s">
        <v>302</v>
      </c>
      <c r="I90" s="8" t="s">
        <v>303</v>
      </c>
      <c r="J90" s="8" t="s">
        <v>58</v>
      </c>
      <c r="K90" s="8" t="s">
        <v>242</v>
      </c>
      <c r="L90" s="8" t="s">
        <v>336</v>
      </c>
      <c r="M90" s="8" t="s">
        <v>305</v>
      </c>
      <c r="N90" s="8" t="s">
        <v>253</v>
      </c>
      <c r="O90" s="8" t="s">
        <v>58</v>
      </c>
      <c r="P90" s="8" t="s">
        <v>59</v>
      </c>
      <c r="Q90" s="8" t="s">
        <v>60</v>
      </c>
      <c r="R90" s="8" t="s">
        <v>306</v>
      </c>
    </row>
    <row r="91" ht="28.35" hidden="0" outlineLevel="0" collapsed="0">
      <c r="A91" s="8" t="s">
        <v>337</v>
      </c>
      <c r="B91" s="8" t="s">
        <v>46</v>
      </c>
      <c r="C91" s="8" t="s">
        <v>338</v>
      </c>
      <c r="D91" s="9">
        <v>0.03</v>
      </c>
      <c r="E91" s="8" t="s">
        <v>300</v>
      </c>
      <c r="F91" s="8" t="s">
        <v>10</v>
      </c>
      <c r="G91" s="8" t="s">
        <v>301</v>
      </c>
      <c r="H91" s="8" t="s">
        <v>302</v>
      </c>
      <c r="I91" s="8" t="s">
        <v>303</v>
      </c>
      <c r="J91" s="8" t="s">
        <v>58</v>
      </c>
      <c r="K91" s="8" t="s">
        <v>242</v>
      </c>
      <c r="L91" s="8" t="s">
        <v>339</v>
      </c>
      <c r="M91" s="8" t="s">
        <v>305</v>
      </c>
      <c r="N91" s="8" t="s">
        <v>253</v>
      </c>
      <c r="O91" s="8" t="s">
        <v>58</v>
      </c>
      <c r="P91" s="8" t="s">
        <v>59</v>
      </c>
      <c r="Q91" s="8" t="s">
        <v>60</v>
      </c>
      <c r="R91" s="8" t="s">
        <v>306</v>
      </c>
    </row>
    <row r="92" ht="28.35" hidden="0" outlineLevel="0" collapsed="0">
      <c r="A92" s="8" t="s">
        <v>340</v>
      </c>
      <c r="B92" s="8" t="s">
        <v>46</v>
      </c>
      <c r="C92" s="8" t="s">
        <v>341</v>
      </c>
      <c r="D92" s="9">
        <v>0.03</v>
      </c>
      <c r="E92" s="8" t="s">
        <v>300</v>
      </c>
      <c r="F92" s="8" t="s">
        <v>10</v>
      </c>
      <c r="G92" s="8" t="s">
        <v>301</v>
      </c>
      <c r="H92" s="8" t="s">
        <v>302</v>
      </c>
      <c r="I92" s="8" t="s">
        <v>303</v>
      </c>
      <c r="J92" s="8" t="s">
        <v>58</v>
      </c>
      <c r="K92" s="8" t="s">
        <v>242</v>
      </c>
      <c r="L92" s="8" t="s">
        <v>342</v>
      </c>
      <c r="M92" s="8" t="s">
        <v>305</v>
      </c>
      <c r="N92" s="8" t="s">
        <v>253</v>
      </c>
      <c r="O92" s="8" t="s">
        <v>58</v>
      </c>
      <c r="P92" s="8" t="s">
        <v>59</v>
      </c>
      <c r="Q92" s="8" t="s">
        <v>60</v>
      </c>
      <c r="R92" s="8" t="s">
        <v>306</v>
      </c>
    </row>
    <row r="93" ht="28.35" hidden="0" outlineLevel="0" collapsed="0">
      <c r="A93" s="8" t="s">
        <v>343</v>
      </c>
      <c r="B93" s="8" t="s">
        <v>46</v>
      </c>
      <c r="C93" s="8" t="s">
        <v>344</v>
      </c>
      <c r="D93" s="9">
        <v>0.025</v>
      </c>
      <c r="E93" s="8" t="s">
        <v>300</v>
      </c>
      <c r="F93" s="8" t="s">
        <v>10</v>
      </c>
      <c r="G93" s="8" t="s">
        <v>301</v>
      </c>
      <c r="H93" s="8" t="s">
        <v>302</v>
      </c>
      <c r="I93" s="8" t="s">
        <v>303</v>
      </c>
      <c r="J93" s="8" t="s">
        <v>58</v>
      </c>
      <c r="K93" s="8" t="s">
        <v>242</v>
      </c>
      <c r="L93" s="8" t="s">
        <v>345</v>
      </c>
      <c r="M93" s="8" t="s">
        <v>305</v>
      </c>
      <c r="N93" s="8" t="s">
        <v>253</v>
      </c>
      <c r="O93" s="8" t="s">
        <v>58</v>
      </c>
      <c r="P93" s="8" t="s">
        <v>59</v>
      </c>
      <c r="Q93" s="8" t="s">
        <v>60</v>
      </c>
      <c r="R93" s="8" t="s">
        <v>306</v>
      </c>
    </row>
    <row r="94" ht="28.35" hidden="0" outlineLevel="0" collapsed="0">
      <c r="A94" s="8" t="s">
        <v>346</v>
      </c>
      <c r="B94" s="8" t="s">
        <v>46</v>
      </c>
      <c r="C94" s="8" t="s">
        <v>347</v>
      </c>
      <c r="D94" s="9">
        <v>0.02</v>
      </c>
      <c r="E94" s="8" t="s">
        <v>300</v>
      </c>
      <c r="F94" s="8" t="s">
        <v>10</v>
      </c>
      <c r="G94" s="8" t="s">
        <v>301</v>
      </c>
      <c r="H94" s="8" t="s">
        <v>302</v>
      </c>
      <c r="I94" s="8" t="s">
        <v>303</v>
      </c>
      <c r="J94" s="8" t="s">
        <v>58</v>
      </c>
      <c r="K94" s="8" t="s">
        <v>242</v>
      </c>
      <c r="L94" s="8" t="s">
        <v>348</v>
      </c>
      <c r="M94" s="8" t="s">
        <v>305</v>
      </c>
      <c r="N94" s="8" t="s">
        <v>253</v>
      </c>
      <c r="O94" s="8" t="s">
        <v>58</v>
      </c>
      <c r="P94" s="8" t="s">
        <v>59</v>
      </c>
      <c r="Q94" s="8" t="s">
        <v>60</v>
      </c>
      <c r="R94" s="8" t="s">
        <v>306</v>
      </c>
    </row>
    <row r="95" ht="28.35" hidden="0" outlineLevel="0" collapsed="0">
      <c r="A95" s="8" t="s">
        <v>349</v>
      </c>
      <c r="B95" s="8" t="s">
        <v>46</v>
      </c>
      <c r="C95" s="8" t="s">
        <v>350</v>
      </c>
      <c r="D95" s="9">
        <v>0.09</v>
      </c>
      <c r="E95" s="8" t="s">
        <v>300</v>
      </c>
      <c r="F95" s="8" t="s">
        <v>10</v>
      </c>
      <c r="G95" s="8" t="s">
        <v>301</v>
      </c>
      <c r="H95" s="8" t="s">
        <v>302</v>
      </c>
      <c r="I95" s="8" t="s">
        <v>303</v>
      </c>
      <c r="J95" s="8" t="s">
        <v>58</v>
      </c>
      <c r="K95" s="8" t="s">
        <v>242</v>
      </c>
      <c r="L95" s="8" t="s">
        <v>351</v>
      </c>
      <c r="M95" s="8" t="s">
        <v>305</v>
      </c>
      <c r="N95" s="8" t="s">
        <v>253</v>
      </c>
      <c r="O95" s="8" t="s">
        <v>58</v>
      </c>
      <c r="P95" s="8" t="s">
        <v>59</v>
      </c>
      <c r="Q95" s="8" t="s">
        <v>60</v>
      </c>
      <c r="R95" s="8" t="s">
        <v>306</v>
      </c>
    </row>
    <row r="96" ht="28.35" hidden="0" outlineLevel="0" collapsed="0">
      <c r="A96" s="8" t="s">
        <v>352</v>
      </c>
      <c r="B96" s="8" t="s">
        <v>46</v>
      </c>
      <c r="C96" s="8" t="s">
        <v>353</v>
      </c>
      <c r="D96" s="9">
        <v>0.035</v>
      </c>
      <c r="E96" s="8" t="s">
        <v>300</v>
      </c>
      <c r="F96" s="8" t="s">
        <v>10</v>
      </c>
      <c r="G96" s="8" t="s">
        <v>301</v>
      </c>
      <c r="H96" s="8" t="s">
        <v>302</v>
      </c>
      <c r="I96" s="8" t="s">
        <v>303</v>
      </c>
      <c r="J96" s="8" t="s">
        <v>58</v>
      </c>
      <c r="K96" s="8" t="s">
        <v>242</v>
      </c>
      <c r="L96" s="8" t="s">
        <v>354</v>
      </c>
      <c r="M96" s="8" t="s">
        <v>305</v>
      </c>
      <c r="N96" s="8" t="s">
        <v>253</v>
      </c>
      <c r="O96" s="8" t="s">
        <v>58</v>
      </c>
      <c r="P96" s="8" t="s">
        <v>59</v>
      </c>
      <c r="Q96" s="8" t="s">
        <v>60</v>
      </c>
      <c r="R96" s="8" t="s">
        <v>306</v>
      </c>
    </row>
    <row r="97" ht="15" hidden="0" outlineLevel="0" collapsed="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15" hidden="0" outlineLevel="0" collapsed="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</sheetData>
  <mergeCells count="2">
    <mergeCell ref="A1:R1"/>
    <mergeCell ref="A2:R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2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style="1" hidden="0" customWidth="1" outlineLevel="0" collapsed="0"/>
    <col min="2" max="6" width="15" style="1" hidden="0" customWidth="1" outlineLevel="0" collapsed="0"/>
    <col min="7" max="8" width="22" style="1" hidden="0" customWidth="1" outlineLevel="0" collapsed="0"/>
  </cols>
  <sheetData>
    <row r="1" ht="15" hidden="0" outlineLevel="0" collapsed="0">
      <c r="A1" s="2" t="s">
        <v>355</v>
      </c>
      <c r="B1" s="2"/>
      <c r="C1" s="2"/>
      <c r="D1" s="2"/>
      <c r="E1" s="2"/>
      <c r="F1" s="2"/>
      <c r="G1" s="2"/>
      <c r="H1" s="2"/>
    </row>
    <row r="2" ht="34" hidden="0" outlineLevel="0" collapsed="0">
      <c r="A2" s="3" t="s">
        <v>356</v>
      </c>
      <c r="B2" s="3"/>
      <c r="C2" s="3"/>
      <c r="D2" s="3"/>
      <c r="E2" s="3"/>
      <c r="F2" s="3"/>
      <c r="G2" s="3"/>
      <c r="H2" s="3"/>
    </row>
    <row r="3" ht="15" hidden="0" outlineLevel="0" collapsed="0">
      <c r="A3" s="4"/>
      <c r="B3" s="4"/>
      <c r="C3" s="4"/>
      <c r="D3" s="4"/>
      <c r="E3" s="4"/>
      <c r="F3" s="4"/>
      <c r="G3" s="4"/>
      <c r="H3" s="4"/>
    </row>
    <row r="4" ht="15" hidden="0" outlineLevel="0" collapsed="0">
      <c r="A4" s="5" t="s">
        <v>357</v>
      </c>
      <c r="B4" s="5" t="s">
        <v>358</v>
      </c>
      <c r="C4" s="5" t="s">
        <v>359</v>
      </c>
      <c r="D4" s="5" t="s">
        <v>360</v>
      </c>
      <c r="E4" s="5" t="s">
        <v>361</v>
      </c>
      <c r="F4" s="5" t="s">
        <v>9</v>
      </c>
      <c r="G4" s="5" t="s">
        <v>31</v>
      </c>
      <c r="H4" s="5" t="s">
        <v>362</v>
      </c>
    </row>
    <row r="5" ht="15" hidden="0" outlineLevel="0" collapsed="0">
      <c r="A5" s="10" t="s">
        <v>47</v>
      </c>
      <c r="B5" s="9">
        <v>26914</v>
      </c>
      <c r="C5" s="9">
        <v>26974</v>
      </c>
      <c r="D5" s="9">
        <v>60922</v>
      </c>
      <c r="E5" s="9">
        <v>130497</v>
      </c>
      <c r="F5" s="9">
        <v>215938</v>
      </c>
      <c r="G5" s="8" t="s">
        <v>363</v>
      </c>
      <c r="H5" s="8" t="str">
        <f>IF(COUNTIF(Sources!$C$5:$C$96,"Revenue")&gt;=1,"VERIFIED","CHECK")</f>
        <v>VERIFIED</v>
      </c>
    </row>
    <row r="6" ht="15" hidden="0" outlineLevel="0" collapsed="0">
      <c r="A6" s="10" t="s">
        <v>364</v>
      </c>
      <c r="B6" s="11"/>
      <c r="C6" s="11">
        <f>IF(B5&lt;&gt;0,C5/B5-1,0)</f>
        <v>0.002229323028906993</v>
      </c>
      <c r="D6" s="11">
        <f>IF(C5&lt;&gt;0,D5/C5-1,0)</f>
        <v>1.2585452658115224</v>
      </c>
      <c r="E6" s="11">
        <f>IF(D5&lt;&gt;0,E5/D5-1,0)</f>
        <v>1.1420340763599355</v>
      </c>
      <c r="F6" s="11">
        <f>IF(E5&lt;&gt;0,F5/E5-1,0)</f>
        <v>0.6547353579009478</v>
      </c>
      <c r="G6" s="8" t="s">
        <v>276</v>
      </c>
      <c r="H6" s="8" t="s">
        <v>365</v>
      </c>
    </row>
    <row r="7" ht="15" hidden="0" outlineLevel="0" collapsed="0">
      <c r="A7" s="10" t="s">
        <v>81</v>
      </c>
      <c r="B7" s="9">
        <v>17475</v>
      </c>
      <c r="C7" s="9">
        <v>15356</v>
      </c>
      <c r="D7" s="9">
        <v>44301</v>
      </c>
      <c r="E7" s="9">
        <v>97858</v>
      </c>
      <c r="F7" s="9">
        <v>153463</v>
      </c>
      <c r="G7" s="8" t="s">
        <v>363</v>
      </c>
      <c r="H7" s="8" t="str">
        <f>IF(COUNTIF(Sources!$C$5:$C$96,"Gross profit")&gt;=1,"VERIFIED","CHECK")</f>
        <v>VERIFIED</v>
      </c>
    </row>
    <row r="8" ht="15" hidden="0" outlineLevel="0" collapsed="0">
      <c r="A8" s="10" t="s">
        <v>280</v>
      </c>
      <c r="B8" s="11">
        <f>IF(B5&lt;&gt;0,B7/B5,0)</f>
        <v>0.6492903321691313</v>
      </c>
      <c r="C8" s="11">
        <f>IF(C5&lt;&gt;0,C7/C5,0)</f>
        <v>0.5692889449099132</v>
      </c>
      <c r="D8" s="11">
        <f>IF(D5&lt;&gt;0,D7/D5,0)</f>
        <v>0.7271757329043695</v>
      </c>
      <c r="E8" s="11">
        <f>IF(E5&lt;&gt;0,E7/E5,0)</f>
        <v>0.7498869705816992</v>
      </c>
      <c r="F8" s="11">
        <f>IF(F5&lt;&gt;0,F7/F5,0)</f>
        <v>0.7106808435754708</v>
      </c>
      <c r="G8" s="8" t="s">
        <v>276</v>
      </c>
      <c r="H8" s="8" t="s">
        <v>365</v>
      </c>
    </row>
    <row r="9" ht="15" hidden="0" outlineLevel="0" collapsed="0">
      <c r="A9" s="10" t="s">
        <v>93</v>
      </c>
      <c r="B9" s="9">
        <v>10041</v>
      </c>
      <c r="C9" s="9">
        <v>4224</v>
      </c>
      <c r="D9" s="9">
        <v>32972</v>
      </c>
      <c r="E9" s="9">
        <v>81453</v>
      </c>
      <c r="F9" s="9">
        <v>130387</v>
      </c>
      <c r="G9" s="8" t="s">
        <v>363</v>
      </c>
      <c r="H9" s="8" t="str">
        <f>IF(COUNTIF(Sources!$C$5:$C$96,"Operating income")&gt;=1,"VERIFIED","CHECK")</f>
        <v>VERIFIED</v>
      </c>
    </row>
    <row r="10" ht="15" hidden="0" outlineLevel="0" collapsed="0">
      <c r="A10" s="10" t="s">
        <v>366</v>
      </c>
      <c r="B10" s="11">
        <f>IF(B5&lt;&gt;0,B9/B5,0)</f>
        <v>0.3730772088875678</v>
      </c>
      <c r="C10" s="11">
        <f>IF(C5&lt;&gt;0,C9/C5,0)</f>
        <v>0.1565952398606065</v>
      </c>
      <c r="D10" s="11">
        <f>IF(D5&lt;&gt;0,D9/D5,0)</f>
        <v>0.5412166376678376</v>
      </c>
      <c r="E10" s="11">
        <f>IF(E5&lt;&gt;0,E9/E5,0)</f>
        <v>0.6241752683969747</v>
      </c>
      <c r="F10" s="11">
        <f>IF(F5&lt;&gt;0,F9/F5,0)</f>
        <v>0.6038168363141272</v>
      </c>
      <c r="G10" s="8" t="s">
        <v>276</v>
      </c>
      <c r="H10" s="8" t="s">
        <v>365</v>
      </c>
    </row>
    <row r="11" ht="28.35" hidden="0" outlineLevel="0" collapsed="0">
      <c r="A11" s="10" t="s">
        <v>105</v>
      </c>
      <c r="B11" s="9">
        <v>9752</v>
      </c>
      <c r="C11" s="9">
        <v>4368</v>
      </c>
      <c r="D11" s="9">
        <v>29760</v>
      </c>
      <c r="E11" s="9">
        <v>72880</v>
      </c>
      <c r="F11" s="9">
        <v>120067</v>
      </c>
      <c r="G11" s="8" t="s">
        <v>363</v>
      </c>
      <c r="H11" s="8" t="str">
        <f>IF(COUNTIF(Sources!$C$5:$C$96,"Net income attributable / consolidated")&gt;=1,"VERIFIED","CHECK")</f>
        <v>VERIFIED</v>
      </c>
    </row>
    <row r="12" ht="15" hidden="0" outlineLevel="0" collapsed="0">
      <c r="A12" s="10" t="s">
        <v>117</v>
      </c>
      <c r="B12" s="9">
        <v>9108</v>
      </c>
      <c r="C12" s="9">
        <v>5641</v>
      </c>
      <c r="D12" s="9">
        <v>28090</v>
      </c>
      <c r="E12" s="9">
        <v>64089</v>
      </c>
      <c r="F12" s="9">
        <v>102718</v>
      </c>
      <c r="G12" s="8" t="s">
        <v>363</v>
      </c>
      <c r="H12" s="8" t="str">
        <f>IF(COUNTIF(Sources!$C$5:$C$96,"Cash flow from operations")&gt;=1,"VERIFIED","CHECK")</f>
        <v>VERIFIED</v>
      </c>
    </row>
    <row r="13" ht="15" hidden="0" outlineLevel="0" collapsed="0">
      <c r="A13" s="10" t="s">
        <v>129</v>
      </c>
      <c r="B13" s="9">
        <v>976</v>
      </c>
      <c r="C13" s="9">
        <v>1833</v>
      </c>
      <c r="D13" s="9">
        <v>1069</v>
      </c>
      <c r="E13" s="9">
        <v>3236</v>
      </c>
      <c r="F13" s="9">
        <v>6042</v>
      </c>
      <c r="G13" s="8" t="s">
        <v>363</v>
      </c>
      <c r="H13" s="8" t="str">
        <f>IF(COUNTIF(Sources!$C$5:$C$96,"Capital expenditure")&gt;=1,"VERIFIED","CHECK")</f>
        <v>VERIFIED</v>
      </c>
    </row>
    <row r="14" ht="15" hidden="0" outlineLevel="0" collapsed="0">
      <c r="A14" s="10" t="s">
        <v>141</v>
      </c>
      <c r="B14" s="9">
        <v>5268</v>
      </c>
      <c r="C14" s="9">
        <v>7339</v>
      </c>
      <c r="D14" s="9">
        <v>8675</v>
      </c>
      <c r="E14" s="9">
        <v>12914</v>
      </c>
      <c r="F14" s="9">
        <v>18497</v>
      </c>
      <c r="G14" s="8" t="s">
        <v>363</v>
      </c>
      <c r="H14" s="8" t="str">
        <f>IF(COUNTIF(Sources!$C$5:$C$96,"Research and development")&gt;=1,"VERIFIED","CHECK")</f>
        <v>VERIFIED</v>
      </c>
    </row>
    <row r="15" ht="15" hidden="0" outlineLevel="0" collapsed="0">
      <c r="A15" s="10" t="s">
        <v>153</v>
      </c>
      <c r="B15" s="9">
        <v>44187</v>
      </c>
      <c r="C15" s="9">
        <v>41182</v>
      </c>
      <c r="D15" s="9">
        <v>65728</v>
      </c>
      <c r="E15" s="9">
        <v>111601</v>
      </c>
      <c r="F15" s="9">
        <v>206803</v>
      </c>
      <c r="G15" s="8" t="s">
        <v>363</v>
      </c>
      <c r="H15" s="8" t="str">
        <f>IF(COUNTIF(Sources!$C$5:$C$96,"Total assets")&gt;=1,"VERIFIED","CHECK")</f>
        <v>VERIFIED</v>
      </c>
    </row>
    <row r="16" ht="15" hidden="0" outlineLevel="0" collapsed="0">
      <c r="A16" s="10" t="s">
        <v>168</v>
      </c>
      <c r="B16" s="9">
        <v>17575</v>
      </c>
      <c r="C16" s="9">
        <v>19081</v>
      </c>
      <c r="D16" s="9">
        <v>22750</v>
      </c>
      <c r="E16" s="9">
        <v>32274</v>
      </c>
      <c r="F16" s="9">
        <v>49510</v>
      </c>
      <c r="G16" s="8" t="s">
        <v>363</v>
      </c>
      <c r="H16" s="8" t="str">
        <f>IF(COUNTIF(Sources!$C$5:$C$96,"Total liabilities")&gt;=1,"VERIFIED","CHECK")</f>
        <v>VERIFIED</v>
      </c>
    </row>
    <row r="17" ht="28.35" hidden="0" outlineLevel="0" collapsed="0">
      <c r="A17" s="10" t="s">
        <v>180</v>
      </c>
      <c r="B17" s="9">
        <v>26612</v>
      </c>
      <c r="C17" s="9">
        <v>22101</v>
      </c>
      <c r="D17" s="9">
        <v>42978</v>
      </c>
      <c r="E17" s="9">
        <v>79327</v>
      </c>
      <c r="F17" s="9">
        <v>157293</v>
      </c>
      <c r="G17" s="8" t="s">
        <v>363</v>
      </c>
      <c r="H17" s="8" t="str">
        <f>IF(COUNTIF(Sources!$C$5:$C$96,"Equity attributable / stockholders' equity")&gt;=1,"VERIFIED","CHECK")</f>
        <v>VERIFIED</v>
      </c>
    </row>
    <row r="18" ht="15" hidden="0" outlineLevel="0" collapsed="0">
      <c r="A18" s="10" t="s">
        <v>367</v>
      </c>
      <c r="B18" s="9">
        <v>21208</v>
      </c>
      <c r="C18" s="9">
        <v>13296</v>
      </c>
      <c r="D18" s="9">
        <v>25984</v>
      </c>
      <c r="E18" s="9">
        <v>43210</v>
      </c>
      <c r="F18" s="9">
        <v>62556</v>
      </c>
      <c r="G18" s="8" t="s">
        <v>363</v>
      </c>
      <c r="H18" s="8" t="str">
        <f>IF(COUNTIF(Sources!$C$5:$C$96,"Cash, cash equivalents and marketable securities")&gt;=1,"VERIFIED","CHECK")</f>
        <v>VERIFIED</v>
      </c>
    </row>
    <row r="19" ht="15" hidden="0" outlineLevel="0" collapsed="0">
      <c r="A19" s="10" t="s">
        <v>192</v>
      </c>
      <c r="B19" s="9">
        <v>10946</v>
      </c>
      <c r="C19" s="9">
        <v>10953</v>
      </c>
      <c r="D19" s="9">
        <v>9709</v>
      </c>
      <c r="E19" s="9">
        <v>8463</v>
      </c>
      <c r="F19" s="9">
        <v>8468</v>
      </c>
      <c r="G19" s="8" t="s">
        <v>363</v>
      </c>
      <c r="H19" s="8" t="str">
        <f>IF(COUNTIF(Sources!$C$5:$C$96,"Interest-bearing debt")&gt;=1,"VERIFIED","CHECK")</f>
        <v>VERIFIED</v>
      </c>
    </row>
    <row r="20" ht="28.35" hidden="0" outlineLevel="0" collapsed="0">
      <c r="A20" s="10" t="s">
        <v>204</v>
      </c>
      <c r="B20" s="9">
        <v>25350</v>
      </c>
      <c r="C20" s="9">
        <v>25070</v>
      </c>
      <c r="D20" s="9">
        <v>24940</v>
      </c>
      <c r="E20" s="9">
        <v>24804</v>
      </c>
      <c r="F20" s="9">
        <v>24514</v>
      </c>
      <c r="G20" s="8" t="s">
        <v>205</v>
      </c>
      <c r="H20" s="8" t="str">
        <f>IF(COUNTIF(Sources!$C$5:$C$96,"Diluted weighted-average shares")&gt;=1,"VERIFIED","CHECK")</f>
        <v>VERIFIED</v>
      </c>
    </row>
    <row r="21" ht="15" hidden="0" outlineLevel="0" collapsed="0">
      <c r="A21" s="4"/>
      <c r="B21" s="4"/>
      <c r="C21" s="4"/>
      <c r="D21" s="4"/>
      <c r="E21" s="4"/>
      <c r="F21" s="4"/>
      <c r="G21" s="4"/>
      <c r="H21" s="4"/>
    </row>
    <row r="22" ht="15" hidden="0" outlineLevel="0" collapsed="0">
      <c r="A22" s="4"/>
      <c r="B22" s="4"/>
      <c r="C22" s="4"/>
      <c r="D22" s="4"/>
      <c r="E22" s="4"/>
      <c r="F22" s="4"/>
      <c r="G22" s="4"/>
      <c r="H22" s="4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F26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style="1" hidden="0" customWidth="1" outlineLevel="0" collapsed="0"/>
    <col min="2" max="5" width="15" style="1" hidden="0" customWidth="1" outlineLevel="0" collapsed="0"/>
    <col min="6" max="6" width="52" style="1" hidden="0" customWidth="1" outlineLevel="0" collapsed="0"/>
  </cols>
  <sheetData>
    <row r="1" ht="15" hidden="0" outlineLevel="0" collapsed="0">
      <c r="A1" s="2" t="s">
        <v>368</v>
      </c>
      <c r="B1" s="2"/>
      <c r="C1" s="2"/>
      <c r="D1" s="2"/>
      <c r="E1" s="2"/>
      <c r="F1" s="2"/>
    </row>
    <row r="2" ht="34" hidden="0" outlineLevel="0" collapsed="0">
      <c r="A2" s="3" t="s">
        <v>369</v>
      </c>
      <c r="B2" s="3"/>
      <c r="C2" s="3"/>
      <c r="D2" s="3"/>
      <c r="E2" s="3"/>
      <c r="F2" s="3"/>
    </row>
    <row r="3" ht="15" hidden="0" outlineLevel="0" collapsed="0">
      <c r="A3" s="4" t="s">
        <v>370</v>
      </c>
      <c r="B3" s="12">
        <v>1</v>
      </c>
      <c r="C3" s="4"/>
      <c r="D3" s="4"/>
      <c r="E3" s="4"/>
      <c r="F3" s="4"/>
    </row>
    <row r="4" ht="15" hidden="0" outlineLevel="0" collapsed="0">
      <c r="A4" s="5" t="s">
        <v>371</v>
      </c>
      <c r="B4" s="5" t="s">
        <v>372</v>
      </c>
      <c r="C4" s="5" t="s">
        <v>373</v>
      </c>
      <c r="D4" s="5" t="s">
        <v>374</v>
      </c>
      <c r="E4" s="5" t="s">
        <v>375</v>
      </c>
      <c r="F4" s="5" t="s">
        <v>376</v>
      </c>
    </row>
    <row r="5" ht="15" hidden="0" outlineLevel="0" collapsed="0">
      <c r="A5" s="8" t="s">
        <v>299</v>
      </c>
      <c r="B5" s="13">
        <v>0.32</v>
      </c>
      <c r="C5" s="13">
        <v>0.42</v>
      </c>
      <c r="D5" s="13">
        <v>0.18</v>
      </c>
      <c r="E5" s="14">
        <f>CHOOSE($B$3,B5,C5,D5)</f>
        <v>0.32</v>
      </c>
      <c r="F5" s="8" t="s">
        <v>377</v>
      </c>
    </row>
    <row r="6" ht="15" hidden="0" outlineLevel="0" collapsed="0">
      <c r="A6" s="8" t="s">
        <v>308</v>
      </c>
      <c r="B6" s="13">
        <v>0.16</v>
      </c>
      <c r="C6" s="13">
        <v>0.24</v>
      </c>
      <c r="D6" s="13">
        <v>0.08</v>
      </c>
      <c r="E6" s="14">
        <f>CHOOSE($B$3,B6,C6,D6)</f>
        <v>0.16</v>
      </c>
      <c r="F6" s="8" t="s">
        <v>377</v>
      </c>
    </row>
    <row r="7" ht="15" hidden="0" outlineLevel="0" collapsed="0">
      <c r="A7" s="8" t="s">
        <v>311</v>
      </c>
      <c r="B7" s="13">
        <v>0.12</v>
      </c>
      <c r="C7" s="13">
        <v>0.18</v>
      </c>
      <c r="D7" s="13">
        <v>0.05</v>
      </c>
      <c r="E7" s="14">
        <f>CHOOSE($B$3,B7,C7,D7)</f>
        <v>0.12</v>
      </c>
      <c r="F7" s="8" t="s">
        <v>377</v>
      </c>
    </row>
    <row r="8" ht="15" hidden="0" outlineLevel="0" collapsed="0">
      <c r="A8" s="8" t="s">
        <v>314</v>
      </c>
      <c r="B8" s="13">
        <v>0.08</v>
      </c>
      <c r="C8" s="13">
        <v>0.12</v>
      </c>
      <c r="D8" s="13">
        <v>0.02</v>
      </c>
      <c r="E8" s="14">
        <f>CHOOSE($B$3,B8,C8,D8)</f>
        <v>0.08</v>
      </c>
      <c r="F8" s="8" t="s">
        <v>377</v>
      </c>
    </row>
    <row r="9" ht="15" hidden="0" outlineLevel="0" collapsed="0">
      <c r="A9" s="8" t="s">
        <v>317</v>
      </c>
      <c r="B9" s="13">
        <v>0.12</v>
      </c>
      <c r="C9" s="13">
        <v>0.18</v>
      </c>
      <c r="D9" s="13">
        <v>0.05</v>
      </c>
      <c r="E9" s="14">
        <f>CHOOSE($B$3,B9,C9,D9)</f>
        <v>0.12</v>
      </c>
      <c r="F9" s="8" t="s">
        <v>377</v>
      </c>
    </row>
    <row r="10" ht="15" hidden="0" outlineLevel="0" collapsed="0">
      <c r="A10" s="8" t="s">
        <v>320</v>
      </c>
      <c r="B10" s="13">
        <v>0.07</v>
      </c>
      <c r="C10" s="13">
        <v>0.12</v>
      </c>
      <c r="D10" s="13">
        <v>0.02</v>
      </c>
      <c r="E10" s="14">
        <f>CHOOSE($B$3,B10,C10,D10)</f>
        <v>0.07</v>
      </c>
      <c r="F10" s="8" t="s">
        <v>377</v>
      </c>
    </row>
    <row r="11" ht="15" hidden="0" outlineLevel="0" collapsed="0">
      <c r="A11" s="8" t="s">
        <v>323</v>
      </c>
      <c r="B11" s="13">
        <v>0.735</v>
      </c>
      <c r="C11" s="13">
        <v>0.755</v>
      </c>
      <c r="D11" s="13">
        <v>0.705</v>
      </c>
      <c r="E11" s="14">
        <f>CHOOSE($B$3,B11,C11,D11)</f>
        <v>0.735</v>
      </c>
      <c r="F11" s="8" t="s">
        <v>378</v>
      </c>
    </row>
    <row r="12" ht="15" hidden="0" outlineLevel="0" collapsed="0">
      <c r="A12" s="8" t="s">
        <v>326</v>
      </c>
      <c r="B12" s="13">
        <v>0.75</v>
      </c>
      <c r="C12" s="13">
        <v>0.77</v>
      </c>
      <c r="D12" s="13">
        <v>0.72</v>
      </c>
      <c r="E12" s="14">
        <f>CHOOSE($B$3,B12,C12,D12)</f>
        <v>0.75</v>
      </c>
      <c r="F12" s="8" t="s">
        <v>378</v>
      </c>
    </row>
    <row r="13" ht="15" hidden="0" outlineLevel="0" collapsed="0">
      <c r="A13" s="8" t="s">
        <v>329</v>
      </c>
      <c r="B13" s="13">
        <v>0.086</v>
      </c>
      <c r="C13" s="13">
        <v>0.082</v>
      </c>
      <c r="D13" s="13">
        <v>0.095</v>
      </c>
      <c r="E13" s="14">
        <f>CHOOSE($B$3,B13,C13,D13)</f>
        <v>0.086</v>
      </c>
      <c r="F13" s="8" t="s">
        <v>378</v>
      </c>
    </row>
    <row r="14" ht="15" hidden="0" outlineLevel="0" collapsed="0">
      <c r="A14" s="8" t="s">
        <v>332</v>
      </c>
      <c r="B14" s="13">
        <v>0.021</v>
      </c>
      <c r="C14" s="13">
        <v>0.019</v>
      </c>
      <c r="D14" s="13">
        <v>0.025</v>
      </c>
      <c r="E14" s="14">
        <f>CHOOSE($B$3,B14,C14,D14)</f>
        <v>0.021</v>
      </c>
      <c r="F14" s="8" t="s">
        <v>378</v>
      </c>
    </row>
    <row r="15" ht="15" hidden="0" outlineLevel="0" collapsed="0">
      <c r="A15" s="8" t="s">
        <v>335</v>
      </c>
      <c r="B15" s="13">
        <v>0.18</v>
      </c>
      <c r="C15" s="13">
        <v>0.17</v>
      </c>
      <c r="D15" s="13">
        <v>0.2</v>
      </c>
      <c r="E15" s="14">
        <f>CHOOSE($B$3,B15,C15,D15)</f>
        <v>0.18</v>
      </c>
      <c r="F15" s="8" t="s">
        <v>378</v>
      </c>
    </row>
    <row r="16" ht="15" hidden="0" outlineLevel="0" collapsed="0">
      <c r="A16" s="8" t="s">
        <v>338</v>
      </c>
      <c r="B16" s="13">
        <v>0.03</v>
      </c>
      <c r="C16" s="13">
        <v>0.032</v>
      </c>
      <c r="D16" s="13">
        <v>0.028</v>
      </c>
      <c r="E16" s="14">
        <f>CHOOSE($B$3,B16,C16,D16)</f>
        <v>0.03</v>
      </c>
      <c r="F16" s="8" t="s">
        <v>378</v>
      </c>
    </row>
    <row r="17" ht="15" hidden="0" outlineLevel="0" collapsed="0">
      <c r="A17" s="8" t="s">
        <v>341</v>
      </c>
      <c r="B17" s="13">
        <v>0.03</v>
      </c>
      <c r="C17" s="13">
        <v>0.028</v>
      </c>
      <c r="D17" s="13">
        <v>0.033</v>
      </c>
      <c r="E17" s="14">
        <f>CHOOSE($B$3,B17,C17,D17)</f>
        <v>0.03</v>
      </c>
      <c r="F17" s="8" t="s">
        <v>378</v>
      </c>
    </row>
    <row r="18" ht="15" hidden="0" outlineLevel="0" collapsed="0">
      <c r="A18" s="8" t="s">
        <v>344</v>
      </c>
      <c r="B18" s="13">
        <v>0.025</v>
      </c>
      <c r="C18" s="13">
        <v>0.023</v>
      </c>
      <c r="D18" s="13">
        <v>0.029</v>
      </c>
      <c r="E18" s="14">
        <f>CHOOSE($B$3,B18,C18,D18)</f>
        <v>0.025</v>
      </c>
      <c r="F18" s="8" t="s">
        <v>378</v>
      </c>
    </row>
    <row r="19" ht="28.35" hidden="0" outlineLevel="0" collapsed="0">
      <c r="A19" s="8" t="s">
        <v>347</v>
      </c>
      <c r="B19" s="13">
        <v>0.02</v>
      </c>
      <c r="C19" s="13">
        <v>0.018</v>
      </c>
      <c r="D19" s="13">
        <v>0.025</v>
      </c>
      <c r="E19" s="14">
        <f>CHOOSE($B$3,B19,C19,D19)</f>
        <v>0.02</v>
      </c>
      <c r="F19" s="8" t="s">
        <v>378</v>
      </c>
    </row>
    <row r="20" ht="15" hidden="0" outlineLevel="0" collapsed="0">
      <c r="A20" s="8" t="s">
        <v>350</v>
      </c>
      <c r="B20" s="13">
        <v>0.09</v>
      </c>
      <c r="C20" s="13">
        <v>0.082</v>
      </c>
      <c r="D20" s="13">
        <v>0.102</v>
      </c>
      <c r="E20" s="14">
        <f>CHOOSE($B$3,B20,C20,D20)</f>
        <v>0.09</v>
      </c>
      <c r="F20" s="8" t="s">
        <v>379</v>
      </c>
    </row>
    <row r="21" ht="15" hidden="0" outlineLevel="0" collapsed="0">
      <c r="A21" s="8" t="s">
        <v>353</v>
      </c>
      <c r="B21" s="13">
        <v>0.035</v>
      </c>
      <c r="C21" s="13">
        <v>0.04</v>
      </c>
      <c r="D21" s="13">
        <v>0.025</v>
      </c>
      <c r="E21" s="14">
        <f>CHOOSE($B$3,B21,C21,D21)</f>
        <v>0.035</v>
      </c>
      <c r="F21" s="8" t="s">
        <v>379</v>
      </c>
    </row>
    <row r="22" ht="15" hidden="0" outlineLevel="0" collapsed="0">
      <c r="A22" s="8" t="s">
        <v>380</v>
      </c>
      <c r="B22" s="15">
        <v>1</v>
      </c>
      <c r="C22" s="15">
        <v>1</v>
      </c>
      <c r="D22" s="15">
        <v>1</v>
      </c>
      <c r="E22" s="16">
        <f>CHOOSE($B$3,B22,C22,D22)</f>
        <v>1</v>
      </c>
      <c r="F22" s="8" t="s">
        <v>381</v>
      </c>
    </row>
    <row r="23" ht="15" hidden="0" outlineLevel="0" collapsed="0">
      <c r="A23" s="8" t="s">
        <v>248</v>
      </c>
      <c r="B23" s="17">
        <v>1</v>
      </c>
      <c r="C23" s="17">
        <v>1</v>
      </c>
      <c r="D23" s="17">
        <v>1</v>
      </c>
      <c r="E23" s="18">
        <f>CHOOSE($B$3,B23,C23,D23)</f>
        <v>1</v>
      </c>
      <c r="F23" s="8" t="s">
        <v>381</v>
      </c>
    </row>
    <row r="24" ht="15" hidden="0" outlineLevel="0" collapsed="0">
      <c r="A24" s="8" t="s">
        <v>382</v>
      </c>
      <c r="B24" s="19">
        <v>212.5</v>
      </c>
      <c r="C24" s="19">
        <v>212.5</v>
      </c>
      <c r="D24" s="19">
        <v>212.5</v>
      </c>
      <c r="E24" s="20">
        <f>CHOOSE($B$3,B24,C24,D24)</f>
        <v>212.5</v>
      </c>
      <c r="F24" s="8" t="s">
        <v>381</v>
      </c>
    </row>
    <row r="25" ht="15" hidden="0" outlineLevel="0" collapsed="0">
      <c r="A25" s="4"/>
      <c r="B25" s="4"/>
      <c r="C25" s="4"/>
      <c r="D25" s="4"/>
      <c r="E25" s="4"/>
      <c r="F25" s="4"/>
    </row>
    <row r="26" ht="15" hidden="0" outlineLevel="0" collapsed="0">
      <c r="A26" s="4"/>
      <c r="B26" s="4"/>
      <c r="C26" s="4"/>
      <c r="D26" s="4"/>
      <c r="E26" s="4"/>
      <c r="F26" s="4"/>
    </row>
  </sheetData>
  <mergeCells count="2">
    <mergeCell ref="A1:F1"/>
    <mergeCell ref="A2:F2"/>
  </mergeCells>
  <dataValidations count="1">
    <dataValidation sqref="B3" type="whole">
      <formula1>1</formula1>
      <formula2>3</formula2>
    </dataValidation>
  </dataValidation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G3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style="1" hidden="0" customWidth="1" outlineLevel="0" collapsed="0"/>
    <col min="2" max="7" width="15" style="1" hidden="0" customWidth="1" outlineLevel="0" collapsed="0"/>
  </cols>
  <sheetData>
    <row r="1" ht="15" hidden="0" outlineLevel="0" collapsed="0">
      <c r="A1" s="2" t="s">
        <v>383</v>
      </c>
      <c r="B1" s="2"/>
      <c r="C1" s="2"/>
      <c r="D1" s="2"/>
      <c r="E1" s="2"/>
      <c r="F1" s="2"/>
      <c r="G1" s="2"/>
    </row>
    <row r="2" ht="34" hidden="0" outlineLevel="0" collapsed="0">
      <c r="A2" s="3" t="s">
        <v>384</v>
      </c>
      <c r="B2" s="3"/>
      <c r="C2" s="3"/>
      <c r="D2" s="3"/>
      <c r="E2" s="3"/>
      <c r="F2" s="3"/>
      <c r="G2" s="3"/>
    </row>
    <row r="3" ht="15" hidden="0" outlineLevel="0" collapsed="0">
      <c r="A3" s="4"/>
      <c r="B3" s="4"/>
      <c r="C3" s="4"/>
      <c r="D3" s="4"/>
      <c r="E3" s="4"/>
      <c r="F3" s="4"/>
      <c r="G3" s="4"/>
    </row>
    <row r="4" ht="15" hidden="0" outlineLevel="0" collapsed="0">
      <c r="A4" s="5" t="s">
        <v>357</v>
      </c>
      <c r="B4" s="5" t="s">
        <v>9</v>
      </c>
      <c r="C4" s="5" t="s">
        <v>385</v>
      </c>
      <c r="D4" s="5" t="s">
        <v>386</v>
      </c>
      <c r="E4" s="5" t="s">
        <v>387</v>
      </c>
      <c r="F4" s="5" t="s">
        <v>388</v>
      </c>
      <c r="G4" s="5" t="s">
        <v>389</v>
      </c>
    </row>
    <row r="5" ht="15" hidden="0" outlineLevel="0" collapsed="0">
      <c r="A5" s="10" t="s">
        <v>255</v>
      </c>
      <c r="B5" s="9">
        <v>193700</v>
      </c>
      <c r="C5" s="9">
        <f>B5*(1+Assumptions!$E$5)</f>
        <v>255684</v>
      </c>
      <c r="D5" s="9">
        <f>C5*(1+Assumptions!$E$5+(Assumptions!$E$6-Assumptions!$E$5)*1/4)</f>
        <v>327275.52</v>
      </c>
      <c r="E5" s="9">
        <f>D5*(1+Assumptions!$E$5+(Assumptions!$E$6-Assumptions!$E$5)*2/4)</f>
        <v>405821.6448</v>
      </c>
      <c r="F5" s="9">
        <f>E5*(1+Assumptions!$E$5+(Assumptions!$E$6-Assumptions!$E$5)*3/4)</f>
        <v>486985.9737600001</v>
      </c>
      <c r="G5" s="9">
        <f>F5*(1+Assumptions!$E$5+(Assumptions!$E$6-Assumptions!$E$5)*4/4)</f>
        <v>564903.7295616001</v>
      </c>
    </row>
    <row r="6" ht="15" hidden="0" outlineLevel="0" collapsed="0">
      <c r="A6" s="10" t="s">
        <v>264</v>
      </c>
      <c r="B6" s="9">
        <v>16000</v>
      </c>
      <c r="C6" s="9">
        <f>B6*(1+Assumptions!$E$7)</f>
        <v>17920</v>
      </c>
      <c r="D6" s="9">
        <f>C6*(1+Assumptions!$E$7+(Assumptions!$E$8-Assumptions!$E$7)*1/4)</f>
        <v>19891.2</v>
      </c>
      <c r="E6" s="9">
        <f>D6*(1+Assumptions!$E$7+(Assumptions!$E$8-Assumptions!$E$7)*2/4)</f>
        <v>21880.320000000003</v>
      </c>
      <c r="F6" s="9">
        <f>E6*(1+Assumptions!$E$7+(Assumptions!$E$8-Assumptions!$E$7)*3/4)</f>
        <v>23849.548800000004</v>
      </c>
      <c r="G6" s="9">
        <f>F6*(1+Assumptions!$E$7+(Assumptions!$E$8-Assumptions!$E$7)*4/4)</f>
        <v>25757.512704000008</v>
      </c>
    </row>
    <row r="7" ht="15" hidden="0" outlineLevel="0" collapsed="0">
      <c r="A7" s="10" t="s">
        <v>267</v>
      </c>
      <c r="B7" s="9">
        <v>6238</v>
      </c>
      <c r="C7" s="9">
        <f>B7*(1+Assumptions!$E$9)</f>
        <v>6986.56</v>
      </c>
      <c r="D7" s="9">
        <f>C7*(1+Assumptions!$E$9+(Assumptions!$E$10-Assumptions!$E$9)*1/4)</f>
        <v>7737.615200000001</v>
      </c>
      <c r="E7" s="9">
        <f>D7*(1+Assumptions!$E$9+(Assumptions!$E$10-Assumptions!$E$9)*2/4)</f>
        <v>8472.688644000003</v>
      </c>
      <c r="F7" s="9">
        <f>E7*(1+Assumptions!$E$9+(Assumptions!$E$10-Assumptions!$E$9)*3/4)</f>
        <v>9171.685457130005</v>
      </c>
      <c r="G7" s="9">
        <f>F7*(1+Assumptions!$E$9+(Assumptions!$E$10-Assumptions!$E$9)*4/4)</f>
        <v>9813.703439129105</v>
      </c>
    </row>
    <row r="8" ht="15" hidden="0" outlineLevel="0" collapsed="0">
      <c r="A8" s="10" t="s">
        <v>390</v>
      </c>
      <c r="B8" s="9">
        <f>SUM(B5:B7)</f>
        <v>215938</v>
      </c>
      <c r="C8" s="9">
        <f>SUM(C5:C7)</f>
        <v>280590.56</v>
      </c>
      <c r="D8" s="9">
        <f>SUM(D5:D7)</f>
        <v>354904.33520000003</v>
      </c>
      <c r="E8" s="9">
        <f>SUM(E5:E7)</f>
        <v>436174.653444</v>
      </c>
      <c r="F8" s="9">
        <f>SUM(F5:F7)</f>
        <v>520007.2080171301</v>
      </c>
      <c r="G8" s="9">
        <f>SUM(G5:G7)</f>
        <v>600474.9457047293</v>
      </c>
    </row>
    <row r="9" ht="15" hidden="0" outlineLevel="0" collapsed="0">
      <c r="A9" s="10" t="s">
        <v>391</v>
      </c>
      <c r="B9" s="11">
        <f>Historical!F6</f>
        <v>0.6547353579009478</v>
      </c>
      <c r="C9" s="11">
        <f>IF(B8&lt;&gt;0,C8/B8-1,0)</f>
        <v>0.29940334725708295</v>
      </c>
      <c r="D9" s="11">
        <f>IF(C8&lt;&gt;0,D8/C8-1,0)</f>
        <v>0.26484773828456687</v>
      </c>
      <c r="E9" s="11">
        <f>IF(D8&lt;&gt;0,E8/D8-1,0)</f>
        <v>0.22899218235303187</v>
      </c>
      <c r="F9" s="11">
        <f>IF(E8&lt;&gt;0,F8/E8-1,0)</f>
        <v>0.19219950978626343</v>
      </c>
      <c r="G9" s="11">
        <f>IF(F8&lt;&gt;0,G8/F8-1,0)</f>
        <v>0.15474350441109364</v>
      </c>
    </row>
    <row r="10" ht="15" hidden="0" outlineLevel="0" collapsed="0">
      <c r="A10" s="10" t="s">
        <v>280</v>
      </c>
      <c r="B10" s="11">
        <f>Historical!F8</f>
        <v>0.7106808435754708</v>
      </c>
      <c r="C10" s="11">
        <f>Assumptions!$E$11</f>
        <v>0.735</v>
      </c>
      <c r="D10" s="11">
        <f>Assumptions!$E$11+(Assumptions!$E$12-Assumptions!$E$11)*1/4</f>
        <v>0.73875</v>
      </c>
      <c r="E10" s="11">
        <f>Assumptions!$E$11+(Assumptions!$E$12-Assumptions!$E$11)*2/4</f>
        <v>0.7424999999999999</v>
      </c>
      <c r="F10" s="11">
        <f>Assumptions!$E$11+(Assumptions!$E$12-Assumptions!$E$11)*3/4</f>
        <v>0.74625</v>
      </c>
      <c r="G10" s="11">
        <f>Assumptions!$E$11+(Assumptions!$E$12-Assumptions!$E$11)*4/4</f>
        <v>0.75</v>
      </c>
    </row>
    <row r="11" ht="15" hidden="0" outlineLevel="0" collapsed="0">
      <c r="A11" s="10" t="s">
        <v>81</v>
      </c>
      <c r="B11" s="9">
        <f>B8*B10</f>
        <v>153463</v>
      </c>
      <c r="C11" s="9">
        <f>C8*C10</f>
        <v>206234.0616</v>
      </c>
      <c r="D11" s="9">
        <f>D8*D10</f>
        <v>262185.577629</v>
      </c>
      <c r="E11" s="9">
        <f>E8*E10</f>
        <v>323859.68018216995</v>
      </c>
      <c r="F11" s="9">
        <f>F8*F10</f>
        <v>388055.3789827833</v>
      </c>
      <c r="G11" s="9">
        <f>G8*G10</f>
        <v>450356.209278547</v>
      </c>
    </row>
    <row r="12" ht="15" hidden="0" outlineLevel="0" collapsed="0">
      <c r="A12" s="10" t="s">
        <v>329</v>
      </c>
      <c r="B12" s="11">
        <f>IF(B8&lt;&gt;0,Historical!F14/B8,0)</f>
        <v>0.08565884652076058</v>
      </c>
      <c r="C12" s="11">
        <f>Assumptions!$E$13</f>
        <v>0.086</v>
      </c>
      <c r="D12" s="11">
        <f>Assumptions!$E$13</f>
        <v>0.086</v>
      </c>
      <c r="E12" s="11">
        <f>Assumptions!$E$13</f>
        <v>0.086</v>
      </c>
      <c r="F12" s="11">
        <f>Assumptions!$E$13</f>
        <v>0.086</v>
      </c>
      <c r="G12" s="11">
        <f>Assumptions!$E$13</f>
        <v>0.086</v>
      </c>
    </row>
    <row r="13" ht="15" hidden="0" outlineLevel="0" collapsed="0">
      <c r="A13" s="10" t="s">
        <v>392</v>
      </c>
      <c r="B13" s="9">
        <f>Historical!F14</f>
        <v>18497</v>
      </c>
      <c r="C13" s="9">
        <f>C8*C12</f>
        <v>24130.788159999996</v>
      </c>
      <c r="D13" s="9">
        <f>D8*D12</f>
        <v>30521.7728272</v>
      </c>
      <c r="E13" s="9">
        <f>E8*E12</f>
        <v>37511.020196184</v>
      </c>
      <c r="F13" s="9">
        <f>F8*F12</f>
        <v>44720.619889473186</v>
      </c>
      <c r="G13" s="9">
        <f>G8*G12</f>
        <v>51640.84533060672</v>
      </c>
    </row>
    <row r="14" ht="28.35" hidden="0" outlineLevel="0" collapsed="0">
      <c r="A14" s="10" t="s">
        <v>332</v>
      </c>
      <c r="B14" s="11">
        <f>IF(B8&lt;&gt;0,(B11-Historical!F9-B13)/B8,0)</f>
        <v>0.021205160740582946</v>
      </c>
      <c r="C14" s="11">
        <f>Assumptions!$E$14</f>
        <v>0.021</v>
      </c>
      <c r="D14" s="11">
        <f>Assumptions!$E$14</f>
        <v>0.021</v>
      </c>
      <c r="E14" s="11">
        <f>Assumptions!$E$14</f>
        <v>0.021</v>
      </c>
      <c r="F14" s="11">
        <f>Assumptions!$E$14</f>
        <v>0.021</v>
      </c>
      <c r="G14" s="11">
        <f>Assumptions!$E$14</f>
        <v>0.021</v>
      </c>
    </row>
    <row r="15" ht="15" hidden="0" outlineLevel="0" collapsed="0">
      <c r="A15" s="10" t="s">
        <v>393</v>
      </c>
      <c r="B15" s="9">
        <f>B8*B14</f>
        <v>4579</v>
      </c>
      <c r="C15" s="9">
        <f>C8*C14</f>
        <v>5892.401760000001</v>
      </c>
      <c r="D15" s="9">
        <f>D8*D14</f>
        <v>7452.991039200001</v>
      </c>
      <c r="E15" s="9">
        <f>E8*E14</f>
        <v>9159.667722324</v>
      </c>
      <c r="F15" s="9">
        <f>F8*F14</f>
        <v>10920.151368359733</v>
      </c>
      <c r="G15" s="9">
        <f>G8*G14</f>
        <v>12609.973859799316</v>
      </c>
    </row>
    <row r="16" ht="15" hidden="0" outlineLevel="0" collapsed="0">
      <c r="A16" s="10" t="s">
        <v>93</v>
      </c>
      <c r="B16" s="9">
        <f>B11-B13-B15</f>
        <v>130387</v>
      </c>
      <c r="C16" s="9">
        <f>C11-C13-C15</f>
        <v>176210.87167999998</v>
      </c>
      <c r="D16" s="9">
        <f>D11-D13-D15</f>
        <v>224210.8137626</v>
      </c>
      <c r="E16" s="9">
        <f>E11-E13-E15</f>
        <v>277188.99226366193</v>
      </c>
      <c r="F16" s="9">
        <f>F11-F13-F15</f>
        <v>332414.60772495036</v>
      </c>
      <c r="G16" s="9">
        <f>G11-G13-G15</f>
        <v>386105.3900881409</v>
      </c>
    </row>
    <row r="17" ht="15" hidden="0" outlineLevel="0" collapsed="0">
      <c r="A17" s="10" t="s">
        <v>366</v>
      </c>
      <c r="B17" s="11">
        <f>IF(B8&lt;&gt;0,B16/B8,0)</f>
        <v>0.6038168363141272</v>
      </c>
      <c r="C17" s="11">
        <f>IF(C8&lt;&gt;0,C16/C8,0)</f>
        <v>0.6279999999999999</v>
      </c>
      <c r="D17" s="11">
        <f>IF(D8&lt;&gt;0,D16/D8,0)</f>
        <v>0.6317499999999999</v>
      </c>
      <c r="E17" s="11">
        <f>IF(E8&lt;&gt;0,E16/E8,0)</f>
        <v>0.6354999999999998</v>
      </c>
      <c r="F17" s="11">
        <f>IF(F8&lt;&gt;0,F16/F8,0)</f>
        <v>0.6392499999999999</v>
      </c>
      <c r="G17" s="11">
        <f>IF(G8&lt;&gt;0,G16/G8,0)</f>
        <v>0.6429999999999999</v>
      </c>
    </row>
    <row r="18" ht="15" hidden="0" outlineLevel="0" collapsed="0">
      <c r="A18" s="10" t="s">
        <v>335</v>
      </c>
      <c r="B18" s="11">
        <f>Assumptions!E15</f>
        <v>0.18</v>
      </c>
      <c r="C18" s="11">
        <f>Assumptions!$E$15</f>
        <v>0.18</v>
      </c>
      <c r="D18" s="11">
        <f>Assumptions!$E$15</f>
        <v>0.18</v>
      </c>
      <c r="E18" s="11">
        <f>Assumptions!$E$15</f>
        <v>0.18</v>
      </c>
      <c r="F18" s="11">
        <f>Assumptions!$E$15</f>
        <v>0.18</v>
      </c>
      <c r="G18" s="11">
        <f>Assumptions!$E$15</f>
        <v>0.18</v>
      </c>
    </row>
    <row r="19" ht="15" hidden="0" outlineLevel="0" collapsed="0">
      <c r="A19" s="10" t="s">
        <v>394</v>
      </c>
      <c r="B19" s="9">
        <f>B16*(1-B18)</f>
        <v>106917.34000000001</v>
      </c>
      <c r="C19" s="9">
        <f>C16*(1-C18)</f>
        <v>144492.9147776</v>
      </c>
      <c r="D19" s="9">
        <f>D16*(1-D18)</f>
        <v>183852.86728533203</v>
      </c>
      <c r="E19" s="9">
        <f>E16*(1-E18)</f>
        <v>227294.9736562028</v>
      </c>
      <c r="F19" s="9">
        <f>F16*(1-F18)</f>
        <v>272579.9783344593</v>
      </c>
      <c r="G19" s="9">
        <f>G16*(1-G18)</f>
        <v>316606.41987227555</v>
      </c>
    </row>
    <row r="20" ht="15" hidden="0" outlineLevel="0" collapsed="0">
      <c r="A20" s="10" t="s">
        <v>338</v>
      </c>
      <c r="B20" s="11">
        <f>Assumptions!E16</f>
        <v>0.03</v>
      </c>
      <c r="C20" s="11">
        <f>Assumptions!$E$16</f>
        <v>0.03</v>
      </c>
      <c r="D20" s="11">
        <f>Assumptions!$E$16</f>
        <v>0.03</v>
      </c>
      <c r="E20" s="11">
        <f>Assumptions!$E$16</f>
        <v>0.03</v>
      </c>
      <c r="F20" s="11">
        <f>Assumptions!$E$16</f>
        <v>0.03</v>
      </c>
      <c r="G20" s="11">
        <f>Assumptions!$E$16</f>
        <v>0.03</v>
      </c>
    </row>
    <row r="21" ht="15" hidden="0" outlineLevel="0" collapsed="0">
      <c r="A21" s="10" t="s">
        <v>395</v>
      </c>
      <c r="B21" s="9">
        <f>B8*B20</f>
        <v>6478.139999999999</v>
      </c>
      <c r="C21" s="9">
        <f>C8*C20</f>
        <v>8417.7168</v>
      </c>
      <c r="D21" s="9">
        <f>D8*D20</f>
        <v>10647.130056</v>
      </c>
      <c r="E21" s="9">
        <f>E8*E20</f>
        <v>13085.23960332</v>
      </c>
      <c r="F21" s="9">
        <f>F8*F20</f>
        <v>15600.216240513902</v>
      </c>
      <c r="G21" s="9">
        <f>G8*G20</f>
        <v>18014.24837114188</v>
      </c>
    </row>
    <row r="22" ht="15" hidden="0" outlineLevel="0" collapsed="0">
      <c r="A22" s="10" t="s">
        <v>396</v>
      </c>
      <c r="B22" s="11">
        <f>IF(B8&lt;&gt;0,Historical!F13/B8,0)</f>
        <v>0.027980253591308617</v>
      </c>
      <c r="C22" s="11">
        <f>Assumptions!$E$17</f>
        <v>0.03</v>
      </c>
      <c r="D22" s="11">
        <f>Assumptions!$E$17+(Assumptions!$E$18-Assumptions!$E$17)*1/4</f>
        <v>0.028749999999999998</v>
      </c>
      <c r="E22" s="11">
        <f>Assumptions!$E$17+(Assumptions!$E$18-Assumptions!$E$17)*2/4</f>
        <v>0.0275</v>
      </c>
      <c r="F22" s="11">
        <f>Assumptions!$E$17+(Assumptions!$E$18-Assumptions!$E$17)*3/4</f>
        <v>0.026250000000000002</v>
      </c>
      <c r="G22" s="11">
        <f>Assumptions!$E$17+(Assumptions!$E$18-Assumptions!$E$17)*4/4</f>
        <v>0.025</v>
      </c>
    </row>
    <row r="23" ht="15" hidden="0" outlineLevel="0" collapsed="0">
      <c r="A23" s="10" t="s">
        <v>129</v>
      </c>
      <c r="B23" s="9">
        <f>Historical!F13</f>
        <v>6042</v>
      </c>
      <c r="C23" s="9">
        <f>C8*C22</f>
        <v>8417.7168</v>
      </c>
      <c r="D23" s="9">
        <f>D8*D22</f>
        <v>10203.499637</v>
      </c>
      <c r="E23" s="9">
        <f>E8*E22</f>
        <v>11994.80296971</v>
      </c>
      <c r="F23" s="9">
        <f>F8*F22</f>
        <v>13650.189210449666</v>
      </c>
      <c r="G23" s="9">
        <f>G8*G22</f>
        <v>15011.873642618233</v>
      </c>
    </row>
    <row r="24" ht="15" hidden="0" outlineLevel="0" collapsed="0">
      <c r="A24" s="10" t="s">
        <v>397</v>
      </c>
      <c r="B24" s="9">
        <v>0</v>
      </c>
      <c r="C24" s="9">
        <f>MAX(0,(C8-B8)*Assumptions!$E$19)</f>
        <v>1293.0511999999999</v>
      </c>
      <c r="D24" s="9">
        <f>MAX(0,(D8-C8)*Assumptions!$E$19)</f>
        <v>1486.2755040000006</v>
      </c>
      <c r="E24" s="9">
        <f>MAX(0,(E8-D8)*Assumptions!$E$19)</f>
        <v>1625.4063648799993</v>
      </c>
      <c r="F24" s="9">
        <f>MAX(0,(F8-E8)*Assumptions!$E$19)</f>
        <v>1676.651091462602</v>
      </c>
      <c r="G24" s="9">
        <f>MAX(0,(G8-F8)*Assumptions!$E$19)</f>
        <v>1609.3547537519842</v>
      </c>
    </row>
    <row r="25" ht="15" hidden="0" outlineLevel="0" collapsed="0">
      <c r="A25" s="10" t="s">
        <v>398</v>
      </c>
      <c r="B25" s="9">
        <f>B19+B21-B23-B24</f>
        <v>107353.48000000001</v>
      </c>
      <c r="C25" s="9">
        <f>C19+C21-C23-C24</f>
        <v>143199.86357760002</v>
      </c>
      <c r="D25" s="9">
        <f>D19+D21-D23-D24</f>
        <v>182810.22220033203</v>
      </c>
      <c r="E25" s="9">
        <f>E19+E21-E23-E24</f>
        <v>226760.0039249328</v>
      </c>
      <c r="F25" s="9">
        <f>F19+F21-F23-F24</f>
        <v>272853.3542730609</v>
      </c>
      <c r="G25" s="9">
        <f>G19+G21-G23-G24</f>
        <v>317999.4398470472</v>
      </c>
    </row>
    <row r="26" ht="15" hidden="0" outlineLevel="0" collapsed="0">
      <c r="A26" s="10" t="s">
        <v>399</v>
      </c>
      <c r="B26" s="9">
        <v>62556</v>
      </c>
      <c r="C26" s="9">
        <f>$B$26</f>
        <v>62556</v>
      </c>
      <c r="D26" s="9">
        <f>$B$26</f>
        <v>62556</v>
      </c>
      <c r="E26" s="9">
        <f>$B$26</f>
        <v>62556</v>
      </c>
      <c r="F26" s="9">
        <f>$B$26</f>
        <v>62556</v>
      </c>
      <c r="G26" s="9">
        <f>$B$26</f>
        <v>62556</v>
      </c>
    </row>
    <row r="27" ht="15" hidden="0" outlineLevel="0" collapsed="0">
      <c r="A27" s="10" t="s">
        <v>192</v>
      </c>
      <c r="B27" s="9">
        <v>8468</v>
      </c>
      <c r="C27" s="9">
        <f>$B$27</f>
        <v>8468</v>
      </c>
      <c r="D27" s="9">
        <f>$B$27</f>
        <v>8468</v>
      </c>
      <c r="E27" s="9">
        <f>$B$27</f>
        <v>8468</v>
      </c>
      <c r="F27" s="9">
        <f>$B$27</f>
        <v>8468</v>
      </c>
      <c r="G27" s="9">
        <f>$B$27</f>
        <v>8468</v>
      </c>
    </row>
    <row r="28" ht="15" hidden="0" outlineLevel="0" collapsed="0">
      <c r="A28" s="10" t="s">
        <v>400</v>
      </c>
      <c r="B28" s="9">
        <v>24514</v>
      </c>
      <c r="C28" s="9">
        <f>$B$28</f>
        <v>24514</v>
      </c>
      <c r="D28" s="9">
        <f>$B$28</f>
        <v>24514</v>
      </c>
      <c r="E28" s="9">
        <f>$B$28</f>
        <v>24514</v>
      </c>
      <c r="F28" s="9">
        <f>$B$28</f>
        <v>24514</v>
      </c>
      <c r="G28" s="9">
        <f>$B$28</f>
        <v>24514</v>
      </c>
    </row>
    <row r="29" ht="15" hidden="0" outlineLevel="0" collapsed="0">
      <c r="A29" s="4"/>
      <c r="B29" s="4"/>
      <c r="C29" s="4"/>
      <c r="D29" s="4"/>
      <c r="E29" s="4"/>
      <c r="F29" s="4"/>
      <c r="G29" s="4"/>
    </row>
    <row r="30" ht="15" hidden="0" outlineLevel="0" collapsed="0">
      <c r="A30" s="4"/>
      <c r="B30" s="4"/>
      <c r="C30" s="4"/>
      <c r="D30" s="4"/>
      <c r="E30" s="4"/>
      <c r="F30" s="4"/>
      <c r="G30" s="4"/>
    </row>
  </sheetData>
  <mergeCells count="2">
    <mergeCell ref="A1:G1"/>
    <mergeCell ref="A2:G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G25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style="1" hidden="0" customWidth="1" outlineLevel="0" collapsed="0"/>
    <col min="2" max="7" width="15" style="1" hidden="0" customWidth="1" outlineLevel="0" collapsed="0"/>
  </cols>
  <sheetData>
    <row r="1" ht="15" hidden="0" outlineLevel="0" collapsed="0">
      <c r="A1" s="2" t="s">
        <v>401</v>
      </c>
      <c r="B1" s="2"/>
      <c r="C1" s="2"/>
      <c r="D1" s="2"/>
      <c r="E1" s="2"/>
      <c r="F1" s="2"/>
      <c r="G1" s="2"/>
    </row>
    <row r="2" ht="34" hidden="0" outlineLevel="0" collapsed="0">
      <c r="A2" s="3" t="s">
        <v>402</v>
      </c>
      <c r="B2" s="3"/>
      <c r="C2" s="3"/>
      <c r="D2" s="3"/>
      <c r="E2" s="3"/>
      <c r="F2" s="3"/>
      <c r="G2" s="3"/>
    </row>
    <row r="3" ht="15" hidden="0" outlineLevel="0" collapsed="0">
      <c r="A3" s="4"/>
      <c r="B3" s="4"/>
      <c r="C3" s="4"/>
      <c r="D3" s="4"/>
      <c r="E3" s="4"/>
      <c r="F3" s="4"/>
      <c r="G3" s="4"/>
    </row>
    <row r="4" ht="15" hidden="0" outlineLevel="0" collapsed="0">
      <c r="A4" s="5" t="s">
        <v>357</v>
      </c>
      <c r="B4" s="5" t="s">
        <v>403</v>
      </c>
      <c r="C4" s="5" t="s">
        <v>404</v>
      </c>
      <c r="D4" s="5" t="s">
        <v>405</v>
      </c>
      <c r="E4" s="5" t="s">
        <v>406</v>
      </c>
      <c r="F4" s="5" t="s">
        <v>407</v>
      </c>
      <c r="G4" s="5" t="s">
        <v>408</v>
      </c>
    </row>
    <row r="5" ht="15" hidden="0" outlineLevel="0" collapsed="0">
      <c r="A5" s="8" t="s">
        <v>398</v>
      </c>
      <c r="B5" s="9">
        <f>Forecast!C25</f>
        <v>143199.86357760002</v>
      </c>
      <c r="C5" s="9">
        <f>Forecast!D25</f>
        <v>182810.22220033203</v>
      </c>
      <c r="D5" s="9">
        <f>Forecast!E25</f>
        <v>226760.0039249328</v>
      </c>
      <c r="E5" s="9">
        <f>Forecast!F25</f>
        <v>272853.3542730609</v>
      </c>
      <c r="F5" s="9">
        <f>Forecast!G25</f>
        <v>317999.4398470472</v>
      </c>
      <c r="G5" s="9"/>
    </row>
    <row r="6" ht="15" hidden="0" outlineLevel="0" collapsed="0">
      <c r="A6" s="8" t="s">
        <v>409</v>
      </c>
      <c r="B6" s="21">
        <f>1/(1+Assumptions!$E$20)^1</f>
        <v>0.9174311926605504</v>
      </c>
      <c r="C6" s="21">
        <f>1/(1+Assumptions!$E$20)^2</f>
        <v>0.84167999326656</v>
      </c>
      <c r="D6" s="21">
        <f>1/(1+Assumptions!$E$20)^3</f>
        <v>0.7721834800610642</v>
      </c>
      <c r="E6" s="21">
        <f>1/(1+Assumptions!$E$20)^4</f>
        <v>0.7084252110651963</v>
      </c>
      <c r="F6" s="21">
        <f>1/(1+Assumptions!$E$20)^5</f>
        <v>0.6499313862983452</v>
      </c>
      <c r="G6" s="9"/>
    </row>
    <row r="7" ht="15" hidden="0" outlineLevel="0" collapsed="0">
      <c r="A7" s="8" t="s">
        <v>410</v>
      </c>
      <c r="B7" s="9">
        <f>B5*B6</f>
        <v>131376.0216308257</v>
      </c>
      <c r="C7" s="9">
        <f>C5*C6</f>
        <v>153867.7065906338</v>
      </c>
      <c r="D7" s="9">
        <f>D5*D6</f>
        <v>175100.3289694152</v>
      </c>
      <c r="E7" s="9">
        <f>E5*E6</f>
        <v>193296.19509073996</v>
      </c>
      <c r="F7" s="9">
        <f>F5*F6</f>
        <v>206677.81678188863</v>
      </c>
      <c r="G7" s="9"/>
    </row>
    <row r="8" ht="15" hidden="0" outlineLevel="0" collapsed="0">
      <c r="A8" s="8"/>
      <c r="B8" s="9"/>
      <c r="C8" s="9"/>
      <c r="D8" s="9"/>
      <c r="E8" s="9"/>
      <c r="F8" s="9"/>
      <c r="G8" s="9"/>
    </row>
    <row r="9" ht="15" hidden="0" outlineLevel="0" collapsed="0">
      <c r="A9" s="5" t="s">
        <v>408</v>
      </c>
      <c r="B9" s="22" t="s">
        <v>30</v>
      </c>
      <c r="C9" s="9"/>
      <c r="D9" s="9"/>
      <c r="E9" s="9"/>
      <c r="F9" s="9"/>
      <c r="G9" s="9"/>
    </row>
    <row r="10" ht="15" hidden="0" outlineLevel="0" collapsed="0">
      <c r="A10" s="8" t="s">
        <v>411</v>
      </c>
      <c r="B10" s="9">
        <f>SUM(B7:F7)</f>
        <v>860318.0690635033</v>
      </c>
      <c r="C10" s="9"/>
      <c r="D10" s="9"/>
      <c r="E10" s="9"/>
      <c r="F10" s="9"/>
      <c r="G10" s="9"/>
    </row>
    <row r="11" ht="15" hidden="0" outlineLevel="0" collapsed="0">
      <c r="A11" s="8" t="s">
        <v>412</v>
      </c>
      <c r="B11" s="9">
        <f>IF(Assumptions!$E$20&gt;Assumptions!$E$21,F5*(1+Assumptions!$E$21)/(Assumptions!$E$20-Assumptions!$E$21),0)</f>
        <v>5984171.277121707</v>
      </c>
      <c r="C11" s="9"/>
      <c r="D11" s="9"/>
      <c r="E11" s="9"/>
      <c r="F11" s="9"/>
      <c r="G11" s="9"/>
    </row>
    <row r="12" ht="15" hidden="0" outlineLevel="0" collapsed="0">
      <c r="A12" s="8" t="s">
        <v>413</v>
      </c>
      <c r="B12" s="9">
        <f>B11*F6</f>
        <v>3889300.73398645</v>
      </c>
      <c r="C12" s="9"/>
      <c r="D12" s="9"/>
      <c r="E12" s="9"/>
      <c r="F12" s="9"/>
      <c r="G12" s="9"/>
    </row>
    <row r="13" ht="15" hidden="0" outlineLevel="0" collapsed="0">
      <c r="A13" s="8" t="s">
        <v>414</v>
      </c>
      <c r="B13" s="9">
        <f>B10+B12</f>
        <v>4749618.803049954</v>
      </c>
      <c r="C13" s="9"/>
      <c r="D13" s="9"/>
      <c r="E13" s="9"/>
      <c r="F13" s="9"/>
      <c r="G13" s="9"/>
    </row>
    <row r="14" ht="15" hidden="0" outlineLevel="0" collapsed="0">
      <c r="A14" s="8" t="s">
        <v>399</v>
      </c>
      <c r="B14" s="9">
        <f>Forecast!B26</f>
        <v>62556</v>
      </c>
      <c r="C14" s="9"/>
      <c r="D14" s="9"/>
      <c r="E14" s="9"/>
      <c r="F14" s="9"/>
      <c r="G14" s="9"/>
    </row>
    <row r="15" ht="15" hidden="0" outlineLevel="0" collapsed="0">
      <c r="A15" s="8" t="s">
        <v>192</v>
      </c>
      <c r="B15" s="9">
        <f>Forecast!B27</f>
        <v>8468</v>
      </c>
      <c r="C15" s="9"/>
      <c r="D15" s="9"/>
      <c r="E15" s="9"/>
      <c r="F15" s="9"/>
      <c r="G15" s="9"/>
    </row>
    <row r="16" ht="15" hidden="0" outlineLevel="0" collapsed="0">
      <c r="A16" s="8" t="s">
        <v>415</v>
      </c>
      <c r="B16" s="9">
        <f>B13+B14-B15</f>
        <v>4803706.803049954</v>
      </c>
      <c r="C16" s="9"/>
      <c r="D16" s="9"/>
      <c r="E16" s="9"/>
      <c r="F16" s="9"/>
      <c r="G16" s="9"/>
    </row>
    <row r="17" ht="15" hidden="0" outlineLevel="0" collapsed="0">
      <c r="A17" s="8" t="s">
        <v>416</v>
      </c>
      <c r="B17" s="9">
        <f>Forecast!B28</f>
        <v>24514</v>
      </c>
      <c r="C17" s="9"/>
      <c r="D17" s="9"/>
      <c r="E17" s="9"/>
      <c r="F17" s="9"/>
      <c r="G17" s="9"/>
    </row>
    <row r="18" ht="15" hidden="0" outlineLevel="0" collapsed="0">
      <c r="A18" s="8" t="s">
        <v>417</v>
      </c>
      <c r="B18" s="9">
        <f>IF(B17&gt;0,B16/B17,0)</f>
        <v>195.95768960797722</v>
      </c>
      <c r="C18" s="9"/>
      <c r="D18" s="9"/>
      <c r="E18" s="9"/>
      <c r="F18" s="9"/>
      <c r="G18" s="9"/>
    </row>
    <row r="19" ht="15" hidden="0" outlineLevel="0" collapsed="0">
      <c r="A19" s="8" t="s">
        <v>418</v>
      </c>
      <c r="B19" s="23">
        <f>Assumptions!E22</f>
        <v>1</v>
      </c>
      <c r="C19" s="9"/>
      <c r="D19" s="9"/>
      <c r="E19" s="9"/>
      <c r="F19" s="9"/>
      <c r="G19" s="9"/>
    </row>
    <row r="20" ht="15" hidden="0" outlineLevel="0" collapsed="0">
      <c r="A20" s="8" t="s">
        <v>248</v>
      </c>
      <c r="B20" s="23">
        <f>Assumptions!E23</f>
        <v>1</v>
      </c>
      <c r="C20" s="9"/>
      <c r="D20" s="9"/>
      <c r="E20" s="9"/>
      <c r="F20" s="9"/>
      <c r="G20" s="9"/>
    </row>
    <row r="21" ht="15" hidden="0" outlineLevel="0" collapsed="0">
      <c r="A21" s="8" t="s">
        <v>419</v>
      </c>
      <c r="B21" s="24">
        <f>B18*Assumptions!$E$22*Assumptions!$E$23</f>
        <v>195.95768960797722</v>
      </c>
      <c r="C21" s="9"/>
      <c r="D21" s="9"/>
      <c r="E21" s="9"/>
      <c r="F21" s="9"/>
      <c r="G21" s="9"/>
    </row>
    <row r="22" ht="15" hidden="0" outlineLevel="0" collapsed="0">
      <c r="A22" s="8" t="s">
        <v>382</v>
      </c>
      <c r="B22" s="24">
        <f>Assumptions!E24</f>
        <v>212.5</v>
      </c>
      <c r="C22" s="9"/>
      <c r="D22" s="9"/>
      <c r="E22" s="9"/>
      <c r="F22" s="9"/>
      <c r="G22" s="9"/>
    </row>
    <row r="23" ht="15" hidden="0" outlineLevel="0" collapsed="0">
      <c r="A23" s="8" t="s">
        <v>420</v>
      </c>
      <c r="B23" s="11">
        <f>IF(B22&gt;0,B21/B22-1,0)</f>
        <v>-0.07784616655069543</v>
      </c>
      <c r="C23" s="9"/>
      <c r="D23" s="9"/>
      <c r="E23" s="9"/>
      <c r="F23" s="9"/>
      <c r="G23" s="9"/>
    </row>
    <row r="24" ht="15" hidden="0" outlineLevel="0" collapsed="0">
      <c r="A24" s="4"/>
      <c r="B24" s="4"/>
      <c r="C24" s="4"/>
      <c r="D24" s="4"/>
      <c r="E24" s="4"/>
      <c r="F24" s="4"/>
      <c r="G24" s="4"/>
    </row>
    <row r="25" ht="15" hidden="0" outlineLevel="0" collapsed="0">
      <c r="A25" s="4"/>
      <c r="B25" s="4"/>
      <c r="C25" s="4"/>
      <c r="D25" s="4"/>
      <c r="E25" s="4"/>
      <c r="F25" s="4"/>
      <c r="G25" s="4"/>
    </row>
  </sheetData>
  <mergeCells count="2">
    <mergeCell ref="A1:G1"/>
    <mergeCell ref="A2:G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F11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style="1" hidden="0" customWidth="1" outlineLevel="0" collapsed="0"/>
    <col min="2" max="6" width="17" style="1" hidden="0" customWidth="1" outlineLevel="0" collapsed="0"/>
  </cols>
  <sheetData>
    <row r="1" ht="15" hidden="0" outlineLevel="0" collapsed="0">
      <c r="A1" s="2" t="s">
        <v>421</v>
      </c>
      <c r="B1" s="2"/>
      <c r="C1" s="2"/>
      <c r="D1" s="2"/>
      <c r="E1" s="2"/>
      <c r="F1" s="2"/>
    </row>
    <row r="2" ht="34" hidden="0" outlineLevel="0" collapsed="0">
      <c r="A2" s="3" t="s">
        <v>422</v>
      </c>
      <c r="B2" s="3"/>
      <c r="C2" s="3"/>
      <c r="D2" s="3"/>
      <c r="E2" s="3"/>
      <c r="F2" s="3"/>
    </row>
    <row r="3" ht="15" hidden="0" outlineLevel="0" collapsed="0">
      <c r="A3" s="4"/>
      <c r="B3" s="4"/>
      <c r="C3" s="4"/>
      <c r="D3" s="4"/>
      <c r="E3" s="4"/>
      <c r="F3" s="4"/>
    </row>
    <row r="4" ht="15" hidden="0" outlineLevel="0" collapsed="0">
      <c r="A4" s="5" t="s">
        <v>423</v>
      </c>
      <c r="B4" s="25">
        <f>Assumptions!$E$20+-0.02</f>
        <v>0.06999999999999999</v>
      </c>
      <c r="C4" s="25">
        <f>Assumptions!$E$20+-0.01</f>
        <v>0.08</v>
      </c>
      <c r="D4" s="25">
        <f>Assumptions!$E$20+0</f>
        <v>0.09</v>
      </c>
      <c r="E4" s="25">
        <f>Assumptions!$E$20+0.01</f>
        <v>0.09999999999999999</v>
      </c>
      <c r="F4" s="25">
        <f>Assumptions!$E$20+0.02</f>
        <v>0.11</v>
      </c>
    </row>
    <row r="5" ht="15" hidden="0" outlineLevel="0" collapsed="0">
      <c r="A5" s="25">
        <f>Assumptions!$E$21+-0.01</f>
        <v>0.025</v>
      </c>
      <c r="B5" s="24">
        <f>((Valuation!$B$5/(1+B$4)^1+Valuation!$C$5/(1+B$4)^2+Valuation!$D$5/(1+B$4)^3+Valuation!$E$5/(1+B$4)^4+Valuation!$F$5/(1+B$4)^5+IF(B$4&gt;$A5,Valuation!$F$5*(1+$A5)/(B$4-$A5)/(1+B$4)^5,0)+Valuation!$B$14-Valuation!$B$15)/Valuation!$B$17)*Assumptions!$E$22*Assumptions!$E$23</f>
        <v>250.14163630035048</v>
      </c>
      <c r="C5" s="24">
        <f>((Valuation!$B$5/(1+C$4)^1+Valuation!$C$5/(1+C$4)^2+Valuation!$D$5/(1+C$4)^3+Valuation!$E$5/(1+C$4)^4+Valuation!$F$5/(1+C$4)^5+IF(C$4&gt;$A5,Valuation!$F$5*(1+$A5)/(C$4-$A5)/(1+C$4)^5,0)+Valuation!$B$14-Valuation!$B$15)/Valuation!$B$17)*Assumptions!$E$22*Assumptions!$E$23</f>
        <v>202.89536634270127</v>
      </c>
      <c r="D5" s="24">
        <f>((Valuation!$B$5/(1+D$4)^1+Valuation!$C$5/(1+D$4)^2+Valuation!$D$5/(1+D$4)^3+Valuation!$E$5/(1+D$4)^4+Valuation!$F$5/(1+D$4)^5+IF(D$4&gt;$A5,Valuation!$F$5*(1+$A5)/(D$4-$A5)/(1+D$4)^5,0)+Valuation!$B$14-Valuation!$B$15)/Valuation!$B$17)*Assumptions!$E$22*Assumptions!$E$23</f>
        <v>170.25194814301628</v>
      </c>
      <c r="E5" s="24">
        <f>((Valuation!$B$5/(1+E$4)^1+Valuation!$C$5/(1+E$4)^2+Valuation!$D$5/(1+E$4)^3+Valuation!$E$5/(1+E$4)^4+Valuation!$F$5/(1+E$4)^5+IF(E$4&gt;$A5,Valuation!$F$5*(1+$A5)/(E$4-$A5)/(1+E$4)^5,0)+Valuation!$B$14-Valuation!$B$15)/Valuation!$B$17)*Assumptions!$E$22*Assumptions!$E$23</f>
        <v>146.36759123189475</v>
      </c>
      <c r="F5" s="24">
        <f>((Valuation!$B$5/(1+F$4)^1+Valuation!$C$5/(1+F$4)^2+Valuation!$D$5/(1+F$4)^3+Valuation!$E$5/(1+F$4)^4+Valuation!$F$5/(1+F$4)^5+IF(F$4&gt;$A5,Valuation!$F$5*(1+$A5)/(F$4-$A5)/(1+F$4)^5,0)+Valuation!$B$14-Valuation!$B$15)/Valuation!$B$17)*Assumptions!$E$22*Assumptions!$E$23</f>
        <v>128.1486562650611</v>
      </c>
    </row>
    <row r="6" ht="15" hidden="0" outlineLevel="0" collapsed="0">
      <c r="A6" s="25">
        <f>Assumptions!$E$21+-0.005</f>
        <v>0.030000000000000002</v>
      </c>
      <c r="B6" s="24">
        <f>((Valuation!$B$5/(1+B$4)^1+Valuation!$C$5/(1+B$4)^2+Valuation!$D$5/(1+B$4)^3+Valuation!$E$5/(1+B$4)^4+Valuation!$F$5/(1+B$4)^5+IF(B$4&gt;$A6,Valuation!$F$5*(1+$A6)/(B$4-$A6)/(1+B$4)^5,0)+Valuation!$B$14-Valuation!$B$15)/Valuation!$B$17)*Assumptions!$E$22*Assumptions!$E$23</f>
        <v>277.63162502483306</v>
      </c>
      <c r="C6" s="24">
        <f>((Valuation!$B$5/(1+C$4)^1+Valuation!$C$5/(1+C$4)^2+Valuation!$D$5/(1+C$4)^3+Valuation!$E$5/(1+C$4)^4+Valuation!$F$5/(1+C$4)^5+IF(C$4&gt;$A6,Valuation!$F$5*(1+$A6)/(C$4-$A6)/(1+C$4)^5,0)+Valuation!$B$14-Valuation!$B$15)/Valuation!$B$17)*Assumptions!$E$22*Assumptions!$E$23</f>
        <v>220.23158842434148</v>
      </c>
      <c r="D6" s="24">
        <f>((Valuation!$B$5/(1+D$4)^1+Valuation!$C$5/(1+D$4)^2+Valuation!$D$5/(1+D$4)^3+Valuation!$E$5/(1+D$4)^4+Valuation!$F$5/(1+D$4)^5+IF(D$4&gt;$A6,Valuation!$F$5*(1+$A6)/(D$4-$A6)/(1+D$4)^5,0)+Valuation!$B$14-Valuation!$B$15)/Valuation!$B$17)*Assumptions!$E$22*Assumptions!$E$23</f>
        <v>182.03374631445675</v>
      </c>
      <c r="E6" s="24">
        <f>((Valuation!$B$5/(1+E$4)^1+Valuation!$C$5/(1+E$4)^2+Valuation!$D$5/(1+E$4)^3+Valuation!$E$5/(1+E$4)^4+Valuation!$F$5/(1+E$4)^5+IF(E$4&gt;$A6,Valuation!$F$5*(1+$A6)/(E$4-$A6)/(1+E$4)^5,0)+Valuation!$B$14-Valuation!$B$15)/Valuation!$B$17)*Assumptions!$E$22*Assumptions!$E$23</f>
        <v>154.80583628580328</v>
      </c>
      <c r="F6" s="24">
        <f>((Valuation!$B$5/(1+F$4)^1+Valuation!$C$5/(1+F$4)^2+Valuation!$D$5/(1+F$4)^3+Valuation!$E$5/(1+F$4)^4+Valuation!$F$5/(1+F$4)^5+IF(F$4&gt;$A6,Valuation!$F$5*(1+$A6)/(F$4-$A6)/(1+F$4)^5,0)+Valuation!$B$14-Valuation!$B$15)/Valuation!$B$17)*Assumptions!$E$22*Assumptions!$E$23</f>
        <v>134.43186300370778</v>
      </c>
    </row>
    <row r="7" ht="15" hidden="0" outlineLevel="0" collapsed="0">
      <c r="A7" s="25">
        <f>Assumptions!$E$21+0</f>
        <v>0.035</v>
      </c>
      <c r="B7" s="24">
        <f>((Valuation!$B$5/(1+B$4)^1+Valuation!$C$5/(1+B$4)^2+Valuation!$D$5/(1+B$4)^3+Valuation!$E$5/(1+B$4)^4+Valuation!$F$5/(1+B$4)^5+IF(B$4&gt;$A7,Valuation!$F$5*(1+$A7)/(B$4-$A7)/(1+B$4)^5,0)+Valuation!$B$14-Valuation!$B$15)/Valuation!$B$17)*Assumptions!$E$22*Assumptions!$E$23</f>
        <v>312.9758962420249</v>
      </c>
      <c r="C7" s="24">
        <f>((Valuation!$B$5/(1+C$4)^1+Valuation!$C$5/(1+C$4)^2+Valuation!$D$5/(1+C$4)^3+Valuation!$E$5/(1+C$4)^4+Valuation!$F$5/(1+C$4)^5+IF(C$4&gt;$A7,Valuation!$F$5*(1+$A7)/(C$4-$A7)/(1+C$4)^5,0)+Valuation!$B$14-Valuation!$B$15)/Valuation!$B$17)*Assumptions!$E$22*Assumptions!$E$23</f>
        <v>241.42030430190164</v>
      </c>
      <c r="D7" s="26">
        <f>((Valuation!$B$5/(1+D$4)^1+Valuation!$C$5/(1+D$4)^2+Valuation!$D$5/(1+D$4)^3+Valuation!$E$5/(1+D$4)^4+Valuation!$F$5/(1+D$4)^5+IF(D$4&gt;$A7,Valuation!$F$5*(1+$A7)/(D$4-$A7)/(1+D$4)^5,0)+Valuation!$B$14-Valuation!$B$15)/Valuation!$B$17)*Assumptions!$E$22*Assumptions!$E$23</f>
        <v>195.95768960797722</v>
      </c>
      <c r="E7" s="24">
        <f>((Valuation!$B$5/(1+E$4)^1+Valuation!$C$5/(1+E$4)^2+Valuation!$D$5/(1+E$4)^3+Valuation!$E$5/(1+E$4)^4+Valuation!$F$5/(1+E$4)^5+IF(E$4&gt;$A7,Valuation!$F$5*(1+$A7)/(E$4-$A7)/(1+E$4)^5,0)+Valuation!$B$14-Valuation!$B$15)/Valuation!$B$17)*Assumptions!$E$22*Assumptions!$E$23</f>
        <v>164.54227288646692</v>
      </c>
      <c r="F7" s="24">
        <f>((Valuation!$B$5/(1+F$4)^1+Valuation!$C$5/(1+F$4)^2+Valuation!$D$5/(1+F$4)^3+Valuation!$E$5/(1+F$4)^4+Valuation!$F$5/(1+F$4)^5+IF(F$4&gt;$A7,Valuation!$F$5*(1+$A7)/(F$4-$A7)/(1+F$4)^5,0)+Valuation!$B$14-Valuation!$B$15)/Valuation!$B$17)*Assumptions!$E$22*Assumptions!$E$23</f>
        <v>141.55283064084063</v>
      </c>
    </row>
    <row r="8" ht="15" hidden="0" outlineLevel="0" collapsed="0">
      <c r="A8" s="25">
        <f>Assumptions!$E$21+0.005</f>
        <v>0.04</v>
      </c>
      <c r="B8" s="24">
        <f>((Valuation!$B$5/(1+B$4)^1+Valuation!$C$5/(1+B$4)^2+Valuation!$D$5/(1+B$4)^3+Valuation!$E$5/(1+B$4)^4+Valuation!$F$5/(1+B$4)^5+IF(B$4&gt;$A8,Valuation!$F$5*(1+$A8)/(B$4-$A8)/(1+B$4)^5,0)+Valuation!$B$14-Valuation!$B$15)/Valuation!$B$17)*Assumptions!$E$22*Assumptions!$E$23</f>
        <v>360.1015911982807</v>
      </c>
      <c r="C8" s="24">
        <f>((Valuation!$B$5/(1+C$4)^1+Valuation!$C$5/(1+C$4)^2+Valuation!$D$5/(1+C$4)^3+Valuation!$E$5/(1+C$4)^4+Valuation!$F$5/(1+C$4)^5+IF(C$4&gt;$A8,Valuation!$F$5*(1+$A8)/(C$4-$A8)/(1+C$4)^5,0)+Valuation!$B$14-Valuation!$B$15)/Valuation!$B$17)*Assumptions!$E$22*Assumptions!$E$23</f>
        <v>267.9061991488519</v>
      </c>
      <c r="D8" s="24">
        <f>((Valuation!$B$5/(1+D$4)^1+Valuation!$C$5/(1+D$4)^2+Valuation!$D$5/(1+D$4)^3+Valuation!$E$5/(1+D$4)^4+Valuation!$F$5/(1+D$4)^5+IF(D$4&gt;$A8,Valuation!$F$5*(1+$A8)/(D$4-$A8)/(1+D$4)^5,0)+Valuation!$B$14-Valuation!$B$15)/Valuation!$B$17)*Assumptions!$E$22*Assumptions!$E$23</f>
        <v>212.66642156020183</v>
      </c>
      <c r="E8" s="24">
        <f>((Valuation!$B$5/(1+E$4)^1+Valuation!$C$5/(1+E$4)^2+Valuation!$D$5/(1+E$4)^3+Valuation!$E$5/(1+E$4)^4+Valuation!$F$5/(1+E$4)^5+IF(E$4&gt;$A8,Valuation!$F$5*(1+$A8)/(E$4-$A8)/(1+E$4)^5,0)+Valuation!$B$14-Valuation!$B$15)/Valuation!$B$17)*Assumptions!$E$22*Assumptions!$E$23</f>
        <v>175.90144892057452</v>
      </c>
      <c r="F8" s="24">
        <f>((Valuation!$B$5/(1+F$4)^1+Valuation!$C$5/(1+F$4)^2+Valuation!$D$5/(1+F$4)^3+Valuation!$E$5/(1+F$4)^4+Valuation!$F$5/(1+F$4)^5+IF(F$4&gt;$A8,Valuation!$F$5*(1+$A8)/(F$4-$A8)/(1+F$4)^5,0)+Valuation!$B$14-Valuation!$B$15)/Valuation!$B$17)*Assumptions!$E$22*Assumptions!$E$23</f>
        <v>149.69107936899243</v>
      </c>
    </row>
    <row r="9" ht="15" hidden="0" outlineLevel="0" collapsed="0">
      <c r="A9" s="25">
        <f>Assumptions!$E$21+0.01</f>
        <v>0.045000000000000005</v>
      </c>
      <c r="B9" s="24">
        <f>((Valuation!$B$5/(1+B$4)^1+Valuation!$C$5/(1+B$4)^2+Valuation!$D$5/(1+B$4)^3+Valuation!$E$5/(1+B$4)^4+Valuation!$F$5/(1+B$4)^5+IF(B$4&gt;$A9,Valuation!$F$5*(1+$A9)/(B$4-$A9)/(1+B$4)^5,0)+Valuation!$B$14-Valuation!$B$15)/Valuation!$B$17)*Assumptions!$E$22*Assumptions!$E$23</f>
        <v>426.0775641370388</v>
      </c>
      <c r="C9" s="24">
        <f>((Valuation!$B$5/(1+C$4)^1+Valuation!$C$5/(1+C$4)^2+Valuation!$D$5/(1+C$4)^3+Valuation!$E$5/(1+C$4)^4+Valuation!$F$5/(1+C$4)^5+IF(C$4&gt;$A9,Valuation!$F$5*(1+$A9)/(C$4-$A9)/(1+C$4)^5,0)+Valuation!$B$14-Valuation!$B$15)/Valuation!$B$17)*Assumptions!$E$22*Assumptions!$E$23</f>
        <v>301.9594925235022</v>
      </c>
      <c r="D9" s="24">
        <f>((Valuation!$B$5/(1+D$4)^1+Valuation!$C$5/(1+D$4)^2+Valuation!$D$5/(1+D$4)^3+Valuation!$E$5/(1+D$4)^4+Valuation!$F$5/(1+D$4)^5+IF(D$4&gt;$A9,Valuation!$F$5*(1+$A9)/(D$4-$A9)/(1+D$4)^5,0)+Valuation!$B$14-Valuation!$B$15)/Valuation!$B$17)*Assumptions!$E$22*Assumptions!$E$23</f>
        <v>233.08820505736523</v>
      </c>
      <c r="E9" s="24">
        <f>((Valuation!$B$5/(1+E$4)^1+Valuation!$C$5/(1+E$4)^2+Valuation!$D$5/(1+E$4)^3+Valuation!$E$5/(1+E$4)^4+Valuation!$F$5/(1+E$4)^5+IF(E$4&gt;$A9,Valuation!$F$5*(1+$A9)/(E$4-$A9)/(1+E$4)^5,0)+Valuation!$B$14-Valuation!$B$15)/Valuation!$B$17)*Assumptions!$E$22*Assumptions!$E$23</f>
        <v>189.3259296881562</v>
      </c>
      <c r="F9" s="24">
        <f>((Valuation!$B$5/(1+F$4)^1+Valuation!$C$5/(1+F$4)^2+Valuation!$D$5/(1+F$4)^3+Valuation!$E$5/(1+F$4)^4+Valuation!$F$5/(1+F$4)^5+IF(F$4&gt;$A9,Valuation!$F$5*(1+$A9)/(F$4-$A9)/(1+F$4)^5,0)+Valuation!$B$14-Valuation!$B$15)/Valuation!$B$17)*Assumptions!$E$22*Assumptions!$E$23</f>
        <v>159.08136636301379</v>
      </c>
    </row>
    <row r="10" ht="15" hidden="0" outlineLevel="0" collapsed="0">
      <c r="A10" s="4"/>
      <c r="B10" s="4"/>
      <c r="C10" s="4"/>
      <c r="D10" s="4"/>
      <c r="E10" s="4"/>
      <c r="F10" s="4"/>
    </row>
    <row r="11" ht="15" hidden="0" outlineLevel="0" collapsed="0">
      <c r="A11" s="4"/>
      <c r="B11" s="4"/>
      <c r="C11" s="4"/>
      <c r="D11" s="4"/>
      <c r="E11" s="4"/>
      <c r="F11" s="4"/>
    </row>
  </sheetData>
  <mergeCells count="2">
    <mergeCell ref="A1:F1"/>
    <mergeCell ref="A2:F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4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style="1" hidden="0" customWidth="1" outlineLevel="0" collapsed="0"/>
    <col min="2" max="6" width="15" style="1" hidden="0" customWidth="1" outlineLevel="0" collapsed="0"/>
    <col min="7" max="7" width="16" style="1" hidden="0" customWidth="1" outlineLevel="0" collapsed="0"/>
    <col min="8" max="8" width="42" style="1" hidden="0" customWidth="1" outlineLevel="0" collapsed="0"/>
  </cols>
  <sheetData>
    <row r="1" ht="15" hidden="0" outlineLevel="0" collapsed="0">
      <c r="A1" s="2" t="s">
        <v>424</v>
      </c>
      <c r="B1" s="2"/>
      <c r="C1" s="2"/>
      <c r="D1" s="2"/>
      <c r="E1" s="2"/>
      <c r="F1" s="2"/>
      <c r="G1" s="2"/>
      <c r="H1" s="2"/>
    </row>
    <row r="2" ht="34" hidden="0" outlineLevel="0" collapsed="0">
      <c r="A2" s="3" t="s">
        <v>425</v>
      </c>
      <c r="B2" s="3"/>
      <c r="C2" s="3"/>
      <c r="D2" s="3"/>
      <c r="E2" s="3"/>
      <c r="F2" s="3"/>
      <c r="G2" s="3"/>
      <c r="H2" s="3"/>
    </row>
    <row r="3" ht="15" hidden="0" outlineLevel="0" collapsed="0">
      <c r="A3" s="4"/>
      <c r="B3" s="4"/>
      <c r="C3" s="4"/>
      <c r="D3" s="4"/>
      <c r="E3" s="4"/>
      <c r="F3" s="4"/>
      <c r="G3" s="4"/>
      <c r="H3" s="4"/>
    </row>
    <row r="4" ht="15" hidden="0" outlineLevel="0" collapsed="0">
      <c r="A4" s="5" t="s">
        <v>426</v>
      </c>
      <c r="B4" s="5" t="s">
        <v>427</v>
      </c>
      <c r="C4" s="5" t="s">
        <v>428</v>
      </c>
      <c r="D4" s="5" t="s">
        <v>429</v>
      </c>
      <c r="E4" s="5" t="s">
        <v>430</v>
      </c>
      <c r="F4" s="5" t="s">
        <v>431</v>
      </c>
      <c r="G4" s="5" t="s">
        <v>432</v>
      </c>
      <c r="H4" s="5" t="s">
        <v>433</v>
      </c>
    </row>
    <row r="5" ht="15" hidden="0" outlineLevel="0" collapsed="0">
      <c r="A5" s="8" t="s">
        <v>434</v>
      </c>
      <c r="B5" s="8">
        <f>COUNTIF(Sources!$Q$5:$Q$96,"VERIFIED")</f>
        <v>92</v>
      </c>
      <c r="C5" s="8">
        <f>COUNTA(Sources!$A$5:$A$96)</f>
        <v>92</v>
      </c>
      <c r="D5" s="8">
        <f>B5-C5</f>
        <v>0</v>
      </c>
      <c r="E5" s="8">
        <v>0</v>
      </c>
      <c r="F5" s="8" t="str">
        <f>IF(AND(D5=0,C5&gt;0),"PASS","FAIL")</f>
        <v>PASS</v>
      </c>
      <c r="G5" s="8" t="s">
        <v>435</v>
      </c>
      <c r="H5" s="8" t="s">
        <v>436</v>
      </c>
    </row>
    <row r="6" ht="15" hidden="0" outlineLevel="0" collapsed="0">
      <c r="A6" s="8" t="s">
        <v>437</v>
      </c>
      <c r="B6" s="8">
        <f>COUNTIF(Historical!$H$5:$H$20,"CHECK")</f>
        <v>0</v>
      </c>
      <c r="C6" s="8">
        <v>0</v>
      </c>
      <c r="D6" s="8">
        <f>B6-C6</f>
        <v>0</v>
      </c>
      <c r="E6" s="8">
        <v>0</v>
      </c>
      <c r="F6" s="8" t="str">
        <f>IF(ABS(D6)&lt;=E6,"PASS","FAIL")</f>
        <v>PASS</v>
      </c>
      <c r="G6" s="8" t="s">
        <v>435</v>
      </c>
      <c r="H6" s="8" t="s">
        <v>438</v>
      </c>
    </row>
    <row r="7" ht="15" hidden="0" outlineLevel="0" collapsed="0">
      <c r="A7" s="8" t="s">
        <v>439</v>
      </c>
      <c r="B7" s="8">
        <f>Forecast!G8</f>
        <v>600474.9457047293</v>
      </c>
      <c r="C7" s="8">
        <f>SUM(Forecast!G5:G7)</f>
        <v>600474.9457047293</v>
      </c>
      <c r="D7" s="8">
        <f>B7-C7</f>
        <v>0</v>
      </c>
      <c r="E7" s="8">
        <v>0.1</v>
      </c>
      <c r="F7" s="8" t="str">
        <f>IF(ABS(D7)&lt;=E7,"PASS","FAIL")</f>
        <v>PASS</v>
      </c>
      <c r="G7" s="8" t="s">
        <v>435</v>
      </c>
      <c r="H7" s="8" t="s">
        <v>440</v>
      </c>
    </row>
    <row r="8" ht="15" hidden="0" outlineLevel="0" collapsed="0">
      <c r="A8" s="8" t="s">
        <v>441</v>
      </c>
      <c r="B8" s="8">
        <f>Forecast!G16</f>
        <v>386105.3900881409</v>
      </c>
      <c r="C8" s="8">
        <f>Forecast!G11-Forecast!G13-Forecast!G15</f>
        <v>386105.3900881409</v>
      </c>
      <c r="D8" s="8">
        <f>B8-C8</f>
        <v>0</v>
      </c>
      <c r="E8" s="8">
        <v>0.1</v>
      </c>
      <c r="F8" s="8" t="str">
        <f>IF(ABS(D8)&lt;=E8,"PASS","FAIL")</f>
        <v>PASS</v>
      </c>
      <c r="G8" s="8" t="s">
        <v>435</v>
      </c>
      <c r="H8" s="8" t="s">
        <v>442</v>
      </c>
    </row>
    <row r="9" ht="15" hidden="0" outlineLevel="0" collapsed="0">
      <c r="A9" s="8" t="s">
        <v>443</v>
      </c>
      <c r="B9" s="8">
        <f>Forecast!G25</f>
        <v>317999.4398470472</v>
      </c>
      <c r="C9" s="8">
        <f>Forecast!G19+Forecast!G21-Forecast!G23-Forecast!G24</f>
        <v>317999.4398470472</v>
      </c>
      <c r="D9" s="8">
        <f>B9-C9</f>
        <v>0</v>
      </c>
      <c r="E9" s="8">
        <v>0.1</v>
      </c>
      <c r="F9" s="8" t="str">
        <f>IF(ABS(D9)&lt;=E9,"PASS","FAIL")</f>
        <v>PASS</v>
      </c>
      <c r="G9" s="8" t="s">
        <v>435</v>
      </c>
      <c r="H9" s="8" t="s">
        <v>444</v>
      </c>
    </row>
    <row r="10" ht="15" hidden="0" outlineLevel="0" collapsed="0">
      <c r="A10" s="8" t="s">
        <v>445</v>
      </c>
      <c r="B10" s="8">
        <f>Assumptions!E20</f>
        <v>0.09</v>
      </c>
      <c r="C10" s="8">
        <f>Assumptions!E21</f>
        <v>0.035</v>
      </c>
      <c r="D10" s="8">
        <f>B10-C10</f>
        <v>0.05499999999999999</v>
      </c>
      <c r="E10" s="8">
        <v>0</v>
      </c>
      <c r="F10" s="8" t="str">
        <f>IF(D10&gt;E10,"PASS","FAIL")</f>
        <v>PASS</v>
      </c>
      <c r="G10" s="8" t="s">
        <v>435</v>
      </c>
      <c r="H10" s="8" t="s">
        <v>446</v>
      </c>
    </row>
    <row r="11" ht="15" hidden="0" outlineLevel="0" collapsed="0">
      <c r="A11" s="8" t="s">
        <v>447</v>
      </c>
      <c r="B11" s="8">
        <f>Valuation!B16</f>
        <v>4803706.803049954</v>
      </c>
      <c r="C11" s="8">
        <f>Valuation!B13+Valuation!B14-Valuation!B15</f>
        <v>4803706.803049954</v>
      </c>
      <c r="D11" s="8">
        <f>B11-C11</f>
        <v>0</v>
      </c>
      <c r="E11" s="8">
        <v>0.1</v>
      </c>
      <c r="F11" s="8" t="str">
        <f>IF(ABS(D11)&lt;=E11,"PASS","FAIL")</f>
        <v>PASS</v>
      </c>
      <c r="G11" s="8" t="s">
        <v>435</v>
      </c>
      <c r="H11" s="8" t="s">
        <v>448</v>
      </c>
    </row>
    <row r="12" ht="15" hidden="0" outlineLevel="0" collapsed="0">
      <c r="A12" s="8" t="s">
        <v>449</v>
      </c>
      <c r="B12" s="8">
        <f>Sensitivity!D7</f>
        <v>195.95768960797722</v>
      </c>
      <c r="C12" s="8">
        <f>Valuation!B21</f>
        <v>195.95768960797722</v>
      </c>
      <c r="D12" s="8">
        <f>B12-C12</f>
        <v>0</v>
      </c>
      <c r="E12" s="8">
        <v>0.1</v>
      </c>
      <c r="F12" s="8" t="str">
        <f>IF(ABS(D12)&lt;=E12,"PASS","FAIL")</f>
        <v>PASS</v>
      </c>
      <c r="G12" s="8" t="s">
        <v>435</v>
      </c>
      <c r="H12" s="8" t="s">
        <v>450</v>
      </c>
    </row>
    <row r="13" ht="15" hidden="0" outlineLevel="0" collapsed="0">
      <c r="A13" s="8" t="s">
        <v>451</v>
      </c>
      <c r="B13" s="8">
        <f>Assumptions!B3</f>
        <v>1</v>
      </c>
      <c r="C13" s="8">
        <v>1</v>
      </c>
      <c r="D13" s="8">
        <f>IF(OR(B13=1,B13=2,B13=3),0,1)</f>
        <v>0</v>
      </c>
      <c r="E13" s="8">
        <v>0</v>
      </c>
      <c r="F13" s="8" t="str">
        <f>IF(D13=0,"PASS","FAIL")</f>
        <v>PASS</v>
      </c>
      <c r="G13" s="8" t="s">
        <v>435</v>
      </c>
      <c r="H13" s="8" t="s">
        <v>452</v>
      </c>
    </row>
    <row r="14" ht="15" hidden="0" outlineLevel="0" collapsed="0">
      <c r="A14" s="8" t="s">
        <v>453</v>
      </c>
      <c r="B14" s="8">
        <f>MIN(Forecast!C8:G8)</f>
        <v>280590.56</v>
      </c>
      <c r="C14" s="8">
        <v>0</v>
      </c>
      <c r="D14" s="8">
        <f>B14-C14</f>
        <v>280590.56</v>
      </c>
      <c r="E14" s="8">
        <v>0</v>
      </c>
      <c r="F14" s="8" t="str">
        <f>IF(D14&gt;=0,"PASS","FAIL")</f>
        <v>PASS</v>
      </c>
      <c r="G14" s="8" t="s">
        <v>435</v>
      </c>
      <c r="H14" s="8" t="s">
        <v>454</v>
      </c>
    </row>
    <row r="15" ht="15" hidden="0" outlineLevel="0" collapsed="0">
      <c r="A15" s="8" t="s">
        <v>455</v>
      </c>
      <c r="B15" s="8">
        <f>MIN(Forecast!B26:G27)</f>
        <v>8468</v>
      </c>
      <c r="C15" s="8">
        <v>0</v>
      </c>
      <c r="D15" s="8">
        <f>B15-C15</f>
        <v>8468</v>
      </c>
      <c r="E15" s="8">
        <v>0</v>
      </c>
      <c r="F15" s="8" t="str">
        <f>IF(D15&gt;=0,"PASS","FAIL")</f>
        <v>PASS</v>
      </c>
      <c r="G15" s="8" t="s">
        <v>435</v>
      </c>
      <c r="H15" s="8" t="s">
        <v>456</v>
      </c>
    </row>
    <row r="16" ht="15" hidden="0" outlineLevel="0" collapsed="0">
      <c r="A16" s="8" t="s">
        <v>457</v>
      </c>
      <c r="B16" s="8">
        <f>Valuation!B21</f>
        <v>195.95768960797722</v>
      </c>
      <c r="C16" s="8">
        <v>0</v>
      </c>
      <c r="D16" s="8">
        <f>B16-C16</f>
        <v>195.95768960797722</v>
      </c>
      <c r="E16" s="8">
        <v>0</v>
      </c>
      <c r="F16" s="8" t="str">
        <f>IF(D16&gt;0,"PASS","FAIL")</f>
        <v>PASS</v>
      </c>
      <c r="G16" s="8" t="s">
        <v>435</v>
      </c>
      <c r="H16" s="8" t="s">
        <v>458</v>
      </c>
    </row>
    <row r="17" ht="15" hidden="0" outlineLevel="0" collapsed="0">
      <c r="A17" s="8" t="s">
        <v>459</v>
      </c>
      <c r="B17" s="8">
        <v>8</v>
      </c>
      <c r="C17" s="8">
        <v>8</v>
      </c>
      <c r="D17" s="8">
        <f>B17-C17</f>
        <v>0</v>
      </c>
      <c r="E17" s="8">
        <v>0</v>
      </c>
      <c r="F17" s="8" t="str">
        <f>IF(AND(ABS(Sector_KPIs!D5-Forecast!G5)&lt;0.1,ABS(Sector_KPIs!D6-Forecast!G6)&lt;0.1,ABS(Sector_KPIs!D7-Forecast!G7)&lt;0.1,ABS(Sector_KPIs!D8-Forecast!G5/Forecast!G8)&lt;0.000001,ABS(Sector_KPIs!D9-Forecast!G10)&lt;0.000001,ABS(Sector_KPIs!D10-Forecast!G12)&lt;0.000001,ISTEXT(Sector_KPIs!D11),ISTEXT(Sector_KPIs!D12)),"PASS","FAIL")</f>
        <v>PASS</v>
      </c>
      <c r="G17" s="8" t="s">
        <v>435</v>
      </c>
      <c r="H17" s="8" t="s">
        <v>460</v>
      </c>
    </row>
    <row r="18" ht="15" hidden="0" outlineLevel="0" collapsed="0">
      <c r="A18" s="27" t="s">
        <v>461</v>
      </c>
      <c r="B18" s="27">
        <f>1</f>
        <v>1</v>
      </c>
      <c r="C18" s="27">
        <f>1</f>
        <v>1</v>
      </c>
      <c r="D18" s="27">
        <f>B18-C18</f>
        <v>0</v>
      </c>
      <c r="E18" s="27">
        <v>0</v>
      </c>
      <c r="F18" s="27" t="str">
        <f>IF(AND(Sector_KPIs!B5&gt;0,Sector_KPIs!B6&gt;0,Sector_KPIs!B7&gt;=0,Sector_KPIs!B8&gt;=0,Sector_KPIs!B8&lt;=1,Sector_KPIs!B9&gt;=0,Sector_KPIs!B9&lt;=1,Sector_KPIs!B10&gt;=0,Sector_KPIs!B10&lt;=1,Sector_KPIs!B11&gt;0,Sector_KPIs!B12&gt;=0,Sector_KPIs!B12&lt;=1,Sector_KPIs!D5&gt;=0,Sector_KPIs!D6&gt;=0,Sector_KPIs!D7&gt;=0,Sector_KPIs!D8&gt;=0,Sector_KPIs!D8&lt;=1,Sector_KPIs!D9&gt;=0,Sector_KPIs!D9&lt;=1,Sector_KPIs!D10&gt;=0,Sector_KPIs!D10&lt;=1),"PASS","FAIL")</f>
        <v>PASS</v>
      </c>
      <c r="G18" s="27" t="s">
        <v>435</v>
      </c>
      <c r="H18" s="27" t="s">
        <v>462</v>
      </c>
    </row>
    <row r="19" ht="15" hidden="0" outlineLevel="0" collapsed="0">
      <c r="A19" s="27" t="s">
        <v>463</v>
      </c>
      <c r="B19" s="27">
        <f>COUNTA(Sources!$L$5:$L$96)</f>
        <v>92</v>
      </c>
      <c r="C19" s="27">
        <f>COUNTA(Sources!$A$5:$A$96)</f>
        <v>92</v>
      </c>
      <c r="D19" s="27">
        <f>B19-C19</f>
        <v>0</v>
      </c>
      <c r="E19" s="27">
        <v>0</v>
      </c>
      <c r="F19" s="27" t="str">
        <f>IF(ABS(D19)&lt;=E19,"PASS","FAIL")</f>
        <v>PASS</v>
      </c>
      <c r="G19" s="27" t="s">
        <v>435</v>
      </c>
      <c r="H19" s="27" t="s">
        <v>464</v>
      </c>
    </row>
    <row r="20" ht="15" hidden="0" outlineLevel="0" collapsed="0">
      <c r="A20" s="27" t="s">
        <v>465</v>
      </c>
      <c r="B20" s="27">
        <f>COUNTBLANK(Sources!$E$5:$E$96)</f>
        <v>0</v>
      </c>
      <c r="C20" s="27">
        <v>0</v>
      </c>
      <c r="D20" s="27">
        <f>B20-C20</f>
        <v>0</v>
      </c>
      <c r="E20" s="27">
        <v>0</v>
      </c>
      <c r="F20" s="27" t="str">
        <f>IF(ABS(D20)&lt;=E20,"PASS","FAIL")</f>
        <v>PASS</v>
      </c>
      <c r="G20" s="27" t="s">
        <v>435</v>
      </c>
      <c r="H20" s="27" t="s">
        <v>466</v>
      </c>
    </row>
    <row r="21" ht="15" hidden="0" outlineLevel="0" collapsed="0">
      <c r="A21" s="27" t="s">
        <v>467</v>
      </c>
      <c r="B21" s="27">
        <f>COUNTA(Sources!$N$5:$N$96)</f>
        <v>92</v>
      </c>
      <c r="C21" s="27">
        <f>COUNTA(Sources!$A$5:$A$96)</f>
        <v>92</v>
      </c>
      <c r="D21" s="27">
        <f>B21-C21</f>
        <v>0</v>
      </c>
      <c r="E21" s="27">
        <v>0</v>
      </c>
      <c r="F21" s="27" t="str">
        <f>IF(ABS(D21)&lt;=E21,"PASS","FAIL")</f>
        <v>PASS</v>
      </c>
      <c r="G21" s="27" t="s">
        <v>435</v>
      </c>
      <c r="H21" s="27" t="s">
        <v>468</v>
      </c>
    </row>
    <row r="22" ht="15" hidden="0" outlineLevel="0" collapsed="0">
      <c r="A22" s="28"/>
      <c r="B22" s="28"/>
      <c r="C22" s="28"/>
      <c r="D22" s="28"/>
      <c r="E22" s="28"/>
      <c r="F22" s="28"/>
      <c r="G22" s="28"/>
      <c r="H22" s="28"/>
    </row>
    <row r="23" ht="15" hidden="0" outlineLevel="0" collapsed="0">
      <c r="A23" s="29" t="s">
        <v>469</v>
      </c>
      <c r="B23" s="29" t="str">
        <f>IF(COUNTIF(F5:F21,"FAIL")=0,"PASS","FAIL")</f>
        <v>PASS</v>
      </c>
      <c r="C23" s="28"/>
      <c r="D23" s="28"/>
      <c r="E23" s="28"/>
      <c r="F23" s="28"/>
      <c r="G23" s="28"/>
      <c r="H23" s="28"/>
    </row>
    <row r="24" ht="41.75" hidden="0" outlineLevel="0" collapsed="0">
      <c r="A24" s="27" t="s">
        <v>470</v>
      </c>
      <c r="B24" s="27" t="s">
        <v>471</v>
      </c>
      <c r="C24" s="28"/>
      <c r="D24" s="28"/>
      <c r="E24" s="28"/>
      <c r="F24" s="28"/>
      <c r="G24" s="28"/>
      <c r="H24" s="28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F14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style="1" hidden="0" customWidth="1" outlineLevel="0" collapsed="0"/>
    <col min="2" max="4" width="20" style="1" hidden="0" customWidth="1" outlineLevel="0" collapsed="0"/>
    <col min="5" max="5" width="48" style="1" hidden="0" customWidth="1" outlineLevel="0" collapsed="0"/>
    <col min="6" max="6" width="16" style="1" hidden="0" customWidth="1" outlineLevel="0" collapsed="0"/>
  </cols>
  <sheetData>
    <row r="1" ht="15" hidden="0" outlineLevel="0" collapsed="0">
      <c r="A1" s="2" t="s">
        <v>472</v>
      </c>
      <c r="B1" s="2"/>
      <c r="C1" s="2"/>
      <c r="D1" s="2"/>
      <c r="E1" s="2"/>
      <c r="F1" s="2"/>
    </row>
    <row r="2" ht="34" hidden="0" outlineLevel="0" collapsed="0">
      <c r="A2" s="3" t="s">
        <v>473</v>
      </c>
      <c r="B2" s="3"/>
      <c r="C2" s="3"/>
      <c r="D2" s="3"/>
      <c r="E2" s="3"/>
      <c r="F2" s="3"/>
    </row>
    <row r="3" ht="15" hidden="0" outlineLevel="0" collapsed="0">
      <c r="A3" s="4"/>
      <c r="B3" s="4"/>
      <c r="C3" s="4"/>
      <c r="D3" s="4"/>
      <c r="E3" s="4"/>
      <c r="F3" s="4"/>
    </row>
    <row r="4" ht="28.35" hidden="0" outlineLevel="0" collapsed="0">
      <c r="A4" s="29" t="s">
        <v>474</v>
      </c>
      <c r="B4" s="29" t="s">
        <v>475</v>
      </c>
      <c r="C4" s="29" t="s">
        <v>31</v>
      </c>
      <c r="D4" s="29" t="s">
        <v>476</v>
      </c>
      <c r="E4" s="29" t="s">
        <v>477</v>
      </c>
      <c r="F4" s="29" t="s">
        <v>431</v>
      </c>
    </row>
    <row r="5" ht="15" hidden="0" outlineLevel="0" collapsed="0">
      <c r="A5" s="30" t="s">
        <v>255</v>
      </c>
      <c r="B5" s="31">
        <v>193700</v>
      </c>
      <c r="C5" s="31" t="s">
        <v>48</v>
      </c>
      <c r="D5" s="31">
        <f>Forecast!G5</f>
        <v>564903.7295616001</v>
      </c>
      <c r="E5" s="30" t="s">
        <v>257</v>
      </c>
      <c r="F5" s="30" t="str">
        <f>IF(COUNTIF(Sources!$L$5:$L$96,"Sector_KPIs!B5")&gt;=1,"VERIFIED","CHECK")</f>
        <v>VERIFIED</v>
      </c>
    </row>
    <row r="6" ht="15" hidden="0" outlineLevel="0" collapsed="0">
      <c r="A6" s="30" t="s">
        <v>264</v>
      </c>
      <c r="B6" s="31">
        <v>16000</v>
      </c>
      <c r="C6" s="31" t="s">
        <v>48</v>
      </c>
      <c r="D6" s="31">
        <f>Forecast!G6</f>
        <v>25757.512704000008</v>
      </c>
      <c r="E6" s="30" t="s">
        <v>257</v>
      </c>
      <c r="F6" s="30" t="str">
        <f>IF(COUNTIF(Sources!$L$5:$L$96,"Sector_KPIs!B6")&gt;=1,"VERIFIED","CHECK")</f>
        <v>VERIFIED</v>
      </c>
    </row>
    <row r="7" ht="28.35" hidden="0" outlineLevel="0" collapsed="0">
      <c r="A7" s="30" t="s">
        <v>267</v>
      </c>
      <c r="B7" s="31">
        <f>Historical!F5-B5-B6</f>
        <v>6238</v>
      </c>
      <c r="C7" s="31" t="s">
        <v>48</v>
      </c>
      <c r="D7" s="31">
        <f>Forecast!G7</f>
        <v>9813.703439129105</v>
      </c>
      <c r="E7" s="30" t="s">
        <v>269</v>
      </c>
      <c r="F7" s="30" t="str">
        <f>IF(COUNTIF(Sources!$L$5:$L$96,"Sector_KPIs!B7")&gt;=1,"VERIFIED","CHECK")</f>
        <v>VERIFIED</v>
      </c>
    </row>
    <row r="8" ht="15" hidden="0" outlineLevel="0" collapsed="0">
      <c r="A8" s="30" t="s">
        <v>275</v>
      </c>
      <c r="B8" s="32">
        <f>IF(Historical!F5&lt;&gt;0,B5/Historical!F5,0)</f>
        <v>0.8970167362854152</v>
      </c>
      <c r="C8" s="31" t="s">
        <v>276</v>
      </c>
      <c r="D8" s="32">
        <f>IF(Forecast!G8&lt;&gt;0,Forecast!G5/Forecast!G8,0)</f>
        <v>0.9407615315217156</v>
      </c>
      <c r="E8" s="30" t="s">
        <v>277</v>
      </c>
      <c r="F8" s="30" t="str">
        <f>IF(COUNTIF(Sources!$L$5:$L$96,"Sector_KPIs!B8")&gt;=1,"VERIFIED","CHECK")</f>
        <v>VERIFIED</v>
      </c>
    </row>
    <row r="9" ht="15" hidden="0" outlineLevel="0" collapsed="0">
      <c r="A9" s="30" t="s">
        <v>280</v>
      </c>
      <c r="B9" s="32">
        <f>Historical!F8</f>
        <v>0.7106808435754708</v>
      </c>
      <c r="C9" s="31" t="s">
        <v>276</v>
      </c>
      <c r="D9" s="32">
        <f>Forecast!G10</f>
        <v>0.75</v>
      </c>
      <c r="E9" s="30" t="s">
        <v>281</v>
      </c>
      <c r="F9" s="30" t="str">
        <f>IF(COUNTIF(Sources!$L$5:$L$96,"Sector_KPIs!B9")&gt;=1,"VERIFIED","CHECK")</f>
        <v>VERIFIED</v>
      </c>
    </row>
    <row r="10" ht="15" hidden="0" outlineLevel="0" collapsed="0">
      <c r="A10" s="30" t="s">
        <v>284</v>
      </c>
      <c r="B10" s="32">
        <f>IF(Historical!F5&lt;&gt;0,Historical!F14/Historical!F5,0)</f>
        <v>0.08565884652076058</v>
      </c>
      <c r="C10" s="31" t="s">
        <v>276</v>
      </c>
      <c r="D10" s="32">
        <f>Forecast!G12</f>
        <v>0.086</v>
      </c>
      <c r="E10" s="30" t="s">
        <v>285</v>
      </c>
      <c r="F10" s="30" t="str">
        <f>IF(COUNTIF(Sources!$L$5:$L$96,"Sector_KPIs!B10")&gt;=1,"VERIFIED","CHECK")</f>
        <v>VERIFIED</v>
      </c>
    </row>
    <row r="11" ht="28.35" hidden="0" outlineLevel="0" collapsed="0">
      <c r="A11" s="30" t="s">
        <v>288</v>
      </c>
      <c r="B11" s="31">
        <v>81615</v>
      </c>
      <c r="C11" s="31" t="s">
        <v>48</v>
      </c>
      <c r="D11" s="31" t="str">
        <f>"Context only / reported checkpoint"</f>
        <v>Context only / reported checkpoint</v>
      </c>
      <c r="E11" s="30" t="s">
        <v>290</v>
      </c>
      <c r="F11" s="30" t="str">
        <f>IF(COUNTIF(Sources!$L$5:$L$96,"Sector_KPIs!B11")&gt;=1,"VERIFIED","CHECK")</f>
        <v>VERIFIED</v>
      </c>
    </row>
    <row r="12" ht="28.35" hidden="0" outlineLevel="0" collapsed="0">
      <c r="A12" s="30" t="s">
        <v>295</v>
      </c>
      <c r="B12" s="32">
        <v>0.749</v>
      </c>
      <c r="C12" s="31" t="s">
        <v>276</v>
      </c>
      <c r="D12" s="31" t="str">
        <f>"Context only / reported checkpoint"</f>
        <v>Context only / reported checkpoint</v>
      </c>
      <c r="E12" s="30" t="s">
        <v>296</v>
      </c>
      <c r="F12" s="30" t="str">
        <f>IF(COUNTIF(Sources!$L$5:$L$96,"Sector_KPIs!B12")&gt;=1,"VERIFIED","CHECK")</f>
        <v>VERIFIED</v>
      </c>
    </row>
    <row r="13" ht="15" hidden="0" outlineLevel="0" collapsed="0">
      <c r="A13" s="4"/>
      <c r="B13" s="4"/>
      <c r="C13" s="4"/>
      <c r="D13" s="4"/>
      <c r="E13" s="4"/>
      <c r="F13" s="4"/>
    </row>
    <row r="14" ht="15" hidden="0" outlineLevel="0" collapsed="0">
      <c r="A14" s="4"/>
      <c r="B14" s="4"/>
      <c r="C14" s="4"/>
      <c r="D14" s="4"/>
      <c r="E14" s="4"/>
      <c r="F14" s="4"/>
    </row>
  </sheetData>
  <mergeCells count="2">
    <mergeCell ref="A1:F1"/>
    <mergeCell ref="A2:F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G1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style="1" hidden="0" customWidth="1" outlineLevel="0" collapsed="0"/>
    <col min="4" max="6" width="45" style="1" hidden="0" customWidth="1" outlineLevel="0" collapsed="0"/>
    <col min="7" max="7" width="28" style="1" hidden="0" customWidth="1" outlineLevel="0" collapsed="0"/>
  </cols>
  <sheetData>
    <row r="1" ht="15" hidden="0" outlineLevel="0" collapsed="0">
      <c r="A1" s="2" t="s">
        <v>478</v>
      </c>
      <c r="B1" s="2"/>
      <c r="C1" s="2"/>
      <c r="D1" s="2"/>
      <c r="E1" s="2"/>
      <c r="F1" s="2"/>
      <c r="G1" s="2"/>
    </row>
    <row r="2" ht="34" hidden="0" outlineLevel="0" collapsed="0">
      <c r="A2" s="3" t="s">
        <v>479</v>
      </c>
      <c r="B2" s="3"/>
      <c r="C2" s="3"/>
      <c r="D2" s="3"/>
      <c r="E2" s="3"/>
      <c r="F2" s="3"/>
      <c r="G2" s="3"/>
    </row>
    <row r="3" ht="15" hidden="0" outlineLevel="0" collapsed="0">
      <c r="A3" s="4"/>
      <c r="B3" s="4"/>
      <c r="C3" s="4"/>
      <c r="D3" s="4"/>
      <c r="E3" s="4"/>
      <c r="F3" s="4"/>
      <c r="G3" s="4"/>
    </row>
    <row r="4" ht="15" hidden="0" outlineLevel="0" collapsed="0">
      <c r="A4" s="5" t="s">
        <v>480</v>
      </c>
      <c r="B4" s="5" t="s">
        <v>481</v>
      </c>
      <c r="C4" s="5" t="s">
        <v>482</v>
      </c>
      <c r="D4" s="5" t="s">
        <v>483</v>
      </c>
      <c r="E4" s="5" t="s">
        <v>484</v>
      </c>
      <c r="F4" s="5" t="s">
        <v>485</v>
      </c>
      <c r="G4" s="5" t="s">
        <v>486</v>
      </c>
    </row>
    <row r="5" ht="41.75" hidden="0" outlineLevel="0" collapsed="0">
      <c r="A5" s="8" t="s">
        <v>58</v>
      </c>
      <c r="B5" s="8" t="s">
        <v>487</v>
      </c>
      <c r="C5" s="8" t="s">
        <v>488</v>
      </c>
      <c r="D5" s="8" t="s">
        <v>489</v>
      </c>
      <c r="E5" s="8" t="s">
        <v>490</v>
      </c>
      <c r="F5" s="8" t="s">
        <v>491</v>
      </c>
      <c r="G5" s="8" t="s">
        <v>492</v>
      </c>
    </row>
    <row r="6" ht="15" hidden="0" outlineLevel="0" collapsed="0">
      <c r="A6" s="8" t="s">
        <v>58</v>
      </c>
      <c r="B6" s="8" t="s">
        <v>487</v>
      </c>
      <c r="C6" s="8" t="s">
        <v>488</v>
      </c>
      <c r="D6" s="8" t="s">
        <v>493</v>
      </c>
      <c r="E6" s="8" t="s">
        <v>494</v>
      </c>
      <c r="F6" s="8" t="s">
        <v>491</v>
      </c>
      <c r="G6" s="8" t="s">
        <v>495</v>
      </c>
    </row>
    <row r="7" ht="28.35" hidden="0" outlineLevel="0" collapsed="0">
      <c r="A7" s="8" t="s">
        <v>58</v>
      </c>
      <c r="B7" s="8" t="s">
        <v>487</v>
      </c>
      <c r="C7" s="8" t="s">
        <v>488</v>
      </c>
      <c r="D7" s="8" t="s">
        <v>496</v>
      </c>
      <c r="E7" s="8" t="s">
        <v>497</v>
      </c>
      <c r="F7" s="8" t="s">
        <v>491</v>
      </c>
      <c r="G7" s="8" t="s">
        <v>495</v>
      </c>
    </row>
    <row r="8" ht="15" hidden="0" outlineLevel="0" collapsed="0">
      <c r="A8" s="8" t="s">
        <v>58</v>
      </c>
      <c r="B8" s="8" t="s">
        <v>487</v>
      </c>
      <c r="C8" s="8" t="s">
        <v>488</v>
      </c>
      <c r="D8" s="8" t="s">
        <v>498</v>
      </c>
      <c r="E8" s="8" t="s">
        <v>499</v>
      </c>
      <c r="F8" s="8" t="s">
        <v>500</v>
      </c>
      <c r="G8" s="8" t="s">
        <v>495</v>
      </c>
    </row>
    <row r="9" ht="28.35" hidden="0" outlineLevel="0" collapsed="0">
      <c r="A9" s="30" t="s">
        <v>58</v>
      </c>
      <c r="B9" s="30" t="s">
        <v>501</v>
      </c>
      <c r="C9" s="30" t="s">
        <v>488</v>
      </c>
      <c r="D9" s="30" t="s">
        <v>502</v>
      </c>
      <c r="E9" s="30" t="s">
        <v>503</v>
      </c>
      <c r="F9" s="30" t="s">
        <v>504</v>
      </c>
      <c r="G9" s="30" t="s">
        <v>505</v>
      </c>
    </row>
    <row r="10" ht="15" hidden="0" outlineLevel="0" collapsed="0">
      <c r="A10" s="4"/>
      <c r="B10" s="4"/>
      <c r="C10" s="4"/>
      <c r="D10" s="4"/>
      <c r="E10" s="4"/>
      <c r="F10" s="4"/>
      <c r="G10" s="4"/>
    </row>
  </sheetData>
  <mergeCells count="2">
    <mergeCell ref="A1:G1"/>
    <mergeCell ref="A2:G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G2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style="1" hidden="0" customWidth="1" outlineLevel="0" collapsed="0"/>
    <col min="2" max="3" width="12" style="1" hidden="0" customWidth="1" outlineLevel="0" collapsed="0"/>
    <col min="5" max="5" width="68" style="1" hidden="0" customWidth="1" outlineLevel="0" collapsed="0"/>
    <col min="6" max="6" width="18" style="1" hidden="0" customWidth="1" outlineLevel="0" collapsed="0"/>
    <col min="7" max="7" width="48" style="1" hidden="0" customWidth="1" outlineLevel="0" collapsed="0"/>
  </cols>
  <sheetData>
    <row r="1" ht="15" hidden="0" outlineLevel="0" collapsed="0">
      <c r="A1" s="2" t="s">
        <v>506</v>
      </c>
      <c r="B1" s="2"/>
      <c r="C1" s="2"/>
      <c r="D1" s="2"/>
      <c r="E1" s="2"/>
      <c r="F1" s="2"/>
      <c r="G1" s="2"/>
    </row>
    <row r="2" ht="34" hidden="0" outlineLevel="0" collapsed="0">
      <c r="A2" s="3" t="s">
        <v>507</v>
      </c>
      <c r="B2" s="3"/>
      <c r="C2" s="3"/>
      <c r="D2" s="3"/>
      <c r="E2" s="3"/>
      <c r="F2" s="3"/>
      <c r="G2" s="3"/>
    </row>
    <row r="3" ht="15" hidden="0" outlineLevel="0" collapsed="0">
      <c r="A3" s="4"/>
      <c r="B3" s="4"/>
      <c r="C3" s="4"/>
      <c r="D3" s="4"/>
      <c r="E3" s="4"/>
      <c r="F3" s="4"/>
      <c r="G3" s="4"/>
    </row>
    <row r="4" ht="15" hidden="0" outlineLevel="0" collapsed="0">
      <c r="A4" s="5" t="s">
        <v>508</v>
      </c>
      <c r="B4" s="5" t="s">
        <v>509</v>
      </c>
      <c r="C4" s="5" t="s">
        <v>510</v>
      </c>
      <c r="D4" s="5" t="s">
        <v>431</v>
      </c>
      <c r="E4" s="5" t="s">
        <v>511</v>
      </c>
      <c r="F4" s="5" t="s">
        <v>512</v>
      </c>
      <c r="G4" s="5" t="s">
        <v>513</v>
      </c>
    </row>
    <row r="5" ht="15" hidden="0" outlineLevel="0" collapsed="0">
      <c r="A5" s="8" t="s">
        <v>514</v>
      </c>
      <c r="B5" s="8">
        <v>5</v>
      </c>
      <c r="C5" s="8">
        <f>IF(D5="PASS",B5,0)</f>
        <v>5</v>
      </c>
      <c r="D5" s="8" t="s">
        <v>515</v>
      </c>
      <c r="E5" s="8" t="s">
        <v>516</v>
      </c>
      <c r="F5" s="8" t="s">
        <v>517</v>
      </c>
      <c r="G5" s="8" t="s">
        <v>518</v>
      </c>
    </row>
    <row r="6" ht="15" hidden="0" outlineLevel="0" collapsed="0">
      <c r="A6" s="8" t="s">
        <v>519</v>
      </c>
      <c r="B6" s="8">
        <v>20</v>
      </c>
      <c r="C6" s="8">
        <f>IF(D6="PASS",B6,0)</f>
        <v>20</v>
      </c>
      <c r="D6" s="8" t="str">
        <f>IF(AND(Checks!F5="PASS",Checks!F6="PASS",COUNTIF(Checks!F19:F21,"FAIL")=0),"PASS","FAIL")</f>
        <v>PASS</v>
      </c>
      <c r="E6" s="8" t="s">
        <v>520</v>
      </c>
      <c r="F6" s="8" t="s">
        <v>521</v>
      </c>
      <c r="G6" s="8" t="s">
        <v>522</v>
      </c>
    </row>
    <row r="7" ht="28.35" hidden="0" outlineLevel="0" collapsed="0">
      <c r="A7" s="8" t="s">
        <v>523</v>
      </c>
      <c r="B7" s="8">
        <v>15</v>
      </c>
      <c r="C7" s="8">
        <f>IF(D7="PASS",B7,0)</f>
        <v>15</v>
      </c>
      <c r="D7" s="8" t="str">
        <f>IF(AND(COUNTIF(Historical!H5:H20,"CHECK")=0,COUNTIF(Checks!F7:F9,"FAIL")=0,Checks!F17="PASS",Checks!F18="PASS"),"PASS","FAIL")</f>
        <v>PASS</v>
      </c>
      <c r="E7" s="8" t="s">
        <v>524</v>
      </c>
      <c r="F7" s="8" t="s">
        <v>525</v>
      </c>
      <c r="G7" s="8" t="s">
        <v>526</v>
      </c>
    </row>
    <row r="8" ht="15" hidden="0" outlineLevel="0" collapsed="0">
      <c r="A8" s="8" t="s">
        <v>527</v>
      </c>
      <c r="B8" s="8">
        <v>10</v>
      </c>
      <c r="C8" s="8">
        <f>IF(D8="PASS",B8,0)</f>
        <v>10</v>
      </c>
      <c r="D8" s="8" t="str">
        <f>IF(AND(Checks!F12="PASS",Checks!F13="PASS"),"PASS","FAIL")</f>
        <v>PASS</v>
      </c>
      <c r="E8" s="8" t="s">
        <v>528</v>
      </c>
      <c r="F8" s="8" t="s">
        <v>529</v>
      </c>
      <c r="G8" s="8" t="s">
        <v>530</v>
      </c>
    </row>
    <row r="9" ht="15" hidden="0" outlineLevel="0" collapsed="0">
      <c r="A9" s="8" t="s">
        <v>531</v>
      </c>
      <c r="B9" s="8">
        <v>15</v>
      </c>
      <c r="C9" s="8">
        <f>IF(D9="PASS",B9,0)</f>
        <v>15</v>
      </c>
      <c r="D9" s="8" t="str">
        <f>IF(AND(Checks!F10="PASS",Checks!F11="PASS",Checks!F12="PASS",Valuation!B21&gt;0),"PASS","FAIL")</f>
        <v>PASS</v>
      </c>
      <c r="E9" s="8" t="s">
        <v>532</v>
      </c>
      <c r="F9" s="8" t="s">
        <v>533</v>
      </c>
      <c r="G9" s="8" t="s">
        <v>534</v>
      </c>
    </row>
    <row r="10" ht="28.35" hidden="0" outlineLevel="0" collapsed="0">
      <c r="A10" s="8" t="s">
        <v>535</v>
      </c>
      <c r="B10" s="8">
        <v>8</v>
      </c>
      <c r="C10" s="8">
        <f>IF(D10="PASS",B10,0)</f>
        <v>8</v>
      </c>
      <c r="D10" s="8" t="str">
        <f>IF(Checks!B23="PASS","PASS","FAIL")</f>
        <v>PASS</v>
      </c>
      <c r="E10" s="8" t="s">
        <v>536</v>
      </c>
      <c r="F10" s="8" t="s">
        <v>537</v>
      </c>
      <c r="G10" s="8" t="s">
        <v>538</v>
      </c>
    </row>
    <row r="11" ht="28.35" hidden="0" outlineLevel="0" collapsed="0">
      <c r="A11" s="8" t="s">
        <v>539</v>
      </c>
      <c r="B11" s="8">
        <v>10</v>
      </c>
      <c r="C11" s="8">
        <f>IF(D11="PASS",B11,0)</f>
        <v>10</v>
      </c>
      <c r="D11" s="8" t="s">
        <v>515</v>
      </c>
      <c r="E11" s="8" t="s">
        <v>540</v>
      </c>
      <c r="F11" s="8" t="s">
        <v>541</v>
      </c>
      <c r="G11" s="8" t="s">
        <v>542</v>
      </c>
    </row>
    <row r="12" ht="28.35" hidden="0" outlineLevel="0" collapsed="0">
      <c r="A12" s="8" t="s">
        <v>543</v>
      </c>
      <c r="B12" s="8">
        <v>7</v>
      </c>
      <c r="C12" s="8">
        <f>IF(D12="PASS",B12,0)</f>
        <v>7</v>
      </c>
      <c r="D12" s="8" t="s">
        <v>515</v>
      </c>
      <c r="E12" s="8" t="s">
        <v>499</v>
      </c>
      <c r="F12" s="8" t="s">
        <v>544</v>
      </c>
      <c r="G12" s="8" t="s">
        <v>545</v>
      </c>
    </row>
    <row r="13" ht="15" hidden="0" outlineLevel="0" collapsed="0">
      <c r="A13" s="8" t="s">
        <v>546</v>
      </c>
      <c r="B13" s="8">
        <v>5</v>
      </c>
      <c r="C13" s="8">
        <f>IF(D13="PASS",B13,0)</f>
        <v>5</v>
      </c>
      <c r="D13" s="8" t="str">
        <f>IF(AND(Forecast!G8&gt;0,COUNTIF(Sector_KPIs!F5:F12,"VERIFIED")=8,Checks!F17="PASS",Checks!F18="PASS"),"PASS","FAIL")</f>
        <v>PASS</v>
      </c>
      <c r="E13" s="8" t="s">
        <v>547</v>
      </c>
      <c r="F13" s="8" t="s">
        <v>548</v>
      </c>
      <c r="G13" s="8" t="s">
        <v>549</v>
      </c>
    </row>
    <row r="14" ht="15" hidden="0" outlineLevel="0" collapsed="0">
      <c r="A14" s="8" t="s">
        <v>550</v>
      </c>
      <c r="B14" s="8">
        <v>5</v>
      </c>
      <c r="C14" s="8">
        <f>IF(D14="PASS",B14,0)</f>
        <v>5</v>
      </c>
      <c r="D14" s="8" t="s">
        <v>515</v>
      </c>
      <c r="E14" s="8" t="s">
        <v>551</v>
      </c>
      <c r="F14" s="8" t="s">
        <v>552</v>
      </c>
      <c r="G14" s="8" t="s">
        <v>553</v>
      </c>
    </row>
    <row r="15" ht="15" hidden="0" outlineLevel="0" collapsed="0">
      <c r="A15" s="8"/>
      <c r="B15" s="8"/>
      <c r="C15" s="8"/>
      <c r="D15" s="8"/>
      <c r="E15" s="8"/>
      <c r="F15" s="8"/>
      <c r="G15" s="8"/>
    </row>
    <row r="16" ht="15" hidden="0" outlineLevel="0" collapsed="0">
      <c r="A16" s="5" t="s">
        <v>554</v>
      </c>
      <c r="B16" s="5">
        <f>SUM(C5:C14)</f>
        <v>100</v>
      </c>
      <c r="C16" s="8"/>
      <c r="D16" s="8"/>
      <c r="E16" s="8"/>
      <c r="F16" s="8"/>
      <c r="G16" s="8"/>
    </row>
    <row r="17" ht="55.2" hidden="0" outlineLevel="0" collapsed="0">
      <c r="A17" s="8" t="s">
        <v>555</v>
      </c>
      <c r="B17" s="8" t="str">
        <f>IF(AND(B16&gt;=90,COUNTIF(D5:D14,"FAIL")=0),"READY FOR INDEPENDENT 9/10 REVIEW","OWNER DEMOTION / REMEDIATE")</f>
        <v>READY FOR INDEPENDENT 9/10 REVIEW</v>
      </c>
      <c r="C17" s="8"/>
      <c r="D17" s="8"/>
      <c r="E17" s="8"/>
      <c r="F17" s="8"/>
      <c r="G17" s="8"/>
    </row>
    <row r="18" ht="15" hidden="0" outlineLevel="0" collapsed="0">
      <c r="A18" s="8" t="s">
        <v>556</v>
      </c>
      <c r="B18" s="8" t="s">
        <v>557</v>
      </c>
      <c r="C18" s="8"/>
      <c r="D18" s="8"/>
      <c r="E18" s="8"/>
      <c r="F18" s="8"/>
      <c r="G18" s="8"/>
    </row>
    <row r="19" ht="15" hidden="0" outlineLevel="0" collapsed="0">
      <c r="A19" s="4"/>
      <c r="B19" s="4"/>
      <c r="C19" s="4"/>
      <c r="D19" s="4"/>
      <c r="E19" s="4"/>
      <c r="F19" s="4"/>
      <c r="G19" s="4"/>
    </row>
    <row r="20" ht="15" hidden="0" outlineLevel="0" collapsed="0">
      <c r="A20" s="4"/>
      <c r="B20" s="4"/>
      <c r="C20" s="4"/>
      <c r="D20" s="4"/>
      <c r="E20" s="4"/>
      <c r="F20" s="4"/>
      <c r="G20" s="4"/>
    </row>
  </sheetData>
  <mergeCells count="2">
    <mergeCell ref="A1:G1"/>
    <mergeCell ref="A2:G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/>
  </sheetViews>
  <sheetFormatPr defaultColWidth="8.375" defaultRowHeight="15"/>
  <cols>
    <col min="1" max="1" width="8.70703125" customWidth="1"/>
    <col min="2" max="2" width="18.0390625" customWidth="1"/>
    <col min="3" max="4" width="57.70703125" customWidth="1"/>
    <col min="5" max="5" width="81.0390625" customWidth="1"/>
    <col min="6" max="6" width="46.0390625" customWidth="1"/>
  </cols>
  <sheetData>
    <row r="1">
      <c r="A1" s="34" t="s">
        <v>558</v>
      </c>
      <c r="B1" s="34" t="s">
        <v>480</v>
      </c>
      <c r="C1" s="34" t="s">
        <v>559</v>
      </c>
      <c r="D1" s="34" t="s">
        <v>560</v>
      </c>
      <c r="E1" s="34" t="s">
        <v>561</v>
      </c>
      <c r="F1" s="34" t="s">
        <v>562</v>
      </c>
    </row>
    <row r="2">
      <c r="A2" s="35">
        <v>1</v>
      </c>
      <c r="B2" s="33">
        <v>46324.3593308912</v>
      </c>
      <c r="C2" s="35" t="s">
        <v>563</v>
      </c>
      <c r="D2" s="35" t="s">
        <v>564</v>
      </c>
      <c r="E2" s="35" t="s">
        <v>565</v>
      </c>
      <c r="F2" s="35" t="s">
        <v>566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