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ver" sheetId="1" r:id="rId1"/>
    <sheet name="Historical_IS" sheetId="2" r:id="rId2"/>
    <sheet name="Historical_BS" sheetId="3" r:id="rId3"/>
    <sheet name="Historical_CF" sheetId="4" r:id="rId4"/>
    <sheet name="Segment_Build" sheetId="5" r:id="rId5"/>
    <sheet name="Assumptions" sheetId="6" r:id="rId6"/>
    <sheet name="Protein_Drivers" sheetId="7" r:id="rId7"/>
    <sheet name="Forecast_3Stmt" sheetId="8" r:id="rId8"/>
    <sheet name="Schedules" sheetId="9" r:id="rId9"/>
    <sheet name="Interim_Bridge" sheetId="10" r:id="rId10"/>
    <sheet name="Debt_Credit" sheetId="11" r:id="rId11"/>
    <sheet name="DCF" sheetId="12" r:id="rId12"/>
    <sheet name="Sensitivity" sheetId="13" r:id="rId13"/>
    <sheet name="Sources" sheetId="14" r:id="rId14"/>
    <sheet name="Checks" sheetId="15" r:id="rId15"/>
    <sheet name="Change_Log" sheetId="16" r:id="rId16"/>
    <sheet name="Limitations" sheetId="17" r:id="rId17"/>
  </sheets>
  <calcPr calcId="0"/>
</workbook>
</file>

<file path=xl/comments1.xml><?xml version="1.0" encoding="utf-8"?>
<comments xmlns="http://schemas.openxmlformats.org/spreadsheetml/2006/main">
  <authors>
    <author>OpenAI Codex</author>
  </authors>
  <commentList>
    <comment ref="B7" authorId="0">
      <text>
        <t>S01 | FY2022 10-K, Consolidated Statements of Income, lines 1671-1699 | https://www.sec.gov/Archives/edgar/data/100493/000010049322000097/tsn-20221001.htm</t>
      </text>
    </comment>
    <comment ref="C7" authorId="0">
      <text>
        <t>S01 | FY2022 10-K, Consolidated Statements of Income, lines 1671-1699 | https://www.sec.gov/Archives/edgar/data/100493/000010049322000097/tsn-20221001.htm</t>
      </text>
    </comment>
    <comment ref="D7" authorId="0">
      <text>
        <t>S03 | FY2025 10-K, Consolidated Statements of Income, lines 1640-1654 | https://www.sec.gov/Archives/edgar/data/100493/000010049325000095/tsn-20250927.htm</t>
      </text>
    </comment>
    <comment ref="E7" authorId="0">
      <text>
        <t>S03 | FY2025 10-K, Consolidated Statements of Income, lines 1640-1654 | https://www.sec.gov/Archives/edgar/data/100493/000010049325000095/tsn-20250927.htm</t>
      </text>
    </comment>
    <comment ref="F7" authorId="0">
      <text>
        <t>S03 | FY2025 10-K, Consolidated Statements of Income, lines 1640-1654 | https://www.sec.gov/Archives/edgar/data/100493/000010049325000095/tsn-20250927.htm</t>
      </text>
    </comment>
    <comment ref="B8" authorId="0">
      <text>
        <t>S01 | FY2022 10-K, Consolidated Statements of Income, lines 1671-1699 | https://www.sec.gov/Archives/edgar/data/100493/000010049322000097/tsn-20221001.htm</t>
      </text>
    </comment>
    <comment ref="C8" authorId="0">
      <text>
        <t>S01 | FY2022 10-K, Consolidated Statements of Income, lines 1671-1699 | https://www.sec.gov/Archives/edgar/data/100493/000010049322000097/tsn-20221001.htm</t>
      </text>
    </comment>
    <comment ref="D8" authorId="0">
      <text>
        <t>S03 | FY2025 10-K, Consolidated Statements of Income, lines 1640-1654 | https://www.sec.gov/Archives/edgar/data/100493/000010049325000095/tsn-20250927.htm</t>
      </text>
    </comment>
    <comment ref="E8" authorId="0">
      <text>
        <t>S03 | FY2025 10-K, Consolidated Statements of Income, lines 1640-1654 | https://www.sec.gov/Archives/edgar/data/100493/000010049325000095/tsn-20250927.htm</t>
      </text>
    </comment>
    <comment ref="F8" authorId="0">
      <text>
        <t>S03 | FY2025 10-K, Consolidated Statements of Income, lines 1640-1654 | https://www.sec.gov/Archives/edgar/data/100493/000010049325000095/tsn-20250927.htm</t>
      </text>
    </comment>
    <comment ref="B9" authorId="0">
      <text>
        <t>S01 | FY2022 10-K, Consolidated Statements of Income, lines 1671-1699 | https://www.sec.gov/Archives/edgar/data/100493/000010049322000097/tsn-20221001.htm</t>
      </text>
    </comment>
    <comment ref="C9" authorId="0">
      <text>
        <t>S01 | FY2022 10-K, Consolidated Statements of Income, lines 1671-1699 | https://www.sec.gov/Archives/edgar/data/100493/000010049322000097/tsn-20221001.htm</t>
      </text>
    </comment>
    <comment ref="D9" authorId="0">
      <text>
        <t>S03 | FY2025 10-K, Consolidated Statements of Income, lines 1640-1654 | https://www.sec.gov/Archives/edgar/data/100493/000010049325000095/tsn-20250927.htm</t>
      </text>
    </comment>
    <comment ref="E9" authorId="0">
      <text>
        <t>S03 | FY2025 10-K, Consolidated Statements of Income, lines 1640-1654 | https://www.sec.gov/Archives/edgar/data/100493/000010049325000095/tsn-20250927.htm</t>
      </text>
    </comment>
    <comment ref="F9" authorId="0">
      <text>
        <t>S03 | FY2025 10-K, Consolidated Statements of Income, lines 1640-1654 | https://www.sec.gov/Archives/edgar/data/100493/000010049325000095/tsn-20250927.htm</t>
      </text>
    </comment>
    <comment ref="B10" authorId="0">
      <text>
        <t>S01 | FY2022 10-K, Consolidated Statements of Income, lines 1671-1699 | https://www.sec.gov/Archives/edgar/data/100493/000010049322000097/tsn-20221001.htm</t>
      </text>
    </comment>
    <comment ref="C10" authorId="0">
      <text>
        <t>S01 | FY2022 10-K, Consolidated Statements of Income, lines 1671-1699 | https://www.sec.gov/Archives/edgar/data/100493/000010049322000097/tsn-20221001.htm</t>
      </text>
    </comment>
    <comment ref="D10" authorId="0">
      <text>
        <t>S03 | FY2025 10-K, Consolidated Statements of Income, lines 1640-1654 | https://www.sec.gov/Archives/edgar/data/100493/000010049325000095/tsn-20250927.htm</t>
      </text>
    </comment>
    <comment ref="E10" authorId="0">
      <text>
        <t>S03 | FY2025 10-K, Consolidated Statements of Income, lines 1640-1654 | https://www.sec.gov/Archives/edgar/data/100493/000010049325000095/tsn-20250927.htm</t>
      </text>
    </comment>
    <comment ref="F10" authorId="0">
      <text>
        <t>S03 | FY2025 10-K, Consolidated Statements of Income, lines 1640-1654 | https://www.sec.gov/Archives/edgar/data/100493/000010049325000095/tsn-20250927.htm</t>
      </text>
    </comment>
    <comment ref="B11" authorId="0">
      <text>
        <t>S01 | FY2022 10-K, Consolidated Statements of Income, lines 1671-1699 | https://www.sec.gov/Archives/edgar/data/100493/000010049322000097/tsn-20221001.htm</t>
      </text>
    </comment>
    <comment ref="C11" authorId="0">
      <text>
        <t>S01 | FY2022 10-K, Consolidated Statements of Income, lines 1671-1699 | https://www.sec.gov/Archives/edgar/data/100493/000010049322000097/tsn-20221001.htm</t>
      </text>
    </comment>
    <comment ref="D11" authorId="0">
      <text>
        <t>S03 | FY2025 10-K, Consolidated Statements of Income, lines 1640-1654 | https://www.sec.gov/Archives/edgar/data/100493/000010049325000095/tsn-20250927.htm</t>
      </text>
    </comment>
    <comment ref="E11" authorId="0">
      <text>
        <t>S03 | FY2025 10-K, Consolidated Statements of Income, lines 1640-1654 | https://www.sec.gov/Archives/edgar/data/100493/000010049325000095/tsn-20250927.htm</t>
      </text>
    </comment>
    <comment ref="F11" authorId="0">
      <text>
        <t>S03 | FY2025 10-K, Consolidated Statements of Income, lines 1640-1654 | https://www.sec.gov/Archives/edgar/data/100493/000010049325000095/tsn-20250927.htm</t>
      </text>
    </comment>
    <comment ref="B12" authorId="0">
      <text>
        <t>S01 | FY2022 10-K, Consolidated Statements of Income, lines 1671-1699 | https://www.sec.gov/Archives/edgar/data/100493/000010049322000097/tsn-20221001.htm</t>
      </text>
    </comment>
    <comment ref="C12" authorId="0">
      <text>
        <t>S01 | FY2022 10-K, Consolidated Statements of Income, lines 1671-1699 | https://www.sec.gov/Archives/edgar/data/100493/000010049322000097/tsn-20221001.htm</t>
      </text>
    </comment>
    <comment ref="D12" authorId="0">
      <text>
        <t>S03 | FY2025 10-K, Consolidated Statements of Income, lines 1640-1654 | https://www.sec.gov/Archives/edgar/data/100493/000010049325000095/tsn-20250927.htm</t>
      </text>
    </comment>
    <comment ref="E12" authorId="0">
      <text>
        <t>S03 | FY2025 10-K, Consolidated Statements of Income, lines 1640-1654 | https://www.sec.gov/Archives/edgar/data/100493/000010049325000095/tsn-20250927.htm</t>
      </text>
    </comment>
    <comment ref="F12" authorId="0">
      <text>
        <t>S03 | FY2025 10-K, Consolidated Statements of Income, lines 1640-1654 | https://www.sec.gov/Archives/edgar/data/100493/000010049325000095/tsn-20250927.htm</t>
      </text>
    </comment>
    <comment ref="B13" authorId="0">
      <text>
        <t>S01 | FY2022 10-K, Consolidated Statements of Income, lines 1671-1699 | https://www.sec.gov/Archives/edgar/data/100493/000010049322000097/tsn-20221001.htm</t>
      </text>
    </comment>
    <comment ref="C13" authorId="0">
      <text>
        <t>S01 | FY2022 10-K, Consolidated Statements of Income, lines 1671-1699 | https://www.sec.gov/Archives/edgar/data/100493/000010049322000097/tsn-20221001.htm</t>
      </text>
    </comment>
    <comment ref="D13" authorId="0">
      <text>
        <t>S03 | FY2025 10-K, Consolidated Statements of Income, lines 1640-1654 | https://www.sec.gov/Archives/edgar/data/100493/000010049325000095/tsn-20250927.htm</t>
      </text>
    </comment>
    <comment ref="E13" authorId="0">
      <text>
        <t>S03 | FY2025 10-K, Consolidated Statements of Income, lines 1640-1654 | https://www.sec.gov/Archives/edgar/data/100493/000010049325000095/tsn-20250927.htm</t>
      </text>
    </comment>
    <comment ref="F13" authorId="0">
      <text>
        <t>S03 | FY2025 10-K, Consolidated Statements of Income, lines 1640-1654 | https://www.sec.gov/Archives/edgar/data/100493/000010049325000095/tsn-20250927.htm</t>
      </text>
    </comment>
    <comment ref="B14" authorId="0">
      <text>
        <t>S01 | FY2022 10-K, Consolidated Statements of Income, lines 1671-1699 | https://www.sec.gov/Archives/edgar/data/100493/000010049322000097/tsn-20221001.htm</t>
      </text>
    </comment>
    <comment ref="C14" authorId="0">
      <text>
        <t>S01 | FY2022 10-K, Consolidated Statements of Income, lines 1671-1699 | https://www.sec.gov/Archives/edgar/data/100493/000010049322000097/tsn-20221001.htm</t>
      </text>
    </comment>
    <comment ref="D14" authorId="0">
      <text>
        <t>S03 | FY2025 10-K, Consolidated Statements of Income, lines 1640-1654 | https://www.sec.gov/Archives/edgar/data/100493/000010049325000095/tsn-20250927.htm</t>
      </text>
    </comment>
    <comment ref="E14" authorId="0">
      <text>
        <t>S03 | FY2025 10-K, Consolidated Statements of Income, lines 1640-1654 | https://www.sec.gov/Archives/edgar/data/100493/000010049325000095/tsn-20250927.htm</t>
      </text>
    </comment>
    <comment ref="F14" authorId="0">
      <text>
        <t>S03 | FY2025 10-K, Consolidated Statements of Income, lines 1640-1654 | https://www.sec.gov/Archives/edgar/data/100493/000010049325000095/tsn-20250927.htm</t>
      </text>
    </comment>
    <comment ref="B15" authorId="0">
      <text>
        <t>S01 | FY2022 10-K, Consolidated Statements of Income, lines 1671-1699 | https://www.sec.gov/Archives/edgar/data/100493/000010049322000097/tsn-20221001.htm</t>
      </text>
    </comment>
    <comment ref="C15" authorId="0">
      <text>
        <t>S01 | FY2022 10-K, Consolidated Statements of Income, lines 1671-1699 | https://www.sec.gov/Archives/edgar/data/100493/000010049322000097/tsn-20221001.htm</t>
      </text>
    </comment>
    <comment ref="D15" authorId="0">
      <text>
        <t>S03 | FY2025 10-K, Consolidated Statements of Income, lines 1640-1654 | https://www.sec.gov/Archives/edgar/data/100493/000010049325000095/tsn-20250927.htm</t>
      </text>
    </comment>
    <comment ref="E15" authorId="0">
      <text>
        <t>S03 | FY2025 10-K, Consolidated Statements of Income, lines 1640-1654 | https://www.sec.gov/Archives/edgar/data/100493/000010049325000095/tsn-20250927.htm</t>
      </text>
    </comment>
    <comment ref="F15" authorId="0">
      <text>
        <t>S03 | FY2025 10-K, Consolidated Statements of Income, lines 1640-1654 | https://www.sec.gov/Archives/edgar/data/100493/000010049325000095/tsn-20250927.htm</t>
      </text>
    </comment>
    <comment ref="B16" authorId="0">
      <text>
        <t>S01 | FY2022 10-K, Consolidated Statements of Income, lines 1671-1699 | https://www.sec.gov/Archives/edgar/data/100493/000010049322000097/tsn-20221001.htm</t>
      </text>
    </comment>
    <comment ref="C16" authorId="0">
      <text>
        <t>S01 | FY2022 10-K, Consolidated Statements of Income, lines 1671-1699 | https://www.sec.gov/Archives/edgar/data/100493/000010049322000097/tsn-20221001.htm</t>
      </text>
    </comment>
    <comment ref="D16" authorId="0">
      <text>
        <t>S03 | FY2025 10-K, Consolidated Statements of Income, lines 1640-1654 | https://www.sec.gov/Archives/edgar/data/100493/000010049325000095/tsn-20250927.htm</t>
      </text>
    </comment>
    <comment ref="E16" authorId="0">
      <text>
        <t>S03 | FY2025 10-K, Consolidated Statements of Income, lines 1640-1654 | https://www.sec.gov/Archives/edgar/data/100493/000010049325000095/tsn-20250927.htm</t>
      </text>
    </comment>
    <comment ref="F16" authorId="0">
      <text>
        <t>S03 | FY2025 10-K, Consolidated Statements of Income, lines 1640-1654 | https://www.sec.gov/Archives/edgar/data/100493/000010049325000095/tsn-20250927.htm</t>
      </text>
    </comment>
    <comment ref="B17" authorId="0">
      <text>
        <t>S01 | FY2022 10-K, Consolidated Statements of Income, lines 1671-1699 | https://www.sec.gov/Archives/edgar/data/100493/000010049322000097/tsn-20221001.htm</t>
      </text>
    </comment>
    <comment ref="C17" authorId="0">
      <text>
        <t>S01 | FY2022 10-K, Consolidated Statements of Income, lines 1671-1699 | https://www.sec.gov/Archives/edgar/data/100493/000010049322000097/tsn-20221001.htm</t>
      </text>
    </comment>
    <comment ref="D17" authorId="0">
      <text>
        <t>S03 | FY2025 10-K, Consolidated Statements of Income, lines 1640-1654 | https://www.sec.gov/Archives/edgar/data/100493/000010049325000095/tsn-20250927.htm</t>
      </text>
    </comment>
    <comment ref="E17" authorId="0">
      <text>
        <t>S03 | FY2025 10-K, Consolidated Statements of Income, lines 1640-1654 | https://www.sec.gov/Archives/edgar/data/100493/000010049325000095/tsn-20250927.htm</t>
      </text>
    </comment>
    <comment ref="F17" authorId="0">
      <text>
        <t>S03 | FY2025 10-K, Consolidated Statements of Income, lines 1640-1654 | https://www.sec.gov/Archives/edgar/data/100493/000010049325000095/tsn-20250927.htm</t>
      </text>
    </comment>
    <comment ref="B18" authorId="0">
      <text>
        <t>S01 | FY2022 10-K, Consolidated Statements of Income, lines 1671-1699 | https://www.sec.gov/Archives/edgar/data/100493/000010049322000097/tsn-20221001.htm</t>
      </text>
    </comment>
    <comment ref="C18" authorId="0">
      <text>
        <t>S01 | FY2022 10-K, Consolidated Statements of Income, lines 1671-1699 | https://www.sec.gov/Archives/edgar/data/100493/000010049322000097/tsn-20221001.htm</t>
      </text>
    </comment>
    <comment ref="D18" authorId="0">
      <text>
        <t>S03 | FY2025 10-K, Consolidated Statements of Income, lines 1640-1654 | https://www.sec.gov/Archives/edgar/data/100493/000010049325000095/tsn-20250927.htm</t>
      </text>
    </comment>
    <comment ref="E18" authorId="0">
      <text>
        <t>S03 | FY2025 10-K, Consolidated Statements of Income, lines 1640-1654 | https://www.sec.gov/Archives/edgar/data/100493/000010049325000095/tsn-20250927.htm</t>
      </text>
    </comment>
    <comment ref="F18" authorId="0">
      <text>
        <t>S03 | FY2025 10-K, Consolidated Statements of Income, lines 1640-1654 | https://www.sec.gov/Archives/edgar/data/100493/000010049325000095/tsn-20250927.htm</t>
      </text>
    </comment>
    <comment ref="B19" authorId="0">
      <text>
        <t>S01 | FY2022 10-K, Consolidated Statements of Income, lines 1671-1699 | https://www.sec.gov/Archives/edgar/data/100493/000010049322000097/tsn-20221001.htm</t>
      </text>
    </comment>
    <comment ref="C19" authorId="0">
      <text>
        <t>S01 | FY2022 10-K, Consolidated Statements of Income, lines 1671-1699 | https://www.sec.gov/Archives/edgar/data/100493/000010049322000097/tsn-20221001.htm</t>
      </text>
    </comment>
    <comment ref="D19" authorId="0">
      <text>
        <t>S03 | FY2025 10-K, Consolidated Statements of Income, lines 1640-1654 | https://www.sec.gov/Archives/edgar/data/100493/000010049325000095/tsn-20250927.htm</t>
      </text>
    </comment>
    <comment ref="E19" authorId="0">
      <text>
        <t>S03 | FY2025 10-K, Consolidated Statements of Income, lines 1640-1654 | https://www.sec.gov/Archives/edgar/data/100493/000010049325000095/tsn-20250927.htm</t>
      </text>
    </comment>
    <comment ref="F19" authorId="0">
      <text>
        <t>S03 | FY2025 10-K, Consolidated Statements of Income, lines 1640-1654 | https://www.sec.gov/Archives/edgar/data/100493/000010049325000095/tsn-20250927.htm</t>
      </text>
    </comment>
    <comment ref="B20" authorId="0">
      <text>
        <t>S01 | FY2022 10-K, Consolidated Statements of Income, lines 1671-1699 | https://www.sec.gov/Archives/edgar/data/100493/000010049322000097/tsn-20221001.htm</t>
      </text>
    </comment>
    <comment ref="C20" authorId="0">
      <text>
        <t>S01 | FY2022 10-K, Consolidated Statements of Income, lines 1671-1699 | https://www.sec.gov/Archives/edgar/data/100493/000010049322000097/tsn-20221001.htm</t>
      </text>
    </comment>
    <comment ref="D20" authorId="0">
      <text>
        <t>S03 | FY2025 10-K, Consolidated Statements of Income, lines 1640-1654 | https://www.sec.gov/Archives/edgar/data/100493/000010049325000095/tsn-20250927.htm</t>
      </text>
    </comment>
    <comment ref="E20" authorId="0">
      <text>
        <t>S03 | FY2025 10-K, Consolidated Statements of Income, lines 1640-1654 | https://www.sec.gov/Archives/edgar/data/100493/000010049325000095/tsn-20250927.htm</t>
      </text>
    </comment>
    <comment ref="F20" authorId="0">
      <text>
        <t>S03 | FY2025 10-K, Consolidated Statements of Income, lines 1640-1654 | https://www.sec.gov/Archives/edgar/data/100493/000010049325000095/tsn-20250927.htm</t>
      </text>
    </comment>
    <comment ref="B21" authorId="0">
      <text>
        <t>S01 | FY2022 10-K, Consolidated Statements of Income, lines 1671-1699 | https://www.sec.gov/Archives/edgar/data/100493/000010049322000097/tsn-20221001.htm</t>
      </text>
    </comment>
    <comment ref="C21" authorId="0">
      <text>
        <t>S01 | FY2022 10-K, Consolidated Statements of Income, lines 1671-1699 | https://www.sec.gov/Archives/edgar/data/100493/000010049322000097/tsn-20221001.htm</t>
      </text>
    </comment>
    <comment ref="D21" authorId="0">
      <text>
        <t>S03 | FY2025 10-K, Consolidated Statements of Income, lines 1640-1654 | https://www.sec.gov/Archives/edgar/data/100493/000010049325000095/tsn-20250927.htm</t>
      </text>
    </comment>
    <comment ref="E21" authorId="0">
      <text>
        <t>S03 | FY2025 10-K, Consolidated Statements of Income, lines 1640-1654 | https://www.sec.gov/Archives/edgar/data/100493/000010049325000095/tsn-20250927.htm</t>
      </text>
    </comment>
    <comment ref="F21" authorId="0">
      <text>
        <t>S03 | FY2025 10-K, Consolidated Statements of Income, lines 1640-1654 | https://www.sec.gov/Archives/edgar/data/100493/000010049325000095/tsn-20250927.htm</t>
      </text>
    </comment>
    <comment ref="B22" authorId="0">
      <text>
        <t>S01 | FY2022 10-K, Consolidated Statements of Income, lines 1671-1699 | https://www.sec.gov/Archives/edgar/data/100493/000010049322000097/tsn-20221001.htm</t>
      </text>
    </comment>
    <comment ref="C22" authorId="0">
      <text>
        <t>S01 | FY2022 10-K, Consolidated Statements of Income, lines 1671-1699 | https://www.sec.gov/Archives/edgar/data/100493/000010049322000097/tsn-20221001.htm</t>
      </text>
    </comment>
    <comment ref="D22" authorId="0">
      <text>
        <t>S03 | FY2025 10-K, Consolidated Statements of Income, lines 1640-1654 | https://www.sec.gov/Archives/edgar/data/100493/000010049325000095/tsn-20250927.htm</t>
      </text>
    </comment>
    <comment ref="E22" authorId="0">
      <text>
        <t>S03 | FY2025 10-K, Consolidated Statements of Income, lines 1640-1654 | https://www.sec.gov/Archives/edgar/data/100493/000010049325000095/tsn-20250927.htm</t>
      </text>
    </comment>
    <comment ref="F22" authorId="0">
      <text>
        <t>S03 | FY2025 10-K, Consolidated Statements of Income, lines 1640-1654 | https://www.sec.gov/Archives/edgar/data/100493/000010049325000095/tsn-20250927.htm</t>
      </text>
    </comment>
  </commentList>
</comments>
</file>

<file path=xl/comments2.xml><?xml version="1.0" encoding="utf-8"?>
<comments xmlns="http://schemas.openxmlformats.org/spreadsheetml/2006/main">
  <authors>
    <author>OpenAI Codex</author>
  </authors>
  <commentList>
    <comment ref="B7" authorId="0">
      <text>
        <t>S01 | FY2022 10-K, Consolidated Balance Sheets, lines 1735-1774 | https://www.sec.gov/Archives/edgar/data/100493/000010049322000097/tsn-20221001.htm</t>
      </text>
    </comment>
    <comment ref="C7" authorId="0">
      <text>
        <t>S01 | FY2022 10-K, Consolidated Balance Sheets, lines 1735-1774 | https://www.sec.gov/Archives/edgar/data/100493/000010049322000097/tsn-20221001.htm</t>
      </text>
    </comment>
    <comment ref="D7" authorId="0">
      <text>
        <t>S02 | FY2023 10-K balance sheet lines 1765-1803 | https://www.sec.gov/Archives/edgar/data/100493/000010049323000105/tsn-20230930.htm</t>
      </text>
    </comment>
    <comment ref="E7" authorId="0">
      <text>
        <t>S03 | FY2025 10-K, Consolidated Balance Sheets, lines 1686-1717 | https://www.sec.gov/Archives/edgar/data/100493/000010049325000095/tsn-20250927.htm</t>
      </text>
    </comment>
    <comment ref="F7" authorId="0">
      <text>
        <t>S03 | FY2025 10-K, Consolidated Balance Sheets, lines 1686-1717 | https://www.sec.gov/Archives/edgar/data/100493/000010049325000095/tsn-20250927.htm</t>
      </text>
    </comment>
    <comment ref="B8" authorId="0">
      <text>
        <t>S01 | FY2022 10-K, Consolidated Balance Sheets, lines 1735-1774 | https://www.sec.gov/Archives/edgar/data/100493/000010049322000097/tsn-20221001.htm</t>
      </text>
    </comment>
    <comment ref="C8" authorId="0">
      <text>
        <t>S01 | FY2022 10-K, Consolidated Balance Sheets, lines 1735-1774 | https://www.sec.gov/Archives/edgar/data/100493/000010049322000097/tsn-20221001.htm</t>
      </text>
    </comment>
    <comment ref="D8" authorId="0">
      <text>
        <t>S02 | FY2023 10-K balance sheet lines 1765-1803 | https://www.sec.gov/Archives/edgar/data/100493/000010049323000105/tsn-20230930.htm</t>
      </text>
    </comment>
    <comment ref="E8" authorId="0">
      <text>
        <t>S03 | FY2025 10-K, Consolidated Balance Sheets, lines 1686-1717 | https://www.sec.gov/Archives/edgar/data/100493/000010049325000095/tsn-20250927.htm</t>
      </text>
    </comment>
    <comment ref="F8" authorId="0">
      <text>
        <t>S03 | FY2025 10-K, Consolidated Balance Sheets, lines 1686-1717 | https://www.sec.gov/Archives/edgar/data/100493/000010049325000095/tsn-20250927.htm</t>
      </text>
    </comment>
    <comment ref="B9" authorId="0">
      <text>
        <t>S01 | FY2022 10-K, Consolidated Balance Sheets, lines 1735-1774 | https://www.sec.gov/Archives/edgar/data/100493/000010049322000097/tsn-20221001.htm</t>
      </text>
    </comment>
    <comment ref="C9" authorId="0">
      <text>
        <t>S01 | FY2022 10-K, Consolidated Balance Sheets, lines 1735-1774 | https://www.sec.gov/Archives/edgar/data/100493/000010049322000097/tsn-20221001.htm</t>
      </text>
    </comment>
    <comment ref="D9" authorId="0">
      <text>
        <t>S02 | FY2023 10-K balance sheet lines 1765-1803 | https://www.sec.gov/Archives/edgar/data/100493/000010049323000105/tsn-20230930.htm</t>
      </text>
    </comment>
    <comment ref="E9" authorId="0">
      <text>
        <t>S03 | FY2025 10-K, Consolidated Balance Sheets, lines 1686-1717 | https://www.sec.gov/Archives/edgar/data/100493/000010049325000095/tsn-20250927.htm</t>
      </text>
    </comment>
    <comment ref="F9" authorId="0">
      <text>
        <t>S03 | FY2025 10-K, Consolidated Balance Sheets, lines 1686-1717 | https://www.sec.gov/Archives/edgar/data/100493/000010049325000095/tsn-20250927.htm</t>
      </text>
    </comment>
    <comment ref="B10" authorId="0">
      <text>
        <t>S01 | FY2022 10-K, Consolidated Balance Sheets, lines 1735-1774 | https://www.sec.gov/Archives/edgar/data/100493/000010049322000097/tsn-20221001.htm</t>
      </text>
    </comment>
    <comment ref="C10" authorId="0">
      <text>
        <t>S01 | FY2022 10-K, Consolidated Balance Sheets, lines 1735-1774 | https://www.sec.gov/Archives/edgar/data/100493/000010049322000097/tsn-20221001.htm</t>
      </text>
    </comment>
    <comment ref="D10" authorId="0">
      <text>
        <t>S02 | FY2023 10-K balance sheet lines 1765-1803 | https://www.sec.gov/Archives/edgar/data/100493/000010049323000105/tsn-20230930.htm</t>
      </text>
    </comment>
    <comment ref="E10" authorId="0">
      <text>
        <t>S03 | FY2025 10-K, Consolidated Balance Sheets, lines 1686-1717 | https://www.sec.gov/Archives/edgar/data/100493/000010049325000095/tsn-20250927.htm</t>
      </text>
    </comment>
    <comment ref="F10" authorId="0">
      <text>
        <t>S03 | FY2025 10-K, Consolidated Balance Sheets, lines 1686-1717 | https://www.sec.gov/Archives/edgar/data/100493/000010049325000095/tsn-20250927.htm</t>
      </text>
    </comment>
    <comment ref="B11" authorId="0">
      <text>
        <t>S01 | FY2022 10-K, Consolidated Balance Sheets, lines 1735-1774 | https://www.sec.gov/Archives/edgar/data/100493/000010049322000097/tsn-20221001.htm</t>
      </text>
    </comment>
    <comment ref="C11" authorId="0">
      <text>
        <t>S01 | FY2022 10-K, Consolidated Balance Sheets, lines 1735-1774 | https://www.sec.gov/Archives/edgar/data/100493/000010049322000097/tsn-20221001.htm</t>
      </text>
    </comment>
    <comment ref="D11" authorId="0">
      <text>
        <t>S02 | FY2023 10-K balance sheet lines 1765-1803 | https://www.sec.gov/Archives/edgar/data/100493/000010049323000105/tsn-20230930.htm</t>
      </text>
    </comment>
    <comment ref="E11" authorId="0">
      <text>
        <t>S03 | FY2025 10-K, Consolidated Balance Sheets, lines 1686-1717 | https://www.sec.gov/Archives/edgar/data/100493/000010049325000095/tsn-20250927.htm</t>
      </text>
    </comment>
    <comment ref="F11" authorId="0">
      <text>
        <t>S03 | FY2025 10-K, Consolidated Balance Sheets, lines 1686-1717 | https://www.sec.gov/Archives/edgar/data/100493/000010049325000095/tsn-20250927.htm</t>
      </text>
    </comment>
    <comment ref="B12" authorId="0">
      <text>
        <t>S01 | FY2022 10-K, Consolidated Balance Sheets, lines 1735-1774 | https://www.sec.gov/Archives/edgar/data/100493/000010049322000097/tsn-20221001.htm</t>
      </text>
    </comment>
    <comment ref="C12" authorId="0">
      <text>
        <t>S01 | FY2022 10-K, Consolidated Balance Sheets, lines 1735-1774 | https://www.sec.gov/Archives/edgar/data/100493/000010049322000097/tsn-20221001.htm</t>
      </text>
    </comment>
    <comment ref="D12" authorId="0">
      <text>
        <t>S02 | FY2023 10-K balance sheet lines 1765-1803 | https://www.sec.gov/Archives/edgar/data/100493/000010049323000105/tsn-20230930.htm</t>
      </text>
    </comment>
    <comment ref="E12" authorId="0">
      <text>
        <t>S03 | FY2025 10-K, Consolidated Balance Sheets, lines 1686-1717 | https://www.sec.gov/Archives/edgar/data/100493/000010049325000095/tsn-20250927.htm</t>
      </text>
    </comment>
    <comment ref="F12" authorId="0">
      <text>
        <t>S03 | FY2025 10-K, Consolidated Balance Sheets, lines 1686-1717 | https://www.sec.gov/Archives/edgar/data/100493/000010049325000095/tsn-20250927.htm</t>
      </text>
    </comment>
    <comment ref="B13" authorId="0">
      <text>
        <t>S01 | FY2022 10-K, Consolidated Balance Sheets, lines 1735-1774 | https://www.sec.gov/Archives/edgar/data/100493/000010049322000097/tsn-20221001.htm</t>
      </text>
    </comment>
    <comment ref="C13" authorId="0">
      <text>
        <t>S01 | FY2022 10-K, Consolidated Balance Sheets, lines 1735-1774 | https://www.sec.gov/Archives/edgar/data/100493/000010049322000097/tsn-20221001.htm</t>
      </text>
    </comment>
    <comment ref="D13" authorId="0">
      <text>
        <t>S02 | FY2023 10-K balance sheet lines 1765-1803 | https://www.sec.gov/Archives/edgar/data/100493/000010049323000105/tsn-20230930.htm</t>
      </text>
    </comment>
    <comment ref="E13" authorId="0">
      <text>
        <t>S03 | FY2025 10-K, Consolidated Balance Sheets, lines 1686-1717 | https://www.sec.gov/Archives/edgar/data/100493/000010049325000095/tsn-20250927.htm</t>
      </text>
    </comment>
    <comment ref="F13" authorId="0">
      <text>
        <t>S03 | FY2025 10-K, Consolidated Balance Sheets, lines 1686-1717 | https://www.sec.gov/Archives/edgar/data/100493/000010049325000095/tsn-20250927.htm</t>
      </text>
    </comment>
    <comment ref="B14" authorId="0">
      <text>
        <t>S01 | FY2022 10-K, Consolidated Balance Sheets, lines 1735-1774 | https://www.sec.gov/Archives/edgar/data/100493/000010049322000097/tsn-20221001.htm</t>
      </text>
    </comment>
    <comment ref="C14" authorId="0">
      <text>
        <t>S01 | FY2022 10-K, Consolidated Balance Sheets, lines 1735-1774 | https://www.sec.gov/Archives/edgar/data/100493/000010049322000097/tsn-20221001.htm</t>
      </text>
    </comment>
    <comment ref="D14" authorId="0">
      <text>
        <t>S02 | FY2023 10-K balance sheet lines 1765-1803 | https://www.sec.gov/Archives/edgar/data/100493/000010049323000105/tsn-20230930.htm</t>
      </text>
    </comment>
    <comment ref="E14" authorId="0">
      <text>
        <t>S03 | FY2025 10-K, Consolidated Balance Sheets, lines 1686-1717 | https://www.sec.gov/Archives/edgar/data/100493/000010049325000095/tsn-20250927.htm</t>
      </text>
    </comment>
    <comment ref="F14" authorId="0">
      <text>
        <t>S03 | FY2025 10-K, Consolidated Balance Sheets, lines 1686-1717 | https://www.sec.gov/Archives/edgar/data/100493/000010049325000095/tsn-20250927.htm</t>
      </text>
    </comment>
    <comment ref="B15" authorId="0">
      <text>
        <t>S01 | FY2022 10-K, Consolidated Balance Sheets, lines 1735-1774 | https://www.sec.gov/Archives/edgar/data/100493/000010049322000097/tsn-20221001.htm</t>
      </text>
    </comment>
    <comment ref="C15" authorId="0">
      <text>
        <t>S01 | FY2022 10-K, Consolidated Balance Sheets, lines 1735-1774 | https://www.sec.gov/Archives/edgar/data/100493/000010049322000097/tsn-20221001.htm</t>
      </text>
    </comment>
    <comment ref="D15" authorId="0">
      <text>
        <t>S02 | FY2023 10-K balance sheet lines 1765-1803 | https://www.sec.gov/Archives/edgar/data/100493/000010049323000105/tsn-20230930.htm</t>
      </text>
    </comment>
    <comment ref="E15" authorId="0">
      <text>
        <t>S03 | FY2025 10-K, Consolidated Balance Sheets, lines 1686-1717 | https://www.sec.gov/Archives/edgar/data/100493/000010049325000095/tsn-20250927.htm</t>
      </text>
    </comment>
    <comment ref="F15" authorId="0">
      <text>
        <t>S03 | FY2025 10-K, Consolidated Balance Sheets, lines 1686-1717 | https://www.sec.gov/Archives/edgar/data/100493/000010049325000095/tsn-20250927.htm</t>
      </text>
    </comment>
    <comment ref="B16" authorId="0">
      <text>
        <t>S01 | FY2022 10-K, Consolidated Balance Sheets, lines 1735-1774 | https://www.sec.gov/Archives/edgar/data/100493/000010049322000097/tsn-20221001.htm</t>
      </text>
    </comment>
    <comment ref="C16" authorId="0">
      <text>
        <t>S01 | FY2022 10-K, Consolidated Balance Sheets, lines 1735-1774 | https://www.sec.gov/Archives/edgar/data/100493/000010049322000097/tsn-20221001.htm</t>
      </text>
    </comment>
    <comment ref="D16" authorId="0">
      <text>
        <t>S02 | FY2023 10-K balance sheet lines 1765-1803 | https://www.sec.gov/Archives/edgar/data/100493/000010049323000105/tsn-20230930.htm</t>
      </text>
    </comment>
    <comment ref="E16" authorId="0">
      <text>
        <t>S03 | FY2025 10-K, Consolidated Balance Sheets, lines 1686-1717 | https://www.sec.gov/Archives/edgar/data/100493/000010049325000095/tsn-20250927.htm</t>
      </text>
    </comment>
    <comment ref="F16" authorId="0">
      <text>
        <t>S03 | FY2025 10-K, Consolidated Balance Sheets, lines 1686-1717 | https://www.sec.gov/Archives/edgar/data/100493/000010049325000095/tsn-20250927.htm</t>
      </text>
    </comment>
    <comment ref="B19" authorId="0">
      <text>
        <t>S01 | FY2022 10-K, Consolidated Balance Sheets, lines 1735-1774 | https://www.sec.gov/Archives/edgar/data/100493/000010049322000097/tsn-20221001.htm</t>
      </text>
    </comment>
    <comment ref="C19" authorId="0">
      <text>
        <t>S01 | FY2022 10-K, Consolidated Balance Sheets, lines 1735-1774 | https://www.sec.gov/Archives/edgar/data/100493/000010049322000097/tsn-20221001.htm</t>
      </text>
    </comment>
    <comment ref="D19" authorId="0">
      <text>
        <t>S02 | FY2023 10-K balance sheet lines 1765-1803 | https://www.sec.gov/Archives/edgar/data/100493/000010049323000105/tsn-20230930.htm</t>
      </text>
    </comment>
    <comment ref="E19" authorId="0">
      <text>
        <t>S03 | FY2025 10-K, Consolidated Balance Sheets, lines 1686-1717 | https://www.sec.gov/Archives/edgar/data/100493/000010049325000095/tsn-20250927.htm</t>
      </text>
    </comment>
    <comment ref="F19" authorId="0">
      <text>
        <t>S03 | FY2025 10-K, Consolidated Balance Sheets, lines 1686-1717 | https://www.sec.gov/Archives/edgar/data/100493/000010049325000095/tsn-20250927.htm</t>
      </text>
    </comment>
    <comment ref="B20" authorId="0">
      <text>
        <t>S01 | FY2022 10-K, Consolidated Balance Sheets, lines 1735-1774 | https://www.sec.gov/Archives/edgar/data/100493/000010049322000097/tsn-20221001.htm</t>
      </text>
    </comment>
    <comment ref="C20" authorId="0">
      <text>
        <t>S01 | FY2022 10-K, Consolidated Balance Sheets, lines 1735-1774 | https://www.sec.gov/Archives/edgar/data/100493/000010049322000097/tsn-20221001.htm</t>
      </text>
    </comment>
    <comment ref="D20" authorId="0">
      <text>
        <t>S02 | FY2023 10-K balance sheet lines 1765-1803 | https://www.sec.gov/Archives/edgar/data/100493/000010049323000105/tsn-20230930.htm</t>
      </text>
    </comment>
    <comment ref="E20" authorId="0">
      <text>
        <t>S03 | FY2025 10-K, Consolidated Balance Sheets, lines 1686-1717 | https://www.sec.gov/Archives/edgar/data/100493/000010049325000095/tsn-20250927.htm</t>
      </text>
    </comment>
    <comment ref="F20" authorId="0">
      <text>
        <t>S03 | FY2025 10-K, Consolidated Balance Sheets, lines 1686-1717 | https://www.sec.gov/Archives/edgar/data/100493/000010049325000095/tsn-20250927.htm</t>
      </text>
    </comment>
    <comment ref="B21" authorId="0">
      <text>
        <t>S01 | FY2022 10-K, Consolidated Balance Sheets, lines 1735-1774 | https://www.sec.gov/Archives/edgar/data/100493/000010049322000097/tsn-20221001.htm</t>
      </text>
    </comment>
    <comment ref="C21" authorId="0">
      <text>
        <t>S01 | FY2022 10-K, Consolidated Balance Sheets, lines 1735-1774 | https://www.sec.gov/Archives/edgar/data/100493/000010049322000097/tsn-20221001.htm</t>
      </text>
    </comment>
    <comment ref="D21" authorId="0">
      <text>
        <t>S02 | FY2023 10-K balance sheet lines 1765-1803 | https://www.sec.gov/Archives/edgar/data/100493/000010049323000105/tsn-20230930.htm</t>
      </text>
    </comment>
    <comment ref="E21" authorId="0">
      <text>
        <t>S03 | FY2025 10-K, Consolidated Balance Sheets, lines 1686-1717 | https://www.sec.gov/Archives/edgar/data/100493/000010049325000095/tsn-20250927.htm</t>
      </text>
    </comment>
    <comment ref="F21" authorId="0">
      <text>
        <t>S03 | FY2025 10-K, Consolidated Balance Sheets, lines 1686-1717 | https://www.sec.gov/Archives/edgar/data/100493/000010049325000095/tsn-20250927.htm</t>
      </text>
    </comment>
    <comment ref="B22" authorId="0">
      <text>
        <t>S01 | FY2022 10-K, Consolidated Balance Sheets, lines 1735-1774 | https://www.sec.gov/Archives/edgar/data/100493/000010049322000097/tsn-20221001.htm</t>
      </text>
    </comment>
    <comment ref="C22" authorId="0">
      <text>
        <t>S01 | FY2022 10-K, Consolidated Balance Sheets, lines 1735-1774 | https://www.sec.gov/Archives/edgar/data/100493/000010049322000097/tsn-20221001.htm</t>
      </text>
    </comment>
    <comment ref="D22" authorId="0">
      <text>
        <t>S02 | FY2023 10-K balance sheet lines 1765-1803 | https://www.sec.gov/Archives/edgar/data/100493/000010049323000105/tsn-20230930.htm</t>
      </text>
    </comment>
    <comment ref="E22" authorId="0">
      <text>
        <t>S03 | FY2025 10-K, Consolidated Balance Sheets, lines 1686-1717 | https://www.sec.gov/Archives/edgar/data/100493/000010049325000095/tsn-20250927.htm</t>
      </text>
    </comment>
    <comment ref="F22" authorId="0">
      <text>
        <t>S03 | FY2025 10-K, Consolidated Balance Sheets, lines 1686-1717 | https://www.sec.gov/Archives/edgar/data/100493/000010049325000095/tsn-20250927.htm</t>
      </text>
    </comment>
    <comment ref="B23" authorId="0">
      <text>
        <t>S01 | FY2022 10-K, Consolidated Balance Sheets, lines 1735-1774 | https://www.sec.gov/Archives/edgar/data/100493/000010049322000097/tsn-20221001.htm</t>
      </text>
    </comment>
    <comment ref="C23" authorId="0">
      <text>
        <t>S01 | FY2022 10-K, Consolidated Balance Sheets, lines 1735-1774 | https://www.sec.gov/Archives/edgar/data/100493/000010049322000097/tsn-20221001.htm</t>
      </text>
    </comment>
    <comment ref="D23" authorId="0">
      <text>
        <t>S02 | FY2023 10-K balance sheet lines 1765-1803 | https://www.sec.gov/Archives/edgar/data/100493/000010049323000105/tsn-20230930.htm</t>
      </text>
    </comment>
    <comment ref="E23" authorId="0">
      <text>
        <t>S03 | FY2025 10-K, Consolidated Balance Sheets, lines 1686-1717 | https://www.sec.gov/Archives/edgar/data/100493/000010049325000095/tsn-20250927.htm</t>
      </text>
    </comment>
    <comment ref="F23" authorId="0">
      <text>
        <t>S03 | FY2025 10-K, Consolidated Balance Sheets, lines 1686-1717 | https://www.sec.gov/Archives/edgar/data/100493/000010049325000095/tsn-20250927.htm</t>
      </text>
    </comment>
    <comment ref="B24" authorId="0">
      <text>
        <t>S01 | FY2022 10-K, Consolidated Balance Sheets, lines 1735-1774 | https://www.sec.gov/Archives/edgar/data/100493/000010049322000097/tsn-20221001.htm</t>
      </text>
    </comment>
    <comment ref="C24" authorId="0">
      <text>
        <t>S01 | FY2022 10-K, Consolidated Balance Sheets, lines 1735-1774 | https://www.sec.gov/Archives/edgar/data/100493/000010049322000097/tsn-20221001.htm</t>
      </text>
    </comment>
    <comment ref="D24" authorId="0">
      <text>
        <t>S02 | FY2023 10-K balance sheet lines 1765-1803 | https://www.sec.gov/Archives/edgar/data/100493/000010049323000105/tsn-20230930.htm</t>
      </text>
    </comment>
    <comment ref="E24" authorId="0">
      <text>
        <t>S03 | FY2025 10-K, Consolidated Balance Sheets, lines 1686-1717 | https://www.sec.gov/Archives/edgar/data/100493/000010049325000095/tsn-20250927.htm</t>
      </text>
    </comment>
    <comment ref="F24" authorId="0">
      <text>
        <t>S03 | FY2025 10-K, Consolidated Balance Sheets, lines 1686-1717 | https://www.sec.gov/Archives/edgar/data/100493/000010049325000095/tsn-20250927.htm</t>
      </text>
    </comment>
    <comment ref="B25" authorId="0">
      <text>
        <t>S01 | FY2022 10-K, Consolidated Balance Sheets, lines 1735-1774 | https://www.sec.gov/Archives/edgar/data/100493/000010049322000097/tsn-20221001.htm</t>
      </text>
    </comment>
    <comment ref="C25" authorId="0">
      <text>
        <t>S01 | FY2022 10-K, Consolidated Balance Sheets, lines 1735-1774 | https://www.sec.gov/Archives/edgar/data/100493/000010049322000097/tsn-20221001.htm</t>
      </text>
    </comment>
    <comment ref="D25" authorId="0">
      <text>
        <t>S02 | FY2023 10-K balance sheet lines 1765-1803 | https://www.sec.gov/Archives/edgar/data/100493/000010049323000105/tsn-20230930.htm</t>
      </text>
    </comment>
    <comment ref="E25" authorId="0">
      <text>
        <t>S03 | FY2025 10-K, Consolidated Balance Sheets, lines 1686-1717 | https://www.sec.gov/Archives/edgar/data/100493/000010049325000095/tsn-20250927.htm</t>
      </text>
    </comment>
    <comment ref="F25" authorId="0">
      <text>
        <t>S03 | FY2025 10-K, Consolidated Balance Sheets, lines 1686-1717 | https://www.sec.gov/Archives/edgar/data/100493/000010049325000095/tsn-20250927.htm</t>
      </text>
    </comment>
    <comment ref="B26" authorId="0">
      <text>
        <t>S01 | FY2022 10-K, Consolidated Balance Sheets, lines 1735-1774 | https://www.sec.gov/Archives/edgar/data/100493/000010049322000097/tsn-20221001.htm</t>
      </text>
    </comment>
    <comment ref="C26" authorId="0">
      <text>
        <t>S01 | FY2022 10-K, Consolidated Balance Sheets, lines 1735-1774 | https://www.sec.gov/Archives/edgar/data/100493/000010049322000097/tsn-20221001.htm</t>
      </text>
    </comment>
    <comment ref="D26" authorId="0">
      <text>
        <t>S02 | FY2023 10-K balance sheet lines 1765-1803 | https://www.sec.gov/Archives/edgar/data/100493/000010049323000105/tsn-20230930.htm</t>
      </text>
    </comment>
    <comment ref="E26" authorId="0">
      <text>
        <t>S03 | FY2025 10-K, Consolidated Balance Sheets, lines 1686-1717 | https://www.sec.gov/Archives/edgar/data/100493/000010049325000095/tsn-20250927.htm</t>
      </text>
    </comment>
    <comment ref="F26" authorId="0">
      <text>
        <t>S03 | FY2025 10-K, Consolidated Balance Sheets, lines 1686-1717 | https://www.sec.gov/Archives/edgar/data/100493/000010049325000095/tsn-20250927.htm</t>
      </text>
    </comment>
    <comment ref="B27" authorId="0">
      <text>
        <t>S01 | FY2022 10-K, Consolidated Balance Sheets, lines 1735-1774 | https://www.sec.gov/Archives/edgar/data/100493/000010049322000097/tsn-20221001.htm</t>
      </text>
    </comment>
    <comment ref="C27" authorId="0">
      <text>
        <t>S01 | FY2022 10-K, Consolidated Balance Sheets, lines 1735-1774 | https://www.sec.gov/Archives/edgar/data/100493/000010049322000097/tsn-20221001.htm</t>
      </text>
    </comment>
    <comment ref="D27" authorId="0">
      <text>
        <t>S02 | FY2023 10-K balance sheet lines 1765-1803 | https://www.sec.gov/Archives/edgar/data/100493/000010049323000105/tsn-20230930.htm</t>
      </text>
    </comment>
    <comment ref="E27" authorId="0">
      <text>
        <t>S03 | FY2025 10-K, Consolidated Balance Sheets, lines 1686-1717 | https://www.sec.gov/Archives/edgar/data/100493/000010049325000095/tsn-20250927.htm</t>
      </text>
    </comment>
    <comment ref="F27" authorId="0">
      <text>
        <t>S03 | FY2025 10-K, Consolidated Balance Sheets, lines 1686-1717 | https://www.sec.gov/Archives/edgar/data/100493/000010049325000095/tsn-20250927.htm</t>
      </text>
    </comment>
    <comment ref="B28" authorId="0">
      <text>
        <t>S01 | FY2022 10-K, Consolidated Balance Sheets, lines 1735-1774 | https://www.sec.gov/Archives/edgar/data/100493/000010049322000097/tsn-20221001.htm</t>
      </text>
    </comment>
    <comment ref="C28" authorId="0">
      <text>
        <t>S01 | FY2022 10-K, Consolidated Balance Sheets, lines 1735-1774 | https://www.sec.gov/Archives/edgar/data/100493/000010049322000097/tsn-20221001.htm</t>
      </text>
    </comment>
    <comment ref="D28" authorId="0">
      <text>
        <t>S02 | FY2023 10-K balance sheet lines 1765-1803 | https://www.sec.gov/Archives/edgar/data/100493/000010049323000105/tsn-20230930.htm</t>
      </text>
    </comment>
    <comment ref="E28" authorId="0">
      <text>
        <t>S03 | FY2025 10-K, Consolidated Balance Sheets, lines 1686-1717 | https://www.sec.gov/Archives/edgar/data/100493/000010049325000095/tsn-20250927.htm</t>
      </text>
    </comment>
    <comment ref="F28" authorId="0">
      <text>
        <t>S03 | FY2025 10-K, Consolidated Balance Sheets, lines 1686-1717 | https://www.sec.gov/Archives/edgar/data/100493/000010049325000095/tsn-20250927.htm</t>
      </text>
    </comment>
    <comment ref="B29" authorId="0">
      <text>
        <t>S01 | FY2022 10-K, Consolidated Balance Sheets, lines 1735-1774 | https://www.sec.gov/Archives/edgar/data/100493/000010049322000097/tsn-20221001.htm</t>
      </text>
    </comment>
    <comment ref="C29" authorId="0">
      <text>
        <t>S01 | FY2022 10-K, Consolidated Balance Sheets, lines 1735-1774 | https://www.sec.gov/Archives/edgar/data/100493/000010049322000097/tsn-20221001.htm</t>
      </text>
    </comment>
    <comment ref="D29" authorId="0">
      <text>
        <t>S02 | FY2023 10-K balance sheet lines 1765-1803 | https://www.sec.gov/Archives/edgar/data/100493/000010049323000105/tsn-20230930.htm</t>
      </text>
    </comment>
    <comment ref="E29" authorId="0">
      <text>
        <t>S03 | FY2025 10-K, Consolidated Balance Sheets, lines 1686-1717 | https://www.sec.gov/Archives/edgar/data/100493/000010049325000095/tsn-20250927.htm</t>
      </text>
    </comment>
    <comment ref="F29" authorId="0">
      <text>
        <t>S03 | FY2025 10-K, Consolidated Balance Sheets, lines 1686-1717 | https://www.sec.gov/Archives/edgar/data/100493/000010049325000095/tsn-20250927.htm</t>
      </text>
    </comment>
  </commentList>
</comments>
</file>

<file path=xl/comments3.xml><?xml version="1.0" encoding="utf-8"?>
<comments xmlns="http://schemas.openxmlformats.org/spreadsheetml/2006/main">
  <authors>
    <author>OpenAI Codex</author>
  </authors>
  <commentList>
    <comment ref="B7" authorId="0">
      <text>
        <t>S01 | FY2022 10-K, Consolidated Statements of Cash Flows, lines 1835-1878 | https://www.sec.gov/Archives/edgar/data/100493/000010049322000097/tsn-20221001.htm</t>
      </text>
    </comment>
    <comment ref="C7" authorId="0">
      <text>
        <t>S01 | FY2022 10-K, Consolidated Statements of Cash Flows, lines 1835-1878 | https://www.sec.gov/Archives/edgar/data/100493/000010049322000097/tsn-20221001.htm</t>
      </text>
    </comment>
    <comment ref="D7" authorId="0">
      <text>
        <t>S03 | FY2025 10-K, Consolidated Statements of Cash Flows, lines 1773-1817 | https://www.sec.gov/Archives/edgar/data/100493/000010049325000095/tsn-20250927.htm</t>
      </text>
    </comment>
    <comment ref="E7" authorId="0">
      <text>
        <t>S03 | FY2025 10-K, Consolidated Statements of Cash Flows, lines 1773-1817 | https://www.sec.gov/Archives/edgar/data/100493/000010049325000095/tsn-20250927.htm</t>
      </text>
    </comment>
    <comment ref="F7" authorId="0">
      <text>
        <t>S03 | FY2025 10-K, Consolidated Statements of Cash Flows, lines 1773-1817 | https://www.sec.gov/Archives/edgar/data/100493/000010049325000095/tsn-20250927.htm</t>
      </text>
    </comment>
    <comment ref="B8" authorId="0">
      <text>
        <t>S01 | FY2022 10-K, Consolidated Statements of Cash Flows, lines 1835-1878 | https://www.sec.gov/Archives/edgar/data/100493/000010049322000097/tsn-20221001.htm</t>
      </text>
    </comment>
    <comment ref="C8" authorId="0">
      <text>
        <t>S01 | FY2022 10-K, Consolidated Statements of Cash Flows, lines 1835-1878 | https://www.sec.gov/Archives/edgar/data/100493/000010049322000097/tsn-20221001.htm</t>
      </text>
    </comment>
    <comment ref="D8" authorId="0">
      <text>
        <t>S03 | FY2025 10-K, Consolidated Statements of Cash Flows, lines 1773-1817 | https://www.sec.gov/Archives/edgar/data/100493/000010049325000095/tsn-20250927.htm</t>
      </text>
    </comment>
    <comment ref="E8" authorId="0">
      <text>
        <t>S03 | FY2025 10-K, Consolidated Statements of Cash Flows, lines 1773-1817 | https://www.sec.gov/Archives/edgar/data/100493/000010049325000095/tsn-20250927.htm</t>
      </text>
    </comment>
    <comment ref="F8" authorId="0">
      <text>
        <t>S03 | FY2025 10-K, Consolidated Statements of Cash Flows, lines 1773-1817 | https://www.sec.gov/Archives/edgar/data/100493/000010049325000095/tsn-20250927.htm</t>
      </text>
    </comment>
    <comment ref="B9" authorId="0">
      <text>
        <t>S01 | FY2022 10-K, Consolidated Statements of Cash Flows, lines 1835-1878 | https://www.sec.gov/Archives/edgar/data/100493/000010049322000097/tsn-20221001.htm</t>
      </text>
    </comment>
    <comment ref="C9" authorId="0">
      <text>
        <t>S01 | FY2022 10-K, Consolidated Statements of Cash Flows, lines 1835-1878 | https://www.sec.gov/Archives/edgar/data/100493/000010049322000097/tsn-20221001.htm</t>
      </text>
    </comment>
    <comment ref="D9" authorId="0">
      <text>
        <t>S03 | FY2025 10-K, Consolidated Statements of Cash Flows, lines 1773-1817 | https://www.sec.gov/Archives/edgar/data/100493/000010049325000095/tsn-20250927.htm</t>
      </text>
    </comment>
    <comment ref="E9" authorId="0">
      <text>
        <t>S03 | FY2025 10-K, Consolidated Statements of Cash Flows, lines 1773-1817 | https://www.sec.gov/Archives/edgar/data/100493/000010049325000095/tsn-20250927.htm</t>
      </text>
    </comment>
    <comment ref="F9" authorId="0">
      <text>
        <t>S03 | FY2025 10-K, Consolidated Statements of Cash Flows, lines 1773-1817 | https://www.sec.gov/Archives/edgar/data/100493/000010049325000095/tsn-20250927.htm</t>
      </text>
    </comment>
    <comment ref="B10" authorId="0">
      <text>
        <t>S01 | FY2022 10-K, Consolidated Statements of Cash Flows, lines 1835-1878 | https://www.sec.gov/Archives/edgar/data/100493/000010049322000097/tsn-20221001.htm</t>
      </text>
    </comment>
    <comment ref="C10" authorId="0">
      <text>
        <t>S01 | FY2022 10-K, Consolidated Statements of Cash Flows, lines 1835-1878 | https://www.sec.gov/Archives/edgar/data/100493/000010049322000097/tsn-20221001.htm</t>
      </text>
    </comment>
    <comment ref="D10" authorId="0">
      <text>
        <t>S03 | FY2025 10-K, Consolidated Statements of Cash Flows, lines 1773-1817 | https://www.sec.gov/Archives/edgar/data/100493/000010049325000095/tsn-20250927.htm</t>
      </text>
    </comment>
    <comment ref="E10" authorId="0">
      <text>
        <t>S03 | FY2025 10-K, Consolidated Statements of Cash Flows, lines 1773-1817 | https://www.sec.gov/Archives/edgar/data/100493/000010049325000095/tsn-20250927.htm</t>
      </text>
    </comment>
    <comment ref="F10" authorId="0">
      <text>
        <t>S03 | FY2025 10-K, Consolidated Statements of Cash Flows, lines 1773-1817 | https://www.sec.gov/Archives/edgar/data/100493/000010049325000095/tsn-20250927.htm</t>
      </text>
    </comment>
    <comment ref="B11" authorId="0">
      <text>
        <t>S01 | FY2022 10-K, Consolidated Statements of Cash Flows, lines 1835-1878 | https://www.sec.gov/Archives/edgar/data/100493/000010049322000097/tsn-20221001.htm</t>
      </text>
    </comment>
    <comment ref="C11" authorId="0">
      <text>
        <t>S01 | FY2022 10-K, Consolidated Statements of Cash Flows, lines 1835-1878 | https://www.sec.gov/Archives/edgar/data/100493/000010049322000097/tsn-20221001.htm</t>
      </text>
    </comment>
    <comment ref="D11" authorId="0">
      <text>
        <t>S03 | FY2025 10-K, Consolidated Statements of Cash Flows, lines 1773-1817 | https://www.sec.gov/Archives/edgar/data/100493/000010049325000095/tsn-20250927.htm</t>
      </text>
    </comment>
    <comment ref="E11" authorId="0">
      <text>
        <t>S03 | FY2025 10-K, Consolidated Statements of Cash Flows, lines 1773-1817 | https://www.sec.gov/Archives/edgar/data/100493/000010049325000095/tsn-20250927.htm</t>
      </text>
    </comment>
    <comment ref="F11" authorId="0">
      <text>
        <t>S03 | FY2025 10-K, Consolidated Statements of Cash Flows, lines 1773-1817 | https://www.sec.gov/Archives/edgar/data/100493/000010049325000095/tsn-20250927.htm</t>
      </text>
    </comment>
    <comment ref="B12" authorId="0">
      <text>
        <t>S01 | FY2022 10-K, Consolidated Statements of Cash Flows, lines 1835-1878 | https://www.sec.gov/Archives/edgar/data/100493/000010049322000097/tsn-20221001.htm</t>
      </text>
    </comment>
    <comment ref="C12" authorId="0">
      <text>
        <t>S01 | FY2022 10-K, Consolidated Statements of Cash Flows, lines 1835-1878 | https://www.sec.gov/Archives/edgar/data/100493/000010049322000097/tsn-20221001.htm</t>
      </text>
    </comment>
    <comment ref="D12" authorId="0">
      <text>
        <t>S03 | FY2025 10-K, Consolidated Statements of Cash Flows, lines 1773-1817 | https://www.sec.gov/Archives/edgar/data/100493/000010049325000095/tsn-20250927.htm</t>
      </text>
    </comment>
    <comment ref="E12" authorId="0">
      <text>
        <t>S03 | FY2025 10-K, Consolidated Statements of Cash Flows, lines 1773-1817 | https://www.sec.gov/Archives/edgar/data/100493/000010049325000095/tsn-20250927.htm</t>
      </text>
    </comment>
    <comment ref="F12" authorId="0">
      <text>
        <t>S03 | FY2025 10-K, Consolidated Statements of Cash Flows, lines 1773-1817 | https://www.sec.gov/Archives/edgar/data/100493/000010049325000095/tsn-20250927.htm</t>
      </text>
    </comment>
    <comment ref="B14" authorId="0">
      <text>
        <t>S01 | FY2022 10-K, Consolidated Statements of Cash Flows, lines 1835-1878 | https://www.sec.gov/Archives/edgar/data/100493/000010049322000097/tsn-20221001.htm</t>
      </text>
    </comment>
    <comment ref="C14" authorId="0">
      <text>
        <t>S01 | FY2022 10-K, Consolidated Statements of Cash Flows, lines 1835-1878 | https://www.sec.gov/Archives/edgar/data/100493/000010049322000097/tsn-20221001.htm</t>
      </text>
    </comment>
    <comment ref="D14" authorId="0">
      <text>
        <t>S03 | FY2025 10-K, Consolidated Statements of Cash Flows, lines 1773-1817 | https://www.sec.gov/Archives/edgar/data/100493/000010049325000095/tsn-20250927.htm</t>
      </text>
    </comment>
    <comment ref="E14" authorId="0">
      <text>
        <t>S03 | FY2025 10-K, Consolidated Statements of Cash Flows, lines 1773-1817 | https://www.sec.gov/Archives/edgar/data/100493/000010049325000095/tsn-20250927.htm</t>
      </text>
    </comment>
    <comment ref="F14" authorId="0">
      <text>
        <t>S03 | FY2025 10-K, Consolidated Statements of Cash Flows, lines 1773-1817 | https://www.sec.gov/Archives/edgar/data/100493/000010049325000095/tsn-20250927.htm</t>
      </text>
    </comment>
    <comment ref="B15" authorId="0">
      <text>
        <t>S01 | FY2022 10-K, Consolidated Statements of Cash Flows, lines 1835-1878 | https://www.sec.gov/Archives/edgar/data/100493/000010049322000097/tsn-20221001.htm</t>
      </text>
    </comment>
    <comment ref="C15" authorId="0">
      <text>
        <t>S01 | FY2022 10-K, Consolidated Statements of Cash Flows, lines 1835-1878 | https://www.sec.gov/Archives/edgar/data/100493/000010049322000097/tsn-20221001.htm</t>
      </text>
    </comment>
    <comment ref="D15" authorId="0">
      <text>
        <t>S03 | FY2025 10-K, Consolidated Statements of Cash Flows, lines 1773-1817 | https://www.sec.gov/Archives/edgar/data/100493/000010049325000095/tsn-20250927.htm</t>
      </text>
    </comment>
    <comment ref="E15" authorId="0">
      <text>
        <t>S03 | FY2025 10-K, Consolidated Statements of Cash Flows, lines 1773-1817 | https://www.sec.gov/Archives/edgar/data/100493/000010049325000095/tsn-20250927.htm</t>
      </text>
    </comment>
    <comment ref="F15" authorId="0">
      <text>
        <t>S03 | FY2025 10-K, Consolidated Statements of Cash Flows, lines 1773-1817 | https://www.sec.gov/Archives/edgar/data/100493/000010049325000095/tsn-20250927.htm</t>
      </text>
    </comment>
    <comment ref="B16" authorId="0">
      <text>
        <t>S01 | FY2022 10-K, Consolidated Statements of Cash Flows, lines 1835-1878 | https://www.sec.gov/Archives/edgar/data/100493/000010049322000097/tsn-20221001.htm</t>
      </text>
    </comment>
    <comment ref="C16" authorId="0">
      <text>
        <t>S01 | FY2022 10-K, Consolidated Statements of Cash Flows, lines 1835-1878 | https://www.sec.gov/Archives/edgar/data/100493/000010049322000097/tsn-20221001.htm</t>
      </text>
    </comment>
    <comment ref="D16" authorId="0">
      <text>
        <t>S03 | FY2025 10-K, Consolidated Statements of Cash Flows, lines 1773-1817 | https://www.sec.gov/Archives/edgar/data/100493/000010049325000095/tsn-20250927.htm</t>
      </text>
    </comment>
    <comment ref="E16" authorId="0">
      <text>
        <t>S03 | FY2025 10-K, Consolidated Statements of Cash Flows, lines 1773-1817 | https://www.sec.gov/Archives/edgar/data/100493/000010049325000095/tsn-20250927.htm</t>
      </text>
    </comment>
    <comment ref="F16" authorId="0">
      <text>
        <t>S03 | FY2025 10-K, Consolidated Statements of Cash Flows, lines 1773-1817 | https://www.sec.gov/Archives/edgar/data/100493/000010049325000095/tsn-20250927.htm</t>
      </text>
    </comment>
    <comment ref="B17" authorId="0">
      <text>
        <t>S01 | FY2022 10-K, Consolidated Statements of Cash Flows, lines 1835-1878 | https://www.sec.gov/Archives/edgar/data/100493/000010049322000097/tsn-20221001.htm</t>
      </text>
    </comment>
    <comment ref="C17" authorId="0">
      <text>
        <t>S01 | FY2022 10-K, Consolidated Statements of Cash Flows, lines 1835-1878 | https://www.sec.gov/Archives/edgar/data/100493/000010049322000097/tsn-20221001.htm</t>
      </text>
    </comment>
    <comment ref="D17" authorId="0">
      <text>
        <t>S03 | FY2025 10-K, Consolidated Statements of Cash Flows, lines 1773-1817 | https://www.sec.gov/Archives/edgar/data/100493/000010049325000095/tsn-20250927.htm</t>
      </text>
    </comment>
    <comment ref="E17" authorId="0">
      <text>
        <t>S03 | FY2025 10-K, Consolidated Statements of Cash Flows, lines 1773-1817 | https://www.sec.gov/Archives/edgar/data/100493/000010049325000095/tsn-20250927.htm</t>
      </text>
    </comment>
    <comment ref="F17" authorId="0">
      <text>
        <t>S03 | FY2025 10-K, Consolidated Statements of Cash Flows, lines 1773-1817 | https://www.sec.gov/Archives/edgar/data/100493/000010049325000095/tsn-20250927.htm</t>
      </text>
    </comment>
    <comment ref="B18" authorId="0">
      <text>
        <t>S01 | FY2022 10-K, Consolidated Statements of Cash Flows, lines 1835-1878 | https://www.sec.gov/Archives/edgar/data/100493/000010049322000097/tsn-20221001.htm</t>
      </text>
    </comment>
    <comment ref="C18" authorId="0">
      <text>
        <t>S01 | FY2022 10-K, Consolidated Statements of Cash Flows, lines 1835-1878 | https://www.sec.gov/Archives/edgar/data/100493/000010049322000097/tsn-20221001.htm</t>
      </text>
    </comment>
    <comment ref="D18" authorId="0">
      <text>
        <t>S03 | FY2025 10-K, Consolidated Statements of Cash Flows, lines 1773-1817 | https://www.sec.gov/Archives/edgar/data/100493/000010049325000095/tsn-20250927.htm</t>
      </text>
    </comment>
    <comment ref="E18" authorId="0">
      <text>
        <t>S03 | FY2025 10-K, Consolidated Statements of Cash Flows, lines 1773-1817 | https://www.sec.gov/Archives/edgar/data/100493/000010049325000095/tsn-20250927.htm</t>
      </text>
    </comment>
    <comment ref="F18" authorId="0">
      <text>
        <t>S03 | FY2025 10-K, Consolidated Statements of Cash Flows, lines 1773-1817 | https://www.sec.gov/Archives/edgar/data/100493/000010049325000095/tsn-20250927.htm</t>
      </text>
    </comment>
    <comment ref="B19" authorId="0">
      <text>
        <t>S01 | FY2022 10-K, Consolidated Statements of Cash Flows, lines 1835-1878 | https://www.sec.gov/Archives/edgar/data/100493/000010049322000097/tsn-20221001.htm</t>
      </text>
    </comment>
    <comment ref="C19" authorId="0">
      <text>
        <t>S01 | FY2022 10-K, Consolidated Statements of Cash Flows, lines 1835-1878 | https://www.sec.gov/Archives/edgar/data/100493/000010049322000097/tsn-20221001.htm</t>
      </text>
    </comment>
    <comment ref="D19" authorId="0">
      <text>
        <t>S03 | FY2025 10-K, Consolidated Statements of Cash Flows, lines 1773-1817 | https://www.sec.gov/Archives/edgar/data/100493/000010049325000095/tsn-20250927.htm</t>
      </text>
    </comment>
    <comment ref="E19" authorId="0">
      <text>
        <t>S03 | FY2025 10-K, Consolidated Statements of Cash Flows, lines 1773-1817 | https://www.sec.gov/Archives/edgar/data/100493/000010049325000095/tsn-20250927.htm</t>
      </text>
    </comment>
    <comment ref="F19" authorId="0">
      <text>
        <t>S03 | FY2025 10-K, Consolidated Statements of Cash Flows, lines 1773-1817 | https://www.sec.gov/Archives/edgar/data/100493/000010049325000095/tsn-20250927.htm</t>
      </text>
    </comment>
    <comment ref="B20" authorId="0">
      <text>
        <t>S01 | FY2022 10-K, Consolidated Statements of Cash Flows, lines 1835-1878 | https://www.sec.gov/Archives/edgar/data/100493/000010049322000097/tsn-20221001.htm</t>
      </text>
    </comment>
    <comment ref="C20" authorId="0">
      <text>
        <t>S01 | FY2022 10-K, Consolidated Statements of Cash Flows, lines 1835-1878 | https://www.sec.gov/Archives/edgar/data/100493/000010049322000097/tsn-20221001.htm</t>
      </text>
    </comment>
    <comment ref="D20" authorId="0">
      <text>
        <t>S03 | FY2025 10-K, Consolidated Statements of Cash Flows, lines 1773-1817 | https://www.sec.gov/Archives/edgar/data/100493/000010049325000095/tsn-20250927.htm</t>
      </text>
    </comment>
    <comment ref="E20" authorId="0">
      <text>
        <t>S03 | FY2025 10-K, Consolidated Statements of Cash Flows, lines 1773-1817 | https://www.sec.gov/Archives/edgar/data/100493/000010049325000095/tsn-20250927.htm</t>
      </text>
    </comment>
    <comment ref="F20" authorId="0">
      <text>
        <t>S03 | FY2025 10-K, Consolidated Statements of Cash Flows, lines 1773-1817 | https://www.sec.gov/Archives/edgar/data/100493/000010049325000095/tsn-20250927.htm</t>
      </text>
    </comment>
    <comment ref="B21" authorId="0">
      <text>
        <t>S01 | FY2022 10-K, Consolidated Statements of Cash Flows, lines 1835-1878 | https://www.sec.gov/Archives/edgar/data/100493/000010049322000097/tsn-20221001.htm</t>
      </text>
    </comment>
    <comment ref="C21" authorId="0">
      <text>
        <t>S01 | FY2022 10-K, Consolidated Statements of Cash Flows, lines 1835-1878 | https://www.sec.gov/Archives/edgar/data/100493/000010049322000097/tsn-20221001.htm</t>
      </text>
    </comment>
    <comment ref="D21" authorId="0">
      <text>
        <t>S03 | FY2025 10-K, Consolidated Statements of Cash Flows, lines 1773-1817 | https://www.sec.gov/Archives/edgar/data/100493/000010049325000095/tsn-20250927.htm</t>
      </text>
    </comment>
    <comment ref="E21" authorId="0">
      <text>
        <t>S03 | FY2025 10-K, Consolidated Statements of Cash Flows, lines 1773-1817 | https://www.sec.gov/Archives/edgar/data/100493/000010049325000095/tsn-20250927.htm</t>
      </text>
    </comment>
    <comment ref="F21" authorId="0">
      <text>
        <t>S03 | FY2025 10-K, Consolidated Statements of Cash Flows, lines 1773-1817 | https://www.sec.gov/Archives/edgar/data/100493/000010049325000095/tsn-20250927.htm</t>
      </text>
    </comment>
    <comment ref="B23" authorId="0">
      <text>
        <t>S01 | FY2022 10-K, Consolidated Statements of Cash Flows, lines 1835-1878 | https://www.sec.gov/Archives/edgar/data/100493/000010049322000097/tsn-20221001.htm</t>
      </text>
    </comment>
    <comment ref="C23" authorId="0">
      <text>
        <t>S01 | FY2022 10-K, Consolidated Statements of Cash Flows, lines 1835-1878 | https://www.sec.gov/Archives/edgar/data/100493/000010049322000097/tsn-20221001.htm</t>
      </text>
    </comment>
    <comment ref="D23" authorId="0">
      <text>
        <t>S03 | FY2025 10-K, Consolidated Statements of Cash Flows, lines 1773-1817 | https://www.sec.gov/Archives/edgar/data/100493/000010049325000095/tsn-20250927.htm</t>
      </text>
    </comment>
    <comment ref="E23" authorId="0">
      <text>
        <t>S03 | FY2025 10-K, Consolidated Statements of Cash Flows, lines 1773-1817 | https://www.sec.gov/Archives/edgar/data/100493/000010049325000095/tsn-20250927.htm</t>
      </text>
    </comment>
    <comment ref="F23" authorId="0">
      <text>
        <t>S03 | FY2025 10-K, Consolidated Statements of Cash Flows, lines 1773-1817 | https://www.sec.gov/Archives/edgar/data/100493/000010049325000095/tsn-20250927.htm</t>
      </text>
    </comment>
    <comment ref="B24" authorId="0">
      <text>
        <t>S01 | FY2022 10-K, Consolidated Statements of Cash Flows, lines 1835-1878 | https://www.sec.gov/Archives/edgar/data/100493/000010049322000097/tsn-20221001.htm</t>
      </text>
    </comment>
    <comment ref="C24" authorId="0">
      <text>
        <t>S01 | FY2022 10-K, Consolidated Statements of Cash Flows, lines 1835-1878 | https://www.sec.gov/Archives/edgar/data/100493/000010049322000097/tsn-20221001.htm</t>
      </text>
    </comment>
    <comment ref="D24" authorId="0">
      <text>
        <t>S03 | FY2025 10-K, Consolidated Statements of Cash Flows, lines 1773-1817 | https://www.sec.gov/Archives/edgar/data/100493/000010049325000095/tsn-20250927.htm</t>
      </text>
    </comment>
    <comment ref="E24" authorId="0">
      <text>
        <t>S03 | FY2025 10-K, Consolidated Statements of Cash Flows, lines 1773-1817 | https://www.sec.gov/Archives/edgar/data/100493/000010049325000095/tsn-20250927.htm</t>
      </text>
    </comment>
    <comment ref="F24" authorId="0">
      <text>
        <t>S03 | FY2025 10-K, Consolidated Statements of Cash Flows, lines 1773-1817 | https://www.sec.gov/Archives/edgar/data/100493/000010049325000095/tsn-20250927.htm</t>
      </text>
    </comment>
  </commentList>
</comments>
</file>

<file path=xl/comments4.xml><?xml version="1.0" encoding="utf-8"?>
<comments xmlns="http://schemas.openxmlformats.org/spreadsheetml/2006/main">
  <authors>
    <author>OpenAI Codex</author>
  </authors>
  <commentList>
    <comment ref="B7" authorId="0">
      <text>
        <t>S01 | Segment sales | https://www.sec.gov/Archives/edgar/data/100493/000010049322000097/tsn-20221001.htm</t>
      </text>
    </comment>
    <comment ref="C7" authorId="0">
      <text>
        <t>S01 | Segment sales | https://www.sec.gov/Archives/edgar/data/100493/000010049322000097/tsn-20221001.htm</t>
      </text>
    </comment>
    <comment ref="D7" authorId="0">
      <text>
        <t>S04 | Segment sales | https://www.sec.gov/Archives/edgar/data/100493/000010049326000032/tsn20268-kexhibit991060926.htm</t>
      </text>
    </comment>
    <comment ref="E7" authorId="0">
      <text>
        <t>S04 | Segment sales | https://www.sec.gov/Archives/edgar/data/100493/000010049326000032/tsn20268-kexhibit991060926.htm</t>
      </text>
    </comment>
    <comment ref="F7" authorId="0">
      <text>
        <t>S04 | Segment sales | https://www.sec.gov/Archives/edgar/data/100493/000010049326000032/tsn20268-kexhibit991060926.htm</t>
      </text>
    </comment>
    <comment ref="B8" authorId="0">
      <text>
        <t>S01 | Segment sales | https://www.sec.gov/Archives/edgar/data/100493/000010049322000097/tsn-20221001.htm</t>
      </text>
    </comment>
    <comment ref="C8" authorId="0">
      <text>
        <t>S01 | Segment sales | https://www.sec.gov/Archives/edgar/data/100493/000010049322000097/tsn-20221001.htm</t>
      </text>
    </comment>
    <comment ref="D8" authorId="0">
      <text>
        <t>S04 | Segment sales | https://www.sec.gov/Archives/edgar/data/100493/000010049326000032/tsn20268-kexhibit991060926.htm</t>
      </text>
    </comment>
    <comment ref="E8" authorId="0">
      <text>
        <t>S04 | Segment sales | https://www.sec.gov/Archives/edgar/data/100493/000010049326000032/tsn20268-kexhibit991060926.htm</t>
      </text>
    </comment>
    <comment ref="F8" authorId="0">
      <text>
        <t>S04 | Segment sales | https://www.sec.gov/Archives/edgar/data/100493/000010049326000032/tsn20268-kexhibit991060926.htm</t>
      </text>
    </comment>
    <comment ref="B9" authorId="0">
      <text>
        <t>S01 | Segment sales | https://www.sec.gov/Archives/edgar/data/100493/000010049322000097/tsn-20221001.htm</t>
      </text>
    </comment>
    <comment ref="C9" authorId="0">
      <text>
        <t>S01 | Segment sales | https://www.sec.gov/Archives/edgar/data/100493/000010049322000097/tsn-20221001.htm</t>
      </text>
    </comment>
    <comment ref="D9" authorId="0">
      <text>
        <t>S04 | Segment sales | https://www.sec.gov/Archives/edgar/data/100493/000010049326000032/tsn20268-kexhibit991060926.htm</t>
      </text>
    </comment>
    <comment ref="E9" authorId="0">
      <text>
        <t>S04 | Segment sales | https://www.sec.gov/Archives/edgar/data/100493/000010049326000032/tsn20268-kexhibit991060926.htm</t>
      </text>
    </comment>
    <comment ref="F9" authorId="0">
      <text>
        <t>S04 | Segment sales | https://www.sec.gov/Archives/edgar/data/100493/000010049326000032/tsn20268-kexhibit991060926.htm</t>
      </text>
    </comment>
    <comment ref="B10" authorId="0">
      <text>
        <t>S01 | Segment sales | https://www.sec.gov/Archives/edgar/data/100493/000010049322000097/tsn-20221001.htm</t>
      </text>
    </comment>
    <comment ref="C10" authorId="0">
      <text>
        <t>S01 | Segment sales | https://www.sec.gov/Archives/edgar/data/100493/000010049322000097/tsn-20221001.htm</t>
      </text>
    </comment>
    <comment ref="D10" authorId="0">
      <text>
        <t>S04 | Segment sales | https://www.sec.gov/Archives/edgar/data/100493/000010049326000032/tsn20268-kexhibit991060926.htm</t>
      </text>
    </comment>
    <comment ref="E10" authorId="0">
      <text>
        <t>S04 | Segment sales | https://www.sec.gov/Archives/edgar/data/100493/000010049326000032/tsn20268-kexhibit991060926.htm</t>
      </text>
    </comment>
    <comment ref="F10" authorId="0">
      <text>
        <t>S04 | Segment sales | https://www.sec.gov/Archives/edgar/data/100493/000010049326000032/tsn20268-kexhibit991060926.htm</t>
      </text>
    </comment>
    <comment ref="B11" authorId="0">
      <text>
        <t>S01 | Segment sales | https://www.sec.gov/Archives/edgar/data/100493/000010049322000097/tsn-20221001.htm</t>
      </text>
    </comment>
    <comment ref="C11" authorId="0">
      <text>
        <t>S01 | Segment sales | https://www.sec.gov/Archives/edgar/data/100493/000010049322000097/tsn-20221001.htm</t>
      </text>
    </comment>
    <comment ref="D11" authorId="0">
      <text>
        <t>S04 | Segment sales | https://www.sec.gov/Archives/edgar/data/100493/000010049326000032/tsn20268-kexhibit991060926.htm</t>
      </text>
    </comment>
    <comment ref="E11" authorId="0">
      <text>
        <t>S04 | Segment sales | https://www.sec.gov/Archives/edgar/data/100493/000010049326000032/tsn20268-kexhibit991060926.htm</t>
      </text>
    </comment>
    <comment ref="F11" authorId="0">
      <text>
        <t>S04 | Segment sales | https://www.sec.gov/Archives/edgar/data/100493/000010049326000032/tsn20268-kexhibit991060926.htm</t>
      </text>
    </comment>
    <comment ref="B12" authorId="0">
      <text>
        <t>S01 | Segment sales | https://www.sec.gov/Archives/edgar/data/100493/000010049322000097/tsn-20221001.htm</t>
      </text>
    </comment>
    <comment ref="C12" authorId="0">
      <text>
        <t>S01 | Segment sales | https://www.sec.gov/Archives/edgar/data/100493/000010049322000097/tsn-20221001.htm</t>
      </text>
    </comment>
    <comment ref="D12" authorId="0">
      <text>
        <t>S04 | Segment sales | https://www.sec.gov/Archives/edgar/data/100493/000010049326000032/tsn20268-kexhibit991060926.htm</t>
      </text>
    </comment>
    <comment ref="E12" authorId="0">
      <text>
        <t>S04 | Segment sales | https://www.sec.gov/Archives/edgar/data/100493/000010049326000032/tsn20268-kexhibit991060926.htm</t>
      </text>
    </comment>
    <comment ref="F12" authorId="0">
      <text>
        <t>S04 | Segment sales | https://www.sec.gov/Archives/edgar/data/100493/000010049326000032/tsn20268-kexhibit991060926.htm</t>
      </text>
    </comment>
    <comment ref="B16" authorId="0">
      <text>
        <t>S01 | Segment OI | https://www.sec.gov/Archives/edgar/data/100493/000010049322000097/tsn-20221001.htm</t>
      </text>
    </comment>
    <comment ref="C16" authorId="0">
      <text>
        <t>S01 | Segment OI | https://www.sec.gov/Archives/edgar/data/100493/000010049322000097/tsn-20221001.htm</t>
      </text>
    </comment>
    <comment ref="D16" authorId="0">
      <text>
        <t>S04 | Segment OI | https://www.sec.gov/Archives/edgar/data/100493/000010049326000032/tsn20268-kexhibit991060926.htm</t>
      </text>
    </comment>
    <comment ref="E16" authorId="0">
      <text>
        <t>S04 | Segment OI | https://www.sec.gov/Archives/edgar/data/100493/000010049326000032/tsn20268-kexhibit991060926.htm</t>
      </text>
    </comment>
    <comment ref="F16" authorId="0">
      <text>
        <t>S04 | Segment OI | https://www.sec.gov/Archives/edgar/data/100493/000010049326000032/tsn20268-kexhibit991060926.htm</t>
      </text>
    </comment>
    <comment ref="B17" authorId="0">
      <text>
        <t>S01 | Segment OI | https://www.sec.gov/Archives/edgar/data/100493/000010049322000097/tsn-20221001.htm</t>
      </text>
    </comment>
    <comment ref="C17" authorId="0">
      <text>
        <t>S01 | Segment OI | https://www.sec.gov/Archives/edgar/data/100493/000010049322000097/tsn-20221001.htm</t>
      </text>
    </comment>
    <comment ref="D17" authorId="0">
      <text>
        <t>S04 | Segment OI | https://www.sec.gov/Archives/edgar/data/100493/000010049326000032/tsn20268-kexhibit991060926.htm</t>
      </text>
    </comment>
    <comment ref="E17" authorId="0">
      <text>
        <t>S04 | Segment OI | https://www.sec.gov/Archives/edgar/data/100493/000010049326000032/tsn20268-kexhibit991060926.htm</t>
      </text>
    </comment>
    <comment ref="F17" authorId="0">
      <text>
        <t>S04 | Segment OI | https://www.sec.gov/Archives/edgar/data/100493/000010049326000032/tsn20268-kexhibit991060926.htm</t>
      </text>
    </comment>
    <comment ref="B18" authorId="0">
      <text>
        <t>S01 | Segment OI | https://www.sec.gov/Archives/edgar/data/100493/000010049322000097/tsn-20221001.htm</t>
      </text>
    </comment>
    <comment ref="C18" authorId="0">
      <text>
        <t>S01 | Segment OI | https://www.sec.gov/Archives/edgar/data/100493/000010049322000097/tsn-20221001.htm</t>
      </text>
    </comment>
    <comment ref="D18" authorId="0">
      <text>
        <t>S04 | Segment OI | https://www.sec.gov/Archives/edgar/data/100493/000010049326000032/tsn20268-kexhibit991060926.htm</t>
      </text>
    </comment>
    <comment ref="E18" authorId="0">
      <text>
        <t>S04 | Segment OI | https://www.sec.gov/Archives/edgar/data/100493/000010049326000032/tsn20268-kexhibit991060926.htm</t>
      </text>
    </comment>
    <comment ref="F18" authorId="0">
      <text>
        <t>S04 | Segment OI | https://www.sec.gov/Archives/edgar/data/100493/000010049326000032/tsn20268-kexhibit991060926.htm</t>
      </text>
    </comment>
    <comment ref="B19" authorId="0">
      <text>
        <t>S01 | Segment OI | https://www.sec.gov/Archives/edgar/data/100493/000010049322000097/tsn-20221001.htm</t>
      </text>
    </comment>
    <comment ref="C19" authorId="0">
      <text>
        <t>S01 | Segment OI | https://www.sec.gov/Archives/edgar/data/100493/000010049322000097/tsn-20221001.htm</t>
      </text>
    </comment>
    <comment ref="D19" authorId="0">
      <text>
        <t>S04 | Segment OI | https://www.sec.gov/Archives/edgar/data/100493/000010049326000032/tsn20268-kexhibit991060926.htm</t>
      </text>
    </comment>
    <comment ref="E19" authorId="0">
      <text>
        <t>S04 | Segment OI | https://www.sec.gov/Archives/edgar/data/100493/000010049326000032/tsn20268-kexhibit991060926.htm</t>
      </text>
    </comment>
    <comment ref="F19" authorId="0">
      <text>
        <t>S04 | Segment OI | https://www.sec.gov/Archives/edgar/data/100493/000010049326000032/tsn20268-kexhibit991060926.htm</t>
      </text>
    </comment>
    <comment ref="B20" authorId="0">
      <text>
        <t>S01 | Segment OI | https://www.sec.gov/Archives/edgar/data/100493/000010049322000097/tsn-20221001.htm</t>
      </text>
    </comment>
    <comment ref="C20" authorId="0">
      <text>
        <t>S01 | Segment OI | https://www.sec.gov/Archives/edgar/data/100493/000010049322000097/tsn-20221001.htm</t>
      </text>
    </comment>
    <comment ref="D20" authorId="0">
      <text>
        <t>S04 | Segment OI | https://www.sec.gov/Archives/edgar/data/100493/000010049326000032/tsn20268-kexhibit991060926.htm</t>
      </text>
    </comment>
    <comment ref="E20" authorId="0">
      <text>
        <t>S04 | Segment OI | https://www.sec.gov/Archives/edgar/data/100493/000010049326000032/tsn20268-kexhibit991060926.htm</t>
      </text>
    </comment>
    <comment ref="F20" authorId="0">
      <text>
        <t>S04 | Segment OI | https://www.sec.gov/Archives/edgar/data/100493/000010049326000032/tsn20268-kexhibit991060926.htm</t>
      </text>
    </comment>
    <comment ref="B22" authorId="0">
      <text>
        <t>S01 | Corporate expenses | https://www.sec.gov/Archives/edgar/data/100493/000010049322000097/tsn-20221001.htm</t>
      </text>
    </comment>
    <comment ref="B23" authorId="0">
      <text>
        <t>S01 | Amortization | https://www.sec.gov/Archives/edgar/data/100493/000010049322000097/tsn-20221001.htm</t>
      </text>
    </comment>
    <comment ref="C22" authorId="0">
      <text>
        <t>S01 | Corporate expenses | https://www.sec.gov/Archives/edgar/data/100493/000010049322000097/tsn-20221001.htm</t>
      </text>
    </comment>
    <comment ref="C23" authorId="0">
      <text>
        <t>S01 | Amortization | https://www.sec.gov/Archives/edgar/data/100493/000010049322000097/tsn-20221001.htm</t>
      </text>
    </comment>
    <comment ref="D22" authorId="0">
      <text>
        <t>S04 | Corporate expenses | https://www.sec.gov/Archives/edgar/data/100493/000010049326000032/tsn20268-kexhibit991060926.htm</t>
      </text>
    </comment>
    <comment ref="D23" authorId="0">
      <text>
        <t>S04 | Amortization | https://www.sec.gov/Archives/edgar/data/100493/000010049326000032/tsn20268-kexhibit991060926.htm</t>
      </text>
    </comment>
    <comment ref="E22" authorId="0">
      <text>
        <t>S04 | Corporate expenses | https://www.sec.gov/Archives/edgar/data/100493/000010049326000032/tsn20268-kexhibit991060926.htm</t>
      </text>
    </comment>
    <comment ref="E23" authorId="0">
      <text>
        <t>S04 | Amortization | https://www.sec.gov/Archives/edgar/data/100493/000010049326000032/tsn20268-kexhibit991060926.htm</t>
      </text>
    </comment>
    <comment ref="F22" authorId="0">
      <text>
        <t>S04 | Corporate expenses | https://www.sec.gov/Archives/edgar/data/100493/000010049326000032/tsn20268-kexhibit991060926.htm</t>
      </text>
    </comment>
    <comment ref="F23" authorId="0">
      <text>
        <t>S04 | Amortization | https://www.sec.gov/Archives/edgar/data/100493/000010049326000032/tsn20268-kexhibit991060926.htm</t>
      </text>
    </comment>
  </commentList>
</comments>
</file>

<file path=xl/comments5.xml><?xml version="1.0" encoding="utf-8"?>
<comments xmlns="http://schemas.openxmlformats.org/spreadsheetml/2006/main">
  <authors>
    <author>OpenAI Codex</author>
  </authors>
  <commentList>
    <comment ref="B4" authorId="0">
      <text>
        <t>User-controlled scenario switch: 1=Base, 2=Bull, 3=Bear</t>
      </text>
    </comment>
    <comment ref="B79" authorId="0">
      <text>
        <t>S06 | FY26 midpoint informed by official guidance | https://www.tysonfoods.com/news/news-releases/2026/5/tyson-foods-reports-second-quarter-2026-results</t>
      </text>
    </comment>
    <comment ref="B81" authorId="0">
      <text>
        <t>S06 | FY2026 official outlook | https://www.tysonfoods.com/news/news-releases/2026/5/tyson-foods-reports-second-quarter-2026-results</t>
      </text>
    </comment>
    <comment ref="B82" authorId="0">
      <text>
        <t>S06 | FY2026 official outlook | https://www.tysonfoods.com/news/news-releases/2026/5/tyson-foods-reports-second-quarter-2026-results</t>
      </text>
    </comment>
    <comment ref="B86" authorId="0">
      <text>
        <t>S06 | FY26 midpoint and normalized analyst input | https://www.tysonfoods.com/news/news-releases/2026/5/tyson-foods-reports-second-quarter-2026-results</t>
      </text>
    </comment>
    <comment ref="B97" authorId="0">
      <text>
        <t>S06 | Analyst proportional bridge for sales, OI, CFO and capex; official guidance remains 52-week comparable | https://www.tysonfoods.com/news/news-releases/2026/5/tyson-foods-reports-second-quarter-2026-results</t>
      </text>
    </comment>
    <comment ref="B101" authorId="0">
      <text>
        <t>S05 | Q2 FY2026 diluted weighted-average shares | https://www.sec.gov/Archives/edgar/data/100493/000010049326000020/tsn-20260328.htm</t>
      </text>
    </comment>
    <comment ref="B102" authorId="0">
      <text>
        <t>S05 | Class A 282.120397 + Class B 70.009005 | https://www.sec.gov/Archives/edgar/data/100493/000010049326000020/tsn-20260328.htm</t>
      </text>
    </comment>
  </commentList>
</comments>
</file>

<file path=xl/comments6.xml><?xml version="1.0" encoding="utf-8"?>
<comments xmlns="http://schemas.openxmlformats.org/spreadsheetml/2006/main">
  <authors>
    <author>OpenAI Codex</author>
  </authors>
  <commentList>
    <comment ref="B7" authorId="0">
      <text>
        <t>S05 | 6M FY2026 Sales | https://www.sec.gov/Archives/edgar/data/100493/000010049326000020/tsn-20260328.htm</t>
      </text>
    </comment>
    <comment ref="B8" authorId="0">
      <text>
        <t>S05 | 6M FY2026 Operating income | https://www.sec.gov/Archives/edgar/data/100493/000010049326000020/tsn-20260328.htm</t>
      </text>
    </comment>
    <comment ref="B9" authorId="0">
      <text>
        <t>S05 | 6M FY2026 Cash from operating activities | https://www.sec.gov/Archives/edgar/data/100493/000010049326000020/tsn-20260328.htm</t>
      </text>
    </comment>
    <comment ref="B10" authorId="0">
      <text>
        <t>S05 | 6M FY2026 Capital expenditures | https://www.sec.gov/Archives/edgar/data/100493/000010049326000020/tsn-20260328.htm</t>
      </text>
    </comment>
    <comment ref="B14" authorId="0">
      <text>
        <t>S05 | 6M FY2026 segment sales | https://www.sec.gov/Archives/edgar/data/100493/000010049326000020/tsn-20260328.htm</t>
      </text>
    </comment>
    <comment ref="B15" authorId="0">
      <text>
        <t>S05 | 6M FY2026 segment sales | https://www.sec.gov/Archives/edgar/data/100493/000010049326000020/tsn-20260328.htm</t>
      </text>
    </comment>
    <comment ref="B16" authorId="0">
      <text>
        <t>S05 | 6M FY2026 segment sales | https://www.sec.gov/Archives/edgar/data/100493/000010049326000020/tsn-20260328.htm</t>
      </text>
    </comment>
    <comment ref="B17" authorId="0">
      <text>
        <t>S05 | 6M FY2026 segment sales | https://www.sec.gov/Archives/edgar/data/100493/000010049326000020/tsn-20260328.htm</t>
      </text>
    </comment>
    <comment ref="B18" authorId="0">
      <text>
        <t>S05 | 6M FY2026 segment sales | https://www.sec.gov/Archives/edgar/data/100493/000010049326000020/tsn-20260328.htm</t>
      </text>
    </comment>
    <comment ref="B19" authorId="0">
      <text>
        <t>S05 | 6M FY2026 segment sales | https://www.sec.gov/Archives/edgar/data/100493/000010049326000020/tsn-20260328.htm</t>
      </text>
    </comment>
    <comment ref="B23" authorId="0">
      <text>
        <t>S05 | 6M FY2026 segment OI | https://www.sec.gov/Archives/edgar/data/100493/000010049326000020/tsn-20260328.htm</t>
      </text>
    </comment>
    <comment ref="B24" authorId="0">
      <text>
        <t>S05 | 6M FY2026 segment OI | https://www.sec.gov/Archives/edgar/data/100493/000010049326000020/tsn-20260328.htm</t>
      </text>
    </comment>
    <comment ref="B25" authorId="0">
      <text>
        <t>S05 | 6M FY2026 segment OI | https://www.sec.gov/Archives/edgar/data/100493/000010049326000020/tsn-20260328.htm</t>
      </text>
    </comment>
    <comment ref="B26" authorId="0">
      <text>
        <t>S05 | 6M FY2026 segment OI | https://www.sec.gov/Archives/edgar/data/100493/000010049326000020/tsn-20260328.htm</t>
      </text>
    </comment>
    <comment ref="B27" authorId="0">
      <text>
        <t>S05 | 6M FY2026 segment OI | https://www.sec.gov/Archives/edgar/data/100493/000010049326000020/tsn-20260328.htm</t>
      </text>
    </comment>
    <comment ref="B28" authorId="0">
      <text>
        <t>S05 | 6M FY2026 Corporate expenses | https://www.sec.gov/Archives/edgar/data/100493/000010049326000020/tsn-20260328.htm</t>
      </text>
    </comment>
    <comment ref="B29" authorId="0">
      <text>
        <t>S05 | 6M FY2026 Amortization | https://www.sec.gov/Archives/edgar/data/100493/000010049326000020/tsn-20260328.htm</t>
      </text>
    </comment>
  </commentList>
</comments>
</file>

<file path=xl/comments7.xml><?xml version="1.0" encoding="utf-8"?>
<comments xmlns="http://schemas.openxmlformats.org/spreadsheetml/2006/main">
  <authors>
    <author>OpenAI Codex</author>
  </authors>
  <commentList>
    <comment ref="B24" authorId="0">
      <text>
        <t>S05 | Q2 FY2026 balance sheet / share data | https://www.sec.gov/Archives/edgar/data/100493/000010049326000020/tsn-20260328.htm</t>
      </text>
    </comment>
    <comment ref="B25" authorId="0">
      <text>
        <t>S05 | Q2 FY2026 balance sheet / share data | https://www.sec.gov/Archives/edgar/data/100493/000010049326000020/tsn-20260328.htm</t>
      </text>
    </comment>
    <comment ref="B26" authorId="0">
      <text>
        <t>S05 | Q2 FY2026 balance sheet / share data | https://www.sec.gov/Archives/edgar/data/100493/000010049326000020/tsn-20260328.htm</t>
      </text>
    </comment>
    <comment ref="B27" authorId="0">
      <text>
        <t>S05 | Q2 FY2026 balance sheet / share data | https://www.sec.gov/Archives/edgar/data/100493/000010049326000020/tsn-20260328.htm</t>
      </text>
    </comment>
  </commentList>
</comments>
</file>

<file path=xl/sharedStrings.xml><?xml version="1.0" encoding="utf-8"?>
<sst xmlns="http://schemas.openxmlformats.org/spreadsheetml/2006/main" count="10214" uniqueCount="2488">
  <si>
    <t>Tyson Foods Institutional Financial Model</t>
  </si>
  <si>
    <t>TSN | USD millions | Historical FY2021-FY2025 | Interim Q2 FY2026 | Forecast FY2026-FY2030</t>
  </si>
  <si>
    <t>Model status</t>
  </si>
  <si>
    <t>Active scenario</t>
  </si>
  <si>
    <t>Valuation date / latest actual</t>
  </si>
  <si>
    <t>DCF value / share</t>
  </si>
  <si>
    <t>Exit multiple value / share</t>
  </si>
  <si>
    <t>FY2026E reported sales</t>
  </si>
  <si>
    <t>FY2026E operating income</t>
  </si>
  <si>
    <t>FY2026E free cash flow</t>
  </si>
  <si>
    <t>Claim mappings</t>
  </si>
  <si>
    <t>Model version</t>
  </si>
  <si>
    <t>2.0.0</t>
  </si>
  <si>
    <t>Governance status</t>
  </si>
  <si>
    <t>OWNER-GATED; INDEPENDENT CERTIFICATION PENDING</t>
  </si>
  <si>
    <t>Model Architecture</t>
  </si>
  <si>
    <t>Flow</t>
  </si>
  <si>
    <t>Sources -&gt; historical statements -&gt; protein drivers -&gt; assumptions -&gt; integrated forecast -&gt; debt/credit -&gt; DCF/sensitivity -&gt; checks</t>
  </si>
  <si>
    <t>Scenario control</t>
  </si>
  <si>
    <t>Assumptions!B4: 1 Base / 2 Bull / 3 Bear</t>
  </si>
  <si>
    <t>Governance boundary</t>
  </si>
  <si>
    <t>Tyson facts and one-offs are source-mapped; unsourced market/comps inputs are not forced. This model is a donor-company mechanism, not a Panama forecast.</t>
  </si>
  <si>
    <t>Series</t>
  </si>
  <si>
    <t>2021A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</si>
  <si>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</si>
  <si>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</si>
  <si>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</si>
  <si>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</si>
  <si>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</si>
  <si>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</si>
  <si>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</si>
  <si>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</si>
  <si>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</si>
  <si>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Sales</t>
  </si>
  <si>
    <t>Segment</t>
  </si>
  <si>
    <t>FY2025A</t>
  </si>
  <si>
    <t>FY2030E</t>
  </si>
  <si>
    <t>Beef</t>
  </si>
  <si>
    <t>Pork</t>
  </si>
  <si>
    <t>Chicken</t>
  </si>
  <si>
    <t>Prepared Foods</t>
  </si>
  <si>
    <t>International</t>
  </si>
  <si>
    <t>Historical Income Statement</t>
  </si>
  <si>
    <t>USD millions except per-share data; audited GAAP actuals</t>
  </si>
  <si>
    <t>Metric</t>
  </si>
  <si>
    <t>Consolidated Income Statement</t>
  </si>
  <si>
    <t>Cost of sales</t>
  </si>
  <si>
    <t>Gross profit</t>
  </si>
  <si>
    <t>SG&amp;A</t>
  </si>
  <si>
    <t>Goodwill impairment</t>
  </si>
  <si>
    <t>Operating income</t>
  </si>
  <si>
    <t>Interest income</t>
  </si>
  <si>
    <t>Interest expense</t>
  </si>
  <si>
    <t>Other income, net</t>
  </si>
  <si>
    <t>Income before taxes</t>
  </si>
  <si>
    <t>Income tax expense</t>
  </si>
  <si>
    <t>Net income including NCI</t>
  </si>
  <si>
    <t>Net income attributable to NCI</t>
  </si>
  <si>
    <t>Net income attributable to Tyson</t>
  </si>
  <si>
    <t>Diluted EPS</t>
  </si>
  <si>
    <t>Diluted weighted-average shares</t>
  </si>
  <si>
    <t>Historical Balance Sheet</t>
  </si>
  <si>
    <t>Assets</t>
  </si>
  <si>
    <t>Cash and cash equivalents</t>
  </si>
  <si>
    <t>Accounts receivable</t>
  </si>
  <si>
    <t>Inventories</t>
  </si>
  <si>
    <t>Other current assets</t>
  </si>
  <si>
    <t>Total current assets</t>
  </si>
  <si>
    <t>Net PP&amp;E</t>
  </si>
  <si>
    <t>Goodwill</t>
  </si>
  <si>
    <t>Intangible assets</t>
  </si>
  <si>
    <t>Other assets</t>
  </si>
  <si>
    <t>Total assets</t>
  </si>
  <si>
    <t>Liabilities and Equity</t>
  </si>
  <si>
    <t>Current debt</t>
  </si>
  <si>
    <t>Accounts payable</t>
  </si>
  <si>
    <t>Other current liabilities</t>
  </si>
  <si>
    <t>Total current liabilities</t>
  </si>
  <si>
    <t>Long-term debt</t>
  </si>
  <si>
    <t>Deferred income taxes</t>
  </si>
  <si>
    <t>Other liabilities</t>
  </si>
  <si>
    <t>Total liabilities</t>
  </si>
  <si>
    <t>Equity attributable to Tyson</t>
  </si>
  <si>
    <t>Equity attributable to NCI</t>
  </si>
  <si>
    <t>Total shareholders' equity</t>
  </si>
  <si>
    <t>Total liabilities and equity</t>
  </si>
  <si>
    <t>Historical Cash Flow Statement</t>
  </si>
  <si>
    <t>Cash Flow Statement</t>
  </si>
  <si>
    <t>Net income</t>
  </si>
  <si>
    <t>Depreciation</t>
  </si>
  <si>
    <t>Amortization</t>
  </si>
  <si>
    <t>Impairments and disposals</t>
  </si>
  <si>
    <t>Stock-based compensation</t>
  </si>
  <si>
    <t>Working capital and other operating changes</t>
  </si>
  <si>
    <t>Cash provided by operating activities</t>
  </si>
  <si>
    <t>Capital expenditures</t>
  </si>
  <si>
    <t>Cash used for investing activities</t>
  </si>
  <si>
    <t>Debt issuance</t>
  </si>
  <si>
    <t>Debt payments</t>
  </si>
  <si>
    <t>Share repurchases</t>
  </si>
  <si>
    <t>Dividends</t>
  </si>
  <si>
    <t>Cash from financing activities</t>
  </si>
  <si>
    <t>FX and other cash movement</t>
  </si>
  <si>
    <t>Change in cash</t>
  </si>
  <si>
    <t>Ending cash</t>
  </si>
  <si>
    <t>Free cash flow</t>
  </si>
  <si>
    <t>Segment Build</t>
  </si>
  <si>
    <t>FY21-FY22 use legacy allocation; FY23-FY25 use June 2026 five-segment recast</t>
  </si>
  <si>
    <t>Sales by Segment</t>
  </si>
  <si>
    <t>Intersegment eliminations</t>
  </si>
  <si>
    <t>Total sales</t>
  </si>
  <si>
    <t>Segment Operating Income</t>
  </si>
  <si>
    <t>Beef operating income</t>
  </si>
  <si>
    <t>Pork operating income</t>
  </si>
  <si>
    <t>Chicken operating income</t>
  </si>
  <si>
    <t>Prepared Foods operating income</t>
  </si>
  <si>
    <t>International operating income</t>
  </si>
  <si>
    <t>Total segment operating income</t>
  </si>
  <si>
    <t>Corporate expenses</t>
  </si>
  <si>
    <t>Consolidated operating income</t>
  </si>
  <si>
    <t>Assumptions &amp; Scenarios</t>
  </si>
  <si>
    <t>Blue/yellow cells are editable analyst inputs. FY2026 guidance is on a comparable 52-week basis.</t>
  </si>
  <si>
    <t>Scenario selector (1 Base / 2 Bull / 3 Bear)</t>
  </si>
  <si>
    <t>Base Price / Mix Growth</t>
  </si>
  <si>
    <t>Bull Price / Mix Growth</t>
  </si>
  <si>
    <t>Bear Price / Mix Growth</t>
  </si>
  <si>
    <t>Active Price / Mix Growth</t>
  </si>
  <si>
    <t>Base Segment Operating Margin</t>
  </si>
  <si>
    <t>Bull Segment Operating Margin</t>
  </si>
  <si>
    <t>Bear Segment Operating Margin</t>
  </si>
  <si>
    <t>Active Segment Operating Margin</t>
  </si>
  <si>
    <t>Corporate, Financial &amp; Valuation Inputs</t>
  </si>
  <si>
    <t>Corporate expense + amortization / sales</t>
  </si>
  <si>
    <t>FY26 midpoint informed by official guidance</t>
  </si>
  <si>
    <t>SG&amp;A / sales</t>
  </si>
  <si>
    <t>Analyst input anchored to recent history</t>
  </si>
  <si>
    <t>Tax rate</t>
  </si>
  <si>
    <t>FY2026 official outlook</t>
  </si>
  <si>
    <t>FY2026 net interest expense</t>
  </si>
  <si>
    <t>Interest rate on average debt</t>
  </si>
  <si>
    <t>Analyst input</t>
  </si>
  <si>
    <t>Depreciation / sales</t>
  </si>
  <si>
    <t>Analyst input anchored to history</t>
  </si>
  <si>
    <t>Amortization / sales</t>
  </si>
  <si>
    <t>Capex / sales</t>
  </si>
  <si>
    <t>FY26 midpoint and normalized analyst input</t>
  </si>
  <si>
    <t>AR days</t>
  </si>
  <si>
    <t>Analyst input anchored to FY25</t>
  </si>
  <si>
    <t>Inventory days</t>
  </si>
  <si>
    <t>AP days</t>
  </si>
  <si>
    <t>Other current assets / sales</t>
  </si>
  <si>
    <t>Other current liabilities / sales</t>
  </si>
  <si>
    <t>Dividend payout ratio</t>
  </si>
  <si>
    <t>Minimum cash / sales</t>
  </si>
  <si>
    <t>Analyst liquidity policy</t>
  </si>
  <si>
    <t>WACC</t>
  </si>
  <si>
    <t>Unsourced analyst input; sensitivity required</t>
  </si>
  <si>
    <t>Terminal growth</t>
  </si>
  <si>
    <t>Exit EV / EBITDA</t>
  </si>
  <si>
    <t>Unsourced analyst input; cross-check only</t>
  </si>
  <si>
    <t>53rd-week proportional bridge</t>
  </si>
  <si>
    <t>Analyst proportional bridge for sales, OI, CFO and capex; official guidance remains 52-week comparable</t>
  </si>
  <si>
    <t>Cash interest yield</t>
  </si>
  <si>
    <t>NCI share of consolidated net income</t>
  </si>
  <si>
    <t>Current debt / total debt</t>
  </si>
  <si>
    <t>Analyst maturity-mix input</t>
  </si>
  <si>
    <t>Forecast diluted weighted-average shares</t>
  </si>
  <si>
    <t>Q2 FY2026 diluted weighted-average shares</t>
  </si>
  <si>
    <t>DCF if-converted shares</t>
  </si>
  <si>
    <t>Class A 282.120397 + Class B 70.009005</t>
  </si>
  <si>
    <t>Goodwill growth</t>
  </si>
  <si>
    <t>Analyst simplification; no acquisitions assumed</t>
  </si>
  <si>
    <t>Other assets growth</t>
  </si>
  <si>
    <t>Analyst simplification</t>
  </si>
  <si>
    <t>Deferred tax liability growth</t>
  </si>
  <si>
    <t>Other liabilities growth</t>
  </si>
  <si>
    <t>FY2026 GAAP-to-adjusted items</t>
  </si>
  <si>
    <t>Analyst assumption: no additional full-year comparability items modeled</t>
  </si>
  <si>
    <t>Protein Economics &amp; Volume-Price-Mix</t>
  </si>
  <si>
    <t>Tyson donor-company facts drive independent volume, price/mix and protein-input margin mechanics; they are not Panama assumptions</t>
  </si>
  <si>
    <t>Reported Sales Change Bridge</t>
  </si>
  <si>
    <t>FY2024 vs FY2023</t>
  </si>
  <si>
    <t>FY2025 vs FY2024</t>
  </si>
  <si>
    <t>6M FY2026 vs 6M FY2025</t>
  </si>
  <si>
    <t>Prior-period sales</t>
  </si>
  <si>
    <t>Volume effect</t>
  </si>
  <si>
    <t>Average price effect</t>
  </si>
  <si>
    <t>Legal-contingency effect</t>
  </si>
  <si>
    <t>Calculated current sales</t>
  </si>
  <si>
    <t>Reported current sales</t>
  </si>
  <si>
    <t>Bridge check</t>
  </si>
  <si>
    <t>Segment Volume / Average Price</t>
  </si>
  <si>
    <t>FY25 volume</t>
  </si>
  <si>
    <t>FY25 price</t>
  </si>
  <si>
    <t>6M FY26 volume</t>
  </si>
  <si>
    <t>6M FY26 price</t>
  </si>
  <si>
    <t>Reported Cost-of-Sales Change Bridge</t>
  </si>
  <si>
    <t>Prior-period cost of sales</t>
  </si>
  <si>
    <t>Input cost / pound effect</t>
  </si>
  <si>
    <t>Calculated current cost of sales</t>
  </si>
  <si>
    <t>Reported current cost of sales</t>
  </si>
  <si>
    <t>Input-Cost Decomposition</t>
  </si>
  <si>
    <t>Driver</t>
  </si>
  <si>
    <t>Live cattle / Beef</t>
  </si>
  <si>
    <t>Prepared Foods raw materials</t>
  </si>
  <si>
    <t>Live hogs / Pork</t>
  </si>
  <si>
    <t>Chicken feed ingredients</t>
  </si>
  <si>
    <t>Freight and transportation</t>
  </si>
  <si>
    <t>Restructuring charges</t>
  </si>
  <si>
    <t>Legal contingency accruals</t>
  </si>
  <si>
    <t>Plant closures and disposals</t>
  </si>
  <si>
    <t>Commodity derivatives</t>
  </si>
  <si>
    <t>Facility fire / insurance</t>
  </si>
  <si>
    <t>Other mix, operating costs and productivity (derived residual)</t>
  </si>
  <si>
    <t>Decomposed total</t>
  </si>
  <si>
    <t>Reported input cost / pound effect</t>
  </si>
  <si>
    <t>Reconciliation check</t>
  </si>
  <si>
    <t>Forecast Base Volume Inputs</t>
  </si>
  <si>
    <t>Active Volume + Independent Price / Mix + Derived Total Growth</t>
  </si>
  <si>
    <t>2026E Vol.</t>
  </si>
  <si>
    <t>2027E Vol.</t>
  </si>
  <si>
    <t>2028E Vol.</t>
  </si>
  <si>
    <t>2029E Vol.</t>
  </si>
  <si>
    <t>2030E Vol.</t>
  </si>
  <si>
    <t>2026E Price/Mix</t>
  </si>
  <si>
    <t>2027E Price/Mix</t>
  </si>
  <si>
    <t>2028E Price/Mix</t>
  </si>
  <si>
    <t>2029E Price/Mix</t>
  </si>
  <si>
    <t>2030E Price/Mix</t>
  </si>
  <si>
    <t>2026E Total Growth</t>
  </si>
  <si>
    <t>2027E Total Growth</t>
  </si>
  <si>
    <t>2028E Total Growth</t>
  </si>
  <si>
    <t>2029E Total Growth</t>
  </si>
  <si>
    <t>2030E Total Growth</t>
  </si>
  <si>
    <t>Active Protein Input-Cost / Productivity Margin Overlay</t>
  </si>
  <si>
    <t>Bull / Bear Margin-Overlay Magnitudes</t>
  </si>
  <si>
    <t>Segment / economic mechanism</t>
  </si>
  <si>
    <t>Beef - cattle availability / cost</t>
  </si>
  <si>
    <t>Pork - hog cost / live operations</t>
  </si>
  <si>
    <t>Chicken - feed / live performance</t>
  </si>
  <si>
    <t>Prepared Foods - raw materials / pass-through</t>
  </si>
  <si>
    <t>International - raw materials / execution</t>
  </si>
  <si>
    <t>Integrated Three-Statement Forecast</t>
  </si>
  <si>
    <t>FY2026E-FY2030E; 53rd week bridged explicitly; USD millions except per-share data</t>
  </si>
  <si>
    <t>Income Statement</t>
  </si>
  <si>
    <t>Growth</t>
  </si>
  <si>
    <t>Operating margin</t>
  </si>
  <si>
    <t>Diluted shares</t>
  </si>
  <si>
    <t>Balance Sheet</t>
  </si>
  <si>
    <t>Cash</t>
  </si>
  <si>
    <t>Total equity</t>
  </si>
  <si>
    <t>Balance sheet check</t>
  </si>
  <si>
    <t>Change in operating NWC</t>
  </si>
  <si>
    <t>Cash from operating activities</t>
  </si>
  <si>
    <t>Debt issuance / (repayment)</t>
  </si>
  <si>
    <t>Operating, Debt &amp; Share Schedules</t>
  </si>
  <si>
    <t>Debt repayment is capped at beginning debt; excess cash accumulates above the minimum cash floor</t>
  </si>
  <si>
    <t>Working Capital</t>
  </si>
  <si>
    <t>Inventory</t>
  </si>
  <si>
    <t>Operating NWC</t>
  </si>
  <si>
    <t>PP&amp;E and Intangibles</t>
  </si>
  <si>
    <t>Cash, Debt &amp; Equity</t>
  </si>
  <si>
    <t>Beginning gross debt</t>
  </si>
  <si>
    <t>Financing requirement / (repayment)</t>
  </si>
  <si>
    <t>Ending gross debt</t>
  </si>
  <si>
    <t>Minimum ending cash</t>
  </si>
  <si>
    <t>CFS ending cash</t>
  </si>
  <si>
    <t>Cash floor surplus / (shortfall)</t>
  </si>
  <si>
    <t>Beginning Tyson equity</t>
  </si>
  <si>
    <t>Tyson net income</t>
  </si>
  <si>
    <t>Ending Tyson equity</t>
  </si>
  <si>
    <t>NCI equity</t>
  </si>
  <si>
    <t>FY2026 Interim Bridge</t>
  </si>
  <si>
    <t>6M actual + H2 estimate = comparable 52-week FY2026; week 53 shown separately</t>
  </si>
  <si>
    <t>6M Actual</t>
  </si>
  <si>
    <t>H2E (52w)</t>
  </si>
  <si>
    <t>FY26E (52w)</t>
  </si>
  <si>
    <t>Week 53</t>
  </si>
  <si>
    <t>FY26E Reported</t>
  </si>
  <si>
    <t>Consolidated Bridge</t>
  </si>
  <si>
    <t>Adjusted / normalized operating income</t>
  </si>
  <si>
    <t>Segment Sales Bridge</t>
  </si>
  <si>
    <t>Segment Operating Income Bridge</t>
  </si>
  <si>
    <t>Debt, Liquidity &amp; Covenant Analysis</t>
  </si>
  <si>
    <t>Q2 FY2026 filed debt stack; no undisclosed covenant threshold is invented</t>
  </si>
  <si>
    <t>Debt Stack at March 28, 2026</t>
  </si>
  <si>
    <t>Instrument</t>
  </si>
  <si>
    <t>Carrying amount</t>
  </si>
  <si>
    <t>Coupon</t>
  </si>
  <si>
    <t>Maturity</t>
  </si>
  <si>
    <t>Source / note</t>
  </si>
  <si>
    <t>Commercial paper</t>
  </si>
  <si>
    <t>&lt;5 days</t>
  </si>
  <si>
    <t>S05 | Note 6 Debt</t>
  </si>
  <si>
    <t>3.55% senior notes</t>
  </si>
  <si>
    <t>Jun-2027</t>
  </si>
  <si>
    <t>7.00% senior notes</t>
  </si>
  <si>
    <t>Jan-2028</t>
  </si>
  <si>
    <t>4.35% senior notes</t>
  </si>
  <si>
    <t>Mar-2029</t>
  </si>
  <si>
    <t>5.40% senior notes</t>
  </si>
  <si>
    <t>6.13% senior notes</t>
  </si>
  <si>
    <t>Nov-2032</t>
  </si>
  <si>
    <t>5.70% senior notes</t>
  </si>
  <si>
    <t>Mar-2034</t>
  </si>
  <si>
    <t>4.88% senior notes</t>
  </si>
  <si>
    <t>Aug-2034</t>
  </si>
  <si>
    <t>4.95% senior notes</t>
  </si>
  <si>
    <t>Feb-2036</t>
  </si>
  <si>
    <t>5.15% senior notes</t>
  </si>
  <si>
    <t>Aug-2044</t>
  </si>
  <si>
    <t>4.55% senior notes</t>
  </si>
  <si>
    <t>Jun-2047</t>
  </si>
  <si>
    <t>5.10% senior notes</t>
  </si>
  <si>
    <t>Sep-2048</t>
  </si>
  <si>
    <t>Senior note discounts</t>
  </si>
  <si>
    <t>N/A</t>
  </si>
  <si>
    <t>Finance leases</t>
  </si>
  <si>
    <t>Various</t>
  </si>
  <si>
    <t>Other debt</t>
  </si>
  <si>
    <t>Unamortized issuance costs</t>
  </si>
  <si>
    <t>Total debt</t>
  </si>
  <si>
    <t>Classification check</t>
  </si>
  <si>
    <t>Credit &amp; Liquidity Snapshot</t>
  </si>
  <si>
    <t>Value</t>
  </si>
  <si>
    <t>Source / treatment</t>
  </si>
  <si>
    <t>Debt fair value</t>
  </si>
  <si>
    <t>S05 | Note 11 fair value</t>
  </si>
  <si>
    <t>Fixed-rate debt</t>
  </si>
  <si>
    <t>S05 | market-risk disclosure</t>
  </si>
  <si>
    <t>Weighted average fixed rate</t>
  </si>
  <si>
    <t>S05 | balance sheet</t>
  </si>
  <si>
    <t>Net debt</t>
  </si>
  <si>
    <t>Derived</t>
  </si>
  <si>
    <t>Total liquidity</t>
  </si>
  <si>
    <t>S06 | company-reported</t>
  </si>
  <si>
    <t>Minimum liquidity target</t>
  </si>
  <si>
    <t>S06 | management target</t>
  </si>
  <si>
    <t>Revolver commitment</t>
  </si>
  <si>
    <t>S05 | Note 6</t>
  </si>
  <si>
    <t>Revolver borrowed</t>
  </si>
  <si>
    <t>Revolving term commitment</t>
  </si>
  <si>
    <t>Revolving term borrowed</t>
  </si>
  <si>
    <t>Liquidity headroom vs target</t>
  </si>
  <si>
    <t>Covenant &amp; Refinancing Register</t>
  </si>
  <si>
    <t>Topic</t>
  </si>
  <si>
    <t>Requirement / fact</t>
  </si>
  <si>
    <t>Threshold</t>
  </si>
  <si>
    <t>Status</t>
  </si>
  <si>
    <t>Credit implication</t>
  </si>
  <si>
    <t>Source</t>
  </si>
  <si>
    <t>Interest coverage</t>
  </si>
  <si>
    <t>Minimum interest expense coverage ratio</t>
  </si>
  <si>
    <t>Not disclosed in filing</t>
  </si>
  <si>
    <t>Required</t>
  </si>
  <si>
    <t>Monitor EBITDA and interest headroom</t>
  </si>
  <si>
    <t>S05 Note 6</t>
  </si>
  <si>
    <t>Negative covenants</t>
  </si>
  <si>
    <t>Liens, debt, M&amp;A, asset sales, affiliates and hedging restricted</t>
  </si>
  <si>
    <t>Subject to exceptions</t>
  </si>
  <si>
    <t>In force</t>
  </si>
  <si>
    <t>Constrains financial flexibility</t>
  </si>
  <si>
    <t>Compliance</t>
  </si>
  <si>
    <t>Tyson reported compliance with all debt covenants</t>
  </si>
  <si>
    <t>As of 2026-03-28</t>
  </si>
  <si>
    <t>COMPLIANT</t>
  </si>
  <si>
    <t>No filed breach</t>
  </si>
  <si>
    <t>Near-term maturity</t>
  </si>
  <si>
    <t>$1.35bn notes due June 2027</t>
  </si>
  <si>
    <t>3.55% coupon</t>
  </si>
  <si>
    <t>OPEN</t>
  </si>
  <si>
    <t>Principal refinancing concentration</t>
  </si>
  <si>
    <t>Discounted Cash Flow Valuation</t>
  </si>
  <si>
    <t>Valuation date 2026-03-28; H2 FY26 stub then FY27-FY30 mid-year convention; WACC/TGR/exit multiple are analyst inputs</t>
  </si>
  <si>
    <t>As of / Input</t>
  </si>
  <si>
    <t>Remaining FY26E (incl. week 53)</t>
  </si>
  <si>
    <t>Unlevered Free Cash Flow</t>
  </si>
  <si>
    <t>EBIT</t>
  </si>
  <si>
    <t>Cash tax on EBIT</t>
  </si>
  <si>
    <t>NOPAT</t>
  </si>
  <si>
    <t>D&amp;A</t>
  </si>
  <si>
    <t>Unlevered FCF</t>
  </si>
  <si>
    <t>Discount factor</t>
  </si>
  <si>
    <t>PV of FCF</t>
  </si>
  <si>
    <t>Enterprise-to-Equity Bridge</t>
  </si>
  <si>
    <t>Terminal value - Gordon growth</t>
  </si>
  <si>
    <t>Terminal discount period (years)</t>
  </si>
  <si>
    <t>PV of terminal value</t>
  </si>
  <si>
    <t>Enterprise value - Gordon growth</t>
  </si>
  <si>
    <t>Gross debt</t>
  </si>
  <si>
    <t>Noncontrolling interest</t>
  </si>
  <si>
    <t>Equity value - Gordon growth</t>
  </si>
  <si>
    <t>If-converted shares</t>
  </si>
  <si>
    <t>Value per share - Gordon growth</t>
  </si>
  <si>
    <t>2030E EBITDA</t>
  </si>
  <si>
    <t>Terminal EV at exit multiple</t>
  </si>
  <si>
    <t>Enterprise value - exit multiple</t>
  </si>
  <si>
    <t>Value per share - exit multiple</t>
  </si>
  <si>
    <t>Share Bridge</t>
  </si>
  <si>
    <t>Class A shares outstanding</t>
  </si>
  <si>
    <t>Class B shares outstanding</t>
  </si>
  <si>
    <t>DCF Sensitivity</t>
  </si>
  <si>
    <t>Gordon-growth value per share across WACC and terminal-growth assumptions</t>
  </si>
  <si>
    <t>WACC / Terminal Growth Sensitivity</t>
  </si>
  <si>
    <t>WACC / TGR</t>
  </si>
  <si>
    <t>Key Inputs</t>
  </si>
  <si>
    <t>Base WACC</t>
  </si>
  <si>
    <t>Base terminal growth</t>
  </si>
  <si>
    <t>Base DCF value per share</t>
  </si>
  <si>
    <t>Claim-Level Source Ledger</t>
  </si>
  <si>
    <t>Every material source input maps to a destination cell; valuation assumptions are explicitly unsourced</t>
  </si>
  <si>
    <t>Claim ID</t>
  </si>
  <si>
    <t>Period / Date</t>
  </si>
  <si>
    <t>Source ID</t>
  </si>
  <si>
    <t>Source title</t>
  </si>
  <si>
    <t>Accession / identity</t>
  </si>
  <si>
    <t>Retrieved</t>
  </si>
  <si>
    <t>URL</t>
  </si>
  <si>
    <t>Exact locator</t>
  </si>
  <si>
    <t>Source value</t>
  </si>
  <si>
    <t>Unit / currency</t>
  </si>
  <si>
    <t>Destination</t>
  </si>
  <si>
    <t>Transformation</t>
  </si>
  <si>
    <t>Class / assumption status</t>
  </si>
  <si>
    <t>CLM-0001</t>
  </si>
  <si>
    <t>FY2021</t>
  </si>
  <si>
    <t>S01</t>
  </si>
  <si>
    <t>Tyson Foods FY2022 Form 10-K</t>
  </si>
  <si>
    <t>0000100493-22-000097</t>
  </si>
  <si>
    <t>https://www.sec.gov/Archives/edgar/data/100493/000010049322000097/tsn-20221001.htm</t>
  </si>
  <si>
    <t>FY2022 10-K, Consolidated Statements of Income, lines 1671-1699 | Sales | FY2021</t>
  </si>
  <si>
    <t>USD mm</t>
  </si>
  <si>
    <t>Historical_IS!B7</t>
  </si>
  <si>
    <t>Direct transcription from audited filing</t>
  </si>
  <si>
    <t>Audited filing | Primary / audited</t>
  </si>
  <si>
    <t>MAPPED</t>
  </si>
  <si>
    <t>CLM-0002</t>
  </si>
  <si>
    <t>FY2022</t>
  </si>
  <si>
    <t>FY2022 10-K, Consolidated Statements of Income, lines 1671-1699 | Sales | FY2022</t>
  </si>
  <si>
    <t>Historical_IS!C7</t>
  </si>
  <si>
    <t>CLM-0003</t>
  </si>
  <si>
    <t>FY2023</t>
  </si>
  <si>
    <t>S03</t>
  </si>
  <si>
    <t>Tyson Foods FY2025 Form 10-K</t>
  </si>
  <si>
    <t>0000100493-25-000095</t>
  </si>
  <si>
    <t>https://www.sec.gov/Archives/edgar/data/100493/000010049325000095/tsn-20250927.htm</t>
  </si>
  <si>
    <t>FY2025 10-K, Consolidated Statements of Income, lines 1640-1654 | Sales | FY2023</t>
  </si>
  <si>
    <t>Historical_IS!D7</t>
  </si>
  <si>
    <t>CLM-0004</t>
  </si>
  <si>
    <t>FY2024</t>
  </si>
  <si>
    <t>FY2025 10-K, Consolidated Statements of Income, lines 1640-1654 | Sales | FY2024</t>
  </si>
  <si>
    <t>Historical_IS!E7</t>
  </si>
  <si>
    <t>CLM-0005</t>
  </si>
  <si>
    <t>FY2025</t>
  </si>
  <si>
    <t>FY2025 10-K, Consolidated Statements of Income, lines 1640-1654 | Sales | FY2025</t>
  </si>
  <si>
    <t>Historical_IS!F7</t>
  </si>
  <si>
    <t>CLM-0006</t>
  </si>
  <si>
    <t>FY2022 10-K, Consolidated Statements of Income, lines 1671-1699 | Cost of sales | FY2021</t>
  </si>
  <si>
    <t>Historical_IS!B8</t>
  </si>
  <si>
    <t>CLM-0007</t>
  </si>
  <si>
    <t>FY2022 10-K, Consolidated Statements of Income, lines 1671-1699 | Cost of sales | FY2022</t>
  </si>
  <si>
    <t>Historical_IS!C8</t>
  </si>
  <si>
    <t>CLM-0008</t>
  </si>
  <si>
    <t>FY2025 10-K, Consolidated Statements of Income, lines 1640-1654 | Cost of sales | FY2023</t>
  </si>
  <si>
    <t>Historical_IS!D8</t>
  </si>
  <si>
    <t>CLM-0009</t>
  </si>
  <si>
    <t>FY2025 10-K, Consolidated Statements of Income, lines 1640-1654 | Cost of sales | FY2024</t>
  </si>
  <si>
    <t>Historical_IS!E8</t>
  </si>
  <si>
    <t>CLM-0010</t>
  </si>
  <si>
    <t>FY2025 10-K, Consolidated Statements of Income, lines 1640-1654 | Cost of sales | FY2025</t>
  </si>
  <si>
    <t>Historical_IS!F8</t>
  </si>
  <si>
    <t>CLM-0011</t>
  </si>
  <si>
    <t>FY2022 10-K, Consolidated Statements of Income, lines 1671-1699 | Gross profit | FY2021</t>
  </si>
  <si>
    <t>Historical_IS!B9</t>
  </si>
  <si>
    <t>CLM-0012</t>
  </si>
  <si>
    <t>FY2022 10-K, Consolidated Statements of Income, lines 1671-1699 | Gross profit | FY2022</t>
  </si>
  <si>
    <t>Historical_IS!C9</t>
  </si>
  <si>
    <t>CLM-0013</t>
  </si>
  <si>
    <t>FY2025 10-K, Consolidated Statements of Income, lines 1640-1654 | Gross profit | FY2023</t>
  </si>
  <si>
    <t>Historical_IS!D9</t>
  </si>
  <si>
    <t>CLM-0014</t>
  </si>
  <si>
    <t>FY2025 10-K, Consolidated Statements of Income, lines 1640-1654 | Gross profit | FY2024</t>
  </si>
  <si>
    <t>Historical_IS!E9</t>
  </si>
  <si>
    <t>CLM-0015</t>
  </si>
  <si>
    <t>FY2025 10-K, Consolidated Statements of Income, lines 1640-1654 | Gross profit | FY2025</t>
  </si>
  <si>
    <t>Historical_IS!F9</t>
  </si>
  <si>
    <t>CLM-0016</t>
  </si>
  <si>
    <t>FY2022 10-K, Consolidated Statements of Income, lines 1671-1699 | SG&amp;A | FY2021</t>
  </si>
  <si>
    <t>Historical_IS!B10</t>
  </si>
  <si>
    <t>CLM-0017</t>
  </si>
  <si>
    <t>FY2022 10-K, Consolidated Statements of Income, lines 1671-1699 | SG&amp;A | FY2022</t>
  </si>
  <si>
    <t>Historical_IS!C10</t>
  </si>
  <si>
    <t>CLM-0018</t>
  </si>
  <si>
    <t>FY2025 10-K, Consolidated Statements of Income, lines 1640-1654 | SG&amp;A | FY2023</t>
  </si>
  <si>
    <t>Historical_IS!D10</t>
  </si>
  <si>
    <t>CLM-0019</t>
  </si>
  <si>
    <t>FY2025 10-K, Consolidated Statements of Income, lines 1640-1654 | SG&amp;A | FY2024</t>
  </si>
  <si>
    <t>Historical_IS!E10</t>
  </si>
  <si>
    <t>CLM-0020</t>
  </si>
  <si>
    <t>FY2025 10-K, Consolidated Statements of Income, lines 1640-1654 | SG&amp;A | FY2025</t>
  </si>
  <si>
    <t>Historical_IS!F10</t>
  </si>
  <si>
    <t>CLM-0021</t>
  </si>
  <si>
    <t>FY2022 10-K, Consolidated Statements of Income, lines 1671-1699 | Goodwill impairment | FY2021</t>
  </si>
  <si>
    <t>Historical_IS!B11</t>
  </si>
  <si>
    <t>CLM-0022</t>
  </si>
  <si>
    <t>FY2022 10-K, Consolidated Statements of Income, lines 1671-1699 | Goodwill impairment | FY2022</t>
  </si>
  <si>
    <t>Historical_IS!C11</t>
  </si>
  <si>
    <t>CLM-0023</t>
  </si>
  <si>
    <t>FY2025 10-K, Consolidated Statements of Income, lines 1640-1654 | Goodwill impairment | FY2023</t>
  </si>
  <si>
    <t>Historical_IS!D11</t>
  </si>
  <si>
    <t>CLM-0024</t>
  </si>
  <si>
    <t>FY2025 10-K, Consolidated Statements of Income, lines 1640-1654 | Goodwill impairment | FY2024</t>
  </si>
  <si>
    <t>Historical_IS!E11</t>
  </si>
  <si>
    <t>CLM-0025</t>
  </si>
  <si>
    <t>FY2025 10-K, Consolidated Statements of Income, lines 1640-1654 | Goodwill impairment | FY2025</t>
  </si>
  <si>
    <t>Historical_IS!F11</t>
  </si>
  <si>
    <t>CLM-0026</t>
  </si>
  <si>
    <t>FY2022 10-K, Consolidated Statements of Income, lines 1671-1699 | Operating income | FY2021</t>
  </si>
  <si>
    <t>Historical_IS!B12</t>
  </si>
  <si>
    <t>CLM-0027</t>
  </si>
  <si>
    <t>FY2022 10-K, Consolidated Statements of Income, lines 1671-1699 | Operating income | FY2022</t>
  </si>
  <si>
    <t>Historical_IS!C12</t>
  </si>
  <si>
    <t>CLM-0028</t>
  </si>
  <si>
    <t>FY2025 10-K, Consolidated Statements of Income, lines 1640-1654 | Operating income | FY2023</t>
  </si>
  <si>
    <t>Historical_IS!D12</t>
  </si>
  <si>
    <t>CLM-0029</t>
  </si>
  <si>
    <t>FY2025 10-K, Consolidated Statements of Income, lines 1640-1654 | Operating income | FY2024</t>
  </si>
  <si>
    <t>Historical_IS!E12</t>
  </si>
  <si>
    <t>CLM-0030</t>
  </si>
  <si>
    <t>FY2025 10-K, Consolidated Statements of Income, lines 1640-1654 | Operating income | FY2025</t>
  </si>
  <si>
    <t>Historical_IS!F12</t>
  </si>
  <si>
    <t>CLM-0031</t>
  </si>
  <si>
    <t>FY2022 10-K, Consolidated Statements of Income, lines 1671-1699 | Interest income | FY2021</t>
  </si>
  <si>
    <t>Historical_IS!B13</t>
  </si>
  <si>
    <t>CLM-0032</t>
  </si>
  <si>
    <t>FY2022 10-K, Consolidated Statements of Income, lines 1671-1699 | Interest income | FY2022</t>
  </si>
  <si>
    <t>Historical_IS!C13</t>
  </si>
  <si>
    <t>CLM-0033</t>
  </si>
  <si>
    <t>FY2025 10-K, Consolidated Statements of Income, lines 1640-1654 | Interest income | FY2023</t>
  </si>
  <si>
    <t>Historical_IS!D13</t>
  </si>
  <si>
    <t>CLM-0034</t>
  </si>
  <si>
    <t>FY2025 10-K, Consolidated Statements of Income, lines 1640-1654 | Interest income | FY2024</t>
  </si>
  <si>
    <t>Historical_IS!E13</t>
  </si>
  <si>
    <t>CLM-0035</t>
  </si>
  <si>
    <t>FY2025 10-K, Consolidated Statements of Income, lines 1640-1654 | Interest income | FY2025</t>
  </si>
  <si>
    <t>Historical_IS!F13</t>
  </si>
  <si>
    <t>CLM-0036</t>
  </si>
  <si>
    <t>FY2022 10-K, Consolidated Statements of Income, lines 1671-1699 | Interest expense | FY2021</t>
  </si>
  <si>
    <t>Historical_IS!B14</t>
  </si>
  <si>
    <t>CLM-0037</t>
  </si>
  <si>
    <t>FY2022 10-K, Consolidated Statements of Income, lines 1671-1699 | Interest expense | FY2022</t>
  </si>
  <si>
    <t>Historical_IS!C14</t>
  </si>
  <si>
    <t>CLM-0038</t>
  </si>
  <si>
    <t>FY2025 10-K, Consolidated Statements of Income, lines 1640-1654 | Interest expense | FY2023</t>
  </si>
  <si>
    <t>Historical_IS!D14</t>
  </si>
  <si>
    <t>CLM-0039</t>
  </si>
  <si>
    <t>FY2025 10-K, Consolidated Statements of Income, lines 1640-1654 | Interest expense | FY2024</t>
  </si>
  <si>
    <t>Historical_IS!E14</t>
  </si>
  <si>
    <t>CLM-0040</t>
  </si>
  <si>
    <t>FY2025 10-K, Consolidated Statements of Income, lines 1640-1654 | Interest expense | FY2025</t>
  </si>
  <si>
    <t>Historical_IS!F14</t>
  </si>
  <si>
    <t>CLM-0041</t>
  </si>
  <si>
    <t>FY2022 10-K, Consolidated Statements of Income, lines 1671-1699 | Other income, net | FY2021</t>
  </si>
  <si>
    <t>Historical_IS!B15</t>
  </si>
  <si>
    <t>CLM-0042</t>
  </si>
  <si>
    <t>FY2022 10-K, Consolidated Statements of Income, lines 1671-1699 | Other income, net | FY2022</t>
  </si>
  <si>
    <t>Historical_IS!C15</t>
  </si>
  <si>
    <t>CLM-0043</t>
  </si>
  <si>
    <t>FY2025 10-K, Consolidated Statements of Income, lines 1640-1654 | Other income, net | FY2023</t>
  </si>
  <si>
    <t>Historical_IS!D15</t>
  </si>
  <si>
    <t>CLM-0044</t>
  </si>
  <si>
    <t>FY2025 10-K, Consolidated Statements of Income, lines 1640-1654 | Other income, net | FY2024</t>
  </si>
  <si>
    <t>Historical_IS!E15</t>
  </si>
  <si>
    <t>CLM-0045</t>
  </si>
  <si>
    <t>FY2025 10-K, Consolidated Statements of Income, lines 1640-1654 | Other income, net | FY2025</t>
  </si>
  <si>
    <t>Historical_IS!F15</t>
  </si>
  <si>
    <t>CLM-0046</t>
  </si>
  <si>
    <t>FY2022 10-K, Consolidated Statements of Income, lines 1671-1699 | Income before taxes | FY2021</t>
  </si>
  <si>
    <t>Historical_IS!B16</t>
  </si>
  <si>
    <t>CLM-0047</t>
  </si>
  <si>
    <t>FY2022 10-K, Consolidated Statements of Income, lines 1671-1699 | Income before taxes | FY2022</t>
  </si>
  <si>
    <t>Historical_IS!C16</t>
  </si>
  <si>
    <t>CLM-0048</t>
  </si>
  <si>
    <t>FY2025 10-K, Consolidated Statements of Income, lines 1640-1654 | Income before taxes | FY2023</t>
  </si>
  <si>
    <t>Historical_IS!D16</t>
  </si>
  <si>
    <t>CLM-0049</t>
  </si>
  <si>
    <t>FY2025 10-K, Consolidated Statements of Income, lines 1640-1654 | Income before taxes | FY2024</t>
  </si>
  <si>
    <t>Historical_IS!E16</t>
  </si>
  <si>
    <t>CLM-0050</t>
  </si>
  <si>
    <t>FY2025 10-K, Consolidated Statements of Income, lines 1640-1654 | Income before taxes | FY2025</t>
  </si>
  <si>
    <t>Historical_IS!F16</t>
  </si>
  <si>
    <t>CLM-0051</t>
  </si>
  <si>
    <t>FY2022 10-K, Consolidated Statements of Income, lines 1671-1699 | Income tax expense | FY2021</t>
  </si>
  <si>
    <t>Historical_IS!B17</t>
  </si>
  <si>
    <t>CLM-0052</t>
  </si>
  <si>
    <t>FY2022 10-K, Consolidated Statements of Income, lines 1671-1699 | Income tax expense | FY2022</t>
  </si>
  <si>
    <t>Historical_IS!C17</t>
  </si>
  <si>
    <t>CLM-0053</t>
  </si>
  <si>
    <t>FY2025 10-K, Consolidated Statements of Income, lines 1640-1654 | Income tax expense | FY2023</t>
  </si>
  <si>
    <t>Historical_IS!D17</t>
  </si>
  <si>
    <t>CLM-0054</t>
  </si>
  <si>
    <t>FY2025 10-K, Consolidated Statements of Income, lines 1640-1654 | Income tax expense | FY2024</t>
  </si>
  <si>
    <t>Historical_IS!E17</t>
  </si>
  <si>
    <t>CLM-0055</t>
  </si>
  <si>
    <t>FY2025 10-K, Consolidated Statements of Income, lines 1640-1654 | Income tax expense | FY2025</t>
  </si>
  <si>
    <t>Historical_IS!F17</t>
  </si>
  <si>
    <t>CLM-0056</t>
  </si>
  <si>
    <t>FY2022 10-K, Consolidated Statements of Income, lines 1671-1699 | Net income including NCI | FY2021</t>
  </si>
  <si>
    <t>Historical_IS!B18</t>
  </si>
  <si>
    <t>CLM-0057</t>
  </si>
  <si>
    <t>FY2022 10-K, Consolidated Statements of Income, lines 1671-1699 | Net income including NCI | FY2022</t>
  </si>
  <si>
    <t>Historical_IS!C18</t>
  </si>
  <si>
    <t>CLM-0058</t>
  </si>
  <si>
    <t>FY2025 10-K, Consolidated Statements of Income, lines 1640-1654 | Net income including NCI | FY2023</t>
  </si>
  <si>
    <t>Historical_IS!D18</t>
  </si>
  <si>
    <t>CLM-0059</t>
  </si>
  <si>
    <t>FY2025 10-K, Consolidated Statements of Income, lines 1640-1654 | Net income including NCI | FY2024</t>
  </si>
  <si>
    <t>Historical_IS!E18</t>
  </si>
  <si>
    <t>CLM-0060</t>
  </si>
  <si>
    <t>FY2025 10-K, Consolidated Statements of Income, lines 1640-1654 | Net income including NCI | FY2025</t>
  </si>
  <si>
    <t>Historical_IS!F18</t>
  </si>
  <si>
    <t>CLM-0061</t>
  </si>
  <si>
    <t>FY2022 10-K, Consolidated Statements of Income, lines 1671-1699 | Net income attributable to NCI | FY2021</t>
  </si>
  <si>
    <t>Historical_IS!B19</t>
  </si>
  <si>
    <t>CLM-0062</t>
  </si>
  <si>
    <t>FY2022 10-K, Consolidated Statements of Income, lines 1671-1699 | Net income attributable to NCI | FY2022</t>
  </si>
  <si>
    <t>Historical_IS!C19</t>
  </si>
  <si>
    <t>CLM-0063</t>
  </si>
  <si>
    <t>FY2025 10-K, Consolidated Statements of Income, lines 1640-1654 | Net income attributable to NCI | FY2023</t>
  </si>
  <si>
    <t>Historical_IS!D19</t>
  </si>
  <si>
    <t>CLM-0064</t>
  </si>
  <si>
    <t>FY2025 10-K, Consolidated Statements of Income, lines 1640-1654 | Net income attributable to NCI | FY2024</t>
  </si>
  <si>
    <t>Historical_IS!E19</t>
  </si>
  <si>
    <t>CLM-0065</t>
  </si>
  <si>
    <t>FY2025 10-K, Consolidated Statements of Income, lines 1640-1654 | Net income attributable to NCI | FY2025</t>
  </si>
  <si>
    <t>Historical_IS!F19</t>
  </si>
  <si>
    <t>CLM-0066</t>
  </si>
  <si>
    <t>FY2022 10-K, Consolidated Statements of Income, lines 1671-1699 | Net income attributable to Tyson | FY2021</t>
  </si>
  <si>
    <t>Historical_IS!B20</t>
  </si>
  <si>
    <t>CLM-0067</t>
  </si>
  <si>
    <t>FY2022 10-K, Consolidated Statements of Income, lines 1671-1699 | Net income attributable to Tyson | FY2022</t>
  </si>
  <si>
    <t>Historical_IS!C20</t>
  </si>
  <si>
    <t>CLM-0068</t>
  </si>
  <si>
    <t>FY2025 10-K, Consolidated Statements of Income, lines 1640-1654 | Net income attributable to Tyson | FY2023</t>
  </si>
  <si>
    <t>Historical_IS!D20</t>
  </si>
  <si>
    <t>CLM-0069</t>
  </si>
  <si>
    <t>FY2025 10-K, Consolidated Statements of Income, lines 1640-1654 | Net income attributable to Tyson | FY2024</t>
  </si>
  <si>
    <t>Historical_IS!E20</t>
  </si>
  <si>
    <t>CLM-0070</t>
  </si>
  <si>
    <t>FY2025 10-K, Consolidated Statements of Income, lines 1640-1654 | Net income attributable to Tyson | FY2025</t>
  </si>
  <si>
    <t>Historical_IS!F20</t>
  </si>
  <si>
    <t>CLM-0071</t>
  </si>
  <si>
    <t>FY2022 10-K, Consolidated Statements of Income, lines 1671-1699 | Diluted EPS | FY2021</t>
  </si>
  <si>
    <t>USD/share</t>
  </si>
  <si>
    <t>Historical_IS!B21</t>
  </si>
  <si>
    <t>CLM-0072</t>
  </si>
  <si>
    <t>FY2022 10-K, Consolidated Statements of Income, lines 1671-1699 | Diluted EPS | FY2022</t>
  </si>
  <si>
    <t>Historical_IS!C21</t>
  </si>
  <si>
    <t>CLM-0073</t>
  </si>
  <si>
    <t>FY2025 10-K, Consolidated Statements of Income, lines 1640-1654 | Diluted EPS | FY2023</t>
  </si>
  <si>
    <t>Historical_IS!D21</t>
  </si>
  <si>
    <t>CLM-0074</t>
  </si>
  <si>
    <t>FY2025 10-K, Consolidated Statements of Income, lines 1640-1654 | Diluted EPS | FY2024</t>
  </si>
  <si>
    <t>Historical_IS!E21</t>
  </si>
  <si>
    <t>CLM-0075</t>
  </si>
  <si>
    <t>FY2025 10-K, Consolidated Statements of Income, lines 1640-1654 | Diluted EPS | FY2025</t>
  </si>
  <si>
    <t>Historical_IS!F21</t>
  </si>
  <si>
    <t>CLM-0076</t>
  </si>
  <si>
    <t>FY2022 10-K, Consolidated Statements of Income, lines 1671-1699 | Diluted weighted-average shares | FY2021</t>
  </si>
  <si>
    <t>Historical_IS!B22</t>
  </si>
  <si>
    <t>CLM-0077</t>
  </si>
  <si>
    <t>FY2022 10-K, Consolidated Statements of Income, lines 1671-1699 | Diluted weighted-average shares | FY2022</t>
  </si>
  <si>
    <t>Historical_IS!C22</t>
  </si>
  <si>
    <t>CLM-0078</t>
  </si>
  <si>
    <t>FY2025 10-K, Consolidated Statements of Income, lines 1640-1654 | Diluted weighted-average shares | FY2023</t>
  </si>
  <si>
    <t>Historical_IS!D22</t>
  </si>
  <si>
    <t>CLM-0079</t>
  </si>
  <si>
    <t>FY2025 10-K, Consolidated Statements of Income, lines 1640-1654 | Diluted weighted-average shares | FY2024</t>
  </si>
  <si>
    <t>Historical_IS!E22</t>
  </si>
  <si>
    <t>CLM-0080</t>
  </si>
  <si>
    <t>FY2025 10-K, Consolidated Statements of Income, lines 1640-1654 | Diluted weighted-average shares | FY2025</t>
  </si>
  <si>
    <t>Historical_IS!F22</t>
  </si>
  <si>
    <t>CLM-0081</t>
  </si>
  <si>
    <t>FY2022 10-K, Consolidated Balance Sheets, lines 1735-1774 | Cash and cash equivalents | FY2021</t>
  </si>
  <si>
    <t>Historical_BS!B7</t>
  </si>
  <si>
    <t>CLM-0082</t>
  </si>
  <si>
    <t>FY2022 10-K, Consolidated Balance Sheets, lines 1735-1774 | Cash and cash equivalents | FY2022</t>
  </si>
  <si>
    <t>Historical_BS!C7</t>
  </si>
  <si>
    <t>CLM-0083</t>
  </si>
  <si>
    <t>S02</t>
  </si>
  <si>
    <t>Tyson Foods FY2023 Form 10-K</t>
  </si>
  <si>
    <t>0000100493-23-000105</t>
  </si>
  <si>
    <t>https://www.sec.gov/Archives/edgar/data/100493/000010049323000105/tsn-20230930.htm</t>
  </si>
  <si>
    <t>FY2023 10-K balance sheet lines 1765-1803 | Cash and cash equivalents | FY2023</t>
  </si>
  <si>
    <t>Historical_BS!D7</t>
  </si>
  <si>
    <t>CLM-0084</t>
  </si>
  <si>
    <t>FY2025 10-K, Consolidated Balance Sheets, lines 1686-1717 | Cash and cash equivalents | FY2024</t>
  </si>
  <si>
    <t>Historical_BS!E7</t>
  </si>
  <si>
    <t>CLM-0085</t>
  </si>
  <si>
    <t>FY2025 10-K, Consolidated Balance Sheets, lines 1686-1717 | Cash and cash equivalents | FY2025</t>
  </si>
  <si>
    <t>Historical_BS!F7</t>
  </si>
  <si>
    <t>CLM-0086</t>
  </si>
  <si>
    <t>FY2022 10-K, Consolidated Balance Sheets, lines 1735-1774 | Accounts receivable | FY2021</t>
  </si>
  <si>
    <t>Historical_BS!B8</t>
  </si>
  <si>
    <t>CLM-0087</t>
  </si>
  <si>
    <t>FY2022 10-K, Consolidated Balance Sheets, lines 1735-1774 | Accounts receivable | FY2022</t>
  </si>
  <si>
    <t>Historical_BS!C8</t>
  </si>
  <si>
    <t>CLM-0088</t>
  </si>
  <si>
    <t>FY2023 10-K balance sheet lines 1765-1803 | Accounts receivable | FY2023</t>
  </si>
  <si>
    <t>Historical_BS!D8</t>
  </si>
  <si>
    <t>CLM-0089</t>
  </si>
  <si>
    <t>FY2025 10-K, Consolidated Balance Sheets, lines 1686-1717 | Accounts receivable | FY2024</t>
  </si>
  <si>
    <t>Historical_BS!E8</t>
  </si>
  <si>
    <t>CLM-0090</t>
  </si>
  <si>
    <t>FY2025 10-K, Consolidated Balance Sheets, lines 1686-1717 | Accounts receivable | FY2025</t>
  </si>
  <si>
    <t>Historical_BS!F8</t>
  </si>
  <si>
    <t>CLM-0091</t>
  </si>
  <si>
    <t>FY2022 10-K, Consolidated Balance Sheets, lines 1735-1774 | Inventories | FY2021</t>
  </si>
  <si>
    <t>Historical_BS!B9</t>
  </si>
  <si>
    <t>CLM-0092</t>
  </si>
  <si>
    <t>FY2022 10-K, Consolidated Balance Sheets, lines 1735-1774 | Inventories | FY2022</t>
  </si>
  <si>
    <t>Historical_BS!C9</t>
  </si>
  <si>
    <t>CLM-0093</t>
  </si>
  <si>
    <t>FY2023 10-K balance sheet lines 1765-1803 | Inventories | FY2023</t>
  </si>
  <si>
    <t>Historical_BS!D9</t>
  </si>
  <si>
    <t>CLM-0094</t>
  </si>
  <si>
    <t>FY2025 10-K, Consolidated Balance Sheets, lines 1686-1717 | Inventories | FY2024</t>
  </si>
  <si>
    <t>Historical_BS!E9</t>
  </si>
  <si>
    <t>CLM-0095</t>
  </si>
  <si>
    <t>FY2025 10-K, Consolidated Balance Sheets, lines 1686-1717 | Inventories | FY2025</t>
  </si>
  <si>
    <t>Historical_BS!F9</t>
  </si>
  <si>
    <t>CLM-0096</t>
  </si>
  <si>
    <t>FY2022 10-K, Consolidated Balance Sheets, lines 1735-1774 | Other current assets | FY2021</t>
  </si>
  <si>
    <t>Historical_BS!B10</t>
  </si>
  <si>
    <t>CLM-0097</t>
  </si>
  <si>
    <t>FY2022 10-K, Consolidated Balance Sheets, lines 1735-1774 | Other current assets | FY2022</t>
  </si>
  <si>
    <t>Historical_BS!C10</t>
  </si>
  <si>
    <t>CLM-0098</t>
  </si>
  <si>
    <t>FY2023 10-K balance sheet lines 1765-1803 | Other current assets | FY2023</t>
  </si>
  <si>
    <t>Historical_BS!D10</t>
  </si>
  <si>
    <t>CLM-0099</t>
  </si>
  <si>
    <t>FY2025 10-K, Consolidated Balance Sheets, lines 1686-1717 | Other current assets | FY2024</t>
  </si>
  <si>
    <t>Historical_BS!E10</t>
  </si>
  <si>
    <t>CLM-0100</t>
  </si>
  <si>
    <t>FY2025 10-K, Consolidated Balance Sheets, lines 1686-1717 | Other current assets | FY2025</t>
  </si>
  <si>
    <t>Historical_BS!F10</t>
  </si>
  <si>
    <t>CLM-0101</t>
  </si>
  <si>
    <t>FY2022 10-K, Consolidated Balance Sheets, lines 1735-1774 | Total current assets | FY2021</t>
  </si>
  <si>
    <t>Historical_BS!B11</t>
  </si>
  <si>
    <t>CLM-0102</t>
  </si>
  <si>
    <t>FY2022 10-K, Consolidated Balance Sheets, lines 1735-1774 | Total current assets | FY2022</t>
  </si>
  <si>
    <t>Historical_BS!C11</t>
  </si>
  <si>
    <t>CLM-0103</t>
  </si>
  <si>
    <t>FY2023 10-K balance sheet lines 1765-1803 | Total current assets | FY2023</t>
  </si>
  <si>
    <t>Historical_BS!D11</t>
  </si>
  <si>
    <t>CLM-0104</t>
  </si>
  <si>
    <t>FY2025 10-K, Consolidated Balance Sheets, lines 1686-1717 | Total current assets | FY2024</t>
  </si>
  <si>
    <t>Historical_BS!E11</t>
  </si>
  <si>
    <t>CLM-0105</t>
  </si>
  <si>
    <t>FY2025 10-K, Consolidated Balance Sheets, lines 1686-1717 | Total current assets | FY2025</t>
  </si>
  <si>
    <t>Historical_BS!F11</t>
  </si>
  <si>
    <t>CLM-0106</t>
  </si>
  <si>
    <t>FY2022 10-K, Consolidated Balance Sheets, lines 1735-1774 | Net PP&amp;E | FY2021</t>
  </si>
  <si>
    <t>Historical_BS!B12</t>
  </si>
  <si>
    <t>CLM-0107</t>
  </si>
  <si>
    <t>FY2022 10-K, Consolidated Balance Sheets, lines 1735-1774 | Net PP&amp;E | FY2022</t>
  </si>
  <si>
    <t>Historical_BS!C12</t>
  </si>
  <si>
    <t>CLM-0108</t>
  </si>
  <si>
    <t>FY2023 10-K balance sheet lines 1765-1803 | Net PP&amp;E | FY2023</t>
  </si>
  <si>
    <t>Historical_BS!D12</t>
  </si>
  <si>
    <t>CLM-0109</t>
  </si>
  <si>
    <t>FY2025 10-K, Consolidated Balance Sheets, lines 1686-1717 | Net PP&amp;E | FY2024</t>
  </si>
  <si>
    <t>Historical_BS!E12</t>
  </si>
  <si>
    <t>CLM-0110</t>
  </si>
  <si>
    <t>FY2025 10-K, Consolidated Balance Sheets, lines 1686-1717 | Net PP&amp;E | FY2025</t>
  </si>
  <si>
    <t>Historical_BS!F12</t>
  </si>
  <si>
    <t>CLM-0111</t>
  </si>
  <si>
    <t>FY2022 10-K, Consolidated Balance Sheets, lines 1735-1774 | Goodwill | FY2021</t>
  </si>
  <si>
    <t>Historical_BS!B13</t>
  </si>
  <si>
    <t>CLM-0112</t>
  </si>
  <si>
    <t>FY2022 10-K, Consolidated Balance Sheets, lines 1735-1774 | Goodwill | FY2022</t>
  </si>
  <si>
    <t>Historical_BS!C13</t>
  </si>
  <si>
    <t>CLM-0113</t>
  </si>
  <si>
    <t>FY2023 10-K balance sheet lines 1765-1803 | Goodwill | FY2023</t>
  </si>
  <si>
    <t>Historical_BS!D13</t>
  </si>
  <si>
    <t>CLM-0114</t>
  </si>
  <si>
    <t>FY2025 10-K, Consolidated Balance Sheets, lines 1686-1717 | Goodwill | FY2024</t>
  </si>
  <si>
    <t>Historical_BS!E13</t>
  </si>
  <si>
    <t>CLM-0115</t>
  </si>
  <si>
    <t>FY2025 10-K, Consolidated Balance Sheets, lines 1686-1717 | Goodwill | FY2025</t>
  </si>
  <si>
    <t>Historical_BS!F13</t>
  </si>
  <si>
    <t>CLM-0116</t>
  </si>
  <si>
    <t>FY2022 10-K, Consolidated Balance Sheets, lines 1735-1774 | Intangible assets | FY2021</t>
  </si>
  <si>
    <t>Historical_BS!B14</t>
  </si>
  <si>
    <t>CLM-0117</t>
  </si>
  <si>
    <t>FY2022 10-K, Consolidated Balance Sheets, lines 1735-1774 | Intangible assets | FY2022</t>
  </si>
  <si>
    <t>Historical_BS!C14</t>
  </si>
  <si>
    <t>CLM-0118</t>
  </si>
  <si>
    <t>FY2023 10-K balance sheet lines 1765-1803 | Intangible assets | FY2023</t>
  </si>
  <si>
    <t>Historical_BS!D14</t>
  </si>
  <si>
    <t>CLM-0119</t>
  </si>
  <si>
    <t>FY2025 10-K, Consolidated Balance Sheets, lines 1686-1717 | Intangible assets | FY2024</t>
  </si>
  <si>
    <t>Historical_BS!E14</t>
  </si>
  <si>
    <t>CLM-0120</t>
  </si>
  <si>
    <t>FY2025 10-K, Consolidated Balance Sheets, lines 1686-1717 | Intangible assets | FY2025</t>
  </si>
  <si>
    <t>Historical_BS!F14</t>
  </si>
  <si>
    <t>CLM-0121</t>
  </si>
  <si>
    <t>FY2022 10-K, Consolidated Balance Sheets, lines 1735-1774 | Other assets | FY2021</t>
  </si>
  <si>
    <t>Historical_BS!B15</t>
  </si>
  <si>
    <t>CLM-0122</t>
  </si>
  <si>
    <t>FY2022 10-K, Consolidated Balance Sheets, lines 1735-1774 | Other assets | FY2022</t>
  </si>
  <si>
    <t>Historical_BS!C15</t>
  </si>
  <si>
    <t>CLM-0123</t>
  </si>
  <si>
    <t>FY2023 10-K balance sheet lines 1765-1803 | Other assets | FY2023</t>
  </si>
  <si>
    <t>Historical_BS!D15</t>
  </si>
  <si>
    <t>CLM-0124</t>
  </si>
  <si>
    <t>FY2025 10-K, Consolidated Balance Sheets, lines 1686-1717 | Other assets | FY2024</t>
  </si>
  <si>
    <t>Historical_BS!E15</t>
  </si>
  <si>
    <t>CLM-0125</t>
  </si>
  <si>
    <t>FY2025 10-K, Consolidated Balance Sheets, lines 1686-1717 | Other assets | FY2025</t>
  </si>
  <si>
    <t>Historical_BS!F15</t>
  </si>
  <si>
    <t>CLM-0126</t>
  </si>
  <si>
    <t>FY2022 10-K, Consolidated Balance Sheets, lines 1735-1774 | Total assets | FY2021</t>
  </si>
  <si>
    <t>Historical_BS!B16</t>
  </si>
  <si>
    <t>CLM-0127</t>
  </si>
  <si>
    <t>FY2022 10-K, Consolidated Balance Sheets, lines 1735-1774 | Total assets | FY2022</t>
  </si>
  <si>
    <t>Historical_BS!C16</t>
  </si>
  <si>
    <t>CLM-0128</t>
  </si>
  <si>
    <t>FY2023 10-K balance sheet lines 1765-1803 | Total assets | FY2023</t>
  </si>
  <si>
    <t>Historical_BS!D16</t>
  </si>
  <si>
    <t>CLM-0129</t>
  </si>
  <si>
    <t>FY2025 10-K, Consolidated Balance Sheets, lines 1686-1717 | Total assets | FY2024</t>
  </si>
  <si>
    <t>Historical_BS!E16</t>
  </si>
  <si>
    <t>CLM-0130</t>
  </si>
  <si>
    <t>FY2025 10-K, Consolidated Balance Sheets, lines 1686-1717 | Total assets | FY2025</t>
  </si>
  <si>
    <t>Historical_BS!F16</t>
  </si>
  <si>
    <t>CLM-0131</t>
  </si>
  <si>
    <t>FY2022 10-K, Consolidated Balance Sheets, lines 1735-1774 | Current debt | FY2021</t>
  </si>
  <si>
    <t>Historical_BS!B19</t>
  </si>
  <si>
    <t>CLM-0132</t>
  </si>
  <si>
    <t>FY2022 10-K, Consolidated Balance Sheets, lines 1735-1774 | Current debt | FY2022</t>
  </si>
  <si>
    <t>Historical_BS!C19</t>
  </si>
  <si>
    <t>CLM-0133</t>
  </si>
  <si>
    <t>FY2023 10-K balance sheet lines 1765-1803 | Current debt | FY2023</t>
  </si>
  <si>
    <t>Historical_BS!D19</t>
  </si>
  <si>
    <t>CLM-0134</t>
  </si>
  <si>
    <t>FY2025 10-K, Consolidated Balance Sheets, lines 1686-1717 | Current debt | FY2024</t>
  </si>
  <si>
    <t>Historical_BS!E19</t>
  </si>
  <si>
    <t>CLM-0135</t>
  </si>
  <si>
    <t>FY2025 10-K, Consolidated Balance Sheets, lines 1686-1717 | Current debt | FY2025</t>
  </si>
  <si>
    <t>Historical_BS!F19</t>
  </si>
  <si>
    <t>CLM-0136</t>
  </si>
  <si>
    <t>FY2022 10-K, Consolidated Balance Sheets, lines 1735-1774 | Accounts payable | FY2021</t>
  </si>
  <si>
    <t>Historical_BS!B20</t>
  </si>
  <si>
    <t>CLM-0137</t>
  </si>
  <si>
    <t>FY2022 10-K, Consolidated Balance Sheets, lines 1735-1774 | Accounts payable | FY2022</t>
  </si>
  <si>
    <t>Historical_BS!C20</t>
  </si>
  <si>
    <t>CLM-0138</t>
  </si>
  <si>
    <t>FY2023 10-K balance sheet lines 1765-1803 | Accounts payable | FY2023</t>
  </si>
  <si>
    <t>Historical_BS!D20</t>
  </si>
  <si>
    <t>CLM-0139</t>
  </si>
  <si>
    <t>FY2025 10-K, Consolidated Balance Sheets, lines 1686-1717 | Accounts payable | FY2024</t>
  </si>
  <si>
    <t>Historical_BS!E20</t>
  </si>
  <si>
    <t>CLM-0140</t>
  </si>
  <si>
    <t>FY2025 10-K, Consolidated Balance Sheets, lines 1686-1717 | Accounts payable | FY2025</t>
  </si>
  <si>
    <t>Historical_BS!F20</t>
  </si>
  <si>
    <t>CLM-0141</t>
  </si>
  <si>
    <t>FY2022 10-K, Consolidated Balance Sheets, lines 1735-1774 | Other current liabilities | FY2021</t>
  </si>
  <si>
    <t>Historical_BS!B21</t>
  </si>
  <si>
    <t>CLM-0142</t>
  </si>
  <si>
    <t>FY2022 10-K, Consolidated Balance Sheets, lines 1735-1774 | Other current liabilities | FY2022</t>
  </si>
  <si>
    <t>Historical_BS!C21</t>
  </si>
  <si>
    <t>CLM-0143</t>
  </si>
  <si>
    <t>FY2023 10-K balance sheet lines 1765-1803 | Other current liabilities | FY2023</t>
  </si>
  <si>
    <t>Historical_BS!D21</t>
  </si>
  <si>
    <t>CLM-0144</t>
  </si>
  <si>
    <t>FY2025 10-K, Consolidated Balance Sheets, lines 1686-1717 | Other current liabilities | FY2024</t>
  </si>
  <si>
    <t>Historical_BS!E21</t>
  </si>
  <si>
    <t>CLM-0145</t>
  </si>
  <si>
    <t>FY2025 10-K, Consolidated Balance Sheets, lines 1686-1717 | Other current liabilities | FY2025</t>
  </si>
  <si>
    <t>Historical_BS!F21</t>
  </si>
  <si>
    <t>CLM-0146</t>
  </si>
  <si>
    <t>FY2022 10-K, Consolidated Balance Sheets, lines 1735-1774 | Total current liabilities | FY2021</t>
  </si>
  <si>
    <t>Historical_BS!B22</t>
  </si>
  <si>
    <t>CLM-0147</t>
  </si>
  <si>
    <t>FY2022 10-K, Consolidated Balance Sheets, lines 1735-1774 | Total current liabilities | FY2022</t>
  </si>
  <si>
    <t>Historical_BS!C22</t>
  </si>
  <si>
    <t>CLM-0148</t>
  </si>
  <si>
    <t>FY2023 10-K balance sheet lines 1765-1803 | Total current liabilities | FY2023</t>
  </si>
  <si>
    <t>Historical_BS!D22</t>
  </si>
  <si>
    <t>CLM-0149</t>
  </si>
  <si>
    <t>FY2025 10-K, Consolidated Balance Sheets, lines 1686-1717 | Total current liabilities | FY2024</t>
  </si>
  <si>
    <t>Historical_BS!E22</t>
  </si>
  <si>
    <t>CLM-0150</t>
  </si>
  <si>
    <t>FY2025 10-K, Consolidated Balance Sheets, lines 1686-1717 | Total current liabilities | FY2025</t>
  </si>
  <si>
    <t>Historical_BS!F22</t>
  </si>
  <si>
    <t>CLM-0151</t>
  </si>
  <si>
    <t>FY2022 10-K, Consolidated Balance Sheets, lines 1735-1774 | Long-term debt | FY2021</t>
  </si>
  <si>
    <t>Historical_BS!B23</t>
  </si>
  <si>
    <t>CLM-0152</t>
  </si>
  <si>
    <t>FY2022 10-K, Consolidated Balance Sheets, lines 1735-1774 | Long-term debt | FY2022</t>
  </si>
  <si>
    <t>Historical_BS!C23</t>
  </si>
  <si>
    <t>CLM-0153</t>
  </si>
  <si>
    <t>FY2023 10-K balance sheet lines 1765-1803 | Long-term debt | FY2023</t>
  </si>
  <si>
    <t>Historical_BS!D23</t>
  </si>
  <si>
    <t>CLM-0154</t>
  </si>
  <si>
    <t>FY2025 10-K, Consolidated Balance Sheets, lines 1686-1717 | Long-term debt | FY2024</t>
  </si>
  <si>
    <t>Historical_BS!E23</t>
  </si>
  <si>
    <t>CLM-0155</t>
  </si>
  <si>
    <t>FY2025 10-K, Consolidated Balance Sheets, lines 1686-1717 | Long-term debt | FY2025</t>
  </si>
  <si>
    <t>Historical_BS!F23</t>
  </si>
  <si>
    <t>CLM-0156</t>
  </si>
  <si>
    <t>FY2022 10-K, Consolidated Balance Sheets, lines 1735-1774 | Deferred income taxes | FY2021</t>
  </si>
  <si>
    <t>Historical_BS!B24</t>
  </si>
  <si>
    <t>CLM-0157</t>
  </si>
  <si>
    <t>FY2022 10-K, Consolidated Balance Sheets, lines 1735-1774 | Deferred income taxes | FY2022</t>
  </si>
  <si>
    <t>Historical_BS!C24</t>
  </si>
  <si>
    <t>CLM-0158</t>
  </si>
  <si>
    <t>FY2023 10-K balance sheet lines 1765-1803 | Deferred income taxes | FY2023</t>
  </si>
  <si>
    <t>Historical_BS!D24</t>
  </si>
  <si>
    <t>CLM-0159</t>
  </si>
  <si>
    <t>FY2025 10-K, Consolidated Balance Sheets, lines 1686-1717 | Deferred income taxes | FY2024</t>
  </si>
  <si>
    <t>Historical_BS!E24</t>
  </si>
  <si>
    <t>CLM-0160</t>
  </si>
  <si>
    <t>FY2025 10-K, Consolidated Balance Sheets, lines 1686-1717 | Deferred income taxes | FY2025</t>
  </si>
  <si>
    <t>Historical_BS!F24</t>
  </si>
  <si>
    <t>CLM-0161</t>
  </si>
  <si>
    <t>FY2022 10-K, Consolidated Balance Sheets, lines 1735-1774 | Other liabilities | FY2021</t>
  </si>
  <si>
    <t>Historical_BS!B25</t>
  </si>
  <si>
    <t>CLM-0162</t>
  </si>
  <si>
    <t>FY2022 10-K, Consolidated Balance Sheets, lines 1735-1774 | Other liabilities | FY2022</t>
  </si>
  <si>
    <t>Historical_BS!C25</t>
  </si>
  <si>
    <t>CLM-0163</t>
  </si>
  <si>
    <t>FY2023 10-K balance sheet lines 1765-1803 | Other liabilities | FY2023</t>
  </si>
  <si>
    <t>Historical_BS!D25</t>
  </si>
  <si>
    <t>CLM-0164</t>
  </si>
  <si>
    <t>FY2025 10-K, Consolidated Balance Sheets, lines 1686-1717 | Other liabilities | FY2024</t>
  </si>
  <si>
    <t>Historical_BS!E25</t>
  </si>
  <si>
    <t>CLM-0165</t>
  </si>
  <si>
    <t>FY2025 10-K, Consolidated Balance Sheets, lines 1686-1717 | Other liabilities | FY2025</t>
  </si>
  <si>
    <t>Historical_BS!F25</t>
  </si>
  <si>
    <t>CLM-0166</t>
  </si>
  <si>
    <t>FY2022 10-K, Consolidated Balance Sheets, lines 1735-1774 | Total liabilities | FY2021</t>
  </si>
  <si>
    <t>Historical_BS!B26</t>
  </si>
  <si>
    <t>CLM-0167</t>
  </si>
  <si>
    <t>FY2022 10-K, Consolidated Balance Sheets, lines 1735-1774 | Total liabilities | FY2022</t>
  </si>
  <si>
    <t>Historical_BS!C26</t>
  </si>
  <si>
    <t>CLM-0168</t>
  </si>
  <si>
    <t>FY2023 10-K balance sheet lines 1765-1803 | Total liabilities | FY2023</t>
  </si>
  <si>
    <t>Historical_BS!D26</t>
  </si>
  <si>
    <t>CLM-0169</t>
  </si>
  <si>
    <t>FY2025 10-K, Consolidated Balance Sheets, lines 1686-1717 | Total liabilities | FY2024</t>
  </si>
  <si>
    <t>Historical_BS!E26</t>
  </si>
  <si>
    <t>CLM-0170</t>
  </si>
  <si>
    <t>FY2025 10-K, Consolidated Balance Sheets, lines 1686-1717 | Total liabilities | FY2025</t>
  </si>
  <si>
    <t>Historical_BS!F26</t>
  </si>
  <si>
    <t>CLM-0171</t>
  </si>
  <si>
    <t>FY2022 10-K, Consolidated Balance Sheets, lines 1735-1774 | Equity attributable to Tyson | FY2021</t>
  </si>
  <si>
    <t>Historical_BS!B27</t>
  </si>
  <si>
    <t>CLM-0172</t>
  </si>
  <si>
    <t>FY2022 10-K, Consolidated Balance Sheets, lines 1735-1774 | Equity attributable to Tyson | FY2022</t>
  </si>
  <si>
    <t>Historical_BS!C27</t>
  </si>
  <si>
    <t>CLM-0173</t>
  </si>
  <si>
    <t>FY2023 10-K balance sheet lines 1765-1803 | Equity attributable to Tyson | FY2023</t>
  </si>
  <si>
    <t>Historical_BS!D27</t>
  </si>
  <si>
    <t>CLM-0174</t>
  </si>
  <si>
    <t>FY2025 10-K, Consolidated Balance Sheets, lines 1686-1717 | Equity attributable to Tyson | FY2024</t>
  </si>
  <si>
    <t>Historical_BS!E27</t>
  </si>
  <si>
    <t>CLM-0175</t>
  </si>
  <si>
    <t>FY2025 10-K, Consolidated Balance Sheets, lines 1686-1717 | Equity attributable to Tyson | FY2025</t>
  </si>
  <si>
    <t>Historical_BS!F27</t>
  </si>
  <si>
    <t>CLM-0176</t>
  </si>
  <si>
    <t>FY2022 10-K, Consolidated Balance Sheets, lines 1735-1774 | Equity attributable to NCI | FY2021</t>
  </si>
  <si>
    <t>Historical_BS!B28</t>
  </si>
  <si>
    <t>CLM-0177</t>
  </si>
  <si>
    <t>FY2022 10-K, Consolidated Balance Sheets, lines 1735-1774 | Equity attributable to NCI | FY2022</t>
  </si>
  <si>
    <t>Historical_BS!C28</t>
  </si>
  <si>
    <t>CLM-0178</t>
  </si>
  <si>
    <t>FY2023 10-K balance sheet lines 1765-1803 | Equity attributable to NCI | FY2023</t>
  </si>
  <si>
    <t>Historical_BS!D28</t>
  </si>
  <si>
    <t>CLM-0179</t>
  </si>
  <si>
    <t>FY2025 10-K, Consolidated Balance Sheets, lines 1686-1717 | Equity attributable to NCI | FY2024</t>
  </si>
  <si>
    <t>Historical_BS!E28</t>
  </si>
  <si>
    <t>CLM-0180</t>
  </si>
  <si>
    <t>FY2025 10-K, Consolidated Balance Sheets, lines 1686-1717 | Equity attributable to NCI | FY2025</t>
  </si>
  <si>
    <t>Historical_BS!F28</t>
  </si>
  <si>
    <t>CLM-0181</t>
  </si>
  <si>
    <t>FY2022 10-K, Consolidated Balance Sheets, lines 1735-1774 | Total shareholders' equity | FY2021</t>
  </si>
  <si>
    <t>Historical_BS!B29</t>
  </si>
  <si>
    <t>CLM-0182</t>
  </si>
  <si>
    <t>FY2022 10-K, Consolidated Balance Sheets, lines 1735-1774 | Total shareholders' equity | FY2022</t>
  </si>
  <si>
    <t>Historical_BS!C29</t>
  </si>
  <si>
    <t>CLM-0183</t>
  </si>
  <si>
    <t>FY2023 10-K balance sheet lines 1765-1803 | Total shareholders' equity | FY2023</t>
  </si>
  <si>
    <t>Historical_BS!D29</t>
  </si>
  <si>
    <t>CLM-0184</t>
  </si>
  <si>
    <t>FY2025 10-K, Consolidated Balance Sheets, lines 1686-1717 | Total shareholders' equity | FY2024</t>
  </si>
  <si>
    <t>Historical_BS!E29</t>
  </si>
  <si>
    <t>CLM-0185</t>
  </si>
  <si>
    <t>FY2025 10-K, Consolidated Balance Sheets, lines 1686-1717 | Total shareholders' equity | FY2025</t>
  </si>
  <si>
    <t>Historical_BS!F29</t>
  </si>
  <si>
    <t>CLM-0186</t>
  </si>
  <si>
    <t>DERIVED</t>
  </si>
  <si>
    <t>Workbook formula</t>
  </si>
  <si>
    <t>N/A - workbook formula</t>
  </si>
  <si>
    <t>Derived from adjacent sourced statement rows</t>
  </si>
  <si>
    <t>Formula: =B26+B29</t>
  </si>
  <si>
    <t>Historical_BS!B30</t>
  </si>
  <si>
    <t>Derived | Derived formula</t>
  </si>
  <si>
    <t>FORMULA</t>
  </si>
  <si>
    <t>CLM-0187</t>
  </si>
  <si>
    <t>Formula: =C26+C29</t>
  </si>
  <si>
    <t>Historical_BS!C30</t>
  </si>
  <si>
    <t>CLM-0188</t>
  </si>
  <si>
    <t>Formula: =D26+D29</t>
  </si>
  <si>
    <t>Historical_BS!D30</t>
  </si>
  <si>
    <t>CLM-0189</t>
  </si>
  <si>
    <t>Formula: =E26+E29</t>
  </si>
  <si>
    <t>Historical_BS!E30</t>
  </si>
  <si>
    <t>CLM-0190</t>
  </si>
  <si>
    <t>Formula: =F26+F29</t>
  </si>
  <si>
    <t>Historical_BS!F30</t>
  </si>
  <si>
    <t>CLM-0191</t>
  </si>
  <si>
    <t>FY2022 10-K, Consolidated Statements of Cash Flows, lines 1835-1878 | Net income | FY2021</t>
  </si>
  <si>
    <t>Historical_CF!B7</t>
  </si>
  <si>
    <t>CLM-0192</t>
  </si>
  <si>
    <t>FY2022 10-K, Consolidated Statements of Cash Flows, lines 1835-1878 | Net income | FY2022</t>
  </si>
  <si>
    <t>Historical_CF!C7</t>
  </si>
  <si>
    <t>CLM-0193</t>
  </si>
  <si>
    <t>FY2025 10-K, Consolidated Statements of Cash Flows, lines 1773-1817 | Net income | FY2023</t>
  </si>
  <si>
    <t>Historical_CF!D7</t>
  </si>
  <si>
    <t>CLM-0194</t>
  </si>
  <si>
    <t>FY2025 10-K, Consolidated Statements of Cash Flows, lines 1773-1817 | Net income | FY2024</t>
  </si>
  <si>
    <t>Historical_CF!E7</t>
  </si>
  <si>
    <t>CLM-0195</t>
  </si>
  <si>
    <t>FY2025 10-K, Consolidated Statements of Cash Flows, lines 1773-1817 | Net income | FY2025</t>
  </si>
  <si>
    <t>Historical_CF!F7</t>
  </si>
  <si>
    <t>CLM-0196</t>
  </si>
  <si>
    <t>FY2022 10-K, Consolidated Statements of Cash Flows, lines 1835-1878 | Depreciation | FY2021</t>
  </si>
  <si>
    <t>Historical_CF!B8</t>
  </si>
  <si>
    <t>CLM-0197</t>
  </si>
  <si>
    <t>FY2022 10-K, Consolidated Statements of Cash Flows, lines 1835-1878 | Depreciation | FY2022</t>
  </si>
  <si>
    <t>Historical_CF!C8</t>
  </si>
  <si>
    <t>CLM-0198</t>
  </si>
  <si>
    <t>FY2025 10-K, Consolidated Statements of Cash Flows, lines 1773-1817 | Depreciation | FY2023</t>
  </si>
  <si>
    <t>Historical_CF!D8</t>
  </si>
  <si>
    <t>CLM-0199</t>
  </si>
  <si>
    <t>FY2025 10-K, Consolidated Statements of Cash Flows, lines 1773-1817 | Depreciation | FY2024</t>
  </si>
  <si>
    <t>Historical_CF!E8</t>
  </si>
  <si>
    <t>CLM-0200</t>
  </si>
  <si>
    <t>FY2025 10-K, Consolidated Statements of Cash Flows, lines 1773-1817 | Depreciation | FY2025</t>
  </si>
  <si>
    <t>Historical_CF!F8</t>
  </si>
  <si>
    <t>CLM-0201</t>
  </si>
  <si>
    <t>FY2022 10-K, Consolidated Statements of Cash Flows, lines 1835-1878 | Amortization | FY2021</t>
  </si>
  <si>
    <t>Historical_CF!B9</t>
  </si>
  <si>
    <t>CLM-0202</t>
  </si>
  <si>
    <t>FY2022 10-K, Consolidated Statements of Cash Flows, lines 1835-1878 | Amortization | FY2022</t>
  </si>
  <si>
    <t>Historical_CF!C9</t>
  </si>
  <si>
    <t>CLM-0203</t>
  </si>
  <si>
    <t>FY2025 10-K, Consolidated Statements of Cash Flows, lines 1773-1817 | Amortization | FY2023</t>
  </si>
  <si>
    <t>Historical_CF!D9</t>
  </si>
  <si>
    <t>CLM-0204</t>
  </si>
  <si>
    <t>FY2025 10-K, Consolidated Statements of Cash Flows, lines 1773-1817 | Amortization | FY2024</t>
  </si>
  <si>
    <t>Historical_CF!E9</t>
  </si>
  <si>
    <t>CLM-0205</t>
  </si>
  <si>
    <t>FY2025 10-K, Consolidated Statements of Cash Flows, lines 1773-1817 | Amortization | FY2025</t>
  </si>
  <si>
    <t>Historical_CF!F9</t>
  </si>
  <si>
    <t>CLM-0206</t>
  </si>
  <si>
    <t>FY2022 10-K, Consolidated Statements of Cash Flows, lines 1835-1878 | Deferred income taxes | FY2021</t>
  </si>
  <si>
    <t>Historical_CF!B10</t>
  </si>
  <si>
    <t>CLM-0207</t>
  </si>
  <si>
    <t>FY2022 10-K, Consolidated Statements of Cash Flows, lines 1835-1878 | Deferred income taxes | FY2022</t>
  </si>
  <si>
    <t>Historical_CF!C10</t>
  </si>
  <si>
    <t>CLM-0208</t>
  </si>
  <si>
    <t>FY2025 10-K, Consolidated Statements of Cash Flows, lines 1773-1817 | Deferred income taxes | FY2023</t>
  </si>
  <si>
    <t>Historical_CF!D10</t>
  </si>
  <si>
    <t>CLM-0209</t>
  </si>
  <si>
    <t>FY2025 10-K, Consolidated Statements of Cash Flows, lines 1773-1817 | Deferred income taxes | FY2024</t>
  </si>
  <si>
    <t>Historical_CF!E10</t>
  </si>
  <si>
    <t>CLM-0210</t>
  </si>
  <si>
    <t>FY2025 10-K, Consolidated Statements of Cash Flows, lines 1773-1817 | Deferred income taxes | FY2025</t>
  </si>
  <si>
    <t>Historical_CF!F10</t>
  </si>
  <si>
    <t>CLM-0211</t>
  </si>
  <si>
    <t>FY2022 10-K, Consolidated Statements of Cash Flows, lines 1835-1878 | Impairments and disposals | FY2021</t>
  </si>
  <si>
    <t>Historical_CF!B11</t>
  </si>
  <si>
    <t>Sum of reported goodwill impairment and other impairment/disposal adjustments</t>
  </si>
  <si>
    <t>Audited filing | Primary-derived</t>
  </si>
  <si>
    <t>CLM-0212</t>
  </si>
  <si>
    <t>FY2022 10-K, Consolidated Statements of Cash Flows, lines 1835-1878 | Impairments and disposals | FY2022</t>
  </si>
  <si>
    <t>Historical_CF!C11</t>
  </si>
  <si>
    <t>CLM-0213</t>
  </si>
  <si>
    <t>FY2025 10-K, Consolidated Statements of Cash Flows, lines 1773-1817 | Impairments and disposals | FY2023</t>
  </si>
  <si>
    <t>Historical_CF!D11</t>
  </si>
  <si>
    <t>CLM-0214</t>
  </si>
  <si>
    <t>FY2025 10-K, Consolidated Statements of Cash Flows, lines 1773-1817 | Impairments and disposals | FY2024</t>
  </si>
  <si>
    <t>Historical_CF!E11</t>
  </si>
  <si>
    <t>CLM-0215</t>
  </si>
  <si>
    <t>FY2025 10-K, Consolidated Statements of Cash Flows, lines 1773-1817 | Impairments and disposals | FY2025</t>
  </si>
  <si>
    <t>Historical_CF!F11</t>
  </si>
  <si>
    <t>CLM-0216</t>
  </si>
  <si>
    <t>FY2022 10-K, Consolidated Statements of Cash Flows, lines 1835-1878 | Stock-based compensation | FY2021</t>
  </si>
  <si>
    <t>Historical_CF!B12</t>
  </si>
  <si>
    <t>CLM-0217</t>
  </si>
  <si>
    <t>FY2022 10-K, Consolidated Statements of Cash Flows, lines 1835-1878 | Stock-based compensation | FY2022</t>
  </si>
  <si>
    <t>Historical_CF!C12</t>
  </si>
  <si>
    <t>CLM-0218</t>
  </si>
  <si>
    <t>FY2025 10-K, Consolidated Statements of Cash Flows, lines 1773-1817 | Stock-based compensation | FY2023</t>
  </si>
  <si>
    <t>Historical_CF!D12</t>
  </si>
  <si>
    <t>CLM-0219</t>
  </si>
  <si>
    <t>FY2025 10-K, Consolidated Statements of Cash Flows, lines 1773-1817 | Stock-based compensation | FY2024</t>
  </si>
  <si>
    <t>Historical_CF!E12</t>
  </si>
  <si>
    <t>CLM-0220</t>
  </si>
  <si>
    <t>FY2025 10-K, Consolidated Statements of Cash Flows, lines 1773-1817 | Stock-based compensation | FY2025</t>
  </si>
  <si>
    <t>Historical_CF!F12</t>
  </si>
  <si>
    <t>CLM-0221</t>
  </si>
  <si>
    <t>Formula: =B14-SUM(B7:B12)</t>
  </si>
  <si>
    <t>Historical_CF!B13</t>
  </si>
  <si>
    <t>CLM-0222</t>
  </si>
  <si>
    <t>Formula: =C14-SUM(C7:C12)</t>
  </si>
  <si>
    <t>Historical_CF!C13</t>
  </si>
  <si>
    <t>CLM-0223</t>
  </si>
  <si>
    <t>Formula: =D14-SUM(D7:D12)</t>
  </si>
  <si>
    <t>Historical_CF!D13</t>
  </si>
  <si>
    <t>CLM-0224</t>
  </si>
  <si>
    <t>Formula: =E14-SUM(E7:E12)</t>
  </si>
  <si>
    <t>Historical_CF!E13</t>
  </si>
  <si>
    <t>CLM-0225</t>
  </si>
  <si>
    <t>Formula: =F14-SUM(F7:F12)</t>
  </si>
  <si>
    <t>Historical_CF!F13</t>
  </si>
  <si>
    <t>CLM-0226</t>
  </si>
  <si>
    <t>FY2022 10-K, Consolidated Statements of Cash Flows, lines 1835-1878 | Cash provided by operating activities | FY2021</t>
  </si>
  <si>
    <t>Historical_CF!B14</t>
  </si>
  <si>
    <t>CLM-0227</t>
  </si>
  <si>
    <t>FY2022 10-K, Consolidated Statements of Cash Flows, lines 1835-1878 | Cash provided by operating activities | FY2022</t>
  </si>
  <si>
    <t>Historical_CF!C14</t>
  </si>
  <si>
    <t>CLM-0228</t>
  </si>
  <si>
    <t>FY2025 10-K, Consolidated Statements of Cash Flows, lines 1773-1817 | Cash provided by operating activities | FY2023</t>
  </si>
  <si>
    <t>Historical_CF!D14</t>
  </si>
  <si>
    <t>CLM-0229</t>
  </si>
  <si>
    <t>FY2025 10-K, Consolidated Statements of Cash Flows, lines 1773-1817 | Cash provided by operating activities | FY2024</t>
  </si>
  <si>
    <t>Historical_CF!E14</t>
  </si>
  <si>
    <t>CLM-0230</t>
  </si>
  <si>
    <t>FY2025 10-K, Consolidated Statements of Cash Flows, lines 1773-1817 | Cash provided by operating activities | FY2025</t>
  </si>
  <si>
    <t>Historical_CF!F14</t>
  </si>
  <si>
    <t>CLM-0231</t>
  </si>
  <si>
    <t>FY2022 10-K, Consolidated Statements of Cash Flows, lines 1835-1878 | Capital expenditures | FY2021</t>
  </si>
  <si>
    <t>Historical_CF!B15</t>
  </si>
  <si>
    <t>CLM-0232</t>
  </si>
  <si>
    <t>FY2022 10-K, Consolidated Statements of Cash Flows, lines 1835-1878 | Capital expenditures | FY2022</t>
  </si>
  <si>
    <t>Historical_CF!C15</t>
  </si>
  <si>
    <t>CLM-0233</t>
  </si>
  <si>
    <t>FY2025 10-K, Consolidated Statements of Cash Flows, lines 1773-1817 | Capital expenditures | FY2023</t>
  </si>
  <si>
    <t>Historical_CF!D15</t>
  </si>
  <si>
    <t>CLM-0234</t>
  </si>
  <si>
    <t>FY2025 10-K, Consolidated Statements of Cash Flows, lines 1773-1817 | Capital expenditures | FY2024</t>
  </si>
  <si>
    <t>Historical_CF!E15</t>
  </si>
  <si>
    <t>CLM-0235</t>
  </si>
  <si>
    <t>FY2025 10-K, Consolidated Statements of Cash Flows, lines 1773-1817 | Capital expenditures | FY2025</t>
  </si>
  <si>
    <t>Historical_CF!F15</t>
  </si>
  <si>
    <t>CLM-0236</t>
  </si>
  <si>
    <t>FY2022 10-K, Consolidated Statements of Cash Flows, lines 1835-1878 | Cash used for investing activities | FY2021</t>
  </si>
  <si>
    <t>Historical_CF!B16</t>
  </si>
  <si>
    <t>CLM-0237</t>
  </si>
  <si>
    <t>FY2022 10-K, Consolidated Statements of Cash Flows, lines 1835-1878 | Cash used for investing activities | FY2022</t>
  </si>
  <si>
    <t>Historical_CF!C16</t>
  </si>
  <si>
    <t>CLM-0238</t>
  </si>
  <si>
    <t>FY2025 10-K, Consolidated Statements of Cash Flows, lines 1773-1817 | Cash used for investing activities | FY2023</t>
  </si>
  <si>
    <t>Historical_CF!D16</t>
  </si>
  <si>
    <t>CLM-0239</t>
  </si>
  <si>
    <t>FY2025 10-K, Consolidated Statements of Cash Flows, lines 1773-1817 | Cash used for investing activities | FY2024</t>
  </si>
  <si>
    <t>Historical_CF!E16</t>
  </si>
  <si>
    <t>CLM-0240</t>
  </si>
  <si>
    <t>FY2025 10-K, Consolidated Statements of Cash Flows, lines 1773-1817 | Cash used for investing activities | FY2025</t>
  </si>
  <si>
    <t>Historical_CF!F16</t>
  </si>
  <si>
    <t>CLM-0241</t>
  </si>
  <si>
    <t>FY2022 10-K, Consolidated Statements of Cash Flows, lines 1835-1878 | Debt issuance | FY2021</t>
  </si>
  <si>
    <t>Historical_CF!B17</t>
  </si>
  <si>
    <t>CLM-0242</t>
  </si>
  <si>
    <t>FY2022 10-K, Consolidated Statements of Cash Flows, lines 1835-1878 | Debt issuance | FY2022</t>
  </si>
  <si>
    <t>Historical_CF!C17</t>
  </si>
  <si>
    <t>CLM-0243</t>
  </si>
  <si>
    <t>FY2025 10-K, Consolidated Statements of Cash Flows, lines 1773-1817 | Debt issuance | FY2023</t>
  </si>
  <si>
    <t>Historical_CF!D17</t>
  </si>
  <si>
    <t>CLM-0244</t>
  </si>
  <si>
    <t>FY2025 10-K, Consolidated Statements of Cash Flows, lines 1773-1817 | Debt issuance | FY2024</t>
  </si>
  <si>
    <t>Historical_CF!E17</t>
  </si>
  <si>
    <t>CLM-0245</t>
  </si>
  <si>
    <t>FY2025 10-K, Consolidated Statements of Cash Flows, lines 1773-1817 | Debt issuance | FY2025</t>
  </si>
  <si>
    <t>Historical_CF!F17</t>
  </si>
  <si>
    <t>CLM-0246</t>
  </si>
  <si>
    <t>FY2022 10-K, Consolidated Statements of Cash Flows, lines 1835-1878 | Debt payments | FY2021</t>
  </si>
  <si>
    <t>Historical_CF!B18</t>
  </si>
  <si>
    <t>CLM-0247</t>
  </si>
  <si>
    <t>FY2022 10-K, Consolidated Statements of Cash Flows, lines 1835-1878 | Debt payments | FY2022</t>
  </si>
  <si>
    <t>Historical_CF!C18</t>
  </si>
  <si>
    <t>CLM-0248</t>
  </si>
  <si>
    <t>FY2025 10-K, Consolidated Statements of Cash Flows, lines 1773-1817 | Debt payments | FY2023</t>
  </si>
  <si>
    <t>Historical_CF!D18</t>
  </si>
  <si>
    <t>CLM-0249</t>
  </si>
  <si>
    <t>FY2025 10-K, Consolidated Statements of Cash Flows, lines 1773-1817 | Debt payments | FY2024</t>
  </si>
  <si>
    <t>Historical_CF!E18</t>
  </si>
  <si>
    <t>CLM-0250</t>
  </si>
  <si>
    <t>FY2025 10-K, Consolidated Statements of Cash Flows, lines 1773-1817 | Debt payments | FY2025</t>
  </si>
  <si>
    <t>Historical_CF!F18</t>
  </si>
  <si>
    <t>CLM-0251</t>
  </si>
  <si>
    <t>FY2022 10-K, Consolidated Statements of Cash Flows, lines 1835-1878 | Share repurchases | FY2021</t>
  </si>
  <si>
    <t>Historical_CF!B19</t>
  </si>
  <si>
    <t>CLM-0252</t>
  </si>
  <si>
    <t>FY2022 10-K, Consolidated Statements of Cash Flows, lines 1835-1878 | Share repurchases | FY2022</t>
  </si>
  <si>
    <t>Historical_CF!C19</t>
  </si>
  <si>
    <t>CLM-0253</t>
  </si>
  <si>
    <t>FY2025 10-K, Consolidated Statements of Cash Flows, lines 1773-1817 | Share repurchases | FY2023</t>
  </si>
  <si>
    <t>Historical_CF!D19</t>
  </si>
  <si>
    <t>CLM-0254</t>
  </si>
  <si>
    <t>FY2025 10-K, Consolidated Statements of Cash Flows, lines 1773-1817 | Share repurchases | FY2024</t>
  </si>
  <si>
    <t>Historical_CF!E19</t>
  </si>
  <si>
    <t>CLM-0255</t>
  </si>
  <si>
    <t>FY2025 10-K, Consolidated Statements of Cash Flows, lines 1773-1817 | Share repurchases | FY2025</t>
  </si>
  <si>
    <t>Historical_CF!F19</t>
  </si>
  <si>
    <t>CLM-0256</t>
  </si>
  <si>
    <t>FY2022 10-K, Consolidated Statements of Cash Flows, lines 1835-1878 | Dividends | FY2021</t>
  </si>
  <si>
    <t>Historical_CF!B20</t>
  </si>
  <si>
    <t>CLM-0257</t>
  </si>
  <si>
    <t>FY2022 10-K, Consolidated Statements of Cash Flows, lines 1835-1878 | Dividends | FY2022</t>
  </si>
  <si>
    <t>Historical_CF!C20</t>
  </si>
  <si>
    <t>CLM-0258</t>
  </si>
  <si>
    <t>FY2025 10-K, Consolidated Statements of Cash Flows, lines 1773-1817 | Dividends | FY2023</t>
  </si>
  <si>
    <t>Historical_CF!D20</t>
  </si>
  <si>
    <t>CLM-0259</t>
  </si>
  <si>
    <t>FY2025 10-K, Consolidated Statements of Cash Flows, lines 1773-1817 | Dividends | FY2024</t>
  </si>
  <si>
    <t>Historical_CF!E20</t>
  </si>
  <si>
    <t>CLM-0260</t>
  </si>
  <si>
    <t>FY2025 10-K, Consolidated Statements of Cash Flows, lines 1773-1817 | Dividends | FY2025</t>
  </si>
  <si>
    <t>Historical_CF!F20</t>
  </si>
  <si>
    <t>CLM-0261</t>
  </si>
  <si>
    <t>FY2022 10-K, Consolidated Statements of Cash Flows, lines 1835-1878 | Cash from financing activities | FY2021</t>
  </si>
  <si>
    <t>Historical_CF!B21</t>
  </si>
  <si>
    <t>CLM-0262</t>
  </si>
  <si>
    <t>FY2022 10-K, Consolidated Statements of Cash Flows, lines 1835-1878 | Cash from financing activities | FY2022</t>
  </si>
  <si>
    <t>Historical_CF!C21</t>
  </si>
  <si>
    <t>CLM-0263</t>
  </si>
  <si>
    <t>FY2025 10-K, Consolidated Statements of Cash Flows, lines 1773-1817 | Cash from financing activities | FY2023</t>
  </si>
  <si>
    <t>Historical_CF!D21</t>
  </si>
  <si>
    <t>CLM-0264</t>
  </si>
  <si>
    <t>FY2025 10-K, Consolidated Statements of Cash Flows, lines 1773-1817 | Cash from financing activities | FY2024</t>
  </si>
  <si>
    <t>Historical_CF!E21</t>
  </si>
  <si>
    <t>CLM-0265</t>
  </si>
  <si>
    <t>FY2025 10-K, Consolidated Statements of Cash Flows, lines 1773-1817 | Cash from financing activities | FY2025</t>
  </si>
  <si>
    <t>Historical_CF!F21</t>
  </si>
  <si>
    <t>CLM-0266</t>
  </si>
  <si>
    <t>Formula: =B23-B14-B16-B21</t>
  </si>
  <si>
    <t>Historical_CF!B22</t>
  </si>
  <si>
    <t>CLM-0267</t>
  </si>
  <si>
    <t>Formula: =C23-C14-C16-C21</t>
  </si>
  <si>
    <t>Historical_CF!C22</t>
  </si>
  <si>
    <t>CLM-0268</t>
  </si>
  <si>
    <t>Formula: =D23-D14-D16-D21</t>
  </si>
  <si>
    <t>Historical_CF!D22</t>
  </si>
  <si>
    <t>CLM-0269</t>
  </si>
  <si>
    <t>Formula: =E23-E14-E16-E21</t>
  </si>
  <si>
    <t>Historical_CF!E22</t>
  </si>
  <si>
    <t>CLM-0270</t>
  </si>
  <si>
    <t>Formula: =F23-F14-F16-F21</t>
  </si>
  <si>
    <t>Historical_CF!F22</t>
  </si>
  <si>
    <t>CLM-0271</t>
  </si>
  <si>
    <t>FY2022 10-K, Consolidated Statements of Cash Flows, lines 1835-1878 | Change in cash | FY2021</t>
  </si>
  <si>
    <t>Historical_CF!B23</t>
  </si>
  <si>
    <t>CLM-0272</t>
  </si>
  <si>
    <t>FY2022 10-K, Consolidated Statements of Cash Flows, lines 1835-1878 | Change in cash | FY2022</t>
  </si>
  <si>
    <t>Historical_CF!C23</t>
  </si>
  <si>
    <t>CLM-0273</t>
  </si>
  <si>
    <t>FY2025 10-K, Consolidated Statements of Cash Flows, lines 1773-1817 | Change in cash | FY2023</t>
  </si>
  <si>
    <t>Historical_CF!D23</t>
  </si>
  <si>
    <t>CLM-0274</t>
  </si>
  <si>
    <t>FY2025 10-K, Consolidated Statements of Cash Flows, lines 1773-1817 | Change in cash | FY2024</t>
  </si>
  <si>
    <t>Historical_CF!E23</t>
  </si>
  <si>
    <t>CLM-0275</t>
  </si>
  <si>
    <t>FY2025 10-K, Consolidated Statements of Cash Flows, lines 1773-1817 | Change in cash | FY2025</t>
  </si>
  <si>
    <t>Historical_CF!F23</t>
  </si>
  <si>
    <t>CLM-0276</t>
  </si>
  <si>
    <t>FY2022 10-K, Consolidated Statements of Cash Flows, lines 1835-1878 | Ending cash | FY2021</t>
  </si>
  <si>
    <t>Historical_CF!B24</t>
  </si>
  <si>
    <t>CLM-0277</t>
  </si>
  <si>
    <t>FY2022 10-K, Consolidated Statements of Cash Flows, lines 1835-1878 | Ending cash | FY2022</t>
  </si>
  <si>
    <t>Historical_CF!C24</t>
  </si>
  <si>
    <t>CLM-0278</t>
  </si>
  <si>
    <t>FY2025 10-K, Consolidated Statements of Cash Flows, lines 1773-1817 | Ending cash | FY2023</t>
  </si>
  <si>
    <t>Historical_CF!D24</t>
  </si>
  <si>
    <t>CLM-0279</t>
  </si>
  <si>
    <t>FY2025 10-K, Consolidated Statements of Cash Flows, lines 1773-1817 | Ending cash | FY2024</t>
  </si>
  <si>
    <t>Historical_CF!E24</t>
  </si>
  <si>
    <t>CLM-0280</t>
  </si>
  <si>
    <t>FY2025 10-K, Consolidated Statements of Cash Flows, lines 1773-1817 | Ending cash | FY2025</t>
  </si>
  <si>
    <t>Historical_CF!F24</t>
  </si>
  <si>
    <t>CLM-0281</t>
  </si>
  <si>
    <t>Formula: =B14+B15</t>
  </si>
  <si>
    <t>Historical_CF!B25</t>
  </si>
  <si>
    <t>CLM-0282</t>
  </si>
  <si>
    <t>Formula: =C14+C15</t>
  </si>
  <si>
    <t>Historical_CF!C25</t>
  </si>
  <si>
    <t>CLM-0283</t>
  </si>
  <si>
    <t>Formula: =D14+D15</t>
  </si>
  <si>
    <t>Historical_CF!D25</t>
  </si>
  <si>
    <t>CLM-0284</t>
  </si>
  <si>
    <t>Formula: =E14+E15</t>
  </si>
  <si>
    <t>Historical_CF!E25</t>
  </si>
  <si>
    <t>CLM-0285</t>
  </si>
  <si>
    <t>Formula: =F14+F15</t>
  </si>
  <si>
    <t>Historical_CF!F25</t>
  </si>
  <si>
    <t>CLM-0286</t>
  </si>
  <si>
    <t>Beef sales</t>
  </si>
  <si>
    <t>FY2022 10-K segment table, legacy allocation</t>
  </si>
  <si>
    <t>Segment_Build!B7</t>
  </si>
  <si>
    <t>Direct transcription</t>
  </si>
  <si>
    <t>Audited filing | Primary / legacy basis</t>
  </si>
  <si>
    <t>CLM-0287</t>
  </si>
  <si>
    <t>Segment_Build!C7</t>
  </si>
  <si>
    <t>CLM-0288</t>
  </si>
  <si>
    <t>S04</t>
  </si>
  <si>
    <t>Tyson Foods segment recast 8-K Exhibit 99.1</t>
  </si>
  <si>
    <t>0000100493-26-000032</t>
  </si>
  <si>
    <t>https://www.sec.gov/Archives/edgar/data/100493/000010049326000032/tsn20268-kexhibit991060926.htm</t>
  </si>
  <si>
    <t>June 2026 recast exhibit segment table</t>
  </si>
  <si>
    <t>Segment_Build!D7</t>
  </si>
  <si>
    <t>Filed recast | Primary / recast</t>
  </si>
  <si>
    <t>CLM-0289</t>
  </si>
  <si>
    <t>Segment_Build!E7</t>
  </si>
  <si>
    <t>CLM-0290</t>
  </si>
  <si>
    <t>Segment_Build!F7</t>
  </si>
  <si>
    <t>CLM-0291</t>
  </si>
  <si>
    <t>Pork sales</t>
  </si>
  <si>
    <t>Segment_Build!B8</t>
  </si>
  <si>
    <t>CLM-0292</t>
  </si>
  <si>
    <t>Segment_Build!C8</t>
  </si>
  <si>
    <t>CLM-0293</t>
  </si>
  <si>
    <t>Segment_Build!D8</t>
  </si>
  <si>
    <t>CLM-0294</t>
  </si>
  <si>
    <t>Segment_Build!E8</t>
  </si>
  <si>
    <t>CLM-0295</t>
  </si>
  <si>
    <t>Segment_Build!F8</t>
  </si>
  <si>
    <t>CLM-0296</t>
  </si>
  <si>
    <t>Chicken sales</t>
  </si>
  <si>
    <t>Segment_Build!B9</t>
  </si>
  <si>
    <t>CLM-0297</t>
  </si>
  <si>
    <t>Segment_Build!C9</t>
  </si>
  <si>
    <t>CLM-0298</t>
  </si>
  <si>
    <t>Segment_Build!D9</t>
  </si>
  <si>
    <t>CLM-0299</t>
  </si>
  <si>
    <t>Segment_Build!E9</t>
  </si>
  <si>
    <t>CLM-0300</t>
  </si>
  <si>
    <t>Segment_Build!F9</t>
  </si>
  <si>
    <t>CLM-0301</t>
  </si>
  <si>
    <t>Prepared Foods sales</t>
  </si>
  <si>
    <t>Segment_Build!B10</t>
  </si>
  <si>
    <t>CLM-0302</t>
  </si>
  <si>
    <t>Segment_Build!C10</t>
  </si>
  <si>
    <t>CLM-0303</t>
  </si>
  <si>
    <t>Segment_Build!D10</t>
  </si>
  <si>
    <t>CLM-0304</t>
  </si>
  <si>
    <t>Segment_Build!E10</t>
  </si>
  <si>
    <t>CLM-0305</t>
  </si>
  <si>
    <t>Segment_Build!F10</t>
  </si>
  <si>
    <t>CLM-0306</t>
  </si>
  <si>
    <t>International sales</t>
  </si>
  <si>
    <t>Segment_Build!B11</t>
  </si>
  <si>
    <t>CLM-0307</t>
  </si>
  <si>
    <t>Segment_Build!C11</t>
  </si>
  <si>
    <t>CLM-0308</t>
  </si>
  <si>
    <t>Segment_Build!D11</t>
  </si>
  <si>
    <t>CLM-0309</t>
  </si>
  <si>
    <t>Segment_Build!E11</t>
  </si>
  <si>
    <t>CLM-0310</t>
  </si>
  <si>
    <t>Segment_Build!F11</t>
  </si>
  <si>
    <t>CLM-0311</t>
  </si>
  <si>
    <t>Intersegment eliminations sales</t>
  </si>
  <si>
    <t>Segment_Build!B12</t>
  </si>
  <si>
    <t>CLM-0312</t>
  </si>
  <si>
    <t>Segment_Build!C12</t>
  </si>
  <si>
    <t>CLM-0313</t>
  </si>
  <si>
    <t>Segment_Build!D12</t>
  </si>
  <si>
    <t>CLM-0314</t>
  </si>
  <si>
    <t>Segment_Build!E12</t>
  </si>
  <si>
    <t>CLM-0315</t>
  </si>
  <si>
    <t>Segment_Build!F12</t>
  </si>
  <si>
    <t>CLM-0316</t>
  </si>
  <si>
    <t>Segment_Build!B16</t>
  </si>
  <si>
    <t>CLM-0317</t>
  </si>
  <si>
    <t>Segment_Build!C16</t>
  </si>
  <si>
    <t>CLM-0318</t>
  </si>
  <si>
    <t>Segment_Build!D16</t>
  </si>
  <si>
    <t>CLM-0319</t>
  </si>
  <si>
    <t>Segment_Build!E16</t>
  </si>
  <si>
    <t>CLM-0320</t>
  </si>
  <si>
    <t>Segment_Build!F16</t>
  </si>
  <si>
    <t>CLM-0321</t>
  </si>
  <si>
    <t>Segment_Build!B17</t>
  </si>
  <si>
    <t>CLM-0322</t>
  </si>
  <si>
    <t>Segment_Build!C17</t>
  </si>
  <si>
    <t>CLM-0323</t>
  </si>
  <si>
    <t>Segment_Build!D17</t>
  </si>
  <si>
    <t>CLM-0324</t>
  </si>
  <si>
    <t>Segment_Build!E17</t>
  </si>
  <si>
    <t>CLM-0325</t>
  </si>
  <si>
    <t>Segment_Build!F17</t>
  </si>
  <si>
    <t>CLM-0326</t>
  </si>
  <si>
    <t>Segment_Build!B18</t>
  </si>
  <si>
    <t>CLM-0327</t>
  </si>
  <si>
    <t>Segment_Build!C18</t>
  </si>
  <si>
    <t>CLM-0328</t>
  </si>
  <si>
    <t>Segment_Build!D18</t>
  </si>
  <si>
    <t>CLM-0329</t>
  </si>
  <si>
    <t>Segment_Build!E18</t>
  </si>
  <si>
    <t>CLM-0330</t>
  </si>
  <si>
    <t>Segment_Build!F18</t>
  </si>
  <si>
    <t>CLM-0331</t>
  </si>
  <si>
    <t>Segment_Build!B19</t>
  </si>
  <si>
    <t>CLM-0332</t>
  </si>
  <si>
    <t>Segment_Build!C19</t>
  </si>
  <si>
    <t>CLM-0333</t>
  </si>
  <si>
    <t>Segment_Build!D19</t>
  </si>
  <si>
    <t>CLM-0334</t>
  </si>
  <si>
    <t>Segment_Build!E19</t>
  </si>
  <si>
    <t>CLM-0335</t>
  </si>
  <si>
    <t>Segment_Build!F19</t>
  </si>
  <si>
    <t>CLM-0336</t>
  </si>
  <si>
    <t>Segment_Build!B20</t>
  </si>
  <si>
    <t>CLM-0337</t>
  </si>
  <si>
    <t>Segment_Build!C20</t>
  </si>
  <si>
    <t>CLM-0338</t>
  </si>
  <si>
    <t>Segment_Build!D20</t>
  </si>
  <si>
    <t>CLM-0339</t>
  </si>
  <si>
    <t>Segment_Build!E20</t>
  </si>
  <si>
    <t>CLM-0340</t>
  </si>
  <si>
    <t>Segment_Build!F20</t>
  </si>
  <si>
    <t>CLM-0341</t>
  </si>
  <si>
    <t>FY2022 10-K legacy segment table | Corporate expenses not separately allocated; modeled zero</t>
  </si>
  <si>
    <t>Segment_Build!B22</t>
  </si>
  <si>
    <t>Legacy-basis not separately reported; zero placeholder</t>
  </si>
  <si>
    <t>Audited filing | Disclosed modeling limitation</t>
  </si>
  <si>
    <t>CLM-0342</t>
  </si>
  <si>
    <t>FY2022 10-K legacy segment table | Amortization not separately allocated; modeled zero</t>
  </si>
  <si>
    <t>Segment_Build!B23</t>
  </si>
  <si>
    <t>CLM-0343</t>
  </si>
  <si>
    <t>Segment_Build!C22</t>
  </si>
  <si>
    <t>CLM-0344</t>
  </si>
  <si>
    <t>Segment_Build!C23</t>
  </si>
  <si>
    <t>CLM-0345</t>
  </si>
  <si>
    <t>June 2026 recast exhibit | Corporate expenses | FY2023</t>
  </si>
  <si>
    <t>Segment_Build!D22</t>
  </si>
  <si>
    <t>CLM-0346</t>
  </si>
  <si>
    <t>June 2026 recast exhibit | Amortization | FY2023</t>
  </si>
  <si>
    <t>Segment_Build!D23</t>
  </si>
  <si>
    <t>CLM-0347</t>
  </si>
  <si>
    <t>June 2026 recast exhibit | Corporate expenses | FY2024</t>
  </si>
  <si>
    <t>Segment_Build!E22</t>
  </si>
  <si>
    <t>CLM-0348</t>
  </si>
  <si>
    <t>June 2026 recast exhibit | Amortization | FY2024</t>
  </si>
  <si>
    <t>Segment_Build!E23</t>
  </si>
  <si>
    <t>CLM-0349</t>
  </si>
  <si>
    <t>June 2026 recast exhibit | Corporate expenses | FY2025</t>
  </si>
  <si>
    <t>Segment_Build!F22</t>
  </si>
  <si>
    <t>CLM-0350</t>
  </si>
  <si>
    <t>June 2026 recast exhibit | Amortization | FY2025</t>
  </si>
  <si>
    <t>Segment_Build!F23</t>
  </si>
  <si>
    <t>CLM-0351</t>
  </si>
  <si>
    <t>Base Price / Mix Growth - Beef</t>
  </si>
  <si>
    <t>FY2026E</t>
  </si>
  <si>
    <t>A02</t>
  </si>
  <si>
    <t>Analyst scenario</t>
  </si>
  <si>
    <t>https://www.tysonfoods.com/news/news-releases/2026/5/tyson-foods-reports-second-quarter-2026-results</t>
  </si>
  <si>
    <t>Independent analyst price/mix input informed by disclosed segment pricing and total-company guidance</t>
  </si>
  <si>
    <t>%</t>
  </si>
  <si>
    <t>Assumptions!B10</t>
  </si>
  <si>
    <t>Direct analyst input</t>
  </si>
  <si>
    <t>Unsourced assumption | Analyst price/mix input informed by primary guidance</t>
  </si>
  <si>
    <t>DISCLOSED</t>
  </si>
  <si>
    <t>CLM-0352</t>
  </si>
  <si>
    <t>FY2027E</t>
  </si>
  <si>
    <t>N/A - analyst scenario</t>
  </si>
  <si>
    <t>Editable scenario assumption</t>
  </si>
  <si>
    <t>Assumptions!C10</t>
  </si>
  <si>
    <t>Unsourced assumption | Unsourced analyst assumption</t>
  </si>
  <si>
    <t>CLM-0353</t>
  </si>
  <si>
    <t>FY2028E</t>
  </si>
  <si>
    <t>Assumptions!D10</t>
  </si>
  <si>
    <t>CLM-0354</t>
  </si>
  <si>
    <t>FY2029E</t>
  </si>
  <si>
    <t>Assumptions!E10</t>
  </si>
  <si>
    <t>CLM-0355</t>
  </si>
  <si>
    <t>Assumptions!F10</t>
  </si>
  <si>
    <t>CLM-0356</t>
  </si>
  <si>
    <t>Base Price / Mix Growth - Pork</t>
  </si>
  <si>
    <t>Assumptions!B11</t>
  </si>
  <si>
    <t>CLM-0357</t>
  </si>
  <si>
    <t>Assumptions!C11</t>
  </si>
  <si>
    <t>CLM-0358</t>
  </si>
  <si>
    <t>Assumptions!D11</t>
  </si>
  <si>
    <t>CLM-0359</t>
  </si>
  <si>
    <t>Assumptions!E11</t>
  </si>
  <si>
    <t>CLM-0360</t>
  </si>
  <si>
    <t>Assumptions!F11</t>
  </si>
  <si>
    <t>CLM-0361</t>
  </si>
  <si>
    <t>Base Price / Mix Growth - Chicken</t>
  </si>
  <si>
    <t>Assumptions!B12</t>
  </si>
  <si>
    <t>CLM-0362</t>
  </si>
  <si>
    <t>Assumptions!C12</t>
  </si>
  <si>
    <t>CLM-0363</t>
  </si>
  <si>
    <t>Assumptions!D12</t>
  </si>
  <si>
    <t>CLM-0364</t>
  </si>
  <si>
    <t>Assumptions!E12</t>
  </si>
  <si>
    <t>CLM-0365</t>
  </si>
  <si>
    <t>Assumptions!F12</t>
  </si>
  <si>
    <t>CLM-0366</t>
  </si>
  <si>
    <t>Base Price / Mix Growth - Prepared Foods</t>
  </si>
  <si>
    <t>Assumptions!B13</t>
  </si>
  <si>
    <t>CLM-0367</t>
  </si>
  <si>
    <t>Assumptions!C13</t>
  </si>
  <si>
    <t>CLM-0368</t>
  </si>
  <si>
    <t>Assumptions!D13</t>
  </si>
  <si>
    <t>CLM-0369</t>
  </si>
  <si>
    <t>Assumptions!E13</t>
  </si>
  <si>
    <t>CLM-0370</t>
  </si>
  <si>
    <t>Assumptions!F13</t>
  </si>
  <si>
    <t>CLM-0371</t>
  </si>
  <si>
    <t>Base Price / Mix Growth - International</t>
  </si>
  <si>
    <t>Assumptions!B14</t>
  </si>
  <si>
    <t>CLM-0372</t>
  </si>
  <si>
    <t>Assumptions!C14</t>
  </si>
  <si>
    <t>CLM-0373</t>
  </si>
  <si>
    <t>Assumptions!D14</t>
  </si>
  <si>
    <t>CLM-0374</t>
  </si>
  <si>
    <t>Assumptions!E14</t>
  </si>
  <si>
    <t>CLM-0375</t>
  </si>
  <si>
    <t>Assumptions!F14</t>
  </si>
  <si>
    <t>CLM-0376</t>
  </si>
  <si>
    <t>Base Price / Mix Growth - Intersegment eliminations</t>
  </si>
  <si>
    <t>Assumptions!B15</t>
  </si>
  <si>
    <t>CLM-0377</t>
  </si>
  <si>
    <t>Assumptions!C15</t>
  </si>
  <si>
    <t>CLM-0378</t>
  </si>
  <si>
    <t>Assumptions!D15</t>
  </si>
  <si>
    <t>CLM-0379</t>
  </si>
  <si>
    <t>Assumptions!E15</t>
  </si>
  <si>
    <t>CLM-0380</t>
  </si>
  <si>
    <t>Assumptions!F15</t>
  </si>
  <si>
    <t>CLM-0381</t>
  </si>
  <si>
    <t>Bull Price / Mix Growth - Beef</t>
  </si>
  <si>
    <t>Assumptions!B19</t>
  </si>
  <si>
    <t>CLM-0382</t>
  </si>
  <si>
    <t>Assumptions!C19</t>
  </si>
  <si>
    <t>CLM-0383</t>
  </si>
  <si>
    <t>Assumptions!D19</t>
  </si>
  <si>
    <t>CLM-0384</t>
  </si>
  <si>
    <t>Assumptions!E19</t>
  </si>
  <si>
    <t>CLM-0385</t>
  </si>
  <si>
    <t>Assumptions!F19</t>
  </si>
  <si>
    <t>CLM-0386</t>
  </si>
  <si>
    <t>Bull Price / Mix Growth - Pork</t>
  </si>
  <si>
    <t>Assumptions!B20</t>
  </si>
  <si>
    <t>CLM-0387</t>
  </si>
  <si>
    <t>Assumptions!C20</t>
  </si>
  <si>
    <t>CLM-0388</t>
  </si>
  <si>
    <t>Assumptions!D20</t>
  </si>
  <si>
    <t>CLM-0389</t>
  </si>
  <si>
    <t>Assumptions!E20</t>
  </si>
  <si>
    <t>CLM-0390</t>
  </si>
  <si>
    <t>Assumptions!F20</t>
  </si>
  <si>
    <t>CLM-0391</t>
  </si>
  <si>
    <t>Bull Price / Mix Growth - Chicken</t>
  </si>
  <si>
    <t>Assumptions!B21</t>
  </si>
  <si>
    <t>CLM-0392</t>
  </si>
  <si>
    <t>Assumptions!C21</t>
  </si>
  <si>
    <t>CLM-0393</t>
  </si>
  <si>
    <t>Assumptions!D21</t>
  </si>
  <si>
    <t>CLM-0394</t>
  </si>
  <si>
    <t>Assumptions!E21</t>
  </si>
  <si>
    <t>CLM-0395</t>
  </si>
  <si>
    <t>Assumptions!F21</t>
  </si>
  <si>
    <t>CLM-0396</t>
  </si>
  <si>
    <t>Bull Price / Mix Growth - Prepared Foods</t>
  </si>
  <si>
    <t>Assumptions!B22</t>
  </si>
  <si>
    <t>CLM-0397</t>
  </si>
  <si>
    <t>Assumptions!C22</t>
  </si>
  <si>
    <t>CLM-0398</t>
  </si>
  <si>
    <t>Assumptions!D22</t>
  </si>
  <si>
    <t>CLM-0399</t>
  </si>
  <si>
    <t>Assumptions!E22</t>
  </si>
  <si>
    <t>CLM-0400</t>
  </si>
  <si>
    <t>Assumptions!F22</t>
  </si>
  <si>
    <t>CLM-0401</t>
  </si>
  <si>
    <t>Bull Price / Mix Growth - International</t>
  </si>
  <si>
    <t>Assumptions!B23</t>
  </si>
  <si>
    <t>CLM-0402</t>
  </si>
  <si>
    <t>Assumptions!C23</t>
  </si>
  <si>
    <t>CLM-0403</t>
  </si>
  <si>
    <t>Assumptions!D23</t>
  </si>
  <si>
    <t>CLM-0404</t>
  </si>
  <si>
    <t>Assumptions!E23</t>
  </si>
  <si>
    <t>CLM-0405</t>
  </si>
  <si>
    <t>Assumptions!F23</t>
  </si>
  <si>
    <t>CLM-0406</t>
  </si>
  <si>
    <t>Bull Price / Mix Growth - Intersegment eliminations</t>
  </si>
  <si>
    <t>Assumptions!B24</t>
  </si>
  <si>
    <t>CLM-0407</t>
  </si>
  <si>
    <t>Assumptions!C24</t>
  </si>
  <si>
    <t>CLM-0408</t>
  </si>
  <si>
    <t>Assumptions!D24</t>
  </si>
  <si>
    <t>CLM-0409</t>
  </si>
  <si>
    <t>Assumptions!E24</t>
  </si>
  <si>
    <t>CLM-0410</t>
  </si>
  <si>
    <t>Assumptions!F24</t>
  </si>
  <si>
    <t>CLM-0411</t>
  </si>
  <si>
    <t>Bear Price / Mix Growth - Beef</t>
  </si>
  <si>
    <t>Assumptions!B28</t>
  </si>
  <si>
    <t>CLM-0412</t>
  </si>
  <si>
    <t>Assumptions!C28</t>
  </si>
  <si>
    <t>CLM-0413</t>
  </si>
  <si>
    <t>Assumptions!D28</t>
  </si>
  <si>
    <t>CLM-0414</t>
  </si>
  <si>
    <t>Assumptions!E28</t>
  </si>
  <si>
    <t>CLM-0415</t>
  </si>
  <si>
    <t>Assumptions!F28</t>
  </si>
  <si>
    <t>CLM-0416</t>
  </si>
  <si>
    <t>Bear Price / Mix Growth - Pork</t>
  </si>
  <si>
    <t>Assumptions!B29</t>
  </si>
  <si>
    <t>CLM-0417</t>
  </si>
  <si>
    <t>Assumptions!C29</t>
  </si>
  <si>
    <t>CLM-0418</t>
  </si>
  <si>
    <t>Assumptions!D29</t>
  </si>
  <si>
    <t>CLM-0419</t>
  </si>
  <si>
    <t>Assumptions!E29</t>
  </si>
  <si>
    <t>CLM-0420</t>
  </si>
  <si>
    <t>Assumptions!F29</t>
  </si>
  <si>
    <t>CLM-0421</t>
  </si>
  <si>
    <t>Bear Price / Mix Growth - Chicken</t>
  </si>
  <si>
    <t>Assumptions!B30</t>
  </si>
  <si>
    <t>CLM-0422</t>
  </si>
  <si>
    <t>Assumptions!C30</t>
  </si>
  <si>
    <t>CLM-0423</t>
  </si>
  <si>
    <t>Assumptions!D30</t>
  </si>
  <si>
    <t>CLM-0424</t>
  </si>
  <si>
    <t>Assumptions!E30</t>
  </si>
  <si>
    <t>CLM-0425</t>
  </si>
  <si>
    <t>Assumptions!F30</t>
  </si>
  <si>
    <t>CLM-0426</t>
  </si>
  <si>
    <t>Bear Price / Mix Growth - Prepared Foods</t>
  </si>
  <si>
    <t>Assumptions!B31</t>
  </si>
  <si>
    <t>CLM-0427</t>
  </si>
  <si>
    <t>Assumptions!C31</t>
  </si>
  <si>
    <t>CLM-0428</t>
  </si>
  <si>
    <t>Assumptions!D31</t>
  </si>
  <si>
    <t>CLM-0429</t>
  </si>
  <si>
    <t>Assumptions!E31</t>
  </si>
  <si>
    <t>CLM-0430</t>
  </si>
  <si>
    <t>Assumptions!F31</t>
  </si>
  <si>
    <t>CLM-0431</t>
  </si>
  <si>
    <t>Bear Price / Mix Growth - International</t>
  </si>
  <si>
    <t>Assumptions!B32</t>
  </si>
  <si>
    <t>CLM-0432</t>
  </si>
  <si>
    <t>Assumptions!C32</t>
  </si>
  <si>
    <t>CLM-0433</t>
  </si>
  <si>
    <t>Assumptions!D32</t>
  </si>
  <si>
    <t>CLM-0434</t>
  </si>
  <si>
    <t>Assumptions!E32</t>
  </si>
  <si>
    <t>CLM-0435</t>
  </si>
  <si>
    <t>Assumptions!F32</t>
  </si>
  <si>
    <t>CLM-0436</t>
  </si>
  <si>
    <t>Bear Price / Mix Growth - Intersegment eliminations</t>
  </si>
  <si>
    <t>Assumptions!B33</t>
  </si>
  <si>
    <t>CLM-0437</t>
  </si>
  <si>
    <t>Assumptions!C33</t>
  </si>
  <si>
    <t>CLM-0438</t>
  </si>
  <si>
    <t>Assumptions!D33</t>
  </si>
  <si>
    <t>CLM-0439</t>
  </si>
  <si>
    <t>Assumptions!E33</t>
  </si>
  <si>
    <t>CLM-0440</t>
  </si>
  <si>
    <t>Assumptions!F33</t>
  </si>
  <si>
    <t>CLM-0441</t>
  </si>
  <si>
    <t>Base Segment Operating Margin - Beef</t>
  </si>
  <si>
    <t>S06</t>
  </si>
  <si>
    <t>Tyson Foods Q2 FY2026 results and outlook</t>
  </si>
  <si>
    <t>Official IR release 2026-05-04</t>
  </si>
  <si>
    <t>FY2026 official segment OI range divided by modeled segment sales</t>
  </si>
  <si>
    <t>Assumptions!B47</t>
  </si>
  <si>
    <t>Guidance midpoint divided by modeled sales</t>
  </si>
  <si>
    <t>Official outlook | Primary-informed analyst assumption</t>
  </si>
  <si>
    <t>CLM-0442</t>
  </si>
  <si>
    <t>Assumptions!C47</t>
  </si>
  <si>
    <t>CLM-0443</t>
  </si>
  <si>
    <t>Assumptions!D47</t>
  </si>
  <si>
    <t>CLM-0444</t>
  </si>
  <si>
    <t>Assumptions!E47</t>
  </si>
  <si>
    <t>CLM-0445</t>
  </si>
  <si>
    <t>Assumptions!F47</t>
  </si>
  <si>
    <t>CLM-0446</t>
  </si>
  <si>
    <t>Base Segment Operating Margin - Pork</t>
  </si>
  <si>
    <t>Assumptions!B48</t>
  </si>
  <si>
    <t>CLM-0447</t>
  </si>
  <si>
    <t>Assumptions!C48</t>
  </si>
  <si>
    <t>CLM-0448</t>
  </si>
  <si>
    <t>Assumptions!D48</t>
  </si>
  <si>
    <t>CLM-0449</t>
  </si>
  <si>
    <t>Assumptions!E48</t>
  </si>
  <si>
    <t>CLM-0450</t>
  </si>
  <si>
    <t>Assumptions!F48</t>
  </si>
  <si>
    <t>CLM-0451</t>
  </si>
  <si>
    <t>Base Segment Operating Margin - Chicken</t>
  </si>
  <si>
    <t>Assumptions!B49</t>
  </si>
  <si>
    <t>CLM-0452</t>
  </si>
  <si>
    <t>Assumptions!C49</t>
  </si>
  <si>
    <t>CLM-0453</t>
  </si>
  <si>
    <t>Assumptions!D49</t>
  </si>
  <si>
    <t>CLM-0454</t>
  </si>
  <si>
    <t>Assumptions!E49</t>
  </si>
  <si>
    <t>CLM-0455</t>
  </si>
  <si>
    <t>Assumptions!F49</t>
  </si>
  <si>
    <t>CLM-0456</t>
  </si>
  <si>
    <t>Base Segment Operating Margin - Prepared Foods</t>
  </si>
  <si>
    <t>Assumptions!B50</t>
  </si>
  <si>
    <t>CLM-0457</t>
  </si>
  <si>
    <t>Assumptions!C50</t>
  </si>
  <si>
    <t>CLM-0458</t>
  </si>
  <si>
    <t>Assumptions!D50</t>
  </si>
  <si>
    <t>CLM-0459</t>
  </si>
  <si>
    <t>Assumptions!E50</t>
  </si>
  <si>
    <t>CLM-0460</t>
  </si>
  <si>
    <t>Assumptions!F50</t>
  </si>
  <si>
    <t>CLM-0461</t>
  </si>
  <si>
    <t>Base Segment Operating Margin - International</t>
  </si>
  <si>
    <t>Assumptions!B51</t>
  </si>
  <si>
    <t>CLM-0462</t>
  </si>
  <si>
    <t>Assumptions!C51</t>
  </si>
  <si>
    <t>CLM-0463</t>
  </si>
  <si>
    <t>Assumptions!D51</t>
  </si>
  <si>
    <t>CLM-0464</t>
  </si>
  <si>
    <t>Assumptions!E51</t>
  </si>
  <si>
    <t>CLM-0465</t>
  </si>
  <si>
    <t>Assumptions!F51</t>
  </si>
  <si>
    <t>CLM-0466</t>
  </si>
  <si>
    <t>Bull Segment Operating Margin - Beef</t>
  </si>
  <si>
    <t>Assumptions!B55</t>
  </si>
  <si>
    <t>CLM-0467</t>
  </si>
  <si>
    <t>Assumptions!C55</t>
  </si>
  <si>
    <t>CLM-0468</t>
  </si>
  <si>
    <t>Assumptions!D55</t>
  </si>
  <si>
    <t>CLM-0469</t>
  </si>
  <si>
    <t>Assumptions!E55</t>
  </si>
  <si>
    <t>CLM-0470</t>
  </si>
  <si>
    <t>Assumptions!F55</t>
  </si>
  <si>
    <t>CLM-0471</t>
  </si>
  <si>
    <t>Bull Segment Operating Margin - Pork</t>
  </si>
  <si>
    <t>Assumptions!B56</t>
  </si>
  <si>
    <t>CLM-0472</t>
  </si>
  <si>
    <t>Assumptions!C56</t>
  </si>
  <si>
    <t>CLM-0473</t>
  </si>
  <si>
    <t>Assumptions!D56</t>
  </si>
  <si>
    <t>CLM-0474</t>
  </si>
  <si>
    <t>Assumptions!E56</t>
  </si>
  <si>
    <t>CLM-0475</t>
  </si>
  <si>
    <t>Assumptions!F56</t>
  </si>
  <si>
    <t>CLM-0476</t>
  </si>
  <si>
    <t>Bull Segment Operating Margin - Chicken</t>
  </si>
  <si>
    <t>Assumptions!B57</t>
  </si>
  <si>
    <t>CLM-0477</t>
  </si>
  <si>
    <t>Assumptions!C57</t>
  </si>
  <si>
    <t>CLM-0478</t>
  </si>
  <si>
    <t>Assumptions!D57</t>
  </si>
  <si>
    <t>CLM-0479</t>
  </si>
  <si>
    <t>Assumptions!E57</t>
  </si>
  <si>
    <t>CLM-0480</t>
  </si>
  <si>
    <t>Assumptions!F57</t>
  </si>
  <si>
    <t>CLM-0481</t>
  </si>
  <si>
    <t>Bull Segment Operating Margin - Prepared Foods</t>
  </si>
  <si>
    <t>Assumptions!B58</t>
  </si>
  <si>
    <t>CLM-0482</t>
  </si>
  <si>
    <t>Assumptions!C58</t>
  </si>
  <si>
    <t>CLM-0483</t>
  </si>
  <si>
    <t>Assumptions!D58</t>
  </si>
  <si>
    <t>CLM-0484</t>
  </si>
  <si>
    <t>Assumptions!E58</t>
  </si>
  <si>
    <t>CLM-0485</t>
  </si>
  <si>
    <t>Assumptions!F58</t>
  </si>
  <si>
    <t>CLM-0486</t>
  </si>
  <si>
    <t>Bull Segment Operating Margin - International</t>
  </si>
  <si>
    <t>Assumptions!B59</t>
  </si>
  <si>
    <t>CLM-0487</t>
  </si>
  <si>
    <t>Assumptions!C59</t>
  </si>
  <si>
    <t>CLM-0488</t>
  </si>
  <si>
    <t>Assumptions!D59</t>
  </si>
  <si>
    <t>CLM-0489</t>
  </si>
  <si>
    <t>Assumptions!E59</t>
  </si>
  <si>
    <t>CLM-0490</t>
  </si>
  <si>
    <t>Assumptions!F59</t>
  </si>
  <si>
    <t>CLM-0491</t>
  </si>
  <si>
    <t>Bear Segment Operating Margin - Beef</t>
  </si>
  <si>
    <t>Assumptions!B63</t>
  </si>
  <si>
    <t>CLM-0492</t>
  </si>
  <si>
    <t>Assumptions!C63</t>
  </si>
  <si>
    <t>CLM-0493</t>
  </si>
  <si>
    <t>Assumptions!D63</t>
  </si>
  <si>
    <t>CLM-0494</t>
  </si>
  <si>
    <t>Assumptions!E63</t>
  </si>
  <si>
    <t>CLM-0495</t>
  </si>
  <si>
    <t>Assumptions!F63</t>
  </si>
  <si>
    <t>CLM-0496</t>
  </si>
  <si>
    <t>Bear Segment Operating Margin - Pork</t>
  </si>
  <si>
    <t>Assumptions!B64</t>
  </si>
  <si>
    <t>CLM-0497</t>
  </si>
  <si>
    <t>Assumptions!C64</t>
  </si>
  <si>
    <t>CLM-0498</t>
  </si>
  <si>
    <t>Assumptions!D64</t>
  </si>
  <si>
    <t>CLM-0499</t>
  </si>
  <si>
    <t>Assumptions!E64</t>
  </si>
  <si>
    <t>CLM-0500</t>
  </si>
  <si>
    <t>Assumptions!F64</t>
  </si>
  <si>
    <t>CLM-0501</t>
  </si>
  <si>
    <t>Bear Segment Operating Margin - Chicken</t>
  </si>
  <si>
    <t>Assumptions!B65</t>
  </si>
  <si>
    <t>CLM-0502</t>
  </si>
  <si>
    <t>Assumptions!C65</t>
  </si>
  <si>
    <t>CLM-0503</t>
  </si>
  <si>
    <t>Assumptions!D65</t>
  </si>
  <si>
    <t>CLM-0504</t>
  </si>
  <si>
    <t>Assumptions!E65</t>
  </si>
  <si>
    <t>CLM-0505</t>
  </si>
  <si>
    <t>Assumptions!F65</t>
  </si>
  <si>
    <t>CLM-0506</t>
  </si>
  <si>
    <t>Bear Segment Operating Margin - Prepared Foods</t>
  </si>
  <si>
    <t>Assumptions!B66</t>
  </si>
  <si>
    <t>CLM-0507</t>
  </si>
  <si>
    <t>Assumptions!C66</t>
  </si>
  <si>
    <t>CLM-0508</t>
  </si>
  <si>
    <t>Assumptions!D66</t>
  </si>
  <si>
    <t>CLM-0509</t>
  </si>
  <si>
    <t>Assumptions!E66</t>
  </si>
  <si>
    <t>CLM-0510</t>
  </si>
  <si>
    <t>Assumptions!F66</t>
  </si>
  <si>
    <t>CLM-0511</t>
  </si>
  <si>
    <t>Bear Segment Operating Margin - International</t>
  </si>
  <si>
    <t>Assumptions!B67</t>
  </si>
  <si>
    <t>CLM-0512</t>
  </si>
  <si>
    <t>Assumptions!C67</t>
  </si>
  <si>
    <t>CLM-0513</t>
  </si>
  <si>
    <t>Assumptions!D67</t>
  </si>
  <si>
    <t>CLM-0514</t>
  </si>
  <si>
    <t>Assumptions!E67</t>
  </si>
  <si>
    <t>CLM-0515</t>
  </si>
  <si>
    <t>Assumptions!F67</t>
  </si>
  <si>
    <t>CLM-0516</t>
  </si>
  <si>
    <t>Forecast</t>
  </si>
  <si>
    <t>Assumptions!B79</t>
  </si>
  <si>
    <t>Direct input</t>
  </si>
  <si>
    <t>Official outlook | Primary-informed assumption</t>
  </si>
  <si>
    <t>CLM-0517</t>
  </si>
  <si>
    <t>A01</t>
  </si>
  <si>
    <t>N/A - analyst input</t>
  </si>
  <si>
    <t>Assumptions!B80</t>
  </si>
  <si>
    <t>CLM-0518</t>
  </si>
  <si>
    <t>Assumptions!B81</t>
  </si>
  <si>
    <t>CLM-0519</t>
  </si>
  <si>
    <t>Assumptions!B82</t>
  </si>
  <si>
    <t>CLM-0520</t>
  </si>
  <si>
    <t>Assumptions!B83</t>
  </si>
  <si>
    <t>CLM-0521</t>
  </si>
  <si>
    <t>Assumptions!B84</t>
  </si>
  <si>
    <t>CLM-0522</t>
  </si>
  <si>
    <t>Assumptions!B85</t>
  </si>
  <si>
    <t>CLM-0523</t>
  </si>
  <si>
    <t>Assumptions!B86</t>
  </si>
  <si>
    <t>Guidance midpoint converted to sales ratio</t>
  </si>
  <si>
    <t>CLM-0524</t>
  </si>
  <si>
    <t>days</t>
  </si>
  <si>
    <t>Assumptions!B87</t>
  </si>
  <si>
    <t>CLM-0525</t>
  </si>
  <si>
    <t>Assumptions!B88</t>
  </si>
  <si>
    <t>CLM-0526</t>
  </si>
  <si>
    <t>Assumptions!B89</t>
  </si>
  <si>
    <t>CLM-0527</t>
  </si>
  <si>
    <t>Assumptions!B90</t>
  </si>
  <si>
    <t>CLM-0528</t>
  </si>
  <si>
    <t>Assumptions!B91</t>
  </si>
  <si>
    <t>CLM-0529</t>
  </si>
  <si>
    <t>Assumptions!B92</t>
  </si>
  <si>
    <t>CLM-0530</t>
  </si>
  <si>
    <t>Assumptions!B93</t>
  </si>
  <si>
    <t>CLM-0531</t>
  </si>
  <si>
    <t>Assumptions!B94</t>
  </si>
  <si>
    <t>CLM-0532</t>
  </si>
  <si>
    <t>Assumptions!B95</t>
  </si>
  <si>
    <t>CLM-0533</t>
  </si>
  <si>
    <t>x</t>
  </si>
  <si>
    <t>Assumptions!B96</t>
  </si>
  <si>
    <t>CLM-0534</t>
  </si>
  <si>
    <t>Assumptions!B97</t>
  </si>
  <si>
    <t>1 divided by 52</t>
  </si>
  <si>
    <t>Official outlook | Derived calendar assumption</t>
  </si>
  <si>
    <t>CLM-0535</t>
  </si>
  <si>
    <t>Assumptions!B98</t>
  </si>
  <si>
    <t>CLM-0536</t>
  </si>
  <si>
    <t>Assumptions!B99</t>
  </si>
  <si>
    <t>CLM-0537</t>
  </si>
  <si>
    <t>Assumptions!B100</t>
  </si>
  <si>
    <t>CLM-0538</t>
  </si>
  <si>
    <t>S05</t>
  </si>
  <si>
    <t>Tyson Foods Q2 FY2026 Form 10-Q</t>
  </si>
  <si>
    <t>0000100493-26-000020</t>
  </si>
  <si>
    <t>https://www.sec.gov/Archives/edgar/data/100493/000010049326000020/tsn-20260328.htm</t>
  </si>
  <si>
    <t>mm shares</t>
  </si>
  <si>
    <t>Assumptions!B101</t>
  </si>
  <si>
    <t>Filed interim | Primary-informed analyst assumption</t>
  </si>
  <si>
    <t>CLM-0539</t>
  </si>
  <si>
    <t>Assumptions!B102</t>
  </si>
  <si>
    <t>Class A plus Class B outstanding</t>
  </si>
  <si>
    <t>Filed interim | Primary / filed</t>
  </si>
  <si>
    <t>CLM-0540</t>
  </si>
  <si>
    <t>Assumptions!B103</t>
  </si>
  <si>
    <t>CLM-0541</t>
  </si>
  <si>
    <t>Assumptions!B104</t>
  </si>
  <si>
    <t>CLM-0542</t>
  </si>
  <si>
    <t>Assumptions!B105</t>
  </si>
  <si>
    <t>CLM-0543</t>
  </si>
  <si>
    <t>Assumptions!B106</t>
  </si>
  <si>
    <t>CLM-0544</t>
  </si>
  <si>
    <t>Assumptions!B107</t>
  </si>
  <si>
    <t>CLM-0545</t>
  </si>
  <si>
    <t>MD&amp;A Summary of Results sales volume, average sales price and legal-contingency bridge</t>
  </si>
  <si>
    <t>Protein_Drivers!B8</t>
  </si>
  <si>
    <t>Direct transcription or disclosed arithmetic</t>
  </si>
  <si>
    <t>Audited filing | Primary / filed</t>
  </si>
  <si>
    <t>CLM-0546</t>
  </si>
  <si>
    <t>Protein_Drivers!B9</t>
  </si>
  <si>
    <t>CLM-0547</t>
  </si>
  <si>
    <t>Protein_Drivers!B10</t>
  </si>
  <si>
    <t>CLM-0548</t>
  </si>
  <si>
    <t>Protein_Drivers!B11</t>
  </si>
  <si>
    <t>CLM-0549</t>
  </si>
  <si>
    <t>Protein_Drivers!B13</t>
  </si>
  <si>
    <t>CLM-0550</t>
  </si>
  <si>
    <t>Protein_Drivers!C8</t>
  </si>
  <si>
    <t>CLM-0551</t>
  </si>
  <si>
    <t>Protein_Drivers!C9</t>
  </si>
  <si>
    <t>CLM-0552</t>
  </si>
  <si>
    <t>Protein_Drivers!C10</t>
  </si>
  <si>
    <t>CLM-0553</t>
  </si>
  <si>
    <t>Protein_Drivers!C11</t>
  </si>
  <si>
    <t>CLM-0554</t>
  </si>
  <si>
    <t>Protein_Drivers!C13</t>
  </si>
  <si>
    <t>CLM-0555</t>
  </si>
  <si>
    <t>Protein_Drivers!D8</t>
  </si>
  <si>
    <t>CLM-0556</t>
  </si>
  <si>
    <t>Protein_Drivers!D9</t>
  </si>
  <si>
    <t>CLM-0557</t>
  </si>
  <si>
    <t>Protein_Drivers!D10</t>
  </si>
  <si>
    <t>CLM-0558</t>
  </si>
  <si>
    <t>Protein_Drivers!D11</t>
  </si>
  <si>
    <t>CLM-0559</t>
  </si>
  <si>
    <t>Protein_Drivers!D13</t>
  </si>
  <si>
    <t>CLM-0560</t>
  </si>
  <si>
    <t>MD&amp;A Cost of Sales bridge between volume and input cost per pound</t>
  </si>
  <si>
    <t>Protein_Drivers!B28</t>
  </si>
  <si>
    <t>CLM-0561</t>
  </si>
  <si>
    <t>Protein_Drivers!B29</t>
  </si>
  <si>
    <t>CLM-0562</t>
  </si>
  <si>
    <t>Protein_Drivers!B30</t>
  </si>
  <si>
    <t>CLM-0563</t>
  </si>
  <si>
    <t>Protein_Drivers!B32</t>
  </si>
  <si>
    <t>CLM-0564</t>
  </si>
  <si>
    <t>Protein_Drivers!C28</t>
  </si>
  <si>
    <t>CLM-0565</t>
  </si>
  <si>
    <t>Protein_Drivers!C29</t>
  </si>
  <si>
    <t>CLM-0566</t>
  </si>
  <si>
    <t>Protein_Drivers!C30</t>
  </si>
  <si>
    <t>CLM-0567</t>
  </si>
  <si>
    <t>Protein_Drivers!C32</t>
  </si>
  <si>
    <t>CLM-0568</t>
  </si>
  <si>
    <t>Protein_Drivers!D28</t>
  </si>
  <si>
    <t>CLM-0569</t>
  </si>
  <si>
    <t>Protein_Drivers!D29</t>
  </si>
  <si>
    <t>CLM-0570</t>
  </si>
  <si>
    <t>Protein_Drivers!D30</t>
  </si>
  <si>
    <t>CLM-0571</t>
  </si>
  <si>
    <t>Protein_Drivers!D32</t>
  </si>
  <si>
    <t>CLM-0572</t>
  </si>
  <si>
    <t>Beef sales volume change</t>
  </si>
  <si>
    <t>Segment Results volume and average sales price table</t>
  </si>
  <si>
    <t>Protein_Drivers!B19</t>
  </si>
  <si>
    <t>CLM-0573</t>
  </si>
  <si>
    <t>Beef average sales price change</t>
  </si>
  <si>
    <t>Protein_Drivers!C19</t>
  </si>
  <si>
    <t>CLM-0574</t>
  </si>
  <si>
    <t>Protein_Drivers!D19</t>
  </si>
  <si>
    <t>CLM-0575</t>
  </si>
  <si>
    <t>Protein_Drivers!E19</t>
  </si>
  <si>
    <t>CLM-0576</t>
  </si>
  <si>
    <t>Pork sales volume change</t>
  </si>
  <si>
    <t>Protein_Drivers!B20</t>
  </si>
  <si>
    <t>CLM-0577</t>
  </si>
  <si>
    <t>Pork average sales price change</t>
  </si>
  <si>
    <t>Protein_Drivers!C20</t>
  </si>
  <si>
    <t>CLM-0578</t>
  </si>
  <si>
    <t>Protein_Drivers!D20</t>
  </si>
  <si>
    <t>CLM-0579</t>
  </si>
  <si>
    <t>Protein_Drivers!E20</t>
  </si>
  <si>
    <t>CLM-0580</t>
  </si>
  <si>
    <t>Chicken sales volume change</t>
  </si>
  <si>
    <t>Protein_Drivers!B21</t>
  </si>
  <si>
    <t>CLM-0581</t>
  </si>
  <si>
    <t>Chicken average sales price change</t>
  </si>
  <si>
    <t>Protein_Drivers!C21</t>
  </si>
  <si>
    <t>CLM-0582</t>
  </si>
  <si>
    <t>Protein_Drivers!D21</t>
  </si>
  <si>
    <t>CLM-0583</t>
  </si>
  <si>
    <t>Protein_Drivers!E21</t>
  </si>
  <si>
    <t>CLM-0584</t>
  </si>
  <si>
    <t>Prepared Foods sales volume change</t>
  </si>
  <si>
    <t>Protein_Drivers!B22</t>
  </si>
  <si>
    <t>CLM-0585</t>
  </si>
  <si>
    <t>Prepared Foods average sales price change</t>
  </si>
  <si>
    <t>Protein_Drivers!C22</t>
  </si>
  <si>
    <t>CLM-0586</t>
  </si>
  <si>
    <t>Protein_Drivers!D22</t>
  </si>
  <si>
    <t>CLM-0587</t>
  </si>
  <si>
    <t>Protein_Drivers!E22</t>
  </si>
  <si>
    <t>CLM-0588</t>
  </si>
  <si>
    <t>International sales volume change</t>
  </si>
  <si>
    <t>Protein_Drivers!D23</t>
  </si>
  <si>
    <t>CLM-0589</t>
  </si>
  <si>
    <t>International average sales price change</t>
  </si>
  <si>
    <t>Protein_Drivers!E23</t>
  </si>
  <si>
    <t>CLM-0590</t>
  </si>
  <si>
    <t>MD&amp;A input cost per pound decomposition</t>
  </si>
  <si>
    <t>Protein_Drivers!B38</t>
  </si>
  <si>
    <t>CLM-0591</t>
  </si>
  <si>
    <t>Protein_Drivers!C38</t>
  </si>
  <si>
    <t>CLM-0592</t>
  </si>
  <si>
    <t>Protein_Drivers!B39</t>
  </si>
  <si>
    <t>CLM-0593</t>
  </si>
  <si>
    <t>Protein_Drivers!C39</t>
  </si>
  <si>
    <t>CLM-0594</t>
  </si>
  <si>
    <t>Protein_Drivers!B40</t>
  </si>
  <si>
    <t>CLM-0595</t>
  </si>
  <si>
    <t>Protein_Drivers!C40</t>
  </si>
  <si>
    <t>CLM-0596</t>
  </si>
  <si>
    <t>Protein_Drivers!B41</t>
  </si>
  <si>
    <t>CLM-0597</t>
  </si>
  <si>
    <t>Protein_Drivers!C41</t>
  </si>
  <si>
    <t>CLM-0598</t>
  </si>
  <si>
    <t>Protein_Drivers!B42</t>
  </si>
  <si>
    <t>CLM-0599</t>
  </si>
  <si>
    <t>Protein_Drivers!C42</t>
  </si>
  <si>
    <t>CLM-0600</t>
  </si>
  <si>
    <t>Protein_Drivers!B43</t>
  </si>
  <si>
    <t>CLM-0601</t>
  </si>
  <si>
    <t>Protein_Drivers!C43</t>
  </si>
  <si>
    <t>CLM-0602</t>
  </si>
  <si>
    <t>Protein_Drivers!B44</t>
  </si>
  <si>
    <t>CLM-0603</t>
  </si>
  <si>
    <t>Protein_Drivers!C44</t>
  </si>
  <si>
    <t>CLM-0604</t>
  </si>
  <si>
    <t>Protein_Drivers!B45</t>
  </si>
  <si>
    <t>CLM-0605</t>
  </si>
  <si>
    <t>Protein_Drivers!C45</t>
  </si>
  <si>
    <t>CLM-0606</t>
  </si>
  <si>
    <t>Protein_Drivers!C46</t>
  </si>
  <si>
    <t>CLM-0607</t>
  </si>
  <si>
    <t>Protein_Drivers!B47</t>
  </si>
  <si>
    <t>CLM-0608</t>
  </si>
  <si>
    <t>Beef volume growth</t>
  </si>
  <si>
    <t>FY2026 USDA production assumption used as volume anchor</t>
  </si>
  <si>
    <t>Protein_Drivers!B56</t>
  </si>
  <si>
    <t>CLM-0609</t>
  </si>
  <si>
    <t>Editable normalized volume assumption</t>
  </si>
  <si>
    <t>Protein_Drivers!C56</t>
  </si>
  <si>
    <t>CLM-0610</t>
  </si>
  <si>
    <t>Protein_Drivers!D56</t>
  </si>
  <si>
    <t>CLM-0611</t>
  </si>
  <si>
    <t>Protein_Drivers!E56</t>
  </si>
  <si>
    <t>CLM-0612</t>
  </si>
  <si>
    <t>Protein_Drivers!F56</t>
  </si>
  <si>
    <t>CLM-0613</t>
  </si>
  <si>
    <t>Pork volume growth</t>
  </si>
  <si>
    <t>Protein_Drivers!B57</t>
  </si>
  <si>
    <t>CLM-0614</t>
  </si>
  <si>
    <t>Protein_Drivers!C57</t>
  </si>
  <si>
    <t>CLM-0615</t>
  </si>
  <si>
    <t>Protein_Drivers!D57</t>
  </si>
  <si>
    <t>CLM-0616</t>
  </si>
  <si>
    <t>Protein_Drivers!E57</t>
  </si>
  <si>
    <t>CLM-0617</t>
  </si>
  <si>
    <t>Protein_Drivers!F57</t>
  </si>
  <si>
    <t>CLM-0618</t>
  </si>
  <si>
    <t>Chicken volume growth</t>
  </si>
  <si>
    <t>Protein_Drivers!B58</t>
  </si>
  <si>
    <t>CLM-0619</t>
  </si>
  <si>
    <t>Protein_Drivers!C58</t>
  </si>
  <si>
    <t>CLM-0620</t>
  </si>
  <si>
    <t>Protein_Drivers!D58</t>
  </si>
  <si>
    <t>CLM-0621</t>
  </si>
  <si>
    <t>Protein_Drivers!E58</t>
  </si>
  <si>
    <t>CLM-0622</t>
  </si>
  <si>
    <t>Protein_Drivers!F58</t>
  </si>
  <si>
    <t>CLM-0623</t>
  </si>
  <si>
    <t>Prepared Foods volume growth</t>
  </si>
  <si>
    <t>Protein_Drivers!B59</t>
  </si>
  <si>
    <t>CLM-0624</t>
  </si>
  <si>
    <t>Protein_Drivers!C59</t>
  </si>
  <si>
    <t>CLM-0625</t>
  </si>
  <si>
    <t>Protein_Drivers!D59</t>
  </si>
  <si>
    <t>CLM-0626</t>
  </si>
  <si>
    <t>Protein_Drivers!E59</t>
  </si>
  <si>
    <t>CLM-0627</t>
  </si>
  <si>
    <t>Protein_Drivers!F59</t>
  </si>
  <si>
    <t>CLM-0628</t>
  </si>
  <si>
    <t>International volume growth</t>
  </si>
  <si>
    <t>Protein_Drivers!B60</t>
  </si>
  <si>
    <t>CLM-0629</t>
  </si>
  <si>
    <t>Protein_Drivers!C60</t>
  </si>
  <si>
    <t>CLM-0630</t>
  </si>
  <si>
    <t>Protein_Drivers!D60</t>
  </si>
  <si>
    <t>CLM-0631</t>
  </si>
  <si>
    <t>Protein_Drivers!E60</t>
  </si>
  <si>
    <t>CLM-0632</t>
  </si>
  <si>
    <t>Protein_Drivers!F60</t>
  </si>
  <si>
    <t>CLM-0633</t>
  </si>
  <si>
    <t>Intersegment eliminations volume growth</t>
  </si>
  <si>
    <t>Protein_Drivers!B61</t>
  </si>
  <si>
    <t>CLM-0634</t>
  </si>
  <si>
    <t>Protein_Drivers!C61</t>
  </si>
  <si>
    <t>CLM-0635</t>
  </si>
  <si>
    <t>Protein_Drivers!D61</t>
  </si>
  <si>
    <t>CLM-0636</t>
  </si>
  <si>
    <t>Protein_Drivers!E61</t>
  </si>
  <si>
    <t>CLM-0637</t>
  </si>
  <si>
    <t>Protein_Drivers!F61</t>
  </si>
  <si>
    <t>CLM-0638</t>
  </si>
  <si>
    <t>Beef - cattle availability / cost margin overlay</t>
  </si>
  <si>
    <t>Editable scenario magnitude informed by S03/S05 protein input-cost and operating-driver disclosures</t>
  </si>
  <si>
    <t>Protein_Drivers!B85</t>
  </si>
  <si>
    <t>Unsourced assumption | Primary-informed analyst sensitivity</t>
  </si>
  <si>
    <t>CLM-0639</t>
  </si>
  <si>
    <t>Protein_Drivers!C85</t>
  </si>
  <si>
    <t>CLM-0640</t>
  </si>
  <si>
    <t>Protein_Drivers!D85</t>
  </si>
  <si>
    <t>CLM-0641</t>
  </si>
  <si>
    <t>Protein_Drivers!E85</t>
  </si>
  <si>
    <t>CLM-0642</t>
  </si>
  <si>
    <t>Protein_Drivers!F85</t>
  </si>
  <si>
    <t>CLM-0643</t>
  </si>
  <si>
    <t>Pork - hog cost / live operations margin overlay</t>
  </si>
  <si>
    <t>Protein_Drivers!B86</t>
  </si>
  <si>
    <t>CLM-0644</t>
  </si>
  <si>
    <t>Protein_Drivers!C86</t>
  </si>
  <si>
    <t>CLM-0645</t>
  </si>
  <si>
    <t>Protein_Drivers!D86</t>
  </si>
  <si>
    <t>CLM-0646</t>
  </si>
  <si>
    <t>Protein_Drivers!E86</t>
  </si>
  <si>
    <t>CLM-0647</t>
  </si>
  <si>
    <t>Protein_Drivers!F86</t>
  </si>
  <si>
    <t>CLM-0648</t>
  </si>
  <si>
    <t>Chicken - feed / live performance margin overlay</t>
  </si>
  <si>
    <t>Protein_Drivers!B87</t>
  </si>
  <si>
    <t>CLM-0649</t>
  </si>
  <si>
    <t>Protein_Drivers!C87</t>
  </si>
  <si>
    <t>CLM-0650</t>
  </si>
  <si>
    <t>Protein_Drivers!D87</t>
  </si>
  <si>
    <t>CLM-0651</t>
  </si>
  <si>
    <t>Protein_Drivers!E87</t>
  </si>
  <si>
    <t>CLM-0652</t>
  </si>
  <si>
    <t>Protein_Drivers!F87</t>
  </si>
  <si>
    <t>CLM-0653</t>
  </si>
  <si>
    <t>Prepared Foods - raw materials / pass-through margin overlay</t>
  </si>
  <si>
    <t>Protein_Drivers!B88</t>
  </si>
  <si>
    <t>CLM-0654</t>
  </si>
  <si>
    <t>Protein_Drivers!C88</t>
  </si>
  <si>
    <t>CLM-0655</t>
  </si>
  <si>
    <t>Protein_Drivers!D88</t>
  </si>
  <si>
    <t>CLM-0656</t>
  </si>
  <si>
    <t>Protein_Drivers!E88</t>
  </si>
  <si>
    <t>CLM-0657</t>
  </si>
  <si>
    <t>Protein_Drivers!F88</t>
  </si>
  <si>
    <t>CLM-0658</t>
  </si>
  <si>
    <t>International - raw materials / execution margin overlay</t>
  </si>
  <si>
    <t>Protein_Drivers!B89</t>
  </si>
  <si>
    <t>CLM-0659</t>
  </si>
  <si>
    <t>Protein_Drivers!C89</t>
  </si>
  <si>
    <t>CLM-0660</t>
  </si>
  <si>
    <t>Protein_Drivers!D89</t>
  </si>
  <si>
    <t>CLM-0661</t>
  </si>
  <si>
    <t>Protein_Drivers!E89</t>
  </si>
  <si>
    <t>CLM-0662</t>
  </si>
  <si>
    <t>Protein_Drivers!F89</t>
  </si>
  <si>
    <t>CLM-0663</t>
  </si>
  <si>
    <t>6M FY2026 Sales</t>
  </si>
  <si>
    <t>6M FY2026 ended 2026-03-28</t>
  </si>
  <si>
    <t>Q2 FY2026 consolidated statements / six-month column</t>
  </si>
  <si>
    <t>Interim_Bridge!B7</t>
  </si>
  <si>
    <t>Direct transcription from filed 10-Q</t>
  </si>
  <si>
    <t>CLM-0664</t>
  </si>
  <si>
    <t>6M FY2026 Operating income</t>
  </si>
  <si>
    <t>Interim_Bridge!B8</t>
  </si>
  <si>
    <t>CLM-0665</t>
  </si>
  <si>
    <t>6M FY2026 Cash from operating activities</t>
  </si>
  <si>
    <t>Interim_Bridge!B9</t>
  </si>
  <si>
    <t>CLM-0666</t>
  </si>
  <si>
    <t>6M FY2026 Capital expenditures</t>
  </si>
  <si>
    <t>Interim_Bridge!B10</t>
  </si>
  <si>
    <t>CLM-0667</t>
  </si>
  <si>
    <t>No additional full-year comparability items modeled</t>
  </si>
  <si>
    <t>Interim_Bridge!D11</t>
  </si>
  <si>
    <t>Direct analyst assumption</t>
  </si>
  <si>
    <t>CLM-0668</t>
  </si>
  <si>
    <t>6M FY2026 Beef sales</t>
  </si>
  <si>
    <t>Q2 FY2026 segment sales table / six-month column</t>
  </si>
  <si>
    <t>Interim_Bridge!B14</t>
  </si>
  <si>
    <t>CLM-0669</t>
  </si>
  <si>
    <t>6M FY2026 Pork sales</t>
  </si>
  <si>
    <t>Interim_Bridge!B15</t>
  </si>
  <si>
    <t>CLM-0670</t>
  </si>
  <si>
    <t>6M FY2026 Chicken sales</t>
  </si>
  <si>
    <t>Interim_Bridge!B16</t>
  </si>
  <si>
    <t>CLM-0671</t>
  </si>
  <si>
    <t>6M FY2026 Prepared Foods sales</t>
  </si>
  <si>
    <t>Interim_Bridge!B17</t>
  </si>
  <si>
    <t>CLM-0672</t>
  </si>
  <si>
    <t>6M FY2026 International sales</t>
  </si>
  <si>
    <t>Interim_Bridge!B18</t>
  </si>
  <si>
    <t>CLM-0673</t>
  </si>
  <si>
    <t>6M FY2026 Intersegment eliminations sales</t>
  </si>
  <si>
    <t>Interim_Bridge!B19</t>
  </si>
  <si>
    <t>CLM-0674</t>
  </si>
  <si>
    <t>6M FY2026 Beef operating income</t>
  </si>
  <si>
    <t>Q2 FY2026 segment operating income table / six-month column</t>
  </si>
  <si>
    <t>Interim_Bridge!B23</t>
  </si>
  <si>
    <t>CLM-0675</t>
  </si>
  <si>
    <t>6M FY2026 Pork operating income</t>
  </si>
  <si>
    <t>Interim_Bridge!B24</t>
  </si>
  <si>
    <t>CLM-0676</t>
  </si>
  <si>
    <t>6M FY2026 Chicken operating income</t>
  </si>
  <si>
    <t>Interim_Bridge!B25</t>
  </si>
  <si>
    <t>CLM-0677</t>
  </si>
  <si>
    <t>6M FY2026 Prepared Foods operating income</t>
  </si>
  <si>
    <t>Interim_Bridge!B26</t>
  </si>
  <si>
    <t>CLM-0678</t>
  </si>
  <si>
    <t>6M FY2026 International operating income</t>
  </si>
  <si>
    <t>Interim_Bridge!B27</t>
  </si>
  <si>
    <t>CLM-0679</t>
  </si>
  <si>
    <t>6M FY2026 Corporate expenses</t>
  </si>
  <si>
    <t>Q2 FY2026 recast segment table</t>
  </si>
  <si>
    <t>Interim_Bridge!B28</t>
  </si>
  <si>
    <t>CLM-0680</t>
  </si>
  <si>
    <t>6M FY2026 Amortization</t>
  </si>
  <si>
    <t>Interim_Bridge!B29</t>
  </si>
  <si>
    <t>CLM-0681</t>
  </si>
  <si>
    <t>Note 6 Debt, major components of debt</t>
  </si>
  <si>
    <t>Debt_Credit!B6</t>
  </si>
  <si>
    <t>CLM-0682</t>
  </si>
  <si>
    <t>Debt_Credit!B7</t>
  </si>
  <si>
    <t>CLM-0683</t>
  </si>
  <si>
    <t>Debt_Credit!B8</t>
  </si>
  <si>
    <t>CLM-0684</t>
  </si>
  <si>
    <t>Debt_Credit!B9</t>
  </si>
  <si>
    <t>CLM-0685</t>
  </si>
  <si>
    <t>Debt_Credit!B10</t>
  </si>
  <si>
    <t>CLM-0686</t>
  </si>
  <si>
    <t>Debt_Credit!B11</t>
  </si>
  <si>
    <t>CLM-0687</t>
  </si>
  <si>
    <t>Debt_Credit!B12</t>
  </si>
  <si>
    <t>CLM-0688</t>
  </si>
  <si>
    <t>Debt_Credit!B13</t>
  </si>
  <si>
    <t>CLM-0689</t>
  </si>
  <si>
    <t>Debt_Credit!B14</t>
  </si>
  <si>
    <t>CLM-0690</t>
  </si>
  <si>
    <t>Debt_Credit!B15</t>
  </si>
  <si>
    <t>CLM-0691</t>
  </si>
  <si>
    <t>Debt_Credit!B16</t>
  </si>
  <si>
    <t>CLM-0692</t>
  </si>
  <si>
    <t>Debt_Credit!B17</t>
  </si>
  <si>
    <t>CLM-0693</t>
  </si>
  <si>
    <t>Debt_Credit!B18</t>
  </si>
  <si>
    <t>CLM-0694</t>
  </si>
  <si>
    <t>Debt_Credit!B19</t>
  </si>
  <si>
    <t>CLM-0695</t>
  </si>
  <si>
    <t>Debt_Credit!B20</t>
  </si>
  <si>
    <t>CLM-0696</t>
  </si>
  <si>
    <t>Debt_Credit!B21</t>
  </si>
  <si>
    <t>CLM-0697</t>
  </si>
  <si>
    <t>Note 6 Debt</t>
  </si>
  <si>
    <t>Debt_Credit!B23</t>
  </si>
  <si>
    <t>CLM-0698</t>
  </si>
  <si>
    <t>Debt_Credit!B24</t>
  </si>
  <si>
    <t>CLM-0699</t>
  </si>
  <si>
    <t>Note 11 fair value</t>
  </si>
  <si>
    <t>Debt_Credit!B30</t>
  </si>
  <si>
    <t>CLM-0700</t>
  </si>
  <si>
    <t>Market risk disclosure</t>
  </si>
  <si>
    <t>Debt_Credit!B31</t>
  </si>
  <si>
    <t>CLM-0701</t>
  </si>
  <si>
    <t>Debt_Credit!B32</t>
  </si>
  <si>
    <t>CLM-0702</t>
  </si>
  <si>
    <t>Balance sheet</t>
  </si>
  <si>
    <t>Debt_Credit!B33</t>
  </si>
  <si>
    <t>CLM-0703</t>
  </si>
  <si>
    <t>Outlook liquidity</t>
  </si>
  <si>
    <t>Debt_Credit!B35</t>
  </si>
  <si>
    <t>Official outlook | Primary / filed</t>
  </si>
  <si>
    <t>CLM-0704</t>
  </si>
  <si>
    <t>Debt_Credit!B36</t>
  </si>
  <si>
    <t>CLM-0705</t>
  </si>
  <si>
    <t>Debt_Credit!B37</t>
  </si>
  <si>
    <t>CLM-0706</t>
  </si>
  <si>
    <t>Debt_Credit!B38</t>
  </si>
  <si>
    <t>CLM-0707</t>
  </si>
  <si>
    <t>Debt_Credit!B39</t>
  </si>
  <si>
    <t>CLM-0708</t>
  </si>
  <si>
    <t>Debt_Credit!B40</t>
  </si>
  <si>
    <t>CLM-0709</t>
  </si>
  <si>
    <t>Q2 FY2026 balance sheet</t>
  </si>
  <si>
    <t>DCF!B24</t>
  </si>
  <si>
    <t>CLM-0710</t>
  </si>
  <si>
    <t>Current debt plus long-term debt at Q2 FY2026</t>
  </si>
  <si>
    <t>DCF!B25</t>
  </si>
  <si>
    <t>CLM-0711</t>
  </si>
  <si>
    <t>Gross debt less cash</t>
  </si>
  <si>
    <t>DCF!B26</t>
  </si>
  <si>
    <t>Filed interim | Primary-derived</t>
  </si>
  <si>
    <t>CLM-0712</t>
  </si>
  <si>
    <t>DCF!B27</t>
  </si>
  <si>
    <t>CLM-0713</t>
  </si>
  <si>
    <t>Class A shares</t>
  </si>
  <si>
    <t>Q2 FY2026 cover / shares outstanding</t>
  </si>
  <si>
    <t>DCF!B36</t>
  </si>
  <si>
    <t>CLM-0714</t>
  </si>
  <si>
    <t>Class B shares</t>
  </si>
  <si>
    <t>DCF!B37</t>
  </si>
  <si>
    <t>Model Checks</t>
  </si>
  <si>
    <t>One assertion per row; overall status aggregates all formula-driven controls</t>
  </si>
  <si>
    <t>OVERALL MODEL STATUS</t>
  </si>
  <si>
    <t>Check</t>
  </si>
  <si>
    <t>Actual</t>
  </si>
  <si>
    <t>Expected</t>
  </si>
  <si>
    <t>Difference</t>
  </si>
  <si>
    <t>Tolerance</t>
  </si>
  <si>
    <t>Notes / fix hint</t>
  </si>
  <si>
    <t>FY2021 gross profit</t>
  </si>
  <si>
    <t>FY2021 balance sheet</t>
  </si>
  <si>
    <t>FY2021 segment sales</t>
  </si>
  <si>
    <t>FY2021 segment OI</t>
  </si>
  <si>
    <t>FY2022 gross profit</t>
  </si>
  <si>
    <t>FY2022 balance sheet</t>
  </si>
  <si>
    <t>FY2022 segment sales</t>
  </si>
  <si>
    <t>FY2022 segment OI</t>
  </si>
  <si>
    <t>FY2023 gross profit</t>
  </si>
  <si>
    <t>FY2023 balance sheet</t>
  </si>
  <si>
    <t>FY2023 segment sales</t>
  </si>
  <si>
    <t>FY2023 segment OI</t>
  </si>
  <si>
    <t>FY2024 gross profit</t>
  </si>
  <si>
    <t>FY2024 balance sheet</t>
  </si>
  <si>
    <t>FY2024 segment sales</t>
  </si>
  <si>
    <t>FY2024 segment OI</t>
  </si>
  <si>
    <t>FY2025 gross profit</t>
  </si>
  <si>
    <t>FY2025 balance sheet</t>
  </si>
  <si>
    <t>FY2025 segment sales</t>
  </si>
  <si>
    <t>FY2025 segment OI</t>
  </si>
  <si>
    <t>FY2026 balance sheet</t>
  </si>
  <si>
    <t>Trace Forecast_3Stmt BS schedules</t>
  </si>
  <si>
    <t>FY2026 minimum cash floor</t>
  </si>
  <si>
    <t>Actual ending cash may exceed the floor once debt reaches zero</t>
  </si>
  <si>
    <t>FY2026 debt nonnegative</t>
  </si>
  <si>
    <t>Negative debt indicates excess cash policy needs revision</t>
  </si>
  <si>
    <t>FY2026 FCF tie</t>
  </si>
  <si>
    <t>FY2026 Tyson equity roll</t>
  </si>
  <si>
    <t>FY2027 balance sheet</t>
  </si>
  <si>
    <t>FY2027 minimum cash floor</t>
  </si>
  <si>
    <t>FY2027 debt nonnegative</t>
  </si>
  <si>
    <t>FY2027 FCF tie</t>
  </si>
  <si>
    <t>FY2027 Tyson equity roll</t>
  </si>
  <si>
    <t>FY2028 balance sheet</t>
  </si>
  <si>
    <t>FY2028 minimum cash floor</t>
  </si>
  <si>
    <t>FY2028 debt nonnegative</t>
  </si>
  <si>
    <t>FY2028 FCF tie</t>
  </si>
  <si>
    <t>FY2028 Tyson equity roll</t>
  </si>
  <si>
    <t>FY2029 balance sheet</t>
  </si>
  <si>
    <t>FY2029 minimum cash floor</t>
  </si>
  <si>
    <t>FY2029 debt nonnegative</t>
  </si>
  <si>
    <t>FY2029 FCF tie</t>
  </si>
  <si>
    <t>FY2029 Tyson equity roll</t>
  </si>
  <si>
    <t>FY2030 balance sheet</t>
  </si>
  <si>
    <t>FY2030 minimum cash floor</t>
  </si>
  <si>
    <t>FY2030 debt nonnegative</t>
  </si>
  <si>
    <t>FY2030 FCF tie</t>
  </si>
  <si>
    <t>FY2030 Tyson equity roll</t>
  </si>
  <si>
    <t>DCF equity bridge</t>
  </si>
  <si>
    <t>DCF share bridge</t>
  </si>
  <si>
    <t>DCF timing H2 stub</t>
  </si>
  <si>
    <t>DCF terminal timing</t>
  </si>
  <si>
    <t>Base-only FY26 comparable sales growth</t>
  </si>
  <si>
    <t>Official Base range is 2%-4%; neutral outside Base</t>
  </si>
  <si>
    <t>Base-only FY26 52-week adjusted operating income</t>
  </si>
  <si>
    <t>Official Base adjusted OI range is $2.2-$2.4bn; neutral outside Base</t>
  </si>
  <si>
    <t>Claim-level source mappings</t>
  </si>
  <si>
    <t>Source URLs complete</t>
  </si>
  <si>
    <t>Source locators complete</t>
  </si>
  <si>
    <t>Source destinations complete</t>
  </si>
  <si>
    <t>Source statuses complete</t>
  </si>
  <si>
    <t>FY24 sales volume-price bridge</t>
  </si>
  <si>
    <t>FY24 cost volume-input bridge</t>
  </si>
  <si>
    <t>FY25 sales volume-price bridge</t>
  </si>
  <si>
    <t>FY25 cost volume-input bridge</t>
  </si>
  <si>
    <t>6M FY26 sales volume-price bridge</t>
  </si>
  <si>
    <t>6M FY26 cost volume-input bridge</t>
  </si>
  <si>
    <t>FY25 input-cost decomposition</t>
  </si>
  <si>
    <t>6M FY26 input-cost decomposition</t>
  </si>
  <si>
    <t>Q2 FY26 debt stack total</t>
  </si>
  <si>
    <t>Q2 FY26 debt classification</t>
  </si>
  <si>
    <t>FY2026 Beef volume-price sales build</t>
  </si>
  <si>
    <t>FY2027 Beef volume-price sales build</t>
  </si>
  <si>
    <t>FY2028 Beef volume-price sales build</t>
  </si>
  <si>
    <t>FY2029 Beef volume-price sales build</t>
  </si>
  <si>
    <t>FY2030 Beef volume-price sales build</t>
  </si>
  <si>
    <t>FY2026 Beef margin driver</t>
  </si>
  <si>
    <t>FY2026 Pork margin driver</t>
  </si>
  <si>
    <t>FY2026 Chicken margin driver</t>
  </si>
  <si>
    <t>FY2026 Prepared Foods margin driver</t>
  </si>
  <si>
    <t>FY2026 International margin driver</t>
  </si>
  <si>
    <t>Change Log</t>
  </si>
  <si>
    <t>Controlled Tyson MOG build</t>
  </si>
  <si>
    <t>Version</t>
  </si>
  <si>
    <t>Date</t>
  </si>
  <si>
    <t>Change</t>
  </si>
  <si>
    <t>Engine</t>
  </si>
  <si>
    <t>Author</t>
  </si>
  <si>
    <t>Initial MOG-native institutional model</t>
  </si>
  <si>
    <t>@mog-sdk/sdk 0.10.5</t>
  </si>
  <si>
    <t>OpenAI Codex</t>
  </si>
  <si>
    <t>Built</t>
  </si>
  <si>
    <t>Added Q2 FY2026 interim bridge and FY23-FY25 segment recast</t>
  </si>
  <si>
    <t>Added stub-period DCF, dynamic scenarios, checks and claim ledger</t>
  </si>
  <si>
    <t>@mog-sdk/sdk + CLI 0.10.5</t>
  </si>
  <si>
    <t>Verified</t>
  </si>
  <si>
    <t>Added protein VPM, input-cost and debt/covenant schedules; freeze governance.</t>
  </si>
  <si>
    <t>Finalized via MOG CLI</t>
  </si>
  <si>
    <t>Model Limitations &amp; Certification Status</t>
  </si>
  <si>
    <t>Transparent boundary between sourced facts, analyst judgment and completed validation</t>
  </si>
  <si>
    <t>ID</t>
  </si>
  <si>
    <t>Area</t>
  </si>
  <si>
    <t>Limitation</t>
  </si>
  <si>
    <t>Model treatment</t>
  </si>
  <si>
    <t>Impact</t>
  </si>
  <si>
    <t>L01</t>
  </si>
  <si>
    <t>Certification</t>
  </si>
  <si>
    <t>Version 2.0.0 is owner-gated; independent frozen-artifact review is pending.</t>
  </si>
  <si>
    <t>Exact hash and receipts are bound in the external freeze manifest.</t>
  </si>
  <si>
    <t>No self-certification is asserted.</t>
  </si>
  <si>
    <t>L02</t>
  </si>
  <si>
    <t>Calculation engine</t>
  </si>
  <si>
    <t>Validated only in MOG 0.10.5.</t>
  </si>
  <si>
    <t>SDK build/reopen plus CLI finalization.</t>
  </si>
  <si>
    <t>No Excel or LibreOffice certification.</t>
  </si>
  <si>
    <t>L03</t>
  </si>
  <si>
    <t>Valuation</t>
  </si>
  <si>
    <t>WACC, TGR and exit multiple are analyst inputs.</t>
  </si>
  <si>
    <t>Visible inputs plus sensitivity table.</t>
  </si>
  <si>
    <t>DCF is decision support, not market fact.</t>
  </si>
  <si>
    <t>L04</t>
  </si>
  <si>
    <t>Market data</t>
  </si>
  <si>
    <t>No reliable date-matched price, beta, ERP or comps pack was forced.</t>
  </si>
  <si>
    <t>DCF inputs remain disclosed analyst judgments.</t>
  </si>
  <si>
    <t>No market recommendation asserted.</t>
  </si>
  <si>
    <t>L05</t>
  </si>
  <si>
    <t>FY2026 bridge</t>
  </si>
  <si>
    <t>H2 stub and week 53 are proportional.</t>
  </si>
  <si>
    <t>6M actual and week 53 shown separately.</t>
  </si>
  <si>
    <t>Seasonality may differ.</t>
  </si>
  <si>
    <t>L06</t>
  </si>
  <si>
    <t>Forecast balance sheet</t>
  </si>
  <si>
    <t>Shares and selected BS lines are simplified.</t>
  </si>
  <si>
    <t>All simplifications are visible inputs.</t>
  </si>
  <si>
    <t>Precision below management guidance.</t>
  </si>
  <si>
    <t>L07</t>
  </si>
  <si>
    <t>Segment comparability</t>
  </si>
  <si>
    <t>FY21-22 legacy; FY23-25 June 2026 recast.</t>
  </si>
  <si>
    <t>Comparability break is labeled.</t>
  </si>
  <si>
    <t>Long trends are not fully like-for-like.</t>
  </si>
  <si>
    <t>L08</t>
  </si>
  <si>
    <t>Adjusted earnings</t>
  </si>
  <si>
    <t>FY2026 future adjustment modeled at zero.</t>
  </si>
  <si>
    <t>Explicit input on bridge and assumptions.</t>
  </si>
  <si>
    <t>Future items could change guidance bridge.</t>
  </si>
</sst>
</file>

<file path=xl/styles.xml><?xml version="1.0" encoding="utf-8"?>
<styleSheet xmlns="http://schemas.openxmlformats.org/spreadsheetml/2006/main">
  <numFmts count="9">
    <numFmt numFmtId="164" formatCode="$#,##0;[Red]($#,##0);-"/>
    <numFmt numFmtId="165" formatCode="$0.00;[Red]($0.00);-"/>
    <numFmt numFmtId="166" formatCode="0.0%;[Red](0.0%);-"/>
    <numFmt numFmtId="167" formatCode="yyyy-mm-dd"/>
    <numFmt numFmtId="168" formatCode="#,##0;[Red](#,##0);-"/>
    <numFmt numFmtId="169" formatCode="0.000"/>
    <numFmt numFmtId="170" formatCode="0.0"/>
    <numFmt numFmtId="171" formatCode="0.000x"/>
    <numFmt numFmtId="172" formatCode="0.0x;[Red](0.0x);-"/>
  </numFmts>
  <fonts count="8">
    <font>
      <sz val="11"/>
      <color theme="1"/>
      <name val="Calibri"/>
      <family val="2"/>
      <scheme val="minor"/>
    </font>
    <font>
      <b/>
      <i val="0"/>
      <strike val="0"/>
      <sz val="11"/>
      <color rgb="FF000000"/>
      <name val="Calibri"/>
    </font>
    <font>
      <b val="0"/>
      <i val="0"/>
      <strike val="0"/>
      <sz val="11"/>
      <color rgb="FF000000"/>
      <name val="Calibri"/>
    </font>
    <font>
      <b/>
      <i val="0"/>
      <strike val="0"/>
      <sz val="11"/>
      <color rgb="FFFFFFFF"/>
      <name val="Calibri"/>
    </font>
    <font>
      <b/>
      <i val="0"/>
      <strike val="0"/>
      <sz val="18"/>
      <color rgb="FFFFFFFF"/>
      <name val="Calibri"/>
    </font>
    <font>
      <b val="0"/>
      <i/>
      <strike val="0"/>
      <sz val="11"/>
      <color rgb="FF595959"/>
      <name val="Calibri"/>
    </font>
    <font>
      <b val="0"/>
      <i val="0"/>
      <strike val="0"/>
      <sz val="9"/>
      <color rgb="FF000000"/>
      <name val="Calibri"/>
    </font>
    <font>
      <b val="0"/>
      <i val="0"/>
      <strike val="0"/>
      <sz val="11"/>
      <color rgb="FF0000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none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4">
    <border/>
    <border>
      <bottom style="medium">
        <color rgb="FF17365D"/>
      </bottom>
    </border>
    <border>
      <bottom style="thin">
        <color rgb="FF595959"/>
      </bottom>
    </border>
    <border>
      <top style="thin">
        <color rgb="FF000000"/>
      </top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 applyProtection="1">
      <alignment horizontal="general" vertical="bottom"/>
      <protection locked="1" hidden="0"/>
    </xf>
    <xf numFmtId="0" fontId="2" fillId="3" borderId="0" xfId="0" applyFont="1" applyFill="1" applyAlignment="1" applyProtection="1">
      <alignment horizontal="general" vertical="bottom" wrapText="1"/>
      <protection locked="1" hidden="0"/>
    </xf>
    <xf numFmtId="0" fontId="3" fillId="4" borderId="1" xfId="0" applyFont="1" applyFill="1" applyBorder="1" applyAlignment="1" applyProtection="1">
      <alignment horizontal="general" vertical="bottom"/>
      <protection locked="1" hidden="0"/>
    </xf>
    <xf numFmtId="0" fontId="1" fillId="5" borderId="2" xfId="0" applyFont="1" applyFill="1" applyBorder="1" applyAlignment="1" applyProtection="1">
      <alignment horizontal="right" vertical="bottom"/>
      <protection locked="1" hidden="0"/>
    </xf>
    <xf numFmtId="0" fontId="4" fillId="6" borderId="0" xfId="0" applyFont="1" applyFill="1" applyAlignment="1" applyProtection="1">
      <alignment horizontal="general" vertical="center"/>
      <protection locked="1" hidden="0"/>
    </xf>
    <xf numFmtId="0" fontId="1" fillId="7" borderId="2" xfId="0" applyFont="1" applyFill="1" applyBorder="1" applyAlignment="1" applyProtection="1">
      <alignment horizontal="right" vertical="bottom"/>
      <protection locked="1" hidden="0"/>
    </xf>
    <xf numFmtId="0" fontId="5" fillId="2" borderId="0" xfId="0" applyFont="1" applyFill="1" applyAlignment="1" applyProtection="1">
      <alignment horizontal="general" vertical="bottom" wrapText="1"/>
      <protection locked="1" hidden="0"/>
    </xf>
    <xf numFmtId="164" fontId="2" fillId="3" borderId="0" xfId="0" applyNumberFormat="1" applyFont="1" applyFill="1" applyAlignment="1" applyProtection="1">
      <alignment horizontal="general" vertical="bottom"/>
      <protection locked="1" hidden="0"/>
    </xf>
    <xf numFmtId="165" fontId="2" fillId="3" borderId="0" xfId="0" applyNumberFormat="1" applyFont="1" applyFill="1" applyAlignment="1" applyProtection="1">
      <alignment horizontal="general" vertical="bottom"/>
      <protection locked="1" hidden="0"/>
    </xf>
    <xf numFmtId="0" fontId="3" fillId="4" borderId="0" xfId="0" applyFont="1" applyFill="1" applyAlignment="1" applyProtection="1">
      <alignment horizontal="general" vertical="bottom"/>
      <protection locked="1" hidden="0"/>
    </xf>
    <xf numFmtId="164" fontId="1" fillId="3" borderId="3" xfId="0" applyNumberFormat="1" applyFont="1" applyFill="1" applyBorder="1" applyAlignment="1" applyProtection="1">
      <alignment horizontal="general" vertical="bottom"/>
      <protection locked="1" hidden="0"/>
    </xf>
    <xf numFmtId="0" fontId="4" fillId="6" borderId="0" xfId="0" applyFont="1" applyFill="1" applyAlignment="1" applyProtection="1">
      <alignment horizontal="general" vertical="bottom"/>
      <protection locked="1" hidden="0"/>
    </xf>
    <xf numFmtId="166" fontId="2" fillId="3" borderId="0" xfId="0" applyNumberFormat="1" applyFont="1" applyFill="1" applyAlignment="1" applyProtection="1">
      <alignment horizontal="general" vertical="bottom"/>
      <protection locked="1" hidden="0"/>
    </xf>
    <xf numFmtId="166" fontId="1" fillId="5" borderId="2" xfId="0" applyNumberFormat="1" applyFont="1" applyFill="1" applyBorder="1" applyAlignment="1" applyProtection="1">
      <alignment horizontal="right" vertical="bottom"/>
      <protection locked="1" hidden="0"/>
    </xf>
    <xf numFmtId="0" fontId="2" fillId="3" borderId="0" xfId="0" applyFont="1" applyFill="1" applyAlignment="1" applyProtection="1">
      <alignment horizontal="general" vertical="top" wrapText="1"/>
      <protection locked="1" hidden="0"/>
    </xf>
    <xf numFmtId="0" fontId="1" fillId="3" borderId="3" xfId="0" applyFont="1" applyFill="1" applyBorder="1" applyAlignment="1" applyProtection="1">
      <alignment horizontal="general" vertical="bottom"/>
      <protection locked="1" hidden="0"/>
    </xf>
    <xf numFmtId="167" fontId="2" fillId="3" borderId="0" xfId="0" applyNumberFormat="1" applyFont="1" applyFill="1" applyAlignment="1" applyProtection="1">
      <alignment horizontal="general" vertical="bottom"/>
      <protection locked="1" hidden="0"/>
    </xf>
    <xf numFmtId="164" fontId="1" fillId="7" borderId="2" xfId="0" applyNumberFormat="1" applyFont="1" applyFill="1" applyBorder="1" applyAlignment="1" applyProtection="1">
      <alignment horizontal="right" vertical="bottom"/>
      <protection locked="1" hidden="0"/>
    </xf>
    <xf numFmtId="164" fontId="3" fillId="4" borderId="1" xfId="0" applyNumberFormat="1" applyFont="1" applyFill="1" applyBorder="1" applyAlignment="1" applyProtection="1">
      <alignment horizontal="general" vertical="bottom"/>
      <protection locked="1" hidden="0"/>
    </xf>
    <xf numFmtId="0" fontId="6" fillId="3" borderId="0" xfId="0" applyFont="1" applyFill="1" applyAlignment="1" applyProtection="1">
      <alignment horizontal="general" vertical="top" wrapText="1"/>
      <protection locked="1" hidden="0"/>
    </xf>
    <xf numFmtId="168" fontId="2" fillId="3" borderId="0" xfId="0" applyNumberFormat="1" applyFont="1" applyFill="1" applyAlignment="1" applyProtection="1">
      <alignment horizontal="general" vertical="bottom"/>
      <protection locked="1" hidden="0"/>
    </xf>
    <xf numFmtId="166" fontId="1" fillId="7" borderId="2" xfId="0" applyNumberFormat="1" applyFont="1" applyFill="1" applyBorder="1" applyAlignment="1" applyProtection="1">
      <alignment horizontal="right" vertical="bottom"/>
      <protection locked="1" hidden="0"/>
    </xf>
    <xf numFmtId="0" fontId="5" fillId="2" borderId="0" xfId="0" applyFont="1" applyFill="1" applyAlignment="1" applyProtection="1">
      <alignment horizontal="general" vertical="bottom"/>
      <protection locked="1" hidden="0"/>
    </xf>
    <xf numFmtId="169" fontId="2" fillId="3" borderId="0" xfId="0" applyNumberFormat="1" applyFont="1" applyFill="1" applyAlignment="1" applyProtection="1">
      <alignment horizontal="general" vertical="bottom"/>
      <protection locked="1" hidden="0"/>
    </xf>
    <xf numFmtId="170" fontId="2" fillId="3" borderId="0" xfId="0" applyNumberFormat="1" applyFont="1" applyFill="1" applyAlignment="1" applyProtection="1">
      <alignment horizontal="general" vertical="bottom"/>
      <protection locked="1" hidden="0"/>
    </xf>
    <xf numFmtId="171" fontId="2" fillId="3" borderId="0" xfId="0" applyNumberFormat="1" applyFont="1" applyFill="1" applyAlignment="1" applyProtection="1">
      <alignment horizontal="general" vertical="bottom"/>
      <protection locked="1" hidden="0"/>
    </xf>
    <xf numFmtId="166" fontId="7" fillId="8" borderId="0" xfId="0" applyNumberFormat="1" applyFont="1" applyFill="1" applyAlignment="1" applyProtection="1">
      <alignment horizontal="general" vertical="bottom"/>
      <protection locked="1" hidden="0"/>
    </xf>
    <xf numFmtId="165" fontId="1" fillId="3" borderId="3" xfId="0" applyNumberFormat="1" applyFont="1" applyFill="1" applyBorder="1" applyAlignment="1" applyProtection="1">
      <alignment horizontal="general" vertical="bottom"/>
      <protection locked="1" hidden="0"/>
    </xf>
    <xf numFmtId="0" fontId="3" fillId="6" borderId="0" xfId="0" applyFont="1" applyFill="1" applyAlignment="1" applyProtection="1">
      <alignment horizontal="general" vertical="bottom"/>
      <protection locked="1" hidden="0"/>
    </xf>
    <xf numFmtId="168" fontId="7" fillId="8" borderId="0" xfId="0" applyNumberFormat="1" applyFont="1" applyFill="1" applyAlignment="1" applyProtection="1">
      <alignment horizontal="general" vertical="bottom"/>
      <protection locked="1" hidden="0"/>
    </xf>
    <xf numFmtId="164" fontId="7" fillId="8" borderId="0" xfId="0" applyNumberFormat="1" applyFont="1" applyFill="1" applyAlignment="1" applyProtection="1">
      <alignment horizontal="general" vertical="bottom"/>
      <protection locked="1" hidden="0"/>
    </xf>
    <xf numFmtId="172" fontId="7" fillId="8" borderId="0" xfId="0" applyNumberFormat="1" applyFont="1" applyFill="1" applyAlignment="1" applyProtection="1">
      <alignment horizontal="general" vertical="bottom"/>
      <protection locked="1" hidden="0"/>
    </xf>
    <xf numFmtId="0" fontId="6" fillId="3" borderId="0" xfId="0" applyFont="1" applyFill="1" applyAlignment="1" applyProtection="1">
      <alignment horizontal="general" vertical="top"/>
      <protection locked="1" hidden="0"/>
    </xf>
    <xf numFmtId="164" fontId="6" fillId="3" borderId="0" xfId="0" applyNumberFormat="1" applyFont="1" applyFill="1" applyAlignment="1" applyProtection="1">
      <alignment horizontal="general" vertical="top"/>
      <protection locked="1" hidden="0"/>
    </xf>
    <xf numFmtId="167" fontId="6" fillId="3" borderId="0" xfId="0" applyNumberFormat="1" applyFont="1" applyFill="1" applyAlignment="1" applyProtection="1">
      <alignment horizontal="general" vertical="top"/>
      <protection locked="1" hidden="0"/>
    </xf>
  </cellXfs>
  <cellStyles count="1">
    <cellStyle name="Normal" xfId="0" builtinId="0"/>
  </cellStyles>
  <dxfs count="4"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tyles" Target="styles.xml"/><Relationship Id="rId19" Type="http://schemas.openxmlformats.org/officeDocument/2006/relationships/theme" Target="theme/theme1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Microsoft JhengHei Light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Microsoft JhengHei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showGridLines="0" tabSelected="1" workbookViewId="0">
      <pane xSplit="1" ySplit="3" topLeftCell="B4" activePane="bottomRight" state="frozen"/>
    </sheetView>
  </sheetViews>
  <sheetFormatPr defaultColWidth="8.375" defaultRowHeight="15"/>
  <cols>
    <col min="1" max="1" width="29.375" customWidth="1"/>
    <col min="2" max="11" width="10.875" customWidth="1"/>
  </cols>
  <sheetData>
    <row r="1" ht="22.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2.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>
      <c r="A4" s="1" t="s">
        <v>2</v>
      </c>
      <c r="B4" t="str">
        <f>Checks!B3</f>
        <v>OK</v>
      </c>
    </row>
    <row r="5">
      <c r="A5" s="1" t="s">
        <v>3</v>
      </c>
      <c r="B5" s="21" t="str">
        <f>Assumptions!B5</f>
        <v>Base</v>
      </c>
    </row>
    <row r="6">
      <c r="A6" s="1" t="s">
        <v>4</v>
      </c>
      <c r="B6" s="17">
        <v>46109</v>
      </c>
    </row>
    <row r="7">
      <c r="A7" s="1" t="s">
        <v>5</v>
      </c>
      <c r="B7" s="9">
        <f>DCF!B30</f>
        <v>108.90302221546919</v>
      </c>
    </row>
    <row r="8">
      <c r="A8" s="1" t="s">
        <v>6</v>
      </c>
      <c r="B8" s="9">
        <f>DCF!B34</f>
        <v>91.73580305619012</v>
      </c>
    </row>
    <row r="9">
      <c r="A9" s="1" t="s">
        <v>7</v>
      </c>
      <c r="B9" s="8">
        <f>Forecast_3Stmt!C7</f>
        <v>57202.244125000005</v>
      </c>
    </row>
    <row r="10">
      <c r="A10" s="1" t="s">
        <v>8</v>
      </c>
      <c r="B10" s="8">
        <f>Forecast_3Stmt!C12</f>
        <v>2440.716869824808</v>
      </c>
    </row>
    <row r="11">
      <c r="A11" s="1" t="s">
        <v>9</v>
      </c>
      <c r="B11" s="8">
        <f>Forecast_3Stmt!C64</f>
        <v>1820.7998921271226</v>
      </c>
    </row>
    <row r="12">
      <c r="A12" s="1" t="s">
        <v>10</v>
      </c>
      <c r="B12">
        <f>COUNTA(Sources!A5:A718)</f>
        <v>714</v>
      </c>
    </row>
    <row r="13">
      <c r="A13" s="1" t="s">
        <v>11</v>
      </c>
      <c r="B13" t="s">
        <v>12</v>
      </c>
    </row>
    <row r="14">
      <c r="A14" s="1" t="s">
        <v>13</v>
      </c>
      <c r="B14" t="s">
        <v>14</v>
      </c>
    </row>
    <row r="15">
      <c r="A15" s="3" t="s">
        <v>15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>
      <c r="A16" t="s">
        <v>16</v>
      </c>
      <c r="B16" s="2" t="s">
        <v>17</v>
      </c>
      <c r="C16" s="2"/>
      <c r="D16" s="2"/>
      <c r="E16" s="2"/>
      <c r="F16" s="2"/>
      <c r="G16" s="2"/>
      <c r="H16" s="2"/>
      <c r="I16" s="2"/>
      <c r="J16" s="2"/>
      <c r="K16" s="2"/>
    </row>
    <row r="17">
      <c r="A17" t="s">
        <v>18</v>
      </c>
      <c r="B17" s="2" t="s">
        <v>19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t="s">
        <v>20</v>
      </c>
      <c r="B18" s="2" t="s">
        <v>21</v>
      </c>
      <c r="C18" s="2"/>
      <c r="D18" s="2"/>
      <c r="E18" s="2"/>
      <c r="F18" s="2"/>
      <c r="G18" s="2"/>
      <c r="H18" s="2"/>
      <c r="I18" s="2"/>
      <c r="J18" s="2"/>
      <c r="K18" s="2"/>
    </row>
    <row r="21">
      <c r="A21" s="6" t="s">
        <v>22</v>
      </c>
      <c r="B21" s="6" t="s">
        <v>23</v>
      </c>
      <c r="C21" s="6" t="s">
        <v>24</v>
      </c>
      <c r="D21" s="6" t="s">
        <v>25</v>
      </c>
      <c r="E21" s="6" t="s">
        <v>26</v>
      </c>
      <c r="F21" s="6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</row>
    <row r="22">
      <c r="A22" t="s">
        <v>33</v>
      </c>
      <c r="B22" s="8">
        <f>Historical_IS!B7</f>
        <v>47049</v>
      </c>
      <c r="C22" s="8">
        <f>Historical_IS!C7</f>
        <v>53282</v>
      </c>
      <c r="D22" s="8">
        <f>Historical_IS!D7</f>
        <v>52881</v>
      </c>
      <c r="E22" s="8">
        <f>Historical_IS!E7</f>
        <v>53309</v>
      </c>
      <c r="F22" s="8">
        <f>Historical_IS!F7</f>
        <v>54441</v>
      </c>
      <c r="G22" s="8">
        <f>Forecast_3Stmt!C7</f>
        <v>57202.244125000005</v>
      </c>
      <c r="H22" s="8">
        <f>Forecast_3Stmt!D7</f>
        <v>59200.931818445584</v>
      </c>
      <c r="I22" s="8">
        <f>Forecast_3Stmt!E7</f>
        <v>61279.29859511398</v>
      </c>
      <c r="J22" s="8">
        <f>Forecast_3Stmt!F7</f>
        <v>63440.81298845947</v>
      </c>
      <c r="K22" s="8">
        <f>Forecast_3Stmt!G7</f>
        <v>65689.10262724786</v>
      </c>
    </row>
    <row r="36">
      <c r="A36" s="6" t="s">
        <v>34</v>
      </c>
      <c r="B36" s="6" t="s">
        <v>35</v>
      </c>
      <c r="C36" s="4" t="s">
        <v>36</v>
      </c>
    </row>
    <row r="37">
      <c r="A37" t="s">
        <v>37</v>
      </c>
      <c r="B37" s="8">
        <f>Segment_Build!F7</f>
        <v>21623</v>
      </c>
      <c r="C37" s="8">
        <f>Segment_Build!K7</f>
        <v>24079.777059496304</v>
      </c>
    </row>
    <row r="38">
      <c r="A38" t="s">
        <v>38</v>
      </c>
      <c r="B38" s="8">
        <f>Segment_Build!F8</f>
        <v>5781</v>
      </c>
      <c r="C38" s="8">
        <f>Segment_Build!K8</f>
        <v>6972.669396760322</v>
      </c>
    </row>
    <row r="39">
      <c r="A39" t="s">
        <v>39</v>
      </c>
      <c r="B39" s="8">
        <f>Segment_Build!F9</f>
        <v>16837</v>
      </c>
      <c r="C39" s="8">
        <f>Segment_Build!K9</f>
        <v>21964.646605920323</v>
      </c>
    </row>
    <row r="40">
      <c r="A40" t="s">
        <v>40</v>
      </c>
      <c r="B40" s="8">
        <f>Segment_Build!F10</f>
        <v>9930</v>
      </c>
      <c r="C40" s="8">
        <f>Segment_Build!K10</f>
        <v>12270.42075086832</v>
      </c>
    </row>
    <row r="41">
      <c r="A41" t="s">
        <v>41</v>
      </c>
      <c r="B41" s="8">
        <f>Segment_Build!F11</f>
        <v>2291</v>
      </c>
      <c r="C41" s="8">
        <f>Segment_Build!K11</f>
        <v>2789.5373511352013</v>
      </c>
    </row>
  </sheetData>
  <mergeCells count="6">
    <mergeCell ref="B16:K16"/>
    <mergeCell ref="B18:K18"/>
    <mergeCell ref="A2:K2"/>
    <mergeCell ref="A1:K1"/>
    <mergeCell ref="A15:K15"/>
    <mergeCell ref="B17:K17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showGridLines="0" workbookViewId="0">
      <pane xSplit="1" ySplit="4" topLeftCell="B5" activePane="bottomRight" state="frozen"/>
    </sheetView>
  </sheetViews>
  <sheetFormatPr defaultColWidth="8.375" defaultRowHeight="15"/>
  <cols>
    <col min="1" max="1" width="29.375" customWidth="1"/>
    <col min="2" max="6" width="10.875" customWidth="1"/>
  </cols>
  <sheetData>
    <row r="1" ht="22.5">
      <c r="A1" s="5" t="s">
        <v>42</v>
      </c>
      <c r="B1" s="5"/>
      <c r="C1" s="5"/>
      <c r="D1" s="5"/>
      <c r="E1" s="5"/>
      <c r="F1" s="5"/>
    </row>
    <row r="2" ht="22.5">
      <c r="A2" s="7" t="s">
        <v>43</v>
      </c>
      <c r="B2" s="7"/>
      <c r="C2" s="7"/>
      <c r="D2" s="7"/>
      <c r="E2" s="7"/>
      <c r="F2" s="7"/>
    </row>
    <row r="4">
      <c r="A4" s="6" t="s">
        <v>44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</row>
    <row r="6">
      <c r="A6" s="3" t="s">
        <v>45</v>
      </c>
      <c r="B6" s="3"/>
      <c r="C6" s="3"/>
      <c r="D6" s="3"/>
      <c r="E6" s="3"/>
      <c r="F6" s="3"/>
    </row>
    <row r="7">
      <c r="A7" s="16" t="s">
        <v>33</v>
      </c>
      <c r="B7" s="11">
        <v>47049</v>
      </c>
      <c r="C7" s="11">
        <v>53282</v>
      </c>
      <c r="D7" s="11">
        <v>52881</v>
      </c>
      <c r="E7" s="11">
        <v>53309</v>
      </c>
      <c r="F7" s="11">
        <v>54441</v>
      </c>
    </row>
    <row r="8">
      <c r="A8" t="s">
        <v>46</v>
      </c>
      <c r="B8" s="8">
        <v>40523</v>
      </c>
      <c r="C8" s="8">
        <v>46614</v>
      </c>
      <c r="D8" s="8">
        <v>50250</v>
      </c>
      <c r="E8" s="8">
        <v>49682</v>
      </c>
      <c r="F8" s="8">
        <v>50879</v>
      </c>
    </row>
    <row r="9">
      <c r="A9" s="16" t="s">
        <v>47</v>
      </c>
      <c r="B9" s="11">
        <v>6526</v>
      </c>
      <c r="C9" s="11">
        <v>6668</v>
      </c>
      <c r="D9" s="11">
        <v>2631</v>
      </c>
      <c r="E9" s="11">
        <v>3627</v>
      </c>
      <c r="F9" s="11">
        <v>3562</v>
      </c>
    </row>
    <row r="10">
      <c r="A10" t="s">
        <v>48</v>
      </c>
      <c r="B10" s="8">
        <v>2130</v>
      </c>
      <c r="C10" s="8">
        <v>2258</v>
      </c>
      <c r="D10" s="8">
        <v>2245</v>
      </c>
      <c r="E10" s="8">
        <v>2218</v>
      </c>
      <c r="F10" s="8">
        <v>2121</v>
      </c>
    </row>
    <row r="11">
      <c r="A11" t="s">
        <v>49</v>
      </c>
      <c r="B11" s="8">
        <v>0</v>
      </c>
      <c r="C11" s="8">
        <v>0</v>
      </c>
      <c r="D11" s="8">
        <v>781</v>
      </c>
      <c r="E11" s="8">
        <v>0</v>
      </c>
      <c r="F11" s="8">
        <v>343</v>
      </c>
    </row>
    <row r="12">
      <c r="A12" s="16" t="s">
        <v>50</v>
      </c>
      <c r="B12" s="11">
        <v>4396</v>
      </c>
      <c r="C12" s="11">
        <v>4410</v>
      </c>
      <c r="D12" s="11">
        <v>-395</v>
      </c>
      <c r="E12" s="11">
        <v>1409</v>
      </c>
      <c r="F12" s="11">
        <v>1098</v>
      </c>
    </row>
    <row r="13">
      <c r="A13" t="s">
        <v>51</v>
      </c>
      <c r="B13" s="8">
        <v>8</v>
      </c>
      <c r="C13" s="8">
        <v>17</v>
      </c>
      <c r="D13" s="8">
        <v>30</v>
      </c>
      <c r="E13" s="8">
        <v>89</v>
      </c>
      <c r="F13" s="8">
        <v>73</v>
      </c>
    </row>
    <row r="14">
      <c r="A14" t="s">
        <v>52</v>
      </c>
      <c r="B14" s="8">
        <v>428</v>
      </c>
      <c r="C14" s="8">
        <v>365</v>
      </c>
      <c r="D14" s="8">
        <v>355</v>
      </c>
      <c r="E14" s="8">
        <v>481</v>
      </c>
      <c r="F14" s="8">
        <v>449</v>
      </c>
    </row>
    <row r="15">
      <c r="A15" t="s">
        <v>53</v>
      </c>
      <c r="B15" s="8">
        <v>65</v>
      </c>
      <c r="C15" s="8">
        <v>87</v>
      </c>
      <c r="D15" s="8">
        <v>42</v>
      </c>
      <c r="E15" s="8">
        <v>75</v>
      </c>
      <c r="F15" s="8">
        <v>47</v>
      </c>
    </row>
    <row r="16">
      <c r="A16" t="s">
        <v>54</v>
      </c>
      <c r="B16" s="8">
        <v>4041</v>
      </c>
      <c r="C16" s="8">
        <v>4149</v>
      </c>
      <c r="D16" s="8">
        <v>-678</v>
      </c>
      <c r="E16" s="8">
        <v>1092</v>
      </c>
      <c r="F16" s="8">
        <v>769</v>
      </c>
    </row>
    <row r="17">
      <c r="A17" t="s">
        <v>55</v>
      </c>
      <c r="B17" s="8">
        <v>981</v>
      </c>
      <c r="C17" s="8">
        <v>900</v>
      </c>
      <c r="D17" s="8">
        <v>-29</v>
      </c>
      <c r="E17" s="8">
        <v>270</v>
      </c>
      <c r="F17" s="8">
        <v>262</v>
      </c>
    </row>
    <row r="18">
      <c r="A18" t="s">
        <v>56</v>
      </c>
      <c r="B18" s="8">
        <v>3060</v>
      </c>
      <c r="C18" s="8">
        <v>3249</v>
      </c>
      <c r="D18" s="8">
        <v>-649</v>
      </c>
      <c r="E18" s="8">
        <v>822</v>
      </c>
      <c r="F18" s="8">
        <v>507</v>
      </c>
    </row>
    <row r="19">
      <c r="A19" t="s">
        <v>57</v>
      </c>
      <c r="B19" s="8">
        <v>13</v>
      </c>
      <c r="C19" s="8">
        <v>11</v>
      </c>
      <c r="D19" s="8">
        <v>-1</v>
      </c>
      <c r="E19" s="8">
        <v>22</v>
      </c>
      <c r="F19" s="8">
        <v>33</v>
      </c>
    </row>
    <row r="20">
      <c r="A20" s="16" t="s">
        <v>58</v>
      </c>
      <c r="B20" s="11">
        <v>3047</v>
      </c>
      <c r="C20" s="11">
        <v>3238</v>
      </c>
      <c r="D20" s="11">
        <v>-648</v>
      </c>
      <c r="E20" s="11">
        <v>800</v>
      </c>
      <c r="F20" s="11">
        <v>474</v>
      </c>
    </row>
    <row r="21">
      <c r="A21" t="s">
        <v>59</v>
      </c>
      <c r="B21" s="9">
        <v>8.34</v>
      </c>
      <c r="C21" s="9">
        <v>8.92</v>
      </c>
      <c r="D21" s="9">
        <v>-1.87</v>
      </c>
      <c r="E21" s="9">
        <v>2.25</v>
      </c>
      <c r="F21" s="9">
        <v>1.33</v>
      </c>
    </row>
    <row r="22">
      <c r="A22" t="s">
        <v>60</v>
      </c>
      <c r="B22" s="21">
        <v>365</v>
      </c>
      <c r="C22" s="21">
        <v>363</v>
      </c>
      <c r="D22" s="21">
        <v>284</v>
      </c>
      <c r="E22" s="21">
        <v>356</v>
      </c>
      <c r="F22" s="21">
        <v>357</v>
      </c>
    </row>
  </sheetData>
  <mergeCells count="3">
    <mergeCell ref="A6:F6"/>
    <mergeCell ref="A1:F1"/>
    <mergeCell ref="A2:F2"/>
  </mergeCell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showGridLines="0" workbookViewId="0">
      <pane xSplit="1" ySplit="4" topLeftCell="B5" activePane="bottomRight" state="frozen"/>
    </sheetView>
  </sheetViews>
  <sheetFormatPr defaultColWidth="8.375" defaultRowHeight="15"/>
  <cols>
    <col min="1" max="1" width="29.375" customWidth="1"/>
    <col min="2" max="6" width="10.875" customWidth="1"/>
  </cols>
  <sheetData>
    <row r="1" ht="22.5">
      <c r="A1" s="5" t="s">
        <v>61</v>
      </c>
      <c r="B1" s="5"/>
      <c r="C1" s="5"/>
      <c r="D1" s="5"/>
      <c r="E1" s="5"/>
      <c r="F1" s="5"/>
    </row>
    <row r="2" ht="22.5">
      <c r="A2" s="7" t="s">
        <v>43</v>
      </c>
      <c r="B2" s="7"/>
      <c r="C2" s="7"/>
      <c r="D2" s="7"/>
      <c r="E2" s="7"/>
      <c r="F2" s="7"/>
    </row>
    <row r="4">
      <c r="A4" s="6" t="s">
        <v>44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</row>
    <row r="6">
      <c r="A6" s="3" t="s">
        <v>62</v>
      </c>
      <c r="B6" s="3"/>
      <c r="C6" s="3"/>
      <c r="D6" s="3"/>
      <c r="E6" s="3"/>
      <c r="F6" s="3"/>
    </row>
    <row r="7">
      <c r="A7" t="s">
        <v>63</v>
      </c>
      <c r="B7" s="8">
        <v>2507</v>
      </c>
      <c r="C7" s="8">
        <v>1031</v>
      </c>
      <c r="D7" s="8">
        <v>573</v>
      </c>
      <c r="E7" s="8">
        <v>1717</v>
      </c>
      <c r="F7" s="8">
        <v>1229</v>
      </c>
    </row>
    <row r="8">
      <c r="A8" t="s">
        <v>64</v>
      </c>
      <c r="B8" s="8">
        <v>2400</v>
      </c>
      <c r="C8" s="8">
        <v>2577</v>
      </c>
      <c r="D8" s="8">
        <v>2476</v>
      </c>
      <c r="E8" s="8">
        <v>2406</v>
      </c>
      <c r="F8" s="8">
        <v>2524</v>
      </c>
    </row>
    <row r="9">
      <c r="A9" t="s">
        <v>65</v>
      </c>
      <c r="B9" s="8">
        <v>4382</v>
      </c>
      <c r="C9" s="8">
        <v>5514</v>
      </c>
      <c r="D9" s="8">
        <v>5328</v>
      </c>
      <c r="E9" s="8">
        <v>5195</v>
      </c>
      <c r="F9" s="8">
        <v>5681</v>
      </c>
    </row>
    <row r="10">
      <c r="A10" t="s">
        <v>66</v>
      </c>
      <c r="B10" s="8">
        <v>533</v>
      </c>
      <c r="C10" s="8">
        <v>508</v>
      </c>
      <c r="D10" s="8">
        <v>345</v>
      </c>
      <c r="E10" s="8">
        <v>433</v>
      </c>
      <c r="F10" s="8">
        <v>482</v>
      </c>
    </row>
    <row r="11">
      <c r="A11" s="16" t="s">
        <v>67</v>
      </c>
      <c r="B11" s="11">
        <v>9822</v>
      </c>
      <c r="C11" s="11">
        <v>9630</v>
      </c>
      <c r="D11" s="11">
        <v>8722</v>
      </c>
      <c r="E11" s="11">
        <v>9751</v>
      </c>
      <c r="F11" s="11">
        <v>9916</v>
      </c>
    </row>
    <row r="12">
      <c r="A12" t="s">
        <v>68</v>
      </c>
      <c r="B12" s="8">
        <v>7837</v>
      </c>
      <c r="C12" s="8">
        <v>8685</v>
      </c>
      <c r="D12" s="8">
        <v>9634</v>
      </c>
      <c r="E12" s="8">
        <v>9442</v>
      </c>
      <c r="F12" s="8">
        <v>9204</v>
      </c>
    </row>
    <row r="13">
      <c r="A13" t="s">
        <v>69</v>
      </c>
      <c r="B13" s="8">
        <v>10549</v>
      </c>
      <c r="C13" s="8">
        <v>10513</v>
      </c>
      <c r="D13" s="8">
        <v>9878</v>
      </c>
      <c r="E13" s="8">
        <v>9819</v>
      </c>
      <c r="F13" s="8">
        <v>9469</v>
      </c>
    </row>
    <row r="14">
      <c r="A14" t="s">
        <v>70</v>
      </c>
      <c r="B14" s="8">
        <v>6519</v>
      </c>
      <c r="C14" s="8">
        <v>6252</v>
      </c>
      <c r="D14" s="8">
        <v>6098</v>
      </c>
      <c r="E14" s="8">
        <v>5875</v>
      </c>
      <c r="F14" s="8">
        <v>5624</v>
      </c>
    </row>
    <row r="15">
      <c r="A15" t="s">
        <v>71</v>
      </c>
      <c r="B15" s="8">
        <v>1582</v>
      </c>
      <c r="C15" s="8">
        <v>1741</v>
      </c>
      <c r="D15" s="8">
        <v>1919</v>
      </c>
      <c r="E15" s="8">
        <v>2213</v>
      </c>
      <c r="F15" s="8">
        <v>2445</v>
      </c>
    </row>
    <row r="16">
      <c r="A16" s="16" t="s">
        <v>72</v>
      </c>
      <c r="B16" s="11">
        <v>36309</v>
      </c>
      <c r="C16" s="11">
        <v>36821</v>
      </c>
      <c r="D16" s="11">
        <v>36251</v>
      </c>
      <c r="E16" s="11">
        <v>37100</v>
      </c>
      <c r="F16" s="11">
        <v>36658</v>
      </c>
    </row>
    <row r="18">
      <c r="A18" s="3" t="s">
        <v>73</v>
      </c>
      <c r="B18" s="3"/>
      <c r="C18" s="3"/>
      <c r="D18" s="3"/>
      <c r="E18" s="3"/>
      <c r="F18" s="3"/>
    </row>
    <row r="19">
      <c r="A19" t="s">
        <v>74</v>
      </c>
      <c r="B19" s="8">
        <v>1067</v>
      </c>
      <c r="C19" s="8">
        <v>459</v>
      </c>
      <c r="D19" s="8">
        <v>1895</v>
      </c>
      <c r="E19" s="8">
        <v>74</v>
      </c>
      <c r="F19" s="8">
        <v>909</v>
      </c>
    </row>
    <row r="20">
      <c r="A20" t="s">
        <v>75</v>
      </c>
      <c r="B20" s="8">
        <v>2225</v>
      </c>
      <c r="C20" s="8">
        <v>2483</v>
      </c>
      <c r="D20" s="8">
        <v>2594</v>
      </c>
      <c r="E20" s="8">
        <v>2402</v>
      </c>
      <c r="F20" s="8">
        <v>2601</v>
      </c>
    </row>
    <row r="21">
      <c r="A21" t="s">
        <v>76</v>
      </c>
      <c r="B21" s="8">
        <v>3033</v>
      </c>
      <c r="C21" s="8">
        <v>2371</v>
      </c>
      <c r="D21" s="8">
        <v>2010</v>
      </c>
      <c r="E21" s="8">
        <v>2311</v>
      </c>
      <c r="F21" s="8">
        <v>2879</v>
      </c>
    </row>
    <row r="22">
      <c r="A22" s="16" t="s">
        <v>77</v>
      </c>
      <c r="B22" s="11">
        <v>6325</v>
      </c>
      <c r="C22" s="11">
        <v>5313</v>
      </c>
      <c r="D22" s="11">
        <v>6499</v>
      </c>
      <c r="E22" s="11">
        <v>4787</v>
      </c>
      <c r="F22" s="11">
        <v>6389</v>
      </c>
    </row>
    <row r="23">
      <c r="A23" t="s">
        <v>78</v>
      </c>
      <c r="B23" s="8">
        <v>8281</v>
      </c>
      <c r="C23" s="8">
        <v>7862</v>
      </c>
      <c r="D23" s="8">
        <v>7611</v>
      </c>
      <c r="E23" s="8">
        <v>9713</v>
      </c>
      <c r="F23" s="8">
        <v>7921</v>
      </c>
    </row>
    <row r="24">
      <c r="A24" t="s">
        <v>79</v>
      </c>
      <c r="B24" s="8">
        <v>2195</v>
      </c>
      <c r="C24" s="8">
        <v>2458</v>
      </c>
      <c r="D24" s="8">
        <v>2308</v>
      </c>
      <c r="E24" s="8">
        <v>2285</v>
      </c>
      <c r="F24" s="8">
        <v>2195</v>
      </c>
    </row>
    <row r="25">
      <c r="A25" t="s">
        <v>80</v>
      </c>
      <c r="B25" s="8">
        <v>1654</v>
      </c>
      <c r="C25" s="8">
        <v>1377</v>
      </c>
      <c r="D25" s="8">
        <v>1578</v>
      </c>
      <c r="E25" s="8">
        <v>1801</v>
      </c>
      <c r="F25" s="8">
        <v>1926</v>
      </c>
    </row>
    <row r="26">
      <c r="A26" s="16" t="s">
        <v>81</v>
      </c>
      <c r="B26" s="11">
        <v>18455</v>
      </c>
      <c r="C26" s="11">
        <v>17010</v>
      </c>
      <c r="D26" s="11">
        <v>17996</v>
      </c>
      <c r="E26" s="11">
        <v>18586</v>
      </c>
      <c r="F26" s="11">
        <v>18431</v>
      </c>
    </row>
    <row r="27">
      <c r="A27" t="s">
        <v>82</v>
      </c>
      <c r="B27" s="8">
        <v>17723</v>
      </c>
      <c r="C27" s="8">
        <v>19702</v>
      </c>
      <c r="D27" s="8">
        <v>18133</v>
      </c>
      <c r="E27" s="8">
        <v>18390</v>
      </c>
      <c r="F27" s="8">
        <v>18085</v>
      </c>
    </row>
    <row r="28">
      <c r="A28" t="s">
        <v>83</v>
      </c>
      <c r="B28" s="8">
        <v>131</v>
      </c>
      <c r="C28" s="8">
        <v>109</v>
      </c>
      <c r="D28" s="8">
        <v>122</v>
      </c>
      <c r="E28" s="8">
        <v>124</v>
      </c>
      <c r="F28" s="8">
        <v>142</v>
      </c>
    </row>
    <row r="29">
      <c r="A29" s="16" t="s">
        <v>84</v>
      </c>
      <c r="B29" s="11">
        <v>17854</v>
      </c>
      <c r="C29" s="11">
        <v>19811</v>
      </c>
      <c r="D29" s="11">
        <v>18255</v>
      </c>
      <c r="E29" s="11">
        <v>18514</v>
      </c>
      <c r="F29" s="11">
        <v>18227</v>
      </c>
    </row>
    <row r="30">
      <c r="A30" s="16" t="s">
        <v>85</v>
      </c>
      <c r="B30" s="11">
        <f>B26+B29</f>
        <v>36309</v>
      </c>
      <c r="C30" s="11">
        <f>C26+C29</f>
        <v>36821</v>
      </c>
      <c r="D30" s="11">
        <f>D26+D29</f>
        <v>36251</v>
      </c>
      <c r="E30" s="11">
        <f>E26+E29</f>
        <v>37100</v>
      </c>
      <c r="F30" s="11">
        <f>F26+F29</f>
        <v>36658</v>
      </c>
    </row>
  </sheetData>
  <mergeCells count="4">
    <mergeCell ref="A1:F1"/>
    <mergeCell ref="A2:F2"/>
    <mergeCell ref="A6:F6"/>
    <mergeCell ref="A18:F18"/>
  </mergeCell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xSplit="1" ySplit="4" topLeftCell="B5" activePane="bottomRight" state="frozen"/>
    </sheetView>
  </sheetViews>
  <sheetFormatPr defaultColWidth="8.375" defaultRowHeight="15"/>
  <cols>
    <col min="1" max="1" width="29.375" customWidth="1"/>
    <col min="2" max="6" width="10.875" customWidth="1"/>
  </cols>
  <sheetData>
    <row r="1" ht="22.5">
      <c r="A1" s="5" t="s">
        <v>86</v>
      </c>
      <c r="B1" s="5"/>
      <c r="C1" s="5"/>
      <c r="D1" s="5"/>
      <c r="E1" s="5"/>
      <c r="F1" s="5"/>
    </row>
    <row r="2" ht="22.5">
      <c r="A2" s="7" t="s">
        <v>43</v>
      </c>
      <c r="B2" s="7"/>
      <c r="C2" s="7"/>
      <c r="D2" s="7"/>
      <c r="E2" s="7"/>
      <c r="F2" s="7"/>
    </row>
    <row r="4">
      <c r="A4" s="6" t="s">
        <v>44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</row>
    <row r="6">
      <c r="A6" s="3" t="s">
        <v>87</v>
      </c>
      <c r="B6" s="3"/>
      <c r="C6" s="3"/>
      <c r="D6" s="3"/>
      <c r="E6" s="3"/>
      <c r="F6" s="3"/>
    </row>
    <row r="7">
      <c r="A7" t="s">
        <v>88</v>
      </c>
      <c r="B7" s="8">
        <v>3060</v>
      </c>
      <c r="C7" s="8">
        <v>3249</v>
      </c>
      <c r="D7" s="8">
        <v>-649</v>
      </c>
      <c r="E7" s="8">
        <v>822</v>
      </c>
      <c r="F7" s="8">
        <v>507</v>
      </c>
    </row>
    <row r="8">
      <c r="A8" t="s">
        <v>89</v>
      </c>
      <c r="B8" s="8">
        <v>934</v>
      </c>
      <c r="C8" s="8">
        <v>945</v>
      </c>
      <c r="D8" s="8">
        <v>1100</v>
      </c>
      <c r="E8" s="8">
        <v>1159</v>
      </c>
      <c r="F8" s="8">
        <v>1093</v>
      </c>
    </row>
    <row r="9">
      <c r="A9" t="s">
        <v>90</v>
      </c>
      <c r="B9" s="8">
        <v>280</v>
      </c>
      <c r="C9" s="8">
        <v>257</v>
      </c>
      <c r="D9" s="8">
        <v>239</v>
      </c>
      <c r="E9" s="8">
        <v>241</v>
      </c>
      <c r="F9" s="8">
        <v>268</v>
      </c>
    </row>
    <row r="10">
      <c r="A10" t="s">
        <v>79</v>
      </c>
      <c r="B10" s="8">
        <v>-125</v>
      </c>
      <c r="C10" s="8">
        <v>264</v>
      </c>
      <c r="D10" s="8">
        <v>-183</v>
      </c>
      <c r="E10" s="8">
        <v>-45</v>
      </c>
      <c r="F10" s="8">
        <v>-76</v>
      </c>
    </row>
    <row r="11">
      <c r="A11" t="s">
        <v>91</v>
      </c>
      <c r="B11" s="8">
        <v>60</v>
      </c>
      <c r="C11" s="8">
        <v>34</v>
      </c>
      <c r="D11" s="8">
        <v>882</v>
      </c>
      <c r="E11" s="8">
        <v>131</v>
      </c>
      <c r="F11" s="8">
        <v>469</v>
      </c>
    </row>
    <row r="12">
      <c r="A12" t="s">
        <v>92</v>
      </c>
      <c r="B12" s="8">
        <v>91</v>
      </c>
      <c r="C12" s="8">
        <v>93</v>
      </c>
      <c r="D12" s="8">
        <v>61</v>
      </c>
      <c r="E12" s="8">
        <v>101</v>
      </c>
      <c r="F12" s="8">
        <v>100</v>
      </c>
    </row>
    <row r="13">
      <c r="A13" t="s">
        <v>93</v>
      </c>
      <c r="B13" s="8">
        <f>B14-SUM(B7:B12)</f>
        <v>-460</v>
      </c>
      <c r="C13" s="8">
        <f>C14-SUM(C7:C12)</f>
        <v>-2155</v>
      </c>
      <c r="D13" s="8">
        <f>D14-SUM(D7:D12)</f>
        <v>302</v>
      </c>
      <c r="E13" s="8">
        <f>E14-SUM(E7:E12)</f>
        <v>181</v>
      </c>
      <c r="F13" s="8">
        <f>F14-SUM(F7:F12)</f>
        <v>-206</v>
      </c>
    </row>
    <row r="14">
      <c r="A14" s="16" t="s">
        <v>94</v>
      </c>
      <c r="B14" s="11">
        <v>3840</v>
      </c>
      <c r="C14" s="11">
        <v>2687</v>
      </c>
      <c r="D14" s="11">
        <v>1752</v>
      </c>
      <c r="E14" s="11">
        <v>2590</v>
      </c>
      <c r="F14" s="11">
        <v>2155</v>
      </c>
    </row>
    <row r="15">
      <c r="A15" t="s">
        <v>95</v>
      </c>
      <c r="B15" s="8">
        <v>-1209</v>
      </c>
      <c r="C15" s="8">
        <v>-1887</v>
      </c>
      <c r="D15" s="8">
        <v>-1939</v>
      </c>
      <c r="E15" s="8">
        <v>-1132</v>
      </c>
      <c r="F15" s="8">
        <v>-978</v>
      </c>
    </row>
    <row r="16">
      <c r="A16" s="16" t="s">
        <v>96</v>
      </c>
      <c r="B16" s="11">
        <v>58</v>
      </c>
      <c r="C16" s="11">
        <v>-1935</v>
      </c>
      <c r="D16" s="11">
        <v>-2299</v>
      </c>
      <c r="E16" s="11">
        <v>-888</v>
      </c>
      <c r="F16" s="11">
        <v>-665</v>
      </c>
    </row>
    <row r="17">
      <c r="A17" t="s">
        <v>97</v>
      </c>
      <c r="B17" s="8">
        <v>585</v>
      </c>
      <c r="C17" s="8">
        <v>103</v>
      </c>
      <c r="D17" s="8">
        <v>1130</v>
      </c>
      <c r="E17" s="8">
        <v>2415</v>
      </c>
      <c r="F17" s="8">
        <v>175</v>
      </c>
    </row>
    <row r="18">
      <c r="A18" t="s">
        <v>98</v>
      </c>
      <c r="B18" s="8">
        <v>-2632</v>
      </c>
      <c r="C18" s="8">
        <v>-1191</v>
      </c>
      <c r="D18" s="8">
        <v>-603</v>
      </c>
      <c r="E18" s="8">
        <v>-1641</v>
      </c>
      <c r="F18" s="8">
        <v>-1262</v>
      </c>
    </row>
    <row r="19">
      <c r="A19" t="s">
        <v>99</v>
      </c>
      <c r="B19" s="8">
        <v>-67</v>
      </c>
      <c r="C19" s="8">
        <v>-702</v>
      </c>
      <c r="D19" s="8">
        <v>-354</v>
      </c>
      <c r="E19" s="8">
        <v>-49</v>
      </c>
      <c r="F19" s="8">
        <v>-196</v>
      </c>
    </row>
    <row r="20">
      <c r="A20" t="s">
        <v>100</v>
      </c>
      <c r="B20" s="8">
        <v>-636</v>
      </c>
      <c r="C20" s="8">
        <v>-653</v>
      </c>
      <c r="D20" s="8">
        <v>-670</v>
      </c>
      <c r="E20" s="8">
        <v>-684</v>
      </c>
      <c r="F20" s="8">
        <v>-697</v>
      </c>
    </row>
    <row r="21">
      <c r="A21" s="16" t="s">
        <v>101</v>
      </c>
      <c r="B21" s="11">
        <v>-2731</v>
      </c>
      <c r="C21" s="11">
        <v>-2323</v>
      </c>
      <c r="D21" s="11">
        <v>88</v>
      </c>
      <c r="E21" s="11">
        <v>-581</v>
      </c>
      <c r="F21" s="11">
        <v>-1977</v>
      </c>
    </row>
    <row r="22">
      <c r="A22" t="s">
        <v>102</v>
      </c>
      <c r="B22" s="8">
        <f>B23-B14-B16-B21</f>
        <v>4</v>
      </c>
      <c r="C22" s="8">
        <f>C23-C14-C16-C21</f>
        <v>-35</v>
      </c>
      <c r="D22" s="8">
        <f>D23-D14-D16-D21</f>
        <v>1</v>
      </c>
      <c r="E22" s="8">
        <f>E23-E14-E16-E21</f>
        <v>23</v>
      </c>
      <c r="F22" s="8">
        <f>F23-F14-F16-F21</f>
        <v>-1</v>
      </c>
    </row>
    <row r="23">
      <c r="A23" t="s">
        <v>103</v>
      </c>
      <c r="B23" s="8">
        <v>1171</v>
      </c>
      <c r="C23" s="8">
        <v>-1606</v>
      </c>
      <c r="D23" s="8">
        <v>-458</v>
      </c>
      <c r="E23" s="8">
        <v>1144</v>
      </c>
      <c r="F23" s="8">
        <v>-488</v>
      </c>
    </row>
    <row r="24">
      <c r="A24" s="16" t="s">
        <v>104</v>
      </c>
      <c r="B24" s="11">
        <v>2507</v>
      </c>
      <c r="C24" s="11">
        <v>1031</v>
      </c>
      <c r="D24" s="11">
        <v>573</v>
      </c>
      <c r="E24" s="11">
        <v>1717</v>
      </c>
      <c r="F24" s="11">
        <v>1229</v>
      </c>
    </row>
    <row r="25">
      <c r="A25" s="16" t="s">
        <v>105</v>
      </c>
      <c r="B25" s="11">
        <f>B14+B15</f>
        <v>2631</v>
      </c>
      <c r="C25" s="11">
        <f>C14+C15</f>
        <v>800</v>
      </c>
      <c r="D25" s="11">
        <f>D14+D15</f>
        <v>-187</v>
      </c>
      <c r="E25" s="11">
        <f>E14+E15</f>
        <v>1458</v>
      </c>
      <c r="F25" s="11">
        <f>F14+F15</f>
        <v>1177</v>
      </c>
    </row>
  </sheetData>
  <mergeCells count="3">
    <mergeCell ref="A2:F2"/>
    <mergeCell ref="A6:F6"/>
    <mergeCell ref="A1:F1"/>
  </mergeCell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"/>
  <sheetViews>
    <sheetView showGridLines="0" workbookViewId="0">
      <pane xSplit="1" ySplit="4" topLeftCell="B5" activePane="bottomRight" state="frozen"/>
    </sheetView>
  </sheetViews>
  <sheetFormatPr defaultColWidth="8.375" defaultRowHeight="15"/>
  <cols>
    <col min="1" max="1" width="29.375" customWidth="1"/>
    <col min="2" max="11" width="10.875" customWidth="1"/>
  </cols>
  <sheetData>
    <row r="1" ht="22.5">
      <c r="A1" s="5" t="s">
        <v>106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2.5">
      <c r="A2" s="7" t="s">
        <v>107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>
      <c r="A4" s="6" t="s">
        <v>44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4" t="s">
        <v>28</v>
      </c>
      <c r="H4" s="4" t="s">
        <v>29</v>
      </c>
      <c r="I4" s="4" t="s">
        <v>30</v>
      </c>
      <c r="J4" s="4" t="s">
        <v>31</v>
      </c>
      <c r="K4" s="4" t="s">
        <v>32</v>
      </c>
    </row>
    <row r="6">
      <c r="A6" s="3" t="s">
        <v>108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37</v>
      </c>
      <c r="B7" s="8">
        <v>17999</v>
      </c>
      <c r="C7" s="8">
        <v>19854</v>
      </c>
      <c r="D7" s="8">
        <v>19325</v>
      </c>
      <c r="E7" s="8">
        <v>20479</v>
      </c>
      <c r="F7" s="8">
        <v>21623</v>
      </c>
      <c r="G7" s="8">
        <f>F7*(1+Protein_Drivers!B66)*(1+Protein_Drivers!G66)*(1+Assumptions!$B$97)</f>
        <v>22245.991896153846</v>
      </c>
      <c r="H7" s="8">
        <f>G7*(1+Protein_Drivers!C66)*(1+Protein_Drivers!H66)</f>
        <v>22690.911734076923</v>
      </c>
      <c r="I7" s="8">
        <f>H7*(1+Protein_Drivers!D66)*(1+Protein_Drivers!I66)</f>
        <v>23144.72996875846</v>
      </c>
      <c r="J7" s="8">
        <f>I7*(1+Protein_Drivers!E66)*(1+Protein_Drivers!J66)</f>
        <v>23607.62456813363</v>
      </c>
      <c r="K7" s="8">
        <f>J7*(1+Protein_Drivers!F66)*(1+Protein_Drivers!K66)</f>
        <v>24079.777059496304</v>
      </c>
    </row>
    <row r="8">
      <c r="A8" t="s">
        <v>38</v>
      </c>
      <c r="B8" s="8">
        <v>6277</v>
      </c>
      <c r="C8" s="8">
        <v>6414</v>
      </c>
      <c r="D8" s="8">
        <v>5768</v>
      </c>
      <c r="E8" s="8">
        <v>5903</v>
      </c>
      <c r="F8" s="8">
        <v>5781</v>
      </c>
      <c r="G8" s="8">
        <f>F8*(1+Protein_Drivers!B67)*(1+Protein_Drivers!G67)*(1+Assumptions!$B$97)</f>
        <v>6190.317034615385</v>
      </c>
      <c r="H8" s="8">
        <f>G8*(1+Protein_Drivers!C67)*(1+Protein_Drivers!H67)</f>
        <v>6377.2646090607695</v>
      </c>
      <c r="I8" s="8">
        <f>H8*(1+Protein_Drivers!D67)*(1+Protein_Drivers!I67)</f>
        <v>6569.858000254405</v>
      </c>
      <c r="J8" s="8">
        <f>I8*(1+Protein_Drivers!E67)*(1+Protein_Drivers!J67)</f>
        <v>6768.267711862088</v>
      </c>
      <c r="K8" s="8">
        <f>J8*(1+Protein_Drivers!F67)*(1+Protein_Drivers!K67)</f>
        <v>6972.669396760322</v>
      </c>
    </row>
    <row r="9">
      <c r="A9" t="s">
        <v>39</v>
      </c>
      <c r="B9" s="8">
        <v>13733</v>
      </c>
      <c r="C9" s="8">
        <v>16961</v>
      </c>
      <c r="D9" s="8">
        <v>17060</v>
      </c>
      <c r="E9" s="8">
        <v>16425</v>
      </c>
      <c r="F9" s="8">
        <v>16837</v>
      </c>
      <c r="G9" s="8">
        <f>F9*(1+Protein_Drivers!B68)*(1+Protein_Drivers!G68)*(1+Assumptions!$B$97)</f>
        <v>18029.12435769231</v>
      </c>
      <c r="H9" s="8">
        <f>G9*(1+Protein_Drivers!C68)*(1+Protein_Drivers!H68)</f>
        <v>18941.398050191543</v>
      </c>
      <c r="I9" s="8">
        <f>H9*(1+Protein_Drivers!D68)*(1+Protein_Drivers!I68)</f>
        <v>19899.832791531233</v>
      </c>
      <c r="J9" s="8">
        <f>I9*(1+Protein_Drivers!E68)*(1+Protein_Drivers!J68)</f>
        <v>20906.764330782717</v>
      </c>
      <c r="K9" s="8">
        <f>J9*(1+Protein_Drivers!F68)*(1+Protein_Drivers!K68)</f>
        <v>21964.646605920323</v>
      </c>
    </row>
    <row r="10">
      <c r="A10" t="s">
        <v>40</v>
      </c>
      <c r="B10" s="8">
        <v>8853</v>
      </c>
      <c r="C10" s="8">
        <v>9689</v>
      </c>
      <c r="D10" s="8">
        <v>9845</v>
      </c>
      <c r="E10" s="8">
        <v>9851</v>
      </c>
      <c r="F10" s="8">
        <v>9930</v>
      </c>
      <c r="G10" s="8">
        <f>F10*(1+Protein_Drivers!B69)*(1+Protein_Drivers!G69)*(1+Assumptions!$B$97)</f>
        <v>10476.713336538462</v>
      </c>
      <c r="H10" s="8">
        <f>G10*(1+Protein_Drivers!C69)*(1+Protein_Drivers!H69)</f>
        <v>10898.924884000962</v>
      </c>
      <c r="I10" s="8">
        <f>H10*(1+Protein_Drivers!D69)*(1+Protein_Drivers!I69)</f>
        <v>11338.1515568262</v>
      </c>
      <c r="J10" s="8">
        <f>I10*(1+Protein_Drivers!E69)*(1+Protein_Drivers!J69)</f>
        <v>11795.079064566296</v>
      </c>
      <c r="K10" s="8">
        <f>J10*(1+Protein_Drivers!F69)*(1+Protein_Drivers!K69)</f>
        <v>12270.42075086832</v>
      </c>
    </row>
    <row r="11">
      <c r="A11" t="s">
        <v>41</v>
      </c>
      <c r="B11" s="8">
        <v>1990</v>
      </c>
      <c r="C11" s="8">
        <v>2355</v>
      </c>
      <c r="D11" s="8">
        <v>2515</v>
      </c>
      <c r="E11" s="8">
        <v>2353</v>
      </c>
      <c r="F11" s="8">
        <v>2291</v>
      </c>
      <c r="G11" s="8">
        <f>F11*(1+Protein_Drivers!B70)*(1+Protein_Drivers!G70)*(1+Assumptions!$B$97)</f>
        <v>2381.758846153846</v>
      </c>
      <c r="H11" s="8">
        <f>G11*(1+Protein_Drivers!C70)*(1+Protein_Drivers!H70)</f>
        <v>2477.7437276538462</v>
      </c>
      <c r="I11" s="8">
        <f>H11*(1+Protein_Drivers!D70)*(1+Protein_Drivers!I70)</f>
        <v>2577.596799878296</v>
      </c>
      <c r="J11" s="8">
        <f>I11*(1+Protein_Drivers!E70)*(1+Protein_Drivers!J70)</f>
        <v>2681.4739509133915</v>
      </c>
      <c r="K11" s="8">
        <f>J11*(1+Protein_Drivers!F70)*(1+Protein_Drivers!K70)</f>
        <v>2789.5373511352013</v>
      </c>
    </row>
    <row r="12">
      <c r="A12" t="s">
        <v>109</v>
      </c>
      <c r="B12" s="8">
        <v>-1803</v>
      </c>
      <c r="C12" s="8">
        <v>-1991</v>
      </c>
      <c r="D12" s="8">
        <v>-1632</v>
      </c>
      <c r="E12" s="8">
        <v>-1702</v>
      </c>
      <c r="F12" s="8">
        <v>-2021</v>
      </c>
      <c r="G12" s="8">
        <f>F12*(1+Protein_Drivers!B71)*(1+Protein_Drivers!G71)*(1+Assumptions!$B$97)</f>
        <v>-2121.661346153846</v>
      </c>
      <c r="H12" s="8">
        <f>G12*(1+Protein_Drivers!C71)*(1+Protein_Drivers!H71)</f>
        <v>-2185.3111865384612</v>
      </c>
      <c r="I12" s="8">
        <f>H12*(1+Protein_Drivers!D71)*(1+Protein_Drivers!I71)</f>
        <v>-2250.870522134615</v>
      </c>
      <c r="J12" s="8">
        <f>I12*(1+Protein_Drivers!E71)*(1+Protein_Drivers!J71)</f>
        <v>-2318.3966377986535</v>
      </c>
      <c r="K12" s="8">
        <f>J12*(1+Protein_Drivers!F71)*(1+Protein_Drivers!K71)</f>
        <v>-2387.948536932613</v>
      </c>
    </row>
    <row r="13">
      <c r="A13" s="16" t="s">
        <v>110</v>
      </c>
      <c r="B13" s="11">
        <f>SUM(B7:B12)</f>
        <v>47049</v>
      </c>
      <c r="C13" s="11">
        <f>SUM(C7:C12)</f>
        <v>53282</v>
      </c>
      <c r="D13" s="11">
        <f>SUM(D7:D12)</f>
        <v>52881</v>
      </c>
      <c r="E13" s="11">
        <f>SUM(E7:E12)</f>
        <v>53309</v>
      </c>
      <c r="F13" s="11">
        <f>SUM(F7:F12)</f>
        <v>54441</v>
      </c>
      <c r="G13" s="11">
        <f>SUM(G7:G12)</f>
        <v>57202.244125000005</v>
      </c>
      <c r="H13" s="11">
        <f>SUM(H7:H12)</f>
        <v>59200.931818445584</v>
      </c>
      <c r="I13" s="11">
        <f>SUM(I7:I12)</f>
        <v>61279.29859511398</v>
      </c>
      <c r="J13" s="11">
        <f>SUM(J7:J12)</f>
        <v>63440.81298845947</v>
      </c>
      <c r="K13" s="11">
        <f>SUM(K7:K12)</f>
        <v>65689.10262724786</v>
      </c>
    </row>
    <row r="14">
      <c r="B14" s="8"/>
      <c r="C14" s="8"/>
      <c r="D14" s="8"/>
      <c r="E14" s="8"/>
      <c r="F14" s="8"/>
      <c r="G14" s="8"/>
      <c r="H14" s="8"/>
      <c r="I14" s="8"/>
      <c r="J14" s="8"/>
      <c r="K14" s="8"/>
    </row>
    <row r="15">
      <c r="A15" s="3" t="s">
        <v>111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>
      <c r="A16" t="s">
        <v>112</v>
      </c>
      <c r="B16" s="8">
        <v>3240</v>
      </c>
      <c r="C16" s="8">
        <v>2502</v>
      </c>
      <c r="D16" s="8">
        <v>38</v>
      </c>
      <c r="E16" s="8">
        <v>-246</v>
      </c>
      <c r="F16" s="8">
        <v>-984</v>
      </c>
      <c r="G16" s="8">
        <f>G7*(Assumptions!B71+Protein_Drivers!B76)</f>
        <v>-424.89844521653845</v>
      </c>
      <c r="H16" s="8">
        <f>H7*(Assumptions!C71+Protein_Drivers!C76)</f>
        <v>-113.45455867038461</v>
      </c>
      <c r="I16" s="8">
        <f>I7*(Assumptions!D71+Protein_Drivers!D76)</f>
        <v>0</v>
      </c>
      <c r="J16" s="8">
        <f>J7*(Assumptions!E71+Protein_Drivers!E76)</f>
        <v>118.03812284066815</v>
      </c>
      <c r="K16" s="8">
        <f>K7*(Assumptions!F71+Protein_Drivers!F76)</f>
        <v>240.79777059496305</v>
      </c>
    </row>
    <row r="17">
      <c r="A17" t="s">
        <v>113</v>
      </c>
      <c r="B17" s="8">
        <v>328</v>
      </c>
      <c r="C17" s="8">
        <v>193</v>
      </c>
      <c r="D17" s="8">
        <v>-75</v>
      </c>
      <c r="E17" s="8">
        <v>26</v>
      </c>
      <c r="F17" s="8">
        <v>-141</v>
      </c>
      <c r="G17" s="8">
        <f>G8*(Assumptions!B72+Protein_Drivers!B77)</f>
        <v>285.9926469992308</v>
      </c>
      <c r="H17" s="8">
        <f>H8*(Assumptions!C72+Protein_Drivers!C77)</f>
        <v>299.7314366258562</v>
      </c>
      <c r="I17" s="8">
        <f>I8*(Assumptions!D72+Protein_Drivers!D77)</f>
        <v>315.35318401221144</v>
      </c>
      <c r="J17" s="8">
        <f>J8*(Assumptions!E72+Protein_Drivers!E77)</f>
        <v>331.6451178812423</v>
      </c>
      <c r="K17" s="8">
        <f>K8*(Assumptions!F72+Protein_Drivers!F77)</f>
        <v>348.63346983801614</v>
      </c>
    </row>
    <row r="18">
      <c r="A18" t="s">
        <v>114</v>
      </c>
      <c r="B18" s="8">
        <v>-625</v>
      </c>
      <c r="C18" s="8">
        <v>955</v>
      </c>
      <c r="D18" s="8">
        <v>-378</v>
      </c>
      <c r="E18" s="8">
        <v>1397</v>
      </c>
      <c r="F18" s="8">
        <v>1860</v>
      </c>
      <c r="G18" s="8">
        <f>G9*(Assumptions!B73+Protein_Drivers!B78)</f>
        <v>2053.5172643411543</v>
      </c>
      <c r="H18" s="8">
        <f>H9*(Assumptions!C73+Protein_Drivers!C78)</f>
        <v>2121.4365816214527</v>
      </c>
      <c r="I18" s="8">
        <f>I9*(Assumptions!D73+Protein_Drivers!D78)</f>
        <v>2188.9816070684356</v>
      </c>
      <c r="J18" s="8">
        <f>J9*(Assumptions!E73+Protein_Drivers!E78)</f>
        <v>2257.9305477245334</v>
      </c>
      <c r="K18" s="8">
        <f>K9*(Assumptions!F73+Protein_Drivers!F78)</f>
        <v>2328.252540227554</v>
      </c>
    </row>
    <row r="19">
      <c r="A19" t="s">
        <v>115</v>
      </c>
      <c r="B19" s="8">
        <v>1456</v>
      </c>
      <c r="C19" s="8">
        <v>746</v>
      </c>
      <c r="D19" s="8">
        <v>1157</v>
      </c>
      <c r="E19" s="8">
        <v>1224</v>
      </c>
      <c r="F19" s="8">
        <v>1248</v>
      </c>
      <c r="G19" s="8">
        <f>G10*(Assumptions!B74+Protein_Drivers!B79)</f>
        <v>1331.5902650740384</v>
      </c>
      <c r="H19" s="8">
        <f>H10*(Assumptions!C74+Protein_Drivers!C79)</f>
        <v>1395.0623851521232</v>
      </c>
      <c r="I19" s="8">
        <f>I10*(Assumptions!D74+Protein_Drivers!D79)</f>
        <v>1462.62155083058</v>
      </c>
      <c r="J19" s="8">
        <f>J10*(Assumptions!E74+Protein_Drivers!E79)</f>
        <v>1533.3602783936185</v>
      </c>
      <c r="K19" s="8">
        <f>K10*(Assumptions!F74+Protein_Drivers!F79)</f>
        <v>1595.1546976128816</v>
      </c>
    </row>
    <row r="20">
      <c r="A20" t="s">
        <v>116</v>
      </c>
      <c r="B20" s="8">
        <v>-3</v>
      </c>
      <c r="C20" s="8">
        <v>14</v>
      </c>
      <c r="D20" s="8">
        <v>-158</v>
      </c>
      <c r="E20" s="8">
        <v>28</v>
      </c>
      <c r="F20" s="8">
        <v>155</v>
      </c>
      <c r="G20" s="8">
        <f>G11*(Assumptions!B75+Protein_Drivers!B80)</f>
        <v>178.39373757692306</v>
      </c>
      <c r="H20" s="8">
        <f>H11*(Assumptions!C75+Protein_Drivers!C80)</f>
        <v>188.3085233016923</v>
      </c>
      <c r="I20" s="8">
        <f>I11*(Assumptions!D75+Protein_Drivers!D80)</f>
        <v>201.0525503905071</v>
      </c>
      <c r="J20" s="8">
        <f>J11*(Assumptions!E75+Protein_Drivers!E80)</f>
        <v>211.83644212215793</v>
      </c>
      <c r="K20" s="8">
        <f>K11*(Assumptions!F75+Protein_Drivers!F80)</f>
        <v>223.1629880908161</v>
      </c>
    </row>
    <row r="21">
      <c r="A21" s="16" t="s">
        <v>117</v>
      </c>
      <c r="B21" s="11">
        <f>SUM(B16:B20)</f>
        <v>4396</v>
      </c>
      <c r="C21" s="11">
        <f>SUM(C16:C20)</f>
        <v>4410</v>
      </c>
      <c r="D21" s="11">
        <f>SUM(D16:D20)</f>
        <v>584</v>
      </c>
      <c r="E21" s="11">
        <f>SUM(E16:E20)</f>
        <v>2429</v>
      </c>
      <c r="F21" s="11">
        <f>SUM(F16:F20)</f>
        <v>2138</v>
      </c>
      <c r="G21" s="11">
        <f>SUM(G16:G20)</f>
        <v>3424.595468774808</v>
      </c>
      <c r="H21" s="11">
        <f>SUM(H16:H20)</f>
        <v>3891.08436803074</v>
      </c>
      <c r="I21" s="11">
        <f>SUM(I16:I20)</f>
        <v>4168.008892301734</v>
      </c>
      <c r="J21" s="11">
        <f>SUM(J16:J20)</f>
        <v>4452.81050896222</v>
      </c>
      <c r="K21" s="11">
        <f>SUM(K16:K20)</f>
        <v>4736.001466364231</v>
      </c>
    </row>
    <row r="22">
      <c r="A22" t="s">
        <v>118</v>
      </c>
      <c r="B22" s="8">
        <v>0</v>
      </c>
      <c r="C22" s="8">
        <v>0</v>
      </c>
      <c r="D22" s="8">
        <v>-750</v>
      </c>
      <c r="E22" s="8">
        <v>-791</v>
      </c>
      <c r="F22" s="8">
        <v>-783</v>
      </c>
      <c r="G22" s="8">
        <f>-G13*(Assumptions!$B$79-Assumptions!$B$85)</f>
        <v>-697.867378325</v>
      </c>
      <c r="H22" s="8">
        <f>-H13*(Assumptions!$B$79-Assumptions!$B$85)</f>
        <v>-722.2513681850361</v>
      </c>
      <c r="I22" s="8">
        <f>-I13*(Assumptions!$B$79-Assumptions!$B$85)</f>
        <v>-747.6074428603905</v>
      </c>
      <c r="J22" s="8">
        <f>-J13*(Assumptions!$B$79-Assumptions!$B$85)</f>
        <v>-773.9779184592054</v>
      </c>
      <c r="K22" s="8">
        <f>-K13*(Assumptions!$B$79-Assumptions!$B$85)</f>
        <v>-801.4070520524239</v>
      </c>
    </row>
    <row r="23">
      <c r="A23" t="s">
        <v>90</v>
      </c>
      <c r="B23" s="8">
        <v>0</v>
      </c>
      <c r="C23" s="8">
        <v>0</v>
      </c>
      <c r="D23" s="8">
        <v>-229</v>
      </c>
      <c r="E23" s="8">
        <v>-229</v>
      </c>
      <c r="F23" s="8">
        <v>-257</v>
      </c>
      <c r="G23" s="8">
        <f>-G13*Assumptions!$B$85</f>
        <v>-286.011220625</v>
      </c>
      <c r="H23" s="8">
        <f>-H13*Assumptions!$B$85</f>
        <v>-296.00465909222794</v>
      </c>
      <c r="I23" s="8">
        <f>-I13*Assumptions!$B$85</f>
        <v>-306.3964929755699</v>
      </c>
      <c r="J23" s="8">
        <f>-J13*Assumptions!$B$85</f>
        <v>-317.20406494229735</v>
      </c>
      <c r="K23" s="8">
        <f>-K13*Assumptions!$B$85</f>
        <v>-328.4455131362393</v>
      </c>
    </row>
    <row r="24">
      <c r="A24" s="16" t="s">
        <v>119</v>
      </c>
      <c r="B24" s="11">
        <f>SUM(B21:B23)</f>
        <v>4396</v>
      </c>
      <c r="C24" s="11">
        <f>SUM(C21:C23)</f>
        <v>4410</v>
      </c>
      <c r="D24" s="11">
        <f>SUM(D21:D23)</f>
        <v>-395</v>
      </c>
      <c r="E24" s="11">
        <f>SUM(E21:E23)</f>
        <v>1409</v>
      </c>
      <c r="F24" s="11">
        <f>SUM(F21:F23)</f>
        <v>1098</v>
      </c>
      <c r="G24" s="11">
        <f>SUM(G21:G23)</f>
        <v>2440.716869824808</v>
      </c>
      <c r="H24" s="11">
        <f>SUM(H21:H23)</f>
        <v>2872.828340753476</v>
      </c>
      <c r="I24" s="11">
        <f>SUM(I21:I23)</f>
        <v>3114.0049564657734</v>
      </c>
      <c r="J24" s="11">
        <f>SUM(J21:J23)</f>
        <v>3361.6285255607177</v>
      </c>
      <c r="K24" s="11">
        <f>SUM(K21:K23)</f>
        <v>3606.1489011755684</v>
      </c>
    </row>
  </sheetData>
  <mergeCells count="4">
    <mergeCell ref="A6:K6"/>
    <mergeCell ref="A15:K15"/>
    <mergeCell ref="A2:K2"/>
    <mergeCell ref="A1:K1"/>
  </mergeCell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7"/>
  <sheetViews>
    <sheetView showGridLines="0" workbookViewId="0">
      <pane xSplit="1" ySplit="5" topLeftCell="B6" activePane="bottomRight" state="frozen"/>
    </sheetView>
  </sheetViews>
  <sheetFormatPr defaultColWidth="8.375" defaultRowHeight="15"/>
  <cols>
    <col min="1" max="1" width="35" customWidth="1"/>
    <col min="2" max="2" width="12.5" customWidth="1"/>
    <col min="3" max="3" width="56.25" customWidth="1"/>
    <col min="4" max="6" width="12.5" customWidth="1"/>
  </cols>
  <sheetData>
    <row r="1" ht="22.5">
      <c r="A1" s="5" t="s">
        <v>120</v>
      </c>
      <c r="B1" s="5"/>
      <c r="C1" s="5"/>
      <c r="D1" s="5"/>
      <c r="E1" s="5"/>
      <c r="F1" s="5"/>
    </row>
    <row r="2" ht="22.5">
      <c r="A2" s="7" t="s">
        <v>121</v>
      </c>
      <c r="B2" s="7"/>
      <c r="C2" s="7"/>
      <c r="D2" s="7"/>
      <c r="E2" s="7"/>
      <c r="F2" s="7"/>
    </row>
    <row r="4">
      <c r="A4" t="s">
        <v>122</v>
      </c>
      <c r="B4" s="30">
        <v>1</v>
      </c>
    </row>
    <row r="5">
      <c r="A5" t="s">
        <v>3</v>
      </c>
      <c r="B5" t="str">
        <f>IF(B4=1,"Base",IF(B4=2,"Bull","Bear"))</f>
        <v>Base</v>
      </c>
    </row>
    <row r="8">
      <c r="A8" s="3" t="s">
        <v>123</v>
      </c>
      <c r="B8" s="3"/>
      <c r="C8" s="3"/>
      <c r="D8" s="3"/>
      <c r="E8" s="3"/>
      <c r="F8" s="3"/>
    </row>
    <row r="9">
      <c r="A9" s="6" t="s">
        <v>34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32</v>
      </c>
    </row>
    <row r="10">
      <c r="A10" t="s">
        <v>37</v>
      </c>
      <c r="B10" s="27">
        <v>0.03</v>
      </c>
      <c r="C10" s="27">
        <v>0.02</v>
      </c>
      <c r="D10" s="27">
        <v>0.02</v>
      </c>
      <c r="E10" s="27">
        <v>0.02</v>
      </c>
      <c r="F10" s="27">
        <v>0.02</v>
      </c>
    </row>
    <row r="11">
      <c r="A11" t="s">
        <v>38</v>
      </c>
      <c r="B11" s="27">
        <v>0.03</v>
      </c>
      <c r="C11" s="27">
        <v>0.02</v>
      </c>
      <c r="D11" s="27">
        <v>0.02</v>
      </c>
      <c r="E11" s="27">
        <v>0.02</v>
      </c>
      <c r="F11" s="27">
        <v>0.02</v>
      </c>
    </row>
    <row r="12">
      <c r="A12" t="s">
        <v>39</v>
      </c>
      <c r="B12" s="27">
        <v>0.03</v>
      </c>
      <c r="C12" s="27">
        <v>0.03</v>
      </c>
      <c r="D12" s="27">
        <v>0.03</v>
      </c>
      <c r="E12" s="27">
        <v>0.03</v>
      </c>
      <c r="F12" s="27">
        <v>0.03</v>
      </c>
    </row>
    <row r="13">
      <c r="A13" t="s">
        <v>40</v>
      </c>
      <c r="B13" s="27">
        <v>0.03</v>
      </c>
      <c r="C13" s="27">
        <v>0.03</v>
      </c>
      <c r="D13" s="27">
        <v>0.03</v>
      </c>
      <c r="E13" s="27">
        <v>0.03</v>
      </c>
      <c r="F13" s="27">
        <v>0.03</v>
      </c>
    </row>
    <row r="14">
      <c r="A14" t="s">
        <v>41</v>
      </c>
      <c r="B14" s="27">
        <v>0.02</v>
      </c>
      <c r="C14" s="27">
        <v>0.03</v>
      </c>
      <c r="D14" s="27">
        <v>0.03</v>
      </c>
      <c r="E14" s="27">
        <v>0.03</v>
      </c>
      <c r="F14" s="27">
        <v>0.03</v>
      </c>
    </row>
    <row r="15">
      <c r="A15" t="s">
        <v>109</v>
      </c>
      <c r="B15" s="27">
        <v>0.03</v>
      </c>
      <c r="C15" s="27">
        <v>0.03</v>
      </c>
      <c r="D15" s="27">
        <v>0.03</v>
      </c>
      <c r="E15" s="27">
        <v>0.03</v>
      </c>
      <c r="F15" s="27">
        <v>0.03</v>
      </c>
    </row>
    <row r="17">
      <c r="A17" s="3" t="s">
        <v>124</v>
      </c>
      <c r="B17" s="3"/>
      <c r="C17" s="3"/>
      <c r="D17" s="3"/>
      <c r="E17" s="3"/>
      <c r="F17" s="3"/>
    </row>
    <row r="18">
      <c r="A18" s="6" t="s">
        <v>34</v>
      </c>
      <c r="B18" s="4" t="s">
        <v>28</v>
      </c>
      <c r="C18" s="4" t="s">
        <v>29</v>
      </c>
      <c r="D18" s="4" t="s">
        <v>30</v>
      </c>
      <c r="E18" s="4" t="s">
        <v>31</v>
      </c>
      <c r="F18" s="4" t="s">
        <v>32</v>
      </c>
    </row>
    <row r="19">
      <c r="A19" t="s">
        <v>37</v>
      </c>
      <c r="B19" s="27">
        <v>0.05</v>
      </c>
      <c r="C19" s="27">
        <v>0.04</v>
      </c>
      <c r="D19" s="27">
        <v>0.04</v>
      </c>
      <c r="E19" s="27">
        <v>0.04</v>
      </c>
      <c r="F19" s="27">
        <v>0.04</v>
      </c>
    </row>
    <row r="20">
      <c r="A20" t="s">
        <v>38</v>
      </c>
      <c r="B20" s="27">
        <v>0.05</v>
      </c>
      <c r="C20" s="27">
        <v>0.04</v>
      </c>
      <c r="D20" s="27">
        <v>0.04</v>
      </c>
      <c r="E20" s="27">
        <v>0.04</v>
      </c>
      <c r="F20" s="27">
        <v>0.04</v>
      </c>
    </row>
    <row r="21">
      <c r="A21" t="s">
        <v>39</v>
      </c>
      <c r="B21" s="27">
        <v>0.05</v>
      </c>
      <c r="C21" s="27">
        <v>0.05</v>
      </c>
      <c r="D21" s="27">
        <v>0.05</v>
      </c>
      <c r="E21" s="27">
        <v>0.05</v>
      </c>
      <c r="F21" s="27">
        <v>0.05</v>
      </c>
    </row>
    <row r="22">
      <c r="A22" t="s">
        <v>40</v>
      </c>
      <c r="B22" s="27">
        <v>0.05</v>
      </c>
      <c r="C22" s="27">
        <v>0.05</v>
      </c>
      <c r="D22" s="27">
        <v>0.05</v>
      </c>
      <c r="E22" s="27">
        <v>0.05</v>
      </c>
      <c r="F22" s="27">
        <v>0.05</v>
      </c>
    </row>
    <row r="23">
      <c r="A23" t="s">
        <v>41</v>
      </c>
      <c r="B23" s="27">
        <v>0.04</v>
      </c>
      <c r="C23" s="27">
        <v>0.05</v>
      </c>
      <c r="D23" s="27">
        <v>0.05</v>
      </c>
      <c r="E23" s="27">
        <v>0.05</v>
      </c>
      <c r="F23" s="27">
        <v>0.05</v>
      </c>
    </row>
    <row r="24">
      <c r="A24" t="s">
        <v>109</v>
      </c>
      <c r="B24" s="27">
        <v>0.05</v>
      </c>
      <c r="C24" s="27">
        <v>0.05</v>
      </c>
      <c r="D24" s="27">
        <v>0.05</v>
      </c>
      <c r="E24" s="27">
        <v>0.05</v>
      </c>
      <c r="F24" s="27">
        <v>0.05</v>
      </c>
    </row>
    <row r="26">
      <c r="A26" s="3" t="s">
        <v>125</v>
      </c>
      <c r="B26" s="3"/>
      <c r="C26" s="3"/>
      <c r="D26" s="3"/>
      <c r="E26" s="3"/>
      <c r="F26" s="3"/>
    </row>
    <row r="27">
      <c r="A27" s="6" t="s">
        <v>34</v>
      </c>
      <c r="B27" s="4" t="s">
        <v>28</v>
      </c>
      <c r="C27" s="4" t="s">
        <v>29</v>
      </c>
      <c r="D27" s="4" t="s">
        <v>30</v>
      </c>
      <c r="E27" s="4" t="s">
        <v>31</v>
      </c>
      <c r="F27" s="4" t="s">
        <v>32</v>
      </c>
    </row>
    <row r="28">
      <c r="A28" t="s">
        <v>37</v>
      </c>
      <c r="B28" s="27">
        <v>0</v>
      </c>
      <c r="C28" s="27">
        <v>-0.009999999999999998</v>
      </c>
      <c r="D28" s="27">
        <v>-0.009999999999999998</v>
      </c>
      <c r="E28" s="27">
        <v>-0.009999999999999998</v>
      </c>
      <c r="F28" s="27">
        <v>-0.009999999999999998</v>
      </c>
    </row>
    <row r="29">
      <c r="A29" t="s">
        <v>38</v>
      </c>
      <c r="B29" s="27">
        <v>0</v>
      </c>
      <c r="C29" s="27">
        <v>-0.009999999999999998</v>
      </c>
      <c r="D29" s="27">
        <v>-0.009999999999999998</v>
      </c>
      <c r="E29" s="27">
        <v>-0.009999999999999998</v>
      </c>
      <c r="F29" s="27">
        <v>-0.009999999999999998</v>
      </c>
    </row>
    <row r="30">
      <c r="A30" t="s">
        <v>39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</row>
    <row r="31">
      <c r="A31" t="s">
        <v>40</v>
      </c>
      <c r="B31" s="27">
        <v>0</v>
      </c>
      <c r="C31" s="27">
        <v>0</v>
      </c>
      <c r="D31" s="27">
        <v>0</v>
      </c>
      <c r="E31" s="27">
        <v>0</v>
      </c>
      <c r="F31" s="27">
        <v>0</v>
      </c>
    </row>
    <row r="32">
      <c r="A32" t="s">
        <v>41</v>
      </c>
      <c r="B32" s="27">
        <v>-0.009999999999999998</v>
      </c>
      <c r="C32" s="27">
        <v>0</v>
      </c>
      <c r="D32" s="27">
        <v>0</v>
      </c>
      <c r="E32" s="27">
        <v>0</v>
      </c>
      <c r="F32" s="27">
        <v>0</v>
      </c>
    </row>
    <row r="33">
      <c r="A33" t="s">
        <v>109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</row>
    <row r="35">
      <c r="A35" s="3" t="s">
        <v>126</v>
      </c>
      <c r="B35" s="3"/>
      <c r="C35" s="3"/>
      <c r="D35" s="3"/>
      <c r="E35" s="3"/>
      <c r="F35" s="3"/>
    </row>
    <row r="36">
      <c r="A36" s="6" t="s">
        <v>34</v>
      </c>
      <c r="B36" s="4" t="s">
        <v>28</v>
      </c>
      <c r="C36" s="4" t="s">
        <v>29</v>
      </c>
      <c r="D36" s="4" t="s">
        <v>30</v>
      </c>
      <c r="E36" s="4" t="s">
        <v>31</v>
      </c>
      <c r="F36" s="4" t="s">
        <v>32</v>
      </c>
    </row>
    <row r="37">
      <c r="A37" t="s">
        <v>37</v>
      </c>
      <c r="B37" s="13">
        <f>IF($B$4=1,B10,IF($B$4=2,B19,B28))</f>
        <v>0.03</v>
      </c>
      <c r="C37" s="13">
        <f>IF($B$4=1,C10,IF($B$4=2,C19,C28))</f>
        <v>0.02</v>
      </c>
      <c r="D37" s="13">
        <f>IF($B$4=1,D10,IF($B$4=2,D19,D28))</f>
        <v>0.02</v>
      </c>
      <c r="E37" s="13">
        <f>IF($B$4=1,E10,IF($B$4=2,E19,E28))</f>
        <v>0.02</v>
      </c>
      <c r="F37" s="13">
        <f>IF($B$4=1,F10,IF($B$4=2,F19,F28))</f>
        <v>0.02</v>
      </c>
    </row>
    <row r="38">
      <c r="A38" t="s">
        <v>38</v>
      </c>
      <c r="B38" s="13">
        <f>IF($B$4=1,B11,IF($B$4=2,B20,B29))</f>
        <v>0.03</v>
      </c>
      <c r="C38" s="13">
        <f>IF($B$4=1,C11,IF($B$4=2,C20,C29))</f>
        <v>0.02</v>
      </c>
      <c r="D38" s="13">
        <f>IF($B$4=1,D11,IF($B$4=2,D20,D29))</f>
        <v>0.02</v>
      </c>
      <c r="E38" s="13">
        <f>IF($B$4=1,E11,IF($B$4=2,E20,E29))</f>
        <v>0.02</v>
      </c>
      <c r="F38" s="13">
        <f>IF($B$4=1,F11,IF($B$4=2,F20,F29))</f>
        <v>0.02</v>
      </c>
    </row>
    <row r="39">
      <c r="A39" t="s">
        <v>39</v>
      </c>
      <c r="B39" s="13">
        <f>IF($B$4=1,B12,IF($B$4=2,B21,B30))</f>
        <v>0.03</v>
      </c>
      <c r="C39" s="13">
        <f>IF($B$4=1,C12,IF($B$4=2,C21,C30))</f>
        <v>0.03</v>
      </c>
      <c r="D39" s="13">
        <f>IF($B$4=1,D12,IF($B$4=2,D21,D30))</f>
        <v>0.03</v>
      </c>
      <c r="E39" s="13">
        <f>IF($B$4=1,E12,IF($B$4=2,E21,E30))</f>
        <v>0.03</v>
      </c>
      <c r="F39" s="13">
        <f>IF($B$4=1,F12,IF($B$4=2,F21,F30))</f>
        <v>0.03</v>
      </c>
    </row>
    <row r="40">
      <c r="A40" t="s">
        <v>40</v>
      </c>
      <c r="B40" s="13">
        <f>IF($B$4=1,B13,IF($B$4=2,B22,B31))</f>
        <v>0.03</v>
      </c>
      <c r="C40" s="13">
        <f>IF($B$4=1,C13,IF($B$4=2,C22,C31))</f>
        <v>0.03</v>
      </c>
      <c r="D40" s="13">
        <f>IF($B$4=1,D13,IF($B$4=2,D22,D31))</f>
        <v>0.03</v>
      </c>
      <c r="E40" s="13">
        <f>IF($B$4=1,E13,IF($B$4=2,E22,E31))</f>
        <v>0.03</v>
      </c>
      <c r="F40" s="13">
        <f>IF($B$4=1,F13,IF($B$4=2,F22,F31))</f>
        <v>0.03</v>
      </c>
    </row>
    <row r="41">
      <c r="A41" t="s">
        <v>41</v>
      </c>
      <c r="B41" s="13">
        <f>IF($B$4=1,B14,IF($B$4=2,B23,B32))</f>
        <v>0.02</v>
      </c>
      <c r="C41" s="13">
        <f>IF($B$4=1,C14,IF($B$4=2,C23,C32))</f>
        <v>0.03</v>
      </c>
      <c r="D41" s="13">
        <f>IF($B$4=1,D14,IF($B$4=2,D23,D32))</f>
        <v>0.03</v>
      </c>
      <c r="E41" s="13">
        <f>IF($B$4=1,E14,IF($B$4=2,E23,E32))</f>
        <v>0.03</v>
      </c>
      <c r="F41" s="13">
        <f>IF($B$4=1,F14,IF($B$4=2,F23,F32))</f>
        <v>0.03</v>
      </c>
    </row>
    <row r="42">
      <c r="A42" t="s">
        <v>109</v>
      </c>
      <c r="B42" s="13">
        <f>IF($B$4=1,B15,IF($B$4=2,B24,B33))</f>
        <v>0.03</v>
      </c>
      <c r="C42" s="13">
        <f>IF($B$4=1,C15,IF($B$4=2,C24,C33))</f>
        <v>0.03</v>
      </c>
      <c r="D42" s="13">
        <f>IF($B$4=1,D15,IF($B$4=2,D24,D33))</f>
        <v>0.03</v>
      </c>
      <c r="E42" s="13">
        <f>IF($B$4=1,E15,IF($B$4=2,E24,E33))</f>
        <v>0.03</v>
      </c>
      <c r="F42" s="13">
        <f>IF($B$4=1,F15,IF($B$4=2,F24,F33))</f>
        <v>0.03</v>
      </c>
    </row>
    <row r="45">
      <c r="A45" s="3" t="s">
        <v>127</v>
      </c>
      <c r="B45" s="3"/>
      <c r="C45" s="3"/>
      <c r="D45" s="3"/>
      <c r="E45" s="3"/>
      <c r="F45" s="3"/>
    </row>
    <row r="46">
      <c r="A46" s="6" t="s">
        <v>34</v>
      </c>
      <c r="B46" s="4" t="s">
        <v>28</v>
      </c>
      <c r="C46" s="4" t="s">
        <v>29</v>
      </c>
      <c r="D46" s="4" t="s">
        <v>30</v>
      </c>
      <c r="E46" s="4" t="s">
        <v>31</v>
      </c>
      <c r="F46" s="4" t="s">
        <v>32</v>
      </c>
    </row>
    <row r="47">
      <c r="A47" t="s">
        <v>37</v>
      </c>
      <c r="B47" s="27">
        <v>-0.0191</v>
      </c>
      <c r="C47" s="27">
        <v>-0.005</v>
      </c>
      <c r="D47" s="27">
        <v>0</v>
      </c>
      <c r="E47" s="27">
        <v>0.005</v>
      </c>
      <c r="F47" s="27">
        <v>0.01</v>
      </c>
    </row>
    <row r="48">
      <c r="A48" t="s">
        <v>38</v>
      </c>
      <c r="B48" s="27">
        <v>0.0462</v>
      </c>
      <c r="C48" s="27">
        <v>0.047</v>
      </c>
      <c r="D48" s="27">
        <v>0.048</v>
      </c>
      <c r="E48" s="27">
        <v>0.049</v>
      </c>
      <c r="F48" s="27">
        <v>0.05</v>
      </c>
    </row>
    <row r="49">
      <c r="A49" t="s">
        <v>39</v>
      </c>
      <c r="B49" s="27">
        <v>0.1139</v>
      </c>
      <c r="C49" s="27">
        <v>0.112</v>
      </c>
      <c r="D49" s="27">
        <v>0.11</v>
      </c>
      <c r="E49" s="27">
        <v>0.108</v>
      </c>
      <c r="F49" s="27">
        <v>0.106</v>
      </c>
    </row>
    <row r="50">
      <c r="A50" t="s">
        <v>40</v>
      </c>
      <c r="B50" s="27">
        <v>0.1271</v>
      </c>
      <c r="C50" s="27">
        <v>0.128</v>
      </c>
      <c r="D50" s="27">
        <v>0.129</v>
      </c>
      <c r="E50" s="27">
        <v>0.13</v>
      </c>
      <c r="F50" s="27">
        <v>0.13</v>
      </c>
    </row>
    <row r="51">
      <c r="A51" t="s">
        <v>41</v>
      </c>
      <c r="B51" s="27">
        <v>0.0749</v>
      </c>
      <c r="C51" s="27">
        <v>0.076</v>
      </c>
      <c r="D51" s="27">
        <v>0.078</v>
      </c>
      <c r="E51" s="27">
        <v>0.079</v>
      </c>
      <c r="F51" s="27">
        <v>0.08</v>
      </c>
    </row>
    <row r="53">
      <c r="A53" s="3" t="s">
        <v>128</v>
      </c>
      <c r="B53" s="3"/>
      <c r="C53" s="3"/>
      <c r="D53" s="3"/>
      <c r="E53" s="3"/>
      <c r="F53" s="3"/>
    </row>
    <row r="54">
      <c r="A54" s="6" t="s">
        <v>34</v>
      </c>
      <c r="B54" s="4" t="s">
        <v>28</v>
      </c>
      <c r="C54" s="4" t="s">
        <v>29</v>
      </c>
      <c r="D54" s="4" t="s">
        <v>30</v>
      </c>
      <c r="E54" s="4" t="s">
        <v>31</v>
      </c>
      <c r="F54" s="4" t="s">
        <v>32</v>
      </c>
    </row>
    <row r="55">
      <c r="A55" t="s">
        <v>37</v>
      </c>
      <c r="B55" s="27">
        <v>-0.0040999999999999995</v>
      </c>
      <c r="C55" s="27">
        <v>0.009999999999999998</v>
      </c>
      <c r="D55" s="27">
        <v>0.015</v>
      </c>
      <c r="E55" s="27">
        <v>0.02</v>
      </c>
      <c r="F55" s="27">
        <v>0.025</v>
      </c>
    </row>
    <row r="56">
      <c r="A56" t="s">
        <v>38</v>
      </c>
      <c r="B56" s="27">
        <v>0.0612</v>
      </c>
      <c r="C56" s="27">
        <v>0.062</v>
      </c>
      <c r="D56" s="27">
        <v>0.063</v>
      </c>
      <c r="E56" s="27">
        <v>0.064</v>
      </c>
      <c r="F56" s="27">
        <v>0.065</v>
      </c>
    </row>
    <row r="57">
      <c r="A57" t="s">
        <v>39</v>
      </c>
      <c r="B57" s="27">
        <v>0.1289</v>
      </c>
      <c r="C57" s="27">
        <v>0.127</v>
      </c>
      <c r="D57" s="27">
        <v>0.125</v>
      </c>
      <c r="E57" s="27">
        <v>0.123</v>
      </c>
      <c r="F57" s="27">
        <v>0.121</v>
      </c>
    </row>
    <row r="58">
      <c r="A58" t="s">
        <v>40</v>
      </c>
      <c r="B58" s="27">
        <v>0.1421</v>
      </c>
      <c r="C58" s="27">
        <v>0.14300000000000002</v>
      </c>
      <c r="D58" s="27">
        <v>0.14400000000000002</v>
      </c>
      <c r="E58" s="27">
        <v>0.14500000000000002</v>
      </c>
      <c r="F58" s="27">
        <v>0.14500000000000002</v>
      </c>
    </row>
    <row r="59">
      <c r="A59" t="s">
        <v>41</v>
      </c>
      <c r="B59" s="27">
        <v>0.0899</v>
      </c>
      <c r="C59" s="27">
        <v>0.091</v>
      </c>
      <c r="D59" s="27">
        <v>0.093</v>
      </c>
      <c r="E59" s="27">
        <v>0.094</v>
      </c>
      <c r="F59" s="27">
        <v>0.095</v>
      </c>
    </row>
    <row r="61">
      <c r="A61" s="3" t="s">
        <v>129</v>
      </c>
      <c r="B61" s="3"/>
      <c r="C61" s="3"/>
      <c r="D61" s="3"/>
      <c r="E61" s="3"/>
      <c r="F61" s="3"/>
    </row>
    <row r="62">
      <c r="A62" s="6" t="s">
        <v>34</v>
      </c>
      <c r="B62" s="4" t="s">
        <v>28</v>
      </c>
      <c r="C62" s="4" t="s">
        <v>29</v>
      </c>
      <c r="D62" s="4" t="s">
        <v>30</v>
      </c>
      <c r="E62" s="4" t="s">
        <v>31</v>
      </c>
      <c r="F62" s="4" t="s">
        <v>32</v>
      </c>
    </row>
    <row r="63">
      <c r="A63" t="s">
        <v>37</v>
      </c>
      <c r="B63" s="27">
        <v>-0.0391</v>
      </c>
      <c r="C63" s="27">
        <v>-0.025</v>
      </c>
      <c r="D63" s="27">
        <v>-0.02</v>
      </c>
      <c r="E63" s="27">
        <v>-0.015</v>
      </c>
      <c r="F63" s="27">
        <v>-0.01</v>
      </c>
    </row>
    <row r="64">
      <c r="A64" t="s">
        <v>38</v>
      </c>
      <c r="B64" s="27">
        <v>0.0262</v>
      </c>
      <c r="C64" s="27">
        <v>0.027</v>
      </c>
      <c r="D64" s="27">
        <v>0.028</v>
      </c>
      <c r="E64" s="27">
        <v>0.029</v>
      </c>
      <c r="F64" s="27">
        <v>0.03</v>
      </c>
    </row>
    <row r="65">
      <c r="A65" t="s">
        <v>39</v>
      </c>
      <c r="B65" s="27">
        <v>0.0939</v>
      </c>
      <c r="C65" s="27">
        <v>0.092</v>
      </c>
      <c r="D65" s="27">
        <v>0.09</v>
      </c>
      <c r="E65" s="27">
        <v>0.088</v>
      </c>
      <c r="F65" s="27">
        <v>0.086</v>
      </c>
    </row>
    <row r="66">
      <c r="A66" t="s">
        <v>40</v>
      </c>
      <c r="B66" s="27">
        <v>0.1071</v>
      </c>
      <c r="C66" s="27">
        <v>0.108</v>
      </c>
      <c r="D66" s="27">
        <v>0.109</v>
      </c>
      <c r="E66" s="27">
        <v>0.11</v>
      </c>
      <c r="F66" s="27">
        <v>0.11</v>
      </c>
    </row>
    <row r="67">
      <c r="A67" t="s">
        <v>41</v>
      </c>
      <c r="B67" s="27">
        <v>0.05489999999999999</v>
      </c>
      <c r="C67" s="27">
        <v>0.055999999999999994</v>
      </c>
      <c r="D67" s="27">
        <v>0.058</v>
      </c>
      <c r="E67" s="27">
        <v>0.059</v>
      </c>
      <c r="F67" s="27">
        <v>0.06</v>
      </c>
    </row>
    <row r="69">
      <c r="A69" s="3" t="s">
        <v>130</v>
      </c>
      <c r="B69" s="3"/>
      <c r="C69" s="3"/>
      <c r="D69" s="3"/>
      <c r="E69" s="3"/>
      <c r="F69" s="3"/>
    </row>
    <row r="70">
      <c r="A70" s="6" t="s">
        <v>34</v>
      </c>
      <c r="B70" s="4" t="s">
        <v>28</v>
      </c>
      <c r="C70" s="4" t="s">
        <v>29</v>
      </c>
      <c r="D70" s="4" t="s">
        <v>30</v>
      </c>
      <c r="E70" s="4" t="s">
        <v>31</v>
      </c>
      <c r="F70" s="4" t="s">
        <v>32</v>
      </c>
    </row>
    <row r="71">
      <c r="A71" t="s">
        <v>37</v>
      </c>
      <c r="B71" s="13">
        <f>IF($B$4=1,B47,IF($B$4=2,B55,B63))</f>
        <v>-0.0191</v>
      </c>
      <c r="C71" s="13">
        <f>IF($B$4=1,C47,IF($B$4=2,C55,C63))</f>
        <v>-0.005</v>
      </c>
      <c r="D71" s="13">
        <f>IF($B$4=1,D47,IF($B$4=2,D55,D63))</f>
        <v>0</v>
      </c>
      <c r="E71" s="13">
        <f>IF($B$4=1,E47,IF($B$4=2,E55,E63))</f>
        <v>0.005</v>
      </c>
      <c r="F71" s="13">
        <f>IF($B$4=1,F47,IF($B$4=2,F55,F63))</f>
        <v>0.01</v>
      </c>
    </row>
    <row r="72">
      <c r="A72" t="s">
        <v>38</v>
      </c>
      <c r="B72" s="13">
        <f>IF($B$4=1,B48,IF($B$4=2,B56,B64))</f>
        <v>0.0462</v>
      </c>
      <c r="C72" s="13">
        <f>IF($B$4=1,C48,IF($B$4=2,C56,C64))</f>
        <v>0.047</v>
      </c>
      <c r="D72" s="13">
        <f>IF($B$4=1,D48,IF($B$4=2,D56,D64))</f>
        <v>0.048</v>
      </c>
      <c r="E72" s="13">
        <f>IF($B$4=1,E48,IF($B$4=2,E56,E64))</f>
        <v>0.049</v>
      </c>
      <c r="F72" s="13">
        <f>IF($B$4=1,F48,IF($B$4=2,F56,F64))</f>
        <v>0.05</v>
      </c>
    </row>
    <row r="73">
      <c r="A73" t="s">
        <v>39</v>
      </c>
      <c r="B73" s="13">
        <f>IF($B$4=1,B49,IF($B$4=2,B57,B65))</f>
        <v>0.1139</v>
      </c>
      <c r="C73" s="13">
        <f>IF($B$4=1,C49,IF($B$4=2,C57,C65))</f>
        <v>0.112</v>
      </c>
      <c r="D73" s="13">
        <f>IF($B$4=1,D49,IF($B$4=2,D57,D65))</f>
        <v>0.11</v>
      </c>
      <c r="E73" s="13">
        <f>IF($B$4=1,E49,IF($B$4=2,E57,E65))</f>
        <v>0.108</v>
      </c>
      <c r="F73" s="13">
        <f>IF($B$4=1,F49,IF($B$4=2,F57,F65))</f>
        <v>0.106</v>
      </c>
    </row>
    <row r="74">
      <c r="A74" t="s">
        <v>40</v>
      </c>
      <c r="B74" s="13">
        <f>IF($B$4=1,B50,IF($B$4=2,B58,B66))</f>
        <v>0.1271</v>
      </c>
      <c r="C74" s="13">
        <f>IF($B$4=1,C50,IF($B$4=2,C58,C66))</f>
        <v>0.128</v>
      </c>
      <c r="D74" s="13">
        <f>IF($B$4=1,D50,IF($B$4=2,D58,D66))</f>
        <v>0.129</v>
      </c>
      <c r="E74" s="13">
        <f>IF($B$4=1,E50,IF($B$4=2,E58,E66))</f>
        <v>0.13</v>
      </c>
      <c r="F74" s="13">
        <f>IF($B$4=1,F50,IF($B$4=2,F58,F66))</f>
        <v>0.13</v>
      </c>
    </row>
    <row r="75">
      <c r="A75" t="s">
        <v>41</v>
      </c>
      <c r="B75" s="13">
        <f>IF($B$4=1,B51,IF($B$4=2,B59,B67))</f>
        <v>0.0749</v>
      </c>
      <c r="C75" s="13">
        <f>IF($B$4=1,C51,IF($B$4=2,C59,C67))</f>
        <v>0.076</v>
      </c>
      <c r="D75" s="13">
        <f>IF($B$4=1,D51,IF($B$4=2,D59,D67))</f>
        <v>0.078</v>
      </c>
      <c r="E75" s="13">
        <f>IF($B$4=1,E51,IF($B$4=2,E59,E67))</f>
        <v>0.079</v>
      </c>
      <c r="F75" s="13">
        <f>IF($B$4=1,F51,IF($B$4=2,F59,F67))</f>
        <v>0.08</v>
      </c>
    </row>
    <row r="78">
      <c r="A78" s="3" t="s">
        <v>131</v>
      </c>
      <c r="B78" s="3"/>
      <c r="C78" s="3"/>
      <c r="D78" s="3"/>
      <c r="E78" s="3"/>
      <c r="F78" s="3"/>
    </row>
    <row r="79">
      <c r="A79" t="s">
        <v>132</v>
      </c>
      <c r="B79" s="27">
        <v>0.0172</v>
      </c>
      <c r="C79" s="20" t="s">
        <v>133</v>
      </c>
    </row>
    <row r="80" ht="27">
      <c r="A80" t="s">
        <v>134</v>
      </c>
      <c r="B80" s="27">
        <v>0.04</v>
      </c>
      <c r="C80" s="20" t="s">
        <v>135</v>
      </c>
    </row>
    <row r="81" ht="27">
      <c r="A81" t="s">
        <v>136</v>
      </c>
      <c r="B81" s="27">
        <v>0.25</v>
      </c>
      <c r="C81" s="20" t="s">
        <v>137</v>
      </c>
    </row>
    <row r="82" ht="27">
      <c r="A82" t="s">
        <v>138</v>
      </c>
      <c r="B82" s="31">
        <v>365</v>
      </c>
      <c r="C82" s="20" t="s">
        <v>137</v>
      </c>
    </row>
    <row r="83" ht="27">
      <c r="A83" t="s">
        <v>139</v>
      </c>
      <c r="B83" s="27">
        <v>0.045</v>
      </c>
      <c r="C83" s="20" t="s">
        <v>140</v>
      </c>
    </row>
    <row r="84" ht="27">
      <c r="A84" t="s">
        <v>141</v>
      </c>
      <c r="B84" s="27">
        <v>0.02</v>
      </c>
      <c r="C84" s="20" t="s">
        <v>142</v>
      </c>
    </row>
    <row r="85" ht="27">
      <c r="A85" t="s">
        <v>143</v>
      </c>
      <c r="B85" s="27">
        <v>0.005</v>
      </c>
      <c r="C85" s="20" t="s">
        <v>142</v>
      </c>
    </row>
    <row r="86" ht="27">
      <c r="A86" t="s">
        <v>144</v>
      </c>
      <c r="B86" s="27">
        <v>0.015</v>
      </c>
      <c r="C86" s="20" t="s">
        <v>145</v>
      </c>
    </row>
    <row r="87" ht="27">
      <c r="A87" t="s">
        <v>146</v>
      </c>
      <c r="B87" s="30">
        <v>17</v>
      </c>
      <c r="C87" s="20" t="s">
        <v>147</v>
      </c>
    </row>
    <row r="88" ht="27">
      <c r="A88" t="s">
        <v>148</v>
      </c>
      <c r="B88" s="30">
        <v>40</v>
      </c>
      <c r="C88" s="20" t="s">
        <v>147</v>
      </c>
    </row>
    <row r="89" ht="27">
      <c r="A89" t="s">
        <v>149</v>
      </c>
      <c r="B89" s="30">
        <v>18.5</v>
      </c>
      <c r="C89" s="20" t="s">
        <v>147</v>
      </c>
    </row>
    <row r="90" ht="27">
      <c r="A90" t="s">
        <v>150</v>
      </c>
      <c r="B90" s="27">
        <v>0.009</v>
      </c>
      <c r="C90" s="20" t="s">
        <v>140</v>
      </c>
    </row>
    <row r="91" ht="27">
      <c r="A91" t="s">
        <v>151</v>
      </c>
      <c r="B91" s="27">
        <v>0.048</v>
      </c>
      <c r="C91" s="20" t="s">
        <v>140</v>
      </c>
    </row>
    <row r="92" ht="27">
      <c r="A92" t="s">
        <v>152</v>
      </c>
      <c r="B92" s="27">
        <v>0.5</v>
      </c>
      <c r="C92" s="20" t="s">
        <v>140</v>
      </c>
    </row>
    <row r="93" ht="27">
      <c r="A93" t="s">
        <v>153</v>
      </c>
      <c r="B93" s="27">
        <v>0.02</v>
      </c>
      <c r="C93" s="20" t="s">
        <v>154</v>
      </c>
    </row>
    <row r="94" ht="27">
      <c r="A94" t="s">
        <v>155</v>
      </c>
      <c r="B94" s="27">
        <v>0.085</v>
      </c>
      <c r="C94" s="20" t="s">
        <v>156</v>
      </c>
    </row>
    <row r="95" ht="27">
      <c r="A95" t="s">
        <v>157</v>
      </c>
      <c r="B95" s="27">
        <v>0.02</v>
      </c>
      <c r="C95" s="20" t="s">
        <v>156</v>
      </c>
    </row>
    <row r="96" ht="27">
      <c r="A96" t="s">
        <v>158</v>
      </c>
      <c r="B96" s="32">
        <v>8</v>
      </c>
      <c r="C96" s="20" t="s">
        <v>159</v>
      </c>
    </row>
    <row r="97" ht="27">
      <c r="A97" t="s">
        <v>160</v>
      </c>
      <c r="B97" s="27">
        <v>0.019230769230769232</v>
      </c>
      <c r="C97" s="20" t="s">
        <v>161</v>
      </c>
    </row>
    <row r="98" ht="43.5">
      <c r="A98" t="s">
        <v>162</v>
      </c>
      <c r="B98" s="27">
        <v>0.01</v>
      </c>
      <c r="C98" s="20" t="s">
        <v>140</v>
      </c>
    </row>
    <row r="99" ht="27">
      <c r="A99" t="s">
        <v>163</v>
      </c>
      <c r="B99" s="27">
        <v>0.02</v>
      </c>
      <c r="C99" s="20" t="s">
        <v>140</v>
      </c>
    </row>
    <row r="100" ht="27">
      <c r="A100" t="s">
        <v>164</v>
      </c>
      <c r="B100" s="27">
        <v>0.1</v>
      </c>
      <c r="C100" s="20" t="s">
        <v>165</v>
      </c>
    </row>
    <row r="101" ht="27">
      <c r="A101" t="s">
        <v>166</v>
      </c>
      <c r="B101" s="30">
        <v>354</v>
      </c>
      <c r="C101" s="20" t="s">
        <v>167</v>
      </c>
    </row>
    <row r="102" ht="27">
      <c r="A102" t="s">
        <v>168</v>
      </c>
      <c r="B102" s="30">
        <v>352.129402</v>
      </c>
      <c r="C102" s="20" t="s">
        <v>169</v>
      </c>
    </row>
    <row r="103" ht="27">
      <c r="A103" t="s">
        <v>170</v>
      </c>
      <c r="B103" s="27">
        <v>0</v>
      </c>
      <c r="C103" s="20" t="s">
        <v>171</v>
      </c>
    </row>
    <row r="104" ht="27">
      <c r="A104" t="s">
        <v>172</v>
      </c>
      <c r="B104" s="27">
        <v>0</v>
      </c>
      <c r="C104" s="20" t="s">
        <v>173</v>
      </c>
    </row>
    <row r="105" ht="27">
      <c r="A105" t="s">
        <v>174</v>
      </c>
      <c r="B105" s="27">
        <v>0</v>
      </c>
      <c r="C105" s="20" t="s">
        <v>173</v>
      </c>
    </row>
    <row r="106" ht="27">
      <c r="A106" t="s">
        <v>175</v>
      </c>
      <c r="B106" s="27">
        <v>0</v>
      </c>
      <c r="C106" s="20" t="s">
        <v>173</v>
      </c>
    </row>
    <row r="107" ht="27">
      <c r="A107" t="s">
        <v>176</v>
      </c>
      <c r="B107" s="31">
        <v>0</v>
      </c>
      <c r="C107" s="20" t="s">
        <v>177</v>
      </c>
    </row>
    <row r="108" ht="27"/>
  </sheetData>
  <mergeCells count="11">
    <mergeCell ref="A26:F26"/>
    <mergeCell ref="A8:F8"/>
    <mergeCell ref="A17:F17"/>
    <mergeCell ref="A69:F69"/>
    <mergeCell ref="A2:F2"/>
    <mergeCell ref="A61:F61"/>
    <mergeCell ref="A78:F78"/>
    <mergeCell ref="A35:F35"/>
    <mergeCell ref="A1:F1"/>
    <mergeCell ref="A53:F53"/>
    <mergeCell ref="A45:F45"/>
  </mergeCell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P89"/>
  <sheetViews>
    <sheetView showGridLines="0" workbookViewId="0">
      <pane xSplit="1" ySplit="4" topLeftCell="B5" activePane="bottomRight" state="frozen"/>
    </sheetView>
  </sheetViews>
  <sheetFormatPr defaultColWidth="8.375" defaultRowHeight="15"/>
  <cols>
    <col min="1" max="1" width="36.875" customWidth="1"/>
    <col min="2" max="6" width="17.5" customWidth="1"/>
    <col min="7" max="16" width="15" customWidth="1"/>
  </cols>
  <sheetData>
    <row r="1" ht="22.5">
      <c r="A1" s="5" t="s">
        <v>178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22.5">
      <c r="A2" s="7" t="s">
        <v>179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6">
      <c r="A6" s="3" t="s">
        <v>180</v>
      </c>
      <c r="B6" s="3"/>
      <c r="C6" s="3"/>
      <c r="D6" s="3"/>
    </row>
    <row r="7">
      <c r="A7" s="6" t="s">
        <v>44</v>
      </c>
      <c r="B7" s="6" t="s">
        <v>181</v>
      </c>
      <c r="C7" s="6" t="s">
        <v>182</v>
      </c>
      <c r="D7" s="6" t="s">
        <v>183</v>
      </c>
    </row>
    <row r="8">
      <c r="A8" t="s">
        <v>184</v>
      </c>
      <c r="B8" s="8">
        <v>52881</v>
      </c>
      <c r="C8" s="8">
        <v>53309</v>
      </c>
      <c r="D8" s="8">
        <v>26697</v>
      </c>
    </row>
    <row r="9">
      <c r="A9" t="s">
        <v>185</v>
      </c>
      <c r="B9" s="8">
        <v>19</v>
      </c>
      <c r="C9" s="8">
        <v>-10</v>
      </c>
      <c r="D9" s="8">
        <v>-354</v>
      </c>
    </row>
    <row r="10">
      <c r="A10" t="s">
        <v>186</v>
      </c>
      <c r="B10" s="8">
        <v>298</v>
      </c>
      <c r="C10" s="8">
        <v>1795</v>
      </c>
      <c r="D10" s="8">
        <v>1430</v>
      </c>
    </row>
    <row r="11">
      <c r="A11" t="s">
        <v>187</v>
      </c>
      <c r="B11" s="8">
        <v>111</v>
      </c>
      <c r="C11" s="8">
        <v>-653</v>
      </c>
      <c r="D11" s="8">
        <v>193</v>
      </c>
    </row>
    <row r="12">
      <c r="A12" s="16" t="s">
        <v>188</v>
      </c>
      <c r="B12" s="11">
        <f>SUM(B8:B11)</f>
        <v>53309</v>
      </c>
      <c r="C12" s="11">
        <f>SUM(C8:C11)</f>
        <v>54441</v>
      </c>
      <c r="D12" s="11">
        <f>SUM(D8:D11)</f>
        <v>27966</v>
      </c>
    </row>
    <row r="13">
      <c r="A13" s="16" t="s">
        <v>189</v>
      </c>
      <c r="B13" s="11">
        <v>53309</v>
      </c>
      <c r="C13" s="11">
        <v>54441</v>
      </c>
      <c r="D13" s="11">
        <v>27966</v>
      </c>
    </row>
    <row r="14">
      <c r="A14" s="16" t="s">
        <v>190</v>
      </c>
      <c r="B14" s="11">
        <f>B12-B13</f>
        <v>0</v>
      </c>
      <c r="C14" s="11">
        <f>C12-C13</f>
        <v>0</v>
      </c>
      <c r="D14" s="11">
        <f>D12-D13</f>
        <v>0</v>
      </c>
    </row>
    <row r="15">
      <c r="B15" s="8"/>
      <c r="C15" s="8"/>
      <c r="D15" s="8"/>
    </row>
    <row r="16">
      <c r="B16" s="8"/>
      <c r="C16" s="8"/>
      <c r="D16" s="8"/>
    </row>
    <row r="17">
      <c r="A17" s="3" t="s">
        <v>191</v>
      </c>
      <c r="B17" s="19"/>
      <c r="C17" s="19"/>
      <c r="D17" s="19"/>
      <c r="E17" s="3"/>
    </row>
    <row r="18">
      <c r="A18" s="6" t="s">
        <v>34</v>
      </c>
      <c r="B18" s="18" t="s">
        <v>192</v>
      </c>
      <c r="C18" s="18" t="s">
        <v>193</v>
      </c>
      <c r="D18" s="18" t="s">
        <v>194</v>
      </c>
      <c r="E18" s="6" t="s">
        <v>195</v>
      </c>
    </row>
    <row r="19">
      <c r="A19" t="s">
        <v>37</v>
      </c>
      <c r="B19" s="13">
        <v>-0.019</v>
      </c>
      <c r="C19" s="13">
        <v>0.09</v>
      </c>
      <c r="D19" s="13">
        <v>-0.101</v>
      </c>
      <c r="E19" s="13">
        <v>0.143</v>
      </c>
    </row>
    <row r="20">
      <c r="A20" t="s">
        <v>38</v>
      </c>
      <c r="B20" s="13">
        <v>-0.017</v>
      </c>
      <c r="C20" s="13">
        <v>0.053</v>
      </c>
      <c r="D20" s="13">
        <v>0.03</v>
      </c>
      <c r="E20" s="13">
        <v>0.014</v>
      </c>
    </row>
    <row r="21">
      <c r="A21" t="s">
        <v>39</v>
      </c>
      <c r="B21" s="13">
        <v>0.026</v>
      </c>
      <c r="C21" s="13">
        <v>-0.001</v>
      </c>
      <c r="D21" s="13">
        <v>0.027</v>
      </c>
      <c r="E21" s="13">
        <v>0.009</v>
      </c>
    </row>
    <row r="22">
      <c r="A22" t="s">
        <v>40</v>
      </c>
      <c r="B22" s="13">
        <v>-0.025</v>
      </c>
      <c r="C22" s="13">
        <v>0.033</v>
      </c>
      <c r="D22" s="13">
        <v>0.003</v>
      </c>
      <c r="E22" s="13">
        <v>0.062</v>
      </c>
    </row>
    <row r="23">
      <c r="A23" t="s">
        <v>41</v>
      </c>
      <c r="B23" s="13"/>
      <c r="C23" s="13"/>
      <c r="D23" s="13">
        <v>-0.009</v>
      </c>
      <c r="E23" s="13">
        <v>0.017</v>
      </c>
    </row>
    <row r="24">
      <c r="B24" s="8"/>
      <c r="C24" s="8"/>
      <c r="D24" s="8"/>
    </row>
    <row r="25">
      <c r="B25" s="8"/>
      <c r="C25" s="8"/>
      <c r="D25" s="8"/>
    </row>
    <row r="26">
      <c r="A26" s="3" t="s">
        <v>196</v>
      </c>
      <c r="B26" s="19"/>
      <c r="C26" s="19"/>
      <c r="D26" s="19"/>
    </row>
    <row r="27">
      <c r="A27" s="6" t="s">
        <v>44</v>
      </c>
      <c r="B27" s="18" t="s">
        <v>181</v>
      </c>
      <c r="C27" s="18" t="s">
        <v>182</v>
      </c>
      <c r="D27" s="18" t="s">
        <v>183</v>
      </c>
    </row>
    <row r="28">
      <c r="A28" t="s">
        <v>197</v>
      </c>
      <c r="B28" s="8">
        <v>50250</v>
      </c>
      <c r="C28" s="8">
        <v>49682</v>
      </c>
      <c r="D28" s="8">
        <v>25002</v>
      </c>
    </row>
    <row r="29">
      <c r="A29" t="s">
        <v>185</v>
      </c>
      <c r="B29" s="8">
        <v>18</v>
      </c>
      <c r="C29" s="8">
        <v>-10</v>
      </c>
      <c r="D29" s="8">
        <v>-328</v>
      </c>
    </row>
    <row r="30">
      <c r="A30" t="s">
        <v>198</v>
      </c>
      <c r="B30" s="8">
        <v>-586</v>
      </c>
      <c r="C30" s="8">
        <v>1207</v>
      </c>
      <c r="D30" s="8">
        <v>1522</v>
      </c>
    </row>
    <row r="31">
      <c r="A31" s="16" t="s">
        <v>199</v>
      </c>
      <c r="B31" s="11">
        <f>SUM(B28:B30)</f>
        <v>49682</v>
      </c>
      <c r="C31" s="11">
        <f>SUM(C28:C30)</f>
        <v>50879</v>
      </c>
      <c r="D31" s="11">
        <f>SUM(D28:D30)</f>
        <v>26196</v>
      </c>
    </row>
    <row r="32">
      <c r="A32" s="16" t="s">
        <v>200</v>
      </c>
      <c r="B32" s="11">
        <v>49682</v>
      </c>
      <c r="C32" s="11">
        <v>50879</v>
      </c>
      <c r="D32" s="11">
        <v>26196</v>
      </c>
    </row>
    <row r="33">
      <c r="A33" s="16" t="s">
        <v>190</v>
      </c>
      <c r="B33" s="11">
        <f>B31-B32</f>
        <v>0</v>
      </c>
      <c r="C33" s="11">
        <f>C31-C32</f>
        <v>0</v>
      </c>
      <c r="D33" s="11">
        <f>D31-D32</f>
        <v>0</v>
      </c>
    </row>
    <row r="34">
      <c r="B34" s="8"/>
      <c r="C34" s="8"/>
      <c r="D34" s="8"/>
    </row>
    <row r="35">
      <c r="B35" s="8"/>
      <c r="C35" s="8"/>
      <c r="D35" s="8"/>
    </row>
    <row r="36">
      <c r="A36" s="3" t="s">
        <v>201</v>
      </c>
      <c r="B36" s="19"/>
      <c r="C36" s="19"/>
      <c r="D36" s="8"/>
    </row>
    <row r="37">
      <c r="A37" s="6" t="s">
        <v>202</v>
      </c>
      <c r="B37" s="18" t="s">
        <v>182</v>
      </c>
      <c r="C37" s="18" t="s">
        <v>183</v>
      </c>
      <c r="D37" s="8"/>
    </row>
    <row r="38">
      <c r="A38" t="s">
        <v>203</v>
      </c>
      <c r="B38" s="8">
        <v>1840</v>
      </c>
      <c r="C38" s="8">
        <v>1450</v>
      </c>
      <c r="D38" s="8"/>
    </row>
    <row r="39">
      <c r="A39" t="s">
        <v>204</v>
      </c>
      <c r="B39" s="8">
        <v>345</v>
      </c>
      <c r="C39" s="8">
        <v>160</v>
      </c>
      <c r="D39" s="8"/>
    </row>
    <row r="40">
      <c r="A40" t="s">
        <v>205</v>
      </c>
      <c r="B40" s="8">
        <v>295</v>
      </c>
      <c r="C40" s="8">
        <v>55</v>
      </c>
      <c r="D40" s="8"/>
    </row>
    <row r="41">
      <c r="A41" t="s">
        <v>206</v>
      </c>
      <c r="B41" s="8">
        <v>-340</v>
      </c>
      <c r="C41" s="8">
        <v>-60</v>
      </c>
      <c r="D41" s="8"/>
    </row>
    <row r="42">
      <c r="A42" t="s">
        <v>207</v>
      </c>
      <c r="B42" s="8">
        <v>-110</v>
      </c>
      <c r="C42" s="8">
        <v>45</v>
      </c>
      <c r="D42" s="8"/>
    </row>
    <row r="43">
      <c r="A43" t="s">
        <v>208</v>
      </c>
      <c r="B43" s="8">
        <v>43</v>
      </c>
      <c r="C43" s="8">
        <v>33</v>
      </c>
      <c r="D43" s="8"/>
    </row>
    <row r="44">
      <c r="A44" t="s">
        <v>209</v>
      </c>
      <c r="B44" s="8">
        <v>-89</v>
      </c>
      <c r="C44" s="8">
        <v>21</v>
      </c>
      <c r="D44" s="8"/>
    </row>
    <row r="45">
      <c r="A45" t="s">
        <v>210</v>
      </c>
      <c r="B45" s="8">
        <v>-165</v>
      </c>
      <c r="C45" s="8">
        <v>-23</v>
      </c>
      <c r="D45" s="8"/>
    </row>
    <row r="46">
      <c r="A46" t="s">
        <v>211</v>
      </c>
      <c r="B46" s="8"/>
      <c r="C46" s="8">
        <v>-57</v>
      </c>
      <c r="D46" s="8"/>
    </row>
    <row r="47">
      <c r="A47" t="s">
        <v>212</v>
      </c>
      <c r="B47" s="8">
        <v>-34</v>
      </c>
      <c r="C47" s="8"/>
      <c r="D47" s="8"/>
    </row>
    <row r="48">
      <c r="A48" s="16" t="s">
        <v>213</v>
      </c>
      <c r="B48" s="11">
        <f>B50-SUM(B38:B47)</f>
        <v>-578</v>
      </c>
      <c r="C48" s="11">
        <f>C50-SUM(C38:C47)</f>
        <v>-102</v>
      </c>
      <c r="D48" s="8"/>
    </row>
    <row r="49">
      <c r="A49" s="16" t="s">
        <v>214</v>
      </c>
      <c r="B49" s="11">
        <f>SUM(B38:B48)</f>
        <v>1207</v>
      </c>
      <c r="C49" s="11">
        <f>SUM(C38:C48)</f>
        <v>1522</v>
      </c>
      <c r="D49" s="8"/>
    </row>
    <row r="50">
      <c r="A50" s="16" t="s">
        <v>215</v>
      </c>
      <c r="B50" s="11">
        <v>1207</v>
      </c>
      <c r="C50" s="11">
        <v>1522</v>
      </c>
      <c r="D50" s="8"/>
    </row>
    <row r="51">
      <c r="A51" s="16" t="s">
        <v>216</v>
      </c>
      <c r="B51" s="11">
        <f>B49-B50</f>
        <v>0</v>
      </c>
      <c r="C51" s="11">
        <f>C49-C50</f>
        <v>0</v>
      </c>
      <c r="D51" s="8"/>
    </row>
    <row r="54">
      <c r="A54" s="3" t="s">
        <v>217</v>
      </c>
      <c r="B54" s="3"/>
      <c r="C54" s="3"/>
      <c r="D54" s="3"/>
      <c r="E54" s="3"/>
      <c r="F54" s="3"/>
    </row>
    <row r="55">
      <c r="A55" s="6" t="s">
        <v>34</v>
      </c>
      <c r="B55" s="4" t="s">
        <v>28</v>
      </c>
      <c r="C55" s="4" t="s">
        <v>29</v>
      </c>
      <c r="D55" s="4" t="s">
        <v>30</v>
      </c>
      <c r="E55" s="4" t="s">
        <v>31</v>
      </c>
      <c r="F55" s="4" t="s">
        <v>32</v>
      </c>
    </row>
    <row r="56">
      <c r="A56" t="s">
        <v>37</v>
      </c>
      <c r="B56" s="27">
        <v>-0.02</v>
      </c>
      <c r="C56" s="27">
        <v>0</v>
      </c>
      <c r="D56" s="27">
        <v>0</v>
      </c>
      <c r="E56" s="27">
        <v>0</v>
      </c>
      <c r="F56" s="27">
        <v>0</v>
      </c>
    </row>
    <row r="57">
      <c r="A57" t="s">
        <v>38</v>
      </c>
      <c r="B57" s="27">
        <v>0.02</v>
      </c>
      <c r="C57" s="27">
        <v>0.01</v>
      </c>
      <c r="D57" s="27">
        <v>0.01</v>
      </c>
      <c r="E57" s="27">
        <v>0.01</v>
      </c>
      <c r="F57" s="27">
        <v>0.01</v>
      </c>
    </row>
    <row r="58">
      <c r="A58" t="s">
        <v>39</v>
      </c>
      <c r="B58" s="27">
        <v>0.02</v>
      </c>
      <c r="C58" s="27">
        <v>0.02</v>
      </c>
      <c r="D58" s="27">
        <v>0.02</v>
      </c>
      <c r="E58" s="27">
        <v>0.02</v>
      </c>
      <c r="F58" s="27">
        <v>0.02</v>
      </c>
    </row>
    <row r="59">
      <c r="A59" t="s">
        <v>40</v>
      </c>
      <c r="B59" s="27">
        <v>0.005</v>
      </c>
      <c r="C59" s="27">
        <v>0.01</v>
      </c>
      <c r="D59" s="27">
        <v>0.01</v>
      </c>
      <c r="E59" s="27">
        <v>0.01</v>
      </c>
      <c r="F59" s="27">
        <v>0.01</v>
      </c>
    </row>
    <row r="60">
      <c r="A60" t="s">
        <v>41</v>
      </c>
      <c r="B60" s="27">
        <v>0</v>
      </c>
      <c r="C60" s="27">
        <v>0.01</v>
      </c>
      <c r="D60" s="27">
        <v>0.01</v>
      </c>
      <c r="E60" s="27">
        <v>0.01</v>
      </c>
      <c r="F60" s="27">
        <v>0.01</v>
      </c>
    </row>
    <row r="61">
      <c r="A61" t="s">
        <v>109</v>
      </c>
      <c r="B61" s="27">
        <v>0</v>
      </c>
      <c r="C61" s="27">
        <v>0</v>
      </c>
      <c r="D61" s="27">
        <v>0</v>
      </c>
      <c r="E61" s="27">
        <v>0</v>
      </c>
      <c r="F61" s="27">
        <v>0</v>
      </c>
    </row>
    <row r="64">
      <c r="A64" s="3" t="s">
        <v>218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>
      <c r="A65" s="6" t="s">
        <v>34</v>
      </c>
      <c r="B65" s="4" t="s">
        <v>219</v>
      </c>
      <c r="C65" s="4" t="s">
        <v>220</v>
      </c>
      <c r="D65" s="4" t="s">
        <v>221</v>
      </c>
      <c r="E65" s="4" t="s">
        <v>222</v>
      </c>
      <c r="F65" s="4" t="s">
        <v>223</v>
      </c>
      <c r="G65" s="4" t="s">
        <v>224</v>
      </c>
      <c r="H65" s="4" t="s">
        <v>225</v>
      </c>
      <c r="I65" s="4" t="s">
        <v>226</v>
      </c>
      <c r="J65" s="4" t="s">
        <v>227</v>
      </c>
      <c r="K65" s="4" t="s">
        <v>228</v>
      </c>
      <c r="L65" s="4" t="s">
        <v>229</v>
      </c>
      <c r="M65" s="4" t="s">
        <v>230</v>
      </c>
      <c r="N65" s="4" t="s">
        <v>231</v>
      </c>
      <c r="O65" s="4" t="s">
        <v>232</v>
      </c>
      <c r="P65" s="4" t="s">
        <v>233</v>
      </c>
    </row>
    <row r="66">
      <c r="A66" t="s">
        <v>37</v>
      </c>
      <c r="B66" s="13">
        <f>B56+IF(Assumptions!$B$4=2,1%,IF(Assumptions!$B$4=3,-1%,0))</f>
        <v>-0.02</v>
      </c>
      <c r="C66" s="13">
        <f>C56+IF(Assumptions!$B$4=2,1%,IF(Assumptions!$B$4=3,-1%,0))</f>
        <v>0</v>
      </c>
      <c r="D66" s="13">
        <f>D56+IF(Assumptions!$B$4=2,1%,IF(Assumptions!$B$4=3,-1%,0))</f>
        <v>0</v>
      </c>
      <c r="E66" s="13">
        <f>E56+IF(Assumptions!$B$4=2,1%,IF(Assumptions!$B$4=3,-1%,0))</f>
        <v>0</v>
      </c>
      <c r="F66" s="13">
        <f>F56+IF(Assumptions!$B$4=2,1%,IF(Assumptions!$B$4=3,-1%,0))</f>
        <v>0</v>
      </c>
      <c r="G66" s="13">
        <f>Assumptions!B37</f>
        <v>0.03</v>
      </c>
      <c r="H66" s="13">
        <f>Assumptions!C37</f>
        <v>0.02</v>
      </c>
      <c r="I66" s="13">
        <f>Assumptions!D37</f>
        <v>0.02</v>
      </c>
      <c r="J66" s="13">
        <f>Assumptions!E37</f>
        <v>0.02</v>
      </c>
      <c r="K66" s="13">
        <f>Assumptions!F37</f>
        <v>0.02</v>
      </c>
      <c r="L66" s="13">
        <f>(1+B66)*(1+G66)-1</f>
        <v>0.009400000000000075</v>
      </c>
      <c r="M66" s="13">
        <f>(1+C66)*(1+H66)-1</f>
        <v>0.020000000000000018</v>
      </c>
      <c r="N66" s="13">
        <f>(1+D66)*(1+I66)-1</f>
        <v>0.020000000000000018</v>
      </c>
      <c r="O66" s="13">
        <f>(1+E66)*(1+J66)-1</f>
        <v>0.020000000000000018</v>
      </c>
      <c r="P66" s="13">
        <f>(1+F66)*(1+K66)-1</f>
        <v>0.020000000000000018</v>
      </c>
    </row>
    <row r="67">
      <c r="A67" t="s">
        <v>38</v>
      </c>
      <c r="B67" s="13">
        <f>B57+IF(Assumptions!$B$4=2,1%,IF(Assumptions!$B$4=3,-1%,0))</f>
        <v>0.02</v>
      </c>
      <c r="C67" s="13">
        <f>C57+IF(Assumptions!$B$4=2,1%,IF(Assumptions!$B$4=3,-1%,0))</f>
        <v>0.01</v>
      </c>
      <c r="D67" s="13">
        <f>D57+IF(Assumptions!$B$4=2,1%,IF(Assumptions!$B$4=3,-1%,0))</f>
        <v>0.01</v>
      </c>
      <c r="E67" s="13">
        <f>E57+IF(Assumptions!$B$4=2,1%,IF(Assumptions!$B$4=3,-1%,0))</f>
        <v>0.01</v>
      </c>
      <c r="F67" s="13">
        <f>F57+IF(Assumptions!$B$4=2,1%,IF(Assumptions!$B$4=3,-1%,0))</f>
        <v>0.01</v>
      </c>
      <c r="G67" s="13">
        <f>Assumptions!B38</f>
        <v>0.03</v>
      </c>
      <c r="H67" s="13">
        <f>Assumptions!C38</f>
        <v>0.02</v>
      </c>
      <c r="I67" s="13">
        <f>Assumptions!D38</f>
        <v>0.02</v>
      </c>
      <c r="J67" s="13">
        <f>Assumptions!E38</f>
        <v>0.02</v>
      </c>
      <c r="K67" s="13">
        <f>Assumptions!F38</f>
        <v>0.02</v>
      </c>
      <c r="L67" s="13">
        <f>(1+B67)*(1+G67)-1</f>
        <v>0.05059999999999998</v>
      </c>
      <c r="M67" s="13">
        <f>(1+C67)*(1+H67)-1</f>
        <v>0.030200000000000005</v>
      </c>
      <c r="N67" s="13">
        <f>(1+D67)*(1+I67)-1</f>
        <v>0.030200000000000005</v>
      </c>
      <c r="O67" s="13">
        <f>(1+E67)*(1+J67)-1</f>
        <v>0.030200000000000005</v>
      </c>
      <c r="P67" s="13">
        <f>(1+F67)*(1+K67)-1</f>
        <v>0.030200000000000005</v>
      </c>
    </row>
    <row r="68">
      <c r="A68" t="s">
        <v>39</v>
      </c>
      <c r="B68" s="13">
        <f>B58+IF(Assumptions!$B$4=2,1%,IF(Assumptions!$B$4=3,-1%,0))</f>
        <v>0.02</v>
      </c>
      <c r="C68" s="13">
        <f>C58+IF(Assumptions!$B$4=2,1%,IF(Assumptions!$B$4=3,-1%,0))</f>
        <v>0.02</v>
      </c>
      <c r="D68" s="13">
        <f>D58+IF(Assumptions!$B$4=2,1%,IF(Assumptions!$B$4=3,-1%,0))</f>
        <v>0.02</v>
      </c>
      <c r="E68" s="13">
        <f>E58+IF(Assumptions!$B$4=2,1%,IF(Assumptions!$B$4=3,-1%,0))</f>
        <v>0.02</v>
      </c>
      <c r="F68" s="13">
        <f>F58+IF(Assumptions!$B$4=2,1%,IF(Assumptions!$B$4=3,-1%,0))</f>
        <v>0.02</v>
      </c>
      <c r="G68" s="13">
        <f>Assumptions!B39</f>
        <v>0.03</v>
      </c>
      <c r="H68" s="13">
        <f>Assumptions!C39</f>
        <v>0.03</v>
      </c>
      <c r="I68" s="13">
        <f>Assumptions!D39</f>
        <v>0.03</v>
      </c>
      <c r="J68" s="13">
        <f>Assumptions!E39</f>
        <v>0.03</v>
      </c>
      <c r="K68" s="13">
        <f>Assumptions!F39</f>
        <v>0.03</v>
      </c>
      <c r="L68" s="13">
        <f>(1+B68)*(1+G68)-1</f>
        <v>0.05059999999999998</v>
      </c>
      <c r="M68" s="13">
        <f>(1+C68)*(1+H68)-1</f>
        <v>0.05059999999999998</v>
      </c>
      <c r="N68" s="13">
        <f>(1+D68)*(1+I68)-1</f>
        <v>0.05059999999999998</v>
      </c>
      <c r="O68" s="13">
        <f>(1+E68)*(1+J68)-1</f>
        <v>0.05059999999999998</v>
      </c>
      <c r="P68" s="13">
        <f>(1+F68)*(1+K68)-1</f>
        <v>0.05059999999999998</v>
      </c>
    </row>
    <row r="69">
      <c r="A69" t="s">
        <v>40</v>
      </c>
      <c r="B69" s="13">
        <f>B59+IF(Assumptions!$B$4=2,1%,IF(Assumptions!$B$4=3,-1%,0))</f>
        <v>0.005</v>
      </c>
      <c r="C69" s="13">
        <f>C59+IF(Assumptions!$B$4=2,1%,IF(Assumptions!$B$4=3,-1%,0))</f>
        <v>0.01</v>
      </c>
      <c r="D69" s="13">
        <f>D59+IF(Assumptions!$B$4=2,1%,IF(Assumptions!$B$4=3,-1%,0))</f>
        <v>0.01</v>
      </c>
      <c r="E69" s="13">
        <f>E59+IF(Assumptions!$B$4=2,1%,IF(Assumptions!$B$4=3,-1%,0))</f>
        <v>0.01</v>
      </c>
      <c r="F69" s="13">
        <f>F59+IF(Assumptions!$B$4=2,1%,IF(Assumptions!$B$4=3,-1%,0))</f>
        <v>0.01</v>
      </c>
      <c r="G69" s="13">
        <f>Assumptions!B40</f>
        <v>0.03</v>
      </c>
      <c r="H69" s="13">
        <f>Assumptions!C40</f>
        <v>0.03</v>
      </c>
      <c r="I69" s="13">
        <f>Assumptions!D40</f>
        <v>0.03</v>
      </c>
      <c r="J69" s="13">
        <f>Assumptions!E40</f>
        <v>0.03</v>
      </c>
      <c r="K69" s="13">
        <f>Assumptions!F40</f>
        <v>0.03</v>
      </c>
      <c r="L69" s="13">
        <f>(1+B69)*(1+G69)-1</f>
        <v>0.035150000000000015</v>
      </c>
      <c r="M69" s="13">
        <f>(1+C69)*(1+H69)-1</f>
        <v>0.0403</v>
      </c>
      <c r="N69" s="13">
        <f>(1+D69)*(1+I69)-1</f>
        <v>0.0403</v>
      </c>
      <c r="O69" s="13">
        <f>(1+E69)*(1+J69)-1</f>
        <v>0.0403</v>
      </c>
      <c r="P69" s="13">
        <f>(1+F69)*(1+K69)-1</f>
        <v>0.0403</v>
      </c>
    </row>
    <row r="70">
      <c r="A70" t="s">
        <v>41</v>
      </c>
      <c r="B70" s="13">
        <f>B60+IF(Assumptions!$B$4=2,1%,IF(Assumptions!$B$4=3,-1%,0))</f>
        <v>0</v>
      </c>
      <c r="C70" s="13">
        <f>C60+IF(Assumptions!$B$4=2,1%,IF(Assumptions!$B$4=3,-1%,0))</f>
        <v>0.01</v>
      </c>
      <c r="D70" s="13">
        <f>D60+IF(Assumptions!$B$4=2,1%,IF(Assumptions!$B$4=3,-1%,0))</f>
        <v>0.01</v>
      </c>
      <c r="E70" s="13">
        <f>E60+IF(Assumptions!$B$4=2,1%,IF(Assumptions!$B$4=3,-1%,0))</f>
        <v>0.01</v>
      </c>
      <c r="F70" s="13">
        <f>F60+IF(Assumptions!$B$4=2,1%,IF(Assumptions!$B$4=3,-1%,0))</f>
        <v>0.01</v>
      </c>
      <c r="G70" s="13">
        <f>Assumptions!B41</f>
        <v>0.02</v>
      </c>
      <c r="H70" s="13">
        <f>Assumptions!C41</f>
        <v>0.03</v>
      </c>
      <c r="I70" s="13">
        <f>Assumptions!D41</f>
        <v>0.03</v>
      </c>
      <c r="J70" s="13">
        <f>Assumptions!E41</f>
        <v>0.03</v>
      </c>
      <c r="K70" s="13">
        <f>Assumptions!F41</f>
        <v>0.03</v>
      </c>
      <c r="L70" s="13">
        <f>(1+B70)*(1+G70)-1</f>
        <v>0.020000000000000018</v>
      </c>
      <c r="M70" s="13">
        <f>(1+C70)*(1+H70)-1</f>
        <v>0.0403</v>
      </c>
      <c r="N70" s="13">
        <f>(1+D70)*(1+I70)-1</f>
        <v>0.0403</v>
      </c>
      <c r="O70" s="13">
        <f>(1+E70)*(1+J70)-1</f>
        <v>0.0403</v>
      </c>
      <c r="P70" s="13">
        <f>(1+F70)*(1+K70)-1</f>
        <v>0.0403</v>
      </c>
    </row>
    <row r="71">
      <c r="A71" t="s">
        <v>109</v>
      </c>
      <c r="B71" s="13">
        <f>B61+0</f>
        <v>0</v>
      </c>
      <c r="C71" s="13">
        <f>C61+0</f>
        <v>0</v>
      </c>
      <c r="D71" s="13">
        <f>D61+0</f>
        <v>0</v>
      </c>
      <c r="E71" s="13">
        <f>E61+0</f>
        <v>0</v>
      </c>
      <c r="F71" s="13">
        <f>F61+0</f>
        <v>0</v>
      </c>
      <c r="G71" s="13">
        <f>Assumptions!B42</f>
        <v>0.03</v>
      </c>
      <c r="H71" s="13">
        <f>Assumptions!C42</f>
        <v>0.03</v>
      </c>
      <c r="I71" s="13">
        <f>Assumptions!D42</f>
        <v>0.03</v>
      </c>
      <c r="J71" s="13">
        <f>Assumptions!E42</f>
        <v>0.03</v>
      </c>
      <c r="K71" s="13">
        <f>Assumptions!F42</f>
        <v>0.03</v>
      </c>
      <c r="L71" s="13">
        <f>(1+B71)*(1+G71)-1</f>
        <v>0.030000000000000027</v>
      </c>
      <c r="M71" s="13">
        <f>(1+C71)*(1+H71)-1</f>
        <v>0.030000000000000027</v>
      </c>
      <c r="N71" s="13">
        <f>(1+D71)*(1+I71)-1</f>
        <v>0.030000000000000027</v>
      </c>
      <c r="O71" s="13">
        <f>(1+E71)*(1+J71)-1</f>
        <v>0.030000000000000027</v>
      </c>
      <c r="P71" s="13">
        <f>(1+F71)*(1+K71)-1</f>
        <v>0.030000000000000027</v>
      </c>
    </row>
    <row r="74">
      <c r="A74" s="3" t="s">
        <v>234</v>
      </c>
      <c r="B74" s="3"/>
      <c r="C74" s="3"/>
      <c r="D74" s="3"/>
      <c r="E74" s="3"/>
      <c r="F74" s="3"/>
    </row>
    <row r="75">
      <c r="A75" s="6" t="s">
        <v>34</v>
      </c>
      <c r="B75" s="4" t="s">
        <v>28</v>
      </c>
      <c r="C75" s="4" t="s">
        <v>29</v>
      </c>
      <c r="D75" s="4" t="s">
        <v>30</v>
      </c>
      <c r="E75" s="4" t="s">
        <v>31</v>
      </c>
      <c r="F75" s="4" t="s">
        <v>32</v>
      </c>
    </row>
    <row r="76">
      <c r="A76" t="s">
        <v>37</v>
      </c>
      <c r="B76" s="13">
        <f>IF(Assumptions!$B$4=1,0,IF(Assumptions!$B$4=2,B85,-B85))</f>
        <v>0</v>
      </c>
      <c r="C76" s="13">
        <f>IF(Assumptions!$B$4=1,0,IF(Assumptions!$B$4=2,C85,-C85))</f>
        <v>0</v>
      </c>
      <c r="D76" s="13">
        <f>IF(Assumptions!$B$4=1,0,IF(Assumptions!$B$4=2,D85,-D85))</f>
        <v>0</v>
      </c>
      <c r="E76" s="13">
        <f>IF(Assumptions!$B$4=1,0,IF(Assumptions!$B$4=2,E85,-E85))</f>
        <v>0</v>
      </c>
      <c r="F76" s="13">
        <f>IF(Assumptions!$B$4=1,0,IF(Assumptions!$B$4=2,F85,-F85))</f>
        <v>0</v>
      </c>
    </row>
    <row r="77">
      <c r="A77" t="s">
        <v>38</v>
      </c>
      <c r="B77" s="13">
        <f>IF(Assumptions!$B$4=1,0,IF(Assumptions!$B$4=2,B86,-B86))</f>
        <v>0</v>
      </c>
      <c r="C77" s="13">
        <f>IF(Assumptions!$B$4=1,0,IF(Assumptions!$B$4=2,C86,-C86))</f>
        <v>0</v>
      </c>
      <c r="D77" s="13">
        <f>IF(Assumptions!$B$4=1,0,IF(Assumptions!$B$4=2,D86,-D86))</f>
        <v>0</v>
      </c>
      <c r="E77" s="13">
        <f>IF(Assumptions!$B$4=1,0,IF(Assumptions!$B$4=2,E86,-E86))</f>
        <v>0</v>
      </c>
      <c r="F77" s="13">
        <f>IF(Assumptions!$B$4=1,0,IF(Assumptions!$B$4=2,F86,-F86))</f>
        <v>0</v>
      </c>
    </row>
    <row r="78">
      <c r="A78" t="s">
        <v>39</v>
      </c>
      <c r="B78" s="13">
        <f>IF(Assumptions!$B$4=1,0,IF(Assumptions!$B$4=2,B87,-B87))</f>
        <v>0</v>
      </c>
      <c r="C78" s="13">
        <f>IF(Assumptions!$B$4=1,0,IF(Assumptions!$B$4=2,C87,-C87))</f>
        <v>0</v>
      </c>
      <c r="D78" s="13">
        <f>IF(Assumptions!$B$4=1,0,IF(Assumptions!$B$4=2,D87,-D87))</f>
        <v>0</v>
      </c>
      <c r="E78" s="13">
        <f>IF(Assumptions!$B$4=1,0,IF(Assumptions!$B$4=2,E87,-E87))</f>
        <v>0</v>
      </c>
      <c r="F78" s="13">
        <f>IF(Assumptions!$B$4=1,0,IF(Assumptions!$B$4=2,F87,-F87))</f>
        <v>0</v>
      </c>
    </row>
    <row r="79">
      <c r="A79" t="s">
        <v>40</v>
      </c>
      <c r="B79" s="13">
        <f>IF(Assumptions!$B$4=1,0,IF(Assumptions!$B$4=2,B88,-B88))</f>
        <v>0</v>
      </c>
      <c r="C79" s="13">
        <f>IF(Assumptions!$B$4=1,0,IF(Assumptions!$B$4=2,C88,-C88))</f>
        <v>0</v>
      </c>
      <c r="D79" s="13">
        <f>IF(Assumptions!$B$4=1,0,IF(Assumptions!$B$4=2,D88,-D88))</f>
        <v>0</v>
      </c>
      <c r="E79" s="13">
        <f>IF(Assumptions!$B$4=1,0,IF(Assumptions!$B$4=2,E88,-E88))</f>
        <v>0</v>
      </c>
      <c r="F79" s="13">
        <f>IF(Assumptions!$B$4=1,0,IF(Assumptions!$B$4=2,F88,-F88))</f>
        <v>0</v>
      </c>
    </row>
    <row r="80">
      <c r="A80" t="s">
        <v>41</v>
      </c>
      <c r="B80" s="13">
        <f>IF(Assumptions!$B$4=1,0,IF(Assumptions!$B$4=2,B89,-B89))</f>
        <v>0</v>
      </c>
      <c r="C80" s="13">
        <f>IF(Assumptions!$B$4=1,0,IF(Assumptions!$B$4=2,C89,-C89))</f>
        <v>0</v>
      </c>
      <c r="D80" s="13">
        <f>IF(Assumptions!$B$4=1,0,IF(Assumptions!$B$4=2,D89,-D89))</f>
        <v>0</v>
      </c>
      <c r="E80" s="13">
        <f>IF(Assumptions!$B$4=1,0,IF(Assumptions!$B$4=2,E89,-E89))</f>
        <v>0</v>
      </c>
      <c r="F80" s="13">
        <f>IF(Assumptions!$B$4=1,0,IF(Assumptions!$B$4=2,F89,-F89))</f>
        <v>0</v>
      </c>
    </row>
    <row r="83">
      <c r="A83" s="3" t="s">
        <v>235</v>
      </c>
      <c r="B83" s="3"/>
      <c r="C83" s="3"/>
      <c r="D83" s="3"/>
      <c r="E83" s="3"/>
      <c r="F83" s="3"/>
    </row>
    <row r="84">
      <c r="A84" s="6" t="s">
        <v>236</v>
      </c>
      <c r="B84" s="4" t="s">
        <v>28</v>
      </c>
      <c r="C84" s="4" t="s">
        <v>29</v>
      </c>
      <c r="D84" s="4" t="s">
        <v>30</v>
      </c>
      <c r="E84" s="4" t="s">
        <v>31</v>
      </c>
      <c r="F84" s="4" t="s">
        <v>32</v>
      </c>
    </row>
    <row r="85">
      <c r="A85" t="s">
        <v>237</v>
      </c>
      <c r="B85" s="27">
        <v>0.015</v>
      </c>
      <c r="C85" s="27">
        <v>0.01</v>
      </c>
      <c r="D85" s="27">
        <v>0.0075</v>
      </c>
      <c r="E85" s="27">
        <v>0.005</v>
      </c>
      <c r="F85" s="27">
        <v>0.005</v>
      </c>
    </row>
    <row r="86">
      <c r="A86" t="s">
        <v>238</v>
      </c>
      <c r="B86" s="27">
        <v>0.01</v>
      </c>
      <c r="C86" s="27">
        <v>0.0075</v>
      </c>
      <c r="D86" s="27">
        <v>0.005</v>
      </c>
      <c r="E86" s="27">
        <v>0.005</v>
      </c>
      <c r="F86" s="27">
        <v>0.005</v>
      </c>
    </row>
    <row r="87">
      <c r="A87" t="s">
        <v>239</v>
      </c>
      <c r="B87" s="27">
        <v>0.01</v>
      </c>
      <c r="C87" s="27">
        <v>0.0075</v>
      </c>
      <c r="D87" s="27">
        <v>0.005</v>
      </c>
      <c r="E87" s="27">
        <v>0.005</v>
      </c>
      <c r="F87" s="27">
        <v>0.005</v>
      </c>
    </row>
    <row r="88">
      <c r="A88" t="s">
        <v>240</v>
      </c>
      <c r="B88" s="27">
        <v>0.0075</v>
      </c>
      <c r="C88" s="27">
        <v>0.005</v>
      </c>
      <c r="D88" s="27">
        <v>0.005</v>
      </c>
      <c r="E88" s="27">
        <v>0.005</v>
      </c>
      <c r="F88" s="27">
        <v>0.005</v>
      </c>
    </row>
    <row r="89">
      <c r="A89" t="s">
        <v>241</v>
      </c>
      <c r="B89" s="27">
        <v>0.005</v>
      </c>
      <c r="C89" s="27">
        <v>0.005</v>
      </c>
      <c r="D89" s="27">
        <v>0.005</v>
      </c>
      <c r="E89" s="27">
        <v>0.005</v>
      </c>
      <c r="F89" s="27">
        <v>0.005</v>
      </c>
    </row>
  </sheetData>
  <mergeCells count="10">
    <mergeCell ref="A2:P2"/>
    <mergeCell ref="A17:E17"/>
    <mergeCell ref="A64:P64"/>
    <mergeCell ref="A26:D26"/>
    <mergeCell ref="A1:P1"/>
    <mergeCell ref="A36:C36"/>
    <mergeCell ref="A54:F54"/>
    <mergeCell ref="A74:F74"/>
    <mergeCell ref="A6:D6"/>
    <mergeCell ref="A83:F83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G64"/>
  <sheetViews>
    <sheetView showGridLines="0" workbookViewId="0">
      <pane xSplit="1" ySplit="4" topLeftCell="B5" activePane="bottomRight" state="frozen"/>
    </sheetView>
  </sheetViews>
  <sheetFormatPr defaultColWidth="8.375" defaultRowHeight="15"/>
  <cols>
    <col min="1" max="1" width="29.375" customWidth="1"/>
    <col min="2" max="7" width="10.875" customWidth="1"/>
  </cols>
  <sheetData>
    <row r="1" ht="22.5">
      <c r="A1" s="5" t="s">
        <v>242</v>
      </c>
      <c r="B1" s="5"/>
      <c r="C1" s="5"/>
      <c r="D1" s="5"/>
      <c r="E1" s="5"/>
      <c r="F1" s="5"/>
      <c r="G1" s="5"/>
    </row>
    <row r="2" ht="22.5">
      <c r="A2" s="7" t="s">
        <v>243</v>
      </c>
      <c r="B2" s="7"/>
      <c r="C2" s="7"/>
      <c r="D2" s="7"/>
      <c r="E2" s="7"/>
      <c r="F2" s="7"/>
      <c r="G2" s="7"/>
    </row>
    <row r="4">
      <c r="A4" s="6" t="s">
        <v>44</v>
      </c>
      <c r="B4" s="6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</row>
    <row r="6">
      <c r="A6" s="3" t="s">
        <v>244</v>
      </c>
      <c r="B6" s="3"/>
      <c r="C6" s="3"/>
      <c r="D6" s="3"/>
      <c r="E6" s="3"/>
      <c r="F6" s="3"/>
      <c r="G6" s="3"/>
    </row>
    <row r="7">
      <c r="A7" t="s">
        <v>33</v>
      </c>
      <c r="B7" s="8">
        <v>54441</v>
      </c>
      <c r="C7" s="8">
        <f>Segment_Build!G13</f>
        <v>57202.244125000005</v>
      </c>
      <c r="D7" s="8">
        <f>Segment_Build!H13</f>
        <v>59200.931818445584</v>
      </c>
      <c r="E7" s="8">
        <f>Segment_Build!I13</f>
        <v>61279.29859511398</v>
      </c>
      <c r="F7" s="8">
        <f>Segment_Build!J13</f>
        <v>63440.81298845947</v>
      </c>
      <c r="G7" s="8">
        <f>Segment_Build!K13</f>
        <v>65689.10262724786</v>
      </c>
    </row>
    <row r="8">
      <c r="A8" t="s">
        <v>245</v>
      </c>
      <c r="B8" s="13"/>
      <c r="C8" s="13">
        <f>C7/B7-1</f>
        <v>0.05071993763891203</v>
      </c>
      <c r="D8" s="13">
        <f>D7/C7-1</f>
        <v>0.03494072171500795</v>
      </c>
      <c r="E8" s="13">
        <f>E7/D7-1</f>
        <v>0.03510699431289743</v>
      </c>
      <c r="F8" s="13">
        <f>F7/E7-1</f>
        <v>0.035273158193717125</v>
      </c>
      <c r="G8" s="13">
        <f>G7/F7-1</f>
        <v>0.035439168145549704</v>
      </c>
    </row>
    <row r="9">
      <c r="A9" t="s">
        <v>46</v>
      </c>
      <c r="B9" s="8">
        <v>50879</v>
      </c>
      <c r="C9" s="8">
        <f>C7-C10</f>
        <v>52473.437490175194</v>
      </c>
      <c r="D9" s="8">
        <f>D7-D10</f>
        <v>53960.06620495429</v>
      </c>
      <c r="E9" s="8">
        <f>E7-E10</f>
        <v>55714.12169484365</v>
      </c>
      <c r="F9" s="8">
        <f>F7-F10</f>
        <v>57541.55194336037</v>
      </c>
      <c r="G9" s="8">
        <f>G7-G10</f>
        <v>59455.38962098238</v>
      </c>
    </row>
    <row r="10">
      <c r="A10" s="16" t="s">
        <v>47</v>
      </c>
      <c r="B10" s="11">
        <v>3562</v>
      </c>
      <c r="C10" s="11">
        <f>SUM(C11:C12)</f>
        <v>4728.8066348248085</v>
      </c>
      <c r="D10" s="11">
        <f>SUM(D11:D12)</f>
        <v>5240.8656134913</v>
      </c>
      <c r="E10" s="11">
        <f>SUM(E11:E12)</f>
        <v>5565.176900270333</v>
      </c>
      <c r="F10" s="11">
        <f>SUM(F11:F12)</f>
        <v>5899.261045099096</v>
      </c>
      <c r="G10" s="11">
        <f>SUM(G11:G12)</f>
        <v>6233.713006265483</v>
      </c>
    </row>
    <row r="11">
      <c r="A11" t="s">
        <v>48</v>
      </c>
      <c r="B11" s="8">
        <v>2121</v>
      </c>
      <c r="C11" s="8">
        <f>C7*Assumptions!$B$80</f>
        <v>2288.089765</v>
      </c>
      <c r="D11" s="8">
        <f>D7*Assumptions!$B$80</f>
        <v>2368.0372727378235</v>
      </c>
      <c r="E11" s="8">
        <f>E7*Assumptions!$B$80</f>
        <v>2451.1719438045593</v>
      </c>
      <c r="F11" s="8">
        <f>F7*Assumptions!$B$80</f>
        <v>2537.632519538379</v>
      </c>
      <c r="G11" s="8">
        <f>G7*Assumptions!$B$80</f>
        <v>2627.5641050899144</v>
      </c>
    </row>
    <row r="12">
      <c r="A12" s="16" t="s">
        <v>50</v>
      </c>
      <c r="B12" s="11">
        <v>1098</v>
      </c>
      <c r="C12" s="11">
        <f>Segment_Build!G24</f>
        <v>2440.716869824808</v>
      </c>
      <c r="D12" s="11">
        <f>Segment_Build!H24</f>
        <v>2872.828340753476</v>
      </c>
      <c r="E12" s="11">
        <f>Segment_Build!I24</f>
        <v>3114.0049564657734</v>
      </c>
      <c r="F12" s="11">
        <f>Segment_Build!J24</f>
        <v>3361.6285255607177</v>
      </c>
      <c r="G12" s="11">
        <f>Segment_Build!K24</f>
        <v>3606.1489011755684</v>
      </c>
    </row>
    <row r="13">
      <c r="A13" t="s">
        <v>246</v>
      </c>
      <c r="B13" s="13">
        <v>0.0202</v>
      </c>
      <c r="C13" s="13">
        <f>C12/C7</f>
        <v>0.04266820134698356</v>
      </c>
      <c r="D13" s="13">
        <f>D12/D7</f>
        <v>0.04852674193649046</v>
      </c>
      <c r="E13" s="13">
        <f>E12/E7</f>
        <v>0.05081658941693671</v>
      </c>
      <c r="F13" s="13">
        <f>F12/F7</f>
        <v>0.05298842128918228</v>
      </c>
      <c r="G13" s="13">
        <f>G12/G7</f>
        <v>0.054897216691155354</v>
      </c>
    </row>
    <row r="14">
      <c r="A14" t="s">
        <v>51</v>
      </c>
      <c r="B14" s="8">
        <v>73</v>
      </c>
      <c r="C14" s="8">
        <f>Schedules!B36*Assumptions!$B$98</f>
        <v>12.290000000000001</v>
      </c>
      <c r="D14" s="8">
        <f>Schedules!C36*Assumptions!$B$98</f>
        <v>11.440448825000006</v>
      </c>
      <c r="E14" s="8">
        <f>Schedules!D36*Assumptions!$B$98</f>
        <v>11.840186363689117</v>
      </c>
      <c r="F14" s="8">
        <f>Schedules!E36*Assumptions!$B$98</f>
        <v>12.255859719022794</v>
      </c>
      <c r="G14" s="8">
        <f>Schedules!F36*Assumptions!$B$98</f>
        <v>12.688162597691889</v>
      </c>
    </row>
    <row r="15">
      <c r="A15" t="s">
        <v>52</v>
      </c>
      <c r="B15" s="8">
        <v>449</v>
      </c>
      <c r="C15" s="8">
        <f>Schedules!C33</f>
        <v>365</v>
      </c>
      <c r="D15" s="8">
        <f>Schedules!D33</f>
        <v>346.12143817650724</v>
      </c>
      <c r="E15" s="8">
        <f>Schedules!E33</f>
        <v>282.2138942985088</v>
      </c>
      <c r="F15" s="8">
        <f>Schedules!F33</f>
        <v>212.9206809250685</v>
      </c>
      <c r="G15" s="8">
        <f>Schedules!G33</f>
        <v>137.49037162603207</v>
      </c>
    </row>
    <row r="16">
      <c r="A16" t="s">
        <v>54</v>
      </c>
      <c r="B16" s="8">
        <v>769</v>
      </c>
      <c r="C16" s="8">
        <f>SUM(C12,C14)-C15</f>
        <v>2088.006869824808</v>
      </c>
      <c r="D16" s="8">
        <f>SUM(D12,D14)-D15</f>
        <v>2538.147351401969</v>
      </c>
      <c r="E16" s="8">
        <f>SUM(E12,E14)-E15</f>
        <v>2843.6312485309536</v>
      </c>
      <c r="F16" s="8">
        <f>SUM(F12,F14)-F15</f>
        <v>3160.963704354672</v>
      </c>
      <c r="G16" s="8">
        <f>SUM(G12,G14)-G15</f>
        <v>3481.3466921472286</v>
      </c>
    </row>
    <row r="17">
      <c r="A17" t="s">
        <v>55</v>
      </c>
      <c r="B17" s="8">
        <v>262</v>
      </c>
      <c r="C17" s="8">
        <f>C16*Assumptions!$B$81</f>
        <v>522.001717456202</v>
      </c>
      <c r="D17" s="8">
        <f>D16*Assumptions!$B$81</f>
        <v>634.5368378504922</v>
      </c>
      <c r="E17" s="8">
        <f>E16*Assumptions!$B$81</f>
        <v>710.9078121327384</v>
      </c>
      <c r="F17" s="8">
        <f>F16*Assumptions!$B$81</f>
        <v>790.240926088668</v>
      </c>
      <c r="G17" s="8">
        <f>G16*Assumptions!$B$81</f>
        <v>870.3366730368072</v>
      </c>
    </row>
    <row r="18">
      <c r="A18" t="s">
        <v>56</v>
      </c>
      <c r="B18" s="8">
        <v>507</v>
      </c>
      <c r="C18" s="8">
        <f>C16-C17</f>
        <v>1566.0051523686059</v>
      </c>
      <c r="D18" s="8">
        <f>D16-D17</f>
        <v>1903.6105135514767</v>
      </c>
      <c r="E18" s="8">
        <f>E16-E17</f>
        <v>2132.723436398215</v>
      </c>
      <c r="F18" s="8">
        <f>F16-F17</f>
        <v>2370.722778266004</v>
      </c>
      <c r="G18" s="8">
        <f>G16-G17</f>
        <v>2611.0100191104216</v>
      </c>
    </row>
    <row r="19">
      <c r="A19" t="s">
        <v>57</v>
      </c>
      <c r="B19" s="8">
        <v>33</v>
      </c>
      <c r="C19" s="8">
        <f>C18*Assumptions!$B$99</f>
        <v>31.32010304737212</v>
      </c>
      <c r="D19" s="8">
        <f>D18*Assumptions!$B$99</f>
        <v>38.07221027102953</v>
      </c>
      <c r="E19" s="8">
        <f>E18*Assumptions!$B$99</f>
        <v>42.65446872796431</v>
      </c>
      <c r="F19" s="8">
        <f>F18*Assumptions!$B$99</f>
        <v>47.414455565320075</v>
      </c>
      <c r="G19" s="8">
        <f>G18*Assumptions!$B$99</f>
        <v>52.22020038220843</v>
      </c>
    </row>
    <row r="20">
      <c r="A20" s="16" t="s">
        <v>58</v>
      </c>
      <c r="B20" s="11">
        <v>474</v>
      </c>
      <c r="C20" s="11">
        <f>C18-C19</f>
        <v>1534.6850493212337</v>
      </c>
      <c r="D20" s="11">
        <f>D18-D19</f>
        <v>1865.5383032804473</v>
      </c>
      <c r="E20" s="11">
        <f>E18-E19</f>
        <v>2090.068967670251</v>
      </c>
      <c r="F20" s="11">
        <f>F18-F19</f>
        <v>2323.3083227006837</v>
      </c>
      <c r="G20" s="11">
        <f>G18-G19</f>
        <v>2558.789818728213</v>
      </c>
    </row>
    <row r="21">
      <c r="A21" t="s">
        <v>247</v>
      </c>
      <c r="B21" s="21">
        <v>357</v>
      </c>
      <c r="C21" s="21">
        <f>Schedules!C43</f>
        <v>354</v>
      </c>
      <c r="D21" s="21">
        <f>Schedules!D43</f>
        <v>354</v>
      </c>
      <c r="E21" s="21">
        <f>Schedules!E43</f>
        <v>354</v>
      </c>
      <c r="F21" s="21">
        <f>Schedules!F43</f>
        <v>354</v>
      </c>
      <c r="G21" s="21">
        <f>Schedules!G43</f>
        <v>354</v>
      </c>
    </row>
    <row r="22">
      <c r="A22" t="s">
        <v>59</v>
      </c>
      <c r="B22" s="9">
        <v>1.33</v>
      </c>
      <c r="C22" s="9">
        <f>C20/C21</f>
        <v>4.33526850090744</v>
      </c>
      <c r="D22" s="9">
        <f>D20/D21</f>
        <v>5.269882212656631</v>
      </c>
      <c r="E22" s="9">
        <f>E20/E21</f>
        <v>5.90414962618715</v>
      </c>
      <c r="F22" s="9">
        <f>F20/F21</f>
        <v>6.5630178607363945</v>
      </c>
      <c r="G22" s="9">
        <f>G20/G21</f>
        <v>7.228219826915856</v>
      </c>
    </row>
    <row r="23">
      <c r="B23" s="8"/>
      <c r="C23" s="8"/>
      <c r="D23" s="8"/>
      <c r="E23" s="8"/>
      <c r="F23" s="8"/>
      <c r="G23" s="8"/>
    </row>
    <row r="24">
      <c r="B24" s="8"/>
      <c r="C24" s="8"/>
      <c r="D24" s="8"/>
      <c r="E24" s="8"/>
      <c r="F24" s="8"/>
      <c r="G24" s="8"/>
    </row>
    <row r="25">
      <c r="A25" s="3" t="s">
        <v>248</v>
      </c>
      <c r="B25" s="19"/>
      <c r="C25" s="19"/>
      <c r="D25" s="19"/>
      <c r="E25" s="19"/>
      <c r="F25" s="19"/>
      <c r="G25" s="19"/>
    </row>
    <row r="26">
      <c r="A26" t="s">
        <v>249</v>
      </c>
      <c r="B26" s="8">
        <v>1229</v>
      </c>
      <c r="C26" s="8">
        <f>Schedules!C36</f>
        <v>1144.0448825000005</v>
      </c>
      <c r="D26" s="8">
        <f>Schedules!D36</f>
        <v>1184.0186363689118</v>
      </c>
      <c r="E26" s="8">
        <f>Schedules!E36</f>
        <v>1225.5859719022794</v>
      </c>
      <c r="F26" s="8">
        <f>Schedules!F36</f>
        <v>1268.816259769189</v>
      </c>
      <c r="G26" s="8">
        <f>Schedules!G36</f>
        <v>1313.7820525449572</v>
      </c>
    </row>
    <row r="27">
      <c r="A27" t="s">
        <v>64</v>
      </c>
      <c r="B27" s="8">
        <v>2524</v>
      </c>
      <c r="C27" s="8">
        <f>Schedules!C8</f>
        <v>2664.2141099315068</v>
      </c>
      <c r="D27" s="8">
        <f>Schedules!D8</f>
        <v>2757.3036737358216</v>
      </c>
      <c r="E27" s="8">
        <f>Schedules!E8</f>
        <v>2854.1043181285963</v>
      </c>
      <c r="F27" s="8">
        <f>Schedules!F8</f>
        <v>2954.7775912433176</v>
      </c>
      <c r="G27" s="8">
        <f>Schedules!G8</f>
        <v>3059.492451132092</v>
      </c>
    </row>
    <row r="28">
      <c r="A28" t="s">
        <v>65</v>
      </c>
      <c r="B28" s="8">
        <v>5681</v>
      </c>
      <c r="C28" s="8">
        <f>Schedules!C10</f>
        <v>5750.513697553446</v>
      </c>
      <c r="D28" s="8">
        <f>Schedules!D10</f>
        <v>5913.4319128717025</v>
      </c>
      <c r="E28" s="8">
        <f>Schedules!E10</f>
        <v>6105.65717203766</v>
      </c>
      <c r="F28" s="8">
        <f>Schedules!F10</f>
        <v>6305.923500642233</v>
      </c>
      <c r="G28" s="8">
        <f>Schedules!G10</f>
        <v>6515.659136546014</v>
      </c>
    </row>
    <row r="29">
      <c r="A29" t="s">
        <v>66</v>
      </c>
      <c r="B29" s="8">
        <v>482</v>
      </c>
      <c r="C29" s="8">
        <f>Schedules!C14</f>
        <v>514.820197125</v>
      </c>
      <c r="D29" s="8">
        <f>Schedules!D14</f>
        <v>532.8083863660103</v>
      </c>
      <c r="E29" s="8">
        <f>Schedules!E14</f>
        <v>551.5136873560258</v>
      </c>
      <c r="F29" s="8">
        <f>Schedules!F14</f>
        <v>570.9673168961351</v>
      </c>
      <c r="G29" s="8">
        <f>Schedules!G14</f>
        <v>591.2019236452307</v>
      </c>
    </row>
    <row r="30">
      <c r="A30" t="s">
        <v>67</v>
      </c>
      <c r="B30" s="8">
        <v>9916</v>
      </c>
      <c r="C30" s="8">
        <f>SUM(C26:C29)</f>
        <v>10073.592887109953</v>
      </c>
      <c r="D30" s="8">
        <f>SUM(D26:D29)</f>
        <v>10387.562609342445</v>
      </c>
      <c r="E30" s="8">
        <f>SUM(E26:E29)</f>
        <v>10736.861149424562</v>
      </c>
      <c r="F30" s="8">
        <f>SUM(F26:F29)</f>
        <v>11100.484668550875</v>
      </c>
      <c r="G30" s="8">
        <f>SUM(G26:G29)</f>
        <v>11480.135563868294</v>
      </c>
    </row>
    <row r="31">
      <c r="A31" t="s">
        <v>68</v>
      </c>
      <c r="B31" s="8">
        <v>9204</v>
      </c>
      <c r="C31" s="8">
        <f>Schedules!C23</f>
        <v>8917.988779375</v>
      </c>
      <c r="D31" s="8">
        <f>Schedules!D23</f>
        <v>8621.984120282772</v>
      </c>
      <c r="E31" s="8">
        <f>Schedules!E23</f>
        <v>8315.587627307203</v>
      </c>
      <c r="F31" s="8">
        <f>Schedules!F23</f>
        <v>7998.383562364905</v>
      </c>
      <c r="G31" s="8">
        <f>Schedules!G23</f>
        <v>7669.9380492286655</v>
      </c>
    </row>
    <row r="32">
      <c r="A32" t="s">
        <v>69</v>
      </c>
      <c r="B32" s="8">
        <v>9469</v>
      </c>
      <c r="C32" s="8">
        <f>B32*(1+Assumptions!$B$103)</f>
        <v>9469</v>
      </c>
      <c r="D32" s="8">
        <f>C32*(1+Assumptions!$B$103)</f>
        <v>9469</v>
      </c>
      <c r="E32" s="8">
        <f>D32*(1+Assumptions!$B$103)</f>
        <v>9469</v>
      </c>
      <c r="F32" s="8">
        <f>E32*(1+Assumptions!$B$103)</f>
        <v>9469</v>
      </c>
      <c r="G32" s="8">
        <f>F32*(1+Assumptions!$B$103)</f>
        <v>9469</v>
      </c>
    </row>
    <row r="33">
      <c r="A33" t="s">
        <v>70</v>
      </c>
      <c r="B33" s="8">
        <v>5624</v>
      </c>
      <c r="C33" s="8">
        <f>Schedules!C25</f>
        <v>5337.988779375</v>
      </c>
      <c r="D33" s="8">
        <f>Schedules!D25</f>
        <v>5041.984120282772</v>
      </c>
      <c r="E33" s="8">
        <f>Schedules!E25</f>
        <v>4735.587627307202</v>
      </c>
      <c r="F33" s="8">
        <f>Schedules!F25</f>
        <v>4418.383562364905</v>
      </c>
      <c r="G33" s="8">
        <f>Schedules!G25</f>
        <v>4089.9380492286655</v>
      </c>
    </row>
    <row r="34">
      <c r="A34" t="s">
        <v>71</v>
      </c>
      <c r="B34" s="8">
        <v>2445</v>
      </c>
      <c r="C34" s="8">
        <f>B34*(1+Assumptions!$B$104)</f>
        <v>2445</v>
      </c>
      <c r="D34" s="8">
        <f>C34*(1+Assumptions!$B$104)</f>
        <v>2445</v>
      </c>
      <c r="E34" s="8">
        <f>D34*(1+Assumptions!$B$104)</f>
        <v>2445</v>
      </c>
      <c r="F34" s="8">
        <f>E34*(1+Assumptions!$B$104)</f>
        <v>2445</v>
      </c>
      <c r="G34" s="8">
        <f>F34*(1+Assumptions!$B$104)</f>
        <v>2445</v>
      </c>
    </row>
    <row r="35">
      <c r="A35" s="16" t="s">
        <v>72</v>
      </c>
      <c r="B35" s="11">
        <v>36658</v>
      </c>
      <c r="C35" s="11">
        <f>SUM(C30:C34)</f>
        <v>36243.57044585995</v>
      </c>
      <c r="D35" s="11">
        <f>SUM(D30:D34)</f>
        <v>35965.53084990799</v>
      </c>
      <c r="E35" s="11">
        <f>SUM(E30:E34)</f>
        <v>35702.03640403897</v>
      </c>
      <c r="F35" s="11">
        <f>SUM(F30:F34)</f>
        <v>35431.25179328068</v>
      </c>
      <c r="G35" s="11">
        <f>SUM(G30:G34)</f>
        <v>35154.011662325625</v>
      </c>
    </row>
    <row r="36">
      <c r="A36" t="s">
        <v>74</v>
      </c>
      <c r="B36" s="8">
        <v>909</v>
      </c>
      <c r="C36" s="8">
        <f>Schedules!C31</f>
        <v>769.1587515033494</v>
      </c>
      <c r="D36" s="8">
        <f>Schedules!D31</f>
        <v>627.1419873300197</v>
      </c>
      <c r="E36" s="8">
        <f>Schedules!E31</f>
        <v>473.15706872237445</v>
      </c>
      <c r="F36" s="8">
        <f>Schedules!F31</f>
        <v>305.5341591689602</v>
      </c>
      <c r="G36" s="8">
        <f>Schedules!G31</f>
        <v>124.15657167208867</v>
      </c>
    </row>
    <row r="37">
      <c r="A37" t="s">
        <v>75</v>
      </c>
      <c r="B37" s="8">
        <v>2601</v>
      </c>
      <c r="C37" s="8">
        <f>Schedules!C12</f>
        <v>2659.612585118469</v>
      </c>
      <c r="D37" s="8">
        <f>Schedules!D12</f>
        <v>2734.9622597031625</v>
      </c>
      <c r="E37" s="8">
        <f>Schedules!E12</f>
        <v>2823.8664420674177</v>
      </c>
      <c r="F37" s="8">
        <f>Schedules!F12</f>
        <v>2916.4896190470326</v>
      </c>
      <c r="G37" s="8">
        <f>Schedules!G12</f>
        <v>3013.4923506525315</v>
      </c>
    </row>
    <row r="38">
      <c r="A38" t="s">
        <v>76</v>
      </c>
      <c r="B38" s="8">
        <v>2879</v>
      </c>
      <c r="C38" s="8">
        <f>Schedules!C16</f>
        <v>2745.707718</v>
      </c>
      <c r="D38" s="8">
        <f>Schedules!D16</f>
        <v>2841.644727285388</v>
      </c>
      <c r="E38" s="8">
        <f>Schedules!E16</f>
        <v>2941.406332565471</v>
      </c>
      <c r="F38" s="8">
        <f>Schedules!F16</f>
        <v>3045.1590234460546</v>
      </c>
      <c r="G38" s="8">
        <f>Schedules!G16</f>
        <v>3153.0769261078976</v>
      </c>
    </row>
    <row r="39">
      <c r="A39" t="s">
        <v>77</v>
      </c>
      <c r="B39" s="8">
        <v>6389</v>
      </c>
      <c r="C39" s="8">
        <f>SUM(C36:C38)</f>
        <v>6174.479054621818</v>
      </c>
      <c r="D39" s="8">
        <f>SUM(D36:D38)</f>
        <v>6203.748974318571</v>
      </c>
      <c r="E39" s="8">
        <f>SUM(E36:E38)</f>
        <v>6238.429843355263</v>
      </c>
      <c r="F39" s="8">
        <f>SUM(F36:F38)</f>
        <v>6267.1828016620475</v>
      </c>
      <c r="G39" s="8">
        <f>SUM(G36:G38)</f>
        <v>6290.7258484325175</v>
      </c>
    </row>
    <row r="40">
      <c r="A40" t="s">
        <v>78</v>
      </c>
      <c r="B40" s="8">
        <v>7921</v>
      </c>
      <c r="C40" s="8">
        <f>Schedules!C32</f>
        <v>6922.428763530144</v>
      </c>
      <c r="D40" s="8">
        <f>Schedules!D32</f>
        <v>5644.277885970176</v>
      </c>
      <c r="E40" s="8">
        <f>Schedules!E32</f>
        <v>4258.4136185013695</v>
      </c>
      <c r="F40" s="8">
        <f>Schedules!F32</f>
        <v>2749.807432520641</v>
      </c>
      <c r="G40" s="8">
        <f>Schedules!G32</f>
        <v>1117.409145048798</v>
      </c>
    </row>
    <row r="41">
      <c r="A41" t="s">
        <v>79</v>
      </c>
      <c r="B41" s="8">
        <v>2195</v>
      </c>
      <c r="C41" s="8">
        <f>B41*(1+Assumptions!$B$105)</f>
        <v>2195</v>
      </c>
      <c r="D41" s="8">
        <f>C41*(1+Assumptions!$B$105)</f>
        <v>2195</v>
      </c>
      <c r="E41" s="8">
        <f>D41*(1+Assumptions!$B$105)</f>
        <v>2195</v>
      </c>
      <c r="F41" s="8">
        <f>E41*(1+Assumptions!$B$105)</f>
        <v>2195</v>
      </c>
      <c r="G41" s="8">
        <f>F41*(1+Assumptions!$B$105)</f>
        <v>2195</v>
      </c>
    </row>
    <row r="42">
      <c r="A42" t="s">
        <v>80</v>
      </c>
      <c r="B42" s="8">
        <v>1926</v>
      </c>
      <c r="C42" s="8">
        <f>B42*(1+Assumptions!$B$106)</f>
        <v>1926</v>
      </c>
      <c r="D42" s="8">
        <f>C42*(1+Assumptions!$B$106)</f>
        <v>1926</v>
      </c>
      <c r="E42" s="8">
        <f>D42*(1+Assumptions!$B$106)</f>
        <v>1926</v>
      </c>
      <c r="F42" s="8">
        <f>E42*(1+Assumptions!$B$106)</f>
        <v>1926</v>
      </c>
      <c r="G42" s="8">
        <f>F42*(1+Assumptions!$B$106)</f>
        <v>1926</v>
      </c>
    </row>
    <row r="43">
      <c r="A43" s="16" t="s">
        <v>81</v>
      </c>
      <c r="B43" s="11">
        <v>18431</v>
      </c>
      <c r="C43" s="11">
        <f>SUM(C39:C42)</f>
        <v>17217.90781815196</v>
      </c>
      <c r="D43" s="11">
        <f>SUM(D39:D42)</f>
        <v>15969.026860288746</v>
      </c>
      <c r="E43" s="11">
        <f>SUM(E39:E42)</f>
        <v>14617.843461856632</v>
      </c>
      <c r="F43" s="11">
        <f>SUM(F39:F42)</f>
        <v>13137.99023418269</v>
      </c>
      <c r="G43" s="11">
        <f>SUM(G39:G42)</f>
        <v>11529.134993481315</v>
      </c>
    </row>
    <row r="44">
      <c r="A44" t="s">
        <v>82</v>
      </c>
      <c r="B44" s="8">
        <v>18085</v>
      </c>
      <c r="C44" s="8">
        <f>Schedules!C41</f>
        <v>18852.342524660617</v>
      </c>
      <c r="D44" s="8">
        <f>Schedules!D41</f>
        <v>19785.11167630084</v>
      </c>
      <c r="E44" s="8">
        <f>Schedules!E41</f>
        <v>20830.146160135966</v>
      </c>
      <c r="F44" s="8">
        <f>Schedules!F41</f>
        <v>21991.80032148631</v>
      </c>
      <c r="G44" s="8">
        <f>Schedules!G41</f>
        <v>23271.195230850415</v>
      </c>
    </row>
    <row r="45">
      <c r="A45" t="s">
        <v>83</v>
      </c>
      <c r="B45" s="8">
        <v>142</v>
      </c>
      <c r="C45" s="8">
        <f>Schedules!C42</f>
        <v>173.32010304737213</v>
      </c>
      <c r="D45" s="8">
        <f>Schedules!D42</f>
        <v>211.39231331840165</v>
      </c>
      <c r="E45" s="8">
        <f>Schedules!E42</f>
        <v>254.04678204636596</v>
      </c>
      <c r="F45" s="8">
        <f>Schedules!F42</f>
        <v>301.46123761168604</v>
      </c>
      <c r="G45" s="8">
        <f>Schedules!G42</f>
        <v>353.68143799389446</v>
      </c>
    </row>
    <row r="46">
      <c r="A46" s="16" t="s">
        <v>250</v>
      </c>
      <c r="B46" s="11">
        <v>18227</v>
      </c>
      <c r="C46" s="11">
        <f>SUM(C44:C45)</f>
        <v>19025.66262770799</v>
      </c>
      <c r="D46" s="11">
        <f>SUM(D44:D45)</f>
        <v>19996.50398961924</v>
      </c>
      <c r="E46" s="11">
        <f>SUM(E44:E45)</f>
        <v>21084.192942182333</v>
      </c>
      <c r="F46" s="11">
        <f>SUM(F44:F45)</f>
        <v>22293.261559097995</v>
      </c>
      <c r="G46" s="11">
        <f>SUM(G44:G45)</f>
        <v>23624.87666884431</v>
      </c>
    </row>
    <row r="47">
      <c r="A47" s="16" t="s">
        <v>85</v>
      </c>
      <c r="B47" s="11">
        <v>36658</v>
      </c>
      <c r="C47" s="11">
        <f>SUM(C43,C46)</f>
        <v>36243.57044585995</v>
      </c>
      <c r="D47" s="11">
        <f>SUM(D43,D46)</f>
        <v>35965.530849907984</v>
      </c>
      <c r="E47" s="11">
        <f>SUM(E43,E46)</f>
        <v>35702.03640403897</v>
      </c>
      <c r="F47" s="11">
        <f>SUM(F43,F46)</f>
        <v>35431.25179328068</v>
      </c>
      <c r="G47" s="11">
        <f>SUM(G43,G46)</f>
        <v>35154.011662325625</v>
      </c>
    </row>
    <row r="48">
      <c r="A48" t="s">
        <v>251</v>
      </c>
      <c r="B48" s="8">
        <v>0</v>
      </c>
      <c r="C48" s="8">
        <f>C35-C47</f>
        <v>0</v>
      </c>
      <c r="D48" s="8">
        <f>D35-D47</f>
        <v>0</v>
      </c>
      <c r="E48" s="8">
        <f>E35-E47</f>
        <v>0</v>
      </c>
      <c r="F48" s="8">
        <f>F35-F47</f>
        <v>0</v>
      </c>
      <c r="G48" s="8">
        <f>G35-G47</f>
        <v>0</v>
      </c>
    </row>
    <row r="49">
      <c r="B49" s="8"/>
      <c r="C49" s="8"/>
      <c r="D49" s="8"/>
      <c r="E49" s="8"/>
      <c r="F49" s="8"/>
      <c r="G49" s="8"/>
    </row>
    <row r="50">
      <c r="B50" s="8"/>
      <c r="C50" s="8"/>
      <c r="D50" s="8"/>
      <c r="E50" s="8"/>
      <c r="F50" s="8"/>
      <c r="G50" s="8"/>
    </row>
    <row r="51">
      <c r="A51" s="3" t="s">
        <v>87</v>
      </c>
      <c r="B51" s="19"/>
      <c r="C51" s="19"/>
      <c r="D51" s="19"/>
      <c r="E51" s="19"/>
      <c r="F51" s="19"/>
      <c r="G51" s="19"/>
    </row>
    <row r="52">
      <c r="A52" t="s">
        <v>56</v>
      </c>
      <c r="B52" s="8">
        <v>507</v>
      </c>
      <c r="C52" s="8">
        <f>C18</f>
        <v>1566.0051523686059</v>
      </c>
      <c r="D52" s="8">
        <f>D18</f>
        <v>1903.6105135514767</v>
      </c>
      <c r="E52" s="8">
        <f>E18</f>
        <v>2132.723436398215</v>
      </c>
      <c r="F52" s="8">
        <f>F18</f>
        <v>2370.722778266004</v>
      </c>
      <c r="G52" s="8">
        <f>G18</f>
        <v>2611.0100191104216</v>
      </c>
    </row>
    <row r="53">
      <c r="A53" t="s">
        <v>89</v>
      </c>
      <c r="B53" s="8">
        <v>1093</v>
      </c>
      <c r="C53" s="8">
        <f>Schedules!C22</f>
        <v>1144.0448825</v>
      </c>
      <c r="D53" s="8">
        <f>Schedules!D22</f>
        <v>1184.0186363689118</v>
      </c>
      <c r="E53" s="8">
        <f>Schedules!E22</f>
        <v>1225.5859719022797</v>
      </c>
      <c r="F53" s="8">
        <f>Schedules!F22</f>
        <v>1268.8162597691894</v>
      </c>
      <c r="G53" s="8">
        <f>Schedules!G22</f>
        <v>1313.7820525449572</v>
      </c>
    </row>
    <row r="54">
      <c r="A54" t="s">
        <v>90</v>
      </c>
      <c r="B54" s="8">
        <v>268</v>
      </c>
      <c r="C54" s="8">
        <f>Schedules!C24</f>
        <v>286.011220625</v>
      </c>
      <c r="D54" s="8">
        <f>Schedules!D24</f>
        <v>296.00465909222794</v>
      </c>
      <c r="E54" s="8">
        <f>Schedules!E24</f>
        <v>306.3964929755699</v>
      </c>
      <c r="F54" s="8">
        <f>Schedules!F24</f>
        <v>317.20406494229735</v>
      </c>
      <c r="G54" s="8">
        <f>Schedules!G24</f>
        <v>328.4455131362393</v>
      </c>
    </row>
    <row r="55">
      <c r="A55" t="s">
        <v>252</v>
      </c>
      <c r="B55" s="8">
        <v>-352</v>
      </c>
      <c r="C55" s="8">
        <f>-Schedules!C18</f>
        <v>-317.22770149148346</v>
      </c>
      <c r="D55" s="8">
        <f>-Schedules!D18</f>
        <v>-102.70928449349958</v>
      </c>
      <c r="E55" s="8">
        <f>-Schedules!E18</f>
        <v>-119.06541690441009</v>
      </c>
      <c r="F55" s="8">
        <f>-Schedules!F18</f>
        <v>-124.01736339920444</v>
      </c>
      <c r="G55" s="8">
        <f>-Schedules!G18</f>
        <v>-129.76446827431118</v>
      </c>
    </row>
    <row r="56">
      <c r="A56" s="16" t="s">
        <v>253</v>
      </c>
      <c r="B56" s="11">
        <v>2155</v>
      </c>
      <c r="C56" s="11">
        <f>SUM(C52:C55)</f>
        <v>2678.8335540021226</v>
      </c>
      <c r="D56" s="11">
        <f>SUM(D52:D55)</f>
        <v>3280.924524519117</v>
      </c>
      <c r="E56" s="11">
        <f>SUM(E52:E55)</f>
        <v>3545.6404843716546</v>
      </c>
      <c r="F56" s="11">
        <f>SUM(F52:F55)</f>
        <v>3832.7257395782863</v>
      </c>
      <c r="G56" s="11">
        <f>SUM(G52:G55)</f>
        <v>4123.473116517307</v>
      </c>
    </row>
    <row r="57">
      <c r="A57" t="s">
        <v>95</v>
      </c>
      <c r="B57" s="8">
        <v>-978</v>
      </c>
      <c r="C57" s="8">
        <f>-Schedules!C21</f>
        <v>-858.033661875</v>
      </c>
      <c r="D57" s="8">
        <f>-Schedules!D21</f>
        <v>-888.0139772766837</v>
      </c>
      <c r="E57" s="8">
        <f>-Schedules!E21</f>
        <v>-919.1894789267096</v>
      </c>
      <c r="F57" s="8">
        <f>-Schedules!F21</f>
        <v>-951.6121948268919</v>
      </c>
      <c r="G57" s="8">
        <f>-Schedules!G21</f>
        <v>-985.336539408718</v>
      </c>
    </row>
    <row r="58">
      <c r="A58" t="s">
        <v>96</v>
      </c>
      <c r="B58" s="8">
        <v>-665</v>
      </c>
      <c r="C58" s="8">
        <f>C57</f>
        <v>-858.033661875</v>
      </c>
      <c r="D58" s="8">
        <f>D57</f>
        <v>-888.0139772766837</v>
      </c>
      <c r="E58" s="8">
        <f>E57</f>
        <v>-919.1894789267096</v>
      </c>
      <c r="F58" s="8">
        <f>F57</f>
        <v>-951.6121948268919</v>
      </c>
      <c r="G58" s="8">
        <f>G57</f>
        <v>-985.336539408718</v>
      </c>
    </row>
    <row r="59">
      <c r="A59" t="s">
        <v>254</v>
      </c>
      <c r="B59" s="8">
        <v>-957</v>
      </c>
      <c r="C59" s="8">
        <f>Schedules!C29</f>
        <v>-1138.4124849665054</v>
      </c>
      <c r="D59" s="8">
        <f>Schedules!D29</f>
        <v>-1420.1676417332978</v>
      </c>
      <c r="E59" s="8">
        <f>Schedules!E29</f>
        <v>-1539.8491860764518</v>
      </c>
      <c r="F59" s="8">
        <f>Schedules!F29</f>
        <v>-1676.2290955341427</v>
      </c>
      <c r="G59" s="8">
        <f>Schedules!G29</f>
        <v>-1813.7758749687148</v>
      </c>
    </row>
    <row r="60">
      <c r="A60" t="s">
        <v>100</v>
      </c>
      <c r="B60" s="8">
        <v>-697</v>
      </c>
      <c r="C60" s="8">
        <f>Schedules!C40</f>
        <v>-767.3425246606168</v>
      </c>
      <c r="D60" s="8">
        <f>Schedules!D40</f>
        <v>-932.7691516402236</v>
      </c>
      <c r="E60" s="8">
        <f>Schedules!E40</f>
        <v>-1045.0344838351255</v>
      </c>
      <c r="F60" s="8">
        <f>Schedules!F40</f>
        <v>-1161.6541613503418</v>
      </c>
      <c r="G60" s="8">
        <f>Schedules!G40</f>
        <v>-1279.3949093641065</v>
      </c>
    </row>
    <row r="61">
      <c r="A61" t="s">
        <v>101</v>
      </c>
      <c r="B61" s="8">
        <v>-1977</v>
      </c>
      <c r="C61" s="8">
        <f>SUM(C59:C60)</f>
        <v>-1905.7550096271223</v>
      </c>
      <c r="D61" s="8">
        <f>SUM(D59:D60)</f>
        <v>-2352.9367933735216</v>
      </c>
      <c r="E61" s="8">
        <f>SUM(E59:E60)</f>
        <v>-2584.8836699115773</v>
      </c>
      <c r="F61" s="8">
        <f>SUM(F59:F60)</f>
        <v>-2837.8832568844846</v>
      </c>
      <c r="G61" s="8">
        <f>SUM(G59:G60)</f>
        <v>-3093.1707843328213</v>
      </c>
    </row>
    <row r="62">
      <c r="A62" t="s">
        <v>103</v>
      </c>
      <c r="B62" s="8">
        <v>-488</v>
      </c>
      <c r="C62" s="8">
        <f>SUM(C56,C58,C61)</f>
        <v>-84.95511749999969</v>
      </c>
      <c r="D62" s="8">
        <f>SUM(D56,D58,D61)</f>
        <v>39.973753868911444</v>
      </c>
      <c r="E62" s="8">
        <f>SUM(E56,E58,E61)</f>
        <v>41.56733553336744</v>
      </c>
      <c r="F62" s="8">
        <f>SUM(F56,F58,F61)</f>
        <v>43.23028786690975</v>
      </c>
      <c r="G62" s="8">
        <f>SUM(G56,G58,G61)</f>
        <v>44.96579277576802</v>
      </c>
    </row>
    <row r="63">
      <c r="A63" s="16" t="s">
        <v>104</v>
      </c>
      <c r="B63" s="11">
        <v>1229</v>
      </c>
      <c r="C63" s="11">
        <f>B63+C62</f>
        <v>1144.0448825000003</v>
      </c>
      <c r="D63" s="11">
        <f>C63+D62</f>
        <v>1184.0186363689118</v>
      </c>
      <c r="E63" s="11">
        <f>D63+E62</f>
        <v>1225.5859719022792</v>
      </c>
      <c r="F63" s="11">
        <f>E63+F62</f>
        <v>1268.816259769189</v>
      </c>
      <c r="G63" s="11">
        <f>F63+G62</f>
        <v>1313.782052544957</v>
      </c>
    </row>
    <row r="64">
      <c r="A64" s="16" t="s">
        <v>105</v>
      </c>
      <c r="B64" s="11">
        <v>1177</v>
      </c>
      <c r="C64" s="11">
        <f>SUM(C56,C57)</f>
        <v>1820.7998921271226</v>
      </c>
      <c r="D64" s="11">
        <f>SUM(D56,D57)</f>
        <v>2392.910547242433</v>
      </c>
      <c r="E64" s="11">
        <f>SUM(E56,E57)</f>
        <v>2626.4510054449447</v>
      </c>
      <c r="F64" s="11">
        <f>SUM(F56,F57)</f>
        <v>2881.1135447513943</v>
      </c>
      <c r="G64" s="11">
        <f>SUM(G56,G57)</f>
        <v>3138.1365771085893</v>
      </c>
    </row>
  </sheetData>
  <mergeCells count="5">
    <mergeCell ref="A25:G25"/>
    <mergeCell ref="A51:G51"/>
    <mergeCell ref="A6:G6"/>
    <mergeCell ref="A1:G1"/>
    <mergeCell ref="A2:G2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G43"/>
  <sheetViews>
    <sheetView showGridLines="0" workbookViewId="0">
      <pane xSplit="1" ySplit="4" topLeftCell="B5" activePane="bottomRight" state="frozen"/>
    </sheetView>
  </sheetViews>
  <sheetFormatPr defaultColWidth="8.375" defaultRowHeight="15"/>
  <cols>
    <col min="1" max="1" width="29.375" customWidth="1"/>
    <col min="2" max="7" width="10.875" customWidth="1"/>
  </cols>
  <sheetData>
    <row r="1" ht="22.5">
      <c r="A1" s="5" t="s">
        <v>255</v>
      </c>
      <c r="B1" s="5"/>
      <c r="C1" s="5"/>
      <c r="D1" s="5"/>
      <c r="E1" s="5"/>
      <c r="F1" s="5"/>
      <c r="G1" s="5"/>
    </row>
    <row r="2" ht="22.5">
      <c r="A2" s="7" t="s">
        <v>256</v>
      </c>
      <c r="B2" s="7"/>
      <c r="C2" s="7"/>
      <c r="D2" s="7"/>
      <c r="E2" s="7"/>
      <c r="F2" s="7"/>
      <c r="G2" s="7"/>
    </row>
    <row r="4">
      <c r="A4" s="6" t="s">
        <v>44</v>
      </c>
      <c r="B4" s="6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</row>
    <row r="6">
      <c r="A6" s="3" t="s">
        <v>257</v>
      </c>
      <c r="B6" s="3"/>
      <c r="C6" s="3"/>
      <c r="D6" s="3"/>
      <c r="E6" s="3"/>
      <c r="F6" s="3"/>
      <c r="G6" s="3"/>
    </row>
    <row r="7">
      <c r="A7" t="s">
        <v>146</v>
      </c>
      <c r="B7" s="21">
        <v>16.9</v>
      </c>
      <c r="C7" s="21">
        <f>Assumptions!$B$87</f>
        <v>17</v>
      </c>
      <c r="D7" s="21">
        <f>Assumptions!$B$87</f>
        <v>17</v>
      </c>
      <c r="E7" s="21">
        <f>Assumptions!$B$87</f>
        <v>17</v>
      </c>
      <c r="F7" s="21">
        <f>Assumptions!$B$87</f>
        <v>17</v>
      </c>
      <c r="G7" s="21">
        <f>Assumptions!$B$87</f>
        <v>17</v>
      </c>
    </row>
    <row r="8">
      <c r="A8" t="s">
        <v>64</v>
      </c>
      <c r="B8" s="8">
        <v>2524</v>
      </c>
      <c r="C8" s="8">
        <f>Forecast_3Stmt!C7*C7/365</f>
        <v>2664.2141099315068</v>
      </c>
      <c r="D8" s="8">
        <f>Forecast_3Stmt!D7*D7/365</f>
        <v>2757.3036737358216</v>
      </c>
      <c r="E8" s="8">
        <f>Forecast_3Stmt!E7*E7/365</f>
        <v>2854.1043181285963</v>
      </c>
      <c r="F8" s="8">
        <f>Forecast_3Stmt!F7*F7/365</f>
        <v>2954.7775912433176</v>
      </c>
      <c r="G8" s="8">
        <f>Forecast_3Stmt!G7*G7/365</f>
        <v>3059.492451132092</v>
      </c>
    </row>
    <row r="9">
      <c r="A9" t="s">
        <v>148</v>
      </c>
      <c r="B9" s="21">
        <v>40.8</v>
      </c>
      <c r="C9" s="21">
        <f>Assumptions!$B$88</f>
        <v>40</v>
      </c>
      <c r="D9" s="21">
        <f>Assumptions!$B$88</f>
        <v>40</v>
      </c>
      <c r="E9" s="21">
        <f>Assumptions!$B$88</f>
        <v>40</v>
      </c>
      <c r="F9" s="21">
        <f>Assumptions!$B$88</f>
        <v>40</v>
      </c>
      <c r="G9" s="21">
        <f>Assumptions!$B$88</f>
        <v>40</v>
      </c>
    </row>
    <row r="10">
      <c r="A10" t="s">
        <v>258</v>
      </c>
      <c r="B10" s="8">
        <v>5681</v>
      </c>
      <c r="C10" s="8">
        <f>Forecast_3Stmt!C9*C9/365</f>
        <v>5750.513697553446</v>
      </c>
      <c r="D10" s="8">
        <f>Forecast_3Stmt!D9*D9/365</f>
        <v>5913.4319128717025</v>
      </c>
      <c r="E10" s="8">
        <f>Forecast_3Stmt!E9*E9/365</f>
        <v>6105.65717203766</v>
      </c>
      <c r="F10" s="8">
        <f>Forecast_3Stmt!F9*F9/365</f>
        <v>6305.923500642233</v>
      </c>
      <c r="G10" s="8">
        <f>Forecast_3Stmt!G9*G9/365</f>
        <v>6515.659136546014</v>
      </c>
    </row>
    <row r="11">
      <c r="A11" t="s">
        <v>149</v>
      </c>
      <c r="B11" s="21">
        <v>18.7</v>
      </c>
      <c r="C11" s="21">
        <f>Assumptions!$B$89</f>
        <v>18.5</v>
      </c>
      <c r="D11" s="21">
        <f>Assumptions!$B$89</f>
        <v>18.5</v>
      </c>
      <c r="E11" s="21">
        <f>Assumptions!$B$89</f>
        <v>18.5</v>
      </c>
      <c r="F11" s="21">
        <f>Assumptions!$B$89</f>
        <v>18.5</v>
      </c>
      <c r="G11" s="21">
        <f>Assumptions!$B$89</f>
        <v>18.5</v>
      </c>
    </row>
    <row r="12">
      <c r="A12" t="s">
        <v>75</v>
      </c>
      <c r="B12" s="8">
        <v>2601</v>
      </c>
      <c r="C12" s="8">
        <f>Forecast_3Stmt!C9*C11/365</f>
        <v>2659.612585118469</v>
      </c>
      <c r="D12" s="8">
        <f>Forecast_3Stmt!D9*D11/365</f>
        <v>2734.9622597031625</v>
      </c>
      <c r="E12" s="8">
        <f>Forecast_3Stmt!E9*E11/365</f>
        <v>2823.8664420674177</v>
      </c>
      <c r="F12" s="8">
        <f>Forecast_3Stmt!F9*F11/365</f>
        <v>2916.4896190470326</v>
      </c>
      <c r="G12" s="8">
        <f>Forecast_3Stmt!G9*G11/365</f>
        <v>3013.4923506525315</v>
      </c>
    </row>
    <row r="13">
      <c r="A13" t="s">
        <v>150</v>
      </c>
      <c r="B13" s="13">
        <v>0.0089</v>
      </c>
      <c r="C13" s="13">
        <f>Assumptions!$B$90</f>
        <v>0.009</v>
      </c>
      <c r="D13" s="13">
        <f>Assumptions!$B$90</f>
        <v>0.009</v>
      </c>
      <c r="E13" s="13">
        <f>Assumptions!$B$90</f>
        <v>0.009</v>
      </c>
      <c r="F13" s="13">
        <f>Assumptions!$B$90</f>
        <v>0.009</v>
      </c>
      <c r="G13" s="13">
        <f>Assumptions!$B$90</f>
        <v>0.009</v>
      </c>
    </row>
    <row r="14">
      <c r="A14" t="s">
        <v>66</v>
      </c>
      <c r="B14" s="8">
        <v>482</v>
      </c>
      <c r="C14" s="8">
        <f>Forecast_3Stmt!C7*C13</f>
        <v>514.820197125</v>
      </c>
      <c r="D14" s="8">
        <f>Forecast_3Stmt!D7*D13</f>
        <v>532.8083863660103</v>
      </c>
      <c r="E14" s="8">
        <f>Forecast_3Stmt!E7*E13</f>
        <v>551.5136873560258</v>
      </c>
      <c r="F14" s="8">
        <f>Forecast_3Stmt!F7*F13</f>
        <v>570.9673168961351</v>
      </c>
      <c r="G14" s="8">
        <f>Forecast_3Stmt!G7*G13</f>
        <v>591.2019236452307</v>
      </c>
    </row>
    <row r="15">
      <c r="A15" t="s">
        <v>151</v>
      </c>
      <c r="B15" s="13">
        <v>0.0529</v>
      </c>
      <c r="C15" s="13">
        <f>Assumptions!$B$91</f>
        <v>0.048</v>
      </c>
      <c r="D15" s="13">
        <f>Assumptions!$B$91</f>
        <v>0.048</v>
      </c>
      <c r="E15" s="13">
        <f>Assumptions!$B$91</f>
        <v>0.048</v>
      </c>
      <c r="F15" s="13">
        <f>Assumptions!$B$91</f>
        <v>0.048</v>
      </c>
      <c r="G15" s="13">
        <f>Assumptions!$B$91</f>
        <v>0.048</v>
      </c>
    </row>
    <row r="16">
      <c r="A16" t="s">
        <v>76</v>
      </c>
      <c r="B16" s="8">
        <v>2879</v>
      </c>
      <c r="C16" s="8">
        <f>Forecast_3Stmt!C7*C15</f>
        <v>2745.707718</v>
      </c>
      <c r="D16" s="8">
        <f>Forecast_3Stmt!D7*D15</f>
        <v>2841.644727285388</v>
      </c>
      <c r="E16" s="8">
        <f>Forecast_3Stmt!E7*E15</f>
        <v>2941.406332565471</v>
      </c>
      <c r="F16" s="8">
        <f>Forecast_3Stmt!F7*F15</f>
        <v>3045.1590234460546</v>
      </c>
      <c r="G16" s="8">
        <f>Forecast_3Stmt!G7*G15</f>
        <v>3153.0769261078976</v>
      </c>
    </row>
    <row r="17">
      <c r="A17" s="16" t="s">
        <v>259</v>
      </c>
      <c r="B17" s="11">
        <v>3207</v>
      </c>
      <c r="C17" s="11">
        <f>SUM(C8,C10,C14)-SUM(C12,C16)</f>
        <v>3524.2277014914835</v>
      </c>
      <c r="D17" s="11">
        <f>SUM(D8,D10,D14)-SUM(D12,D16)</f>
        <v>3626.936985984983</v>
      </c>
      <c r="E17" s="11">
        <f>SUM(E8,E10,E14)-SUM(E12,E16)</f>
        <v>3746.002402889393</v>
      </c>
      <c r="F17" s="11">
        <f>SUM(F8,F10,F14)-SUM(F12,F16)</f>
        <v>3870.0197662885976</v>
      </c>
      <c r="G17" s="11">
        <f>SUM(G8,G10,G14)-SUM(G12,G16)</f>
        <v>3999.7842345629088</v>
      </c>
    </row>
    <row r="18">
      <c r="A18" t="s">
        <v>252</v>
      </c>
      <c r="B18" s="8"/>
      <c r="C18" s="8">
        <f>C17-B17</f>
        <v>317.22770149148346</v>
      </c>
      <c r="D18" s="8">
        <f>D17-C17</f>
        <v>102.70928449349958</v>
      </c>
      <c r="E18" s="8">
        <f>E17-D17</f>
        <v>119.06541690441009</v>
      </c>
      <c r="F18" s="8">
        <f>F17-E17</f>
        <v>124.01736339920444</v>
      </c>
      <c r="G18" s="8">
        <f>G17-F17</f>
        <v>129.76446827431118</v>
      </c>
    </row>
    <row r="19">
      <c r="B19" s="8"/>
      <c r="C19" s="8"/>
      <c r="D19" s="8"/>
      <c r="E19" s="8"/>
      <c r="F19" s="8"/>
      <c r="G19" s="8"/>
    </row>
    <row r="20">
      <c r="A20" s="3" t="s">
        <v>260</v>
      </c>
      <c r="B20" s="19"/>
      <c r="C20" s="19"/>
      <c r="D20" s="19"/>
      <c r="E20" s="19"/>
      <c r="F20" s="19"/>
      <c r="G20" s="19"/>
    </row>
    <row r="21">
      <c r="A21" t="s">
        <v>95</v>
      </c>
      <c r="B21" s="8">
        <v>978</v>
      </c>
      <c r="C21" s="8">
        <f>Forecast_3Stmt!C7*Assumptions!$B$86</f>
        <v>858.033661875</v>
      </c>
      <c r="D21" s="8">
        <f>Forecast_3Stmt!D7*Assumptions!$B$86</f>
        <v>888.0139772766837</v>
      </c>
      <c r="E21" s="8">
        <f>Forecast_3Stmt!E7*Assumptions!$B$86</f>
        <v>919.1894789267096</v>
      </c>
      <c r="F21" s="8">
        <f>Forecast_3Stmt!F7*Assumptions!$B$86</f>
        <v>951.6121948268919</v>
      </c>
      <c r="G21" s="8">
        <f>Forecast_3Stmt!G7*Assumptions!$B$86</f>
        <v>985.336539408718</v>
      </c>
    </row>
    <row r="22">
      <c r="A22" t="s">
        <v>89</v>
      </c>
      <c r="B22" s="8">
        <v>1093</v>
      </c>
      <c r="C22" s="8">
        <f>Forecast_3Stmt!C7*Assumptions!$B$84</f>
        <v>1144.0448825</v>
      </c>
      <c r="D22" s="8">
        <f>Forecast_3Stmt!D7*Assumptions!$B$84</f>
        <v>1184.0186363689118</v>
      </c>
      <c r="E22" s="8">
        <f>Forecast_3Stmt!E7*Assumptions!$B$84</f>
        <v>1225.5859719022797</v>
      </c>
      <c r="F22" s="8">
        <f>Forecast_3Stmt!F7*Assumptions!$B$84</f>
        <v>1268.8162597691894</v>
      </c>
      <c r="G22" s="8">
        <f>Forecast_3Stmt!G7*Assumptions!$B$84</f>
        <v>1313.7820525449572</v>
      </c>
    </row>
    <row r="23">
      <c r="A23" s="16" t="s">
        <v>68</v>
      </c>
      <c r="B23" s="11">
        <v>9204</v>
      </c>
      <c r="C23" s="11">
        <f>B23+C21-C22</f>
        <v>8917.988779375</v>
      </c>
      <c r="D23" s="11">
        <f>C23+D21-D22</f>
        <v>8621.984120282772</v>
      </c>
      <c r="E23" s="11">
        <f>D23+E21-E22</f>
        <v>8315.587627307203</v>
      </c>
      <c r="F23" s="11">
        <f>E23+F21-F22</f>
        <v>7998.383562364905</v>
      </c>
      <c r="G23" s="11">
        <f>F23+G21-G22</f>
        <v>7669.9380492286655</v>
      </c>
    </row>
    <row r="24">
      <c r="A24" t="s">
        <v>90</v>
      </c>
      <c r="B24" s="8">
        <v>268</v>
      </c>
      <c r="C24" s="8">
        <f>Forecast_3Stmt!C7*Assumptions!$B$85</f>
        <v>286.011220625</v>
      </c>
      <c r="D24" s="8">
        <f>Forecast_3Stmt!D7*Assumptions!$B$85</f>
        <v>296.00465909222794</v>
      </c>
      <c r="E24" s="8">
        <f>Forecast_3Stmt!E7*Assumptions!$B$85</f>
        <v>306.3964929755699</v>
      </c>
      <c r="F24" s="8">
        <f>Forecast_3Stmt!F7*Assumptions!$B$85</f>
        <v>317.20406494229735</v>
      </c>
      <c r="G24" s="8">
        <f>Forecast_3Stmt!G7*Assumptions!$B$85</f>
        <v>328.4455131362393</v>
      </c>
    </row>
    <row r="25">
      <c r="A25" s="16" t="s">
        <v>70</v>
      </c>
      <c r="B25" s="11">
        <v>5624</v>
      </c>
      <c r="C25" s="11">
        <f>B25-C24</f>
        <v>5337.988779375</v>
      </c>
      <c r="D25" s="11">
        <f>C25-D24</f>
        <v>5041.984120282772</v>
      </c>
      <c r="E25" s="11">
        <f>D25-E24</f>
        <v>4735.587627307202</v>
      </c>
      <c r="F25" s="11">
        <f>E25-F24</f>
        <v>4418.383562364905</v>
      </c>
      <c r="G25" s="11">
        <f>F25-G24</f>
        <v>4089.9380492286655</v>
      </c>
    </row>
    <row r="26">
      <c r="B26" s="8"/>
      <c r="C26" s="8"/>
      <c r="D26" s="8"/>
      <c r="E26" s="8"/>
      <c r="F26" s="8"/>
      <c r="G26" s="8"/>
    </row>
    <row r="27">
      <c r="A27" s="3" t="s">
        <v>261</v>
      </c>
      <c r="B27" s="19"/>
      <c r="C27" s="19"/>
      <c r="D27" s="19"/>
      <c r="E27" s="19"/>
      <c r="F27" s="19"/>
      <c r="G27" s="19"/>
    </row>
    <row r="28">
      <c r="A28" t="s">
        <v>262</v>
      </c>
      <c r="B28" s="8">
        <v>8830</v>
      </c>
      <c r="C28" s="8">
        <f>B30</f>
        <v>8830</v>
      </c>
      <c r="D28" s="8">
        <f>C30</f>
        <v>7691.587515033494</v>
      </c>
      <c r="E28" s="8">
        <f>D30</f>
        <v>6271.419873300196</v>
      </c>
      <c r="F28" s="8">
        <f>E30</f>
        <v>4731.570687223744</v>
      </c>
      <c r="G28" s="8">
        <f>F30</f>
        <v>3055.3415916896015</v>
      </c>
    </row>
    <row r="29">
      <c r="A29" t="s">
        <v>263</v>
      </c>
      <c r="B29" s="8"/>
      <c r="C29" s="8">
        <f>MAX(-C28,C35-B36-Forecast_3Stmt!C56-Forecast_3Stmt!C57-C40)</f>
        <v>-1138.4124849665054</v>
      </c>
      <c r="D29" s="8">
        <f>MAX(-D28,D35-C36-Forecast_3Stmt!D56-Forecast_3Stmt!D57-D40)</f>
        <v>-1420.1676417332978</v>
      </c>
      <c r="E29" s="8">
        <f>MAX(-E28,E35-D36-Forecast_3Stmt!E56-Forecast_3Stmt!E57-E40)</f>
        <v>-1539.8491860764518</v>
      </c>
      <c r="F29" s="8">
        <f>MAX(-F28,F35-E36-Forecast_3Stmt!F56-Forecast_3Stmt!F57-F40)</f>
        <v>-1676.2290955341427</v>
      </c>
      <c r="G29" s="8">
        <f>MAX(-G28,G35-F36-Forecast_3Stmt!G56-Forecast_3Stmt!G57-G40)</f>
        <v>-1813.7758749687148</v>
      </c>
    </row>
    <row r="30">
      <c r="A30" s="16" t="s">
        <v>264</v>
      </c>
      <c r="B30" s="11">
        <v>8830</v>
      </c>
      <c r="C30" s="11">
        <f>C28+C29</f>
        <v>7691.587515033494</v>
      </c>
      <c r="D30" s="11">
        <f>D28+D29</f>
        <v>6271.419873300196</v>
      </c>
      <c r="E30" s="11">
        <f>E28+E29</f>
        <v>4731.570687223744</v>
      </c>
      <c r="F30" s="11">
        <f>F28+F29</f>
        <v>3055.3415916896015</v>
      </c>
      <c r="G30" s="11">
        <f>G28+G29</f>
        <v>1241.5657167208867</v>
      </c>
    </row>
    <row r="31">
      <c r="A31" t="s">
        <v>74</v>
      </c>
      <c r="B31" s="8">
        <v>909</v>
      </c>
      <c r="C31" s="8">
        <f>C30*Assumptions!$B$100</f>
        <v>769.1587515033494</v>
      </c>
      <c r="D31" s="8">
        <f>D30*Assumptions!$B$100</f>
        <v>627.1419873300197</v>
      </c>
      <c r="E31" s="8">
        <f>E30*Assumptions!$B$100</f>
        <v>473.15706872237445</v>
      </c>
      <c r="F31" s="8">
        <f>F30*Assumptions!$B$100</f>
        <v>305.5341591689602</v>
      </c>
      <c r="G31" s="8">
        <f>G30*Assumptions!$B$100</f>
        <v>124.15657167208867</v>
      </c>
    </row>
    <row r="32">
      <c r="A32" t="s">
        <v>78</v>
      </c>
      <c r="B32" s="8">
        <v>7921</v>
      </c>
      <c r="C32" s="8">
        <f>C30-C31</f>
        <v>6922.428763530144</v>
      </c>
      <c r="D32" s="8">
        <f>D30-D31</f>
        <v>5644.277885970176</v>
      </c>
      <c r="E32" s="8">
        <f>E30-E31</f>
        <v>4258.4136185013695</v>
      </c>
      <c r="F32" s="8">
        <f>F30-F31</f>
        <v>2749.807432520641</v>
      </c>
      <c r="G32" s="8">
        <f>G30-G31</f>
        <v>1117.409145048798</v>
      </c>
    </row>
    <row r="33">
      <c r="A33" t="s">
        <v>52</v>
      </c>
      <c r="B33" s="8">
        <v>449</v>
      </c>
      <c r="C33" s="8">
        <f>Assumptions!$B$82</f>
        <v>365</v>
      </c>
      <c r="D33" s="8">
        <f>D28*Assumptions!$B$83</f>
        <v>346.12143817650724</v>
      </c>
      <c r="E33" s="8">
        <f>E28*Assumptions!$B$83</f>
        <v>282.2138942985088</v>
      </c>
      <c r="F33" s="8">
        <f>F28*Assumptions!$B$83</f>
        <v>212.9206809250685</v>
      </c>
      <c r="G33" s="8">
        <f>G28*Assumptions!$B$83</f>
        <v>137.49037162603207</v>
      </c>
    </row>
    <row r="34">
      <c r="A34" t="s">
        <v>153</v>
      </c>
      <c r="B34" s="13">
        <v>0.0226</v>
      </c>
      <c r="C34" s="13">
        <f>Assumptions!$B$93</f>
        <v>0.02</v>
      </c>
      <c r="D34" s="13">
        <f>Assumptions!$B$93</f>
        <v>0.02</v>
      </c>
      <c r="E34" s="13">
        <f>Assumptions!$B$93</f>
        <v>0.02</v>
      </c>
      <c r="F34" s="13">
        <f>Assumptions!$B$93</f>
        <v>0.02</v>
      </c>
      <c r="G34" s="13">
        <f>Assumptions!$B$93</f>
        <v>0.02</v>
      </c>
    </row>
    <row r="35">
      <c r="A35" t="s">
        <v>265</v>
      </c>
      <c r="B35" s="8">
        <v>1229</v>
      </c>
      <c r="C35" s="8">
        <f>Forecast_3Stmt!C7*C34</f>
        <v>1144.0448825</v>
      </c>
      <c r="D35" s="8">
        <f>Forecast_3Stmt!D7*D34</f>
        <v>1184.0186363689118</v>
      </c>
      <c r="E35" s="8">
        <f>Forecast_3Stmt!E7*E34</f>
        <v>1225.5859719022797</v>
      </c>
      <c r="F35" s="8">
        <f>Forecast_3Stmt!F7*F34</f>
        <v>1268.8162597691894</v>
      </c>
      <c r="G35" s="8">
        <f>Forecast_3Stmt!G7*G34</f>
        <v>1313.7820525449572</v>
      </c>
    </row>
    <row r="36">
      <c r="A36" t="s">
        <v>266</v>
      </c>
      <c r="B36" s="8">
        <v>1229</v>
      </c>
      <c r="C36" s="8">
        <f>B36+Forecast_3Stmt!C56+Forecast_3Stmt!C57+C29+C40</f>
        <v>1144.0448825000005</v>
      </c>
      <c r="D36" s="8">
        <f>C36+Forecast_3Stmt!D56+Forecast_3Stmt!D57+D29+D40</f>
        <v>1184.0186363689118</v>
      </c>
      <c r="E36" s="8">
        <f>D36+Forecast_3Stmt!E56+Forecast_3Stmt!E57+E29+E40</f>
        <v>1225.5859719022794</v>
      </c>
      <c r="F36" s="8">
        <f>E36+Forecast_3Stmt!F56+Forecast_3Stmt!F57+F29+F40</f>
        <v>1268.816259769189</v>
      </c>
      <c r="G36" s="8">
        <f>F36+Forecast_3Stmt!G56+Forecast_3Stmt!G57+G29+G40</f>
        <v>1313.7820525449572</v>
      </c>
    </row>
    <row r="37">
      <c r="A37" s="16" t="s">
        <v>267</v>
      </c>
      <c r="B37" s="11">
        <v>0</v>
      </c>
      <c r="C37" s="11">
        <f>C36-C35</f>
        <v>0</v>
      </c>
      <c r="D37" s="11">
        <f>D36-D35</f>
        <v>0</v>
      </c>
      <c r="E37" s="11">
        <f>E36-E35</f>
        <v>0</v>
      </c>
      <c r="F37" s="11">
        <f>F36-F35</f>
        <v>0</v>
      </c>
      <c r="G37" s="11">
        <f>G36-G35</f>
        <v>0</v>
      </c>
    </row>
    <row r="38">
      <c r="A38" t="s">
        <v>268</v>
      </c>
      <c r="B38" s="8">
        <v>18085</v>
      </c>
      <c r="C38" s="8">
        <f>B41</f>
        <v>18085</v>
      </c>
      <c r="D38" s="8">
        <f>C41</f>
        <v>18852.342524660617</v>
      </c>
      <c r="E38" s="8">
        <f>D41</f>
        <v>19785.11167630084</v>
      </c>
      <c r="F38" s="8">
        <f>E41</f>
        <v>20830.146160135966</v>
      </c>
      <c r="G38" s="8">
        <f>F41</f>
        <v>21991.80032148631</v>
      </c>
    </row>
    <row r="39">
      <c r="A39" t="s">
        <v>269</v>
      </c>
      <c r="B39" s="8">
        <v>474</v>
      </c>
      <c r="C39" s="8">
        <f>Forecast_3Stmt!C20</f>
        <v>1534.6850493212337</v>
      </c>
      <c r="D39" s="8">
        <f>Forecast_3Stmt!D20</f>
        <v>1865.5383032804473</v>
      </c>
      <c r="E39" s="8">
        <f>Forecast_3Stmt!E20</f>
        <v>2090.068967670251</v>
      </c>
      <c r="F39" s="8">
        <f>Forecast_3Stmt!F20</f>
        <v>2323.3083227006837</v>
      </c>
      <c r="G39" s="8">
        <f>Forecast_3Stmt!G20</f>
        <v>2558.789818728213</v>
      </c>
    </row>
    <row r="40">
      <c r="A40" t="s">
        <v>100</v>
      </c>
      <c r="B40" s="8">
        <v>-697</v>
      </c>
      <c r="C40" s="8">
        <f>-Forecast_3Stmt!C20*Assumptions!$B$92</f>
        <v>-767.3425246606168</v>
      </c>
      <c r="D40" s="8">
        <f>-Forecast_3Stmt!D20*Assumptions!$B$92</f>
        <v>-932.7691516402236</v>
      </c>
      <c r="E40" s="8">
        <f>-Forecast_3Stmt!E20*Assumptions!$B$92</f>
        <v>-1045.0344838351255</v>
      </c>
      <c r="F40" s="8">
        <f>-Forecast_3Stmt!F20*Assumptions!$B$92</f>
        <v>-1161.6541613503418</v>
      </c>
      <c r="G40" s="8">
        <f>-Forecast_3Stmt!G20*Assumptions!$B$92</f>
        <v>-1279.3949093641065</v>
      </c>
    </row>
    <row r="41">
      <c r="A41" s="16" t="s">
        <v>270</v>
      </c>
      <c r="B41" s="11">
        <v>18085</v>
      </c>
      <c r="C41" s="11">
        <f>SUM(C38:C40)</f>
        <v>18852.342524660617</v>
      </c>
      <c r="D41" s="11">
        <f>SUM(D38:D40)</f>
        <v>19785.11167630084</v>
      </c>
      <c r="E41" s="11">
        <f>SUM(E38:E40)</f>
        <v>20830.146160135966</v>
      </c>
      <c r="F41" s="11">
        <f>SUM(F38:F40)</f>
        <v>21991.80032148631</v>
      </c>
      <c r="G41" s="11">
        <f>SUM(G38:G40)</f>
        <v>23271.195230850415</v>
      </c>
    </row>
    <row r="42">
      <c r="A42" t="s">
        <v>271</v>
      </c>
      <c r="B42" s="8">
        <v>142</v>
      </c>
      <c r="C42" s="8">
        <f>B42+Forecast_3Stmt!C19</f>
        <v>173.32010304737213</v>
      </c>
      <c r="D42" s="8">
        <f>C42+Forecast_3Stmt!D19</f>
        <v>211.39231331840165</v>
      </c>
      <c r="E42" s="8">
        <f>D42+Forecast_3Stmt!E19</f>
        <v>254.04678204636596</v>
      </c>
      <c r="F42" s="8">
        <f>E42+Forecast_3Stmt!F19</f>
        <v>301.46123761168604</v>
      </c>
      <c r="G42" s="8">
        <f>F42+Forecast_3Stmt!G19</f>
        <v>353.68143799389446</v>
      </c>
    </row>
    <row r="43">
      <c r="A43" t="s">
        <v>247</v>
      </c>
      <c r="B43" s="21">
        <v>357</v>
      </c>
      <c r="C43" s="21">
        <f>Assumptions!$B$101</f>
        <v>354</v>
      </c>
      <c r="D43" s="21">
        <f>Assumptions!$B$101</f>
        <v>354</v>
      </c>
      <c r="E43" s="21">
        <f>Assumptions!$B$101</f>
        <v>354</v>
      </c>
      <c r="F43" s="21">
        <f>Assumptions!$B$101</f>
        <v>354</v>
      </c>
      <c r="G43" s="21">
        <f>Assumptions!$B$101</f>
        <v>354</v>
      </c>
    </row>
  </sheetData>
  <mergeCells count="5">
    <mergeCell ref="A1:G1"/>
    <mergeCell ref="A20:G20"/>
    <mergeCell ref="A6:G6"/>
    <mergeCell ref="A27:G27"/>
    <mergeCell ref="A2:G2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0"/>
  <sheetViews>
    <sheetView showGridLines="0" workbookViewId="0">
      <pane xSplit="1" ySplit="4" topLeftCell="B5" activePane="bottomRight" state="frozen"/>
    </sheetView>
  </sheetViews>
  <sheetFormatPr defaultColWidth="8.375" defaultRowHeight="15"/>
  <cols>
    <col min="1" max="1" width="29.375" customWidth="1"/>
    <col min="2" max="6" width="10.875" customWidth="1"/>
  </cols>
  <sheetData>
    <row r="1" ht="22.5">
      <c r="A1" s="5" t="s">
        <v>272</v>
      </c>
      <c r="B1" s="5"/>
      <c r="C1" s="5"/>
      <c r="D1" s="5"/>
      <c r="E1" s="5"/>
      <c r="F1" s="5"/>
    </row>
    <row r="2" ht="22.5">
      <c r="A2" s="7" t="s">
        <v>273</v>
      </c>
      <c r="B2" s="7"/>
      <c r="C2" s="7"/>
      <c r="D2" s="7"/>
      <c r="E2" s="7"/>
      <c r="F2" s="7"/>
    </row>
    <row r="4">
      <c r="A4" s="6" t="s">
        <v>44</v>
      </c>
      <c r="B4" s="6" t="s">
        <v>274</v>
      </c>
      <c r="C4" s="4" t="s">
        <v>275</v>
      </c>
      <c r="D4" s="4" t="s">
        <v>276</v>
      </c>
      <c r="E4" s="4" t="s">
        <v>277</v>
      </c>
      <c r="F4" s="4" t="s">
        <v>278</v>
      </c>
    </row>
    <row r="6">
      <c r="A6" s="3" t="s">
        <v>279</v>
      </c>
      <c r="B6" s="3"/>
      <c r="C6" s="3"/>
      <c r="D6" s="3"/>
      <c r="E6" s="3"/>
      <c r="F6" s="3"/>
    </row>
    <row r="7">
      <c r="A7" t="s">
        <v>33</v>
      </c>
      <c r="B7" s="8">
        <v>27966</v>
      </c>
      <c r="C7" s="8">
        <f>D7-B7</f>
        <v>28156.956500000008</v>
      </c>
      <c r="D7" s="8">
        <f>F7/(1+Assumptions!$B$97)</f>
        <v>56122.95650000001</v>
      </c>
      <c r="E7" s="8">
        <f>F7-D7</f>
        <v>1079.2876249999972</v>
      </c>
      <c r="F7" s="8">
        <f>Segment_Build!G13</f>
        <v>57202.244125000005</v>
      </c>
    </row>
    <row r="8">
      <c r="A8" t="s">
        <v>50</v>
      </c>
      <c r="B8" s="8">
        <v>737</v>
      </c>
      <c r="C8" s="8">
        <f>D8-B8</f>
        <v>1657.6656081300002</v>
      </c>
      <c r="D8" s="8">
        <f>F8/(1+Assumptions!$B$97)</f>
        <v>2394.6656081300002</v>
      </c>
      <c r="E8" s="8">
        <f>F8-D8</f>
        <v>46.051261694807636</v>
      </c>
      <c r="F8" s="8">
        <f>Segment_Build!G24</f>
        <v>2440.716869824808</v>
      </c>
    </row>
    <row r="9">
      <c r="A9" t="s">
        <v>253</v>
      </c>
      <c r="B9" s="8">
        <v>829</v>
      </c>
      <c r="C9" s="8">
        <f>D9-B9</f>
        <v>1799.2895246813282</v>
      </c>
      <c r="D9" s="8">
        <f>F9/(1+Assumptions!$B$97)</f>
        <v>2628.289524681328</v>
      </c>
      <c r="E9" s="8">
        <f>F9-D9</f>
        <v>50.54402932079438</v>
      </c>
      <c r="F9" s="8">
        <f>Forecast_3Stmt!C56</f>
        <v>2678.8335540021226</v>
      </c>
    </row>
    <row r="10">
      <c r="A10" t="s">
        <v>95</v>
      </c>
      <c r="B10" s="8">
        <v>397</v>
      </c>
      <c r="C10" s="8">
        <f>D10-B10</f>
        <v>444.8443475</v>
      </c>
      <c r="D10" s="8">
        <f>F10/(1+Assumptions!$B$97)</f>
        <v>841.8443475</v>
      </c>
      <c r="E10" s="8">
        <f>F10-D10</f>
        <v>16.18931437499998</v>
      </c>
      <c r="F10" s="8">
        <f>Schedules!C21</f>
        <v>858.033661875</v>
      </c>
    </row>
    <row r="11">
      <c r="A11" t="s">
        <v>176</v>
      </c>
      <c r="B11" s="8"/>
      <c r="C11" s="8"/>
      <c r="D11" s="8">
        <f>Assumptions!B107</f>
        <v>0</v>
      </c>
      <c r="E11" s="8"/>
      <c r="F11" s="8">
        <f>Assumptions!B107</f>
        <v>0</v>
      </c>
    </row>
    <row r="12">
      <c r="A12" s="16" t="s">
        <v>280</v>
      </c>
      <c r="B12" s="11">
        <f>B8</f>
        <v>737</v>
      </c>
      <c r="C12" s="11">
        <f>C8</f>
        <v>1657.6656081300002</v>
      </c>
      <c r="D12" s="11">
        <f>D8+D11</f>
        <v>2394.6656081300002</v>
      </c>
      <c r="E12" s="11">
        <f>E8</f>
        <v>46.051261694807636</v>
      </c>
      <c r="F12" s="11">
        <f>F8+F11</f>
        <v>2440.716869824808</v>
      </c>
    </row>
    <row r="13">
      <c r="A13" s="3" t="s">
        <v>281</v>
      </c>
      <c r="B13" s="19"/>
      <c r="C13" s="19"/>
      <c r="D13" s="19"/>
      <c r="E13" s="19"/>
      <c r="F13" s="19"/>
    </row>
    <row r="14">
      <c r="A14" t="s">
        <v>37</v>
      </c>
      <c r="B14" s="8">
        <v>10976</v>
      </c>
      <c r="C14" s="8">
        <f>D14-B14</f>
        <v>10850.2562</v>
      </c>
      <c r="D14" s="8">
        <f>F14/(1+Assumptions!$B$97)</f>
        <v>21826.2562</v>
      </c>
      <c r="E14" s="8">
        <f>F14-D14</f>
        <v>419.7356961538462</v>
      </c>
      <c r="F14" s="8">
        <f>Segment_Build!G7</f>
        <v>22245.991896153846</v>
      </c>
    </row>
    <row r="15">
      <c r="A15" t="s">
        <v>38</v>
      </c>
      <c r="B15" s="8">
        <v>3188</v>
      </c>
      <c r="C15" s="8">
        <f>D15-B15</f>
        <v>2885.5186000000003</v>
      </c>
      <c r="D15" s="8">
        <f>F15/(1+Assumptions!$B$97)</f>
        <v>6073.5186</v>
      </c>
      <c r="E15" s="8">
        <f>F15-D15</f>
        <v>116.7984346153844</v>
      </c>
      <c r="F15" s="8">
        <f>Segment_Build!G8</f>
        <v>6190.317034615385</v>
      </c>
    </row>
    <row r="16">
      <c r="A16" t="s">
        <v>39</v>
      </c>
      <c r="B16" s="8">
        <v>8498</v>
      </c>
      <c r="C16" s="8">
        <f>D16-B16</f>
        <v>9190.952200000003</v>
      </c>
      <c r="D16" s="8">
        <f>F16/(1+Assumptions!$B$97)</f>
        <v>17688.952200000003</v>
      </c>
      <c r="E16" s="8">
        <f>F16-D16</f>
        <v>340.17215769230825</v>
      </c>
      <c r="F16" s="8">
        <f>Segment_Build!G9</f>
        <v>18029.12435769231</v>
      </c>
    </row>
    <row r="17">
      <c r="A17" t="s">
        <v>40</v>
      </c>
      <c r="B17" s="8">
        <v>5184</v>
      </c>
      <c r="C17" s="8">
        <f>D17-B17</f>
        <v>5095.039500000001</v>
      </c>
      <c r="D17" s="8">
        <f>F17/(1+Assumptions!$B$97)</f>
        <v>10279.0395</v>
      </c>
      <c r="E17" s="8">
        <f>F17-D17</f>
        <v>197.67383653846082</v>
      </c>
      <c r="F17" s="8">
        <f>Segment_Build!G10</f>
        <v>10476.713336538462</v>
      </c>
    </row>
    <row r="18">
      <c r="A18" t="s">
        <v>41</v>
      </c>
      <c r="B18" s="8">
        <v>1159</v>
      </c>
      <c r="C18" s="8">
        <f>D18-B18</f>
        <v>1177.8200000000002</v>
      </c>
      <c r="D18" s="8">
        <f>F18/(1+Assumptions!$B$97)</f>
        <v>2336.82</v>
      </c>
      <c r="E18" s="8">
        <f>F18-D18</f>
        <v>44.93884615384604</v>
      </c>
      <c r="F18" s="8">
        <f>Segment_Build!G11</f>
        <v>2381.758846153846</v>
      </c>
    </row>
    <row r="19">
      <c r="A19" t="s">
        <v>109</v>
      </c>
      <c r="B19" s="8">
        <v>-1039</v>
      </c>
      <c r="C19" s="8">
        <f>D19-B19</f>
        <v>-1042.63</v>
      </c>
      <c r="D19" s="8">
        <f>F19/(1+Assumptions!$B$97)</f>
        <v>-2081.63</v>
      </c>
      <c r="E19" s="8">
        <f>F19-D19</f>
        <v>-40.03134615384579</v>
      </c>
      <c r="F19" s="8">
        <f>Segment_Build!G12</f>
        <v>-2121.661346153846</v>
      </c>
    </row>
    <row r="20">
      <c r="A20" s="16" t="s">
        <v>110</v>
      </c>
      <c r="B20" s="11">
        <f>SUM(B14:B19)</f>
        <v>27966</v>
      </c>
      <c r="C20" s="11">
        <f>SUM(C14:C19)</f>
        <v>28156.956500000004</v>
      </c>
      <c r="D20" s="11">
        <f>SUM(D14:D19)</f>
        <v>56122.9565</v>
      </c>
      <c r="E20" s="11">
        <f>SUM(E14:E19)</f>
        <v>1079.287625</v>
      </c>
      <c r="F20" s="11">
        <f>SUM(F14:F19)</f>
        <v>57202.244125000005</v>
      </c>
    </row>
    <row r="21">
      <c r="B21" s="8"/>
      <c r="C21" s="8"/>
      <c r="D21" s="8"/>
      <c r="E21" s="8"/>
      <c r="F21" s="8"/>
    </row>
    <row r="22">
      <c r="A22" s="3" t="s">
        <v>282</v>
      </c>
      <c r="B22" s="19"/>
      <c r="C22" s="19"/>
      <c r="D22" s="19"/>
      <c r="E22" s="19"/>
      <c r="F22" s="19"/>
    </row>
    <row r="23">
      <c r="A23" t="s">
        <v>37</v>
      </c>
      <c r="B23" s="8">
        <v>-559</v>
      </c>
      <c r="C23" s="8">
        <f>D23-B23</f>
        <v>142.11850657999997</v>
      </c>
      <c r="D23" s="8">
        <f>F23/(1+Assumptions!$B$97)</f>
        <v>-416.88149342</v>
      </c>
      <c r="E23" s="8">
        <f>F23-D23</f>
        <v>-8.016951796538422</v>
      </c>
      <c r="F23" s="8">
        <f>Segment_Build!G16</f>
        <v>-424.89844521653845</v>
      </c>
    </row>
    <row r="24">
      <c r="A24" t="s">
        <v>38</v>
      </c>
      <c r="B24" s="8">
        <v>91</v>
      </c>
      <c r="C24" s="8">
        <f>D24-B24</f>
        <v>189.59655932000004</v>
      </c>
      <c r="D24" s="8">
        <f>F24/(1+Assumptions!$B$97)</f>
        <v>280.59655932000004</v>
      </c>
      <c r="E24" s="8">
        <f>F24-D24</f>
        <v>5.396087679230732</v>
      </c>
      <c r="F24" s="8">
        <f>Segment_Build!G17</f>
        <v>285.9926469992308</v>
      </c>
    </row>
    <row r="25">
      <c r="A25" t="s">
        <v>39</v>
      </c>
      <c r="B25" s="8">
        <v>955</v>
      </c>
      <c r="C25" s="8">
        <f>D25-B25</f>
        <v>1059.7716555800005</v>
      </c>
      <c r="D25" s="8">
        <f>F25/(1+Assumptions!$B$97)</f>
        <v>2014.7716555800005</v>
      </c>
      <c r="E25" s="8">
        <f>F25-D25</f>
        <v>38.74560876115379</v>
      </c>
      <c r="F25" s="8">
        <f>Segment_Build!G18</f>
        <v>2053.5172643411543</v>
      </c>
    </row>
    <row r="26">
      <c r="A26" t="s">
        <v>40</v>
      </c>
      <c r="B26" s="8">
        <v>670</v>
      </c>
      <c r="C26" s="8">
        <f>D26-B26</f>
        <v>636.4659204499999</v>
      </c>
      <c r="D26" s="8">
        <f>F26/(1+Assumptions!$B$97)</f>
        <v>1306.4659204499999</v>
      </c>
      <c r="E26" s="8">
        <f>F26-D26</f>
        <v>25.124344624038486</v>
      </c>
      <c r="F26" s="8">
        <f>Segment_Build!G19</f>
        <v>1331.5902650740384</v>
      </c>
    </row>
    <row r="27">
      <c r="A27" t="s">
        <v>41</v>
      </c>
      <c r="B27" s="8">
        <v>79</v>
      </c>
      <c r="C27" s="8">
        <f>D27-B27</f>
        <v>96.027818</v>
      </c>
      <c r="D27" s="8">
        <f>F27/(1+Assumptions!$B$97)</f>
        <v>175.027818</v>
      </c>
      <c r="E27" s="8">
        <f>F27-D27</f>
        <v>3.365919576923062</v>
      </c>
      <c r="F27" s="8">
        <f>Segment_Build!G20</f>
        <v>178.39373757692306</v>
      </c>
    </row>
    <row r="28">
      <c r="A28" t="s">
        <v>118</v>
      </c>
      <c r="B28" s="8">
        <v>-391</v>
      </c>
      <c r="C28" s="8">
        <f>D28-B28</f>
        <v>-293.7000693</v>
      </c>
      <c r="D28" s="8">
        <f>F28/(1+Assumptions!$B$97)</f>
        <v>-684.7000693</v>
      </c>
      <c r="E28" s="8">
        <f>F28-D28</f>
        <v>-13.167309025000009</v>
      </c>
      <c r="F28" s="8">
        <f>Segment_Build!G22</f>
        <v>-697.867378325</v>
      </c>
    </row>
    <row r="29">
      <c r="A29" t="s">
        <v>90</v>
      </c>
      <c r="B29" s="8">
        <v>-108</v>
      </c>
      <c r="C29" s="8">
        <f>D29-B29</f>
        <v>-172.61478250000005</v>
      </c>
      <c r="D29" s="8">
        <f>F29/(1+Assumptions!$B$97)</f>
        <v>-280.61478250000005</v>
      </c>
      <c r="E29" s="8">
        <f>F29-D29</f>
        <v>-5.396438124999975</v>
      </c>
      <c r="F29" s="8">
        <f>Segment_Build!G23</f>
        <v>-286.011220625</v>
      </c>
    </row>
    <row r="30">
      <c r="A30" s="16" t="s">
        <v>119</v>
      </c>
      <c r="B30" s="11">
        <f>SUM(B23:B29)</f>
        <v>737</v>
      </c>
      <c r="C30" s="11">
        <f>SUM(C23:C29)</f>
        <v>1657.6656081300002</v>
      </c>
      <c r="D30" s="11">
        <f>SUM(D23:D29)</f>
        <v>2394.6656081300002</v>
      </c>
      <c r="E30" s="11">
        <f>SUM(E23:E29)</f>
        <v>46.051261694807664</v>
      </c>
      <c r="F30" s="11">
        <f>SUM(F23:F29)</f>
        <v>2440.716869824808</v>
      </c>
    </row>
  </sheetData>
  <mergeCells count="5">
    <mergeCell ref="A13:F13"/>
    <mergeCell ref="A1:F1"/>
    <mergeCell ref="A22:F22"/>
    <mergeCell ref="A6:F6"/>
    <mergeCell ref="A2:F2"/>
  </mergeCell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showGridLines="0" workbookViewId="0">
      <pane xSplit="1" ySplit="5" topLeftCell="B6" activePane="bottomRight" state="frozen"/>
    </sheetView>
  </sheetViews>
  <sheetFormatPr defaultColWidth="8.375" defaultRowHeight="15"/>
  <cols>
    <col min="1" max="1" width="30.625" customWidth="1"/>
    <col min="2" max="2" width="44.375" customWidth="1"/>
    <col min="3" max="3" width="28.125" customWidth="1"/>
    <col min="4" max="4" width="16.25" customWidth="1"/>
    <col min="5" max="5" width="39.375" customWidth="1"/>
    <col min="6" max="6" width="19.375" customWidth="1"/>
  </cols>
  <sheetData>
    <row r="1" ht="22.5">
      <c r="A1" s="5" t="s">
        <v>283</v>
      </c>
      <c r="B1" s="5"/>
      <c r="C1" s="5"/>
      <c r="D1" s="5"/>
      <c r="E1" s="5"/>
      <c r="F1" s="5"/>
    </row>
    <row r="2" ht="22.5">
      <c r="A2" s="7" t="s">
        <v>284</v>
      </c>
      <c r="B2" s="7"/>
      <c r="C2" s="7"/>
      <c r="D2" s="7"/>
      <c r="E2" s="7"/>
      <c r="F2" s="7"/>
    </row>
    <row r="4">
      <c r="A4" s="3" t="s">
        <v>285</v>
      </c>
      <c r="B4" s="3"/>
      <c r="C4" s="3"/>
      <c r="D4" s="3"/>
      <c r="E4" s="3"/>
    </row>
    <row r="5">
      <c r="A5" s="6" t="s">
        <v>286</v>
      </c>
      <c r="B5" s="6" t="s">
        <v>287</v>
      </c>
      <c r="C5" s="6" t="s">
        <v>288</v>
      </c>
      <c r="D5" s="6" t="s">
        <v>289</v>
      </c>
      <c r="E5" s="6" t="s">
        <v>290</v>
      </c>
    </row>
    <row r="6">
      <c r="A6" t="s">
        <v>291</v>
      </c>
      <c r="B6" s="8">
        <v>30</v>
      </c>
      <c r="C6" s="13">
        <v>0.04</v>
      </c>
      <c r="D6" t="s">
        <v>292</v>
      </c>
      <c r="E6" t="s">
        <v>293</v>
      </c>
    </row>
    <row r="7">
      <c r="A7" t="s">
        <v>294</v>
      </c>
      <c r="B7" s="8">
        <v>1350</v>
      </c>
      <c r="C7" s="13">
        <v>0.0355</v>
      </c>
      <c r="D7" t="s">
        <v>295</v>
      </c>
      <c r="E7" t="s">
        <v>293</v>
      </c>
    </row>
    <row r="8">
      <c r="A8" t="s">
        <v>296</v>
      </c>
      <c r="B8" s="8">
        <v>18</v>
      </c>
      <c r="C8" s="13">
        <v>0.07</v>
      </c>
      <c r="D8" t="s">
        <v>297</v>
      </c>
      <c r="E8" t="s">
        <v>293</v>
      </c>
    </row>
    <row r="9">
      <c r="A9" t="s">
        <v>298</v>
      </c>
      <c r="B9" s="8">
        <v>1000</v>
      </c>
      <c r="C9" s="13">
        <v>0.0435</v>
      </c>
      <c r="D9" t="s">
        <v>299</v>
      </c>
      <c r="E9" t="s">
        <v>293</v>
      </c>
    </row>
    <row r="10">
      <c r="A10" t="s">
        <v>300</v>
      </c>
      <c r="B10" s="8">
        <v>600</v>
      </c>
      <c r="C10" s="13">
        <v>0.054</v>
      </c>
      <c r="D10" t="s">
        <v>299</v>
      </c>
      <c r="E10" t="s">
        <v>293</v>
      </c>
    </row>
    <row r="11">
      <c r="A11" t="s">
        <v>301</v>
      </c>
      <c r="B11" s="8">
        <v>157</v>
      </c>
      <c r="C11" s="13">
        <v>0.0613</v>
      </c>
      <c r="D11" t="s">
        <v>302</v>
      </c>
      <c r="E11" t="s">
        <v>293</v>
      </c>
    </row>
    <row r="12">
      <c r="A12" t="s">
        <v>303</v>
      </c>
      <c r="B12" s="8">
        <v>900</v>
      </c>
      <c r="C12" s="13">
        <v>0.057</v>
      </c>
      <c r="D12" t="s">
        <v>304</v>
      </c>
      <c r="E12" t="s">
        <v>293</v>
      </c>
    </row>
    <row r="13">
      <c r="A13" t="s">
        <v>305</v>
      </c>
      <c r="B13" s="8">
        <v>500</v>
      </c>
      <c r="C13" s="13">
        <v>0.0488</v>
      </c>
      <c r="D13" t="s">
        <v>306</v>
      </c>
      <c r="E13" t="s">
        <v>293</v>
      </c>
    </row>
    <row r="14">
      <c r="A14" t="s">
        <v>307</v>
      </c>
      <c r="B14" s="8">
        <v>500</v>
      </c>
      <c r="C14" s="13">
        <v>0.0495</v>
      </c>
      <c r="D14" t="s">
        <v>308</v>
      </c>
      <c r="E14" t="s">
        <v>293</v>
      </c>
    </row>
    <row r="15">
      <c r="A15" t="s">
        <v>309</v>
      </c>
      <c r="B15" s="8">
        <v>497</v>
      </c>
      <c r="C15" s="13">
        <v>0.0515</v>
      </c>
      <c r="D15" t="s">
        <v>310</v>
      </c>
      <c r="E15" t="s">
        <v>293</v>
      </c>
    </row>
    <row r="16">
      <c r="A16" t="s">
        <v>311</v>
      </c>
      <c r="B16" s="8">
        <v>713</v>
      </c>
      <c r="C16" s="13">
        <v>0.0455</v>
      </c>
      <c r="D16" t="s">
        <v>312</v>
      </c>
      <c r="E16" t="s">
        <v>293</v>
      </c>
    </row>
    <row r="17">
      <c r="A17" t="s">
        <v>313</v>
      </c>
      <c r="B17" s="8">
        <v>1485</v>
      </c>
      <c r="C17" s="13">
        <v>0.051</v>
      </c>
      <c r="D17" t="s">
        <v>314</v>
      </c>
      <c r="E17" t="s">
        <v>293</v>
      </c>
    </row>
    <row r="18">
      <c r="A18" t="s">
        <v>315</v>
      </c>
      <c r="B18" s="8">
        <v>-34</v>
      </c>
      <c r="C18" s="13"/>
      <c r="D18" t="s">
        <v>316</v>
      </c>
      <c r="E18" t="s">
        <v>293</v>
      </c>
    </row>
    <row r="19">
      <c r="A19" t="s">
        <v>317</v>
      </c>
      <c r="B19" s="8">
        <v>173</v>
      </c>
      <c r="C19" s="13"/>
      <c r="D19" t="s">
        <v>318</v>
      </c>
      <c r="E19" t="s">
        <v>293</v>
      </c>
    </row>
    <row r="20">
      <c r="A20" t="s">
        <v>319</v>
      </c>
      <c r="B20" s="8">
        <v>235</v>
      </c>
      <c r="C20" s="13"/>
      <c r="D20" t="s">
        <v>318</v>
      </c>
      <c r="E20" t="s">
        <v>293</v>
      </c>
    </row>
    <row r="21">
      <c r="A21" t="s">
        <v>320</v>
      </c>
      <c r="B21" s="8">
        <v>-41</v>
      </c>
      <c r="C21" s="13"/>
      <c r="D21" t="s">
        <v>316</v>
      </c>
      <c r="E21" t="s">
        <v>293</v>
      </c>
    </row>
    <row r="22">
      <c r="A22" s="16" t="s">
        <v>321</v>
      </c>
      <c r="B22" s="11">
        <f>SUM(B6:B21)</f>
        <v>8083</v>
      </c>
    </row>
    <row r="23">
      <c r="A23" s="16" t="s">
        <v>74</v>
      </c>
      <c r="B23" s="11">
        <v>141</v>
      </c>
    </row>
    <row r="24">
      <c r="A24" s="16" t="s">
        <v>78</v>
      </c>
      <c r="B24" s="11">
        <v>7942</v>
      </c>
    </row>
    <row r="25">
      <c r="A25" s="16" t="s">
        <v>322</v>
      </c>
      <c r="B25" s="11">
        <f>B22-B23-B24</f>
        <v>0</v>
      </c>
    </row>
    <row r="26">
      <c r="B26" s="8"/>
    </row>
    <row r="27">
      <c r="B27" s="8"/>
    </row>
    <row r="28">
      <c r="A28" s="3" t="s">
        <v>323</v>
      </c>
      <c r="B28" s="19"/>
      <c r="C28" s="3"/>
    </row>
    <row r="29">
      <c r="A29" s="6" t="s">
        <v>44</v>
      </c>
      <c r="B29" s="18" t="s">
        <v>324</v>
      </c>
      <c r="C29" s="6" t="s">
        <v>325</v>
      </c>
    </row>
    <row r="30">
      <c r="A30" t="s">
        <v>326</v>
      </c>
      <c r="B30" s="8">
        <v>7823</v>
      </c>
      <c r="C30" t="s">
        <v>327</v>
      </c>
    </row>
    <row r="31">
      <c r="A31" t="s">
        <v>328</v>
      </c>
      <c r="B31" s="8">
        <v>8016</v>
      </c>
      <c r="C31" t="s">
        <v>329</v>
      </c>
    </row>
    <row r="32">
      <c r="A32" t="s">
        <v>330</v>
      </c>
      <c r="B32" s="13">
        <v>0.049</v>
      </c>
      <c r="C32" t="s">
        <v>329</v>
      </c>
    </row>
    <row r="33">
      <c r="A33" t="s">
        <v>249</v>
      </c>
      <c r="B33" s="8">
        <v>500</v>
      </c>
      <c r="C33" t="s">
        <v>331</v>
      </c>
    </row>
    <row r="34">
      <c r="A34" t="s">
        <v>332</v>
      </c>
      <c r="B34" s="8">
        <f>B22-B33</f>
        <v>7583</v>
      </c>
      <c r="C34" t="s">
        <v>333</v>
      </c>
    </row>
    <row r="35">
      <c r="A35" t="s">
        <v>334</v>
      </c>
      <c r="B35" s="8">
        <v>3700</v>
      </c>
      <c r="C35" t="s">
        <v>335</v>
      </c>
    </row>
    <row r="36">
      <c r="A36" t="s">
        <v>336</v>
      </c>
      <c r="B36" s="8">
        <v>1000</v>
      </c>
      <c r="C36" t="s">
        <v>337</v>
      </c>
    </row>
    <row r="37">
      <c r="A37" t="s">
        <v>338</v>
      </c>
      <c r="B37" s="8">
        <v>2500</v>
      </c>
      <c r="C37" t="s">
        <v>339</v>
      </c>
    </row>
    <row r="38">
      <c r="A38" t="s">
        <v>340</v>
      </c>
      <c r="B38" s="8">
        <v>0</v>
      </c>
      <c r="C38" t="s">
        <v>339</v>
      </c>
    </row>
    <row r="39">
      <c r="A39" t="s">
        <v>341</v>
      </c>
      <c r="B39" s="8">
        <v>750</v>
      </c>
      <c r="C39" t="s">
        <v>339</v>
      </c>
    </row>
    <row r="40">
      <c r="A40" t="s">
        <v>342</v>
      </c>
      <c r="B40" s="8">
        <v>0</v>
      </c>
      <c r="C40" t="s">
        <v>339</v>
      </c>
    </row>
    <row r="41">
      <c r="A41" t="s">
        <v>343</v>
      </c>
      <c r="B41" s="8">
        <f>B35-B36</f>
        <v>2700</v>
      </c>
      <c r="C41" t="s">
        <v>333</v>
      </c>
    </row>
    <row r="42">
      <c r="B42" s="8"/>
    </row>
    <row r="44">
      <c r="A44" s="3" t="s">
        <v>344</v>
      </c>
      <c r="B44" s="3"/>
      <c r="C44" s="3"/>
      <c r="D44" s="3"/>
      <c r="E44" s="3"/>
      <c r="F44" s="3"/>
    </row>
    <row r="45">
      <c r="A45" s="6" t="s">
        <v>345</v>
      </c>
      <c r="B45" s="6" t="s">
        <v>346</v>
      </c>
      <c r="C45" s="6" t="s">
        <v>347</v>
      </c>
      <c r="D45" s="6" t="s">
        <v>348</v>
      </c>
      <c r="E45" s="6" t="s">
        <v>349</v>
      </c>
      <c r="F45" s="6" t="s">
        <v>350</v>
      </c>
    </row>
    <row r="46">
      <c r="A46" s="15" t="s">
        <v>351</v>
      </c>
      <c r="B46" s="15" t="s">
        <v>352</v>
      </c>
      <c r="C46" s="15" t="s">
        <v>353</v>
      </c>
      <c r="D46" s="15" t="s">
        <v>354</v>
      </c>
      <c r="E46" s="15" t="s">
        <v>355</v>
      </c>
      <c r="F46" s="15" t="s">
        <v>356</v>
      </c>
    </row>
    <row r="47" ht="48">
      <c r="A47" s="15" t="s">
        <v>357</v>
      </c>
      <c r="B47" s="15" t="s">
        <v>358</v>
      </c>
      <c r="C47" s="15" t="s">
        <v>359</v>
      </c>
      <c r="D47" s="15" t="s">
        <v>360</v>
      </c>
      <c r="E47" s="15" t="s">
        <v>361</v>
      </c>
      <c r="F47" s="15" t="s">
        <v>356</v>
      </c>
    </row>
    <row r="48" ht="48">
      <c r="A48" s="15" t="s">
        <v>362</v>
      </c>
      <c r="B48" s="15" t="s">
        <v>363</v>
      </c>
      <c r="C48" s="15" t="s">
        <v>364</v>
      </c>
      <c r="D48" s="15" t="s">
        <v>365</v>
      </c>
      <c r="E48" s="15" t="s">
        <v>366</v>
      </c>
      <c r="F48" s="15" t="s">
        <v>356</v>
      </c>
    </row>
    <row r="49" ht="48">
      <c r="A49" s="15" t="s">
        <v>367</v>
      </c>
      <c r="B49" s="15" t="s">
        <v>368</v>
      </c>
      <c r="C49" s="15" t="s">
        <v>369</v>
      </c>
      <c r="D49" s="15" t="s">
        <v>370</v>
      </c>
      <c r="E49" s="15" t="s">
        <v>371</v>
      </c>
      <c r="F49" s="15" t="s">
        <v>356</v>
      </c>
    </row>
    <row r="50" ht="48"/>
  </sheetData>
  <mergeCells count="5">
    <mergeCell ref="A28:C28"/>
    <mergeCell ref="A1:F1"/>
    <mergeCell ref="A2:F2"/>
    <mergeCell ref="A44:F44"/>
    <mergeCell ref="A4:E4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G39"/>
  <sheetViews>
    <sheetView showGridLines="0" workbookViewId="0">
      <pane xSplit="1" ySplit="4" topLeftCell="B5" activePane="bottomRight" state="frozen"/>
    </sheetView>
  </sheetViews>
  <sheetFormatPr defaultColWidth="8.375" defaultRowHeight="15"/>
  <cols>
    <col min="1" max="1" width="29.375" customWidth="1"/>
    <col min="2" max="7" width="10.875" customWidth="1"/>
  </cols>
  <sheetData>
    <row r="1" ht="22.5">
      <c r="A1" s="5" t="s">
        <v>372</v>
      </c>
      <c r="B1" s="5"/>
      <c r="C1" s="5"/>
      <c r="D1" s="5"/>
      <c r="E1" s="5"/>
      <c r="F1" s="5"/>
      <c r="G1" s="5"/>
    </row>
    <row r="2" ht="22.5">
      <c r="A2" s="7" t="s">
        <v>373</v>
      </c>
      <c r="B2" s="7"/>
      <c r="C2" s="7"/>
      <c r="D2" s="7"/>
      <c r="E2" s="7"/>
      <c r="F2" s="7"/>
      <c r="G2" s="7"/>
    </row>
    <row r="4">
      <c r="A4" s="6" t="s">
        <v>44</v>
      </c>
      <c r="B4" s="6" t="s">
        <v>374</v>
      </c>
      <c r="C4" s="4" t="s">
        <v>375</v>
      </c>
      <c r="D4" s="4" t="s">
        <v>29</v>
      </c>
      <c r="E4" s="4" t="s">
        <v>30</v>
      </c>
      <c r="F4" s="4" t="s">
        <v>31</v>
      </c>
      <c r="G4" s="4" t="s">
        <v>32</v>
      </c>
    </row>
    <row r="6">
      <c r="A6" s="3" t="s">
        <v>376</v>
      </c>
      <c r="B6" s="3"/>
      <c r="C6" s="3"/>
      <c r="D6" s="3"/>
      <c r="E6" s="3"/>
      <c r="F6" s="3"/>
      <c r="G6" s="3"/>
    </row>
    <row r="7">
      <c r="A7" t="s">
        <v>33</v>
      </c>
      <c r="B7" s="8"/>
      <c r="C7" s="8">
        <f>Interim_Bridge!F7-Interim_Bridge!B7</f>
        <v>29236.244125000005</v>
      </c>
      <c r="D7" s="8">
        <f>Forecast_3Stmt!D7</f>
        <v>59200.931818445584</v>
      </c>
      <c r="E7" s="8">
        <f>Forecast_3Stmt!E7</f>
        <v>61279.29859511398</v>
      </c>
      <c r="F7" s="8">
        <f>Forecast_3Stmt!F7</f>
        <v>63440.81298845947</v>
      </c>
      <c r="G7" s="8">
        <f>Forecast_3Stmt!G7</f>
        <v>65689.10262724786</v>
      </c>
    </row>
    <row r="8">
      <c r="A8" t="s">
        <v>245</v>
      </c>
      <c r="B8" s="8"/>
      <c r="C8" s="13"/>
      <c r="D8" s="13">
        <f>Forecast_3Stmt!D8</f>
        <v>0.03494072171500795</v>
      </c>
      <c r="E8" s="13">
        <f>Forecast_3Stmt!E8</f>
        <v>0.03510699431289743</v>
      </c>
      <c r="F8" s="13">
        <f>Forecast_3Stmt!F8</f>
        <v>0.035273158193717125</v>
      </c>
      <c r="G8" s="13">
        <f>Forecast_3Stmt!G8</f>
        <v>0.035439168145549704</v>
      </c>
    </row>
    <row r="9">
      <c r="A9" t="s">
        <v>377</v>
      </c>
      <c r="B9" s="8"/>
      <c r="C9" s="8">
        <f>Interim_Bridge!F8-Interim_Bridge!B8</f>
        <v>1703.7168698248079</v>
      </c>
      <c r="D9" s="8">
        <f>Forecast_3Stmt!D12</f>
        <v>2872.828340753476</v>
      </c>
      <c r="E9" s="8">
        <f>Forecast_3Stmt!E12</f>
        <v>3114.0049564657734</v>
      </c>
      <c r="F9" s="8">
        <f>Forecast_3Stmt!F12</f>
        <v>3361.6285255607177</v>
      </c>
      <c r="G9" s="8">
        <f>Forecast_3Stmt!G12</f>
        <v>3606.1489011755684</v>
      </c>
    </row>
    <row r="10">
      <c r="A10" t="s">
        <v>378</v>
      </c>
      <c r="B10" s="8"/>
      <c r="C10" s="8">
        <f>C9*Assumptions!$B$81</f>
        <v>425.92921745620197</v>
      </c>
      <c r="D10" s="8">
        <f>D9*Assumptions!$B$81</f>
        <v>718.207085188369</v>
      </c>
      <c r="E10" s="8">
        <f>E9*Assumptions!$B$81</f>
        <v>778.5012391164433</v>
      </c>
      <c r="F10" s="8">
        <f>F9*Assumptions!$B$81</f>
        <v>840.4071313901794</v>
      </c>
      <c r="G10" s="8">
        <f>G9*Assumptions!$B$81</f>
        <v>901.5372252938921</v>
      </c>
    </row>
    <row r="11">
      <c r="A11" t="s">
        <v>379</v>
      </c>
      <c r="B11" s="8"/>
      <c r="C11" s="8">
        <f>C9-C10</f>
        <v>1277.787652368606</v>
      </c>
      <c r="D11" s="8">
        <f>D9-D10</f>
        <v>2154.621255565107</v>
      </c>
      <c r="E11" s="8">
        <f>E9-E10</f>
        <v>2335.50371734933</v>
      </c>
      <c r="F11" s="8">
        <f>F9-F10</f>
        <v>2521.221394170538</v>
      </c>
      <c r="G11" s="8">
        <f>G9-G10</f>
        <v>2704.611675881676</v>
      </c>
    </row>
    <row r="12">
      <c r="A12" t="s">
        <v>380</v>
      </c>
      <c r="B12" s="8"/>
      <c r="C12" s="8">
        <f>SUM(Forecast_3Stmt!C53:C54)*C7/Forecast_3Stmt!C7</f>
        <v>730.9061031250002</v>
      </c>
      <c r="D12" s="8">
        <f>SUM(Forecast_3Stmt!D53:Forecast_3Stmt!D54)</f>
        <v>1480.0232954611397</v>
      </c>
      <c r="E12" s="8">
        <f>SUM(Forecast_3Stmt!E53:Forecast_3Stmt!E54)</f>
        <v>1531.9824648778495</v>
      </c>
      <c r="F12" s="8">
        <f>SUM(Forecast_3Stmt!F53:Forecast_3Stmt!F54)</f>
        <v>1586.0203247114869</v>
      </c>
      <c r="G12" s="8">
        <f>SUM(Forecast_3Stmt!G53:Forecast_3Stmt!G54)</f>
        <v>1642.2275656811964</v>
      </c>
    </row>
    <row r="13">
      <c r="A13" t="s">
        <v>95</v>
      </c>
      <c r="B13" s="8"/>
      <c r="C13" s="8">
        <f>Interim_Bridge!F10-Interim_Bridge!B10</f>
        <v>461.033661875</v>
      </c>
      <c r="D13" s="8">
        <f>-Forecast_3Stmt!D57</f>
        <v>888.0139772766837</v>
      </c>
      <c r="E13" s="8">
        <f>-Forecast_3Stmt!E57</f>
        <v>919.1894789267096</v>
      </c>
      <c r="F13" s="8">
        <f>-Forecast_3Stmt!F57</f>
        <v>951.6121948268919</v>
      </c>
      <c r="G13" s="8">
        <f>-Forecast_3Stmt!G57</f>
        <v>985.336539408718</v>
      </c>
    </row>
    <row r="14">
      <c r="A14" t="s">
        <v>252</v>
      </c>
      <c r="B14" s="8"/>
      <c r="C14" s="8">
        <f>Schedules!C18*C7/Forecast_3Stmt!C7</f>
        <v>162.13606067186157</v>
      </c>
      <c r="D14" s="8">
        <f>Schedules!D18</f>
        <v>102.70928449349958</v>
      </c>
      <c r="E14" s="8">
        <f>Schedules!E18</f>
        <v>119.06541690441009</v>
      </c>
      <c r="F14" s="8">
        <f>Schedules!F18</f>
        <v>124.01736339920444</v>
      </c>
      <c r="G14" s="8">
        <f>Schedules!G18</f>
        <v>129.76446827431118</v>
      </c>
    </row>
    <row r="15">
      <c r="A15" s="16" t="s">
        <v>381</v>
      </c>
      <c r="B15" s="11"/>
      <c r="C15" s="11">
        <f>SUM(C11:C12)-SUM(C13:C14)</f>
        <v>1385.5240329467447</v>
      </c>
      <c r="D15" s="11">
        <f>SUM(D11:D12)-SUM(D13:D14)</f>
        <v>2643.921289256063</v>
      </c>
      <c r="E15" s="11">
        <f>SUM(E11:E12)-SUM(E13:E14)</f>
        <v>2829.2312863960597</v>
      </c>
      <c r="F15" s="11">
        <f>SUM(F11:F12)-SUM(F13:F14)</f>
        <v>3031.612160655929</v>
      </c>
      <c r="G15" s="11">
        <f>SUM(G11:G12)-SUM(G13:G14)</f>
        <v>3231.7382338798434</v>
      </c>
    </row>
    <row r="16">
      <c r="A16" t="s">
        <v>382</v>
      </c>
      <c r="B16" s="8"/>
      <c r="C16" s="26">
        <f>1/(1+Assumptions!$B$94)^0.25</f>
        <v>0.9798115744747246</v>
      </c>
      <c r="D16" s="26">
        <f>1/(1+Assumptions!$B$94)^1</f>
        <v>0.9216589861751152</v>
      </c>
      <c r="E16" s="26">
        <f>1/(1+Assumptions!$B$94)^2</f>
        <v>0.8494552867973413</v>
      </c>
      <c r="F16" s="26">
        <f>1/(1+Assumptions!$B$94)^3</f>
        <v>0.7829080984307294</v>
      </c>
      <c r="G16" s="26">
        <f>1/(1+Assumptions!$B$94)^4</f>
        <v>0.7215742842679533</v>
      </c>
    </row>
    <row r="17">
      <c r="A17" s="16" t="s">
        <v>383</v>
      </c>
      <c r="B17" s="11"/>
      <c r="C17" s="11">
        <f>C15*C16</f>
        <v>1357.55248419412</v>
      </c>
      <c r="D17" s="11">
        <f>D15*D16</f>
        <v>2436.793814982547</v>
      </c>
      <c r="E17" s="11">
        <f>E15*E16</f>
        <v>2403.3054738015758</v>
      </c>
      <c r="F17" s="11">
        <f>F15*F16</f>
        <v>2373.4737118786084</v>
      </c>
      <c r="G17" s="11">
        <f>G15*G16</f>
        <v>2331.9392030532276</v>
      </c>
    </row>
    <row r="18">
      <c r="B18" s="8"/>
      <c r="C18" s="8"/>
      <c r="D18" s="8"/>
      <c r="E18" s="8"/>
      <c r="F18" s="8"/>
      <c r="G18" s="8"/>
    </row>
    <row r="19">
      <c r="A19" s="3" t="s">
        <v>384</v>
      </c>
      <c r="B19" s="19"/>
      <c r="C19" s="19"/>
      <c r="D19" s="19"/>
      <c r="E19" s="19"/>
      <c r="F19" s="19"/>
      <c r="G19" s="19"/>
    </row>
    <row r="20">
      <c r="A20" t="s">
        <v>385</v>
      </c>
      <c r="B20" s="8">
        <f>G15*(1+Assumptions!$B$95)/(Assumptions!$B$94-Assumptions!$B$95)</f>
        <v>50713.43074703754</v>
      </c>
      <c r="C20" s="8"/>
      <c r="D20" s="8"/>
      <c r="E20" s="8"/>
      <c r="F20" s="8"/>
      <c r="G20" s="8"/>
    </row>
    <row r="21">
      <c r="A21" t="s">
        <v>386</v>
      </c>
      <c r="B21" s="25">
        <v>4.5</v>
      </c>
      <c r="C21" s="8"/>
      <c r="D21" s="8"/>
      <c r="E21" s="8"/>
      <c r="F21" s="8"/>
      <c r="G21" s="8"/>
    </row>
    <row r="22">
      <c r="A22" t="s">
        <v>387</v>
      </c>
      <c r="B22" s="8">
        <f>B20/(1+Assumptions!$B$94)^B21</f>
        <v>35130.89140081581</v>
      </c>
      <c r="C22" s="8"/>
      <c r="D22" s="8"/>
      <c r="E22" s="8"/>
      <c r="F22" s="8"/>
      <c r="G22" s="8"/>
    </row>
    <row r="23">
      <c r="A23" s="16" t="s">
        <v>388</v>
      </c>
      <c r="B23" s="11">
        <f>SUM(C17:G17)+B22</f>
        <v>46033.956088725885</v>
      </c>
      <c r="C23" s="11"/>
      <c r="D23" s="11"/>
      <c r="E23" s="11"/>
      <c r="F23" s="11"/>
      <c r="G23" s="11"/>
    </row>
    <row r="24">
      <c r="A24" t="s">
        <v>249</v>
      </c>
      <c r="B24" s="8">
        <v>500</v>
      </c>
      <c r="C24" s="8"/>
      <c r="D24" s="8"/>
      <c r="E24" s="8"/>
      <c r="F24" s="8"/>
      <c r="G24" s="8"/>
    </row>
    <row r="25">
      <c r="A25" t="s">
        <v>389</v>
      </c>
      <c r="B25" s="8">
        <v>8083</v>
      </c>
      <c r="C25" s="8"/>
      <c r="D25" s="8"/>
      <c r="E25" s="8"/>
      <c r="F25" s="8"/>
      <c r="G25" s="8"/>
    </row>
    <row r="26">
      <c r="A26" t="s">
        <v>332</v>
      </c>
      <c r="B26" s="8">
        <v>7583</v>
      </c>
      <c r="C26" s="8"/>
      <c r="D26" s="8"/>
      <c r="E26" s="8"/>
      <c r="F26" s="8"/>
      <c r="G26" s="8"/>
    </row>
    <row r="27">
      <c r="A27" t="s">
        <v>390</v>
      </c>
      <c r="B27" s="8">
        <v>103</v>
      </c>
      <c r="C27" s="8"/>
      <c r="D27" s="8"/>
      <c r="E27" s="8"/>
      <c r="F27" s="8"/>
      <c r="G27" s="8"/>
    </row>
    <row r="28">
      <c r="A28" s="16" t="s">
        <v>391</v>
      </c>
      <c r="B28" s="11">
        <f>B23+B24-B25-B27</f>
        <v>38347.956088725885</v>
      </c>
      <c r="C28" s="11"/>
      <c r="D28" s="11"/>
      <c r="E28" s="11"/>
      <c r="F28" s="11"/>
      <c r="G28" s="11"/>
    </row>
    <row r="29">
      <c r="A29" t="s">
        <v>392</v>
      </c>
      <c r="B29" s="21">
        <f>Assumptions!$B$102</f>
        <v>352.129402</v>
      </c>
      <c r="C29" s="8"/>
      <c r="D29" s="8"/>
      <c r="E29" s="8"/>
      <c r="F29" s="8"/>
      <c r="G29" s="8"/>
    </row>
    <row r="30">
      <c r="A30" s="16" t="s">
        <v>393</v>
      </c>
      <c r="B30" s="28">
        <f>B28/B29</f>
        <v>108.90302221546919</v>
      </c>
      <c r="C30" s="11"/>
      <c r="D30" s="11"/>
      <c r="E30" s="11"/>
      <c r="F30" s="11"/>
      <c r="G30" s="11"/>
    </row>
    <row r="31">
      <c r="A31" t="s">
        <v>394</v>
      </c>
      <c r="B31" s="8">
        <f>G9+G12</f>
        <v>5248.376466856765</v>
      </c>
      <c r="C31" s="8"/>
      <c r="D31" s="8"/>
      <c r="E31" s="8"/>
      <c r="F31" s="8"/>
      <c r="G31" s="8"/>
    </row>
    <row r="32">
      <c r="A32" t="s">
        <v>395</v>
      </c>
      <c r="B32" s="8">
        <f>B31*Assumptions!$B$96</f>
        <v>41987.01173485412</v>
      </c>
      <c r="C32" s="8"/>
      <c r="D32" s="8"/>
      <c r="E32" s="8"/>
      <c r="F32" s="8"/>
      <c r="G32" s="8"/>
    </row>
    <row r="33">
      <c r="A33" s="16" t="s">
        <v>396</v>
      </c>
      <c r="B33" s="11">
        <f>SUM(C17:G17)+B32/(1+Assumptions!$B$94)^B21</f>
        <v>39988.873472166</v>
      </c>
      <c r="C33" s="11"/>
      <c r="D33" s="11"/>
      <c r="E33" s="11"/>
      <c r="F33" s="11"/>
      <c r="G33" s="11"/>
    </row>
    <row r="34">
      <c r="A34" s="16" t="s">
        <v>397</v>
      </c>
      <c r="B34" s="28">
        <f>(B33+B24-B25-B27)/B29</f>
        <v>91.73580305619012</v>
      </c>
      <c r="C34" s="16"/>
      <c r="D34" s="16"/>
      <c r="E34" s="16"/>
      <c r="F34" s="16"/>
      <c r="G34" s="16"/>
    </row>
    <row r="35">
      <c r="A35" s="3" t="s">
        <v>398</v>
      </c>
      <c r="B35" s="3"/>
      <c r="C35" s="3"/>
      <c r="D35" s="3"/>
      <c r="E35" s="3"/>
      <c r="F35" s="3"/>
      <c r="G35" s="3"/>
    </row>
    <row r="36">
      <c r="A36" t="s">
        <v>399</v>
      </c>
      <c r="B36" s="21">
        <v>282.120397</v>
      </c>
    </row>
    <row r="37">
      <c r="A37" t="s">
        <v>400</v>
      </c>
      <c r="B37" s="21">
        <v>70.009005</v>
      </c>
    </row>
    <row r="38">
      <c r="A38" t="s">
        <v>392</v>
      </c>
      <c r="B38" s="21">
        <f>SUM(B36:B37)</f>
        <v>352.129402</v>
      </c>
    </row>
    <row r="39">
      <c r="A39" t="s">
        <v>190</v>
      </c>
      <c r="B39" s="21">
        <f>B38-B29</f>
        <v>0</v>
      </c>
    </row>
  </sheetData>
  <mergeCells count="5">
    <mergeCell ref="A1:G1"/>
    <mergeCell ref="A6:G6"/>
    <mergeCell ref="A2:G2"/>
    <mergeCell ref="A35:G35"/>
    <mergeCell ref="A19:G19"/>
  </mergeCell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showGridLines="0" workbookViewId="0">
      <pane xSplit="1" ySplit="7" topLeftCell="B8" activePane="bottomRight" state="frozen"/>
    </sheetView>
  </sheetViews>
  <sheetFormatPr defaultColWidth="8.375" defaultRowHeight="15"/>
  <cols>
    <col min="1" max="1" width="29.375" customWidth="1"/>
    <col min="2" max="6" width="10.875" customWidth="1"/>
  </cols>
  <sheetData>
    <row r="1" ht="22.5">
      <c r="A1" s="12" t="s">
        <v>401</v>
      </c>
      <c r="B1" s="12"/>
      <c r="C1" s="12"/>
      <c r="D1" s="12"/>
      <c r="E1" s="12"/>
      <c r="F1" s="12"/>
    </row>
    <row r="2" ht="19.5">
      <c r="A2" s="23" t="s">
        <v>402</v>
      </c>
      <c r="B2" s="23"/>
      <c r="C2" s="23"/>
      <c r="D2" s="23"/>
      <c r="E2" s="23"/>
      <c r="F2" s="23"/>
    </row>
    <row r="5">
      <c r="A5" s="10" t="s">
        <v>403</v>
      </c>
      <c r="B5" s="10"/>
      <c r="C5" s="10"/>
      <c r="D5" s="10"/>
      <c r="E5" s="10"/>
      <c r="F5" s="10"/>
    </row>
    <row r="7">
      <c r="A7" s="22" t="s">
        <v>404</v>
      </c>
      <c r="B7" s="14">
        <v>0.01</v>
      </c>
      <c r="C7" s="14">
        <v>0.015</v>
      </c>
      <c r="D7" s="14">
        <v>0.02</v>
      </c>
      <c r="E7" s="14">
        <v>0.025</v>
      </c>
      <c r="F7" s="14">
        <v>0.03</v>
      </c>
    </row>
    <row r="8">
      <c r="A8" s="13">
        <v>0.075</v>
      </c>
      <c r="B8" s="9">
        <f>(DCF!C$15/(1+$A8)^0.25+DCF!D$15/(1+$A8)^1+DCF!E$15/(1+$A8)^2+DCF!F$15/(1+$A8)^3+DCF!G$15/(1+$A8)^4+(DCF!$G$15*(1+B$7)/($A8-B$7))/(1+$A8)^4.5+DCF!$B$24-DCF!$B$25-DCF!$B$27)/DCF!$B$29</f>
        <v>112.76871540126137</v>
      </c>
      <c r="C8" s="9">
        <f>(DCF!C$15/(1+$A8)^0.25+DCF!D$15/(1+$A8)^1+DCF!E$15/(1+$A8)^2+DCF!F$15/(1+$A8)^3+DCF!G$15/(1+$A8)^4+(DCF!$G$15*(1+C$7)/($A8-C$7))/(1+$A8)^4.5+DCF!$B$24-DCF!$B$25-DCF!$B$27)/DCF!$B$29</f>
        <v>121.90373870419486</v>
      </c>
      <c r="D8" s="9">
        <f>(DCF!C$15/(1+$A8)^0.25+DCF!D$15/(1+$A8)^1+DCF!E$15/(1+$A8)^2+DCF!F$15/(1+$A8)^3+DCF!G$15/(1+$A8)^4+(DCF!$G$15*(1+D$7)/($A8-D$7))/(1+$A8)^4.5+DCF!$B$24-DCF!$B$25-DCF!$B$27)/DCF!$B$29</f>
        <v>132.69967533493448</v>
      </c>
      <c r="E8" s="9">
        <f>(DCF!C$15/(1+$A8)^0.25+DCF!D$15/(1+$A8)^1+DCF!E$15/(1+$A8)^2+DCF!F$15/(1+$A8)^3+DCF!G$15/(1+$A8)^4+(DCF!$G$15*(1+E$7)/($A8-E$7))/(1+$A8)^4.5+DCF!$B$24-DCF!$B$25-DCF!$B$27)/DCF!$B$29</f>
        <v>145.65479929182192</v>
      </c>
      <c r="F8" s="9">
        <f>(DCF!C$15/(1+$A8)^0.25+DCF!D$15/(1+$A8)^1+DCF!E$15/(1+$A8)^2+DCF!F$15/(1+$A8)^3+DCF!G$15/(1+$A8)^4+(DCF!$G$15*(1+F$7)/($A8-F$7))/(1+$A8)^4.5+DCF!$B$24-DCF!$B$25-DCF!$B$27)/DCF!$B$29</f>
        <v>161.4888396835733</v>
      </c>
    </row>
    <row r="9">
      <c r="A9" s="13">
        <v>0.08</v>
      </c>
      <c r="B9" s="9">
        <f>(DCF!C$15/(1+$A9)^0.25+DCF!D$15/(1+$A9)^1+DCF!E$15/(1+$A9)^2+DCF!F$15/(1+$A9)^3+DCF!G$15/(1+$A9)^4+(DCF!$G$15*(1+B$7)/($A9-B$7))/(1+$A9)^4.5+DCF!$B$24-DCF!$B$25-DCF!$B$27)/DCF!$B$29</f>
        <v>103.11257794578106</v>
      </c>
      <c r="C9" s="9">
        <f>(DCF!C$15/(1+$A9)^0.25+DCF!D$15/(1+$A9)^1+DCF!E$15/(1+$A9)^2+DCF!F$15/(1+$A9)^3+DCF!G$15/(1+$A9)^4+(DCF!$G$15*(1+C$7)/($A9-C$7))/(1+$A9)^4.5+DCF!$B$24-DCF!$B$25-DCF!$B$27)/DCF!$B$29</f>
        <v>110.81645512964168</v>
      </c>
      <c r="D9" s="9">
        <f>(DCF!C$15/(1+$A9)^0.25+DCF!D$15/(1+$A9)^1+DCF!E$15/(1+$A9)^2+DCF!F$15/(1+$A9)^3+DCF!G$15/(1+$A9)^4+(DCF!$G$15*(1+D$7)/($A9-D$7))/(1+$A9)^4.5+DCF!$B$24-DCF!$B$25-DCF!$B$27)/DCF!$B$29</f>
        <v>119.8043118441458</v>
      </c>
      <c r="E9" s="9">
        <f>(DCF!C$15/(1+$A9)^0.25+DCF!D$15/(1+$A9)^1+DCF!E$15/(1+$A9)^2+DCF!F$15/(1+$A9)^3+DCF!G$15/(1+$A9)^4+(DCF!$G$15*(1+E$7)/($A9-E$7))/(1+$A9)^4.5+DCF!$B$24-DCF!$B$25-DCF!$B$27)/DCF!$B$29</f>
        <v>130.42632432492334</v>
      </c>
      <c r="F9" s="9">
        <f>(DCF!C$15/(1+$A9)^0.25+DCF!D$15/(1+$A9)^1+DCF!E$15/(1+$A9)^2+DCF!F$15/(1+$A9)^3+DCF!G$15/(1+$A9)^4+(DCF!$G$15*(1+F$7)/($A9-F$7))/(1+$A9)^4.5+DCF!$B$24-DCF!$B$25-DCF!$B$27)/DCF!$B$29</f>
        <v>143.17273930185644</v>
      </c>
    </row>
    <row r="10">
      <c r="A10" s="13">
        <v>0.085</v>
      </c>
      <c r="B10" s="9">
        <f>(DCF!C$15/(1+$A10)^0.25+DCF!D$15/(1+$A10)^1+DCF!E$15/(1+$A10)^2+DCF!F$15/(1+$A10)^3+DCF!G$15/(1+$A10)^4+(DCF!$G$15*(1+B$7)/($A10-B$7))/(1+$A10)^4.5+DCF!$B$24-DCF!$B$25-DCF!$B$27)/DCF!$B$29</f>
        <v>94.75306315151575</v>
      </c>
      <c r="C10" s="9">
        <f>(DCF!C$15/(1+$A10)^0.25+DCF!D$15/(1+$A10)^1+DCF!E$15/(1+$A10)^2+DCF!F$15/(1+$A10)^3+DCF!G$15/(1+$A10)^4+(DCF!$G$15*(1+C$7)/($A10-C$7))/(1+$A10)^4.5+DCF!$B$24-DCF!$B$25-DCF!$B$27)/DCF!$B$29</f>
        <v>101.322687002637</v>
      </c>
      <c r="D10" s="9">
        <f>(DCF!C$15/(1+$A10)^0.25+DCF!D$15/(1+$A10)^1+DCF!E$15/(1+$A10)^2+DCF!F$15/(1+$A10)^3+DCF!G$15/(1+$A10)^4+(DCF!$G$15*(1+D$7)/($A10-D$7))/(1+$A10)^4.5+DCF!$B$24-DCF!$B$25-DCF!$B$27)/DCF!$B$29</f>
        <v>108.90302221546919</v>
      </c>
      <c r="E10" s="9">
        <f>(DCF!C$15/(1+$A10)^0.25+DCF!D$15/(1+$A10)^1+DCF!E$15/(1+$A10)^2+DCF!F$15/(1+$A10)^3+DCF!G$15/(1+$A10)^4+(DCF!$G$15*(1+E$7)/($A10-E$7))/(1+$A10)^4.5+DCF!$B$24-DCF!$B$25-DCF!$B$27)/DCF!$B$29</f>
        <v>117.74674663044004</v>
      </c>
      <c r="F10" s="9">
        <f>(DCF!C$15/(1+$A10)^0.25+DCF!D$15/(1+$A10)^1+DCF!E$15/(1+$A10)^2+DCF!F$15/(1+$A10)^3+DCF!G$15/(1+$A10)^4+(DCF!$G$15*(1+F$7)/($A10-F$7))/(1+$A10)^4.5+DCF!$B$24-DCF!$B$25-DCF!$B$27)/DCF!$B$29</f>
        <v>128.19842093904205</v>
      </c>
    </row>
    <row r="11">
      <c r="A11" s="13">
        <v>0.09</v>
      </c>
      <c r="B11" s="9">
        <f>(DCF!C$15/(1+$A11)^0.25+DCF!D$15/(1+$A11)^1+DCF!E$15/(1+$A11)^2+DCF!F$15/(1+$A11)^3+DCF!G$15/(1+$A11)^4+(DCF!$G$15*(1+B$7)/($A11-B$7))/(1+$A11)^4.5+DCF!$B$24-DCF!$B$25-DCF!$B$27)/DCF!$B$29</f>
        <v>87.44672722183331</v>
      </c>
      <c r="C11" s="9">
        <f>(DCF!C$15/(1+$A11)^0.25+DCF!D$15/(1+$A11)^1+DCF!E$15/(1+$A11)^2+DCF!F$15/(1+$A11)^3+DCF!G$15/(1+$A11)^4+(DCF!$G$15*(1+C$7)/($A11-C$7))/(1+$A11)^4.5+DCF!$B$24-DCF!$B$25-DCF!$B$27)/DCF!$B$29</f>
        <v>93.10338491019951</v>
      </c>
      <c r="D11" s="9">
        <f>(DCF!C$15/(1+$A11)^0.25+DCF!D$15/(1+$A11)^1+DCF!E$15/(1+$A11)^2+DCF!F$15/(1+$A11)^3+DCF!G$15/(1+$A11)^4+(DCF!$G$15*(1+D$7)/($A11-D$7))/(1+$A11)^4.5+DCF!$B$24-DCF!$B$25-DCF!$B$27)/DCF!$B$29</f>
        <v>99.56813655404659</v>
      </c>
      <c r="E11" s="9">
        <f>(DCF!C$15/(1+$A11)^0.25+DCF!D$15/(1+$A11)^1+DCF!E$15/(1+$A11)^2+DCF!F$15/(1+$A11)^3+DCF!G$15/(1+$A11)^4+(DCF!$G$15*(1+E$7)/($A11-E$7))/(1+$A11)^4.5+DCF!$B$24-DCF!$B$25-DCF!$B$27)/DCF!$B$29</f>
        <v>107.02746537387006</v>
      </c>
      <c r="F11" s="9">
        <f>(DCF!C$15/(1+$A11)^0.25+DCF!D$15/(1+$A11)^1+DCF!E$15/(1+$A11)^2+DCF!F$15/(1+$A11)^3+DCF!G$15/(1+$A11)^4+(DCF!$G$15*(1+F$7)/($A11-F$7))/(1+$A11)^4.5+DCF!$B$24-DCF!$B$25-DCF!$B$27)/DCF!$B$29</f>
        <v>115.73001566366423</v>
      </c>
    </row>
    <row r="12">
      <c r="A12" s="13">
        <v>0.095</v>
      </c>
      <c r="B12" s="9">
        <f>(DCF!C$15/(1+$A12)^0.25+DCF!D$15/(1+$A12)^1+DCF!E$15/(1+$A12)^2+DCF!F$15/(1+$A12)^3+DCF!G$15/(1+$A12)^4+(DCF!$G$15*(1+B$7)/($A12-B$7))/(1+$A12)^4.5+DCF!$B$24-DCF!$B$25-DCF!$B$27)/DCF!$B$29</f>
        <v>81.00741953738245</v>
      </c>
      <c r="C12" s="9">
        <f>(DCF!C$15/(1+$A12)^0.25+DCF!D$15/(1+$A12)^1+DCF!E$15/(1+$A12)^2+DCF!F$15/(1+$A12)^3+DCF!G$15/(1+$A12)^4+(DCF!$G$15*(1+C$7)/($A12-C$7))/(1+$A12)^4.5+DCF!$B$24-DCF!$B$25-DCF!$B$27)/DCF!$B$29</f>
        <v>85.91927480731215</v>
      </c>
      <c r="D12" s="9">
        <f>(DCF!C$15/(1+$A12)^0.25+DCF!D$15/(1+$A12)^1+DCF!E$15/(1+$A12)^2+DCF!F$15/(1+$A12)^3+DCF!G$15/(1+$A12)^4+(DCF!$G$15*(1+D$7)/($A12-D$7))/(1+$A12)^4.5+DCF!$B$24-DCF!$B$25-DCF!$B$27)/DCF!$B$29</f>
        <v>91.48604411323252</v>
      </c>
      <c r="E12" s="9">
        <f>(DCF!C$15/(1+$A12)^0.25+DCF!D$15/(1+$A12)^1+DCF!E$15/(1+$A12)^2+DCF!F$15/(1+$A12)^3+DCF!G$15/(1+$A12)^4+(DCF!$G$15*(1+E$7)/($A12-E$7))/(1+$A12)^4.5+DCF!$B$24-DCF!$B$25-DCF!$B$27)/DCF!$B$29</f>
        <v>97.84806617714145</v>
      </c>
      <c r="F12" s="9">
        <f>(DCF!C$15/(1+$A12)^0.25+DCF!D$15/(1+$A12)^1+DCF!E$15/(1+$A12)^2+DCF!F$15/(1+$A12)^3+DCF!G$15/(1+$A12)^4+(DCF!$G$15*(1+F$7)/($A12-F$7))/(1+$A12)^4.5+DCF!$B$24-DCF!$B$25-DCF!$B$27)/DCF!$B$29</f>
        <v>105.18886086626722</v>
      </c>
    </row>
    <row r="15">
      <c r="A15" s="3" t="s">
        <v>405</v>
      </c>
      <c r="B15" s="3"/>
      <c r="C15" s="3"/>
      <c r="D15" s="3"/>
      <c r="E15" s="3"/>
      <c r="F15" s="3"/>
    </row>
    <row r="16">
      <c r="A16" t="s">
        <v>406</v>
      </c>
      <c r="B16" s="13">
        <f>Assumptions!B94</f>
        <v>0.085</v>
      </c>
    </row>
    <row r="17">
      <c r="A17" t="s">
        <v>407</v>
      </c>
      <c r="B17" s="13">
        <f>Assumptions!B95</f>
        <v>0.02</v>
      </c>
    </row>
    <row r="18">
      <c r="A18" t="s">
        <v>408</v>
      </c>
      <c r="B18" s="9">
        <f>DCF!B30</f>
        <v>108.90302221546919</v>
      </c>
    </row>
  </sheetData>
  <mergeCells count="1">
    <mergeCell ref="A15:F15"/>
  </mergeCells>
  <conditionalFormatting sqref="B8:F12">
    <cfRule type="expression" priority="1" dxfId="0">
      <formula>=B8=MIN($B$8:$F$12)</formula>
    </cfRule>
  </conditionalFormatting>
  <conditionalFormatting sqref="B8:F12">
    <cfRule type="expression" priority="2" dxfId="1">
      <formula>=B8=MAX($B$8:$F$12)</formula>
    </cfRule>
  </conditionalFormatting>
</worksheet>
</file>

<file path=xl/worksheets/sheet14.xml><?xml version="1.0" encoding="utf-8"?>
<worksheet xmlns="http://schemas.openxmlformats.org/spreadsheetml/2006/main" xmlns:r="http://schemas.openxmlformats.org/officeDocument/2006/relationships">
  <dimension ref="A1:O718"/>
  <sheetViews>
    <sheetView showGridLines="0" workbookViewId="0">
      <pane xSplit="4" ySplit="4" topLeftCell="E5" activePane="bottomRight" state="frozen"/>
    </sheetView>
  </sheetViews>
  <sheetFormatPr defaultColWidth="8.375" defaultRowHeight="15"/>
  <cols>
    <col min="1" max="1" width="9.625" customWidth="1"/>
    <col min="2" max="2" width="25.625" customWidth="1"/>
    <col min="3" max="3" width="12.875" customWidth="1"/>
    <col min="4" max="4" width="7.5" customWidth="1"/>
    <col min="5" max="5" width="26.875" customWidth="1"/>
    <col min="6" max="6" width="21.25" customWidth="1"/>
    <col min="7" max="7" width="10.625" customWidth="1"/>
    <col min="8" max="8" width="39.375" customWidth="1"/>
    <col min="9" max="9" width="31.875" customWidth="1"/>
    <col min="10" max="10" width="13.75" customWidth="1"/>
    <col min="11" max="11" width="11.25" customWidth="1"/>
    <col min="12" max="12" width="18.125" customWidth="1"/>
    <col min="13" max="13" width="30.625" customWidth="1"/>
    <col min="14" max="14" width="25.625" customWidth="1"/>
    <col min="15" max="15" width="10" customWidth="1"/>
  </cols>
  <sheetData>
    <row r="1" ht="22.5">
      <c r="A1" s="5" t="s">
        <v>409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22.5">
      <c r="A2" s="7" t="s">
        <v>410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>
      <c r="A4" s="6" t="s">
        <v>411</v>
      </c>
      <c r="B4" s="6" t="s">
        <v>44</v>
      </c>
      <c r="C4" s="6" t="s">
        <v>412</v>
      </c>
      <c r="D4" s="6" t="s">
        <v>413</v>
      </c>
      <c r="E4" s="6" t="s">
        <v>414</v>
      </c>
      <c r="F4" s="6" t="s">
        <v>415</v>
      </c>
      <c r="G4" s="6" t="s">
        <v>416</v>
      </c>
      <c r="H4" s="6" t="s">
        <v>417</v>
      </c>
      <c r="I4" s="6" t="s">
        <v>418</v>
      </c>
      <c r="J4" s="6" t="s">
        <v>419</v>
      </c>
      <c r="K4" s="6" t="s">
        <v>420</v>
      </c>
      <c r="L4" s="6" t="s">
        <v>421</v>
      </c>
      <c r="M4" s="6" t="s">
        <v>422</v>
      </c>
      <c r="N4" s="6" t="s">
        <v>423</v>
      </c>
      <c r="O4" s="6" t="s">
        <v>348</v>
      </c>
    </row>
    <row r="5">
      <c r="A5" s="33" t="s">
        <v>424</v>
      </c>
      <c r="B5" s="33" t="s">
        <v>33</v>
      </c>
      <c r="C5" s="33" t="s">
        <v>425</v>
      </c>
      <c r="D5" s="33" t="s">
        <v>426</v>
      </c>
      <c r="E5" s="33" t="s">
        <v>427</v>
      </c>
      <c r="F5" s="33" t="s">
        <v>428</v>
      </c>
      <c r="G5" s="35">
        <v>46219</v>
      </c>
      <c r="H5" s="33" t="s">
        <v>429</v>
      </c>
      <c r="I5" s="33" t="s">
        <v>430</v>
      </c>
      <c r="J5" s="34">
        <v>47049</v>
      </c>
      <c r="K5" s="33" t="s">
        <v>431</v>
      </c>
      <c r="L5" s="33" t="s">
        <v>432</v>
      </c>
      <c r="M5" s="33" t="s">
        <v>433</v>
      </c>
      <c r="N5" s="33" t="s">
        <v>434</v>
      </c>
      <c r="O5" s="33" t="s">
        <v>435</v>
      </c>
    </row>
    <row r="6">
      <c r="A6" s="33" t="s">
        <v>436</v>
      </c>
      <c r="B6" s="33" t="s">
        <v>33</v>
      </c>
      <c r="C6" s="33" t="s">
        <v>437</v>
      </c>
      <c r="D6" s="33" t="s">
        <v>426</v>
      </c>
      <c r="E6" s="33" t="s">
        <v>427</v>
      </c>
      <c r="F6" s="33" t="s">
        <v>428</v>
      </c>
      <c r="G6" s="35">
        <v>46219</v>
      </c>
      <c r="H6" s="33" t="s">
        <v>429</v>
      </c>
      <c r="I6" s="33" t="s">
        <v>438</v>
      </c>
      <c r="J6" s="34">
        <v>53282</v>
      </c>
      <c r="K6" s="33" t="s">
        <v>431</v>
      </c>
      <c r="L6" s="33" t="s">
        <v>439</v>
      </c>
      <c r="M6" s="33" t="s">
        <v>433</v>
      </c>
      <c r="N6" s="33" t="s">
        <v>434</v>
      </c>
      <c r="O6" s="33" t="s">
        <v>435</v>
      </c>
    </row>
    <row r="7">
      <c r="A7" s="33" t="s">
        <v>440</v>
      </c>
      <c r="B7" s="33" t="s">
        <v>33</v>
      </c>
      <c r="C7" s="33" t="s">
        <v>441</v>
      </c>
      <c r="D7" s="33" t="s">
        <v>442</v>
      </c>
      <c r="E7" s="33" t="s">
        <v>443</v>
      </c>
      <c r="F7" s="33" t="s">
        <v>444</v>
      </c>
      <c r="G7" s="35">
        <v>46219</v>
      </c>
      <c r="H7" s="33" t="s">
        <v>445</v>
      </c>
      <c r="I7" s="33" t="s">
        <v>446</v>
      </c>
      <c r="J7" s="34">
        <v>52881</v>
      </c>
      <c r="K7" s="33" t="s">
        <v>431</v>
      </c>
      <c r="L7" s="33" t="s">
        <v>447</v>
      </c>
      <c r="M7" s="33" t="s">
        <v>433</v>
      </c>
      <c r="N7" s="33" t="s">
        <v>434</v>
      </c>
      <c r="O7" s="33" t="s">
        <v>435</v>
      </c>
    </row>
    <row r="8">
      <c r="A8" s="33" t="s">
        <v>448</v>
      </c>
      <c r="B8" s="33" t="s">
        <v>33</v>
      </c>
      <c r="C8" s="33" t="s">
        <v>449</v>
      </c>
      <c r="D8" s="33" t="s">
        <v>442</v>
      </c>
      <c r="E8" s="33" t="s">
        <v>443</v>
      </c>
      <c r="F8" s="33" t="s">
        <v>444</v>
      </c>
      <c r="G8" s="35">
        <v>46219</v>
      </c>
      <c r="H8" s="33" t="s">
        <v>445</v>
      </c>
      <c r="I8" s="33" t="s">
        <v>450</v>
      </c>
      <c r="J8" s="34">
        <v>53309</v>
      </c>
      <c r="K8" s="33" t="s">
        <v>431</v>
      </c>
      <c r="L8" s="33" t="s">
        <v>451</v>
      </c>
      <c r="M8" s="33" t="s">
        <v>433</v>
      </c>
      <c r="N8" s="33" t="s">
        <v>434</v>
      </c>
      <c r="O8" s="33" t="s">
        <v>435</v>
      </c>
    </row>
    <row r="9">
      <c r="A9" s="33" t="s">
        <v>452</v>
      </c>
      <c r="B9" s="33" t="s">
        <v>33</v>
      </c>
      <c r="C9" s="33" t="s">
        <v>453</v>
      </c>
      <c r="D9" s="33" t="s">
        <v>442</v>
      </c>
      <c r="E9" s="33" t="s">
        <v>443</v>
      </c>
      <c r="F9" s="33" t="s">
        <v>444</v>
      </c>
      <c r="G9" s="35">
        <v>46219</v>
      </c>
      <c r="H9" s="33" t="s">
        <v>445</v>
      </c>
      <c r="I9" s="33" t="s">
        <v>454</v>
      </c>
      <c r="J9" s="34">
        <v>54441</v>
      </c>
      <c r="K9" s="33" t="s">
        <v>431</v>
      </c>
      <c r="L9" s="33" t="s">
        <v>455</v>
      </c>
      <c r="M9" s="33" t="s">
        <v>433</v>
      </c>
      <c r="N9" s="33" t="s">
        <v>434</v>
      </c>
      <c r="O9" s="33" t="s">
        <v>435</v>
      </c>
    </row>
    <row r="10">
      <c r="A10" s="33" t="s">
        <v>456</v>
      </c>
      <c r="B10" s="33" t="s">
        <v>46</v>
      </c>
      <c r="C10" s="33" t="s">
        <v>425</v>
      </c>
      <c r="D10" s="33" t="s">
        <v>426</v>
      </c>
      <c r="E10" s="33" t="s">
        <v>427</v>
      </c>
      <c r="F10" s="33" t="s">
        <v>428</v>
      </c>
      <c r="G10" s="35">
        <v>46219</v>
      </c>
      <c r="H10" s="33" t="s">
        <v>429</v>
      </c>
      <c r="I10" s="33" t="s">
        <v>457</v>
      </c>
      <c r="J10" s="34">
        <v>40523</v>
      </c>
      <c r="K10" s="33" t="s">
        <v>431</v>
      </c>
      <c r="L10" s="33" t="s">
        <v>458</v>
      </c>
      <c r="M10" s="33" t="s">
        <v>433</v>
      </c>
      <c r="N10" s="33" t="s">
        <v>434</v>
      </c>
      <c r="O10" s="33" t="s">
        <v>435</v>
      </c>
    </row>
    <row r="11">
      <c r="A11" s="33" t="s">
        <v>459</v>
      </c>
      <c r="B11" s="33" t="s">
        <v>46</v>
      </c>
      <c r="C11" s="33" t="s">
        <v>437</v>
      </c>
      <c r="D11" s="33" t="s">
        <v>426</v>
      </c>
      <c r="E11" s="33" t="s">
        <v>427</v>
      </c>
      <c r="F11" s="33" t="s">
        <v>428</v>
      </c>
      <c r="G11" s="35">
        <v>46219</v>
      </c>
      <c r="H11" s="33" t="s">
        <v>429</v>
      </c>
      <c r="I11" s="33" t="s">
        <v>460</v>
      </c>
      <c r="J11" s="34">
        <v>46614</v>
      </c>
      <c r="K11" s="33" t="s">
        <v>431</v>
      </c>
      <c r="L11" s="33" t="s">
        <v>461</v>
      </c>
      <c r="M11" s="33" t="s">
        <v>433</v>
      </c>
      <c r="N11" s="33" t="s">
        <v>434</v>
      </c>
      <c r="O11" s="33" t="s">
        <v>435</v>
      </c>
    </row>
    <row r="12">
      <c r="A12" s="33" t="s">
        <v>462</v>
      </c>
      <c r="B12" s="33" t="s">
        <v>46</v>
      </c>
      <c r="C12" s="33" t="s">
        <v>441</v>
      </c>
      <c r="D12" s="33" t="s">
        <v>442</v>
      </c>
      <c r="E12" s="33" t="s">
        <v>443</v>
      </c>
      <c r="F12" s="33" t="s">
        <v>444</v>
      </c>
      <c r="G12" s="35">
        <v>46219</v>
      </c>
      <c r="H12" s="33" t="s">
        <v>445</v>
      </c>
      <c r="I12" s="33" t="s">
        <v>463</v>
      </c>
      <c r="J12" s="34">
        <v>50250</v>
      </c>
      <c r="K12" s="33" t="s">
        <v>431</v>
      </c>
      <c r="L12" s="33" t="s">
        <v>464</v>
      </c>
      <c r="M12" s="33" t="s">
        <v>433</v>
      </c>
      <c r="N12" s="33" t="s">
        <v>434</v>
      </c>
      <c r="O12" s="33" t="s">
        <v>435</v>
      </c>
    </row>
    <row r="13">
      <c r="A13" s="33" t="s">
        <v>465</v>
      </c>
      <c r="B13" s="33" t="s">
        <v>46</v>
      </c>
      <c r="C13" s="33" t="s">
        <v>449</v>
      </c>
      <c r="D13" s="33" t="s">
        <v>442</v>
      </c>
      <c r="E13" s="33" t="s">
        <v>443</v>
      </c>
      <c r="F13" s="33" t="s">
        <v>444</v>
      </c>
      <c r="G13" s="35">
        <v>46219</v>
      </c>
      <c r="H13" s="33" t="s">
        <v>445</v>
      </c>
      <c r="I13" s="33" t="s">
        <v>466</v>
      </c>
      <c r="J13" s="34">
        <v>49682</v>
      </c>
      <c r="K13" s="33" t="s">
        <v>431</v>
      </c>
      <c r="L13" s="33" t="s">
        <v>467</v>
      </c>
      <c r="M13" s="33" t="s">
        <v>433</v>
      </c>
      <c r="N13" s="33" t="s">
        <v>434</v>
      </c>
      <c r="O13" s="33" t="s">
        <v>435</v>
      </c>
    </row>
    <row r="14">
      <c r="A14" s="33" t="s">
        <v>468</v>
      </c>
      <c r="B14" s="33" t="s">
        <v>46</v>
      </c>
      <c r="C14" s="33" t="s">
        <v>453</v>
      </c>
      <c r="D14" s="33" t="s">
        <v>442</v>
      </c>
      <c r="E14" s="33" t="s">
        <v>443</v>
      </c>
      <c r="F14" s="33" t="s">
        <v>444</v>
      </c>
      <c r="G14" s="35">
        <v>46219</v>
      </c>
      <c r="H14" s="33" t="s">
        <v>445</v>
      </c>
      <c r="I14" s="33" t="s">
        <v>469</v>
      </c>
      <c r="J14" s="34">
        <v>50879</v>
      </c>
      <c r="K14" s="33" t="s">
        <v>431</v>
      </c>
      <c r="L14" s="33" t="s">
        <v>470</v>
      </c>
      <c r="M14" s="33" t="s">
        <v>433</v>
      </c>
      <c r="N14" s="33" t="s">
        <v>434</v>
      </c>
      <c r="O14" s="33" t="s">
        <v>435</v>
      </c>
    </row>
    <row r="15">
      <c r="A15" s="33" t="s">
        <v>471</v>
      </c>
      <c r="B15" s="33" t="s">
        <v>47</v>
      </c>
      <c r="C15" s="33" t="s">
        <v>425</v>
      </c>
      <c r="D15" s="33" t="s">
        <v>426</v>
      </c>
      <c r="E15" s="33" t="s">
        <v>427</v>
      </c>
      <c r="F15" s="33" t="s">
        <v>428</v>
      </c>
      <c r="G15" s="35">
        <v>46219</v>
      </c>
      <c r="H15" s="33" t="s">
        <v>429</v>
      </c>
      <c r="I15" s="33" t="s">
        <v>472</v>
      </c>
      <c r="J15" s="34">
        <v>6526</v>
      </c>
      <c r="K15" s="33" t="s">
        <v>431</v>
      </c>
      <c r="L15" s="33" t="s">
        <v>473</v>
      </c>
      <c r="M15" s="33" t="s">
        <v>433</v>
      </c>
      <c r="N15" s="33" t="s">
        <v>434</v>
      </c>
      <c r="O15" s="33" t="s">
        <v>435</v>
      </c>
    </row>
    <row r="16">
      <c r="A16" s="33" t="s">
        <v>474</v>
      </c>
      <c r="B16" s="33" t="s">
        <v>47</v>
      </c>
      <c r="C16" s="33" t="s">
        <v>437</v>
      </c>
      <c r="D16" s="33" t="s">
        <v>426</v>
      </c>
      <c r="E16" s="33" t="s">
        <v>427</v>
      </c>
      <c r="F16" s="33" t="s">
        <v>428</v>
      </c>
      <c r="G16" s="35">
        <v>46219</v>
      </c>
      <c r="H16" s="33" t="s">
        <v>429</v>
      </c>
      <c r="I16" s="33" t="s">
        <v>475</v>
      </c>
      <c r="J16" s="34">
        <v>6668</v>
      </c>
      <c r="K16" s="33" t="s">
        <v>431</v>
      </c>
      <c r="L16" s="33" t="s">
        <v>476</v>
      </c>
      <c r="M16" s="33" t="s">
        <v>433</v>
      </c>
      <c r="N16" s="33" t="s">
        <v>434</v>
      </c>
      <c r="O16" s="33" t="s">
        <v>435</v>
      </c>
    </row>
    <row r="17">
      <c r="A17" s="33" t="s">
        <v>477</v>
      </c>
      <c r="B17" s="33" t="s">
        <v>47</v>
      </c>
      <c r="C17" s="33" t="s">
        <v>441</v>
      </c>
      <c r="D17" s="33" t="s">
        <v>442</v>
      </c>
      <c r="E17" s="33" t="s">
        <v>443</v>
      </c>
      <c r="F17" s="33" t="s">
        <v>444</v>
      </c>
      <c r="G17" s="35">
        <v>46219</v>
      </c>
      <c r="H17" s="33" t="s">
        <v>445</v>
      </c>
      <c r="I17" s="33" t="s">
        <v>478</v>
      </c>
      <c r="J17" s="34">
        <v>2631</v>
      </c>
      <c r="K17" s="33" t="s">
        <v>431</v>
      </c>
      <c r="L17" s="33" t="s">
        <v>479</v>
      </c>
      <c r="M17" s="33" t="s">
        <v>433</v>
      </c>
      <c r="N17" s="33" t="s">
        <v>434</v>
      </c>
      <c r="O17" s="33" t="s">
        <v>435</v>
      </c>
    </row>
    <row r="18">
      <c r="A18" s="33" t="s">
        <v>480</v>
      </c>
      <c r="B18" s="33" t="s">
        <v>47</v>
      </c>
      <c r="C18" s="33" t="s">
        <v>449</v>
      </c>
      <c r="D18" s="33" t="s">
        <v>442</v>
      </c>
      <c r="E18" s="33" t="s">
        <v>443</v>
      </c>
      <c r="F18" s="33" t="s">
        <v>444</v>
      </c>
      <c r="G18" s="35">
        <v>46219</v>
      </c>
      <c r="H18" s="33" t="s">
        <v>445</v>
      </c>
      <c r="I18" s="33" t="s">
        <v>481</v>
      </c>
      <c r="J18" s="34">
        <v>3627</v>
      </c>
      <c r="K18" s="33" t="s">
        <v>431</v>
      </c>
      <c r="L18" s="33" t="s">
        <v>482</v>
      </c>
      <c r="M18" s="33" t="s">
        <v>433</v>
      </c>
      <c r="N18" s="33" t="s">
        <v>434</v>
      </c>
      <c r="O18" s="33" t="s">
        <v>435</v>
      </c>
    </row>
    <row r="19">
      <c r="A19" s="33" t="s">
        <v>483</v>
      </c>
      <c r="B19" s="33" t="s">
        <v>47</v>
      </c>
      <c r="C19" s="33" t="s">
        <v>453</v>
      </c>
      <c r="D19" s="33" t="s">
        <v>442</v>
      </c>
      <c r="E19" s="33" t="s">
        <v>443</v>
      </c>
      <c r="F19" s="33" t="s">
        <v>444</v>
      </c>
      <c r="G19" s="35">
        <v>46219</v>
      </c>
      <c r="H19" s="33" t="s">
        <v>445</v>
      </c>
      <c r="I19" s="33" t="s">
        <v>484</v>
      </c>
      <c r="J19" s="34">
        <v>3562</v>
      </c>
      <c r="K19" s="33" t="s">
        <v>431</v>
      </c>
      <c r="L19" s="33" t="s">
        <v>485</v>
      </c>
      <c r="M19" s="33" t="s">
        <v>433</v>
      </c>
      <c r="N19" s="33" t="s">
        <v>434</v>
      </c>
      <c r="O19" s="33" t="s">
        <v>435</v>
      </c>
    </row>
    <row r="20">
      <c r="A20" s="33" t="s">
        <v>486</v>
      </c>
      <c r="B20" s="33" t="s">
        <v>48</v>
      </c>
      <c r="C20" s="33" t="s">
        <v>425</v>
      </c>
      <c r="D20" s="33" t="s">
        <v>426</v>
      </c>
      <c r="E20" s="33" t="s">
        <v>427</v>
      </c>
      <c r="F20" s="33" t="s">
        <v>428</v>
      </c>
      <c r="G20" s="35">
        <v>46219</v>
      </c>
      <c r="H20" s="33" t="s">
        <v>429</v>
      </c>
      <c r="I20" s="33" t="s">
        <v>487</v>
      </c>
      <c r="J20" s="34">
        <v>2130</v>
      </c>
      <c r="K20" s="33" t="s">
        <v>431</v>
      </c>
      <c r="L20" s="33" t="s">
        <v>488</v>
      </c>
      <c r="M20" s="33" t="s">
        <v>433</v>
      </c>
      <c r="N20" s="33" t="s">
        <v>434</v>
      </c>
      <c r="O20" s="33" t="s">
        <v>435</v>
      </c>
    </row>
    <row r="21">
      <c r="A21" s="33" t="s">
        <v>489</v>
      </c>
      <c r="B21" s="33" t="s">
        <v>48</v>
      </c>
      <c r="C21" s="33" t="s">
        <v>437</v>
      </c>
      <c r="D21" s="33" t="s">
        <v>426</v>
      </c>
      <c r="E21" s="33" t="s">
        <v>427</v>
      </c>
      <c r="F21" s="33" t="s">
        <v>428</v>
      </c>
      <c r="G21" s="35">
        <v>46219</v>
      </c>
      <c r="H21" s="33" t="s">
        <v>429</v>
      </c>
      <c r="I21" s="33" t="s">
        <v>490</v>
      </c>
      <c r="J21" s="34">
        <v>2258</v>
      </c>
      <c r="K21" s="33" t="s">
        <v>431</v>
      </c>
      <c r="L21" s="33" t="s">
        <v>491</v>
      </c>
      <c r="M21" s="33" t="s">
        <v>433</v>
      </c>
      <c r="N21" s="33" t="s">
        <v>434</v>
      </c>
      <c r="O21" s="33" t="s">
        <v>435</v>
      </c>
    </row>
    <row r="22">
      <c r="A22" s="33" t="s">
        <v>492</v>
      </c>
      <c r="B22" s="33" t="s">
        <v>48</v>
      </c>
      <c r="C22" s="33" t="s">
        <v>441</v>
      </c>
      <c r="D22" s="33" t="s">
        <v>442</v>
      </c>
      <c r="E22" s="33" t="s">
        <v>443</v>
      </c>
      <c r="F22" s="33" t="s">
        <v>444</v>
      </c>
      <c r="G22" s="35">
        <v>46219</v>
      </c>
      <c r="H22" s="33" t="s">
        <v>445</v>
      </c>
      <c r="I22" s="33" t="s">
        <v>493</v>
      </c>
      <c r="J22" s="34">
        <v>2245</v>
      </c>
      <c r="K22" s="33" t="s">
        <v>431</v>
      </c>
      <c r="L22" s="33" t="s">
        <v>494</v>
      </c>
      <c r="M22" s="33" t="s">
        <v>433</v>
      </c>
      <c r="N22" s="33" t="s">
        <v>434</v>
      </c>
      <c r="O22" s="33" t="s">
        <v>435</v>
      </c>
    </row>
    <row r="23">
      <c r="A23" s="33" t="s">
        <v>495</v>
      </c>
      <c r="B23" s="33" t="s">
        <v>48</v>
      </c>
      <c r="C23" s="33" t="s">
        <v>449</v>
      </c>
      <c r="D23" s="33" t="s">
        <v>442</v>
      </c>
      <c r="E23" s="33" t="s">
        <v>443</v>
      </c>
      <c r="F23" s="33" t="s">
        <v>444</v>
      </c>
      <c r="G23" s="35">
        <v>46219</v>
      </c>
      <c r="H23" s="33" t="s">
        <v>445</v>
      </c>
      <c r="I23" s="33" t="s">
        <v>496</v>
      </c>
      <c r="J23" s="34">
        <v>2218</v>
      </c>
      <c r="K23" s="33" t="s">
        <v>431</v>
      </c>
      <c r="L23" s="33" t="s">
        <v>497</v>
      </c>
      <c r="M23" s="33" t="s">
        <v>433</v>
      </c>
      <c r="N23" s="33" t="s">
        <v>434</v>
      </c>
      <c r="O23" s="33" t="s">
        <v>435</v>
      </c>
    </row>
    <row r="24">
      <c r="A24" s="33" t="s">
        <v>498</v>
      </c>
      <c r="B24" s="33" t="s">
        <v>48</v>
      </c>
      <c r="C24" s="33" t="s">
        <v>453</v>
      </c>
      <c r="D24" s="33" t="s">
        <v>442</v>
      </c>
      <c r="E24" s="33" t="s">
        <v>443</v>
      </c>
      <c r="F24" s="33" t="s">
        <v>444</v>
      </c>
      <c r="G24" s="35">
        <v>46219</v>
      </c>
      <c r="H24" s="33" t="s">
        <v>445</v>
      </c>
      <c r="I24" s="33" t="s">
        <v>499</v>
      </c>
      <c r="J24" s="34">
        <v>2121</v>
      </c>
      <c r="K24" s="33" t="s">
        <v>431</v>
      </c>
      <c r="L24" s="33" t="s">
        <v>500</v>
      </c>
      <c r="M24" s="33" t="s">
        <v>433</v>
      </c>
      <c r="N24" s="33" t="s">
        <v>434</v>
      </c>
      <c r="O24" s="33" t="s">
        <v>435</v>
      </c>
    </row>
    <row r="25">
      <c r="A25" s="33" t="s">
        <v>501</v>
      </c>
      <c r="B25" s="33" t="s">
        <v>49</v>
      </c>
      <c r="C25" s="33" t="s">
        <v>425</v>
      </c>
      <c r="D25" s="33" t="s">
        <v>426</v>
      </c>
      <c r="E25" s="33" t="s">
        <v>427</v>
      </c>
      <c r="F25" s="33" t="s">
        <v>428</v>
      </c>
      <c r="G25" s="35">
        <v>46219</v>
      </c>
      <c r="H25" s="33" t="s">
        <v>429</v>
      </c>
      <c r="I25" s="33" t="s">
        <v>502</v>
      </c>
      <c r="J25" s="34">
        <v>0</v>
      </c>
      <c r="K25" s="33" t="s">
        <v>431</v>
      </c>
      <c r="L25" s="33" t="s">
        <v>503</v>
      </c>
      <c r="M25" s="33" t="s">
        <v>433</v>
      </c>
      <c r="N25" s="33" t="s">
        <v>434</v>
      </c>
      <c r="O25" s="33" t="s">
        <v>435</v>
      </c>
    </row>
    <row r="26">
      <c r="A26" s="33" t="s">
        <v>504</v>
      </c>
      <c r="B26" s="33" t="s">
        <v>49</v>
      </c>
      <c r="C26" s="33" t="s">
        <v>437</v>
      </c>
      <c r="D26" s="33" t="s">
        <v>426</v>
      </c>
      <c r="E26" s="33" t="s">
        <v>427</v>
      </c>
      <c r="F26" s="33" t="s">
        <v>428</v>
      </c>
      <c r="G26" s="35">
        <v>46219</v>
      </c>
      <c r="H26" s="33" t="s">
        <v>429</v>
      </c>
      <c r="I26" s="33" t="s">
        <v>505</v>
      </c>
      <c r="J26" s="34">
        <v>0</v>
      </c>
      <c r="K26" s="33" t="s">
        <v>431</v>
      </c>
      <c r="L26" s="33" t="s">
        <v>506</v>
      </c>
      <c r="M26" s="33" t="s">
        <v>433</v>
      </c>
      <c r="N26" s="33" t="s">
        <v>434</v>
      </c>
      <c r="O26" s="33" t="s">
        <v>435</v>
      </c>
    </row>
    <row r="27">
      <c r="A27" s="33" t="s">
        <v>507</v>
      </c>
      <c r="B27" s="33" t="s">
        <v>49</v>
      </c>
      <c r="C27" s="33" t="s">
        <v>441</v>
      </c>
      <c r="D27" s="33" t="s">
        <v>442</v>
      </c>
      <c r="E27" s="33" t="s">
        <v>443</v>
      </c>
      <c r="F27" s="33" t="s">
        <v>444</v>
      </c>
      <c r="G27" s="35">
        <v>46219</v>
      </c>
      <c r="H27" s="33" t="s">
        <v>445</v>
      </c>
      <c r="I27" s="33" t="s">
        <v>508</v>
      </c>
      <c r="J27" s="34">
        <v>781</v>
      </c>
      <c r="K27" s="33" t="s">
        <v>431</v>
      </c>
      <c r="L27" s="33" t="s">
        <v>509</v>
      </c>
      <c r="M27" s="33" t="s">
        <v>433</v>
      </c>
      <c r="N27" s="33" t="s">
        <v>434</v>
      </c>
      <c r="O27" s="33" t="s">
        <v>435</v>
      </c>
    </row>
    <row r="28">
      <c r="A28" s="33" t="s">
        <v>510</v>
      </c>
      <c r="B28" s="33" t="s">
        <v>49</v>
      </c>
      <c r="C28" s="33" t="s">
        <v>449</v>
      </c>
      <c r="D28" s="33" t="s">
        <v>442</v>
      </c>
      <c r="E28" s="33" t="s">
        <v>443</v>
      </c>
      <c r="F28" s="33" t="s">
        <v>444</v>
      </c>
      <c r="G28" s="35">
        <v>46219</v>
      </c>
      <c r="H28" s="33" t="s">
        <v>445</v>
      </c>
      <c r="I28" s="33" t="s">
        <v>511</v>
      </c>
      <c r="J28" s="34">
        <v>0</v>
      </c>
      <c r="K28" s="33" t="s">
        <v>431</v>
      </c>
      <c r="L28" s="33" t="s">
        <v>512</v>
      </c>
      <c r="M28" s="33" t="s">
        <v>433</v>
      </c>
      <c r="N28" s="33" t="s">
        <v>434</v>
      </c>
      <c r="O28" s="33" t="s">
        <v>435</v>
      </c>
    </row>
    <row r="29">
      <c r="A29" s="33" t="s">
        <v>513</v>
      </c>
      <c r="B29" s="33" t="s">
        <v>49</v>
      </c>
      <c r="C29" s="33" t="s">
        <v>453</v>
      </c>
      <c r="D29" s="33" t="s">
        <v>442</v>
      </c>
      <c r="E29" s="33" t="s">
        <v>443</v>
      </c>
      <c r="F29" s="33" t="s">
        <v>444</v>
      </c>
      <c r="G29" s="35">
        <v>46219</v>
      </c>
      <c r="H29" s="33" t="s">
        <v>445</v>
      </c>
      <c r="I29" s="33" t="s">
        <v>514</v>
      </c>
      <c r="J29" s="34">
        <v>343</v>
      </c>
      <c r="K29" s="33" t="s">
        <v>431</v>
      </c>
      <c r="L29" s="33" t="s">
        <v>515</v>
      </c>
      <c r="M29" s="33" t="s">
        <v>433</v>
      </c>
      <c r="N29" s="33" t="s">
        <v>434</v>
      </c>
      <c r="O29" s="33" t="s">
        <v>435</v>
      </c>
    </row>
    <row r="30">
      <c r="A30" s="33" t="s">
        <v>516</v>
      </c>
      <c r="B30" s="33" t="s">
        <v>50</v>
      </c>
      <c r="C30" s="33" t="s">
        <v>425</v>
      </c>
      <c r="D30" s="33" t="s">
        <v>426</v>
      </c>
      <c r="E30" s="33" t="s">
        <v>427</v>
      </c>
      <c r="F30" s="33" t="s">
        <v>428</v>
      </c>
      <c r="G30" s="35">
        <v>46219</v>
      </c>
      <c r="H30" s="33" t="s">
        <v>429</v>
      </c>
      <c r="I30" s="33" t="s">
        <v>517</v>
      </c>
      <c r="J30" s="34">
        <v>4396</v>
      </c>
      <c r="K30" s="33" t="s">
        <v>431</v>
      </c>
      <c r="L30" s="33" t="s">
        <v>518</v>
      </c>
      <c r="M30" s="33" t="s">
        <v>433</v>
      </c>
      <c r="N30" s="33" t="s">
        <v>434</v>
      </c>
      <c r="O30" s="33" t="s">
        <v>435</v>
      </c>
    </row>
    <row r="31">
      <c r="A31" s="33" t="s">
        <v>519</v>
      </c>
      <c r="B31" s="33" t="s">
        <v>50</v>
      </c>
      <c r="C31" s="33" t="s">
        <v>437</v>
      </c>
      <c r="D31" s="33" t="s">
        <v>426</v>
      </c>
      <c r="E31" s="33" t="s">
        <v>427</v>
      </c>
      <c r="F31" s="33" t="s">
        <v>428</v>
      </c>
      <c r="G31" s="35">
        <v>46219</v>
      </c>
      <c r="H31" s="33" t="s">
        <v>429</v>
      </c>
      <c r="I31" s="33" t="s">
        <v>520</v>
      </c>
      <c r="J31" s="34">
        <v>4410</v>
      </c>
      <c r="K31" s="33" t="s">
        <v>431</v>
      </c>
      <c r="L31" s="33" t="s">
        <v>521</v>
      </c>
      <c r="M31" s="33" t="s">
        <v>433</v>
      </c>
      <c r="N31" s="33" t="s">
        <v>434</v>
      </c>
      <c r="O31" s="33" t="s">
        <v>435</v>
      </c>
    </row>
    <row r="32">
      <c r="A32" s="33" t="s">
        <v>522</v>
      </c>
      <c r="B32" s="33" t="s">
        <v>50</v>
      </c>
      <c r="C32" s="33" t="s">
        <v>441</v>
      </c>
      <c r="D32" s="33" t="s">
        <v>442</v>
      </c>
      <c r="E32" s="33" t="s">
        <v>443</v>
      </c>
      <c r="F32" s="33" t="s">
        <v>444</v>
      </c>
      <c r="G32" s="35">
        <v>46219</v>
      </c>
      <c r="H32" s="33" t="s">
        <v>445</v>
      </c>
      <c r="I32" s="33" t="s">
        <v>523</v>
      </c>
      <c r="J32" s="34">
        <v>-395</v>
      </c>
      <c r="K32" s="33" t="s">
        <v>431</v>
      </c>
      <c r="L32" s="33" t="s">
        <v>524</v>
      </c>
      <c r="M32" s="33" t="s">
        <v>433</v>
      </c>
      <c r="N32" s="33" t="s">
        <v>434</v>
      </c>
      <c r="O32" s="33" t="s">
        <v>435</v>
      </c>
    </row>
    <row r="33">
      <c r="A33" s="33" t="s">
        <v>525</v>
      </c>
      <c r="B33" s="33" t="s">
        <v>50</v>
      </c>
      <c r="C33" s="33" t="s">
        <v>449</v>
      </c>
      <c r="D33" s="33" t="s">
        <v>442</v>
      </c>
      <c r="E33" s="33" t="s">
        <v>443</v>
      </c>
      <c r="F33" s="33" t="s">
        <v>444</v>
      </c>
      <c r="G33" s="35">
        <v>46219</v>
      </c>
      <c r="H33" s="33" t="s">
        <v>445</v>
      </c>
      <c r="I33" s="33" t="s">
        <v>526</v>
      </c>
      <c r="J33" s="34">
        <v>1409</v>
      </c>
      <c r="K33" s="33" t="s">
        <v>431</v>
      </c>
      <c r="L33" s="33" t="s">
        <v>527</v>
      </c>
      <c r="M33" s="33" t="s">
        <v>433</v>
      </c>
      <c r="N33" s="33" t="s">
        <v>434</v>
      </c>
      <c r="O33" s="33" t="s">
        <v>435</v>
      </c>
    </row>
    <row r="34">
      <c r="A34" s="33" t="s">
        <v>528</v>
      </c>
      <c r="B34" s="33" t="s">
        <v>50</v>
      </c>
      <c r="C34" s="33" t="s">
        <v>453</v>
      </c>
      <c r="D34" s="33" t="s">
        <v>442</v>
      </c>
      <c r="E34" s="33" t="s">
        <v>443</v>
      </c>
      <c r="F34" s="33" t="s">
        <v>444</v>
      </c>
      <c r="G34" s="35">
        <v>46219</v>
      </c>
      <c r="H34" s="33" t="s">
        <v>445</v>
      </c>
      <c r="I34" s="33" t="s">
        <v>529</v>
      </c>
      <c r="J34" s="34">
        <v>1098</v>
      </c>
      <c r="K34" s="33" t="s">
        <v>431</v>
      </c>
      <c r="L34" s="33" t="s">
        <v>530</v>
      </c>
      <c r="M34" s="33" t="s">
        <v>433</v>
      </c>
      <c r="N34" s="33" t="s">
        <v>434</v>
      </c>
      <c r="O34" s="33" t="s">
        <v>435</v>
      </c>
    </row>
    <row r="35">
      <c r="A35" s="33" t="s">
        <v>531</v>
      </c>
      <c r="B35" s="33" t="s">
        <v>51</v>
      </c>
      <c r="C35" s="33" t="s">
        <v>425</v>
      </c>
      <c r="D35" s="33" t="s">
        <v>426</v>
      </c>
      <c r="E35" s="33" t="s">
        <v>427</v>
      </c>
      <c r="F35" s="33" t="s">
        <v>428</v>
      </c>
      <c r="G35" s="35">
        <v>46219</v>
      </c>
      <c r="H35" s="33" t="s">
        <v>429</v>
      </c>
      <c r="I35" s="33" t="s">
        <v>532</v>
      </c>
      <c r="J35" s="34">
        <v>8</v>
      </c>
      <c r="K35" s="33" t="s">
        <v>431</v>
      </c>
      <c r="L35" s="33" t="s">
        <v>533</v>
      </c>
      <c r="M35" s="33" t="s">
        <v>433</v>
      </c>
      <c r="N35" s="33" t="s">
        <v>434</v>
      </c>
      <c r="O35" s="33" t="s">
        <v>435</v>
      </c>
    </row>
    <row r="36">
      <c r="A36" s="33" t="s">
        <v>534</v>
      </c>
      <c r="B36" s="33" t="s">
        <v>51</v>
      </c>
      <c r="C36" s="33" t="s">
        <v>437</v>
      </c>
      <c r="D36" s="33" t="s">
        <v>426</v>
      </c>
      <c r="E36" s="33" t="s">
        <v>427</v>
      </c>
      <c r="F36" s="33" t="s">
        <v>428</v>
      </c>
      <c r="G36" s="35">
        <v>46219</v>
      </c>
      <c r="H36" s="33" t="s">
        <v>429</v>
      </c>
      <c r="I36" s="33" t="s">
        <v>535</v>
      </c>
      <c r="J36" s="34">
        <v>17</v>
      </c>
      <c r="K36" s="33" t="s">
        <v>431</v>
      </c>
      <c r="L36" s="33" t="s">
        <v>536</v>
      </c>
      <c r="M36" s="33" t="s">
        <v>433</v>
      </c>
      <c r="N36" s="33" t="s">
        <v>434</v>
      </c>
      <c r="O36" s="33" t="s">
        <v>435</v>
      </c>
    </row>
    <row r="37">
      <c r="A37" s="33" t="s">
        <v>537</v>
      </c>
      <c r="B37" s="33" t="s">
        <v>51</v>
      </c>
      <c r="C37" s="33" t="s">
        <v>441</v>
      </c>
      <c r="D37" s="33" t="s">
        <v>442</v>
      </c>
      <c r="E37" s="33" t="s">
        <v>443</v>
      </c>
      <c r="F37" s="33" t="s">
        <v>444</v>
      </c>
      <c r="G37" s="35">
        <v>46219</v>
      </c>
      <c r="H37" s="33" t="s">
        <v>445</v>
      </c>
      <c r="I37" s="33" t="s">
        <v>538</v>
      </c>
      <c r="J37" s="34">
        <v>30</v>
      </c>
      <c r="K37" s="33" t="s">
        <v>431</v>
      </c>
      <c r="L37" s="33" t="s">
        <v>539</v>
      </c>
      <c r="M37" s="33" t="s">
        <v>433</v>
      </c>
      <c r="N37" s="33" t="s">
        <v>434</v>
      </c>
      <c r="O37" s="33" t="s">
        <v>435</v>
      </c>
    </row>
    <row r="38">
      <c r="A38" s="33" t="s">
        <v>540</v>
      </c>
      <c r="B38" s="33" t="s">
        <v>51</v>
      </c>
      <c r="C38" s="33" t="s">
        <v>449</v>
      </c>
      <c r="D38" s="33" t="s">
        <v>442</v>
      </c>
      <c r="E38" s="33" t="s">
        <v>443</v>
      </c>
      <c r="F38" s="33" t="s">
        <v>444</v>
      </c>
      <c r="G38" s="35">
        <v>46219</v>
      </c>
      <c r="H38" s="33" t="s">
        <v>445</v>
      </c>
      <c r="I38" s="33" t="s">
        <v>541</v>
      </c>
      <c r="J38" s="34">
        <v>89</v>
      </c>
      <c r="K38" s="33" t="s">
        <v>431</v>
      </c>
      <c r="L38" s="33" t="s">
        <v>542</v>
      </c>
      <c r="M38" s="33" t="s">
        <v>433</v>
      </c>
      <c r="N38" s="33" t="s">
        <v>434</v>
      </c>
      <c r="O38" s="33" t="s">
        <v>435</v>
      </c>
    </row>
    <row r="39">
      <c r="A39" s="33" t="s">
        <v>543</v>
      </c>
      <c r="B39" s="33" t="s">
        <v>51</v>
      </c>
      <c r="C39" s="33" t="s">
        <v>453</v>
      </c>
      <c r="D39" s="33" t="s">
        <v>442</v>
      </c>
      <c r="E39" s="33" t="s">
        <v>443</v>
      </c>
      <c r="F39" s="33" t="s">
        <v>444</v>
      </c>
      <c r="G39" s="35">
        <v>46219</v>
      </c>
      <c r="H39" s="33" t="s">
        <v>445</v>
      </c>
      <c r="I39" s="33" t="s">
        <v>544</v>
      </c>
      <c r="J39" s="34">
        <v>73</v>
      </c>
      <c r="K39" s="33" t="s">
        <v>431</v>
      </c>
      <c r="L39" s="33" t="s">
        <v>545</v>
      </c>
      <c r="M39" s="33" t="s">
        <v>433</v>
      </c>
      <c r="N39" s="33" t="s">
        <v>434</v>
      </c>
      <c r="O39" s="33" t="s">
        <v>435</v>
      </c>
    </row>
    <row r="40">
      <c r="A40" s="33" t="s">
        <v>546</v>
      </c>
      <c r="B40" s="33" t="s">
        <v>52</v>
      </c>
      <c r="C40" s="33" t="s">
        <v>425</v>
      </c>
      <c r="D40" s="33" t="s">
        <v>426</v>
      </c>
      <c r="E40" s="33" t="s">
        <v>427</v>
      </c>
      <c r="F40" s="33" t="s">
        <v>428</v>
      </c>
      <c r="G40" s="35">
        <v>46219</v>
      </c>
      <c r="H40" s="33" t="s">
        <v>429</v>
      </c>
      <c r="I40" s="33" t="s">
        <v>547</v>
      </c>
      <c r="J40" s="34">
        <v>428</v>
      </c>
      <c r="K40" s="33" t="s">
        <v>431</v>
      </c>
      <c r="L40" s="33" t="s">
        <v>548</v>
      </c>
      <c r="M40" s="33" t="s">
        <v>433</v>
      </c>
      <c r="N40" s="33" t="s">
        <v>434</v>
      </c>
      <c r="O40" s="33" t="s">
        <v>435</v>
      </c>
    </row>
    <row r="41">
      <c r="A41" s="33" t="s">
        <v>549</v>
      </c>
      <c r="B41" s="33" t="s">
        <v>52</v>
      </c>
      <c r="C41" s="33" t="s">
        <v>437</v>
      </c>
      <c r="D41" s="33" t="s">
        <v>426</v>
      </c>
      <c r="E41" s="33" t="s">
        <v>427</v>
      </c>
      <c r="F41" s="33" t="s">
        <v>428</v>
      </c>
      <c r="G41" s="35">
        <v>46219</v>
      </c>
      <c r="H41" s="33" t="s">
        <v>429</v>
      </c>
      <c r="I41" s="33" t="s">
        <v>550</v>
      </c>
      <c r="J41" s="34">
        <v>365</v>
      </c>
      <c r="K41" s="33" t="s">
        <v>431</v>
      </c>
      <c r="L41" s="33" t="s">
        <v>551</v>
      </c>
      <c r="M41" s="33" t="s">
        <v>433</v>
      </c>
      <c r="N41" s="33" t="s">
        <v>434</v>
      </c>
      <c r="O41" s="33" t="s">
        <v>435</v>
      </c>
    </row>
    <row r="42">
      <c r="A42" s="33" t="s">
        <v>552</v>
      </c>
      <c r="B42" s="33" t="s">
        <v>52</v>
      </c>
      <c r="C42" s="33" t="s">
        <v>441</v>
      </c>
      <c r="D42" s="33" t="s">
        <v>442</v>
      </c>
      <c r="E42" s="33" t="s">
        <v>443</v>
      </c>
      <c r="F42" s="33" t="s">
        <v>444</v>
      </c>
      <c r="G42" s="35">
        <v>46219</v>
      </c>
      <c r="H42" s="33" t="s">
        <v>445</v>
      </c>
      <c r="I42" s="33" t="s">
        <v>553</v>
      </c>
      <c r="J42" s="34">
        <v>355</v>
      </c>
      <c r="K42" s="33" t="s">
        <v>431</v>
      </c>
      <c r="L42" s="33" t="s">
        <v>554</v>
      </c>
      <c r="M42" s="33" t="s">
        <v>433</v>
      </c>
      <c r="N42" s="33" t="s">
        <v>434</v>
      </c>
      <c r="O42" s="33" t="s">
        <v>435</v>
      </c>
    </row>
    <row r="43">
      <c r="A43" s="33" t="s">
        <v>555</v>
      </c>
      <c r="B43" s="33" t="s">
        <v>52</v>
      </c>
      <c r="C43" s="33" t="s">
        <v>449</v>
      </c>
      <c r="D43" s="33" t="s">
        <v>442</v>
      </c>
      <c r="E43" s="33" t="s">
        <v>443</v>
      </c>
      <c r="F43" s="33" t="s">
        <v>444</v>
      </c>
      <c r="G43" s="35">
        <v>46219</v>
      </c>
      <c r="H43" s="33" t="s">
        <v>445</v>
      </c>
      <c r="I43" s="33" t="s">
        <v>556</v>
      </c>
      <c r="J43" s="34">
        <v>481</v>
      </c>
      <c r="K43" s="33" t="s">
        <v>431</v>
      </c>
      <c r="L43" s="33" t="s">
        <v>557</v>
      </c>
      <c r="M43" s="33" t="s">
        <v>433</v>
      </c>
      <c r="N43" s="33" t="s">
        <v>434</v>
      </c>
      <c r="O43" s="33" t="s">
        <v>435</v>
      </c>
    </row>
    <row r="44">
      <c r="A44" s="33" t="s">
        <v>558</v>
      </c>
      <c r="B44" s="33" t="s">
        <v>52</v>
      </c>
      <c r="C44" s="33" t="s">
        <v>453</v>
      </c>
      <c r="D44" s="33" t="s">
        <v>442</v>
      </c>
      <c r="E44" s="33" t="s">
        <v>443</v>
      </c>
      <c r="F44" s="33" t="s">
        <v>444</v>
      </c>
      <c r="G44" s="35">
        <v>46219</v>
      </c>
      <c r="H44" s="33" t="s">
        <v>445</v>
      </c>
      <c r="I44" s="33" t="s">
        <v>559</v>
      </c>
      <c r="J44" s="34">
        <v>449</v>
      </c>
      <c r="K44" s="33" t="s">
        <v>431</v>
      </c>
      <c r="L44" s="33" t="s">
        <v>560</v>
      </c>
      <c r="M44" s="33" t="s">
        <v>433</v>
      </c>
      <c r="N44" s="33" t="s">
        <v>434</v>
      </c>
      <c r="O44" s="33" t="s">
        <v>435</v>
      </c>
    </row>
    <row r="45">
      <c r="A45" s="33" t="s">
        <v>561</v>
      </c>
      <c r="B45" s="33" t="s">
        <v>53</v>
      </c>
      <c r="C45" s="33" t="s">
        <v>425</v>
      </c>
      <c r="D45" s="33" t="s">
        <v>426</v>
      </c>
      <c r="E45" s="33" t="s">
        <v>427</v>
      </c>
      <c r="F45" s="33" t="s">
        <v>428</v>
      </c>
      <c r="G45" s="35">
        <v>46219</v>
      </c>
      <c r="H45" s="33" t="s">
        <v>429</v>
      </c>
      <c r="I45" s="33" t="s">
        <v>562</v>
      </c>
      <c r="J45" s="34">
        <v>65</v>
      </c>
      <c r="K45" s="33" t="s">
        <v>431</v>
      </c>
      <c r="L45" s="33" t="s">
        <v>563</v>
      </c>
      <c r="M45" s="33" t="s">
        <v>433</v>
      </c>
      <c r="N45" s="33" t="s">
        <v>434</v>
      </c>
      <c r="O45" s="33" t="s">
        <v>435</v>
      </c>
    </row>
    <row r="46">
      <c r="A46" s="33" t="s">
        <v>564</v>
      </c>
      <c r="B46" s="33" t="s">
        <v>53</v>
      </c>
      <c r="C46" s="33" t="s">
        <v>437</v>
      </c>
      <c r="D46" s="33" t="s">
        <v>426</v>
      </c>
      <c r="E46" s="33" t="s">
        <v>427</v>
      </c>
      <c r="F46" s="33" t="s">
        <v>428</v>
      </c>
      <c r="G46" s="35">
        <v>46219</v>
      </c>
      <c r="H46" s="33" t="s">
        <v>429</v>
      </c>
      <c r="I46" s="33" t="s">
        <v>565</v>
      </c>
      <c r="J46" s="34">
        <v>87</v>
      </c>
      <c r="K46" s="33" t="s">
        <v>431</v>
      </c>
      <c r="L46" s="33" t="s">
        <v>566</v>
      </c>
      <c r="M46" s="33" t="s">
        <v>433</v>
      </c>
      <c r="N46" s="33" t="s">
        <v>434</v>
      </c>
      <c r="O46" s="33" t="s">
        <v>435</v>
      </c>
    </row>
    <row r="47">
      <c r="A47" s="33" t="s">
        <v>567</v>
      </c>
      <c r="B47" s="33" t="s">
        <v>53</v>
      </c>
      <c r="C47" s="33" t="s">
        <v>441</v>
      </c>
      <c r="D47" s="33" t="s">
        <v>442</v>
      </c>
      <c r="E47" s="33" t="s">
        <v>443</v>
      </c>
      <c r="F47" s="33" t="s">
        <v>444</v>
      </c>
      <c r="G47" s="35">
        <v>46219</v>
      </c>
      <c r="H47" s="33" t="s">
        <v>445</v>
      </c>
      <c r="I47" s="33" t="s">
        <v>568</v>
      </c>
      <c r="J47" s="34">
        <v>42</v>
      </c>
      <c r="K47" s="33" t="s">
        <v>431</v>
      </c>
      <c r="L47" s="33" t="s">
        <v>569</v>
      </c>
      <c r="M47" s="33" t="s">
        <v>433</v>
      </c>
      <c r="N47" s="33" t="s">
        <v>434</v>
      </c>
      <c r="O47" s="33" t="s">
        <v>435</v>
      </c>
    </row>
    <row r="48">
      <c r="A48" s="33" t="s">
        <v>570</v>
      </c>
      <c r="B48" s="33" t="s">
        <v>53</v>
      </c>
      <c r="C48" s="33" t="s">
        <v>449</v>
      </c>
      <c r="D48" s="33" t="s">
        <v>442</v>
      </c>
      <c r="E48" s="33" t="s">
        <v>443</v>
      </c>
      <c r="F48" s="33" t="s">
        <v>444</v>
      </c>
      <c r="G48" s="35">
        <v>46219</v>
      </c>
      <c r="H48" s="33" t="s">
        <v>445</v>
      </c>
      <c r="I48" s="33" t="s">
        <v>571</v>
      </c>
      <c r="J48" s="34">
        <v>75</v>
      </c>
      <c r="K48" s="33" t="s">
        <v>431</v>
      </c>
      <c r="L48" s="33" t="s">
        <v>572</v>
      </c>
      <c r="M48" s="33" t="s">
        <v>433</v>
      </c>
      <c r="N48" s="33" t="s">
        <v>434</v>
      </c>
      <c r="O48" s="33" t="s">
        <v>435</v>
      </c>
    </row>
    <row r="49">
      <c r="A49" s="33" t="s">
        <v>573</v>
      </c>
      <c r="B49" s="33" t="s">
        <v>53</v>
      </c>
      <c r="C49" s="33" t="s">
        <v>453</v>
      </c>
      <c r="D49" s="33" t="s">
        <v>442</v>
      </c>
      <c r="E49" s="33" t="s">
        <v>443</v>
      </c>
      <c r="F49" s="33" t="s">
        <v>444</v>
      </c>
      <c r="G49" s="35">
        <v>46219</v>
      </c>
      <c r="H49" s="33" t="s">
        <v>445</v>
      </c>
      <c r="I49" s="33" t="s">
        <v>574</v>
      </c>
      <c r="J49" s="34">
        <v>47</v>
      </c>
      <c r="K49" s="33" t="s">
        <v>431</v>
      </c>
      <c r="L49" s="33" t="s">
        <v>575</v>
      </c>
      <c r="M49" s="33" t="s">
        <v>433</v>
      </c>
      <c r="N49" s="33" t="s">
        <v>434</v>
      </c>
      <c r="O49" s="33" t="s">
        <v>435</v>
      </c>
    </row>
    <row r="50">
      <c r="A50" s="33" t="s">
        <v>576</v>
      </c>
      <c r="B50" s="33" t="s">
        <v>54</v>
      </c>
      <c r="C50" s="33" t="s">
        <v>425</v>
      </c>
      <c r="D50" s="33" t="s">
        <v>426</v>
      </c>
      <c r="E50" s="33" t="s">
        <v>427</v>
      </c>
      <c r="F50" s="33" t="s">
        <v>428</v>
      </c>
      <c r="G50" s="35">
        <v>46219</v>
      </c>
      <c r="H50" s="33" t="s">
        <v>429</v>
      </c>
      <c r="I50" s="33" t="s">
        <v>577</v>
      </c>
      <c r="J50" s="34">
        <v>4041</v>
      </c>
      <c r="K50" s="33" t="s">
        <v>431</v>
      </c>
      <c r="L50" s="33" t="s">
        <v>578</v>
      </c>
      <c r="M50" s="33" t="s">
        <v>433</v>
      </c>
      <c r="N50" s="33" t="s">
        <v>434</v>
      </c>
      <c r="O50" s="33" t="s">
        <v>435</v>
      </c>
    </row>
    <row r="51">
      <c r="A51" s="33" t="s">
        <v>579</v>
      </c>
      <c r="B51" s="33" t="s">
        <v>54</v>
      </c>
      <c r="C51" s="33" t="s">
        <v>437</v>
      </c>
      <c r="D51" s="33" t="s">
        <v>426</v>
      </c>
      <c r="E51" s="33" t="s">
        <v>427</v>
      </c>
      <c r="F51" s="33" t="s">
        <v>428</v>
      </c>
      <c r="G51" s="35">
        <v>46219</v>
      </c>
      <c r="H51" s="33" t="s">
        <v>429</v>
      </c>
      <c r="I51" s="33" t="s">
        <v>580</v>
      </c>
      <c r="J51" s="34">
        <v>4149</v>
      </c>
      <c r="K51" s="33" t="s">
        <v>431</v>
      </c>
      <c r="L51" s="33" t="s">
        <v>581</v>
      </c>
      <c r="M51" s="33" t="s">
        <v>433</v>
      </c>
      <c r="N51" s="33" t="s">
        <v>434</v>
      </c>
      <c r="O51" s="33" t="s">
        <v>435</v>
      </c>
    </row>
    <row r="52">
      <c r="A52" s="33" t="s">
        <v>582</v>
      </c>
      <c r="B52" s="33" t="s">
        <v>54</v>
      </c>
      <c r="C52" s="33" t="s">
        <v>441</v>
      </c>
      <c r="D52" s="33" t="s">
        <v>442</v>
      </c>
      <c r="E52" s="33" t="s">
        <v>443</v>
      </c>
      <c r="F52" s="33" t="s">
        <v>444</v>
      </c>
      <c r="G52" s="35">
        <v>46219</v>
      </c>
      <c r="H52" s="33" t="s">
        <v>445</v>
      </c>
      <c r="I52" s="33" t="s">
        <v>583</v>
      </c>
      <c r="J52" s="34">
        <v>-678</v>
      </c>
      <c r="K52" s="33" t="s">
        <v>431</v>
      </c>
      <c r="L52" s="33" t="s">
        <v>584</v>
      </c>
      <c r="M52" s="33" t="s">
        <v>433</v>
      </c>
      <c r="N52" s="33" t="s">
        <v>434</v>
      </c>
      <c r="O52" s="33" t="s">
        <v>435</v>
      </c>
    </row>
    <row r="53">
      <c r="A53" s="33" t="s">
        <v>585</v>
      </c>
      <c r="B53" s="33" t="s">
        <v>54</v>
      </c>
      <c r="C53" s="33" t="s">
        <v>449</v>
      </c>
      <c r="D53" s="33" t="s">
        <v>442</v>
      </c>
      <c r="E53" s="33" t="s">
        <v>443</v>
      </c>
      <c r="F53" s="33" t="s">
        <v>444</v>
      </c>
      <c r="G53" s="35">
        <v>46219</v>
      </c>
      <c r="H53" s="33" t="s">
        <v>445</v>
      </c>
      <c r="I53" s="33" t="s">
        <v>586</v>
      </c>
      <c r="J53" s="34">
        <v>1092</v>
      </c>
      <c r="K53" s="33" t="s">
        <v>431</v>
      </c>
      <c r="L53" s="33" t="s">
        <v>587</v>
      </c>
      <c r="M53" s="33" t="s">
        <v>433</v>
      </c>
      <c r="N53" s="33" t="s">
        <v>434</v>
      </c>
      <c r="O53" s="33" t="s">
        <v>435</v>
      </c>
    </row>
    <row r="54">
      <c r="A54" s="33" t="s">
        <v>588</v>
      </c>
      <c r="B54" s="33" t="s">
        <v>54</v>
      </c>
      <c r="C54" s="33" t="s">
        <v>453</v>
      </c>
      <c r="D54" s="33" t="s">
        <v>442</v>
      </c>
      <c r="E54" s="33" t="s">
        <v>443</v>
      </c>
      <c r="F54" s="33" t="s">
        <v>444</v>
      </c>
      <c r="G54" s="35">
        <v>46219</v>
      </c>
      <c r="H54" s="33" t="s">
        <v>445</v>
      </c>
      <c r="I54" s="33" t="s">
        <v>589</v>
      </c>
      <c r="J54" s="34">
        <v>769</v>
      </c>
      <c r="K54" s="33" t="s">
        <v>431</v>
      </c>
      <c r="L54" s="33" t="s">
        <v>590</v>
      </c>
      <c r="M54" s="33" t="s">
        <v>433</v>
      </c>
      <c r="N54" s="33" t="s">
        <v>434</v>
      </c>
      <c r="O54" s="33" t="s">
        <v>435</v>
      </c>
    </row>
    <row r="55">
      <c r="A55" s="33" t="s">
        <v>591</v>
      </c>
      <c r="B55" s="33" t="s">
        <v>55</v>
      </c>
      <c r="C55" s="33" t="s">
        <v>425</v>
      </c>
      <c r="D55" s="33" t="s">
        <v>426</v>
      </c>
      <c r="E55" s="33" t="s">
        <v>427</v>
      </c>
      <c r="F55" s="33" t="s">
        <v>428</v>
      </c>
      <c r="G55" s="35">
        <v>46219</v>
      </c>
      <c r="H55" s="33" t="s">
        <v>429</v>
      </c>
      <c r="I55" s="33" t="s">
        <v>592</v>
      </c>
      <c r="J55" s="34">
        <v>981</v>
      </c>
      <c r="K55" s="33" t="s">
        <v>431</v>
      </c>
      <c r="L55" s="33" t="s">
        <v>593</v>
      </c>
      <c r="M55" s="33" t="s">
        <v>433</v>
      </c>
      <c r="N55" s="33" t="s">
        <v>434</v>
      </c>
      <c r="O55" s="33" t="s">
        <v>435</v>
      </c>
    </row>
    <row r="56">
      <c r="A56" s="33" t="s">
        <v>594</v>
      </c>
      <c r="B56" s="33" t="s">
        <v>55</v>
      </c>
      <c r="C56" s="33" t="s">
        <v>437</v>
      </c>
      <c r="D56" s="33" t="s">
        <v>426</v>
      </c>
      <c r="E56" s="33" t="s">
        <v>427</v>
      </c>
      <c r="F56" s="33" t="s">
        <v>428</v>
      </c>
      <c r="G56" s="35">
        <v>46219</v>
      </c>
      <c r="H56" s="33" t="s">
        <v>429</v>
      </c>
      <c r="I56" s="33" t="s">
        <v>595</v>
      </c>
      <c r="J56" s="34">
        <v>900</v>
      </c>
      <c r="K56" s="33" t="s">
        <v>431</v>
      </c>
      <c r="L56" s="33" t="s">
        <v>596</v>
      </c>
      <c r="M56" s="33" t="s">
        <v>433</v>
      </c>
      <c r="N56" s="33" t="s">
        <v>434</v>
      </c>
      <c r="O56" s="33" t="s">
        <v>435</v>
      </c>
    </row>
    <row r="57">
      <c r="A57" s="33" t="s">
        <v>597</v>
      </c>
      <c r="B57" s="33" t="s">
        <v>55</v>
      </c>
      <c r="C57" s="33" t="s">
        <v>441</v>
      </c>
      <c r="D57" s="33" t="s">
        <v>442</v>
      </c>
      <c r="E57" s="33" t="s">
        <v>443</v>
      </c>
      <c r="F57" s="33" t="s">
        <v>444</v>
      </c>
      <c r="G57" s="35">
        <v>46219</v>
      </c>
      <c r="H57" s="33" t="s">
        <v>445</v>
      </c>
      <c r="I57" s="33" t="s">
        <v>598</v>
      </c>
      <c r="J57" s="34">
        <v>-29</v>
      </c>
      <c r="K57" s="33" t="s">
        <v>431</v>
      </c>
      <c r="L57" s="33" t="s">
        <v>599</v>
      </c>
      <c r="M57" s="33" t="s">
        <v>433</v>
      </c>
      <c r="N57" s="33" t="s">
        <v>434</v>
      </c>
      <c r="O57" s="33" t="s">
        <v>435</v>
      </c>
    </row>
    <row r="58">
      <c r="A58" s="33" t="s">
        <v>600</v>
      </c>
      <c r="B58" s="33" t="s">
        <v>55</v>
      </c>
      <c r="C58" s="33" t="s">
        <v>449</v>
      </c>
      <c r="D58" s="33" t="s">
        <v>442</v>
      </c>
      <c r="E58" s="33" t="s">
        <v>443</v>
      </c>
      <c r="F58" s="33" t="s">
        <v>444</v>
      </c>
      <c r="G58" s="35">
        <v>46219</v>
      </c>
      <c r="H58" s="33" t="s">
        <v>445</v>
      </c>
      <c r="I58" s="33" t="s">
        <v>601</v>
      </c>
      <c r="J58" s="34">
        <v>270</v>
      </c>
      <c r="K58" s="33" t="s">
        <v>431</v>
      </c>
      <c r="L58" s="33" t="s">
        <v>602</v>
      </c>
      <c r="M58" s="33" t="s">
        <v>433</v>
      </c>
      <c r="N58" s="33" t="s">
        <v>434</v>
      </c>
      <c r="O58" s="33" t="s">
        <v>435</v>
      </c>
    </row>
    <row r="59">
      <c r="A59" s="33" t="s">
        <v>603</v>
      </c>
      <c r="B59" s="33" t="s">
        <v>55</v>
      </c>
      <c r="C59" s="33" t="s">
        <v>453</v>
      </c>
      <c r="D59" s="33" t="s">
        <v>442</v>
      </c>
      <c r="E59" s="33" t="s">
        <v>443</v>
      </c>
      <c r="F59" s="33" t="s">
        <v>444</v>
      </c>
      <c r="G59" s="35">
        <v>46219</v>
      </c>
      <c r="H59" s="33" t="s">
        <v>445</v>
      </c>
      <c r="I59" s="33" t="s">
        <v>604</v>
      </c>
      <c r="J59" s="34">
        <v>262</v>
      </c>
      <c r="K59" s="33" t="s">
        <v>431</v>
      </c>
      <c r="L59" s="33" t="s">
        <v>605</v>
      </c>
      <c r="M59" s="33" t="s">
        <v>433</v>
      </c>
      <c r="N59" s="33" t="s">
        <v>434</v>
      </c>
      <c r="O59" s="33" t="s">
        <v>435</v>
      </c>
    </row>
    <row r="60">
      <c r="A60" s="33" t="s">
        <v>606</v>
      </c>
      <c r="B60" s="33" t="s">
        <v>56</v>
      </c>
      <c r="C60" s="33" t="s">
        <v>425</v>
      </c>
      <c r="D60" s="33" t="s">
        <v>426</v>
      </c>
      <c r="E60" s="33" t="s">
        <v>427</v>
      </c>
      <c r="F60" s="33" t="s">
        <v>428</v>
      </c>
      <c r="G60" s="35">
        <v>46219</v>
      </c>
      <c r="H60" s="33" t="s">
        <v>429</v>
      </c>
      <c r="I60" s="33" t="s">
        <v>607</v>
      </c>
      <c r="J60" s="34">
        <v>3060</v>
      </c>
      <c r="K60" s="33" t="s">
        <v>431</v>
      </c>
      <c r="L60" s="33" t="s">
        <v>608</v>
      </c>
      <c r="M60" s="33" t="s">
        <v>433</v>
      </c>
      <c r="N60" s="33" t="s">
        <v>434</v>
      </c>
      <c r="O60" s="33" t="s">
        <v>435</v>
      </c>
    </row>
    <row r="61">
      <c r="A61" s="33" t="s">
        <v>609</v>
      </c>
      <c r="B61" s="33" t="s">
        <v>56</v>
      </c>
      <c r="C61" s="33" t="s">
        <v>437</v>
      </c>
      <c r="D61" s="33" t="s">
        <v>426</v>
      </c>
      <c r="E61" s="33" t="s">
        <v>427</v>
      </c>
      <c r="F61" s="33" t="s">
        <v>428</v>
      </c>
      <c r="G61" s="35">
        <v>46219</v>
      </c>
      <c r="H61" s="33" t="s">
        <v>429</v>
      </c>
      <c r="I61" s="33" t="s">
        <v>610</v>
      </c>
      <c r="J61" s="34">
        <v>3249</v>
      </c>
      <c r="K61" s="33" t="s">
        <v>431</v>
      </c>
      <c r="L61" s="33" t="s">
        <v>611</v>
      </c>
      <c r="M61" s="33" t="s">
        <v>433</v>
      </c>
      <c r="N61" s="33" t="s">
        <v>434</v>
      </c>
      <c r="O61" s="33" t="s">
        <v>435</v>
      </c>
    </row>
    <row r="62">
      <c r="A62" s="33" t="s">
        <v>612</v>
      </c>
      <c r="B62" s="33" t="s">
        <v>56</v>
      </c>
      <c r="C62" s="33" t="s">
        <v>441</v>
      </c>
      <c r="D62" s="33" t="s">
        <v>442</v>
      </c>
      <c r="E62" s="33" t="s">
        <v>443</v>
      </c>
      <c r="F62" s="33" t="s">
        <v>444</v>
      </c>
      <c r="G62" s="35">
        <v>46219</v>
      </c>
      <c r="H62" s="33" t="s">
        <v>445</v>
      </c>
      <c r="I62" s="33" t="s">
        <v>613</v>
      </c>
      <c r="J62" s="34">
        <v>-649</v>
      </c>
      <c r="K62" s="33" t="s">
        <v>431</v>
      </c>
      <c r="L62" s="33" t="s">
        <v>614</v>
      </c>
      <c r="M62" s="33" t="s">
        <v>433</v>
      </c>
      <c r="N62" s="33" t="s">
        <v>434</v>
      </c>
      <c r="O62" s="33" t="s">
        <v>435</v>
      </c>
    </row>
    <row r="63">
      <c r="A63" s="33" t="s">
        <v>615</v>
      </c>
      <c r="B63" s="33" t="s">
        <v>56</v>
      </c>
      <c r="C63" s="33" t="s">
        <v>449</v>
      </c>
      <c r="D63" s="33" t="s">
        <v>442</v>
      </c>
      <c r="E63" s="33" t="s">
        <v>443</v>
      </c>
      <c r="F63" s="33" t="s">
        <v>444</v>
      </c>
      <c r="G63" s="35">
        <v>46219</v>
      </c>
      <c r="H63" s="33" t="s">
        <v>445</v>
      </c>
      <c r="I63" s="33" t="s">
        <v>616</v>
      </c>
      <c r="J63" s="34">
        <v>822</v>
      </c>
      <c r="K63" s="33" t="s">
        <v>431</v>
      </c>
      <c r="L63" s="33" t="s">
        <v>617</v>
      </c>
      <c r="M63" s="33" t="s">
        <v>433</v>
      </c>
      <c r="N63" s="33" t="s">
        <v>434</v>
      </c>
      <c r="O63" s="33" t="s">
        <v>435</v>
      </c>
    </row>
    <row r="64">
      <c r="A64" s="33" t="s">
        <v>618</v>
      </c>
      <c r="B64" s="33" t="s">
        <v>56</v>
      </c>
      <c r="C64" s="33" t="s">
        <v>453</v>
      </c>
      <c r="D64" s="33" t="s">
        <v>442</v>
      </c>
      <c r="E64" s="33" t="s">
        <v>443</v>
      </c>
      <c r="F64" s="33" t="s">
        <v>444</v>
      </c>
      <c r="G64" s="35">
        <v>46219</v>
      </c>
      <c r="H64" s="33" t="s">
        <v>445</v>
      </c>
      <c r="I64" s="33" t="s">
        <v>619</v>
      </c>
      <c r="J64" s="34">
        <v>507</v>
      </c>
      <c r="K64" s="33" t="s">
        <v>431</v>
      </c>
      <c r="L64" s="33" t="s">
        <v>620</v>
      </c>
      <c r="M64" s="33" t="s">
        <v>433</v>
      </c>
      <c r="N64" s="33" t="s">
        <v>434</v>
      </c>
      <c r="O64" s="33" t="s">
        <v>435</v>
      </c>
    </row>
    <row r="65">
      <c r="A65" s="33" t="s">
        <v>621</v>
      </c>
      <c r="B65" s="33" t="s">
        <v>57</v>
      </c>
      <c r="C65" s="33" t="s">
        <v>425</v>
      </c>
      <c r="D65" s="33" t="s">
        <v>426</v>
      </c>
      <c r="E65" s="33" t="s">
        <v>427</v>
      </c>
      <c r="F65" s="33" t="s">
        <v>428</v>
      </c>
      <c r="G65" s="35">
        <v>46219</v>
      </c>
      <c r="H65" s="33" t="s">
        <v>429</v>
      </c>
      <c r="I65" s="33" t="s">
        <v>622</v>
      </c>
      <c r="J65" s="34">
        <v>13</v>
      </c>
      <c r="K65" s="33" t="s">
        <v>431</v>
      </c>
      <c r="L65" s="33" t="s">
        <v>623</v>
      </c>
      <c r="M65" s="33" t="s">
        <v>433</v>
      </c>
      <c r="N65" s="33" t="s">
        <v>434</v>
      </c>
      <c r="O65" s="33" t="s">
        <v>435</v>
      </c>
    </row>
    <row r="66">
      <c r="A66" s="33" t="s">
        <v>624</v>
      </c>
      <c r="B66" s="33" t="s">
        <v>57</v>
      </c>
      <c r="C66" s="33" t="s">
        <v>437</v>
      </c>
      <c r="D66" s="33" t="s">
        <v>426</v>
      </c>
      <c r="E66" s="33" t="s">
        <v>427</v>
      </c>
      <c r="F66" s="33" t="s">
        <v>428</v>
      </c>
      <c r="G66" s="35">
        <v>46219</v>
      </c>
      <c r="H66" s="33" t="s">
        <v>429</v>
      </c>
      <c r="I66" s="33" t="s">
        <v>625</v>
      </c>
      <c r="J66" s="34">
        <v>11</v>
      </c>
      <c r="K66" s="33" t="s">
        <v>431</v>
      </c>
      <c r="L66" s="33" t="s">
        <v>626</v>
      </c>
      <c r="M66" s="33" t="s">
        <v>433</v>
      </c>
      <c r="N66" s="33" t="s">
        <v>434</v>
      </c>
      <c r="O66" s="33" t="s">
        <v>435</v>
      </c>
    </row>
    <row r="67">
      <c r="A67" s="33" t="s">
        <v>627</v>
      </c>
      <c r="B67" s="33" t="s">
        <v>57</v>
      </c>
      <c r="C67" s="33" t="s">
        <v>441</v>
      </c>
      <c r="D67" s="33" t="s">
        <v>442</v>
      </c>
      <c r="E67" s="33" t="s">
        <v>443</v>
      </c>
      <c r="F67" s="33" t="s">
        <v>444</v>
      </c>
      <c r="G67" s="35">
        <v>46219</v>
      </c>
      <c r="H67" s="33" t="s">
        <v>445</v>
      </c>
      <c r="I67" s="33" t="s">
        <v>628</v>
      </c>
      <c r="J67" s="34">
        <v>-1</v>
      </c>
      <c r="K67" s="33" t="s">
        <v>431</v>
      </c>
      <c r="L67" s="33" t="s">
        <v>629</v>
      </c>
      <c r="M67" s="33" t="s">
        <v>433</v>
      </c>
      <c r="N67" s="33" t="s">
        <v>434</v>
      </c>
      <c r="O67" s="33" t="s">
        <v>435</v>
      </c>
    </row>
    <row r="68">
      <c r="A68" s="33" t="s">
        <v>630</v>
      </c>
      <c r="B68" s="33" t="s">
        <v>57</v>
      </c>
      <c r="C68" s="33" t="s">
        <v>449</v>
      </c>
      <c r="D68" s="33" t="s">
        <v>442</v>
      </c>
      <c r="E68" s="33" t="s">
        <v>443</v>
      </c>
      <c r="F68" s="33" t="s">
        <v>444</v>
      </c>
      <c r="G68" s="35">
        <v>46219</v>
      </c>
      <c r="H68" s="33" t="s">
        <v>445</v>
      </c>
      <c r="I68" s="33" t="s">
        <v>631</v>
      </c>
      <c r="J68" s="34">
        <v>22</v>
      </c>
      <c r="K68" s="33" t="s">
        <v>431</v>
      </c>
      <c r="L68" s="33" t="s">
        <v>632</v>
      </c>
      <c r="M68" s="33" t="s">
        <v>433</v>
      </c>
      <c r="N68" s="33" t="s">
        <v>434</v>
      </c>
      <c r="O68" s="33" t="s">
        <v>435</v>
      </c>
    </row>
    <row r="69">
      <c r="A69" s="33" t="s">
        <v>633</v>
      </c>
      <c r="B69" s="33" t="s">
        <v>57</v>
      </c>
      <c r="C69" s="33" t="s">
        <v>453</v>
      </c>
      <c r="D69" s="33" t="s">
        <v>442</v>
      </c>
      <c r="E69" s="33" t="s">
        <v>443</v>
      </c>
      <c r="F69" s="33" t="s">
        <v>444</v>
      </c>
      <c r="G69" s="35">
        <v>46219</v>
      </c>
      <c r="H69" s="33" t="s">
        <v>445</v>
      </c>
      <c r="I69" s="33" t="s">
        <v>634</v>
      </c>
      <c r="J69" s="34">
        <v>33</v>
      </c>
      <c r="K69" s="33" t="s">
        <v>431</v>
      </c>
      <c r="L69" s="33" t="s">
        <v>635</v>
      </c>
      <c r="M69" s="33" t="s">
        <v>433</v>
      </c>
      <c r="N69" s="33" t="s">
        <v>434</v>
      </c>
      <c r="O69" s="33" t="s">
        <v>435</v>
      </c>
    </row>
    <row r="70">
      <c r="A70" s="33" t="s">
        <v>636</v>
      </c>
      <c r="B70" s="33" t="s">
        <v>58</v>
      </c>
      <c r="C70" s="33" t="s">
        <v>425</v>
      </c>
      <c r="D70" s="33" t="s">
        <v>426</v>
      </c>
      <c r="E70" s="33" t="s">
        <v>427</v>
      </c>
      <c r="F70" s="33" t="s">
        <v>428</v>
      </c>
      <c r="G70" s="35">
        <v>46219</v>
      </c>
      <c r="H70" s="33" t="s">
        <v>429</v>
      </c>
      <c r="I70" s="33" t="s">
        <v>637</v>
      </c>
      <c r="J70" s="34">
        <v>3047</v>
      </c>
      <c r="K70" s="33" t="s">
        <v>431</v>
      </c>
      <c r="L70" s="33" t="s">
        <v>638</v>
      </c>
      <c r="M70" s="33" t="s">
        <v>433</v>
      </c>
      <c r="N70" s="33" t="s">
        <v>434</v>
      </c>
      <c r="O70" s="33" t="s">
        <v>435</v>
      </c>
    </row>
    <row r="71">
      <c r="A71" s="33" t="s">
        <v>639</v>
      </c>
      <c r="B71" s="33" t="s">
        <v>58</v>
      </c>
      <c r="C71" s="33" t="s">
        <v>437</v>
      </c>
      <c r="D71" s="33" t="s">
        <v>426</v>
      </c>
      <c r="E71" s="33" t="s">
        <v>427</v>
      </c>
      <c r="F71" s="33" t="s">
        <v>428</v>
      </c>
      <c r="G71" s="35">
        <v>46219</v>
      </c>
      <c r="H71" s="33" t="s">
        <v>429</v>
      </c>
      <c r="I71" s="33" t="s">
        <v>640</v>
      </c>
      <c r="J71" s="34">
        <v>3238</v>
      </c>
      <c r="K71" s="33" t="s">
        <v>431</v>
      </c>
      <c r="L71" s="33" t="s">
        <v>641</v>
      </c>
      <c r="M71" s="33" t="s">
        <v>433</v>
      </c>
      <c r="N71" s="33" t="s">
        <v>434</v>
      </c>
      <c r="O71" s="33" t="s">
        <v>435</v>
      </c>
    </row>
    <row r="72">
      <c r="A72" s="33" t="s">
        <v>642</v>
      </c>
      <c r="B72" s="33" t="s">
        <v>58</v>
      </c>
      <c r="C72" s="33" t="s">
        <v>441</v>
      </c>
      <c r="D72" s="33" t="s">
        <v>442</v>
      </c>
      <c r="E72" s="33" t="s">
        <v>443</v>
      </c>
      <c r="F72" s="33" t="s">
        <v>444</v>
      </c>
      <c r="G72" s="35">
        <v>46219</v>
      </c>
      <c r="H72" s="33" t="s">
        <v>445</v>
      </c>
      <c r="I72" s="33" t="s">
        <v>643</v>
      </c>
      <c r="J72" s="34">
        <v>-648</v>
      </c>
      <c r="K72" s="33" t="s">
        <v>431</v>
      </c>
      <c r="L72" s="33" t="s">
        <v>644</v>
      </c>
      <c r="M72" s="33" t="s">
        <v>433</v>
      </c>
      <c r="N72" s="33" t="s">
        <v>434</v>
      </c>
      <c r="O72" s="33" t="s">
        <v>435</v>
      </c>
    </row>
    <row r="73">
      <c r="A73" s="33" t="s">
        <v>645</v>
      </c>
      <c r="B73" s="33" t="s">
        <v>58</v>
      </c>
      <c r="C73" s="33" t="s">
        <v>449</v>
      </c>
      <c r="D73" s="33" t="s">
        <v>442</v>
      </c>
      <c r="E73" s="33" t="s">
        <v>443</v>
      </c>
      <c r="F73" s="33" t="s">
        <v>444</v>
      </c>
      <c r="G73" s="35">
        <v>46219</v>
      </c>
      <c r="H73" s="33" t="s">
        <v>445</v>
      </c>
      <c r="I73" s="33" t="s">
        <v>646</v>
      </c>
      <c r="J73" s="34">
        <v>800</v>
      </c>
      <c r="K73" s="33" t="s">
        <v>431</v>
      </c>
      <c r="L73" s="33" t="s">
        <v>647</v>
      </c>
      <c r="M73" s="33" t="s">
        <v>433</v>
      </c>
      <c r="N73" s="33" t="s">
        <v>434</v>
      </c>
      <c r="O73" s="33" t="s">
        <v>435</v>
      </c>
    </row>
    <row r="74">
      <c r="A74" s="33" t="s">
        <v>648</v>
      </c>
      <c r="B74" s="33" t="s">
        <v>58</v>
      </c>
      <c r="C74" s="33" t="s">
        <v>453</v>
      </c>
      <c r="D74" s="33" t="s">
        <v>442</v>
      </c>
      <c r="E74" s="33" t="s">
        <v>443</v>
      </c>
      <c r="F74" s="33" t="s">
        <v>444</v>
      </c>
      <c r="G74" s="35">
        <v>46219</v>
      </c>
      <c r="H74" s="33" t="s">
        <v>445</v>
      </c>
      <c r="I74" s="33" t="s">
        <v>649</v>
      </c>
      <c r="J74" s="34">
        <v>474</v>
      </c>
      <c r="K74" s="33" t="s">
        <v>431</v>
      </c>
      <c r="L74" s="33" t="s">
        <v>650</v>
      </c>
      <c r="M74" s="33" t="s">
        <v>433</v>
      </c>
      <c r="N74" s="33" t="s">
        <v>434</v>
      </c>
      <c r="O74" s="33" t="s">
        <v>435</v>
      </c>
    </row>
    <row r="75">
      <c r="A75" s="33" t="s">
        <v>651</v>
      </c>
      <c r="B75" s="33" t="s">
        <v>59</v>
      </c>
      <c r="C75" s="33" t="s">
        <v>425</v>
      </c>
      <c r="D75" s="33" t="s">
        <v>426</v>
      </c>
      <c r="E75" s="33" t="s">
        <v>427</v>
      </c>
      <c r="F75" s="33" t="s">
        <v>428</v>
      </c>
      <c r="G75" s="35">
        <v>46219</v>
      </c>
      <c r="H75" s="33" t="s">
        <v>429</v>
      </c>
      <c r="I75" s="33" t="s">
        <v>652</v>
      </c>
      <c r="J75" s="34">
        <v>8.34</v>
      </c>
      <c r="K75" s="33" t="s">
        <v>653</v>
      </c>
      <c r="L75" s="33" t="s">
        <v>654</v>
      </c>
      <c r="M75" s="33" t="s">
        <v>433</v>
      </c>
      <c r="N75" s="33" t="s">
        <v>434</v>
      </c>
      <c r="O75" s="33" t="s">
        <v>435</v>
      </c>
    </row>
    <row r="76">
      <c r="A76" s="33" t="s">
        <v>655</v>
      </c>
      <c r="B76" s="33" t="s">
        <v>59</v>
      </c>
      <c r="C76" s="33" t="s">
        <v>437</v>
      </c>
      <c r="D76" s="33" t="s">
        <v>426</v>
      </c>
      <c r="E76" s="33" t="s">
        <v>427</v>
      </c>
      <c r="F76" s="33" t="s">
        <v>428</v>
      </c>
      <c r="G76" s="35">
        <v>46219</v>
      </c>
      <c r="H76" s="33" t="s">
        <v>429</v>
      </c>
      <c r="I76" s="33" t="s">
        <v>656</v>
      </c>
      <c r="J76" s="34">
        <v>8.92</v>
      </c>
      <c r="K76" s="33" t="s">
        <v>653</v>
      </c>
      <c r="L76" s="33" t="s">
        <v>657</v>
      </c>
      <c r="M76" s="33" t="s">
        <v>433</v>
      </c>
      <c r="N76" s="33" t="s">
        <v>434</v>
      </c>
      <c r="O76" s="33" t="s">
        <v>435</v>
      </c>
    </row>
    <row r="77">
      <c r="A77" s="33" t="s">
        <v>658</v>
      </c>
      <c r="B77" s="33" t="s">
        <v>59</v>
      </c>
      <c r="C77" s="33" t="s">
        <v>441</v>
      </c>
      <c r="D77" s="33" t="s">
        <v>442</v>
      </c>
      <c r="E77" s="33" t="s">
        <v>443</v>
      </c>
      <c r="F77" s="33" t="s">
        <v>444</v>
      </c>
      <c r="G77" s="35">
        <v>46219</v>
      </c>
      <c r="H77" s="33" t="s">
        <v>445</v>
      </c>
      <c r="I77" s="33" t="s">
        <v>659</v>
      </c>
      <c r="J77" s="34">
        <v>-1.87</v>
      </c>
      <c r="K77" s="33" t="s">
        <v>653</v>
      </c>
      <c r="L77" s="33" t="s">
        <v>660</v>
      </c>
      <c r="M77" s="33" t="s">
        <v>433</v>
      </c>
      <c r="N77" s="33" t="s">
        <v>434</v>
      </c>
      <c r="O77" s="33" t="s">
        <v>435</v>
      </c>
    </row>
    <row r="78">
      <c r="A78" s="33" t="s">
        <v>661</v>
      </c>
      <c r="B78" s="33" t="s">
        <v>59</v>
      </c>
      <c r="C78" s="33" t="s">
        <v>449</v>
      </c>
      <c r="D78" s="33" t="s">
        <v>442</v>
      </c>
      <c r="E78" s="33" t="s">
        <v>443</v>
      </c>
      <c r="F78" s="33" t="s">
        <v>444</v>
      </c>
      <c r="G78" s="35">
        <v>46219</v>
      </c>
      <c r="H78" s="33" t="s">
        <v>445</v>
      </c>
      <c r="I78" s="33" t="s">
        <v>662</v>
      </c>
      <c r="J78" s="34">
        <v>2.25</v>
      </c>
      <c r="K78" s="33" t="s">
        <v>653</v>
      </c>
      <c r="L78" s="33" t="s">
        <v>663</v>
      </c>
      <c r="M78" s="33" t="s">
        <v>433</v>
      </c>
      <c r="N78" s="33" t="s">
        <v>434</v>
      </c>
      <c r="O78" s="33" t="s">
        <v>435</v>
      </c>
    </row>
    <row r="79">
      <c r="A79" s="33" t="s">
        <v>664</v>
      </c>
      <c r="B79" s="33" t="s">
        <v>59</v>
      </c>
      <c r="C79" s="33" t="s">
        <v>453</v>
      </c>
      <c r="D79" s="33" t="s">
        <v>442</v>
      </c>
      <c r="E79" s="33" t="s">
        <v>443</v>
      </c>
      <c r="F79" s="33" t="s">
        <v>444</v>
      </c>
      <c r="G79" s="35">
        <v>46219</v>
      </c>
      <c r="H79" s="33" t="s">
        <v>445</v>
      </c>
      <c r="I79" s="33" t="s">
        <v>665</v>
      </c>
      <c r="J79" s="34">
        <v>1.33</v>
      </c>
      <c r="K79" s="33" t="s">
        <v>653</v>
      </c>
      <c r="L79" s="33" t="s">
        <v>666</v>
      </c>
      <c r="M79" s="33" t="s">
        <v>433</v>
      </c>
      <c r="N79" s="33" t="s">
        <v>434</v>
      </c>
      <c r="O79" s="33" t="s">
        <v>435</v>
      </c>
    </row>
    <row r="80">
      <c r="A80" s="33" t="s">
        <v>667</v>
      </c>
      <c r="B80" s="33" t="s">
        <v>60</v>
      </c>
      <c r="C80" s="33" t="s">
        <v>425</v>
      </c>
      <c r="D80" s="33" t="s">
        <v>426</v>
      </c>
      <c r="E80" s="33" t="s">
        <v>427</v>
      </c>
      <c r="F80" s="33" t="s">
        <v>428</v>
      </c>
      <c r="G80" s="35">
        <v>46219</v>
      </c>
      <c r="H80" s="33" t="s">
        <v>429</v>
      </c>
      <c r="I80" s="33" t="s">
        <v>668</v>
      </c>
      <c r="J80" s="34">
        <v>365</v>
      </c>
      <c r="K80" s="33" t="s">
        <v>431</v>
      </c>
      <c r="L80" s="33" t="s">
        <v>669</v>
      </c>
      <c r="M80" s="33" t="s">
        <v>433</v>
      </c>
      <c r="N80" s="33" t="s">
        <v>434</v>
      </c>
      <c r="O80" s="33" t="s">
        <v>435</v>
      </c>
    </row>
    <row r="81">
      <c r="A81" s="33" t="s">
        <v>670</v>
      </c>
      <c r="B81" s="33" t="s">
        <v>60</v>
      </c>
      <c r="C81" s="33" t="s">
        <v>437</v>
      </c>
      <c r="D81" s="33" t="s">
        <v>426</v>
      </c>
      <c r="E81" s="33" t="s">
        <v>427</v>
      </c>
      <c r="F81" s="33" t="s">
        <v>428</v>
      </c>
      <c r="G81" s="35">
        <v>46219</v>
      </c>
      <c r="H81" s="33" t="s">
        <v>429</v>
      </c>
      <c r="I81" s="33" t="s">
        <v>671</v>
      </c>
      <c r="J81" s="34">
        <v>363</v>
      </c>
      <c r="K81" s="33" t="s">
        <v>431</v>
      </c>
      <c r="L81" s="33" t="s">
        <v>672</v>
      </c>
      <c r="M81" s="33" t="s">
        <v>433</v>
      </c>
      <c r="N81" s="33" t="s">
        <v>434</v>
      </c>
      <c r="O81" s="33" t="s">
        <v>435</v>
      </c>
    </row>
    <row r="82">
      <c r="A82" s="33" t="s">
        <v>673</v>
      </c>
      <c r="B82" s="33" t="s">
        <v>60</v>
      </c>
      <c r="C82" s="33" t="s">
        <v>441</v>
      </c>
      <c r="D82" s="33" t="s">
        <v>442</v>
      </c>
      <c r="E82" s="33" t="s">
        <v>443</v>
      </c>
      <c r="F82" s="33" t="s">
        <v>444</v>
      </c>
      <c r="G82" s="35">
        <v>46219</v>
      </c>
      <c r="H82" s="33" t="s">
        <v>445</v>
      </c>
      <c r="I82" s="33" t="s">
        <v>674</v>
      </c>
      <c r="J82" s="34">
        <v>284</v>
      </c>
      <c r="K82" s="33" t="s">
        <v>431</v>
      </c>
      <c r="L82" s="33" t="s">
        <v>675</v>
      </c>
      <c r="M82" s="33" t="s">
        <v>433</v>
      </c>
      <c r="N82" s="33" t="s">
        <v>434</v>
      </c>
      <c r="O82" s="33" t="s">
        <v>435</v>
      </c>
    </row>
    <row r="83">
      <c r="A83" s="33" t="s">
        <v>676</v>
      </c>
      <c r="B83" s="33" t="s">
        <v>60</v>
      </c>
      <c r="C83" s="33" t="s">
        <v>449</v>
      </c>
      <c r="D83" s="33" t="s">
        <v>442</v>
      </c>
      <c r="E83" s="33" t="s">
        <v>443</v>
      </c>
      <c r="F83" s="33" t="s">
        <v>444</v>
      </c>
      <c r="G83" s="35">
        <v>46219</v>
      </c>
      <c r="H83" s="33" t="s">
        <v>445</v>
      </c>
      <c r="I83" s="33" t="s">
        <v>677</v>
      </c>
      <c r="J83" s="34">
        <v>356</v>
      </c>
      <c r="K83" s="33" t="s">
        <v>431</v>
      </c>
      <c r="L83" s="33" t="s">
        <v>678</v>
      </c>
      <c r="M83" s="33" t="s">
        <v>433</v>
      </c>
      <c r="N83" s="33" t="s">
        <v>434</v>
      </c>
      <c r="O83" s="33" t="s">
        <v>435</v>
      </c>
    </row>
    <row r="84">
      <c r="A84" s="33" t="s">
        <v>679</v>
      </c>
      <c r="B84" s="33" t="s">
        <v>60</v>
      </c>
      <c r="C84" s="33" t="s">
        <v>453</v>
      </c>
      <c r="D84" s="33" t="s">
        <v>442</v>
      </c>
      <c r="E84" s="33" t="s">
        <v>443</v>
      </c>
      <c r="F84" s="33" t="s">
        <v>444</v>
      </c>
      <c r="G84" s="35">
        <v>46219</v>
      </c>
      <c r="H84" s="33" t="s">
        <v>445</v>
      </c>
      <c r="I84" s="33" t="s">
        <v>680</v>
      </c>
      <c r="J84" s="34">
        <v>357</v>
      </c>
      <c r="K84" s="33" t="s">
        <v>431</v>
      </c>
      <c r="L84" s="33" t="s">
        <v>681</v>
      </c>
      <c r="M84" s="33" t="s">
        <v>433</v>
      </c>
      <c r="N84" s="33" t="s">
        <v>434</v>
      </c>
      <c r="O84" s="33" t="s">
        <v>435</v>
      </c>
    </row>
    <row r="85">
      <c r="A85" s="33" t="s">
        <v>682</v>
      </c>
      <c r="B85" s="33" t="s">
        <v>63</v>
      </c>
      <c r="C85" s="33" t="s">
        <v>425</v>
      </c>
      <c r="D85" s="33" t="s">
        <v>426</v>
      </c>
      <c r="E85" s="33" t="s">
        <v>427</v>
      </c>
      <c r="F85" s="33" t="s">
        <v>428</v>
      </c>
      <c r="G85" s="35">
        <v>46219</v>
      </c>
      <c r="H85" s="33" t="s">
        <v>429</v>
      </c>
      <c r="I85" s="33" t="s">
        <v>683</v>
      </c>
      <c r="J85" s="34">
        <v>2507</v>
      </c>
      <c r="K85" s="33" t="s">
        <v>431</v>
      </c>
      <c r="L85" s="33" t="s">
        <v>684</v>
      </c>
      <c r="M85" s="33" t="s">
        <v>433</v>
      </c>
      <c r="N85" s="33" t="s">
        <v>434</v>
      </c>
      <c r="O85" s="33" t="s">
        <v>435</v>
      </c>
    </row>
    <row r="86">
      <c r="A86" s="33" t="s">
        <v>685</v>
      </c>
      <c r="B86" s="33" t="s">
        <v>63</v>
      </c>
      <c r="C86" s="33" t="s">
        <v>437</v>
      </c>
      <c r="D86" s="33" t="s">
        <v>426</v>
      </c>
      <c r="E86" s="33" t="s">
        <v>427</v>
      </c>
      <c r="F86" s="33" t="s">
        <v>428</v>
      </c>
      <c r="G86" s="35">
        <v>46219</v>
      </c>
      <c r="H86" s="33" t="s">
        <v>429</v>
      </c>
      <c r="I86" s="33" t="s">
        <v>686</v>
      </c>
      <c r="J86" s="34">
        <v>1031</v>
      </c>
      <c r="K86" s="33" t="s">
        <v>431</v>
      </c>
      <c r="L86" s="33" t="s">
        <v>687</v>
      </c>
      <c r="M86" s="33" t="s">
        <v>433</v>
      </c>
      <c r="N86" s="33" t="s">
        <v>434</v>
      </c>
      <c r="O86" s="33" t="s">
        <v>435</v>
      </c>
    </row>
    <row r="87">
      <c r="A87" s="33" t="s">
        <v>688</v>
      </c>
      <c r="B87" s="33" t="s">
        <v>63</v>
      </c>
      <c r="C87" s="33" t="s">
        <v>441</v>
      </c>
      <c r="D87" s="33" t="s">
        <v>689</v>
      </c>
      <c r="E87" s="33" t="s">
        <v>690</v>
      </c>
      <c r="F87" s="33" t="s">
        <v>691</v>
      </c>
      <c r="G87" s="35">
        <v>46219</v>
      </c>
      <c r="H87" s="33" t="s">
        <v>692</v>
      </c>
      <c r="I87" s="33" t="s">
        <v>693</v>
      </c>
      <c r="J87" s="34">
        <v>573</v>
      </c>
      <c r="K87" s="33" t="s">
        <v>431</v>
      </c>
      <c r="L87" s="33" t="s">
        <v>694</v>
      </c>
      <c r="M87" s="33" t="s">
        <v>433</v>
      </c>
      <c r="N87" s="33" t="s">
        <v>434</v>
      </c>
      <c r="O87" s="33" t="s">
        <v>435</v>
      </c>
    </row>
    <row r="88">
      <c r="A88" s="33" t="s">
        <v>695</v>
      </c>
      <c r="B88" s="33" t="s">
        <v>63</v>
      </c>
      <c r="C88" s="33" t="s">
        <v>449</v>
      </c>
      <c r="D88" s="33" t="s">
        <v>442</v>
      </c>
      <c r="E88" s="33" t="s">
        <v>443</v>
      </c>
      <c r="F88" s="33" t="s">
        <v>444</v>
      </c>
      <c r="G88" s="35">
        <v>46219</v>
      </c>
      <c r="H88" s="33" t="s">
        <v>445</v>
      </c>
      <c r="I88" s="33" t="s">
        <v>696</v>
      </c>
      <c r="J88" s="34">
        <v>1717</v>
      </c>
      <c r="K88" s="33" t="s">
        <v>431</v>
      </c>
      <c r="L88" s="33" t="s">
        <v>697</v>
      </c>
      <c r="M88" s="33" t="s">
        <v>433</v>
      </c>
      <c r="N88" s="33" t="s">
        <v>434</v>
      </c>
      <c r="O88" s="33" t="s">
        <v>435</v>
      </c>
    </row>
    <row r="89">
      <c r="A89" s="33" t="s">
        <v>698</v>
      </c>
      <c r="B89" s="33" t="s">
        <v>63</v>
      </c>
      <c r="C89" s="33" t="s">
        <v>453</v>
      </c>
      <c r="D89" s="33" t="s">
        <v>442</v>
      </c>
      <c r="E89" s="33" t="s">
        <v>443</v>
      </c>
      <c r="F89" s="33" t="s">
        <v>444</v>
      </c>
      <c r="G89" s="35">
        <v>46219</v>
      </c>
      <c r="H89" s="33" t="s">
        <v>445</v>
      </c>
      <c r="I89" s="33" t="s">
        <v>699</v>
      </c>
      <c r="J89" s="34">
        <v>1229</v>
      </c>
      <c r="K89" s="33" t="s">
        <v>431</v>
      </c>
      <c r="L89" s="33" t="s">
        <v>700</v>
      </c>
      <c r="M89" s="33" t="s">
        <v>433</v>
      </c>
      <c r="N89" s="33" t="s">
        <v>434</v>
      </c>
      <c r="O89" s="33" t="s">
        <v>435</v>
      </c>
    </row>
    <row r="90">
      <c r="A90" s="33" t="s">
        <v>701</v>
      </c>
      <c r="B90" s="33" t="s">
        <v>64</v>
      </c>
      <c r="C90" s="33" t="s">
        <v>425</v>
      </c>
      <c r="D90" s="33" t="s">
        <v>426</v>
      </c>
      <c r="E90" s="33" t="s">
        <v>427</v>
      </c>
      <c r="F90" s="33" t="s">
        <v>428</v>
      </c>
      <c r="G90" s="35">
        <v>46219</v>
      </c>
      <c r="H90" s="33" t="s">
        <v>429</v>
      </c>
      <c r="I90" s="33" t="s">
        <v>702</v>
      </c>
      <c r="J90" s="34">
        <v>2400</v>
      </c>
      <c r="K90" s="33" t="s">
        <v>431</v>
      </c>
      <c r="L90" s="33" t="s">
        <v>703</v>
      </c>
      <c r="M90" s="33" t="s">
        <v>433</v>
      </c>
      <c r="N90" s="33" t="s">
        <v>434</v>
      </c>
      <c r="O90" s="33" t="s">
        <v>435</v>
      </c>
    </row>
    <row r="91">
      <c r="A91" s="33" t="s">
        <v>704</v>
      </c>
      <c r="B91" s="33" t="s">
        <v>64</v>
      </c>
      <c r="C91" s="33" t="s">
        <v>437</v>
      </c>
      <c r="D91" s="33" t="s">
        <v>426</v>
      </c>
      <c r="E91" s="33" t="s">
        <v>427</v>
      </c>
      <c r="F91" s="33" t="s">
        <v>428</v>
      </c>
      <c r="G91" s="35">
        <v>46219</v>
      </c>
      <c r="H91" s="33" t="s">
        <v>429</v>
      </c>
      <c r="I91" s="33" t="s">
        <v>705</v>
      </c>
      <c r="J91" s="34">
        <v>2577</v>
      </c>
      <c r="K91" s="33" t="s">
        <v>431</v>
      </c>
      <c r="L91" s="33" t="s">
        <v>706</v>
      </c>
      <c r="M91" s="33" t="s">
        <v>433</v>
      </c>
      <c r="N91" s="33" t="s">
        <v>434</v>
      </c>
      <c r="O91" s="33" t="s">
        <v>435</v>
      </c>
    </row>
    <row r="92">
      <c r="A92" s="33" t="s">
        <v>707</v>
      </c>
      <c r="B92" s="33" t="s">
        <v>64</v>
      </c>
      <c r="C92" s="33" t="s">
        <v>441</v>
      </c>
      <c r="D92" s="33" t="s">
        <v>689</v>
      </c>
      <c r="E92" s="33" t="s">
        <v>690</v>
      </c>
      <c r="F92" s="33" t="s">
        <v>691</v>
      </c>
      <c r="G92" s="35">
        <v>46219</v>
      </c>
      <c r="H92" s="33" t="s">
        <v>692</v>
      </c>
      <c r="I92" s="33" t="s">
        <v>708</v>
      </c>
      <c r="J92" s="34">
        <v>2476</v>
      </c>
      <c r="K92" s="33" t="s">
        <v>431</v>
      </c>
      <c r="L92" s="33" t="s">
        <v>709</v>
      </c>
      <c r="M92" s="33" t="s">
        <v>433</v>
      </c>
      <c r="N92" s="33" t="s">
        <v>434</v>
      </c>
      <c r="O92" s="33" t="s">
        <v>435</v>
      </c>
    </row>
    <row r="93">
      <c r="A93" s="33" t="s">
        <v>710</v>
      </c>
      <c r="B93" s="33" t="s">
        <v>64</v>
      </c>
      <c r="C93" s="33" t="s">
        <v>449</v>
      </c>
      <c r="D93" s="33" t="s">
        <v>442</v>
      </c>
      <c r="E93" s="33" t="s">
        <v>443</v>
      </c>
      <c r="F93" s="33" t="s">
        <v>444</v>
      </c>
      <c r="G93" s="35">
        <v>46219</v>
      </c>
      <c r="H93" s="33" t="s">
        <v>445</v>
      </c>
      <c r="I93" s="33" t="s">
        <v>711</v>
      </c>
      <c r="J93" s="34">
        <v>2406</v>
      </c>
      <c r="K93" s="33" t="s">
        <v>431</v>
      </c>
      <c r="L93" s="33" t="s">
        <v>712</v>
      </c>
      <c r="M93" s="33" t="s">
        <v>433</v>
      </c>
      <c r="N93" s="33" t="s">
        <v>434</v>
      </c>
      <c r="O93" s="33" t="s">
        <v>435</v>
      </c>
    </row>
    <row r="94">
      <c r="A94" s="33" t="s">
        <v>713</v>
      </c>
      <c r="B94" s="33" t="s">
        <v>64</v>
      </c>
      <c r="C94" s="33" t="s">
        <v>453</v>
      </c>
      <c r="D94" s="33" t="s">
        <v>442</v>
      </c>
      <c r="E94" s="33" t="s">
        <v>443</v>
      </c>
      <c r="F94" s="33" t="s">
        <v>444</v>
      </c>
      <c r="G94" s="35">
        <v>46219</v>
      </c>
      <c r="H94" s="33" t="s">
        <v>445</v>
      </c>
      <c r="I94" s="33" t="s">
        <v>714</v>
      </c>
      <c r="J94" s="34">
        <v>2524</v>
      </c>
      <c r="K94" s="33" t="s">
        <v>431</v>
      </c>
      <c r="L94" s="33" t="s">
        <v>715</v>
      </c>
      <c r="M94" s="33" t="s">
        <v>433</v>
      </c>
      <c r="N94" s="33" t="s">
        <v>434</v>
      </c>
      <c r="O94" s="33" t="s">
        <v>435</v>
      </c>
    </row>
    <row r="95">
      <c r="A95" s="33" t="s">
        <v>716</v>
      </c>
      <c r="B95" s="33" t="s">
        <v>65</v>
      </c>
      <c r="C95" s="33" t="s">
        <v>425</v>
      </c>
      <c r="D95" s="33" t="s">
        <v>426</v>
      </c>
      <c r="E95" s="33" t="s">
        <v>427</v>
      </c>
      <c r="F95" s="33" t="s">
        <v>428</v>
      </c>
      <c r="G95" s="35">
        <v>46219</v>
      </c>
      <c r="H95" s="33" t="s">
        <v>429</v>
      </c>
      <c r="I95" s="33" t="s">
        <v>717</v>
      </c>
      <c r="J95" s="34">
        <v>4382</v>
      </c>
      <c r="K95" s="33" t="s">
        <v>431</v>
      </c>
      <c r="L95" s="33" t="s">
        <v>718</v>
      </c>
      <c r="M95" s="33" t="s">
        <v>433</v>
      </c>
      <c r="N95" s="33" t="s">
        <v>434</v>
      </c>
      <c r="O95" s="33" t="s">
        <v>435</v>
      </c>
    </row>
    <row r="96">
      <c r="A96" s="33" t="s">
        <v>719</v>
      </c>
      <c r="B96" s="33" t="s">
        <v>65</v>
      </c>
      <c r="C96" s="33" t="s">
        <v>437</v>
      </c>
      <c r="D96" s="33" t="s">
        <v>426</v>
      </c>
      <c r="E96" s="33" t="s">
        <v>427</v>
      </c>
      <c r="F96" s="33" t="s">
        <v>428</v>
      </c>
      <c r="G96" s="35">
        <v>46219</v>
      </c>
      <c r="H96" s="33" t="s">
        <v>429</v>
      </c>
      <c r="I96" s="33" t="s">
        <v>720</v>
      </c>
      <c r="J96" s="34">
        <v>5514</v>
      </c>
      <c r="K96" s="33" t="s">
        <v>431</v>
      </c>
      <c r="L96" s="33" t="s">
        <v>721</v>
      </c>
      <c r="M96" s="33" t="s">
        <v>433</v>
      </c>
      <c r="N96" s="33" t="s">
        <v>434</v>
      </c>
      <c r="O96" s="33" t="s">
        <v>435</v>
      </c>
    </row>
    <row r="97">
      <c r="A97" s="33" t="s">
        <v>722</v>
      </c>
      <c r="B97" s="33" t="s">
        <v>65</v>
      </c>
      <c r="C97" s="33" t="s">
        <v>441</v>
      </c>
      <c r="D97" s="33" t="s">
        <v>689</v>
      </c>
      <c r="E97" s="33" t="s">
        <v>690</v>
      </c>
      <c r="F97" s="33" t="s">
        <v>691</v>
      </c>
      <c r="G97" s="35">
        <v>46219</v>
      </c>
      <c r="H97" s="33" t="s">
        <v>692</v>
      </c>
      <c r="I97" s="33" t="s">
        <v>723</v>
      </c>
      <c r="J97" s="34">
        <v>5328</v>
      </c>
      <c r="K97" s="33" t="s">
        <v>431</v>
      </c>
      <c r="L97" s="33" t="s">
        <v>724</v>
      </c>
      <c r="M97" s="33" t="s">
        <v>433</v>
      </c>
      <c r="N97" s="33" t="s">
        <v>434</v>
      </c>
      <c r="O97" s="33" t="s">
        <v>435</v>
      </c>
    </row>
    <row r="98">
      <c r="A98" s="33" t="s">
        <v>725</v>
      </c>
      <c r="B98" s="33" t="s">
        <v>65</v>
      </c>
      <c r="C98" s="33" t="s">
        <v>449</v>
      </c>
      <c r="D98" s="33" t="s">
        <v>442</v>
      </c>
      <c r="E98" s="33" t="s">
        <v>443</v>
      </c>
      <c r="F98" s="33" t="s">
        <v>444</v>
      </c>
      <c r="G98" s="35">
        <v>46219</v>
      </c>
      <c r="H98" s="33" t="s">
        <v>445</v>
      </c>
      <c r="I98" s="33" t="s">
        <v>726</v>
      </c>
      <c r="J98" s="34">
        <v>5195</v>
      </c>
      <c r="K98" s="33" t="s">
        <v>431</v>
      </c>
      <c r="L98" s="33" t="s">
        <v>727</v>
      </c>
      <c r="M98" s="33" t="s">
        <v>433</v>
      </c>
      <c r="N98" s="33" t="s">
        <v>434</v>
      </c>
      <c r="O98" s="33" t="s">
        <v>435</v>
      </c>
    </row>
    <row r="99">
      <c r="A99" s="33" t="s">
        <v>728</v>
      </c>
      <c r="B99" s="33" t="s">
        <v>65</v>
      </c>
      <c r="C99" s="33" t="s">
        <v>453</v>
      </c>
      <c r="D99" s="33" t="s">
        <v>442</v>
      </c>
      <c r="E99" s="33" t="s">
        <v>443</v>
      </c>
      <c r="F99" s="33" t="s">
        <v>444</v>
      </c>
      <c r="G99" s="35">
        <v>46219</v>
      </c>
      <c r="H99" s="33" t="s">
        <v>445</v>
      </c>
      <c r="I99" s="33" t="s">
        <v>729</v>
      </c>
      <c r="J99" s="34">
        <v>5681</v>
      </c>
      <c r="K99" s="33" t="s">
        <v>431</v>
      </c>
      <c r="L99" s="33" t="s">
        <v>730</v>
      </c>
      <c r="M99" s="33" t="s">
        <v>433</v>
      </c>
      <c r="N99" s="33" t="s">
        <v>434</v>
      </c>
      <c r="O99" s="33" t="s">
        <v>435</v>
      </c>
    </row>
    <row r="100">
      <c r="A100" s="33" t="s">
        <v>731</v>
      </c>
      <c r="B100" s="33" t="s">
        <v>66</v>
      </c>
      <c r="C100" s="33" t="s">
        <v>425</v>
      </c>
      <c r="D100" s="33" t="s">
        <v>426</v>
      </c>
      <c r="E100" s="33" t="s">
        <v>427</v>
      </c>
      <c r="F100" s="33" t="s">
        <v>428</v>
      </c>
      <c r="G100" s="35">
        <v>46219</v>
      </c>
      <c r="H100" s="33" t="s">
        <v>429</v>
      </c>
      <c r="I100" s="33" t="s">
        <v>732</v>
      </c>
      <c r="J100" s="34">
        <v>533</v>
      </c>
      <c r="K100" s="33" t="s">
        <v>431</v>
      </c>
      <c r="L100" s="33" t="s">
        <v>733</v>
      </c>
      <c r="M100" s="33" t="s">
        <v>433</v>
      </c>
      <c r="N100" s="33" t="s">
        <v>434</v>
      </c>
      <c r="O100" s="33" t="s">
        <v>435</v>
      </c>
    </row>
    <row r="101">
      <c r="A101" s="33" t="s">
        <v>734</v>
      </c>
      <c r="B101" s="33" t="s">
        <v>66</v>
      </c>
      <c r="C101" s="33" t="s">
        <v>437</v>
      </c>
      <c r="D101" s="33" t="s">
        <v>426</v>
      </c>
      <c r="E101" s="33" t="s">
        <v>427</v>
      </c>
      <c r="F101" s="33" t="s">
        <v>428</v>
      </c>
      <c r="G101" s="35">
        <v>46219</v>
      </c>
      <c r="H101" s="33" t="s">
        <v>429</v>
      </c>
      <c r="I101" s="33" t="s">
        <v>735</v>
      </c>
      <c r="J101" s="34">
        <v>508</v>
      </c>
      <c r="K101" s="33" t="s">
        <v>431</v>
      </c>
      <c r="L101" s="33" t="s">
        <v>736</v>
      </c>
      <c r="M101" s="33" t="s">
        <v>433</v>
      </c>
      <c r="N101" s="33" t="s">
        <v>434</v>
      </c>
      <c r="O101" s="33" t="s">
        <v>435</v>
      </c>
    </row>
    <row r="102">
      <c r="A102" s="33" t="s">
        <v>737</v>
      </c>
      <c r="B102" s="33" t="s">
        <v>66</v>
      </c>
      <c r="C102" s="33" t="s">
        <v>441</v>
      </c>
      <c r="D102" s="33" t="s">
        <v>689</v>
      </c>
      <c r="E102" s="33" t="s">
        <v>690</v>
      </c>
      <c r="F102" s="33" t="s">
        <v>691</v>
      </c>
      <c r="G102" s="35">
        <v>46219</v>
      </c>
      <c r="H102" s="33" t="s">
        <v>692</v>
      </c>
      <c r="I102" s="33" t="s">
        <v>738</v>
      </c>
      <c r="J102" s="34">
        <v>345</v>
      </c>
      <c r="K102" s="33" t="s">
        <v>431</v>
      </c>
      <c r="L102" s="33" t="s">
        <v>739</v>
      </c>
      <c r="M102" s="33" t="s">
        <v>433</v>
      </c>
      <c r="N102" s="33" t="s">
        <v>434</v>
      </c>
      <c r="O102" s="33" t="s">
        <v>435</v>
      </c>
    </row>
    <row r="103">
      <c r="A103" s="33" t="s">
        <v>740</v>
      </c>
      <c r="B103" s="33" t="s">
        <v>66</v>
      </c>
      <c r="C103" s="33" t="s">
        <v>449</v>
      </c>
      <c r="D103" s="33" t="s">
        <v>442</v>
      </c>
      <c r="E103" s="33" t="s">
        <v>443</v>
      </c>
      <c r="F103" s="33" t="s">
        <v>444</v>
      </c>
      <c r="G103" s="35">
        <v>46219</v>
      </c>
      <c r="H103" s="33" t="s">
        <v>445</v>
      </c>
      <c r="I103" s="33" t="s">
        <v>741</v>
      </c>
      <c r="J103" s="34">
        <v>433</v>
      </c>
      <c r="K103" s="33" t="s">
        <v>431</v>
      </c>
      <c r="L103" s="33" t="s">
        <v>742</v>
      </c>
      <c r="M103" s="33" t="s">
        <v>433</v>
      </c>
      <c r="N103" s="33" t="s">
        <v>434</v>
      </c>
      <c r="O103" s="33" t="s">
        <v>435</v>
      </c>
    </row>
    <row r="104">
      <c r="A104" s="33" t="s">
        <v>743</v>
      </c>
      <c r="B104" s="33" t="s">
        <v>66</v>
      </c>
      <c r="C104" s="33" t="s">
        <v>453</v>
      </c>
      <c r="D104" s="33" t="s">
        <v>442</v>
      </c>
      <c r="E104" s="33" t="s">
        <v>443</v>
      </c>
      <c r="F104" s="33" t="s">
        <v>444</v>
      </c>
      <c r="G104" s="35">
        <v>46219</v>
      </c>
      <c r="H104" s="33" t="s">
        <v>445</v>
      </c>
      <c r="I104" s="33" t="s">
        <v>744</v>
      </c>
      <c r="J104" s="34">
        <v>482</v>
      </c>
      <c r="K104" s="33" t="s">
        <v>431</v>
      </c>
      <c r="L104" s="33" t="s">
        <v>745</v>
      </c>
      <c r="M104" s="33" t="s">
        <v>433</v>
      </c>
      <c r="N104" s="33" t="s">
        <v>434</v>
      </c>
      <c r="O104" s="33" t="s">
        <v>435</v>
      </c>
    </row>
    <row r="105">
      <c r="A105" s="33" t="s">
        <v>746</v>
      </c>
      <c r="B105" s="33" t="s">
        <v>67</v>
      </c>
      <c r="C105" s="33" t="s">
        <v>425</v>
      </c>
      <c r="D105" s="33" t="s">
        <v>426</v>
      </c>
      <c r="E105" s="33" t="s">
        <v>427</v>
      </c>
      <c r="F105" s="33" t="s">
        <v>428</v>
      </c>
      <c r="G105" s="35">
        <v>46219</v>
      </c>
      <c r="H105" s="33" t="s">
        <v>429</v>
      </c>
      <c r="I105" s="33" t="s">
        <v>747</v>
      </c>
      <c r="J105" s="34">
        <v>9822</v>
      </c>
      <c r="K105" s="33" t="s">
        <v>431</v>
      </c>
      <c r="L105" s="33" t="s">
        <v>748</v>
      </c>
      <c r="M105" s="33" t="s">
        <v>433</v>
      </c>
      <c r="N105" s="33" t="s">
        <v>434</v>
      </c>
      <c r="O105" s="33" t="s">
        <v>435</v>
      </c>
    </row>
    <row r="106">
      <c r="A106" s="33" t="s">
        <v>749</v>
      </c>
      <c r="B106" s="33" t="s">
        <v>67</v>
      </c>
      <c r="C106" s="33" t="s">
        <v>437</v>
      </c>
      <c r="D106" s="33" t="s">
        <v>426</v>
      </c>
      <c r="E106" s="33" t="s">
        <v>427</v>
      </c>
      <c r="F106" s="33" t="s">
        <v>428</v>
      </c>
      <c r="G106" s="35">
        <v>46219</v>
      </c>
      <c r="H106" s="33" t="s">
        <v>429</v>
      </c>
      <c r="I106" s="33" t="s">
        <v>750</v>
      </c>
      <c r="J106" s="34">
        <v>9630</v>
      </c>
      <c r="K106" s="33" t="s">
        <v>431</v>
      </c>
      <c r="L106" s="33" t="s">
        <v>751</v>
      </c>
      <c r="M106" s="33" t="s">
        <v>433</v>
      </c>
      <c r="N106" s="33" t="s">
        <v>434</v>
      </c>
      <c r="O106" s="33" t="s">
        <v>435</v>
      </c>
    </row>
    <row r="107">
      <c r="A107" s="33" t="s">
        <v>752</v>
      </c>
      <c r="B107" s="33" t="s">
        <v>67</v>
      </c>
      <c r="C107" s="33" t="s">
        <v>441</v>
      </c>
      <c r="D107" s="33" t="s">
        <v>689</v>
      </c>
      <c r="E107" s="33" t="s">
        <v>690</v>
      </c>
      <c r="F107" s="33" t="s">
        <v>691</v>
      </c>
      <c r="G107" s="35">
        <v>46219</v>
      </c>
      <c r="H107" s="33" t="s">
        <v>692</v>
      </c>
      <c r="I107" s="33" t="s">
        <v>753</v>
      </c>
      <c r="J107" s="34">
        <v>8722</v>
      </c>
      <c r="K107" s="33" t="s">
        <v>431</v>
      </c>
      <c r="L107" s="33" t="s">
        <v>754</v>
      </c>
      <c r="M107" s="33" t="s">
        <v>433</v>
      </c>
      <c r="N107" s="33" t="s">
        <v>434</v>
      </c>
      <c r="O107" s="33" t="s">
        <v>435</v>
      </c>
    </row>
    <row r="108">
      <c r="A108" s="33" t="s">
        <v>755</v>
      </c>
      <c r="B108" s="33" t="s">
        <v>67</v>
      </c>
      <c r="C108" s="33" t="s">
        <v>449</v>
      </c>
      <c r="D108" s="33" t="s">
        <v>442</v>
      </c>
      <c r="E108" s="33" t="s">
        <v>443</v>
      </c>
      <c r="F108" s="33" t="s">
        <v>444</v>
      </c>
      <c r="G108" s="35">
        <v>46219</v>
      </c>
      <c r="H108" s="33" t="s">
        <v>445</v>
      </c>
      <c r="I108" s="33" t="s">
        <v>756</v>
      </c>
      <c r="J108" s="34">
        <v>9751</v>
      </c>
      <c r="K108" s="33" t="s">
        <v>431</v>
      </c>
      <c r="L108" s="33" t="s">
        <v>757</v>
      </c>
      <c r="M108" s="33" t="s">
        <v>433</v>
      </c>
      <c r="N108" s="33" t="s">
        <v>434</v>
      </c>
      <c r="O108" s="33" t="s">
        <v>435</v>
      </c>
    </row>
    <row r="109">
      <c r="A109" s="33" t="s">
        <v>758</v>
      </c>
      <c r="B109" s="33" t="s">
        <v>67</v>
      </c>
      <c r="C109" s="33" t="s">
        <v>453</v>
      </c>
      <c r="D109" s="33" t="s">
        <v>442</v>
      </c>
      <c r="E109" s="33" t="s">
        <v>443</v>
      </c>
      <c r="F109" s="33" t="s">
        <v>444</v>
      </c>
      <c r="G109" s="35">
        <v>46219</v>
      </c>
      <c r="H109" s="33" t="s">
        <v>445</v>
      </c>
      <c r="I109" s="33" t="s">
        <v>759</v>
      </c>
      <c r="J109" s="34">
        <v>9916</v>
      </c>
      <c r="K109" s="33" t="s">
        <v>431</v>
      </c>
      <c r="L109" s="33" t="s">
        <v>760</v>
      </c>
      <c r="M109" s="33" t="s">
        <v>433</v>
      </c>
      <c r="N109" s="33" t="s">
        <v>434</v>
      </c>
      <c r="O109" s="33" t="s">
        <v>435</v>
      </c>
    </row>
    <row r="110">
      <c r="A110" s="33" t="s">
        <v>761</v>
      </c>
      <c r="B110" s="33" t="s">
        <v>68</v>
      </c>
      <c r="C110" s="33" t="s">
        <v>425</v>
      </c>
      <c r="D110" s="33" t="s">
        <v>426</v>
      </c>
      <c r="E110" s="33" t="s">
        <v>427</v>
      </c>
      <c r="F110" s="33" t="s">
        <v>428</v>
      </c>
      <c r="G110" s="35">
        <v>46219</v>
      </c>
      <c r="H110" s="33" t="s">
        <v>429</v>
      </c>
      <c r="I110" s="33" t="s">
        <v>762</v>
      </c>
      <c r="J110" s="34">
        <v>7837</v>
      </c>
      <c r="K110" s="33" t="s">
        <v>431</v>
      </c>
      <c r="L110" s="33" t="s">
        <v>763</v>
      </c>
      <c r="M110" s="33" t="s">
        <v>433</v>
      </c>
      <c r="N110" s="33" t="s">
        <v>434</v>
      </c>
      <c r="O110" s="33" t="s">
        <v>435</v>
      </c>
    </row>
    <row r="111">
      <c r="A111" s="33" t="s">
        <v>764</v>
      </c>
      <c r="B111" s="33" t="s">
        <v>68</v>
      </c>
      <c r="C111" s="33" t="s">
        <v>437</v>
      </c>
      <c r="D111" s="33" t="s">
        <v>426</v>
      </c>
      <c r="E111" s="33" t="s">
        <v>427</v>
      </c>
      <c r="F111" s="33" t="s">
        <v>428</v>
      </c>
      <c r="G111" s="35">
        <v>46219</v>
      </c>
      <c r="H111" s="33" t="s">
        <v>429</v>
      </c>
      <c r="I111" s="33" t="s">
        <v>765</v>
      </c>
      <c r="J111" s="34">
        <v>8685</v>
      </c>
      <c r="K111" s="33" t="s">
        <v>431</v>
      </c>
      <c r="L111" s="33" t="s">
        <v>766</v>
      </c>
      <c r="M111" s="33" t="s">
        <v>433</v>
      </c>
      <c r="N111" s="33" t="s">
        <v>434</v>
      </c>
      <c r="O111" s="33" t="s">
        <v>435</v>
      </c>
    </row>
    <row r="112">
      <c r="A112" s="33" t="s">
        <v>767</v>
      </c>
      <c r="B112" s="33" t="s">
        <v>68</v>
      </c>
      <c r="C112" s="33" t="s">
        <v>441</v>
      </c>
      <c r="D112" s="33" t="s">
        <v>689</v>
      </c>
      <c r="E112" s="33" t="s">
        <v>690</v>
      </c>
      <c r="F112" s="33" t="s">
        <v>691</v>
      </c>
      <c r="G112" s="35">
        <v>46219</v>
      </c>
      <c r="H112" s="33" t="s">
        <v>692</v>
      </c>
      <c r="I112" s="33" t="s">
        <v>768</v>
      </c>
      <c r="J112" s="34">
        <v>9634</v>
      </c>
      <c r="K112" s="33" t="s">
        <v>431</v>
      </c>
      <c r="L112" s="33" t="s">
        <v>769</v>
      </c>
      <c r="M112" s="33" t="s">
        <v>433</v>
      </c>
      <c r="N112" s="33" t="s">
        <v>434</v>
      </c>
      <c r="O112" s="33" t="s">
        <v>435</v>
      </c>
    </row>
    <row r="113">
      <c r="A113" s="33" t="s">
        <v>770</v>
      </c>
      <c r="B113" s="33" t="s">
        <v>68</v>
      </c>
      <c r="C113" s="33" t="s">
        <v>449</v>
      </c>
      <c r="D113" s="33" t="s">
        <v>442</v>
      </c>
      <c r="E113" s="33" t="s">
        <v>443</v>
      </c>
      <c r="F113" s="33" t="s">
        <v>444</v>
      </c>
      <c r="G113" s="35">
        <v>46219</v>
      </c>
      <c r="H113" s="33" t="s">
        <v>445</v>
      </c>
      <c r="I113" s="33" t="s">
        <v>771</v>
      </c>
      <c r="J113" s="34">
        <v>9442</v>
      </c>
      <c r="K113" s="33" t="s">
        <v>431</v>
      </c>
      <c r="L113" s="33" t="s">
        <v>772</v>
      </c>
      <c r="M113" s="33" t="s">
        <v>433</v>
      </c>
      <c r="N113" s="33" t="s">
        <v>434</v>
      </c>
      <c r="O113" s="33" t="s">
        <v>435</v>
      </c>
    </row>
    <row r="114">
      <c r="A114" s="33" t="s">
        <v>773</v>
      </c>
      <c r="B114" s="33" t="s">
        <v>68</v>
      </c>
      <c r="C114" s="33" t="s">
        <v>453</v>
      </c>
      <c r="D114" s="33" t="s">
        <v>442</v>
      </c>
      <c r="E114" s="33" t="s">
        <v>443</v>
      </c>
      <c r="F114" s="33" t="s">
        <v>444</v>
      </c>
      <c r="G114" s="35">
        <v>46219</v>
      </c>
      <c r="H114" s="33" t="s">
        <v>445</v>
      </c>
      <c r="I114" s="33" t="s">
        <v>774</v>
      </c>
      <c r="J114" s="34">
        <v>9204</v>
      </c>
      <c r="K114" s="33" t="s">
        <v>431</v>
      </c>
      <c r="L114" s="33" t="s">
        <v>775</v>
      </c>
      <c r="M114" s="33" t="s">
        <v>433</v>
      </c>
      <c r="N114" s="33" t="s">
        <v>434</v>
      </c>
      <c r="O114" s="33" t="s">
        <v>435</v>
      </c>
    </row>
    <row r="115">
      <c r="A115" s="33" t="s">
        <v>776</v>
      </c>
      <c r="B115" s="33" t="s">
        <v>69</v>
      </c>
      <c r="C115" s="33" t="s">
        <v>425</v>
      </c>
      <c r="D115" s="33" t="s">
        <v>426</v>
      </c>
      <c r="E115" s="33" t="s">
        <v>427</v>
      </c>
      <c r="F115" s="33" t="s">
        <v>428</v>
      </c>
      <c r="G115" s="35">
        <v>46219</v>
      </c>
      <c r="H115" s="33" t="s">
        <v>429</v>
      </c>
      <c r="I115" s="33" t="s">
        <v>777</v>
      </c>
      <c r="J115" s="34">
        <v>10549</v>
      </c>
      <c r="K115" s="33" t="s">
        <v>431</v>
      </c>
      <c r="L115" s="33" t="s">
        <v>778</v>
      </c>
      <c r="M115" s="33" t="s">
        <v>433</v>
      </c>
      <c r="N115" s="33" t="s">
        <v>434</v>
      </c>
      <c r="O115" s="33" t="s">
        <v>435</v>
      </c>
    </row>
    <row r="116">
      <c r="A116" s="33" t="s">
        <v>779</v>
      </c>
      <c r="B116" s="33" t="s">
        <v>69</v>
      </c>
      <c r="C116" s="33" t="s">
        <v>437</v>
      </c>
      <c r="D116" s="33" t="s">
        <v>426</v>
      </c>
      <c r="E116" s="33" t="s">
        <v>427</v>
      </c>
      <c r="F116" s="33" t="s">
        <v>428</v>
      </c>
      <c r="G116" s="35">
        <v>46219</v>
      </c>
      <c r="H116" s="33" t="s">
        <v>429</v>
      </c>
      <c r="I116" s="33" t="s">
        <v>780</v>
      </c>
      <c r="J116" s="34">
        <v>10513</v>
      </c>
      <c r="K116" s="33" t="s">
        <v>431</v>
      </c>
      <c r="L116" s="33" t="s">
        <v>781</v>
      </c>
      <c r="M116" s="33" t="s">
        <v>433</v>
      </c>
      <c r="N116" s="33" t="s">
        <v>434</v>
      </c>
      <c r="O116" s="33" t="s">
        <v>435</v>
      </c>
    </row>
    <row r="117">
      <c r="A117" s="33" t="s">
        <v>782</v>
      </c>
      <c r="B117" s="33" t="s">
        <v>69</v>
      </c>
      <c r="C117" s="33" t="s">
        <v>441</v>
      </c>
      <c r="D117" s="33" t="s">
        <v>689</v>
      </c>
      <c r="E117" s="33" t="s">
        <v>690</v>
      </c>
      <c r="F117" s="33" t="s">
        <v>691</v>
      </c>
      <c r="G117" s="35">
        <v>46219</v>
      </c>
      <c r="H117" s="33" t="s">
        <v>692</v>
      </c>
      <c r="I117" s="33" t="s">
        <v>783</v>
      </c>
      <c r="J117" s="34">
        <v>9878</v>
      </c>
      <c r="K117" s="33" t="s">
        <v>431</v>
      </c>
      <c r="L117" s="33" t="s">
        <v>784</v>
      </c>
      <c r="M117" s="33" t="s">
        <v>433</v>
      </c>
      <c r="N117" s="33" t="s">
        <v>434</v>
      </c>
      <c r="O117" s="33" t="s">
        <v>435</v>
      </c>
    </row>
    <row r="118">
      <c r="A118" s="33" t="s">
        <v>785</v>
      </c>
      <c r="B118" s="33" t="s">
        <v>69</v>
      </c>
      <c r="C118" s="33" t="s">
        <v>449</v>
      </c>
      <c r="D118" s="33" t="s">
        <v>442</v>
      </c>
      <c r="E118" s="33" t="s">
        <v>443</v>
      </c>
      <c r="F118" s="33" t="s">
        <v>444</v>
      </c>
      <c r="G118" s="35">
        <v>46219</v>
      </c>
      <c r="H118" s="33" t="s">
        <v>445</v>
      </c>
      <c r="I118" s="33" t="s">
        <v>786</v>
      </c>
      <c r="J118" s="34">
        <v>9819</v>
      </c>
      <c r="K118" s="33" t="s">
        <v>431</v>
      </c>
      <c r="L118" s="33" t="s">
        <v>787</v>
      </c>
      <c r="M118" s="33" t="s">
        <v>433</v>
      </c>
      <c r="N118" s="33" t="s">
        <v>434</v>
      </c>
      <c r="O118" s="33" t="s">
        <v>435</v>
      </c>
    </row>
    <row r="119">
      <c r="A119" s="33" t="s">
        <v>788</v>
      </c>
      <c r="B119" s="33" t="s">
        <v>69</v>
      </c>
      <c r="C119" s="33" t="s">
        <v>453</v>
      </c>
      <c r="D119" s="33" t="s">
        <v>442</v>
      </c>
      <c r="E119" s="33" t="s">
        <v>443</v>
      </c>
      <c r="F119" s="33" t="s">
        <v>444</v>
      </c>
      <c r="G119" s="35">
        <v>46219</v>
      </c>
      <c r="H119" s="33" t="s">
        <v>445</v>
      </c>
      <c r="I119" s="33" t="s">
        <v>789</v>
      </c>
      <c r="J119" s="34">
        <v>9469</v>
      </c>
      <c r="K119" s="33" t="s">
        <v>431</v>
      </c>
      <c r="L119" s="33" t="s">
        <v>790</v>
      </c>
      <c r="M119" s="33" t="s">
        <v>433</v>
      </c>
      <c r="N119" s="33" t="s">
        <v>434</v>
      </c>
      <c r="O119" s="33" t="s">
        <v>435</v>
      </c>
    </row>
    <row r="120">
      <c r="A120" s="33" t="s">
        <v>791</v>
      </c>
      <c r="B120" s="33" t="s">
        <v>70</v>
      </c>
      <c r="C120" s="33" t="s">
        <v>425</v>
      </c>
      <c r="D120" s="33" t="s">
        <v>426</v>
      </c>
      <c r="E120" s="33" t="s">
        <v>427</v>
      </c>
      <c r="F120" s="33" t="s">
        <v>428</v>
      </c>
      <c r="G120" s="35">
        <v>46219</v>
      </c>
      <c r="H120" s="33" t="s">
        <v>429</v>
      </c>
      <c r="I120" s="33" t="s">
        <v>792</v>
      </c>
      <c r="J120" s="34">
        <v>6519</v>
      </c>
      <c r="K120" s="33" t="s">
        <v>431</v>
      </c>
      <c r="L120" s="33" t="s">
        <v>793</v>
      </c>
      <c r="M120" s="33" t="s">
        <v>433</v>
      </c>
      <c r="N120" s="33" t="s">
        <v>434</v>
      </c>
      <c r="O120" s="33" t="s">
        <v>435</v>
      </c>
    </row>
    <row r="121">
      <c r="A121" s="33" t="s">
        <v>794</v>
      </c>
      <c r="B121" s="33" t="s">
        <v>70</v>
      </c>
      <c r="C121" s="33" t="s">
        <v>437</v>
      </c>
      <c r="D121" s="33" t="s">
        <v>426</v>
      </c>
      <c r="E121" s="33" t="s">
        <v>427</v>
      </c>
      <c r="F121" s="33" t="s">
        <v>428</v>
      </c>
      <c r="G121" s="35">
        <v>46219</v>
      </c>
      <c r="H121" s="33" t="s">
        <v>429</v>
      </c>
      <c r="I121" s="33" t="s">
        <v>795</v>
      </c>
      <c r="J121" s="34">
        <v>6252</v>
      </c>
      <c r="K121" s="33" t="s">
        <v>431</v>
      </c>
      <c r="L121" s="33" t="s">
        <v>796</v>
      </c>
      <c r="M121" s="33" t="s">
        <v>433</v>
      </c>
      <c r="N121" s="33" t="s">
        <v>434</v>
      </c>
      <c r="O121" s="33" t="s">
        <v>435</v>
      </c>
    </row>
    <row r="122">
      <c r="A122" s="33" t="s">
        <v>797</v>
      </c>
      <c r="B122" s="33" t="s">
        <v>70</v>
      </c>
      <c r="C122" s="33" t="s">
        <v>441</v>
      </c>
      <c r="D122" s="33" t="s">
        <v>689</v>
      </c>
      <c r="E122" s="33" t="s">
        <v>690</v>
      </c>
      <c r="F122" s="33" t="s">
        <v>691</v>
      </c>
      <c r="G122" s="35">
        <v>46219</v>
      </c>
      <c r="H122" s="33" t="s">
        <v>692</v>
      </c>
      <c r="I122" s="33" t="s">
        <v>798</v>
      </c>
      <c r="J122" s="34">
        <v>6098</v>
      </c>
      <c r="K122" s="33" t="s">
        <v>431</v>
      </c>
      <c r="L122" s="33" t="s">
        <v>799</v>
      </c>
      <c r="M122" s="33" t="s">
        <v>433</v>
      </c>
      <c r="N122" s="33" t="s">
        <v>434</v>
      </c>
      <c r="O122" s="33" t="s">
        <v>435</v>
      </c>
    </row>
    <row r="123">
      <c r="A123" s="33" t="s">
        <v>800</v>
      </c>
      <c r="B123" s="33" t="s">
        <v>70</v>
      </c>
      <c r="C123" s="33" t="s">
        <v>449</v>
      </c>
      <c r="D123" s="33" t="s">
        <v>442</v>
      </c>
      <c r="E123" s="33" t="s">
        <v>443</v>
      </c>
      <c r="F123" s="33" t="s">
        <v>444</v>
      </c>
      <c r="G123" s="35">
        <v>46219</v>
      </c>
      <c r="H123" s="33" t="s">
        <v>445</v>
      </c>
      <c r="I123" s="33" t="s">
        <v>801</v>
      </c>
      <c r="J123" s="34">
        <v>5875</v>
      </c>
      <c r="K123" s="33" t="s">
        <v>431</v>
      </c>
      <c r="L123" s="33" t="s">
        <v>802</v>
      </c>
      <c r="M123" s="33" t="s">
        <v>433</v>
      </c>
      <c r="N123" s="33" t="s">
        <v>434</v>
      </c>
      <c r="O123" s="33" t="s">
        <v>435</v>
      </c>
    </row>
    <row r="124">
      <c r="A124" s="33" t="s">
        <v>803</v>
      </c>
      <c r="B124" s="33" t="s">
        <v>70</v>
      </c>
      <c r="C124" s="33" t="s">
        <v>453</v>
      </c>
      <c r="D124" s="33" t="s">
        <v>442</v>
      </c>
      <c r="E124" s="33" t="s">
        <v>443</v>
      </c>
      <c r="F124" s="33" t="s">
        <v>444</v>
      </c>
      <c r="G124" s="35">
        <v>46219</v>
      </c>
      <c r="H124" s="33" t="s">
        <v>445</v>
      </c>
      <c r="I124" s="33" t="s">
        <v>804</v>
      </c>
      <c r="J124" s="34">
        <v>5624</v>
      </c>
      <c r="K124" s="33" t="s">
        <v>431</v>
      </c>
      <c r="L124" s="33" t="s">
        <v>805</v>
      </c>
      <c r="M124" s="33" t="s">
        <v>433</v>
      </c>
      <c r="N124" s="33" t="s">
        <v>434</v>
      </c>
      <c r="O124" s="33" t="s">
        <v>435</v>
      </c>
    </row>
    <row r="125">
      <c r="A125" s="33" t="s">
        <v>806</v>
      </c>
      <c r="B125" s="33" t="s">
        <v>71</v>
      </c>
      <c r="C125" s="33" t="s">
        <v>425</v>
      </c>
      <c r="D125" s="33" t="s">
        <v>426</v>
      </c>
      <c r="E125" s="33" t="s">
        <v>427</v>
      </c>
      <c r="F125" s="33" t="s">
        <v>428</v>
      </c>
      <c r="G125" s="35">
        <v>46219</v>
      </c>
      <c r="H125" s="33" t="s">
        <v>429</v>
      </c>
      <c r="I125" s="33" t="s">
        <v>807</v>
      </c>
      <c r="J125" s="34">
        <v>1582</v>
      </c>
      <c r="K125" s="33" t="s">
        <v>431</v>
      </c>
      <c r="L125" s="33" t="s">
        <v>808</v>
      </c>
      <c r="M125" s="33" t="s">
        <v>433</v>
      </c>
      <c r="N125" s="33" t="s">
        <v>434</v>
      </c>
      <c r="O125" s="33" t="s">
        <v>435</v>
      </c>
    </row>
    <row r="126">
      <c r="A126" s="33" t="s">
        <v>809</v>
      </c>
      <c r="B126" s="33" t="s">
        <v>71</v>
      </c>
      <c r="C126" s="33" t="s">
        <v>437</v>
      </c>
      <c r="D126" s="33" t="s">
        <v>426</v>
      </c>
      <c r="E126" s="33" t="s">
        <v>427</v>
      </c>
      <c r="F126" s="33" t="s">
        <v>428</v>
      </c>
      <c r="G126" s="35">
        <v>46219</v>
      </c>
      <c r="H126" s="33" t="s">
        <v>429</v>
      </c>
      <c r="I126" s="33" t="s">
        <v>810</v>
      </c>
      <c r="J126" s="34">
        <v>1741</v>
      </c>
      <c r="K126" s="33" t="s">
        <v>431</v>
      </c>
      <c r="L126" s="33" t="s">
        <v>811</v>
      </c>
      <c r="M126" s="33" t="s">
        <v>433</v>
      </c>
      <c r="N126" s="33" t="s">
        <v>434</v>
      </c>
      <c r="O126" s="33" t="s">
        <v>435</v>
      </c>
    </row>
    <row r="127">
      <c r="A127" s="33" t="s">
        <v>812</v>
      </c>
      <c r="B127" s="33" t="s">
        <v>71</v>
      </c>
      <c r="C127" s="33" t="s">
        <v>441</v>
      </c>
      <c r="D127" s="33" t="s">
        <v>689</v>
      </c>
      <c r="E127" s="33" t="s">
        <v>690</v>
      </c>
      <c r="F127" s="33" t="s">
        <v>691</v>
      </c>
      <c r="G127" s="35">
        <v>46219</v>
      </c>
      <c r="H127" s="33" t="s">
        <v>692</v>
      </c>
      <c r="I127" s="33" t="s">
        <v>813</v>
      </c>
      <c r="J127" s="34">
        <v>1919</v>
      </c>
      <c r="K127" s="33" t="s">
        <v>431</v>
      </c>
      <c r="L127" s="33" t="s">
        <v>814</v>
      </c>
      <c r="M127" s="33" t="s">
        <v>433</v>
      </c>
      <c r="N127" s="33" t="s">
        <v>434</v>
      </c>
      <c r="O127" s="33" t="s">
        <v>435</v>
      </c>
    </row>
    <row r="128">
      <c r="A128" s="33" t="s">
        <v>815</v>
      </c>
      <c r="B128" s="33" t="s">
        <v>71</v>
      </c>
      <c r="C128" s="33" t="s">
        <v>449</v>
      </c>
      <c r="D128" s="33" t="s">
        <v>442</v>
      </c>
      <c r="E128" s="33" t="s">
        <v>443</v>
      </c>
      <c r="F128" s="33" t="s">
        <v>444</v>
      </c>
      <c r="G128" s="35">
        <v>46219</v>
      </c>
      <c r="H128" s="33" t="s">
        <v>445</v>
      </c>
      <c r="I128" s="33" t="s">
        <v>816</v>
      </c>
      <c r="J128" s="34">
        <v>2213</v>
      </c>
      <c r="K128" s="33" t="s">
        <v>431</v>
      </c>
      <c r="L128" s="33" t="s">
        <v>817</v>
      </c>
      <c r="M128" s="33" t="s">
        <v>433</v>
      </c>
      <c r="N128" s="33" t="s">
        <v>434</v>
      </c>
      <c r="O128" s="33" t="s">
        <v>435</v>
      </c>
    </row>
    <row r="129">
      <c r="A129" s="33" t="s">
        <v>818</v>
      </c>
      <c r="B129" s="33" t="s">
        <v>71</v>
      </c>
      <c r="C129" s="33" t="s">
        <v>453</v>
      </c>
      <c r="D129" s="33" t="s">
        <v>442</v>
      </c>
      <c r="E129" s="33" t="s">
        <v>443</v>
      </c>
      <c r="F129" s="33" t="s">
        <v>444</v>
      </c>
      <c r="G129" s="35">
        <v>46219</v>
      </c>
      <c r="H129" s="33" t="s">
        <v>445</v>
      </c>
      <c r="I129" s="33" t="s">
        <v>819</v>
      </c>
      <c r="J129" s="34">
        <v>2445</v>
      </c>
      <c r="K129" s="33" t="s">
        <v>431</v>
      </c>
      <c r="L129" s="33" t="s">
        <v>820</v>
      </c>
      <c r="M129" s="33" t="s">
        <v>433</v>
      </c>
      <c r="N129" s="33" t="s">
        <v>434</v>
      </c>
      <c r="O129" s="33" t="s">
        <v>435</v>
      </c>
    </row>
    <row r="130">
      <c r="A130" s="33" t="s">
        <v>821</v>
      </c>
      <c r="B130" s="33" t="s">
        <v>72</v>
      </c>
      <c r="C130" s="33" t="s">
        <v>425</v>
      </c>
      <c r="D130" s="33" t="s">
        <v>426</v>
      </c>
      <c r="E130" s="33" t="s">
        <v>427</v>
      </c>
      <c r="F130" s="33" t="s">
        <v>428</v>
      </c>
      <c r="G130" s="35">
        <v>46219</v>
      </c>
      <c r="H130" s="33" t="s">
        <v>429</v>
      </c>
      <c r="I130" s="33" t="s">
        <v>822</v>
      </c>
      <c r="J130" s="34">
        <v>36309</v>
      </c>
      <c r="K130" s="33" t="s">
        <v>431</v>
      </c>
      <c r="L130" s="33" t="s">
        <v>823</v>
      </c>
      <c r="M130" s="33" t="s">
        <v>433</v>
      </c>
      <c r="N130" s="33" t="s">
        <v>434</v>
      </c>
      <c r="O130" s="33" t="s">
        <v>435</v>
      </c>
    </row>
    <row r="131">
      <c r="A131" s="33" t="s">
        <v>824</v>
      </c>
      <c r="B131" s="33" t="s">
        <v>72</v>
      </c>
      <c r="C131" s="33" t="s">
        <v>437</v>
      </c>
      <c r="D131" s="33" t="s">
        <v>426</v>
      </c>
      <c r="E131" s="33" t="s">
        <v>427</v>
      </c>
      <c r="F131" s="33" t="s">
        <v>428</v>
      </c>
      <c r="G131" s="35">
        <v>46219</v>
      </c>
      <c r="H131" s="33" t="s">
        <v>429</v>
      </c>
      <c r="I131" s="33" t="s">
        <v>825</v>
      </c>
      <c r="J131" s="34">
        <v>36821</v>
      </c>
      <c r="K131" s="33" t="s">
        <v>431</v>
      </c>
      <c r="L131" s="33" t="s">
        <v>826</v>
      </c>
      <c r="M131" s="33" t="s">
        <v>433</v>
      </c>
      <c r="N131" s="33" t="s">
        <v>434</v>
      </c>
      <c r="O131" s="33" t="s">
        <v>435</v>
      </c>
    </row>
    <row r="132">
      <c r="A132" s="33" t="s">
        <v>827</v>
      </c>
      <c r="B132" s="33" t="s">
        <v>72</v>
      </c>
      <c r="C132" s="33" t="s">
        <v>441</v>
      </c>
      <c r="D132" s="33" t="s">
        <v>689</v>
      </c>
      <c r="E132" s="33" t="s">
        <v>690</v>
      </c>
      <c r="F132" s="33" t="s">
        <v>691</v>
      </c>
      <c r="G132" s="35">
        <v>46219</v>
      </c>
      <c r="H132" s="33" t="s">
        <v>692</v>
      </c>
      <c r="I132" s="33" t="s">
        <v>828</v>
      </c>
      <c r="J132" s="34">
        <v>36251</v>
      </c>
      <c r="K132" s="33" t="s">
        <v>431</v>
      </c>
      <c r="L132" s="33" t="s">
        <v>829</v>
      </c>
      <c r="M132" s="33" t="s">
        <v>433</v>
      </c>
      <c r="N132" s="33" t="s">
        <v>434</v>
      </c>
      <c r="O132" s="33" t="s">
        <v>435</v>
      </c>
    </row>
    <row r="133">
      <c r="A133" s="33" t="s">
        <v>830</v>
      </c>
      <c r="B133" s="33" t="s">
        <v>72</v>
      </c>
      <c r="C133" s="33" t="s">
        <v>449</v>
      </c>
      <c r="D133" s="33" t="s">
        <v>442</v>
      </c>
      <c r="E133" s="33" t="s">
        <v>443</v>
      </c>
      <c r="F133" s="33" t="s">
        <v>444</v>
      </c>
      <c r="G133" s="35">
        <v>46219</v>
      </c>
      <c r="H133" s="33" t="s">
        <v>445</v>
      </c>
      <c r="I133" s="33" t="s">
        <v>831</v>
      </c>
      <c r="J133" s="34">
        <v>37100</v>
      </c>
      <c r="K133" s="33" t="s">
        <v>431</v>
      </c>
      <c r="L133" s="33" t="s">
        <v>832</v>
      </c>
      <c r="M133" s="33" t="s">
        <v>433</v>
      </c>
      <c r="N133" s="33" t="s">
        <v>434</v>
      </c>
      <c r="O133" s="33" t="s">
        <v>435</v>
      </c>
    </row>
    <row r="134">
      <c r="A134" s="33" t="s">
        <v>833</v>
      </c>
      <c r="B134" s="33" t="s">
        <v>72</v>
      </c>
      <c r="C134" s="33" t="s">
        <v>453</v>
      </c>
      <c r="D134" s="33" t="s">
        <v>442</v>
      </c>
      <c r="E134" s="33" t="s">
        <v>443</v>
      </c>
      <c r="F134" s="33" t="s">
        <v>444</v>
      </c>
      <c r="G134" s="35">
        <v>46219</v>
      </c>
      <c r="H134" s="33" t="s">
        <v>445</v>
      </c>
      <c r="I134" s="33" t="s">
        <v>834</v>
      </c>
      <c r="J134" s="34">
        <v>36658</v>
      </c>
      <c r="K134" s="33" t="s">
        <v>431</v>
      </c>
      <c r="L134" s="33" t="s">
        <v>835</v>
      </c>
      <c r="M134" s="33" t="s">
        <v>433</v>
      </c>
      <c r="N134" s="33" t="s">
        <v>434</v>
      </c>
      <c r="O134" s="33" t="s">
        <v>435</v>
      </c>
    </row>
    <row r="135">
      <c r="A135" s="33" t="s">
        <v>836</v>
      </c>
      <c r="B135" s="33" t="s">
        <v>74</v>
      </c>
      <c r="C135" s="33" t="s">
        <v>425</v>
      </c>
      <c r="D135" s="33" t="s">
        <v>426</v>
      </c>
      <c r="E135" s="33" t="s">
        <v>427</v>
      </c>
      <c r="F135" s="33" t="s">
        <v>428</v>
      </c>
      <c r="G135" s="35">
        <v>46219</v>
      </c>
      <c r="H135" s="33" t="s">
        <v>429</v>
      </c>
      <c r="I135" s="33" t="s">
        <v>837</v>
      </c>
      <c r="J135" s="34">
        <v>1067</v>
      </c>
      <c r="K135" s="33" t="s">
        <v>431</v>
      </c>
      <c r="L135" s="33" t="s">
        <v>838</v>
      </c>
      <c r="M135" s="33" t="s">
        <v>433</v>
      </c>
      <c r="N135" s="33" t="s">
        <v>434</v>
      </c>
      <c r="O135" s="33" t="s">
        <v>435</v>
      </c>
    </row>
    <row r="136">
      <c r="A136" s="33" t="s">
        <v>839</v>
      </c>
      <c r="B136" s="33" t="s">
        <v>74</v>
      </c>
      <c r="C136" s="33" t="s">
        <v>437</v>
      </c>
      <c r="D136" s="33" t="s">
        <v>426</v>
      </c>
      <c r="E136" s="33" t="s">
        <v>427</v>
      </c>
      <c r="F136" s="33" t="s">
        <v>428</v>
      </c>
      <c r="G136" s="35">
        <v>46219</v>
      </c>
      <c r="H136" s="33" t="s">
        <v>429</v>
      </c>
      <c r="I136" s="33" t="s">
        <v>840</v>
      </c>
      <c r="J136" s="34">
        <v>459</v>
      </c>
      <c r="K136" s="33" t="s">
        <v>431</v>
      </c>
      <c r="L136" s="33" t="s">
        <v>841</v>
      </c>
      <c r="M136" s="33" t="s">
        <v>433</v>
      </c>
      <c r="N136" s="33" t="s">
        <v>434</v>
      </c>
      <c r="O136" s="33" t="s">
        <v>435</v>
      </c>
    </row>
    <row r="137">
      <c r="A137" s="33" t="s">
        <v>842</v>
      </c>
      <c r="B137" s="33" t="s">
        <v>74</v>
      </c>
      <c r="C137" s="33" t="s">
        <v>441</v>
      </c>
      <c r="D137" s="33" t="s">
        <v>689</v>
      </c>
      <c r="E137" s="33" t="s">
        <v>690</v>
      </c>
      <c r="F137" s="33" t="s">
        <v>691</v>
      </c>
      <c r="G137" s="35">
        <v>46219</v>
      </c>
      <c r="H137" s="33" t="s">
        <v>692</v>
      </c>
      <c r="I137" s="33" t="s">
        <v>843</v>
      </c>
      <c r="J137" s="34">
        <v>1895</v>
      </c>
      <c r="K137" s="33" t="s">
        <v>431</v>
      </c>
      <c r="L137" s="33" t="s">
        <v>844</v>
      </c>
      <c r="M137" s="33" t="s">
        <v>433</v>
      </c>
      <c r="N137" s="33" t="s">
        <v>434</v>
      </c>
      <c r="O137" s="33" t="s">
        <v>435</v>
      </c>
    </row>
    <row r="138">
      <c r="A138" s="33" t="s">
        <v>845</v>
      </c>
      <c r="B138" s="33" t="s">
        <v>74</v>
      </c>
      <c r="C138" s="33" t="s">
        <v>449</v>
      </c>
      <c r="D138" s="33" t="s">
        <v>442</v>
      </c>
      <c r="E138" s="33" t="s">
        <v>443</v>
      </c>
      <c r="F138" s="33" t="s">
        <v>444</v>
      </c>
      <c r="G138" s="35">
        <v>46219</v>
      </c>
      <c r="H138" s="33" t="s">
        <v>445</v>
      </c>
      <c r="I138" s="33" t="s">
        <v>846</v>
      </c>
      <c r="J138" s="34">
        <v>74</v>
      </c>
      <c r="K138" s="33" t="s">
        <v>431</v>
      </c>
      <c r="L138" s="33" t="s">
        <v>847</v>
      </c>
      <c r="M138" s="33" t="s">
        <v>433</v>
      </c>
      <c r="N138" s="33" t="s">
        <v>434</v>
      </c>
      <c r="O138" s="33" t="s">
        <v>435</v>
      </c>
    </row>
    <row r="139">
      <c r="A139" s="33" t="s">
        <v>848</v>
      </c>
      <c r="B139" s="33" t="s">
        <v>74</v>
      </c>
      <c r="C139" s="33" t="s">
        <v>453</v>
      </c>
      <c r="D139" s="33" t="s">
        <v>442</v>
      </c>
      <c r="E139" s="33" t="s">
        <v>443</v>
      </c>
      <c r="F139" s="33" t="s">
        <v>444</v>
      </c>
      <c r="G139" s="35">
        <v>46219</v>
      </c>
      <c r="H139" s="33" t="s">
        <v>445</v>
      </c>
      <c r="I139" s="33" t="s">
        <v>849</v>
      </c>
      <c r="J139" s="34">
        <v>909</v>
      </c>
      <c r="K139" s="33" t="s">
        <v>431</v>
      </c>
      <c r="L139" s="33" t="s">
        <v>850</v>
      </c>
      <c r="M139" s="33" t="s">
        <v>433</v>
      </c>
      <c r="N139" s="33" t="s">
        <v>434</v>
      </c>
      <c r="O139" s="33" t="s">
        <v>435</v>
      </c>
    </row>
    <row r="140">
      <c r="A140" s="33" t="s">
        <v>851</v>
      </c>
      <c r="B140" s="33" t="s">
        <v>75</v>
      </c>
      <c r="C140" s="33" t="s">
        <v>425</v>
      </c>
      <c r="D140" s="33" t="s">
        <v>426</v>
      </c>
      <c r="E140" s="33" t="s">
        <v>427</v>
      </c>
      <c r="F140" s="33" t="s">
        <v>428</v>
      </c>
      <c r="G140" s="35">
        <v>46219</v>
      </c>
      <c r="H140" s="33" t="s">
        <v>429</v>
      </c>
      <c r="I140" s="33" t="s">
        <v>852</v>
      </c>
      <c r="J140" s="34">
        <v>2225</v>
      </c>
      <c r="K140" s="33" t="s">
        <v>431</v>
      </c>
      <c r="L140" s="33" t="s">
        <v>853</v>
      </c>
      <c r="M140" s="33" t="s">
        <v>433</v>
      </c>
      <c r="N140" s="33" t="s">
        <v>434</v>
      </c>
      <c r="O140" s="33" t="s">
        <v>435</v>
      </c>
    </row>
    <row r="141">
      <c r="A141" s="33" t="s">
        <v>854</v>
      </c>
      <c r="B141" s="33" t="s">
        <v>75</v>
      </c>
      <c r="C141" s="33" t="s">
        <v>437</v>
      </c>
      <c r="D141" s="33" t="s">
        <v>426</v>
      </c>
      <c r="E141" s="33" t="s">
        <v>427</v>
      </c>
      <c r="F141" s="33" t="s">
        <v>428</v>
      </c>
      <c r="G141" s="35">
        <v>46219</v>
      </c>
      <c r="H141" s="33" t="s">
        <v>429</v>
      </c>
      <c r="I141" s="33" t="s">
        <v>855</v>
      </c>
      <c r="J141" s="34">
        <v>2483</v>
      </c>
      <c r="K141" s="33" t="s">
        <v>431</v>
      </c>
      <c r="L141" s="33" t="s">
        <v>856</v>
      </c>
      <c r="M141" s="33" t="s">
        <v>433</v>
      </c>
      <c r="N141" s="33" t="s">
        <v>434</v>
      </c>
      <c r="O141" s="33" t="s">
        <v>435</v>
      </c>
    </row>
    <row r="142">
      <c r="A142" s="33" t="s">
        <v>857</v>
      </c>
      <c r="B142" s="33" t="s">
        <v>75</v>
      </c>
      <c r="C142" s="33" t="s">
        <v>441</v>
      </c>
      <c r="D142" s="33" t="s">
        <v>689</v>
      </c>
      <c r="E142" s="33" t="s">
        <v>690</v>
      </c>
      <c r="F142" s="33" t="s">
        <v>691</v>
      </c>
      <c r="G142" s="35">
        <v>46219</v>
      </c>
      <c r="H142" s="33" t="s">
        <v>692</v>
      </c>
      <c r="I142" s="33" t="s">
        <v>858</v>
      </c>
      <c r="J142" s="34">
        <v>2594</v>
      </c>
      <c r="K142" s="33" t="s">
        <v>431</v>
      </c>
      <c r="L142" s="33" t="s">
        <v>859</v>
      </c>
      <c r="M142" s="33" t="s">
        <v>433</v>
      </c>
      <c r="N142" s="33" t="s">
        <v>434</v>
      </c>
      <c r="O142" s="33" t="s">
        <v>435</v>
      </c>
    </row>
    <row r="143">
      <c r="A143" s="33" t="s">
        <v>860</v>
      </c>
      <c r="B143" s="33" t="s">
        <v>75</v>
      </c>
      <c r="C143" s="33" t="s">
        <v>449</v>
      </c>
      <c r="D143" s="33" t="s">
        <v>442</v>
      </c>
      <c r="E143" s="33" t="s">
        <v>443</v>
      </c>
      <c r="F143" s="33" t="s">
        <v>444</v>
      </c>
      <c r="G143" s="35">
        <v>46219</v>
      </c>
      <c r="H143" s="33" t="s">
        <v>445</v>
      </c>
      <c r="I143" s="33" t="s">
        <v>861</v>
      </c>
      <c r="J143" s="34">
        <v>2402</v>
      </c>
      <c r="K143" s="33" t="s">
        <v>431</v>
      </c>
      <c r="L143" s="33" t="s">
        <v>862</v>
      </c>
      <c r="M143" s="33" t="s">
        <v>433</v>
      </c>
      <c r="N143" s="33" t="s">
        <v>434</v>
      </c>
      <c r="O143" s="33" t="s">
        <v>435</v>
      </c>
    </row>
    <row r="144">
      <c r="A144" s="33" t="s">
        <v>863</v>
      </c>
      <c r="B144" s="33" t="s">
        <v>75</v>
      </c>
      <c r="C144" s="33" t="s">
        <v>453</v>
      </c>
      <c r="D144" s="33" t="s">
        <v>442</v>
      </c>
      <c r="E144" s="33" t="s">
        <v>443</v>
      </c>
      <c r="F144" s="33" t="s">
        <v>444</v>
      </c>
      <c r="G144" s="35">
        <v>46219</v>
      </c>
      <c r="H144" s="33" t="s">
        <v>445</v>
      </c>
      <c r="I144" s="33" t="s">
        <v>864</v>
      </c>
      <c r="J144" s="34">
        <v>2601</v>
      </c>
      <c r="K144" s="33" t="s">
        <v>431</v>
      </c>
      <c r="L144" s="33" t="s">
        <v>865</v>
      </c>
      <c r="M144" s="33" t="s">
        <v>433</v>
      </c>
      <c r="N144" s="33" t="s">
        <v>434</v>
      </c>
      <c r="O144" s="33" t="s">
        <v>435</v>
      </c>
    </row>
    <row r="145">
      <c r="A145" s="33" t="s">
        <v>866</v>
      </c>
      <c r="B145" s="33" t="s">
        <v>76</v>
      </c>
      <c r="C145" s="33" t="s">
        <v>425</v>
      </c>
      <c r="D145" s="33" t="s">
        <v>426</v>
      </c>
      <c r="E145" s="33" t="s">
        <v>427</v>
      </c>
      <c r="F145" s="33" t="s">
        <v>428</v>
      </c>
      <c r="G145" s="35">
        <v>46219</v>
      </c>
      <c r="H145" s="33" t="s">
        <v>429</v>
      </c>
      <c r="I145" s="33" t="s">
        <v>867</v>
      </c>
      <c r="J145" s="34">
        <v>3033</v>
      </c>
      <c r="K145" s="33" t="s">
        <v>431</v>
      </c>
      <c r="L145" s="33" t="s">
        <v>868</v>
      </c>
      <c r="M145" s="33" t="s">
        <v>433</v>
      </c>
      <c r="N145" s="33" t="s">
        <v>434</v>
      </c>
      <c r="O145" s="33" t="s">
        <v>435</v>
      </c>
    </row>
    <row r="146">
      <c r="A146" s="33" t="s">
        <v>869</v>
      </c>
      <c r="B146" s="33" t="s">
        <v>76</v>
      </c>
      <c r="C146" s="33" t="s">
        <v>437</v>
      </c>
      <c r="D146" s="33" t="s">
        <v>426</v>
      </c>
      <c r="E146" s="33" t="s">
        <v>427</v>
      </c>
      <c r="F146" s="33" t="s">
        <v>428</v>
      </c>
      <c r="G146" s="35">
        <v>46219</v>
      </c>
      <c r="H146" s="33" t="s">
        <v>429</v>
      </c>
      <c r="I146" s="33" t="s">
        <v>870</v>
      </c>
      <c r="J146" s="34">
        <v>2371</v>
      </c>
      <c r="K146" s="33" t="s">
        <v>431</v>
      </c>
      <c r="L146" s="33" t="s">
        <v>871</v>
      </c>
      <c r="M146" s="33" t="s">
        <v>433</v>
      </c>
      <c r="N146" s="33" t="s">
        <v>434</v>
      </c>
      <c r="O146" s="33" t="s">
        <v>435</v>
      </c>
    </row>
    <row r="147">
      <c r="A147" s="33" t="s">
        <v>872</v>
      </c>
      <c r="B147" s="33" t="s">
        <v>76</v>
      </c>
      <c r="C147" s="33" t="s">
        <v>441</v>
      </c>
      <c r="D147" s="33" t="s">
        <v>689</v>
      </c>
      <c r="E147" s="33" t="s">
        <v>690</v>
      </c>
      <c r="F147" s="33" t="s">
        <v>691</v>
      </c>
      <c r="G147" s="35">
        <v>46219</v>
      </c>
      <c r="H147" s="33" t="s">
        <v>692</v>
      </c>
      <c r="I147" s="33" t="s">
        <v>873</v>
      </c>
      <c r="J147" s="34">
        <v>2010</v>
      </c>
      <c r="K147" s="33" t="s">
        <v>431</v>
      </c>
      <c r="L147" s="33" t="s">
        <v>874</v>
      </c>
      <c r="M147" s="33" t="s">
        <v>433</v>
      </c>
      <c r="N147" s="33" t="s">
        <v>434</v>
      </c>
      <c r="O147" s="33" t="s">
        <v>435</v>
      </c>
    </row>
    <row r="148">
      <c r="A148" s="33" t="s">
        <v>875</v>
      </c>
      <c r="B148" s="33" t="s">
        <v>76</v>
      </c>
      <c r="C148" s="33" t="s">
        <v>449</v>
      </c>
      <c r="D148" s="33" t="s">
        <v>442</v>
      </c>
      <c r="E148" s="33" t="s">
        <v>443</v>
      </c>
      <c r="F148" s="33" t="s">
        <v>444</v>
      </c>
      <c r="G148" s="35">
        <v>46219</v>
      </c>
      <c r="H148" s="33" t="s">
        <v>445</v>
      </c>
      <c r="I148" s="33" t="s">
        <v>876</v>
      </c>
      <c r="J148" s="34">
        <v>2311</v>
      </c>
      <c r="K148" s="33" t="s">
        <v>431</v>
      </c>
      <c r="L148" s="33" t="s">
        <v>877</v>
      </c>
      <c r="M148" s="33" t="s">
        <v>433</v>
      </c>
      <c r="N148" s="33" t="s">
        <v>434</v>
      </c>
      <c r="O148" s="33" t="s">
        <v>435</v>
      </c>
    </row>
    <row r="149">
      <c r="A149" s="33" t="s">
        <v>878</v>
      </c>
      <c r="B149" s="33" t="s">
        <v>76</v>
      </c>
      <c r="C149" s="33" t="s">
        <v>453</v>
      </c>
      <c r="D149" s="33" t="s">
        <v>442</v>
      </c>
      <c r="E149" s="33" t="s">
        <v>443</v>
      </c>
      <c r="F149" s="33" t="s">
        <v>444</v>
      </c>
      <c r="G149" s="35">
        <v>46219</v>
      </c>
      <c r="H149" s="33" t="s">
        <v>445</v>
      </c>
      <c r="I149" s="33" t="s">
        <v>879</v>
      </c>
      <c r="J149" s="34">
        <v>2879</v>
      </c>
      <c r="K149" s="33" t="s">
        <v>431</v>
      </c>
      <c r="L149" s="33" t="s">
        <v>880</v>
      </c>
      <c r="M149" s="33" t="s">
        <v>433</v>
      </c>
      <c r="N149" s="33" t="s">
        <v>434</v>
      </c>
      <c r="O149" s="33" t="s">
        <v>435</v>
      </c>
    </row>
    <row r="150">
      <c r="A150" s="33" t="s">
        <v>881</v>
      </c>
      <c r="B150" s="33" t="s">
        <v>77</v>
      </c>
      <c r="C150" s="33" t="s">
        <v>425</v>
      </c>
      <c r="D150" s="33" t="s">
        <v>426</v>
      </c>
      <c r="E150" s="33" t="s">
        <v>427</v>
      </c>
      <c r="F150" s="33" t="s">
        <v>428</v>
      </c>
      <c r="G150" s="35">
        <v>46219</v>
      </c>
      <c r="H150" s="33" t="s">
        <v>429</v>
      </c>
      <c r="I150" s="33" t="s">
        <v>882</v>
      </c>
      <c r="J150" s="34">
        <v>6325</v>
      </c>
      <c r="K150" s="33" t="s">
        <v>431</v>
      </c>
      <c r="L150" s="33" t="s">
        <v>883</v>
      </c>
      <c r="M150" s="33" t="s">
        <v>433</v>
      </c>
      <c r="N150" s="33" t="s">
        <v>434</v>
      </c>
      <c r="O150" s="33" t="s">
        <v>435</v>
      </c>
    </row>
    <row r="151">
      <c r="A151" s="33" t="s">
        <v>884</v>
      </c>
      <c r="B151" s="33" t="s">
        <v>77</v>
      </c>
      <c r="C151" s="33" t="s">
        <v>437</v>
      </c>
      <c r="D151" s="33" t="s">
        <v>426</v>
      </c>
      <c r="E151" s="33" t="s">
        <v>427</v>
      </c>
      <c r="F151" s="33" t="s">
        <v>428</v>
      </c>
      <c r="G151" s="35">
        <v>46219</v>
      </c>
      <c r="H151" s="33" t="s">
        <v>429</v>
      </c>
      <c r="I151" s="33" t="s">
        <v>885</v>
      </c>
      <c r="J151" s="34">
        <v>5313</v>
      </c>
      <c r="K151" s="33" t="s">
        <v>431</v>
      </c>
      <c r="L151" s="33" t="s">
        <v>886</v>
      </c>
      <c r="M151" s="33" t="s">
        <v>433</v>
      </c>
      <c r="N151" s="33" t="s">
        <v>434</v>
      </c>
      <c r="O151" s="33" t="s">
        <v>435</v>
      </c>
    </row>
    <row r="152">
      <c r="A152" s="33" t="s">
        <v>887</v>
      </c>
      <c r="B152" s="33" t="s">
        <v>77</v>
      </c>
      <c r="C152" s="33" t="s">
        <v>441</v>
      </c>
      <c r="D152" s="33" t="s">
        <v>689</v>
      </c>
      <c r="E152" s="33" t="s">
        <v>690</v>
      </c>
      <c r="F152" s="33" t="s">
        <v>691</v>
      </c>
      <c r="G152" s="35">
        <v>46219</v>
      </c>
      <c r="H152" s="33" t="s">
        <v>692</v>
      </c>
      <c r="I152" s="33" t="s">
        <v>888</v>
      </c>
      <c r="J152" s="34">
        <v>6499</v>
      </c>
      <c r="K152" s="33" t="s">
        <v>431</v>
      </c>
      <c r="L152" s="33" t="s">
        <v>889</v>
      </c>
      <c r="M152" s="33" t="s">
        <v>433</v>
      </c>
      <c r="N152" s="33" t="s">
        <v>434</v>
      </c>
      <c r="O152" s="33" t="s">
        <v>435</v>
      </c>
    </row>
    <row r="153">
      <c r="A153" s="33" t="s">
        <v>890</v>
      </c>
      <c r="B153" s="33" t="s">
        <v>77</v>
      </c>
      <c r="C153" s="33" t="s">
        <v>449</v>
      </c>
      <c r="D153" s="33" t="s">
        <v>442</v>
      </c>
      <c r="E153" s="33" t="s">
        <v>443</v>
      </c>
      <c r="F153" s="33" t="s">
        <v>444</v>
      </c>
      <c r="G153" s="35">
        <v>46219</v>
      </c>
      <c r="H153" s="33" t="s">
        <v>445</v>
      </c>
      <c r="I153" s="33" t="s">
        <v>891</v>
      </c>
      <c r="J153" s="34">
        <v>4787</v>
      </c>
      <c r="K153" s="33" t="s">
        <v>431</v>
      </c>
      <c r="L153" s="33" t="s">
        <v>892</v>
      </c>
      <c r="M153" s="33" t="s">
        <v>433</v>
      </c>
      <c r="N153" s="33" t="s">
        <v>434</v>
      </c>
      <c r="O153" s="33" t="s">
        <v>435</v>
      </c>
    </row>
    <row r="154">
      <c r="A154" s="33" t="s">
        <v>893</v>
      </c>
      <c r="B154" s="33" t="s">
        <v>77</v>
      </c>
      <c r="C154" s="33" t="s">
        <v>453</v>
      </c>
      <c r="D154" s="33" t="s">
        <v>442</v>
      </c>
      <c r="E154" s="33" t="s">
        <v>443</v>
      </c>
      <c r="F154" s="33" t="s">
        <v>444</v>
      </c>
      <c r="G154" s="35">
        <v>46219</v>
      </c>
      <c r="H154" s="33" t="s">
        <v>445</v>
      </c>
      <c r="I154" s="33" t="s">
        <v>894</v>
      </c>
      <c r="J154" s="34">
        <v>6389</v>
      </c>
      <c r="K154" s="33" t="s">
        <v>431</v>
      </c>
      <c r="L154" s="33" t="s">
        <v>895</v>
      </c>
      <c r="M154" s="33" t="s">
        <v>433</v>
      </c>
      <c r="N154" s="33" t="s">
        <v>434</v>
      </c>
      <c r="O154" s="33" t="s">
        <v>435</v>
      </c>
    </row>
    <row r="155">
      <c r="A155" s="33" t="s">
        <v>896</v>
      </c>
      <c r="B155" s="33" t="s">
        <v>78</v>
      </c>
      <c r="C155" s="33" t="s">
        <v>425</v>
      </c>
      <c r="D155" s="33" t="s">
        <v>426</v>
      </c>
      <c r="E155" s="33" t="s">
        <v>427</v>
      </c>
      <c r="F155" s="33" t="s">
        <v>428</v>
      </c>
      <c r="G155" s="35">
        <v>46219</v>
      </c>
      <c r="H155" s="33" t="s">
        <v>429</v>
      </c>
      <c r="I155" s="33" t="s">
        <v>897</v>
      </c>
      <c r="J155" s="34">
        <v>8281</v>
      </c>
      <c r="K155" s="33" t="s">
        <v>431</v>
      </c>
      <c r="L155" s="33" t="s">
        <v>898</v>
      </c>
      <c r="M155" s="33" t="s">
        <v>433</v>
      </c>
      <c r="N155" s="33" t="s">
        <v>434</v>
      </c>
      <c r="O155" s="33" t="s">
        <v>435</v>
      </c>
    </row>
    <row r="156">
      <c r="A156" s="33" t="s">
        <v>899</v>
      </c>
      <c r="B156" s="33" t="s">
        <v>78</v>
      </c>
      <c r="C156" s="33" t="s">
        <v>437</v>
      </c>
      <c r="D156" s="33" t="s">
        <v>426</v>
      </c>
      <c r="E156" s="33" t="s">
        <v>427</v>
      </c>
      <c r="F156" s="33" t="s">
        <v>428</v>
      </c>
      <c r="G156" s="35">
        <v>46219</v>
      </c>
      <c r="H156" s="33" t="s">
        <v>429</v>
      </c>
      <c r="I156" s="33" t="s">
        <v>900</v>
      </c>
      <c r="J156" s="34">
        <v>7862</v>
      </c>
      <c r="K156" s="33" t="s">
        <v>431</v>
      </c>
      <c r="L156" s="33" t="s">
        <v>901</v>
      </c>
      <c r="M156" s="33" t="s">
        <v>433</v>
      </c>
      <c r="N156" s="33" t="s">
        <v>434</v>
      </c>
      <c r="O156" s="33" t="s">
        <v>435</v>
      </c>
    </row>
    <row r="157">
      <c r="A157" s="33" t="s">
        <v>902</v>
      </c>
      <c r="B157" s="33" t="s">
        <v>78</v>
      </c>
      <c r="C157" s="33" t="s">
        <v>441</v>
      </c>
      <c r="D157" s="33" t="s">
        <v>689</v>
      </c>
      <c r="E157" s="33" t="s">
        <v>690</v>
      </c>
      <c r="F157" s="33" t="s">
        <v>691</v>
      </c>
      <c r="G157" s="35">
        <v>46219</v>
      </c>
      <c r="H157" s="33" t="s">
        <v>692</v>
      </c>
      <c r="I157" s="33" t="s">
        <v>903</v>
      </c>
      <c r="J157" s="34">
        <v>7611</v>
      </c>
      <c r="K157" s="33" t="s">
        <v>431</v>
      </c>
      <c r="L157" s="33" t="s">
        <v>904</v>
      </c>
      <c r="M157" s="33" t="s">
        <v>433</v>
      </c>
      <c r="N157" s="33" t="s">
        <v>434</v>
      </c>
      <c r="O157" s="33" t="s">
        <v>435</v>
      </c>
    </row>
    <row r="158">
      <c r="A158" s="33" t="s">
        <v>905</v>
      </c>
      <c r="B158" s="33" t="s">
        <v>78</v>
      </c>
      <c r="C158" s="33" t="s">
        <v>449</v>
      </c>
      <c r="D158" s="33" t="s">
        <v>442</v>
      </c>
      <c r="E158" s="33" t="s">
        <v>443</v>
      </c>
      <c r="F158" s="33" t="s">
        <v>444</v>
      </c>
      <c r="G158" s="35">
        <v>46219</v>
      </c>
      <c r="H158" s="33" t="s">
        <v>445</v>
      </c>
      <c r="I158" s="33" t="s">
        <v>906</v>
      </c>
      <c r="J158" s="34">
        <v>9713</v>
      </c>
      <c r="K158" s="33" t="s">
        <v>431</v>
      </c>
      <c r="L158" s="33" t="s">
        <v>907</v>
      </c>
      <c r="M158" s="33" t="s">
        <v>433</v>
      </c>
      <c r="N158" s="33" t="s">
        <v>434</v>
      </c>
      <c r="O158" s="33" t="s">
        <v>435</v>
      </c>
    </row>
    <row r="159">
      <c r="A159" s="33" t="s">
        <v>908</v>
      </c>
      <c r="B159" s="33" t="s">
        <v>78</v>
      </c>
      <c r="C159" s="33" t="s">
        <v>453</v>
      </c>
      <c r="D159" s="33" t="s">
        <v>442</v>
      </c>
      <c r="E159" s="33" t="s">
        <v>443</v>
      </c>
      <c r="F159" s="33" t="s">
        <v>444</v>
      </c>
      <c r="G159" s="35">
        <v>46219</v>
      </c>
      <c r="H159" s="33" t="s">
        <v>445</v>
      </c>
      <c r="I159" s="33" t="s">
        <v>909</v>
      </c>
      <c r="J159" s="34">
        <v>7921</v>
      </c>
      <c r="K159" s="33" t="s">
        <v>431</v>
      </c>
      <c r="L159" s="33" t="s">
        <v>910</v>
      </c>
      <c r="M159" s="33" t="s">
        <v>433</v>
      </c>
      <c r="N159" s="33" t="s">
        <v>434</v>
      </c>
      <c r="O159" s="33" t="s">
        <v>435</v>
      </c>
    </row>
    <row r="160">
      <c r="A160" s="33" t="s">
        <v>911</v>
      </c>
      <c r="B160" s="33" t="s">
        <v>79</v>
      </c>
      <c r="C160" s="33" t="s">
        <v>425</v>
      </c>
      <c r="D160" s="33" t="s">
        <v>426</v>
      </c>
      <c r="E160" s="33" t="s">
        <v>427</v>
      </c>
      <c r="F160" s="33" t="s">
        <v>428</v>
      </c>
      <c r="G160" s="35">
        <v>46219</v>
      </c>
      <c r="H160" s="33" t="s">
        <v>429</v>
      </c>
      <c r="I160" s="33" t="s">
        <v>912</v>
      </c>
      <c r="J160" s="34">
        <v>2195</v>
      </c>
      <c r="K160" s="33" t="s">
        <v>431</v>
      </c>
      <c r="L160" s="33" t="s">
        <v>913</v>
      </c>
      <c r="M160" s="33" t="s">
        <v>433</v>
      </c>
      <c r="N160" s="33" t="s">
        <v>434</v>
      </c>
      <c r="O160" s="33" t="s">
        <v>435</v>
      </c>
    </row>
    <row r="161">
      <c r="A161" s="33" t="s">
        <v>914</v>
      </c>
      <c r="B161" s="33" t="s">
        <v>79</v>
      </c>
      <c r="C161" s="33" t="s">
        <v>437</v>
      </c>
      <c r="D161" s="33" t="s">
        <v>426</v>
      </c>
      <c r="E161" s="33" t="s">
        <v>427</v>
      </c>
      <c r="F161" s="33" t="s">
        <v>428</v>
      </c>
      <c r="G161" s="35">
        <v>46219</v>
      </c>
      <c r="H161" s="33" t="s">
        <v>429</v>
      </c>
      <c r="I161" s="33" t="s">
        <v>915</v>
      </c>
      <c r="J161" s="34">
        <v>2458</v>
      </c>
      <c r="K161" s="33" t="s">
        <v>431</v>
      </c>
      <c r="L161" s="33" t="s">
        <v>916</v>
      </c>
      <c r="M161" s="33" t="s">
        <v>433</v>
      </c>
      <c r="N161" s="33" t="s">
        <v>434</v>
      </c>
      <c r="O161" s="33" t="s">
        <v>435</v>
      </c>
    </row>
    <row r="162">
      <c r="A162" s="33" t="s">
        <v>917</v>
      </c>
      <c r="B162" s="33" t="s">
        <v>79</v>
      </c>
      <c r="C162" s="33" t="s">
        <v>441</v>
      </c>
      <c r="D162" s="33" t="s">
        <v>689</v>
      </c>
      <c r="E162" s="33" t="s">
        <v>690</v>
      </c>
      <c r="F162" s="33" t="s">
        <v>691</v>
      </c>
      <c r="G162" s="35">
        <v>46219</v>
      </c>
      <c r="H162" s="33" t="s">
        <v>692</v>
      </c>
      <c r="I162" s="33" t="s">
        <v>918</v>
      </c>
      <c r="J162" s="34">
        <v>2308</v>
      </c>
      <c r="K162" s="33" t="s">
        <v>431</v>
      </c>
      <c r="L162" s="33" t="s">
        <v>919</v>
      </c>
      <c r="M162" s="33" t="s">
        <v>433</v>
      </c>
      <c r="N162" s="33" t="s">
        <v>434</v>
      </c>
      <c r="O162" s="33" t="s">
        <v>435</v>
      </c>
    </row>
    <row r="163">
      <c r="A163" s="33" t="s">
        <v>920</v>
      </c>
      <c r="B163" s="33" t="s">
        <v>79</v>
      </c>
      <c r="C163" s="33" t="s">
        <v>449</v>
      </c>
      <c r="D163" s="33" t="s">
        <v>442</v>
      </c>
      <c r="E163" s="33" t="s">
        <v>443</v>
      </c>
      <c r="F163" s="33" t="s">
        <v>444</v>
      </c>
      <c r="G163" s="35">
        <v>46219</v>
      </c>
      <c r="H163" s="33" t="s">
        <v>445</v>
      </c>
      <c r="I163" s="33" t="s">
        <v>921</v>
      </c>
      <c r="J163" s="34">
        <v>2285</v>
      </c>
      <c r="K163" s="33" t="s">
        <v>431</v>
      </c>
      <c r="L163" s="33" t="s">
        <v>922</v>
      </c>
      <c r="M163" s="33" t="s">
        <v>433</v>
      </c>
      <c r="N163" s="33" t="s">
        <v>434</v>
      </c>
      <c r="O163" s="33" t="s">
        <v>435</v>
      </c>
    </row>
    <row r="164">
      <c r="A164" s="33" t="s">
        <v>923</v>
      </c>
      <c r="B164" s="33" t="s">
        <v>79</v>
      </c>
      <c r="C164" s="33" t="s">
        <v>453</v>
      </c>
      <c r="D164" s="33" t="s">
        <v>442</v>
      </c>
      <c r="E164" s="33" t="s">
        <v>443</v>
      </c>
      <c r="F164" s="33" t="s">
        <v>444</v>
      </c>
      <c r="G164" s="35">
        <v>46219</v>
      </c>
      <c r="H164" s="33" t="s">
        <v>445</v>
      </c>
      <c r="I164" s="33" t="s">
        <v>924</v>
      </c>
      <c r="J164" s="34">
        <v>2195</v>
      </c>
      <c r="K164" s="33" t="s">
        <v>431</v>
      </c>
      <c r="L164" s="33" t="s">
        <v>925</v>
      </c>
      <c r="M164" s="33" t="s">
        <v>433</v>
      </c>
      <c r="N164" s="33" t="s">
        <v>434</v>
      </c>
      <c r="O164" s="33" t="s">
        <v>435</v>
      </c>
    </row>
    <row r="165">
      <c r="A165" s="33" t="s">
        <v>926</v>
      </c>
      <c r="B165" s="33" t="s">
        <v>80</v>
      </c>
      <c r="C165" s="33" t="s">
        <v>425</v>
      </c>
      <c r="D165" s="33" t="s">
        <v>426</v>
      </c>
      <c r="E165" s="33" t="s">
        <v>427</v>
      </c>
      <c r="F165" s="33" t="s">
        <v>428</v>
      </c>
      <c r="G165" s="35">
        <v>46219</v>
      </c>
      <c r="H165" s="33" t="s">
        <v>429</v>
      </c>
      <c r="I165" s="33" t="s">
        <v>927</v>
      </c>
      <c r="J165" s="34">
        <v>1654</v>
      </c>
      <c r="K165" s="33" t="s">
        <v>431</v>
      </c>
      <c r="L165" s="33" t="s">
        <v>928</v>
      </c>
      <c r="M165" s="33" t="s">
        <v>433</v>
      </c>
      <c r="N165" s="33" t="s">
        <v>434</v>
      </c>
      <c r="O165" s="33" t="s">
        <v>435</v>
      </c>
    </row>
    <row r="166">
      <c r="A166" s="33" t="s">
        <v>929</v>
      </c>
      <c r="B166" s="33" t="s">
        <v>80</v>
      </c>
      <c r="C166" s="33" t="s">
        <v>437</v>
      </c>
      <c r="D166" s="33" t="s">
        <v>426</v>
      </c>
      <c r="E166" s="33" t="s">
        <v>427</v>
      </c>
      <c r="F166" s="33" t="s">
        <v>428</v>
      </c>
      <c r="G166" s="35">
        <v>46219</v>
      </c>
      <c r="H166" s="33" t="s">
        <v>429</v>
      </c>
      <c r="I166" s="33" t="s">
        <v>930</v>
      </c>
      <c r="J166" s="34">
        <v>1377</v>
      </c>
      <c r="K166" s="33" t="s">
        <v>431</v>
      </c>
      <c r="L166" s="33" t="s">
        <v>931</v>
      </c>
      <c r="M166" s="33" t="s">
        <v>433</v>
      </c>
      <c r="N166" s="33" t="s">
        <v>434</v>
      </c>
      <c r="O166" s="33" t="s">
        <v>435</v>
      </c>
    </row>
    <row r="167">
      <c r="A167" s="33" t="s">
        <v>932</v>
      </c>
      <c r="B167" s="33" t="s">
        <v>80</v>
      </c>
      <c r="C167" s="33" t="s">
        <v>441</v>
      </c>
      <c r="D167" s="33" t="s">
        <v>689</v>
      </c>
      <c r="E167" s="33" t="s">
        <v>690</v>
      </c>
      <c r="F167" s="33" t="s">
        <v>691</v>
      </c>
      <c r="G167" s="35">
        <v>46219</v>
      </c>
      <c r="H167" s="33" t="s">
        <v>692</v>
      </c>
      <c r="I167" s="33" t="s">
        <v>933</v>
      </c>
      <c r="J167" s="34">
        <v>1578</v>
      </c>
      <c r="K167" s="33" t="s">
        <v>431</v>
      </c>
      <c r="L167" s="33" t="s">
        <v>934</v>
      </c>
      <c r="M167" s="33" t="s">
        <v>433</v>
      </c>
      <c r="N167" s="33" t="s">
        <v>434</v>
      </c>
      <c r="O167" s="33" t="s">
        <v>435</v>
      </c>
    </row>
    <row r="168">
      <c r="A168" s="33" t="s">
        <v>935</v>
      </c>
      <c r="B168" s="33" t="s">
        <v>80</v>
      </c>
      <c r="C168" s="33" t="s">
        <v>449</v>
      </c>
      <c r="D168" s="33" t="s">
        <v>442</v>
      </c>
      <c r="E168" s="33" t="s">
        <v>443</v>
      </c>
      <c r="F168" s="33" t="s">
        <v>444</v>
      </c>
      <c r="G168" s="35">
        <v>46219</v>
      </c>
      <c r="H168" s="33" t="s">
        <v>445</v>
      </c>
      <c r="I168" s="33" t="s">
        <v>936</v>
      </c>
      <c r="J168" s="34">
        <v>1801</v>
      </c>
      <c r="K168" s="33" t="s">
        <v>431</v>
      </c>
      <c r="L168" s="33" t="s">
        <v>937</v>
      </c>
      <c r="M168" s="33" t="s">
        <v>433</v>
      </c>
      <c r="N168" s="33" t="s">
        <v>434</v>
      </c>
      <c r="O168" s="33" t="s">
        <v>435</v>
      </c>
    </row>
    <row r="169">
      <c r="A169" s="33" t="s">
        <v>938</v>
      </c>
      <c r="B169" s="33" t="s">
        <v>80</v>
      </c>
      <c r="C169" s="33" t="s">
        <v>453</v>
      </c>
      <c r="D169" s="33" t="s">
        <v>442</v>
      </c>
      <c r="E169" s="33" t="s">
        <v>443</v>
      </c>
      <c r="F169" s="33" t="s">
        <v>444</v>
      </c>
      <c r="G169" s="35">
        <v>46219</v>
      </c>
      <c r="H169" s="33" t="s">
        <v>445</v>
      </c>
      <c r="I169" s="33" t="s">
        <v>939</v>
      </c>
      <c r="J169" s="34">
        <v>1926</v>
      </c>
      <c r="K169" s="33" t="s">
        <v>431</v>
      </c>
      <c r="L169" s="33" t="s">
        <v>940</v>
      </c>
      <c r="M169" s="33" t="s">
        <v>433</v>
      </c>
      <c r="N169" s="33" t="s">
        <v>434</v>
      </c>
      <c r="O169" s="33" t="s">
        <v>435</v>
      </c>
    </row>
    <row r="170">
      <c r="A170" s="33" t="s">
        <v>941</v>
      </c>
      <c r="B170" s="33" t="s">
        <v>81</v>
      </c>
      <c r="C170" s="33" t="s">
        <v>425</v>
      </c>
      <c r="D170" s="33" t="s">
        <v>426</v>
      </c>
      <c r="E170" s="33" t="s">
        <v>427</v>
      </c>
      <c r="F170" s="33" t="s">
        <v>428</v>
      </c>
      <c r="G170" s="35">
        <v>46219</v>
      </c>
      <c r="H170" s="33" t="s">
        <v>429</v>
      </c>
      <c r="I170" s="33" t="s">
        <v>942</v>
      </c>
      <c r="J170" s="34">
        <v>18455</v>
      </c>
      <c r="K170" s="33" t="s">
        <v>431</v>
      </c>
      <c r="L170" s="33" t="s">
        <v>943</v>
      </c>
      <c r="M170" s="33" t="s">
        <v>433</v>
      </c>
      <c r="N170" s="33" t="s">
        <v>434</v>
      </c>
      <c r="O170" s="33" t="s">
        <v>435</v>
      </c>
    </row>
    <row r="171">
      <c r="A171" s="33" t="s">
        <v>944</v>
      </c>
      <c r="B171" s="33" t="s">
        <v>81</v>
      </c>
      <c r="C171" s="33" t="s">
        <v>437</v>
      </c>
      <c r="D171" s="33" t="s">
        <v>426</v>
      </c>
      <c r="E171" s="33" t="s">
        <v>427</v>
      </c>
      <c r="F171" s="33" t="s">
        <v>428</v>
      </c>
      <c r="G171" s="35">
        <v>46219</v>
      </c>
      <c r="H171" s="33" t="s">
        <v>429</v>
      </c>
      <c r="I171" s="33" t="s">
        <v>945</v>
      </c>
      <c r="J171" s="34">
        <v>17010</v>
      </c>
      <c r="K171" s="33" t="s">
        <v>431</v>
      </c>
      <c r="L171" s="33" t="s">
        <v>946</v>
      </c>
      <c r="M171" s="33" t="s">
        <v>433</v>
      </c>
      <c r="N171" s="33" t="s">
        <v>434</v>
      </c>
      <c r="O171" s="33" t="s">
        <v>435</v>
      </c>
    </row>
    <row r="172">
      <c r="A172" s="33" t="s">
        <v>947</v>
      </c>
      <c r="B172" s="33" t="s">
        <v>81</v>
      </c>
      <c r="C172" s="33" t="s">
        <v>441</v>
      </c>
      <c r="D172" s="33" t="s">
        <v>689</v>
      </c>
      <c r="E172" s="33" t="s">
        <v>690</v>
      </c>
      <c r="F172" s="33" t="s">
        <v>691</v>
      </c>
      <c r="G172" s="35">
        <v>46219</v>
      </c>
      <c r="H172" s="33" t="s">
        <v>692</v>
      </c>
      <c r="I172" s="33" t="s">
        <v>948</v>
      </c>
      <c r="J172" s="34">
        <v>17996</v>
      </c>
      <c r="K172" s="33" t="s">
        <v>431</v>
      </c>
      <c r="L172" s="33" t="s">
        <v>949</v>
      </c>
      <c r="M172" s="33" t="s">
        <v>433</v>
      </c>
      <c r="N172" s="33" t="s">
        <v>434</v>
      </c>
      <c r="O172" s="33" t="s">
        <v>435</v>
      </c>
    </row>
    <row r="173">
      <c r="A173" s="33" t="s">
        <v>950</v>
      </c>
      <c r="B173" s="33" t="s">
        <v>81</v>
      </c>
      <c r="C173" s="33" t="s">
        <v>449</v>
      </c>
      <c r="D173" s="33" t="s">
        <v>442</v>
      </c>
      <c r="E173" s="33" t="s">
        <v>443</v>
      </c>
      <c r="F173" s="33" t="s">
        <v>444</v>
      </c>
      <c r="G173" s="35">
        <v>46219</v>
      </c>
      <c r="H173" s="33" t="s">
        <v>445</v>
      </c>
      <c r="I173" s="33" t="s">
        <v>951</v>
      </c>
      <c r="J173" s="34">
        <v>18586</v>
      </c>
      <c r="K173" s="33" t="s">
        <v>431</v>
      </c>
      <c r="L173" s="33" t="s">
        <v>952</v>
      </c>
      <c r="M173" s="33" t="s">
        <v>433</v>
      </c>
      <c r="N173" s="33" t="s">
        <v>434</v>
      </c>
      <c r="O173" s="33" t="s">
        <v>435</v>
      </c>
    </row>
    <row r="174">
      <c r="A174" s="33" t="s">
        <v>953</v>
      </c>
      <c r="B174" s="33" t="s">
        <v>81</v>
      </c>
      <c r="C174" s="33" t="s">
        <v>453</v>
      </c>
      <c r="D174" s="33" t="s">
        <v>442</v>
      </c>
      <c r="E174" s="33" t="s">
        <v>443</v>
      </c>
      <c r="F174" s="33" t="s">
        <v>444</v>
      </c>
      <c r="G174" s="35">
        <v>46219</v>
      </c>
      <c r="H174" s="33" t="s">
        <v>445</v>
      </c>
      <c r="I174" s="33" t="s">
        <v>954</v>
      </c>
      <c r="J174" s="34">
        <v>18431</v>
      </c>
      <c r="K174" s="33" t="s">
        <v>431</v>
      </c>
      <c r="L174" s="33" t="s">
        <v>955</v>
      </c>
      <c r="M174" s="33" t="s">
        <v>433</v>
      </c>
      <c r="N174" s="33" t="s">
        <v>434</v>
      </c>
      <c r="O174" s="33" t="s">
        <v>435</v>
      </c>
    </row>
    <row r="175">
      <c r="A175" s="33" t="s">
        <v>956</v>
      </c>
      <c r="B175" s="33" t="s">
        <v>82</v>
      </c>
      <c r="C175" s="33" t="s">
        <v>425</v>
      </c>
      <c r="D175" s="33" t="s">
        <v>426</v>
      </c>
      <c r="E175" s="33" t="s">
        <v>427</v>
      </c>
      <c r="F175" s="33" t="s">
        <v>428</v>
      </c>
      <c r="G175" s="35">
        <v>46219</v>
      </c>
      <c r="H175" s="33" t="s">
        <v>429</v>
      </c>
      <c r="I175" s="33" t="s">
        <v>957</v>
      </c>
      <c r="J175" s="34">
        <v>17723</v>
      </c>
      <c r="K175" s="33" t="s">
        <v>431</v>
      </c>
      <c r="L175" s="33" t="s">
        <v>958</v>
      </c>
      <c r="M175" s="33" t="s">
        <v>433</v>
      </c>
      <c r="N175" s="33" t="s">
        <v>434</v>
      </c>
      <c r="O175" s="33" t="s">
        <v>435</v>
      </c>
    </row>
    <row r="176">
      <c r="A176" s="33" t="s">
        <v>959</v>
      </c>
      <c r="B176" s="33" t="s">
        <v>82</v>
      </c>
      <c r="C176" s="33" t="s">
        <v>437</v>
      </c>
      <c r="D176" s="33" t="s">
        <v>426</v>
      </c>
      <c r="E176" s="33" t="s">
        <v>427</v>
      </c>
      <c r="F176" s="33" t="s">
        <v>428</v>
      </c>
      <c r="G176" s="35">
        <v>46219</v>
      </c>
      <c r="H176" s="33" t="s">
        <v>429</v>
      </c>
      <c r="I176" s="33" t="s">
        <v>960</v>
      </c>
      <c r="J176" s="34">
        <v>19702</v>
      </c>
      <c r="K176" s="33" t="s">
        <v>431</v>
      </c>
      <c r="L176" s="33" t="s">
        <v>961</v>
      </c>
      <c r="M176" s="33" t="s">
        <v>433</v>
      </c>
      <c r="N176" s="33" t="s">
        <v>434</v>
      </c>
      <c r="O176" s="33" t="s">
        <v>435</v>
      </c>
    </row>
    <row r="177">
      <c r="A177" s="33" t="s">
        <v>962</v>
      </c>
      <c r="B177" s="33" t="s">
        <v>82</v>
      </c>
      <c r="C177" s="33" t="s">
        <v>441</v>
      </c>
      <c r="D177" s="33" t="s">
        <v>689</v>
      </c>
      <c r="E177" s="33" t="s">
        <v>690</v>
      </c>
      <c r="F177" s="33" t="s">
        <v>691</v>
      </c>
      <c r="G177" s="35">
        <v>46219</v>
      </c>
      <c r="H177" s="33" t="s">
        <v>692</v>
      </c>
      <c r="I177" s="33" t="s">
        <v>963</v>
      </c>
      <c r="J177" s="34">
        <v>18133</v>
      </c>
      <c r="K177" s="33" t="s">
        <v>431</v>
      </c>
      <c r="L177" s="33" t="s">
        <v>964</v>
      </c>
      <c r="M177" s="33" t="s">
        <v>433</v>
      </c>
      <c r="N177" s="33" t="s">
        <v>434</v>
      </c>
      <c r="O177" s="33" t="s">
        <v>435</v>
      </c>
    </row>
    <row r="178">
      <c r="A178" s="33" t="s">
        <v>965</v>
      </c>
      <c r="B178" s="33" t="s">
        <v>82</v>
      </c>
      <c r="C178" s="33" t="s">
        <v>449</v>
      </c>
      <c r="D178" s="33" t="s">
        <v>442</v>
      </c>
      <c r="E178" s="33" t="s">
        <v>443</v>
      </c>
      <c r="F178" s="33" t="s">
        <v>444</v>
      </c>
      <c r="G178" s="35">
        <v>46219</v>
      </c>
      <c r="H178" s="33" t="s">
        <v>445</v>
      </c>
      <c r="I178" s="33" t="s">
        <v>966</v>
      </c>
      <c r="J178" s="34">
        <v>18390</v>
      </c>
      <c r="K178" s="33" t="s">
        <v>431</v>
      </c>
      <c r="L178" s="33" t="s">
        <v>967</v>
      </c>
      <c r="M178" s="33" t="s">
        <v>433</v>
      </c>
      <c r="N178" s="33" t="s">
        <v>434</v>
      </c>
      <c r="O178" s="33" t="s">
        <v>435</v>
      </c>
    </row>
    <row r="179">
      <c r="A179" s="33" t="s">
        <v>968</v>
      </c>
      <c r="B179" s="33" t="s">
        <v>82</v>
      </c>
      <c r="C179" s="33" t="s">
        <v>453</v>
      </c>
      <c r="D179" s="33" t="s">
        <v>442</v>
      </c>
      <c r="E179" s="33" t="s">
        <v>443</v>
      </c>
      <c r="F179" s="33" t="s">
        <v>444</v>
      </c>
      <c r="G179" s="35">
        <v>46219</v>
      </c>
      <c r="H179" s="33" t="s">
        <v>445</v>
      </c>
      <c r="I179" s="33" t="s">
        <v>969</v>
      </c>
      <c r="J179" s="34">
        <v>18085</v>
      </c>
      <c r="K179" s="33" t="s">
        <v>431</v>
      </c>
      <c r="L179" s="33" t="s">
        <v>970</v>
      </c>
      <c r="M179" s="33" t="s">
        <v>433</v>
      </c>
      <c r="N179" s="33" t="s">
        <v>434</v>
      </c>
      <c r="O179" s="33" t="s">
        <v>435</v>
      </c>
    </row>
    <row r="180">
      <c r="A180" s="33" t="s">
        <v>971</v>
      </c>
      <c r="B180" s="33" t="s">
        <v>83</v>
      </c>
      <c r="C180" s="33" t="s">
        <v>425</v>
      </c>
      <c r="D180" s="33" t="s">
        <v>426</v>
      </c>
      <c r="E180" s="33" t="s">
        <v>427</v>
      </c>
      <c r="F180" s="33" t="s">
        <v>428</v>
      </c>
      <c r="G180" s="35">
        <v>46219</v>
      </c>
      <c r="H180" s="33" t="s">
        <v>429</v>
      </c>
      <c r="I180" s="33" t="s">
        <v>972</v>
      </c>
      <c r="J180" s="34">
        <v>131</v>
      </c>
      <c r="K180" s="33" t="s">
        <v>431</v>
      </c>
      <c r="L180" s="33" t="s">
        <v>973</v>
      </c>
      <c r="M180" s="33" t="s">
        <v>433</v>
      </c>
      <c r="N180" s="33" t="s">
        <v>434</v>
      </c>
      <c r="O180" s="33" t="s">
        <v>435</v>
      </c>
    </row>
    <row r="181">
      <c r="A181" s="33" t="s">
        <v>974</v>
      </c>
      <c r="B181" s="33" t="s">
        <v>83</v>
      </c>
      <c r="C181" s="33" t="s">
        <v>437</v>
      </c>
      <c r="D181" s="33" t="s">
        <v>426</v>
      </c>
      <c r="E181" s="33" t="s">
        <v>427</v>
      </c>
      <c r="F181" s="33" t="s">
        <v>428</v>
      </c>
      <c r="G181" s="35">
        <v>46219</v>
      </c>
      <c r="H181" s="33" t="s">
        <v>429</v>
      </c>
      <c r="I181" s="33" t="s">
        <v>975</v>
      </c>
      <c r="J181" s="34">
        <v>109</v>
      </c>
      <c r="K181" s="33" t="s">
        <v>431</v>
      </c>
      <c r="L181" s="33" t="s">
        <v>976</v>
      </c>
      <c r="M181" s="33" t="s">
        <v>433</v>
      </c>
      <c r="N181" s="33" t="s">
        <v>434</v>
      </c>
      <c r="O181" s="33" t="s">
        <v>435</v>
      </c>
    </row>
    <row r="182">
      <c r="A182" s="33" t="s">
        <v>977</v>
      </c>
      <c r="B182" s="33" t="s">
        <v>83</v>
      </c>
      <c r="C182" s="33" t="s">
        <v>441</v>
      </c>
      <c r="D182" s="33" t="s">
        <v>689</v>
      </c>
      <c r="E182" s="33" t="s">
        <v>690</v>
      </c>
      <c r="F182" s="33" t="s">
        <v>691</v>
      </c>
      <c r="G182" s="35">
        <v>46219</v>
      </c>
      <c r="H182" s="33" t="s">
        <v>692</v>
      </c>
      <c r="I182" s="33" t="s">
        <v>978</v>
      </c>
      <c r="J182" s="34">
        <v>122</v>
      </c>
      <c r="K182" s="33" t="s">
        <v>431</v>
      </c>
      <c r="L182" s="33" t="s">
        <v>979</v>
      </c>
      <c r="M182" s="33" t="s">
        <v>433</v>
      </c>
      <c r="N182" s="33" t="s">
        <v>434</v>
      </c>
      <c r="O182" s="33" t="s">
        <v>435</v>
      </c>
    </row>
    <row r="183">
      <c r="A183" s="33" t="s">
        <v>980</v>
      </c>
      <c r="B183" s="33" t="s">
        <v>83</v>
      </c>
      <c r="C183" s="33" t="s">
        <v>449</v>
      </c>
      <c r="D183" s="33" t="s">
        <v>442</v>
      </c>
      <c r="E183" s="33" t="s">
        <v>443</v>
      </c>
      <c r="F183" s="33" t="s">
        <v>444</v>
      </c>
      <c r="G183" s="35">
        <v>46219</v>
      </c>
      <c r="H183" s="33" t="s">
        <v>445</v>
      </c>
      <c r="I183" s="33" t="s">
        <v>981</v>
      </c>
      <c r="J183" s="34">
        <v>124</v>
      </c>
      <c r="K183" s="33" t="s">
        <v>431</v>
      </c>
      <c r="L183" s="33" t="s">
        <v>982</v>
      </c>
      <c r="M183" s="33" t="s">
        <v>433</v>
      </c>
      <c r="N183" s="33" t="s">
        <v>434</v>
      </c>
      <c r="O183" s="33" t="s">
        <v>435</v>
      </c>
    </row>
    <row r="184">
      <c r="A184" s="33" t="s">
        <v>983</v>
      </c>
      <c r="B184" s="33" t="s">
        <v>83</v>
      </c>
      <c r="C184" s="33" t="s">
        <v>453</v>
      </c>
      <c r="D184" s="33" t="s">
        <v>442</v>
      </c>
      <c r="E184" s="33" t="s">
        <v>443</v>
      </c>
      <c r="F184" s="33" t="s">
        <v>444</v>
      </c>
      <c r="G184" s="35">
        <v>46219</v>
      </c>
      <c r="H184" s="33" t="s">
        <v>445</v>
      </c>
      <c r="I184" s="33" t="s">
        <v>984</v>
      </c>
      <c r="J184" s="34">
        <v>142</v>
      </c>
      <c r="K184" s="33" t="s">
        <v>431</v>
      </c>
      <c r="L184" s="33" t="s">
        <v>985</v>
      </c>
      <c r="M184" s="33" t="s">
        <v>433</v>
      </c>
      <c r="N184" s="33" t="s">
        <v>434</v>
      </c>
      <c r="O184" s="33" t="s">
        <v>435</v>
      </c>
    </row>
    <row r="185">
      <c r="A185" s="33" t="s">
        <v>986</v>
      </c>
      <c r="B185" s="33" t="s">
        <v>84</v>
      </c>
      <c r="C185" s="33" t="s">
        <v>425</v>
      </c>
      <c r="D185" s="33" t="s">
        <v>426</v>
      </c>
      <c r="E185" s="33" t="s">
        <v>427</v>
      </c>
      <c r="F185" s="33" t="s">
        <v>428</v>
      </c>
      <c r="G185" s="35">
        <v>46219</v>
      </c>
      <c r="H185" s="33" t="s">
        <v>429</v>
      </c>
      <c r="I185" s="33" t="s">
        <v>987</v>
      </c>
      <c r="J185" s="34">
        <v>17854</v>
      </c>
      <c r="K185" s="33" t="s">
        <v>431</v>
      </c>
      <c r="L185" s="33" t="s">
        <v>988</v>
      </c>
      <c r="M185" s="33" t="s">
        <v>433</v>
      </c>
      <c r="N185" s="33" t="s">
        <v>434</v>
      </c>
      <c r="O185" s="33" t="s">
        <v>435</v>
      </c>
    </row>
    <row r="186">
      <c r="A186" s="33" t="s">
        <v>989</v>
      </c>
      <c r="B186" s="33" t="s">
        <v>84</v>
      </c>
      <c r="C186" s="33" t="s">
        <v>437</v>
      </c>
      <c r="D186" s="33" t="s">
        <v>426</v>
      </c>
      <c r="E186" s="33" t="s">
        <v>427</v>
      </c>
      <c r="F186" s="33" t="s">
        <v>428</v>
      </c>
      <c r="G186" s="35">
        <v>46219</v>
      </c>
      <c r="H186" s="33" t="s">
        <v>429</v>
      </c>
      <c r="I186" s="33" t="s">
        <v>990</v>
      </c>
      <c r="J186" s="34">
        <v>19811</v>
      </c>
      <c r="K186" s="33" t="s">
        <v>431</v>
      </c>
      <c r="L186" s="33" t="s">
        <v>991</v>
      </c>
      <c r="M186" s="33" t="s">
        <v>433</v>
      </c>
      <c r="N186" s="33" t="s">
        <v>434</v>
      </c>
      <c r="O186" s="33" t="s">
        <v>435</v>
      </c>
    </row>
    <row r="187">
      <c r="A187" s="33" t="s">
        <v>992</v>
      </c>
      <c r="B187" s="33" t="s">
        <v>84</v>
      </c>
      <c r="C187" s="33" t="s">
        <v>441</v>
      </c>
      <c r="D187" s="33" t="s">
        <v>689</v>
      </c>
      <c r="E187" s="33" t="s">
        <v>690</v>
      </c>
      <c r="F187" s="33" t="s">
        <v>691</v>
      </c>
      <c r="G187" s="35">
        <v>46219</v>
      </c>
      <c r="H187" s="33" t="s">
        <v>692</v>
      </c>
      <c r="I187" s="33" t="s">
        <v>993</v>
      </c>
      <c r="J187" s="34">
        <v>18255</v>
      </c>
      <c r="K187" s="33" t="s">
        <v>431</v>
      </c>
      <c r="L187" s="33" t="s">
        <v>994</v>
      </c>
      <c r="M187" s="33" t="s">
        <v>433</v>
      </c>
      <c r="N187" s="33" t="s">
        <v>434</v>
      </c>
      <c r="O187" s="33" t="s">
        <v>435</v>
      </c>
    </row>
    <row r="188">
      <c r="A188" s="33" t="s">
        <v>995</v>
      </c>
      <c r="B188" s="33" t="s">
        <v>84</v>
      </c>
      <c r="C188" s="33" t="s">
        <v>449</v>
      </c>
      <c r="D188" s="33" t="s">
        <v>442</v>
      </c>
      <c r="E188" s="33" t="s">
        <v>443</v>
      </c>
      <c r="F188" s="33" t="s">
        <v>444</v>
      </c>
      <c r="G188" s="35">
        <v>46219</v>
      </c>
      <c r="H188" s="33" t="s">
        <v>445</v>
      </c>
      <c r="I188" s="33" t="s">
        <v>996</v>
      </c>
      <c r="J188" s="34">
        <v>18514</v>
      </c>
      <c r="K188" s="33" t="s">
        <v>431</v>
      </c>
      <c r="L188" s="33" t="s">
        <v>997</v>
      </c>
      <c r="M188" s="33" t="s">
        <v>433</v>
      </c>
      <c r="N188" s="33" t="s">
        <v>434</v>
      </c>
      <c r="O188" s="33" t="s">
        <v>435</v>
      </c>
    </row>
    <row r="189">
      <c r="A189" s="33" t="s">
        <v>998</v>
      </c>
      <c r="B189" s="33" t="s">
        <v>84</v>
      </c>
      <c r="C189" s="33" t="s">
        <v>453</v>
      </c>
      <c r="D189" s="33" t="s">
        <v>442</v>
      </c>
      <c r="E189" s="33" t="s">
        <v>443</v>
      </c>
      <c r="F189" s="33" t="s">
        <v>444</v>
      </c>
      <c r="G189" s="35">
        <v>46219</v>
      </c>
      <c r="H189" s="33" t="s">
        <v>445</v>
      </c>
      <c r="I189" s="33" t="s">
        <v>999</v>
      </c>
      <c r="J189" s="34">
        <v>18227</v>
      </c>
      <c r="K189" s="33" t="s">
        <v>431</v>
      </c>
      <c r="L189" s="33" t="s">
        <v>1000</v>
      </c>
      <c r="M189" s="33" t="s">
        <v>433</v>
      </c>
      <c r="N189" s="33" t="s">
        <v>434</v>
      </c>
      <c r="O189" s="33" t="s">
        <v>435</v>
      </c>
    </row>
    <row r="190">
      <c r="A190" s="33" t="s">
        <v>1001</v>
      </c>
      <c r="B190" s="33" t="s">
        <v>85</v>
      </c>
      <c r="C190" s="33" t="s">
        <v>425</v>
      </c>
      <c r="D190" s="33" t="s">
        <v>1002</v>
      </c>
      <c r="E190" s="33" t="s">
        <v>1003</v>
      </c>
      <c r="F190" s="33" t="s">
        <v>316</v>
      </c>
      <c r="G190" s="35">
        <v>46219</v>
      </c>
      <c r="H190" s="33" t="s">
        <v>1004</v>
      </c>
      <c r="I190" s="33" t="s">
        <v>1005</v>
      </c>
      <c r="J190" s="34" t="s">
        <v>1006</v>
      </c>
      <c r="K190" s="33" t="s">
        <v>431</v>
      </c>
      <c r="L190" s="33" t="s">
        <v>1007</v>
      </c>
      <c r="M190" s="33" t="s">
        <v>1006</v>
      </c>
      <c r="N190" s="33" t="s">
        <v>1008</v>
      </c>
      <c r="O190" s="33" t="s">
        <v>1009</v>
      </c>
    </row>
    <row r="191">
      <c r="A191" s="33" t="s">
        <v>1010</v>
      </c>
      <c r="B191" s="33" t="s">
        <v>85</v>
      </c>
      <c r="C191" s="33" t="s">
        <v>437</v>
      </c>
      <c r="D191" s="33" t="s">
        <v>1002</v>
      </c>
      <c r="E191" s="33" t="s">
        <v>1003</v>
      </c>
      <c r="F191" s="33" t="s">
        <v>316</v>
      </c>
      <c r="G191" s="35">
        <v>46219</v>
      </c>
      <c r="H191" s="33" t="s">
        <v>1004</v>
      </c>
      <c r="I191" s="33" t="s">
        <v>1005</v>
      </c>
      <c r="J191" s="34" t="s">
        <v>1011</v>
      </c>
      <c r="K191" s="33" t="s">
        <v>431</v>
      </c>
      <c r="L191" s="33" t="s">
        <v>1012</v>
      </c>
      <c r="M191" s="33" t="s">
        <v>1011</v>
      </c>
      <c r="N191" s="33" t="s">
        <v>1008</v>
      </c>
      <c r="O191" s="33" t="s">
        <v>1009</v>
      </c>
    </row>
    <row r="192">
      <c r="A192" s="33" t="s">
        <v>1013</v>
      </c>
      <c r="B192" s="33" t="s">
        <v>85</v>
      </c>
      <c r="C192" s="33" t="s">
        <v>441</v>
      </c>
      <c r="D192" s="33" t="s">
        <v>1002</v>
      </c>
      <c r="E192" s="33" t="s">
        <v>1003</v>
      </c>
      <c r="F192" s="33" t="s">
        <v>316</v>
      </c>
      <c r="G192" s="35">
        <v>46219</v>
      </c>
      <c r="H192" s="33" t="s">
        <v>1004</v>
      </c>
      <c r="I192" s="33" t="s">
        <v>1005</v>
      </c>
      <c r="J192" s="34" t="s">
        <v>1014</v>
      </c>
      <c r="K192" s="33" t="s">
        <v>431</v>
      </c>
      <c r="L192" s="33" t="s">
        <v>1015</v>
      </c>
      <c r="M192" s="33" t="s">
        <v>1014</v>
      </c>
      <c r="N192" s="33" t="s">
        <v>1008</v>
      </c>
      <c r="O192" s="33" t="s">
        <v>1009</v>
      </c>
    </row>
    <row r="193">
      <c r="A193" s="33" t="s">
        <v>1016</v>
      </c>
      <c r="B193" s="33" t="s">
        <v>85</v>
      </c>
      <c r="C193" s="33" t="s">
        <v>449</v>
      </c>
      <c r="D193" s="33" t="s">
        <v>1002</v>
      </c>
      <c r="E193" s="33" t="s">
        <v>1003</v>
      </c>
      <c r="F193" s="33" t="s">
        <v>316</v>
      </c>
      <c r="G193" s="35">
        <v>46219</v>
      </c>
      <c r="H193" s="33" t="s">
        <v>1004</v>
      </c>
      <c r="I193" s="33" t="s">
        <v>1005</v>
      </c>
      <c r="J193" s="34" t="s">
        <v>1017</v>
      </c>
      <c r="K193" s="33" t="s">
        <v>431</v>
      </c>
      <c r="L193" s="33" t="s">
        <v>1018</v>
      </c>
      <c r="M193" s="33" t="s">
        <v>1017</v>
      </c>
      <c r="N193" s="33" t="s">
        <v>1008</v>
      </c>
      <c r="O193" s="33" t="s">
        <v>1009</v>
      </c>
    </row>
    <row r="194">
      <c r="A194" s="33" t="s">
        <v>1019</v>
      </c>
      <c r="B194" s="33" t="s">
        <v>85</v>
      </c>
      <c r="C194" s="33" t="s">
        <v>453</v>
      </c>
      <c r="D194" s="33" t="s">
        <v>1002</v>
      </c>
      <c r="E194" s="33" t="s">
        <v>1003</v>
      </c>
      <c r="F194" s="33" t="s">
        <v>316</v>
      </c>
      <c r="G194" s="35">
        <v>46219</v>
      </c>
      <c r="H194" s="33" t="s">
        <v>1004</v>
      </c>
      <c r="I194" s="33" t="s">
        <v>1005</v>
      </c>
      <c r="J194" s="34" t="s">
        <v>1020</v>
      </c>
      <c r="K194" s="33" t="s">
        <v>431</v>
      </c>
      <c r="L194" s="33" t="s">
        <v>1021</v>
      </c>
      <c r="M194" s="33" t="s">
        <v>1020</v>
      </c>
      <c r="N194" s="33" t="s">
        <v>1008</v>
      </c>
      <c r="O194" s="33" t="s">
        <v>1009</v>
      </c>
    </row>
    <row r="195">
      <c r="A195" s="33" t="s">
        <v>1022</v>
      </c>
      <c r="B195" s="33" t="s">
        <v>88</v>
      </c>
      <c r="C195" s="33" t="s">
        <v>425</v>
      </c>
      <c r="D195" s="33" t="s">
        <v>426</v>
      </c>
      <c r="E195" s="33" t="s">
        <v>427</v>
      </c>
      <c r="F195" s="33" t="s">
        <v>428</v>
      </c>
      <c r="G195" s="35">
        <v>46219</v>
      </c>
      <c r="H195" s="33" t="s">
        <v>429</v>
      </c>
      <c r="I195" s="33" t="s">
        <v>1023</v>
      </c>
      <c r="J195" s="34">
        <v>3060</v>
      </c>
      <c r="K195" s="33" t="s">
        <v>431</v>
      </c>
      <c r="L195" s="33" t="s">
        <v>1024</v>
      </c>
      <c r="M195" s="33" t="s">
        <v>433</v>
      </c>
      <c r="N195" s="33" t="s">
        <v>434</v>
      </c>
      <c r="O195" s="33" t="s">
        <v>435</v>
      </c>
    </row>
    <row r="196">
      <c r="A196" s="33" t="s">
        <v>1025</v>
      </c>
      <c r="B196" s="33" t="s">
        <v>88</v>
      </c>
      <c r="C196" s="33" t="s">
        <v>437</v>
      </c>
      <c r="D196" s="33" t="s">
        <v>426</v>
      </c>
      <c r="E196" s="33" t="s">
        <v>427</v>
      </c>
      <c r="F196" s="33" t="s">
        <v>428</v>
      </c>
      <c r="G196" s="35">
        <v>46219</v>
      </c>
      <c r="H196" s="33" t="s">
        <v>429</v>
      </c>
      <c r="I196" s="33" t="s">
        <v>1026</v>
      </c>
      <c r="J196" s="34">
        <v>3249</v>
      </c>
      <c r="K196" s="33" t="s">
        <v>431</v>
      </c>
      <c r="L196" s="33" t="s">
        <v>1027</v>
      </c>
      <c r="M196" s="33" t="s">
        <v>433</v>
      </c>
      <c r="N196" s="33" t="s">
        <v>434</v>
      </c>
      <c r="O196" s="33" t="s">
        <v>435</v>
      </c>
    </row>
    <row r="197">
      <c r="A197" s="33" t="s">
        <v>1028</v>
      </c>
      <c r="B197" s="33" t="s">
        <v>88</v>
      </c>
      <c r="C197" s="33" t="s">
        <v>441</v>
      </c>
      <c r="D197" s="33" t="s">
        <v>442</v>
      </c>
      <c r="E197" s="33" t="s">
        <v>443</v>
      </c>
      <c r="F197" s="33" t="s">
        <v>444</v>
      </c>
      <c r="G197" s="35">
        <v>46219</v>
      </c>
      <c r="H197" s="33" t="s">
        <v>445</v>
      </c>
      <c r="I197" s="33" t="s">
        <v>1029</v>
      </c>
      <c r="J197" s="34">
        <v>-649</v>
      </c>
      <c r="K197" s="33" t="s">
        <v>431</v>
      </c>
      <c r="L197" s="33" t="s">
        <v>1030</v>
      </c>
      <c r="M197" s="33" t="s">
        <v>433</v>
      </c>
      <c r="N197" s="33" t="s">
        <v>434</v>
      </c>
      <c r="O197" s="33" t="s">
        <v>435</v>
      </c>
    </row>
    <row r="198">
      <c r="A198" s="33" t="s">
        <v>1031</v>
      </c>
      <c r="B198" s="33" t="s">
        <v>88</v>
      </c>
      <c r="C198" s="33" t="s">
        <v>449</v>
      </c>
      <c r="D198" s="33" t="s">
        <v>442</v>
      </c>
      <c r="E198" s="33" t="s">
        <v>443</v>
      </c>
      <c r="F198" s="33" t="s">
        <v>444</v>
      </c>
      <c r="G198" s="35">
        <v>46219</v>
      </c>
      <c r="H198" s="33" t="s">
        <v>445</v>
      </c>
      <c r="I198" s="33" t="s">
        <v>1032</v>
      </c>
      <c r="J198" s="34">
        <v>822</v>
      </c>
      <c r="K198" s="33" t="s">
        <v>431</v>
      </c>
      <c r="L198" s="33" t="s">
        <v>1033</v>
      </c>
      <c r="M198" s="33" t="s">
        <v>433</v>
      </c>
      <c r="N198" s="33" t="s">
        <v>434</v>
      </c>
      <c r="O198" s="33" t="s">
        <v>435</v>
      </c>
    </row>
    <row r="199">
      <c r="A199" s="33" t="s">
        <v>1034</v>
      </c>
      <c r="B199" s="33" t="s">
        <v>88</v>
      </c>
      <c r="C199" s="33" t="s">
        <v>453</v>
      </c>
      <c r="D199" s="33" t="s">
        <v>442</v>
      </c>
      <c r="E199" s="33" t="s">
        <v>443</v>
      </c>
      <c r="F199" s="33" t="s">
        <v>444</v>
      </c>
      <c r="G199" s="35">
        <v>46219</v>
      </c>
      <c r="H199" s="33" t="s">
        <v>445</v>
      </c>
      <c r="I199" s="33" t="s">
        <v>1035</v>
      </c>
      <c r="J199" s="34">
        <v>507</v>
      </c>
      <c r="K199" s="33" t="s">
        <v>431</v>
      </c>
      <c r="L199" s="33" t="s">
        <v>1036</v>
      </c>
      <c r="M199" s="33" t="s">
        <v>433</v>
      </c>
      <c r="N199" s="33" t="s">
        <v>434</v>
      </c>
      <c r="O199" s="33" t="s">
        <v>435</v>
      </c>
    </row>
    <row r="200">
      <c r="A200" s="33" t="s">
        <v>1037</v>
      </c>
      <c r="B200" s="33" t="s">
        <v>89</v>
      </c>
      <c r="C200" s="33" t="s">
        <v>425</v>
      </c>
      <c r="D200" s="33" t="s">
        <v>426</v>
      </c>
      <c r="E200" s="33" t="s">
        <v>427</v>
      </c>
      <c r="F200" s="33" t="s">
        <v>428</v>
      </c>
      <c r="G200" s="35">
        <v>46219</v>
      </c>
      <c r="H200" s="33" t="s">
        <v>429</v>
      </c>
      <c r="I200" s="33" t="s">
        <v>1038</v>
      </c>
      <c r="J200" s="34">
        <v>934</v>
      </c>
      <c r="K200" s="33" t="s">
        <v>431</v>
      </c>
      <c r="L200" s="33" t="s">
        <v>1039</v>
      </c>
      <c r="M200" s="33" t="s">
        <v>433</v>
      </c>
      <c r="N200" s="33" t="s">
        <v>434</v>
      </c>
      <c r="O200" s="33" t="s">
        <v>435</v>
      </c>
    </row>
    <row r="201">
      <c r="A201" s="33" t="s">
        <v>1040</v>
      </c>
      <c r="B201" s="33" t="s">
        <v>89</v>
      </c>
      <c r="C201" s="33" t="s">
        <v>437</v>
      </c>
      <c r="D201" s="33" t="s">
        <v>426</v>
      </c>
      <c r="E201" s="33" t="s">
        <v>427</v>
      </c>
      <c r="F201" s="33" t="s">
        <v>428</v>
      </c>
      <c r="G201" s="35">
        <v>46219</v>
      </c>
      <c r="H201" s="33" t="s">
        <v>429</v>
      </c>
      <c r="I201" s="33" t="s">
        <v>1041</v>
      </c>
      <c r="J201" s="34">
        <v>945</v>
      </c>
      <c r="K201" s="33" t="s">
        <v>431</v>
      </c>
      <c r="L201" s="33" t="s">
        <v>1042</v>
      </c>
      <c r="M201" s="33" t="s">
        <v>433</v>
      </c>
      <c r="N201" s="33" t="s">
        <v>434</v>
      </c>
      <c r="O201" s="33" t="s">
        <v>435</v>
      </c>
    </row>
    <row r="202">
      <c r="A202" s="33" t="s">
        <v>1043</v>
      </c>
      <c r="B202" s="33" t="s">
        <v>89</v>
      </c>
      <c r="C202" s="33" t="s">
        <v>441</v>
      </c>
      <c r="D202" s="33" t="s">
        <v>442</v>
      </c>
      <c r="E202" s="33" t="s">
        <v>443</v>
      </c>
      <c r="F202" s="33" t="s">
        <v>444</v>
      </c>
      <c r="G202" s="35">
        <v>46219</v>
      </c>
      <c r="H202" s="33" t="s">
        <v>445</v>
      </c>
      <c r="I202" s="33" t="s">
        <v>1044</v>
      </c>
      <c r="J202" s="34">
        <v>1100</v>
      </c>
      <c r="K202" s="33" t="s">
        <v>431</v>
      </c>
      <c r="L202" s="33" t="s">
        <v>1045</v>
      </c>
      <c r="M202" s="33" t="s">
        <v>433</v>
      </c>
      <c r="N202" s="33" t="s">
        <v>434</v>
      </c>
      <c r="O202" s="33" t="s">
        <v>435</v>
      </c>
    </row>
    <row r="203">
      <c r="A203" s="33" t="s">
        <v>1046</v>
      </c>
      <c r="B203" s="33" t="s">
        <v>89</v>
      </c>
      <c r="C203" s="33" t="s">
        <v>449</v>
      </c>
      <c r="D203" s="33" t="s">
        <v>442</v>
      </c>
      <c r="E203" s="33" t="s">
        <v>443</v>
      </c>
      <c r="F203" s="33" t="s">
        <v>444</v>
      </c>
      <c r="G203" s="35">
        <v>46219</v>
      </c>
      <c r="H203" s="33" t="s">
        <v>445</v>
      </c>
      <c r="I203" s="33" t="s">
        <v>1047</v>
      </c>
      <c r="J203" s="34">
        <v>1159</v>
      </c>
      <c r="K203" s="33" t="s">
        <v>431</v>
      </c>
      <c r="L203" s="33" t="s">
        <v>1048</v>
      </c>
      <c r="M203" s="33" t="s">
        <v>433</v>
      </c>
      <c r="N203" s="33" t="s">
        <v>434</v>
      </c>
      <c r="O203" s="33" t="s">
        <v>435</v>
      </c>
    </row>
    <row r="204">
      <c r="A204" s="33" t="s">
        <v>1049</v>
      </c>
      <c r="B204" s="33" t="s">
        <v>89</v>
      </c>
      <c r="C204" s="33" t="s">
        <v>453</v>
      </c>
      <c r="D204" s="33" t="s">
        <v>442</v>
      </c>
      <c r="E204" s="33" t="s">
        <v>443</v>
      </c>
      <c r="F204" s="33" t="s">
        <v>444</v>
      </c>
      <c r="G204" s="35">
        <v>46219</v>
      </c>
      <c r="H204" s="33" t="s">
        <v>445</v>
      </c>
      <c r="I204" s="33" t="s">
        <v>1050</v>
      </c>
      <c r="J204" s="34">
        <v>1093</v>
      </c>
      <c r="K204" s="33" t="s">
        <v>431</v>
      </c>
      <c r="L204" s="33" t="s">
        <v>1051</v>
      </c>
      <c r="M204" s="33" t="s">
        <v>433</v>
      </c>
      <c r="N204" s="33" t="s">
        <v>434</v>
      </c>
      <c r="O204" s="33" t="s">
        <v>435</v>
      </c>
    </row>
    <row r="205">
      <c r="A205" s="33" t="s">
        <v>1052</v>
      </c>
      <c r="B205" s="33" t="s">
        <v>90</v>
      </c>
      <c r="C205" s="33" t="s">
        <v>425</v>
      </c>
      <c r="D205" s="33" t="s">
        <v>426</v>
      </c>
      <c r="E205" s="33" t="s">
        <v>427</v>
      </c>
      <c r="F205" s="33" t="s">
        <v>428</v>
      </c>
      <c r="G205" s="35">
        <v>46219</v>
      </c>
      <c r="H205" s="33" t="s">
        <v>429</v>
      </c>
      <c r="I205" s="33" t="s">
        <v>1053</v>
      </c>
      <c r="J205" s="34">
        <v>280</v>
      </c>
      <c r="K205" s="33" t="s">
        <v>431</v>
      </c>
      <c r="L205" s="33" t="s">
        <v>1054</v>
      </c>
      <c r="M205" s="33" t="s">
        <v>433</v>
      </c>
      <c r="N205" s="33" t="s">
        <v>434</v>
      </c>
      <c r="O205" s="33" t="s">
        <v>435</v>
      </c>
    </row>
    <row r="206">
      <c r="A206" s="33" t="s">
        <v>1055</v>
      </c>
      <c r="B206" s="33" t="s">
        <v>90</v>
      </c>
      <c r="C206" s="33" t="s">
        <v>437</v>
      </c>
      <c r="D206" s="33" t="s">
        <v>426</v>
      </c>
      <c r="E206" s="33" t="s">
        <v>427</v>
      </c>
      <c r="F206" s="33" t="s">
        <v>428</v>
      </c>
      <c r="G206" s="35">
        <v>46219</v>
      </c>
      <c r="H206" s="33" t="s">
        <v>429</v>
      </c>
      <c r="I206" s="33" t="s">
        <v>1056</v>
      </c>
      <c r="J206" s="34">
        <v>257</v>
      </c>
      <c r="K206" s="33" t="s">
        <v>431</v>
      </c>
      <c r="L206" s="33" t="s">
        <v>1057</v>
      </c>
      <c r="M206" s="33" t="s">
        <v>433</v>
      </c>
      <c r="N206" s="33" t="s">
        <v>434</v>
      </c>
      <c r="O206" s="33" t="s">
        <v>435</v>
      </c>
    </row>
    <row r="207">
      <c r="A207" s="33" t="s">
        <v>1058</v>
      </c>
      <c r="B207" s="33" t="s">
        <v>90</v>
      </c>
      <c r="C207" s="33" t="s">
        <v>441</v>
      </c>
      <c r="D207" s="33" t="s">
        <v>442</v>
      </c>
      <c r="E207" s="33" t="s">
        <v>443</v>
      </c>
      <c r="F207" s="33" t="s">
        <v>444</v>
      </c>
      <c r="G207" s="35">
        <v>46219</v>
      </c>
      <c r="H207" s="33" t="s">
        <v>445</v>
      </c>
      <c r="I207" s="33" t="s">
        <v>1059</v>
      </c>
      <c r="J207" s="34">
        <v>239</v>
      </c>
      <c r="K207" s="33" t="s">
        <v>431</v>
      </c>
      <c r="L207" s="33" t="s">
        <v>1060</v>
      </c>
      <c r="M207" s="33" t="s">
        <v>433</v>
      </c>
      <c r="N207" s="33" t="s">
        <v>434</v>
      </c>
      <c r="O207" s="33" t="s">
        <v>435</v>
      </c>
    </row>
    <row r="208">
      <c r="A208" s="33" t="s">
        <v>1061</v>
      </c>
      <c r="B208" s="33" t="s">
        <v>90</v>
      </c>
      <c r="C208" s="33" t="s">
        <v>449</v>
      </c>
      <c r="D208" s="33" t="s">
        <v>442</v>
      </c>
      <c r="E208" s="33" t="s">
        <v>443</v>
      </c>
      <c r="F208" s="33" t="s">
        <v>444</v>
      </c>
      <c r="G208" s="35">
        <v>46219</v>
      </c>
      <c r="H208" s="33" t="s">
        <v>445</v>
      </c>
      <c r="I208" s="33" t="s">
        <v>1062</v>
      </c>
      <c r="J208" s="34">
        <v>241</v>
      </c>
      <c r="K208" s="33" t="s">
        <v>431</v>
      </c>
      <c r="L208" s="33" t="s">
        <v>1063</v>
      </c>
      <c r="M208" s="33" t="s">
        <v>433</v>
      </c>
      <c r="N208" s="33" t="s">
        <v>434</v>
      </c>
      <c r="O208" s="33" t="s">
        <v>435</v>
      </c>
    </row>
    <row r="209">
      <c r="A209" s="33" t="s">
        <v>1064</v>
      </c>
      <c r="B209" s="33" t="s">
        <v>90</v>
      </c>
      <c r="C209" s="33" t="s">
        <v>453</v>
      </c>
      <c r="D209" s="33" t="s">
        <v>442</v>
      </c>
      <c r="E209" s="33" t="s">
        <v>443</v>
      </c>
      <c r="F209" s="33" t="s">
        <v>444</v>
      </c>
      <c r="G209" s="35">
        <v>46219</v>
      </c>
      <c r="H209" s="33" t="s">
        <v>445</v>
      </c>
      <c r="I209" s="33" t="s">
        <v>1065</v>
      </c>
      <c r="J209" s="34">
        <v>268</v>
      </c>
      <c r="K209" s="33" t="s">
        <v>431</v>
      </c>
      <c r="L209" s="33" t="s">
        <v>1066</v>
      </c>
      <c r="M209" s="33" t="s">
        <v>433</v>
      </c>
      <c r="N209" s="33" t="s">
        <v>434</v>
      </c>
      <c r="O209" s="33" t="s">
        <v>435</v>
      </c>
    </row>
    <row r="210">
      <c r="A210" s="33" t="s">
        <v>1067</v>
      </c>
      <c r="B210" s="33" t="s">
        <v>79</v>
      </c>
      <c r="C210" s="33" t="s">
        <v>425</v>
      </c>
      <c r="D210" s="33" t="s">
        <v>426</v>
      </c>
      <c r="E210" s="33" t="s">
        <v>427</v>
      </c>
      <c r="F210" s="33" t="s">
        <v>428</v>
      </c>
      <c r="G210" s="35">
        <v>46219</v>
      </c>
      <c r="H210" s="33" t="s">
        <v>429</v>
      </c>
      <c r="I210" s="33" t="s">
        <v>1068</v>
      </c>
      <c r="J210" s="34">
        <v>-125</v>
      </c>
      <c r="K210" s="33" t="s">
        <v>431</v>
      </c>
      <c r="L210" s="33" t="s">
        <v>1069</v>
      </c>
      <c r="M210" s="33" t="s">
        <v>433</v>
      </c>
      <c r="N210" s="33" t="s">
        <v>434</v>
      </c>
      <c r="O210" s="33" t="s">
        <v>435</v>
      </c>
    </row>
    <row r="211">
      <c r="A211" s="33" t="s">
        <v>1070</v>
      </c>
      <c r="B211" s="33" t="s">
        <v>79</v>
      </c>
      <c r="C211" s="33" t="s">
        <v>437</v>
      </c>
      <c r="D211" s="33" t="s">
        <v>426</v>
      </c>
      <c r="E211" s="33" t="s">
        <v>427</v>
      </c>
      <c r="F211" s="33" t="s">
        <v>428</v>
      </c>
      <c r="G211" s="35">
        <v>46219</v>
      </c>
      <c r="H211" s="33" t="s">
        <v>429</v>
      </c>
      <c r="I211" s="33" t="s">
        <v>1071</v>
      </c>
      <c r="J211" s="34">
        <v>264</v>
      </c>
      <c r="K211" s="33" t="s">
        <v>431</v>
      </c>
      <c r="L211" s="33" t="s">
        <v>1072</v>
      </c>
      <c r="M211" s="33" t="s">
        <v>433</v>
      </c>
      <c r="N211" s="33" t="s">
        <v>434</v>
      </c>
      <c r="O211" s="33" t="s">
        <v>435</v>
      </c>
    </row>
    <row r="212">
      <c r="A212" s="33" t="s">
        <v>1073</v>
      </c>
      <c r="B212" s="33" t="s">
        <v>79</v>
      </c>
      <c r="C212" s="33" t="s">
        <v>441</v>
      </c>
      <c r="D212" s="33" t="s">
        <v>442</v>
      </c>
      <c r="E212" s="33" t="s">
        <v>443</v>
      </c>
      <c r="F212" s="33" t="s">
        <v>444</v>
      </c>
      <c r="G212" s="35">
        <v>46219</v>
      </c>
      <c r="H212" s="33" t="s">
        <v>445</v>
      </c>
      <c r="I212" s="33" t="s">
        <v>1074</v>
      </c>
      <c r="J212" s="34">
        <v>-183</v>
      </c>
      <c r="K212" s="33" t="s">
        <v>431</v>
      </c>
      <c r="L212" s="33" t="s">
        <v>1075</v>
      </c>
      <c r="M212" s="33" t="s">
        <v>433</v>
      </c>
      <c r="N212" s="33" t="s">
        <v>434</v>
      </c>
      <c r="O212" s="33" t="s">
        <v>435</v>
      </c>
    </row>
    <row r="213">
      <c r="A213" s="33" t="s">
        <v>1076</v>
      </c>
      <c r="B213" s="33" t="s">
        <v>79</v>
      </c>
      <c r="C213" s="33" t="s">
        <v>449</v>
      </c>
      <c r="D213" s="33" t="s">
        <v>442</v>
      </c>
      <c r="E213" s="33" t="s">
        <v>443</v>
      </c>
      <c r="F213" s="33" t="s">
        <v>444</v>
      </c>
      <c r="G213" s="35">
        <v>46219</v>
      </c>
      <c r="H213" s="33" t="s">
        <v>445</v>
      </c>
      <c r="I213" s="33" t="s">
        <v>1077</v>
      </c>
      <c r="J213" s="34">
        <v>-45</v>
      </c>
      <c r="K213" s="33" t="s">
        <v>431</v>
      </c>
      <c r="L213" s="33" t="s">
        <v>1078</v>
      </c>
      <c r="M213" s="33" t="s">
        <v>433</v>
      </c>
      <c r="N213" s="33" t="s">
        <v>434</v>
      </c>
      <c r="O213" s="33" t="s">
        <v>435</v>
      </c>
    </row>
    <row r="214">
      <c r="A214" s="33" t="s">
        <v>1079</v>
      </c>
      <c r="B214" s="33" t="s">
        <v>79</v>
      </c>
      <c r="C214" s="33" t="s">
        <v>453</v>
      </c>
      <c r="D214" s="33" t="s">
        <v>442</v>
      </c>
      <c r="E214" s="33" t="s">
        <v>443</v>
      </c>
      <c r="F214" s="33" t="s">
        <v>444</v>
      </c>
      <c r="G214" s="35">
        <v>46219</v>
      </c>
      <c r="H214" s="33" t="s">
        <v>445</v>
      </c>
      <c r="I214" s="33" t="s">
        <v>1080</v>
      </c>
      <c r="J214" s="34">
        <v>-76</v>
      </c>
      <c r="K214" s="33" t="s">
        <v>431</v>
      </c>
      <c r="L214" s="33" t="s">
        <v>1081</v>
      </c>
      <c r="M214" s="33" t="s">
        <v>433</v>
      </c>
      <c r="N214" s="33" t="s">
        <v>434</v>
      </c>
      <c r="O214" s="33" t="s">
        <v>435</v>
      </c>
    </row>
    <row r="215">
      <c r="A215" s="33" t="s">
        <v>1082</v>
      </c>
      <c r="B215" s="33" t="s">
        <v>91</v>
      </c>
      <c r="C215" s="33" t="s">
        <v>425</v>
      </c>
      <c r="D215" s="33" t="s">
        <v>426</v>
      </c>
      <c r="E215" s="33" t="s">
        <v>427</v>
      </c>
      <c r="F215" s="33" t="s">
        <v>428</v>
      </c>
      <c r="G215" s="35">
        <v>46219</v>
      </c>
      <c r="H215" s="33" t="s">
        <v>429</v>
      </c>
      <c r="I215" s="33" t="s">
        <v>1083</v>
      </c>
      <c r="J215" s="34">
        <v>60</v>
      </c>
      <c r="K215" s="33" t="s">
        <v>431</v>
      </c>
      <c r="L215" s="33" t="s">
        <v>1084</v>
      </c>
      <c r="M215" s="33" t="s">
        <v>1085</v>
      </c>
      <c r="N215" s="33" t="s">
        <v>1086</v>
      </c>
      <c r="O215" s="33" t="s">
        <v>1009</v>
      </c>
    </row>
    <row r="216">
      <c r="A216" s="33" t="s">
        <v>1087</v>
      </c>
      <c r="B216" s="33" t="s">
        <v>91</v>
      </c>
      <c r="C216" s="33" t="s">
        <v>437</v>
      </c>
      <c r="D216" s="33" t="s">
        <v>426</v>
      </c>
      <c r="E216" s="33" t="s">
        <v>427</v>
      </c>
      <c r="F216" s="33" t="s">
        <v>428</v>
      </c>
      <c r="G216" s="35">
        <v>46219</v>
      </c>
      <c r="H216" s="33" t="s">
        <v>429</v>
      </c>
      <c r="I216" s="33" t="s">
        <v>1088</v>
      </c>
      <c r="J216" s="34">
        <v>34</v>
      </c>
      <c r="K216" s="33" t="s">
        <v>431</v>
      </c>
      <c r="L216" s="33" t="s">
        <v>1089</v>
      </c>
      <c r="M216" s="33" t="s">
        <v>1085</v>
      </c>
      <c r="N216" s="33" t="s">
        <v>1086</v>
      </c>
      <c r="O216" s="33" t="s">
        <v>1009</v>
      </c>
    </row>
    <row r="217">
      <c r="A217" s="33" t="s">
        <v>1090</v>
      </c>
      <c r="B217" s="33" t="s">
        <v>91</v>
      </c>
      <c r="C217" s="33" t="s">
        <v>441</v>
      </c>
      <c r="D217" s="33" t="s">
        <v>442</v>
      </c>
      <c r="E217" s="33" t="s">
        <v>443</v>
      </c>
      <c r="F217" s="33" t="s">
        <v>444</v>
      </c>
      <c r="G217" s="35">
        <v>46219</v>
      </c>
      <c r="H217" s="33" t="s">
        <v>445</v>
      </c>
      <c r="I217" s="33" t="s">
        <v>1091</v>
      </c>
      <c r="J217" s="34">
        <v>882</v>
      </c>
      <c r="K217" s="33" t="s">
        <v>431</v>
      </c>
      <c r="L217" s="33" t="s">
        <v>1092</v>
      </c>
      <c r="M217" s="33" t="s">
        <v>1085</v>
      </c>
      <c r="N217" s="33" t="s">
        <v>1086</v>
      </c>
      <c r="O217" s="33" t="s">
        <v>1009</v>
      </c>
    </row>
    <row r="218">
      <c r="A218" s="33" t="s">
        <v>1093</v>
      </c>
      <c r="B218" s="33" t="s">
        <v>91</v>
      </c>
      <c r="C218" s="33" t="s">
        <v>449</v>
      </c>
      <c r="D218" s="33" t="s">
        <v>442</v>
      </c>
      <c r="E218" s="33" t="s">
        <v>443</v>
      </c>
      <c r="F218" s="33" t="s">
        <v>444</v>
      </c>
      <c r="G218" s="35">
        <v>46219</v>
      </c>
      <c r="H218" s="33" t="s">
        <v>445</v>
      </c>
      <c r="I218" s="33" t="s">
        <v>1094</v>
      </c>
      <c r="J218" s="34">
        <v>131</v>
      </c>
      <c r="K218" s="33" t="s">
        <v>431</v>
      </c>
      <c r="L218" s="33" t="s">
        <v>1095</v>
      </c>
      <c r="M218" s="33" t="s">
        <v>1085</v>
      </c>
      <c r="N218" s="33" t="s">
        <v>1086</v>
      </c>
      <c r="O218" s="33" t="s">
        <v>1009</v>
      </c>
    </row>
    <row r="219">
      <c r="A219" s="33" t="s">
        <v>1096</v>
      </c>
      <c r="B219" s="33" t="s">
        <v>91</v>
      </c>
      <c r="C219" s="33" t="s">
        <v>453</v>
      </c>
      <c r="D219" s="33" t="s">
        <v>442</v>
      </c>
      <c r="E219" s="33" t="s">
        <v>443</v>
      </c>
      <c r="F219" s="33" t="s">
        <v>444</v>
      </c>
      <c r="G219" s="35">
        <v>46219</v>
      </c>
      <c r="H219" s="33" t="s">
        <v>445</v>
      </c>
      <c r="I219" s="33" t="s">
        <v>1097</v>
      </c>
      <c r="J219" s="34">
        <v>469</v>
      </c>
      <c r="K219" s="33" t="s">
        <v>431</v>
      </c>
      <c r="L219" s="33" t="s">
        <v>1098</v>
      </c>
      <c r="M219" s="33" t="s">
        <v>1085</v>
      </c>
      <c r="N219" s="33" t="s">
        <v>1086</v>
      </c>
      <c r="O219" s="33" t="s">
        <v>1009</v>
      </c>
    </row>
    <row r="220">
      <c r="A220" s="33" t="s">
        <v>1099</v>
      </c>
      <c r="B220" s="33" t="s">
        <v>92</v>
      </c>
      <c r="C220" s="33" t="s">
        <v>425</v>
      </c>
      <c r="D220" s="33" t="s">
        <v>426</v>
      </c>
      <c r="E220" s="33" t="s">
        <v>427</v>
      </c>
      <c r="F220" s="33" t="s">
        <v>428</v>
      </c>
      <c r="G220" s="35">
        <v>46219</v>
      </c>
      <c r="H220" s="33" t="s">
        <v>429</v>
      </c>
      <c r="I220" s="33" t="s">
        <v>1100</v>
      </c>
      <c r="J220" s="34">
        <v>91</v>
      </c>
      <c r="K220" s="33" t="s">
        <v>431</v>
      </c>
      <c r="L220" s="33" t="s">
        <v>1101</v>
      </c>
      <c r="M220" s="33" t="s">
        <v>433</v>
      </c>
      <c r="N220" s="33" t="s">
        <v>434</v>
      </c>
      <c r="O220" s="33" t="s">
        <v>435</v>
      </c>
    </row>
    <row r="221">
      <c r="A221" s="33" t="s">
        <v>1102</v>
      </c>
      <c r="B221" s="33" t="s">
        <v>92</v>
      </c>
      <c r="C221" s="33" t="s">
        <v>437</v>
      </c>
      <c r="D221" s="33" t="s">
        <v>426</v>
      </c>
      <c r="E221" s="33" t="s">
        <v>427</v>
      </c>
      <c r="F221" s="33" t="s">
        <v>428</v>
      </c>
      <c r="G221" s="35">
        <v>46219</v>
      </c>
      <c r="H221" s="33" t="s">
        <v>429</v>
      </c>
      <c r="I221" s="33" t="s">
        <v>1103</v>
      </c>
      <c r="J221" s="34">
        <v>93</v>
      </c>
      <c r="K221" s="33" t="s">
        <v>431</v>
      </c>
      <c r="L221" s="33" t="s">
        <v>1104</v>
      </c>
      <c r="M221" s="33" t="s">
        <v>433</v>
      </c>
      <c r="N221" s="33" t="s">
        <v>434</v>
      </c>
      <c r="O221" s="33" t="s">
        <v>435</v>
      </c>
    </row>
    <row r="222">
      <c r="A222" s="33" t="s">
        <v>1105</v>
      </c>
      <c r="B222" s="33" t="s">
        <v>92</v>
      </c>
      <c r="C222" s="33" t="s">
        <v>441</v>
      </c>
      <c r="D222" s="33" t="s">
        <v>442</v>
      </c>
      <c r="E222" s="33" t="s">
        <v>443</v>
      </c>
      <c r="F222" s="33" t="s">
        <v>444</v>
      </c>
      <c r="G222" s="35">
        <v>46219</v>
      </c>
      <c r="H222" s="33" t="s">
        <v>445</v>
      </c>
      <c r="I222" s="33" t="s">
        <v>1106</v>
      </c>
      <c r="J222" s="34">
        <v>61</v>
      </c>
      <c r="K222" s="33" t="s">
        <v>431</v>
      </c>
      <c r="L222" s="33" t="s">
        <v>1107</v>
      </c>
      <c r="M222" s="33" t="s">
        <v>433</v>
      </c>
      <c r="N222" s="33" t="s">
        <v>434</v>
      </c>
      <c r="O222" s="33" t="s">
        <v>435</v>
      </c>
    </row>
    <row r="223">
      <c r="A223" s="33" t="s">
        <v>1108</v>
      </c>
      <c r="B223" s="33" t="s">
        <v>92</v>
      </c>
      <c r="C223" s="33" t="s">
        <v>449</v>
      </c>
      <c r="D223" s="33" t="s">
        <v>442</v>
      </c>
      <c r="E223" s="33" t="s">
        <v>443</v>
      </c>
      <c r="F223" s="33" t="s">
        <v>444</v>
      </c>
      <c r="G223" s="35">
        <v>46219</v>
      </c>
      <c r="H223" s="33" t="s">
        <v>445</v>
      </c>
      <c r="I223" s="33" t="s">
        <v>1109</v>
      </c>
      <c r="J223" s="34">
        <v>101</v>
      </c>
      <c r="K223" s="33" t="s">
        <v>431</v>
      </c>
      <c r="L223" s="33" t="s">
        <v>1110</v>
      </c>
      <c r="M223" s="33" t="s">
        <v>433</v>
      </c>
      <c r="N223" s="33" t="s">
        <v>434</v>
      </c>
      <c r="O223" s="33" t="s">
        <v>435</v>
      </c>
    </row>
    <row r="224">
      <c r="A224" s="33" t="s">
        <v>1111</v>
      </c>
      <c r="B224" s="33" t="s">
        <v>92</v>
      </c>
      <c r="C224" s="33" t="s">
        <v>453</v>
      </c>
      <c r="D224" s="33" t="s">
        <v>442</v>
      </c>
      <c r="E224" s="33" t="s">
        <v>443</v>
      </c>
      <c r="F224" s="33" t="s">
        <v>444</v>
      </c>
      <c r="G224" s="35">
        <v>46219</v>
      </c>
      <c r="H224" s="33" t="s">
        <v>445</v>
      </c>
      <c r="I224" s="33" t="s">
        <v>1112</v>
      </c>
      <c r="J224" s="34">
        <v>100</v>
      </c>
      <c r="K224" s="33" t="s">
        <v>431</v>
      </c>
      <c r="L224" s="33" t="s">
        <v>1113</v>
      </c>
      <c r="M224" s="33" t="s">
        <v>433</v>
      </c>
      <c r="N224" s="33" t="s">
        <v>434</v>
      </c>
      <c r="O224" s="33" t="s">
        <v>435</v>
      </c>
    </row>
    <row r="225">
      <c r="A225" s="33" t="s">
        <v>1114</v>
      </c>
      <c r="B225" s="33" t="s">
        <v>93</v>
      </c>
      <c r="C225" s="33" t="s">
        <v>425</v>
      </c>
      <c r="D225" s="33" t="s">
        <v>1002</v>
      </c>
      <c r="E225" s="33" t="s">
        <v>1003</v>
      </c>
      <c r="F225" s="33" t="s">
        <v>316</v>
      </c>
      <c r="G225" s="35">
        <v>46219</v>
      </c>
      <c r="H225" s="33" t="s">
        <v>1004</v>
      </c>
      <c r="I225" s="33" t="s">
        <v>1005</v>
      </c>
      <c r="J225" s="34" t="s">
        <v>1115</v>
      </c>
      <c r="K225" s="33" t="s">
        <v>431</v>
      </c>
      <c r="L225" s="33" t="s">
        <v>1116</v>
      </c>
      <c r="M225" s="33" t="s">
        <v>1115</v>
      </c>
      <c r="N225" s="33" t="s">
        <v>1008</v>
      </c>
      <c r="O225" s="33" t="s">
        <v>1009</v>
      </c>
    </row>
    <row r="226">
      <c r="A226" s="33" t="s">
        <v>1117</v>
      </c>
      <c r="B226" s="33" t="s">
        <v>93</v>
      </c>
      <c r="C226" s="33" t="s">
        <v>437</v>
      </c>
      <c r="D226" s="33" t="s">
        <v>1002</v>
      </c>
      <c r="E226" s="33" t="s">
        <v>1003</v>
      </c>
      <c r="F226" s="33" t="s">
        <v>316</v>
      </c>
      <c r="G226" s="35">
        <v>46219</v>
      </c>
      <c r="H226" s="33" t="s">
        <v>1004</v>
      </c>
      <c r="I226" s="33" t="s">
        <v>1005</v>
      </c>
      <c r="J226" s="34" t="s">
        <v>1118</v>
      </c>
      <c r="K226" s="33" t="s">
        <v>431</v>
      </c>
      <c r="L226" s="33" t="s">
        <v>1119</v>
      </c>
      <c r="M226" s="33" t="s">
        <v>1118</v>
      </c>
      <c r="N226" s="33" t="s">
        <v>1008</v>
      </c>
      <c r="O226" s="33" t="s">
        <v>1009</v>
      </c>
    </row>
    <row r="227">
      <c r="A227" s="33" t="s">
        <v>1120</v>
      </c>
      <c r="B227" s="33" t="s">
        <v>93</v>
      </c>
      <c r="C227" s="33" t="s">
        <v>441</v>
      </c>
      <c r="D227" s="33" t="s">
        <v>1002</v>
      </c>
      <c r="E227" s="33" t="s">
        <v>1003</v>
      </c>
      <c r="F227" s="33" t="s">
        <v>316</v>
      </c>
      <c r="G227" s="35">
        <v>46219</v>
      </c>
      <c r="H227" s="33" t="s">
        <v>1004</v>
      </c>
      <c r="I227" s="33" t="s">
        <v>1005</v>
      </c>
      <c r="J227" s="34" t="s">
        <v>1121</v>
      </c>
      <c r="K227" s="33" t="s">
        <v>431</v>
      </c>
      <c r="L227" s="33" t="s">
        <v>1122</v>
      </c>
      <c r="M227" s="33" t="s">
        <v>1121</v>
      </c>
      <c r="N227" s="33" t="s">
        <v>1008</v>
      </c>
      <c r="O227" s="33" t="s">
        <v>1009</v>
      </c>
    </row>
    <row r="228">
      <c r="A228" s="33" t="s">
        <v>1123</v>
      </c>
      <c r="B228" s="33" t="s">
        <v>93</v>
      </c>
      <c r="C228" s="33" t="s">
        <v>449</v>
      </c>
      <c r="D228" s="33" t="s">
        <v>1002</v>
      </c>
      <c r="E228" s="33" t="s">
        <v>1003</v>
      </c>
      <c r="F228" s="33" t="s">
        <v>316</v>
      </c>
      <c r="G228" s="35">
        <v>46219</v>
      </c>
      <c r="H228" s="33" t="s">
        <v>1004</v>
      </c>
      <c r="I228" s="33" t="s">
        <v>1005</v>
      </c>
      <c r="J228" s="34" t="s">
        <v>1124</v>
      </c>
      <c r="K228" s="33" t="s">
        <v>431</v>
      </c>
      <c r="L228" s="33" t="s">
        <v>1125</v>
      </c>
      <c r="M228" s="33" t="s">
        <v>1124</v>
      </c>
      <c r="N228" s="33" t="s">
        <v>1008</v>
      </c>
      <c r="O228" s="33" t="s">
        <v>1009</v>
      </c>
    </row>
    <row r="229">
      <c r="A229" s="33" t="s">
        <v>1126</v>
      </c>
      <c r="B229" s="33" t="s">
        <v>93</v>
      </c>
      <c r="C229" s="33" t="s">
        <v>453</v>
      </c>
      <c r="D229" s="33" t="s">
        <v>1002</v>
      </c>
      <c r="E229" s="33" t="s">
        <v>1003</v>
      </c>
      <c r="F229" s="33" t="s">
        <v>316</v>
      </c>
      <c r="G229" s="35">
        <v>46219</v>
      </c>
      <c r="H229" s="33" t="s">
        <v>1004</v>
      </c>
      <c r="I229" s="33" t="s">
        <v>1005</v>
      </c>
      <c r="J229" s="34" t="s">
        <v>1127</v>
      </c>
      <c r="K229" s="33" t="s">
        <v>431</v>
      </c>
      <c r="L229" s="33" t="s">
        <v>1128</v>
      </c>
      <c r="M229" s="33" t="s">
        <v>1127</v>
      </c>
      <c r="N229" s="33" t="s">
        <v>1008</v>
      </c>
      <c r="O229" s="33" t="s">
        <v>1009</v>
      </c>
    </row>
    <row r="230">
      <c r="A230" s="33" t="s">
        <v>1129</v>
      </c>
      <c r="B230" s="33" t="s">
        <v>94</v>
      </c>
      <c r="C230" s="33" t="s">
        <v>425</v>
      </c>
      <c r="D230" s="33" t="s">
        <v>426</v>
      </c>
      <c r="E230" s="33" t="s">
        <v>427</v>
      </c>
      <c r="F230" s="33" t="s">
        <v>428</v>
      </c>
      <c r="G230" s="35">
        <v>46219</v>
      </c>
      <c r="H230" s="33" t="s">
        <v>429</v>
      </c>
      <c r="I230" s="33" t="s">
        <v>1130</v>
      </c>
      <c r="J230" s="34">
        <v>3840</v>
      </c>
      <c r="K230" s="33" t="s">
        <v>431</v>
      </c>
      <c r="L230" s="33" t="s">
        <v>1131</v>
      </c>
      <c r="M230" s="33" t="s">
        <v>433</v>
      </c>
      <c r="N230" s="33" t="s">
        <v>434</v>
      </c>
      <c r="O230" s="33" t="s">
        <v>435</v>
      </c>
    </row>
    <row r="231">
      <c r="A231" s="33" t="s">
        <v>1132</v>
      </c>
      <c r="B231" s="33" t="s">
        <v>94</v>
      </c>
      <c r="C231" s="33" t="s">
        <v>437</v>
      </c>
      <c r="D231" s="33" t="s">
        <v>426</v>
      </c>
      <c r="E231" s="33" t="s">
        <v>427</v>
      </c>
      <c r="F231" s="33" t="s">
        <v>428</v>
      </c>
      <c r="G231" s="35">
        <v>46219</v>
      </c>
      <c r="H231" s="33" t="s">
        <v>429</v>
      </c>
      <c r="I231" s="33" t="s">
        <v>1133</v>
      </c>
      <c r="J231" s="34">
        <v>2687</v>
      </c>
      <c r="K231" s="33" t="s">
        <v>431</v>
      </c>
      <c r="L231" s="33" t="s">
        <v>1134</v>
      </c>
      <c r="M231" s="33" t="s">
        <v>433</v>
      </c>
      <c r="N231" s="33" t="s">
        <v>434</v>
      </c>
      <c r="O231" s="33" t="s">
        <v>435</v>
      </c>
    </row>
    <row r="232">
      <c r="A232" s="33" t="s">
        <v>1135</v>
      </c>
      <c r="B232" s="33" t="s">
        <v>94</v>
      </c>
      <c r="C232" s="33" t="s">
        <v>441</v>
      </c>
      <c r="D232" s="33" t="s">
        <v>442</v>
      </c>
      <c r="E232" s="33" t="s">
        <v>443</v>
      </c>
      <c r="F232" s="33" t="s">
        <v>444</v>
      </c>
      <c r="G232" s="35">
        <v>46219</v>
      </c>
      <c r="H232" s="33" t="s">
        <v>445</v>
      </c>
      <c r="I232" s="33" t="s">
        <v>1136</v>
      </c>
      <c r="J232" s="34">
        <v>1752</v>
      </c>
      <c r="K232" s="33" t="s">
        <v>431</v>
      </c>
      <c r="L232" s="33" t="s">
        <v>1137</v>
      </c>
      <c r="M232" s="33" t="s">
        <v>433</v>
      </c>
      <c r="N232" s="33" t="s">
        <v>434</v>
      </c>
      <c r="O232" s="33" t="s">
        <v>435</v>
      </c>
    </row>
    <row r="233">
      <c r="A233" s="33" t="s">
        <v>1138</v>
      </c>
      <c r="B233" s="33" t="s">
        <v>94</v>
      </c>
      <c r="C233" s="33" t="s">
        <v>449</v>
      </c>
      <c r="D233" s="33" t="s">
        <v>442</v>
      </c>
      <c r="E233" s="33" t="s">
        <v>443</v>
      </c>
      <c r="F233" s="33" t="s">
        <v>444</v>
      </c>
      <c r="G233" s="35">
        <v>46219</v>
      </c>
      <c r="H233" s="33" t="s">
        <v>445</v>
      </c>
      <c r="I233" s="33" t="s">
        <v>1139</v>
      </c>
      <c r="J233" s="34">
        <v>2590</v>
      </c>
      <c r="K233" s="33" t="s">
        <v>431</v>
      </c>
      <c r="L233" s="33" t="s">
        <v>1140</v>
      </c>
      <c r="M233" s="33" t="s">
        <v>433</v>
      </c>
      <c r="N233" s="33" t="s">
        <v>434</v>
      </c>
      <c r="O233" s="33" t="s">
        <v>435</v>
      </c>
    </row>
    <row r="234">
      <c r="A234" s="33" t="s">
        <v>1141</v>
      </c>
      <c r="B234" s="33" t="s">
        <v>94</v>
      </c>
      <c r="C234" s="33" t="s">
        <v>453</v>
      </c>
      <c r="D234" s="33" t="s">
        <v>442</v>
      </c>
      <c r="E234" s="33" t="s">
        <v>443</v>
      </c>
      <c r="F234" s="33" t="s">
        <v>444</v>
      </c>
      <c r="G234" s="35">
        <v>46219</v>
      </c>
      <c r="H234" s="33" t="s">
        <v>445</v>
      </c>
      <c r="I234" s="33" t="s">
        <v>1142</v>
      </c>
      <c r="J234" s="34">
        <v>2155</v>
      </c>
      <c r="K234" s="33" t="s">
        <v>431</v>
      </c>
      <c r="L234" s="33" t="s">
        <v>1143</v>
      </c>
      <c r="M234" s="33" t="s">
        <v>433</v>
      </c>
      <c r="N234" s="33" t="s">
        <v>434</v>
      </c>
      <c r="O234" s="33" t="s">
        <v>435</v>
      </c>
    </row>
    <row r="235">
      <c r="A235" s="33" t="s">
        <v>1144</v>
      </c>
      <c r="B235" s="33" t="s">
        <v>95</v>
      </c>
      <c r="C235" s="33" t="s">
        <v>425</v>
      </c>
      <c r="D235" s="33" t="s">
        <v>426</v>
      </c>
      <c r="E235" s="33" t="s">
        <v>427</v>
      </c>
      <c r="F235" s="33" t="s">
        <v>428</v>
      </c>
      <c r="G235" s="35">
        <v>46219</v>
      </c>
      <c r="H235" s="33" t="s">
        <v>429</v>
      </c>
      <c r="I235" s="33" t="s">
        <v>1145</v>
      </c>
      <c r="J235" s="34">
        <v>-1209</v>
      </c>
      <c r="K235" s="33" t="s">
        <v>431</v>
      </c>
      <c r="L235" s="33" t="s">
        <v>1146</v>
      </c>
      <c r="M235" s="33" t="s">
        <v>433</v>
      </c>
      <c r="N235" s="33" t="s">
        <v>434</v>
      </c>
      <c r="O235" s="33" t="s">
        <v>435</v>
      </c>
    </row>
    <row r="236">
      <c r="A236" s="33" t="s">
        <v>1147</v>
      </c>
      <c r="B236" s="33" t="s">
        <v>95</v>
      </c>
      <c r="C236" s="33" t="s">
        <v>437</v>
      </c>
      <c r="D236" s="33" t="s">
        <v>426</v>
      </c>
      <c r="E236" s="33" t="s">
        <v>427</v>
      </c>
      <c r="F236" s="33" t="s">
        <v>428</v>
      </c>
      <c r="G236" s="35">
        <v>46219</v>
      </c>
      <c r="H236" s="33" t="s">
        <v>429</v>
      </c>
      <c r="I236" s="33" t="s">
        <v>1148</v>
      </c>
      <c r="J236" s="34">
        <v>-1887</v>
      </c>
      <c r="K236" s="33" t="s">
        <v>431</v>
      </c>
      <c r="L236" s="33" t="s">
        <v>1149</v>
      </c>
      <c r="M236" s="33" t="s">
        <v>433</v>
      </c>
      <c r="N236" s="33" t="s">
        <v>434</v>
      </c>
      <c r="O236" s="33" t="s">
        <v>435</v>
      </c>
    </row>
    <row r="237">
      <c r="A237" s="33" t="s">
        <v>1150</v>
      </c>
      <c r="B237" s="33" t="s">
        <v>95</v>
      </c>
      <c r="C237" s="33" t="s">
        <v>441</v>
      </c>
      <c r="D237" s="33" t="s">
        <v>442</v>
      </c>
      <c r="E237" s="33" t="s">
        <v>443</v>
      </c>
      <c r="F237" s="33" t="s">
        <v>444</v>
      </c>
      <c r="G237" s="35">
        <v>46219</v>
      </c>
      <c r="H237" s="33" t="s">
        <v>445</v>
      </c>
      <c r="I237" s="33" t="s">
        <v>1151</v>
      </c>
      <c r="J237" s="34">
        <v>-1939</v>
      </c>
      <c r="K237" s="33" t="s">
        <v>431</v>
      </c>
      <c r="L237" s="33" t="s">
        <v>1152</v>
      </c>
      <c r="M237" s="33" t="s">
        <v>433</v>
      </c>
      <c r="N237" s="33" t="s">
        <v>434</v>
      </c>
      <c r="O237" s="33" t="s">
        <v>435</v>
      </c>
    </row>
    <row r="238">
      <c r="A238" s="33" t="s">
        <v>1153</v>
      </c>
      <c r="B238" s="33" t="s">
        <v>95</v>
      </c>
      <c r="C238" s="33" t="s">
        <v>449</v>
      </c>
      <c r="D238" s="33" t="s">
        <v>442</v>
      </c>
      <c r="E238" s="33" t="s">
        <v>443</v>
      </c>
      <c r="F238" s="33" t="s">
        <v>444</v>
      </c>
      <c r="G238" s="35">
        <v>46219</v>
      </c>
      <c r="H238" s="33" t="s">
        <v>445</v>
      </c>
      <c r="I238" s="33" t="s">
        <v>1154</v>
      </c>
      <c r="J238" s="34">
        <v>-1132</v>
      </c>
      <c r="K238" s="33" t="s">
        <v>431</v>
      </c>
      <c r="L238" s="33" t="s">
        <v>1155</v>
      </c>
      <c r="M238" s="33" t="s">
        <v>433</v>
      </c>
      <c r="N238" s="33" t="s">
        <v>434</v>
      </c>
      <c r="O238" s="33" t="s">
        <v>435</v>
      </c>
    </row>
    <row r="239">
      <c r="A239" s="33" t="s">
        <v>1156</v>
      </c>
      <c r="B239" s="33" t="s">
        <v>95</v>
      </c>
      <c r="C239" s="33" t="s">
        <v>453</v>
      </c>
      <c r="D239" s="33" t="s">
        <v>442</v>
      </c>
      <c r="E239" s="33" t="s">
        <v>443</v>
      </c>
      <c r="F239" s="33" t="s">
        <v>444</v>
      </c>
      <c r="G239" s="35">
        <v>46219</v>
      </c>
      <c r="H239" s="33" t="s">
        <v>445</v>
      </c>
      <c r="I239" s="33" t="s">
        <v>1157</v>
      </c>
      <c r="J239" s="34">
        <v>-978</v>
      </c>
      <c r="K239" s="33" t="s">
        <v>431</v>
      </c>
      <c r="L239" s="33" t="s">
        <v>1158</v>
      </c>
      <c r="M239" s="33" t="s">
        <v>433</v>
      </c>
      <c r="N239" s="33" t="s">
        <v>434</v>
      </c>
      <c r="O239" s="33" t="s">
        <v>435</v>
      </c>
    </row>
    <row r="240">
      <c r="A240" s="33" t="s">
        <v>1159</v>
      </c>
      <c r="B240" s="33" t="s">
        <v>96</v>
      </c>
      <c r="C240" s="33" t="s">
        <v>425</v>
      </c>
      <c r="D240" s="33" t="s">
        <v>426</v>
      </c>
      <c r="E240" s="33" t="s">
        <v>427</v>
      </c>
      <c r="F240" s="33" t="s">
        <v>428</v>
      </c>
      <c r="G240" s="35">
        <v>46219</v>
      </c>
      <c r="H240" s="33" t="s">
        <v>429</v>
      </c>
      <c r="I240" s="33" t="s">
        <v>1160</v>
      </c>
      <c r="J240" s="34">
        <v>58</v>
      </c>
      <c r="K240" s="33" t="s">
        <v>431</v>
      </c>
      <c r="L240" s="33" t="s">
        <v>1161</v>
      </c>
      <c r="M240" s="33" t="s">
        <v>433</v>
      </c>
      <c r="N240" s="33" t="s">
        <v>434</v>
      </c>
      <c r="O240" s="33" t="s">
        <v>435</v>
      </c>
    </row>
    <row r="241">
      <c r="A241" s="33" t="s">
        <v>1162</v>
      </c>
      <c r="B241" s="33" t="s">
        <v>96</v>
      </c>
      <c r="C241" s="33" t="s">
        <v>437</v>
      </c>
      <c r="D241" s="33" t="s">
        <v>426</v>
      </c>
      <c r="E241" s="33" t="s">
        <v>427</v>
      </c>
      <c r="F241" s="33" t="s">
        <v>428</v>
      </c>
      <c r="G241" s="35">
        <v>46219</v>
      </c>
      <c r="H241" s="33" t="s">
        <v>429</v>
      </c>
      <c r="I241" s="33" t="s">
        <v>1163</v>
      </c>
      <c r="J241" s="34">
        <v>-1935</v>
      </c>
      <c r="K241" s="33" t="s">
        <v>431</v>
      </c>
      <c r="L241" s="33" t="s">
        <v>1164</v>
      </c>
      <c r="M241" s="33" t="s">
        <v>433</v>
      </c>
      <c r="N241" s="33" t="s">
        <v>434</v>
      </c>
      <c r="O241" s="33" t="s">
        <v>435</v>
      </c>
    </row>
    <row r="242">
      <c r="A242" s="33" t="s">
        <v>1165</v>
      </c>
      <c r="B242" s="33" t="s">
        <v>96</v>
      </c>
      <c r="C242" s="33" t="s">
        <v>441</v>
      </c>
      <c r="D242" s="33" t="s">
        <v>442</v>
      </c>
      <c r="E242" s="33" t="s">
        <v>443</v>
      </c>
      <c r="F242" s="33" t="s">
        <v>444</v>
      </c>
      <c r="G242" s="35">
        <v>46219</v>
      </c>
      <c r="H242" s="33" t="s">
        <v>445</v>
      </c>
      <c r="I242" s="33" t="s">
        <v>1166</v>
      </c>
      <c r="J242" s="34">
        <v>-2299</v>
      </c>
      <c r="K242" s="33" t="s">
        <v>431</v>
      </c>
      <c r="L242" s="33" t="s">
        <v>1167</v>
      </c>
      <c r="M242" s="33" t="s">
        <v>433</v>
      </c>
      <c r="N242" s="33" t="s">
        <v>434</v>
      </c>
      <c r="O242" s="33" t="s">
        <v>435</v>
      </c>
    </row>
    <row r="243">
      <c r="A243" s="33" t="s">
        <v>1168</v>
      </c>
      <c r="B243" s="33" t="s">
        <v>96</v>
      </c>
      <c r="C243" s="33" t="s">
        <v>449</v>
      </c>
      <c r="D243" s="33" t="s">
        <v>442</v>
      </c>
      <c r="E243" s="33" t="s">
        <v>443</v>
      </c>
      <c r="F243" s="33" t="s">
        <v>444</v>
      </c>
      <c r="G243" s="35">
        <v>46219</v>
      </c>
      <c r="H243" s="33" t="s">
        <v>445</v>
      </c>
      <c r="I243" s="33" t="s">
        <v>1169</v>
      </c>
      <c r="J243" s="34">
        <v>-888</v>
      </c>
      <c r="K243" s="33" t="s">
        <v>431</v>
      </c>
      <c r="L243" s="33" t="s">
        <v>1170</v>
      </c>
      <c r="M243" s="33" t="s">
        <v>433</v>
      </c>
      <c r="N243" s="33" t="s">
        <v>434</v>
      </c>
      <c r="O243" s="33" t="s">
        <v>435</v>
      </c>
    </row>
    <row r="244">
      <c r="A244" s="33" t="s">
        <v>1171</v>
      </c>
      <c r="B244" s="33" t="s">
        <v>96</v>
      </c>
      <c r="C244" s="33" t="s">
        <v>453</v>
      </c>
      <c r="D244" s="33" t="s">
        <v>442</v>
      </c>
      <c r="E244" s="33" t="s">
        <v>443</v>
      </c>
      <c r="F244" s="33" t="s">
        <v>444</v>
      </c>
      <c r="G244" s="35">
        <v>46219</v>
      </c>
      <c r="H244" s="33" t="s">
        <v>445</v>
      </c>
      <c r="I244" s="33" t="s">
        <v>1172</v>
      </c>
      <c r="J244" s="34">
        <v>-665</v>
      </c>
      <c r="K244" s="33" t="s">
        <v>431</v>
      </c>
      <c r="L244" s="33" t="s">
        <v>1173</v>
      </c>
      <c r="M244" s="33" t="s">
        <v>433</v>
      </c>
      <c r="N244" s="33" t="s">
        <v>434</v>
      </c>
      <c r="O244" s="33" t="s">
        <v>435</v>
      </c>
    </row>
    <row r="245">
      <c r="A245" s="33" t="s">
        <v>1174</v>
      </c>
      <c r="B245" s="33" t="s">
        <v>97</v>
      </c>
      <c r="C245" s="33" t="s">
        <v>425</v>
      </c>
      <c r="D245" s="33" t="s">
        <v>426</v>
      </c>
      <c r="E245" s="33" t="s">
        <v>427</v>
      </c>
      <c r="F245" s="33" t="s">
        <v>428</v>
      </c>
      <c r="G245" s="35">
        <v>46219</v>
      </c>
      <c r="H245" s="33" t="s">
        <v>429</v>
      </c>
      <c r="I245" s="33" t="s">
        <v>1175</v>
      </c>
      <c r="J245" s="34">
        <v>585</v>
      </c>
      <c r="K245" s="33" t="s">
        <v>431</v>
      </c>
      <c r="L245" s="33" t="s">
        <v>1176</v>
      </c>
      <c r="M245" s="33" t="s">
        <v>433</v>
      </c>
      <c r="N245" s="33" t="s">
        <v>434</v>
      </c>
      <c r="O245" s="33" t="s">
        <v>435</v>
      </c>
    </row>
    <row r="246">
      <c r="A246" s="33" t="s">
        <v>1177</v>
      </c>
      <c r="B246" s="33" t="s">
        <v>97</v>
      </c>
      <c r="C246" s="33" t="s">
        <v>437</v>
      </c>
      <c r="D246" s="33" t="s">
        <v>426</v>
      </c>
      <c r="E246" s="33" t="s">
        <v>427</v>
      </c>
      <c r="F246" s="33" t="s">
        <v>428</v>
      </c>
      <c r="G246" s="35">
        <v>46219</v>
      </c>
      <c r="H246" s="33" t="s">
        <v>429</v>
      </c>
      <c r="I246" s="33" t="s">
        <v>1178</v>
      </c>
      <c r="J246" s="34">
        <v>103</v>
      </c>
      <c r="K246" s="33" t="s">
        <v>431</v>
      </c>
      <c r="L246" s="33" t="s">
        <v>1179</v>
      </c>
      <c r="M246" s="33" t="s">
        <v>433</v>
      </c>
      <c r="N246" s="33" t="s">
        <v>434</v>
      </c>
      <c r="O246" s="33" t="s">
        <v>435</v>
      </c>
    </row>
    <row r="247">
      <c r="A247" s="33" t="s">
        <v>1180</v>
      </c>
      <c r="B247" s="33" t="s">
        <v>97</v>
      </c>
      <c r="C247" s="33" t="s">
        <v>441</v>
      </c>
      <c r="D247" s="33" t="s">
        <v>442</v>
      </c>
      <c r="E247" s="33" t="s">
        <v>443</v>
      </c>
      <c r="F247" s="33" t="s">
        <v>444</v>
      </c>
      <c r="G247" s="35">
        <v>46219</v>
      </c>
      <c r="H247" s="33" t="s">
        <v>445</v>
      </c>
      <c r="I247" s="33" t="s">
        <v>1181</v>
      </c>
      <c r="J247" s="34">
        <v>1130</v>
      </c>
      <c r="K247" s="33" t="s">
        <v>431</v>
      </c>
      <c r="L247" s="33" t="s">
        <v>1182</v>
      </c>
      <c r="M247" s="33" t="s">
        <v>433</v>
      </c>
      <c r="N247" s="33" t="s">
        <v>434</v>
      </c>
      <c r="O247" s="33" t="s">
        <v>435</v>
      </c>
    </row>
    <row r="248">
      <c r="A248" s="33" t="s">
        <v>1183</v>
      </c>
      <c r="B248" s="33" t="s">
        <v>97</v>
      </c>
      <c r="C248" s="33" t="s">
        <v>449</v>
      </c>
      <c r="D248" s="33" t="s">
        <v>442</v>
      </c>
      <c r="E248" s="33" t="s">
        <v>443</v>
      </c>
      <c r="F248" s="33" t="s">
        <v>444</v>
      </c>
      <c r="G248" s="35">
        <v>46219</v>
      </c>
      <c r="H248" s="33" t="s">
        <v>445</v>
      </c>
      <c r="I248" s="33" t="s">
        <v>1184</v>
      </c>
      <c r="J248" s="34">
        <v>2415</v>
      </c>
      <c r="K248" s="33" t="s">
        <v>431</v>
      </c>
      <c r="L248" s="33" t="s">
        <v>1185</v>
      </c>
      <c r="M248" s="33" t="s">
        <v>433</v>
      </c>
      <c r="N248" s="33" t="s">
        <v>434</v>
      </c>
      <c r="O248" s="33" t="s">
        <v>435</v>
      </c>
    </row>
    <row r="249">
      <c r="A249" s="33" t="s">
        <v>1186</v>
      </c>
      <c r="B249" s="33" t="s">
        <v>97</v>
      </c>
      <c r="C249" s="33" t="s">
        <v>453</v>
      </c>
      <c r="D249" s="33" t="s">
        <v>442</v>
      </c>
      <c r="E249" s="33" t="s">
        <v>443</v>
      </c>
      <c r="F249" s="33" t="s">
        <v>444</v>
      </c>
      <c r="G249" s="35">
        <v>46219</v>
      </c>
      <c r="H249" s="33" t="s">
        <v>445</v>
      </c>
      <c r="I249" s="33" t="s">
        <v>1187</v>
      </c>
      <c r="J249" s="34">
        <v>175</v>
      </c>
      <c r="K249" s="33" t="s">
        <v>431</v>
      </c>
      <c r="L249" s="33" t="s">
        <v>1188</v>
      </c>
      <c r="M249" s="33" t="s">
        <v>433</v>
      </c>
      <c r="N249" s="33" t="s">
        <v>434</v>
      </c>
      <c r="O249" s="33" t="s">
        <v>435</v>
      </c>
    </row>
    <row r="250">
      <c r="A250" s="33" t="s">
        <v>1189</v>
      </c>
      <c r="B250" s="33" t="s">
        <v>98</v>
      </c>
      <c r="C250" s="33" t="s">
        <v>425</v>
      </c>
      <c r="D250" s="33" t="s">
        <v>426</v>
      </c>
      <c r="E250" s="33" t="s">
        <v>427</v>
      </c>
      <c r="F250" s="33" t="s">
        <v>428</v>
      </c>
      <c r="G250" s="35">
        <v>46219</v>
      </c>
      <c r="H250" s="33" t="s">
        <v>429</v>
      </c>
      <c r="I250" s="33" t="s">
        <v>1190</v>
      </c>
      <c r="J250" s="34">
        <v>-2632</v>
      </c>
      <c r="K250" s="33" t="s">
        <v>431</v>
      </c>
      <c r="L250" s="33" t="s">
        <v>1191</v>
      </c>
      <c r="M250" s="33" t="s">
        <v>433</v>
      </c>
      <c r="N250" s="33" t="s">
        <v>434</v>
      </c>
      <c r="O250" s="33" t="s">
        <v>435</v>
      </c>
    </row>
    <row r="251">
      <c r="A251" s="33" t="s">
        <v>1192</v>
      </c>
      <c r="B251" s="33" t="s">
        <v>98</v>
      </c>
      <c r="C251" s="33" t="s">
        <v>437</v>
      </c>
      <c r="D251" s="33" t="s">
        <v>426</v>
      </c>
      <c r="E251" s="33" t="s">
        <v>427</v>
      </c>
      <c r="F251" s="33" t="s">
        <v>428</v>
      </c>
      <c r="G251" s="35">
        <v>46219</v>
      </c>
      <c r="H251" s="33" t="s">
        <v>429</v>
      </c>
      <c r="I251" s="33" t="s">
        <v>1193</v>
      </c>
      <c r="J251" s="34">
        <v>-1191</v>
      </c>
      <c r="K251" s="33" t="s">
        <v>431</v>
      </c>
      <c r="L251" s="33" t="s">
        <v>1194</v>
      </c>
      <c r="M251" s="33" t="s">
        <v>433</v>
      </c>
      <c r="N251" s="33" t="s">
        <v>434</v>
      </c>
      <c r="O251" s="33" t="s">
        <v>435</v>
      </c>
    </row>
    <row r="252">
      <c r="A252" s="33" t="s">
        <v>1195</v>
      </c>
      <c r="B252" s="33" t="s">
        <v>98</v>
      </c>
      <c r="C252" s="33" t="s">
        <v>441</v>
      </c>
      <c r="D252" s="33" t="s">
        <v>442</v>
      </c>
      <c r="E252" s="33" t="s">
        <v>443</v>
      </c>
      <c r="F252" s="33" t="s">
        <v>444</v>
      </c>
      <c r="G252" s="35">
        <v>46219</v>
      </c>
      <c r="H252" s="33" t="s">
        <v>445</v>
      </c>
      <c r="I252" s="33" t="s">
        <v>1196</v>
      </c>
      <c r="J252" s="34">
        <v>-603</v>
      </c>
      <c r="K252" s="33" t="s">
        <v>431</v>
      </c>
      <c r="L252" s="33" t="s">
        <v>1197</v>
      </c>
      <c r="M252" s="33" t="s">
        <v>433</v>
      </c>
      <c r="N252" s="33" t="s">
        <v>434</v>
      </c>
      <c r="O252" s="33" t="s">
        <v>435</v>
      </c>
    </row>
    <row r="253">
      <c r="A253" s="33" t="s">
        <v>1198</v>
      </c>
      <c r="B253" s="33" t="s">
        <v>98</v>
      </c>
      <c r="C253" s="33" t="s">
        <v>449</v>
      </c>
      <c r="D253" s="33" t="s">
        <v>442</v>
      </c>
      <c r="E253" s="33" t="s">
        <v>443</v>
      </c>
      <c r="F253" s="33" t="s">
        <v>444</v>
      </c>
      <c r="G253" s="35">
        <v>46219</v>
      </c>
      <c r="H253" s="33" t="s">
        <v>445</v>
      </c>
      <c r="I253" s="33" t="s">
        <v>1199</v>
      </c>
      <c r="J253" s="34">
        <v>-1641</v>
      </c>
      <c r="K253" s="33" t="s">
        <v>431</v>
      </c>
      <c r="L253" s="33" t="s">
        <v>1200</v>
      </c>
      <c r="M253" s="33" t="s">
        <v>433</v>
      </c>
      <c r="N253" s="33" t="s">
        <v>434</v>
      </c>
      <c r="O253" s="33" t="s">
        <v>435</v>
      </c>
    </row>
    <row r="254">
      <c r="A254" s="33" t="s">
        <v>1201</v>
      </c>
      <c r="B254" s="33" t="s">
        <v>98</v>
      </c>
      <c r="C254" s="33" t="s">
        <v>453</v>
      </c>
      <c r="D254" s="33" t="s">
        <v>442</v>
      </c>
      <c r="E254" s="33" t="s">
        <v>443</v>
      </c>
      <c r="F254" s="33" t="s">
        <v>444</v>
      </c>
      <c r="G254" s="35">
        <v>46219</v>
      </c>
      <c r="H254" s="33" t="s">
        <v>445</v>
      </c>
      <c r="I254" s="33" t="s">
        <v>1202</v>
      </c>
      <c r="J254" s="34">
        <v>-1262</v>
      </c>
      <c r="K254" s="33" t="s">
        <v>431</v>
      </c>
      <c r="L254" s="33" t="s">
        <v>1203</v>
      </c>
      <c r="M254" s="33" t="s">
        <v>433</v>
      </c>
      <c r="N254" s="33" t="s">
        <v>434</v>
      </c>
      <c r="O254" s="33" t="s">
        <v>435</v>
      </c>
    </row>
    <row r="255">
      <c r="A255" s="33" t="s">
        <v>1204</v>
      </c>
      <c r="B255" s="33" t="s">
        <v>99</v>
      </c>
      <c r="C255" s="33" t="s">
        <v>425</v>
      </c>
      <c r="D255" s="33" t="s">
        <v>426</v>
      </c>
      <c r="E255" s="33" t="s">
        <v>427</v>
      </c>
      <c r="F255" s="33" t="s">
        <v>428</v>
      </c>
      <c r="G255" s="35">
        <v>46219</v>
      </c>
      <c r="H255" s="33" t="s">
        <v>429</v>
      </c>
      <c r="I255" s="33" t="s">
        <v>1205</v>
      </c>
      <c r="J255" s="34">
        <v>-67</v>
      </c>
      <c r="K255" s="33" t="s">
        <v>431</v>
      </c>
      <c r="L255" s="33" t="s">
        <v>1206</v>
      </c>
      <c r="M255" s="33" t="s">
        <v>433</v>
      </c>
      <c r="N255" s="33" t="s">
        <v>434</v>
      </c>
      <c r="O255" s="33" t="s">
        <v>435</v>
      </c>
    </row>
    <row r="256">
      <c r="A256" s="33" t="s">
        <v>1207</v>
      </c>
      <c r="B256" s="33" t="s">
        <v>99</v>
      </c>
      <c r="C256" s="33" t="s">
        <v>437</v>
      </c>
      <c r="D256" s="33" t="s">
        <v>426</v>
      </c>
      <c r="E256" s="33" t="s">
        <v>427</v>
      </c>
      <c r="F256" s="33" t="s">
        <v>428</v>
      </c>
      <c r="G256" s="35">
        <v>46219</v>
      </c>
      <c r="H256" s="33" t="s">
        <v>429</v>
      </c>
      <c r="I256" s="33" t="s">
        <v>1208</v>
      </c>
      <c r="J256" s="34">
        <v>-702</v>
      </c>
      <c r="K256" s="33" t="s">
        <v>431</v>
      </c>
      <c r="L256" s="33" t="s">
        <v>1209</v>
      </c>
      <c r="M256" s="33" t="s">
        <v>433</v>
      </c>
      <c r="N256" s="33" t="s">
        <v>434</v>
      </c>
      <c r="O256" s="33" t="s">
        <v>435</v>
      </c>
    </row>
    <row r="257">
      <c r="A257" s="33" t="s">
        <v>1210</v>
      </c>
      <c r="B257" s="33" t="s">
        <v>99</v>
      </c>
      <c r="C257" s="33" t="s">
        <v>441</v>
      </c>
      <c r="D257" s="33" t="s">
        <v>442</v>
      </c>
      <c r="E257" s="33" t="s">
        <v>443</v>
      </c>
      <c r="F257" s="33" t="s">
        <v>444</v>
      </c>
      <c r="G257" s="35">
        <v>46219</v>
      </c>
      <c r="H257" s="33" t="s">
        <v>445</v>
      </c>
      <c r="I257" s="33" t="s">
        <v>1211</v>
      </c>
      <c r="J257" s="34">
        <v>-354</v>
      </c>
      <c r="K257" s="33" t="s">
        <v>431</v>
      </c>
      <c r="L257" s="33" t="s">
        <v>1212</v>
      </c>
      <c r="M257" s="33" t="s">
        <v>433</v>
      </c>
      <c r="N257" s="33" t="s">
        <v>434</v>
      </c>
      <c r="O257" s="33" t="s">
        <v>435</v>
      </c>
    </row>
    <row r="258">
      <c r="A258" s="33" t="s">
        <v>1213</v>
      </c>
      <c r="B258" s="33" t="s">
        <v>99</v>
      </c>
      <c r="C258" s="33" t="s">
        <v>449</v>
      </c>
      <c r="D258" s="33" t="s">
        <v>442</v>
      </c>
      <c r="E258" s="33" t="s">
        <v>443</v>
      </c>
      <c r="F258" s="33" t="s">
        <v>444</v>
      </c>
      <c r="G258" s="35">
        <v>46219</v>
      </c>
      <c r="H258" s="33" t="s">
        <v>445</v>
      </c>
      <c r="I258" s="33" t="s">
        <v>1214</v>
      </c>
      <c r="J258" s="34">
        <v>-49</v>
      </c>
      <c r="K258" s="33" t="s">
        <v>431</v>
      </c>
      <c r="L258" s="33" t="s">
        <v>1215</v>
      </c>
      <c r="M258" s="33" t="s">
        <v>433</v>
      </c>
      <c r="N258" s="33" t="s">
        <v>434</v>
      </c>
      <c r="O258" s="33" t="s">
        <v>435</v>
      </c>
    </row>
    <row r="259">
      <c r="A259" s="33" t="s">
        <v>1216</v>
      </c>
      <c r="B259" s="33" t="s">
        <v>99</v>
      </c>
      <c r="C259" s="33" t="s">
        <v>453</v>
      </c>
      <c r="D259" s="33" t="s">
        <v>442</v>
      </c>
      <c r="E259" s="33" t="s">
        <v>443</v>
      </c>
      <c r="F259" s="33" t="s">
        <v>444</v>
      </c>
      <c r="G259" s="35">
        <v>46219</v>
      </c>
      <c r="H259" s="33" t="s">
        <v>445</v>
      </c>
      <c r="I259" s="33" t="s">
        <v>1217</v>
      </c>
      <c r="J259" s="34">
        <v>-196</v>
      </c>
      <c r="K259" s="33" t="s">
        <v>431</v>
      </c>
      <c r="L259" s="33" t="s">
        <v>1218</v>
      </c>
      <c r="M259" s="33" t="s">
        <v>433</v>
      </c>
      <c r="N259" s="33" t="s">
        <v>434</v>
      </c>
      <c r="O259" s="33" t="s">
        <v>435</v>
      </c>
    </row>
    <row r="260">
      <c r="A260" s="33" t="s">
        <v>1219</v>
      </c>
      <c r="B260" s="33" t="s">
        <v>100</v>
      </c>
      <c r="C260" s="33" t="s">
        <v>425</v>
      </c>
      <c r="D260" s="33" t="s">
        <v>426</v>
      </c>
      <c r="E260" s="33" t="s">
        <v>427</v>
      </c>
      <c r="F260" s="33" t="s">
        <v>428</v>
      </c>
      <c r="G260" s="35">
        <v>46219</v>
      </c>
      <c r="H260" s="33" t="s">
        <v>429</v>
      </c>
      <c r="I260" s="33" t="s">
        <v>1220</v>
      </c>
      <c r="J260" s="34">
        <v>-636</v>
      </c>
      <c r="K260" s="33" t="s">
        <v>431</v>
      </c>
      <c r="L260" s="33" t="s">
        <v>1221</v>
      </c>
      <c r="M260" s="33" t="s">
        <v>433</v>
      </c>
      <c r="N260" s="33" t="s">
        <v>434</v>
      </c>
      <c r="O260" s="33" t="s">
        <v>435</v>
      </c>
    </row>
    <row r="261">
      <c r="A261" s="33" t="s">
        <v>1222</v>
      </c>
      <c r="B261" s="33" t="s">
        <v>100</v>
      </c>
      <c r="C261" s="33" t="s">
        <v>437</v>
      </c>
      <c r="D261" s="33" t="s">
        <v>426</v>
      </c>
      <c r="E261" s="33" t="s">
        <v>427</v>
      </c>
      <c r="F261" s="33" t="s">
        <v>428</v>
      </c>
      <c r="G261" s="35">
        <v>46219</v>
      </c>
      <c r="H261" s="33" t="s">
        <v>429</v>
      </c>
      <c r="I261" s="33" t="s">
        <v>1223</v>
      </c>
      <c r="J261" s="34">
        <v>-653</v>
      </c>
      <c r="K261" s="33" t="s">
        <v>431</v>
      </c>
      <c r="L261" s="33" t="s">
        <v>1224</v>
      </c>
      <c r="M261" s="33" t="s">
        <v>433</v>
      </c>
      <c r="N261" s="33" t="s">
        <v>434</v>
      </c>
      <c r="O261" s="33" t="s">
        <v>435</v>
      </c>
    </row>
    <row r="262">
      <c r="A262" s="33" t="s">
        <v>1225</v>
      </c>
      <c r="B262" s="33" t="s">
        <v>100</v>
      </c>
      <c r="C262" s="33" t="s">
        <v>441</v>
      </c>
      <c r="D262" s="33" t="s">
        <v>442</v>
      </c>
      <c r="E262" s="33" t="s">
        <v>443</v>
      </c>
      <c r="F262" s="33" t="s">
        <v>444</v>
      </c>
      <c r="G262" s="35">
        <v>46219</v>
      </c>
      <c r="H262" s="33" t="s">
        <v>445</v>
      </c>
      <c r="I262" s="33" t="s">
        <v>1226</v>
      </c>
      <c r="J262" s="34">
        <v>-670</v>
      </c>
      <c r="K262" s="33" t="s">
        <v>431</v>
      </c>
      <c r="L262" s="33" t="s">
        <v>1227</v>
      </c>
      <c r="M262" s="33" t="s">
        <v>433</v>
      </c>
      <c r="N262" s="33" t="s">
        <v>434</v>
      </c>
      <c r="O262" s="33" t="s">
        <v>435</v>
      </c>
    </row>
    <row r="263">
      <c r="A263" s="33" t="s">
        <v>1228</v>
      </c>
      <c r="B263" s="33" t="s">
        <v>100</v>
      </c>
      <c r="C263" s="33" t="s">
        <v>449</v>
      </c>
      <c r="D263" s="33" t="s">
        <v>442</v>
      </c>
      <c r="E263" s="33" t="s">
        <v>443</v>
      </c>
      <c r="F263" s="33" t="s">
        <v>444</v>
      </c>
      <c r="G263" s="35">
        <v>46219</v>
      </c>
      <c r="H263" s="33" t="s">
        <v>445</v>
      </c>
      <c r="I263" s="33" t="s">
        <v>1229</v>
      </c>
      <c r="J263" s="34">
        <v>-684</v>
      </c>
      <c r="K263" s="33" t="s">
        <v>431</v>
      </c>
      <c r="L263" s="33" t="s">
        <v>1230</v>
      </c>
      <c r="M263" s="33" t="s">
        <v>433</v>
      </c>
      <c r="N263" s="33" t="s">
        <v>434</v>
      </c>
      <c r="O263" s="33" t="s">
        <v>435</v>
      </c>
    </row>
    <row r="264">
      <c r="A264" s="33" t="s">
        <v>1231</v>
      </c>
      <c r="B264" s="33" t="s">
        <v>100</v>
      </c>
      <c r="C264" s="33" t="s">
        <v>453</v>
      </c>
      <c r="D264" s="33" t="s">
        <v>442</v>
      </c>
      <c r="E264" s="33" t="s">
        <v>443</v>
      </c>
      <c r="F264" s="33" t="s">
        <v>444</v>
      </c>
      <c r="G264" s="35">
        <v>46219</v>
      </c>
      <c r="H264" s="33" t="s">
        <v>445</v>
      </c>
      <c r="I264" s="33" t="s">
        <v>1232</v>
      </c>
      <c r="J264" s="34">
        <v>-697</v>
      </c>
      <c r="K264" s="33" t="s">
        <v>431</v>
      </c>
      <c r="L264" s="33" t="s">
        <v>1233</v>
      </c>
      <c r="M264" s="33" t="s">
        <v>433</v>
      </c>
      <c r="N264" s="33" t="s">
        <v>434</v>
      </c>
      <c r="O264" s="33" t="s">
        <v>435</v>
      </c>
    </row>
    <row r="265">
      <c r="A265" s="33" t="s">
        <v>1234</v>
      </c>
      <c r="B265" s="33" t="s">
        <v>101</v>
      </c>
      <c r="C265" s="33" t="s">
        <v>425</v>
      </c>
      <c r="D265" s="33" t="s">
        <v>426</v>
      </c>
      <c r="E265" s="33" t="s">
        <v>427</v>
      </c>
      <c r="F265" s="33" t="s">
        <v>428</v>
      </c>
      <c r="G265" s="35">
        <v>46219</v>
      </c>
      <c r="H265" s="33" t="s">
        <v>429</v>
      </c>
      <c r="I265" s="33" t="s">
        <v>1235</v>
      </c>
      <c r="J265" s="34">
        <v>-2731</v>
      </c>
      <c r="K265" s="33" t="s">
        <v>431</v>
      </c>
      <c r="L265" s="33" t="s">
        <v>1236</v>
      </c>
      <c r="M265" s="33" t="s">
        <v>433</v>
      </c>
      <c r="N265" s="33" t="s">
        <v>434</v>
      </c>
      <c r="O265" s="33" t="s">
        <v>435</v>
      </c>
    </row>
    <row r="266">
      <c r="A266" s="33" t="s">
        <v>1237</v>
      </c>
      <c r="B266" s="33" t="s">
        <v>101</v>
      </c>
      <c r="C266" s="33" t="s">
        <v>437</v>
      </c>
      <c r="D266" s="33" t="s">
        <v>426</v>
      </c>
      <c r="E266" s="33" t="s">
        <v>427</v>
      </c>
      <c r="F266" s="33" t="s">
        <v>428</v>
      </c>
      <c r="G266" s="35">
        <v>46219</v>
      </c>
      <c r="H266" s="33" t="s">
        <v>429</v>
      </c>
      <c r="I266" s="33" t="s">
        <v>1238</v>
      </c>
      <c r="J266" s="34">
        <v>-2323</v>
      </c>
      <c r="K266" s="33" t="s">
        <v>431</v>
      </c>
      <c r="L266" s="33" t="s">
        <v>1239</v>
      </c>
      <c r="M266" s="33" t="s">
        <v>433</v>
      </c>
      <c r="N266" s="33" t="s">
        <v>434</v>
      </c>
      <c r="O266" s="33" t="s">
        <v>435</v>
      </c>
    </row>
    <row r="267">
      <c r="A267" s="33" t="s">
        <v>1240</v>
      </c>
      <c r="B267" s="33" t="s">
        <v>101</v>
      </c>
      <c r="C267" s="33" t="s">
        <v>441</v>
      </c>
      <c r="D267" s="33" t="s">
        <v>442</v>
      </c>
      <c r="E267" s="33" t="s">
        <v>443</v>
      </c>
      <c r="F267" s="33" t="s">
        <v>444</v>
      </c>
      <c r="G267" s="35">
        <v>46219</v>
      </c>
      <c r="H267" s="33" t="s">
        <v>445</v>
      </c>
      <c r="I267" s="33" t="s">
        <v>1241</v>
      </c>
      <c r="J267" s="34">
        <v>88</v>
      </c>
      <c r="K267" s="33" t="s">
        <v>431</v>
      </c>
      <c r="L267" s="33" t="s">
        <v>1242</v>
      </c>
      <c r="M267" s="33" t="s">
        <v>433</v>
      </c>
      <c r="N267" s="33" t="s">
        <v>434</v>
      </c>
      <c r="O267" s="33" t="s">
        <v>435</v>
      </c>
    </row>
    <row r="268">
      <c r="A268" s="33" t="s">
        <v>1243</v>
      </c>
      <c r="B268" s="33" t="s">
        <v>101</v>
      </c>
      <c r="C268" s="33" t="s">
        <v>449</v>
      </c>
      <c r="D268" s="33" t="s">
        <v>442</v>
      </c>
      <c r="E268" s="33" t="s">
        <v>443</v>
      </c>
      <c r="F268" s="33" t="s">
        <v>444</v>
      </c>
      <c r="G268" s="35">
        <v>46219</v>
      </c>
      <c r="H268" s="33" t="s">
        <v>445</v>
      </c>
      <c r="I268" s="33" t="s">
        <v>1244</v>
      </c>
      <c r="J268" s="34">
        <v>-581</v>
      </c>
      <c r="K268" s="33" t="s">
        <v>431</v>
      </c>
      <c r="L268" s="33" t="s">
        <v>1245</v>
      </c>
      <c r="M268" s="33" t="s">
        <v>433</v>
      </c>
      <c r="N268" s="33" t="s">
        <v>434</v>
      </c>
      <c r="O268" s="33" t="s">
        <v>435</v>
      </c>
    </row>
    <row r="269">
      <c r="A269" s="33" t="s">
        <v>1246</v>
      </c>
      <c r="B269" s="33" t="s">
        <v>101</v>
      </c>
      <c r="C269" s="33" t="s">
        <v>453</v>
      </c>
      <c r="D269" s="33" t="s">
        <v>442</v>
      </c>
      <c r="E269" s="33" t="s">
        <v>443</v>
      </c>
      <c r="F269" s="33" t="s">
        <v>444</v>
      </c>
      <c r="G269" s="35">
        <v>46219</v>
      </c>
      <c r="H269" s="33" t="s">
        <v>445</v>
      </c>
      <c r="I269" s="33" t="s">
        <v>1247</v>
      </c>
      <c r="J269" s="34">
        <v>-1977</v>
      </c>
      <c r="K269" s="33" t="s">
        <v>431</v>
      </c>
      <c r="L269" s="33" t="s">
        <v>1248</v>
      </c>
      <c r="M269" s="33" t="s">
        <v>433</v>
      </c>
      <c r="N269" s="33" t="s">
        <v>434</v>
      </c>
      <c r="O269" s="33" t="s">
        <v>435</v>
      </c>
    </row>
    <row r="270">
      <c r="A270" s="33" t="s">
        <v>1249</v>
      </c>
      <c r="B270" s="33" t="s">
        <v>102</v>
      </c>
      <c r="C270" s="33" t="s">
        <v>425</v>
      </c>
      <c r="D270" s="33" t="s">
        <v>1002</v>
      </c>
      <c r="E270" s="33" t="s">
        <v>1003</v>
      </c>
      <c r="F270" s="33" t="s">
        <v>316</v>
      </c>
      <c r="G270" s="35">
        <v>46219</v>
      </c>
      <c r="H270" s="33" t="s">
        <v>1004</v>
      </c>
      <c r="I270" s="33" t="s">
        <v>1005</v>
      </c>
      <c r="J270" s="34" t="s">
        <v>1250</v>
      </c>
      <c r="K270" s="33" t="s">
        <v>431</v>
      </c>
      <c r="L270" s="33" t="s">
        <v>1251</v>
      </c>
      <c r="M270" s="33" t="s">
        <v>1250</v>
      </c>
      <c r="N270" s="33" t="s">
        <v>1008</v>
      </c>
      <c r="O270" s="33" t="s">
        <v>1009</v>
      </c>
    </row>
    <row r="271">
      <c r="A271" s="33" t="s">
        <v>1252</v>
      </c>
      <c r="B271" s="33" t="s">
        <v>102</v>
      </c>
      <c r="C271" s="33" t="s">
        <v>437</v>
      </c>
      <c r="D271" s="33" t="s">
        <v>1002</v>
      </c>
      <c r="E271" s="33" t="s">
        <v>1003</v>
      </c>
      <c r="F271" s="33" t="s">
        <v>316</v>
      </c>
      <c r="G271" s="35">
        <v>46219</v>
      </c>
      <c r="H271" s="33" t="s">
        <v>1004</v>
      </c>
      <c r="I271" s="33" t="s">
        <v>1005</v>
      </c>
      <c r="J271" s="34" t="s">
        <v>1253</v>
      </c>
      <c r="K271" s="33" t="s">
        <v>431</v>
      </c>
      <c r="L271" s="33" t="s">
        <v>1254</v>
      </c>
      <c r="M271" s="33" t="s">
        <v>1253</v>
      </c>
      <c r="N271" s="33" t="s">
        <v>1008</v>
      </c>
      <c r="O271" s="33" t="s">
        <v>1009</v>
      </c>
    </row>
    <row r="272">
      <c r="A272" s="33" t="s">
        <v>1255</v>
      </c>
      <c r="B272" s="33" t="s">
        <v>102</v>
      </c>
      <c r="C272" s="33" t="s">
        <v>441</v>
      </c>
      <c r="D272" s="33" t="s">
        <v>1002</v>
      </c>
      <c r="E272" s="33" t="s">
        <v>1003</v>
      </c>
      <c r="F272" s="33" t="s">
        <v>316</v>
      </c>
      <c r="G272" s="35">
        <v>46219</v>
      </c>
      <c r="H272" s="33" t="s">
        <v>1004</v>
      </c>
      <c r="I272" s="33" t="s">
        <v>1005</v>
      </c>
      <c r="J272" s="34" t="s">
        <v>1256</v>
      </c>
      <c r="K272" s="33" t="s">
        <v>431</v>
      </c>
      <c r="L272" s="33" t="s">
        <v>1257</v>
      </c>
      <c r="M272" s="33" t="s">
        <v>1256</v>
      </c>
      <c r="N272" s="33" t="s">
        <v>1008</v>
      </c>
      <c r="O272" s="33" t="s">
        <v>1009</v>
      </c>
    </row>
    <row r="273">
      <c r="A273" s="33" t="s">
        <v>1258</v>
      </c>
      <c r="B273" s="33" t="s">
        <v>102</v>
      </c>
      <c r="C273" s="33" t="s">
        <v>449</v>
      </c>
      <c r="D273" s="33" t="s">
        <v>1002</v>
      </c>
      <c r="E273" s="33" t="s">
        <v>1003</v>
      </c>
      <c r="F273" s="33" t="s">
        <v>316</v>
      </c>
      <c r="G273" s="35">
        <v>46219</v>
      </c>
      <c r="H273" s="33" t="s">
        <v>1004</v>
      </c>
      <c r="I273" s="33" t="s">
        <v>1005</v>
      </c>
      <c r="J273" s="34" t="s">
        <v>1259</v>
      </c>
      <c r="K273" s="33" t="s">
        <v>431</v>
      </c>
      <c r="L273" s="33" t="s">
        <v>1260</v>
      </c>
      <c r="M273" s="33" t="s">
        <v>1259</v>
      </c>
      <c r="N273" s="33" t="s">
        <v>1008</v>
      </c>
      <c r="O273" s="33" t="s">
        <v>1009</v>
      </c>
    </row>
    <row r="274">
      <c r="A274" s="33" t="s">
        <v>1261</v>
      </c>
      <c r="B274" s="33" t="s">
        <v>102</v>
      </c>
      <c r="C274" s="33" t="s">
        <v>453</v>
      </c>
      <c r="D274" s="33" t="s">
        <v>1002</v>
      </c>
      <c r="E274" s="33" t="s">
        <v>1003</v>
      </c>
      <c r="F274" s="33" t="s">
        <v>316</v>
      </c>
      <c r="G274" s="35">
        <v>46219</v>
      </c>
      <c r="H274" s="33" t="s">
        <v>1004</v>
      </c>
      <c r="I274" s="33" t="s">
        <v>1005</v>
      </c>
      <c r="J274" s="34" t="s">
        <v>1262</v>
      </c>
      <c r="K274" s="33" t="s">
        <v>431</v>
      </c>
      <c r="L274" s="33" t="s">
        <v>1263</v>
      </c>
      <c r="M274" s="33" t="s">
        <v>1262</v>
      </c>
      <c r="N274" s="33" t="s">
        <v>1008</v>
      </c>
      <c r="O274" s="33" t="s">
        <v>1009</v>
      </c>
    </row>
    <row r="275">
      <c r="A275" s="33" t="s">
        <v>1264</v>
      </c>
      <c r="B275" s="33" t="s">
        <v>103</v>
      </c>
      <c r="C275" s="33" t="s">
        <v>425</v>
      </c>
      <c r="D275" s="33" t="s">
        <v>426</v>
      </c>
      <c r="E275" s="33" t="s">
        <v>427</v>
      </c>
      <c r="F275" s="33" t="s">
        <v>428</v>
      </c>
      <c r="G275" s="35">
        <v>46219</v>
      </c>
      <c r="H275" s="33" t="s">
        <v>429</v>
      </c>
      <c r="I275" s="33" t="s">
        <v>1265</v>
      </c>
      <c r="J275" s="34">
        <v>1171</v>
      </c>
      <c r="K275" s="33" t="s">
        <v>431</v>
      </c>
      <c r="L275" s="33" t="s">
        <v>1266</v>
      </c>
      <c r="M275" s="33" t="s">
        <v>433</v>
      </c>
      <c r="N275" s="33" t="s">
        <v>434</v>
      </c>
      <c r="O275" s="33" t="s">
        <v>435</v>
      </c>
    </row>
    <row r="276">
      <c r="A276" s="33" t="s">
        <v>1267</v>
      </c>
      <c r="B276" s="33" t="s">
        <v>103</v>
      </c>
      <c r="C276" s="33" t="s">
        <v>437</v>
      </c>
      <c r="D276" s="33" t="s">
        <v>426</v>
      </c>
      <c r="E276" s="33" t="s">
        <v>427</v>
      </c>
      <c r="F276" s="33" t="s">
        <v>428</v>
      </c>
      <c r="G276" s="35">
        <v>46219</v>
      </c>
      <c r="H276" s="33" t="s">
        <v>429</v>
      </c>
      <c r="I276" s="33" t="s">
        <v>1268</v>
      </c>
      <c r="J276" s="34">
        <v>-1606</v>
      </c>
      <c r="K276" s="33" t="s">
        <v>431</v>
      </c>
      <c r="L276" s="33" t="s">
        <v>1269</v>
      </c>
      <c r="M276" s="33" t="s">
        <v>433</v>
      </c>
      <c r="N276" s="33" t="s">
        <v>434</v>
      </c>
      <c r="O276" s="33" t="s">
        <v>435</v>
      </c>
    </row>
    <row r="277">
      <c r="A277" s="33" t="s">
        <v>1270</v>
      </c>
      <c r="B277" s="33" t="s">
        <v>103</v>
      </c>
      <c r="C277" s="33" t="s">
        <v>441</v>
      </c>
      <c r="D277" s="33" t="s">
        <v>442</v>
      </c>
      <c r="E277" s="33" t="s">
        <v>443</v>
      </c>
      <c r="F277" s="33" t="s">
        <v>444</v>
      </c>
      <c r="G277" s="35">
        <v>46219</v>
      </c>
      <c r="H277" s="33" t="s">
        <v>445</v>
      </c>
      <c r="I277" s="33" t="s">
        <v>1271</v>
      </c>
      <c r="J277" s="34">
        <v>-458</v>
      </c>
      <c r="K277" s="33" t="s">
        <v>431</v>
      </c>
      <c r="L277" s="33" t="s">
        <v>1272</v>
      </c>
      <c r="M277" s="33" t="s">
        <v>433</v>
      </c>
      <c r="N277" s="33" t="s">
        <v>434</v>
      </c>
      <c r="O277" s="33" t="s">
        <v>435</v>
      </c>
    </row>
    <row r="278">
      <c r="A278" s="33" t="s">
        <v>1273</v>
      </c>
      <c r="B278" s="33" t="s">
        <v>103</v>
      </c>
      <c r="C278" s="33" t="s">
        <v>449</v>
      </c>
      <c r="D278" s="33" t="s">
        <v>442</v>
      </c>
      <c r="E278" s="33" t="s">
        <v>443</v>
      </c>
      <c r="F278" s="33" t="s">
        <v>444</v>
      </c>
      <c r="G278" s="35">
        <v>46219</v>
      </c>
      <c r="H278" s="33" t="s">
        <v>445</v>
      </c>
      <c r="I278" s="33" t="s">
        <v>1274</v>
      </c>
      <c r="J278" s="34">
        <v>1144</v>
      </c>
      <c r="K278" s="33" t="s">
        <v>431</v>
      </c>
      <c r="L278" s="33" t="s">
        <v>1275</v>
      </c>
      <c r="M278" s="33" t="s">
        <v>433</v>
      </c>
      <c r="N278" s="33" t="s">
        <v>434</v>
      </c>
      <c r="O278" s="33" t="s">
        <v>435</v>
      </c>
    </row>
    <row r="279">
      <c r="A279" s="33" t="s">
        <v>1276</v>
      </c>
      <c r="B279" s="33" t="s">
        <v>103</v>
      </c>
      <c r="C279" s="33" t="s">
        <v>453</v>
      </c>
      <c r="D279" s="33" t="s">
        <v>442</v>
      </c>
      <c r="E279" s="33" t="s">
        <v>443</v>
      </c>
      <c r="F279" s="33" t="s">
        <v>444</v>
      </c>
      <c r="G279" s="35">
        <v>46219</v>
      </c>
      <c r="H279" s="33" t="s">
        <v>445</v>
      </c>
      <c r="I279" s="33" t="s">
        <v>1277</v>
      </c>
      <c r="J279" s="34">
        <v>-488</v>
      </c>
      <c r="K279" s="33" t="s">
        <v>431</v>
      </c>
      <c r="L279" s="33" t="s">
        <v>1278</v>
      </c>
      <c r="M279" s="33" t="s">
        <v>433</v>
      </c>
      <c r="N279" s="33" t="s">
        <v>434</v>
      </c>
      <c r="O279" s="33" t="s">
        <v>435</v>
      </c>
    </row>
    <row r="280">
      <c r="A280" s="33" t="s">
        <v>1279</v>
      </c>
      <c r="B280" s="33" t="s">
        <v>104</v>
      </c>
      <c r="C280" s="33" t="s">
        <v>425</v>
      </c>
      <c r="D280" s="33" t="s">
        <v>426</v>
      </c>
      <c r="E280" s="33" t="s">
        <v>427</v>
      </c>
      <c r="F280" s="33" t="s">
        <v>428</v>
      </c>
      <c r="G280" s="35">
        <v>46219</v>
      </c>
      <c r="H280" s="33" t="s">
        <v>429</v>
      </c>
      <c r="I280" s="33" t="s">
        <v>1280</v>
      </c>
      <c r="J280" s="34">
        <v>2507</v>
      </c>
      <c r="K280" s="33" t="s">
        <v>431</v>
      </c>
      <c r="L280" s="33" t="s">
        <v>1281</v>
      </c>
      <c r="M280" s="33" t="s">
        <v>433</v>
      </c>
      <c r="N280" s="33" t="s">
        <v>434</v>
      </c>
      <c r="O280" s="33" t="s">
        <v>435</v>
      </c>
    </row>
    <row r="281">
      <c r="A281" s="33" t="s">
        <v>1282</v>
      </c>
      <c r="B281" s="33" t="s">
        <v>104</v>
      </c>
      <c r="C281" s="33" t="s">
        <v>437</v>
      </c>
      <c r="D281" s="33" t="s">
        <v>426</v>
      </c>
      <c r="E281" s="33" t="s">
        <v>427</v>
      </c>
      <c r="F281" s="33" t="s">
        <v>428</v>
      </c>
      <c r="G281" s="35">
        <v>46219</v>
      </c>
      <c r="H281" s="33" t="s">
        <v>429</v>
      </c>
      <c r="I281" s="33" t="s">
        <v>1283</v>
      </c>
      <c r="J281" s="34">
        <v>1031</v>
      </c>
      <c r="K281" s="33" t="s">
        <v>431</v>
      </c>
      <c r="L281" s="33" t="s">
        <v>1284</v>
      </c>
      <c r="M281" s="33" t="s">
        <v>433</v>
      </c>
      <c r="N281" s="33" t="s">
        <v>434</v>
      </c>
      <c r="O281" s="33" t="s">
        <v>435</v>
      </c>
    </row>
    <row r="282">
      <c r="A282" s="33" t="s">
        <v>1285</v>
      </c>
      <c r="B282" s="33" t="s">
        <v>104</v>
      </c>
      <c r="C282" s="33" t="s">
        <v>441</v>
      </c>
      <c r="D282" s="33" t="s">
        <v>442</v>
      </c>
      <c r="E282" s="33" t="s">
        <v>443</v>
      </c>
      <c r="F282" s="33" t="s">
        <v>444</v>
      </c>
      <c r="G282" s="35">
        <v>46219</v>
      </c>
      <c r="H282" s="33" t="s">
        <v>445</v>
      </c>
      <c r="I282" s="33" t="s">
        <v>1286</v>
      </c>
      <c r="J282" s="34">
        <v>573</v>
      </c>
      <c r="K282" s="33" t="s">
        <v>431</v>
      </c>
      <c r="L282" s="33" t="s">
        <v>1287</v>
      </c>
      <c r="M282" s="33" t="s">
        <v>433</v>
      </c>
      <c r="N282" s="33" t="s">
        <v>434</v>
      </c>
      <c r="O282" s="33" t="s">
        <v>435</v>
      </c>
    </row>
    <row r="283">
      <c r="A283" s="33" t="s">
        <v>1288</v>
      </c>
      <c r="B283" s="33" t="s">
        <v>104</v>
      </c>
      <c r="C283" s="33" t="s">
        <v>449</v>
      </c>
      <c r="D283" s="33" t="s">
        <v>442</v>
      </c>
      <c r="E283" s="33" t="s">
        <v>443</v>
      </c>
      <c r="F283" s="33" t="s">
        <v>444</v>
      </c>
      <c r="G283" s="35">
        <v>46219</v>
      </c>
      <c r="H283" s="33" t="s">
        <v>445</v>
      </c>
      <c r="I283" s="33" t="s">
        <v>1289</v>
      </c>
      <c r="J283" s="34">
        <v>1717</v>
      </c>
      <c r="K283" s="33" t="s">
        <v>431</v>
      </c>
      <c r="L283" s="33" t="s">
        <v>1290</v>
      </c>
      <c r="M283" s="33" t="s">
        <v>433</v>
      </c>
      <c r="N283" s="33" t="s">
        <v>434</v>
      </c>
      <c r="O283" s="33" t="s">
        <v>435</v>
      </c>
    </row>
    <row r="284">
      <c r="A284" s="33" t="s">
        <v>1291</v>
      </c>
      <c r="B284" s="33" t="s">
        <v>104</v>
      </c>
      <c r="C284" s="33" t="s">
        <v>453</v>
      </c>
      <c r="D284" s="33" t="s">
        <v>442</v>
      </c>
      <c r="E284" s="33" t="s">
        <v>443</v>
      </c>
      <c r="F284" s="33" t="s">
        <v>444</v>
      </c>
      <c r="G284" s="35">
        <v>46219</v>
      </c>
      <c r="H284" s="33" t="s">
        <v>445</v>
      </c>
      <c r="I284" s="33" t="s">
        <v>1292</v>
      </c>
      <c r="J284" s="34">
        <v>1229</v>
      </c>
      <c r="K284" s="33" t="s">
        <v>431</v>
      </c>
      <c r="L284" s="33" t="s">
        <v>1293</v>
      </c>
      <c r="M284" s="33" t="s">
        <v>433</v>
      </c>
      <c r="N284" s="33" t="s">
        <v>434</v>
      </c>
      <c r="O284" s="33" t="s">
        <v>435</v>
      </c>
    </row>
    <row r="285">
      <c r="A285" s="33" t="s">
        <v>1294</v>
      </c>
      <c r="B285" s="33" t="s">
        <v>105</v>
      </c>
      <c r="C285" s="33" t="s">
        <v>425</v>
      </c>
      <c r="D285" s="33" t="s">
        <v>1002</v>
      </c>
      <c r="E285" s="33" t="s">
        <v>1003</v>
      </c>
      <c r="F285" s="33" t="s">
        <v>316</v>
      </c>
      <c r="G285" s="35">
        <v>46219</v>
      </c>
      <c r="H285" s="33" t="s">
        <v>1004</v>
      </c>
      <c r="I285" s="33" t="s">
        <v>1005</v>
      </c>
      <c r="J285" s="34" t="s">
        <v>1295</v>
      </c>
      <c r="K285" s="33" t="s">
        <v>431</v>
      </c>
      <c r="L285" s="33" t="s">
        <v>1296</v>
      </c>
      <c r="M285" s="33" t="s">
        <v>1295</v>
      </c>
      <c r="N285" s="33" t="s">
        <v>1008</v>
      </c>
      <c r="O285" s="33" t="s">
        <v>1009</v>
      </c>
    </row>
    <row r="286">
      <c r="A286" s="33" t="s">
        <v>1297</v>
      </c>
      <c r="B286" s="33" t="s">
        <v>105</v>
      </c>
      <c r="C286" s="33" t="s">
        <v>437</v>
      </c>
      <c r="D286" s="33" t="s">
        <v>1002</v>
      </c>
      <c r="E286" s="33" t="s">
        <v>1003</v>
      </c>
      <c r="F286" s="33" t="s">
        <v>316</v>
      </c>
      <c r="G286" s="35">
        <v>46219</v>
      </c>
      <c r="H286" s="33" t="s">
        <v>1004</v>
      </c>
      <c r="I286" s="33" t="s">
        <v>1005</v>
      </c>
      <c r="J286" s="34" t="s">
        <v>1298</v>
      </c>
      <c r="K286" s="33" t="s">
        <v>431</v>
      </c>
      <c r="L286" s="33" t="s">
        <v>1299</v>
      </c>
      <c r="M286" s="33" t="s">
        <v>1298</v>
      </c>
      <c r="N286" s="33" t="s">
        <v>1008</v>
      </c>
      <c r="O286" s="33" t="s">
        <v>1009</v>
      </c>
    </row>
    <row r="287">
      <c r="A287" s="33" t="s">
        <v>1300</v>
      </c>
      <c r="B287" s="33" t="s">
        <v>105</v>
      </c>
      <c r="C287" s="33" t="s">
        <v>441</v>
      </c>
      <c r="D287" s="33" t="s">
        <v>1002</v>
      </c>
      <c r="E287" s="33" t="s">
        <v>1003</v>
      </c>
      <c r="F287" s="33" t="s">
        <v>316</v>
      </c>
      <c r="G287" s="35">
        <v>46219</v>
      </c>
      <c r="H287" s="33" t="s">
        <v>1004</v>
      </c>
      <c r="I287" s="33" t="s">
        <v>1005</v>
      </c>
      <c r="J287" s="34" t="s">
        <v>1301</v>
      </c>
      <c r="K287" s="33" t="s">
        <v>431</v>
      </c>
      <c r="L287" s="33" t="s">
        <v>1302</v>
      </c>
      <c r="M287" s="33" t="s">
        <v>1301</v>
      </c>
      <c r="N287" s="33" t="s">
        <v>1008</v>
      </c>
      <c r="O287" s="33" t="s">
        <v>1009</v>
      </c>
    </row>
    <row r="288">
      <c r="A288" s="33" t="s">
        <v>1303</v>
      </c>
      <c r="B288" s="33" t="s">
        <v>105</v>
      </c>
      <c r="C288" s="33" t="s">
        <v>449</v>
      </c>
      <c r="D288" s="33" t="s">
        <v>1002</v>
      </c>
      <c r="E288" s="33" t="s">
        <v>1003</v>
      </c>
      <c r="F288" s="33" t="s">
        <v>316</v>
      </c>
      <c r="G288" s="35">
        <v>46219</v>
      </c>
      <c r="H288" s="33" t="s">
        <v>1004</v>
      </c>
      <c r="I288" s="33" t="s">
        <v>1005</v>
      </c>
      <c r="J288" s="34" t="s">
        <v>1304</v>
      </c>
      <c r="K288" s="33" t="s">
        <v>431</v>
      </c>
      <c r="L288" s="33" t="s">
        <v>1305</v>
      </c>
      <c r="M288" s="33" t="s">
        <v>1304</v>
      </c>
      <c r="N288" s="33" t="s">
        <v>1008</v>
      </c>
      <c r="O288" s="33" t="s">
        <v>1009</v>
      </c>
    </row>
    <row r="289">
      <c r="A289" s="33" t="s">
        <v>1306</v>
      </c>
      <c r="B289" s="33" t="s">
        <v>105</v>
      </c>
      <c r="C289" s="33" t="s">
        <v>453</v>
      </c>
      <c r="D289" s="33" t="s">
        <v>1002</v>
      </c>
      <c r="E289" s="33" t="s">
        <v>1003</v>
      </c>
      <c r="F289" s="33" t="s">
        <v>316</v>
      </c>
      <c r="G289" s="35">
        <v>46219</v>
      </c>
      <c r="H289" s="33" t="s">
        <v>1004</v>
      </c>
      <c r="I289" s="33" t="s">
        <v>1005</v>
      </c>
      <c r="J289" s="34" t="s">
        <v>1307</v>
      </c>
      <c r="K289" s="33" t="s">
        <v>431</v>
      </c>
      <c r="L289" s="33" t="s">
        <v>1308</v>
      </c>
      <c r="M289" s="33" t="s">
        <v>1307</v>
      </c>
      <c r="N289" s="33" t="s">
        <v>1008</v>
      </c>
      <c r="O289" s="33" t="s">
        <v>1009</v>
      </c>
    </row>
    <row r="290">
      <c r="A290" s="33" t="s">
        <v>1309</v>
      </c>
      <c r="B290" s="33" t="s">
        <v>1310</v>
      </c>
      <c r="C290" s="33" t="s">
        <v>425</v>
      </c>
      <c r="D290" s="33" t="s">
        <v>426</v>
      </c>
      <c r="E290" s="33" t="s">
        <v>427</v>
      </c>
      <c r="F290" s="33" t="s">
        <v>428</v>
      </c>
      <c r="G290" s="35">
        <v>46219</v>
      </c>
      <c r="H290" s="33" t="s">
        <v>429</v>
      </c>
      <c r="I290" s="33" t="s">
        <v>1311</v>
      </c>
      <c r="J290" s="34">
        <v>17999</v>
      </c>
      <c r="K290" s="33" t="s">
        <v>431</v>
      </c>
      <c r="L290" s="33" t="s">
        <v>1312</v>
      </c>
      <c r="M290" s="33" t="s">
        <v>1313</v>
      </c>
      <c r="N290" s="33" t="s">
        <v>1314</v>
      </c>
      <c r="O290" s="33" t="s">
        <v>435</v>
      </c>
    </row>
    <row r="291">
      <c r="A291" s="33" t="s">
        <v>1315</v>
      </c>
      <c r="B291" s="33" t="s">
        <v>1310</v>
      </c>
      <c r="C291" s="33" t="s">
        <v>437</v>
      </c>
      <c r="D291" s="33" t="s">
        <v>426</v>
      </c>
      <c r="E291" s="33" t="s">
        <v>427</v>
      </c>
      <c r="F291" s="33" t="s">
        <v>428</v>
      </c>
      <c r="G291" s="35">
        <v>46219</v>
      </c>
      <c r="H291" s="33" t="s">
        <v>429</v>
      </c>
      <c r="I291" s="33" t="s">
        <v>1311</v>
      </c>
      <c r="J291" s="34">
        <v>19854</v>
      </c>
      <c r="K291" s="33" t="s">
        <v>431</v>
      </c>
      <c r="L291" s="33" t="s">
        <v>1316</v>
      </c>
      <c r="M291" s="33" t="s">
        <v>1313</v>
      </c>
      <c r="N291" s="33" t="s">
        <v>1314</v>
      </c>
      <c r="O291" s="33" t="s">
        <v>435</v>
      </c>
    </row>
    <row r="292">
      <c r="A292" s="33" t="s">
        <v>1317</v>
      </c>
      <c r="B292" s="33" t="s">
        <v>1310</v>
      </c>
      <c r="C292" s="33" t="s">
        <v>441</v>
      </c>
      <c r="D292" s="33" t="s">
        <v>1318</v>
      </c>
      <c r="E292" s="33" t="s">
        <v>1319</v>
      </c>
      <c r="F292" s="33" t="s">
        <v>1320</v>
      </c>
      <c r="G292" s="35">
        <v>46219</v>
      </c>
      <c r="H292" s="33" t="s">
        <v>1321</v>
      </c>
      <c r="I292" s="33" t="s">
        <v>1322</v>
      </c>
      <c r="J292" s="34">
        <v>19325</v>
      </c>
      <c r="K292" s="33" t="s">
        <v>431</v>
      </c>
      <c r="L292" s="33" t="s">
        <v>1323</v>
      </c>
      <c r="M292" s="33" t="s">
        <v>1313</v>
      </c>
      <c r="N292" s="33" t="s">
        <v>1324</v>
      </c>
      <c r="O292" s="33" t="s">
        <v>435</v>
      </c>
    </row>
    <row r="293">
      <c r="A293" s="33" t="s">
        <v>1325</v>
      </c>
      <c r="B293" s="33" t="s">
        <v>1310</v>
      </c>
      <c r="C293" s="33" t="s">
        <v>449</v>
      </c>
      <c r="D293" s="33" t="s">
        <v>1318</v>
      </c>
      <c r="E293" s="33" t="s">
        <v>1319</v>
      </c>
      <c r="F293" s="33" t="s">
        <v>1320</v>
      </c>
      <c r="G293" s="35">
        <v>46219</v>
      </c>
      <c r="H293" s="33" t="s">
        <v>1321</v>
      </c>
      <c r="I293" s="33" t="s">
        <v>1322</v>
      </c>
      <c r="J293" s="34">
        <v>20479</v>
      </c>
      <c r="K293" s="33" t="s">
        <v>431</v>
      </c>
      <c r="L293" s="33" t="s">
        <v>1326</v>
      </c>
      <c r="M293" s="33" t="s">
        <v>1313</v>
      </c>
      <c r="N293" s="33" t="s">
        <v>1324</v>
      </c>
      <c r="O293" s="33" t="s">
        <v>435</v>
      </c>
    </row>
    <row r="294">
      <c r="A294" s="33" t="s">
        <v>1327</v>
      </c>
      <c r="B294" s="33" t="s">
        <v>1310</v>
      </c>
      <c r="C294" s="33" t="s">
        <v>453</v>
      </c>
      <c r="D294" s="33" t="s">
        <v>1318</v>
      </c>
      <c r="E294" s="33" t="s">
        <v>1319</v>
      </c>
      <c r="F294" s="33" t="s">
        <v>1320</v>
      </c>
      <c r="G294" s="35">
        <v>46219</v>
      </c>
      <c r="H294" s="33" t="s">
        <v>1321</v>
      </c>
      <c r="I294" s="33" t="s">
        <v>1322</v>
      </c>
      <c r="J294" s="34">
        <v>21623</v>
      </c>
      <c r="K294" s="33" t="s">
        <v>431</v>
      </c>
      <c r="L294" s="33" t="s">
        <v>1328</v>
      </c>
      <c r="M294" s="33" t="s">
        <v>1313</v>
      </c>
      <c r="N294" s="33" t="s">
        <v>1324</v>
      </c>
      <c r="O294" s="33" t="s">
        <v>435</v>
      </c>
    </row>
    <row r="295">
      <c r="A295" s="33" t="s">
        <v>1329</v>
      </c>
      <c r="B295" s="33" t="s">
        <v>1330</v>
      </c>
      <c r="C295" s="33" t="s">
        <v>425</v>
      </c>
      <c r="D295" s="33" t="s">
        <v>426</v>
      </c>
      <c r="E295" s="33" t="s">
        <v>427</v>
      </c>
      <c r="F295" s="33" t="s">
        <v>428</v>
      </c>
      <c r="G295" s="35">
        <v>46219</v>
      </c>
      <c r="H295" s="33" t="s">
        <v>429</v>
      </c>
      <c r="I295" s="33" t="s">
        <v>1311</v>
      </c>
      <c r="J295" s="34">
        <v>6277</v>
      </c>
      <c r="K295" s="33" t="s">
        <v>431</v>
      </c>
      <c r="L295" s="33" t="s">
        <v>1331</v>
      </c>
      <c r="M295" s="33" t="s">
        <v>1313</v>
      </c>
      <c r="N295" s="33" t="s">
        <v>1314</v>
      </c>
      <c r="O295" s="33" t="s">
        <v>435</v>
      </c>
    </row>
    <row r="296">
      <c r="A296" s="33" t="s">
        <v>1332</v>
      </c>
      <c r="B296" s="33" t="s">
        <v>1330</v>
      </c>
      <c r="C296" s="33" t="s">
        <v>437</v>
      </c>
      <c r="D296" s="33" t="s">
        <v>426</v>
      </c>
      <c r="E296" s="33" t="s">
        <v>427</v>
      </c>
      <c r="F296" s="33" t="s">
        <v>428</v>
      </c>
      <c r="G296" s="35">
        <v>46219</v>
      </c>
      <c r="H296" s="33" t="s">
        <v>429</v>
      </c>
      <c r="I296" s="33" t="s">
        <v>1311</v>
      </c>
      <c r="J296" s="34">
        <v>6414</v>
      </c>
      <c r="K296" s="33" t="s">
        <v>431</v>
      </c>
      <c r="L296" s="33" t="s">
        <v>1333</v>
      </c>
      <c r="M296" s="33" t="s">
        <v>1313</v>
      </c>
      <c r="N296" s="33" t="s">
        <v>1314</v>
      </c>
      <c r="O296" s="33" t="s">
        <v>435</v>
      </c>
    </row>
    <row r="297">
      <c r="A297" s="33" t="s">
        <v>1334</v>
      </c>
      <c r="B297" s="33" t="s">
        <v>1330</v>
      </c>
      <c r="C297" s="33" t="s">
        <v>441</v>
      </c>
      <c r="D297" s="33" t="s">
        <v>1318</v>
      </c>
      <c r="E297" s="33" t="s">
        <v>1319</v>
      </c>
      <c r="F297" s="33" t="s">
        <v>1320</v>
      </c>
      <c r="G297" s="35">
        <v>46219</v>
      </c>
      <c r="H297" s="33" t="s">
        <v>1321</v>
      </c>
      <c r="I297" s="33" t="s">
        <v>1322</v>
      </c>
      <c r="J297" s="34">
        <v>5768</v>
      </c>
      <c r="K297" s="33" t="s">
        <v>431</v>
      </c>
      <c r="L297" s="33" t="s">
        <v>1335</v>
      </c>
      <c r="M297" s="33" t="s">
        <v>1313</v>
      </c>
      <c r="N297" s="33" t="s">
        <v>1324</v>
      </c>
      <c r="O297" s="33" t="s">
        <v>435</v>
      </c>
    </row>
    <row r="298">
      <c r="A298" s="33" t="s">
        <v>1336</v>
      </c>
      <c r="B298" s="33" t="s">
        <v>1330</v>
      </c>
      <c r="C298" s="33" t="s">
        <v>449</v>
      </c>
      <c r="D298" s="33" t="s">
        <v>1318</v>
      </c>
      <c r="E298" s="33" t="s">
        <v>1319</v>
      </c>
      <c r="F298" s="33" t="s">
        <v>1320</v>
      </c>
      <c r="G298" s="35">
        <v>46219</v>
      </c>
      <c r="H298" s="33" t="s">
        <v>1321</v>
      </c>
      <c r="I298" s="33" t="s">
        <v>1322</v>
      </c>
      <c r="J298" s="34">
        <v>5903</v>
      </c>
      <c r="K298" s="33" t="s">
        <v>431</v>
      </c>
      <c r="L298" s="33" t="s">
        <v>1337</v>
      </c>
      <c r="M298" s="33" t="s">
        <v>1313</v>
      </c>
      <c r="N298" s="33" t="s">
        <v>1324</v>
      </c>
      <c r="O298" s="33" t="s">
        <v>435</v>
      </c>
    </row>
    <row r="299">
      <c r="A299" s="33" t="s">
        <v>1338</v>
      </c>
      <c r="B299" s="33" t="s">
        <v>1330</v>
      </c>
      <c r="C299" s="33" t="s">
        <v>453</v>
      </c>
      <c r="D299" s="33" t="s">
        <v>1318</v>
      </c>
      <c r="E299" s="33" t="s">
        <v>1319</v>
      </c>
      <c r="F299" s="33" t="s">
        <v>1320</v>
      </c>
      <c r="G299" s="35">
        <v>46219</v>
      </c>
      <c r="H299" s="33" t="s">
        <v>1321</v>
      </c>
      <c r="I299" s="33" t="s">
        <v>1322</v>
      </c>
      <c r="J299" s="34">
        <v>5781</v>
      </c>
      <c r="K299" s="33" t="s">
        <v>431</v>
      </c>
      <c r="L299" s="33" t="s">
        <v>1339</v>
      </c>
      <c r="M299" s="33" t="s">
        <v>1313</v>
      </c>
      <c r="N299" s="33" t="s">
        <v>1324</v>
      </c>
      <c r="O299" s="33" t="s">
        <v>435</v>
      </c>
    </row>
    <row r="300">
      <c r="A300" s="33" t="s">
        <v>1340</v>
      </c>
      <c r="B300" s="33" t="s">
        <v>1341</v>
      </c>
      <c r="C300" s="33" t="s">
        <v>425</v>
      </c>
      <c r="D300" s="33" t="s">
        <v>426</v>
      </c>
      <c r="E300" s="33" t="s">
        <v>427</v>
      </c>
      <c r="F300" s="33" t="s">
        <v>428</v>
      </c>
      <c r="G300" s="35">
        <v>46219</v>
      </c>
      <c r="H300" s="33" t="s">
        <v>429</v>
      </c>
      <c r="I300" s="33" t="s">
        <v>1311</v>
      </c>
      <c r="J300" s="34">
        <v>13733</v>
      </c>
      <c r="K300" s="33" t="s">
        <v>431</v>
      </c>
      <c r="L300" s="33" t="s">
        <v>1342</v>
      </c>
      <c r="M300" s="33" t="s">
        <v>1313</v>
      </c>
      <c r="N300" s="33" t="s">
        <v>1314</v>
      </c>
      <c r="O300" s="33" t="s">
        <v>435</v>
      </c>
    </row>
    <row r="301">
      <c r="A301" s="33" t="s">
        <v>1343</v>
      </c>
      <c r="B301" s="33" t="s">
        <v>1341</v>
      </c>
      <c r="C301" s="33" t="s">
        <v>437</v>
      </c>
      <c r="D301" s="33" t="s">
        <v>426</v>
      </c>
      <c r="E301" s="33" t="s">
        <v>427</v>
      </c>
      <c r="F301" s="33" t="s">
        <v>428</v>
      </c>
      <c r="G301" s="35">
        <v>46219</v>
      </c>
      <c r="H301" s="33" t="s">
        <v>429</v>
      </c>
      <c r="I301" s="33" t="s">
        <v>1311</v>
      </c>
      <c r="J301" s="34">
        <v>16961</v>
      </c>
      <c r="K301" s="33" t="s">
        <v>431</v>
      </c>
      <c r="L301" s="33" t="s">
        <v>1344</v>
      </c>
      <c r="M301" s="33" t="s">
        <v>1313</v>
      </c>
      <c r="N301" s="33" t="s">
        <v>1314</v>
      </c>
      <c r="O301" s="33" t="s">
        <v>435</v>
      </c>
    </row>
    <row r="302">
      <c r="A302" s="33" t="s">
        <v>1345</v>
      </c>
      <c r="B302" s="33" t="s">
        <v>1341</v>
      </c>
      <c r="C302" s="33" t="s">
        <v>441</v>
      </c>
      <c r="D302" s="33" t="s">
        <v>1318</v>
      </c>
      <c r="E302" s="33" t="s">
        <v>1319</v>
      </c>
      <c r="F302" s="33" t="s">
        <v>1320</v>
      </c>
      <c r="G302" s="35">
        <v>46219</v>
      </c>
      <c r="H302" s="33" t="s">
        <v>1321</v>
      </c>
      <c r="I302" s="33" t="s">
        <v>1322</v>
      </c>
      <c r="J302" s="34">
        <v>17060</v>
      </c>
      <c r="K302" s="33" t="s">
        <v>431</v>
      </c>
      <c r="L302" s="33" t="s">
        <v>1346</v>
      </c>
      <c r="M302" s="33" t="s">
        <v>1313</v>
      </c>
      <c r="N302" s="33" t="s">
        <v>1324</v>
      </c>
      <c r="O302" s="33" t="s">
        <v>435</v>
      </c>
    </row>
    <row r="303">
      <c r="A303" s="33" t="s">
        <v>1347</v>
      </c>
      <c r="B303" s="33" t="s">
        <v>1341</v>
      </c>
      <c r="C303" s="33" t="s">
        <v>449</v>
      </c>
      <c r="D303" s="33" t="s">
        <v>1318</v>
      </c>
      <c r="E303" s="33" t="s">
        <v>1319</v>
      </c>
      <c r="F303" s="33" t="s">
        <v>1320</v>
      </c>
      <c r="G303" s="35">
        <v>46219</v>
      </c>
      <c r="H303" s="33" t="s">
        <v>1321</v>
      </c>
      <c r="I303" s="33" t="s">
        <v>1322</v>
      </c>
      <c r="J303" s="34">
        <v>16425</v>
      </c>
      <c r="K303" s="33" t="s">
        <v>431</v>
      </c>
      <c r="L303" s="33" t="s">
        <v>1348</v>
      </c>
      <c r="M303" s="33" t="s">
        <v>1313</v>
      </c>
      <c r="N303" s="33" t="s">
        <v>1324</v>
      </c>
      <c r="O303" s="33" t="s">
        <v>435</v>
      </c>
    </row>
    <row r="304">
      <c r="A304" s="33" t="s">
        <v>1349</v>
      </c>
      <c r="B304" s="33" t="s">
        <v>1341</v>
      </c>
      <c r="C304" s="33" t="s">
        <v>453</v>
      </c>
      <c r="D304" s="33" t="s">
        <v>1318</v>
      </c>
      <c r="E304" s="33" t="s">
        <v>1319</v>
      </c>
      <c r="F304" s="33" t="s">
        <v>1320</v>
      </c>
      <c r="G304" s="35">
        <v>46219</v>
      </c>
      <c r="H304" s="33" t="s">
        <v>1321</v>
      </c>
      <c r="I304" s="33" t="s">
        <v>1322</v>
      </c>
      <c r="J304" s="34">
        <v>16837</v>
      </c>
      <c r="K304" s="33" t="s">
        <v>431</v>
      </c>
      <c r="L304" s="33" t="s">
        <v>1350</v>
      </c>
      <c r="M304" s="33" t="s">
        <v>1313</v>
      </c>
      <c r="N304" s="33" t="s">
        <v>1324</v>
      </c>
      <c r="O304" s="33" t="s">
        <v>435</v>
      </c>
    </row>
    <row r="305">
      <c r="A305" s="33" t="s">
        <v>1351</v>
      </c>
      <c r="B305" s="33" t="s">
        <v>1352</v>
      </c>
      <c r="C305" s="33" t="s">
        <v>425</v>
      </c>
      <c r="D305" s="33" t="s">
        <v>426</v>
      </c>
      <c r="E305" s="33" t="s">
        <v>427</v>
      </c>
      <c r="F305" s="33" t="s">
        <v>428</v>
      </c>
      <c r="G305" s="35">
        <v>46219</v>
      </c>
      <c r="H305" s="33" t="s">
        <v>429</v>
      </c>
      <c r="I305" s="33" t="s">
        <v>1311</v>
      </c>
      <c r="J305" s="34">
        <v>8853</v>
      </c>
      <c r="K305" s="33" t="s">
        <v>431</v>
      </c>
      <c r="L305" s="33" t="s">
        <v>1353</v>
      </c>
      <c r="M305" s="33" t="s">
        <v>1313</v>
      </c>
      <c r="N305" s="33" t="s">
        <v>1314</v>
      </c>
      <c r="O305" s="33" t="s">
        <v>435</v>
      </c>
    </row>
    <row r="306">
      <c r="A306" s="33" t="s">
        <v>1354</v>
      </c>
      <c r="B306" s="33" t="s">
        <v>1352</v>
      </c>
      <c r="C306" s="33" t="s">
        <v>437</v>
      </c>
      <c r="D306" s="33" t="s">
        <v>426</v>
      </c>
      <c r="E306" s="33" t="s">
        <v>427</v>
      </c>
      <c r="F306" s="33" t="s">
        <v>428</v>
      </c>
      <c r="G306" s="35">
        <v>46219</v>
      </c>
      <c r="H306" s="33" t="s">
        <v>429</v>
      </c>
      <c r="I306" s="33" t="s">
        <v>1311</v>
      </c>
      <c r="J306" s="34">
        <v>9689</v>
      </c>
      <c r="K306" s="33" t="s">
        <v>431</v>
      </c>
      <c r="L306" s="33" t="s">
        <v>1355</v>
      </c>
      <c r="M306" s="33" t="s">
        <v>1313</v>
      </c>
      <c r="N306" s="33" t="s">
        <v>1314</v>
      </c>
      <c r="O306" s="33" t="s">
        <v>435</v>
      </c>
    </row>
    <row r="307">
      <c r="A307" s="33" t="s">
        <v>1356</v>
      </c>
      <c r="B307" s="33" t="s">
        <v>1352</v>
      </c>
      <c r="C307" s="33" t="s">
        <v>441</v>
      </c>
      <c r="D307" s="33" t="s">
        <v>1318</v>
      </c>
      <c r="E307" s="33" t="s">
        <v>1319</v>
      </c>
      <c r="F307" s="33" t="s">
        <v>1320</v>
      </c>
      <c r="G307" s="35">
        <v>46219</v>
      </c>
      <c r="H307" s="33" t="s">
        <v>1321</v>
      </c>
      <c r="I307" s="33" t="s">
        <v>1322</v>
      </c>
      <c r="J307" s="34">
        <v>9845</v>
      </c>
      <c r="K307" s="33" t="s">
        <v>431</v>
      </c>
      <c r="L307" s="33" t="s">
        <v>1357</v>
      </c>
      <c r="M307" s="33" t="s">
        <v>1313</v>
      </c>
      <c r="N307" s="33" t="s">
        <v>1324</v>
      </c>
      <c r="O307" s="33" t="s">
        <v>435</v>
      </c>
    </row>
    <row r="308">
      <c r="A308" s="33" t="s">
        <v>1358</v>
      </c>
      <c r="B308" s="33" t="s">
        <v>1352</v>
      </c>
      <c r="C308" s="33" t="s">
        <v>449</v>
      </c>
      <c r="D308" s="33" t="s">
        <v>1318</v>
      </c>
      <c r="E308" s="33" t="s">
        <v>1319</v>
      </c>
      <c r="F308" s="33" t="s">
        <v>1320</v>
      </c>
      <c r="G308" s="35">
        <v>46219</v>
      </c>
      <c r="H308" s="33" t="s">
        <v>1321</v>
      </c>
      <c r="I308" s="33" t="s">
        <v>1322</v>
      </c>
      <c r="J308" s="34">
        <v>9851</v>
      </c>
      <c r="K308" s="33" t="s">
        <v>431</v>
      </c>
      <c r="L308" s="33" t="s">
        <v>1359</v>
      </c>
      <c r="M308" s="33" t="s">
        <v>1313</v>
      </c>
      <c r="N308" s="33" t="s">
        <v>1324</v>
      </c>
      <c r="O308" s="33" t="s">
        <v>435</v>
      </c>
    </row>
    <row r="309">
      <c r="A309" s="33" t="s">
        <v>1360</v>
      </c>
      <c r="B309" s="33" t="s">
        <v>1352</v>
      </c>
      <c r="C309" s="33" t="s">
        <v>453</v>
      </c>
      <c r="D309" s="33" t="s">
        <v>1318</v>
      </c>
      <c r="E309" s="33" t="s">
        <v>1319</v>
      </c>
      <c r="F309" s="33" t="s">
        <v>1320</v>
      </c>
      <c r="G309" s="35">
        <v>46219</v>
      </c>
      <c r="H309" s="33" t="s">
        <v>1321</v>
      </c>
      <c r="I309" s="33" t="s">
        <v>1322</v>
      </c>
      <c r="J309" s="34">
        <v>9930</v>
      </c>
      <c r="K309" s="33" t="s">
        <v>431</v>
      </c>
      <c r="L309" s="33" t="s">
        <v>1361</v>
      </c>
      <c r="M309" s="33" t="s">
        <v>1313</v>
      </c>
      <c r="N309" s="33" t="s">
        <v>1324</v>
      </c>
      <c r="O309" s="33" t="s">
        <v>435</v>
      </c>
    </row>
    <row r="310">
      <c r="A310" s="33" t="s">
        <v>1362</v>
      </c>
      <c r="B310" s="33" t="s">
        <v>1363</v>
      </c>
      <c r="C310" s="33" t="s">
        <v>425</v>
      </c>
      <c r="D310" s="33" t="s">
        <v>426</v>
      </c>
      <c r="E310" s="33" t="s">
        <v>427</v>
      </c>
      <c r="F310" s="33" t="s">
        <v>428</v>
      </c>
      <c r="G310" s="35">
        <v>46219</v>
      </c>
      <c r="H310" s="33" t="s">
        <v>429</v>
      </c>
      <c r="I310" s="33" t="s">
        <v>1311</v>
      </c>
      <c r="J310" s="34">
        <v>1990</v>
      </c>
      <c r="K310" s="33" t="s">
        <v>431</v>
      </c>
      <c r="L310" s="33" t="s">
        <v>1364</v>
      </c>
      <c r="M310" s="33" t="s">
        <v>1313</v>
      </c>
      <c r="N310" s="33" t="s">
        <v>1314</v>
      </c>
      <c r="O310" s="33" t="s">
        <v>435</v>
      </c>
    </row>
    <row r="311">
      <c r="A311" s="33" t="s">
        <v>1365</v>
      </c>
      <c r="B311" s="33" t="s">
        <v>1363</v>
      </c>
      <c r="C311" s="33" t="s">
        <v>437</v>
      </c>
      <c r="D311" s="33" t="s">
        <v>426</v>
      </c>
      <c r="E311" s="33" t="s">
        <v>427</v>
      </c>
      <c r="F311" s="33" t="s">
        <v>428</v>
      </c>
      <c r="G311" s="35">
        <v>46219</v>
      </c>
      <c r="H311" s="33" t="s">
        <v>429</v>
      </c>
      <c r="I311" s="33" t="s">
        <v>1311</v>
      </c>
      <c r="J311" s="34">
        <v>2355</v>
      </c>
      <c r="K311" s="33" t="s">
        <v>431</v>
      </c>
      <c r="L311" s="33" t="s">
        <v>1366</v>
      </c>
      <c r="M311" s="33" t="s">
        <v>1313</v>
      </c>
      <c r="N311" s="33" t="s">
        <v>1314</v>
      </c>
      <c r="O311" s="33" t="s">
        <v>435</v>
      </c>
    </row>
    <row r="312">
      <c r="A312" s="33" t="s">
        <v>1367</v>
      </c>
      <c r="B312" s="33" t="s">
        <v>1363</v>
      </c>
      <c r="C312" s="33" t="s">
        <v>441</v>
      </c>
      <c r="D312" s="33" t="s">
        <v>1318</v>
      </c>
      <c r="E312" s="33" t="s">
        <v>1319</v>
      </c>
      <c r="F312" s="33" t="s">
        <v>1320</v>
      </c>
      <c r="G312" s="35">
        <v>46219</v>
      </c>
      <c r="H312" s="33" t="s">
        <v>1321</v>
      </c>
      <c r="I312" s="33" t="s">
        <v>1322</v>
      </c>
      <c r="J312" s="34">
        <v>2515</v>
      </c>
      <c r="K312" s="33" t="s">
        <v>431</v>
      </c>
      <c r="L312" s="33" t="s">
        <v>1368</v>
      </c>
      <c r="M312" s="33" t="s">
        <v>1313</v>
      </c>
      <c r="N312" s="33" t="s">
        <v>1324</v>
      </c>
      <c r="O312" s="33" t="s">
        <v>435</v>
      </c>
    </row>
    <row r="313">
      <c r="A313" s="33" t="s">
        <v>1369</v>
      </c>
      <c r="B313" s="33" t="s">
        <v>1363</v>
      </c>
      <c r="C313" s="33" t="s">
        <v>449</v>
      </c>
      <c r="D313" s="33" t="s">
        <v>1318</v>
      </c>
      <c r="E313" s="33" t="s">
        <v>1319</v>
      </c>
      <c r="F313" s="33" t="s">
        <v>1320</v>
      </c>
      <c r="G313" s="35">
        <v>46219</v>
      </c>
      <c r="H313" s="33" t="s">
        <v>1321</v>
      </c>
      <c r="I313" s="33" t="s">
        <v>1322</v>
      </c>
      <c r="J313" s="34">
        <v>2353</v>
      </c>
      <c r="K313" s="33" t="s">
        <v>431</v>
      </c>
      <c r="L313" s="33" t="s">
        <v>1370</v>
      </c>
      <c r="M313" s="33" t="s">
        <v>1313</v>
      </c>
      <c r="N313" s="33" t="s">
        <v>1324</v>
      </c>
      <c r="O313" s="33" t="s">
        <v>435</v>
      </c>
    </row>
    <row r="314">
      <c r="A314" s="33" t="s">
        <v>1371</v>
      </c>
      <c r="B314" s="33" t="s">
        <v>1363</v>
      </c>
      <c r="C314" s="33" t="s">
        <v>453</v>
      </c>
      <c r="D314" s="33" t="s">
        <v>1318</v>
      </c>
      <c r="E314" s="33" t="s">
        <v>1319</v>
      </c>
      <c r="F314" s="33" t="s">
        <v>1320</v>
      </c>
      <c r="G314" s="35">
        <v>46219</v>
      </c>
      <c r="H314" s="33" t="s">
        <v>1321</v>
      </c>
      <c r="I314" s="33" t="s">
        <v>1322</v>
      </c>
      <c r="J314" s="34">
        <v>2291</v>
      </c>
      <c r="K314" s="33" t="s">
        <v>431</v>
      </c>
      <c r="L314" s="33" t="s">
        <v>1372</v>
      </c>
      <c r="M314" s="33" t="s">
        <v>1313</v>
      </c>
      <c r="N314" s="33" t="s">
        <v>1324</v>
      </c>
      <c r="O314" s="33" t="s">
        <v>435</v>
      </c>
    </row>
    <row r="315">
      <c r="A315" s="33" t="s">
        <v>1373</v>
      </c>
      <c r="B315" s="33" t="s">
        <v>1374</v>
      </c>
      <c r="C315" s="33" t="s">
        <v>425</v>
      </c>
      <c r="D315" s="33" t="s">
        <v>426</v>
      </c>
      <c r="E315" s="33" t="s">
        <v>427</v>
      </c>
      <c r="F315" s="33" t="s">
        <v>428</v>
      </c>
      <c r="G315" s="35">
        <v>46219</v>
      </c>
      <c r="H315" s="33" t="s">
        <v>429</v>
      </c>
      <c r="I315" s="33" t="s">
        <v>1311</v>
      </c>
      <c r="J315" s="34">
        <v>-1803</v>
      </c>
      <c r="K315" s="33" t="s">
        <v>431</v>
      </c>
      <c r="L315" s="33" t="s">
        <v>1375</v>
      </c>
      <c r="M315" s="33" t="s">
        <v>1313</v>
      </c>
      <c r="N315" s="33" t="s">
        <v>1314</v>
      </c>
      <c r="O315" s="33" t="s">
        <v>435</v>
      </c>
    </row>
    <row r="316">
      <c r="A316" s="33" t="s">
        <v>1376</v>
      </c>
      <c r="B316" s="33" t="s">
        <v>1374</v>
      </c>
      <c r="C316" s="33" t="s">
        <v>437</v>
      </c>
      <c r="D316" s="33" t="s">
        <v>426</v>
      </c>
      <c r="E316" s="33" t="s">
        <v>427</v>
      </c>
      <c r="F316" s="33" t="s">
        <v>428</v>
      </c>
      <c r="G316" s="35">
        <v>46219</v>
      </c>
      <c r="H316" s="33" t="s">
        <v>429</v>
      </c>
      <c r="I316" s="33" t="s">
        <v>1311</v>
      </c>
      <c r="J316" s="34">
        <v>-1991</v>
      </c>
      <c r="K316" s="33" t="s">
        <v>431</v>
      </c>
      <c r="L316" s="33" t="s">
        <v>1377</v>
      </c>
      <c r="M316" s="33" t="s">
        <v>1313</v>
      </c>
      <c r="N316" s="33" t="s">
        <v>1314</v>
      </c>
      <c r="O316" s="33" t="s">
        <v>435</v>
      </c>
    </row>
    <row r="317">
      <c r="A317" s="33" t="s">
        <v>1378</v>
      </c>
      <c r="B317" s="33" t="s">
        <v>1374</v>
      </c>
      <c r="C317" s="33" t="s">
        <v>441</v>
      </c>
      <c r="D317" s="33" t="s">
        <v>1318</v>
      </c>
      <c r="E317" s="33" t="s">
        <v>1319</v>
      </c>
      <c r="F317" s="33" t="s">
        <v>1320</v>
      </c>
      <c r="G317" s="35">
        <v>46219</v>
      </c>
      <c r="H317" s="33" t="s">
        <v>1321</v>
      </c>
      <c r="I317" s="33" t="s">
        <v>1322</v>
      </c>
      <c r="J317" s="34">
        <v>-1632</v>
      </c>
      <c r="K317" s="33" t="s">
        <v>431</v>
      </c>
      <c r="L317" s="33" t="s">
        <v>1379</v>
      </c>
      <c r="M317" s="33" t="s">
        <v>1313</v>
      </c>
      <c r="N317" s="33" t="s">
        <v>1324</v>
      </c>
      <c r="O317" s="33" t="s">
        <v>435</v>
      </c>
    </row>
    <row r="318">
      <c r="A318" s="33" t="s">
        <v>1380</v>
      </c>
      <c r="B318" s="33" t="s">
        <v>1374</v>
      </c>
      <c r="C318" s="33" t="s">
        <v>449</v>
      </c>
      <c r="D318" s="33" t="s">
        <v>1318</v>
      </c>
      <c r="E318" s="33" t="s">
        <v>1319</v>
      </c>
      <c r="F318" s="33" t="s">
        <v>1320</v>
      </c>
      <c r="G318" s="35">
        <v>46219</v>
      </c>
      <c r="H318" s="33" t="s">
        <v>1321</v>
      </c>
      <c r="I318" s="33" t="s">
        <v>1322</v>
      </c>
      <c r="J318" s="34">
        <v>-1702</v>
      </c>
      <c r="K318" s="33" t="s">
        <v>431</v>
      </c>
      <c r="L318" s="33" t="s">
        <v>1381</v>
      </c>
      <c r="M318" s="33" t="s">
        <v>1313</v>
      </c>
      <c r="N318" s="33" t="s">
        <v>1324</v>
      </c>
      <c r="O318" s="33" t="s">
        <v>435</v>
      </c>
    </row>
    <row r="319">
      <c r="A319" s="33" t="s">
        <v>1382</v>
      </c>
      <c r="B319" s="33" t="s">
        <v>1374</v>
      </c>
      <c r="C319" s="33" t="s">
        <v>453</v>
      </c>
      <c r="D319" s="33" t="s">
        <v>1318</v>
      </c>
      <c r="E319" s="33" t="s">
        <v>1319</v>
      </c>
      <c r="F319" s="33" t="s">
        <v>1320</v>
      </c>
      <c r="G319" s="35">
        <v>46219</v>
      </c>
      <c r="H319" s="33" t="s">
        <v>1321</v>
      </c>
      <c r="I319" s="33" t="s">
        <v>1322</v>
      </c>
      <c r="J319" s="34">
        <v>-2021</v>
      </c>
      <c r="K319" s="33" t="s">
        <v>431</v>
      </c>
      <c r="L319" s="33" t="s">
        <v>1383</v>
      </c>
      <c r="M319" s="33" t="s">
        <v>1313</v>
      </c>
      <c r="N319" s="33" t="s">
        <v>1324</v>
      </c>
      <c r="O319" s="33" t="s">
        <v>435</v>
      </c>
    </row>
    <row r="320">
      <c r="A320" s="33" t="s">
        <v>1384</v>
      </c>
      <c r="B320" s="33" t="s">
        <v>112</v>
      </c>
      <c r="C320" s="33" t="s">
        <v>425</v>
      </c>
      <c r="D320" s="33" t="s">
        <v>426</v>
      </c>
      <c r="E320" s="33" t="s">
        <v>427</v>
      </c>
      <c r="F320" s="33" t="s">
        <v>428</v>
      </c>
      <c r="G320" s="35">
        <v>46219</v>
      </c>
      <c r="H320" s="33" t="s">
        <v>429</v>
      </c>
      <c r="I320" s="33" t="s">
        <v>1311</v>
      </c>
      <c r="J320" s="34">
        <v>3240</v>
      </c>
      <c r="K320" s="33" t="s">
        <v>431</v>
      </c>
      <c r="L320" s="33" t="s">
        <v>1385</v>
      </c>
      <c r="M320" s="33" t="s">
        <v>1313</v>
      </c>
      <c r="N320" s="33" t="s">
        <v>1314</v>
      </c>
      <c r="O320" s="33" t="s">
        <v>435</v>
      </c>
    </row>
    <row r="321">
      <c r="A321" s="33" t="s">
        <v>1386</v>
      </c>
      <c r="B321" s="33" t="s">
        <v>112</v>
      </c>
      <c r="C321" s="33" t="s">
        <v>437</v>
      </c>
      <c r="D321" s="33" t="s">
        <v>426</v>
      </c>
      <c r="E321" s="33" t="s">
        <v>427</v>
      </c>
      <c r="F321" s="33" t="s">
        <v>428</v>
      </c>
      <c r="G321" s="35">
        <v>46219</v>
      </c>
      <c r="H321" s="33" t="s">
        <v>429</v>
      </c>
      <c r="I321" s="33" t="s">
        <v>1311</v>
      </c>
      <c r="J321" s="34">
        <v>2502</v>
      </c>
      <c r="K321" s="33" t="s">
        <v>431</v>
      </c>
      <c r="L321" s="33" t="s">
        <v>1387</v>
      </c>
      <c r="M321" s="33" t="s">
        <v>1313</v>
      </c>
      <c r="N321" s="33" t="s">
        <v>1314</v>
      </c>
      <c r="O321" s="33" t="s">
        <v>435</v>
      </c>
    </row>
    <row r="322">
      <c r="A322" s="33" t="s">
        <v>1388</v>
      </c>
      <c r="B322" s="33" t="s">
        <v>112</v>
      </c>
      <c r="C322" s="33" t="s">
        <v>441</v>
      </c>
      <c r="D322" s="33" t="s">
        <v>1318</v>
      </c>
      <c r="E322" s="33" t="s">
        <v>1319</v>
      </c>
      <c r="F322" s="33" t="s">
        <v>1320</v>
      </c>
      <c r="G322" s="35">
        <v>46219</v>
      </c>
      <c r="H322" s="33" t="s">
        <v>1321</v>
      </c>
      <c r="I322" s="33" t="s">
        <v>1322</v>
      </c>
      <c r="J322" s="34">
        <v>38</v>
      </c>
      <c r="K322" s="33" t="s">
        <v>431</v>
      </c>
      <c r="L322" s="33" t="s">
        <v>1389</v>
      </c>
      <c r="M322" s="33" t="s">
        <v>1313</v>
      </c>
      <c r="N322" s="33" t="s">
        <v>1324</v>
      </c>
      <c r="O322" s="33" t="s">
        <v>435</v>
      </c>
    </row>
    <row r="323">
      <c r="A323" s="33" t="s">
        <v>1390</v>
      </c>
      <c r="B323" s="33" t="s">
        <v>112</v>
      </c>
      <c r="C323" s="33" t="s">
        <v>449</v>
      </c>
      <c r="D323" s="33" t="s">
        <v>1318</v>
      </c>
      <c r="E323" s="33" t="s">
        <v>1319</v>
      </c>
      <c r="F323" s="33" t="s">
        <v>1320</v>
      </c>
      <c r="G323" s="35">
        <v>46219</v>
      </c>
      <c r="H323" s="33" t="s">
        <v>1321</v>
      </c>
      <c r="I323" s="33" t="s">
        <v>1322</v>
      </c>
      <c r="J323" s="34">
        <v>-246</v>
      </c>
      <c r="K323" s="33" t="s">
        <v>431</v>
      </c>
      <c r="L323" s="33" t="s">
        <v>1391</v>
      </c>
      <c r="M323" s="33" t="s">
        <v>1313</v>
      </c>
      <c r="N323" s="33" t="s">
        <v>1324</v>
      </c>
      <c r="O323" s="33" t="s">
        <v>435</v>
      </c>
    </row>
    <row r="324">
      <c r="A324" s="33" t="s">
        <v>1392</v>
      </c>
      <c r="B324" s="33" t="s">
        <v>112</v>
      </c>
      <c r="C324" s="33" t="s">
        <v>453</v>
      </c>
      <c r="D324" s="33" t="s">
        <v>1318</v>
      </c>
      <c r="E324" s="33" t="s">
        <v>1319</v>
      </c>
      <c r="F324" s="33" t="s">
        <v>1320</v>
      </c>
      <c r="G324" s="35">
        <v>46219</v>
      </c>
      <c r="H324" s="33" t="s">
        <v>1321</v>
      </c>
      <c r="I324" s="33" t="s">
        <v>1322</v>
      </c>
      <c r="J324" s="34">
        <v>-984</v>
      </c>
      <c r="K324" s="33" t="s">
        <v>431</v>
      </c>
      <c r="L324" s="33" t="s">
        <v>1393</v>
      </c>
      <c r="M324" s="33" t="s">
        <v>1313</v>
      </c>
      <c r="N324" s="33" t="s">
        <v>1324</v>
      </c>
      <c r="O324" s="33" t="s">
        <v>435</v>
      </c>
    </row>
    <row r="325">
      <c r="A325" s="33" t="s">
        <v>1394</v>
      </c>
      <c r="B325" s="33" t="s">
        <v>113</v>
      </c>
      <c r="C325" s="33" t="s">
        <v>425</v>
      </c>
      <c r="D325" s="33" t="s">
        <v>426</v>
      </c>
      <c r="E325" s="33" t="s">
        <v>427</v>
      </c>
      <c r="F325" s="33" t="s">
        <v>428</v>
      </c>
      <c r="G325" s="35">
        <v>46219</v>
      </c>
      <c r="H325" s="33" t="s">
        <v>429</v>
      </c>
      <c r="I325" s="33" t="s">
        <v>1311</v>
      </c>
      <c r="J325" s="34">
        <v>328</v>
      </c>
      <c r="K325" s="33" t="s">
        <v>431</v>
      </c>
      <c r="L325" s="33" t="s">
        <v>1395</v>
      </c>
      <c r="M325" s="33" t="s">
        <v>1313</v>
      </c>
      <c r="N325" s="33" t="s">
        <v>1314</v>
      </c>
      <c r="O325" s="33" t="s">
        <v>435</v>
      </c>
    </row>
    <row r="326">
      <c r="A326" s="33" t="s">
        <v>1396</v>
      </c>
      <c r="B326" s="33" t="s">
        <v>113</v>
      </c>
      <c r="C326" s="33" t="s">
        <v>437</v>
      </c>
      <c r="D326" s="33" t="s">
        <v>426</v>
      </c>
      <c r="E326" s="33" t="s">
        <v>427</v>
      </c>
      <c r="F326" s="33" t="s">
        <v>428</v>
      </c>
      <c r="G326" s="35">
        <v>46219</v>
      </c>
      <c r="H326" s="33" t="s">
        <v>429</v>
      </c>
      <c r="I326" s="33" t="s">
        <v>1311</v>
      </c>
      <c r="J326" s="34">
        <v>193</v>
      </c>
      <c r="K326" s="33" t="s">
        <v>431</v>
      </c>
      <c r="L326" s="33" t="s">
        <v>1397</v>
      </c>
      <c r="M326" s="33" t="s">
        <v>1313</v>
      </c>
      <c r="N326" s="33" t="s">
        <v>1314</v>
      </c>
      <c r="O326" s="33" t="s">
        <v>435</v>
      </c>
    </row>
    <row r="327">
      <c r="A327" s="33" t="s">
        <v>1398</v>
      </c>
      <c r="B327" s="33" t="s">
        <v>113</v>
      </c>
      <c r="C327" s="33" t="s">
        <v>441</v>
      </c>
      <c r="D327" s="33" t="s">
        <v>1318</v>
      </c>
      <c r="E327" s="33" t="s">
        <v>1319</v>
      </c>
      <c r="F327" s="33" t="s">
        <v>1320</v>
      </c>
      <c r="G327" s="35">
        <v>46219</v>
      </c>
      <c r="H327" s="33" t="s">
        <v>1321</v>
      </c>
      <c r="I327" s="33" t="s">
        <v>1322</v>
      </c>
      <c r="J327" s="34">
        <v>-75</v>
      </c>
      <c r="K327" s="33" t="s">
        <v>431</v>
      </c>
      <c r="L327" s="33" t="s">
        <v>1399</v>
      </c>
      <c r="M327" s="33" t="s">
        <v>1313</v>
      </c>
      <c r="N327" s="33" t="s">
        <v>1324</v>
      </c>
      <c r="O327" s="33" t="s">
        <v>435</v>
      </c>
    </row>
    <row r="328">
      <c r="A328" s="33" t="s">
        <v>1400</v>
      </c>
      <c r="B328" s="33" t="s">
        <v>113</v>
      </c>
      <c r="C328" s="33" t="s">
        <v>449</v>
      </c>
      <c r="D328" s="33" t="s">
        <v>1318</v>
      </c>
      <c r="E328" s="33" t="s">
        <v>1319</v>
      </c>
      <c r="F328" s="33" t="s">
        <v>1320</v>
      </c>
      <c r="G328" s="35">
        <v>46219</v>
      </c>
      <c r="H328" s="33" t="s">
        <v>1321</v>
      </c>
      <c r="I328" s="33" t="s">
        <v>1322</v>
      </c>
      <c r="J328" s="34">
        <v>26</v>
      </c>
      <c r="K328" s="33" t="s">
        <v>431</v>
      </c>
      <c r="L328" s="33" t="s">
        <v>1401</v>
      </c>
      <c r="M328" s="33" t="s">
        <v>1313</v>
      </c>
      <c r="N328" s="33" t="s">
        <v>1324</v>
      </c>
      <c r="O328" s="33" t="s">
        <v>435</v>
      </c>
    </row>
    <row r="329">
      <c r="A329" s="33" t="s">
        <v>1402</v>
      </c>
      <c r="B329" s="33" t="s">
        <v>113</v>
      </c>
      <c r="C329" s="33" t="s">
        <v>453</v>
      </c>
      <c r="D329" s="33" t="s">
        <v>1318</v>
      </c>
      <c r="E329" s="33" t="s">
        <v>1319</v>
      </c>
      <c r="F329" s="33" t="s">
        <v>1320</v>
      </c>
      <c r="G329" s="35">
        <v>46219</v>
      </c>
      <c r="H329" s="33" t="s">
        <v>1321</v>
      </c>
      <c r="I329" s="33" t="s">
        <v>1322</v>
      </c>
      <c r="J329" s="34">
        <v>-141</v>
      </c>
      <c r="K329" s="33" t="s">
        <v>431</v>
      </c>
      <c r="L329" s="33" t="s">
        <v>1403</v>
      </c>
      <c r="M329" s="33" t="s">
        <v>1313</v>
      </c>
      <c r="N329" s="33" t="s">
        <v>1324</v>
      </c>
      <c r="O329" s="33" t="s">
        <v>435</v>
      </c>
    </row>
    <row r="330">
      <c r="A330" s="33" t="s">
        <v>1404</v>
      </c>
      <c r="B330" s="33" t="s">
        <v>114</v>
      </c>
      <c r="C330" s="33" t="s">
        <v>425</v>
      </c>
      <c r="D330" s="33" t="s">
        <v>426</v>
      </c>
      <c r="E330" s="33" t="s">
        <v>427</v>
      </c>
      <c r="F330" s="33" t="s">
        <v>428</v>
      </c>
      <c r="G330" s="35">
        <v>46219</v>
      </c>
      <c r="H330" s="33" t="s">
        <v>429</v>
      </c>
      <c r="I330" s="33" t="s">
        <v>1311</v>
      </c>
      <c r="J330" s="34">
        <v>-625</v>
      </c>
      <c r="K330" s="33" t="s">
        <v>431</v>
      </c>
      <c r="L330" s="33" t="s">
        <v>1405</v>
      </c>
      <c r="M330" s="33" t="s">
        <v>1313</v>
      </c>
      <c r="N330" s="33" t="s">
        <v>1314</v>
      </c>
      <c r="O330" s="33" t="s">
        <v>435</v>
      </c>
    </row>
    <row r="331">
      <c r="A331" s="33" t="s">
        <v>1406</v>
      </c>
      <c r="B331" s="33" t="s">
        <v>114</v>
      </c>
      <c r="C331" s="33" t="s">
        <v>437</v>
      </c>
      <c r="D331" s="33" t="s">
        <v>426</v>
      </c>
      <c r="E331" s="33" t="s">
        <v>427</v>
      </c>
      <c r="F331" s="33" t="s">
        <v>428</v>
      </c>
      <c r="G331" s="35">
        <v>46219</v>
      </c>
      <c r="H331" s="33" t="s">
        <v>429</v>
      </c>
      <c r="I331" s="33" t="s">
        <v>1311</v>
      </c>
      <c r="J331" s="34">
        <v>955</v>
      </c>
      <c r="K331" s="33" t="s">
        <v>431</v>
      </c>
      <c r="L331" s="33" t="s">
        <v>1407</v>
      </c>
      <c r="M331" s="33" t="s">
        <v>1313</v>
      </c>
      <c r="N331" s="33" t="s">
        <v>1314</v>
      </c>
      <c r="O331" s="33" t="s">
        <v>435</v>
      </c>
    </row>
    <row r="332">
      <c r="A332" s="33" t="s">
        <v>1408</v>
      </c>
      <c r="B332" s="33" t="s">
        <v>114</v>
      </c>
      <c r="C332" s="33" t="s">
        <v>441</v>
      </c>
      <c r="D332" s="33" t="s">
        <v>1318</v>
      </c>
      <c r="E332" s="33" t="s">
        <v>1319</v>
      </c>
      <c r="F332" s="33" t="s">
        <v>1320</v>
      </c>
      <c r="G332" s="35">
        <v>46219</v>
      </c>
      <c r="H332" s="33" t="s">
        <v>1321</v>
      </c>
      <c r="I332" s="33" t="s">
        <v>1322</v>
      </c>
      <c r="J332" s="34">
        <v>-378</v>
      </c>
      <c r="K332" s="33" t="s">
        <v>431</v>
      </c>
      <c r="L332" s="33" t="s">
        <v>1409</v>
      </c>
      <c r="M332" s="33" t="s">
        <v>1313</v>
      </c>
      <c r="N332" s="33" t="s">
        <v>1324</v>
      </c>
      <c r="O332" s="33" t="s">
        <v>435</v>
      </c>
    </row>
    <row r="333">
      <c r="A333" s="33" t="s">
        <v>1410</v>
      </c>
      <c r="B333" s="33" t="s">
        <v>114</v>
      </c>
      <c r="C333" s="33" t="s">
        <v>449</v>
      </c>
      <c r="D333" s="33" t="s">
        <v>1318</v>
      </c>
      <c r="E333" s="33" t="s">
        <v>1319</v>
      </c>
      <c r="F333" s="33" t="s">
        <v>1320</v>
      </c>
      <c r="G333" s="35">
        <v>46219</v>
      </c>
      <c r="H333" s="33" t="s">
        <v>1321</v>
      </c>
      <c r="I333" s="33" t="s">
        <v>1322</v>
      </c>
      <c r="J333" s="34">
        <v>1397</v>
      </c>
      <c r="K333" s="33" t="s">
        <v>431</v>
      </c>
      <c r="L333" s="33" t="s">
        <v>1411</v>
      </c>
      <c r="M333" s="33" t="s">
        <v>1313</v>
      </c>
      <c r="N333" s="33" t="s">
        <v>1324</v>
      </c>
      <c r="O333" s="33" t="s">
        <v>435</v>
      </c>
    </row>
    <row r="334">
      <c r="A334" s="33" t="s">
        <v>1412</v>
      </c>
      <c r="B334" s="33" t="s">
        <v>114</v>
      </c>
      <c r="C334" s="33" t="s">
        <v>453</v>
      </c>
      <c r="D334" s="33" t="s">
        <v>1318</v>
      </c>
      <c r="E334" s="33" t="s">
        <v>1319</v>
      </c>
      <c r="F334" s="33" t="s">
        <v>1320</v>
      </c>
      <c r="G334" s="35">
        <v>46219</v>
      </c>
      <c r="H334" s="33" t="s">
        <v>1321</v>
      </c>
      <c r="I334" s="33" t="s">
        <v>1322</v>
      </c>
      <c r="J334" s="34">
        <v>1860</v>
      </c>
      <c r="K334" s="33" t="s">
        <v>431</v>
      </c>
      <c r="L334" s="33" t="s">
        <v>1413</v>
      </c>
      <c r="M334" s="33" t="s">
        <v>1313</v>
      </c>
      <c r="N334" s="33" t="s">
        <v>1324</v>
      </c>
      <c r="O334" s="33" t="s">
        <v>435</v>
      </c>
    </row>
    <row r="335">
      <c r="A335" s="33" t="s">
        <v>1414</v>
      </c>
      <c r="B335" s="33" t="s">
        <v>115</v>
      </c>
      <c r="C335" s="33" t="s">
        <v>425</v>
      </c>
      <c r="D335" s="33" t="s">
        <v>426</v>
      </c>
      <c r="E335" s="33" t="s">
        <v>427</v>
      </c>
      <c r="F335" s="33" t="s">
        <v>428</v>
      </c>
      <c r="G335" s="35">
        <v>46219</v>
      </c>
      <c r="H335" s="33" t="s">
        <v>429</v>
      </c>
      <c r="I335" s="33" t="s">
        <v>1311</v>
      </c>
      <c r="J335" s="34">
        <v>1456</v>
      </c>
      <c r="K335" s="33" t="s">
        <v>431</v>
      </c>
      <c r="L335" s="33" t="s">
        <v>1415</v>
      </c>
      <c r="M335" s="33" t="s">
        <v>1313</v>
      </c>
      <c r="N335" s="33" t="s">
        <v>1314</v>
      </c>
      <c r="O335" s="33" t="s">
        <v>435</v>
      </c>
    </row>
    <row r="336">
      <c r="A336" s="33" t="s">
        <v>1416</v>
      </c>
      <c r="B336" s="33" t="s">
        <v>115</v>
      </c>
      <c r="C336" s="33" t="s">
        <v>437</v>
      </c>
      <c r="D336" s="33" t="s">
        <v>426</v>
      </c>
      <c r="E336" s="33" t="s">
        <v>427</v>
      </c>
      <c r="F336" s="33" t="s">
        <v>428</v>
      </c>
      <c r="G336" s="35">
        <v>46219</v>
      </c>
      <c r="H336" s="33" t="s">
        <v>429</v>
      </c>
      <c r="I336" s="33" t="s">
        <v>1311</v>
      </c>
      <c r="J336" s="34">
        <v>746</v>
      </c>
      <c r="K336" s="33" t="s">
        <v>431</v>
      </c>
      <c r="L336" s="33" t="s">
        <v>1417</v>
      </c>
      <c r="M336" s="33" t="s">
        <v>1313</v>
      </c>
      <c r="N336" s="33" t="s">
        <v>1314</v>
      </c>
      <c r="O336" s="33" t="s">
        <v>435</v>
      </c>
    </row>
    <row r="337">
      <c r="A337" s="33" t="s">
        <v>1418</v>
      </c>
      <c r="B337" s="33" t="s">
        <v>115</v>
      </c>
      <c r="C337" s="33" t="s">
        <v>441</v>
      </c>
      <c r="D337" s="33" t="s">
        <v>1318</v>
      </c>
      <c r="E337" s="33" t="s">
        <v>1319</v>
      </c>
      <c r="F337" s="33" t="s">
        <v>1320</v>
      </c>
      <c r="G337" s="35">
        <v>46219</v>
      </c>
      <c r="H337" s="33" t="s">
        <v>1321</v>
      </c>
      <c r="I337" s="33" t="s">
        <v>1322</v>
      </c>
      <c r="J337" s="34">
        <v>1157</v>
      </c>
      <c r="K337" s="33" t="s">
        <v>431</v>
      </c>
      <c r="L337" s="33" t="s">
        <v>1419</v>
      </c>
      <c r="M337" s="33" t="s">
        <v>1313</v>
      </c>
      <c r="N337" s="33" t="s">
        <v>1324</v>
      </c>
      <c r="O337" s="33" t="s">
        <v>435</v>
      </c>
    </row>
    <row r="338">
      <c r="A338" s="33" t="s">
        <v>1420</v>
      </c>
      <c r="B338" s="33" t="s">
        <v>115</v>
      </c>
      <c r="C338" s="33" t="s">
        <v>449</v>
      </c>
      <c r="D338" s="33" t="s">
        <v>1318</v>
      </c>
      <c r="E338" s="33" t="s">
        <v>1319</v>
      </c>
      <c r="F338" s="33" t="s">
        <v>1320</v>
      </c>
      <c r="G338" s="35">
        <v>46219</v>
      </c>
      <c r="H338" s="33" t="s">
        <v>1321</v>
      </c>
      <c r="I338" s="33" t="s">
        <v>1322</v>
      </c>
      <c r="J338" s="34">
        <v>1224</v>
      </c>
      <c r="K338" s="33" t="s">
        <v>431</v>
      </c>
      <c r="L338" s="33" t="s">
        <v>1421</v>
      </c>
      <c r="M338" s="33" t="s">
        <v>1313</v>
      </c>
      <c r="N338" s="33" t="s">
        <v>1324</v>
      </c>
      <c r="O338" s="33" t="s">
        <v>435</v>
      </c>
    </row>
    <row r="339">
      <c r="A339" s="33" t="s">
        <v>1422</v>
      </c>
      <c r="B339" s="33" t="s">
        <v>115</v>
      </c>
      <c r="C339" s="33" t="s">
        <v>453</v>
      </c>
      <c r="D339" s="33" t="s">
        <v>1318</v>
      </c>
      <c r="E339" s="33" t="s">
        <v>1319</v>
      </c>
      <c r="F339" s="33" t="s">
        <v>1320</v>
      </c>
      <c r="G339" s="35">
        <v>46219</v>
      </c>
      <c r="H339" s="33" t="s">
        <v>1321</v>
      </c>
      <c r="I339" s="33" t="s">
        <v>1322</v>
      </c>
      <c r="J339" s="34">
        <v>1248</v>
      </c>
      <c r="K339" s="33" t="s">
        <v>431</v>
      </c>
      <c r="L339" s="33" t="s">
        <v>1423</v>
      </c>
      <c r="M339" s="33" t="s">
        <v>1313</v>
      </c>
      <c r="N339" s="33" t="s">
        <v>1324</v>
      </c>
      <c r="O339" s="33" t="s">
        <v>435</v>
      </c>
    </row>
    <row r="340">
      <c r="A340" s="33" t="s">
        <v>1424</v>
      </c>
      <c r="B340" s="33" t="s">
        <v>116</v>
      </c>
      <c r="C340" s="33" t="s">
        <v>425</v>
      </c>
      <c r="D340" s="33" t="s">
        <v>426</v>
      </c>
      <c r="E340" s="33" t="s">
        <v>427</v>
      </c>
      <c r="F340" s="33" t="s">
        <v>428</v>
      </c>
      <c r="G340" s="35">
        <v>46219</v>
      </c>
      <c r="H340" s="33" t="s">
        <v>429</v>
      </c>
      <c r="I340" s="33" t="s">
        <v>1311</v>
      </c>
      <c r="J340" s="34">
        <v>-3</v>
      </c>
      <c r="K340" s="33" t="s">
        <v>431</v>
      </c>
      <c r="L340" s="33" t="s">
        <v>1425</v>
      </c>
      <c r="M340" s="33" t="s">
        <v>1313</v>
      </c>
      <c r="N340" s="33" t="s">
        <v>1314</v>
      </c>
      <c r="O340" s="33" t="s">
        <v>435</v>
      </c>
    </row>
    <row r="341">
      <c r="A341" s="33" t="s">
        <v>1426</v>
      </c>
      <c r="B341" s="33" t="s">
        <v>116</v>
      </c>
      <c r="C341" s="33" t="s">
        <v>437</v>
      </c>
      <c r="D341" s="33" t="s">
        <v>426</v>
      </c>
      <c r="E341" s="33" t="s">
        <v>427</v>
      </c>
      <c r="F341" s="33" t="s">
        <v>428</v>
      </c>
      <c r="G341" s="35">
        <v>46219</v>
      </c>
      <c r="H341" s="33" t="s">
        <v>429</v>
      </c>
      <c r="I341" s="33" t="s">
        <v>1311</v>
      </c>
      <c r="J341" s="34">
        <v>14</v>
      </c>
      <c r="K341" s="33" t="s">
        <v>431</v>
      </c>
      <c r="L341" s="33" t="s">
        <v>1427</v>
      </c>
      <c r="M341" s="33" t="s">
        <v>1313</v>
      </c>
      <c r="N341" s="33" t="s">
        <v>1314</v>
      </c>
      <c r="O341" s="33" t="s">
        <v>435</v>
      </c>
    </row>
    <row r="342">
      <c r="A342" s="33" t="s">
        <v>1428</v>
      </c>
      <c r="B342" s="33" t="s">
        <v>116</v>
      </c>
      <c r="C342" s="33" t="s">
        <v>441</v>
      </c>
      <c r="D342" s="33" t="s">
        <v>1318</v>
      </c>
      <c r="E342" s="33" t="s">
        <v>1319</v>
      </c>
      <c r="F342" s="33" t="s">
        <v>1320</v>
      </c>
      <c r="G342" s="35">
        <v>46219</v>
      </c>
      <c r="H342" s="33" t="s">
        <v>1321</v>
      </c>
      <c r="I342" s="33" t="s">
        <v>1322</v>
      </c>
      <c r="J342" s="34">
        <v>-158</v>
      </c>
      <c r="K342" s="33" t="s">
        <v>431</v>
      </c>
      <c r="L342" s="33" t="s">
        <v>1429</v>
      </c>
      <c r="M342" s="33" t="s">
        <v>1313</v>
      </c>
      <c r="N342" s="33" t="s">
        <v>1324</v>
      </c>
      <c r="O342" s="33" t="s">
        <v>435</v>
      </c>
    </row>
    <row r="343">
      <c r="A343" s="33" t="s">
        <v>1430</v>
      </c>
      <c r="B343" s="33" t="s">
        <v>116</v>
      </c>
      <c r="C343" s="33" t="s">
        <v>449</v>
      </c>
      <c r="D343" s="33" t="s">
        <v>1318</v>
      </c>
      <c r="E343" s="33" t="s">
        <v>1319</v>
      </c>
      <c r="F343" s="33" t="s">
        <v>1320</v>
      </c>
      <c r="G343" s="35">
        <v>46219</v>
      </c>
      <c r="H343" s="33" t="s">
        <v>1321</v>
      </c>
      <c r="I343" s="33" t="s">
        <v>1322</v>
      </c>
      <c r="J343" s="34">
        <v>28</v>
      </c>
      <c r="K343" s="33" t="s">
        <v>431</v>
      </c>
      <c r="L343" s="33" t="s">
        <v>1431</v>
      </c>
      <c r="M343" s="33" t="s">
        <v>1313</v>
      </c>
      <c r="N343" s="33" t="s">
        <v>1324</v>
      </c>
      <c r="O343" s="33" t="s">
        <v>435</v>
      </c>
    </row>
    <row r="344">
      <c r="A344" s="33" t="s">
        <v>1432</v>
      </c>
      <c r="B344" s="33" t="s">
        <v>116</v>
      </c>
      <c r="C344" s="33" t="s">
        <v>453</v>
      </c>
      <c r="D344" s="33" t="s">
        <v>1318</v>
      </c>
      <c r="E344" s="33" t="s">
        <v>1319</v>
      </c>
      <c r="F344" s="33" t="s">
        <v>1320</v>
      </c>
      <c r="G344" s="35">
        <v>46219</v>
      </c>
      <c r="H344" s="33" t="s">
        <v>1321</v>
      </c>
      <c r="I344" s="33" t="s">
        <v>1322</v>
      </c>
      <c r="J344" s="34">
        <v>155</v>
      </c>
      <c r="K344" s="33" t="s">
        <v>431</v>
      </c>
      <c r="L344" s="33" t="s">
        <v>1433</v>
      </c>
      <c r="M344" s="33" t="s">
        <v>1313</v>
      </c>
      <c r="N344" s="33" t="s">
        <v>1324</v>
      </c>
      <c r="O344" s="33" t="s">
        <v>435</v>
      </c>
    </row>
    <row r="345">
      <c r="A345" s="33" t="s">
        <v>1434</v>
      </c>
      <c r="B345" s="33" t="s">
        <v>118</v>
      </c>
      <c r="C345" s="33" t="s">
        <v>425</v>
      </c>
      <c r="D345" s="33" t="s">
        <v>426</v>
      </c>
      <c r="E345" s="33" t="s">
        <v>427</v>
      </c>
      <c r="F345" s="33" t="s">
        <v>428</v>
      </c>
      <c r="G345" s="35">
        <v>46219</v>
      </c>
      <c r="H345" s="33" t="s">
        <v>429</v>
      </c>
      <c r="I345" s="33" t="s">
        <v>1435</v>
      </c>
      <c r="J345" s="34">
        <v>0</v>
      </c>
      <c r="K345" s="33" t="s">
        <v>431</v>
      </c>
      <c r="L345" s="33" t="s">
        <v>1436</v>
      </c>
      <c r="M345" s="33" t="s">
        <v>1437</v>
      </c>
      <c r="N345" s="33" t="s">
        <v>1438</v>
      </c>
      <c r="O345" s="33" t="s">
        <v>435</v>
      </c>
    </row>
    <row r="346">
      <c r="A346" s="33" t="s">
        <v>1439</v>
      </c>
      <c r="B346" s="33" t="s">
        <v>90</v>
      </c>
      <c r="C346" s="33" t="s">
        <v>425</v>
      </c>
      <c r="D346" s="33" t="s">
        <v>426</v>
      </c>
      <c r="E346" s="33" t="s">
        <v>427</v>
      </c>
      <c r="F346" s="33" t="s">
        <v>428</v>
      </c>
      <c r="G346" s="35">
        <v>46219</v>
      </c>
      <c r="H346" s="33" t="s">
        <v>429</v>
      </c>
      <c r="I346" s="33" t="s">
        <v>1440</v>
      </c>
      <c r="J346" s="34">
        <v>0</v>
      </c>
      <c r="K346" s="33" t="s">
        <v>431</v>
      </c>
      <c r="L346" s="33" t="s">
        <v>1441</v>
      </c>
      <c r="M346" s="33" t="s">
        <v>1437</v>
      </c>
      <c r="N346" s="33" t="s">
        <v>1438</v>
      </c>
      <c r="O346" s="33" t="s">
        <v>435</v>
      </c>
    </row>
    <row r="347">
      <c r="A347" s="33" t="s">
        <v>1442</v>
      </c>
      <c r="B347" s="33" t="s">
        <v>118</v>
      </c>
      <c r="C347" s="33" t="s">
        <v>437</v>
      </c>
      <c r="D347" s="33" t="s">
        <v>426</v>
      </c>
      <c r="E347" s="33" t="s">
        <v>427</v>
      </c>
      <c r="F347" s="33" t="s">
        <v>428</v>
      </c>
      <c r="G347" s="35">
        <v>46219</v>
      </c>
      <c r="H347" s="33" t="s">
        <v>429</v>
      </c>
      <c r="I347" s="33" t="s">
        <v>1435</v>
      </c>
      <c r="J347" s="34">
        <v>0</v>
      </c>
      <c r="K347" s="33" t="s">
        <v>431</v>
      </c>
      <c r="L347" s="33" t="s">
        <v>1443</v>
      </c>
      <c r="M347" s="33" t="s">
        <v>1437</v>
      </c>
      <c r="N347" s="33" t="s">
        <v>1438</v>
      </c>
      <c r="O347" s="33" t="s">
        <v>435</v>
      </c>
    </row>
    <row r="348">
      <c r="A348" s="33" t="s">
        <v>1444</v>
      </c>
      <c r="B348" s="33" t="s">
        <v>90</v>
      </c>
      <c r="C348" s="33" t="s">
        <v>437</v>
      </c>
      <c r="D348" s="33" t="s">
        <v>426</v>
      </c>
      <c r="E348" s="33" t="s">
        <v>427</v>
      </c>
      <c r="F348" s="33" t="s">
        <v>428</v>
      </c>
      <c r="G348" s="35">
        <v>46219</v>
      </c>
      <c r="H348" s="33" t="s">
        <v>429</v>
      </c>
      <c r="I348" s="33" t="s">
        <v>1440</v>
      </c>
      <c r="J348" s="34">
        <v>0</v>
      </c>
      <c r="K348" s="33" t="s">
        <v>431</v>
      </c>
      <c r="L348" s="33" t="s">
        <v>1445</v>
      </c>
      <c r="M348" s="33" t="s">
        <v>1437</v>
      </c>
      <c r="N348" s="33" t="s">
        <v>1438</v>
      </c>
      <c r="O348" s="33" t="s">
        <v>435</v>
      </c>
    </row>
    <row r="349">
      <c r="A349" s="33" t="s">
        <v>1446</v>
      </c>
      <c r="B349" s="33" t="s">
        <v>118</v>
      </c>
      <c r="C349" s="33" t="s">
        <v>441</v>
      </c>
      <c r="D349" s="33" t="s">
        <v>1318</v>
      </c>
      <c r="E349" s="33" t="s">
        <v>1319</v>
      </c>
      <c r="F349" s="33" t="s">
        <v>1320</v>
      </c>
      <c r="G349" s="35">
        <v>46219</v>
      </c>
      <c r="H349" s="33" t="s">
        <v>1321</v>
      </c>
      <c r="I349" s="33" t="s">
        <v>1447</v>
      </c>
      <c r="J349" s="34">
        <v>-750</v>
      </c>
      <c r="K349" s="33" t="s">
        <v>431</v>
      </c>
      <c r="L349" s="33" t="s">
        <v>1448</v>
      </c>
      <c r="M349" s="33" t="s">
        <v>1313</v>
      </c>
      <c r="N349" s="33" t="s">
        <v>1324</v>
      </c>
      <c r="O349" s="33" t="s">
        <v>435</v>
      </c>
    </row>
    <row r="350">
      <c r="A350" s="33" t="s">
        <v>1449</v>
      </c>
      <c r="B350" s="33" t="s">
        <v>90</v>
      </c>
      <c r="C350" s="33" t="s">
        <v>441</v>
      </c>
      <c r="D350" s="33" t="s">
        <v>1318</v>
      </c>
      <c r="E350" s="33" t="s">
        <v>1319</v>
      </c>
      <c r="F350" s="33" t="s">
        <v>1320</v>
      </c>
      <c r="G350" s="35">
        <v>46219</v>
      </c>
      <c r="H350" s="33" t="s">
        <v>1321</v>
      </c>
      <c r="I350" s="33" t="s">
        <v>1450</v>
      </c>
      <c r="J350" s="34">
        <v>-229</v>
      </c>
      <c r="K350" s="33" t="s">
        <v>431</v>
      </c>
      <c r="L350" s="33" t="s">
        <v>1451</v>
      </c>
      <c r="M350" s="33" t="s">
        <v>1313</v>
      </c>
      <c r="N350" s="33" t="s">
        <v>1324</v>
      </c>
      <c r="O350" s="33" t="s">
        <v>435</v>
      </c>
    </row>
    <row r="351">
      <c r="A351" s="33" t="s">
        <v>1452</v>
      </c>
      <c r="B351" s="33" t="s">
        <v>118</v>
      </c>
      <c r="C351" s="33" t="s">
        <v>449</v>
      </c>
      <c r="D351" s="33" t="s">
        <v>1318</v>
      </c>
      <c r="E351" s="33" t="s">
        <v>1319</v>
      </c>
      <c r="F351" s="33" t="s">
        <v>1320</v>
      </c>
      <c r="G351" s="35">
        <v>46219</v>
      </c>
      <c r="H351" s="33" t="s">
        <v>1321</v>
      </c>
      <c r="I351" s="33" t="s">
        <v>1453</v>
      </c>
      <c r="J351" s="34">
        <v>-791</v>
      </c>
      <c r="K351" s="33" t="s">
        <v>431</v>
      </c>
      <c r="L351" s="33" t="s">
        <v>1454</v>
      </c>
      <c r="M351" s="33" t="s">
        <v>1313</v>
      </c>
      <c r="N351" s="33" t="s">
        <v>1324</v>
      </c>
      <c r="O351" s="33" t="s">
        <v>435</v>
      </c>
    </row>
    <row r="352">
      <c r="A352" s="33" t="s">
        <v>1455</v>
      </c>
      <c r="B352" s="33" t="s">
        <v>90</v>
      </c>
      <c r="C352" s="33" t="s">
        <v>449</v>
      </c>
      <c r="D352" s="33" t="s">
        <v>1318</v>
      </c>
      <c r="E352" s="33" t="s">
        <v>1319</v>
      </c>
      <c r="F352" s="33" t="s">
        <v>1320</v>
      </c>
      <c r="G352" s="35">
        <v>46219</v>
      </c>
      <c r="H352" s="33" t="s">
        <v>1321</v>
      </c>
      <c r="I352" s="33" t="s">
        <v>1456</v>
      </c>
      <c r="J352" s="34">
        <v>-229</v>
      </c>
      <c r="K352" s="33" t="s">
        <v>431</v>
      </c>
      <c r="L352" s="33" t="s">
        <v>1457</v>
      </c>
      <c r="M352" s="33" t="s">
        <v>1313</v>
      </c>
      <c r="N352" s="33" t="s">
        <v>1324</v>
      </c>
      <c r="O352" s="33" t="s">
        <v>435</v>
      </c>
    </row>
    <row r="353">
      <c r="A353" s="33" t="s">
        <v>1458</v>
      </c>
      <c r="B353" s="33" t="s">
        <v>118</v>
      </c>
      <c r="C353" s="33" t="s">
        <v>453</v>
      </c>
      <c r="D353" s="33" t="s">
        <v>1318</v>
      </c>
      <c r="E353" s="33" t="s">
        <v>1319</v>
      </c>
      <c r="F353" s="33" t="s">
        <v>1320</v>
      </c>
      <c r="G353" s="35">
        <v>46219</v>
      </c>
      <c r="H353" s="33" t="s">
        <v>1321</v>
      </c>
      <c r="I353" s="33" t="s">
        <v>1459</v>
      </c>
      <c r="J353" s="34">
        <v>-783</v>
      </c>
      <c r="K353" s="33" t="s">
        <v>431</v>
      </c>
      <c r="L353" s="33" t="s">
        <v>1460</v>
      </c>
      <c r="M353" s="33" t="s">
        <v>1313</v>
      </c>
      <c r="N353" s="33" t="s">
        <v>1324</v>
      </c>
      <c r="O353" s="33" t="s">
        <v>435</v>
      </c>
    </row>
    <row r="354">
      <c r="A354" s="33" t="s">
        <v>1461</v>
      </c>
      <c r="B354" s="33" t="s">
        <v>90</v>
      </c>
      <c r="C354" s="33" t="s">
        <v>453</v>
      </c>
      <c r="D354" s="33" t="s">
        <v>1318</v>
      </c>
      <c r="E354" s="33" t="s">
        <v>1319</v>
      </c>
      <c r="F354" s="33" t="s">
        <v>1320</v>
      </c>
      <c r="G354" s="35">
        <v>46219</v>
      </c>
      <c r="H354" s="33" t="s">
        <v>1321</v>
      </c>
      <c r="I354" s="33" t="s">
        <v>1462</v>
      </c>
      <c r="J354" s="34">
        <v>-257</v>
      </c>
      <c r="K354" s="33" t="s">
        <v>431</v>
      </c>
      <c r="L354" s="33" t="s">
        <v>1463</v>
      </c>
      <c r="M354" s="33" t="s">
        <v>1313</v>
      </c>
      <c r="N354" s="33" t="s">
        <v>1324</v>
      </c>
      <c r="O354" s="33" t="s">
        <v>435</v>
      </c>
    </row>
    <row r="355">
      <c r="A355" s="33" t="s">
        <v>1464</v>
      </c>
      <c r="B355" s="33" t="s">
        <v>1465</v>
      </c>
      <c r="C355" s="33" t="s">
        <v>1466</v>
      </c>
      <c r="D355" s="33" t="s">
        <v>1467</v>
      </c>
      <c r="E355" s="33" t="s">
        <v>1468</v>
      </c>
      <c r="F355" s="33" t="s">
        <v>316</v>
      </c>
      <c r="G355" s="35">
        <v>46219</v>
      </c>
      <c r="H355" s="33" t="s">
        <v>1469</v>
      </c>
      <c r="I355" s="33" t="s">
        <v>1470</v>
      </c>
      <c r="J355" s="34">
        <v>0.03</v>
      </c>
      <c r="K355" s="33" t="s">
        <v>1471</v>
      </c>
      <c r="L355" s="33" t="s">
        <v>1472</v>
      </c>
      <c r="M355" s="33" t="s">
        <v>1473</v>
      </c>
      <c r="N355" s="33" t="s">
        <v>1474</v>
      </c>
      <c r="O355" s="33" t="s">
        <v>1475</v>
      </c>
    </row>
    <row r="356">
      <c r="A356" s="33" t="s">
        <v>1476</v>
      </c>
      <c r="B356" s="33" t="s">
        <v>1465</v>
      </c>
      <c r="C356" s="33" t="s">
        <v>1477</v>
      </c>
      <c r="D356" s="33" t="s">
        <v>1467</v>
      </c>
      <c r="E356" s="33" t="s">
        <v>1468</v>
      </c>
      <c r="F356" s="33" t="s">
        <v>316</v>
      </c>
      <c r="G356" s="35">
        <v>46219</v>
      </c>
      <c r="H356" s="33" t="s">
        <v>1478</v>
      </c>
      <c r="I356" s="33" t="s">
        <v>1479</v>
      </c>
      <c r="J356" s="34">
        <v>0.02</v>
      </c>
      <c r="K356" s="33" t="s">
        <v>1471</v>
      </c>
      <c r="L356" s="33" t="s">
        <v>1480</v>
      </c>
      <c r="M356" s="33" t="s">
        <v>1473</v>
      </c>
      <c r="N356" s="33" t="s">
        <v>1481</v>
      </c>
      <c r="O356" s="33" t="s">
        <v>1475</v>
      </c>
    </row>
    <row r="357">
      <c r="A357" s="33" t="s">
        <v>1482</v>
      </c>
      <c r="B357" s="33" t="s">
        <v>1465</v>
      </c>
      <c r="C357" s="33" t="s">
        <v>1483</v>
      </c>
      <c r="D357" s="33" t="s">
        <v>1467</v>
      </c>
      <c r="E357" s="33" t="s">
        <v>1468</v>
      </c>
      <c r="F357" s="33" t="s">
        <v>316</v>
      </c>
      <c r="G357" s="35">
        <v>46219</v>
      </c>
      <c r="H357" s="33" t="s">
        <v>1478</v>
      </c>
      <c r="I357" s="33" t="s">
        <v>1479</v>
      </c>
      <c r="J357" s="34">
        <v>0.02</v>
      </c>
      <c r="K357" s="33" t="s">
        <v>1471</v>
      </c>
      <c r="L357" s="33" t="s">
        <v>1484</v>
      </c>
      <c r="M357" s="33" t="s">
        <v>1473</v>
      </c>
      <c r="N357" s="33" t="s">
        <v>1481</v>
      </c>
      <c r="O357" s="33" t="s">
        <v>1475</v>
      </c>
    </row>
    <row r="358">
      <c r="A358" s="33" t="s">
        <v>1485</v>
      </c>
      <c r="B358" s="33" t="s">
        <v>1465</v>
      </c>
      <c r="C358" s="33" t="s">
        <v>1486</v>
      </c>
      <c r="D358" s="33" t="s">
        <v>1467</v>
      </c>
      <c r="E358" s="33" t="s">
        <v>1468</v>
      </c>
      <c r="F358" s="33" t="s">
        <v>316</v>
      </c>
      <c r="G358" s="35">
        <v>46219</v>
      </c>
      <c r="H358" s="33" t="s">
        <v>1478</v>
      </c>
      <c r="I358" s="33" t="s">
        <v>1479</v>
      </c>
      <c r="J358" s="34">
        <v>0.02</v>
      </c>
      <c r="K358" s="33" t="s">
        <v>1471</v>
      </c>
      <c r="L358" s="33" t="s">
        <v>1487</v>
      </c>
      <c r="M358" s="33" t="s">
        <v>1473</v>
      </c>
      <c r="N358" s="33" t="s">
        <v>1481</v>
      </c>
      <c r="O358" s="33" t="s">
        <v>1475</v>
      </c>
    </row>
    <row r="359">
      <c r="A359" s="33" t="s">
        <v>1488</v>
      </c>
      <c r="B359" s="33" t="s">
        <v>1465</v>
      </c>
      <c r="C359" s="33" t="s">
        <v>36</v>
      </c>
      <c r="D359" s="33" t="s">
        <v>1467</v>
      </c>
      <c r="E359" s="33" t="s">
        <v>1468</v>
      </c>
      <c r="F359" s="33" t="s">
        <v>316</v>
      </c>
      <c r="G359" s="35">
        <v>46219</v>
      </c>
      <c r="H359" s="33" t="s">
        <v>1478</v>
      </c>
      <c r="I359" s="33" t="s">
        <v>1479</v>
      </c>
      <c r="J359" s="34">
        <v>0.02</v>
      </c>
      <c r="K359" s="33" t="s">
        <v>1471</v>
      </c>
      <c r="L359" s="33" t="s">
        <v>1489</v>
      </c>
      <c r="M359" s="33" t="s">
        <v>1473</v>
      </c>
      <c r="N359" s="33" t="s">
        <v>1481</v>
      </c>
      <c r="O359" s="33" t="s">
        <v>1475</v>
      </c>
    </row>
    <row r="360">
      <c r="A360" s="33" t="s">
        <v>1490</v>
      </c>
      <c r="B360" s="33" t="s">
        <v>1491</v>
      </c>
      <c r="C360" s="33" t="s">
        <v>1466</v>
      </c>
      <c r="D360" s="33" t="s">
        <v>1467</v>
      </c>
      <c r="E360" s="33" t="s">
        <v>1468</v>
      </c>
      <c r="F360" s="33" t="s">
        <v>316</v>
      </c>
      <c r="G360" s="35">
        <v>46219</v>
      </c>
      <c r="H360" s="33" t="s">
        <v>1469</v>
      </c>
      <c r="I360" s="33" t="s">
        <v>1470</v>
      </c>
      <c r="J360" s="34">
        <v>0.03</v>
      </c>
      <c r="K360" s="33" t="s">
        <v>1471</v>
      </c>
      <c r="L360" s="33" t="s">
        <v>1492</v>
      </c>
      <c r="M360" s="33" t="s">
        <v>1473</v>
      </c>
      <c r="N360" s="33" t="s">
        <v>1474</v>
      </c>
      <c r="O360" s="33" t="s">
        <v>1475</v>
      </c>
    </row>
    <row r="361">
      <c r="A361" s="33" t="s">
        <v>1493</v>
      </c>
      <c r="B361" s="33" t="s">
        <v>1491</v>
      </c>
      <c r="C361" s="33" t="s">
        <v>1477</v>
      </c>
      <c r="D361" s="33" t="s">
        <v>1467</v>
      </c>
      <c r="E361" s="33" t="s">
        <v>1468</v>
      </c>
      <c r="F361" s="33" t="s">
        <v>316</v>
      </c>
      <c r="G361" s="35">
        <v>46219</v>
      </c>
      <c r="H361" s="33" t="s">
        <v>1478</v>
      </c>
      <c r="I361" s="33" t="s">
        <v>1479</v>
      </c>
      <c r="J361" s="34">
        <v>0.02</v>
      </c>
      <c r="K361" s="33" t="s">
        <v>1471</v>
      </c>
      <c r="L361" s="33" t="s">
        <v>1494</v>
      </c>
      <c r="M361" s="33" t="s">
        <v>1473</v>
      </c>
      <c r="N361" s="33" t="s">
        <v>1481</v>
      </c>
      <c r="O361" s="33" t="s">
        <v>1475</v>
      </c>
    </row>
    <row r="362">
      <c r="A362" s="33" t="s">
        <v>1495</v>
      </c>
      <c r="B362" s="33" t="s">
        <v>1491</v>
      </c>
      <c r="C362" s="33" t="s">
        <v>1483</v>
      </c>
      <c r="D362" s="33" t="s">
        <v>1467</v>
      </c>
      <c r="E362" s="33" t="s">
        <v>1468</v>
      </c>
      <c r="F362" s="33" t="s">
        <v>316</v>
      </c>
      <c r="G362" s="35">
        <v>46219</v>
      </c>
      <c r="H362" s="33" t="s">
        <v>1478</v>
      </c>
      <c r="I362" s="33" t="s">
        <v>1479</v>
      </c>
      <c r="J362" s="34">
        <v>0.02</v>
      </c>
      <c r="K362" s="33" t="s">
        <v>1471</v>
      </c>
      <c r="L362" s="33" t="s">
        <v>1496</v>
      </c>
      <c r="M362" s="33" t="s">
        <v>1473</v>
      </c>
      <c r="N362" s="33" t="s">
        <v>1481</v>
      </c>
      <c r="O362" s="33" t="s">
        <v>1475</v>
      </c>
    </row>
    <row r="363">
      <c r="A363" s="33" t="s">
        <v>1497</v>
      </c>
      <c r="B363" s="33" t="s">
        <v>1491</v>
      </c>
      <c r="C363" s="33" t="s">
        <v>1486</v>
      </c>
      <c r="D363" s="33" t="s">
        <v>1467</v>
      </c>
      <c r="E363" s="33" t="s">
        <v>1468</v>
      </c>
      <c r="F363" s="33" t="s">
        <v>316</v>
      </c>
      <c r="G363" s="35">
        <v>46219</v>
      </c>
      <c r="H363" s="33" t="s">
        <v>1478</v>
      </c>
      <c r="I363" s="33" t="s">
        <v>1479</v>
      </c>
      <c r="J363" s="34">
        <v>0.02</v>
      </c>
      <c r="K363" s="33" t="s">
        <v>1471</v>
      </c>
      <c r="L363" s="33" t="s">
        <v>1498</v>
      </c>
      <c r="M363" s="33" t="s">
        <v>1473</v>
      </c>
      <c r="N363" s="33" t="s">
        <v>1481</v>
      </c>
      <c r="O363" s="33" t="s">
        <v>1475</v>
      </c>
    </row>
    <row r="364">
      <c r="A364" s="33" t="s">
        <v>1499</v>
      </c>
      <c r="B364" s="33" t="s">
        <v>1491</v>
      </c>
      <c r="C364" s="33" t="s">
        <v>36</v>
      </c>
      <c r="D364" s="33" t="s">
        <v>1467</v>
      </c>
      <c r="E364" s="33" t="s">
        <v>1468</v>
      </c>
      <c r="F364" s="33" t="s">
        <v>316</v>
      </c>
      <c r="G364" s="35">
        <v>46219</v>
      </c>
      <c r="H364" s="33" t="s">
        <v>1478</v>
      </c>
      <c r="I364" s="33" t="s">
        <v>1479</v>
      </c>
      <c r="J364" s="34">
        <v>0.02</v>
      </c>
      <c r="K364" s="33" t="s">
        <v>1471</v>
      </c>
      <c r="L364" s="33" t="s">
        <v>1500</v>
      </c>
      <c r="M364" s="33" t="s">
        <v>1473</v>
      </c>
      <c r="N364" s="33" t="s">
        <v>1481</v>
      </c>
      <c r="O364" s="33" t="s">
        <v>1475</v>
      </c>
    </row>
    <row r="365">
      <c r="A365" s="33" t="s">
        <v>1501</v>
      </c>
      <c r="B365" s="33" t="s">
        <v>1502</v>
      </c>
      <c r="C365" s="33" t="s">
        <v>1466</v>
      </c>
      <c r="D365" s="33" t="s">
        <v>1467</v>
      </c>
      <c r="E365" s="33" t="s">
        <v>1468</v>
      </c>
      <c r="F365" s="33" t="s">
        <v>316</v>
      </c>
      <c r="G365" s="35">
        <v>46219</v>
      </c>
      <c r="H365" s="33" t="s">
        <v>1469</v>
      </c>
      <c r="I365" s="33" t="s">
        <v>1470</v>
      </c>
      <c r="J365" s="34">
        <v>0.03</v>
      </c>
      <c r="K365" s="33" t="s">
        <v>1471</v>
      </c>
      <c r="L365" s="33" t="s">
        <v>1503</v>
      </c>
      <c r="M365" s="33" t="s">
        <v>1473</v>
      </c>
      <c r="N365" s="33" t="s">
        <v>1474</v>
      </c>
      <c r="O365" s="33" t="s">
        <v>1475</v>
      </c>
    </row>
    <row r="366">
      <c r="A366" s="33" t="s">
        <v>1504</v>
      </c>
      <c r="B366" s="33" t="s">
        <v>1502</v>
      </c>
      <c r="C366" s="33" t="s">
        <v>1477</v>
      </c>
      <c r="D366" s="33" t="s">
        <v>1467</v>
      </c>
      <c r="E366" s="33" t="s">
        <v>1468</v>
      </c>
      <c r="F366" s="33" t="s">
        <v>316</v>
      </c>
      <c r="G366" s="35">
        <v>46219</v>
      </c>
      <c r="H366" s="33" t="s">
        <v>1478</v>
      </c>
      <c r="I366" s="33" t="s">
        <v>1479</v>
      </c>
      <c r="J366" s="34">
        <v>0.03</v>
      </c>
      <c r="K366" s="33" t="s">
        <v>1471</v>
      </c>
      <c r="L366" s="33" t="s">
        <v>1505</v>
      </c>
      <c r="M366" s="33" t="s">
        <v>1473</v>
      </c>
      <c r="N366" s="33" t="s">
        <v>1481</v>
      </c>
      <c r="O366" s="33" t="s">
        <v>1475</v>
      </c>
    </row>
    <row r="367">
      <c r="A367" s="33" t="s">
        <v>1506</v>
      </c>
      <c r="B367" s="33" t="s">
        <v>1502</v>
      </c>
      <c r="C367" s="33" t="s">
        <v>1483</v>
      </c>
      <c r="D367" s="33" t="s">
        <v>1467</v>
      </c>
      <c r="E367" s="33" t="s">
        <v>1468</v>
      </c>
      <c r="F367" s="33" t="s">
        <v>316</v>
      </c>
      <c r="G367" s="35">
        <v>46219</v>
      </c>
      <c r="H367" s="33" t="s">
        <v>1478</v>
      </c>
      <c r="I367" s="33" t="s">
        <v>1479</v>
      </c>
      <c r="J367" s="34">
        <v>0.03</v>
      </c>
      <c r="K367" s="33" t="s">
        <v>1471</v>
      </c>
      <c r="L367" s="33" t="s">
        <v>1507</v>
      </c>
      <c r="M367" s="33" t="s">
        <v>1473</v>
      </c>
      <c r="N367" s="33" t="s">
        <v>1481</v>
      </c>
      <c r="O367" s="33" t="s">
        <v>1475</v>
      </c>
    </row>
    <row r="368">
      <c r="A368" s="33" t="s">
        <v>1508</v>
      </c>
      <c r="B368" s="33" t="s">
        <v>1502</v>
      </c>
      <c r="C368" s="33" t="s">
        <v>1486</v>
      </c>
      <c r="D368" s="33" t="s">
        <v>1467</v>
      </c>
      <c r="E368" s="33" t="s">
        <v>1468</v>
      </c>
      <c r="F368" s="33" t="s">
        <v>316</v>
      </c>
      <c r="G368" s="35">
        <v>46219</v>
      </c>
      <c r="H368" s="33" t="s">
        <v>1478</v>
      </c>
      <c r="I368" s="33" t="s">
        <v>1479</v>
      </c>
      <c r="J368" s="34">
        <v>0.03</v>
      </c>
      <c r="K368" s="33" t="s">
        <v>1471</v>
      </c>
      <c r="L368" s="33" t="s">
        <v>1509</v>
      </c>
      <c r="M368" s="33" t="s">
        <v>1473</v>
      </c>
      <c r="N368" s="33" t="s">
        <v>1481</v>
      </c>
      <c r="O368" s="33" t="s">
        <v>1475</v>
      </c>
    </row>
    <row r="369">
      <c r="A369" s="33" t="s">
        <v>1510</v>
      </c>
      <c r="B369" s="33" t="s">
        <v>1502</v>
      </c>
      <c r="C369" s="33" t="s">
        <v>36</v>
      </c>
      <c r="D369" s="33" t="s">
        <v>1467</v>
      </c>
      <c r="E369" s="33" t="s">
        <v>1468</v>
      </c>
      <c r="F369" s="33" t="s">
        <v>316</v>
      </c>
      <c r="G369" s="35">
        <v>46219</v>
      </c>
      <c r="H369" s="33" t="s">
        <v>1478</v>
      </c>
      <c r="I369" s="33" t="s">
        <v>1479</v>
      </c>
      <c r="J369" s="34">
        <v>0.03</v>
      </c>
      <c r="K369" s="33" t="s">
        <v>1471</v>
      </c>
      <c r="L369" s="33" t="s">
        <v>1511</v>
      </c>
      <c r="M369" s="33" t="s">
        <v>1473</v>
      </c>
      <c r="N369" s="33" t="s">
        <v>1481</v>
      </c>
      <c r="O369" s="33" t="s">
        <v>1475</v>
      </c>
    </row>
    <row r="370">
      <c r="A370" s="33" t="s">
        <v>1512</v>
      </c>
      <c r="B370" s="33" t="s">
        <v>1513</v>
      </c>
      <c r="C370" s="33" t="s">
        <v>1466</v>
      </c>
      <c r="D370" s="33" t="s">
        <v>1467</v>
      </c>
      <c r="E370" s="33" t="s">
        <v>1468</v>
      </c>
      <c r="F370" s="33" t="s">
        <v>316</v>
      </c>
      <c r="G370" s="35">
        <v>46219</v>
      </c>
      <c r="H370" s="33" t="s">
        <v>1469</v>
      </c>
      <c r="I370" s="33" t="s">
        <v>1470</v>
      </c>
      <c r="J370" s="34">
        <v>0.03</v>
      </c>
      <c r="K370" s="33" t="s">
        <v>1471</v>
      </c>
      <c r="L370" s="33" t="s">
        <v>1514</v>
      </c>
      <c r="M370" s="33" t="s">
        <v>1473</v>
      </c>
      <c r="N370" s="33" t="s">
        <v>1474</v>
      </c>
      <c r="O370" s="33" t="s">
        <v>1475</v>
      </c>
    </row>
    <row r="371">
      <c r="A371" s="33" t="s">
        <v>1515</v>
      </c>
      <c r="B371" s="33" t="s">
        <v>1513</v>
      </c>
      <c r="C371" s="33" t="s">
        <v>1477</v>
      </c>
      <c r="D371" s="33" t="s">
        <v>1467</v>
      </c>
      <c r="E371" s="33" t="s">
        <v>1468</v>
      </c>
      <c r="F371" s="33" t="s">
        <v>316</v>
      </c>
      <c r="G371" s="35">
        <v>46219</v>
      </c>
      <c r="H371" s="33" t="s">
        <v>1478</v>
      </c>
      <c r="I371" s="33" t="s">
        <v>1479</v>
      </c>
      <c r="J371" s="34">
        <v>0.03</v>
      </c>
      <c r="K371" s="33" t="s">
        <v>1471</v>
      </c>
      <c r="L371" s="33" t="s">
        <v>1516</v>
      </c>
      <c r="M371" s="33" t="s">
        <v>1473</v>
      </c>
      <c r="N371" s="33" t="s">
        <v>1481</v>
      </c>
      <c r="O371" s="33" t="s">
        <v>1475</v>
      </c>
    </row>
    <row r="372">
      <c r="A372" s="33" t="s">
        <v>1517</v>
      </c>
      <c r="B372" s="33" t="s">
        <v>1513</v>
      </c>
      <c r="C372" s="33" t="s">
        <v>1483</v>
      </c>
      <c r="D372" s="33" t="s">
        <v>1467</v>
      </c>
      <c r="E372" s="33" t="s">
        <v>1468</v>
      </c>
      <c r="F372" s="33" t="s">
        <v>316</v>
      </c>
      <c r="G372" s="35">
        <v>46219</v>
      </c>
      <c r="H372" s="33" t="s">
        <v>1478</v>
      </c>
      <c r="I372" s="33" t="s">
        <v>1479</v>
      </c>
      <c r="J372" s="34">
        <v>0.03</v>
      </c>
      <c r="K372" s="33" t="s">
        <v>1471</v>
      </c>
      <c r="L372" s="33" t="s">
        <v>1518</v>
      </c>
      <c r="M372" s="33" t="s">
        <v>1473</v>
      </c>
      <c r="N372" s="33" t="s">
        <v>1481</v>
      </c>
      <c r="O372" s="33" t="s">
        <v>1475</v>
      </c>
    </row>
    <row r="373">
      <c r="A373" s="33" t="s">
        <v>1519</v>
      </c>
      <c r="B373" s="33" t="s">
        <v>1513</v>
      </c>
      <c r="C373" s="33" t="s">
        <v>1486</v>
      </c>
      <c r="D373" s="33" t="s">
        <v>1467</v>
      </c>
      <c r="E373" s="33" t="s">
        <v>1468</v>
      </c>
      <c r="F373" s="33" t="s">
        <v>316</v>
      </c>
      <c r="G373" s="35">
        <v>46219</v>
      </c>
      <c r="H373" s="33" t="s">
        <v>1478</v>
      </c>
      <c r="I373" s="33" t="s">
        <v>1479</v>
      </c>
      <c r="J373" s="34">
        <v>0.03</v>
      </c>
      <c r="K373" s="33" t="s">
        <v>1471</v>
      </c>
      <c r="L373" s="33" t="s">
        <v>1520</v>
      </c>
      <c r="M373" s="33" t="s">
        <v>1473</v>
      </c>
      <c r="N373" s="33" t="s">
        <v>1481</v>
      </c>
      <c r="O373" s="33" t="s">
        <v>1475</v>
      </c>
    </row>
    <row r="374">
      <c r="A374" s="33" t="s">
        <v>1521</v>
      </c>
      <c r="B374" s="33" t="s">
        <v>1513</v>
      </c>
      <c r="C374" s="33" t="s">
        <v>36</v>
      </c>
      <c r="D374" s="33" t="s">
        <v>1467</v>
      </c>
      <c r="E374" s="33" t="s">
        <v>1468</v>
      </c>
      <c r="F374" s="33" t="s">
        <v>316</v>
      </c>
      <c r="G374" s="35">
        <v>46219</v>
      </c>
      <c r="H374" s="33" t="s">
        <v>1478</v>
      </c>
      <c r="I374" s="33" t="s">
        <v>1479</v>
      </c>
      <c r="J374" s="34">
        <v>0.03</v>
      </c>
      <c r="K374" s="33" t="s">
        <v>1471</v>
      </c>
      <c r="L374" s="33" t="s">
        <v>1522</v>
      </c>
      <c r="M374" s="33" t="s">
        <v>1473</v>
      </c>
      <c r="N374" s="33" t="s">
        <v>1481</v>
      </c>
      <c r="O374" s="33" t="s">
        <v>1475</v>
      </c>
    </row>
    <row r="375">
      <c r="A375" s="33" t="s">
        <v>1523</v>
      </c>
      <c r="B375" s="33" t="s">
        <v>1524</v>
      </c>
      <c r="C375" s="33" t="s">
        <v>1466</v>
      </c>
      <c r="D375" s="33" t="s">
        <v>1467</v>
      </c>
      <c r="E375" s="33" t="s">
        <v>1468</v>
      </c>
      <c r="F375" s="33" t="s">
        <v>316</v>
      </c>
      <c r="G375" s="35">
        <v>46219</v>
      </c>
      <c r="H375" s="33" t="s">
        <v>1469</v>
      </c>
      <c r="I375" s="33" t="s">
        <v>1470</v>
      </c>
      <c r="J375" s="34">
        <v>0.02</v>
      </c>
      <c r="K375" s="33" t="s">
        <v>1471</v>
      </c>
      <c r="L375" s="33" t="s">
        <v>1525</v>
      </c>
      <c r="M375" s="33" t="s">
        <v>1473</v>
      </c>
      <c r="N375" s="33" t="s">
        <v>1474</v>
      </c>
      <c r="O375" s="33" t="s">
        <v>1475</v>
      </c>
    </row>
    <row r="376">
      <c r="A376" s="33" t="s">
        <v>1526</v>
      </c>
      <c r="B376" s="33" t="s">
        <v>1524</v>
      </c>
      <c r="C376" s="33" t="s">
        <v>1477</v>
      </c>
      <c r="D376" s="33" t="s">
        <v>1467</v>
      </c>
      <c r="E376" s="33" t="s">
        <v>1468</v>
      </c>
      <c r="F376" s="33" t="s">
        <v>316</v>
      </c>
      <c r="G376" s="35">
        <v>46219</v>
      </c>
      <c r="H376" s="33" t="s">
        <v>1478</v>
      </c>
      <c r="I376" s="33" t="s">
        <v>1479</v>
      </c>
      <c r="J376" s="34">
        <v>0.03</v>
      </c>
      <c r="K376" s="33" t="s">
        <v>1471</v>
      </c>
      <c r="L376" s="33" t="s">
        <v>1527</v>
      </c>
      <c r="M376" s="33" t="s">
        <v>1473</v>
      </c>
      <c r="N376" s="33" t="s">
        <v>1481</v>
      </c>
      <c r="O376" s="33" t="s">
        <v>1475</v>
      </c>
    </row>
    <row r="377">
      <c r="A377" s="33" t="s">
        <v>1528</v>
      </c>
      <c r="B377" s="33" t="s">
        <v>1524</v>
      </c>
      <c r="C377" s="33" t="s">
        <v>1483</v>
      </c>
      <c r="D377" s="33" t="s">
        <v>1467</v>
      </c>
      <c r="E377" s="33" t="s">
        <v>1468</v>
      </c>
      <c r="F377" s="33" t="s">
        <v>316</v>
      </c>
      <c r="G377" s="35">
        <v>46219</v>
      </c>
      <c r="H377" s="33" t="s">
        <v>1478</v>
      </c>
      <c r="I377" s="33" t="s">
        <v>1479</v>
      </c>
      <c r="J377" s="34">
        <v>0.03</v>
      </c>
      <c r="K377" s="33" t="s">
        <v>1471</v>
      </c>
      <c r="L377" s="33" t="s">
        <v>1529</v>
      </c>
      <c r="M377" s="33" t="s">
        <v>1473</v>
      </c>
      <c r="N377" s="33" t="s">
        <v>1481</v>
      </c>
      <c r="O377" s="33" t="s">
        <v>1475</v>
      </c>
    </row>
    <row r="378">
      <c r="A378" s="33" t="s">
        <v>1530</v>
      </c>
      <c r="B378" s="33" t="s">
        <v>1524</v>
      </c>
      <c r="C378" s="33" t="s">
        <v>1486</v>
      </c>
      <c r="D378" s="33" t="s">
        <v>1467</v>
      </c>
      <c r="E378" s="33" t="s">
        <v>1468</v>
      </c>
      <c r="F378" s="33" t="s">
        <v>316</v>
      </c>
      <c r="G378" s="35">
        <v>46219</v>
      </c>
      <c r="H378" s="33" t="s">
        <v>1478</v>
      </c>
      <c r="I378" s="33" t="s">
        <v>1479</v>
      </c>
      <c r="J378" s="34">
        <v>0.03</v>
      </c>
      <c r="K378" s="33" t="s">
        <v>1471</v>
      </c>
      <c r="L378" s="33" t="s">
        <v>1531</v>
      </c>
      <c r="M378" s="33" t="s">
        <v>1473</v>
      </c>
      <c r="N378" s="33" t="s">
        <v>1481</v>
      </c>
      <c r="O378" s="33" t="s">
        <v>1475</v>
      </c>
    </row>
    <row r="379">
      <c r="A379" s="33" t="s">
        <v>1532</v>
      </c>
      <c r="B379" s="33" t="s">
        <v>1524</v>
      </c>
      <c r="C379" s="33" t="s">
        <v>36</v>
      </c>
      <c r="D379" s="33" t="s">
        <v>1467</v>
      </c>
      <c r="E379" s="33" t="s">
        <v>1468</v>
      </c>
      <c r="F379" s="33" t="s">
        <v>316</v>
      </c>
      <c r="G379" s="35">
        <v>46219</v>
      </c>
      <c r="H379" s="33" t="s">
        <v>1478</v>
      </c>
      <c r="I379" s="33" t="s">
        <v>1479</v>
      </c>
      <c r="J379" s="34">
        <v>0.03</v>
      </c>
      <c r="K379" s="33" t="s">
        <v>1471</v>
      </c>
      <c r="L379" s="33" t="s">
        <v>1533</v>
      </c>
      <c r="M379" s="33" t="s">
        <v>1473</v>
      </c>
      <c r="N379" s="33" t="s">
        <v>1481</v>
      </c>
      <c r="O379" s="33" t="s">
        <v>1475</v>
      </c>
    </row>
    <row r="380">
      <c r="A380" s="33" t="s">
        <v>1534</v>
      </c>
      <c r="B380" s="33" t="s">
        <v>1535</v>
      </c>
      <c r="C380" s="33" t="s">
        <v>1466</v>
      </c>
      <c r="D380" s="33" t="s">
        <v>1467</v>
      </c>
      <c r="E380" s="33" t="s">
        <v>1468</v>
      </c>
      <c r="F380" s="33" t="s">
        <v>316</v>
      </c>
      <c r="G380" s="35">
        <v>46219</v>
      </c>
      <c r="H380" s="33" t="s">
        <v>1469</v>
      </c>
      <c r="I380" s="33" t="s">
        <v>1470</v>
      </c>
      <c r="J380" s="34">
        <v>0.03</v>
      </c>
      <c r="K380" s="33" t="s">
        <v>1471</v>
      </c>
      <c r="L380" s="33" t="s">
        <v>1536</v>
      </c>
      <c r="M380" s="33" t="s">
        <v>1473</v>
      </c>
      <c r="N380" s="33" t="s">
        <v>1474</v>
      </c>
      <c r="O380" s="33" t="s">
        <v>1475</v>
      </c>
    </row>
    <row r="381">
      <c r="A381" s="33" t="s">
        <v>1537</v>
      </c>
      <c r="B381" s="33" t="s">
        <v>1535</v>
      </c>
      <c r="C381" s="33" t="s">
        <v>1477</v>
      </c>
      <c r="D381" s="33" t="s">
        <v>1467</v>
      </c>
      <c r="E381" s="33" t="s">
        <v>1468</v>
      </c>
      <c r="F381" s="33" t="s">
        <v>316</v>
      </c>
      <c r="G381" s="35">
        <v>46219</v>
      </c>
      <c r="H381" s="33" t="s">
        <v>1478</v>
      </c>
      <c r="I381" s="33" t="s">
        <v>1479</v>
      </c>
      <c r="J381" s="34">
        <v>0.03</v>
      </c>
      <c r="K381" s="33" t="s">
        <v>1471</v>
      </c>
      <c r="L381" s="33" t="s">
        <v>1538</v>
      </c>
      <c r="M381" s="33" t="s">
        <v>1473</v>
      </c>
      <c r="N381" s="33" t="s">
        <v>1481</v>
      </c>
      <c r="O381" s="33" t="s">
        <v>1475</v>
      </c>
    </row>
    <row r="382">
      <c r="A382" s="33" t="s">
        <v>1539</v>
      </c>
      <c r="B382" s="33" t="s">
        <v>1535</v>
      </c>
      <c r="C382" s="33" t="s">
        <v>1483</v>
      </c>
      <c r="D382" s="33" t="s">
        <v>1467</v>
      </c>
      <c r="E382" s="33" t="s">
        <v>1468</v>
      </c>
      <c r="F382" s="33" t="s">
        <v>316</v>
      </c>
      <c r="G382" s="35">
        <v>46219</v>
      </c>
      <c r="H382" s="33" t="s">
        <v>1478</v>
      </c>
      <c r="I382" s="33" t="s">
        <v>1479</v>
      </c>
      <c r="J382" s="34">
        <v>0.03</v>
      </c>
      <c r="K382" s="33" t="s">
        <v>1471</v>
      </c>
      <c r="L382" s="33" t="s">
        <v>1540</v>
      </c>
      <c r="M382" s="33" t="s">
        <v>1473</v>
      </c>
      <c r="N382" s="33" t="s">
        <v>1481</v>
      </c>
      <c r="O382" s="33" t="s">
        <v>1475</v>
      </c>
    </row>
    <row r="383">
      <c r="A383" s="33" t="s">
        <v>1541</v>
      </c>
      <c r="B383" s="33" t="s">
        <v>1535</v>
      </c>
      <c r="C383" s="33" t="s">
        <v>1486</v>
      </c>
      <c r="D383" s="33" t="s">
        <v>1467</v>
      </c>
      <c r="E383" s="33" t="s">
        <v>1468</v>
      </c>
      <c r="F383" s="33" t="s">
        <v>316</v>
      </c>
      <c r="G383" s="35">
        <v>46219</v>
      </c>
      <c r="H383" s="33" t="s">
        <v>1478</v>
      </c>
      <c r="I383" s="33" t="s">
        <v>1479</v>
      </c>
      <c r="J383" s="34">
        <v>0.03</v>
      </c>
      <c r="K383" s="33" t="s">
        <v>1471</v>
      </c>
      <c r="L383" s="33" t="s">
        <v>1542</v>
      </c>
      <c r="M383" s="33" t="s">
        <v>1473</v>
      </c>
      <c r="N383" s="33" t="s">
        <v>1481</v>
      </c>
      <c r="O383" s="33" t="s">
        <v>1475</v>
      </c>
    </row>
    <row r="384">
      <c r="A384" s="33" t="s">
        <v>1543</v>
      </c>
      <c r="B384" s="33" t="s">
        <v>1535</v>
      </c>
      <c r="C384" s="33" t="s">
        <v>36</v>
      </c>
      <c r="D384" s="33" t="s">
        <v>1467</v>
      </c>
      <c r="E384" s="33" t="s">
        <v>1468</v>
      </c>
      <c r="F384" s="33" t="s">
        <v>316</v>
      </c>
      <c r="G384" s="35">
        <v>46219</v>
      </c>
      <c r="H384" s="33" t="s">
        <v>1478</v>
      </c>
      <c r="I384" s="33" t="s">
        <v>1479</v>
      </c>
      <c r="J384" s="34">
        <v>0.03</v>
      </c>
      <c r="K384" s="33" t="s">
        <v>1471</v>
      </c>
      <c r="L384" s="33" t="s">
        <v>1544</v>
      </c>
      <c r="M384" s="33" t="s">
        <v>1473</v>
      </c>
      <c r="N384" s="33" t="s">
        <v>1481</v>
      </c>
      <c r="O384" s="33" t="s">
        <v>1475</v>
      </c>
    </row>
    <row r="385">
      <c r="A385" s="33" t="s">
        <v>1545</v>
      </c>
      <c r="B385" s="33" t="s">
        <v>1546</v>
      </c>
      <c r="C385" s="33" t="s">
        <v>1466</v>
      </c>
      <c r="D385" s="33" t="s">
        <v>1467</v>
      </c>
      <c r="E385" s="33" t="s">
        <v>1468</v>
      </c>
      <c r="F385" s="33" t="s">
        <v>316</v>
      </c>
      <c r="G385" s="35">
        <v>46219</v>
      </c>
      <c r="H385" s="33" t="s">
        <v>1478</v>
      </c>
      <c r="I385" s="33" t="s">
        <v>1479</v>
      </c>
      <c r="J385" s="34">
        <v>0.05</v>
      </c>
      <c r="K385" s="33" t="s">
        <v>1471</v>
      </c>
      <c r="L385" s="33" t="s">
        <v>1547</v>
      </c>
      <c r="M385" s="33" t="s">
        <v>1473</v>
      </c>
      <c r="N385" s="33" t="s">
        <v>1481</v>
      </c>
      <c r="O385" s="33" t="s">
        <v>1475</v>
      </c>
    </row>
    <row r="386">
      <c r="A386" s="33" t="s">
        <v>1548</v>
      </c>
      <c r="B386" s="33" t="s">
        <v>1546</v>
      </c>
      <c r="C386" s="33" t="s">
        <v>1477</v>
      </c>
      <c r="D386" s="33" t="s">
        <v>1467</v>
      </c>
      <c r="E386" s="33" t="s">
        <v>1468</v>
      </c>
      <c r="F386" s="33" t="s">
        <v>316</v>
      </c>
      <c r="G386" s="35">
        <v>46219</v>
      </c>
      <c r="H386" s="33" t="s">
        <v>1478</v>
      </c>
      <c r="I386" s="33" t="s">
        <v>1479</v>
      </c>
      <c r="J386" s="34">
        <v>0.04</v>
      </c>
      <c r="K386" s="33" t="s">
        <v>1471</v>
      </c>
      <c r="L386" s="33" t="s">
        <v>1549</v>
      </c>
      <c r="M386" s="33" t="s">
        <v>1473</v>
      </c>
      <c r="N386" s="33" t="s">
        <v>1481</v>
      </c>
      <c r="O386" s="33" t="s">
        <v>1475</v>
      </c>
    </row>
    <row r="387">
      <c r="A387" s="33" t="s">
        <v>1550</v>
      </c>
      <c r="B387" s="33" t="s">
        <v>1546</v>
      </c>
      <c r="C387" s="33" t="s">
        <v>1483</v>
      </c>
      <c r="D387" s="33" t="s">
        <v>1467</v>
      </c>
      <c r="E387" s="33" t="s">
        <v>1468</v>
      </c>
      <c r="F387" s="33" t="s">
        <v>316</v>
      </c>
      <c r="G387" s="35">
        <v>46219</v>
      </c>
      <c r="H387" s="33" t="s">
        <v>1478</v>
      </c>
      <c r="I387" s="33" t="s">
        <v>1479</v>
      </c>
      <c r="J387" s="34">
        <v>0.04</v>
      </c>
      <c r="K387" s="33" t="s">
        <v>1471</v>
      </c>
      <c r="L387" s="33" t="s">
        <v>1551</v>
      </c>
      <c r="M387" s="33" t="s">
        <v>1473</v>
      </c>
      <c r="N387" s="33" t="s">
        <v>1481</v>
      </c>
      <c r="O387" s="33" t="s">
        <v>1475</v>
      </c>
    </row>
    <row r="388">
      <c r="A388" s="33" t="s">
        <v>1552</v>
      </c>
      <c r="B388" s="33" t="s">
        <v>1546</v>
      </c>
      <c r="C388" s="33" t="s">
        <v>1486</v>
      </c>
      <c r="D388" s="33" t="s">
        <v>1467</v>
      </c>
      <c r="E388" s="33" t="s">
        <v>1468</v>
      </c>
      <c r="F388" s="33" t="s">
        <v>316</v>
      </c>
      <c r="G388" s="35">
        <v>46219</v>
      </c>
      <c r="H388" s="33" t="s">
        <v>1478</v>
      </c>
      <c r="I388" s="33" t="s">
        <v>1479</v>
      </c>
      <c r="J388" s="34">
        <v>0.04</v>
      </c>
      <c r="K388" s="33" t="s">
        <v>1471</v>
      </c>
      <c r="L388" s="33" t="s">
        <v>1553</v>
      </c>
      <c r="M388" s="33" t="s">
        <v>1473</v>
      </c>
      <c r="N388" s="33" t="s">
        <v>1481</v>
      </c>
      <c r="O388" s="33" t="s">
        <v>1475</v>
      </c>
    </row>
    <row r="389">
      <c r="A389" s="33" t="s">
        <v>1554</v>
      </c>
      <c r="B389" s="33" t="s">
        <v>1546</v>
      </c>
      <c r="C389" s="33" t="s">
        <v>36</v>
      </c>
      <c r="D389" s="33" t="s">
        <v>1467</v>
      </c>
      <c r="E389" s="33" t="s">
        <v>1468</v>
      </c>
      <c r="F389" s="33" t="s">
        <v>316</v>
      </c>
      <c r="G389" s="35">
        <v>46219</v>
      </c>
      <c r="H389" s="33" t="s">
        <v>1478</v>
      </c>
      <c r="I389" s="33" t="s">
        <v>1479</v>
      </c>
      <c r="J389" s="34">
        <v>0.04</v>
      </c>
      <c r="K389" s="33" t="s">
        <v>1471</v>
      </c>
      <c r="L389" s="33" t="s">
        <v>1555</v>
      </c>
      <c r="M389" s="33" t="s">
        <v>1473</v>
      </c>
      <c r="N389" s="33" t="s">
        <v>1481</v>
      </c>
      <c r="O389" s="33" t="s">
        <v>1475</v>
      </c>
    </row>
    <row r="390">
      <c r="A390" s="33" t="s">
        <v>1556</v>
      </c>
      <c r="B390" s="33" t="s">
        <v>1557</v>
      </c>
      <c r="C390" s="33" t="s">
        <v>1466</v>
      </c>
      <c r="D390" s="33" t="s">
        <v>1467</v>
      </c>
      <c r="E390" s="33" t="s">
        <v>1468</v>
      </c>
      <c r="F390" s="33" t="s">
        <v>316</v>
      </c>
      <c r="G390" s="35">
        <v>46219</v>
      </c>
      <c r="H390" s="33" t="s">
        <v>1478</v>
      </c>
      <c r="I390" s="33" t="s">
        <v>1479</v>
      </c>
      <c r="J390" s="34">
        <v>0.05</v>
      </c>
      <c r="K390" s="33" t="s">
        <v>1471</v>
      </c>
      <c r="L390" s="33" t="s">
        <v>1558</v>
      </c>
      <c r="M390" s="33" t="s">
        <v>1473</v>
      </c>
      <c r="N390" s="33" t="s">
        <v>1481</v>
      </c>
      <c r="O390" s="33" t="s">
        <v>1475</v>
      </c>
    </row>
    <row r="391">
      <c r="A391" s="33" t="s">
        <v>1559</v>
      </c>
      <c r="B391" s="33" t="s">
        <v>1557</v>
      </c>
      <c r="C391" s="33" t="s">
        <v>1477</v>
      </c>
      <c r="D391" s="33" t="s">
        <v>1467</v>
      </c>
      <c r="E391" s="33" t="s">
        <v>1468</v>
      </c>
      <c r="F391" s="33" t="s">
        <v>316</v>
      </c>
      <c r="G391" s="35">
        <v>46219</v>
      </c>
      <c r="H391" s="33" t="s">
        <v>1478</v>
      </c>
      <c r="I391" s="33" t="s">
        <v>1479</v>
      </c>
      <c r="J391" s="34">
        <v>0.04</v>
      </c>
      <c r="K391" s="33" t="s">
        <v>1471</v>
      </c>
      <c r="L391" s="33" t="s">
        <v>1560</v>
      </c>
      <c r="M391" s="33" t="s">
        <v>1473</v>
      </c>
      <c r="N391" s="33" t="s">
        <v>1481</v>
      </c>
      <c r="O391" s="33" t="s">
        <v>1475</v>
      </c>
    </row>
    <row r="392">
      <c r="A392" s="33" t="s">
        <v>1561</v>
      </c>
      <c r="B392" s="33" t="s">
        <v>1557</v>
      </c>
      <c r="C392" s="33" t="s">
        <v>1483</v>
      </c>
      <c r="D392" s="33" t="s">
        <v>1467</v>
      </c>
      <c r="E392" s="33" t="s">
        <v>1468</v>
      </c>
      <c r="F392" s="33" t="s">
        <v>316</v>
      </c>
      <c r="G392" s="35">
        <v>46219</v>
      </c>
      <c r="H392" s="33" t="s">
        <v>1478</v>
      </c>
      <c r="I392" s="33" t="s">
        <v>1479</v>
      </c>
      <c r="J392" s="34">
        <v>0.04</v>
      </c>
      <c r="K392" s="33" t="s">
        <v>1471</v>
      </c>
      <c r="L392" s="33" t="s">
        <v>1562</v>
      </c>
      <c r="M392" s="33" t="s">
        <v>1473</v>
      </c>
      <c r="N392" s="33" t="s">
        <v>1481</v>
      </c>
      <c r="O392" s="33" t="s">
        <v>1475</v>
      </c>
    </row>
    <row r="393">
      <c r="A393" s="33" t="s">
        <v>1563</v>
      </c>
      <c r="B393" s="33" t="s">
        <v>1557</v>
      </c>
      <c r="C393" s="33" t="s">
        <v>1486</v>
      </c>
      <c r="D393" s="33" t="s">
        <v>1467</v>
      </c>
      <c r="E393" s="33" t="s">
        <v>1468</v>
      </c>
      <c r="F393" s="33" t="s">
        <v>316</v>
      </c>
      <c r="G393" s="35">
        <v>46219</v>
      </c>
      <c r="H393" s="33" t="s">
        <v>1478</v>
      </c>
      <c r="I393" s="33" t="s">
        <v>1479</v>
      </c>
      <c r="J393" s="34">
        <v>0.04</v>
      </c>
      <c r="K393" s="33" t="s">
        <v>1471</v>
      </c>
      <c r="L393" s="33" t="s">
        <v>1564</v>
      </c>
      <c r="M393" s="33" t="s">
        <v>1473</v>
      </c>
      <c r="N393" s="33" t="s">
        <v>1481</v>
      </c>
      <c r="O393" s="33" t="s">
        <v>1475</v>
      </c>
    </row>
    <row r="394">
      <c r="A394" s="33" t="s">
        <v>1565</v>
      </c>
      <c r="B394" s="33" t="s">
        <v>1557</v>
      </c>
      <c r="C394" s="33" t="s">
        <v>36</v>
      </c>
      <c r="D394" s="33" t="s">
        <v>1467</v>
      </c>
      <c r="E394" s="33" t="s">
        <v>1468</v>
      </c>
      <c r="F394" s="33" t="s">
        <v>316</v>
      </c>
      <c r="G394" s="35">
        <v>46219</v>
      </c>
      <c r="H394" s="33" t="s">
        <v>1478</v>
      </c>
      <c r="I394" s="33" t="s">
        <v>1479</v>
      </c>
      <c r="J394" s="34">
        <v>0.04</v>
      </c>
      <c r="K394" s="33" t="s">
        <v>1471</v>
      </c>
      <c r="L394" s="33" t="s">
        <v>1566</v>
      </c>
      <c r="M394" s="33" t="s">
        <v>1473</v>
      </c>
      <c r="N394" s="33" t="s">
        <v>1481</v>
      </c>
      <c r="O394" s="33" t="s">
        <v>1475</v>
      </c>
    </row>
    <row r="395">
      <c r="A395" s="33" t="s">
        <v>1567</v>
      </c>
      <c r="B395" s="33" t="s">
        <v>1568</v>
      </c>
      <c r="C395" s="33" t="s">
        <v>1466</v>
      </c>
      <c r="D395" s="33" t="s">
        <v>1467</v>
      </c>
      <c r="E395" s="33" t="s">
        <v>1468</v>
      </c>
      <c r="F395" s="33" t="s">
        <v>316</v>
      </c>
      <c r="G395" s="35">
        <v>46219</v>
      </c>
      <c r="H395" s="33" t="s">
        <v>1478</v>
      </c>
      <c r="I395" s="33" t="s">
        <v>1479</v>
      </c>
      <c r="J395" s="34">
        <v>0.05</v>
      </c>
      <c r="K395" s="33" t="s">
        <v>1471</v>
      </c>
      <c r="L395" s="33" t="s">
        <v>1569</v>
      </c>
      <c r="M395" s="33" t="s">
        <v>1473</v>
      </c>
      <c r="N395" s="33" t="s">
        <v>1481</v>
      </c>
      <c r="O395" s="33" t="s">
        <v>1475</v>
      </c>
    </row>
    <row r="396">
      <c r="A396" s="33" t="s">
        <v>1570</v>
      </c>
      <c r="B396" s="33" t="s">
        <v>1568</v>
      </c>
      <c r="C396" s="33" t="s">
        <v>1477</v>
      </c>
      <c r="D396" s="33" t="s">
        <v>1467</v>
      </c>
      <c r="E396" s="33" t="s">
        <v>1468</v>
      </c>
      <c r="F396" s="33" t="s">
        <v>316</v>
      </c>
      <c r="G396" s="35">
        <v>46219</v>
      </c>
      <c r="H396" s="33" t="s">
        <v>1478</v>
      </c>
      <c r="I396" s="33" t="s">
        <v>1479</v>
      </c>
      <c r="J396" s="34">
        <v>0.05</v>
      </c>
      <c r="K396" s="33" t="s">
        <v>1471</v>
      </c>
      <c r="L396" s="33" t="s">
        <v>1571</v>
      </c>
      <c r="M396" s="33" t="s">
        <v>1473</v>
      </c>
      <c r="N396" s="33" t="s">
        <v>1481</v>
      </c>
      <c r="O396" s="33" t="s">
        <v>1475</v>
      </c>
    </row>
    <row r="397">
      <c r="A397" s="33" t="s">
        <v>1572</v>
      </c>
      <c r="B397" s="33" t="s">
        <v>1568</v>
      </c>
      <c r="C397" s="33" t="s">
        <v>1483</v>
      </c>
      <c r="D397" s="33" t="s">
        <v>1467</v>
      </c>
      <c r="E397" s="33" t="s">
        <v>1468</v>
      </c>
      <c r="F397" s="33" t="s">
        <v>316</v>
      </c>
      <c r="G397" s="35">
        <v>46219</v>
      </c>
      <c r="H397" s="33" t="s">
        <v>1478</v>
      </c>
      <c r="I397" s="33" t="s">
        <v>1479</v>
      </c>
      <c r="J397" s="34">
        <v>0.05</v>
      </c>
      <c r="K397" s="33" t="s">
        <v>1471</v>
      </c>
      <c r="L397" s="33" t="s">
        <v>1573</v>
      </c>
      <c r="M397" s="33" t="s">
        <v>1473</v>
      </c>
      <c r="N397" s="33" t="s">
        <v>1481</v>
      </c>
      <c r="O397" s="33" t="s">
        <v>1475</v>
      </c>
    </row>
    <row r="398">
      <c r="A398" s="33" t="s">
        <v>1574</v>
      </c>
      <c r="B398" s="33" t="s">
        <v>1568</v>
      </c>
      <c r="C398" s="33" t="s">
        <v>1486</v>
      </c>
      <c r="D398" s="33" t="s">
        <v>1467</v>
      </c>
      <c r="E398" s="33" t="s">
        <v>1468</v>
      </c>
      <c r="F398" s="33" t="s">
        <v>316</v>
      </c>
      <c r="G398" s="35">
        <v>46219</v>
      </c>
      <c r="H398" s="33" t="s">
        <v>1478</v>
      </c>
      <c r="I398" s="33" t="s">
        <v>1479</v>
      </c>
      <c r="J398" s="34">
        <v>0.05</v>
      </c>
      <c r="K398" s="33" t="s">
        <v>1471</v>
      </c>
      <c r="L398" s="33" t="s">
        <v>1575</v>
      </c>
      <c r="M398" s="33" t="s">
        <v>1473</v>
      </c>
      <c r="N398" s="33" t="s">
        <v>1481</v>
      </c>
      <c r="O398" s="33" t="s">
        <v>1475</v>
      </c>
    </row>
    <row r="399">
      <c r="A399" s="33" t="s">
        <v>1576</v>
      </c>
      <c r="B399" s="33" t="s">
        <v>1568</v>
      </c>
      <c r="C399" s="33" t="s">
        <v>36</v>
      </c>
      <c r="D399" s="33" t="s">
        <v>1467</v>
      </c>
      <c r="E399" s="33" t="s">
        <v>1468</v>
      </c>
      <c r="F399" s="33" t="s">
        <v>316</v>
      </c>
      <c r="G399" s="35">
        <v>46219</v>
      </c>
      <c r="H399" s="33" t="s">
        <v>1478</v>
      </c>
      <c r="I399" s="33" t="s">
        <v>1479</v>
      </c>
      <c r="J399" s="34">
        <v>0.05</v>
      </c>
      <c r="K399" s="33" t="s">
        <v>1471</v>
      </c>
      <c r="L399" s="33" t="s">
        <v>1577</v>
      </c>
      <c r="M399" s="33" t="s">
        <v>1473</v>
      </c>
      <c r="N399" s="33" t="s">
        <v>1481</v>
      </c>
      <c r="O399" s="33" t="s">
        <v>1475</v>
      </c>
    </row>
    <row r="400">
      <c r="A400" s="33" t="s">
        <v>1578</v>
      </c>
      <c r="B400" s="33" t="s">
        <v>1579</v>
      </c>
      <c r="C400" s="33" t="s">
        <v>1466</v>
      </c>
      <c r="D400" s="33" t="s">
        <v>1467</v>
      </c>
      <c r="E400" s="33" t="s">
        <v>1468</v>
      </c>
      <c r="F400" s="33" t="s">
        <v>316</v>
      </c>
      <c r="G400" s="35">
        <v>46219</v>
      </c>
      <c r="H400" s="33" t="s">
        <v>1478</v>
      </c>
      <c r="I400" s="33" t="s">
        <v>1479</v>
      </c>
      <c r="J400" s="34">
        <v>0.05</v>
      </c>
      <c r="K400" s="33" t="s">
        <v>1471</v>
      </c>
      <c r="L400" s="33" t="s">
        <v>1580</v>
      </c>
      <c r="M400" s="33" t="s">
        <v>1473</v>
      </c>
      <c r="N400" s="33" t="s">
        <v>1481</v>
      </c>
      <c r="O400" s="33" t="s">
        <v>1475</v>
      </c>
    </row>
    <row r="401">
      <c r="A401" s="33" t="s">
        <v>1581</v>
      </c>
      <c r="B401" s="33" t="s">
        <v>1579</v>
      </c>
      <c r="C401" s="33" t="s">
        <v>1477</v>
      </c>
      <c r="D401" s="33" t="s">
        <v>1467</v>
      </c>
      <c r="E401" s="33" t="s">
        <v>1468</v>
      </c>
      <c r="F401" s="33" t="s">
        <v>316</v>
      </c>
      <c r="G401" s="35">
        <v>46219</v>
      </c>
      <c r="H401" s="33" t="s">
        <v>1478</v>
      </c>
      <c r="I401" s="33" t="s">
        <v>1479</v>
      </c>
      <c r="J401" s="34">
        <v>0.05</v>
      </c>
      <c r="K401" s="33" t="s">
        <v>1471</v>
      </c>
      <c r="L401" s="33" t="s">
        <v>1582</v>
      </c>
      <c r="M401" s="33" t="s">
        <v>1473</v>
      </c>
      <c r="N401" s="33" t="s">
        <v>1481</v>
      </c>
      <c r="O401" s="33" t="s">
        <v>1475</v>
      </c>
    </row>
    <row r="402">
      <c r="A402" s="33" t="s">
        <v>1583</v>
      </c>
      <c r="B402" s="33" t="s">
        <v>1579</v>
      </c>
      <c r="C402" s="33" t="s">
        <v>1483</v>
      </c>
      <c r="D402" s="33" t="s">
        <v>1467</v>
      </c>
      <c r="E402" s="33" t="s">
        <v>1468</v>
      </c>
      <c r="F402" s="33" t="s">
        <v>316</v>
      </c>
      <c r="G402" s="35">
        <v>46219</v>
      </c>
      <c r="H402" s="33" t="s">
        <v>1478</v>
      </c>
      <c r="I402" s="33" t="s">
        <v>1479</v>
      </c>
      <c r="J402" s="34">
        <v>0.05</v>
      </c>
      <c r="K402" s="33" t="s">
        <v>1471</v>
      </c>
      <c r="L402" s="33" t="s">
        <v>1584</v>
      </c>
      <c r="M402" s="33" t="s">
        <v>1473</v>
      </c>
      <c r="N402" s="33" t="s">
        <v>1481</v>
      </c>
      <c r="O402" s="33" t="s">
        <v>1475</v>
      </c>
    </row>
    <row r="403">
      <c r="A403" s="33" t="s">
        <v>1585</v>
      </c>
      <c r="B403" s="33" t="s">
        <v>1579</v>
      </c>
      <c r="C403" s="33" t="s">
        <v>1486</v>
      </c>
      <c r="D403" s="33" t="s">
        <v>1467</v>
      </c>
      <c r="E403" s="33" t="s">
        <v>1468</v>
      </c>
      <c r="F403" s="33" t="s">
        <v>316</v>
      </c>
      <c r="G403" s="35">
        <v>46219</v>
      </c>
      <c r="H403" s="33" t="s">
        <v>1478</v>
      </c>
      <c r="I403" s="33" t="s">
        <v>1479</v>
      </c>
      <c r="J403" s="34">
        <v>0.05</v>
      </c>
      <c r="K403" s="33" t="s">
        <v>1471</v>
      </c>
      <c r="L403" s="33" t="s">
        <v>1586</v>
      </c>
      <c r="M403" s="33" t="s">
        <v>1473</v>
      </c>
      <c r="N403" s="33" t="s">
        <v>1481</v>
      </c>
      <c r="O403" s="33" t="s">
        <v>1475</v>
      </c>
    </row>
    <row r="404">
      <c r="A404" s="33" t="s">
        <v>1587</v>
      </c>
      <c r="B404" s="33" t="s">
        <v>1579</v>
      </c>
      <c r="C404" s="33" t="s">
        <v>36</v>
      </c>
      <c r="D404" s="33" t="s">
        <v>1467</v>
      </c>
      <c r="E404" s="33" t="s">
        <v>1468</v>
      </c>
      <c r="F404" s="33" t="s">
        <v>316</v>
      </c>
      <c r="G404" s="35">
        <v>46219</v>
      </c>
      <c r="H404" s="33" t="s">
        <v>1478</v>
      </c>
      <c r="I404" s="33" t="s">
        <v>1479</v>
      </c>
      <c r="J404" s="34">
        <v>0.05</v>
      </c>
      <c r="K404" s="33" t="s">
        <v>1471</v>
      </c>
      <c r="L404" s="33" t="s">
        <v>1588</v>
      </c>
      <c r="M404" s="33" t="s">
        <v>1473</v>
      </c>
      <c r="N404" s="33" t="s">
        <v>1481</v>
      </c>
      <c r="O404" s="33" t="s">
        <v>1475</v>
      </c>
    </row>
    <row r="405">
      <c r="A405" s="33" t="s">
        <v>1589</v>
      </c>
      <c r="B405" s="33" t="s">
        <v>1590</v>
      </c>
      <c r="C405" s="33" t="s">
        <v>1466</v>
      </c>
      <c r="D405" s="33" t="s">
        <v>1467</v>
      </c>
      <c r="E405" s="33" t="s">
        <v>1468</v>
      </c>
      <c r="F405" s="33" t="s">
        <v>316</v>
      </c>
      <c r="G405" s="35">
        <v>46219</v>
      </c>
      <c r="H405" s="33" t="s">
        <v>1478</v>
      </c>
      <c r="I405" s="33" t="s">
        <v>1479</v>
      </c>
      <c r="J405" s="34">
        <v>0.04</v>
      </c>
      <c r="K405" s="33" t="s">
        <v>1471</v>
      </c>
      <c r="L405" s="33" t="s">
        <v>1591</v>
      </c>
      <c r="M405" s="33" t="s">
        <v>1473</v>
      </c>
      <c r="N405" s="33" t="s">
        <v>1481</v>
      </c>
      <c r="O405" s="33" t="s">
        <v>1475</v>
      </c>
    </row>
    <row r="406">
      <c r="A406" s="33" t="s">
        <v>1592</v>
      </c>
      <c r="B406" s="33" t="s">
        <v>1590</v>
      </c>
      <c r="C406" s="33" t="s">
        <v>1477</v>
      </c>
      <c r="D406" s="33" t="s">
        <v>1467</v>
      </c>
      <c r="E406" s="33" t="s">
        <v>1468</v>
      </c>
      <c r="F406" s="33" t="s">
        <v>316</v>
      </c>
      <c r="G406" s="35">
        <v>46219</v>
      </c>
      <c r="H406" s="33" t="s">
        <v>1478</v>
      </c>
      <c r="I406" s="33" t="s">
        <v>1479</v>
      </c>
      <c r="J406" s="34">
        <v>0.05</v>
      </c>
      <c r="K406" s="33" t="s">
        <v>1471</v>
      </c>
      <c r="L406" s="33" t="s">
        <v>1593</v>
      </c>
      <c r="M406" s="33" t="s">
        <v>1473</v>
      </c>
      <c r="N406" s="33" t="s">
        <v>1481</v>
      </c>
      <c r="O406" s="33" t="s">
        <v>1475</v>
      </c>
    </row>
    <row r="407">
      <c r="A407" s="33" t="s">
        <v>1594</v>
      </c>
      <c r="B407" s="33" t="s">
        <v>1590</v>
      </c>
      <c r="C407" s="33" t="s">
        <v>1483</v>
      </c>
      <c r="D407" s="33" t="s">
        <v>1467</v>
      </c>
      <c r="E407" s="33" t="s">
        <v>1468</v>
      </c>
      <c r="F407" s="33" t="s">
        <v>316</v>
      </c>
      <c r="G407" s="35">
        <v>46219</v>
      </c>
      <c r="H407" s="33" t="s">
        <v>1478</v>
      </c>
      <c r="I407" s="33" t="s">
        <v>1479</v>
      </c>
      <c r="J407" s="34">
        <v>0.05</v>
      </c>
      <c r="K407" s="33" t="s">
        <v>1471</v>
      </c>
      <c r="L407" s="33" t="s">
        <v>1595</v>
      </c>
      <c r="M407" s="33" t="s">
        <v>1473</v>
      </c>
      <c r="N407" s="33" t="s">
        <v>1481</v>
      </c>
      <c r="O407" s="33" t="s">
        <v>1475</v>
      </c>
    </row>
    <row r="408">
      <c r="A408" s="33" t="s">
        <v>1596</v>
      </c>
      <c r="B408" s="33" t="s">
        <v>1590</v>
      </c>
      <c r="C408" s="33" t="s">
        <v>1486</v>
      </c>
      <c r="D408" s="33" t="s">
        <v>1467</v>
      </c>
      <c r="E408" s="33" t="s">
        <v>1468</v>
      </c>
      <c r="F408" s="33" t="s">
        <v>316</v>
      </c>
      <c r="G408" s="35">
        <v>46219</v>
      </c>
      <c r="H408" s="33" t="s">
        <v>1478</v>
      </c>
      <c r="I408" s="33" t="s">
        <v>1479</v>
      </c>
      <c r="J408" s="34">
        <v>0.05</v>
      </c>
      <c r="K408" s="33" t="s">
        <v>1471</v>
      </c>
      <c r="L408" s="33" t="s">
        <v>1597</v>
      </c>
      <c r="M408" s="33" t="s">
        <v>1473</v>
      </c>
      <c r="N408" s="33" t="s">
        <v>1481</v>
      </c>
      <c r="O408" s="33" t="s">
        <v>1475</v>
      </c>
    </row>
    <row r="409">
      <c r="A409" s="33" t="s">
        <v>1598</v>
      </c>
      <c r="B409" s="33" t="s">
        <v>1590</v>
      </c>
      <c r="C409" s="33" t="s">
        <v>36</v>
      </c>
      <c r="D409" s="33" t="s">
        <v>1467</v>
      </c>
      <c r="E409" s="33" t="s">
        <v>1468</v>
      </c>
      <c r="F409" s="33" t="s">
        <v>316</v>
      </c>
      <c r="G409" s="35">
        <v>46219</v>
      </c>
      <c r="H409" s="33" t="s">
        <v>1478</v>
      </c>
      <c r="I409" s="33" t="s">
        <v>1479</v>
      </c>
      <c r="J409" s="34">
        <v>0.05</v>
      </c>
      <c r="K409" s="33" t="s">
        <v>1471</v>
      </c>
      <c r="L409" s="33" t="s">
        <v>1599</v>
      </c>
      <c r="M409" s="33" t="s">
        <v>1473</v>
      </c>
      <c r="N409" s="33" t="s">
        <v>1481</v>
      </c>
      <c r="O409" s="33" t="s">
        <v>1475</v>
      </c>
    </row>
    <row r="410">
      <c r="A410" s="33" t="s">
        <v>1600</v>
      </c>
      <c r="B410" s="33" t="s">
        <v>1601</v>
      </c>
      <c r="C410" s="33" t="s">
        <v>1466</v>
      </c>
      <c r="D410" s="33" t="s">
        <v>1467</v>
      </c>
      <c r="E410" s="33" t="s">
        <v>1468</v>
      </c>
      <c r="F410" s="33" t="s">
        <v>316</v>
      </c>
      <c r="G410" s="35">
        <v>46219</v>
      </c>
      <c r="H410" s="33" t="s">
        <v>1478</v>
      </c>
      <c r="I410" s="33" t="s">
        <v>1479</v>
      </c>
      <c r="J410" s="34">
        <v>0.05</v>
      </c>
      <c r="K410" s="33" t="s">
        <v>1471</v>
      </c>
      <c r="L410" s="33" t="s">
        <v>1602</v>
      </c>
      <c r="M410" s="33" t="s">
        <v>1473</v>
      </c>
      <c r="N410" s="33" t="s">
        <v>1481</v>
      </c>
      <c r="O410" s="33" t="s">
        <v>1475</v>
      </c>
    </row>
    <row r="411">
      <c r="A411" s="33" t="s">
        <v>1603</v>
      </c>
      <c r="B411" s="33" t="s">
        <v>1601</v>
      </c>
      <c r="C411" s="33" t="s">
        <v>1477</v>
      </c>
      <c r="D411" s="33" t="s">
        <v>1467</v>
      </c>
      <c r="E411" s="33" t="s">
        <v>1468</v>
      </c>
      <c r="F411" s="33" t="s">
        <v>316</v>
      </c>
      <c r="G411" s="35">
        <v>46219</v>
      </c>
      <c r="H411" s="33" t="s">
        <v>1478</v>
      </c>
      <c r="I411" s="33" t="s">
        <v>1479</v>
      </c>
      <c r="J411" s="34">
        <v>0.05</v>
      </c>
      <c r="K411" s="33" t="s">
        <v>1471</v>
      </c>
      <c r="L411" s="33" t="s">
        <v>1604</v>
      </c>
      <c r="M411" s="33" t="s">
        <v>1473</v>
      </c>
      <c r="N411" s="33" t="s">
        <v>1481</v>
      </c>
      <c r="O411" s="33" t="s">
        <v>1475</v>
      </c>
    </row>
    <row r="412">
      <c r="A412" s="33" t="s">
        <v>1605</v>
      </c>
      <c r="B412" s="33" t="s">
        <v>1601</v>
      </c>
      <c r="C412" s="33" t="s">
        <v>1483</v>
      </c>
      <c r="D412" s="33" t="s">
        <v>1467</v>
      </c>
      <c r="E412" s="33" t="s">
        <v>1468</v>
      </c>
      <c r="F412" s="33" t="s">
        <v>316</v>
      </c>
      <c r="G412" s="35">
        <v>46219</v>
      </c>
      <c r="H412" s="33" t="s">
        <v>1478</v>
      </c>
      <c r="I412" s="33" t="s">
        <v>1479</v>
      </c>
      <c r="J412" s="34">
        <v>0.05</v>
      </c>
      <c r="K412" s="33" t="s">
        <v>1471</v>
      </c>
      <c r="L412" s="33" t="s">
        <v>1606</v>
      </c>
      <c r="M412" s="33" t="s">
        <v>1473</v>
      </c>
      <c r="N412" s="33" t="s">
        <v>1481</v>
      </c>
      <c r="O412" s="33" t="s">
        <v>1475</v>
      </c>
    </row>
    <row r="413">
      <c r="A413" s="33" t="s">
        <v>1607</v>
      </c>
      <c r="B413" s="33" t="s">
        <v>1601</v>
      </c>
      <c r="C413" s="33" t="s">
        <v>1486</v>
      </c>
      <c r="D413" s="33" t="s">
        <v>1467</v>
      </c>
      <c r="E413" s="33" t="s">
        <v>1468</v>
      </c>
      <c r="F413" s="33" t="s">
        <v>316</v>
      </c>
      <c r="G413" s="35">
        <v>46219</v>
      </c>
      <c r="H413" s="33" t="s">
        <v>1478</v>
      </c>
      <c r="I413" s="33" t="s">
        <v>1479</v>
      </c>
      <c r="J413" s="34">
        <v>0.05</v>
      </c>
      <c r="K413" s="33" t="s">
        <v>1471</v>
      </c>
      <c r="L413" s="33" t="s">
        <v>1608</v>
      </c>
      <c r="M413" s="33" t="s">
        <v>1473</v>
      </c>
      <c r="N413" s="33" t="s">
        <v>1481</v>
      </c>
      <c r="O413" s="33" t="s">
        <v>1475</v>
      </c>
    </row>
    <row r="414">
      <c r="A414" s="33" t="s">
        <v>1609</v>
      </c>
      <c r="B414" s="33" t="s">
        <v>1601</v>
      </c>
      <c r="C414" s="33" t="s">
        <v>36</v>
      </c>
      <c r="D414" s="33" t="s">
        <v>1467</v>
      </c>
      <c r="E414" s="33" t="s">
        <v>1468</v>
      </c>
      <c r="F414" s="33" t="s">
        <v>316</v>
      </c>
      <c r="G414" s="35">
        <v>46219</v>
      </c>
      <c r="H414" s="33" t="s">
        <v>1478</v>
      </c>
      <c r="I414" s="33" t="s">
        <v>1479</v>
      </c>
      <c r="J414" s="34">
        <v>0.05</v>
      </c>
      <c r="K414" s="33" t="s">
        <v>1471</v>
      </c>
      <c r="L414" s="33" t="s">
        <v>1610</v>
      </c>
      <c r="M414" s="33" t="s">
        <v>1473</v>
      </c>
      <c r="N414" s="33" t="s">
        <v>1481</v>
      </c>
      <c r="O414" s="33" t="s">
        <v>1475</v>
      </c>
    </row>
    <row r="415">
      <c r="A415" s="33" t="s">
        <v>1611</v>
      </c>
      <c r="B415" s="33" t="s">
        <v>1612</v>
      </c>
      <c r="C415" s="33" t="s">
        <v>1466</v>
      </c>
      <c r="D415" s="33" t="s">
        <v>1467</v>
      </c>
      <c r="E415" s="33" t="s">
        <v>1468</v>
      </c>
      <c r="F415" s="33" t="s">
        <v>316</v>
      </c>
      <c r="G415" s="35">
        <v>46219</v>
      </c>
      <c r="H415" s="33" t="s">
        <v>1478</v>
      </c>
      <c r="I415" s="33" t="s">
        <v>1479</v>
      </c>
      <c r="J415" s="34">
        <v>0</v>
      </c>
      <c r="K415" s="33" t="s">
        <v>1471</v>
      </c>
      <c r="L415" s="33" t="s">
        <v>1613</v>
      </c>
      <c r="M415" s="33" t="s">
        <v>1473</v>
      </c>
      <c r="N415" s="33" t="s">
        <v>1481</v>
      </c>
      <c r="O415" s="33" t="s">
        <v>1475</v>
      </c>
    </row>
    <row r="416">
      <c r="A416" s="33" t="s">
        <v>1614</v>
      </c>
      <c r="B416" s="33" t="s">
        <v>1612</v>
      </c>
      <c r="C416" s="33" t="s">
        <v>1477</v>
      </c>
      <c r="D416" s="33" t="s">
        <v>1467</v>
      </c>
      <c r="E416" s="33" t="s">
        <v>1468</v>
      </c>
      <c r="F416" s="33" t="s">
        <v>316</v>
      </c>
      <c r="G416" s="35">
        <v>46219</v>
      </c>
      <c r="H416" s="33" t="s">
        <v>1478</v>
      </c>
      <c r="I416" s="33" t="s">
        <v>1479</v>
      </c>
      <c r="J416" s="34">
        <v>-0.009999999999999998</v>
      </c>
      <c r="K416" s="33" t="s">
        <v>1471</v>
      </c>
      <c r="L416" s="33" t="s">
        <v>1615</v>
      </c>
      <c r="M416" s="33" t="s">
        <v>1473</v>
      </c>
      <c r="N416" s="33" t="s">
        <v>1481</v>
      </c>
      <c r="O416" s="33" t="s">
        <v>1475</v>
      </c>
    </row>
    <row r="417">
      <c r="A417" s="33" t="s">
        <v>1616</v>
      </c>
      <c r="B417" s="33" t="s">
        <v>1612</v>
      </c>
      <c r="C417" s="33" t="s">
        <v>1483</v>
      </c>
      <c r="D417" s="33" t="s">
        <v>1467</v>
      </c>
      <c r="E417" s="33" t="s">
        <v>1468</v>
      </c>
      <c r="F417" s="33" t="s">
        <v>316</v>
      </c>
      <c r="G417" s="35">
        <v>46219</v>
      </c>
      <c r="H417" s="33" t="s">
        <v>1478</v>
      </c>
      <c r="I417" s="33" t="s">
        <v>1479</v>
      </c>
      <c r="J417" s="34">
        <v>-0.009999999999999998</v>
      </c>
      <c r="K417" s="33" t="s">
        <v>1471</v>
      </c>
      <c r="L417" s="33" t="s">
        <v>1617</v>
      </c>
      <c r="M417" s="33" t="s">
        <v>1473</v>
      </c>
      <c r="N417" s="33" t="s">
        <v>1481</v>
      </c>
      <c r="O417" s="33" t="s">
        <v>1475</v>
      </c>
    </row>
    <row r="418">
      <c r="A418" s="33" t="s">
        <v>1618</v>
      </c>
      <c r="B418" s="33" t="s">
        <v>1612</v>
      </c>
      <c r="C418" s="33" t="s">
        <v>1486</v>
      </c>
      <c r="D418" s="33" t="s">
        <v>1467</v>
      </c>
      <c r="E418" s="33" t="s">
        <v>1468</v>
      </c>
      <c r="F418" s="33" t="s">
        <v>316</v>
      </c>
      <c r="G418" s="35">
        <v>46219</v>
      </c>
      <c r="H418" s="33" t="s">
        <v>1478</v>
      </c>
      <c r="I418" s="33" t="s">
        <v>1479</v>
      </c>
      <c r="J418" s="34">
        <v>-0.009999999999999998</v>
      </c>
      <c r="K418" s="33" t="s">
        <v>1471</v>
      </c>
      <c r="L418" s="33" t="s">
        <v>1619</v>
      </c>
      <c r="M418" s="33" t="s">
        <v>1473</v>
      </c>
      <c r="N418" s="33" t="s">
        <v>1481</v>
      </c>
      <c r="O418" s="33" t="s">
        <v>1475</v>
      </c>
    </row>
    <row r="419">
      <c r="A419" s="33" t="s">
        <v>1620</v>
      </c>
      <c r="B419" s="33" t="s">
        <v>1612</v>
      </c>
      <c r="C419" s="33" t="s">
        <v>36</v>
      </c>
      <c r="D419" s="33" t="s">
        <v>1467</v>
      </c>
      <c r="E419" s="33" t="s">
        <v>1468</v>
      </c>
      <c r="F419" s="33" t="s">
        <v>316</v>
      </c>
      <c r="G419" s="35">
        <v>46219</v>
      </c>
      <c r="H419" s="33" t="s">
        <v>1478</v>
      </c>
      <c r="I419" s="33" t="s">
        <v>1479</v>
      </c>
      <c r="J419" s="34">
        <v>-0.009999999999999998</v>
      </c>
      <c r="K419" s="33" t="s">
        <v>1471</v>
      </c>
      <c r="L419" s="33" t="s">
        <v>1621</v>
      </c>
      <c r="M419" s="33" t="s">
        <v>1473</v>
      </c>
      <c r="N419" s="33" t="s">
        <v>1481</v>
      </c>
      <c r="O419" s="33" t="s">
        <v>1475</v>
      </c>
    </row>
    <row r="420">
      <c r="A420" s="33" t="s">
        <v>1622</v>
      </c>
      <c r="B420" s="33" t="s">
        <v>1623</v>
      </c>
      <c r="C420" s="33" t="s">
        <v>1466</v>
      </c>
      <c r="D420" s="33" t="s">
        <v>1467</v>
      </c>
      <c r="E420" s="33" t="s">
        <v>1468</v>
      </c>
      <c r="F420" s="33" t="s">
        <v>316</v>
      </c>
      <c r="G420" s="35">
        <v>46219</v>
      </c>
      <c r="H420" s="33" t="s">
        <v>1478</v>
      </c>
      <c r="I420" s="33" t="s">
        <v>1479</v>
      </c>
      <c r="J420" s="34">
        <v>0</v>
      </c>
      <c r="K420" s="33" t="s">
        <v>1471</v>
      </c>
      <c r="L420" s="33" t="s">
        <v>1624</v>
      </c>
      <c r="M420" s="33" t="s">
        <v>1473</v>
      </c>
      <c r="N420" s="33" t="s">
        <v>1481</v>
      </c>
      <c r="O420" s="33" t="s">
        <v>1475</v>
      </c>
    </row>
    <row r="421">
      <c r="A421" s="33" t="s">
        <v>1625</v>
      </c>
      <c r="B421" s="33" t="s">
        <v>1623</v>
      </c>
      <c r="C421" s="33" t="s">
        <v>1477</v>
      </c>
      <c r="D421" s="33" t="s">
        <v>1467</v>
      </c>
      <c r="E421" s="33" t="s">
        <v>1468</v>
      </c>
      <c r="F421" s="33" t="s">
        <v>316</v>
      </c>
      <c r="G421" s="35">
        <v>46219</v>
      </c>
      <c r="H421" s="33" t="s">
        <v>1478</v>
      </c>
      <c r="I421" s="33" t="s">
        <v>1479</v>
      </c>
      <c r="J421" s="34">
        <v>-0.009999999999999998</v>
      </c>
      <c r="K421" s="33" t="s">
        <v>1471</v>
      </c>
      <c r="L421" s="33" t="s">
        <v>1626</v>
      </c>
      <c r="M421" s="33" t="s">
        <v>1473</v>
      </c>
      <c r="N421" s="33" t="s">
        <v>1481</v>
      </c>
      <c r="O421" s="33" t="s">
        <v>1475</v>
      </c>
    </row>
    <row r="422">
      <c r="A422" s="33" t="s">
        <v>1627</v>
      </c>
      <c r="B422" s="33" t="s">
        <v>1623</v>
      </c>
      <c r="C422" s="33" t="s">
        <v>1483</v>
      </c>
      <c r="D422" s="33" t="s">
        <v>1467</v>
      </c>
      <c r="E422" s="33" t="s">
        <v>1468</v>
      </c>
      <c r="F422" s="33" t="s">
        <v>316</v>
      </c>
      <c r="G422" s="35">
        <v>46219</v>
      </c>
      <c r="H422" s="33" t="s">
        <v>1478</v>
      </c>
      <c r="I422" s="33" t="s">
        <v>1479</v>
      </c>
      <c r="J422" s="34">
        <v>-0.009999999999999998</v>
      </c>
      <c r="K422" s="33" t="s">
        <v>1471</v>
      </c>
      <c r="L422" s="33" t="s">
        <v>1628</v>
      </c>
      <c r="M422" s="33" t="s">
        <v>1473</v>
      </c>
      <c r="N422" s="33" t="s">
        <v>1481</v>
      </c>
      <c r="O422" s="33" t="s">
        <v>1475</v>
      </c>
    </row>
    <row r="423">
      <c r="A423" s="33" t="s">
        <v>1629</v>
      </c>
      <c r="B423" s="33" t="s">
        <v>1623</v>
      </c>
      <c r="C423" s="33" t="s">
        <v>1486</v>
      </c>
      <c r="D423" s="33" t="s">
        <v>1467</v>
      </c>
      <c r="E423" s="33" t="s">
        <v>1468</v>
      </c>
      <c r="F423" s="33" t="s">
        <v>316</v>
      </c>
      <c r="G423" s="35">
        <v>46219</v>
      </c>
      <c r="H423" s="33" t="s">
        <v>1478</v>
      </c>
      <c r="I423" s="33" t="s">
        <v>1479</v>
      </c>
      <c r="J423" s="34">
        <v>-0.009999999999999998</v>
      </c>
      <c r="K423" s="33" t="s">
        <v>1471</v>
      </c>
      <c r="L423" s="33" t="s">
        <v>1630</v>
      </c>
      <c r="M423" s="33" t="s">
        <v>1473</v>
      </c>
      <c r="N423" s="33" t="s">
        <v>1481</v>
      </c>
      <c r="O423" s="33" t="s">
        <v>1475</v>
      </c>
    </row>
    <row r="424">
      <c r="A424" s="33" t="s">
        <v>1631</v>
      </c>
      <c r="B424" s="33" t="s">
        <v>1623</v>
      </c>
      <c r="C424" s="33" t="s">
        <v>36</v>
      </c>
      <c r="D424" s="33" t="s">
        <v>1467</v>
      </c>
      <c r="E424" s="33" t="s">
        <v>1468</v>
      </c>
      <c r="F424" s="33" t="s">
        <v>316</v>
      </c>
      <c r="G424" s="35">
        <v>46219</v>
      </c>
      <c r="H424" s="33" t="s">
        <v>1478</v>
      </c>
      <c r="I424" s="33" t="s">
        <v>1479</v>
      </c>
      <c r="J424" s="34">
        <v>-0.009999999999999998</v>
      </c>
      <c r="K424" s="33" t="s">
        <v>1471</v>
      </c>
      <c r="L424" s="33" t="s">
        <v>1632</v>
      </c>
      <c r="M424" s="33" t="s">
        <v>1473</v>
      </c>
      <c r="N424" s="33" t="s">
        <v>1481</v>
      </c>
      <c r="O424" s="33" t="s">
        <v>1475</v>
      </c>
    </row>
    <row r="425">
      <c r="A425" s="33" t="s">
        <v>1633</v>
      </c>
      <c r="B425" s="33" t="s">
        <v>1634</v>
      </c>
      <c r="C425" s="33" t="s">
        <v>1466</v>
      </c>
      <c r="D425" s="33" t="s">
        <v>1467</v>
      </c>
      <c r="E425" s="33" t="s">
        <v>1468</v>
      </c>
      <c r="F425" s="33" t="s">
        <v>316</v>
      </c>
      <c r="G425" s="35">
        <v>46219</v>
      </c>
      <c r="H425" s="33" t="s">
        <v>1478</v>
      </c>
      <c r="I425" s="33" t="s">
        <v>1479</v>
      </c>
      <c r="J425" s="34">
        <v>0</v>
      </c>
      <c r="K425" s="33" t="s">
        <v>1471</v>
      </c>
      <c r="L425" s="33" t="s">
        <v>1635</v>
      </c>
      <c r="M425" s="33" t="s">
        <v>1473</v>
      </c>
      <c r="N425" s="33" t="s">
        <v>1481</v>
      </c>
      <c r="O425" s="33" t="s">
        <v>1475</v>
      </c>
    </row>
    <row r="426">
      <c r="A426" s="33" t="s">
        <v>1636</v>
      </c>
      <c r="B426" s="33" t="s">
        <v>1634</v>
      </c>
      <c r="C426" s="33" t="s">
        <v>1477</v>
      </c>
      <c r="D426" s="33" t="s">
        <v>1467</v>
      </c>
      <c r="E426" s="33" t="s">
        <v>1468</v>
      </c>
      <c r="F426" s="33" t="s">
        <v>316</v>
      </c>
      <c r="G426" s="35">
        <v>46219</v>
      </c>
      <c r="H426" s="33" t="s">
        <v>1478</v>
      </c>
      <c r="I426" s="33" t="s">
        <v>1479</v>
      </c>
      <c r="J426" s="34">
        <v>0</v>
      </c>
      <c r="K426" s="33" t="s">
        <v>1471</v>
      </c>
      <c r="L426" s="33" t="s">
        <v>1637</v>
      </c>
      <c r="M426" s="33" t="s">
        <v>1473</v>
      </c>
      <c r="N426" s="33" t="s">
        <v>1481</v>
      </c>
      <c r="O426" s="33" t="s">
        <v>1475</v>
      </c>
    </row>
    <row r="427">
      <c r="A427" s="33" t="s">
        <v>1638</v>
      </c>
      <c r="B427" s="33" t="s">
        <v>1634</v>
      </c>
      <c r="C427" s="33" t="s">
        <v>1483</v>
      </c>
      <c r="D427" s="33" t="s">
        <v>1467</v>
      </c>
      <c r="E427" s="33" t="s">
        <v>1468</v>
      </c>
      <c r="F427" s="33" t="s">
        <v>316</v>
      </c>
      <c r="G427" s="35">
        <v>46219</v>
      </c>
      <c r="H427" s="33" t="s">
        <v>1478</v>
      </c>
      <c r="I427" s="33" t="s">
        <v>1479</v>
      </c>
      <c r="J427" s="34">
        <v>0</v>
      </c>
      <c r="K427" s="33" t="s">
        <v>1471</v>
      </c>
      <c r="L427" s="33" t="s">
        <v>1639</v>
      </c>
      <c r="M427" s="33" t="s">
        <v>1473</v>
      </c>
      <c r="N427" s="33" t="s">
        <v>1481</v>
      </c>
      <c r="O427" s="33" t="s">
        <v>1475</v>
      </c>
    </row>
    <row r="428">
      <c r="A428" s="33" t="s">
        <v>1640</v>
      </c>
      <c r="B428" s="33" t="s">
        <v>1634</v>
      </c>
      <c r="C428" s="33" t="s">
        <v>1486</v>
      </c>
      <c r="D428" s="33" t="s">
        <v>1467</v>
      </c>
      <c r="E428" s="33" t="s">
        <v>1468</v>
      </c>
      <c r="F428" s="33" t="s">
        <v>316</v>
      </c>
      <c r="G428" s="35">
        <v>46219</v>
      </c>
      <c r="H428" s="33" t="s">
        <v>1478</v>
      </c>
      <c r="I428" s="33" t="s">
        <v>1479</v>
      </c>
      <c r="J428" s="34">
        <v>0</v>
      </c>
      <c r="K428" s="33" t="s">
        <v>1471</v>
      </c>
      <c r="L428" s="33" t="s">
        <v>1641</v>
      </c>
      <c r="M428" s="33" t="s">
        <v>1473</v>
      </c>
      <c r="N428" s="33" t="s">
        <v>1481</v>
      </c>
      <c r="O428" s="33" t="s">
        <v>1475</v>
      </c>
    </row>
    <row r="429">
      <c r="A429" s="33" t="s">
        <v>1642</v>
      </c>
      <c r="B429" s="33" t="s">
        <v>1634</v>
      </c>
      <c r="C429" s="33" t="s">
        <v>36</v>
      </c>
      <c r="D429" s="33" t="s">
        <v>1467</v>
      </c>
      <c r="E429" s="33" t="s">
        <v>1468</v>
      </c>
      <c r="F429" s="33" t="s">
        <v>316</v>
      </c>
      <c r="G429" s="35">
        <v>46219</v>
      </c>
      <c r="H429" s="33" t="s">
        <v>1478</v>
      </c>
      <c r="I429" s="33" t="s">
        <v>1479</v>
      </c>
      <c r="J429" s="34">
        <v>0</v>
      </c>
      <c r="K429" s="33" t="s">
        <v>1471</v>
      </c>
      <c r="L429" s="33" t="s">
        <v>1643</v>
      </c>
      <c r="M429" s="33" t="s">
        <v>1473</v>
      </c>
      <c r="N429" s="33" t="s">
        <v>1481</v>
      </c>
      <c r="O429" s="33" t="s">
        <v>1475</v>
      </c>
    </row>
    <row r="430">
      <c r="A430" s="33" t="s">
        <v>1644</v>
      </c>
      <c r="B430" s="33" t="s">
        <v>1645</v>
      </c>
      <c r="C430" s="33" t="s">
        <v>1466</v>
      </c>
      <c r="D430" s="33" t="s">
        <v>1467</v>
      </c>
      <c r="E430" s="33" t="s">
        <v>1468</v>
      </c>
      <c r="F430" s="33" t="s">
        <v>316</v>
      </c>
      <c r="G430" s="35">
        <v>46219</v>
      </c>
      <c r="H430" s="33" t="s">
        <v>1478</v>
      </c>
      <c r="I430" s="33" t="s">
        <v>1479</v>
      </c>
      <c r="J430" s="34">
        <v>0</v>
      </c>
      <c r="K430" s="33" t="s">
        <v>1471</v>
      </c>
      <c r="L430" s="33" t="s">
        <v>1646</v>
      </c>
      <c r="M430" s="33" t="s">
        <v>1473</v>
      </c>
      <c r="N430" s="33" t="s">
        <v>1481</v>
      </c>
      <c r="O430" s="33" t="s">
        <v>1475</v>
      </c>
    </row>
    <row r="431">
      <c r="A431" s="33" t="s">
        <v>1647</v>
      </c>
      <c r="B431" s="33" t="s">
        <v>1645</v>
      </c>
      <c r="C431" s="33" t="s">
        <v>1477</v>
      </c>
      <c r="D431" s="33" t="s">
        <v>1467</v>
      </c>
      <c r="E431" s="33" t="s">
        <v>1468</v>
      </c>
      <c r="F431" s="33" t="s">
        <v>316</v>
      </c>
      <c r="G431" s="35">
        <v>46219</v>
      </c>
      <c r="H431" s="33" t="s">
        <v>1478</v>
      </c>
      <c r="I431" s="33" t="s">
        <v>1479</v>
      </c>
      <c r="J431" s="34">
        <v>0</v>
      </c>
      <c r="K431" s="33" t="s">
        <v>1471</v>
      </c>
      <c r="L431" s="33" t="s">
        <v>1648</v>
      </c>
      <c r="M431" s="33" t="s">
        <v>1473</v>
      </c>
      <c r="N431" s="33" t="s">
        <v>1481</v>
      </c>
      <c r="O431" s="33" t="s">
        <v>1475</v>
      </c>
    </row>
    <row r="432">
      <c r="A432" s="33" t="s">
        <v>1649</v>
      </c>
      <c r="B432" s="33" t="s">
        <v>1645</v>
      </c>
      <c r="C432" s="33" t="s">
        <v>1483</v>
      </c>
      <c r="D432" s="33" t="s">
        <v>1467</v>
      </c>
      <c r="E432" s="33" t="s">
        <v>1468</v>
      </c>
      <c r="F432" s="33" t="s">
        <v>316</v>
      </c>
      <c r="G432" s="35">
        <v>46219</v>
      </c>
      <c r="H432" s="33" t="s">
        <v>1478</v>
      </c>
      <c r="I432" s="33" t="s">
        <v>1479</v>
      </c>
      <c r="J432" s="34">
        <v>0</v>
      </c>
      <c r="K432" s="33" t="s">
        <v>1471</v>
      </c>
      <c r="L432" s="33" t="s">
        <v>1650</v>
      </c>
      <c r="M432" s="33" t="s">
        <v>1473</v>
      </c>
      <c r="N432" s="33" t="s">
        <v>1481</v>
      </c>
      <c r="O432" s="33" t="s">
        <v>1475</v>
      </c>
    </row>
    <row r="433">
      <c r="A433" s="33" t="s">
        <v>1651</v>
      </c>
      <c r="B433" s="33" t="s">
        <v>1645</v>
      </c>
      <c r="C433" s="33" t="s">
        <v>1486</v>
      </c>
      <c r="D433" s="33" t="s">
        <v>1467</v>
      </c>
      <c r="E433" s="33" t="s">
        <v>1468</v>
      </c>
      <c r="F433" s="33" t="s">
        <v>316</v>
      </c>
      <c r="G433" s="35">
        <v>46219</v>
      </c>
      <c r="H433" s="33" t="s">
        <v>1478</v>
      </c>
      <c r="I433" s="33" t="s">
        <v>1479</v>
      </c>
      <c r="J433" s="34">
        <v>0</v>
      </c>
      <c r="K433" s="33" t="s">
        <v>1471</v>
      </c>
      <c r="L433" s="33" t="s">
        <v>1652</v>
      </c>
      <c r="M433" s="33" t="s">
        <v>1473</v>
      </c>
      <c r="N433" s="33" t="s">
        <v>1481</v>
      </c>
      <c r="O433" s="33" t="s">
        <v>1475</v>
      </c>
    </row>
    <row r="434">
      <c r="A434" s="33" t="s">
        <v>1653</v>
      </c>
      <c r="B434" s="33" t="s">
        <v>1645</v>
      </c>
      <c r="C434" s="33" t="s">
        <v>36</v>
      </c>
      <c r="D434" s="33" t="s">
        <v>1467</v>
      </c>
      <c r="E434" s="33" t="s">
        <v>1468</v>
      </c>
      <c r="F434" s="33" t="s">
        <v>316</v>
      </c>
      <c r="G434" s="35">
        <v>46219</v>
      </c>
      <c r="H434" s="33" t="s">
        <v>1478</v>
      </c>
      <c r="I434" s="33" t="s">
        <v>1479</v>
      </c>
      <c r="J434" s="34">
        <v>0</v>
      </c>
      <c r="K434" s="33" t="s">
        <v>1471</v>
      </c>
      <c r="L434" s="33" t="s">
        <v>1654</v>
      </c>
      <c r="M434" s="33" t="s">
        <v>1473</v>
      </c>
      <c r="N434" s="33" t="s">
        <v>1481</v>
      </c>
      <c r="O434" s="33" t="s">
        <v>1475</v>
      </c>
    </row>
    <row r="435">
      <c r="A435" s="33" t="s">
        <v>1655</v>
      </c>
      <c r="B435" s="33" t="s">
        <v>1656</v>
      </c>
      <c r="C435" s="33" t="s">
        <v>1466</v>
      </c>
      <c r="D435" s="33" t="s">
        <v>1467</v>
      </c>
      <c r="E435" s="33" t="s">
        <v>1468</v>
      </c>
      <c r="F435" s="33" t="s">
        <v>316</v>
      </c>
      <c r="G435" s="35">
        <v>46219</v>
      </c>
      <c r="H435" s="33" t="s">
        <v>1478</v>
      </c>
      <c r="I435" s="33" t="s">
        <v>1479</v>
      </c>
      <c r="J435" s="34">
        <v>-0.009999999999999998</v>
      </c>
      <c r="K435" s="33" t="s">
        <v>1471</v>
      </c>
      <c r="L435" s="33" t="s">
        <v>1657</v>
      </c>
      <c r="M435" s="33" t="s">
        <v>1473</v>
      </c>
      <c r="N435" s="33" t="s">
        <v>1481</v>
      </c>
      <c r="O435" s="33" t="s">
        <v>1475</v>
      </c>
    </row>
    <row r="436">
      <c r="A436" s="33" t="s">
        <v>1658</v>
      </c>
      <c r="B436" s="33" t="s">
        <v>1656</v>
      </c>
      <c r="C436" s="33" t="s">
        <v>1477</v>
      </c>
      <c r="D436" s="33" t="s">
        <v>1467</v>
      </c>
      <c r="E436" s="33" t="s">
        <v>1468</v>
      </c>
      <c r="F436" s="33" t="s">
        <v>316</v>
      </c>
      <c r="G436" s="35">
        <v>46219</v>
      </c>
      <c r="H436" s="33" t="s">
        <v>1478</v>
      </c>
      <c r="I436" s="33" t="s">
        <v>1479</v>
      </c>
      <c r="J436" s="34">
        <v>0</v>
      </c>
      <c r="K436" s="33" t="s">
        <v>1471</v>
      </c>
      <c r="L436" s="33" t="s">
        <v>1659</v>
      </c>
      <c r="M436" s="33" t="s">
        <v>1473</v>
      </c>
      <c r="N436" s="33" t="s">
        <v>1481</v>
      </c>
      <c r="O436" s="33" t="s">
        <v>1475</v>
      </c>
    </row>
    <row r="437">
      <c r="A437" s="33" t="s">
        <v>1660</v>
      </c>
      <c r="B437" s="33" t="s">
        <v>1656</v>
      </c>
      <c r="C437" s="33" t="s">
        <v>1483</v>
      </c>
      <c r="D437" s="33" t="s">
        <v>1467</v>
      </c>
      <c r="E437" s="33" t="s">
        <v>1468</v>
      </c>
      <c r="F437" s="33" t="s">
        <v>316</v>
      </c>
      <c r="G437" s="35">
        <v>46219</v>
      </c>
      <c r="H437" s="33" t="s">
        <v>1478</v>
      </c>
      <c r="I437" s="33" t="s">
        <v>1479</v>
      </c>
      <c r="J437" s="34">
        <v>0</v>
      </c>
      <c r="K437" s="33" t="s">
        <v>1471</v>
      </c>
      <c r="L437" s="33" t="s">
        <v>1661</v>
      </c>
      <c r="M437" s="33" t="s">
        <v>1473</v>
      </c>
      <c r="N437" s="33" t="s">
        <v>1481</v>
      </c>
      <c r="O437" s="33" t="s">
        <v>1475</v>
      </c>
    </row>
    <row r="438">
      <c r="A438" s="33" t="s">
        <v>1662</v>
      </c>
      <c r="B438" s="33" t="s">
        <v>1656</v>
      </c>
      <c r="C438" s="33" t="s">
        <v>1486</v>
      </c>
      <c r="D438" s="33" t="s">
        <v>1467</v>
      </c>
      <c r="E438" s="33" t="s">
        <v>1468</v>
      </c>
      <c r="F438" s="33" t="s">
        <v>316</v>
      </c>
      <c r="G438" s="35">
        <v>46219</v>
      </c>
      <c r="H438" s="33" t="s">
        <v>1478</v>
      </c>
      <c r="I438" s="33" t="s">
        <v>1479</v>
      </c>
      <c r="J438" s="34">
        <v>0</v>
      </c>
      <c r="K438" s="33" t="s">
        <v>1471</v>
      </c>
      <c r="L438" s="33" t="s">
        <v>1663</v>
      </c>
      <c r="M438" s="33" t="s">
        <v>1473</v>
      </c>
      <c r="N438" s="33" t="s">
        <v>1481</v>
      </c>
      <c r="O438" s="33" t="s">
        <v>1475</v>
      </c>
    </row>
    <row r="439">
      <c r="A439" s="33" t="s">
        <v>1664</v>
      </c>
      <c r="B439" s="33" t="s">
        <v>1656</v>
      </c>
      <c r="C439" s="33" t="s">
        <v>36</v>
      </c>
      <c r="D439" s="33" t="s">
        <v>1467</v>
      </c>
      <c r="E439" s="33" t="s">
        <v>1468</v>
      </c>
      <c r="F439" s="33" t="s">
        <v>316</v>
      </c>
      <c r="G439" s="35">
        <v>46219</v>
      </c>
      <c r="H439" s="33" t="s">
        <v>1478</v>
      </c>
      <c r="I439" s="33" t="s">
        <v>1479</v>
      </c>
      <c r="J439" s="34">
        <v>0</v>
      </c>
      <c r="K439" s="33" t="s">
        <v>1471</v>
      </c>
      <c r="L439" s="33" t="s">
        <v>1665</v>
      </c>
      <c r="M439" s="33" t="s">
        <v>1473</v>
      </c>
      <c r="N439" s="33" t="s">
        <v>1481</v>
      </c>
      <c r="O439" s="33" t="s">
        <v>1475</v>
      </c>
    </row>
    <row r="440">
      <c r="A440" s="33" t="s">
        <v>1666</v>
      </c>
      <c r="B440" s="33" t="s">
        <v>1667</v>
      </c>
      <c r="C440" s="33" t="s">
        <v>1466</v>
      </c>
      <c r="D440" s="33" t="s">
        <v>1467</v>
      </c>
      <c r="E440" s="33" t="s">
        <v>1468</v>
      </c>
      <c r="F440" s="33" t="s">
        <v>316</v>
      </c>
      <c r="G440" s="35">
        <v>46219</v>
      </c>
      <c r="H440" s="33" t="s">
        <v>1478</v>
      </c>
      <c r="I440" s="33" t="s">
        <v>1479</v>
      </c>
      <c r="J440" s="34">
        <v>0</v>
      </c>
      <c r="K440" s="33" t="s">
        <v>1471</v>
      </c>
      <c r="L440" s="33" t="s">
        <v>1668</v>
      </c>
      <c r="M440" s="33" t="s">
        <v>1473</v>
      </c>
      <c r="N440" s="33" t="s">
        <v>1481</v>
      </c>
      <c r="O440" s="33" t="s">
        <v>1475</v>
      </c>
    </row>
    <row r="441">
      <c r="A441" s="33" t="s">
        <v>1669</v>
      </c>
      <c r="B441" s="33" t="s">
        <v>1667</v>
      </c>
      <c r="C441" s="33" t="s">
        <v>1477</v>
      </c>
      <c r="D441" s="33" t="s">
        <v>1467</v>
      </c>
      <c r="E441" s="33" t="s">
        <v>1468</v>
      </c>
      <c r="F441" s="33" t="s">
        <v>316</v>
      </c>
      <c r="G441" s="35">
        <v>46219</v>
      </c>
      <c r="H441" s="33" t="s">
        <v>1478</v>
      </c>
      <c r="I441" s="33" t="s">
        <v>1479</v>
      </c>
      <c r="J441" s="34">
        <v>0</v>
      </c>
      <c r="K441" s="33" t="s">
        <v>1471</v>
      </c>
      <c r="L441" s="33" t="s">
        <v>1670</v>
      </c>
      <c r="M441" s="33" t="s">
        <v>1473</v>
      </c>
      <c r="N441" s="33" t="s">
        <v>1481</v>
      </c>
      <c r="O441" s="33" t="s">
        <v>1475</v>
      </c>
    </row>
    <row r="442">
      <c r="A442" s="33" t="s">
        <v>1671</v>
      </c>
      <c r="B442" s="33" t="s">
        <v>1667</v>
      </c>
      <c r="C442" s="33" t="s">
        <v>1483</v>
      </c>
      <c r="D442" s="33" t="s">
        <v>1467</v>
      </c>
      <c r="E442" s="33" t="s">
        <v>1468</v>
      </c>
      <c r="F442" s="33" t="s">
        <v>316</v>
      </c>
      <c r="G442" s="35">
        <v>46219</v>
      </c>
      <c r="H442" s="33" t="s">
        <v>1478</v>
      </c>
      <c r="I442" s="33" t="s">
        <v>1479</v>
      </c>
      <c r="J442" s="34">
        <v>0</v>
      </c>
      <c r="K442" s="33" t="s">
        <v>1471</v>
      </c>
      <c r="L442" s="33" t="s">
        <v>1672</v>
      </c>
      <c r="M442" s="33" t="s">
        <v>1473</v>
      </c>
      <c r="N442" s="33" t="s">
        <v>1481</v>
      </c>
      <c r="O442" s="33" t="s">
        <v>1475</v>
      </c>
    </row>
    <row r="443">
      <c r="A443" s="33" t="s">
        <v>1673</v>
      </c>
      <c r="B443" s="33" t="s">
        <v>1667</v>
      </c>
      <c r="C443" s="33" t="s">
        <v>1486</v>
      </c>
      <c r="D443" s="33" t="s">
        <v>1467</v>
      </c>
      <c r="E443" s="33" t="s">
        <v>1468</v>
      </c>
      <c r="F443" s="33" t="s">
        <v>316</v>
      </c>
      <c r="G443" s="35">
        <v>46219</v>
      </c>
      <c r="H443" s="33" t="s">
        <v>1478</v>
      </c>
      <c r="I443" s="33" t="s">
        <v>1479</v>
      </c>
      <c r="J443" s="34">
        <v>0</v>
      </c>
      <c r="K443" s="33" t="s">
        <v>1471</v>
      </c>
      <c r="L443" s="33" t="s">
        <v>1674</v>
      </c>
      <c r="M443" s="33" t="s">
        <v>1473</v>
      </c>
      <c r="N443" s="33" t="s">
        <v>1481</v>
      </c>
      <c r="O443" s="33" t="s">
        <v>1475</v>
      </c>
    </row>
    <row r="444">
      <c r="A444" s="33" t="s">
        <v>1675</v>
      </c>
      <c r="B444" s="33" t="s">
        <v>1667</v>
      </c>
      <c r="C444" s="33" t="s">
        <v>36</v>
      </c>
      <c r="D444" s="33" t="s">
        <v>1467</v>
      </c>
      <c r="E444" s="33" t="s">
        <v>1468</v>
      </c>
      <c r="F444" s="33" t="s">
        <v>316</v>
      </c>
      <c r="G444" s="35">
        <v>46219</v>
      </c>
      <c r="H444" s="33" t="s">
        <v>1478</v>
      </c>
      <c r="I444" s="33" t="s">
        <v>1479</v>
      </c>
      <c r="J444" s="34">
        <v>0</v>
      </c>
      <c r="K444" s="33" t="s">
        <v>1471</v>
      </c>
      <c r="L444" s="33" t="s">
        <v>1676</v>
      </c>
      <c r="M444" s="33" t="s">
        <v>1473</v>
      </c>
      <c r="N444" s="33" t="s">
        <v>1481</v>
      </c>
      <c r="O444" s="33" t="s">
        <v>1475</v>
      </c>
    </row>
    <row r="445">
      <c r="A445" s="33" t="s">
        <v>1677</v>
      </c>
      <c r="B445" s="33" t="s">
        <v>1678</v>
      </c>
      <c r="C445" s="33" t="s">
        <v>1466</v>
      </c>
      <c r="D445" s="33" t="s">
        <v>1679</v>
      </c>
      <c r="E445" s="33" t="s">
        <v>1680</v>
      </c>
      <c r="F445" s="33" t="s">
        <v>1681</v>
      </c>
      <c r="G445" s="35">
        <v>46219</v>
      </c>
      <c r="H445" s="33" t="s">
        <v>1469</v>
      </c>
      <c r="I445" s="33" t="s">
        <v>1682</v>
      </c>
      <c r="J445" s="34">
        <v>-0.0191</v>
      </c>
      <c r="K445" s="33" t="s">
        <v>1471</v>
      </c>
      <c r="L445" s="33" t="s">
        <v>1683</v>
      </c>
      <c r="M445" s="33" t="s">
        <v>1684</v>
      </c>
      <c r="N445" s="33" t="s">
        <v>1685</v>
      </c>
      <c r="O445" s="33" t="s">
        <v>1475</v>
      </c>
    </row>
    <row r="446">
      <c r="A446" s="33" t="s">
        <v>1686</v>
      </c>
      <c r="B446" s="33" t="s">
        <v>1678</v>
      </c>
      <c r="C446" s="33" t="s">
        <v>1477</v>
      </c>
      <c r="D446" s="33" t="s">
        <v>1467</v>
      </c>
      <c r="E446" s="33" t="s">
        <v>1468</v>
      </c>
      <c r="F446" s="33" t="s">
        <v>316</v>
      </c>
      <c r="G446" s="35">
        <v>46219</v>
      </c>
      <c r="H446" s="33" t="s">
        <v>1478</v>
      </c>
      <c r="I446" s="33" t="s">
        <v>1479</v>
      </c>
      <c r="J446" s="34">
        <v>-0.005</v>
      </c>
      <c r="K446" s="33" t="s">
        <v>1471</v>
      </c>
      <c r="L446" s="33" t="s">
        <v>1687</v>
      </c>
      <c r="M446" s="33" t="s">
        <v>1473</v>
      </c>
      <c r="N446" s="33" t="s">
        <v>1481</v>
      </c>
      <c r="O446" s="33" t="s">
        <v>1475</v>
      </c>
    </row>
    <row r="447">
      <c r="A447" s="33" t="s">
        <v>1688</v>
      </c>
      <c r="B447" s="33" t="s">
        <v>1678</v>
      </c>
      <c r="C447" s="33" t="s">
        <v>1483</v>
      </c>
      <c r="D447" s="33" t="s">
        <v>1467</v>
      </c>
      <c r="E447" s="33" t="s">
        <v>1468</v>
      </c>
      <c r="F447" s="33" t="s">
        <v>316</v>
      </c>
      <c r="G447" s="35">
        <v>46219</v>
      </c>
      <c r="H447" s="33" t="s">
        <v>1478</v>
      </c>
      <c r="I447" s="33" t="s">
        <v>1479</v>
      </c>
      <c r="J447" s="34">
        <v>0</v>
      </c>
      <c r="K447" s="33" t="s">
        <v>1471</v>
      </c>
      <c r="L447" s="33" t="s">
        <v>1689</v>
      </c>
      <c r="M447" s="33" t="s">
        <v>1473</v>
      </c>
      <c r="N447" s="33" t="s">
        <v>1481</v>
      </c>
      <c r="O447" s="33" t="s">
        <v>1475</v>
      </c>
    </row>
    <row r="448">
      <c r="A448" s="33" t="s">
        <v>1690</v>
      </c>
      <c r="B448" s="33" t="s">
        <v>1678</v>
      </c>
      <c r="C448" s="33" t="s">
        <v>1486</v>
      </c>
      <c r="D448" s="33" t="s">
        <v>1467</v>
      </c>
      <c r="E448" s="33" t="s">
        <v>1468</v>
      </c>
      <c r="F448" s="33" t="s">
        <v>316</v>
      </c>
      <c r="G448" s="35">
        <v>46219</v>
      </c>
      <c r="H448" s="33" t="s">
        <v>1478</v>
      </c>
      <c r="I448" s="33" t="s">
        <v>1479</v>
      </c>
      <c r="J448" s="34">
        <v>0.005</v>
      </c>
      <c r="K448" s="33" t="s">
        <v>1471</v>
      </c>
      <c r="L448" s="33" t="s">
        <v>1691</v>
      </c>
      <c r="M448" s="33" t="s">
        <v>1473</v>
      </c>
      <c r="N448" s="33" t="s">
        <v>1481</v>
      </c>
      <c r="O448" s="33" t="s">
        <v>1475</v>
      </c>
    </row>
    <row r="449">
      <c r="A449" s="33" t="s">
        <v>1692</v>
      </c>
      <c r="B449" s="33" t="s">
        <v>1678</v>
      </c>
      <c r="C449" s="33" t="s">
        <v>36</v>
      </c>
      <c r="D449" s="33" t="s">
        <v>1467</v>
      </c>
      <c r="E449" s="33" t="s">
        <v>1468</v>
      </c>
      <c r="F449" s="33" t="s">
        <v>316</v>
      </c>
      <c r="G449" s="35">
        <v>46219</v>
      </c>
      <c r="H449" s="33" t="s">
        <v>1478</v>
      </c>
      <c r="I449" s="33" t="s">
        <v>1479</v>
      </c>
      <c r="J449" s="34">
        <v>0.01</v>
      </c>
      <c r="K449" s="33" t="s">
        <v>1471</v>
      </c>
      <c r="L449" s="33" t="s">
        <v>1693</v>
      </c>
      <c r="M449" s="33" t="s">
        <v>1473</v>
      </c>
      <c r="N449" s="33" t="s">
        <v>1481</v>
      </c>
      <c r="O449" s="33" t="s">
        <v>1475</v>
      </c>
    </row>
    <row r="450">
      <c r="A450" s="33" t="s">
        <v>1694</v>
      </c>
      <c r="B450" s="33" t="s">
        <v>1695</v>
      </c>
      <c r="C450" s="33" t="s">
        <v>1466</v>
      </c>
      <c r="D450" s="33" t="s">
        <v>1679</v>
      </c>
      <c r="E450" s="33" t="s">
        <v>1680</v>
      </c>
      <c r="F450" s="33" t="s">
        <v>1681</v>
      </c>
      <c r="G450" s="35">
        <v>46219</v>
      </c>
      <c r="H450" s="33" t="s">
        <v>1469</v>
      </c>
      <c r="I450" s="33" t="s">
        <v>1682</v>
      </c>
      <c r="J450" s="34">
        <v>0.0462</v>
      </c>
      <c r="K450" s="33" t="s">
        <v>1471</v>
      </c>
      <c r="L450" s="33" t="s">
        <v>1696</v>
      </c>
      <c r="M450" s="33" t="s">
        <v>1684</v>
      </c>
      <c r="N450" s="33" t="s">
        <v>1685</v>
      </c>
      <c r="O450" s="33" t="s">
        <v>1475</v>
      </c>
    </row>
    <row r="451">
      <c r="A451" s="33" t="s">
        <v>1697</v>
      </c>
      <c r="B451" s="33" t="s">
        <v>1695</v>
      </c>
      <c r="C451" s="33" t="s">
        <v>1477</v>
      </c>
      <c r="D451" s="33" t="s">
        <v>1467</v>
      </c>
      <c r="E451" s="33" t="s">
        <v>1468</v>
      </c>
      <c r="F451" s="33" t="s">
        <v>316</v>
      </c>
      <c r="G451" s="35">
        <v>46219</v>
      </c>
      <c r="H451" s="33" t="s">
        <v>1478</v>
      </c>
      <c r="I451" s="33" t="s">
        <v>1479</v>
      </c>
      <c r="J451" s="34">
        <v>0.047</v>
      </c>
      <c r="K451" s="33" t="s">
        <v>1471</v>
      </c>
      <c r="L451" s="33" t="s">
        <v>1698</v>
      </c>
      <c r="M451" s="33" t="s">
        <v>1473</v>
      </c>
      <c r="N451" s="33" t="s">
        <v>1481</v>
      </c>
      <c r="O451" s="33" t="s">
        <v>1475</v>
      </c>
    </row>
    <row r="452">
      <c r="A452" s="33" t="s">
        <v>1699</v>
      </c>
      <c r="B452" s="33" t="s">
        <v>1695</v>
      </c>
      <c r="C452" s="33" t="s">
        <v>1483</v>
      </c>
      <c r="D452" s="33" t="s">
        <v>1467</v>
      </c>
      <c r="E452" s="33" t="s">
        <v>1468</v>
      </c>
      <c r="F452" s="33" t="s">
        <v>316</v>
      </c>
      <c r="G452" s="35">
        <v>46219</v>
      </c>
      <c r="H452" s="33" t="s">
        <v>1478</v>
      </c>
      <c r="I452" s="33" t="s">
        <v>1479</v>
      </c>
      <c r="J452" s="34">
        <v>0.048</v>
      </c>
      <c r="K452" s="33" t="s">
        <v>1471</v>
      </c>
      <c r="L452" s="33" t="s">
        <v>1700</v>
      </c>
      <c r="M452" s="33" t="s">
        <v>1473</v>
      </c>
      <c r="N452" s="33" t="s">
        <v>1481</v>
      </c>
      <c r="O452" s="33" t="s">
        <v>1475</v>
      </c>
    </row>
    <row r="453">
      <c r="A453" s="33" t="s">
        <v>1701</v>
      </c>
      <c r="B453" s="33" t="s">
        <v>1695</v>
      </c>
      <c r="C453" s="33" t="s">
        <v>1486</v>
      </c>
      <c r="D453" s="33" t="s">
        <v>1467</v>
      </c>
      <c r="E453" s="33" t="s">
        <v>1468</v>
      </c>
      <c r="F453" s="33" t="s">
        <v>316</v>
      </c>
      <c r="G453" s="35">
        <v>46219</v>
      </c>
      <c r="H453" s="33" t="s">
        <v>1478</v>
      </c>
      <c r="I453" s="33" t="s">
        <v>1479</v>
      </c>
      <c r="J453" s="34">
        <v>0.049</v>
      </c>
      <c r="K453" s="33" t="s">
        <v>1471</v>
      </c>
      <c r="L453" s="33" t="s">
        <v>1702</v>
      </c>
      <c r="M453" s="33" t="s">
        <v>1473</v>
      </c>
      <c r="N453" s="33" t="s">
        <v>1481</v>
      </c>
      <c r="O453" s="33" t="s">
        <v>1475</v>
      </c>
    </row>
    <row r="454">
      <c r="A454" s="33" t="s">
        <v>1703</v>
      </c>
      <c r="B454" s="33" t="s">
        <v>1695</v>
      </c>
      <c r="C454" s="33" t="s">
        <v>36</v>
      </c>
      <c r="D454" s="33" t="s">
        <v>1467</v>
      </c>
      <c r="E454" s="33" t="s">
        <v>1468</v>
      </c>
      <c r="F454" s="33" t="s">
        <v>316</v>
      </c>
      <c r="G454" s="35">
        <v>46219</v>
      </c>
      <c r="H454" s="33" t="s">
        <v>1478</v>
      </c>
      <c r="I454" s="33" t="s">
        <v>1479</v>
      </c>
      <c r="J454" s="34">
        <v>0.05</v>
      </c>
      <c r="K454" s="33" t="s">
        <v>1471</v>
      </c>
      <c r="L454" s="33" t="s">
        <v>1704</v>
      </c>
      <c r="M454" s="33" t="s">
        <v>1473</v>
      </c>
      <c r="N454" s="33" t="s">
        <v>1481</v>
      </c>
      <c r="O454" s="33" t="s">
        <v>1475</v>
      </c>
    </row>
    <row r="455">
      <c r="A455" s="33" t="s">
        <v>1705</v>
      </c>
      <c r="B455" s="33" t="s">
        <v>1706</v>
      </c>
      <c r="C455" s="33" t="s">
        <v>1466</v>
      </c>
      <c r="D455" s="33" t="s">
        <v>1679</v>
      </c>
      <c r="E455" s="33" t="s">
        <v>1680</v>
      </c>
      <c r="F455" s="33" t="s">
        <v>1681</v>
      </c>
      <c r="G455" s="35">
        <v>46219</v>
      </c>
      <c r="H455" s="33" t="s">
        <v>1469</v>
      </c>
      <c r="I455" s="33" t="s">
        <v>1682</v>
      </c>
      <c r="J455" s="34">
        <v>0.1139</v>
      </c>
      <c r="K455" s="33" t="s">
        <v>1471</v>
      </c>
      <c r="L455" s="33" t="s">
        <v>1707</v>
      </c>
      <c r="M455" s="33" t="s">
        <v>1684</v>
      </c>
      <c r="N455" s="33" t="s">
        <v>1685</v>
      </c>
      <c r="O455" s="33" t="s">
        <v>1475</v>
      </c>
    </row>
    <row r="456">
      <c r="A456" s="33" t="s">
        <v>1708</v>
      </c>
      <c r="B456" s="33" t="s">
        <v>1706</v>
      </c>
      <c r="C456" s="33" t="s">
        <v>1477</v>
      </c>
      <c r="D456" s="33" t="s">
        <v>1467</v>
      </c>
      <c r="E456" s="33" t="s">
        <v>1468</v>
      </c>
      <c r="F456" s="33" t="s">
        <v>316</v>
      </c>
      <c r="G456" s="35">
        <v>46219</v>
      </c>
      <c r="H456" s="33" t="s">
        <v>1478</v>
      </c>
      <c r="I456" s="33" t="s">
        <v>1479</v>
      </c>
      <c r="J456" s="34">
        <v>0.112</v>
      </c>
      <c r="K456" s="33" t="s">
        <v>1471</v>
      </c>
      <c r="L456" s="33" t="s">
        <v>1709</v>
      </c>
      <c r="M456" s="33" t="s">
        <v>1473</v>
      </c>
      <c r="N456" s="33" t="s">
        <v>1481</v>
      </c>
      <c r="O456" s="33" t="s">
        <v>1475</v>
      </c>
    </row>
    <row r="457">
      <c r="A457" s="33" t="s">
        <v>1710</v>
      </c>
      <c r="B457" s="33" t="s">
        <v>1706</v>
      </c>
      <c r="C457" s="33" t="s">
        <v>1483</v>
      </c>
      <c r="D457" s="33" t="s">
        <v>1467</v>
      </c>
      <c r="E457" s="33" t="s">
        <v>1468</v>
      </c>
      <c r="F457" s="33" t="s">
        <v>316</v>
      </c>
      <c r="G457" s="35">
        <v>46219</v>
      </c>
      <c r="H457" s="33" t="s">
        <v>1478</v>
      </c>
      <c r="I457" s="33" t="s">
        <v>1479</v>
      </c>
      <c r="J457" s="34">
        <v>0.11</v>
      </c>
      <c r="K457" s="33" t="s">
        <v>1471</v>
      </c>
      <c r="L457" s="33" t="s">
        <v>1711</v>
      </c>
      <c r="M457" s="33" t="s">
        <v>1473</v>
      </c>
      <c r="N457" s="33" t="s">
        <v>1481</v>
      </c>
      <c r="O457" s="33" t="s">
        <v>1475</v>
      </c>
    </row>
    <row r="458">
      <c r="A458" s="33" t="s">
        <v>1712</v>
      </c>
      <c r="B458" s="33" t="s">
        <v>1706</v>
      </c>
      <c r="C458" s="33" t="s">
        <v>1486</v>
      </c>
      <c r="D458" s="33" t="s">
        <v>1467</v>
      </c>
      <c r="E458" s="33" t="s">
        <v>1468</v>
      </c>
      <c r="F458" s="33" t="s">
        <v>316</v>
      </c>
      <c r="G458" s="35">
        <v>46219</v>
      </c>
      <c r="H458" s="33" t="s">
        <v>1478</v>
      </c>
      <c r="I458" s="33" t="s">
        <v>1479</v>
      </c>
      <c r="J458" s="34">
        <v>0.108</v>
      </c>
      <c r="K458" s="33" t="s">
        <v>1471</v>
      </c>
      <c r="L458" s="33" t="s">
        <v>1713</v>
      </c>
      <c r="M458" s="33" t="s">
        <v>1473</v>
      </c>
      <c r="N458" s="33" t="s">
        <v>1481</v>
      </c>
      <c r="O458" s="33" t="s">
        <v>1475</v>
      </c>
    </row>
    <row r="459">
      <c r="A459" s="33" t="s">
        <v>1714</v>
      </c>
      <c r="B459" s="33" t="s">
        <v>1706</v>
      </c>
      <c r="C459" s="33" t="s">
        <v>36</v>
      </c>
      <c r="D459" s="33" t="s">
        <v>1467</v>
      </c>
      <c r="E459" s="33" t="s">
        <v>1468</v>
      </c>
      <c r="F459" s="33" t="s">
        <v>316</v>
      </c>
      <c r="G459" s="35">
        <v>46219</v>
      </c>
      <c r="H459" s="33" t="s">
        <v>1478</v>
      </c>
      <c r="I459" s="33" t="s">
        <v>1479</v>
      </c>
      <c r="J459" s="34">
        <v>0.106</v>
      </c>
      <c r="K459" s="33" t="s">
        <v>1471</v>
      </c>
      <c r="L459" s="33" t="s">
        <v>1715</v>
      </c>
      <c r="M459" s="33" t="s">
        <v>1473</v>
      </c>
      <c r="N459" s="33" t="s">
        <v>1481</v>
      </c>
      <c r="O459" s="33" t="s">
        <v>1475</v>
      </c>
    </row>
    <row r="460">
      <c r="A460" s="33" t="s">
        <v>1716</v>
      </c>
      <c r="B460" s="33" t="s">
        <v>1717</v>
      </c>
      <c r="C460" s="33" t="s">
        <v>1466</v>
      </c>
      <c r="D460" s="33" t="s">
        <v>1679</v>
      </c>
      <c r="E460" s="33" t="s">
        <v>1680</v>
      </c>
      <c r="F460" s="33" t="s">
        <v>1681</v>
      </c>
      <c r="G460" s="35">
        <v>46219</v>
      </c>
      <c r="H460" s="33" t="s">
        <v>1469</v>
      </c>
      <c r="I460" s="33" t="s">
        <v>1682</v>
      </c>
      <c r="J460" s="34">
        <v>0.1271</v>
      </c>
      <c r="K460" s="33" t="s">
        <v>1471</v>
      </c>
      <c r="L460" s="33" t="s">
        <v>1718</v>
      </c>
      <c r="M460" s="33" t="s">
        <v>1684</v>
      </c>
      <c r="N460" s="33" t="s">
        <v>1685</v>
      </c>
      <c r="O460" s="33" t="s">
        <v>1475</v>
      </c>
    </row>
    <row r="461">
      <c r="A461" s="33" t="s">
        <v>1719</v>
      </c>
      <c r="B461" s="33" t="s">
        <v>1717</v>
      </c>
      <c r="C461" s="33" t="s">
        <v>1477</v>
      </c>
      <c r="D461" s="33" t="s">
        <v>1467</v>
      </c>
      <c r="E461" s="33" t="s">
        <v>1468</v>
      </c>
      <c r="F461" s="33" t="s">
        <v>316</v>
      </c>
      <c r="G461" s="35">
        <v>46219</v>
      </c>
      <c r="H461" s="33" t="s">
        <v>1478</v>
      </c>
      <c r="I461" s="33" t="s">
        <v>1479</v>
      </c>
      <c r="J461" s="34">
        <v>0.128</v>
      </c>
      <c r="K461" s="33" t="s">
        <v>1471</v>
      </c>
      <c r="L461" s="33" t="s">
        <v>1720</v>
      </c>
      <c r="M461" s="33" t="s">
        <v>1473</v>
      </c>
      <c r="N461" s="33" t="s">
        <v>1481</v>
      </c>
      <c r="O461" s="33" t="s">
        <v>1475</v>
      </c>
    </row>
    <row r="462">
      <c r="A462" s="33" t="s">
        <v>1721</v>
      </c>
      <c r="B462" s="33" t="s">
        <v>1717</v>
      </c>
      <c r="C462" s="33" t="s">
        <v>1483</v>
      </c>
      <c r="D462" s="33" t="s">
        <v>1467</v>
      </c>
      <c r="E462" s="33" t="s">
        <v>1468</v>
      </c>
      <c r="F462" s="33" t="s">
        <v>316</v>
      </c>
      <c r="G462" s="35">
        <v>46219</v>
      </c>
      <c r="H462" s="33" t="s">
        <v>1478</v>
      </c>
      <c r="I462" s="33" t="s">
        <v>1479</v>
      </c>
      <c r="J462" s="34">
        <v>0.129</v>
      </c>
      <c r="K462" s="33" t="s">
        <v>1471</v>
      </c>
      <c r="L462" s="33" t="s">
        <v>1722</v>
      </c>
      <c r="M462" s="33" t="s">
        <v>1473</v>
      </c>
      <c r="N462" s="33" t="s">
        <v>1481</v>
      </c>
      <c r="O462" s="33" t="s">
        <v>1475</v>
      </c>
    </row>
    <row r="463">
      <c r="A463" s="33" t="s">
        <v>1723</v>
      </c>
      <c r="B463" s="33" t="s">
        <v>1717</v>
      </c>
      <c r="C463" s="33" t="s">
        <v>1486</v>
      </c>
      <c r="D463" s="33" t="s">
        <v>1467</v>
      </c>
      <c r="E463" s="33" t="s">
        <v>1468</v>
      </c>
      <c r="F463" s="33" t="s">
        <v>316</v>
      </c>
      <c r="G463" s="35">
        <v>46219</v>
      </c>
      <c r="H463" s="33" t="s">
        <v>1478</v>
      </c>
      <c r="I463" s="33" t="s">
        <v>1479</v>
      </c>
      <c r="J463" s="34">
        <v>0.13</v>
      </c>
      <c r="K463" s="33" t="s">
        <v>1471</v>
      </c>
      <c r="L463" s="33" t="s">
        <v>1724</v>
      </c>
      <c r="M463" s="33" t="s">
        <v>1473</v>
      </c>
      <c r="N463" s="33" t="s">
        <v>1481</v>
      </c>
      <c r="O463" s="33" t="s">
        <v>1475</v>
      </c>
    </row>
    <row r="464">
      <c r="A464" s="33" t="s">
        <v>1725</v>
      </c>
      <c r="B464" s="33" t="s">
        <v>1717</v>
      </c>
      <c r="C464" s="33" t="s">
        <v>36</v>
      </c>
      <c r="D464" s="33" t="s">
        <v>1467</v>
      </c>
      <c r="E464" s="33" t="s">
        <v>1468</v>
      </c>
      <c r="F464" s="33" t="s">
        <v>316</v>
      </c>
      <c r="G464" s="35">
        <v>46219</v>
      </c>
      <c r="H464" s="33" t="s">
        <v>1478</v>
      </c>
      <c r="I464" s="33" t="s">
        <v>1479</v>
      </c>
      <c r="J464" s="34">
        <v>0.13</v>
      </c>
      <c r="K464" s="33" t="s">
        <v>1471</v>
      </c>
      <c r="L464" s="33" t="s">
        <v>1726</v>
      </c>
      <c r="M464" s="33" t="s">
        <v>1473</v>
      </c>
      <c r="N464" s="33" t="s">
        <v>1481</v>
      </c>
      <c r="O464" s="33" t="s">
        <v>1475</v>
      </c>
    </row>
    <row r="465">
      <c r="A465" s="33" t="s">
        <v>1727</v>
      </c>
      <c r="B465" s="33" t="s">
        <v>1728</v>
      </c>
      <c r="C465" s="33" t="s">
        <v>1466</v>
      </c>
      <c r="D465" s="33" t="s">
        <v>1679</v>
      </c>
      <c r="E465" s="33" t="s">
        <v>1680</v>
      </c>
      <c r="F465" s="33" t="s">
        <v>1681</v>
      </c>
      <c r="G465" s="35">
        <v>46219</v>
      </c>
      <c r="H465" s="33" t="s">
        <v>1469</v>
      </c>
      <c r="I465" s="33" t="s">
        <v>1682</v>
      </c>
      <c r="J465" s="34">
        <v>0.0749</v>
      </c>
      <c r="K465" s="33" t="s">
        <v>1471</v>
      </c>
      <c r="L465" s="33" t="s">
        <v>1729</v>
      </c>
      <c r="M465" s="33" t="s">
        <v>1684</v>
      </c>
      <c r="N465" s="33" t="s">
        <v>1685</v>
      </c>
      <c r="O465" s="33" t="s">
        <v>1475</v>
      </c>
    </row>
    <row r="466">
      <c r="A466" s="33" t="s">
        <v>1730</v>
      </c>
      <c r="B466" s="33" t="s">
        <v>1728</v>
      </c>
      <c r="C466" s="33" t="s">
        <v>1477</v>
      </c>
      <c r="D466" s="33" t="s">
        <v>1467</v>
      </c>
      <c r="E466" s="33" t="s">
        <v>1468</v>
      </c>
      <c r="F466" s="33" t="s">
        <v>316</v>
      </c>
      <c r="G466" s="35">
        <v>46219</v>
      </c>
      <c r="H466" s="33" t="s">
        <v>1478</v>
      </c>
      <c r="I466" s="33" t="s">
        <v>1479</v>
      </c>
      <c r="J466" s="34">
        <v>0.076</v>
      </c>
      <c r="K466" s="33" t="s">
        <v>1471</v>
      </c>
      <c r="L466" s="33" t="s">
        <v>1731</v>
      </c>
      <c r="M466" s="33" t="s">
        <v>1473</v>
      </c>
      <c r="N466" s="33" t="s">
        <v>1481</v>
      </c>
      <c r="O466" s="33" t="s">
        <v>1475</v>
      </c>
    </row>
    <row r="467">
      <c r="A467" s="33" t="s">
        <v>1732</v>
      </c>
      <c r="B467" s="33" t="s">
        <v>1728</v>
      </c>
      <c r="C467" s="33" t="s">
        <v>1483</v>
      </c>
      <c r="D467" s="33" t="s">
        <v>1467</v>
      </c>
      <c r="E467" s="33" t="s">
        <v>1468</v>
      </c>
      <c r="F467" s="33" t="s">
        <v>316</v>
      </c>
      <c r="G467" s="35">
        <v>46219</v>
      </c>
      <c r="H467" s="33" t="s">
        <v>1478</v>
      </c>
      <c r="I467" s="33" t="s">
        <v>1479</v>
      </c>
      <c r="J467" s="34">
        <v>0.078</v>
      </c>
      <c r="K467" s="33" t="s">
        <v>1471</v>
      </c>
      <c r="L467" s="33" t="s">
        <v>1733</v>
      </c>
      <c r="M467" s="33" t="s">
        <v>1473</v>
      </c>
      <c r="N467" s="33" t="s">
        <v>1481</v>
      </c>
      <c r="O467" s="33" t="s">
        <v>1475</v>
      </c>
    </row>
    <row r="468">
      <c r="A468" s="33" t="s">
        <v>1734</v>
      </c>
      <c r="B468" s="33" t="s">
        <v>1728</v>
      </c>
      <c r="C468" s="33" t="s">
        <v>1486</v>
      </c>
      <c r="D468" s="33" t="s">
        <v>1467</v>
      </c>
      <c r="E468" s="33" t="s">
        <v>1468</v>
      </c>
      <c r="F468" s="33" t="s">
        <v>316</v>
      </c>
      <c r="G468" s="35">
        <v>46219</v>
      </c>
      <c r="H468" s="33" t="s">
        <v>1478</v>
      </c>
      <c r="I468" s="33" t="s">
        <v>1479</v>
      </c>
      <c r="J468" s="34">
        <v>0.079</v>
      </c>
      <c r="K468" s="33" t="s">
        <v>1471</v>
      </c>
      <c r="L468" s="33" t="s">
        <v>1735</v>
      </c>
      <c r="M468" s="33" t="s">
        <v>1473</v>
      </c>
      <c r="N468" s="33" t="s">
        <v>1481</v>
      </c>
      <c r="O468" s="33" t="s">
        <v>1475</v>
      </c>
    </row>
    <row r="469">
      <c r="A469" s="33" t="s">
        <v>1736</v>
      </c>
      <c r="B469" s="33" t="s">
        <v>1728</v>
      </c>
      <c r="C469" s="33" t="s">
        <v>36</v>
      </c>
      <c r="D469" s="33" t="s">
        <v>1467</v>
      </c>
      <c r="E469" s="33" t="s">
        <v>1468</v>
      </c>
      <c r="F469" s="33" t="s">
        <v>316</v>
      </c>
      <c r="G469" s="35">
        <v>46219</v>
      </c>
      <c r="H469" s="33" t="s">
        <v>1478</v>
      </c>
      <c r="I469" s="33" t="s">
        <v>1479</v>
      </c>
      <c r="J469" s="34">
        <v>0.08</v>
      </c>
      <c r="K469" s="33" t="s">
        <v>1471</v>
      </c>
      <c r="L469" s="33" t="s">
        <v>1737</v>
      </c>
      <c r="M469" s="33" t="s">
        <v>1473</v>
      </c>
      <c r="N469" s="33" t="s">
        <v>1481</v>
      </c>
      <c r="O469" s="33" t="s">
        <v>1475</v>
      </c>
    </row>
    <row r="470">
      <c r="A470" s="33" t="s">
        <v>1738</v>
      </c>
      <c r="B470" s="33" t="s">
        <v>1739</v>
      </c>
      <c r="C470" s="33" t="s">
        <v>1466</v>
      </c>
      <c r="D470" s="33" t="s">
        <v>1467</v>
      </c>
      <c r="E470" s="33" t="s">
        <v>1468</v>
      </c>
      <c r="F470" s="33" t="s">
        <v>316</v>
      </c>
      <c r="G470" s="35">
        <v>46219</v>
      </c>
      <c r="H470" s="33" t="s">
        <v>1478</v>
      </c>
      <c r="I470" s="33" t="s">
        <v>1479</v>
      </c>
      <c r="J470" s="34">
        <v>-0.0040999999999999995</v>
      </c>
      <c r="K470" s="33" t="s">
        <v>1471</v>
      </c>
      <c r="L470" s="33" t="s">
        <v>1740</v>
      </c>
      <c r="M470" s="33" t="s">
        <v>1473</v>
      </c>
      <c r="N470" s="33" t="s">
        <v>1481</v>
      </c>
      <c r="O470" s="33" t="s">
        <v>1475</v>
      </c>
    </row>
    <row r="471">
      <c r="A471" s="33" t="s">
        <v>1741</v>
      </c>
      <c r="B471" s="33" t="s">
        <v>1739</v>
      </c>
      <c r="C471" s="33" t="s">
        <v>1477</v>
      </c>
      <c r="D471" s="33" t="s">
        <v>1467</v>
      </c>
      <c r="E471" s="33" t="s">
        <v>1468</v>
      </c>
      <c r="F471" s="33" t="s">
        <v>316</v>
      </c>
      <c r="G471" s="35">
        <v>46219</v>
      </c>
      <c r="H471" s="33" t="s">
        <v>1478</v>
      </c>
      <c r="I471" s="33" t="s">
        <v>1479</v>
      </c>
      <c r="J471" s="34">
        <v>0.009999999999999998</v>
      </c>
      <c r="K471" s="33" t="s">
        <v>1471</v>
      </c>
      <c r="L471" s="33" t="s">
        <v>1742</v>
      </c>
      <c r="M471" s="33" t="s">
        <v>1473</v>
      </c>
      <c r="N471" s="33" t="s">
        <v>1481</v>
      </c>
      <c r="O471" s="33" t="s">
        <v>1475</v>
      </c>
    </row>
    <row r="472">
      <c r="A472" s="33" t="s">
        <v>1743</v>
      </c>
      <c r="B472" s="33" t="s">
        <v>1739</v>
      </c>
      <c r="C472" s="33" t="s">
        <v>1483</v>
      </c>
      <c r="D472" s="33" t="s">
        <v>1467</v>
      </c>
      <c r="E472" s="33" t="s">
        <v>1468</v>
      </c>
      <c r="F472" s="33" t="s">
        <v>316</v>
      </c>
      <c r="G472" s="35">
        <v>46219</v>
      </c>
      <c r="H472" s="33" t="s">
        <v>1478</v>
      </c>
      <c r="I472" s="33" t="s">
        <v>1479</v>
      </c>
      <c r="J472" s="34">
        <v>0.015</v>
      </c>
      <c r="K472" s="33" t="s">
        <v>1471</v>
      </c>
      <c r="L472" s="33" t="s">
        <v>1744</v>
      </c>
      <c r="M472" s="33" t="s">
        <v>1473</v>
      </c>
      <c r="N472" s="33" t="s">
        <v>1481</v>
      </c>
      <c r="O472" s="33" t="s">
        <v>1475</v>
      </c>
    </row>
    <row r="473">
      <c r="A473" s="33" t="s">
        <v>1745</v>
      </c>
      <c r="B473" s="33" t="s">
        <v>1739</v>
      </c>
      <c r="C473" s="33" t="s">
        <v>1486</v>
      </c>
      <c r="D473" s="33" t="s">
        <v>1467</v>
      </c>
      <c r="E473" s="33" t="s">
        <v>1468</v>
      </c>
      <c r="F473" s="33" t="s">
        <v>316</v>
      </c>
      <c r="G473" s="35">
        <v>46219</v>
      </c>
      <c r="H473" s="33" t="s">
        <v>1478</v>
      </c>
      <c r="I473" s="33" t="s">
        <v>1479</v>
      </c>
      <c r="J473" s="34">
        <v>0.02</v>
      </c>
      <c r="K473" s="33" t="s">
        <v>1471</v>
      </c>
      <c r="L473" s="33" t="s">
        <v>1746</v>
      </c>
      <c r="M473" s="33" t="s">
        <v>1473</v>
      </c>
      <c r="N473" s="33" t="s">
        <v>1481</v>
      </c>
      <c r="O473" s="33" t="s">
        <v>1475</v>
      </c>
    </row>
    <row r="474">
      <c r="A474" s="33" t="s">
        <v>1747</v>
      </c>
      <c r="B474" s="33" t="s">
        <v>1739</v>
      </c>
      <c r="C474" s="33" t="s">
        <v>36</v>
      </c>
      <c r="D474" s="33" t="s">
        <v>1467</v>
      </c>
      <c r="E474" s="33" t="s">
        <v>1468</v>
      </c>
      <c r="F474" s="33" t="s">
        <v>316</v>
      </c>
      <c r="G474" s="35">
        <v>46219</v>
      </c>
      <c r="H474" s="33" t="s">
        <v>1478</v>
      </c>
      <c r="I474" s="33" t="s">
        <v>1479</v>
      </c>
      <c r="J474" s="34">
        <v>0.025</v>
      </c>
      <c r="K474" s="33" t="s">
        <v>1471</v>
      </c>
      <c r="L474" s="33" t="s">
        <v>1748</v>
      </c>
      <c r="M474" s="33" t="s">
        <v>1473</v>
      </c>
      <c r="N474" s="33" t="s">
        <v>1481</v>
      </c>
      <c r="O474" s="33" t="s">
        <v>1475</v>
      </c>
    </row>
    <row r="475">
      <c r="A475" s="33" t="s">
        <v>1749</v>
      </c>
      <c r="B475" s="33" t="s">
        <v>1750</v>
      </c>
      <c r="C475" s="33" t="s">
        <v>1466</v>
      </c>
      <c r="D475" s="33" t="s">
        <v>1467</v>
      </c>
      <c r="E475" s="33" t="s">
        <v>1468</v>
      </c>
      <c r="F475" s="33" t="s">
        <v>316</v>
      </c>
      <c r="G475" s="35">
        <v>46219</v>
      </c>
      <c r="H475" s="33" t="s">
        <v>1478</v>
      </c>
      <c r="I475" s="33" t="s">
        <v>1479</v>
      </c>
      <c r="J475" s="34">
        <v>0.0612</v>
      </c>
      <c r="K475" s="33" t="s">
        <v>1471</v>
      </c>
      <c r="L475" s="33" t="s">
        <v>1751</v>
      </c>
      <c r="M475" s="33" t="s">
        <v>1473</v>
      </c>
      <c r="N475" s="33" t="s">
        <v>1481</v>
      </c>
      <c r="O475" s="33" t="s">
        <v>1475</v>
      </c>
    </row>
    <row r="476">
      <c r="A476" s="33" t="s">
        <v>1752</v>
      </c>
      <c r="B476" s="33" t="s">
        <v>1750</v>
      </c>
      <c r="C476" s="33" t="s">
        <v>1477</v>
      </c>
      <c r="D476" s="33" t="s">
        <v>1467</v>
      </c>
      <c r="E476" s="33" t="s">
        <v>1468</v>
      </c>
      <c r="F476" s="33" t="s">
        <v>316</v>
      </c>
      <c r="G476" s="35">
        <v>46219</v>
      </c>
      <c r="H476" s="33" t="s">
        <v>1478</v>
      </c>
      <c r="I476" s="33" t="s">
        <v>1479</v>
      </c>
      <c r="J476" s="34">
        <v>0.062</v>
      </c>
      <c r="K476" s="33" t="s">
        <v>1471</v>
      </c>
      <c r="L476" s="33" t="s">
        <v>1753</v>
      </c>
      <c r="M476" s="33" t="s">
        <v>1473</v>
      </c>
      <c r="N476" s="33" t="s">
        <v>1481</v>
      </c>
      <c r="O476" s="33" t="s">
        <v>1475</v>
      </c>
    </row>
    <row r="477">
      <c r="A477" s="33" t="s">
        <v>1754</v>
      </c>
      <c r="B477" s="33" t="s">
        <v>1750</v>
      </c>
      <c r="C477" s="33" t="s">
        <v>1483</v>
      </c>
      <c r="D477" s="33" t="s">
        <v>1467</v>
      </c>
      <c r="E477" s="33" t="s">
        <v>1468</v>
      </c>
      <c r="F477" s="33" t="s">
        <v>316</v>
      </c>
      <c r="G477" s="35">
        <v>46219</v>
      </c>
      <c r="H477" s="33" t="s">
        <v>1478</v>
      </c>
      <c r="I477" s="33" t="s">
        <v>1479</v>
      </c>
      <c r="J477" s="34">
        <v>0.063</v>
      </c>
      <c r="K477" s="33" t="s">
        <v>1471</v>
      </c>
      <c r="L477" s="33" t="s">
        <v>1755</v>
      </c>
      <c r="M477" s="33" t="s">
        <v>1473</v>
      </c>
      <c r="N477" s="33" t="s">
        <v>1481</v>
      </c>
      <c r="O477" s="33" t="s">
        <v>1475</v>
      </c>
    </row>
    <row r="478">
      <c r="A478" s="33" t="s">
        <v>1756</v>
      </c>
      <c r="B478" s="33" t="s">
        <v>1750</v>
      </c>
      <c r="C478" s="33" t="s">
        <v>1486</v>
      </c>
      <c r="D478" s="33" t="s">
        <v>1467</v>
      </c>
      <c r="E478" s="33" t="s">
        <v>1468</v>
      </c>
      <c r="F478" s="33" t="s">
        <v>316</v>
      </c>
      <c r="G478" s="35">
        <v>46219</v>
      </c>
      <c r="H478" s="33" t="s">
        <v>1478</v>
      </c>
      <c r="I478" s="33" t="s">
        <v>1479</v>
      </c>
      <c r="J478" s="34">
        <v>0.064</v>
      </c>
      <c r="K478" s="33" t="s">
        <v>1471</v>
      </c>
      <c r="L478" s="33" t="s">
        <v>1757</v>
      </c>
      <c r="M478" s="33" t="s">
        <v>1473</v>
      </c>
      <c r="N478" s="33" t="s">
        <v>1481</v>
      </c>
      <c r="O478" s="33" t="s">
        <v>1475</v>
      </c>
    </row>
    <row r="479">
      <c r="A479" s="33" t="s">
        <v>1758</v>
      </c>
      <c r="B479" s="33" t="s">
        <v>1750</v>
      </c>
      <c r="C479" s="33" t="s">
        <v>36</v>
      </c>
      <c r="D479" s="33" t="s">
        <v>1467</v>
      </c>
      <c r="E479" s="33" t="s">
        <v>1468</v>
      </c>
      <c r="F479" s="33" t="s">
        <v>316</v>
      </c>
      <c r="G479" s="35">
        <v>46219</v>
      </c>
      <c r="H479" s="33" t="s">
        <v>1478</v>
      </c>
      <c r="I479" s="33" t="s">
        <v>1479</v>
      </c>
      <c r="J479" s="34">
        <v>0.065</v>
      </c>
      <c r="K479" s="33" t="s">
        <v>1471</v>
      </c>
      <c r="L479" s="33" t="s">
        <v>1759</v>
      </c>
      <c r="M479" s="33" t="s">
        <v>1473</v>
      </c>
      <c r="N479" s="33" t="s">
        <v>1481</v>
      </c>
      <c r="O479" s="33" t="s">
        <v>1475</v>
      </c>
    </row>
    <row r="480">
      <c r="A480" s="33" t="s">
        <v>1760</v>
      </c>
      <c r="B480" s="33" t="s">
        <v>1761</v>
      </c>
      <c r="C480" s="33" t="s">
        <v>1466</v>
      </c>
      <c r="D480" s="33" t="s">
        <v>1467</v>
      </c>
      <c r="E480" s="33" t="s">
        <v>1468</v>
      </c>
      <c r="F480" s="33" t="s">
        <v>316</v>
      </c>
      <c r="G480" s="35">
        <v>46219</v>
      </c>
      <c r="H480" s="33" t="s">
        <v>1478</v>
      </c>
      <c r="I480" s="33" t="s">
        <v>1479</v>
      </c>
      <c r="J480" s="34">
        <v>0.1289</v>
      </c>
      <c r="K480" s="33" t="s">
        <v>1471</v>
      </c>
      <c r="L480" s="33" t="s">
        <v>1762</v>
      </c>
      <c r="M480" s="33" t="s">
        <v>1473</v>
      </c>
      <c r="N480" s="33" t="s">
        <v>1481</v>
      </c>
      <c r="O480" s="33" t="s">
        <v>1475</v>
      </c>
    </row>
    <row r="481">
      <c r="A481" s="33" t="s">
        <v>1763</v>
      </c>
      <c r="B481" s="33" t="s">
        <v>1761</v>
      </c>
      <c r="C481" s="33" t="s">
        <v>1477</v>
      </c>
      <c r="D481" s="33" t="s">
        <v>1467</v>
      </c>
      <c r="E481" s="33" t="s">
        <v>1468</v>
      </c>
      <c r="F481" s="33" t="s">
        <v>316</v>
      </c>
      <c r="G481" s="35">
        <v>46219</v>
      </c>
      <c r="H481" s="33" t="s">
        <v>1478</v>
      </c>
      <c r="I481" s="33" t="s">
        <v>1479</v>
      </c>
      <c r="J481" s="34">
        <v>0.127</v>
      </c>
      <c r="K481" s="33" t="s">
        <v>1471</v>
      </c>
      <c r="L481" s="33" t="s">
        <v>1764</v>
      </c>
      <c r="M481" s="33" t="s">
        <v>1473</v>
      </c>
      <c r="N481" s="33" t="s">
        <v>1481</v>
      </c>
      <c r="O481" s="33" t="s">
        <v>1475</v>
      </c>
    </row>
    <row r="482">
      <c r="A482" s="33" t="s">
        <v>1765</v>
      </c>
      <c r="B482" s="33" t="s">
        <v>1761</v>
      </c>
      <c r="C482" s="33" t="s">
        <v>1483</v>
      </c>
      <c r="D482" s="33" t="s">
        <v>1467</v>
      </c>
      <c r="E482" s="33" t="s">
        <v>1468</v>
      </c>
      <c r="F482" s="33" t="s">
        <v>316</v>
      </c>
      <c r="G482" s="35">
        <v>46219</v>
      </c>
      <c r="H482" s="33" t="s">
        <v>1478</v>
      </c>
      <c r="I482" s="33" t="s">
        <v>1479</v>
      </c>
      <c r="J482" s="34">
        <v>0.125</v>
      </c>
      <c r="K482" s="33" t="s">
        <v>1471</v>
      </c>
      <c r="L482" s="33" t="s">
        <v>1766</v>
      </c>
      <c r="M482" s="33" t="s">
        <v>1473</v>
      </c>
      <c r="N482" s="33" t="s">
        <v>1481</v>
      </c>
      <c r="O482" s="33" t="s">
        <v>1475</v>
      </c>
    </row>
    <row r="483">
      <c r="A483" s="33" t="s">
        <v>1767</v>
      </c>
      <c r="B483" s="33" t="s">
        <v>1761</v>
      </c>
      <c r="C483" s="33" t="s">
        <v>1486</v>
      </c>
      <c r="D483" s="33" t="s">
        <v>1467</v>
      </c>
      <c r="E483" s="33" t="s">
        <v>1468</v>
      </c>
      <c r="F483" s="33" t="s">
        <v>316</v>
      </c>
      <c r="G483" s="35">
        <v>46219</v>
      </c>
      <c r="H483" s="33" t="s">
        <v>1478</v>
      </c>
      <c r="I483" s="33" t="s">
        <v>1479</v>
      </c>
      <c r="J483" s="34">
        <v>0.123</v>
      </c>
      <c r="K483" s="33" t="s">
        <v>1471</v>
      </c>
      <c r="L483" s="33" t="s">
        <v>1768</v>
      </c>
      <c r="M483" s="33" t="s">
        <v>1473</v>
      </c>
      <c r="N483" s="33" t="s">
        <v>1481</v>
      </c>
      <c r="O483" s="33" t="s">
        <v>1475</v>
      </c>
    </row>
    <row r="484">
      <c r="A484" s="33" t="s">
        <v>1769</v>
      </c>
      <c r="B484" s="33" t="s">
        <v>1761</v>
      </c>
      <c r="C484" s="33" t="s">
        <v>36</v>
      </c>
      <c r="D484" s="33" t="s">
        <v>1467</v>
      </c>
      <c r="E484" s="33" t="s">
        <v>1468</v>
      </c>
      <c r="F484" s="33" t="s">
        <v>316</v>
      </c>
      <c r="G484" s="35">
        <v>46219</v>
      </c>
      <c r="H484" s="33" t="s">
        <v>1478</v>
      </c>
      <c r="I484" s="33" t="s">
        <v>1479</v>
      </c>
      <c r="J484" s="34">
        <v>0.121</v>
      </c>
      <c r="K484" s="33" t="s">
        <v>1471</v>
      </c>
      <c r="L484" s="33" t="s">
        <v>1770</v>
      </c>
      <c r="M484" s="33" t="s">
        <v>1473</v>
      </c>
      <c r="N484" s="33" t="s">
        <v>1481</v>
      </c>
      <c r="O484" s="33" t="s">
        <v>1475</v>
      </c>
    </row>
    <row r="485">
      <c r="A485" s="33" t="s">
        <v>1771</v>
      </c>
      <c r="B485" s="33" t="s">
        <v>1772</v>
      </c>
      <c r="C485" s="33" t="s">
        <v>1466</v>
      </c>
      <c r="D485" s="33" t="s">
        <v>1467</v>
      </c>
      <c r="E485" s="33" t="s">
        <v>1468</v>
      </c>
      <c r="F485" s="33" t="s">
        <v>316</v>
      </c>
      <c r="G485" s="35">
        <v>46219</v>
      </c>
      <c r="H485" s="33" t="s">
        <v>1478</v>
      </c>
      <c r="I485" s="33" t="s">
        <v>1479</v>
      </c>
      <c r="J485" s="34">
        <v>0.1421</v>
      </c>
      <c r="K485" s="33" t="s">
        <v>1471</v>
      </c>
      <c r="L485" s="33" t="s">
        <v>1773</v>
      </c>
      <c r="M485" s="33" t="s">
        <v>1473</v>
      </c>
      <c r="N485" s="33" t="s">
        <v>1481</v>
      </c>
      <c r="O485" s="33" t="s">
        <v>1475</v>
      </c>
    </row>
    <row r="486">
      <c r="A486" s="33" t="s">
        <v>1774</v>
      </c>
      <c r="B486" s="33" t="s">
        <v>1772</v>
      </c>
      <c r="C486" s="33" t="s">
        <v>1477</v>
      </c>
      <c r="D486" s="33" t="s">
        <v>1467</v>
      </c>
      <c r="E486" s="33" t="s">
        <v>1468</v>
      </c>
      <c r="F486" s="33" t="s">
        <v>316</v>
      </c>
      <c r="G486" s="35">
        <v>46219</v>
      </c>
      <c r="H486" s="33" t="s">
        <v>1478</v>
      </c>
      <c r="I486" s="33" t="s">
        <v>1479</v>
      </c>
      <c r="J486" s="34">
        <v>0.14300000000000002</v>
      </c>
      <c r="K486" s="33" t="s">
        <v>1471</v>
      </c>
      <c r="L486" s="33" t="s">
        <v>1775</v>
      </c>
      <c r="M486" s="33" t="s">
        <v>1473</v>
      </c>
      <c r="N486" s="33" t="s">
        <v>1481</v>
      </c>
      <c r="O486" s="33" t="s">
        <v>1475</v>
      </c>
    </row>
    <row r="487">
      <c r="A487" s="33" t="s">
        <v>1776</v>
      </c>
      <c r="B487" s="33" t="s">
        <v>1772</v>
      </c>
      <c r="C487" s="33" t="s">
        <v>1483</v>
      </c>
      <c r="D487" s="33" t="s">
        <v>1467</v>
      </c>
      <c r="E487" s="33" t="s">
        <v>1468</v>
      </c>
      <c r="F487" s="33" t="s">
        <v>316</v>
      </c>
      <c r="G487" s="35">
        <v>46219</v>
      </c>
      <c r="H487" s="33" t="s">
        <v>1478</v>
      </c>
      <c r="I487" s="33" t="s">
        <v>1479</v>
      </c>
      <c r="J487" s="34">
        <v>0.14400000000000002</v>
      </c>
      <c r="K487" s="33" t="s">
        <v>1471</v>
      </c>
      <c r="L487" s="33" t="s">
        <v>1777</v>
      </c>
      <c r="M487" s="33" t="s">
        <v>1473</v>
      </c>
      <c r="N487" s="33" t="s">
        <v>1481</v>
      </c>
      <c r="O487" s="33" t="s">
        <v>1475</v>
      </c>
    </row>
    <row r="488">
      <c r="A488" s="33" t="s">
        <v>1778</v>
      </c>
      <c r="B488" s="33" t="s">
        <v>1772</v>
      </c>
      <c r="C488" s="33" t="s">
        <v>1486</v>
      </c>
      <c r="D488" s="33" t="s">
        <v>1467</v>
      </c>
      <c r="E488" s="33" t="s">
        <v>1468</v>
      </c>
      <c r="F488" s="33" t="s">
        <v>316</v>
      </c>
      <c r="G488" s="35">
        <v>46219</v>
      </c>
      <c r="H488" s="33" t="s">
        <v>1478</v>
      </c>
      <c r="I488" s="33" t="s">
        <v>1479</v>
      </c>
      <c r="J488" s="34">
        <v>0.14500000000000002</v>
      </c>
      <c r="K488" s="33" t="s">
        <v>1471</v>
      </c>
      <c r="L488" s="33" t="s">
        <v>1779</v>
      </c>
      <c r="M488" s="33" t="s">
        <v>1473</v>
      </c>
      <c r="N488" s="33" t="s">
        <v>1481</v>
      </c>
      <c r="O488" s="33" t="s">
        <v>1475</v>
      </c>
    </row>
    <row r="489">
      <c r="A489" s="33" t="s">
        <v>1780</v>
      </c>
      <c r="B489" s="33" t="s">
        <v>1772</v>
      </c>
      <c r="C489" s="33" t="s">
        <v>36</v>
      </c>
      <c r="D489" s="33" t="s">
        <v>1467</v>
      </c>
      <c r="E489" s="33" t="s">
        <v>1468</v>
      </c>
      <c r="F489" s="33" t="s">
        <v>316</v>
      </c>
      <c r="G489" s="35">
        <v>46219</v>
      </c>
      <c r="H489" s="33" t="s">
        <v>1478</v>
      </c>
      <c r="I489" s="33" t="s">
        <v>1479</v>
      </c>
      <c r="J489" s="34">
        <v>0.14500000000000002</v>
      </c>
      <c r="K489" s="33" t="s">
        <v>1471</v>
      </c>
      <c r="L489" s="33" t="s">
        <v>1781</v>
      </c>
      <c r="M489" s="33" t="s">
        <v>1473</v>
      </c>
      <c r="N489" s="33" t="s">
        <v>1481</v>
      </c>
      <c r="O489" s="33" t="s">
        <v>1475</v>
      </c>
    </row>
    <row r="490">
      <c r="A490" s="33" t="s">
        <v>1782</v>
      </c>
      <c r="B490" s="33" t="s">
        <v>1783</v>
      </c>
      <c r="C490" s="33" t="s">
        <v>1466</v>
      </c>
      <c r="D490" s="33" t="s">
        <v>1467</v>
      </c>
      <c r="E490" s="33" t="s">
        <v>1468</v>
      </c>
      <c r="F490" s="33" t="s">
        <v>316</v>
      </c>
      <c r="G490" s="35">
        <v>46219</v>
      </c>
      <c r="H490" s="33" t="s">
        <v>1478</v>
      </c>
      <c r="I490" s="33" t="s">
        <v>1479</v>
      </c>
      <c r="J490" s="34">
        <v>0.0899</v>
      </c>
      <c r="K490" s="33" t="s">
        <v>1471</v>
      </c>
      <c r="L490" s="33" t="s">
        <v>1784</v>
      </c>
      <c r="M490" s="33" t="s">
        <v>1473</v>
      </c>
      <c r="N490" s="33" t="s">
        <v>1481</v>
      </c>
      <c r="O490" s="33" t="s">
        <v>1475</v>
      </c>
    </row>
    <row r="491">
      <c r="A491" s="33" t="s">
        <v>1785</v>
      </c>
      <c r="B491" s="33" t="s">
        <v>1783</v>
      </c>
      <c r="C491" s="33" t="s">
        <v>1477</v>
      </c>
      <c r="D491" s="33" t="s">
        <v>1467</v>
      </c>
      <c r="E491" s="33" t="s">
        <v>1468</v>
      </c>
      <c r="F491" s="33" t="s">
        <v>316</v>
      </c>
      <c r="G491" s="35">
        <v>46219</v>
      </c>
      <c r="H491" s="33" t="s">
        <v>1478</v>
      </c>
      <c r="I491" s="33" t="s">
        <v>1479</v>
      </c>
      <c r="J491" s="34">
        <v>0.091</v>
      </c>
      <c r="K491" s="33" t="s">
        <v>1471</v>
      </c>
      <c r="L491" s="33" t="s">
        <v>1786</v>
      </c>
      <c r="M491" s="33" t="s">
        <v>1473</v>
      </c>
      <c r="N491" s="33" t="s">
        <v>1481</v>
      </c>
      <c r="O491" s="33" t="s">
        <v>1475</v>
      </c>
    </row>
    <row r="492">
      <c r="A492" s="33" t="s">
        <v>1787</v>
      </c>
      <c r="B492" s="33" t="s">
        <v>1783</v>
      </c>
      <c r="C492" s="33" t="s">
        <v>1483</v>
      </c>
      <c r="D492" s="33" t="s">
        <v>1467</v>
      </c>
      <c r="E492" s="33" t="s">
        <v>1468</v>
      </c>
      <c r="F492" s="33" t="s">
        <v>316</v>
      </c>
      <c r="G492" s="35">
        <v>46219</v>
      </c>
      <c r="H492" s="33" t="s">
        <v>1478</v>
      </c>
      <c r="I492" s="33" t="s">
        <v>1479</v>
      </c>
      <c r="J492" s="34">
        <v>0.093</v>
      </c>
      <c r="K492" s="33" t="s">
        <v>1471</v>
      </c>
      <c r="L492" s="33" t="s">
        <v>1788</v>
      </c>
      <c r="M492" s="33" t="s">
        <v>1473</v>
      </c>
      <c r="N492" s="33" t="s">
        <v>1481</v>
      </c>
      <c r="O492" s="33" t="s">
        <v>1475</v>
      </c>
    </row>
    <row r="493">
      <c r="A493" s="33" t="s">
        <v>1789</v>
      </c>
      <c r="B493" s="33" t="s">
        <v>1783</v>
      </c>
      <c r="C493" s="33" t="s">
        <v>1486</v>
      </c>
      <c r="D493" s="33" t="s">
        <v>1467</v>
      </c>
      <c r="E493" s="33" t="s">
        <v>1468</v>
      </c>
      <c r="F493" s="33" t="s">
        <v>316</v>
      </c>
      <c r="G493" s="35">
        <v>46219</v>
      </c>
      <c r="H493" s="33" t="s">
        <v>1478</v>
      </c>
      <c r="I493" s="33" t="s">
        <v>1479</v>
      </c>
      <c r="J493" s="34">
        <v>0.094</v>
      </c>
      <c r="K493" s="33" t="s">
        <v>1471</v>
      </c>
      <c r="L493" s="33" t="s">
        <v>1790</v>
      </c>
      <c r="M493" s="33" t="s">
        <v>1473</v>
      </c>
      <c r="N493" s="33" t="s">
        <v>1481</v>
      </c>
      <c r="O493" s="33" t="s">
        <v>1475</v>
      </c>
    </row>
    <row r="494">
      <c r="A494" s="33" t="s">
        <v>1791</v>
      </c>
      <c r="B494" s="33" t="s">
        <v>1783</v>
      </c>
      <c r="C494" s="33" t="s">
        <v>36</v>
      </c>
      <c r="D494" s="33" t="s">
        <v>1467</v>
      </c>
      <c r="E494" s="33" t="s">
        <v>1468</v>
      </c>
      <c r="F494" s="33" t="s">
        <v>316</v>
      </c>
      <c r="G494" s="35">
        <v>46219</v>
      </c>
      <c r="H494" s="33" t="s">
        <v>1478</v>
      </c>
      <c r="I494" s="33" t="s">
        <v>1479</v>
      </c>
      <c r="J494" s="34">
        <v>0.095</v>
      </c>
      <c r="K494" s="33" t="s">
        <v>1471</v>
      </c>
      <c r="L494" s="33" t="s">
        <v>1792</v>
      </c>
      <c r="M494" s="33" t="s">
        <v>1473</v>
      </c>
      <c r="N494" s="33" t="s">
        <v>1481</v>
      </c>
      <c r="O494" s="33" t="s">
        <v>1475</v>
      </c>
    </row>
    <row r="495">
      <c r="A495" s="33" t="s">
        <v>1793</v>
      </c>
      <c r="B495" s="33" t="s">
        <v>1794</v>
      </c>
      <c r="C495" s="33" t="s">
        <v>1466</v>
      </c>
      <c r="D495" s="33" t="s">
        <v>1467</v>
      </c>
      <c r="E495" s="33" t="s">
        <v>1468</v>
      </c>
      <c r="F495" s="33" t="s">
        <v>316</v>
      </c>
      <c r="G495" s="35">
        <v>46219</v>
      </c>
      <c r="H495" s="33" t="s">
        <v>1478</v>
      </c>
      <c r="I495" s="33" t="s">
        <v>1479</v>
      </c>
      <c r="J495" s="34">
        <v>-0.0391</v>
      </c>
      <c r="K495" s="33" t="s">
        <v>1471</v>
      </c>
      <c r="L495" s="33" t="s">
        <v>1795</v>
      </c>
      <c r="M495" s="33" t="s">
        <v>1473</v>
      </c>
      <c r="N495" s="33" t="s">
        <v>1481</v>
      </c>
      <c r="O495" s="33" t="s">
        <v>1475</v>
      </c>
    </row>
    <row r="496">
      <c r="A496" s="33" t="s">
        <v>1796</v>
      </c>
      <c r="B496" s="33" t="s">
        <v>1794</v>
      </c>
      <c r="C496" s="33" t="s">
        <v>1477</v>
      </c>
      <c r="D496" s="33" t="s">
        <v>1467</v>
      </c>
      <c r="E496" s="33" t="s">
        <v>1468</v>
      </c>
      <c r="F496" s="33" t="s">
        <v>316</v>
      </c>
      <c r="G496" s="35">
        <v>46219</v>
      </c>
      <c r="H496" s="33" t="s">
        <v>1478</v>
      </c>
      <c r="I496" s="33" t="s">
        <v>1479</v>
      </c>
      <c r="J496" s="34">
        <v>-0.025</v>
      </c>
      <c r="K496" s="33" t="s">
        <v>1471</v>
      </c>
      <c r="L496" s="33" t="s">
        <v>1797</v>
      </c>
      <c r="M496" s="33" t="s">
        <v>1473</v>
      </c>
      <c r="N496" s="33" t="s">
        <v>1481</v>
      </c>
      <c r="O496" s="33" t="s">
        <v>1475</v>
      </c>
    </row>
    <row r="497">
      <c r="A497" s="33" t="s">
        <v>1798</v>
      </c>
      <c r="B497" s="33" t="s">
        <v>1794</v>
      </c>
      <c r="C497" s="33" t="s">
        <v>1483</v>
      </c>
      <c r="D497" s="33" t="s">
        <v>1467</v>
      </c>
      <c r="E497" s="33" t="s">
        <v>1468</v>
      </c>
      <c r="F497" s="33" t="s">
        <v>316</v>
      </c>
      <c r="G497" s="35">
        <v>46219</v>
      </c>
      <c r="H497" s="33" t="s">
        <v>1478</v>
      </c>
      <c r="I497" s="33" t="s">
        <v>1479</v>
      </c>
      <c r="J497" s="34">
        <v>-0.02</v>
      </c>
      <c r="K497" s="33" t="s">
        <v>1471</v>
      </c>
      <c r="L497" s="33" t="s">
        <v>1799</v>
      </c>
      <c r="M497" s="33" t="s">
        <v>1473</v>
      </c>
      <c r="N497" s="33" t="s">
        <v>1481</v>
      </c>
      <c r="O497" s="33" t="s">
        <v>1475</v>
      </c>
    </row>
    <row r="498">
      <c r="A498" s="33" t="s">
        <v>1800</v>
      </c>
      <c r="B498" s="33" t="s">
        <v>1794</v>
      </c>
      <c r="C498" s="33" t="s">
        <v>1486</v>
      </c>
      <c r="D498" s="33" t="s">
        <v>1467</v>
      </c>
      <c r="E498" s="33" t="s">
        <v>1468</v>
      </c>
      <c r="F498" s="33" t="s">
        <v>316</v>
      </c>
      <c r="G498" s="35">
        <v>46219</v>
      </c>
      <c r="H498" s="33" t="s">
        <v>1478</v>
      </c>
      <c r="I498" s="33" t="s">
        <v>1479</v>
      </c>
      <c r="J498" s="34">
        <v>-0.015</v>
      </c>
      <c r="K498" s="33" t="s">
        <v>1471</v>
      </c>
      <c r="L498" s="33" t="s">
        <v>1801</v>
      </c>
      <c r="M498" s="33" t="s">
        <v>1473</v>
      </c>
      <c r="N498" s="33" t="s">
        <v>1481</v>
      </c>
      <c r="O498" s="33" t="s">
        <v>1475</v>
      </c>
    </row>
    <row r="499">
      <c r="A499" s="33" t="s">
        <v>1802</v>
      </c>
      <c r="B499" s="33" t="s">
        <v>1794</v>
      </c>
      <c r="C499" s="33" t="s">
        <v>36</v>
      </c>
      <c r="D499" s="33" t="s">
        <v>1467</v>
      </c>
      <c r="E499" s="33" t="s">
        <v>1468</v>
      </c>
      <c r="F499" s="33" t="s">
        <v>316</v>
      </c>
      <c r="G499" s="35">
        <v>46219</v>
      </c>
      <c r="H499" s="33" t="s">
        <v>1478</v>
      </c>
      <c r="I499" s="33" t="s">
        <v>1479</v>
      </c>
      <c r="J499" s="34">
        <v>-0.01</v>
      </c>
      <c r="K499" s="33" t="s">
        <v>1471</v>
      </c>
      <c r="L499" s="33" t="s">
        <v>1803</v>
      </c>
      <c r="M499" s="33" t="s">
        <v>1473</v>
      </c>
      <c r="N499" s="33" t="s">
        <v>1481</v>
      </c>
      <c r="O499" s="33" t="s">
        <v>1475</v>
      </c>
    </row>
    <row r="500">
      <c r="A500" s="33" t="s">
        <v>1804</v>
      </c>
      <c r="B500" s="33" t="s">
        <v>1805</v>
      </c>
      <c r="C500" s="33" t="s">
        <v>1466</v>
      </c>
      <c r="D500" s="33" t="s">
        <v>1467</v>
      </c>
      <c r="E500" s="33" t="s">
        <v>1468</v>
      </c>
      <c r="F500" s="33" t="s">
        <v>316</v>
      </c>
      <c r="G500" s="35">
        <v>46219</v>
      </c>
      <c r="H500" s="33" t="s">
        <v>1478</v>
      </c>
      <c r="I500" s="33" t="s">
        <v>1479</v>
      </c>
      <c r="J500" s="34">
        <v>0.0262</v>
      </c>
      <c r="K500" s="33" t="s">
        <v>1471</v>
      </c>
      <c r="L500" s="33" t="s">
        <v>1806</v>
      </c>
      <c r="M500" s="33" t="s">
        <v>1473</v>
      </c>
      <c r="N500" s="33" t="s">
        <v>1481</v>
      </c>
      <c r="O500" s="33" t="s">
        <v>1475</v>
      </c>
    </row>
    <row r="501">
      <c r="A501" s="33" t="s">
        <v>1807</v>
      </c>
      <c r="B501" s="33" t="s">
        <v>1805</v>
      </c>
      <c r="C501" s="33" t="s">
        <v>1477</v>
      </c>
      <c r="D501" s="33" t="s">
        <v>1467</v>
      </c>
      <c r="E501" s="33" t="s">
        <v>1468</v>
      </c>
      <c r="F501" s="33" t="s">
        <v>316</v>
      </c>
      <c r="G501" s="35">
        <v>46219</v>
      </c>
      <c r="H501" s="33" t="s">
        <v>1478</v>
      </c>
      <c r="I501" s="33" t="s">
        <v>1479</v>
      </c>
      <c r="J501" s="34">
        <v>0.027</v>
      </c>
      <c r="K501" s="33" t="s">
        <v>1471</v>
      </c>
      <c r="L501" s="33" t="s">
        <v>1808</v>
      </c>
      <c r="M501" s="33" t="s">
        <v>1473</v>
      </c>
      <c r="N501" s="33" t="s">
        <v>1481</v>
      </c>
      <c r="O501" s="33" t="s">
        <v>1475</v>
      </c>
    </row>
    <row r="502">
      <c r="A502" s="33" t="s">
        <v>1809</v>
      </c>
      <c r="B502" s="33" t="s">
        <v>1805</v>
      </c>
      <c r="C502" s="33" t="s">
        <v>1483</v>
      </c>
      <c r="D502" s="33" t="s">
        <v>1467</v>
      </c>
      <c r="E502" s="33" t="s">
        <v>1468</v>
      </c>
      <c r="F502" s="33" t="s">
        <v>316</v>
      </c>
      <c r="G502" s="35">
        <v>46219</v>
      </c>
      <c r="H502" s="33" t="s">
        <v>1478</v>
      </c>
      <c r="I502" s="33" t="s">
        <v>1479</v>
      </c>
      <c r="J502" s="34">
        <v>0.028</v>
      </c>
      <c r="K502" s="33" t="s">
        <v>1471</v>
      </c>
      <c r="L502" s="33" t="s">
        <v>1810</v>
      </c>
      <c r="M502" s="33" t="s">
        <v>1473</v>
      </c>
      <c r="N502" s="33" t="s">
        <v>1481</v>
      </c>
      <c r="O502" s="33" t="s">
        <v>1475</v>
      </c>
    </row>
    <row r="503">
      <c r="A503" s="33" t="s">
        <v>1811</v>
      </c>
      <c r="B503" s="33" t="s">
        <v>1805</v>
      </c>
      <c r="C503" s="33" t="s">
        <v>1486</v>
      </c>
      <c r="D503" s="33" t="s">
        <v>1467</v>
      </c>
      <c r="E503" s="33" t="s">
        <v>1468</v>
      </c>
      <c r="F503" s="33" t="s">
        <v>316</v>
      </c>
      <c r="G503" s="35">
        <v>46219</v>
      </c>
      <c r="H503" s="33" t="s">
        <v>1478</v>
      </c>
      <c r="I503" s="33" t="s">
        <v>1479</v>
      </c>
      <c r="J503" s="34">
        <v>0.029</v>
      </c>
      <c r="K503" s="33" t="s">
        <v>1471</v>
      </c>
      <c r="L503" s="33" t="s">
        <v>1812</v>
      </c>
      <c r="M503" s="33" t="s">
        <v>1473</v>
      </c>
      <c r="N503" s="33" t="s">
        <v>1481</v>
      </c>
      <c r="O503" s="33" t="s">
        <v>1475</v>
      </c>
    </row>
    <row r="504">
      <c r="A504" s="33" t="s">
        <v>1813</v>
      </c>
      <c r="B504" s="33" t="s">
        <v>1805</v>
      </c>
      <c r="C504" s="33" t="s">
        <v>36</v>
      </c>
      <c r="D504" s="33" t="s">
        <v>1467</v>
      </c>
      <c r="E504" s="33" t="s">
        <v>1468</v>
      </c>
      <c r="F504" s="33" t="s">
        <v>316</v>
      </c>
      <c r="G504" s="35">
        <v>46219</v>
      </c>
      <c r="H504" s="33" t="s">
        <v>1478</v>
      </c>
      <c r="I504" s="33" t="s">
        <v>1479</v>
      </c>
      <c r="J504" s="34">
        <v>0.03</v>
      </c>
      <c r="K504" s="33" t="s">
        <v>1471</v>
      </c>
      <c r="L504" s="33" t="s">
        <v>1814</v>
      </c>
      <c r="M504" s="33" t="s">
        <v>1473</v>
      </c>
      <c r="N504" s="33" t="s">
        <v>1481</v>
      </c>
      <c r="O504" s="33" t="s">
        <v>1475</v>
      </c>
    </row>
    <row r="505">
      <c r="A505" s="33" t="s">
        <v>1815</v>
      </c>
      <c r="B505" s="33" t="s">
        <v>1816</v>
      </c>
      <c r="C505" s="33" t="s">
        <v>1466</v>
      </c>
      <c r="D505" s="33" t="s">
        <v>1467</v>
      </c>
      <c r="E505" s="33" t="s">
        <v>1468</v>
      </c>
      <c r="F505" s="33" t="s">
        <v>316</v>
      </c>
      <c r="G505" s="35">
        <v>46219</v>
      </c>
      <c r="H505" s="33" t="s">
        <v>1478</v>
      </c>
      <c r="I505" s="33" t="s">
        <v>1479</v>
      </c>
      <c r="J505" s="34">
        <v>0.0939</v>
      </c>
      <c r="K505" s="33" t="s">
        <v>1471</v>
      </c>
      <c r="L505" s="33" t="s">
        <v>1817</v>
      </c>
      <c r="M505" s="33" t="s">
        <v>1473</v>
      </c>
      <c r="N505" s="33" t="s">
        <v>1481</v>
      </c>
      <c r="O505" s="33" t="s">
        <v>1475</v>
      </c>
    </row>
    <row r="506">
      <c r="A506" s="33" t="s">
        <v>1818</v>
      </c>
      <c r="B506" s="33" t="s">
        <v>1816</v>
      </c>
      <c r="C506" s="33" t="s">
        <v>1477</v>
      </c>
      <c r="D506" s="33" t="s">
        <v>1467</v>
      </c>
      <c r="E506" s="33" t="s">
        <v>1468</v>
      </c>
      <c r="F506" s="33" t="s">
        <v>316</v>
      </c>
      <c r="G506" s="35">
        <v>46219</v>
      </c>
      <c r="H506" s="33" t="s">
        <v>1478</v>
      </c>
      <c r="I506" s="33" t="s">
        <v>1479</v>
      </c>
      <c r="J506" s="34">
        <v>0.092</v>
      </c>
      <c r="K506" s="33" t="s">
        <v>1471</v>
      </c>
      <c r="L506" s="33" t="s">
        <v>1819</v>
      </c>
      <c r="M506" s="33" t="s">
        <v>1473</v>
      </c>
      <c r="N506" s="33" t="s">
        <v>1481</v>
      </c>
      <c r="O506" s="33" t="s">
        <v>1475</v>
      </c>
    </row>
    <row r="507">
      <c r="A507" s="33" t="s">
        <v>1820</v>
      </c>
      <c r="B507" s="33" t="s">
        <v>1816</v>
      </c>
      <c r="C507" s="33" t="s">
        <v>1483</v>
      </c>
      <c r="D507" s="33" t="s">
        <v>1467</v>
      </c>
      <c r="E507" s="33" t="s">
        <v>1468</v>
      </c>
      <c r="F507" s="33" t="s">
        <v>316</v>
      </c>
      <c r="G507" s="35">
        <v>46219</v>
      </c>
      <c r="H507" s="33" t="s">
        <v>1478</v>
      </c>
      <c r="I507" s="33" t="s">
        <v>1479</v>
      </c>
      <c r="J507" s="34">
        <v>0.09</v>
      </c>
      <c r="K507" s="33" t="s">
        <v>1471</v>
      </c>
      <c r="L507" s="33" t="s">
        <v>1821</v>
      </c>
      <c r="M507" s="33" t="s">
        <v>1473</v>
      </c>
      <c r="N507" s="33" t="s">
        <v>1481</v>
      </c>
      <c r="O507" s="33" t="s">
        <v>1475</v>
      </c>
    </row>
    <row r="508">
      <c r="A508" s="33" t="s">
        <v>1822</v>
      </c>
      <c r="B508" s="33" t="s">
        <v>1816</v>
      </c>
      <c r="C508" s="33" t="s">
        <v>1486</v>
      </c>
      <c r="D508" s="33" t="s">
        <v>1467</v>
      </c>
      <c r="E508" s="33" t="s">
        <v>1468</v>
      </c>
      <c r="F508" s="33" t="s">
        <v>316</v>
      </c>
      <c r="G508" s="35">
        <v>46219</v>
      </c>
      <c r="H508" s="33" t="s">
        <v>1478</v>
      </c>
      <c r="I508" s="33" t="s">
        <v>1479</v>
      </c>
      <c r="J508" s="34">
        <v>0.088</v>
      </c>
      <c r="K508" s="33" t="s">
        <v>1471</v>
      </c>
      <c r="L508" s="33" t="s">
        <v>1823</v>
      </c>
      <c r="M508" s="33" t="s">
        <v>1473</v>
      </c>
      <c r="N508" s="33" t="s">
        <v>1481</v>
      </c>
      <c r="O508" s="33" t="s">
        <v>1475</v>
      </c>
    </row>
    <row r="509">
      <c r="A509" s="33" t="s">
        <v>1824</v>
      </c>
      <c r="B509" s="33" t="s">
        <v>1816</v>
      </c>
      <c r="C509" s="33" t="s">
        <v>36</v>
      </c>
      <c r="D509" s="33" t="s">
        <v>1467</v>
      </c>
      <c r="E509" s="33" t="s">
        <v>1468</v>
      </c>
      <c r="F509" s="33" t="s">
        <v>316</v>
      </c>
      <c r="G509" s="35">
        <v>46219</v>
      </c>
      <c r="H509" s="33" t="s">
        <v>1478</v>
      </c>
      <c r="I509" s="33" t="s">
        <v>1479</v>
      </c>
      <c r="J509" s="34">
        <v>0.086</v>
      </c>
      <c r="K509" s="33" t="s">
        <v>1471</v>
      </c>
      <c r="L509" s="33" t="s">
        <v>1825</v>
      </c>
      <c r="M509" s="33" t="s">
        <v>1473</v>
      </c>
      <c r="N509" s="33" t="s">
        <v>1481</v>
      </c>
      <c r="O509" s="33" t="s">
        <v>1475</v>
      </c>
    </row>
    <row r="510">
      <c r="A510" s="33" t="s">
        <v>1826</v>
      </c>
      <c r="B510" s="33" t="s">
        <v>1827</v>
      </c>
      <c r="C510" s="33" t="s">
        <v>1466</v>
      </c>
      <c r="D510" s="33" t="s">
        <v>1467</v>
      </c>
      <c r="E510" s="33" t="s">
        <v>1468</v>
      </c>
      <c r="F510" s="33" t="s">
        <v>316</v>
      </c>
      <c r="G510" s="35">
        <v>46219</v>
      </c>
      <c r="H510" s="33" t="s">
        <v>1478</v>
      </c>
      <c r="I510" s="33" t="s">
        <v>1479</v>
      </c>
      <c r="J510" s="34">
        <v>0.1071</v>
      </c>
      <c r="K510" s="33" t="s">
        <v>1471</v>
      </c>
      <c r="L510" s="33" t="s">
        <v>1828</v>
      </c>
      <c r="M510" s="33" t="s">
        <v>1473</v>
      </c>
      <c r="N510" s="33" t="s">
        <v>1481</v>
      </c>
      <c r="O510" s="33" t="s">
        <v>1475</v>
      </c>
    </row>
    <row r="511">
      <c r="A511" s="33" t="s">
        <v>1829</v>
      </c>
      <c r="B511" s="33" t="s">
        <v>1827</v>
      </c>
      <c r="C511" s="33" t="s">
        <v>1477</v>
      </c>
      <c r="D511" s="33" t="s">
        <v>1467</v>
      </c>
      <c r="E511" s="33" t="s">
        <v>1468</v>
      </c>
      <c r="F511" s="33" t="s">
        <v>316</v>
      </c>
      <c r="G511" s="35">
        <v>46219</v>
      </c>
      <c r="H511" s="33" t="s">
        <v>1478</v>
      </c>
      <c r="I511" s="33" t="s">
        <v>1479</v>
      </c>
      <c r="J511" s="34">
        <v>0.108</v>
      </c>
      <c r="K511" s="33" t="s">
        <v>1471</v>
      </c>
      <c r="L511" s="33" t="s">
        <v>1830</v>
      </c>
      <c r="M511" s="33" t="s">
        <v>1473</v>
      </c>
      <c r="N511" s="33" t="s">
        <v>1481</v>
      </c>
      <c r="O511" s="33" t="s">
        <v>1475</v>
      </c>
    </row>
    <row r="512">
      <c r="A512" s="33" t="s">
        <v>1831</v>
      </c>
      <c r="B512" s="33" t="s">
        <v>1827</v>
      </c>
      <c r="C512" s="33" t="s">
        <v>1483</v>
      </c>
      <c r="D512" s="33" t="s">
        <v>1467</v>
      </c>
      <c r="E512" s="33" t="s">
        <v>1468</v>
      </c>
      <c r="F512" s="33" t="s">
        <v>316</v>
      </c>
      <c r="G512" s="35">
        <v>46219</v>
      </c>
      <c r="H512" s="33" t="s">
        <v>1478</v>
      </c>
      <c r="I512" s="33" t="s">
        <v>1479</v>
      </c>
      <c r="J512" s="34">
        <v>0.109</v>
      </c>
      <c r="K512" s="33" t="s">
        <v>1471</v>
      </c>
      <c r="L512" s="33" t="s">
        <v>1832</v>
      </c>
      <c r="M512" s="33" t="s">
        <v>1473</v>
      </c>
      <c r="N512" s="33" t="s">
        <v>1481</v>
      </c>
      <c r="O512" s="33" t="s">
        <v>1475</v>
      </c>
    </row>
    <row r="513">
      <c r="A513" s="33" t="s">
        <v>1833</v>
      </c>
      <c r="B513" s="33" t="s">
        <v>1827</v>
      </c>
      <c r="C513" s="33" t="s">
        <v>1486</v>
      </c>
      <c r="D513" s="33" t="s">
        <v>1467</v>
      </c>
      <c r="E513" s="33" t="s">
        <v>1468</v>
      </c>
      <c r="F513" s="33" t="s">
        <v>316</v>
      </c>
      <c r="G513" s="35">
        <v>46219</v>
      </c>
      <c r="H513" s="33" t="s">
        <v>1478</v>
      </c>
      <c r="I513" s="33" t="s">
        <v>1479</v>
      </c>
      <c r="J513" s="34">
        <v>0.11</v>
      </c>
      <c r="K513" s="33" t="s">
        <v>1471</v>
      </c>
      <c r="L513" s="33" t="s">
        <v>1834</v>
      </c>
      <c r="M513" s="33" t="s">
        <v>1473</v>
      </c>
      <c r="N513" s="33" t="s">
        <v>1481</v>
      </c>
      <c r="O513" s="33" t="s">
        <v>1475</v>
      </c>
    </row>
    <row r="514">
      <c r="A514" s="33" t="s">
        <v>1835</v>
      </c>
      <c r="B514" s="33" t="s">
        <v>1827</v>
      </c>
      <c r="C514" s="33" t="s">
        <v>36</v>
      </c>
      <c r="D514" s="33" t="s">
        <v>1467</v>
      </c>
      <c r="E514" s="33" t="s">
        <v>1468</v>
      </c>
      <c r="F514" s="33" t="s">
        <v>316</v>
      </c>
      <c r="G514" s="35">
        <v>46219</v>
      </c>
      <c r="H514" s="33" t="s">
        <v>1478</v>
      </c>
      <c r="I514" s="33" t="s">
        <v>1479</v>
      </c>
      <c r="J514" s="34">
        <v>0.11</v>
      </c>
      <c r="K514" s="33" t="s">
        <v>1471</v>
      </c>
      <c r="L514" s="33" t="s">
        <v>1836</v>
      </c>
      <c r="M514" s="33" t="s">
        <v>1473</v>
      </c>
      <c r="N514" s="33" t="s">
        <v>1481</v>
      </c>
      <c r="O514" s="33" t="s">
        <v>1475</v>
      </c>
    </row>
    <row r="515">
      <c r="A515" s="33" t="s">
        <v>1837</v>
      </c>
      <c r="B515" s="33" t="s">
        <v>1838</v>
      </c>
      <c r="C515" s="33" t="s">
        <v>1466</v>
      </c>
      <c r="D515" s="33" t="s">
        <v>1467</v>
      </c>
      <c r="E515" s="33" t="s">
        <v>1468</v>
      </c>
      <c r="F515" s="33" t="s">
        <v>316</v>
      </c>
      <c r="G515" s="35">
        <v>46219</v>
      </c>
      <c r="H515" s="33" t="s">
        <v>1478</v>
      </c>
      <c r="I515" s="33" t="s">
        <v>1479</v>
      </c>
      <c r="J515" s="34">
        <v>0.05489999999999999</v>
      </c>
      <c r="K515" s="33" t="s">
        <v>1471</v>
      </c>
      <c r="L515" s="33" t="s">
        <v>1839</v>
      </c>
      <c r="M515" s="33" t="s">
        <v>1473</v>
      </c>
      <c r="N515" s="33" t="s">
        <v>1481</v>
      </c>
      <c r="O515" s="33" t="s">
        <v>1475</v>
      </c>
    </row>
    <row r="516">
      <c r="A516" s="33" t="s">
        <v>1840</v>
      </c>
      <c r="B516" s="33" t="s">
        <v>1838</v>
      </c>
      <c r="C516" s="33" t="s">
        <v>1477</v>
      </c>
      <c r="D516" s="33" t="s">
        <v>1467</v>
      </c>
      <c r="E516" s="33" t="s">
        <v>1468</v>
      </c>
      <c r="F516" s="33" t="s">
        <v>316</v>
      </c>
      <c r="G516" s="35">
        <v>46219</v>
      </c>
      <c r="H516" s="33" t="s">
        <v>1478</v>
      </c>
      <c r="I516" s="33" t="s">
        <v>1479</v>
      </c>
      <c r="J516" s="34">
        <v>0.055999999999999994</v>
      </c>
      <c r="K516" s="33" t="s">
        <v>1471</v>
      </c>
      <c r="L516" s="33" t="s">
        <v>1841</v>
      </c>
      <c r="M516" s="33" t="s">
        <v>1473</v>
      </c>
      <c r="N516" s="33" t="s">
        <v>1481</v>
      </c>
      <c r="O516" s="33" t="s">
        <v>1475</v>
      </c>
    </row>
    <row r="517">
      <c r="A517" s="33" t="s">
        <v>1842</v>
      </c>
      <c r="B517" s="33" t="s">
        <v>1838</v>
      </c>
      <c r="C517" s="33" t="s">
        <v>1483</v>
      </c>
      <c r="D517" s="33" t="s">
        <v>1467</v>
      </c>
      <c r="E517" s="33" t="s">
        <v>1468</v>
      </c>
      <c r="F517" s="33" t="s">
        <v>316</v>
      </c>
      <c r="G517" s="35">
        <v>46219</v>
      </c>
      <c r="H517" s="33" t="s">
        <v>1478</v>
      </c>
      <c r="I517" s="33" t="s">
        <v>1479</v>
      </c>
      <c r="J517" s="34">
        <v>0.058</v>
      </c>
      <c r="K517" s="33" t="s">
        <v>1471</v>
      </c>
      <c r="L517" s="33" t="s">
        <v>1843</v>
      </c>
      <c r="M517" s="33" t="s">
        <v>1473</v>
      </c>
      <c r="N517" s="33" t="s">
        <v>1481</v>
      </c>
      <c r="O517" s="33" t="s">
        <v>1475</v>
      </c>
    </row>
    <row r="518">
      <c r="A518" s="33" t="s">
        <v>1844</v>
      </c>
      <c r="B518" s="33" t="s">
        <v>1838</v>
      </c>
      <c r="C518" s="33" t="s">
        <v>1486</v>
      </c>
      <c r="D518" s="33" t="s">
        <v>1467</v>
      </c>
      <c r="E518" s="33" t="s">
        <v>1468</v>
      </c>
      <c r="F518" s="33" t="s">
        <v>316</v>
      </c>
      <c r="G518" s="35">
        <v>46219</v>
      </c>
      <c r="H518" s="33" t="s">
        <v>1478</v>
      </c>
      <c r="I518" s="33" t="s">
        <v>1479</v>
      </c>
      <c r="J518" s="34">
        <v>0.059</v>
      </c>
      <c r="K518" s="33" t="s">
        <v>1471</v>
      </c>
      <c r="L518" s="33" t="s">
        <v>1845</v>
      </c>
      <c r="M518" s="33" t="s">
        <v>1473</v>
      </c>
      <c r="N518" s="33" t="s">
        <v>1481</v>
      </c>
      <c r="O518" s="33" t="s">
        <v>1475</v>
      </c>
    </row>
    <row r="519">
      <c r="A519" s="33" t="s">
        <v>1846</v>
      </c>
      <c r="B519" s="33" t="s">
        <v>1838</v>
      </c>
      <c r="C519" s="33" t="s">
        <v>36</v>
      </c>
      <c r="D519" s="33" t="s">
        <v>1467</v>
      </c>
      <c r="E519" s="33" t="s">
        <v>1468</v>
      </c>
      <c r="F519" s="33" t="s">
        <v>316</v>
      </c>
      <c r="G519" s="35">
        <v>46219</v>
      </c>
      <c r="H519" s="33" t="s">
        <v>1478</v>
      </c>
      <c r="I519" s="33" t="s">
        <v>1479</v>
      </c>
      <c r="J519" s="34">
        <v>0.06</v>
      </c>
      <c r="K519" s="33" t="s">
        <v>1471</v>
      </c>
      <c r="L519" s="33" t="s">
        <v>1847</v>
      </c>
      <c r="M519" s="33" t="s">
        <v>1473</v>
      </c>
      <c r="N519" s="33" t="s">
        <v>1481</v>
      </c>
      <c r="O519" s="33" t="s">
        <v>1475</v>
      </c>
    </row>
    <row r="520">
      <c r="A520" s="33" t="s">
        <v>1848</v>
      </c>
      <c r="B520" s="33" t="s">
        <v>132</v>
      </c>
      <c r="C520" s="33" t="s">
        <v>1849</v>
      </c>
      <c r="D520" s="33" t="s">
        <v>1679</v>
      </c>
      <c r="E520" s="33" t="s">
        <v>1680</v>
      </c>
      <c r="F520" s="33" t="s">
        <v>1681</v>
      </c>
      <c r="G520" s="35">
        <v>46219</v>
      </c>
      <c r="H520" s="33" t="s">
        <v>1469</v>
      </c>
      <c r="I520" s="33" t="s">
        <v>133</v>
      </c>
      <c r="J520" s="34">
        <v>0.0172</v>
      </c>
      <c r="K520" s="33" t="s">
        <v>1471</v>
      </c>
      <c r="L520" s="33" t="s">
        <v>1850</v>
      </c>
      <c r="M520" s="33" t="s">
        <v>1851</v>
      </c>
      <c r="N520" s="33" t="s">
        <v>1852</v>
      </c>
      <c r="O520" s="33" t="s">
        <v>435</v>
      </c>
    </row>
    <row r="521">
      <c r="A521" s="33" t="s">
        <v>1853</v>
      </c>
      <c r="B521" s="33" t="s">
        <v>134</v>
      </c>
      <c r="C521" s="33" t="s">
        <v>1849</v>
      </c>
      <c r="D521" s="33" t="s">
        <v>1854</v>
      </c>
      <c r="E521" s="33" t="s">
        <v>140</v>
      </c>
      <c r="F521" s="33" t="s">
        <v>316</v>
      </c>
      <c r="G521" s="35">
        <v>46219</v>
      </c>
      <c r="H521" s="33" t="s">
        <v>1855</v>
      </c>
      <c r="I521" s="33" t="s">
        <v>135</v>
      </c>
      <c r="J521" s="34">
        <v>0.04</v>
      </c>
      <c r="K521" s="33" t="s">
        <v>1471</v>
      </c>
      <c r="L521" s="33" t="s">
        <v>1856</v>
      </c>
      <c r="M521" s="33" t="s">
        <v>1851</v>
      </c>
      <c r="N521" s="33" t="s">
        <v>1481</v>
      </c>
      <c r="O521" s="33" t="s">
        <v>1475</v>
      </c>
    </row>
    <row r="522">
      <c r="A522" s="33" t="s">
        <v>1857</v>
      </c>
      <c r="B522" s="33" t="s">
        <v>136</v>
      </c>
      <c r="C522" s="33" t="s">
        <v>1849</v>
      </c>
      <c r="D522" s="33" t="s">
        <v>1679</v>
      </c>
      <c r="E522" s="33" t="s">
        <v>1680</v>
      </c>
      <c r="F522" s="33" t="s">
        <v>1681</v>
      </c>
      <c r="G522" s="35">
        <v>46219</v>
      </c>
      <c r="H522" s="33" t="s">
        <v>1469</v>
      </c>
      <c r="I522" s="33" t="s">
        <v>137</v>
      </c>
      <c r="J522" s="34">
        <v>0.25</v>
      </c>
      <c r="K522" s="33" t="s">
        <v>1471</v>
      </c>
      <c r="L522" s="33" t="s">
        <v>1858</v>
      </c>
      <c r="M522" s="33" t="s">
        <v>1851</v>
      </c>
      <c r="N522" s="33" t="s">
        <v>1852</v>
      </c>
      <c r="O522" s="33" t="s">
        <v>435</v>
      </c>
    </row>
    <row r="523">
      <c r="A523" s="33" t="s">
        <v>1859</v>
      </c>
      <c r="B523" s="33" t="s">
        <v>138</v>
      </c>
      <c r="C523" s="33" t="s">
        <v>1849</v>
      </c>
      <c r="D523" s="33" t="s">
        <v>1679</v>
      </c>
      <c r="E523" s="33" t="s">
        <v>1680</v>
      </c>
      <c r="F523" s="33" t="s">
        <v>1681</v>
      </c>
      <c r="G523" s="35">
        <v>46219</v>
      </c>
      <c r="H523" s="33" t="s">
        <v>1469</v>
      </c>
      <c r="I523" s="33" t="s">
        <v>137</v>
      </c>
      <c r="J523" s="34">
        <v>365</v>
      </c>
      <c r="K523" s="33" t="s">
        <v>431</v>
      </c>
      <c r="L523" s="33" t="s">
        <v>1860</v>
      </c>
      <c r="M523" s="33" t="s">
        <v>1851</v>
      </c>
      <c r="N523" s="33" t="s">
        <v>1852</v>
      </c>
      <c r="O523" s="33" t="s">
        <v>435</v>
      </c>
    </row>
    <row r="524">
      <c r="A524" s="33" t="s">
        <v>1861</v>
      </c>
      <c r="B524" s="33" t="s">
        <v>139</v>
      </c>
      <c r="C524" s="33" t="s">
        <v>1849</v>
      </c>
      <c r="D524" s="33" t="s">
        <v>1854</v>
      </c>
      <c r="E524" s="33" t="s">
        <v>140</v>
      </c>
      <c r="F524" s="33" t="s">
        <v>316</v>
      </c>
      <c r="G524" s="35">
        <v>46219</v>
      </c>
      <c r="H524" s="33" t="s">
        <v>1855</v>
      </c>
      <c r="I524" s="33" t="s">
        <v>140</v>
      </c>
      <c r="J524" s="34">
        <v>0.045</v>
      </c>
      <c r="K524" s="33" t="s">
        <v>1471</v>
      </c>
      <c r="L524" s="33" t="s">
        <v>1862</v>
      </c>
      <c r="M524" s="33" t="s">
        <v>1851</v>
      </c>
      <c r="N524" s="33" t="s">
        <v>1481</v>
      </c>
      <c r="O524" s="33" t="s">
        <v>1475</v>
      </c>
    </row>
    <row r="525">
      <c r="A525" s="33" t="s">
        <v>1863</v>
      </c>
      <c r="B525" s="33" t="s">
        <v>141</v>
      </c>
      <c r="C525" s="33" t="s">
        <v>1849</v>
      </c>
      <c r="D525" s="33" t="s">
        <v>1854</v>
      </c>
      <c r="E525" s="33" t="s">
        <v>140</v>
      </c>
      <c r="F525" s="33" t="s">
        <v>316</v>
      </c>
      <c r="G525" s="35">
        <v>46219</v>
      </c>
      <c r="H525" s="33" t="s">
        <v>1855</v>
      </c>
      <c r="I525" s="33" t="s">
        <v>142</v>
      </c>
      <c r="J525" s="34">
        <v>0.02</v>
      </c>
      <c r="K525" s="33" t="s">
        <v>1471</v>
      </c>
      <c r="L525" s="33" t="s">
        <v>1864</v>
      </c>
      <c r="M525" s="33" t="s">
        <v>1851</v>
      </c>
      <c r="N525" s="33" t="s">
        <v>1481</v>
      </c>
      <c r="O525" s="33" t="s">
        <v>1475</v>
      </c>
    </row>
    <row r="526">
      <c r="A526" s="33" t="s">
        <v>1865</v>
      </c>
      <c r="B526" s="33" t="s">
        <v>143</v>
      </c>
      <c r="C526" s="33" t="s">
        <v>1849</v>
      </c>
      <c r="D526" s="33" t="s">
        <v>1854</v>
      </c>
      <c r="E526" s="33" t="s">
        <v>140</v>
      </c>
      <c r="F526" s="33" t="s">
        <v>316</v>
      </c>
      <c r="G526" s="35">
        <v>46219</v>
      </c>
      <c r="H526" s="33" t="s">
        <v>1855</v>
      </c>
      <c r="I526" s="33" t="s">
        <v>142</v>
      </c>
      <c r="J526" s="34">
        <v>0.005</v>
      </c>
      <c r="K526" s="33" t="s">
        <v>1471</v>
      </c>
      <c r="L526" s="33" t="s">
        <v>1866</v>
      </c>
      <c r="M526" s="33" t="s">
        <v>1851</v>
      </c>
      <c r="N526" s="33" t="s">
        <v>1481</v>
      </c>
      <c r="O526" s="33" t="s">
        <v>1475</v>
      </c>
    </row>
    <row r="527">
      <c r="A527" s="33" t="s">
        <v>1867</v>
      </c>
      <c r="B527" s="33" t="s">
        <v>144</v>
      </c>
      <c r="C527" s="33" t="s">
        <v>1849</v>
      </c>
      <c r="D527" s="33" t="s">
        <v>1679</v>
      </c>
      <c r="E527" s="33" t="s">
        <v>1680</v>
      </c>
      <c r="F527" s="33" t="s">
        <v>1681</v>
      </c>
      <c r="G527" s="35">
        <v>46219</v>
      </c>
      <c r="H527" s="33" t="s">
        <v>1469</v>
      </c>
      <c r="I527" s="33" t="s">
        <v>145</v>
      </c>
      <c r="J527" s="34">
        <v>0.015</v>
      </c>
      <c r="K527" s="33" t="s">
        <v>1471</v>
      </c>
      <c r="L527" s="33" t="s">
        <v>1868</v>
      </c>
      <c r="M527" s="33" t="s">
        <v>1869</v>
      </c>
      <c r="N527" s="33" t="s">
        <v>1852</v>
      </c>
      <c r="O527" s="33" t="s">
        <v>435</v>
      </c>
    </row>
    <row r="528">
      <c r="A528" s="33" t="s">
        <v>1870</v>
      </c>
      <c r="B528" s="33" t="s">
        <v>146</v>
      </c>
      <c r="C528" s="33" t="s">
        <v>1849</v>
      </c>
      <c r="D528" s="33" t="s">
        <v>1854</v>
      </c>
      <c r="E528" s="33" t="s">
        <v>140</v>
      </c>
      <c r="F528" s="33" t="s">
        <v>316</v>
      </c>
      <c r="G528" s="35">
        <v>46219</v>
      </c>
      <c r="H528" s="33" t="s">
        <v>1855</v>
      </c>
      <c r="I528" s="33" t="s">
        <v>147</v>
      </c>
      <c r="J528" s="34">
        <v>17</v>
      </c>
      <c r="K528" s="33" t="s">
        <v>1871</v>
      </c>
      <c r="L528" s="33" t="s">
        <v>1872</v>
      </c>
      <c r="M528" s="33" t="s">
        <v>1851</v>
      </c>
      <c r="N528" s="33" t="s">
        <v>1481</v>
      </c>
      <c r="O528" s="33" t="s">
        <v>1475</v>
      </c>
    </row>
    <row r="529">
      <c r="A529" s="33" t="s">
        <v>1873</v>
      </c>
      <c r="B529" s="33" t="s">
        <v>148</v>
      </c>
      <c r="C529" s="33" t="s">
        <v>1849</v>
      </c>
      <c r="D529" s="33" t="s">
        <v>1854</v>
      </c>
      <c r="E529" s="33" t="s">
        <v>140</v>
      </c>
      <c r="F529" s="33" t="s">
        <v>316</v>
      </c>
      <c r="G529" s="35">
        <v>46219</v>
      </c>
      <c r="H529" s="33" t="s">
        <v>1855</v>
      </c>
      <c r="I529" s="33" t="s">
        <v>147</v>
      </c>
      <c r="J529" s="34">
        <v>40</v>
      </c>
      <c r="K529" s="33" t="s">
        <v>1871</v>
      </c>
      <c r="L529" s="33" t="s">
        <v>1874</v>
      </c>
      <c r="M529" s="33" t="s">
        <v>1851</v>
      </c>
      <c r="N529" s="33" t="s">
        <v>1481</v>
      </c>
      <c r="O529" s="33" t="s">
        <v>1475</v>
      </c>
    </row>
    <row r="530">
      <c r="A530" s="33" t="s">
        <v>1875</v>
      </c>
      <c r="B530" s="33" t="s">
        <v>149</v>
      </c>
      <c r="C530" s="33" t="s">
        <v>1849</v>
      </c>
      <c r="D530" s="33" t="s">
        <v>1854</v>
      </c>
      <c r="E530" s="33" t="s">
        <v>140</v>
      </c>
      <c r="F530" s="33" t="s">
        <v>316</v>
      </c>
      <c r="G530" s="35">
        <v>46219</v>
      </c>
      <c r="H530" s="33" t="s">
        <v>1855</v>
      </c>
      <c r="I530" s="33" t="s">
        <v>147</v>
      </c>
      <c r="J530" s="34">
        <v>18.5</v>
      </c>
      <c r="K530" s="33" t="s">
        <v>1871</v>
      </c>
      <c r="L530" s="33" t="s">
        <v>1876</v>
      </c>
      <c r="M530" s="33" t="s">
        <v>1851</v>
      </c>
      <c r="N530" s="33" t="s">
        <v>1481</v>
      </c>
      <c r="O530" s="33" t="s">
        <v>1475</v>
      </c>
    </row>
    <row r="531">
      <c r="A531" s="33" t="s">
        <v>1877</v>
      </c>
      <c r="B531" s="33" t="s">
        <v>150</v>
      </c>
      <c r="C531" s="33" t="s">
        <v>1849</v>
      </c>
      <c r="D531" s="33" t="s">
        <v>1854</v>
      </c>
      <c r="E531" s="33" t="s">
        <v>140</v>
      </c>
      <c r="F531" s="33" t="s">
        <v>316</v>
      </c>
      <c r="G531" s="35">
        <v>46219</v>
      </c>
      <c r="H531" s="33" t="s">
        <v>1855</v>
      </c>
      <c r="I531" s="33" t="s">
        <v>140</v>
      </c>
      <c r="J531" s="34">
        <v>0.009</v>
      </c>
      <c r="K531" s="33" t="s">
        <v>1471</v>
      </c>
      <c r="L531" s="33" t="s">
        <v>1878</v>
      </c>
      <c r="M531" s="33" t="s">
        <v>1851</v>
      </c>
      <c r="N531" s="33" t="s">
        <v>1481</v>
      </c>
      <c r="O531" s="33" t="s">
        <v>1475</v>
      </c>
    </row>
    <row r="532">
      <c r="A532" s="33" t="s">
        <v>1879</v>
      </c>
      <c r="B532" s="33" t="s">
        <v>151</v>
      </c>
      <c r="C532" s="33" t="s">
        <v>1849</v>
      </c>
      <c r="D532" s="33" t="s">
        <v>1854</v>
      </c>
      <c r="E532" s="33" t="s">
        <v>140</v>
      </c>
      <c r="F532" s="33" t="s">
        <v>316</v>
      </c>
      <c r="G532" s="35">
        <v>46219</v>
      </c>
      <c r="H532" s="33" t="s">
        <v>1855</v>
      </c>
      <c r="I532" s="33" t="s">
        <v>140</v>
      </c>
      <c r="J532" s="34">
        <v>0.048</v>
      </c>
      <c r="K532" s="33" t="s">
        <v>1471</v>
      </c>
      <c r="L532" s="33" t="s">
        <v>1880</v>
      </c>
      <c r="M532" s="33" t="s">
        <v>1851</v>
      </c>
      <c r="N532" s="33" t="s">
        <v>1481</v>
      </c>
      <c r="O532" s="33" t="s">
        <v>1475</v>
      </c>
    </row>
    <row r="533">
      <c r="A533" s="33" t="s">
        <v>1881</v>
      </c>
      <c r="B533" s="33" t="s">
        <v>152</v>
      </c>
      <c r="C533" s="33" t="s">
        <v>1849</v>
      </c>
      <c r="D533" s="33" t="s">
        <v>1854</v>
      </c>
      <c r="E533" s="33" t="s">
        <v>140</v>
      </c>
      <c r="F533" s="33" t="s">
        <v>316</v>
      </c>
      <c r="G533" s="35">
        <v>46219</v>
      </c>
      <c r="H533" s="33" t="s">
        <v>1855</v>
      </c>
      <c r="I533" s="33" t="s">
        <v>140</v>
      </c>
      <c r="J533" s="34">
        <v>0.5</v>
      </c>
      <c r="K533" s="33" t="s">
        <v>1471</v>
      </c>
      <c r="L533" s="33" t="s">
        <v>1882</v>
      </c>
      <c r="M533" s="33" t="s">
        <v>1851</v>
      </c>
      <c r="N533" s="33" t="s">
        <v>1481</v>
      </c>
      <c r="O533" s="33" t="s">
        <v>1475</v>
      </c>
    </row>
    <row r="534">
      <c r="A534" s="33" t="s">
        <v>1883</v>
      </c>
      <c r="B534" s="33" t="s">
        <v>153</v>
      </c>
      <c r="C534" s="33" t="s">
        <v>1849</v>
      </c>
      <c r="D534" s="33" t="s">
        <v>1854</v>
      </c>
      <c r="E534" s="33" t="s">
        <v>140</v>
      </c>
      <c r="F534" s="33" t="s">
        <v>316</v>
      </c>
      <c r="G534" s="35">
        <v>46219</v>
      </c>
      <c r="H534" s="33" t="s">
        <v>1855</v>
      </c>
      <c r="I534" s="33" t="s">
        <v>154</v>
      </c>
      <c r="J534" s="34">
        <v>0.02</v>
      </c>
      <c r="K534" s="33" t="s">
        <v>1471</v>
      </c>
      <c r="L534" s="33" t="s">
        <v>1884</v>
      </c>
      <c r="M534" s="33" t="s">
        <v>1851</v>
      </c>
      <c r="N534" s="33" t="s">
        <v>1481</v>
      </c>
      <c r="O534" s="33" t="s">
        <v>1475</v>
      </c>
    </row>
    <row r="535">
      <c r="A535" s="33" t="s">
        <v>1885</v>
      </c>
      <c r="B535" s="33" t="s">
        <v>155</v>
      </c>
      <c r="C535" s="33" t="s">
        <v>1849</v>
      </c>
      <c r="D535" s="33" t="s">
        <v>1854</v>
      </c>
      <c r="E535" s="33" t="s">
        <v>140</v>
      </c>
      <c r="F535" s="33" t="s">
        <v>316</v>
      </c>
      <c r="G535" s="35">
        <v>46219</v>
      </c>
      <c r="H535" s="33" t="s">
        <v>1855</v>
      </c>
      <c r="I535" s="33" t="s">
        <v>156</v>
      </c>
      <c r="J535" s="34">
        <v>0.085</v>
      </c>
      <c r="K535" s="33" t="s">
        <v>1471</v>
      </c>
      <c r="L535" s="33" t="s">
        <v>1886</v>
      </c>
      <c r="M535" s="33" t="s">
        <v>1851</v>
      </c>
      <c r="N535" s="33" t="s">
        <v>1481</v>
      </c>
      <c r="O535" s="33" t="s">
        <v>1475</v>
      </c>
    </row>
    <row r="536">
      <c r="A536" s="33" t="s">
        <v>1887</v>
      </c>
      <c r="B536" s="33" t="s">
        <v>157</v>
      </c>
      <c r="C536" s="33" t="s">
        <v>1849</v>
      </c>
      <c r="D536" s="33" t="s">
        <v>1854</v>
      </c>
      <c r="E536" s="33" t="s">
        <v>140</v>
      </c>
      <c r="F536" s="33" t="s">
        <v>316</v>
      </c>
      <c r="G536" s="35">
        <v>46219</v>
      </c>
      <c r="H536" s="33" t="s">
        <v>1855</v>
      </c>
      <c r="I536" s="33" t="s">
        <v>156</v>
      </c>
      <c r="J536" s="34">
        <v>0.02</v>
      </c>
      <c r="K536" s="33" t="s">
        <v>1471</v>
      </c>
      <c r="L536" s="33" t="s">
        <v>1888</v>
      </c>
      <c r="M536" s="33" t="s">
        <v>1851</v>
      </c>
      <c r="N536" s="33" t="s">
        <v>1481</v>
      </c>
      <c r="O536" s="33" t="s">
        <v>1475</v>
      </c>
    </row>
    <row r="537">
      <c r="A537" s="33" t="s">
        <v>1889</v>
      </c>
      <c r="B537" s="33" t="s">
        <v>158</v>
      </c>
      <c r="C537" s="33" t="s">
        <v>1849</v>
      </c>
      <c r="D537" s="33" t="s">
        <v>1854</v>
      </c>
      <c r="E537" s="33" t="s">
        <v>140</v>
      </c>
      <c r="F537" s="33" t="s">
        <v>316</v>
      </c>
      <c r="G537" s="35">
        <v>46219</v>
      </c>
      <c r="H537" s="33" t="s">
        <v>1855</v>
      </c>
      <c r="I537" s="33" t="s">
        <v>159</v>
      </c>
      <c r="J537" s="34">
        <v>8</v>
      </c>
      <c r="K537" s="33" t="s">
        <v>1890</v>
      </c>
      <c r="L537" s="33" t="s">
        <v>1891</v>
      </c>
      <c r="M537" s="33" t="s">
        <v>1851</v>
      </c>
      <c r="N537" s="33" t="s">
        <v>1481</v>
      </c>
      <c r="O537" s="33" t="s">
        <v>1475</v>
      </c>
    </row>
    <row r="538">
      <c r="A538" s="33" t="s">
        <v>1892</v>
      </c>
      <c r="B538" s="33" t="s">
        <v>160</v>
      </c>
      <c r="C538" s="33" t="s">
        <v>1849</v>
      </c>
      <c r="D538" s="33" t="s">
        <v>1679</v>
      </c>
      <c r="E538" s="33" t="s">
        <v>1680</v>
      </c>
      <c r="F538" s="33" t="s">
        <v>1681</v>
      </c>
      <c r="G538" s="35">
        <v>46219</v>
      </c>
      <c r="H538" s="33" t="s">
        <v>1469</v>
      </c>
      <c r="I538" s="33" t="s">
        <v>161</v>
      </c>
      <c r="J538" s="34">
        <v>0.019230769230769232</v>
      </c>
      <c r="K538" s="33" t="s">
        <v>1471</v>
      </c>
      <c r="L538" s="33" t="s">
        <v>1893</v>
      </c>
      <c r="M538" s="33" t="s">
        <v>1894</v>
      </c>
      <c r="N538" s="33" t="s">
        <v>1895</v>
      </c>
      <c r="O538" s="33" t="s">
        <v>1009</v>
      </c>
    </row>
    <row r="539">
      <c r="A539" s="33" t="s">
        <v>1896</v>
      </c>
      <c r="B539" s="33" t="s">
        <v>162</v>
      </c>
      <c r="C539" s="33" t="s">
        <v>1849</v>
      </c>
      <c r="D539" s="33" t="s">
        <v>1854</v>
      </c>
      <c r="E539" s="33" t="s">
        <v>140</v>
      </c>
      <c r="F539" s="33" t="s">
        <v>316</v>
      </c>
      <c r="G539" s="35">
        <v>46219</v>
      </c>
      <c r="H539" s="33" t="s">
        <v>1855</v>
      </c>
      <c r="I539" s="33" t="s">
        <v>140</v>
      </c>
      <c r="J539" s="34">
        <v>0.01</v>
      </c>
      <c r="K539" s="33" t="s">
        <v>1471</v>
      </c>
      <c r="L539" s="33" t="s">
        <v>1897</v>
      </c>
      <c r="M539" s="33" t="s">
        <v>1851</v>
      </c>
      <c r="N539" s="33" t="s">
        <v>1481</v>
      </c>
      <c r="O539" s="33" t="s">
        <v>1475</v>
      </c>
    </row>
    <row r="540">
      <c r="A540" s="33" t="s">
        <v>1898</v>
      </c>
      <c r="B540" s="33" t="s">
        <v>163</v>
      </c>
      <c r="C540" s="33" t="s">
        <v>1849</v>
      </c>
      <c r="D540" s="33" t="s">
        <v>1854</v>
      </c>
      <c r="E540" s="33" t="s">
        <v>140</v>
      </c>
      <c r="F540" s="33" t="s">
        <v>316</v>
      </c>
      <c r="G540" s="35">
        <v>46219</v>
      </c>
      <c r="H540" s="33" t="s">
        <v>1855</v>
      </c>
      <c r="I540" s="33" t="s">
        <v>140</v>
      </c>
      <c r="J540" s="34">
        <v>0.02</v>
      </c>
      <c r="K540" s="33" t="s">
        <v>1471</v>
      </c>
      <c r="L540" s="33" t="s">
        <v>1899</v>
      </c>
      <c r="M540" s="33" t="s">
        <v>1851</v>
      </c>
      <c r="N540" s="33" t="s">
        <v>1481</v>
      </c>
      <c r="O540" s="33" t="s">
        <v>1475</v>
      </c>
    </row>
    <row r="541">
      <c r="A541" s="33" t="s">
        <v>1900</v>
      </c>
      <c r="B541" s="33" t="s">
        <v>164</v>
      </c>
      <c r="C541" s="33" t="s">
        <v>1849</v>
      </c>
      <c r="D541" s="33" t="s">
        <v>1854</v>
      </c>
      <c r="E541" s="33" t="s">
        <v>140</v>
      </c>
      <c r="F541" s="33" t="s">
        <v>316</v>
      </c>
      <c r="G541" s="35">
        <v>46219</v>
      </c>
      <c r="H541" s="33" t="s">
        <v>1855</v>
      </c>
      <c r="I541" s="33" t="s">
        <v>165</v>
      </c>
      <c r="J541" s="34">
        <v>0.1</v>
      </c>
      <c r="K541" s="33" t="s">
        <v>1471</v>
      </c>
      <c r="L541" s="33" t="s">
        <v>1901</v>
      </c>
      <c r="M541" s="33" t="s">
        <v>1851</v>
      </c>
      <c r="N541" s="33" t="s">
        <v>1481</v>
      </c>
      <c r="O541" s="33" t="s">
        <v>1475</v>
      </c>
    </row>
    <row r="542">
      <c r="A542" s="33" t="s">
        <v>1902</v>
      </c>
      <c r="B542" s="33" t="s">
        <v>166</v>
      </c>
      <c r="C542" s="33" t="s">
        <v>1849</v>
      </c>
      <c r="D542" s="33" t="s">
        <v>1903</v>
      </c>
      <c r="E542" s="33" t="s">
        <v>1904</v>
      </c>
      <c r="F542" s="33" t="s">
        <v>1905</v>
      </c>
      <c r="G542" s="35">
        <v>46219</v>
      </c>
      <c r="H542" s="33" t="s">
        <v>1906</v>
      </c>
      <c r="I542" s="33" t="s">
        <v>167</v>
      </c>
      <c r="J542" s="34">
        <v>354</v>
      </c>
      <c r="K542" s="33" t="s">
        <v>1907</v>
      </c>
      <c r="L542" s="33" t="s">
        <v>1908</v>
      </c>
      <c r="M542" s="33" t="s">
        <v>1851</v>
      </c>
      <c r="N542" s="33" t="s">
        <v>1909</v>
      </c>
      <c r="O542" s="33" t="s">
        <v>1475</v>
      </c>
    </row>
    <row r="543">
      <c r="A543" s="33" t="s">
        <v>1910</v>
      </c>
      <c r="B543" s="33" t="s">
        <v>168</v>
      </c>
      <c r="C543" s="33" t="s">
        <v>1849</v>
      </c>
      <c r="D543" s="33" t="s">
        <v>1903</v>
      </c>
      <c r="E543" s="33" t="s">
        <v>1904</v>
      </c>
      <c r="F543" s="33" t="s">
        <v>1905</v>
      </c>
      <c r="G543" s="35">
        <v>46219</v>
      </c>
      <c r="H543" s="33" t="s">
        <v>1906</v>
      </c>
      <c r="I543" s="33" t="s">
        <v>169</v>
      </c>
      <c r="J543" s="34">
        <v>352.129402</v>
      </c>
      <c r="K543" s="33" t="s">
        <v>1907</v>
      </c>
      <c r="L543" s="33" t="s">
        <v>1911</v>
      </c>
      <c r="M543" s="33" t="s">
        <v>1912</v>
      </c>
      <c r="N543" s="33" t="s">
        <v>1913</v>
      </c>
      <c r="O543" s="33" t="s">
        <v>435</v>
      </c>
    </row>
    <row r="544">
      <c r="A544" s="33" t="s">
        <v>1914</v>
      </c>
      <c r="B544" s="33" t="s">
        <v>170</v>
      </c>
      <c r="C544" s="33" t="s">
        <v>1849</v>
      </c>
      <c r="D544" s="33" t="s">
        <v>1854</v>
      </c>
      <c r="E544" s="33" t="s">
        <v>140</v>
      </c>
      <c r="F544" s="33" t="s">
        <v>316</v>
      </c>
      <c r="G544" s="35">
        <v>46219</v>
      </c>
      <c r="H544" s="33" t="s">
        <v>1855</v>
      </c>
      <c r="I544" s="33" t="s">
        <v>171</v>
      </c>
      <c r="J544" s="34">
        <v>0</v>
      </c>
      <c r="K544" s="33" t="s">
        <v>1471</v>
      </c>
      <c r="L544" s="33" t="s">
        <v>1915</v>
      </c>
      <c r="M544" s="33" t="s">
        <v>1851</v>
      </c>
      <c r="N544" s="33" t="s">
        <v>1481</v>
      </c>
      <c r="O544" s="33" t="s">
        <v>1475</v>
      </c>
    </row>
    <row r="545">
      <c r="A545" s="33" t="s">
        <v>1916</v>
      </c>
      <c r="B545" s="33" t="s">
        <v>172</v>
      </c>
      <c r="C545" s="33" t="s">
        <v>1849</v>
      </c>
      <c r="D545" s="33" t="s">
        <v>1854</v>
      </c>
      <c r="E545" s="33" t="s">
        <v>140</v>
      </c>
      <c r="F545" s="33" t="s">
        <v>316</v>
      </c>
      <c r="G545" s="35">
        <v>46219</v>
      </c>
      <c r="H545" s="33" t="s">
        <v>1855</v>
      </c>
      <c r="I545" s="33" t="s">
        <v>173</v>
      </c>
      <c r="J545" s="34">
        <v>0</v>
      </c>
      <c r="K545" s="33" t="s">
        <v>1471</v>
      </c>
      <c r="L545" s="33" t="s">
        <v>1917</v>
      </c>
      <c r="M545" s="33" t="s">
        <v>1851</v>
      </c>
      <c r="N545" s="33" t="s">
        <v>1481</v>
      </c>
      <c r="O545" s="33" t="s">
        <v>1475</v>
      </c>
    </row>
    <row r="546">
      <c r="A546" s="33" t="s">
        <v>1918</v>
      </c>
      <c r="B546" s="33" t="s">
        <v>174</v>
      </c>
      <c r="C546" s="33" t="s">
        <v>1849</v>
      </c>
      <c r="D546" s="33" t="s">
        <v>1854</v>
      </c>
      <c r="E546" s="33" t="s">
        <v>140</v>
      </c>
      <c r="F546" s="33" t="s">
        <v>316</v>
      </c>
      <c r="G546" s="35">
        <v>46219</v>
      </c>
      <c r="H546" s="33" t="s">
        <v>1855</v>
      </c>
      <c r="I546" s="33" t="s">
        <v>173</v>
      </c>
      <c r="J546" s="34">
        <v>0</v>
      </c>
      <c r="K546" s="33" t="s">
        <v>1471</v>
      </c>
      <c r="L546" s="33" t="s">
        <v>1919</v>
      </c>
      <c r="M546" s="33" t="s">
        <v>1851</v>
      </c>
      <c r="N546" s="33" t="s">
        <v>1481</v>
      </c>
      <c r="O546" s="33" t="s">
        <v>1475</v>
      </c>
    </row>
    <row r="547">
      <c r="A547" s="33" t="s">
        <v>1920</v>
      </c>
      <c r="B547" s="33" t="s">
        <v>175</v>
      </c>
      <c r="C547" s="33" t="s">
        <v>1849</v>
      </c>
      <c r="D547" s="33" t="s">
        <v>1854</v>
      </c>
      <c r="E547" s="33" t="s">
        <v>140</v>
      </c>
      <c r="F547" s="33" t="s">
        <v>316</v>
      </c>
      <c r="G547" s="35">
        <v>46219</v>
      </c>
      <c r="H547" s="33" t="s">
        <v>1855</v>
      </c>
      <c r="I547" s="33" t="s">
        <v>173</v>
      </c>
      <c r="J547" s="34">
        <v>0</v>
      </c>
      <c r="K547" s="33" t="s">
        <v>1471</v>
      </c>
      <c r="L547" s="33" t="s">
        <v>1921</v>
      </c>
      <c r="M547" s="33" t="s">
        <v>1851</v>
      </c>
      <c r="N547" s="33" t="s">
        <v>1481</v>
      </c>
      <c r="O547" s="33" t="s">
        <v>1475</v>
      </c>
    </row>
    <row r="548">
      <c r="A548" s="33" t="s">
        <v>1922</v>
      </c>
      <c r="B548" s="33" t="s">
        <v>176</v>
      </c>
      <c r="C548" s="33" t="s">
        <v>1849</v>
      </c>
      <c r="D548" s="33" t="s">
        <v>1854</v>
      </c>
      <c r="E548" s="33" t="s">
        <v>140</v>
      </c>
      <c r="F548" s="33" t="s">
        <v>316</v>
      </c>
      <c r="G548" s="35">
        <v>46219</v>
      </c>
      <c r="H548" s="33" t="s">
        <v>1855</v>
      </c>
      <c r="I548" s="33" t="s">
        <v>177</v>
      </c>
      <c r="J548" s="34">
        <v>0</v>
      </c>
      <c r="K548" s="33" t="s">
        <v>431</v>
      </c>
      <c r="L548" s="33" t="s">
        <v>1923</v>
      </c>
      <c r="M548" s="33" t="s">
        <v>1851</v>
      </c>
      <c r="N548" s="33" t="s">
        <v>1481</v>
      </c>
      <c r="O548" s="33" t="s">
        <v>1475</v>
      </c>
    </row>
    <row r="549">
      <c r="A549" s="33" t="s">
        <v>1924</v>
      </c>
      <c r="B549" s="33" t="s">
        <v>184</v>
      </c>
      <c r="C549" s="33" t="s">
        <v>181</v>
      </c>
      <c r="D549" s="33" t="s">
        <v>442</v>
      </c>
      <c r="E549" s="33" t="s">
        <v>443</v>
      </c>
      <c r="F549" s="33" t="s">
        <v>444</v>
      </c>
      <c r="G549" s="35">
        <v>46219</v>
      </c>
      <c r="H549" s="33" t="s">
        <v>445</v>
      </c>
      <c r="I549" s="33" t="s">
        <v>1925</v>
      </c>
      <c r="J549" s="34">
        <v>52881</v>
      </c>
      <c r="K549" s="33" t="s">
        <v>431</v>
      </c>
      <c r="L549" s="33" t="s">
        <v>1926</v>
      </c>
      <c r="M549" s="33" t="s">
        <v>1927</v>
      </c>
      <c r="N549" s="33" t="s">
        <v>1928</v>
      </c>
      <c r="O549" s="33" t="s">
        <v>435</v>
      </c>
    </row>
    <row r="550">
      <c r="A550" s="33" t="s">
        <v>1929</v>
      </c>
      <c r="B550" s="33" t="s">
        <v>185</v>
      </c>
      <c r="C550" s="33" t="s">
        <v>181</v>
      </c>
      <c r="D550" s="33" t="s">
        <v>442</v>
      </c>
      <c r="E550" s="33" t="s">
        <v>443</v>
      </c>
      <c r="F550" s="33" t="s">
        <v>444</v>
      </c>
      <c r="G550" s="35">
        <v>46219</v>
      </c>
      <c r="H550" s="33" t="s">
        <v>445</v>
      </c>
      <c r="I550" s="33" t="s">
        <v>1925</v>
      </c>
      <c r="J550" s="34">
        <v>19</v>
      </c>
      <c r="K550" s="33" t="s">
        <v>431</v>
      </c>
      <c r="L550" s="33" t="s">
        <v>1930</v>
      </c>
      <c r="M550" s="33" t="s">
        <v>1927</v>
      </c>
      <c r="N550" s="33" t="s">
        <v>1928</v>
      </c>
      <c r="O550" s="33" t="s">
        <v>435</v>
      </c>
    </row>
    <row r="551">
      <c r="A551" s="33" t="s">
        <v>1931</v>
      </c>
      <c r="B551" s="33" t="s">
        <v>186</v>
      </c>
      <c r="C551" s="33" t="s">
        <v>181</v>
      </c>
      <c r="D551" s="33" t="s">
        <v>442</v>
      </c>
      <c r="E551" s="33" t="s">
        <v>443</v>
      </c>
      <c r="F551" s="33" t="s">
        <v>444</v>
      </c>
      <c r="G551" s="35">
        <v>46219</v>
      </c>
      <c r="H551" s="33" t="s">
        <v>445</v>
      </c>
      <c r="I551" s="33" t="s">
        <v>1925</v>
      </c>
      <c r="J551" s="34">
        <v>298</v>
      </c>
      <c r="K551" s="33" t="s">
        <v>431</v>
      </c>
      <c r="L551" s="33" t="s">
        <v>1932</v>
      </c>
      <c r="M551" s="33" t="s">
        <v>1927</v>
      </c>
      <c r="N551" s="33" t="s">
        <v>1928</v>
      </c>
      <c r="O551" s="33" t="s">
        <v>435</v>
      </c>
    </row>
    <row r="552">
      <c r="A552" s="33" t="s">
        <v>1933</v>
      </c>
      <c r="B552" s="33" t="s">
        <v>187</v>
      </c>
      <c r="C552" s="33" t="s">
        <v>181</v>
      </c>
      <c r="D552" s="33" t="s">
        <v>442</v>
      </c>
      <c r="E552" s="33" t="s">
        <v>443</v>
      </c>
      <c r="F552" s="33" t="s">
        <v>444</v>
      </c>
      <c r="G552" s="35">
        <v>46219</v>
      </c>
      <c r="H552" s="33" t="s">
        <v>445</v>
      </c>
      <c r="I552" s="33" t="s">
        <v>1925</v>
      </c>
      <c r="J552" s="34">
        <v>111</v>
      </c>
      <c r="K552" s="33" t="s">
        <v>431</v>
      </c>
      <c r="L552" s="33" t="s">
        <v>1934</v>
      </c>
      <c r="M552" s="33" t="s">
        <v>1927</v>
      </c>
      <c r="N552" s="33" t="s">
        <v>1928</v>
      </c>
      <c r="O552" s="33" t="s">
        <v>435</v>
      </c>
    </row>
    <row r="553">
      <c r="A553" s="33" t="s">
        <v>1935</v>
      </c>
      <c r="B553" s="33" t="s">
        <v>189</v>
      </c>
      <c r="C553" s="33" t="s">
        <v>181</v>
      </c>
      <c r="D553" s="33" t="s">
        <v>442</v>
      </c>
      <c r="E553" s="33" t="s">
        <v>443</v>
      </c>
      <c r="F553" s="33" t="s">
        <v>444</v>
      </c>
      <c r="G553" s="35">
        <v>46219</v>
      </c>
      <c r="H553" s="33" t="s">
        <v>445</v>
      </c>
      <c r="I553" s="33" t="s">
        <v>1925</v>
      </c>
      <c r="J553" s="34">
        <v>53309</v>
      </c>
      <c r="K553" s="33" t="s">
        <v>431</v>
      </c>
      <c r="L553" s="33" t="s">
        <v>1936</v>
      </c>
      <c r="M553" s="33" t="s">
        <v>1927</v>
      </c>
      <c r="N553" s="33" t="s">
        <v>1928</v>
      </c>
      <c r="O553" s="33" t="s">
        <v>435</v>
      </c>
    </row>
    <row r="554">
      <c r="A554" s="33" t="s">
        <v>1937</v>
      </c>
      <c r="B554" s="33" t="s">
        <v>184</v>
      </c>
      <c r="C554" s="33" t="s">
        <v>182</v>
      </c>
      <c r="D554" s="33" t="s">
        <v>442</v>
      </c>
      <c r="E554" s="33" t="s">
        <v>443</v>
      </c>
      <c r="F554" s="33" t="s">
        <v>444</v>
      </c>
      <c r="G554" s="35">
        <v>46219</v>
      </c>
      <c r="H554" s="33" t="s">
        <v>445</v>
      </c>
      <c r="I554" s="33" t="s">
        <v>1925</v>
      </c>
      <c r="J554" s="34">
        <v>53309</v>
      </c>
      <c r="K554" s="33" t="s">
        <v>431</v>
      </c>
      <c r="L554" s="33" t="s">
        <v>1938</v>
      </c>
      <c r="M554" s="33" t="s">
        <v>1927</v>
      </c>
      <c r="N554" s="33" t="s">
        <v>1928</v>
      </c>
      <c r="O554" s="33" t="s">
        <v>435</v>
      </c>
    </row>
    <row r="555">
      <c r="A555" s="33" t="s">
        <v>1939</v>
      </c>
      <c r="B555" s="33" t="s">
        <v>185</v>
      </c>
      <c r="C555" s="33" t="s">
        <v>182</v>
      </c>
      <c r="D555" s="33" t="s">
        <v>442</v>
      </c>
      <c r="E555" s="33" t="s">
        <v>443</v>
      </c>
      <c r="F555" s="33" t="s">
        <v>444</v>
      </c>
      <c r="G555" s="35">
        <v>46219</v>
      </c>
      <c r="H555" s="33" t="s">
        <v>445</v>
      </c>
      <c r="I555" s="33" t="s">
        <v>1925</v>
      </c>
      <c r="J555" s="34">
        <v>-10</v>
      </c>
      <c r="K555" s="33" t="s">
        <v>431</v>
      </c>
      <c r="L555" s="33" t="s">
        <v>1940</v>
      </c>
      <c r="M555" s="33" t="s">
        <v>1927</v>
      </c>
      <c r="N555" s="33" t="s">
        <v>1928</v>
      </c>
      <c r="O555" s="33" t="s">
        <v>435</v>
      </c>
    </row>
    <row r="556">
      <c r="A556" s="33" t="s">
        <v>1941</v>
      </c>
      <c r="B556" s="33" t="s">
        <v>186</v>
      </c>
      <c r="C556" s="33" t="s">
        <v>182</v>
      </c>
      <c r="D556" s="33" t="s">
        <v>442</v>
      </c>
      <c r="E556" s="33" t="s">
        <v>443</v>
      </c>
      <c r="F556" s="33" t="s">
        <v>444</v>
      </c>
      <c r="G556" s="35">
        <v>46219</v>
      </c>
      <c r="H556" s="33" t="s">
        <v>445</v>
      </c>
      <c r="I556" s="33" t="s">
        <v>1925</v>
      </c>
      <c r="J556" s="34">
        <v>1795</v>
      </c>
      <c r="K556" s="33" t="s">
        <v>431</v>
      </c>
      <c r="L556" s="33" t="s">
        <v>1942</v>
      </c>
      <c r="M556" s="33" t="s">
        <v>1927</v>
      </c>
      <c r="N556" s="33" t="s">
        <v>1928</v>
      </c>
      <c r="O556" s="33" t="s">
        <v>435</v>
      </c>
    </row>
    <row r="557">
      <c r="A557" s="33" t="s">
        <v>1943</v>
      </c>
      <c r="B557" s="33" t="s">
        <v>187</v>
      </c>
      <c r="C557" s="33" t="s">
        <v>182</v>
      </c>
      <c r="D557" s="33" t="s">
        <v>442</v>
      </c>
      <c r="E557" s="33" t="s">
        <v>443</v>
      </c>
      <c r="F557" s="33" t="s">
        <v>444</v>
      </c>
      <c r="G557" s="35">
        <v>46219</v>
      </c>
      <c r="H557" s="33" t="s">
        <v>445</v>
      </c>
      <c r="I557" s="33" t="s">
        <v>1925</v>
      </c>
      <c r="J557" s="34">
        <v>-653</v>
      </c>
      <c r="K557" s="33" t="s">
        <v>431</v>
      </c>
      <c r="L557" s="33" t="s">
        <v>1944</v>
      </c>
      <c r="M557" s="33" t="s">
        <v>1927</v>
      </c>
      <c r="N557" s="33" t="s">
        <v>1928</v>
      </c>
      <c r="O557" s="33" t="s">
        <v>435</v>
      </c>
    </row>
    <row r="558">
      <c r="A558" s="33" t="s">
        <v>1945</v>
      </c>
      <c r="B558" s="33" t="s">
        <v>189</v>
      </c>
      <c r="C558" s="33" t="s">
        <v>182</v>
      </c>
      <c r="D558" s="33" t="s">
        <v>442</v>
      </c>
      <c r="E558" s="33" t="s">
        <v>443</v>
      </c>
      <c r="F558" s="33" t="s">
        <v>444</v>
      </c>
      <c r="G558" s="35">
        <v>46219</v>
      </c>
      <c r="H558" s="33" t="s">
        <v>445</v>
      </c>
      <c r="I558" s="33" t="s">
        <v>1925</v>
      </c>
      <c r="J558" s="34">
        <v>54441</v>
      </c>
      <c r="K558" s="33" t="s">
        <v>431</v>
      </c>
      <c r="L558" s="33" t="s">
        <v>1946</v>
      </c>
      <c r="M558" s="33" t="s">
        <v>1927</v>
      </c>
      <c r="N558" s="33" t="s">
        <v>1928</v>
      </c>
      <c r="O558" s="33" t="s">
        <v>435</v>
      </c>
    </row>
    <row r="559">
      <c r="A559" s="33" t="s">
        <v>1947</v>
      </c>
      <c r="B559" s="33" t="s">
        <v>184</v>
      </c>
      <c r="C559" s="33" t="s">
        <v>183</v>
      </c>
      <c r="D559" s="33" t="s">
        <v>1903</v>
      </c>
      <c r="E559" s="33" t="s">
        <v>1904</v>
      </c>
      <c r="F559" s="33" t="s">
        <v>1905</v>
      </c>
      <c r="G559" s="35">
        <v>46219</v>
      </c>
      <c r="H559" s="33" t="s">
        <v>1906</v>
      </c>
      <c r="I559" s="33" t="s">
        <v>1925</v>
      </c>
      <c r="J559" s="34">
        <v>26697</v>
      </c>
      <c r="K559" s="33" t="s">
        <v>431</v>
      </c>
      <c r="L559" s="33" t="s">
        <v>1948</v>
      </c>
      <c r="M559" s="33" t="s">
        <v>1927</v>
      </c>
      <c r="N559" s="33" t="s">
        <v>1913</v>
      </c>
      <c r="O559" s="33" t="s">
        <v>435</v>
      </c>
    </row>
    <row r="560">
      <c r="A560" s="33" t="s">
        <v>1949</v>
      </c>
      <c r="B560" s="33" t="s">
        <v>185</v>
      </c>
      <c r="C560" s="33" t="s">
        <v>183</v>
      </c>
      <c r="D560" s="33" t="s">
        <v>1903</v>
      </c>
      <c r="E560" s="33" t="s">
        <v>1904</v>
      </c>
      <c r="F560" s="33" t="s">
        <v>1905</v>
      </c>
      <c r="G560" s="35">
        <v>46219</v>
      </c>
      <c r="H560" s="33" t="s">
        <v>1906</v>
      </c>
      <c r="I560" s="33" t="s">
        <v>1925</v>
      </c>
      <c r="J560" s="34">
        <v>-354</v>
      </c>
      <c r="K560" s="33" t="s">
        <v>431</v>
      </c>
      <c r="L560" s="33" t="s">
        <v>1950</v>
      </c>
      <c r="M560" s="33" t="s">
        <v>1927</v>
      </c>
      <c r="N560" s="33" t="s">
        <v>1913</v>
      </c>
      <c r="O560" s="33" t="s">
        <v>435</v>
      </c>
    </row>
    <row r="561">
      <c r="A561" s="33" t="s">
        <v>1951</v>
      </c>
      <c r="B561" s="33" t="s">
        <v>186</v>
      </c>
      <c r="C561" s="33" t="s">
        <v>183</v>
      </c>
      <c r="D561" s="33" t="s">
        <v>1903</v>
      </c>
      <c r="E561" s="33" t="s">
        <v>1904</v>
      </c>
      <c r="F561" s="33" t="s">
        <v>1905</v>
      </c>
      <c r="G561" s="35">
        <v>46219</v>
      </c>
      <c r="H561" s="33" t="s">
        <v>1906</v>
      </c>
      <c r="I561" s="33" t="s">
        <v>1925</v>
      </c>
      <c r="J561" s="34">
        <v>1430</v>
      </c>
      <c r="K561" s="33" t="s">
        <v>431</v>
      </c>
      <c r="L561" s="33" t="s">
        <v>1952</v>
      </c>
      <c r="M561" s="33" t="s">
        <v>1927</v>
      </c>
      <c r="N561" s="33" t="s">
        <v>1913</v>
      </c>
      <c r="O561" s="33" t="s">
        <v>435</v>
      </c>
    </row>
    <row r="562">
      <c r="A562" s="33" t="s">
        <v>1953</v>
      </c>
      <c r="B562" s="33" t="s">
        <v>187</v>
      </c>
      <c r="C562" s="33" t="s">
        <v>183</v>
      </c>
      <c r="D562" s="33" t="s">
        <v>1903</v>
      </c>
      <c r="E562" s="33" t="s">
        <v>1904</v>
      </c>
      <c r="F562" s="33" t="s">
        <v>1905</v>
      </c>
      <c r="G562" s="35">
        <v>46219</v>
      </c>
      <c r="H562" s="33" t="s">
        <v>1906</v>
      </c>
      <c r="I562" s="33" t="s">
        <v>1925</v>
      </c>
      <c r="J562" s="34">
        <v>193</v>
      </c>
      <c r="K562" s="33" t="s">
        <v>431</v>
      </c>
      <c r="L562" s="33" t="s">
        <v>1954</v>
      </c>
      <c r="M562" s="33" t="s">
        <v>1927</v>
      </c>
      <c r="N562" s="33" t="s">
        <v>1913</v>
      </c>
      <c r="O562" s="33" t="s">
        <v>435</v>
      </c>
    </row>
    <row r="563">
      <c r="A563" s="33" t="s">
        <v>1955</v>
      </c>
      <c r="B563" s="33" t="s">
        <v>189</v>
      </c>
      <c r="C563" s="33" t="s">
        <v>183</v>
      </c>
      <c r="D563" s="33" t="s">
        <v>1903</v>
      </c>
      <c r="E563" s="33" t="s">
        <v>1904</v>
      </c>
      <c r="F563" s="33" t="s">
        <v>1905</v>
      </c>
      <c r="G563" s="35">
        <v>46219</v>
      </c>
      <c r="H563" s="33" t="s">
        <v>1906</v>
      </c>
      <c r="I563" s="33" t="s">
        <v>1925</v>
      </c>
      <c r="J563" s="34">
        <v>27966</v>
      </c>
      <c r="K563" s="33" t="s">
        <v>431</v>
      </c>
      <c r="L563" s="33" t="s">
        <v>1956</v>
      </c>
      <c r="M563" s="33" t="s">
        <v>1927</v>
      </c>
      <c r="N563" s="33" t="s">
        <v>1913</v>
      </c>
      <c r="O563" s="33" t="s">
        <v>435</v>
      </c>
    </row>
    <row r="564">
      <c r="A564" s="33" t="s">
        <v>1957</v>
      </c>
      <c r="B564" s="33" t="s">
        <v>197</v>
      </c>
      <c r="C564" s="33" t="s">
        <v>181</v>
      </c>
      <c r="D564" s="33" t="s">
        <v>442</v>
      </c>
      <c r="E564" s="33" t="s">
        <v>443</v>
      </c>
      <c r="F564" s="33" t="s">
        <v>444</v>
      </c>
      <c r="G564" s="35">
        <v>46219</v>
      </c>
      <c r="H564" s="33" t="s">
        <v>445</v>
      </c>
      <c r="I564" s="33" t="s">
        <v>1958</v>
      </c>
      <c r="J564" s="34">
        <v>50250</v>
      </c>
      <c r="K564" s="33" t="s">
        <v>431</v>
      </c>
      <c r="L564" s="33" t="s">
        <v>1959</v>
      </c>
      <c r="M564" s="33" t="s">
        <v>1927</v>
      </c>
      <c r="N564" s="33" t="s">
        <v>1928</v>
      </c>
      <c r="O564" s="33" t="s">
        <v>435</v>
      </c>
    </row>
    <row r="565">
      <c r="A565" s="33" t="s">
        <v>1960</v>
      </c>
      <c r="B565" s="33" t="s">
        <v>185</v>
      </c>
      <c r="C565" s="33" t="s">
        <v>181</v>
      </c>
      <c r="D565" s="33" t="s">
        <v>442</v>
      </c>
      <c r="E565" s="33" t="s">
        <v>443</v>
      </c>
      <c r="F565" s="33" t="s">
        <v>444</v>
      </c>
      <c r="G565" s="35">
        <v>46219</v>
      </c>
      <c r="H565" s="33" t="s">
        <v>445</v>
      </c>
      <c r="I565" s="33" t="s">
        <v>1958</v>
      </c>
      <c r="J565" s="34">
        <v>18</v>
      </c>
      <c r="K565" s="33" t="s">
        <v>431</v>
      </c>
      <c r="L565" s="33" t="s">
        <v>1961</v>
      </c>
      <c r="M565" s="33" t="s">
        <v>1927</v>
      </c>
      <c r="N565" s="33" t="s">
        <v>1928</v>
      </c>
      <c r="O565" s="33" t="s">
        <v>435</v>
      </c>
    </row>
    <row r="566">
      <c r="A566" s="33" t="s">
        <v>1962</v>
      </c>
      <c r="B566" s="33" t="s">
        <v>198</v>
      </c>
      <c r="C566" s="33" t="s">
        <v>181</v>
      </c>
      <c r="D566" s="33" t="s">
        <v>442</v>
      </c>
      <c r="E566" s="33" t="s">
        <v>443</v>
      </c>
      <c r="F566" s="33" t="s">
        <v>444</v>
      </c>
      <c r="G566" s="35">
        <v>46219</v>
      </c>
      <c r="H566" s="33" t="s">
        <v>445</v>
      </c>
      <c r="I566" s="33" t="s">
        <v>1958</v>
      </c>
      <c r="J566" s="34">
        <v>-586</v>
      </c>
      <c r="K566" s="33" t="s">
        <v>431</v>
      </c>
      <c r="L566" s="33" t="s">
        <v>1963</v>
      </c>
      <c r="M566" s="33" t="s">
        <v>1927</v>
      </c>
      <c r="N566" s="33" t="s">
        <v>1928</v>
      </c>
      <c r="O566" s="33" t="s">
        <v>435</v>
      </c>
    </row>
    <row r="567">
      <c r="A567" s="33" t="s">
        <v>1964</v>
      </c>
      <c r="B567" s="33" t="s">
        <v>200</v>
      </c>
      <c r="C567" s="33" t="s">
        <v>181</v>
      </c>
      <c r="D567" s="33" t="s">
        <v>442</v>
      </c>
      <c r="E567" s="33" t="s">
        <v>443</v>
      </c>
      <c r="F567" s="33" t="s">
        <v>444</v>
      </c>
      <c r="G567" s="35">
        <v>46219</v>
      </c>
      <c r="H567" s="33" t="s">
        <v>445</v>
      </c>
      <c r="I567" s="33" t="s">
        <v>1958</v>
      </c>
      <c r="J567" s="34">
        <v>49682</v>
      </c>
      <c r="K567" s="33" t="s">
        <v>431</v>
      </c>
      <c r="L567" s="33" t="s">
        <v>1965</v>
      </c>
      <c r="M567" s="33" t="s">
        <v>1927</v>
      </c>
      <c r="N567" s="33" t="s">
        <v>1928</v>
      </c>
      <c r="O567" s="33" t="s">
        <v>435</v>
      </c>
    </row>
    <row r="568">
      <c r="A568" s="33" t="s">
        <v>1966</v>
      </c>
      <c r="B568" s="33" t="s">
        <v>197</v>
      </c>
      <c r="C568" s="33" t="s">
        <v>182</v>
      </c>
      <c r="D568" s="33" t="s">
        <v>442</v>
      </c>
      <c r="E568" s="33" t="s">
        <v>443</v>
      </c>
      <c r="F568" s="33" t="s">
        <v>444</v>
      </c>
      <c r="G568" s="35">
        <v>46219</v>
      </c>
      <c r="H568" s="33" t="s">
        <v>445</v>
      </c>
      <c r="I568" s="33" t="s">
        <v>1958</v>
      </c>
      <c r="J568" s="34">
        <v>49682</v>
      </c>
      <c r="K568" s="33" t="s">
        <v>431</v>
      </c>
      <c r="L568" s="33" t="s">
        <v>1967</v>
      </c>
      <c r="M568" s="33" t="s">
        <v>1927</v>
      </c>
      <c r="N568" s="33" t="s">
        <v>1928</v>
      </c>
      <c r="O568" s="33" t="s">
        <v>435</v>
      </c>
    </row>
    <row r="569">
      <c r="A569" s="33" t="s">
        <v>1968</v>
      </c>
      <c r="B569" s="33" t="s">
        <v>185</v>
      </c>
      <c r="C569" s="33" t="s">
        <v>182</v>
      </c>
      <c r="D569" s="33" t="s">
        <v>442</v>
      </c>
      <c r="E569" s="33" t="s">
        <v>443</v>
      </c>
      <c r="F569" s="33" t="s">
        <v>444</v>
      </c>
      <c r="G569" s="35">
        <v>46219</v>
      </c>
      <c r="H569" s="33" t="s">
        <v>445</v>
      </c>
      <c r="I569" s="33" t="s">
        <v>1958</v>
      </c>
      <c r="J569" s="34">
        <v>-10</v>
      </c>
      <c r="K569" s="33" t="s">
        <v>431</v>
      </c>
      <c r="L569" s="33" t="s">
        <v>1969</v>
      </c>
      <c r="M569" s="33" t="s">
        <v>1927</v>
      </c>
      <c r="N569" s="33" t="s">
        <v>1928</v>
      </c>
      <c r="O569" s="33" t="s">
        <v>435</v>
      </c>
    </row>
    <row r="570">
      <c r="A570" s="33" t="s">
        <v>1970</v>
      </c>
      <c r="B570" s="33" t="s">
        <v>198</v>
      </c>
      <c r="C570" s="33" t="s">
        <v>182</v>
      </c>
      <c r="D570" s="33" t="s">
        <v>442</v>
      </c>
      <c r="E570" s="33" t="s">
        <v>443</v>
      </c>
      <c r="F570" s="33" t="s">
        <v>444</v>
      </c>
      <c r="G570" s="35">
        <v>46219</v>
      </c>
      <c r="H570" s="33" t="s">
        <v>445</v>
      </c>
      <c r="I570" s="33" t="s">
        <v>1958</v>
      </c>
      <c r="J570" s="34">
        <v>1207</v>
      </c>
      <c r="K570" s="33" t="s">
        <v>431</v>
      </c>
      <c r="L570" s="33" t="s">
        <v>1971</v>
      </c>
      <c r="M570" s="33" t="s">
        <v>1927</v>
      </c>
      <c r="N570" s="33" t="s">
        <v>1928</v>
      </c>
      <c r="O570" s="33" t="s">
        <v>435</v>
      </c>
    </row>
    <row r="571">
      <c r="A571" s="33" t="s">
        <v>1972</v>
      </c>
      <c r="B571" s="33" t="s">
        <v>200</v>
      </c>
      <c r="C571" s="33" t="s">
        <v>182</v>
      </c>
      <c r="D571" s="33" t="s">
        <v>442</v>
      </c>
      <c r="E571" s="33" t="s">
        <v>443</v>
      </c>
      <c r="F571" s="33" t="s">
        <v>444</v>
      </c>
      <c r="G571" s="35">
        <v>46219</v>
      </c>
      <c r="H571" s="33" t="s">
        <v>445</v>
      </c>
      <c r="I571" s="33" t="s">
        <v>1958</v>
      </c>
      <c r="J571" s="34">
        <v>50879</v>
      </c>
      <c r="K571" s="33" t="s">
        <v>431</v>
      </c>
      <c r="L571" s="33" t="s">
        <v>1973</v>
      </c>
      <c r="M571" s="33" t="s">
        <v>1927</v>
      </c>
      <c r="N571" s="33" t="s">
        <v>1928</v>
      </c>
      <c r="O571" s="33" t="s">
        <v>435</v>
      </c>
    </row>
    <row r="572">
      <c r="A572" s="33" t="s">
        <v>1974</v>
      </c>
      <c r="B572" s="33" t="s">
        <v>197</v>
      </c>
      <c r="C572" s="33" t="s">
        <v>183</v>
      </c>
      <c r="D572" s="33" t="s">
        <v>1903</v>
      </c>
      <c r="E572" s="33" t="s">
        <v>1904</v>
      </c>
      <c r="F572" s="33" t="s">
        <v>1905</v>
      </c>
      <c r="G572" s="35">
        <v>46219</v>
      </c>
      <c r="H572" s="33" t="s">
        <v>1906</v>
      </c>
      <c r="I572" s="33" t="s">
        <v>1958</v>
      </c>
      <c r="J572" s="34">
        <v>25002</v>
      </c>
      <c r="K572" s="33" t="s">
        <v>431</v>
      </c>
      <c r="L572" s="33" t="s">
        <v>1975</v>
      </c>
      <c r="M572" s="33" t="s">
        <v>1927</v>
      </c>
      <c r="N572" s="33" t="s">
        <v>1913</v>
      </c>
      <c r="O572" s="33" t="s">
        <v>435</v>
      </c>
    </row>
    <row r="573">
      <c r="A573" s="33" t="s">
        <v>1976</v>
      </c>
      <c r="B573" s="33" t="s">
        <v>185</v>
      </c>
      <c r="C573" s="33" t="s">
        <v>183</v>
      </c>
      <c r="D573" s="33" t="s">
        <v>1903</v>
      </c>
      <c r="E573" s="33" t="s">
        <v>1904</v>
      </c>
      <c r="F573" s="33" t="s">
        <v>1905</v>
      </c>
      <c r="G573" s="35">
        <v>46219</v>
      </c>
      <c r="H573" s="33" t="s">
        <v>1906</v>
      </c>
      <c r="I573" s="33" t="s">
        <v>1958</v>
      </c>
      <c r="J573" s="34">
        <v>-328</v>
      </c>
      <c r="K573" s="33" t="s">
        <v>431</v>
      </c>
      <c r="L573" s="33" t="s">
        <v>1977</v>
      </c>
      <c r="M573" s="33" t="s">
        <v>1927</v>
      </c>
      <c r="N573" s="33" t="s">
        <v>1913</v>
      </c>
      <c r="O573" s="33" t="s">
        <v>435</v>
      </c>
    </row>
    <row r="574">
      <c r="A574" s="33" t="s">
        <v>1978</v>
      </c>
      <c r="B574" s="33" t="s">
        <v>198</v>
      </c>
      <c r="C574" s="33" t="s">
        <v>183</v>
      </c>
      <c r="D574" s="33" t="s">
        <v>1903</v>
      </c>
      <c r="E574" s="33" t="s">
        <v>1904</v>
      </c>
      <c r="F574" s="33" t="s">
        <v>1905</v>
      </c>
      <c r="G574" s="35">
        <v>46219</v>
      </c>
      <c r="H574" s="33" t="s">
        <v>1906</v>
      </c>
      <c r="I574" s="33" t="s">
        <v>1958</v>
      </c>
      <c r="J574" s="34">
        <v>1522</v>
      </c>
      <c r="K574" s="33" t="s">
        <v>431</v>
      </c>
      <c r="L574" s="33" t="s">
        <v>1979</v>
      </c>
      <c r="M574" s="33" t="s">
        <v>1927</v>
      </c>
      <c r="N574" s="33" t="s">
        <v>1913</v>
      </c>
      <c r="O574" s="33" t="s">
        <v>435</v>
      </c>
    </row>
    <row r="575">
      <c r="A575" s="33" t="s">
        <v>1980</v>
      </c>
      <c r="B575" s="33" t="s">
        <v>200</v>
      </c>
      <c r="C575" s="33" t="s">
        <v>183</v>
      </c>
      <c r="D575" s="33" t="s">
        <v>1903</v>
      </c>
      <c r="E575" s="33" t="s">
        <v>1904</v>
      </c>
      <c r="F575" s="33" t="s">
        <v>1905</v>
      </c>
      <c r="G575" s="35">
        <v>46219</v>
      </c>
      <c r="H575" s="33" t="s">
        <v>1906</v>
      </c>
      <c r="I575" s="33" t="s">
        <v>1958</v>
      </c>
      <c r="J575" s="34">
        <v>26196</v>
      </c>
      <c r="K575" s="33" t="s">
        <v>431</v>
      </c>
      <c r="L575" s="33" t="s">
        <v>1981</v>
      </c>
      <c r="M575" s="33" t="s">
        <v>1927</v>
      </c>
      <c r="N575" s="33" t="s">
        <v>1913</v>
      </c>
      <c r="O575" s="33" t="s">
        <v>435</v>
      </c>
    </row>
    <row r="576">
      <c r="A576" s="33" t="s">
        <v>1982</v>
      </c>
      <c r="B576" s="33" t="s">
        <v>1983</v>
      </c>
      <c r="C576" s="33" t="s">
        <v>182</v>
      </c>
      <c r="D576" s="33" t="s">
        <v>442</v>
      </c>
      <c r="E576" s="33" t="s">
        <v>443</v>
      </c>
      <c r="F576" s="33" t="s">
        <v>444</v>
      </c>
      <c r="G576" s="35">
        <v>46219</v>
      </c>
      <c r="H576" s="33" t="s">
        <v>445</v>
      </c>
      <c r="I576" s="33" t="s">
        <v>1984</v>
      </c>
      <c r="J576" s="34">
        <v>-0.019</v>
      </c>
      <c r="K576" s="33" t="s">
        <v>1471</v>
      </c>
      <c r="L576" s="33" t="s">
        <v>1985</v>
      </c>
      <c r="M576" s="33" t="s">
        <v>1927</v>
      </c>
      <c r="N576" s="33" t="s">
        <v>1928</v>
      </c>
      <c r="O576" s="33" t="s">
        <v>435</v>
      </c>
    </row>
    <row r="577">
      <c r="A577" s="33" t="s">
        <v>1986</v>
      </c>
      <c r="B577" s="33" t="s">
        <v>1987</v>
      </c>
      <c r="C577" s="33" t="s">
        <v>182</v>
      </c>
      <c r="D577" s="33" t="s">
        <v>442</v>
      </c>
      <c r="E577" s="33" t="s">
        <v>443</v>
      </c>
      <c r="F577" s="33" t="s">
        <v>444</v>
      </c>
      <c r="G577" s="35">
        <v>46219</v>
      </c>
      <c r="H577" s="33" t="s">
        <v>445</v>
      </c>
      <c r="I577" s="33" t="s">
        <v>1984</v>
      </c>
      <c r="J577" s="34">
        <v>0.09</v>
      </c>
      <c r="K577" s="33" t="s">
        <v>1471</v>
      </c>
      <c r="L577" s="33" t="s">
        <v>1988</v>
      </c>
      <c r="M577" s="33" t="s">
        <v>1927</v>
      </c>
      <c r="N577" s="33" t="s">
        <v>1928</v>
      </c>
      <c r="O577" s="33" t="s">
        <v>435</v>
      </c>
    </row>
    <row r="578">
      <c r="A578" s="33" t="s">
        <v>1989</v>
      </c>
      <c r="B578" s="33" t="s">
        <v>1983</v>
      </c>
      <c r="C578" s="33" t="s">
        <v>183</v>
      </c>
      <c r="D578" s="33" t="s">
        <v>1903</v>
      </c>
      <c r="E578" s="33" t="s">
        <v>1904</v>
      </c>
      <c r="F578" s="33" t="s">
        <v>1905</v>
      </c>
      <c r="G578" s="35">
        <v>46219</v>
      </c>
      <c r="H578" s="33" t="s">
        <v>1906</v>
      </c>
      <c r="I578" s="33" t="s">
        <v>1984</v>
      </c>
      <c r="J578" s="34">
        <v>-0.101</v>
      </c>
      <c r="K578" s="33" t="s">
        <v>1471</v>
      </c>
      <c r="L578" s="33" t="s">
        <v>1990</v>
      </c>
      <c r="M578" s="33" t="s">
        <v>1927</v>
      </c>
      <c r="N578" s="33" t="s">
        <v>1913</v>
      </c>
      <c r="O578" s="33" t="s">
        <v>435</v>
      </c>
    </row>
    <row r="579">
      <c r="A579" s="33" t="s">
        <v>1991</v>
      </c>
      <c r="B579" s="33" t="s">
        <v>1987</v>
      </c>
      <c r="C579" s="33" t="s">
        <v>183</v>
      </c>
      <c r="D579" s="33" t="s">
        <v>1903</v>
      </c>
      <c r="E579" s="33" t="s">
        <v>1904</v>
      </c>
      <c r="F579" s="33" t="s">
        <v>1905</v>
      </c>
      <c r="G579" s="35">
        <v>46219</v>
      </c>
      <c r="H579" s="33" t="s">
        <v>1906</v>
      </c>
      <c r="I579" s="33" t="s">
        <v>1984</v>
      </c>
      <c r="J579" s="34">
        <v>0.143</v>
      </c>
      <c r="K579" s="33" t="s">
        <v>1471</v>
      </c>
      <c r="L579" s="33" t="s">
        <v>1992</v>
      </c>
      <c r="M579" s="33" t="s">
        <v>1927</v>
      </c>
      <c r="N579" s="33" t="s">
        <v>1913</v>
      </c>
      <c r="O579" s="33" t="s">
        <v>435</v>
      </c>
    </row>
    <row r="580">
      <c r="A580" s="33" t="s">
        <v>1993</v>
      </c>
      <c r="B580" s="33" t="s">
        <v>1994</v>
      </c>
      <c r="C580" s="33" t="s">
        <v>182</v>
      </c>
      <c r="D580" s="33" t="s">
        <v>442</v>
      </c>
      <c r="E580" s="33" t="s">
        <v>443</v>
      </c>
      <c r="F580" s="33" t="s">
        <v>444</v>
      </c>
      <c r="G580" s="35">
        <v>46219</v>
      </c>
      <c r="H580" s="33" t="s">
        <v>445</v>
      </c>
      <c r="I580" s="33" t="s">
        <v>1984</v>
      </c>
      <c r="J580" s="34">
        <v>-0.017</v>
      </c>
      <c r="K580" s="33" t="s">
        <v>1471</v>
      </c>
      <c r="L580" s="33" t="s">
        <v>1995</v>
      </c>
      <c r="M580" s="33" t="s">
        <v>1927</v>
      </c>
      <c r="N580" s="33" t="s">
        <v>1928</v>
      </c>
      <c r="O580" s="33" t="s">
        <v>435</v>
      </c>
    </row>
    <row r="581">
      <c r="A581" s="33" t="s">
        <v>1996</v>
      </c>
      <c r="B581" s="33" t="s">
        <v>1997</v>
      </c>
      <c r="C581" s="33" t="s">
        <v>182</v>
      </c>
      <c r="D581" s="33" t="s">
        <v>442</v>
      </c>
      <c r="E581" s="33" t="s">
        <v>443</v>
      </c>
      <c r="F581" s="33" t="s">
        <v>444</v>
      </c>
      <c r="G581" s="35">
        <v>46219</v>
      </c>
      <c r="H581" s="33" t="s">
        <v>445</v>
      </c>
      <c r="I581" s="33" t="s">
        <v>1984</v>
      </c>
      <c r="J581" s="34">
        <v>0.053</v>
      </c>
      <c r="K581" s="33" t="s">
        <v>1471</v>
      </c>
      <c r="L581" s="33" t="s">
        <v>1998</v>
      </c>
      <c r="M581" s="33" t="s">
        <v>1927</v>
      </c>
      <c r="N581" s="33" t="s">
        <v>1928</v>
      </c>
      <c r="O581" s="33" t="s">
        <v>435</v>
      </c>
    </row>
    <row r="582">
      <c r="A582" s="33" t="s">
        <v>1999</v>
      </c>
      <c r="B582" s="33" t="s">
        <v>1994</v>
      </c>
      <c r="C582" s="33" t="s">
        <v>183</v>
      </c>
      <c r="D582" s="33" t="s">
        <v>1903</v>
      </c>
      <c r="E582" s="33" t="s">
        <v>1904</v>
      </c>
      <c r="F582" s="33" t="s">
        <v>1905</v>
      </c>
      <c r="G582" s="35">
        <v>46219</v>
      </c>
      <c r="H582" s="33" t="s">
        <v>1906</v>
      </c>
      <c r="I582" s="33" t="s">
        <v>1984</v>
      </c>
      <c r="J582" s="34">
        <v>0.03</v>
      </c>
      <c r="K582" s="33" t="s">
        <v>1471</v>
      </c>
      <c r="L582" s="33" t="s">
        <v>2000</v>
      </c>
      <c r="M582" s="33" t="s">
        <v>1927</v>
      </c>
      <c r="N582" s="33" t="s">
        <v>1913</v>
      </c>
      <c r="O582" s="33" t="s">
        <v>435</v>
      </c>
    </row>
    <row r="583">
      <c r="A583" s="33" t="s">
        <v>2001</v>
      </c>
      <c r="B583" s="33" t="s">
        <v>1997</v>
      </c>
      <c r="C583" s="33" t="s">
        <v>183</v>
      </c>
      <c r="D583" s="33" t="s">
        <v>1903</v>
      </c>
      <c r="E583" s="33" t="s">
        <v>1904</v>
      </c>
      <c r="F583" s="33" t="s">
        <v>1905</v>
      </c>
      <c r="G583" s="35">
        <v>46219</v>
      </c>
      <c r="H583" s="33" t="s">
        <v>1906</v>
      </c>
      <c r="I583" s="33" t="s">
        <v>1984</v>
      </c>
      <c r="J583" s="34">
        <v>0.014</v>
      </c>
      <c r="K583" s="33" t="s">
        <v>1471</v>
      </c>
      <c r="L583" s="33" t="s">
        <v>2002</v>
      </c>
      <c r="M583" s="33" t="s">
        <v>1927</v>
      </c>
      <c r="N583" s="33" t="s">
        <v>1913</v>
      </c>
      <c r="O583" s="33" t="s">
        <v>435</v>
      </c>
    </row>
    <row r="584">
      <c r="A584" s="33" t="s">
        <v>2003</v>
      </c>
      <c r="B584" s="33" t="s">
        <v>2004</v>
      </c>
      <c r="C584" s="33" t="s">
        <v>182</v>
      </c>
      <c r="D584" s="33" t="s">
        <v>442</v>
      </c>
      <c r="E584" s="33" t="s">
        <v>443</v>
      </c>
      <c r="F584" s="33" t="s">
        <v>444</v>
      </c>
      <c r="G584" s="35">
        <v>46219</v>
      </c>
      <c r="H584" s="33" t="s">
        <v>445</v>
      </c>
      <c r="I584" s="33" t="s">
        <v>1984</v>
      </c>
      <c r="J584" s="34">
        <v>0.026</v>
      </c>
      <c r="K584" s="33" t="s">
        <v>1471</v>
      </c>
      <c r="L584" s="33" t="s">
        <v>2005</v>
      </c>
      <c r="M584" s="33" t="s">
        <v>1927</v>
      </c>
      <c r="N584" s="33" t="s">
        <v>1928</v>
      </c>
      <c r="O584" s="33" t="s">
        <v>435</v>
      </c>
    </row>
    <row r="585">
      <c r="A585" s="33" t="s">
        <v>2006</v>
      </c>
      <c r="B585" s="33" t="s">
        <v>2007</v>
      </c>
      <c r="C585" s="33" t="s">
        <v>182</v>
      </c>
      <c r="D585" s="33" t="s">
        <v>442</v>
      </c>
      <c r="E585" s="33" t="s">
        <v>443</v>
      </c>
      <c r="F585" s="33" t="s">
        <v>444</v>
      </c>
      <c r="G585" s="35">
        <v>46219</v>
      </c>
      <c r="H585" s="33" t="s">
        <v>445</v>
      </c>
      <c r="I585" s="33" t="s">
        <v>1984</v>
      </c>
      <c r="J585" s="34">
        <v>-0.001</v>
      </c>
      <c r="K585" s="33" t="s">
        <v>1471</v>
      </c>
      <c r="L585" s="33" t="s">
        <v>2008</v>
      </c>
      <c r="M585" s="33" t="s">
        <v>1927</v>
      </c>
      <c r="N585" s="33" t="s">
        <v>1928</v>
      </c>
      <c r="O585" s="33" t="s">
        <v>435</v>
      </c>
    </row>
    <row r="586">
      <c r="A586" s="33" t="s">
        <v>2009</v>
      </c>
      <c r="B586" s="33" t="s">
        <v>2004</v>
      </c>
      <c r="C586" s="33" t="s">
        <v>183</v>
      </c>
      <c r="D586" s="33" t="s">
        <v>1903</v>
      </c>
      <c r="E586" s="33" t="s">
        <v>1904</v>
      </c>
      <c r="F586" s="33" t="s">
        <v>1905</v>
      </c>
      <c r="G586" s="35">
        <v>46219</v>
      </c>
      <c r="H586" s="33" t="s">
        <v>1906</v>
      </c>
      <c r="I586" s="33" t="s">
        <v>1984</v>
      </c>
      <c r="J586" s="34">
        <v>0.027</v>
      </c>
      <c r="K586" s="33" t="s">
        <v>1471</v>
      </c>
      <c r="L586" s="33" t="s">
        <v>2010</v>
      </c>
      <c r="M586" s="33" t="s">
        <v>1927</v>
      </c>
      <c r="N586" s="33" t="s">
        <v>1913</v>
      </c>
      <c r="O586" s="33" t="s">
        <v>435</v>
      </c>
    </row>
    <row r="587">
      <c r="A587" s="33" t="s">
        <v>2011</v>
      </c>
      <c r="B587" s="33" t="s">
        <v>2007</v>
      </c>
      <c r="C587" s="33" t="s">
        <v>183</v>
      </c>
      <c r="D587" s="33" t="s">
        <v>1903</v>
      </c>
      <c r="E587" s="33" t="s">
        <v>1904</v>
      </c>
      <c r="F587" s="33" t="s">
        <v>1905</v>
      </c>
      <c r="G587" s="35">
        <v>46219</v>
      </c>
      <c r="H587" s="33" t="s">
        <v>1906</v>
      </c>
      <c r="I587" s="33" t="s">
        <v>1984</v>
      </c>
      <c r="J587" s="34">
        <v>0.009</v>
      </c>
      <c r="K587" s="33" t="s">
        <v>1471</v>
      </c>
      <c r="L587" s="33" t="s">
        <v>2012</v>
      </c>
      <c r="M587" s="33" t="s">
        <v>1927</v>
      </c>
      <c r="N587" s="33" t="s">
        <v>1913</v>
      </c>
      <c r="O587" s="33" t="s">
        <v>435</v>
      </c>
    </row>
    <row r="588">
      <c r="A588" s="33" t="s">
        <v>2013</v>
      </c>
      <c r="B588" s="33" t="s">
        <v>2014</v>
      </c>
      <c r="C588" s="33" t="s">
        <v>182</v>
      </c>
      <c r="D588" s="33" t="s">
        <v>442</v>
      </c>
      <c r="E588" s="33" t="s">
        <v>443</v>
      </c>
      <c r="F588" s="33" t="s">
        <v>444</v>
      </c>
      <c r="G588" s="35">
        <v>46219</v>
      </c>
      <c r="H588" s="33" t="s">
        <v>445</v>
      </c>
      <c r="I588" s="33" t="s">
        <v>1984</v>
      </c>
      <c r="J588" s="34">
        <v>-0.025</v>
      </c>
      <c r="K588" s="33" t="s">
        <v>1471</v>
      </c>
      <c r="L588" s="33" t="s">
        <v>2015</v>
      </c>
      <c r="M588" s="33" t="s">
        <v>1927</v>
      </c>
      <c r="N588" s="33" t="s">
        <v>1928</v>
      </c>
      <c r="O588" s="33" t="s">
        <v>435</v>
      </c>
    </row>
    <row r="589">
      <c r="A589" s="33" t="s">
        <v>2016</v>
      </c>
      <c r="B589" s="33" t="s">
        <v>2017</v>
      </c>
      <c r="C589" s="33" t="s">
        <v>182</v>
      </c>
      <c r="D589" s="33" t="s">
        <v>442</v>
      </c>
      <c r="E589" s="33" t="s">
        <v>443</v>
      </c>
      <c r="F589" s="33" t="s">
        <v>444</v>
      </c>
      <c r="G589" s="35">
        <v>46219</v>
      </c>
      <c r="H589" s="33" t="s">
        <v>445</v>
      </c>
      <c r="I589" s="33" t="s">
        <v>1984</v>
      </c>
      <c r="J589" s="34">
        <v>0.033</v>
      </c>
      <c r="K589" s="33" t="s">
        <v>1471</v>
      </c>
      <c r="L589" s="33" t="s">
        <v>2018</v>
      </c>
      <c r="M589" s="33" t="s">
        <v>1927</v>
      </c>
      <c r="N589" s="33" t="s">
        <v>1928</v>
      </c>
      <c r="O589" s="33" t="s">
        <v>435</v>
      </c>
    </row>
    <row r="590">
      <c r="A590" s="33" t="s">
        <v>2019</v>
      </c>
      <c r="B590" s="33" t="s">
        <v>2014</v>
      </c>
      <c r="C590" s="33" t="s">
        <v>183</v>
      </c>
      <c r="D590" s="33" t="s">
        <v>1903</v>
      </c>
      <c r="E590" s="33" t="s">
        <v>1904</v>
      </c>
      <c r="F590" s="33" t="s">
        <v>1905</v>
      </c>
      <c r="G590" s="35">
        <v>46219</v>
      </c>
      <c r="H590" s="33" t="s">
        <v>1906</v>
      </c>
      <c r="I590" s="33" t="s">
        <v>1984</v>
      </c>
      <c r="J590" s="34">
        <v>0.003</v>
      </c>
      <c r="K590" s="33" t="s">
        <v>1471</v>
      </c>
      <c r="L590" s="33" t="s">
        <v>2020</v>
      </c>
      <c r="M590" s="33" t="s">
        <v>1927</v>
      </c>
      <c r="N590" s="33" t="s">
        <v>1913</v>
      </c>
      <c r="O590" s="33" t="s">
        <v>435</v>
      </c>
    </row>
    <row r="591">
      <c r="A591" s="33" t="s">
        <v>2021</v>
      </c>
      <c r="B591" s="33" t="s">
        <v>2017</v>
      </c>
      <c r="C591" s="33" t="s">
        <v>183</v>
      </c>
      <c r="D591" s="33" t="s">
        <v>1903</v>
      </c>
      <c r="E591" s="33" t="s">
        <v>1904</v>
      </c>
      <c r="F591" s="33" t="s">
        <v>1905</v>
      </c>
      <c r="G591" s="35">
        <v>46219</v>
      </c>
      <c r="H591" s="33" t="s">
        <v>1906</v>
      </c>
      <c r="I591" s="33" t="s">
        <v>1984</v>
      </c>
      <c r="J591" s="34">
        <v>0.062</v>
      </c>
      <c r="K591" s="33" t="s">
        <v>1471</v>
      </c>
      <c r="L591" s="33" t="s">
        <v>2022</v>
      </c>
      <c r="M591" s="33" t="s">
        <v>1927</v>
      </c>
      <c r="N591" s="33" t="s">
        <v>1913</v>
      </c>
      <c r="O591" s="33" t="s">
        <v>435</v>
      </c>
    </row>
    <row r="592">
      <c r="A592" s="33" t="s">
        <v>2023</v>
      </c>
      <c r="B592" s="33" t="s">
        <v>2024</v>
      </c>
      <c r="C592" s="33" t="s">
        <v>183</v>
      </c>
      <c r="D592" s="33" t="s">
        <v>1903</v>
      </c>
      <c r="E592" s="33" t="s">
        <v>1904</v>
      </c>
      <c r="F592" s="33" t="s">
        <v>1905</v>
      </c>
      <c r="G592" s="35">
        <v>46219</v>
      </c>
      <c r="H592" s="33" t="s">
        <v>1906</v>
      </c>
      <c r="I592" s="33" t="s">
        <v>1984</v>
      </c>
      <c r="J592" s="34">
        <v>-0.009</v>
      </c>
      <c r="K592" s="33" t="s">
        <v>1471</v>
      </c>
      <c r="L592" s="33" t="s">
        <v>2025</v>
      </c>
      <c r="M592" s="33" t="s">
        <v>1927</v>
      </c>
      <c r="N592" s="33" t="s">
        <v>1913</v>
      </c>
      <c r="O592" s="33" t="s">
        <v>435</v>
      </c>
    </row>
    <row r="593">
      <c r="A593" s="33" t="s">
        <v>2026</v>
      </c>
      <c r="B593" s="33" t="s">
        <v>2027</v>
      </c>
      <c r="C593" s="33" t="s">
        <v>183</v>
      </c>
      <c r="D593" s="33" t="s">
        <v>1903</v>
      </c>
      <c r="E593" s="33" t="s">
        <v>1904</v>
      </c>
      <c r="F593" s="33" t="s">
        <v>1905</v>
      </c>
      <c r="G593" s="35">
        <v>46219</v>
      </c>
      <c r="H593" s="33" t="s">
        <v>1906</v>
      </c>
      <c r="I593" s="33" t="s">
        <v>1984</v>
      </c>
      <c r="J593" s="34">
        <v>0.017</v>
      </c>
      <c r="K593" s="33" t="s">
        <v>1471</v>
      </c>
      <c r="L593" s="33" t="s">
        <v>2028</v>
      </c>
      <c r="M593" s="33" t="s">
        <v>1927</v>
      </c>
      <c r="N593" s="33" t="s">
        <v>1913</v>
      </c>
      <c r="O593" s="33" t="s">
        <v>435</v>
      </c>
    </row>
    <row r="594">
      <c r="A594" s="33" t="s">
        <v>2029</v>
      </c>
      <c r="B594" s="33" t="s">
        <v>203</v>
      </c>
      <c r="C594" s="33" t="s">
        <v>182</v>
      </c>
      <c r="D594" s="33" t="s">
        <v>442</v>
      </c>
      <c r="E594" s="33" t="s">
        <v>443</v>
      </c>
      <c r="F594" s="33" t="s">
        <v>444</v>
      </c>
      <c r="G594" s="35">
        <v>46219</v>
      </c>
      <c r="H594" s="33" t="s">
        <v>445</v>
      </c>
      <c r="I594" s="33" t="s">
        <v>2030</v>
      </c>
      <c r="J594" s="34">
        <v>1840</v>
      </c>
      <c r="K594" s="33" t="s">
        <v>431</v>
      </c>
      <c r="L594" s="33" t="s">
        <v>2031</v>
      </c>
      <c r="M594" s="33" t="s">
        <v>1927</v>
      </c>
      <c r="N594" s="33" t="s">
        <v>1928</v>
      </c>
      <c r="O594" s="33" t="s">
        <v>435</v>
      </c>
    </row>
    <row r="595">
      <c r="A595" s="33" t="s">
        <v>2032</v>
      </c>
      <c r="B595" s="33" t="s">
        <v>203</v>
      </c>
      <c r="C595" s="33" t="s">
        <v>183</v>
      </c>
      <c r="D595" s="33" t="s">
        <v>1903</v>
      </c>
      <c r="E595" s="33" t="s">
        <v>1904</v>
      </c>
      <c r="F595" s="33" t="s">
        <v>1905</v>
      </c>
      <c r="G595" s="35">
        <v>46219</v>
      </c>
      <c r="H595" s="33" t="s">
        <v>1906</v>
      </c>
      <c r="I595" s="33" t="s">
        <v>2030</v>
      </c>
      <c r="J595" s="34">
        <v>1450</v>
      </c>
      <c r="K595" s="33" t="s">
        <v>431</v>
      </c>
      <c r="L595" s="33" t="s">
        <v>2033</v>
      </c>
      <c r="M595" s="33" t="s">
        <v>1927</v>
      </c>
      <c r="N595" s="33" t="s">
        <v>1913</v>
      </c>
      <c r="O595" s="33" t="s">
        <v>435</v>
      </c>
    </row>
    <row r="596">
      <c r="A596" s="33" t="s">
        <v>2034</v>
      </c>
      <c r="B596" s="33" t="s">
        <v>204</v>
      </c>
      <c r="C596" s="33" t="s">
        <v>182</v>
      </c>
      <c r="D596" s="33" t="s">
        <v>442</v>
      </c>
      <c r="E596" s="33" t="s">
        <v>443</v>
      </c>
      <c r="F596" s="33" t="s">
        <v>444</v>
      </c>
      <c r="G596" s="35">
        <v>46219</v>
      </c>
      <c r="H596" s="33" t="s">
        <v>445</v>
      </c>
      <c r="I596" s="33" t="s">
        <v>2030</v>
      </c>
      <c r="J596" s="34">
        <v>345</v>
      </c>
      <c r="K596" s="33" t="s">
        <v>431</v>
      </c>
      <c r="L596" s="33" t="s">
        <v>2035</v>
      </c>
      <c r="M596" s="33" t="s">
        <v>1927</v>
      </c>
      <c r="N596" s="33" t="s">
        <v>1928</v>
      </c>
      <c r="O596" s="33" t="s">
        <v>435</v>
      </c>
    </row>
    <row r="597">
      <c r="A597" s="33" t="s">
        <v>2036</v>
      </c>
      <c r="B597" s="33" t="s">
        <v>204</v>
      </c>
      <c r="C597" s="33" t="s">
        <v>183</v>
      </c>
      <c r="D597" s="33" t="s">
        <v>1903</v>
      </c>
      <c r="E597" s="33" t="s">
        <v>1904</v>
      </c>
      <c r="F597" s="33" t="s">
        <v>1905</v>
      </c>
      <c r="G597" s="35">
        <v>46219</v>
      </c>
      <c r="H597" s="33" t="s">
        <v>1906</v>
      </c>
      <c r="I597" s="33" t="s">
        <v>2030</v>
      </c>
      <c r="J597" s="34">
        <v>160</v>
      </c>
      <c r="K597" s="33" t="s">
        <v>431</v>
      </c>
      <c r="L597" s="33" t="s">
        <v>2037</v>
      </c>
      <c r="M597" s="33" t="s">
        <v>1927</v>
      </c>
      <c r="N597" s="33" t="s">
        <v>1913</v>
      </c>
      <c r="O597" s="33" t="s">
        <v>435</v>
      </c>
    </row>
    <row r="598">
      <c r="A598" s="33" t="s">
        <v>2038</v>
      </c>
      <c r="B598" s="33" t="s">
        <v>205</v>
      </c>
      <c r="C598" s="33" t="s">
        <v>182</v>
      </c>
      <c r="D598" s="33" t="s">
        <v>442</v>
      </c>
      <c r="E598" s="33" t="s">
        <v>443</v>
      </c>
      <c r="F598" s="33" t="s">
        <v>444</v>
      </c>
      <c r="G598" s="35">
        <v>46219</v>
      </c>
      <c r="H598" s="33" t="s">
        <v>445</v>
      </c>
      <c r="I598" s="33" t="s">
        <v>2030</v>
      </c>
      <c r="J598" s="34">
        <v>295</v>
      </c>
      <c r="K598" s="33" t="s">
        <v>431</v>
      </c>
      <c r="L598" s="33" t="s">
        <v>2039</v>
      </c>
      <c r="M598" s="33" t="s">
        <v>1927</v>
      </c>
      <c r="N598" s="33" t="s">
        <v>1928</v>
      </c>
      <c r="O598" s="33" t="s">
        <v>435</v>
      </c>
    </row>
    <row r="599">
      <c r="A599" s="33" t="s">
        <v>2040</v>
      </c>
      <c r="B599" s="33" t="s">
        <v>205</v>
      </c>
      <c r="C599" s="33" t="s">
        <v>183</v>
      </c>
      <c r="D599" s="33" t="s">
        <v>1903</v>
      </c>
      <c r="E599" s="33" t="s">
        <v>1904</v>
      </c>
      <c r="F599" s="33" t="s">
        <v>1905</v>
      </c>
      <c r="G599" s="35">
        <v>46219</v>
      </c>
      <c r="H599" s="33" t="s">
        <v>1906</v>
      </c>
      <c r="I599" s="33" t="s">
        <v>2030</v>
      </c>
      <c r="J599" s="34">
        <v>55</v>
      </c>
      <c r="K599" s="33" t="s">
        <v>431</v>
      </c>
      <c r="L599" s="33" t="s">
        <v>2041</v>
      </c>
      <c r="M599" s="33" t="s">
        <v>1927</v>
      </c>
      <c r="N599" s="33" t="s">
        <v>1913</v>
      </c>
      <c r="O599" s="33" t="s">
        <v>435</v>
      </c>
    </row>
    <row r="600">
      <c r="A600" s="33" t="s">
        <v>2042</v>
      </c>
      <c r="B600" s="33" t="s">
        <v>206</v>
      </c>
      <c r="C600" s="33" t="s">
        <v>182</v>
      </c>
      <c r="D600" s="33" t="s">
        <v>442</v>
      </c>
      <c r="E600" s="33" t="s">
        <v>443</v>
      </c>
      <c r="F600" s="33" t="s">
        <v>444</v>
      </c>
      <c r="G600" s="35">
        <v>46219</v>
      </c>
      <c r="H600" s="33" t="s">
        <v>445</v>
      </c>
      <c r="I600" s="33" t="s">
        <v>2030</v>
      </c>
      <c r="J600" s="34">
        <v>-340</v>
      </c>
      <c r="K600" s="33" t="s">
        <v>431</v>
      </c>
      <c r="L600" s="33" t="s">
        <v>2043</v>
      </c>
      <c r="M600" s="33" t="s">
        <v>1927</v>
      </c>
      <c r="N600" s="33" t="s">
        <v>1928</v>
      </c>
      <c r="O600" s="33" t="s">
        <v>435</v>
      </c>
    </row>
    <row r="601">
      <c r="A601" s="33" t="s">
        <v>2044</v>
      </c>
      <c r="B601" s="33" t="s">
        <v>206</v>
      </c>
      <c r="C601" s="33" t="s">
        <v>183</v>
      </c>
      <c r="D601" s="33" t="s">
        <v>1903</v>
      </c>
      <c r="E601" s="33" t="s">
        <v>1904</v>
      </c>
      <c r="F601" s="33" t="s">
        <v>1905</v>
      </c>
      <c r="G601" s="35">
        <v>46219</v>
      </c>
      <c r="H601" s="33" t="s">
        <v>1906</v>
      </c>
      <c r="I601" s="33" t="s">
        <v>2030</v>
      </c>
      <c r="J601" s="34">
        <v>-60</v>
      </c>
      <c r="K601" s="33" t="s">
        <v>431</v>
      </c>
      <c r="L601" s="33" t="s">
        <v>2045</v>
      </c>
      <c r="M601" s="33" t="s">
        <v>1927</v>
      </c>
      <c r="N601" s="33" t="s">
        <v>1913</v>
      </c>
      <c r="O601" s="33" t="s">
        <v>435</v>
      </c>
    </row>
    <row r="602">
      <c r="A602" s="33" t="s">
        <v>2046</v>
      </c>
      <c r="B602" s="33" t="s">
        <v>207</v>
      </c>
      <c r="C602" s="33" t="s">
        <v>182</v>
      </c>
      <c r="D602" s="33" t="s">
        <v>442</v>
      </c>
      <c r="E602" s="33" t="s">
        <v>443</v>
      </c>
      <c r="F602" s="33" t="s">
        <v>444</v>
      </c>
      <c r="G602" s="35">
        <v>46219</v>
      </c>
      <c r="H602" s="33" t="s">
        <v>445</v>
      </c>
      <c r="I602" s="33" t="s">
        <v>2030</v>
      </c>
      <c r="J602" s="34">
        <v>-110</v>
      </c>
      <c r="K602" s="33" t="s">
        <v>431</v>
      </c>
      <c r="L602" s="33" t="s">
        <v>2047</v>
      </c>
      <c r="M602" s="33" t="s">
        <v>1927</v>
      </c>
      <c r="N602" s="33" t="s">
        <v>1928</v>
      </c>
      <c r="O602" s="33" t="s">
        <v>435</v>
      </c>
    </row>
    <row r="603">
      <c r="A603" s="33" t="s">
        <v>2048</v>
      </c>
      <c r="B603" s="33" t="s">
        <v>207</v>
      </c>
      <c r="C603" s="33" t="s">
        <v>183</v>
      </c>
      <c r="D603" s="33" t="s">
        <v>1903</v>
      </c>
      <c r="E603" s="33" t="s">
        <v>1904</v>
      </c>
      <c r="F603" s="33" t="s">
        <v>1905</v>
      </c>
      <c r="G603" s="35">
        <v>46219</v>
      </c>
      <c r="H603" s="33" t="s">
        <v>1906</v>
      </c>
      <c r="I603" s="33" t="s">
        <v>2030</v>
      </c>
      <c r="J603" s="34">
        <v>45</v>
      </c>
      <c r="K603" s="33" t="s">
        <v>431</v>
      </c>
      <c r="L603" s="33" t="s">
        <v>2049</v>
      </c>
      <c r="M603" s="33" t="s">
        <v>1927</v>
      </c>
      <c r="N603" s="33" t="s">
        <v>1913</v>
      </c>
      <c r="O603" s="33" t="s">
        <v>435</v>
      </c>
    </row>
    <row r="604">
      <c r="A604" s="33" t="s">
        <v>2050</v>
      </c>
      <c r="B604" s="33" t="s">
        <v>208</v>
      </c>
      <c r="C604" s="33" t="s">
        <v>182</v>
      </c>
      <c r="D604" s="33" t="s">
        <v>442</v>
      </c>
      <c r="E604" s="33" t="s">
        <v>443</v>
      </c>
      <c r="F604" s="33" t="s">
        <v>444</v>
      </c>
      <c r="G604" s="35">
        <v>46219</v>
      </c>
      <c r="H604" s="33" t="s">
        <v>445</v>
      </c>
      <c r="I604" s="33" t="s">
        <v>2030</v>
      </c>
      <c r="J604" s="34">
        <v>43</v>
      </c>
      <c r="K604" s="33" t="s">
        <v>431</v>
      </c>
      <c r="L604" s="33" t="s">
        <v>2051</v>
      </c>
      <c r="M604" s="33" t="s">
        <v>1927</v>
      </c>
      <c r="N604" s="33" t="s">
        <v>1928</v>
      </c>
      <c r="O604" s="33" t="s">
        <v>435</v>
      </c>
    </row>
    <row r="605">
      <c r="A605" s="33" t="s">
        <v>2052</v>
      </c>
      <c r="B605" s="33" t="s">
        <v>208</v>
      </c>
      <c r="C605" s="33" t="s">
        <v>183</v>
      </c>
      <c r="D605" s="33" t="s">
        <v>1903</v>
      </c>
      <c r="E605" s="33" t="s">
        <v>1904</v>
      </c>
      <c r="F605" s="33" t="s">
        <v>1905</v>
      </c>
      <c r="G605" s="35">
        <v>46219</v>
      </c>
      <c r="H605" s="33" t="s">
        <v>1906</v>
      </c>
      <c r="I605" s="33" t="s">
        <v>2030</v>
      </c>
      <c r="J605" s="34">
        <v>33</v>
      </c>
      <c r="K605" s="33" t="s">
        <v>431</v>
      </c>
      <c r="L605" s="33" t="s">
        <v>2053</v>
      </c>
      <c r="M605" s="33" t="s">
        <v>1927</v>
      </c>
      <c r="N605" s="33" t="s">
        <v>1913</v>
      </c>
      <c r="O605" s="33" t="s">
        <v>435</v>
      </c>
    </row>
    <row r="606">
      <c r="A606" s="33" t="s">
        <v>2054</v>
      </c>
      <c r="B606" s="33" t="s">
        <v>209</v>
      </c>
      <c r="C606" s="33" t="s">
        <v>182</v>
      </c>
      <c r="D606" s="33" t="s">
        <v>442</v>
      </c>
      <c r="E606" s="33" t="s">
        <v>443</v>
      </c>
      <c r="F606" s="33" t="s">
        <v>444</v>
      </c>
      <c r="G606" s="35">
        <v>46219</v>
      </c>
      <c r="H606" s="33" t="s">
        <v>445</v>
      </c>
      <c r="I606" s="33" t="s">
        <v>2030</v>
      </c>
      <c r="J606" s="34">
        <v>-89</v>
      </c>
      <c r="K606" s="33" t="s">
        <v>431</v>
      </c>
      <c r="L606" s="33" t="s">
        <v>2055</v>
      </c>
      <c r="M606" s="33" t="s">
        <v>1927</v>
      </c>
      <c r="N606" s="33" t="s">
        <v>1928</v>
      </c>
      <c r="O606" s="33" t="s">
        <v>435</v>
      </c>
    </row>
    <row r="607">
      <c r="A607" s="33" t="s">
        <v>2056</v>
      </c>
      <c r="B607" s="33" t="s">
        <v>209</v>
      </c>
      <c r="C607" s="33" t="s">
        <v>183</v>
      </c>
      <c r="D607" s="33" t="s">
        <v>1903</v>
      </c>
      <c r="E607" s="33" t="s">
        <v>1904</v>
      </c>
      <c r="F607" s="33" t="s">
        <v>1905</v>
      </c>
      <c r="G607" s="35">
        <v>46219</v>
      </c>
      <c r="H607" s="33" t="s">
        <v>1906</v>
      </c>
      <c r="I607" s="33" t="s">
        <v>2030</v>
      </c>
      <c r="J607" s="34">
        <v>21</v>
      </c>
      <c r="K607" s="33" t="s">
        <v>431</v>
      </c>
      <c r="L607" s="33" t="s">
        <v>2057</v>
      </c>
      <c r="M607" s="33" t="s">
        <v>1927</v>
      </c>
      <c r="N607" s="33" t="s">
        <v>1913</v>
      </c>
      <c r="O607" s="33" t="s">
        <v>435</v>
      </c>
    </row>
    <row r="608">
      <c r="A608" s="33" t="s">
        <v>2058</v>
      </c>
      <c r="B608" s="33" t="s">
        <v>210</v>
      </c>
      <c r="C608" s="33" t="s">
        <v>182</v>
      </c>
      <c r="D608" s="33" t="s">
        <v>442</v>
      </c>
      <c r="E608" s="33" t="s">
        <v>443</v>
      </c>
      <c r="F608" s="33" t="s">
        <v>444</v>
      </c>
      <c r="G608" s="35">
        <v>46219</v>
      </c>
      <c r="H608" s="33" t="s">
        <v>445</v>
      </c>
      <c r="I608" s="33" t="s">
        <v>2030</v>
      </c>
      <c r="J608" s="34">
        <v>-165</v>
      </c>
      <c r="K608" s="33" t="s">
        <v>431</v>
      </c>
      <c r="L608" s="33" t="s">
        <v>2059</v>
      </c>
      <c r="M608" s="33" t="s">
        <v>1927</v>
      </c>
      <c r="N608" s="33" t="s">
        <v>1928</v>
      </c>
      <c r="O608" s="33" t="s">
        <v>435</v>
      </c>
    </row>
    <row r="609">
      <c r="A609" s="33" t="s">
        <v>2060</v>
      </c>
      <c r="B609" s="33" t="s">
        <v>210</v>
      </c>
      <c r="C609" s="33" t="s">
        <v>183</v>
      </c>
      <c r="D609" s="33" t="s">
        <v>1903</v>
      </c>
      <c r="E609" s="33" t="s">
        <v>1904</v>
      </c>
      <c r="F609" s="33" t="s">
        <v>1905</v>
      </c>
      <c r="G609" s="35">
        <v>46219</v>
      </c>
      <c r="H609" s="33" t="s">
        <v>1906</v>
      </c>
      <c r="I609" s="33" t="s">
        <v>2030</v>
      </c>
      <c r="J609" s="34">
        <v>-23</v>
      </c>
      <c r="K609" s="33" t="s">
        <v>431</v>
      </c>
      <c r="L609" s="33" t="s">
        <v>2061</v>
      </c>
      <c r="M609" s="33" t="s">
        <v>1927</v>
      </c>
      <c r="N609" s="33" t="s">
        <v>1913</v>
      </c>
      <c r="O609" s="33" t="s">
        <v>435</v>
      </c>
    </row>
    <row r="610">
      <c r="A610" s="33" t="s">
        <v>2062</v>
      </c>
      <c r="B610" s="33" t="s">
        <v>211</v>
      </c>
      <c r="C610" s="33" t="s">
        <v>183</v>
      </c>
      <c r="D610" s="33" t="s">
        <v>1903</v>
      </c>
      <c r="E610" s="33" t="s">
        <v>1904</v>
      </c>
      <c r="F610" s="33" t="s">
        <v>1905</v>
      </c>
      <c r="G610" s="35">
        <v>46219</v>
      </c>
      <c r="H610" s="33" t="s">
        <v>1906</v>
      </c>
      <c r="I610" s="33" t="s">
        <v>2030</v>
      </c>
      <c r="J610" s="34">
        <v>-57</v>
      </c>
      <c r="K610" s="33" t="s">
        <v>431</v>
      </c>
      <c r="L610" s="33" t="s">
        <v>2063</v>
      </c>
      <c r="M610" s="33" t="s">
        <v>1927</v>
      </c>
      <c r="N610" s="33" t="s">
        <v>1913</v>
      </c>
      <c r="O610" s="33" t="s">
        <v>435</v>
      </c>
    </row>
    <row r="611">
      <c r="A611" s="33" t="s">
        <v>2064</v>
      </c>
      <c r="B611" s="33" t="s">
        <v>212</v>
      </c>
      <c r="C611" s="33" t="s">
        <v>182</v>
      </c>
      <c r="D611" s="33" t="s">
        <v>442</v>
      </c>
      <c r="E611" s="33" t="s">
        <v>443</v>
      </c>
      <c r="F611" s="33" t="s">
        <v>444</v>
      </c>
      <c r="G611" s="35">
        <v>46219</v>
      </c>
      <c r="H611" s="33" t="s">
        <v>445</v>
      </c>
      <c r="I611" s="33" t="s">
        <v>2030</v>
      </c>
      <c r="J611" s="34">
        <v>-34</v>
      </c>
      <c r="K611" s="33" t="s">
        <v>431</v>
      </c>
      <c r="L611" s="33" t="s">
        <v>2065</v>
      </c>
      <c r="M611" s="33" t="s">
        <v>1927</v>
      </c>
      <c r="N611" s="33" t="s">
        <v>1928</v>
      </c>
      <c r="O611" s="33" t="s">
        <v>435</v>
      </c>
    </row>
    <row r="612">
      <c r="A612" s="33" t="s">
        <v>2066</v>
      </c>
      <c r="B612" s="33" t="s">
        <v>2067</v>
      </c>
      <c r="C612" s="33" t="s">
        <v>1466</v>
      </c>
      <c r="D612" s="33" t="s">
        <v>1679</v>
      </c>
      <c r="E612" s="33" t="s">
        <v>1680</v>
      </c>
      <c r="F612" s="33" t="s">
        <v>1681</v>
      </c>
      <c r="G612" s="35">
        <v>46219</v>
      </c>
      <c r="H612" s="33" t="s">
        <v>1469</v>
      </c>
      <c r="I612" s="33" t="s">
        <v>2068</v>
      </c>
      <c r="J612" s="34">
        <v>-0.02</v>
      </c>
      <c r="K612" s="33" t="s">
        <v>1471</v>
      </c>
      <c r="L612" s="33" t="s">
        <v>2069</v>
      </c>
      <c r="M612" s="33" t="s">
        <v>1927</v>
      </c>
      <c r="N612" s="33" t="s">
        <v>1685</v>
      </c>
      <c r="O612" s="33" t="s">
        <v>1475</v>
      </c>
    </row>
    <row r="613">
      <c r="A613" s="33" t="s">
        <v>2070</v>
      </c>
      <c r="B613" s="33" t="s">
        <v>2067</v>
      </c>
      <c r="C613" s="33" t="s">
        <v>1477</v>
      </c>
      <c r="D613" s="33" t="s">
        <v>1467</v>
      </c>
      <c r="E613" s="33" t="s">
        <v>1468</v>
      </c>
      <c r="F613" s="33" t="s">
        <v>316</v>
      </c>
      <c r="G613" s="35">
        <v>46219</v>
      </c>
      <c r="H613" s="33" t="s">
        <v>1478</v>
      </c>
      <c r="I613" s="33" t="s">
        <v>2071</v>
      </c>
      <c r="J613" s="34">
        <v>0</v>
      </c>
      <c r="K613" s="33" t="s">
        <v>1471</v>
      </c>
      <c r="L613" s="33" t="s">
        <v>2072</v>
      </c>
      <c r="M613" s="33" t="s">
        <v>1927</v>
      </c>
      <c r="N613" s="33" t="s">
        <v>1481</v>
      </c>
      <c r="O613" s="33" t="s">
        <v>1475</v>
      </c>
    </row>
    <row r="614">
      <c r="A614" s="33" t="s">
        <v>2073</v>
      </c>
      <c r="B614" s="33" t="s">
        <v>2067</v>
      </c>
      <c r="C614" s="33" t="s">
        <v>1483</v>
      </c>
      <c r="D614" s="33" t="s">
        <v>1467</v>
      </c>
      <c r="E614" s="33" t="s">
        <v>1468</v>
      </c>
      <c r="F614" s="33" t="s">
        <v>316</v>
      </c>
      <c r="G614" s="35">
        <v>46219</v>
      </c>
      <c r="H614" s="33" t="s">
        <v>1478</v>
      </c>
      <c r="I614" s="33" t="s">
        <v>2071</v>
      </c>
      <c r="J614" s="34">
        <v>0</v>
      </c>
      <c r="K614" s="33" t="s">
        <v>1471</v>
      </c>
      <c r="L614" s="33" t="s">
        <v>2074</v>
      </c>
      <c r="M614" s="33" t="s">
        <v>1927</v>
      </c>
      <c r="N614" s="33" t="s">
        <v>1481</v>
      </c>
      <c r="O614" s="33" t="s">
        <v>1475</v>
      </c>
    </row>
    <row r="615">
      <c r="A615" s="33" t="s">
        <v>2075</v>
      </c>
      <c r="B615" s="33" t="s">
        <v>2067</v>
      </c>
      <c r="C615" s="33" t="s">
        <v>1486</v>
      </c>
      <c r="D615" s="33" t="s">
        <v>1467</v>
      </c>
      <c r="E615" s="33" t="s">
        <v>1468</v>
      </c>
      <c r="F615" s="33" t="s">
        <v>316</v>
      </c>
      <c r="G615" s="35">
        <v>46219</v>
      </c>
      <c r="H615" s="33" t="s">
        <v>1478</v>
      </c>
      <c r="I615" s="33" t="s">
        <v>2071</v>
      </c>
      <c r="J615" s="34">
        <v>0</v>
      </c>
      <c r="K615" s="33" t="s">
        <v>1471</v>
      </c>
      <c r="L615" s="33" t="s">
        <v>2076</v>
      </c>
      <c r="M615" s="33" t="s">
        <v>1927</v>
      </c>
      <c r="N615" s="33" t="s">
        <v>1481</v>
      </c>
      <c r="O615" s="33" t="s">
        <v>1475</v>
      </c>
    </row>
    <row r="616">
      <c r="A616" s="33" t="s">
        <v>2077</v>
      </c>
      <c r="B616" s="33" t="s">
        <v>2067</v>
      </c>
      <c r="C616" s="33" t="s">
        <v>36</v>
      </c>
      <c r="D616" s="33" t="s">
        <v>1467</v>
      </c>
      <c r="E616" s="33" t="s">
        <v>1468</v>
      </c>
      <c r="F616" s="33" t="s">
        <v>316</v>
      </c>
      <c r="G616" s="35">
        <v>46219</v>
      </c>
      <c r="H616" s="33" t="s">
        <v>1478</v>
      </c>
      <c r="I616" s="33" t="s">
        <v>2071</v>
      </c>
      <c r="J616" s="34">
        <v>0</v>
      </c>
      <c r="K616" s="33" t="s">
        <v>1471</v>
      </c>
      <c r="L616" s="33" t="s">
        <v>2078</v>
      </c>
      <c r="M616" s="33" t="s">
        <v>1927</v>
      </c>
      <c r="N616" s="33" t="s">
        <v>1481</v>
      </c>
      <c r="O616" s="33" t="s">
        <v>1475</v>
      </c>
    </row>
    <row r="617">
      <c r="A617" s="33" t="s">
        <v>2079</v>
      </c>
      <c r="B617" s="33" t="s">
        <v>2080</v>
      </c>
      <c r="C617" s="33" t="s">
        <v>1466</v>
      </c>
      <c r="D617" s="33" t="s">
        <v>1679</v>
      </c>
      <c r="E617" s="33" t="s">
        <v>1680</v>
      </c>
      <c r="F617" s="33" t="s">
        <v>1681</v>
      </c>
      <c r="G617" s="35">
        <v>46219</v>
      </c>
      <c r="H617" s="33" t="s">
        <v>1469</v>
      </c>
      <c r="I617" s="33" t="s">
        <v>2068</v>
      </c>
      <c r="J617" s="34">
        <v>0.02</v>
      </c>
      <c r="K617" s="33" t="s">
        <v>1471</v>
      </c>
      <c r="L617" s="33" t="s">
        <v>2081</v>
      </c>
      <c r="M617" s="33" t="s">
        <v>1927</v>
      </c>
      <c r="N617" s="33" t="s">
        <v>1685</v>
      </c>
      <c r="O617" s="33" t="s">
        <v>1475</v>
      </c>
    </row>
    <row r="618">
      <c r="A618" s="33" t="s">
        <v>2082</v>
      </c>
      <c r="B618" s="33" t="s">
        <v>2080</v>
      </c>
      <c r="C618" s="33" t="s">
        <v>1477</v>
      </c>
      <c r="D618" s="33" t="s">
        <v>1467</v>
      </c>
      <c r="E618" s="33" t="s">
        <v>1468</v>
      </c>
      <c r="F618" s="33" t="s">
        <v>316</v>
      </c>
      <c r="G618" s="35">
        <v>46219</v>
      </c>
      <c r="H618" s="33" t="s">
        <v>1478</v>
      </c>
      <c r="I618" s="33" t="s">
        <v>2071</v>
      </c>
      <c r="J618" s="34">
        <v>0.01</v>
      </c>
      <c r="K618" s="33" t="s">
        <v>1471</v>
      </c>
      <c r="L618" s="33" t="s">
        <v>2083</v>
      </c>
      <c r="M618" s="33" t="s">
        <v>1927</v>
      </c>
      <c r="N618" s="33" t="s">
        <v>1481</v>
      </c>
      <c r="O618" s="33" t="s">
        <v>1475</v>
      </c>
    </row>
    <row r="619">
      <c r="A619" s="33" t="s">
        <v>2084</v>
      </c>
      <c r="B619" s="33" t="s">
        <v>2080</v>
      </c>
      <c r="C619" s="33" t="s">
        <v>1483</v>
      </c>
      <c r="D619" s="33" t="s">
        <v>1467</v>
      </c>
      <c r="E619" s="33" t="s">
        <v>1468</v>
      </c>
      <c r="F619" s="33" t="s">
        <v>316</v>
      </c>
      <c r="G619" s="35">
        <v>46219</v>
      </c>
      <c r="H619" s="33" t="s">
        <v>1478</v>
      </c>
      <c r="I619" s="33" t="s">
        <v>2071</v>
      </c>
      <c r="J619" s="34">
        <v>0.01</v>
      </c>
      <c r="K619" s="33" t="s">
        <v>1471</v>
      </c>
      <c r="L619" s="33" t="s">
        <v>2085</v>
      </c>
      <c r="M619" s="33" t="s">
        <v>1927</v>
      </c>
      <c r="N619" s="33" t="s">
        <v>1481</v>
      </c>
      <c r="O619" s="33" t="s">
        <v>1475</v>
      </c>
    </row>
    <row r="620">
      <c r="A620" s="33" t="s">
        <v>2086</v>
      </c>
      <c r="B620" s="33" t="s">
        <v>2080</v>
      </c>
      <c r="C620" s="33" t="s">
        <v>1486</v>
      </c>
      <c r="D620" s="33" t="s">
        <v>1467</v>
      </c>
      <c r="E620" s="33" t="s">
        <v>1468</v>
      </c>
      <c r="F620" s="33" t="s">
        <v>316</v>
      </c>
      <c r="G620" s="35">
        <v>46219</v>
      </c>
      <c r="H620" s="33" t="s">
        <v>1478</v>
      </c>
      <c r="I620" s="33" t="s">
        <v>2071</v>
      </c>
      <c r="J620" s="34">
        <v>0.01</v>
      </c>
      <c r="K620" s="33" t="s">
        <v>1471</v>
      </c>
      <c r="L620" s="33" t="s">
        <v>2087</v>
      </c>
      <c r="M620" s="33" t="s">
        <v>1927</v>
      </c>
      <c r="N620" s="33" t="s">
        <v>1481</v>
      </c>
      <c r="O620" s="33" t="s">
        <v>1475</v>
      </c>
    </row>
    <row r="621">
      <c r="A621" s="33" t="s">
        <v>2088</v>
      </c>
      <c r="B621" s="33" t="s">
        <v>2080</v>
      </c>
      <c r="C621" s="33" t="s">
        <v>36</v>
      </c>
      <c r="D621" s="33" t="s">
        <v>1467</v>
      </c>
      <c r="E621" s="33" t="s">
        <v>1468</v>
      </c>
      <c r="F621" s="33" t="s">
        <v>316</v>
      </c>
      <c r="G621" s="35">
        <v>46219</v>
      </c>
      <c r="H621" s="33" t="s">
        <v>1478</v>
      </c>
      <c r="I621" s="33" t="s">
        <v>2071</v>
      </c>
      <c r="J621" s="34">
        <v>0.01</v>
      </c>
      <c r="K621" s="33" t="s">
        <v>1471</v>
      </c>
      <c r="L621" s="33" t="s">
        <v>2089</v>
      </c>
      <c r="M621" s="33" t="s">
        <v>1927</v>
      </c>
      <c r="N621" s="33" t="s">
        <v>1481</v>
      </c>
      <c r="O621" s="33" t="s">
        <v>1475</v>
      </c>
    </row>
    <row r="622">
      <c r="A622" s="33" t="s">
        <v>2090</v>
      </c>
      <c r="B622" s="33" t="s">
        <v>2091</v>
      </c>
      <c r="C622" s="33" t="s">
        <v>1466</v>
      </c>
      <c r="D622" s="33" t="s">
        <v>1679</v>
      </c>
      <c r="E622" s="33" t="s">
        <v>1680</v>
      </c>
      <c r="F622" s="33" t="s">
        <v>1681</v>
      </c>
      <c r="G622" s="35">
        <v>46219</v>
      </c>
      <c r="H622" s="33" t="s">
        <v>1469</v>
      </c>
      <c r="I622" s="33" t="s">
        <v>2068</v>
      </c>
      <c r="J622" s="34">
        <v>0.02</v>
      </c>
      <c r="K622" s="33" t="s">
        <v>1471</v>
      </c>
      <c r="L622" s="33" t="s">
        <v>2092</v>
      </c>
      <c r="M622" s="33" t="s">
        <v>1927</v>
      </c>
      <c r="N622" s="33" t="s">
        <v>1685</v>
      </c>
      <c r="O622" s="33" t="s">
        <v>1475</v>
      </c>
    </row>
    <row r="623">
      <c r="A623" s="33" t="s">
        <v>2093</v>
      </c>
      <c r="B623" s="33" t="s">
        <v>2091</v>
      </c>
      <c r="C623" s="33" t="s">
        <v>1477</v>
      </c>
      <c r="D623" s="33" t="s">
        <v>1467</v>
      </c>
      <c r="E623" s="33" t="s">
        <v>1468</v>
      </c>
      <c r="F623" s="33" t="s">
        <v>316</v>
      </c>
      <c r="G623" s="35">
        <v>46219</v>
      </c>
      <c r="H623" s="33" t="s">
        <v>1478</v>
      </c>
      <c r="I623" s="33" t="s">
        <v>2071</v>
      </c>
      <c r="J623" s="34">
        <v>0.02</v>
      </c>
      <c r="K623" s="33" t="s">
        <v>1471</v>
      </c>
      <c r="L623" s="33" t="s">
        <v>2094</v>
      </c>
      <c r="M623" s="33" t="s">
        <v>1927</v>
      </c>
      <c r="N623" s="33" t="s">
        <v>1481</v>
      </c>
      <c r="O623" s="33" t="s">
        <v>1475</v>
      </c>
    </row>
    <row r="624">
      <c r="A624" s="33" t="s">
        <v>2095</v>
      </c>
      <c r="B624" s="33" t="s">
        <v>2091</v>
      </c>
      <c r="C624" s="33" t="s">
        <v>1483</v>
      </c>
      <c r="D624" s="33" t="s">
        <v>1467</v>
      </c>
      <c r="E624" s="33" t="s">
        <v>1468</v>
      </c>
      <c r="F624" s="33" t="s">
        <v>316</v>
      </c>
      <c r="G624" s="35">
        <v>46219</v>
      </c>
      <c r="H624" s="33" t="s">
        <v>1478</v>
      </c>
      <c r="I624" s="33" t="s">
        <v>2071</v>
      </c>
      <c r="J624" s="34">
        <v>0.02</v>
      </c>
      <c r="K624" s="33" t="s">
        <v>1471</v>
      </c>
      <c r="L624" s="33" t="s">
        <v>2096</v>
      </c>
      <c r="M624" s="33" t="s">
        <v>1927</v>
      </c>
      <c r="N624" s="33" t="s">
        <v>1481</v>
      </c>
      <c r="O624" s="33" t="s">
        <v>1475</v>
      </c>
    </row>
    <row r="625">
      <c r="A625" s="33" t="s">
        <v>2097</v>
      </c>
      <c r="B625" s="33" t="s">
        <v>2091</v>
      </c>
      <c r="C625" s="33" t="s">
        <v>1486</v>
      </c>
      <c r="D625" s="33" t="s">
        <v>1467</v>
      </c>
      <c r="E625" s="33" t="s">
        <v>1468</v>
      </c>
      <c r="F625" s="33" t="s">
        <v>316</v>
      </c>
      <c r="G625" s="35">
        <v>46219</v>
      </c>
      <c r="H625" s="33" t="s">
        <v>1478</v>
      </c>
      <c r="I625" s="33" t="s">
        <v>2071</v>
      </c>
      <c r="J625" s="34">
        <v>0.02</v>
      </c>
      <c r="K625" s="33" t="s">
        <v>1471</v>
      </c>
      <c r="L625" s="33" t="s">
        <v>2098</v>
      </c>
      <c r="M625" s="33" t="s">
        <v>1927</v>
      </c>
      <c r="N625" s="33" t="s">
        <v>1481</v>
      </c>
      <c r="O625" s="33" t="s">
        <v>1475</v>
      </c>
    </row>
    <row r="626">
      <c r="A626" s="33" t="s">
        <v>2099</v>
      </c>
      <c r="B626" s="33" t="s">
        <v>2091</v>
      </c>
      <c r="C626" s="33" t="s">
        <v>36</v>
      </c>
      <c r="D626" s="33" t="s">
        <v>1467</v>
      </c>
      <c r="E626" s="33" t="s">
        <v>1468</v>
      </c>
      <c r="F626" s="33" t="s">
        <v>316</v>
      </c>
      <c r="G626" s="35">
        <v>46219</v>
      </c>
      <c r="H626" s="33" t="s">
        <v>1478</v>
      </c>
      <c r="I626" s="33" t="s">
        <v>2071</v>
      </c>
      <c r="J626" s="34">
        <v>0.02</v>
      </c>
      <c r="K626" s="33" t="s">
        <v>1471</v>
      </c>
      <c r="L626" s="33" t="s">
        <v>2100</v>
      </c>
      <c r="M626" s="33" t="s">
        <v>1927</v>
      </c>
      <c r="N626" s="33" t="s">
        <v>1481</v>
      </c>
      <c r="O626" s="33" t="s">
        <v>1475</v>
      </c>
    </row>
    <row r="627">
      <c r="A627" s="33" t="s">
        <v>2101</v>
      </c>
      <c r="B627" s="33" t="s">
        <v>2102</v>
      </c>
      <c r="C627" s="33" t="s">
        <v>1466</v>
      </c>
      <c r="D627" s="33" t="s">
        <v>1467</v>
      </c>
      <c r="E627" s="33" t="s">
        <v>1468</v>
      </c>
      <c r="F627" s="33" t="s">
        <v>316</v>
      </c>
      <c r="G627" s="35">
        <v>46219</v>
      </c>
      <c r="H627" s="33" t="s">
        <v>1478</v>
      </c>
      <c r="I627" s="33" t="s">
        <v>2071</v>
      </c>
      <c r="J627" s="34">
        <v>0.005</v>
      </c>
      <c r="K627" s="33" t="s">
        <v>1471</v>
      </c>
      <c r="L627" s="33" t="s">
        <v>2103</v>
      </c>
      <c r="M627" s="33" t="s">
        <v>1927</v>
      </c>
      <c r="N627" s="33" t="s">
        <v>1481</v>
      </c>
      <c r="O627" s="33" t="s">
        <v>1475</v>
      </c>
    </row>
    <row r="628">
      <c r="A628" s="33" t="s">
        <v>2104</v>
      </c>
      <c r="B628" s="33" t="s">
        <v>2102</v>
      </c>
      <c r="C628" s="33" t="s">
        <v>1477</v>
      </c>
      <c r="D628" s="33" t="s">
        <v>1467</v>
      </c>
      <c r="E628" s="33" t="s">
        <v>1468</v>
      </c>
      <c r="F628" s="33" t="s">
        <v>316</v>
      </c>
      <c r="G628" s="35">
        <v>46219</v>
      </c>
      <c r="H628" s="33" t="s">
        <v>1478</v>
      </c>
      <c r="I628" s="33" t="s">
        <v>2071</v>
      </c>
      <c r="J628" s="34">
        <v>0.01</v>
      </c>
      <c r="K628" s="33" t="s">
        <v>1471</v>
      </c>
      <c r="L628" s="33" t="s">
        <v>2105</v>
      </c>
      <c r="M628" s="33" t="s">
        <v>1927</v>
      </c>
      <c r="N628" s="33" t="s">
        <v>1481</v>
      </c>
      <c r="O628" s="33" t="s">
        <v>1475</v>
      </c>
    </row>
    <row r="629">
      <c r="A629" s="33" t="s">
        <v>2106</v>
      </c>
      <c r="B629" s="33" t="s">
        <v>2102</v>
      </c>
      <c r="C629" s="33" t="s">
        <v>1483</v>
      </c>
      <c r="D629" s="33" t="s">
        <v>1467</v>
      </c>
      <c r="E629" s="33" t="s">
        <v>1468</v>
      </c>
      <c r="F629" s="33" t="s">
        <v>316</v>
      </c>
      <c r="G629" s="35">
        <v>46219</v>
      </c>
      <c r="H629" s="33" t="s">
        <v>1478</v>
      </c>
      <c r="I629" s="33" t="s">
        <v>2071</v>
      </c>
      <c r="J629" s="34">
        <v>0.01</v>
      </c>
      <c r="K629" s="33" t="s">
        <v>1471</v>
      </c>
      <c r="L629" s="33" t="s">
        <v>2107</v>
      </c>
      <c r="M629" s="33" t="s">
        <v>1927</v>
      </c>
      <c r="N629" s="33" t="s">
        <v>1481</v>
      </c>
      <c r="O629" s="33" t="s">
        <v>1475</v>
      </c>
    </row>
    <row r="630">
      <c r="A630" s="33" t="s">
        <v>2108</v>
      </c>
      <c r="B630" s="33" t="s">
        <v>2102</v>
      </c>
      <c r="C630" s="33" t="s">
        <v>1486</v>
      </c>
      <c r="D630" s="33" t="s">
        <v>1467</v>
      </c>
      <c r="E630" s="33" t="s">
        <v>1468</v>
      </c>
      <c r="F630" s="33" t="s">
        <v>316</v>
      </c>
      <c r="G630" s="35">
        <v>46219</v>
      </c>
      <c r="H630" s="33" t="s">
        <v>1478</v>
      </c>
      <c r="I630" s="33" t="s">
        <v>2071</v>
      </c>
      <c r="J630" s="34">
        <v>0.01</v>
      </c>
      <c r="K630" s="33" t="s">
        <v>1471</v>
      </c>
      <c r="L630" s="33" t="s">
        <v>2109</v>
      </c>
      <c r="M630" s="33" t="s">
        <v>1927</v>
      </c>
      <c r="N630" s="33" t="s">
        <v>1481</v>
      </c>
      <c r="O630" s="33" t="s">
        <v>1475</v>
      </c>
    </row>
    <row r="631">
      <c r="A631" s="33" t="s">
        <v>2110</v>
      </c>
      <c r="B631" s="33" t="s">
        <v>2102</v>
      </c>
      <c r="C631" s="33" t="s">
        <v>36</v>
      </c>
      <c r="D631" s="33" t="s">
        <v>1467</v>
      </c>
      <c r="E631" s="33" t="s">
        <v>1468</v>
      </c>
      <c r="F631" s="33" t="s">
        <v>316</v>
      </c>
      <c r="G631" s="35">
        <v>46219</v>
      </c>
      <c r="H631" s="33" t="s">
        <v>1478</v>
      </c>
      <c r="I631" s="33" t="s">
        <v>2071</v>
      </c>
      <c r="J631" s="34">
        <v>0.01</v>
      </c>
      <c r="K631" s="33" t="s">
        <v>1471</v>
      </c>
      <c r="L631" s="33" t="s">
        <v>2111</v>
      </c>
      <c r="M631" s="33" t="s">
        <v>1927</v>
      </c>
      <c r="N631" s="33" t="s">
        <v>1481</v>
      </c>
      <c r="O631" s="33" t="s">
        <v>1475</v>
      </c>
    </row>
    <row r="632">
      <c r="A632" s="33" t="s">
        <v>2112</v>
      </c>
      <c r="B632" s="33" t="s">
        <v>2113</v>
      </c>
      <c r="C632" s="33" t="s">
        <v>1466</v>
      </c>
      <c r="D632" s="33" t="s">
        <v>1467</v>
      </c>
      <c r="E632" s="33" t="s">
        <v>1468</v>
      </c>
      <c r="F632" s="33" t="s">
        <v>316</v>
      </c>
      <c r="G632" s="35">
        <v>46219</v>
      </c>
      <c r="H632" s="33" t="s">
        <v>1478</v>
      </c>
      <c r="I632" s="33" t="s">
        <v>2071</v>
      </c>
      <c r="J632" s="34">
        <v>0</v>
      </c>
      <c r="K632" s="33" t="s">
        <v>1471</v>
      </c>
      <c r="L632" s="33" t="s">
        <v>2114</v>
      </c>
      <c r="M632" s="33" t="s">
        <v>1927</v>
      </c>
      <c r="N632" s="33" t="s">
        <v>1481</v>
      </c>
      <c r="O632" s="33" t="s">
        <v>1475</v>
      </c>
    </row>
    <row r="633">
      <c r="A633" s="33" t="s">
        <v>2115</v>
      </c>
      <c r="B633" s="33" t="s">
        <v>2113</v>
      </c>
      <c r="C633" s="33" t="s">
        <v>1477</v>
      </c>
      <c r="D633" s="33" t="s">
        <v>1467</v>
      </c>
      <c r="E633" s="33" t="s">
        <v>1468</v>
      </c>
      <c r="F633" s="33" t="s">
        <v>316</v>
      </c>
      <c r="G633" s="35">
        <v>46219</v>
      </c>
      <c r="H633" s="33" t="s">
        <v>1478</v>
      </c>
      <c r="I633" s="33" t="s">
        <v>2071</v>
      </c>
      <c r="J633" s="34">
        <v>0.01</v>
      </c>
      <c r="K633" s="33" t="s">
        <v>1471</v>
      </c>
      <c r="L633" s="33" t="s">
        <v>2116</v>
      </c>
      <c r="M633" s="33" t="s">
        <v>1927</v>
      </c>
      <c r="N633" s="33" t="s">
        <v>1481</v>
      </c>
      <c r="O633" s="33" t="s">
        <v>1475</v>
      </c>
    </row>
    <row r="634">
      <c r="A634" s="33" t="s">
        <v>2117</v>
      </c>
      <c r="B634" s="33" t="s">
        <v>2113</v>
      </c>
      <c r="C634" s="33" t="s">
        <v>1483</v>
      </c>
      <c r="D634" s="33" t="s">
        <v>1467</v>
      </c>
      <c r="E634" s="33" t="s">
        <v>1468</v>
      </c>
      <c r="F634" s="33" t="s">
        <v>316</v>
      </c>
      <c r="G634" s="35">
        <v>46219</v>
      </c>
      <c r="H634" s="33" t="s">
        <v>1478</v>
      </c>
      <c r="I634" s="33" t="s">
        <v>2071</v>
      </c>
      <c r="J634" s="34">
        <v>0.01</v>
      </c>
      <c r="K634" s="33" t="s">
        <v>1471</v>
      </c>
      <c r="L634" s="33" t="s">
        <v>2118</v>
      </c>
      <c r="M634" s="33" t="s">
        <v>1927</v>
      </c>
      <c r="N634" s="33" t="s">
        <v>1481</v>
      </c>
      <c r="O634" s="33" t="s">
        <v>1475</v>
      </c>
    </row>
    <row r="635">
      <c r="A635" s="33" t="s">
        <v>2119</v>
      </c>
      <c r="B635" s="33" t="s">
        <v>2113</v>
      </c>
      <c r="C635" s="33" t="s">
        <v>1486</v>
      </c>
      <c r="D635" s="33" t="s">
        <v>1467</v>
      </c>
      <c r="E635" s="33" t="s">
        <v>1468</v>
      </c>
      <c r="F635" s="33" t="s">
        <v>316</v>
      </c>
      <c r="G635" s="35">
        <v>46219</v>
      </c>
      <c r="H635" s="33" t="s">
        <v>1478</v>
      </c>
      <c r="I635" s="33" t="s">
        <v>2071</v>
      </c>
      <c r="J635" s="34">
        <v>0.01</v>
      </c>
      <c r="K635" s="33" t="s">
        <v>1471</v>
      </c>
      <c r="L635" s="33" t="s">
        <v>2120</v>
      </c>
      <c r="M635" s="33" t="s">
        <v>1927</v>
      </c>
      <c r="N635" s="33" t="s">
        <v>1481</v>
      </c>
      <c r="O635" s="33" t="s">
        <v>1475</v>
      </c>
    </row>
    <row r="636">
      <c r="A636" s="33" t="s">
        <v>2121</v>
      </c>
      <c r="B636" s="33" t="s">
        <v>2113</v>
      </c>
      <c r="C636" s="33" t="s">
        <v>36</v>
      </c>
      <c r="D636" s="33" t="s">
        <v>1467</v>
      </c>
      <c r="E636" s="33" t="s">
        <v>1468</v>
      </c>
      <c r="F636" s="33" t="s">
        <v>316</v>
      </c>
      <c r="G636" s="35">
        <v>46219</v>
      </c>
      <c r="H636" s="33" t="s">
        <v>1478</v>
      </c>
      <c r="I636" s="33" t="s">
        <v>2071</v>
      </c>
      <c r="J636" s="34">
        <v>0.01</v>
      </c>
      <c r="K636" s="33" t="s">
        <v>1471</v>
      </c>
      <c r="L636" s="33" t="s">
        <v>2122</v>
      </c>
      <c r="M636" s="33" t="s">
        <v>1927</v>
      </c>
      <c r="N636" s="33" t="s">
        <v>1481</v>
      </c>
      <c r="O636" s="33" t="s">
        <v>1475</v>
      </c>
    </row>
    <row r="637">
      <c r="A637" s="33" t="s">
        <v>2123</v>
      </c>
      <c r="B637" s="33" t="s">
        <v>2124</v>
      </c>
      <c r="C637" s="33" t="s">
        <v>1466</v>
      </c>
      <c r="D637" s="33" t="s">
        <v>1467</v>
      </c>
      <c r="E637" s="33" t="s">
        <v>1468</v>
      </c>
      <c r="F637" s="33" t="s">
        <v>316</v>
      </c>
      <c r="G637" s="35">
        <v>46219</v>
      </c>
      <c r="H637" s="33" t="s">
        <v>1478</v>
      </c>
      <c r="I637" s="33" t="s">
        <v>2071</v>
      </c>
      <c r="J637" s="34">
        <v>0</v>
      </c>
      <c r="K637" s="33" t="s">
        <v>1471</v>
      </c>
      <c r="L637" s="33" t="s">
        <v>2125</v>
      </c>
      <c r="M637" s="33" t="s">
        <v>1927</v>
      </c>
      <c r="N637" s="33" t="s">
        <v>1481</v>
      </c>
      <c r="O637" s="33" t="s">
        <v>1475</v>
      </c>
    </row>
    <row r="638">
      <c r="A638" s="33" t="s">
        <v>2126</v>
      </c>
      <c r="B638" s="33" t="s">
        <v>2124</v>
      </c>
      <c r="C638" s="33" t="s">
        <v>1477</v>
      </c>
      <c r="D638" s="33" t="s">
        <v>1467</v>
      </c>
      <c r="E638" s="33" t="s">
        <v>1468</v>
      </c>
      <c r="F638" s="33" t="s">
        <v>316</v>
      </c>
      <c r="G638" s="35">
        <v>46219</v>
      </c>
      <c r="H638" s="33" t="s">
        <v>1478</v>
      </c>
      <c r="I638" s="33" t="s">
        <v>2071</v>
      </c>
      <c r="J638" s="34">
        <v>0</v>
      </c>
      <c r="K638" s="33" t="s">
        <v>1471</v>
      </c>
      <c r="L638" s="33" t="s">
        <v>2127</v>
      </c>
      <c r="M638" s="33" t="s">
        <v>1927</v>
      </c>
      <c r="N638" s="33" t="s">
        <v>1481</v>
      </c>
      <c r="O638" s="33" t="s">
        <v>1475</v>
      </c>
    </row>
    <row r="639">
      <c r="A639" s="33" t="s">
        <v>2128</v>
      </c>
      <c r="B639" s="33" t="s">
        <v>2124</v>
      </c>
      <c r="C639" s="33" t="s">
        <v>1483</v>
      </c>
      <c r="D639" s="33" t="s">
        <v>1467</v>
      </c>
      <c r="E639" s="33" t="s">
        <v>1468</v>
      </c>
      <c r="F639" s="33" t="s">
        <v>316</v>
      </c>
      <c r="G639" s="35">
        <v>46219</v>
      </c>
      <c r="H639" s="33" t="s">
        <v>1478</v>
      </c>
      <c r="I639" s="33" t="s">
        <v>2071</v>
      </c>
      <c r="J639" s="34">
        <v>0</v>
      </c>
      <c r="K639" s="33" t="s">
        <v>1471</v>
      </c>
      <c r="L639" s="33" t="s">
        <v>2129</v>
      </c>
      <c r="M639" s="33" t="s">
        <v>1927</v>
      </c>
      <c r="N639" s="33" t="s">
        <v>1481</v>
      </c>
      <c r="O639" s="33" t="s">
        <v>1475</v>
      </c>
    </row>
    <row r="640">
      <c r="A640" s="33" t="s">
        <v>2130</v>
      </c>
      <c r="B640" s="33" t="s">
        <v>2124</v>
      </c>
      <c r="C640" s="33" t="s">
        <v>1486</v>
      </c>
      <c r="D640" s="33" t="s">
        <v>1467</v>
      </c>
      <c r="E640" s="33" t="s">
        <v>1468</v>
      </c>
      <c r="F640" s="33" t="s">
        <v>316</v>
      </c>
      <c r="G640" s="35">
        <v>46219</v>
      </c>
      <c r="H640" s="33" t="s">
        <v>1478</v>
      </c>
      <c r="I640" s="33" t="s">
        <v>2071</v>
      </c>
      <c r="J640" s="34">
        <v>0</v>
      </c>
      <c r="K640" s="33" t="s">
        <v>1471</v>
      </c>
      <c r="L640" s="33" t="s">
        <v>2131</v>
      </c>
      <c r="M640" s="33" t="s">
        <v>1927</v>
      </c>
      <c r="N640" s="33" t="s">
        <v>1481</v>
      </c>
      <c r="O640" s="33" t="s">
        <v>1475</v>
      </c>
    </row>
    <row r="641">
      <c r="A641" s="33" t="s">
        <v>2132</v>
      </c>
      <c r="B641" s="33" t="s">
        <v>2124</v>
      </c>
      <c r="C641" s="33" t="s">
        <v>36</v>
      </c>
      <c r="D641" s="33" t="s">
        <v>1467</v>
      </c>
      <c r="E641" s="33" t="s">
        <v>1468</v>
      </c>
      <c r="F641" s="33" t="s">
        <v>316</v>
      </c>
      <c r="G641" s="35">
        <v>46219</v>
      </c>
      <c r="H641" s="33" t="s">
        <v>1478</v>
      </c>
      <c r="I641" s="33" t="s">
        <v>2071</v>
      </c>
      <c r="J641" s="34">
        <v>0</v>
      </c>
      <c r="K641" s="33" t="s">
        <v>1471</v>
      </c>
      <c r="L641" s="33" t="s">
        <v>2133</v>
      </c>
      <c r="M641" s="33" t="s">
        <v>1927</v>
      </c>
      <c r="N641" s="33" t="s">
        <v>1481</v>
      </c>
      <c r="O641" s="33" t="s">
        <v>1475</v>
      </c>
    </row>
    <row r="642">
      <c r="A642" s="33" t="s">
        <v>2134</v>
      </c>
      <c r="B642" s="33" t="s">
        <v>2135</v>
      </c>
      <c r="C642" s="33" t="s">
        <v>1466</v>
      </c>
      <c r="D642" s="33" t="s">
        <v>1467</v>
      </c>
      <c r="E642" s="33" t="s">
        <v>1468</v>
      </c>
      <c r="F642" s="33" t="s">
        <v>316</v>
      </c>
      <c r="G642" s="35">
        <v>46219</v>
      </c>
      <c r="H642" s="33" t="s">
        <v>1478</v>
      </c>
      <c r="I642" s="33" t="s">
        <v>2136</v>
      </c>
      <c r="J642" s="34">
        <v>0.015</v>
      </c>
      <c r="K642" s="33" t="s">
        <v>1471</v>
      </c>
      <c r="L642" s="33" t="s">
        <v>2137</v>
      </c>
      <c r="M642" s="33" t="s">
        <v>1927</v>
      </c>
      <c r="N642" s="33" t="s">
        <v>2138</v>
      </c>
      <c r="O642" s="33" t="s">
        <v>1475</v>
      </c>
    </row>
    <row r="643">
      <c r="A643" s="33" t="s">
        <v>2139</v>
      </c>
      <c r="B643" s="33" t="s">
        <v>2135</v>
      </c>
      <c r="C643" s="33" t="s">
        <v>1477</v>
      </c>
      <c r="D643" s="33" t="s">
        <v>1467</v>
      </c>
      <c r="E643" s="33" t="s">
        <v>1468</v>
      </c>
      <c r="F643" s="33" t="s">
        <v>316</v>
      </c>
      <c r="G643" s="35">
        <v>46219</v>
      </c>
      <c r="H643" s="33" t="s">
        <v>1478</v>
      </c>
      <c r="I643" s="33" t="s">
        <v>2136</v>
      </c>
      <c r="J643" s="34">
        <v>0.01</v>
      </c>
      <c r="K643" s="33" t="s">
        <v>1471</v>
      </c>
      <c r="L643" s="33" t="s">
        <v>2140</v>
      </c>
      <c r="M643" s="33" t="s">
        <v>1927</v>
      </c>
      <c r="N643" s="33" t="s">
        <v>2138</v>
      </c>
      <c r="O643" s="33" t="s">
        <v>1475</v>
      </c>
    </row>
    <row r="644">
      <c r="A644" s="33" t="s">
        <v>2141</v>
      </c>
      <c r="B644" s="33" t="s">
        <v>2135</v>
      </c>
      <c r="C644" s="33" t="s">
        <v>1483</v>
      </c>
      <c r="D644" s="33" t="s">
        <v>1467</v>
      </c>
      <c r="E644" s="33" t="s">
        <v>1468</v>
      </c>
      <c r="F644" s="33" t="s">
        <v>316</v>
      </c>
      <c r="G644" s="35">
        <v>46219</v>
      </c>
      <c r="H644" s="33" t="s">
        <v>1478</v>
      </c>
      <c r="I644" s="33" t="s">
        <v>2136</v>
      </c>
      <c r="J644" s="34">
        <v>0.0075</v>
      </c>
      <c r="K644" s="33" t="s">
        <v>1471</v>
      </c>
      <c r="L644" s="33" t="s">
        <v>2142</v>
      </c>
      <c r="M644" s="33" t="s">
        <v>1927</v>
      </c>
      <c r="N644" s="33" t="s">
        <v>2138</v>
      </c>
      <c r="O644" s="33" t="s">
        <v>1475</v>
      </c>
    </row>
    <row r="645">
      <c r="A645" s="33" t="s">
        <v>2143</v>
      </c>
      <c r="B645" s="33" t="s">
        <v>2135</v>
      </c>
      <c r="C645" s="33" t="s">
        <v>1486</v>
      </c>
      <c r="D645" s="33" t="s">
        <v>1467</v>
      </c>
      <c r="E645" s="33" t="s">
        <v>1468</v>
      </c>
      <c r="F645" s="33" t="s">
        <v>316</v>
      </c>
      <c r="G645" s="35">
        <v>46219</v>
      </c>
      <c r="H645" s="33" t="s">
        <v>1478</v>
      </c>
      <c r="I645" s="33" t="s">
        <v>2136</v>
      </c>
      <c r="J645" s="34">
        <v>0.005</v>
      </c>
      <c r="K645" s="33" t="s">
        <v>1471</v>
      </c>
      <c r="L645" s="33" t="s">
        <v>2144</v>
      </c>
      <c r="M645" s="33" t="s">
        <v>1927</v>
      </c>
      <c r="N645" s="33" t="s">
        <v>2138</v>
      </c>
      <c r="O645" s="33" t="s">
        <v>1475</v>
      </c>
    </row>
    <row r="646">
      <c r="A646" s="33" t="s">
        <v>2145</v>
      </c>
      <c r="B646" s="33" t="s">
        <v>2135</v>
      </c>
      <c r="C646" s="33" t="s">
        <v>36</v>
      </c>
      <c r="D646" s="33" t="s">
        <v>1467</v>
      </c>
      <c r="E646" s="33" t="s">
        <v>1468</v>
      </c>
      <c r="F646" s="33" t="s">
        <v>316</v>
      </c>
      <c r="G646" s="35">
        <v>46219</v>
      </c>
      <c r="H646" s="33" t="s">
        <v>1478</v>
      </c>
      <c r="I646" s="33" t="s">
        <v>2136</v>
      </c>
      <c r="J646" s="34">
        <v>0.005</v>
      </c>
      <c r="K646" s="33" t="s">
        <v>1471</v>
      </c>
      <c r="L646" s="33" t="s">
        <v>2146</v>
      </c>
      <c r="M646" s="33" t="s">
        <v>1927</v>
      </c>
      <c r="N646" s="33" t="s">
        <v>2138</v>
      </c>
      <c r="O646" s="33" t="s">
        <v>1475</v>
      </c>
    </row>
    <row r="647">
      <c r="A647" s="33" t="s">
        <v>2147</v>
      </c>
      <c r="B647" s="33" t="s">
        <v>2148</v>
      </c>
      <c r="C647" s="33" t="s">
        <v>1466</v>
      </c>
      <c r="D647" s="33" t="s">
        <v>1467</v>
      </c>
      <c r="E647" s="33" t="s">
        <v>1468</v>
      </c>
      <c r="F647" s="33" t="s">
        <v>316</v>
      </c>
      <c r="G647" s="35">
        <v>46219</v>
      </c>
      <c r="H647" s="33" t="s">
        <v>1478</v>
      </c>
      <c r="I647" s="33" t="s">
        <v>2136</v>
      </c>
      <c r="J647" s="34">
        <v>0.01</v>
      </c>
      <c r="K647" s="33" t="s">
        <v>1471</v>
      </c>
      <c r="L647" s="33" t="s">
        <v>2149</v>
      </c>
      <c r="M647" s="33" t="s">
        <v>1927</v>
      </c>
      <c r="N647" s="33" t="s">
        <v>2138</v>
      </c>
      <c r="O647" s="33" t="s">
        <v>1475</v>
      </c>
    </row>
    <row r="648">
      <c r="A648" s="33" t="s">
        <v>2150</v>
      </c>
      <c r="B648" s="33" t="s">
        <v>2148</v>
      </c>
      <c r="C648" s="33" t="s">
        <v>1477</v>
      </c>
      <c r="D648" s="33" t="s">
        <v>1467</v>
      </c>
      <c r="E648" s="33" t="s">
        <v>1468</v>
      </c>
      <c r="F648" s="33" t="s">
        <v>316</v>
      </c>
      <c r="G648" s="35">
        <v>46219</v>
      </c>
      <c r="H648" s="33" t="s">
        <v>1478</v>
      </c>
      <c r="I648" s="33" t="s">
        <v>2136</v>
      </c>
      <c r="J648" s="34">
        <v>0.0075</v>
      </c>
      <c r="K648" s="33" t="s">
        <v>1471</v>
      </c>
      <c r="L648" s="33" t="s">
        <v>2151</v>
      </c>
      <c r="M648" s="33" t="s">
        <v>1927</v>
      </c>
      <c r="N648" s="33" t="s">
        <v>2138</v>
      </c>
      <c r="O648" s="33" t="s">
        <v>1475</v>
      </c>
    </row>
    <row r="649">
      <c r="A649" s="33" t="s">
        <v>2152</v>
      </c>
      <c r="B649" s="33" t="s">
        <v>2148</v>
      </c>
      <c r="C649" s="33" t="s">
        <v>1483</v>
      </c>
      <c r="D649" s="33" t="s">
        <v>1467</v>
      </c>
      <c r="E649" s="33" t="s">
        <v>1468</v>
      </c>
      <c r="F649" s="33" t="s">
        <v>316</v>
      </c>
      <c r="G649" s="35">
        <v>46219</v>
      </c>
      <c r="H649" s="33" t="s">
        <v>1478</v>
      </c>
      <c r="I649" s="33" t="s">
        <v>2136</v>
      </c>
      <c r="J649" s="34">
        <v>0.005</v>
      </c>
      <c r="K649" s="33" t="s">
        <v>1471</v>
      </c>
      <c r="L649" s="33" t="s">
        <v>2153</v>
      </c>
      <c r="M649" s="33" t="s">
        <v>1927</v>
      </c>
      <c r="N649" s="33" t="s">
        <v>2138</v>
      </c>
      <c r="O649" s="33" t="s">
        <v>1475</v>
      </c>
    </row>
    <row r="650">
      <c r="A650" s="33" t="s">
        <v>2154</v>
      </c>
      <c r="B650" s="33" t="s">
        <v>2148</v>
      </c>
      <c r="C650" s="33" t="s">
        <v>1486</v>
      </c>
      <c r="D650" s="33" t="s">
        <v>1467</v>
      </c>
      <c r="E650" s="33" t="s">
        <v>1468</v>
      </c>
      <c r="F650" s="33" t="s">
        <v>316</v>
      </c>
      <c r="G650" s="35">
        <v>46219</v>
      </c>
      <c r="H650" s="33" t="s">
        <v>1478</v>
      </c>
      <c r="I650" s="33" t="s">
        <v>2136</v>
      </c>
      <c r="J650" s="34">
        <v>0.005</v>
      </c>
      <c r="K650" s="33" t="s">
        <v>1471</v>
      </c>
      <c r="L650" s="33" t="s">
        <v>2155</v>
      </c>
      <c r="M650" s="33" t="s">
        <v>1927</v>
      </c>
      <c r="N650" s="33" t="s">
        <v>2138</v>
      </c>
      <c r="O650" s="33" t="s">
        <v>1475</v>
      </c>
    </row>
    <row r="651">
      <c r="A651" s="33" t="s">
        <v>2156</v>
      </c>
      <c r="B651" s="33" t="s">
        <v>2148</v>
      </c>
      <c r="C651" s="33" t="s">
        <v>36</v>
      </c>
      <c r="D651" s="33" t="s">
        <v>1467</v>
      </c>
      <c r="E651" s="33" t="s">
        <v>1468</v>
      </c>
      <c r="F651" s="33" t="s">
        <v>316</v>
      </c>
      <c r="G651" s="35">
        <v>46219</v>
      </c>
      <c r="H651" s="33" t="s">
        <v>1478</v>
      </c>
      <c r="I651" s="33" t="s">
        <v>2136</v>
      </c>
      <c r="J651" s="34">
        <v>0.005</v>
      </c>
      <c r="K651" s="33" t="s">
        <v>1471</v>
      </c>
      <c r="L651" s="33" t="s">
        <v>2157</v>
      </c>
      <c r="M651" s="33" t="s">
        <v>1927</v>
      </c>
      <c r="N651" s="33" t="s">
        <v>2138</v>
      </c>
      <c r="O651" s="33" t="s">
        <v>1475</v>
      </c>
    </row>
    <row r="652">
      <c r="A652" s="33" t="s">
        <v>2158</v>
      </c>
      <c r="B652" s="33" t="s">
        <v>2159</v>
      </c>
      <c r="C652" s="33" t="s">
        <v>1466</v>
      </c>
      <c r="D652" s="33" t="s">
        <v>1467</v>
      </c>
      <c r="E652" s="33" t="s">
        <v>1468</v>
      </c>
      <c r="F652" s="33" t="s">
        <v>316</v>
      </c>
      <c r="G652" s="35">
        <v>46219</v>
      </c>
      <c r="H652" s="33" t="s">
        <v>1478</v>
      </c>
      <c r="I652" s="33" t="s">
        <v>2136</v>
      </c>
      <c r="J652" s="34">
        <v>0.01</v>
      </c>
      <c r="K652" s="33" t="s">
        <v>1471</v>
      </c>
      <c r="L652" s="33" t="s">
        <v>2160</v>
      </c>
      <c r="M652" s="33" t="s">
        <v>1927</v>
      </c>
      <c r="N652" s="33" t="s">
        <v>2138</v>
      </c>
      <c r="O652" s="33" t="s">
        <v>1475</v>
      </c>
    </row>
    <row r="653">
      <c r="A653" s="33" t="s">
        <v>2161</v>
      </c>
      <c r="B653" s="33" t="s">
        <v>2159</v>
      </c>
      <c r="C653" s="33" t="s">
        <v>1477</v>
      </c>
      <c r="D653" s="33" t="s">
        <v>1467</v>
      </c>
      <c r="E653" s="33" t="s">
        <v>1468</v>
      </c>
      <c r="F653" s="33" t="s">
        <v>316</v>
      </c>
      <c r="G653" s="35">
        <v>46219</v>
      </c>
      <c r="H653" s="33" t="s">
        <v>1478</v>
      </c>
      <c r="I653" s="33" t="s">
        <v>2136</v>
      </c>
      <c r="J653" s="34">
        <v>0.0075</v>
      </c>
      <c r="K653" s="33" t="s">
        <v>1471</v>
      </c>
      <c r="L653" s="33" t="s">
        <v>2162</v>
      </c>
      <c r="M653" s="33" t="s">
        <v>1927</v>
      </c>
      <c r="N653" s="33" t="s">
        <v>2138</v>
      </c>
      <c r="O653" s="33" t="s">
        <v>1475</v>
      </c>
    </row>
    <row r="654">
      <c r="A654" s="33" t="s">
        <v>2163</v>
      </c>
      <c r="B654" s="33" t="s">
        <v>2159</v>
      </c>
      <c r="C654" s="33" t="s">
        <v>1483</v>
      </c>
      <c r="D654" s="33" t="s">
        <v>1467</v>
      </c>
      <c r="E654" s="33" t="s">
        <v>1468</v>
      </c>
      <c r="F654" s="33" t="s">
        <v>316</v>
      </c>
      <c r="G654" s="35">
        <v>46219</v>
      </c>
      <c r="H654" s="33" t="s">
        <v>1478</v>
      </c>
      <c r="I654" s="33" t="s">
        <v>2136</v>
      </c>
      <c r="J654" s="34">
        <v>0.005</v>
      </c>
      <c r="K654" s="33" t="s">
        <v>1471</v>
      </c>
      <c r="L654" s="33" t="s">
        <v>2164</v>
      </c>
      <c r="M654" s="33" t="s">
        <v>1927</v>
      </c>
      <c r="N654" s="33" t="s">
        <v>2138</v>
      </c>
      <c r="O654" s="33" t="s">
        <v>1475</v>
      </c>
    </row>
    <row r="655">
      <c r="A655" s="33" t="s">
        <v>2165</v>
      </c>
      <c r="B655" s="33" t="s">
        <v>2159</v>
      </c>
      <c r="C655" s="33" t="s">
        <v>1486</v>
      </c>
      <c r="D655" s="33" t="s">
        <v>1467</v>
      </c>
      <c r="E655" s="33" t="s">
        <v>1468</v>
      </c>
      <c r="F655" s="33" t="s">
        <v>316</v>
      </c>
      <c r="G655" s="35">
        <v>46219</v>
      </c>
      <c r="H655" s="33" t="s">
        <v>1478</v>
      </c>
      <c r="I655" s="33" t="s">
        <v>2136</v>
      </c>
      <c r="J655" s="34">
        <v>0.005</v>
      </c>
      <c r="K655" s="33" t="s">
        <v>1471</v>
      </c>
      <c r="L655" s="33" t="s">
        <v>2166</v>
      </c>
      <c r="M655" s="33" t="s">
        <v>1927</v>
      </c>
      <c r="N655" s="33" t="s">
        <v>2138</v>
      </c>
      <c r="O655" s="33" t="s">
        <v>1475</v>
      </c>
    </row>
    <row r="656">
      <c r="A656" s="33" t="s">
        <v>2167</v>
      </c>
      <c r="B656" s="33" t="s">
        <v>2159</v>
      </c>
      <c r="C656" s="33" t="s">
        <v>36</v>
      </c>
      <c r="D656" s="33" t="s">
        <v>1467</v>
      </c>
      <c r="E656" s="33" t="s">
        <v>1468</v>
      </c>
      <c r="F656" s="33" t="s">
        <v>316</v>
      </c>
      <c r="G656" s="35">
        <v>46219</v>
      </c>
      <c r="H656" s="33" t="s">
        <v>1478</v>
      </c>
      <c r="I656" s="33" t="s">
        <v>2136</v>
      </c>
      <c r="J656" s="34">
        <v>0.005</v>
      </c>
      <c r="K656" s="33" t="s">
        <v>1471</v>
      </c>
      <c r="L656" s="33" t="s">
        <v>2168</v>
      </c>
      <c r="M656" s="33" t="s">
        <v>1927</v>
      </c>
      <c r="N656" s="33" t="s">
        <v>2138</v>
      </c>
      <c r="O656" s="33" t="s">
        <v>1475</v>
      </c>
    </row>
    <row r="657">
      <c r="A657" s="33" t="s">
        <v>2169</v>
      </c>
      <c r="B657" s="33" t="s">
        <v>2170</v>
      </c>
      <c r="C657" s="33" t="s">
        <v>1466</v>
      </c>
      <c r="D657" s="33" t="s">
        <v>1467</v>
      </c>
      <c r="E657" s="33" t="s">
        <v>1468</v>
      </c>
      <c r="F657" s="33" t="s">
        <v>316</v>
      </c>
      <c r="G657" s="35">
        <v>46219</v>
      </c>
      <c r="H657" s="33" t="s">
        <v>1478</v>
      </c>
      <c r="I657" s="33" t="s">
        <v>2136</v>
      </c>
      <c r="J657" s="34">
        <v>0.0075</v>
      </c>
      <c r="K657" s="33" t="s">
        <v>1471</v>
      </c>
      <c r="L657" s="33" t="s">
        <v>2171</v>
      </c>
      <c r="M657" s="33" t="s">
        <v>1927</v>
      </c>
      <c r="N657" s="33" t="s">
        <v>2138</v>
      </c>
      <c r="O657" s="33" t="s">
        <v>1475</v>
      </c>
    </row>
    <row r="658">
      <c r="A658" s="33" t="s">
        <v>2172</v>
      </c>
      <c r="B658" s="33" t="s">
        <v>2170</v>
      </c>
      <c r="C658" s="33" t="s">
        <v>1477</v>
      </c>
      <c r="D658" s="33" t="s">
        <v>1467</v>
      </c>
      <c r="E658" s="33" t="s">
        <v>1468</v>
      </c>
      <c r="F658" s="33" t="s">
        <v>316</v>
      </c>
      <c r="G658" s="35">
        <v>46219</v>
      </c>
      <c r="H658" s="33" t="s">
        <v>1478</v>
      </c>
      <c r="I658" s="33" t="s">
        <v>2136</v>
      </c>
      <c r="J658" s="34">
        <v>0.005</v>
      </c>
      <c r="K658" s="33" t="s">
        <v>1471</v>
      </c>
      <c r="L658" s="33" t="s">
        <v>2173</v>
      </c>
      <c r="M658" s="33" t="s">
        <v>1927</v>
      </c>
      <c r="N658" s="33" t="s">
        <v>2138</v>
      </c>
      <c r="O658" s="33" t="s">
        <v>1475</v>
      </c>
    </row>
    <row r="659">
      <c r="A659" s="33" t="s">
        <v>2174</v>
      </c>
      <c r="B659" s="33" t="s">
        <v>2170</v>
      </c>
      <c r="C659" s="33" t="s">
        <v>1483</v>
      </c>
      <c r="D659" s="33" t="s">
        <v>1467</v>
      </c>
      <c r="E659" s="33" t="s">
        <v>1468</v>
      </c>
      <c r="F659" s="33" t="s">
        <v>316</v>
      </c>
      <c r="G659" s="35">
        <v>46219</v>
      </c>
      <c r="H659" s="33" t="s">
        <v>1478</v>
      </c>
      <c r="I659" s="33" t="s">
        <v>2136</v>
      </c>
      <c r="J659" s="34">
        <v>0.005</v>
      </c>
      <c r="K659" s="33" t="s">
        <v>1471</v>
      </c>
      <c r="L659" s="33" t="s">
        <v>2175</v>
      </c>
      <c r="M659" s="33" t="s">
        <v>1927</v>
      </c>
      <c r="N659" s="33" t="s">
        <v>2138</v>
      </c>
      <c r="O659" s="33" t="s">
        <v>1475</v>
      </c>
    </row>
    <row r="660">
      <c r="A660" s="33" t="s">
        <v>2176</v>
      </c>
      <c r="B660" s="33" t="s">
        <v>2170</v>
      </c>
      <c r="C660" s="33" t="s">
        <v>1486</v>
      </c>
      <c r="D660" s="33" t="s">
        <v>1467</v>
      </c>
      <c r="E660" s="33" t="s">
        <v>1468</v>
      </c>
      <c r="F660" s="33" t="s">
        <v>316</v>
      </c>
      <c r="G660" s="35">
        <v>46219</v>
      </c>
      <c r="H660" s="33" t="s">
        <v>1478</v>
      </c>
      <c r="I660" s="33" t="s">
        <v>2136</v>
      </c>
      <c r="J660" s="34">
        <v>0.005</v>
      </c>
      <c r="K660" s="33" t="s">
        <v>1471</v>
      </c>
      <c r="L660" s="33" t="s">
        <v>2177</v>
      </c>
      <c r="M660" s="33" t="s">
        <v>1927</v>
      </c>
      <c r="N660" s="33" t="s">
        <v>2138</v>
      </c>
      <c r="O660" s="33" t="s">
        <v>1475</v>
      </c>
    </row>
    <row r="661">
      <c r="A661" s="33" t="s">
        <v>2178</v>
      </c>
      <c r="B661" s="33" t="s">
        <v>2170</v>
      </c>
      <c r="C661" s="33" t="s">
        <v>36</v>
      </c>
      <c r="D661" s="33" t="s">
        <v>1467</v>
      </c>
      <c r="E661" s="33" t="s">
        <v>1468</v>
      </c>
      <c r="F661" s="33" t="s">
        <v>316</v>
      </c>
      <c r="G661" s="35">
        <v>46219</v>
      </c>
      <c r="H661" s="33" t="s">
        <v>1478</v>
      </c>
      <c r="I661" s="33" t="s">
        <v>2136</v>
      </c>
      <c r="J661" s="34">
        <v>0.005</v>
      </c>
      <c r="K661" s="33" t="s">
        <v>1471</v>
      </c>
      <c r="L661" s="33" t="s">
        <v>2179</v>
      </c>
      <c r="M661" s="33" t="s">
        <v>1927</v>
      </c>
      <c r="N661" s="33" t="s">
        <v>2138</v>
      </c>
      <c r="O661" s="33" t="s">
        <v>1475</v>
      </c>
    </row>
    <row r="662">
      <c r="A662" s="33" t="s">
        <v>2180</v>
      </c>
      <c r="B662" s="33" t="s">
        <v>2181</v>
      </c>
      <c r="C662" s="33" t="s">
        <v>1466</v>
      </c>
      <c r="D662" s="33" t="s">
        <v>1467</v>
      </c>
      <c r="E662" s="33" t="s">
        <v>1468</v>
      </c>
      <c r="F662" s="33" t="s">
        <v>316</v>
      </c>
      <c r="G662" s="35">
        <v>46219</v>
      </c>
      <c r="H662" s="33" t="s">
        <v>1478</v>
      </c>
      <c r="I662" s="33" t="s">
        <v>2136</v>
      </c>
      <c r="J662" s="34">
        <v>0.005</v>
      </c>
      <c r="K662" s="33" t="s">
        <v>1471</v>
      </c>
      <c r="L662" s="33" t="s">
        <v>2182</v>
      </c>
      <c r="M662" s="33" t="s">
        <v>1927</v>
      </c>
      <c r="N662" s="33" t="s">
        <v>2138</v>
      </c>
      <c r="O662" s="33" t="s">
        <v>1475</v>
      </c>
    </row>
    <row r="663">
      <c r="A663" s="33" t="s">
        <v>2183</v>
      </c>
      <c r="B663" s="33" t="s">
        <v>2181</v>
      </c>
      <c r="C663" s="33" t="s">
        <v>1477</v>
      </c>
      <c r="D663" s="33" t="s">
        <v>1467</v>
      </c>
      <c r="E663" s="33" t="s">
        <v>1468</v>
      </c>
      <c r="F663" s="33" t="s">
        <v>316</v>
      </c>
      <c r="G663" s="35">
        <v>46219</v>
      </c>
      <c r="H663" s="33" t="s">
        <v>1478</v>
      </c>
      <c r="I663" s="33" t="s">
        <v>2136</v>
      </c>
      <c r="J663" s="34">
        <v>0.005</v>
      </c>
      <c r="K663" s="33" t="s">
        <v>1471</v>
      </c>
      <c r="L663" s="33" t="s">
        <v>2184</v>
      </c>
      <c r="M663" s="33" t="s">
        <v>1927</v>
      </c>
      <c r="N663" s="33" t="s">
        <v>2138</v>
      </c>
      <c r="O663" s="33" t="s">
        <v>1475</v>
      </c>
    </row>
    <row r="664">
      <c r="A664" s="33" t="s">
        <v>2185</v>
      </c>
      <c r="B664" s="33" t="s">
        <v>2181</v>
      </c>
      <c r="C664" s="33" t="s">
        <v>1483</v>
      </c>
      <c r="D664" s="33" t="s">
        <v>1467</v>
      </c>
      <c r="E664" s="33" t="s">
        <v>1468</v>
      </c>
      <c r="F664" s="33" t="s">
        <v>316</v>
      </c>
      <c r="G664" s="35">
        <v>46219</v>
      </c>
      <c r="H664" s="33" t="s">
        <v>1478</v>
      </c>
      <c r="I664" s="33" t="s">
        <v>2136</v>
      </c>
      <c r="J664" s="34">
        <v>0.005</v>
      </c>
      <c r="K664" s="33" t="s">
        <v>1471</v>
      </c>
      <c r="L664" s="33" t="s">
        <v>2186</v>
      </c>
      <c r="M664" s="33" t="s">
        <v>1927</v>
      </c>
      <c r="N664" s="33" t="s">
        <v>2138</v>
      </c>
      <c r="O664" s="33" t="s">
        <v>1475</v>
      </c>
    </row>
    <row r="665">
      <c r="A665" s="33" t="s">
        <v>2187</v>
      </c>
      <c r="B665" s="33" t="s">
        <v>2181</v>
      </c>
      <c r="C665" s="33" t="s">
        <v>1486</v>
      </c>
      <c r="D665" s="33" t="s">
        <v>1467</v>
      </c>
      <c r="E665" s="33" t="s">
        <v>1468</v>
      </c>
      <c r="F665" s="33" t="s">
        <v>316</v>
      </c>
      <c r="G665" s="35">
        <v>46219</v>
      </c>
      <c r="H665" s="33" t="s">
        <v>1478</v>
      </c>
      <c r="I665" s="33" t="s">
        <v>2136</v>
      </c>
      <c r="J665" s="34">
        <v>0.005</v>
      </c>
      <c r="K665" s="33" t="s">
        <v>1471</v>
      </c>
      <c r="L665" s="33" t="s">
        <v>2188</v>
      </c>
      <c r="M665" s="33" t="s">
        <v>1927</v>
      </c>
      <c r="N665" s="33" t="s">
        <v>2138</v>
      </c>
      <c r="O665" s="33" t="s">
        <v>1475</v>
      </c>
    </row>
    <row r="666">
      <c r="A666" s="33" t="s">
        <v>2189</v>
      </c>
      <c r="B666" s="33" t="s">
        <v>2181</v>
      </c>
      <c r="C666" s="33" t="s">
        <v>36</v>
      </c>
      <c r="D666" s="33" t="s">
        <v>1467</v>
      </c>
      <c r="E666" s="33" t="s">
        <v>1468</v>
      </c>
      <c r="F666" s="33" t="s">
        <v>316</v>
      </c>
      <c r="G666" s="35">
        <v>46219</v>
      </c>
      <c r="H666" s="33" t="s">
        <v>1478</v>
      </c>
      <c r="I666" s="33" t="s">
        <v>2136</v>
      </c>
      <c r="J666" s="34">
        <v>0.005</v>
      </c>
      <c r="K666" s="33" t="s">
        <v>1471</v>
      </c>
      <c r="L666" s="33" t="s">
        <v>2190</v>
      </c>
      <c r="M666" s="33" t="s">
        <v>1927</v>
      </c>
      <c r="N666" s="33" t="s">
        <v>2138</v>
      </c>
      <c r="O666" s="33" t="s">
        <v>1475</v>
      </c>
    </row>
    <row r="667">
      <c r="A667" s="33" t="s">
        <v>2191</v>
      </c>
      <c r="B667" s="33" t="s">
        <v>2192</v>
      </c>
      <c r="C667" s="33" t="s">
        <v>2193</v>
      </c>
      <c r="D667" s="33" t="s">
        <v>1903</v>
      </c>
      <c r="E667" s="33" t="s">
        <v>1904</v>
      </c>
      <c r="F667" s="33" t="s">
        <v>1905</v>
      </c>
      <c r="G667" s="35">
        <v>46219</v>
      </c>
      <c r="H667" s="33" t="s">
        <v>1906</v>
      </c>
      <c r="I667" s="33" t="s">
        <v>2194</v>
      </c>
      <c r="J667" s="34">
        <v>27966</v>
      </c>
      <c r="K667" s="33" t="s">
        <v>431</v>
      </c>
      <c r="L667" s="33" t="s">
        <v>2195</v>
      </c>
      <c r="M667" s="33" t="s">
        <v>2196</v>
      </c>
      <c r="N667" s="33" t="s">
        <v>1913</v>
      </c>
      <c r="O667" s="33" t="s">
        <v>435</v>
      </c>
    </row>
    <row r="668">
      <c r="A668" s="33" t="s">
        <v>2197</v>
      </c>
      <c r="B668" s="33" t="s">
        <v>2198</v>
      </c>
      <c r="C668" s="33" t="s">
        <v>2193</v>
      </c>
      <c r="D668" s="33" t="s">
        <v>1903</v>
      </c>
      <c r="E668" s="33" t="s">
        <v>1904</v>
      </c>
      <c r="F668" s="33" t="s">
        <v>1905</v>
      </c>
      <c r="G668" s="35">
        <v>46219</v>
      </c>
      <c r="H668" s="33" t="s">
        <v>1906</v>
      </c>
      <c r="I668" s="33" t="s">
        <v>2194</v>
      </c>
      <c r="J668" s="34">
        <v>737</v>
      </c>
      <c r="K668" s="33" t="s">
        <v>431</v>
      </c>
      <c r="L668" s="33" t="s">
        <v>2199</v>
      </c>
      <c r="M668" s="33" t="s">
        <v>2196</v>
      </c>
      <c r="N668" s="33" t="s">
        <v>1913</v>
      </c>
      <c r="O668" s="33" t="s">
        <v>435</v>
      </c>
    </row>
    <row r="669">
      <c r="A669" s="33" t="s">
        <v>2200</v>
      </c>
      <c r="B669" s="33" t="s">
        <v>2201</v>
      </c>
      <c r="C669" s="33" t="s">
        <v>2193</v>
      </c>
      <c r="D669" s="33" t="s">
        <v>1903</v>
      </c>
      <c r="E669" s="33" t="s">
        <v>1904</v>
      </c>
      <c r="F669" s="33" t="s">
        <v>1905</v>
      </c>
      <c r="G669" s="35">
        <v>46219</v>
      </c>
      <c r="H669" s="33" t="s">
        <v>1906</v>
      </c>
      <c r="I669" s="33" t="s">
        <v>2194</v>
      </c>
      <c r="J669" s="34">
        <v>829</v>
      </c>
      <c r="K669" s="33" t="s">
        <v>431</v>
      </c>
      <c r="L669" s="33" t="s">
        <v>2202</v>
      </c>
      <c r="M669" s="33" t="s">
        <v>2196</v>
      </c>
      <c r="N669" s="33" t="s">
        <v>1913</v>
      </c>
      <c r="O669" s="33" t="s">
        <v>435</v>
      </c>
    </row>
    <row r="670">
      <c r="A670" s="33" t="s">
        <v>2203</v>
      </c>
      <c r="B670" s="33" t="s">
        <v>2204</v>
      </c>
      <c r="C670" s="33" t="s">
        <v>2193</v>
      </c>
      <c r="D670" s="33" t="s">
        <v>1903</v>
      </c>
      <c r="E670" s="33" t="s">
        <v>1904</v>
      </c>
      <c r="F670" s="33" t="s">
        <v>1905</v>
      </c>
      <c r="G670" s="35">
        <v>46219</v>
      </c>
      <c r="H670" s="33" t="s">
        <v>1906</v>
      </c>
      <c r="I670" s="33" t="s">
        <v>2194</v>
      </c>
      <c r="J670" s="34">
        <v>397</v>
      </c>
      <c r="K670" s="33" t="s">
        <v>431</v>
      </c>
      <c r="L670" s="33" t="s">
        <v>2205</v>
      </c>
      <c r="M670" s="33" t="s">
        <v>2196</v>
      </c>
      <c r="N670" s="33" t="s">
        <v>1913</v>
      </c>
      <c r="O670" s="33" t="s">
        <v>435</v>
      </c>
    </row>
    <row r="671">
      <c r="A671" s="33" t="s">
        <v>2206</v>
      </c>
      <c r="B671" s="33" t="s">
        <v>176</v>
      </c>
      <c r="C671" s="33" t="s">
        <v>1466</v>
      </c>
      <c r="D671" s="33" t="s">
        <v>1854</v>
      </c>
      <c r="E671" s="33" t="s">
        <v>140</v>
      </c>
      <c r="F671" s="33" t="s">
        <v>316</v>
      </c>
      <c r="G671" s="35">
        <v>46219</v>
      </c>
      <c r="H671" s="33" t="s">
        <v>1855</v>
      </c>
      <c r="I671" s="33" t="s">
        <v>2207</v>
      </c>
      <c r="J671" s="34">
        <v>0</v>
      </c>
      <c r="K671" s="33" t="s">
        <v>431</v>
      </c>
      <c r="L671" s="33" t="s">
        <v>2208</v>
      </c>
      <c r="M671" s="33" t="s">
        <v>2209</v>
      </c>
      <c r="N671" s="33" t="s">
        <v>1481</v>
      </c>
      <c r="O671" s="33" t="s">
        <v>1475</v>
      </c>
    </row>
    <row r="672">
      <c r="A672" s="33" t="s">
        <v>2210</v>
      </c>
      <c r="B672" s="33" t="s">
        <v>2211</v>
      </c>
      <c r="C672" s="33" t="s">
        <v>2193</v>
      </c>
      <c r="D672" s="33" t="s">
        <v>1903</v>
      </c>
      <c r="E672" s="33" t="s">
        <v>1904</v>
      </c>
      <c r="F672" s="33" t="s">
        <v>1905</v>
      </c>
      <c r="G672" s="35">
        <v>46219</v>
      </c>
      <c r="H672" s="33" t="s">
        <v>1906</v>
      </c>
      <c r="I672" s="33" t="s">
        <v>2212</v>
      </c>
      <c r="J672" s="34">
        <v>10976</v>
      </c>
      <c r="K672" s="33" t="s">
        <v>431</v>
      </c>
      <c r="L672" s="33" t="s">
        <v>2213</v>
      </c>
      <c r="M672" s="33" t="s">
        <v>2196</v>
      </c>
      <c r="N672" s="33" t="s">
        <v>1913</v>
      </c>
      <c r="O672" s="33" t="s">
        <v>435</v>
      </c>
    </row>
    <row r="673">
      <c r="A673" s="33" t="s">
        <v>2214</v>
      </c>
      <c r="B673" s="33" t="s">
        <v>2215</v>
      </c>
      <c r="C673" s="33" t="s">
        <v>2193</v>
      </c>
      <c r="D673" s="33" t="s">
        <v>1903</v>
      </c>
      <c r="E673" s="33" t="s">
        <v>1904</v>
      </c>
      <c r="F673" s="33" t="s">
        <v>1905</v>
      </c>
      <c r="G673" s="35">
        <v>46219</v>
      </c>
      <c r="H673" s="33" t="s">
        <v>1906</v>
      </c>
      <c r="I673" s="33" t="s">
        <v>2212</v>
      </c>
      <c r="J673" s="34">
        <v>3188</v>
      </c>
      <c r="K673" s="33" t="s">
        <v>431</v>
      </c>
      <c r="L673" s="33" t="s">
        <v>2216</v>
      </c>
      <c r="M673" s="33" t="s">
        <v>2196</v>
      </c>
      <c r="N673" s="33" t="s">
        <v>1913</v>
      </c>
      <c r="O673" s="33" t="s">
        <v>435</v>
      </c>
    </row>
    <row r="674">
      <c r="A674" s="33" t="s">
        <v>2217</v>
      </c>
      <c r="B674" s="33" t="s">
        <v>2218</v>
      </c>
      <c r="C674" s="33" t="s">
        <v>2193</v>
      </c>
      <c r="D674" s="33" t="s">
        <v>1903</v>
      </c>
      <c r="E674" s="33" t="s">
        <v>1904</v>
      </c>
      <c r="F674" s="33" t="s">
        <v>1905</v>
      </c>
      <c r="G674" s="35">
        <v>46219</v>
      </c>
      <c r="H674" s="33" t="s">
        <v>1906</v>
      </c>
      <c r="I674" s="33" t="s">
        <v>2212</v>
      </c>
      <c r="J674" s="34">
        <v>8498</v>
      </c>
      <c r="K674" s="33" t="s">
        <v>431</v>
      </c>
      <c r="L674" s="33" t="s">
        <v>2219</v>
      </c>
      <c r="M674" s="33" t="s">
        <v>2196</v>
      </c>
      <c r="N674" s="33" t="s">
        <v>1913</v>
      </c>
      <c r="O674" s="33" t="s">
        <v>435</v>
      </c>
    </row>
    <row r="675">
      <c r="A675" s="33" t="s">
        <v>2220</v>
      </c>
      <c r="B675" s="33" t="s">
        <v>2221</v>
      </c>
      <c r="C675" s="33" t="s">
        <v>2193</v>
      </c>
      <c r="D675" s="33" t="s">
        <v>1903</v>
      </c>
      <c r="E675" s="33" t="s">
        <v>1904</v>
      </c>
      <c r="F675" s="33" t="s">
        <v>1905</v>
      </c>
      <c r="G675" s="35">
        <v>46219</v>
      </c>
      <c r="H675" s="33" t="s">
        <v>1906</v>
      </c>
      <c r="I675" s="33" t="s">
        <v>2212</v>
      </c>
      <c r="J675" s="34">
        <v>5184</v>
      </c>
      <c r="K675" s="33" t="s">
        <v>431</v>
      </c>
      <c r="L675" s="33" t="s">
        <v>2222</v>
      </c>
      <c r="M675" s="33" t="s">
        <v>2196</v>
      </c>
      <c r="N675" s="33" t="s">
        <v>1913</v>
      </c>
      <c r="O675" s="33" t="s">
        <v>435</v>
      </c>
    </row>
    <row r="676">
      <c r="A676" s="33" t="s">
        <v>2223</v>
      </c>
      <c r="B676" s="33" t="s">
        <v>2224</v>
      </c>
      <c r="C676" s="33" t="s">
        <v>2193</v>
      </c>
      <c r="D676" s="33" t="s">
        <v>1903</v>
      </c>
      <c r="E676" s="33" t="s">
        <v>1904</v>
      </c>
      <c r="F676" s="33" t="s">
        <v>1905</v>
      </c>
      <c r="G676" s="35">
        <v>46219</v>
      </c>
      <c r="H676" s="33" t="s">
        <v>1906</v>
      </c>
      <c r="I676" s="33" t="s">
        <v>2212</v>
      </c>
      <c r="J676" s="34">
        <v>1159</v>
      </c>
      <c r="K676" s="33" t="s">
        <v>431</v>
      </c>
      <c r="L676" s="33" t="s">
        <v>2225</v>
      </c>
      <c r="M676" s="33" t="s">
        <v>2196</v>
      </c>
      <c r="N676" s="33" t="s">
        <v>1913</v>
      </c>
      <c r="O676" s="33" t="s">
        <v>435</v>
      </c>
    </row>
    <row r="677">
      <c r="A677" s="33" t="s">
        <v>2226</v>
      </c>
      <c r="B677" s="33" t="s">
        <v>2227</v>
      </c>
      <c r="C677" s="33" t="s">
        <v>2193</v>
      </c>
      <c r="D677" s="33" t="s">
        <v>1903</v>
      </c>
      <c r="E677" s="33" t="s">
        <v>1904</v>
      </c>
      <c r="F677" s="33" t="s">
        <v>1905</v>
      </c>
      <c r="G677" s="35">
        <v>46219</v>
      </c>
      <c r="H677" s="33" t="s">
        <v>1906</v>
      </c>
      <c r="I677" s="33" t="s">
        <v>2212</v>
      </c>
      <c r="J677" s="34">
        <v>-1039</v>
      </c>
      <c r="K677" s="33" t="s">
        <v>431</v>
      </c>
      <c r="L677" s="33" t="s">
        <v>2228</v>
      </c>
      <c r="M677" s="33" t="s">
        <v>2196</v>
      </c>
      <c r="N677" s="33" t="s">
        <v>1913</v>
      </c>
      <c r="O677" s="33" t="s">
        <v>435</v>
      </c>
    </row>
    <row r="678">
      <c r="A678" s="33" t="s">
        <v>2229</v>
      </c>
      <c r="B678" s="33" t="s">
        <v>2230</v>
      </c>
      <c r="C678" s="33" t="s">
        <v>2193</v>
      </c>
      <c r="D678" s="33" t="s">
        <v>1903</v>
      </c>
      <c r="E678" s="33" t="s">
        <v>1904</v>
      </c>
      <c r="F678" s="33" t="s">
        <v>1905</v>
      </c>
      <c r="G678" s="35">
        <v>46219</v>
      </c>
      <c r="H678" s="33" t="s">
        <v>1906</v>
      </c>
      <c r="I678" s="33" t="s">
        <v>2231</v>
      </c>
      <c r="J678" s="34">
        <v>-559</v>
      </c>
      <c r="K678" s="33" t="s">
        <v>431</v>
      </c>
      <c r="L678" s="33" t="s">
        <v>2232</v>
      </c>
      <c r="M678" s="33" t="s">
        <v>2196</v>
      </c>
      <c r="N678" s="33" t="s">
        <v>1913</v>
      </c>
      <c r="O678" s="33" t="s">
        <v>435</v>
      </c>
    </row>
    <row r="679">
      <c r="A679" s="33" t="s">
        <v>2233</v>
      </c>
      <c r="B679" s="33" t="s">
        <v>2234</v>
      </c>
      <c r="C679" s="33" t="s">
        <v>2193</v>
      </c>
      <c r="D679" s="33" t="s">
        <v>1903</v>
      </c>
      <c r="E679" s="33" t="s">
        <v>1904</v>
      </c>
      <c r="F679" s="33" t="s">
        <v>1905</v>
      </c>
      <c r="G679" s="35">
        <v>46219</v>
      </c>
      <c r="H679" s="33" t="s">
        <v>1906</v>
      </c>
      <c r="I679" s="33" t="s">
        <v>2231</v>
      </c>
      <c r="J679" s="34">
        <v>91</v>
      </c>
      <c r="K679" s="33" t="s">
        <v>431</v>
      </c>
      <c r="L679" s="33" t="s">
        <v>2235</v>
      </c>
      <c r="M679" s="33" t="s">
        <v>2196</v>
      </c>
      <c r="N679" s="33" t="s">
        <v>1913</v>
      </c>
      <c r="O679" s="33" t="s">
        <v>435</v>
      </c>
    </row>
    <row r="680">
      <c r="A680" s="33" t="s">
        <v>2236</v>
      </c>
      <c r="B680" s="33" t="s">
        <v>2237</v>
      </c>
      <c r="C680" s="33" t="s">
        <v>2193</v>
      </c>
      <c r="D680" s="33" t="s">
        <v>1903</v>
      </c>
      <c r="E680" s="33" t="s">
        <v>1904</v>
      </c>
      <c r="F680" s="33" t="s">
        <v>1905</v>
      </c>
      <c r="G680" s="35">
        <v>46219</v>
      </c>
      <c r="H680" s="33" t="s">
        <v>1906</v>
      </c>
      <c r="I680" s="33" t="s">
        <v>2231</v>
      </c>
      <c r="J680" s="34">
        <v>955</v>
      </c>
      <c r="K680" s="33" t="s">
        <v>431</v>
      </c>
      <c r="L680" s="33" t="s">
        <v>2238</v>
      </c>
      <c r="M680" s="33" t="s">
        <v>2196</v>
      </c>
      <c r="N680" s="33" t="s">
        <v>1913</v>
      </c>
      <c r="O680" s="33" t="s">
        <v>435</v>
      </c>
    </row>
    <row r="681">
      <c r="A681" s="33" t="s">
        <v>2239</v>
      </c>
      <c r="B681" s="33" t="s">
        <v>2240</v>
      </c>
      <c r="C681" s="33" t="s">
        <v>2193</v>
      </c>
      <c r="D681" s="33" t="s">
        <v>1903</v>
      </c>
      <c r="E681" s="33" t="s">
        <v>1904</v>
      </c>
      <c r="F681" s="33" t="s">
        <v>1905</v>
      </c>
      <c r="G681" s="35">
        <v>46219</v>
      </c>
      <c r="H681" s="33" t="s">
        <v>1906</v>
      </c>
      <c r="I681" s="33" t="s">
        <v>2231</v>
      </c>
      <c r="J681" s="34">
        <v>670</v>
      </c>
      <c r="K681" s="33" t="s">
        <v>431</v>
      </c>
      <c r="L681" s="33" t="s">
        <v>2241</v>
      </c>
      <c r="M681" s="33" t="s">
        <v>2196</v>
      </c>
      <c r="N681" s="33" t="s">
        <v>1913</v>
      </c>
      <c r="O681" s="33" t="s">
        <v>435</v>
      </c>
    </row>
    <row r="682">
      <c r="A682" s="33" t="s">
        <v>2242</v>
      </c>
      <c r="B682" s="33" t="s">
        <v>2243</v>
      </c>
      <c r="C682" s="33" t="s">
        <v>2193</v>
      </c>
      <c r="D682" s="33" t="s">
        <v>1903</v>
      </c>
      <c r="E682" s="33" t="s">
        <v>1904</v>
      </c>
      <c r="F682" s="33" t="s">
        <v>1905</v>
      </c>
      <c r="G682" s="35">
        <v>46219</v>
      </c>
      <c r="H682" s="33" t="s">
        <v>1906</v>
      </c>
      <c r="I682" s="33" t="s">
        <v>2231</v>
      </c>
      <c r="J682" s="34">
        <v>79</v>
      </c>
      <c r="K682" s="33" t="s">
        <v>431</v>
      </c>
      <c r="L682" s="33" t="s">
        <v>2244</v>
      </c>
      <c r="M682" s="33" t="s">
        <v>2196</v>
      </c>
      <c r="N682" s="33" t="s">
        <v>1913</v>
      </c>
      <c r="O682" s="33" t="s">
        <v>435</v>
      </c>
    </row>
    <row r="683">
      <c r="A683" s="33" t="s">
        <v>2245</v>
      </c>
      <c r="B683" s="33" t="s">
        <v>2246</v>
      </c>
      <c r="C683" s="33" t="s">
        <v>2193</v>
      </c>
      <c r="D683" s="33" t="s">
        <v>1903</v>
      </c>
      <c r="E683" s="33" t="s">
        <v>1904</v>
      </c>
      <c r="F683" s="33" t="s">
        <v>1905</v>
      </c>
      <c r="G683" s="35">
        <v>46219</v>
      </c>
      <c r="H683" s="33" t="s">
        <v>1906</v>
      </c>
      <c r="I683" s="33" t="s">
        <v>2247</v>
      </c>
      <c r="J683" s="34">
        <v>-391</v>
      </c>
      <c r="K683" s="33" t="s">
        <v>431</v>
      </c>
      <c r="L683" s="33" t="s">
        <v>2248</v>
      </c>
      <c r="M683" s="33" t="s">
        <v>2196</v>
      </c>
      <c r="N683" s="33" t="s">
        <v>1913</v>
      </c>
      <c r="O683" s="33" t="s">
        <v>435</v>
      </c>
    </row>
    <row r="684">
      <c r="A684" s="33" t="s">
        <v>2249</v>
      </c>
      <c r="B684" s="33" t="s">
        <v>2250</v>
      </c>
      <c r="C684" s="33" t="s">
        <v>2193</v>
      </c>
      <c r="D684" s="33" t="s">
        <v>1903</v>
      </c>
      <c r="E684" s="33" t="s">
        <v>1904</v>
      </c>
      <c r="F684" s="33" t="s">
        <v>1905</v>
      </c>
      <c r="G684" s="35">
        <v>46219</v>
      </c>
      <c r="H684" s="33" t="s">
        <v>1906</v>
      </c>
      <c r="I684" s="33" t="s">
        <v>2247</v>
      </c>
      <c r="J684" s="34">
        <v>-108</v>
      </c>
      <c r="K684" s="33" t="s">
        <v>431</v>
      </c>
      <c r="L684" s="33" t="s">
        <v>2251</v>
      </c>
      <c r="M684" s="33" t="s">
        <v>2196</v>
      </c>
      <c r="N684" s="33" t="s">
        <v>1913</v>
      </c>
      <c r="O684" s="33" t="s">
        <v>435</v>
      </c>
    </row>
    <row r="685">
      <c r="A685" s="33" t="s">
        <v>2252</v>
      </c>
      <c r="B685" s="33" t="s">
        <v>291</v>
      </c>
      <c r="C685" s="35">
        <v>46109</v>
      </c>
      <c r="D685" s="33" t="s">
        <v>1903</v>
      </c>
      <c r="E685" s="33" t="s">
        <v>1904</v>
      </c>
      <c r="F685" s="33" t="s">
        <v>1905</v>
      </c>
      <c r="G685" s="35">
        <v>46219</v>
      </c>
      <c r="H685" s="33" t="s">
        <v>1906</v>
      </c>
      <c r="I685" s="33" t="s">
        <v>2253</v>
      </c>
      <c r="J685" s="34">
        <v>30</v>
      </c>
      <c r="K685" s="33" t="s">
        <v>431</v>
      </c>
      <c r="L685" s="33" t="s">
        <v>2254</v>
      </c>
      <c r="M685" s="33" t="s">
        <v>1927</v>
      </c>
      <c r="N685" s="33" t="s">
        <v>1913</v>
      </c>
      <c r="O685" s="33" t="s">
        <v>435</v>
      </c>
    </row>
    <row r="686">
      <c r="A686" s="33" t="s">
        <v>2255</v>
      </c>
      <c r="B686" s="33" t="s">
        <v>294</v>
      </c>
      <c r="C686" s="35">
        <v>46109</v>
      </c>
      <c r="D686" s="33" t="s">
        <v>1903</v>
      </c>
      <c r="E686" s="33" t="s">
        <v>1904</v>
      </c>
      <c r="F686" s="33" t="s">
        <v>1905</v>
      </c>
      <c r="G686" s="35">
        <v>46219</v>
      </c>
      <c r="H686" s="33" t="s">
        <v>1906</v>
      </c>
      <c r="I686" s="33" t="s">
        <v>2253</v>
      </c>
      <c r="J686" s="34">
        <v>1350</v>
      </c>
      <c r="K686" s="33" t="s">
        <v>431</v>
      </c>
      <c r="L686" s="33" t="s">
        <v>2256</v>
      </c>
      <c r="M686" s="33" t="s">
        <v>1927</v>
      </c>
      <c r="N686" s="33" t="s">
        <v>1913</v>
      </c>
      <c r="O686" s="33" t="s">
        <v>435</v>
      </c>
    </row>
    <row r="687">
      <c r="A687" s="33" t="s">
        <v>2257</v>
      </c>
      <c r="B687" s="33" t="s">
        <v>296</v>
      </c>
      <c r="C687" s="35">
        <v>46109</v>
      </c>
      <c r="D687" s="33" t="s">
        <v>1903</v>
      </c>
      <c r="E687" s="33" t="s">
        <v>1904</v>
      </c>
      <c r="F687" s="33" t="s">
        <v>1905</v>
      </c>
      <c r="G687" s="35">
        <v>46219</v>
      </c>
      <c r="H687" s="33" t="s">
        <v>1906</v>
      </c>
      <c r="I687" s="33" t="s">
        <v>2253</v>
      </c>
      <c r="J687" s="34">
        <v>18</v>
      </c>
      <c r="K687" s="33" t="s">
        <v>431</v>
      </c>
      <c r="L687" s="33" t="s">
        <v>2258</v>
      </c>
      <c r="M687" s="33" t="s">
        <v>1927</v>
      </c>
      <c r="N687" s="33" t="s">
        <v>1913</v>
      </c>
      <c r="O687" s="33" t="s">
        <v>435</v>
      </c>
    </row>
    <row r="688">
      <c r="A688" s="33" t="s">
        <v>2259</v>
      </c>
      <c r="B688" s="33" t="s">
        <v>298</v>
      </c>
      <c r="C688" s="35">
        <v>46109</v>
      </c>
      <c r="D688" s="33" t="s">
        <v>1903</v>
      </c>
      <c r="E688" s="33" t="s">
        <v>1904</v>
      </c>
      <c r="F688" s="33" t="s">
        <v>1905</v>
      </c>
      <c r="G688" s="35">
        <v>46219</v>
      </c>
      <c r="H688" s="33" t="s">
        <v>1906</v>
      </c>
      <c r="I688" s="33" t="s">
        <v>2253</v>
      </c>
      <c r="J688" s="34">
        <v>1000</v>
      </c>
      <c r="K688" s="33" t="s">
        <v>431</v>
      </c>
      <c r="L688" s="33" t="s">
        <v>2260</v>
      </c>
      <c r="M688" s="33" t="s">
        <v>1927</v>
      </c>
      <c r="N688" s="33" t="s">
        <v>1913</v>
      </c>
      <c r="O688" s="33" t="s">
        <v>435</v>
      </c>
    </row>
    <row r="689">
      <c r="A689" s="33" t="s">
        <v>2261</v>
      </c>
      <c r="B689" s="33" t="s">
        <v>300</v>
      </c>
      <c r="C689" s="35">
        <v>46109</v>
      </c>
      <c r="D689" s="33" t="s">
        <v>1903</v>
      </c>
      <c r="E689" s="33" t="s">
        <v>1904</v>
      </c>
      <c r="F689" s="33" t="s">
        <v>1905</v>
      </c>
      <c r="G689" s="35">
        <v>46219</v>
      </c>
      <c r="H689" s="33" t="s">
        <v>1906</v>
      </c>
      <c r="I689" s="33" t="s">
        <v>2253</v>
      </c>
      <c r="J689" s="34">
        <v>600</v>
      </c>
      <c r="K689" s="33" t="s">
        <v>431</v>
      </c>
      <c r="L689" s="33" t="s">
        <v>2262</v>
      </c>
      <c r="M689" s="33" t="s">
        <v>1927</v>
      </c>
      <c r="N689" s="33" t="s">
        <v>1913</v>
      </c>
      <c r="O689" s="33" t="s">
        <v>435</v>
      </c>
    </row>
    <row r="690">
      <c r="A690" s="33" t="s">
        <v>2263</v>
      </c>
      <c r="B690" s="33" t="s">
        <v>301</v>
      </c>
      <c r="C690" s="35">
        <v>46109</v>
      </c>
      <c r="D690" s="33" t="s">
        <v>1903</v>
      </c>
      <c r="E690" s="33" t="s">
        <v>1904</v>
      </c>
      <c r="F690" s="33" t="s">
        <v>1905</v>
      </c>
      <c r="G690" s="35">
        <v>46219</v>
      </c>
      <c r="H690" s="33" t="s">
        <v>1906</v>
      </c>
      <c r="I690" s="33" t="s">
        <v>2253</v>
      </c>
      <c r="J690" s="34">
        <v>157</v>
      </c>
      <c r="K690" s="33" t="s">
        <v>431</v>
      </c>
      <c r="L690" s="33" t="s">
        <v>2264</v>
      </c>
      <c r="M690" s="33" t="s">
        <v>1927</v>
      </c>
      <c r="N690" s="33" t="s">
        <v>1913</v>
      </c>
      <c r="O690" s="33" t="s">
        <v>435</v>
      </c>
    </row>
    <row r="691">
      <c r="A691" s="33" t="s">
        <v>2265</v>
      </c>
      <c r="B691" s="33" t="s">
        <v>303</v>
      </c>
      <c r="C691" s="35">
        <v>46109</v>
      </c>
      <c r="D691" s="33" t="s">
        <v>1903</v>
      </c>
      <c r="E691" s="33" t="s">
        <v>1904</v>
      </c>
      <c r="F691" s="33" t="s">
        <v>1905</v>
      </c>
      <c r="G691" s="35">
        <v>46219</v>
      </c>
      <c r="H691" s="33" t="s">
        <v>1906</v>
      </c>
      <c r="I691" s="33" t="s">
        <v>2253</v>
      </c>
      <c r="J691" s="34">
        <v>900</v>
      </c>
      <c r="K691" s="33" t="s">
        <v>431</v>
      </c>
      <c r="L691" s="33" t="s">
        <v>2266</v>
      </c>
      <c r="M691" s="33" t="s">
        <v>1927</v>
      </c>
      <c r="N691" s="33" t="s">
        <v>1913</v>
      </c>
      <c r="O691" s="33" t="s">
        <v>435</v>
      </c>
    </row>
    <row r="692">
      <c r="A692" s="33" t="s">
        <v>2267</v>
      </c>
      <c r="B692" s="33" t="s">
        <v>305</v>
      </c>
      <c r="C692" s="35">
        <v>46109</v>
      </c>
      <c r="D692" s="33" t="s">
        <v>1903</v>
      </c>
      <c r="E692" s="33" t="s">
        <v>1904</v>
      </c>
      <c r="F692" s="33" t="s">
        <v>1905</v>
      </c>
      <c r="G692" s="35">
        <v>46219</v>
      </c>
      <c r="H692" s="33" t="s">
        <v>1906</v>
      </c>
      <c r="I692" s="33" t="s">
        <v>2253</v>
      </c>
      <c r="J692" s="34">
        <v>500</v>
      </c>
      <c r="K692" s="33" t="s">
        <v>431</v>
      </c>
      <c r="L692" s="33" t="s">
        <v>2268</v>
      </c>
      <c r="M692" s="33" t="s">
        <v>1927</v>
      </c>
      <c r="N692" s="33" t="s">
        <v>1913</v>
      </c>
      <c r="O692" s="33" t="s">
        <v>435</v>
      </c>
    </row>
    <row r="693">
      <c r="A693" s="33" t="s">
        <v>2269</v>
      </c>
      <c r="B693" s="33" t="s">
        <v>307</v>
      </c>
      <c r="C693" s="35">
        <v>46109</v>
      </c>
      <c r="D693" s="33" t="s">
        <v>1903</v>
      </c>
      <c r="E693" s="33" t="s">
        <v>1904</v>
      </c>
      <c r="F693" s="33" t="s">
        <v>1905</v>
      </c>
      <c r="G693" s="35">
        <v>46219</v>
      </c>
      <c r="H693" s="33" t="s">
        <v>1906</v>
      </c>
      <c r="I693" s="33" t="s">
        <v>2253</v>
      </c>
      <c r="J693" s="34">
        <v>500</v>
      </c>
      <c r="K693" s="33" t="s">
        <v>431</v>
      </c>
      <c r="L693" s="33" t="s">
        <v>2270</v>
      </c>
      <c r="M693" s="33" t="s">
        <v>1927</v>
      </c>
      <c r="N693" s="33" t="s">
        <v>1913</v>
      </c>
      <c r="O693" s="33" t="s">
        <v>435</v>
      </c>
    </row>
    <row r="694">
      <c r="A694" s="33" t="s">
        <v>2271</v>
      </c>
      <c r="B694" s="33" t="s">
        <v>309</v>
      </c>
      <c r="C694" s="35">
        <v>46109</v>
      </c>
      <c r="D694" s="33" t="s">
        <v>1903</v>
      </c>
      <c r="E694" s="33" t="s">
        <v>1904</v>
      </c>
      <c r="F694" s="33" t="s">
        <v>1905</v>
      </c>
      <c r="G694" s="35">
        <v>46219</v>
      </c>
      <c r="H694" s="33" t="s">
        <v>1906</v>
      </c>
      <c r="I694" s="33" t="s">
        <v>2253</v>
      </c>
      <c r="J694" s="34">
        <v>497</v>
      </c>
      <c r="K694" s="33" t="s">
        <v>431</v>
      </c>
      <c r="L694" s="33" t="s">
        <v>2272</v>
      </c>
      <c r="M694" s="33" t="s">
        <v>1927</v>
      </c>
      <c r="N694" s="33" t="s">
        <v>1913</v>
      </c>
      <c r="O694" s="33" t="s">
        <v>435</v>
      </c>
    </row>
    <row r="695">
      <c r="A695" s="33" t="s">
        <v>2273</v>
      </c>
      <c r="B695" s="33" t="s">
        <v>311</v>
      </c>
      <c r="C695" s="35">
        <v>46109</v>
      </c>
      <c r="D695" s="33" t="s">
        <v>1903</v>
      </c>
      <c r="E695" s="33" t="s">
        <v>1904</v>
      </c>
      <c r="F695" s="33" t="s">
        <v>1905</v>
      </c>
      <c r="G695" s="35">
        <v>46219</v>
      </c>
      <c r="H695" s="33" t="s">
        <v>1906</v>
      </c>
      <c r="I695" s="33" t="s">
        <v>2253</v>
      </c>
      <c r="J695" s="34">
        <v>713</v>
      </c>
      <c r="K695" s="33" t="s">
        <v>431</v>
      </c>
      <c r="L695" s="33" t="s">
        <v>2274</v>
      </c>
      <c r="M695" s="33" t="s">
        <v>1927</v>
      </c>
      <c r="N695" s="33" t="s">
        <v>1913</v>
      </c>
      <c r="O695" s="33" t="s">
        <v>435</v>
      </c>
    </row>
    <row r="696">
      <c r="A696" s="33" t="s">
        <v>2275</v>
      </c>
      <c r="B696" s="33" t="s">
        <v>313</v>
      </c>
      <c r="C696" s="35">
        <v>46109</v>
      </c>
      <c r="D696" s="33" t="s">
        <v>1903</v>
      </c>
      <c r="E696" s="33" t="s">
        <v>1904</v>
      </c>
      <c r="F696" s="33" t="s">
        <v>1905</v>
      </c>
      <c r="G696" s="35">
        <v>46219</v>
      </c>
      <c r="H696" s="33" t="s">
        <v>1906</v>
      </c>
      <c r="I696" s="33" t="s">
        <v>2253</v>
      </c>
      <c r="J696" s="34">
        <v>1485</v>
      </c>
      <c r="K696" s="33" t="s">
        <v>431</v>
      </c>
      <c r="L696" s="33" t="s">
        <v>2276</v>
      </c>
      <c r="M696" s="33" t="s">
        <v>1927</v>
      </c>
      <c r="N696" s="33" t="s">
        <v>1913</v>
      </c>
      <c r="O696" s="33" t="s">
        <v>435</v>
      </c>
    </row>
    <row r="697">
      <c r="A697" s="33" t="s">
        <v>2277</v>
      </c>
      <c r="B697" s="33" t="s">
        <v>315</v>
      </c>
      <c r="C697" s="35">
        <v>46109</v>
      </c>
      <c r="D697" s="33" t="s">
        <v>1903</v>
      </c>
      <c r="E697" s="33" t="s">
        <v>1904</v>
      </c>
      <c r="F697" s="33" t="s">
        <v>1905</v>
      </c>
      <c r="G697" s="35">
        <v>46219</v>
      </c>
      <c r="H697" s="33" t="s">
        <v>1906</v>
      </c>
      <c r="I697" s="33" t="s">
        <v>2253</v>
      </c>
      <c r="J697" s="34">
        <v>-34</v>
      </c>
      <c r="K697" s="33" t="s">
        <v>431</v>
      </c>
      <c r="L697" s="33" t="s">
        <v>2278</v>
      </c>
      <c r="M697" s="33" t="s">
        <v>1927</v>
      </c>
      <c r="N697" s="33" t="s">
        <v>1913</v>
      </c>
      <c r="O697" s="33" t="s">
        <v>435</v>
      </c>
    </row>
    <row r="698">
      <c r="A698" s="33" t="s">
        <v>2279</v>
      </c>
      <c r="B698" s="33" t="s">
        <v>317</v>
      </c>
      <c r="C698" s="35">
        <v>46109</v>
      </c>
      <c r="D698" s="33" t="s">
        <v>1903</v>
      </c>
      <c r="E698" s="33" t="s">
        <v>1904</v>
      </c>
      <c r="F698" s="33" t="s">
        <v>1905</v>
      </c>
      <c r="G698" s="35">
        <v>46219</v>
      </c>
      <c r="H698" s="33" t="s">
        <v>1906</v>
      </c>
      <c r="I698" s="33" t="s">
        <v>2253</v>
      </c>
      <c r="J698" s="34">
        <v>173</v>
      </c>
      <c r="K698" s="33" t="s">
        <v>431</v>
      </c>
      <c r="L698" s="33" t="s">
        <v>2280</v>
      </c>
      <c r="M698" s="33" t="s">
        <v>1927</v>
      </c>
      <c r="N698" s="33" t="s">
        <v>1913</v>
      </c>
      <c r="O698" s="33" t="s">
        <v>435</v>
      </c>
    </row>
    <row r="699">
      <c r="A699" s="33" t="s">
        <v>2281</v>
      </c>
      <c r="B699" s="33" t="s">
        <v>319</v>
      </c>
      <c r="C699" s="35">
        <v>46109</v>
      </c>
      <c r="D699" s="33" t="s">
        <v>1903</v>
      </c>
      <c r="E699" s="33" t="s">
        <v>1904</v>
      </c>
      <c r="F699" s="33" t="s">
        <v>1905</v>
      </c>
      <c r="G699" s="35">
        <v>46219</v>
      </c>
      <c r="H699" s="33" t="s">
        <v>1906</v>
      </c>
      <c r="I699" s="33" t="s">
        <v>2253</v>
      </c>
      <c r="J699" s="34">
        <v>235</v>
      </c>
      <c r="K699" s="33" t="s">
        <v>431</v>
      </c>
      <c r="L699" s="33" t="s">
        <v>2282</v>
      </c>
      <c r="M699" s="33" t="s">
        <v>1927</v>
      </c>
      <c r="N699" s="33" t="s">
        <v>1913</v>
      </c>
      <c r="O699" s="33" t="s">
        <v>435</v>
      </c>
    </row>
    <row r="700">
      <c r="A700" s="33" t="s">
        <v>2283</v>
      </c>
      <c r="B700" s="33" t="s">
        <v>320</v>
      </c>
      <c r="C700" s="35">
        <v>46109</v>
      </c>
      <c r="D700" s="33" t="s">
        <v>1903</v>
      </c>
      <c r="E700" s="33" t="s">
        <v>1904</v>
      </c>
      <c r="F700" s="33" t="s">
        <v>1905</v>
      </c>
      <c r="G700" s="35">
        <v>46219</v>
      </c>
      <c r="H700" s="33" t="s">
        <v>1906</v>
      </c>
      <c r="I700" s="33" t="s">
        <v>2253</v>
      </c>
      <c r="J700" s="34">
        <v>-41</v>
      </c>
      <c r="K700" s="33" t="s">
        <v>431</v>
      </c>
      <c r="L700" s="33" t="s">
        <v>2284</v>
      </c>
      <c r="M700" s="33" t="s">
        <v>1927</v>
      </c>
      <c r="N700" s="33" t="s">
        <v>1913</v>
      </c>
      <c r="O700" s="33" t="s">
        <v>435</v>
      </c>
    </row>
    <row r="701">
      <c r="A701" s="33" t="s">
        <v>2285</v>
      </c>
      <c r="B701" s="33" t="s">
        <v>74</v>
      </c>
      <c r="C701" s="35">
        <v>46109</v>
      </c>
      <c r="D701" s="33" t="s">
        <v>1903</v>
      </c>
      <c r="E701" s="33" t="s">
        <v>1904</v>
      </c>
      <c r="F701" s="33" t="s">
        <v>1905</v>
      </c>
      <c r="G701" s="35">
        <v>46219</v>
      </c>
      <c r="H701" s="33" t="s">
        <v>1906</v>
      </c>
      <c r="I701" s="33" t="s">
        <v>2286</v>
      </c>
      <c r="J701" s="34">
        <v>141</v>
      </c>
      <c r="K701" s="33" t="s">
        <v>431</v>
      </c>
      <c r="L701" s="33" t="s">
        <v>2287</v>
      </c>
      <c r="M701" s="33" t="s">
        <v>1927</v>
      </c>
      <c r="N701" s="33" t="s">
        <v>1913</v>
      </c>
      <c r="O701" s="33" t="s">
        <v>435</v>
      </c>
    </row>
    <row r="702">
      <c r="A702" s="33" t="s">
        <v>2288</v>
      </c>
      <c r="B702" s="33" t="s">
        <v>78</v>
      </c>
      <c r="C702" s="35">
        <v>46109</v>
      </c>
      <c r="D702" s="33" t="s">
        <v>1903</v>
      </c>
      <c r="E702" s="33" t="s">
        <v>1904</v>
      </c>
      <c r="F702" s="33" t="s">
        <v>1905</v>
      </c>
      <c r="G702" s="35">
        <v>46219</v>
      </c>
      <c r="H702" s="33" t="s">
        <v>1906</v>
      </c>
      <c r="I702" s="33" t="s">
        <v>2286</v>
      </c>
      <c r="J702" s="34">
        <v>7942</v>
      </c>
      <c r="K702" s="33" t="s">
        <v>431</v>
      </c>
      <c r="L702" s="33" t="s">
        <v>2289</v>
      </c>
      <c r="M702" s="33" t="s">
        <v>1927</v>
      </c>
      <c r="N702" s="33" t="s">
        <v>1913</v>
      </c>
      <c r="O702" s="33" t="s">
        <v>435</v>
      </c>
    </row>
    <row r="703">
      <c r="A703" s="33" t="s">
        <v>2290</v>
      </c>
      <c r="B703" s="33" t="s">
        <v>326</v>
      </c>
      <c r="C703" s="35">
        <v>46109</v>
      </c>
      <c r="D703" s="33" t="s">
        <v>1903</v>
      </c>
      <c r="E703" s="33" t="s">
        <v>1904</v>
      </c>
      <c r="F703" s="33" t="s">
        <v>1905</v>
      </c>
      <c r="G703" s="35">
        <v>46219</v>
      </c>
      <c r="H703" s="33" t="s">
        <v>1906</v>
      </c>
      <c r="I703" s="33" t="s">
        <v>2291</v>
      </c>
      <c r="J703" s="34">
        <v>7823</v>
      </c>
      <c r="K703" s="33" t="s">
        <v>431</v>
      </c>
      <c r="L703" s="33" t="s">
        <v>2292</v>
      </c>
      <c r="M703" s="33" t="s">
        <v>1927</v>
      </c>
      <c r="N703" s="33" t="s">
        <v>1913</v>
      </c>
      <c r="O703" s="33" t="s">
        <v>435</v>
      </c>
    </row>
    <row r="704">
      <c r="A704" s="33" t="s">
        <v>2293</v>
      </c>
      <c r="B704" s="33" t="s">
        <v>328</v>
      </c>
      <c r="C704" s="35">
        <v>46109</v>
      </c>
      <c r="D704" s="33" t="s">
        <v>1903</v>
      </c>
      <c r="E704" s="33" t="s">
        <v>1904</v>
      </c>
      <c r="F704" s="33" t="s">
        <v>1905</v>
      </c>
      <c r="G704" s="35">
        <v>46219</v>
      </c>
      <c r="H704" s="33" t="s">
        <v>1906</v>
      </c>
      <c r="I704" s="33" t="s">
        <v>2294</v>
      </c>
      <c r="J704" s="34">
        <v>8016</v>
      </c>
      <c r="K704" s="33" t="s">
        <v>431</v>
      </c>
      <c r="L704" s="33" t="s">
        <v>2295</v>
      </c>
      <c r="M704" s="33" t="s">
        <v>1927</v>
      </c>
      <c r="N704" s="33" t="s">
        <v>1913</v>
      </c>
      <c r="O704" s="33" t="s">
        <v>435</v>
      </c>
    </row>
    <row r="705">
      <c r="A705" s="33" t="s">
        <v>2296</v>
      </c>
      <c r="B705" s="33" t="s">
        <v>330</v>
      </c>
      <c r="C705" s="35">
        <v>46109</v>
      </c>
      <c r="D705" s="33" t="s">
        <v>1903</v>
      </c>
      <c r="E705" s="33" t="s">
        <v>1904</v>
      </c>
      <c r="F705" s="33" t="s">
        <v>1905</v>
      </c>
      <c r="G705" s="35">
        <v>46219</v>
      </c>
      <c r="H705" s="33" t="s">
        <v>1906</v>
      </c>
      <c r="I705" s="33" t="s">
        <v>2294</v>
      </c>
      <c r="J705" s="34">
        <v>0.049</v>
      </c>
      <c r="K705" s="33" t="s">
        <v>1471</v>
      </c>
      <c r="L705" s="33" t="s">
        <v>2297</v>
      </c>
      <c r="M705" s="33" t="s">
        <v>1927</v>
      </c>
      <c r="N705" s="33" t="s">
        <v>1913</v>
      </c>
      <c r="O705" s="33" t="s">
        <v>435</v>
      </c>
    </row>
    <row r="706">
      <c r="A706" s="33" t="s">
        <v>2298</v>
      </c>
      <c r="B706" s="33" t="s">
        <v>249</v>
      </c>
      <c r="C706" s="35">
        <v>46109</v>
      </c>
      <c r="D706" s="33" t="s">
        <v>1903</v>
      </c>
      <c r="E706" s="33" t="s">
        <v>1904</v>
      </c>
      <c r="F706" s="33" t="s">
        <v>1905</v>
      </c>
      <c r="G706" s="35">
        <v>46219</v>
      </c>
      <c r="H706" s="33" t="s">
        <v>1906</v>
      </c>
      <c r="I706" s="33" t="s">
        <v>2299</v>
      </c>
      <c r="J706" s="34">
        <v>500</v>
      </c>
      <c r="K706" s="33" t="s">
        <v>431</v>
      </c>
      <c r="L706" s="33" t="s">
        <v>2300</v>
      </c>
      <c r="M706" s="33" t="s">
        <v>1927</v>
      </c>
      <c r="N706" s="33" t="s">
        <v>1913</v>
      </c>
      <c r="O706" s="33" t="s">
        <v>435</v>
      </c>
    </row>
    <row r="707">
      <c r="A707" s="33" t="s">
        <v>2301</v>
      </c>
      <c r="B707" s="33" t="s">
        <v>334</v>
      </c>
      <c r="C707" s="35">
        <v>46109</v>
      </c>
      <c r="D707" s="33" t="s">
        <v>1679</v>
      </c>
      <c r="E707" s="33" t="s">
        <v>1680</v>
      </c>
      <c r="F707" s="33" t="s">
        <v>1681</v>
      </c>
      <c r="G707" s="35">
        <v>46219</v>
      </c>
      <c r="H707" s="33" t="s">
        <v>1469</v>
      </c>
      <c r="I707" s="33" t="s">
        <v>2302</v>
      </c>
      <c r="J707" s="34">
        <v>3700</v>
      </c>
      <c r="K707" s="33" t="s">
        <v>431</v>
      </c>
      <c r="L707" s="33" t="s">
        <v>2303</v>
      </c>
      <c r="M707" s="33" t="s">
        <v>1927</v>
      </c>
      <c r="N707" s="33" t="s">
        <v>2304</v>
      </c>
      <c r="O707" s="33" t="s">
        <v>435</v>
      </c>
    </row>
    <row r="708">
      <c r="A708" s="33" t="s">
        <v>2305</v>
      </c>
      <c r="B708" s="33" t="s">
        <v>336</v>
      </c>
      <c r="C708" s="35">
        <v>46109</v>
      </c>
      <c r="D708" s="33" t="s">
        <v>1679</v>
      </c>
      <c r="E708" s="33" t="s">
        <v>1680</v>
      </c>
      <c r="F708" s="33" t="s">
        <v>1681</v>
      </c>
      <c r="G708" s="35">
        <v>46219</v>
      </c>
      <c r="H708" s="33" t="s">
        <v>1469</v>
      </c>
      <c r="I708" s="33" t="s">
        <v>2302</v>
      </c>
      <c r="J708" s="34">
        <v>1000</v>
      </c>
      <c r="K708" s="33" t="s">
        <v>431</v>
      </c>
      <c r="L708" s="33" t="s">
        <v>2306</v>
      </c>
      <c r="M708" s="33" t="s">
        <v>1927</v>
      </c>
      <c r="N708" s="33" t="s">
        <v>2304</v>
      </c>
      <c r="O708" s="33" t="s">
        <v>435</v>
      </c>
    </row>
    <row r="709">
      <c r="A709" s="33" t="s">
        <v>2307</v>
      </c>
      <c r="B709" s="33" t="s">
        <v>338</v>
      </c>
      <c r="C709" s="35">
        <v>46109</v>
      </c>
      <c r="D709" s="33" t="s">
        <v>1903</v>
      </c>
      <c r="E709" s="33" t="s">
        <v>1904</v>
      </c>
      <c r="F709" s="33" t="s">
        <v>1905</v>
      </c>
      <c r="G709" s="35">
        <v>46219</v>
      </c>
      <c r="H709" s="33" t="s">
        <v>1906</v>
      </c>
      <c r="I709" s="33" t="s">
        <v>2286</v>
      </c>
      <c r="J709" s="34">
        <v>2500</v>
      </c>
      <c r="K709" s="33" t="s">
        <v>431</v>
      </c>
      <c r="L709" s="33" t="s">
        <v>2308</v>
      </c>
      <c r="M709" s="33" t="s">
        <v>1927</v>
      </c>
      <c r="N709" s="33" t="s">
        <v>1913</v>
      </c>
      <c r="O709" s="33" t="s">
        <v>435</v>
      </c>
    </row>
    <row r="710">
      <c r="A710" s="33" t="s">
        <v>2309</v>
      </c>
      <c r="B710" s="33" t="s">
        <v>340</v>
      </c>
      <c r="C710" s="35">
        <v>46109</v>
      </c>
      <c r="D710" s="33" t="s">
        <v>1903</v>
      </c>
      <c r="E710" s="33" t="s">
        <v>1904</v>
      </c>
      <c r="F710" s="33" t="s">
        <v>1905</v>
      </c>
      <c r="G710" s="35">
        <v>46219</v>
      </c>
      <c r="H710" s="33" t="s">
        <v>1906</v>
      </c>
      <c r="I710" s="33" t="s">
        <v>2286</v>
      </c>
      <c r="J710" s="34">
        <v>0</v>
      </c>
      <c r="K710" s="33" t="s">
        <v>431</v>
      </c>
      <c r="L710" s="33" t="s">
        <v>2310</v>
      </c>
      <c r="M710" s="33" t="s">
        <v>1927</v>
      </c>
      <c r="N710" s="33" t="s">
        <v>1913</v>
      </c>
      <c r="O710" s="33" t="s">
        <v>435</v>
      </c>
    </row>
    <row r="711">
      <c r="A711" s="33" t="s">
        <v>2311</v>
      </c>
      <c r="B711" s="33" t="s">
        <v>341</v>
      </c>
      <c r="C711" s="35">
        <v>46109</v>
      </c>
      <c r="D711" s="33" t="s">
        <v>1903</v>
      </c>
      <c r="E711" s="33" t="s">
        <v>1904</v>
      </c>
      <c r="F711" s="33" t="s">
        <v>1905</v>
      </c>
      <c r="G711" s="35">
        <v>46219</v>
      </c>
      <c r="H711" s="33" t="s">
        <v>1906</v>
      </c>
      <c r="I711" s="33" t="s">
        <v>2286</v>
      </c>
      <c r="J711" s="34">
        <v>750</v>
      </c>
      <c r="K711" s="33" t="s">
        <v>431</v>
      </c>
      <c r="L711" s="33" t="s">
        <v>2312</v>
      </c>
      <c r="M711" s="33" t="s">
        <v>1927</v>
      </c>
      <c r="N711" s="33" t="s">
        <v>1913</v>
      </c>
      <c r="O711" s="33" t="s">
        <v>435</v>
      </c>
    </row>
    <row r="712">
      <c r="A712" s="33" t="s">
        <v>2313</v>
      </c>
      <c r="B712" s="33" t="s">
        <v>342</v>
      </c>
      <c r="C712" s="35">
        <v>46109</v>
      </c>
      <c r="D712" s="33" t="s">
        <v>1903</v>
      </c>
      <c r="E712" s="33" t="s">
        <v>1904</v>
      </c>
      <c r="F712" s="33" t="s">
        <v>1905</v>
      </c>
      <c r="G712" s="35">
        <v>46219</v>
      </c>
      <c r="H712" s="33" t="s">
        <v>1906</v>
      </c>
      <c r="I712" s="33" t="s">
        <v>2286</v>
      </c>
      <c r="J712" s="34">
        <v>0</v>
      </c>
      <c r="K712" s="33" t="s">
        <v>431</v>
      </c>
      <c r="L712" s="33" t="s">
        <v>2314</v>
      </c>
      <c r="M712" s="33" t="s">
        <v>1927</v>
      </c>
      <c r="N712" s="33" t="s">
        <v>1913</v>
      </c>
      <c r="O712" s="33" t="s">
        <v>435</v>
      </c>
    </row>
    <row r="713">
      <c r="A713" s="33" t="s">
        <v>2315</v>
      </c>
      <c r="B713" s="33" t="s">
        <v>249</v>
      </c>
      <c r="C713" s="35">
        <v>46109</v>
      </c>
      <c r="D713" s="33" t="s">
        <v>1903</v>
      </c>
      <c r="E713" s="33" t="s">
        <v>1904</v>
      </c>
      <c r="F713" s="33" t="s">
        <v>1905</v>
      </c>
      <c r="G713" s="35">
        <v>46219</v>
      </c>
      <c r="H713" s="33" t="s">
        <v>1906</v>
      </c>
      <c r="I713" s="33" t="s">
        <v>2316</v>
      </c>
      <c r="J713" s="34">
        <v>500</v>
      </c>
      <c r="K713" s="33" t="s">
        <v>431</v>
      </c>
      <c r="L713" s="33" t="s">
        <v>2317</v>
      </c>
      <c r="M713" s="33" t="s">
        <v>1313</v>
      </c>
      <c r="N713" s="33" t="s">
        <v>1913</v>
      </c>
      <c r="O713" s="33" t="s">
        <v>435</v>
      </c>
    </row>
    <row r="714">
      <c r="A714" s="33" t="s">
        <v>2318</v>
      </c>
      <c r="B714" s="33" t="s">
        <v>389</v>
      </c>
      <c r="C714" s="35">
        <v>46109</v>
      </c>
      <c r="D714" s="33" t="s">
        <v>1903</v>
      </c>
      <c r="E714" s="33" t="s">
        <v>1904</v>
      </c>
      <c r="F714" s="33" t="s">
        <v>1905</v>
      </c>
      <c r="G714" s="35">
        <v>46219</v>
      </c>
      <c r="H714" s="33" t="s">
        <v>1906</v>
      </c>
      <c r="I714" s="33" t="s">
        <v>2319</v>
      </c>
      <c r="J714" s="34">
        <v>8083</v>
      </c>
      <c r="K714" s="33" t="s">
        <v>431</v>
      </c>
      <c r="L714" s="33" t="s">
        <v>2320</v>
      </c>
      <c r="M714" s="33" t="s">
        <v>1313</v>
      </c>
      <c r="N714" s="33" t="s">
        <v>1913</v>
      </c>
      <c r="O714" s="33" t="s">
        <v>435</v>
      </c>
    </row>
    <row r="715">
      <c r="A715" s="33" t="s">
        <v>2321</v>
      </c>
      <c r="B715" s="33" t="s">
        <v>332</v>
      </c>
      <c r="C715" s="35">
        <v>46109</v>
      </c>
      <c r="D715" s="33" t="s">
        <v>1903</v>
      </c>
      <c r="E715" s="33" t="s">
        <v>1904</v>
      </c>
      <c r="F715" s="33" t="s">
        <v>1905</v>
      </c>
      <c r="G715" s="35">
        <v>46219</v>
      </c>
      <c r="H715" s="33" t="s">
        <v>1906</v>
      </c>
      <c r="I715" s="33" t="s">
        <v>2322</v>
      </c>
      <c r="J715" s="34">
        <v>7583</v>
      </c>
      <c r="K715" s="33" t="s">
        <v>431</v>
      </c>
      <c r="L715" s="33" t="s">
        <v>2323</v>
      </c>
      <c r="M715" s="33" t="s">
        <v>2322</v>
      </c>
      <c r="N715" s="33" t="s">
        <v>2324</v>
      </c>
      <c r="O715" s="33" t="s">
        <v>1009</v>
      </c>
    </row>
    <row r="716">
      <c r="A716" s="33" t="s">
        <v>2325</v>
      </c>
      <c r="B716" s="33" t="s">
        <v>390</v>
      </c>
      <c r="C716" s="35">
        <v>46109</v>
      </c>
      <c r="D716" s="33" t="s">
        <v>1903</v>
      </c>
      <c r="E716" s="33" t="s">
        <v>1904</v>
      </c>
      <c r="F716" s="33" t="s">
        <v>1905</v>
      </c>
      <c r="G716" s="35">
        <v>46219</v>
      </c>
      <c r="H716" s="33" t="s">
        <v>1906</v>
      </c>
      <c r="I716" s="33" t="s">
        <v>2316</v>
      </c>
      <c r="J716" s="34">
        <v>103</v>
      </c>
      <c r="K716" s="33" t="s">
        <v>431</v>
      </c>
      <c r="L716" s="33" t="s">
        <v>2326</v>
      </c>
      <c r="M716" s="33" t="s">
        <v>1313</v>
      </c>
      <c r="N716" s="33" t="s">
        <v>1913</v>
      </c>
      <c r="O716" s="33" t="s">
        <v>435</v>
      </c>
    </row>
    <row r="717">
      <c r="A717" s="33" t="s">
        <v>2327</v>
      </c>
      <c r="B717" s="33" t="s">
        <v>2328</v>
      </c>
      <c r="C717" s="35">
        <v>46109</v>
      </c>
      <c r="D717" s="33" t="s">
        <v>1903</v>
      </c>
      <c r="E717" s="33" t="s">
        <v>1904</v>
      </c>
      <c r="F717" s="33" t="s">
        <v>1905</v>
      </c>
      <c r="G717" s="35">
        <v>46219</v>
      </c>
      <c r="H717" s="33" t="s">
        <v>1906</v>
      </c>
      <c r="I717" s="33" t="s">
        <v>2329</v>
      </c>
      <c r="J717" s="34">
        <v>282.120397</v>
      </c>
      <c r="K717" s="33" t="s">
        <v>1907</v>
      </c>
      <c r="L717" s="33" t="s">
        <v>2330</v>
      </c>
      <c r="M717" s="33" t="s">
        <v>1313</v>
      </c>
      <c r="N717" s="33" t="s">
        <v>1913</v>
      </c>
      <c r="O717" s="33" t="s">
        <v>435</v>
      </c>
    </row>
    <row r="718">
      <c r="A718" s="33" t="s">
        <v>2331</v>
      </c>
      <c r="B718" s="33" t="s">
        <v>2332</v>
      </c>
      <c r="C718" s="35">
        <v>46109</v>
      </c>
      <c r="D718" s="33" t="s">
        <v>1903</v>
      </c>
      <c r="E718" s="33" t="s">
        <v>1904</v>
      </c>
      <c r="F718" s="33" t="s">
        <v>1905</v>
      </c>
      <c r="G718" s="35">
        <v>46219</v>
      </c>
      <c r="H718" s="33" t="s">
        <v>1906</v>
      </c>
      <c r="I718" s="33" t="s">
        <v>2329</v>
      </c>
      <c r="J718" s="34">
        <v>70.009005</v>
      </c>
      <c r="K718" s="33" t="s">
        <v>1907</v>
      </c>
      <c r="L718" s="33" t="s">
        <v>2333</v>
      </c>
      <c r="M718" s="33" t="s">
        <v>1313</v>
      </c>
      <c r="N718" s="33" t="s">
        <v>1913</v>
      </c>
      <c r="O718" s="33" t="s">
        <v>435</v>
      </c>
    </row>
  </sheetData>
  <mergeCells count="2">
    <mergeCell ref="A1:N1"/>
    <mergeCell ref="A2:N2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G81"/>
  <sheetViews>
    <sheetView showGridLines="0" workbookViewId="0">
      <pane xSplit="1" ySplit="4" topLeftCell="B5" activePane="bottomRight" state="frozen"/>
    </sheetView>
  </sheetViews>
  <sheetFormatPr defaultColWidth="8.375" defaultRowHeight="15"/>
  <cols>
    <col min="1" max="1" width="28.125" customWidth="1"/>
    <col min="2" max="4" width="13.125" customWidth="1"/>
    <col min="5" max="5" width="10.625" customWidth="1"/>
    <col min="6" max="6" width="8.75" customWidth="1"/>
    <col min="7" max="7" width="38.125" customWidth="1"/>
  </cols>
  <sheetData>
    <row r="1" ht="22.5">
      <c r="A1" s="5" t="s">
        <v>2334</v>
      </c>
      <c r="B1" s="5"/>
      <c r="C1" s="5"/>
      <c r="D1" s="5"/>
      <c r="E1" s="5"/>
      <c r="F1" s="5"/>
      <c r="G1" s="5"/>
    </row>
    <row r="2" ht="22.5">
      <c r="A2" s="7" t="s">
        <v>2335</v>
      </c>
      <c r="B2" s="7"/>
      <c r="C2" s="7"/>
      <c r="D2" s="7"/>
      <c r="E2" s="7"/>
      <c r="F2" s="7"/>
      <c r="G2" s="7"/>
    </row>
    <row r="3">
      <c r="A3" s="29" t="s">
        <v>2336</v>
      </c>
      <c r="B3" s="29" t="str">
        <f>IF(COUNTIF(F6:F81,"OK")=COUNTA(A6:A81),"OK","FAIL")</f>
        <v>OK</v>
      </c>
    </row>
    <row r="4">
      <c r="A4" s="6" t="s">
        <v>2337</v>
      </c>
      <c r="B4" s="6" t="s">
        <v>2338</v>
      </c>
      <c r="C4" s="6" t="s">
        <v>2339</v>
      </c>
      <c r="D4" s="6" t="s">
        <v>2340</v>
      </c>
      <c r="E4" s="6" t="s">
        <v>2341</v>
      </c>
      <c r="F4" s="6" t="s">
        <v>348</v>
      </c>
      <c r="G4" s="6" t="s">
        <v>2342</v>
      </c>
    </row>
    <row r="6">
      <c r="A6" t="s">
        <v>2343</v>
      </c>
      <c r="B6" s="8">
        <f>Historical_IS!B9</f>
        <v>6526</v>
      </c>
      <c r="C6" s="8">
        <f>Historical_IS!B7-Historical_IS!B8</f>
        <v>6526</v>
      </c>
      <c r="D6" s="8">
        <f>B6-C6</f>
        <v>0</v>
      </c>
      <c r="E6" s="24">
        <v>0.5</v>
      </c>
      <c r="F6" s="8" t="str">
        <f>IF(ABS(D6)&lt;=E6,"OK","FAIL")</f>
        <v>OK</v>
      </c>
    </row>
    <row r="7">
      <c r="A7" t="s">
        <v>2344</v>
      </c>
      <c r="B7" s="8">
        <f>Historical_BS!B16</f>
        <v>36309</v>
      </c>
      <c r="C7" s="8">
        <f>Historical_BS!B30</f>
        <v>36309</v>
      </c>
      <c r="D7" s="8">
        <f>B7-C7</f>
        <v>0</v>
      </c>
      <c r="E7" s="24">
        <v>0.5</v>
      </c>
      <c r="F7" s="8" t="str">
        <f>IF(ABS(D7)&lt;=E7,"OK","FAIL")</f>
        <v>OK</v>
      </c>
    </row>
    <row r="8">
      <c r="A8" t="s">
        <v>2345</v>
      </c>
      <c r="B8" s="8">
        <f>Segment_Build!B13</f>
        <v>47049</v>
      </c>
      <c r="C8" s="8">
        <f>Historical_IS!B7</f>
        <v>47049</v>
      </c>
      <c r="D8" s="8">
        <f>B8-C8</f>
        <v>0</v>
      </c>
      <c r="E8" s="24">
        <v>0.5</v>
      </c>
      <c r="F8" s="8" t="str">
        <f>IF(ABS(D8)&lt;=E8,"OK","FAIL")</f>
        <v>OK</v>
      </c>
    </row>
    <row r="9">
      <c r="A9" t="s">
        <v>2346</v>
      </c>
      <c r="B9" s="8">
        <f>Segment_Build!B24</f>
        <v>4396</v>
      </c>
      <c r="C9" s="8">
        <f>Historical_IS!B12</f>
        <v>4396</v>
      </c>
      <c r="D9" s="8">
        <f>B9-C9</f>
        <v>0</v>
      </c>
      <c r="E9" s="24">
        <v>0.5</v>
      </c>
      <c r="F9" s="8" t="str">
        <f>IF(ABS(D9)&lt;=E9,"OK","FAIL")</f>
        <v>OK</v>
      </c>
    </row>
    <row r="10">
      <c r="A10" t="s">
        <v>2347</v>
      </c>
      <c r="B10" s="8">
        <f>Historical_IS!C9</f>
        <v>6668</v>
      </c>
      <c r="C10" s="8">
        <f>Historical_IS!C7-Historical_IS!C8</f>
        <v>6668</v>
      </c>
      <c r="D10" s="8">
        <f>B10-C10</f>
        <v>0</v>
      </c>
      <c r="E10" s="24">
        <v>0.5</v>
      </c>
      <c r="F10" s="8" t="str">
        <f>IF(ABS(D10)&lt;=E10,"OK","FAIL")</f>
        <v>OK</v>
      </c>
    </row>
    <row r="11">
      <c r="A11" t="s">
        <v>2348</v>
      </c>
      <c r="B11" s="8">
        <f>Historical_BS!C16</f>
        <v>36821</v>
      </c>
      <c r="C11" s="8">
        <f>Historical_BS!C30</f>
        <v>36821</v>
      </c>
      <c r="D11" s="8">
        <f>B11-C11</f>
        <v>0</v>
      </c>
      <c r="E11" s="24">
        <v>0.5</v>
      </c>
      <c r="F11" s="8" t="str">
        <f>IF(ABS(D11)&lt;=E11,"OK","FAIL")</f>
        <v>OK</v>
      </c>
    </row>
    <row r="12">
      <c r="A12" t="s">
        <v>2349</v>
      </c>
      <c r="B12" s="8">
        <f>Segment_Build!C13</f>
        <v>53282</v>
      </c>
      <c r="C12" s="8">
        <f>Historical_IS!C7</f>
        <v>53282</v>
      </c>
      <c r="D12" s="8">
        <f>B12-C12</f>
        <v>0</v>
      </c>
      <c r="E12" s="24">
        <v>0.5</v>
      </c>
      <c r="F12" s="8" t="str">
        <f>IF(ABS(D12)&lt;=E12,"OK","FAIL")</f>
        <v>OK</v>
      </c>
    </row>
    <row r="13">
      <c r="A13" t="s">
        <v>2350</v>
      </c>
      <c r="B13" s="8">
        <f>Segment_Build!C24</f>
        <v>4410</v>
      </c>
      <c r="C13" s="8">
        <f>Historical_IS!C12</f>
        <v>4410</v>
      </c>
      <c r="D13" s="8">
        <f>B13-C13</f>
        <v>0</v>
      </c>
      <c r="E13" s="24">
        <v>0.5</v>
      </c>
      <c r="F13" s="8" t="str">
        <f>IF(ABS(D13)&lt;=E13,"OK","FAIL")</f>
        <v>OK</v>
      </c>
    </row>
    <row r="14">
      <c r="A14" t="s">
        <v>2351</v>
      </c>
      <c r="B14" s="8">
        <f>Historical_IS!D9</f>
        <v>2631</v>
      </c>
      <c r="C14" s="8">
        <f>Historical_IS!D7-Historical_IS!D8</f>
        <v>2631</v>
      </c>
      <c r="D14" s="8">
        <f>B14-C14</f>
        <v>0</v>
      </c>
      <c r="E14" s="24">
        <v>0.5</v>
      </c>
      <c r="F14" s="8" t="str">
        <f>IF(ABS(D14)&lt;=E14,"OK","FAIL")</f>
        <v>OK</v>
      </c>
    </row>
    <row r="15">
      <c r="A15" t="s">
        <v>2352</v>
      </c>
      <c r="B15" s="8">
        <f>Historical_BS!D16</f>
        <v>36251</v>
      </c>
      <c r="C15" s="8">
        <f>Historical_BS!D30</f>
        <v>36251</v>
      </c>
      <c r="D15" s="8">
        <f>B15-C15</f>
        <v>0</v>
      </c>
      <c r="E15" s="24">
        <v>0.5</v>
      </c>
      <c r="F15" s="8" t="str">
        <f>IF(ABS(D15)&lt;=E15,"OK","FAIL")</f>
        <v>OK</v>
      </c>
    </row>
    <row r="16">
      <c r="A16" t="s">
        <v>2353</v>
      </c>
      <c r="B16" s="8">
        <f>Segment_Build!D13</f>
        <v>52881</v>
      </c>
      <c r="C16" s="8">
        <f>Historical_IS!D7</f>
        <v>52881</v>
      </c>
      <c r="D16" s="8">
        <f>B16-C16</f>
        <v>0</v>
      </c>
      <c r="E16" s="24">
        <v>0.5</v>
      </c>
      <c r="F16" s="8" t="str">
        <f>IF(ABS(D16)&lt;=E16,"OK","FAIL")</f>
        <v>OK</v>
      </c>
    </row>
    <row r="17">
      <c r="A17" t="s">
        <v>2354</v>
      </c>
      <c r="B17" s="8">
        <f>Segment_Build!D24</f>
        <v>-395</v>
      </c>
      <c r="C17" s="8">
        <f>Historical_IS!D12</f>
        <v>-395</v>
      </c>
      <c r="D17" s="8">
        <f>B17-C17</f>
        <v>0</v>
      </c>
      <c r="E17" s="24">
        <v>0.5</v>
      </c>
      <c r="F17" s="8" t="str">
        <f>IF(ABS(D17)&lt;=E17,"OK","FAIL")</f>
        <v>OK</v>
      </c>
    </row>
    <row r="18">
      <c r="A18" t="s">
        <v>2355</v>
      </c>
      <c r="B18" s="8">
        <f>Historical_IS!E9</f>
        <v>3627</v>
      </c>
      <c r="C18" s="8">
        <f>Historical_IS!E7-Historical_IS!E8</f>
        <v>3627</v>
      </c>
      <c r="D18" s="8">
        <f>B18-C18</f>
        <v>0</v>
      </c>
      <c r="E18" s="24">
        <v>0.5</v>
      </c>
      <c r="F18" s="8" t="str">
        <f>IF(ABS(D18)&lt;=E18,"OK","FAIL")</f>
        <v>OK</v>
      </c>
    </row>
    <row r="19">
      <c r="A19" t="s">
        <v>2356</v>
      </c>
      <c r="B19" s="8">
        <f>Historical_BS!E16</f>
        <v>37100</v>
      </c>
      <c r="C19" s="8">
        <f>Historical_BS!E30</f>
        <v>37100</v>
      </c>
      <c r="D19" s="8">
        <f>B19-C19</f>
        <v>0</v>
      </c>
      <c r="E19" s="24">
        <v>0.5</v>
      </c>
      <c r="F19" s="8" t="str">
        <f>IF(ABS(D19)&lt;=E19,"OK","FAIL")</f>
        <v>OK</v>
      </c>
    </row>
    <row r="20">
      <c r="A20" t="s">
        <v>2357</v>
      </c>
      <c r="B20" s="8">
        <f>Segment_Build!E13</f>
        <v>53309</v>
      </c>
      <c r="C20" s="8">
        <f>Historical_IS!E7</f>
        <v>53309</v>
      </c>
      <c r="D20" s="8">
        <f>B20-C20</f>
        <v>0</v>
      </c>
      <c r="E20" s="24">
        <v>0.5</v>
      </c>
      <c r="F20" s="8" t="str">
        <f>IF(ABS(D20)&lt;=E20,"OK","FAIL")</f>
        <v>OK</v>
      </c>
    </row>
    <row r="21">
      <c r="A21" t="s">
        <v>2358</v>
      </c>
      <c r="B21" s="8">
        <f>Segment_Build!E24</f>
        <v>1409</v>
      </c>
      <c r="C21" s="8">
        <f>Historical_IS!E12</f>
        <v>1409</v>
      </c>
      <c r="D21" s="8">
        <f>B21-C21</f>
        <v>0</v>
      </c>
      <c r="E21" s="24">
        <v>0.5</v>
      </c>
      <c r="F21" s="8" t="str">
        <f>IF(ABS(D21)&lt;=E21,"OK","FAIL")</f>
        <v>OK</v>
      </c>
    </row>
    <row r="22">
      <c r="A22" t="s">
        <v>2359</v>
      </c>
      <c r="B22" s="8">
        <f>Historical_IS!F9</f>
        <v>3562</v>
      </c>
      <c r="C22" s="8">
        <f>Historical_IS!F7-Historical_IS!F8</f>
        <v>3562</v>
      </c>
      <c r="D22" s="8">
        <f>B22-C22</f>
        <v>0</v>
      </c>
      <c r="E22" s="24">
        <v>0.5</v>
      </c>
      <c r="F22" s="8" t="str">
        <f>IF(ABS(D22)&lt;=E22,"OK","FAIL")</f>
        <v>OK</v>
      </c>
    </row>
    <row r="23">
      <c r="A23" t="s">
        <v>2360</v>
      </c>
      <c r="B23" s="8">
        <f>Historical_BS!F16</f>
        <v>36658</v>
      </c>
      <c r="C23" s="8">
        <f>Historical_BS!F30</f>
        <v>36658</v>
      </c>
      <c r="D23" s="8">
        <f>B23-C23</f>
        <v>0</v>
      </c>
      <c r="E23" s="24">
        <v>0.5</v>
      </c>
      <c r="F23" s="8" t="str">
        <f>IF(ABS(D23)&lt;=E23,"OK","FAIL")</f>
        <v>OK</v>
      </c>
    </row>
    <row r="24">
      <c r="A24" t="s">
        <v>2361</v>
      </c>
      <c r="B24" s="8">
        <f>Segment_Build!F13</f>
        <v>54441</v>
      </c>
      <c r="C24" s="8">
        <f>Historical_IS!F7</f>
        <v>54441</v>
      </c>
      <c r="D24" s="8">
        <f>B24-C24</f>
        <v>0</v>
      </c>
      <c r="E24" s="24">
        <v>0.5</v>
      </c>
      <c r="F24" s="8" t="str">
        <f>IF(ABS(D24)&lt;=E24,"OK","FAIL")</f>
        <v>OK</v>
      </c>
    </row>
    <row r="25">
      <c r="A25" t="s">
        <v>2362</v>
      </c>
      <c r="B25" s="8">
        <f>Segment_Build!F24</f>
        <v>1098</v>
      </c>
      <c r="C25" s="8">
        <f>Historical_IS!F12</f>
        <v>1098</v>
      </c>
      <c r="D25" s="8">
        <f>B25-C25</f>
        <v>0</v>
      </c>
      <c r="E25" s="24">
        <v>0.5</v>
      </c>
      <c r="F25" s="8" t="str">
        <f>IF(ABS(D25)&lt;=E25,"OK","FAIL")</f>
        <v>OK</v>
      </c>
    </row>
    <row r="26">
      <c r="A26" t="s">
        <v>2363</v>
      </c>
      <c r="B26" s="8">
        <f>Forecast_3Stmt!C48</f>
        <v>0</v>
      </c>
      <c r="C26" s="8">
        <v>0</v>
      </c>
      <c r="D26" s="8">
        <f>B26-C26</f>
        <v>0</v>
      </c>
      <c r="E26" s="24">
        <v>0.5</v>
      </c>
      <c r="F26" s="8" t="str">
        <f>IF(ABS(D26)&lt;=E26,"OK","FAIL")</f>
        <v>OK</v>
      </c>
      <c r="G26" t="s">
        <v>2364</v>
      </c>
    </row>
    <row r="27">
      <c r="A27" t="s">
        <v>2365</v>
      </c>
      <c r="B27" s="8">
        <f>MIN(Schedules!C37,0)</f>
        <v>0</v>
      </c>
      <c r="C27" s="8">
        <v>0</v>
      </c>
      <c r="D27" s="8">
        <f>B27-C27</f>
        <v>0</v>
      </c>
      <c r="E27" s="24">
        <v>0.5</v>
      </c>
      <c r="F27" s="8" t="str">
        <f>IF(ABS(D27)&lt;=E27,"OK","FAIL")</f>
        <v>OK</v>
      </c>
      <c r="G27" t="s">
        <v>2366</v>
      </c>
    </row>
    <row r="28">
      <c r="A28" t="s">
        <v>2367</v>
      </c>
      <c r="B28" s="8">
        <f>MIN(Schedules!C30,0)</f>
        <v>0</v>
      </c>
      <c r="C28" s="8">
        <v>0</v>
      </c>
      <c r="D28" s="8">
        <f>B28-C28</f>
        <v>0</v>
      </c>
      <c r="E28" s="24">
        <v>0</v>
      </c>
      <c r="F28" s="8" t="str">
        <f>IF(ABS(D28)&lt;=E28,"OK","FAIL")</f>
        <v>OK</v>
      </c>
      <c r="G28" t="s">
        <v>2368</v>
      </c>
    </row>
    <row r="29">
      <c r="A29" t="s">
        <v>2369</v>
      </c>
      <c r="B29" s="8">
        <f>DCF!C15</f>
        <v>1385.5240329467447</v>
      </c>
      <c r="C29" s="8">
        <f>DCF!C11+DCF!C12-DCF!C13-DCF!C14</f>
        <v>1385.5240329467447</v>
      </c>
      <c r="D29" s="8">
        <f>B29-C29</f>
        <v>0</v>
      </c>
      <c r="E29" s="24">
        <v>0.5</v>
      </c>
      <c r="F29" s="8" t="str">
        <f>IF(ABS(D29)&lt;=E29,"OK","FAIL")</f>
        <v>OK</v>
      </c>
    </row>
    <row r="30">
      <c r="A30" t="s">
        <v>2370</v>
      </c>
      <c r="B30" s="8">
        <f>Schedules!C41</f>
        <v>18852.342524660617</v>
      </c>
      <c r="C30" s="8">
        <f>Schedules!C38+Schedules!C39+Schedules!C40</f>
        <v>18852.342524660617</v>
      </c>
      <c r="D30" s="8">
        <f>B30-C30</f>
        <v>0</v>
      </c>
      <c r="E30" s="24">
        <v>0.5</v>
      </c>
      <c r="F30" s="8" t="str">
        <f>IF(ABS(D30)&lt;=E30,"OK","FAIL")</f>
        <v>OK</v>
      </c>
    </row>
    <row r="31">
      <c r="A31" t="s">
        <v>2371</v>
      </c>
      <c r="B31" s="8">
        <f>Forecast_3Stmt!D48</f>
        <v>0</v>
      </c>
      <c r="C31" s="8">
        <v>0</v>
      </c>
      <c r="D31" s="8">
        <f>B31-C31</f>
        <v>0</v>
      </c>
      <c r="E31" s="24">
        <v>0.5</v>
      </c>
      <c r="F31" s="8" t="str">
        <f>IF(ABS(D31)&lt;=E31,"OK","FAIL")</f>
        <v>OK</v>
      </c>
      <c r="G31" t="s">
        <v>2364</v>
      </c>
    </row>
    <row r="32">
      <c r="A32" t="s">
        <v>2372</v>
      </c>
      <c r="B32" s="8">
        <f>MIN(Schedules!D37,0)</f>
        <v>0</v>
      </c>
      <c r="C32" s="8">
        <v>0</v>
      </c>
      <c r="D32" s="8">
        <f>B32-C32</f>
        <v>0</v>
      </c>
      <c r="E32" s="24">
        <v>0.5</v>
      </c>
      <c r="F32" s="8" t="str">
        <f>IF(ABS(D32)&lt;=E32,"OK","FAIL")</f>
        <v>OK</v>
      </c>
      <c r="G32" t="s">
        <v>2366</v>
      </c>
    </row>
    <row r="33">
      <c r="A33" t="s">
        <v>2373</v>
      </c>
      <c r="B33" s="8">
        <f>MIN(Schedules!D30,0)</f>
        <v>0</v>
      </c>
      <c r="C33" s="8">
        <v>0</v>
      </c>
      <c r="D33" s="8">
        <f>B33-C33</f>
        <v>0</v>
      </c>
      <c r="E33" s="24">
        <v>0</v>
      </c>
      <c r="F33" s="8" t="str">
        <f>IF(ABS(D33)&lt;=E33,"OK","FAIL")</f>
        <v>OK</v>
      </c>
      <c r="G33" t="s">
        <v>2368</v>
      </c>
    </row>
    <row r="34">
      <c r="A34" t="s">
        <v>2374</v>
      </c>
      <c r="B34" s="8">
        <f>DCF!D15</f>
        <v>2643.921289256063</v>
      </c>
      <c r="C34" s="8">
        <f>DCF!D11+DCF!D12-DCF!D13-DCF!D14</f>
        <v>2643.921289256063</v>
      </c>
      <c r="D34" s="8">
        <f>B34-C34</f>
        <v>0</v>
      </c>
      <c r="E34" s="24">
        <v>0.5</v>
      </c>
      <c r="F34" s="8" t="str">
        <f>IF(ABS(D34)&lt;=E34,"OK","FAIL")</f>
        <v>OK</v>
      </c>
    </row>
    <row r="35">
      <c r="A35" t="s">
        <v>2375</v>
      </c>
      <c r="B35" s="8">
        <f>Schedules!D41</f>
        <v>19785.11167630084</v>
      </c>
      <c r="C35" s="8">
        <f>Schedules!D38+Schedules!D39+Schedules!D40</f>
        <v>19785.11167630084</v>
      </c>
      <c r="D35" s="8">
        <f>B35-C35</f>
        <v>0</v>
      </c>
      <c r="E35" s="24">
        <v>0.5</v>
      </c>
      <c r="F35" s="8" t="str">
        <f>IF(ABS(D35)&lt;=E35,"OK","FAIL")</f>
        <v>OK</v>
      </c>
    </row>
    <row r="36">
      <c r="A36" t="s">
        <v>2376</v>
      </c>
      <c r="B36" s="8">
        <f>Forecast_3Stmt!E48</f>
        <v>0</v>
      </c>
      <c r="C36" s="8">
        <v>0</v>
      </c>
      <c r="D36" s="8">
        <f>B36-C36</f>
        <v>0</v>
      </c>
      <c r="E36" s="24">
        <v>0.5</v>
      </c>
      <c r="F36" s="8" t="str">
        <f>IF(ABS(D36)&lt;=E36,"OK","FAIL")</f>
        <v>OK</v>
      </c>
      <c r="G36" t="s">
        <v>2364</v>
      </c>
    </row>
    <row r="37">
      <c r="A37" t="s">
        <v>2377</v>
      </c>
      <c r="B37" s="8">
        <f>MIN(Schedules!E37,0)</f>
        <v>0</v>
      </c>
      <c r="C37" s="8">
        <v>0</v>
      </c>
      <c r="D37" s="8">
        <f>B37-C37</f>
        <v>0</v>
      </c>
      <c r="E37" s="24">
        <v>0.5</v>
      </c>
      <c r="F37" s="8" t="str">
        <f>IF(ABS(D37)&lt;=E37,"OK","FAIL")</f>
        <v>OK</v>
      </c>
      <c r="G37" t="s">
        <v>2366</v>
      </c>
    </row>
    <row r="38">
      <c r="A38" t="s">
        <v>2378</v>
      </c>
      <c r="B38" s="8">
        <f>MIN(Schedules!E30,0)</f>
        <v>0</v>
      </c>
      <c r="C38" s="8">
        <v>0</v>
      </c>
      <c r="D38" s="8">
        <f>B38-C38</f>
        <v>0</v>
      </c>
      <c r="E38" s="24">
        <v>0</v>
      </c>
      <c r="F38" s="8" t="str">
        <f>IF(ABS(D38)&lt;=E38,"OK","FAIL")</f>
        <v>OK</v>
      </c>
      <c r="G38" t="s">
        <v>2368</v>
      </c>
    </row>
    <row r="39">
      <c r="A39" t="s">
        <v>2379</v>
      </c>
      <c r="B39" s="8">
        <f>DCF!E15</f>
        <v>2829.2312863960597</v>
      </c>
      <c r="C39" s="8">
        <f>DCF!E11+DCF!E12-DCF!E13-DCF!E14</f>
        <v>2829.2312863960597</v>
      </c>
      <c r="D39" s="8">
        <f>B39-C39</f>
        <v>0</v>
      </c>
      <c r="E39" s="24">
        <v>0.5</v>
      </c>
      <c r="F39" s="8" t="str">
        <f>IF(ABS(D39)&lt;=E39,"OK","FAIL")</f>
        <v>OK</v>
      </c>
    </row>
    <row r="40">
      <c r="A40" t="s">
        <v>2380</v>
      </c>
      <c r="B40" s="8">
        <f>Schedules!E41</f>
        <v>20830.146160135966</v>
      </c>
      <c r="C40" s="8">
        <f>Schedules!E38+Schedules!E39+Schedules!E40</f>
        <v>20830.146160135962</v>
      </c>
      <c r="D40" s="8">
        <f>B40-C40</f>
        <v>0</v>
      </c>
      <c r="E40" s="24">
        <v>0.5</v>
      </c>
      <c r="F40" s="8" t="str">
        <f>IF(ABS(D40)&lt;=E40,"OK","FAIL")</f>
        <v>OK</v>
      </c>
    </row>
    <row r="41">
      <c r="A41" t="s">
        <v>2381</v>
      </c>
      <c r="B41" s="8">
        <f>Forecast_3Stmt!F48</f>
        <v>0</v>
      </c>
      <c r="C41" s="8">
        <v>0</v>
      </c>
      <c r="D41" s="8">
        <f>B41-C41</f>
        <v>0</v>
      </c>
      <c r="E41" s="24">
        <v>0.5</v>
      </c>
      <c r="F41" s="8" t="str">
        <f>IF(ABS(D41)&lt;=E41,"OK","FAIL")</f>
        <v>OK</v>
      </c>
      <c r="G41" t="s">
        <v>2364</v>
      </c>
    </row>
    <row r="42">
      <c r="A42" t="s">
        <v>2382</v>
      </c>
      <c r="B42" s="8">
        <f>MIN(Schedules!F37,0)</f>
        <v>0</v>
      </c>
      <c r="C42" s="8">
        <v>0</v>
      </c>
      <c r="D42" s="8">
        <f>B42-C42</f>
        <v>0</v>
      </c>
      <c r="E42" s="24">
        <v>0.5</v>
      </c>
      <c r="F42" s="8" t="str">
        <f>IF(ABS(D42)&lt;=E42,"OK","FAIL")</f>
        <v>OK</v>
      </c>
      <c r="G42" t="s">
        <v>2366</v>
      </c>
    </row>
    <row r="43">
      <c r="A43" t="s">
        <v>2383</v>
      </c>
      <c r="B43" s="8">
        <f>MIN(Schedules!F30,0)</f>
        <v>0</v>
      </c>
      <c r="C43" s="8">
        <v>0</v>
      </c>
      <c r="D43" s="8">
        <f>B43-C43</f>
        <v>0</v>
      </c>
      <c r="E43" s="24">
        <v>0</v>
      </c>
      <c r="F43" s="8" t="str">
        <f>IF(ABS(D43)&lt;=E43,"OK","FAIL")</f>
        <v>OK</v>
      </c>
      <c r="G43" t="s">
        <v>2368</v>
      </c>
    </row>
    <row r="44">
      <c r="A44" t="s">
        <v>2384</v>
      </c>
      <c r="B44" s="8">
        <f>DCF!F15</f>
        <v>3031.612160655929</v>
      </c>
      <c r="C44" s="8">
        <f>DCF!F11+DCF!F12-DCF!F13-DCF!F14</f>
        <v>3031.612160655929</v>
      </c>
      <c r="D44" s="8">
        <f>B44-C44</f>
        <v>0</v>
      </c>
      <c r="E44" s="24">
        <v>0.5</v>
      </c>
      <c r="F44" s="8" t="str">
        <f>IF(ABS(D44)&lt;=E44,"OK","FAIL")</f>
        <v>OK</v>
      </c>
    </row>
    <row r="45">
      <c r="A45" t="s">
        <v>2385</v>
      </c>
      <c r="B45" s="8">
        <f>Schedules!F41</f>
        <v>21991.80032148631</v>
      </c>
      <c r="C45" s="8">
        <f>Schedules!F38+Schedules!F39+Schedules!F40</f>
        <v>21991.800321486306</v>
      </c>
      <c r="D45" s="8">
        <f>B45-C45</f>
        <v>0</v>
      </c>
      <c r="E45" s="24">
        <v>0.5</v>
      </c>
      <c r="F45" s="8" t="str">
        <f>IF(ABS(D45)&lt;=E45,"OK","FAIL")</f>
        <v>OK</v>
      </c>
    </row>
    <row r="46">
      <c r="A46" t="s">
        <v>2386</v>
      </c>
      <c r="B46" s="8">
        <f>Forecast_3Stmt!G48</f>
        <v>0</v>
      </c>
      <c r="C46" s="8">
        <v>0</v>
      </c>
      <c r="D46" s="8">
        <f>B46-C46</f>
        <v>0</v>
      </c>
      <c r="E46" s="24">
        <v>0.5</v>
      </c>
      <c r="F46" s="8" t="str">
        <f>IF(ABS(D46)&lt;=E46,"OK","FAIL")</f>
        <v>OK</v>
      </c>
      <c r="G46" t="s">
        <v>2364</v>
      </c>
    </row>
    <row r="47">
      <c r="A47" t="s">
        <v>2387</v>
      </c>
      <c r="B47" s="8">
        <f>MIN(Schedules!G37,0)</f>
        <v>0</v>
      </c>
      <c r="C47" s="8">
        <v>0</v>
      </c>
      <c r="D47" s="8">
        <f>B47-C47</f>
        <v>0</v>
      </c>
      <c r="E47" s="24">
        <v>0.5</v>
      </c>
      <c r="F47" s="8" t="str">
        <f>IF(ABS(D47)&lt;=E47,"OK","FAIL")</f>
        <v>OK</v>
      </c>
      <c r="G47" t="s">
        <v>2366</v>
      </c>
    </row>
    <row r="48">
      <c r="A48" t="s">
        <v>2388</v>
      </c>
      <c r="B48" s="8">
        <f>MIN(Schedules!G30,0)</f>
        <v>0</v>
      </c>
      <c r="C48" s="8">
        <v>0</v>
      </c>
      <c r="D48" s="8">
        <f>B48-C48</f>
        <v>0</v>
      </c>
      <c r="E48" s="24">
        <v>0</v>
      </c>
      <c r="F48" s="8" t="str">
        <f>IF(ABS(D48)&lt;=E48,"OK","FAIL")</f>
        <v>OK</v>
      </c>
      <c r="G48" t="s">
        <v>2368</v>
      </c>
    </row>
    <row r="49">
      <c r="A49" t="s">
        <v>2389</v>
      </c>
      <c r="B49" s="8">
        <f>DCF!G15</f>
        <v>3231.7382338798434</v>
      </c>
      <c r="C49" s="8">
        <f>DCF!G11+DCF!G12-DCF!G13-DCF!G14</f>
        <v>3231.7382338798434</v>
      </c>
      <c r="D49" s="8">
        <f>B49-C49</f>
        <v>0</v>
      </c>
      <c r="E49" s="24">
        <v>0.5</v>
      </c>
      <c r="F49" s="8" t="str">
        <f>IF(ABS(D49)&lt;=E49,"OK","FAIL")</f>
        <v>OK</v>
      </c>
    </row>
    <row r="50">
      <c r="A50" t="s">
        <v>2390</v>
      </c>
      <c r="B50" s="8">
        <f>Schedules!G41</f>
        <v>23271.195230850415</v>
      </c>
      <c r="C50" s="8">
        <f>Schedules!G38+Schedules!G39+Schedules!G40</f>
        <v>23271.195230850415</v>
      </c>
      <c r="D50" s="8">
        <f>B50-C50</f>
        <v>0</v>
      </c>
      <c r="E50" s="24">
        <v>0.5</v>
      </c>
      <c r="F50" s="8" t="str">
        <f>IF(ABS(D50)&lt;=E50,"OK","FAIL")</f>
        <v>OK</v>
      </c>
    </row>
    <row r="51">
      <c r="A51" t="s">
        <v>2391</v>
      </c>
      <c r="B51" s="8">
        <f>DCF!B28</f>
        <v>38347.956088725885</v>
      </c>
      <c r="C51" s="8">
        <f>DCF!B23+DCF!B24-DCF!B25-DCF!B27</f>
        <v>38347.956088725885</v>
      </c>
      <c r="D51" s="8">
        <f>B51-C51</f>
        <v>0</v>
      </c>
      <c r="E51" s="24">
        <v>0.5</v>
      </c>
      <c r="F51" s="8" t="str">
        <f>IF(ABS(D51)&lt;=E51,"OK","FAIL")</f>
        <v>OK</v>
      </c>
    </row>
    <row r="52">
      <c r="A52" t="s">
        <v>2392</v>
      </c>
      <c r="B52" s="8">
        <f>DCF!B39</f>
        <v>0</v>
      </c>
      <c r="C52" s="8">
        <v>0</v>
      </c>
      <c r="D52" s="8">
        <f>B52-C52</f>
        <v>0</v>
      </c>
      <c r="E52" s="24">
        <v>0.000001</v>
      </c>
      <c r="F52" s="21" t="str">
        <f>IF(ABS(D52)&lt;=E52,"OK","FAIL")</f>
        <v>OK</v>
      </c>
    </row>
    <row r="53">
      <c r="A53" t="s">
        <v>2393</v>
      </c>
      <c r="B53" s="8">
        <f>1/DCF!C16</f>
        <v>1.020604395836106</v>
      </c>
      <c r="C53" s="8">
        <f>(1+Assumptions!B94)^0.25</f>
        <v>1.020604395836106</v>
      </c>
      <c r="D53" s="8">
        <f>B53-C53</f>
        <v>0</v>
      </c>
      <c r="E53" s="24">
        <v>0.000001</v>
      </c>
      <c r="F53" t="str">
        <f>IF(ABS(D53)&lt;=E53,"OK","FAIL")</f>
        <v>OK</v>
      </c>
    </row>
    <row r="54">
      <c r="A54" t="s">
        <v>2394</v>
      </c>
      <c r="B54" s="8">
        <f>DCF!B21</f>
        <v>4.5</v>
      </c>
      <c r="C54" s="8">
        <v>4.5</v>
      </c>
      <c r="D54" s="8">
        <f>B54-C54</f>
        <v>0</v>
      </c>
      <c r="E54" s="24">
        <v>0</v>
      </c>
      <c r="F54" s="25" t="str">
        <f>IF(ABS(D54)&lt;=E54,"OK","FAIL")</f>
        <v>OK</v>
      </c>
    </row>
    <row r="55">
      <c r="A55" t="s">
        <v>2395</v>
      </c>
      <c r="B55" s="8">
        <f>IF(Assumptions!B4=1,Interim_Bridge!D7/Historical_IS!F7-1,0)</f>
        <v>0.030895033155158957</v>
      </c>
      <c r="C55" s="8">
        <f>IF(Assumptions!B4=1,0.03,0)</f>
        <v>0.03</v>
      </c>
      <c r="D55" s="8">
        <f>B55-C55</f>
        <v>0.0008950331551589585</v>
      </c>
      <c r="E55" s="24">
        <v>0.01</v>
      </c>
      <c r="F55" s="21" t="str">
        <f>IF(ABS(D55)&lt;=E55,"OK","FAIL")</f>
        <v>OK</v>
      </c>
      <c r="G55" t="s">
        <v>2396</v>
      </c>
    </row>
    <row r="56">
      <c r="A56" t="s">
        <v>2397</v>
      </c>
      <c r="B56" s="8">
        <f>IF(Assumptions!B4=1,Interim_Bridge!D12,0)</f>
        <v>2394.6656081300002</v>
      </c>
      <c r="C56" s="8">
        <f>IF(Assumptions!B4=1,2300,0)</f>
        <v>2300</v>
      </c>
      <c r="D56" s="8">
        <f>B56-C56</f>
        <v>94.66560813000024</v>
      </c>
      <c r="E56" s="24">
        <v>100</v>
      </c>
      <c r="F56" s="21" t="str">
        <f>IF(ABS(D56)&lt;=E56,"OK","FAIL")</f>
        <v>OK</v>
      </c>
      <c r="G56" t="s">
        <v>2398</v>
      </c>
    </row>
    <row r="57">
      <c r="A57" t="s">
        <v>2399</v>
      </c>
      <c r="B57" s="8">
        <f>COUNTA(Sources!A5:A718)</f>
        <v>714</v>
      </c>
      <c r="C57" s="8">
        <v>714</v>
      </c>
      <c r="D57" s="8">
        <f>B57-C57</f>
        <v>0</v>
      </c>
      <c r="E57" s="24">
        <v>0</v>
      </c>
      <c r="F57" t="str">
        <f>IF(ABS(D57)&lt;=E57,"OK","FAIL")</f>
        <v>OK</v>
      </c>
    </row>
    <row r="58">
      <c r="A58" t="s">
        <v>2400</v>
      </c>
      <c r="B58" s="8">
        <f>COUNTBLANK(Sources!H5:H718)</f>
        <v>0</v>
      </c>
      <c r="C58" s="8">
        <v>0</v>
      </c>
      <c r="D58" s="8">
        <f>B58-C58</f>
        <v>0</v>
      </c>
      <c r="E58" s="24">
        <v>0</v>
      </c>
      <c r="F58" t="str">
        <f>IF(ABS(D58)&lt;=E58,"OK","FAIL")</f>
        <v>OK</v>
      </c>
    </row>
    <row r="59">
      <c r="A59" t="s">
        <v>2401</v>
      </c>
      <c r="B59" s="8">
        <f>COUNTBLANK(Sources!I5:I718)</f>
        <v>0</v>
      </c>
      <c r="C59" s="8">
        <v>0</v>
      </c>
      <c r="D59" s="8">
        <f>B59-C59</f>
        <v>0</v>
      </c>
      <c r="E59" s="24">
        <v>0</v>
      </c>
      <c r="F59" t="str">
        <f>IF(ABS(D59)&lt;=E59,"OK","FAIL")</f>
        <v>OK</v>
      </c>
    </row>
    <row r="60">
      <c r="A60" t="s">
        <v>2402</v>
      </c>
      <c r="B60" s="8">
        <f>COUNTBLANK(Sources!L5:L718)</f>
        <v>0</v>
      </c>
      <c r="C60" s="8">
        <v>0</v>
      </c>
      <c r="D60" s="8">
        <f>B60-C60</f>
        <v>0</v>
      </c>
      <c r="E60" s="24">
        <v>0</v>
      </c>
      <c r="F60" t="str">
        <f>IF(ABS(D60)&lt;=E60,"OK","FAIL")</f>
        <v>OK</v>
      </c>
    </row>
    <row r="61">
      <c r="A61" t="s">
        <v>2403</v>
      </c>
      <c r="B61" s="8">
        <f>COUNTA(Sources!O5:O718)</f>
        <v>714</v>
      </c>
      <c r="C61" s="8">
        <v>714</v>
      </c>
      <c r="D61" s="8">
        <f>B61-C61</f>
        <v>0</v>
      </c>
      <c r="E61" s="24">
        <v>0</v>
      </c>
      <c r="F61" t="str">
        <f>IF(ABS(D61)&lt;=E61,"OK","FAIL")</f>
        <v>OK</v>
      </c>
    </row>
    <row r="62">
      <c r="A62" t="s">
        <v>2404</v>
      </c>
      <c r="B62" s="8">
        <f>Protein_Drivers!B14</f>
        <v>0</v>
      </c>
      <c r="C62" s="8">
        <v>0</v>
      </c>
      <c r="D62" s="8">
        <f>B62-C62</f>
        <v>0</v>
      </c>
      <c r="E62" s="24">
        <v>0</v>
      </c>
      <c r="F62" s="8" t="str">
        <f>IF(ABS(D62)&lt;=E62,"OK","FAIL")</f>
        <v>OK</v>
      </c>
    </row>
    <row r="63">
      <c r="A63" t="s">
        <v>2405</v>
      </c>
      <c r="B63" s="8">
        <f>Protein_Drivers!B33</f>
        <v>0</v>
      </c>
      <c r="C63" s="8">
        <v>0</v>
      </c>
      <c r="D63" s="8">
        <f>B63-C63</f>
        <v>0</v>
      </c>
      <c r="E63" s="24">
        <v>0</v>
      </c>
      <c r="F63" s="8" t="str">
        <f>IF(ABS(D63)&lt;=E63,"OK","FAIL")</f>
        <v>OK</v>
      </c>
    </row>
    <row r="64">
      <c r="A64" t="s">
        <v>2406</v>
      </c>
      <c r="B64" s="8">
        <f>Protein_Drivers!C14</f>
        <v>0</v>
      </c>
      <c r="C64" s="8">
        <v>0</v>
      </c>
      <c r="D64" s="8">
        <f>B64-C64</f>
        <v>0</v>
      </c>
      <c r="E64" s="24">
        <v>0</v>
      </c>
      <c r="F64" s="8" t="str">
        <f>IF(ABS(D64)&lt;=E64,"OK","FAIL")</f>
        <v>OK</v>
      </c>
    </row>
    <row r="65">
      <c r="A65" t="s">
        <v>2407</v>
      </c>
      <c r="B65" s="8">
        <f>Protein_Drivers!C33</f>
        <v>0</v>
      </c>
      <c r="C65" s="8">
        <v>0</v>
      </c>
      <c r="D65" s="8">
        <f>B65-C65</f>
        <v>0</v>
      </c>
      <c r="E65" s="24">
        <v>0</v>
      </c>
      <c r="F65" s="8" t="str">
        <f>IF(ABS(D65)&lt;=E65,"OK","FAIL")</f>
        <v>OK</v>
      </c>
    </row>
    <row r="66">
      <c r="A66" t="s">
        <v>2408</v>
      </c>
      <c r="B66" s="8">
        <f>Protein_Drivers!D14</f>
        <v>0</v>
      </c>
      <c r="C66" s="8">
        <v>0</v>
      </c>
      <c r="D66" s="8">
        <f>B66-C66</f>
        <v>0</v>
      </c>
      <c r="E66" s="24">
        <v>0</v>
      </c>
      <c r="F66" s="8" t="str">
        <f>IF(ABS(D66)&lt;=E66,"OK","FAIL")</f>
        <v>OK</v>
      </c>
    </row>
    <row r="67">
      <c r="A67" t="s">
        <v>2409</v>
      </c>
      <c r="B67" s="8">
        <f>Protein_Drivers!D33</f>
        <v>0</v>
      </c>
      <c r="C67" s="8">
        <v>0</v>
      </c>
      <c r="D67" s="8">
        <f>B67-C67</f>
        <v>0</v>
      </c>
      <c r="E67" s="24">
        <v>0</v>
      </c>
      <c r="F67" s="8" t="str">
        <f>IF(ABS(D67)&lt;=E67,"OK","FAIL")</f>
        <v>OK</v>
      </c>
    </row>
    <row r="68">
      <c r="A68" t="s">
        <v>2410</v>
      </c>
      <c r="B68" s="8">
        <f>Protein_Drivers!B51</f>
        <v>0</v>
      </c>
      <c r="C68" s="8">
        <v>0</v>
      </c>
      <c r="D68" s="8">
        <f>B68-C68</f>
        <v>0</v>
      </c>
      <c r="E68" s="24">
        <v>0</v>
      </c>
      <c r="F68" s="8" t="str">
        <f>IF(ABS(D68)&lt;=E68,"OK","FAIL")</f>
        <v>OK</v>
      </c>
    </row>
    <row r="69">
      <c r="A69" t="s">
        <v>2411</v>
      </c>
      <c r="B69" s="8">
        <f>Protein_Drivers!C51</f>
        <v>0</v>
      </c>
      <c r="C69" s="8">
        <v>0</v>
      </c>
      <c r="D69" s="8">
        <f>B69-C69</f>
        <v>0</v>
      </c>
      <c r="E69" s="24">
        <v>0</v>
      </c>
      <c r="F69" s="8" t="str">
        <f>IF(ABS(D69)&lt;=E69,"OK","FAIL")</f>
        <v>OK</v>
      </c>
    </row>
    <row r="70">
      <c r="A70" t="s">
        <v>2412</v>
      </c>
      <c r="B70" s="8">
        <f>Debt_Credit!B22</f>
        <v>8083</v>
      </c>
      <c r="C70" s="8">
        <v>8083</v>
      </c>
      <c r="D70" s="8">
        <f>B70-C70</f>
        <v>0</v>
      </c>
      <c r="E70" s="24">
        <v>0</v>
      </c>
      <c r="F70" s="8" t="str">
        <f>IF(ABS(D70)&lt;=E70,"OK","FAIL")</f>
        <v>OK</v>
      </c>
    </row>
    <row r="71">
      <c r="A71" t="s">
        <v>2413</v>
      </c>
      <c r="B71" s="8">
        <f>Debt_Credit!B25</f>
        <v>0</v>
      </c>
      <c r="C71" s="8">
        <v>0</v>
      </c>
      <c r="D71" s="8">
        <f>B71-C71</f>
        <v>0</v>
      </c>
      <c r="E71" s="24">
        <v>0</v>
      </c>
      <c r="F71" s="8" t="str">
        <f>IF(ABS(D71)&lt;=E71,"OK","FAIL")</f>
        <v>OK</v>
      </c>
    </row>
    <row r="72">
      <c r="A72" t="s">
        <v>2414</v>
      </c>
      <c r="B72" s="8">
        <f>Segment_Build!G7/Segment_Build!F7/(1+Assumptions!$B$97)-1</f>
        <v>0.009400000000000075</v>
      </c>
      <c r="C72" s="8">
        <f>Protein_Drivers!L66</f>
        <v>0.009400000000000075</v>
      </c>
      <c r="D72" s="8">
        <f>B72-C72</f>
        <v>0</v>
      </c>
      <c r="E72" s="24">
        <v>0.000001</v>
      </c>
      <c r="F72" s="13" t="str">
        <f>IF(ABS(D72)&lt;=E72,"OK","FAIL")</f>
        <v>OK</v>
      </c>
    </row>
    <row r="73">
      <c r="A73" t="s">
        <v>2415</v>
      </c>
      <c r="B73" s="8">
        <f>Segment_Build!H7/Segment_Build!G7-1</f>
        <v>0.020000000000000018</v>
      </c>
      <c r="C73" s="8">
        <f>Protein_Drivers!M66</f>
        <v>0.020000000000000018</v>
      </c>
      <c r="D73" s="8">
        <f>B73-C73</f>
        <v>0</v>
      </c>
      <c r="E73" s="24">
        <v>0.000001</v>
      </c>
      <c r="F73" t="str">
        <f>IF(ABS(D73)&lt;=E73,"OK","FAIL")</f>
        <v>OK</v>
      </c>
    </row>
    <row r="74">
      <c r="A74" t="s">
        <v>2416</v>
      </c>
      <c r="B74" s="8">
        <f>Segment_Build!I7/Segment_Build!H7-1</f>
        <v>0.020000000000000018</v>
      </c>
      <c r="C74" s="8">
        <f>Protein_Drivers!N66</f>
        <v>0.020000000000000018</v>
      </c>
      <c r="D74" s="8">
        <f>B74-C74</f>
        <v>0</v>
      </c>
      <c r="E74" s="24">
        <v>0.000001</v>
      </c>
      <c r="F74" t="str">
        <f>IF(ABS(D74)&lt;=E74,"OK","FAIL")</f>
        <v>OK</v>
      </c>
    </row>
    <row r="75">
      <c r="A75" t="s">
        <v>2417</v>
      </c>
      <c r="B75" s="8">
        <f>Segment_Build!J7/Segment_Build!I7-1</f>
        <v>0.020000000000000018</v>
      </c>
      <c r="C75" s="8">
        <f>Protein_Drivers!O66</f>
        <v>0.020000000000000018</v>
      </c>
      <c r="D75" s="8">
        <f>B75-C75</f>
        <v>0</v>
      </c>
      <c r="E75" s="24">
        <v>0.000001</v>
      </c>
      <c r="F75" t="str">
        <f>IF(ABS(D75)&lt;=E75,"OK","FAIL")</f>
        <v>OK</v>
      </c>
    </row>
    <row r="76">
      <c r="A76" t="s">
        <v>2418</v>
      </c>
      <c r="B76" s="8">
        <f>Segment_Build!K7/Segment_Build!J7-1</f>
        <v>0.020000000000000018</v>
      </c>
      <c r="C76" s="8">
        <f>Protein_Drivers!P66</f>
        <v>0.020000000000000018</v>
      </c>
      <c r="D76" s="8">
        <f>B76-C76</f>
        <v>0</v>
      </c>
      <c r="E76" s="24">
        <v>0.000001</v>
      </c>
      <c r="F76" t="str">
        <f>IF(ABS(D76)&lt;=E76,"OK","FAIL")</f>
        <v>OK</v>
      </c>
    </row>
    <row r="77">
      <c r="A77" t="s">
        <v>2419</v>
      </c>
      <c r="B77" s="8">
        <f>Segment_Build!G16/Segment_Build!G7</f>
        <v>-0.0191</v>
      </c>
      <c r="C77" s="8">
        <f>Assumptions!B71+Protein_Drivers!B76</f>
        <v>-0.0191</v>
      </c>
      <c r="D77" s="8">
        <f>B77-C77</f>
        <v>0</v>
      </c>
      <c r="E77" s="24">
        <v>0.000001</v>
      </c>
      <c r="F77" t="str">
        <f>IF(ABS(D77)&lt;=E77,"OK","FAIL")</f>
        <v>OK</v>
      </c>
    </row>
    <row r="78">
      <c r="A78" t="s">
        <v>2420</v>
      </c>
      <c r="B78" s="8">
        <f>Segment_Build!G17/Segment_Build!G8</f>
        <v>0.0462</v>
      </c>
      <c r="C78" s="8">
        <f>Assumptions!B72+Protein_Drivers!B77</f>
        <v>0.0462</v>
      </c>
      <c r="D78" s="8">
        <f>B78-C78</f>
        <v>0</v>
      </c>
      <c r="E78" s="24">
        <v>0.000001</v>
      </c>
      <c r="F78" t="str">
        <f>IF(ABS(D78)&lt;=E78,"OK","FAIL")</f>
        <v>OK</v>
      </c>
    </row>
    <row r="79">
      <c r="A79" t="s">
        <v>2421</v>
      </c>
      <c r="B79" s="8">
        <f>Segment_Build!G18/Segment_Build!G9</f>
        <v>0.1139</v>
      </c>
      <c r="C79" s="8">
        <f>Assumptions!B73+Protein_Drivers!B78</f>
        <v>0.1139</v>
      </c>
      <c r="D79" s="8">
        <f>B79-C79</f>
        <v>0</v>
      </c>
      <c r="E79" s="24">
        <v>0.000001</v>
      </c>
      <c r="F79" t="str">
        <f>IF(ABS(D79)&lt;=E79,"OK","FAIL")</f>
        <v>OK</v>
      </c>
    </row>
    <row r="80">
      <c r="A80" t="s">
        <v>2422</v>
      </c>
      <c r="B80" s="8">
        <f>Segment_Build!G19/Segment_Build!G10</f>
        <v>0.1271</v>
      </c>
      <c r="C80" s="8">
        <f>Assumptions!B74+Protein_Drivers!B79</f>
        <v>0.1271</v>
      </c>
      <c r="D80" s="8">
        <f>B80-C80</f>
        <v>0</v>
      </c>
      <c r="E80" s="24">
        <v>0.000001</v>
      </c>
      <c r="F80" t="str">
        <f>IF(ABS(D80)&lt;=E80,"OK","FAIL")</f>
        <v>OK</v>
      </c>
    </row>
    <row r="81">
      <c r="A81" t="s">
        <v>2423</v>
      </c>
      <c r="B81" s="8">
        <f>Segment_Build!G20/Segment_Build!G11</f>
        <v>0.0749</v>
      </c>
      <c r="C81" s="8">
        <f>Assumptions!B75+Protein_Drivers!B80</f>
        <v>0.0749</v>
      </c>
      <c r="D81" s="8">
        <f>B81-C81</f>
        <v>0</v>
      </c>
      <c r="E81" s="24">
        <v>0.000001</v>
      </c>
      <c r="F81" t="str">
        <f>IF(ABS(D81)&lt;=E81,"OK","FAIL")</f>
        <v>OK</v>
      </c>
    </row>
  </sheetData>
  <mergeCells count="2">
    <mergeCell ref="A1:G1"/>
    <mergeCell ref="A2:G2"/>
  </mergeCells>
  <conditionalFormatting sqref="B3">
    <cfRule type="expression" priority="1" dxfId="2">
      <formula>=B3="FAIL"</formula>
    </cfRule>
  </conditionalFormatting>
  <conditionalFormatting sqref="B3">
    <cfRule type="expression" priority="2" dxfId="3">
      <formula>=B3="OK"</formula>
    </cfRule>
  </conditionalFormatting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showGridLines="0" workbookViewId="0">
      <pane xSplit="1" ySplit="4" topLeftCell="B5" activePane="bottomRight" state="frozen"/>
    </sheetView>
  </sheetViews>
  <sheetFormatPr defaultColWidth="8.375" defaultRowHeight="15"/>
  <cols>
    <col min="1" max="1" width="9.125" customWidth="1"/>
    <col min="2" max="2" width="11.25" customWidth="1"/>
    <col min="3" max="3" width="57.5" customWidth="1"/>
    <col min="4" max="4" width="25" customWidth="1"/>
    <col min="5" max="5" width="15" customWidth="1"/>
    <col min="6" max="6" width="16.875" customWidth="1"/>
  </cols>
  <sheetData>
    <row r="1" ht="22.5">
      <c r="A1" s="5" t="s">
        <v>2424</v>
      </c>
      <c r="B1" s="5"/>
      <c r="C1" s="5"/>
      <c r="D1" s="5"/>
      <c r="E1" s="5"/>
      <c r="F1" s="5"/>
    </row>
    <row r="2" ht="22.5">
      <c r="A2" s="7" t="s">
        <v>2425</v>
      </c>
      <c r="B2" s="7"/>
      <c r="C2" s="7"/>
      <c r="D2" s="7"/>
      <c r="E2" s="7"/>
      <c r="F2" s="7"/>
    </row>
    <row r="4">
      <c r="A4" s="6" t="s">
        <v>2426</v>
      </c>
      <c r="B4" s="6" t="s">
        <v>2427</v>
      </c>
      <c r="C4" s="6" t="s">
        <v>2428</v>
      </c>
      <c r="D4" s="6" t="s">
        <v>2429</v>
      </c>
      <c r="E4" s="6" t="s">
        <v>2430</v>
      </c>
      <c r="F4" s="6" t="s">
        <v>348</v>
      </c>
    </row>
    <row r="5">
      <c r="A5">
        <v>1</v>
      </c>
      <c r="B5" s="17">
        <v>46219</v>
      </c>
      <c r="C5" s="15" t="s">
        <v>2431</v>
      </c>
      <c r="D5" s="15" t="s">
        <v>2432</v>
      </c>
      <c r="E5" s="15" t="s">
        <v>2433</v>
      </c>
      <c r="F5" s="15" t="s">
        <v>2434</v>
      </c>
    </row>
    <row r="6" ht="31.5">
      <c r="A6">
        <v>1.1</v>
      </c>
      <c r="B6" s="17">
        <v>46219</v>
      </c>
      <c r="C6" s="15" t="s">
        <v>2435</v>
      </c>
      <c r="D6" s="15" t="s">
        <v>2432</v>
      </c>
      <c r="E6" s="15" t="s">
        <v>2433</v>
      </c>
      <c r="F6" s="15" t="s">
        <v>2434</v>
      </c>
    </row>
    <row r="7" ht="31.5">
      <c r="A7">
        <v>1.2</v>
      </c>
      <c r="B7" s="17">
        <v>46219</v>
      </c>
      <c r="C7" s="15" t="s">
        <v>2436</v>
      </c>
      <c r="D7" s="15" t="s">
        <v>2437</v>
      </c>
      <c r="E7" s="15" t="s">
        <v>2433</v>
      </c>
      <c r="F7" s="15" t="s">
        <v>2438</v>
      </c>
    </row>
    <row r="8" ht="31.5">
      <c r="A8" t="s">
        <v>12</v>
      </c>
      <c r="B8" s="17">
        <v>46219</v>
      </c>
      <c r="C8" s="15" t="s">
        <v>2439</v>
      </c>
      <c r="D8" s="15" t="s">
        <v>2437</v>
      </c>
      <c r="E8" s="15" t="s">
        <v>2433</v>
      </c>
      <c r="F8" s="15" t="s">
        <v>2440</v>
      </c>
    </row>
    <row r="9" ht="51"/>
  </sheetData>
  <mergeCells count="2">
    <mergeCell ref="A2:F2"/>
    <mergeCell ref="A1:F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2"/>
  <sheetViews>
    <sheetView showGridLines="0" workbookViewId="0">
      <pane xSplit="1" ySplit="4" topLeftCell="B5" activePane="bottomRight" state="frozen"/>
    </sheetView>
  </sheetViews>
  <sheetFormatPr defaultColWidth="8.375" defaultRowHeight="15"/>
  <cols>
    <col min="1" max="1" width="6.875" customWidth="1"/>
    <col min="2" max="2" width="16.875" customWidth="1"/>
    <col min="3" max="4" width="38.125" customWidth="1"/>
    <col min="5" max="5" width="34.375" customWidth="1"/>
    <col min="6" max="6" width="11.875" customWidth="1"/>
  </cols>
  <sheetData>
    <row r="1" ht="22.5">
      <c r="A1" s="5" t="s">
        <v>2441</v>
      </c>
      <c r="B1" s="5"/>
      <c r="C1" s="5"/>
      <c r="D1" s="5"/>
      <c r="E1" s="5"/>
      <c r="F1" s="5"/>
    </row>
    <row r="2" ht="22.5">
      <c r="A2" s="7" t="s">
        <v>2442</v>
      </c>
      <c r="B2" s="7"/>
      <c r="C2" s="7"/>
      <c r="D2" s="7"/>
      <c r="E2" s="7"/>
      <c r="F2" s="7"/>
    </row>
    <row r="4">
      <c r="A4" s="6" t="s">
        <v>2443</v>
      </c>
      <c r="B4" s="6" t="s">
        <v>2444</v>
      </c>
      <c r="C4" s="6" t="s">
        <v>2445</v>
      </c>
      <c r="D4" s="6" t="s">
        <v>2446</v>
      </c>
      <c r="E4" s="6" t="s">
        <v>2447</v>
      </c>
      <c r="F4" s="6" t="s">
        <v>348</v>
      </c>
    </row>
    <row r="5">
      <c r="A5" s="20" t="s">
        <v>2448</v>
      </c>
      <c r="B5" s="20" t="s">
        <v>2449</v>
      </c>
      <c r="C5" s="20" t="s">
        <v>2450</v>
      </c>
      <c r="D5" s="20" t="s">
        <v>2451</v>
      </c>
      <c r="E5" s="20" t="s">
        <v>2452</v>
      </c>
      <c r="F5" s="20" t="s">
        <v>370</v>
      </c>
    </row>
    <row r="6" ht="42">
      <c r="A6" s="20" t="s">
        <v>2453</v>
      </c>
      <c r="B6" s="20" t="s">
        <v>2454</v>
      </c>
      <c r="C6" s="20" t="s">
        <v>2455</v>
      </c>
      <c r="D6" s="20" t="s">
        <v>2456</v>
      </c>
      <c r="E6" s="20" t="s">
        <v>2457</v>
      </c>
      <c r="F6" s="20" t="s">
        <v>1475</v>
      </c>
    </row>
    <row r="7" ht="42">
      <c r="A7" s="20" t="s">
        <v>2458</v>
      </c>
      <c r="B7" s="20" t="s">
        <v>2459</v>
      </c>
      <c r="C7" s="20" t="s">
        <v>2460</v>
      </c>
      <c r="D7" s="20" t="s">
        <v>2461</v>
      </c>
      <c r="E7" s="20" t="s">
        <v>2462</v>
      </c>
      <c r="F7" s="20" t="s">
        <v>1475</v>
      </c>
    </row>
    <row r="8" ht="42">
      <c r="A8" s="20" t="s">
        <v>2463</v>
      </c>
      <c r="B8" s="20" t="s">
        <v>2464</v>
      </c>
      <c r="C8" s="20" t="s">
        <v>2465</v>
      </c>
      <c r="D8" s="20" t="s">
        <v>2466</v>
      </c>
      <c r="E8" s="20" t="s">
        <v>2467</v>
      </c>
      <c r="F8" s="20" t="s">
        <v>1475</v>
      </c>
    </row>
    <row r="9" ht="42">
      <c r="A9" s="20" t="s">
        <v>2468</v>
      </c>
      <c r="B9" s="20" t="s">
        <v>2469</v>
      </c>
      <c r="C9" s="20" t="s">
        <v>2470</v>
      </c>
      <c r="D9" s="20" t="s">
        <v>2471</v>
      </c>
      <c r="E9" s="20" t="s">
        <v>2472</v>
      </c>
      <c r="F9" s="20" t="s">
        <v>1475</v>
      </c>
    </row>
    <row r="10" ht="42">
      <c r="A10" s="20" t="s">
        <v>2473</v>
      </c>
      <c r="B10" s="20" t="s">
        <v>2474</v>
      </c>
      <c r="C10" s="20" t="s">
        <v>2475</v>
      </c>
      <c r="D10" s="20" t="s">
        <v>2476</v>
      </c>
      <c r="E10" s="20" t="s">
        <v>2477</v>
      </c>
      <c r="F10" s="20" t="s">
        <v>1475</v>
      </c>
    </row>
    <row r="11" ht="42">
      <c r="A11" s="20" t="s">
        <v>2478</v>
      </c>
      <c r="B11" s="20" t="s">
        <v>2479</v>
      </c>
      <c r="C11" s="20" t="s">
        <v>2480</v>
      </c>
      <c r="D11" s="20" t="s">
        <v>2481</v>
      </c>
      <c r="E11" s="20" t="s">
        <v>2482</v>
      </c>
      <c r="F11" s="20" t="s">
        <v>1475</v>
      </c>
    </row>
    <row r="12" ht="42">
      <c r="A12" s="20" t="s">
        <v>2483</v>
      </c>
      <c r="B12" s="20" t="s">
        <v>2484</v>
      </c>
      <c r="C12" s="20" t="s">
        <v>2485</v>
      </c>
      <c r="D12" s="20" t="s">
        <v>2486</v>
      </c>
      <c r="E12" s="20" t="s">
        <v>2487</v>
      </c>
      <c r="F12" s="20" t="s">
        <v>1475</v>
      </c>
    </row>
    <row r="13" ht="42"/>
  </sheetData>
  <mergeCells count="2">
    <mergeCell ref="A2:F2"/>
    <mergeCell ref="A1:F1"/>
  </mergeCells>
</worksheet>
</file>