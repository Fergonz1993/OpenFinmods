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Calc"/>
  <workbookPr/>
  <workbookProtection/>
  <bookViews>
    <workbookView xWindow="0" yWindow="0" windowWidth="16384" windowHeight="8192" tabRatio="600"/>
  </bookViews>
  <sheets>
    <sheet name="00_Cover" sheetId="1" r:id="rId3"/>
    <sheet name="Sources" sheetId="2" r:id="rId4"/>
    <sheet name="Historical" sheetId="3" r:id="rId5"/>
    <sheet name="Assumptions" sheetId="4" r:id="rId6"/>
    <sheet name="Forecast" sheetId="5" r:id="rId7"/>
    <sheet name="Valuation" sheetId="6" r:id="rId8"/>
    <sheet name="Sensitivity" sheetId="7" r:id="rId9"/>
    <sheet name="Checks" sheetId="8" r:id="rId10"/>
    <sheet name="Sector_KPIs" sheetId="9" r:id="rId11"/>
    <sheet name="Change_Log" sheetId="10" r:id="rId12"/>
    <sheet name="Gate_9of10" sheetId="11" r:id="rId13"/>
    <sheet name="IS_Hist" sheetId="12" r:id="rId15"/>
    <sheet name="BS_Hist" sheetId="13" r:id="rId16"/>
    <sheet name="CF_Hist" sheetId="14" r:id="rId17"/>
    <sheet name="SCE_Hist" sheetId="15" r:id="rId18"/>
    <sheet name="Checks_TieOut" sheetId="16" r:id="rId19"/>
    <sheet name="Sources_Audited" sheetId="17" r:id="rId20"/>
    <sheet name="Claude Code Log" sheetId="18" r:id="rId21"/>
  </sheets>
  <calcPr calcId="0" iterateCount="100" iterateDelta="0.001"/>
  <extLst>
    <ext xmlns:loext="http://schemas.libreoffice.org/" uri="{7626C862-2A13-11E5-B345-FEFF819CDC9F}">
      <loext:extCalcPr stringRefSyntax="CalcA1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tc={231B4308-EA40-FCA2-9F9B-DF5AB1F73C54}</author>
    <author>tc={A0782316-71ED-2866-A5D5-A870F20B44D0}</author>
    <author>tc={74A2AA6F-9249-695B-837E-8F08D2D85D8E}</author>
    <author>tc={7E55DB1E-AE73-032F-C918-7EF0C9EEE005}</author>
    <author>tc={949706DF-9490-3D8C-83F0-6E7D2F12D075}</author>
    <author>tc={C11A6E59-9845-350E-79B9-196042A9CF94}</author>
    <author>tc={2A223660-E2C3-1377-7EBC-37E4302B0F95}</author>
    <author>tc={4DCB3364-F85A-3E36-09FE-0AC4D032E194}</author>
    <author>tc={DE538A50-4DB1-4D95-2C5A-EB527E99FF81}</author>
    <author>tc={B9157C82-5D15-527C-2084-E7A699E2157E}</author>
    <author>tc={613A9665-C8CB-C8B3-1D74-733190E2E730}</author>
    <author>tc={01C69CBF-1F9D-54DE-497F-73A9C02B7CD1}</author>
    <author>tc={21AC6088-6C0F-4672-03C7-561A81262CED}</author>
    <author>tc={034EF5F7-FF90-6979-9BDF-76A9A3358B26}</author>
    <author>tc={89AC098C-A92F-0ADE-AACB-99FF8117D9C7}</author>
    <author>tc={8487A7AF-C5E3-B435-ACD5-38D9A76907E4}</author>
    <author>tc={864021BD-834A-7AD7-72A4-81DB6423CBB5}</author>
    <author>tc={3DFD6FBE-F1BB-EAB2-9520-88DA127DB59E}</author>
    <author>tc={D153ED64-5334-B5D3-3C88-E8BAB649FC85}</author>
    <author>tc={F726023F-9AD2-5DD3-73FA-76A32CF3EAB3}</author>
    <author>tc={4BD675B7-1CAE-A550-EAC1-5A26E68E61B5}</author>
    <author>tc={C140B747-82E6-0EA8-C873-9A4D02F255F3}</author>
    <author>tc={55C94C42-DB24-5720-9C7F-91A0B410DE65}</author>
    <author>tc={4D4DA1E2-3937-59EB-2D01-9DBA05C026FA}</author>
    <author>tc={EAEF5628-11F5-CEC2-CC15-3BC8D7169DAD}</author>
    <author>tc={CE73F62F-B9A7-8979-E7B6-C8112C6FE511}</author>
    <author>tc={5B85F8CB-5440-F229-5CE4-D7E5FEC5BCCA}</author>
    <author>tc={B13F4ECA-BE43-7B10-7127-9E6184F3475E}</author>
    <author>tc={C492BE17-C6AF-2B43-803C-11EEA4CC6E6D}</author>
    <author>tc={1C89D60D-2069-194A-D6BD-A590B5B92AC6}</author>
    <author>tc={2CFFE6CF-CAF0-0DA4-333A-B6E70CEB7C30}</author>
    <author>tc={81D5B700-ACB9-8273-D32F-AF9645261753}</author>
    <author>tc={B2FA7EA2-D7FE-17AC-7F4A-EFB65815077D}</author>
    <author>tc={EB37DD05-7225-7D89-5AA9-97F95E6CEBF9}</author>
    <author>tc={F0409D58-CB97-7090-A279-4214DE7C680A}</author>
    <author>tc={11BE7BE5-15F8-E198-9815-D15B2619FA5C}</author>
    <author>tc={9F777883-66AC-F994-F696-17141E33931E}</author>
    <author>tc={DFAC0CC0-F90B-D363-420B-76ECCFFA7F27}</author>
    <author>tc={3808B100-41C8-F69A-4BB6-143A96BF490B}</author>
    <author>tc={F4CE06E5-B097-4E4C-6C1B-2E383E23C492}</author>
    <author>tc={D7E44DA1-B139-BBE1-83AB-5DC83F9521A4}</author>
    <author>tc={CEF7C758-6228-2409-63BA-87C0C23CBF66}</author>
    <author>tc={85D460E6-9625-86D2-EF9E-44AA158BC7FD}</author>
    <author>tc={9FBAC2F8-1764-4F23-C55D-1835B4EC0ADC}</author>
    <author>tc={52A42DC2-33F1-67B5-0AA3-F0E7FD69074D}</author>
    <author>tc={75F82572-EF38-4A99-74F7-A478A39855EA}</author>
    <author>tc={9504286F-F694-6A55-C1BA-C204B71A33A1}</author>
    <author>tc={82207382-04C5-45A4-7D76-C7728FD1252B}</author>
    <author>tc={932A71E8-5560-5839-9E8D-8BA44770AFEA}</author>
    <author>tc={762CEDB0-7584-74CF-6162-0764039F3C3A}</author>
  </authors>
  <commentList>
    <comment ref="B5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Historical!B5. SEC Company Facts / 10-K; exact accession, tag, filed date, scale and sign are stated there.</t>
        </r>
      </text>
      <commentPr locked="0" textHAlign="justify" textVAlign="top">
        <anchor>
          <from>
            <xdr:col>1</xdr:col>
            <xdr:colOff>15</xdr:colOff>
            <xdr:row>4</xdr:row>
            <xdr:rowOff>2</xdr:rowOff>
          </from>
          <to>
            <xdr:col>3</xdr:col>
            <xdr:colOff>15</xdr:colOff>
            <xdr:row>8</xdr:row>
            <xdr:rowOff>2</xdr:rowOff>
          </to>
        </anchor>
      </commentPr>
    </comment>
    <comment ref="B7" authorId="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Historical!B7. SEC Company Facts / 10-K; exact accession, tag, filed date, scale and sign are stated there.</t>
        </r>
      </text>
      <commentPr locked="0" textHAlign="justify" textVAlign="top">
        <anchor>
          <from>
            <xdr:col>1</xdr:col>
            <xdr:colOff>15</xdr:colOff>
            <xdr:row>6</xdr:row>
            <xdr:rowOff>2</xdr:rowOff>
          </from>
          <to>
            <xdr:col>3</xdr:col>
            <xdr:colOff>15</xdr:colOff>
            <xdr:row>10</xdr:row>
            <xdr:rowOff>2</xdr:rowOff>
          </to>
        </anchor>
      </commentPr>
    </comment>
    <comment ref="B8" authorId="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Historical!B8. SEC Company Facts / 10-K; exact accession, tag, filed date, scale and sign are stated there.</t>
        </r>
      </text>
      <commentPr locked="0" textHAlign="justify" textVAlign="top">
        <anchor>
          <from>
            <xdr:col>1</xdr:col>
            <xdr:colOff>15</xdr:colOff>
            <xdr:row>7</xdr:row>
            <xdr:rowOff>2</xdr:rowOff>
          </from>
          <to>
            <xdr:col>3</xdr:col>
            <xdr:colOff>15</xdr:colOff>
            <xdr:row>11</xdr:row>
            <xdr:rowOff>2</xdr:rowOff>
          </to>
        </anchor>
      </commentPr>
    </comment>
    <comment ref="B9" authorId="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Historical!B9. SEC Company Facts / 10-K; exact accession, tag, filed date, scale and sign are stated there.</t>
        </r>
      </text>
      <commentPr locked="0" textHAlign="justify" textVAlign="top">
        <anchor>
          <from>
            <xdr:col>1</xdr:col>
            <xdr:colOff>15</xdr:colOff>
            <xdr:row>8</xdr:row>
            <xdr:rowOff>2</xdr:rowOff>
          </from>
          <to>
            <xdr:col>3</xdr:col>
            <xdr:colOff>15</xdr:colOff>
            <xdr:row>12</xdr:row>
            <xdr:rowOff>2</xdr:rowOff>
          </to>
        </anchor>
      </commentPr>
    </comment>
    <comment ref="B10" authorId="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Historical!B10. SEC Company Facts / 10-K; exact accession, tag, filed date, scale and sign are stated there.</t>
        </r>
      </text>
      <commentPr locked="0" textHAlign="justify" textVAlign="top">
        <anchor>
          <from>
            <xdr:col>1</xdr:col>
            <xdr:colOff>15</xdr:colOff>
            <xdr:row>9</xdr:row>
            <xdr:rowOff>2</xdr:rowOff>
          </from>
          <to>
            <xdr:col>3</xdr:col>
            <xdr:colOff>15</xdr:colOff>
            <xdr:row>13</xdr:row>
            <xdr:rowOff>2</xdr:rowOff>
          </to>
        </anchor>
      </commentPr>
    </comment>
    <comment ref="B11" authorId="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Historical!B11. SEC Company Facts / 10-K; exact accession, tag, filed date, scale and sign are stated there.</t>
        </r>
      </text>
      <commentPr locked="0" textHAlign="justify" textVAlign="top">
        <anchor>
          <from>
            <xdr:col>1</xdr:col>
            <xdr:colOff>15</xdr:colOff>
            <xdr:row>10</xdr:row>
            <xdr:rowOff>2</xdr:rowOff>
          </from>
          <to>
            <xdr:col>3</xdr:col>
            <xdr:colOff>15</xdr:colOff>
            <xdr:row>14</xdr:row>
            <xdr:rowOff>2</xdr:rowOff>
          </to>
        </anchor>
      </commentPr>
    </comment>
    <comment ref="B12" authorId="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Historical!B12. SEC Company Facts / 10-K; exact accession, tag, filed date, scale and sign are stated there.</t>
        </r>
      </text>
      <commentPr locked="0" textHAlign="justify" textVAlign="top">
        <anchor>
          <from>
            <xdr:col>1</xdr:col>
            <xdr:colOff>15</xdr:colOff>
            <xdr:row>11</xdr:row>
            <xdr:rowOff>2</xdr:rowOff>
          </from>
          <to>
            <xdr:col>3</xdr:col>
            <xdr:colOff>15</xdr:colOff>
            <xdr:row>15</xdr:row>
            <xdr:rowOff>2</xdr:rowOff>
          </to>
        </anchor>
      </commentPr>
    </comment>
    <comment ref="B13" authorId="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Historical!B13. SEC Company Facts / 10-K; exact accession, tag, filed date, scale and sign are stated there.</t>
        </r>
      </text>
      <commentPr locked="0" textHAlign="justify" textVAlign="top">
        <anchor>
          <from>
            <xdr:col>1</xdr:col>
            <xdr:colOff>15</xdr:colOff>
            <xdr:row>12</xdr:row>
            <xdr:rowOff>2</xdr:rowOff>
          </from>
          <to>
            <xdr:col>3</xdr:col>
            <xdr:colOff>15</xdr:colOff>
            <xdr:row>16</xdr:row>
            <xdr:rowOff>2</xdr:rowOff>
          </to>
        </anchor>
      </commentPr>
    </comment>
    <comment ref="B14" authorId="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Historical!B14. SEC Company Facts / 10-K; exact accession, tag, filed date, scale and sign are stated there.</t>
        </r>
      </text>
      <commentPr locked="0" textHAlign="justify" textVAlign="top">
        <anchor>
          <from>
            <xdr:col>1</xdr:col>
            <xdr:colOff>15</xdr:colOff>
            <xdr:row>13</xdr:row>
            <xdr:rowOff>2</xdr:rowOff>
          </from>
          <to>
            <xdr:col>3</xdr:col>
            <xdr:colOff>15</xdr:colOff>
            <xdr:row>17</xdr:row>
            <xdr:rowOff>2</xdr:rowOff>
          </to>
        </anchor>
      </commentPr>
    </comment>
    <comment ref="B15" authorId="9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Historical!B15. SEC Company Facts / 10-K; exact accession, tag, filed date, scale and sign are stated there.</t>
        </r>
      </text>
      <commentPr locked="0" textHAlign="justify" textVAlign="top">
        <anchor>
          <from>
            <xdr:col>1</xdr:col>
            <xdr:colOff>15</xdr:colOff>
            <xdr:row>14</xdr:row>
            <xdr:rowOff>2</xdr:rowOff>
          </from>
          <to>
            <xdr:col>3</xdr:col>
            <xdr:colOff>15</xdr:colOff>
            <xdr:row>18</xdr:row>
            <xdr:rowOff>2</xdr:rowOff>
          </to>
        </anchor>
      </commentPr>
    </comment>
    <comment ref="C5" authorId="1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Historical!C5. SEC Company Facts / 10-K; exact accession, tag, filed date, scale and sign are stated there.</t>
        </r>
      </text>
      <commentPr locked="0" textHAlign="justify" textVAlign="top">
        <anchor>
          <from>
            <xdr:col>2</xdr:col>
            <xdr:colOff>15</xdr:colOff>
            <xdr:row>4</xdr:row>
            <xdr:rowOff>2</xdr:rowOff>
          </from>
          <to>
            <xdr:col>4</xdr:col>
            <xdr:colOff>15</xdr:colOff>
            <xdr:row>8</xdr:row>
            <xdr:rowOff>2</xdr:rowOff>
          </to>
        </anchor>
      </commentPr>
    </comment>
    <comment ref="C7" authorId="1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Historical!C7. SEC Company Facts / 10-K; exact accession, tag, filed date, scale and sign are stated there.</t>
        </r>
      </text>
      <commentPr locked="0" textHAlign="justify" textVAlign="top">
        <anchor>
          <from>
            <xdr:col>2</xdr:col>
            <xdr:colOff>15</xdr:colOff>
            <xdr:row>6</xdr:row>
            <xdr:rowOff>2</xdr:rowOff>
          </from>
          <to>
            <xdr:col>4</xdr:col>
            <xdr:colOff>15</xdr:colOff>
            <xdr:row>10</xdr:row>
            <xdr:rowOff>2</xdr:rowOff>
          </to>
        </anchor>
      </commentPr>
    </comment>
    <comment ref="C8" authorId="1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Historical!C8. SEC Company Facts / 10-K; exact accession, tag, filed date, scale and sign are stated there.</t>
        </r>
      </text>
      <commentPr locked="0" textHAlign="justify" textVAlign="top">
        <anchor>
          <from>
            <xdr:col>2</xdr:col>
            <xdr:colOff>15</xdr:colOff>
            <xdr:row>7</xdr:row>
            <xdr:rowOff>2</xdr:rowOff>
          </from>
          <to>
            <xdr:col>4</xdr:col>
            <xdr:colOff>15</xdr:colOff>
            <xdr:row>11</xdr:row>
            <xdr:rowOff>2</xdr:rowOff>
          </to>
        </anchor>
      </commentPr>
    </comment>
    <comment ref="C9" authorId="1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Historical!C9. SEC Company Facts / 10-K; exact accession, tag, filed date, scale and sign are stated there.</t>
        </r>
      </text>
      <commentPr locked="0" textHAlign="justify" textVAlign="top">
        <anchor>
          <from>
            <xdr:col>2</xdr:col>
            <xdr:colOff>15</xdr:colOff>
            <xdr:row>8</xdr:row>
            <xdr:rowOff>2</xdr:rowOff>
          </from>
          <to>
            <xdr:col>4</xdr:col>
            <xdr:colOff>15</xdr:colOff>
            <xdr:row>12</xdr:row>
            <xdr:rowOff>2</xdr:rowOff>
          </to>
        </anchor>
      </commentPr>
    </comment>
    <comment ref="C10" authorId="1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Historical!C10. SEC Company Facts / 10-K; exact accession, tag, filed date, scale and sign are stated there.</t>
        </r>
      </text>
      <commentPr locked="0" textHAlign="justify" textVAlign="top">
        <anchor>
          <from>
            <xdr:col>2</xdr:col>
            <xdr:colOff>15</xdr:colOff>
            <xdr:row>9</xdr:row>
            <xdr:rowOff>2</xdr:rowOff>
          </from>
          <to>
            <xdr:col>4</xdr:col>
            <xdr:colOff>15</xdr:colOff>
            <xdr:row>13</xdr:row>
            <xdr:rowOff>2</xdr:rowOff>
          </to>
        </anchor>
      </commentPr>
    </comment>
    <comment ref="C11" authorId="1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Historical!C11. SEC Company Facts / 10-K; exact accession, tag, filed date, scale and sign are stated there.</t>
        </r>
      </text>
      <commentPr locked="0" textHAlign="justify" textVAlign="top">
        <anchor>
          <from>
            <xdr:col>2</xdr:col>
            <xdr:colOff>15</xdr:colOff>
            <xdr:row>10</xdr:row>
            <xdr:rowOff>2</xdr:rowOff>
          </from>
          <to>
            <xdr:col>4</xdr:col>
            <xdr:colOff>15</xdr:colOff>
            <xdr:row>14</xdr:row>
            <xdr:rowOff>2</xdr:rowOff>
          </to>
        </anchor>
      </commentPr>
    </comment>
    <comment ref="C12" authorId="1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Historical!C12. SEC Company Facts / 10-K; exact accession, tag, filed date, scale and sign are stated there.</t>
        </r>
      </text>
      <commentPr locked="0" textHAlign="justify" textVAlign="top">
        <anchor>
          <from>
            <xdr:col>2</xdr:col>
            <xdr:colOff>15</xdr:colOff>
            <xdr:row>11</xdr:row>
            <xdr:rowOff>2</xdr:rowOff>
          </from>
          <to>
            <xdr:col>4</xdr:col>
            <xdr:colOff>15</xdr:colOff>
            <xdr:row>15</xdr:row>
            <xdr:rowOff>2</xdr:rowOff>
          </to>
        </anchor>
      </commentPr>
    </comment>
    <comment ref="C13" authorId="1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Historical!C13. SEC Company Facts / 10-K; exact accession, tag, filed date, scale and sign are stated there.</t>
        </r>
      </text>
      <commentPr locked="0" textHAlign="justify" textVAlign="top">
        <anchor>
          <from>
            <xdr:col>2</xdr:col>
            <xdr:colOff>15</xdr:colOff>
            <xdr:row>12</xdr:row>
            <xdr:rowOff>2</xdr:rowOff>
          </from>
          <to>
            <xdr:col>4</xdr:col>
            <xdr:colOff>15</xdr:colOff>
            <xdr:row>16</xdr:row>
            <xdr:rowOff>2</xdr:rowOff>
          </to>
        </anchor>
      </commentPr>
    </comment>
    <comment ref="C14" authorId="1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Historical!C14. SEC Company Facts / 10-K; exact accession, tag, filed date, scale and sign are stated there.</t>
        </r>
      </text>
      <commentPr locked="0" textHAlign="justify" textVAlign="top">
        <anchor>
          <from>
            <xdr:col>2</xdr:col>
            <xdr:colOff>15</xdr:colOff>
            <xdr:row>13</xdr:row>
            <xdr:rowOff>2</xdr:rowOff>
          </from>
          <to>
            <xdr:col>4</xdr:col>
            <xdr:colOff>15</xdr:colOff>
            <xdr:row>17</xdr:row>
            <xdr:rowOff>2</xdr:rowOff>
          </to>
        </anchor>
      </commentPr>
    </comment>
    <comment ref="C15" authorId="19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Historical!C15. SEC Company Facts / 10-K; exact accession, tag, filed date, scale and sign are stated there.</t>
        </r>
      </text>
      <commentPr locked="0" textHAlign="justify" textVAlign="top">
        <anchor>
          <from>
            <xdr:col>2</xdr:col>
            <xdr:colOff>15</xdr:colOff>
            <xdr:row>14</xdr:row>
            <xdr:rowOff>2</xdr:rowOff>
          </from>
          <to>
            <xdr:col>4</xdr:col>
            <xdr:colOff>15</xdr:colOff>
            <xdr:row>18</xdr:row>
            <xdr:rowOff>2</xdr:rowOff>
          </to>
        </anchor>
      </commentPr>
    </comment>
    <comment ref="D5" authorId="2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Historical!D5. SEC Company Facts / 10-K; exact accession, tag, filed date, scale and sign are stated there.</t>
        </r>
      </text>
      <commentPr locked="0" textHAlign="justify" textVAlign="top">
        <anchor>
          <from>
            <xdr:col>3</xdr:col>
            <xdr:colOff>15</xdr:colOff>
            <xdr:row>4</xdr:row>
            <xdr:rowOff>2</xdr:rowOff>
          </from>
          <to>
            <xdr:col>5</xdr:col>
            <xdr:colOff>15</xdr:colOff>
            <xdr:row>8</xdr:row>
            <xdr:rowOff>2</xdr:rowOff>
          </to>
        </anchor>
      </commentPr>
    </comment>
    <comment ref="D7" authorId="2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Historical!D7. SEC Company Facts / 10-K; exact accession, tag, filed date, scale and sign are stated there.</t>
        </r>
      </text>
      <commentPr locked="0" textHAlign="justify" textVAlign="top">
        <anchor>
          <from>
            <xdr:col>3</xdr:col>
            <xdr:colOff>15</xdr:colOff>
            <xdr:row>6</xdr:row>
            <xdr:rowOff>2</xdr:rowOff>
          </from>
          <to>
            <xdr:col>5</xdr:col>
            <xdr:colOff>15</xdr:colOff>
            <xdr:row>10</xdr:row>
            <xdr:rowOff>2</xdr:rowOff>
          </to>
        </anchor>
      </commentPr>
    </comment>
    <comment ref="D8" authorId="2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Historical!D8. SEC Company Facts / 10-K; exact accession, tag, filed date, scale and sign are stated there.</t>
        </r>
      </text>
      <commentPr locked="0" textHAlign="justify" textVAlign="top">
        <anchor>
          <from>
            <xdr:col>3</xdr:col>
            <xdr:colOff>15</xdr:colOff>
            <xdr:row>7</xdr:row>
            <xdr:rowOff>2</xdr:rowOff>
          </from>
          <to>
            <xdr:col>5</xdr:col>
            <xdr:colOff>15</xdr:colOff>
            <xdr:row>11</xdr:row>
            <xdr:rowOff>2</xdr:rowOff>
          </to>
        </anchor>
      </commentPr>
    </comment>
    <comment ref="D9" authorId="2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Historical!D9. SEC Company Facts / 10-K; exact accession, tag, filed date, scale and sign are stated there.</t>
        </r>
      </text>
      <commentPr locked="0" textHAlign="justify" textVAlign="top">
        <anchor>
          <from>
            <xdr:col>3</xdr:col>
            <xdr:colOff>15</xdr:colOff>
            <xdr:row>8</xdr:row>
            <xdr:rowOff>2</xdr:rowOff>
          </from>
          <to>
            <xdr:col>5</xdr:col>
            <xdr:colOff>15</xdr:colOff>
            <xdr:row>12</xdr:row>
            <xdr:rowOff>2</xdr:rowOff>
          </to>
        </anchor>
      </commentPr>
    </comment>
    <comment ref="D10" authorId="2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Historical!D10. SEC Company Facts / 10-K; exact accession, tag, filed date, scale and sign are stated there.</t>
        </r>
      </text>
      <commentPr locked="0" textHAlign="justify" textVAlign="top">
        <anchor>
          <from>
            <xdr:col>3</xdr:col>
            <xdr:colOff>15</xdr:colOff>
            <xdr:row>9</xdr:row>
            <xdr:rowOff>2</xdr:rowOff>
          </from>
          <to>
            <xdr:col>5</xdr:col>
            <xdr:colOff>15</xdr:colOff>
            <xdr:row>13</xdr:row>
            <xdr:rowOff>2</xdr:rowOff>
          </to>
        </anchor>
      </commentPr>
    </comment>
    <comment ref="D11" authorId="2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Historical!D11. SEC Company Facts / 10-K; exact accession, tag, filed date, scale and sign are stated there.</t>
        </r>
      </text>
      <commentPr locked="0" textHAlign="justify" textVAlign="top">
        <anchor>
          <from>
            <xdr:col>3</xdr:col>
            <xdr:colOff>15</xdr:colOff>
            <xdr:row>10</xdr:row>
            <xdr:rowOff>2</xdr:rowOff>
          </from>
          <to>
            <xdr:col>5</xdr:col>
            <xdr:colOff>15</xdr:colOff>
            <xdr:row>14</xdr:row>
            <xdr:rowOff>2</xdr:rowOff>
          </to>
        </anchor>
      </commentPr>
    </comment>
    <comment ref="D12" authorId="2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Historical!D12. SEC Company Facts / 10-K; exact accession, tag, filed date, scale and sign are stated there.</t>
        </r>
      </text>
      <commentPr locked="0" textHAlign="justify" textVAlign="top">
        <anchor>
          <from>
            <xdr:col>3</xdr:col>
            <xdr:colOff>15</xdr:colOff>
            <xdr:row>11</xdr:row>
            <xdr:rowOff>2</xdr:rowOff>
          </from>
          <to>
            <xdr:col>5</xdr:col>
            <xdr:colOff>15</xdr:colOff>
            <xdr:row>15</xdr:row>
            <xdr:rowOff>2</xdr:rowOff>
          </to>
        </anchor>
      </commentPr>
    </comment>
    <comment ref="D13" authorId="2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Historical!D13. SEC Company Facts / 10-K; exact accession, tag, filed date, scale and sign are stated there.</t>
        </r>
      </text>
      <commentPr locked="0" textHAlign="justify" textVAlign="top">
        <anchor>
          <from>
            <xdr:col>3</xdr:col>
            <xdr:colOff>15</xdr:colOff>
            <xdr:row>12</xdr:row>
            <xdr:rowOff>2</xdr:rowOff>
          </from>
          <to>
            <xdr:col>5</xdr:col>
            <xdr:colOff>15</xdr:colOff>
            <xdr:row>16</xdr:row>
            <xdr:rowOff>2</xdr:rowOff>
          </to>
        </anchor>
      </commentPr>
    </comment>
    <comment ref="D14" authorId="2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Historical!D14. SEC Company Facts / 10-K; exact accession, tag, filed date, scale and sign are stated there.</t>
        </r>
      </text>
      <commentPr locked="0" textHAlign="justify" textVAlign="top">
        <anchor>
          <from>
            <xdr:col>3</xdr:col>
            <xdr:colOff>15</xdr:colOff>
            <xdr:row>13</xdr:row>
            <xdr:rowOff>2</xdr:rowOff>
          </from>
          <to>
            <xdr:col>5</xdr:col>
            <xdr:colOff>15</xdr:colOff>
            <xdr:row>17</xdr:row>
            <xdr:rowOff>2</xdr:rowOff>
          </to>
        </anchor>
      </commentPr>
    </comment>
    <comment ref="D15" authorId="29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Historical!D15. SEC Company Facts / 10-K; exact accession, tag, filed date, scale and sign are stated there.</t>
        </r>
      </text>
      <commentPr locked="0" textHAlign="justify" textVAlign="top">
        <anchor>
          <from>
            <xdr:col>3</xdr:col>
            <xdr:colOff>15</xdr:colOff>
            <xdr:row>14</xdr:row>
            <xdr:rowOff>2</xdr:rowOff>
          </from>
          <to>
            <xdr:col>5</xdr:col>
            <xdr:colOff>15</xdr:colOff>
            <xdr:row>18</xdr:row>
            <xdr:rowOff>2</xdr:rowOff>
          </to>
        </anchor>
      </commentPr>
    </comment>
    <comment ref="E5" authorId="3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Historical!E5. SEC Company Facts / 10-K; exact accession, tag, filed date, scale and sign are stated there.</t>
        </r>
      </text>
      <commentPr locked="0" textHAlign="justify" textVAlign="top">
        <anchor>
          <from>
            <xdr:col>4</xdr:col>
            <xdr:colOff>15</xdr:colOff>
            <xdr:row>4</xdr:row>
            <xdr:rowOff>2</xdr:rowOff>
          </from>
          <to>
            <xdr:col>6</xdr:col>
            <xdr:colOff>15</xdr:colOff>
            <xdr:row>8</xdr:row>
            <xdr:rowOff>2</xdr:rowOff>
          </to>
        </anchor>
      </commentPr>
    </comment>
    <comment ref="E7" authorId="3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Historical!E7. SEC Company Facts / 10-K; exact accession, tag, filed date, scale and sign are stated there.</t>
        </r>
      </text>
      <commentPr locked="0" textHAlign="justify" textVAlign="top">
        <anchor>
          <from>
            <xdr:col>4</xdr:col>
            <xdr:colOff>15</xdr:colOff>
            <xdr:row>6</xdr:row>
            <xdr:rowOff>2</xdr:rowOff>
          </from>
          <to>
            <xdr:col>6</xdr:col>
            <xdr:colOff>15</xdr:colOff>
            <xdr:row>10</xdr:row>
            <xdr:rowOff>2</xdr:rowOff>
          </to>
        </anchor>
      </commentPr>
    </comment>
    <comment ref="E8" authorId="3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Historical!E8. SEC Company Facts / 10-K; exact accession, tag, filed date, scale and sign are stated there.</t>
        </r>
      </text>
      <commentPr locked="0" textHAlign="justify" textVAlign="top">
        <anchor>
          <from>
            <xdr:col>4</xdr:col>
            <xdr:colOff>15</xdr:colOff>
            <xdr:row>7</xdr:row>
            <xdr:rowOff>2</xdr:rowOff>
          </from>
          <to>
            <xdr:col>6</xdr:col>
            <xdr:colOff>15</xdr:colOff>
            <xdr:row>11</xdr:row>
            <xdr:rowOff>2</xdr:rowOff>
          </to>
        </anchor>
      </commentPr>
    </comment>
    <comment ref="E9" authorId="3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Historical!E9. SEC Company Facts / 10-K; exact accession, tag, filed date, scale and sign are stated there.</t>
        </r>
      </text>
      <commentPr locked="0" textHAlign="justify" textVAlign="top">
        <anchor>
          <from>
            <xdr:col>4</xdr:col>
            <xdr:colOff>15</xdr:colOff>
            <xdr:row>8</xdr:row>
            <xdr:rowOff>2</xdr:rowOff>
          </from>
          <to>
            <xdr:col>6</xdr:col>
            <xdr:colOff>15</xdr:colOff>
            <xdr:row>12</xdr:row>
            <xdr:rowOff>2</xdr:rowOff>
          </to>
        </anchor>
      </commentPr>
    </comment>
    <comment ref="E10" authorId="3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Historical!E10. SEC Company Facts / 10-K; exact accession, tag, filed date, scale and sign are stated there.</t>
        </r>
      </text>
      <commentPr locked="0" textHAlign="justify" textVAlign="top">
        <anchor>
          <from>
            <xdr:col>4</xdr:col>
            <xdr:colOff>15</xdr:colOff>
            <xdr:row>9</xdr:row>
            <xdr:rowOff>2</xdr:rowOff>
          </from>
          <to>
            <xdr:col>6</xdr:col>
            <xdr:colOff>15</xdr:colOff>
            <xdr:row>13</xdr:row>
            <xdr:rowOff>2</xdr:rowOff>
          </to>
        </anchor>
      </commentPr>
    </comment>
    <comment ref="E11" authorId="3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Historical!E11. SEC Company Facts / 10-K; exact accession, tag, filed date, scale and sign are stated there.</t>
        </r>
      </text>
      <commentPr locked="0" textHAlign="justify" textVAlign="top">
        <anchor>
          <from>
            <xdr:col>4</xdr:col>
            <xdr:colOff>15</xdr:colOff>
            <xdr:row>10</xdr:row>
            <xdr:rowOff>2</xdr:rowOff>
          </from>
          <to>
            <xdr:col>6</xdr:col>
            <xdr:colOff>15</xdr:colOff>
            <xdr:row>14</xdr:row>
            <xdr:rowOff>2</xdr:rowOff>
          </to>
        </anchor>
      </commentPr>
    </comment>
    <comment ref="E12" authorId="3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Historical!E12. SEC Company Facts / 10-K; exact accession, tag, filed date, scale and sign are stated there.</t>
        </r>
      </text>
      <commentPr locked="0" textHAlign="justify" textVAlign="top">
        <anchor>
          <from>
            <xdr:col>4</xdr:col>
            <xdr:colOff>15</xdr:colOff>
            <xdr:row>11</xdr:row>
            <xdr:rowOff>2</xdr:rowOff>
          </from>
          <to>
            <xdr:col>6</xdr:col>
            <xdr:colOff>15</xdr:colOff>
            <xdr:row>15</xdr:row>
            <xdr:rowOff>2</xdr:rowOff>
          </to>
        </anchor>
      </commentPr>
    </comment>
    <comment ref="E13" authorId="3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Historical!E13. SEC Company Facts / 10-K; exact accession, tag, filed date, scale and sign are stated there.</t>
        </r>
      </text>
      <commentPr locked="0" textHAlign="justify" textVAlign="top">
        <anchor>
          <from>
            <xdr:col>4</xdr:col>
            <xdr:colOff>15</xdr:colOff>
            <xdr:row>12</xdr:row>
            <xdr:rowOff>2</xdr:rowOff>
          </from>
          <to>
            <xdr:col>6</xdr:col>
            <xdr:colOff>15</xdr:colOff>
            <xdr:row>16</xdr:row>
            <xdr:rowOff>2</xdr:rowOff>
          </to>
        </anchor>
      </commentPr>
    </comment>
    <comment ref="E14" authorId="3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Historical!E14. SEC Company Facts / 10-K; exact accession, tag, filed date, scale and sign are stated there.</t>
        </r>
      </text>
      <commentPr locked="0" textHAlign="justify" textVAlign="top">
        <anchor>
          <from>
            <xdr:col>4</xdr:col>
            <xdr:colOff>15</xdr:colOff>
            <xdr:row>13</xdr:row>
            <xdr:rowOff>2</xdr:rowOff>
          </from>
          <to>
            <xdr:col>6</xdr:col>
            <xdr:colOff>15</xdr:colOff>
            <xdr:row>17</xdr:row>
            <xdr:rowOff>2</xdr:rowOff>
          </to>
        </anchor>
      </commentPr>
    </comment>
    <comment ref="E15" authorId="39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Historical!E15. SEC Company Facts / 10-K; exact accession, tag, filed date, scale and sign are stated there.</t>
        </r>
      </text>
      <commentPr locked="0" textHAlign="justify" textVAlign="top">
        <anchor>
          <from>
            <xdr:col>4</xdr:col>
            <xdr:colOff>15</xdr:colOff>
            <xdr:row>14</xdr:row>
            <xdr:rowOff>2</xdr:rowOff>
          </from>
          <to>
            <xdr:col>6</xdr:col>
            <xdr:colOff>15</xdr:colOff>
            <xdr:row>18</xdr:row>
            <xdr:rowOff>2</xdr:rowOff>
          </to>
        </anchor>
      </commentPr>
    </comment>
    <comment ref="F5" authorId="4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Historical!F5. SEC Company Facts / 10-K; exact accession, tag, filed date, scale and sign are stated there.</t>
        </r>
      </text>
      <commentPr locked="0" textHAlign="justify" textVAlign="top">
        <anchor>
          <from>
            <xdr:col>5</xdr:col>
            <xdr:colOff>15</xdr:colOff>
            <xdr:row>4</xdr:row>
            <xdr:rowOff>2</xdr:rowOff>
          </from>
          <to>
            <xdr:col>7</xdr:col>
            <xdr:colOff>15</xdr:colOff>
            <xdr:row>8</xdr:row>
            <xdr:rowOff>2</xdr:rowOff>
          </to>
        </anchor>
      </commentPr>
    </comment>
    <comment ref="F7" authorId="4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Historical!F7. SEC Company Facts / 10-K; exact accession, tag, filed date, scale and sign are stated there.</t>
        </r>
      </text>
      <commentPr locked="0" textHAlign="justify" textVAlign="top">
        <anchor>
          <from>
            <xdr:col>5</xdr:col>
            <xdr:colOff>15</xdr:colOff>
            <xdr:row>6</xdr:row>
            <xdr:rowOff>2</xdr:rowOff>
          </from>
          <to>
            <xdr:col>7</xdr:col>
            <xdr:colOff>15</xdr:colOff>
            <xdr:row>10</xdr:row>
            <xdr:rowOff>2</xdr:rowOff>
          </to>
        </anchor>
      </commentPr>
    </comment>
    <comment ref="F8" authorId="4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Historical!F8. SEC Company Facts / 10-K; exact accession, tag, filed date, scale and sign are stated there.</t>
        </r>
      </text>
      <commentPr locked="0" textHAlign="justify" textVAlign="top">
        <anchor>
          <from>
            <xdr:col>5</xdr:col>
            <xdr:colOff>15</xdr:colOff>
            <xdr:row>7</xdr:row>
            <xdr:rowOff>2</xdr:rowOff>
          </from>
          <to>
            <xdr:col>7</xdr:col>
            <xdr:colOff>15</xdr:colOff>
            <xdr:row>11</xdr:row>
            <xdr:rowOff>2</xdr:rowOff>
          </to>
        </anchor>
      </commentPr>
    </comment>
    <comment ref="F9" authorId="4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Historical!F9. SEC Company Facts / 10-K; exact accession, tag, filed date, scale and sign are stated there.</t>
        </r>
      </text>
      <commentPr locked="0" textHAlign="justify" textVAlign="top">
        <anchor>
          <from>
            <xdr:col>5</xdr:col>
            <xdr:colOff>15</xdr:colOff>
            <xdr:row>8</xdr:row>
            <xdr:rowOff>2</xdr:rowOff>
          </from>
          <to>
            <xdr:col>7</xdr:col>
            <xdr:colOff>15</xdr:colOff>
            <xdr:row>12</xdr:row>
            <xdr:rowOff>2</xdr:rowOff>
          </to>
        </anchor>
      </commentPr>
    </comment>
    <comment ref="F10" authorId="4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Historical!F10. SEC Company Facts / 10-K; exact accession, tag, filed date, scale and sign are stated there.</t>
        </r>
      </text>
      <commentPr locked="0" textHAlign="justify" textVAlign="top">
        <anchor>
          <from>
            <xdr:col>5</xdr:col>
            <xdr:colOff>15</xdr:colOff>
            <xdr:row>9</xdr:row>
            <xdr:rowOff>2</xdr:rowOff>
          </from>
          <to>
            <xdr:col>7</xdr:col>
            <xdr:colOff>15</xdr:colOff>
            <xdr:row>13</xdr:row>
            <xdr:rowOff>2</xdr:rowOff>
          </to>
        </anchor>
      </commentPr>
    </comment>
    <comment ref="F11" authorId="4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Historical!F11. SEC Company Facts / 10-K; exact accession, tag, filed date, scale and sign are stated there.</t>
        </r>
      </text>
      <commentPr locked="0" textHAlign="justify" textVAlign="top">
        <anchor>
          <from>
            <xdr:col>5</xdr:col>
            <xdr:colOff>15</xdr:colOff>
            <xdr:row>10</xdr:row>
            <xdr:rowOff>2</xdr:rowOff>
          </from>
          <to>
            <xdr:col>7</xdr:col>
            <xdr:colOff>15</xdr:colOff>
            <xdr:row>14</xdr:row>
            <xdr:rowOff>2</xdr:rowOff>
          </to>
        </anchor>
      </commentPr>
    </comment>
    <comment ref="F12" authorId="4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Historical!F12. SEC Company Facts / 10-K; exact accession, tag, filed date, scale and sign are stated there.</t>
        </r>
      </text>
      <commentPr locked="0" textHAlign="justify" textVAlign="top">
        <anchor>
          <from>
            <xdr:col>5</xdr:col>
            <xdr:colOff>15</xdr:colOff>
            <xdr:row>11</xdr:row>
            <xdr:rowOff>2</xdr:rowOff>
          </from>
          <to>
            <xdr:col>7</xdr:col>
            <xdr:colOff>15</xdr:colOff>
            <xdr:row>15</xdr:row>
            <xdr:rowOff>2</xdr:rowOff>
          </to>
        </anchor>
      </commentPr>
    </comment>
    <comment ref="F13" authorId="4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Historical!F13. SEC Company Facts / 10-K; exact accession, tag, filed date, scale and sign are stated there.</t>
        </r>
      </text>
      <commentPr locked="0" textHAlign="justify" textVAlign="top">
        <anchor>
          <from>
            <xdr:col>5</xdr:col>
            <xdr:colOff>15</xdr:colOff>
            <xdr:row>12</xdr:row>
            <xdr:rowOff>2</xdr:rowOff>
          </from>
          <to>
            <xdr:col>7</xdr:col>
            <xdr:colOff>15</xdr:colOff>
            <xdr:row>16</xdr:row>
            <xdr:rowOff>2</xdr:rowOff>
          </to>
        </anchor>
      </commentPr>
    </comment>
    <comment ref="F14" authorId="4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Historical!F14. SEC Company Facts / 10-K; exact accession, tag, filed date, scale and sign are stated there.</t>
        </r>
      </text>
      <commentPr locked="0" textHAlign="justify" textVAlign="top">
        <anchor>
          <from>
            <xdr:col>5</xdr:col>
            <xdr:colOff>15</xdr:colOff>
            <xdr:row>13</xdr:row>
            <xdr:rowOff>2</xdr:rowOff>
          </from>
          <to>
            <xdr:col>7</xdr:col>
            <xdr:colOff>15</xdr:colOff>
            <xdr:row>17</xdr:row>
            <xdr:rowOff>2</xdr:rowOff>
          </to>
        </anchor>
      </commentPr>
    </comment>
    <comment ref="F15" authorId="49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Historical!F15. SEC Company Facts / 10-K; exact accession, tag, filed date, scale and sign are stated there.</t>
        </r>
      </text>
      <commentPr locked="0" textHAlign="justify" textVAlign="top">
        <anchor>
          <from>
            <xdr:col>5</xdr:col>
            <xdr:colOff>15</xdr:colOff>
            <xdr:row>14</xdr:row>
            <xdr:rowOff>2</xdr:rowOff>
          </from>
          <to>
            <xdr:col>7</xdr:col>
            <xdr:colOff>15</xdr:colOff>
            <xdr:row>18</xdr:row>
            <xdr:rowOff>2</xdr:rowOff>
          </to>
        </anchor>
      </commentPr>
    </comment>
  </commentList>
</comments>
</file>

<file path=xl/sharedStrings.xml><?xml version="1.0" encoding="utf-8"?>
<sst xmlns="http://schemas.openxmlformats.org/spreadsheetml/2006/main" count="2086" uniqueCount="697">
  <si>
    <t>Amazon.com, Inc. (AMZN) — 9/10 Re-gated Institutional Model</t>
  </si>
  <si>
    <t>Owner-prepared submission; independent reviewer reproduction is required before certification</t>
  </si>
  <si>
    <t>Model snapshot</t>
  </si>
  <si>
    <t>Legal entity</t>
  </si>
  <si>
    <t>Amazon.com, Inc.</t>
  </si>
  <si>
    <t>Ticker</t>
  </si>
  <si>
    <t>AMZN</t>
  </si>
  <si>
    <t>Latest filing</t>
  </si>
  <si>
    <t>2025-12-31 10-K filed 2026-02-06</t>
  </si>
  <si>
    <t>SEC accession</t>
  </si>
  <si>
    <t>0001018724-26-000004</t>
  </si>
  <si>
    <t>Market price</t>
  </si>
  <si>
    <t>Market as-of</t>
  </si>
  <si>
    <t>2026-07-15</t>
  </si>
  <si>
    <t>Active scenario</t>
  </si>
  <si>
    <t>DCF value / share</t>
  </si>
  <si>
    <t>Upside / (downside)</t>
  </si>
  <si>
    <t>Gate decision</t>
  </si>
  <si>
    <t>What changed in the 9/10 re-gate</t>
  </si>
  <si>
    <t>1</t>
  </si>
  <si>
    <t>Replaced generic Sources sheet with target-cell provenance ledger</t>
  </si>
  <si>
    <t>2</t>
  </si>
  <si>
    <t>Replaced generic assumptions with company-specific operating drivers</t>
  </si>
  <si>
    <t>3</t>
  </si>
  <si>
    <t>Scenario selector now changes multiple operating outputs and the DCF</t>
  </si>
  <si>
    <t>4</t>
  </si>
  <si>
    <t>Debt, liquid assets and share-count valuation bridges are explicit</t>
  </si>
  <si>
    <t>5</t>
  </si>
  <si>
    <t>Checks are formula-driven; Gate_9of10 states owner evidence and review status</t>
  </si>
  <si>
    <t>6</t>
  </si>
  <si>
    <t>All original workbook files remain preserved; this is a new derivative output</t>
  </si>
  <si>
    <t>Amazon.com, Inc. — Source Provenance Ledger</t>
  </si>
  <si>
    <t>Every populated hardcoded historical or driver input is mapped to a target cell with period, value, unit, taxonomy/locator, accession and exact URL.</t>
  </si>
  <si>
    <t>Source ID</t>
  </si>
  <si>
    <t>Legal Entity</t>
  </si>
  <si>
    <t>Target Cell</t>
  </si>
  <si>
    <t>Metric</t>
  </si>
  <si>
    <t>Period / As-of</t>
  </si>
  <si>
    <t>Reported Value</t>
  </si>
  <si>
    <t>Units</t>
  </si>
  <si>
    <t>Currency</t>
  </si>
  <si>
    <t>Taxonomy / Locator</t>
  </si>
  <si>
    <t>Start</t>
  </si>
  <si>
    <t>End</t>
  </si>
  <si>
    <t>FY / FP</t>
  </si>
  <si>
    <t>Form</t>
  </si>
  <si>
    <t>Filed</t>
  </si>
  <si>
    <t>Accession</t>
  </si>
  <si>
    <t>Exact URL</t>
  </si>
  <si>
    <t>Retrieved</t>
  </si>
  <si>
    <t>Source Class</t>
  </si>
  <si>
    <t>Transform / Mapping</t>
  </si>
  <si>
    <t>Verification</t>
  </si>
  <si>
    <t>Limitation / Disposition</t>
  </si>
  <si>
    <t>Complete?</t>
  </si>
  <si>
    <t>Historical!B5</t>
  </si>
  <si>
    <t>Revenue</t>
  </si>
  <si>
    <t>2021A</t>
  </si>
  <si>
    <t>USD millions</t>
  </si>
  <si>
    <t>USD</t>
  </si>
  <si>
    <t>us-gaap:RevenueFromContractWithCustomerExcludingAssessedTax</t>
  </si>
  <si>
    <t>2021-01-01</t>
  </si>
  <si>
    <t>2021-12-31</t>
  </si>
  <si>
    <t>2023/FY</t>
  </si>
  <si>
    <t>10-K</t>
  </si>
  <si>
    <t>2024-02-02</t>
  </si>
  <si>
    <t>0001018724-24-000008</t>
  </si>
  <si>
    <t>https://www.sec.gov/Archives/edgar/data/1018724/000101872424000008/0001018724-24-000008-index.htm</t>
  </si>
  <si>
    <t>2026-07-16</t>
  </si>
  <si>
    <t>Primary - SEC filing / Company Facts</t>
  </si>
  <si>
    <t>USD divided by 1,000,000; sign as presented</t>
  </si>
  <si>
    <t>Matched legal entity, period, form, filed date, accession and target</t>
  </si>
  <si>
    <t>None identified</t>
  </si>
  <si>
    <t>Historical!C5</t>
  </si>
  <si>
    <t>2022A</t>
  </si>
  <si>
    <t>2022-01-01</t>
  </si>
  <si>
    <t>2022-12-31</t>
  </si>
  <si>
    <t>2024/FY</t>
  </si>
  <si>
    <t>2025-02-07</t>
  </si>
  <si>
    <t>0001018724-25-000004</t>
  </si>
  <si>
    <t>https://www.sec.gov/Archives/edgar/data/1018724/000101872425000004/0001018724-25-000004-index.htm</t>
  </si>
  <si>
    <t>Historical!D5</t>
  </si>
  <si>
    <t>2023A</t>
  </si>
  <si>
    <t>2023-01-01</t>
  </si>
  <si>
    <t>2023-12-31</t>
  </si>
  <si>
    <t>2025/FY</t>
  </si>
  <si>
    <t>2026-02-06</t>
  </si>
  <si>
    <t>https://www.sec.gov/Archives/edgar/data/1018724/000101872426000004/0001018724-26-000004-index.htm</t>
  </si>
  <si>
    <t>Historical!E5</t>
  </si>
  <si>
    <t>2024A</t>
  </si>
  <si>
    <t>2024-01-01</t>
  </si>
  <si>
    <t>2024-12-31</t>
  </si>
  <si>
    <t>Historical!F5</t>
  </si>
  <si>
    <t>2025A</t>
  </si>
  <si>
    <t>2025-01-01</t>
  </si>
  <si>
    <t>2025-12-31</t>
  </si>
  <si>
    <t>Historical!B7</t>
  </si>
  <si>
    <t>Operating income / EBIT</t>
  </si>
  <si>
    <t>us-gaap:OperatingIncomeLoss</t>
  </si>
  <si>
    <t>Historical!C7</t>
  </si>
  <si>
    <t>Historical!D7</t>
  </si>
  <si>
    <t>Historical!E7</t>
  </si>
  <si>
    <t>Historical!F7</t>
  </si>
  <si>
    <t>Historical!B8</t>
  </si>
  <si>
    <t>Net income</t>
  </si>
  <si>
    <t>us-gaap:NetIncomeLoss</t>
  </si>
  <si>
    <t>Historical!C8</t>
  </si>
  <si>
    <t>Historical!D8</t>
  </si>
  <si>
    <t>Historical!E8</t>
  </si>
  <si>
    <t>Historical!F8</t>
  </si>
  <si>
    <t>Historical!B9</t>
  </si>
  <si>
    <t>Cash from operations</t>
  </si>
  <si>
    <t>us-gaap:NetCashProvidedByUsedInOperatingActivities</t>
  </si>
  <si>
    <t>Historical!C9</t>
  </si>
  <si>
    <t>Historical!D9</t>
  </si>
  <si>
    <t>Historical!E9</t>
  </si>
  <si>
    <t>Historical!F9</t>
  </si>
  <si>
    <t>Historical!B10</t>
  </si>
  <si>
    <t>Capital expenditures</t>
  </si>
  <si>
    <t>us-gaap:PaymentsToAcquireProductiveAssets</t>
  </si>
  <si>
    <t>Historical!C10</t>
  </si>
  <si>
    <t>Historical!D10</t>
  </si>
  <si>
    <t>Historical!E10</t>
  </si>
  <si>
    <t>Historical!F10</t>
  </si>
  <si>
    <t>Historical!B11</t>
  </si>
  <si>
    <t>Total assets</t>
  </si>
  <si>
    <t>us-gaap:Assets</t>
  </si>
  <si>
    <t>N/A - instant</t>
  </si>
  <si>
    <t>Historical!C11</t>
  </si>
  <si>
    <t>Historical!D11</t>
  </si>
  <si>
    <t>Historical!E11</t>
  </si>
  <si>
    <t>Historical!F11</t>
  </si>
  <si>
    <t>Historical!B12</t>
  </si>
  <si>
    <t>Shareholders' equity</t>
  </si>
  <si>
    <t>us-gaap:StockholdersEquity</t>
  </si>
  <si>
    <t>Historical!C12</t>
  </si>
  <si>
    <t>Historical!D12</t>
  </si>
  <si>
    <t>Historical!E12</t>
  </si>
  <si>
    <t>Historical!F12</t>
  </si>
  <si>
    <t>Historical!B13</t>
  </si>
  <si>
    <t>Cash and equivalents</t>
  </si>
  <si>
    <t>us-gaap:CashAndCashEquivalentsAtCarryingValue</t>
  </si>
  <si>
    <t>2022/FY</t>
  </si>
  <si>
    <t>2023-02-03</t>
  </si>
  <si>
    <t>0001018724-23-000004</t>
  </si>
  <si>
    <t>https://www.sec.gov/Archives/edgar/data/1018724/000101872423000004/0001018724-23-000004-index.htm</t>
  </si>
  <si>
    <t>Historical!C13</t>
  </si>
  <si>
    <t>Historical!D13</t>
  </si>
  <si>
    <t>Historical!E13</t>
  </si>
  <si>
    <t>Historical!F13</t>
  </si>
  <si>
    <t>Historical!B14</t>
  </si>
  <si>
    <t>Total debt</t>
  </si>
  <si>
    <t>us-gaap:LongTermDebt</t>
  </si>
  <si>
    <t>Historical!C14</t>
  </si>
  <si>
    <t>Historical!D14</t>
  </si>
  <si>
    <t>Historical!E14</t>
  </si>
  <si>
    <t>Historical!F14</t>
  </si>
  <si>
    <t>Historical!B15</t>
  </si>
  <si>
    <t>Diluted weighted-average shares</t>
  </si>
  <si>
    <t>million shares</t>
  </si>
  <si>
    <t>N/A</t>
  </si>
  <si>
    <t>us-gaap:WeightedAverageNumberOfDilutedSharesOutstanding</t>
  </si>
  <si>
    <t>Shares divided by 1,000,000; sign as presented</t>
  </si>
  <si>
    <t>Historical!C15</t>
  </si>
  <si>
    <t>Historical!D15</t>
  </si>
  <si>
    <t>Historical!E15</t>
  </si>
  <si>
    <t>Historical!F15</t>
  </si>
  <si>
    <t>Historical!B20</t>
  </si>
  <si>
    <t>Share count used in DCF</t>
  </si>
  <si>
    <t>2026-01-28</t>
  </si>
  <si>
    <t>dei:EntityCommonStockSharesOutstanding</t>
  </si>
  <si>
    <t>FY</t>
  </si>
  <si>
    <t>Shares divided by 1,000,000; used as per-share denominator</t>
  </si>
  <si>
    <t>Point-in-time cover shares; not weighted-average shares</t>
  </si>
  <si>
    <t>Historical!B24</t>
  </si>
  <si>
    <t>Current marketable securities</t>
  </si>
  <si>
    <t>us-gaap:MarketableSecuritiesCurrent</t>
  </si>
  <si>
    <t>USD divided by 1,000,000; included in DCF liquid assets</t>
  </si>
  <si>
    <t>Historical!B26</t>
  </si>
  <si>
    <t>Short-term borrowings</t>
  </si>
  <si>
    <t>us-gaap:ShortTermBorrowings</t>
  </si>
  <si>
    <t>USD divided by 1,000,000; added to long-term debt in DCF bridge</t>
  </si>
  <si>
    <t>Sector_KPIs!B5</t>
  </si>
  <si>
    <t>North America revenue</t>
  </si>
  <si>
    <t>10-K table:2025 Form 10-K segment table</t>
  </si>
  <si>
    <t>Annual period</t>
  </si>
  <si>
    <t>https://www.sec.gov/Archives/edgar/data/1018724/000101872426000004/amzn-20251231.htm</t>
  </si>
  <si>
    <t>Reported table value transcribed exactly; sign as presented</t>
  </si>
  <si>
    <t>Sector_KPIs!C5</t>
  </si>
  <si>
    <t>Sector_KPIs!D5</t>
  </si>
  <si>
    <t>Sector_KPIs!B6</t>
  </si>
  <si>
    <t>International revenue</t>
  </si>
  <si>
    <t>Sector_KPIs!C6</t>
  </si>
  <si>
    <t>Sector_KPIs!D6</t>
  </si>
  <si>
    <t>Sector_KPIs!B7</t>
  </si>
  <si>
    <t>AWS revenue</t>
  </si>
  <si>
    <t>Sector_KPIs!C7</t>
  </si>
  <si>
    <t>Sector_KPIs!D7</t>
  </si>
  <si>
    <t>Sector_KPIs!B9</t>
  </si>
  <si>
    <t>North America operating income</t>
  </si>
  <si>
    <t>Sector_KPIs!C9</t>
  </si>
  <si>
    <t>Sector_KPIs!D9</t>
  </si>
  <si>
    <t>Sector_KPIs!B10</t>
  </si>
  <si>
    <t>International operating income</t>
  </si>
  <si>
    <t>Sector_KPIs!C10</t>
  </si>
  <si>
    <t>Sector_KPIs!D10</t>
  </si>
  <si>
    <t>Sector_KPIs!B11</t>
  </si>
  <si>
    <t>AWS operating income</t>
  </si>
  <si>
    <t>Sector_KPIs!C11</t>
  </si>
  <si>
    <t>Sector_KPIs!D11</t>
  </si>
  <si>
    <t>Valuation!G19</t>
  </si>
  <si>
    <t>Market close</t>
  </si>
  <si>
    <t>USD per share</t>
  </si>
  <si>
    <t>Secondary market:Historical daily close</t>
  </si>
  <si>
    <t>Market data</t>
  </si>
  <si>
    <t>N/A - market data</t>
  </si>
  <si>
    <t>https://www.advfn.com/stock-market/NASDAQ/AMZN/historical/more-historical-data</t>
  </si>
  <si>
    <t>Secondary - dated market close</t>
  </si>
  <si>
    <t>Closing price as displayed; no FX</t>
  </si>
  <si>
    <t>Date and close matched on cited historical-price surface</t>
  </si>
  <si>
    <t>Secondary market source; refresh before transaction use</t>
  </si>
  <si>
    <t>Ledger completeness</t>
  </si>
  <si>
    <t>Amazon.com, Inc. — Historical Financials</t>
  </si>
  <si>
    <t>SEC 10-K / Company Facts lineage; USD millions except per-share data and shares</t>
  </si>
  <si>
    <t>Gross profit</t>
  </si>
  <si>
    <t>Bridge policy</t>
  </si>
  <si>
    <t>Latest balance-sheet cash policy</t>
  </si>
  <si>
    <t>Liquid assets used in DCF</t>
  </si>
  <si>
    <t>Debt used in DCF</t>
  </si>
  <si>
    <t>Amazon valuation bridge</t>
  </si>
  <si>
    <t>Policy</t>
  </si>
  <si>
    <t>USD m</t>
  </si>
  <si>
    <t>Source</t>
  </si>
  <si>
    <t>Status</t>
  </si>
  <si>
    <t>Included</t>
  </si>
  <si>
    <t>Historical latest balance</t>
  </si>
  <si>
    <t>Formula link</t>
  </si>
  <si>
    <t>OK</t>
  </si>
  <si>
    <t>Long-term debt</t>
  </si>
  <si>
    <t>Amazon.com, Inc. — Scenario Assumptions</t>
  </si>
  <si>
    <t>Selector drives operating revenues/margins and the DCF; blue/amber cells are editable inputs</t>
  </si>
  <si>
    <t>Scenario selector (1 Base / 2 Bull / 3 Bear)</t>
  </si>
  <si>
    <t>Input</t>
  </si>
  <si>
    <t>Formula</t>
  </si>
  <si>
    <t>Assumption</t>
  </si>
  <si>
    <t>Base</t>
  </si>
  <si>
    <t>Bull</t>
  </si>
  <si>
    <t>Bear</t>
  </si>
  <si>
    <t>Active</t>
  </si>
  <si>
    <t>Rationale / evidence</t>
  </si>
  <si>
    <t>North America revenue growth</t>
  </si>
  <si>
    <t>%</t>
  </si>
  <si>
    <t>2025 segment revenue USD 426,305m</t>
  </si>
  <si>
    <t>International revenue growth</t>
  </si>
  <si>
    <t>2025 segment revenue USD 161,894m</t>
  </si>
  <si>
    <t>AWS revenue growth</t>
  </si>
  <si>
    <t>2025 AWS revenue USD 128,725m</t>
  </si>
  <si>
    <t>North America operating margin</t>
  </si>
  <si>
    <t>2025 reported 6.9%; normalized scenario</t>
  </si>
  <si>
    <t>International operating margin</t>
  </si>
  <si>
    <t>2025 reported 2.9%; normalized scenario</t>
  </si>
  <si>
    <t>AWS operating margin</t>
  </si>
  <si>
    <t>2025 reported 35.4%; normalized scenario</t>
  </si>
  <si>
    <t>Cash tax rate</t>
  </si>
  <si>
    <t>Normalized cash tax rate</t>
  </si>
  <si>
    <t>D&amp;A as % revenue</t>
  </si>
  <si>
    <t>Normalized D&amp;A intensity</t>
  </si>
  <si>
    <t>Capex as % revenue</t>
  </si>
  <si>
    <t>AI and fulfillment infrastructure intensity</t>
  </si>
  <si>
    <t>NWC investment / revenue growth</t>
  </si>
  <si>
    <t>FCFF working-capital policy</t>
  </si>
  <si>
    <t>WACC</t>
  </si>
  <si>
    <t>DCF discount-rate scenario</t>
  </si>
  <si>
    <t>Terminal growth</t>
  </si>
  <si>
    <t>DCF perpetual-growth scenario</t>
  </si>
  <si>
    <t>Amazon.com, Inc. — Operating Forecast</t>
  </si>
  <si>
    <t>Scenario-linked driver build; USD millions except shares and per-share data</t>
  </si>
  <si>
    <t>2026E</t>
  </si>
  <si>
    <t>2027E</t>
  </si>
  <si>
    <t>2028E</t>
  </si>
  <si>
    <t>2029E</t>
  </si>
  <si>
    <t>2030E</t>
  </si>
  <si>
    <t>Total revenue</t>
  </si>
  <si>
    <t>EBIT</t>
  </si>
  <si>
    <t>Cash taxes</t>
  </si>
  <si>
    <t>NOPAT</t>
  </si>
  <si>
    <t>D&amp;A</t>
  </si>
  <si>
    <t>Change in NWC</t>
  </si>
  <si>
    <t>FCFF</t>
  </si>
  <si>
    <t>Amazon.com, Inc. — DCF Valuation</t>
  </si>
  <si>
    <t>Unlevered FCFF; liquid-asset and debt bridge policies are explicit</t>
  </si>
  <si>
    <t>*** NO CLIENT-FACING (flagged 2026-08-14) *** DCF implies -76.0% vs market ($61.19 vs $254.96, market as-of 2026-07-15). This is NOT a formula error: the DCF arithmetic, bridge and per-share identity all reperform exactly. The driver is the operating assumption set. Capex is held at 13.0% of revenue in perpetuity while D&amp;A is 5.8%, a permanent 7.2pp-of-revenue wedge (2030E: capex 152,096 vs D&amp;A 67,858) carried into terminal value. Even forcing terminal capex to ZERO yields only $203.81/sh (-20% vs market), so no single input explains the gap. Market price implies terminal FCFF ~254,358 (21.7% of 2030E revenue) vs the model's 47,711 (4.1%). The whole Sensitivity grid (WACC 8.0-11.0%, TGR 1.5-3.5%) spans only $46.62-$81.39, so the gap is not a discount-rate question. Assumptions unrefreshed since build 2026-07-17 and the market quote is stale. Review Assumptions!C14 (D&amp;A intensity, below Amazon's own ~8%+ historical run-rate) and C15 (capex intensity) and refresh the market date before ANY use.</t>
  </si>
  <si>
    <t>DCF item</t>
  </si>
  <si>
    <t>Year 1</t>
  </si>
  <si>
    <t>Year 2</t>
  </si>
  <si>
    <t>Year 3</t>
  </si>
  <si>
    <t>Year 4</t>
  </si>
  <si>
    <t>Year 5</t>
  </si>
  <si>
    <t>Bridge / output</t>
  </si>
  <si>
    <t>Discount period</t>
  </si>
  <si>
    <t>Discount factor</t>
  </si>
  <si>
    <t>Present value of FCFF</t>
  </si>
  <si>
    <t>Terminal value</t>
  </si>
  <si>
    <t>PV of terminal value</t>
  </si>
  <si>
    <t>Enterprise value</t>
  </si>
  <si>
    <t>Liquid assets</t>
  </si>
  <si>
    <t>Debt</t>
  </si>
  <si>
    <t>Equity value</t>
  </si>
  <si>
    <t>Shares outstanding / diluted policy</t>
  </si>
  <si>
    <t>Per-share outputs</t>
  </si>
  <si>
    <t>Bridge note (2026-08-14): Historical!A14 labels the 68,836 figure 'Total debt' while Historical!A25 relabels the same linked cell 'Long-term debt' and then adds 'Short-term borrowings' of 455 on top (Historical!B26). If 68,836 is genuinely total debt, the bridge double-counts 455 (immaterial at ~$0.04/sh, but the label conflict must be resolved against the 10-K). Not corrected here: the correct reading cannot be determined without the source filing. Amazon finance/operating lease liabilities are NOT in the debt bridge; that is defensible only if EBIT is stated after lease expense - confirm before relying on the EV bridge.</t>
  </si>
  <si>
    <t>Amazon.com, Inc. — DCF Sensitivity</t>
  </si>
  <si>
    <t>Implied value per share across WACC and terminal-growth assumptions</t>
  </si>
  <si>
    <t>WACC / TGR</t>
  </si>
  <si>
    <t>Central cross-check</t>
  </si>
  <si>
    <t>Active WACC</t>
  </si>
  <si>
    <t>Active TGR</t>
  </si>
  <si>
    <t>Active DCF value/share</t>
  </si>
  <si>
    <t>Amazon.com, Inc. — Model Checks</t>
  </si>
  <si>
    <t>Overall status is formula-driven from assertions; source completeness is linked to the provenance ledger</t>
  </si>
  <si>
    <t>Assertion</t>
  </si>
  <si>
    <t>Actual</t>
  </si>
  <si>
    <t>Expected</t>
  </si>
  <si>
    <t>Difference</t>
  </si>
  <si>
    <t>Tolerance</t>
  </si>
  <si>
    <t>Fix hint</t>
  </si>
  <si>
    <t>Source ledger complete</t>
  </si>
  <si>
    <t>Complete every mandatory provenance field</t>
  </si>
  <si>
    <t>Scenario selector valid</t>
  </si>
  <si>
    <t>Set Assumptions!B3 to 1, 2 or 3</t>
  </si>
  <si>
    <t>Forecast revenue positive</t>
  </si>
  <si>
    <t>Inspect revenue-driver formulas</t>
  </si>
  <si>
    <t>Five EBIT periods populated</t>
  </si>
  <si>
    <t>Inspect margin and opex build</t>
  </si>
  <si>
    <t>Five FCFF periods populated</t>
  </si>
  <si>
    <t>Inspect NOPAT, D&amp;A, capex and NWC</t>
  </si>
  <si>
    <t>Latest historical capex source present</t>
  </si>
  <si>
    <t>Historical inputs are positive as reported; forecast expense/capex anchors are negative model outflows</t>
  </si>
  <si>
    <t>DCF equity bridge</t>
  </si>
  <si>
    <t>Inspect EV, liquid assets and total debt</t>
  </si>
  <si>
    <t>DCF per-share identity</t>
  </si>
  <si>
    <t>Inspect shares bridge</t>
  </si>
  <si>
    <t>Market price positive and sourced</t>
  </si>
  <si>
    <t>Update the dated market source row in Sources</t>
  </si>
  <si>
    <t>Overall status</t>
  </si>
  <si>
    <t>Amazon.com, Inc. — Company Operating Drivers</t>
  </si>
  <si>
    <t>Company-specific reported driver history; formulas reconcile the model totals to historical revenue where applicable</t>
  </si>
  <si>
    <t>Source / locator</t>
  </si>
  <si>
    <t>2025 Form 10-K segment table</t>
  </si>
  <si>
    <t>Reported</t>
  </si>
  <si>
    <t>Segment revenue total</t>
  </si>
  <si>
    <t>Sum of segments</t>
  </si>
  <si>
    <t>Segment operating income total</t>
  </si>
  <si>
    <t>Amazon.com, Inc. — Change Log</t>
  </si>
  <si>
    <t>Re-gating work performed without overwriting the prior workbook</t>
  </si>
  <si>
    <t>Timestamp (UTC)</t>
  </si>
  <si>
    <t>Scope</t>
  </si>
  <si>
    <t>Change</t>
  </si>
  <si>
    <t>Evidence</t>
  </si>
  <si>
    <t>Prior hash</t>
  </si>
  <si>
    <t>Preparer</t>
  </si>
  <si>
    <t>Disposition</t>
  </si>
  <si>
    <t>Build 2026-07-17T02:34:47.073Z</t>
  </si>
  <si>
    <t>Source lineage</t>
  </si>
  <si>
    <t>Added line-item target-cell provenance ledger</t>
  </si>
  <si>
    <t>Sources + SEC Company Facts / 10-K</t>
  </si>
  <si>
    <t>753575f7be955a16d618d11d62214eaa1a63859ebcea30ec5c4534606d0dc5d6</t>
  </si>
  <si>
    <t>Codex</t>
  </si>
  <si>
    <t>Ready for independent review</t>
  </si>
  <si>
    <t>Operating model</t>
  </si>
  <si>
    <t>Added company-specific revenue and margin drivers</t>
  </si>
  <si>
    <t>Sector_KPIs, Assumptions, Forecast</t>
  </si>
  <si>
    <t>Valuation</t>
  </si>
  <si>
    <t>Rebuilt FCFF DCF, bridge and sensitivity</t>
  </si>
  <si>
    <t>Valuation + Sensitivity</t>
  </si>
  <si>
    <t>Governance</t>
  </si>
  <si>
    <t>Added formula-driven checks and Gate_9of10</t>
  </si>
  <si>
    <t>Checks + Gate_9of10</t>
  </si>
  <si>
    <t>Owner submission only</t>
  </si>
  <si>
    <t>Ola 2 elevation: added audited FY2021-FY2025 statement sheets IS_Hist/BS_Hist/CF_Hist/SCE_Hist (USD mm, filed/reported constants; FY2021 sub-line gaps flagged and residual-derived from exact totals, never invented), Checks_TieOut (20 tie-outs incl. cross-statement + cash continuity, all PASS), Sources_Audited (filing-level provenance + gap disclosure). Existing Historical/Assumptions/Forecast/Sensitivity/Valuation/Checks/Sources/Gate_9of10/00_Cover sheets preserved untouched (Forecast already driver-built FY2026E-30E with Base/Bull/Bear scenario switch on Assumptions!B3, ties to FY2025A base in IS_Hist). Built via Mog SDK only; root model untouched, v2 saved under the maintainer's archive.</t>
  </si>
  <si>
    <t>Claude (run 24e4a1f1)</t>
  </si>
  <si>
    <t>Audit 2026-08-14</t>
  </si>
  <si>
    <t>Valuation / governance</t>
  </si>
  <si>
    <t>DCF -76% vs market diagnosed. NO assumptions, drivers or historicals changed. Arithmetic reperformed and confirmed exact (EV, bridge, per-share). Root cause is the operating assumption set, dominated by capex held at 13.0% of revenue in perpetuity vs D&amp;A 5.8%; even zero terminal capex only reaches $203.81/sh vs $254.96 market, so no single input explains the gap. Added visible NO CLIENT-FACING warning at Valuation!A3 and a debt-bridge label note at Valuation!A23. Open item: Historical!A14 labels 68,836 as Total debt while Historical!A25 relabels it Long-term debt and adds 455 of short-term borrowings on top - resolve against the 10-K.</t>
  </si>
  <si>
    <t>Valuation!A3, Valuation!A23; Sensitivity!B5:F9 grid spans $46.62-$81.39 only</t>
  </si>
  <si>
    <t>2d4cc8272747a77fef0fe40926eaa203277edf204672b8ec0d0262eb0e81eb76</t>
  </si>
  <si>
    <t>Claude Opus 5 (auditoria Ola 2)</t>
  </si>
  <si>
    <t>BLOCKED FOR CLIENT USE - assumptions refresh required</t>
  </si>
  <si>
    <t>Amazon.com, Inc. — Gate 9/10 Owner Submission</t>
  </si>
  <si>
    <t>Independent review is a separate role; this sheet does not self-certify the workbook</t>
  </si>
  <si>
    <t>Gate</t>
  </si>
  <si>
    <t>Weight</t>
  </si>
  <si>
    <t>Owner status</t>
  </si>
  <si>
    <t>Blocker class</t>
  </si>
  <si>
    <t>Exact evidence range</t>
  </si>
  <si>
    <t>Native / visual evidence</t>
  </si>
  <si>
    <t>Independent action</t>
  </si>
  <si>
    <t>Notes</t>
  </si>
  <si>
    <t>H0 Controlled lineage / package</t>
  </si>
  <si>
    <t>PASS</t>
  </si>
  <si>
    <t>Change_Log!A4:G8; final .xlsx</t>
  </si>
  <si>
    <t>Prior hash preserved; OOXML integrity PASS 2026-07-17T02:36:50.237Z</t>
  </si>
  <si>
    <t>Reproduce lineage and package test</t>
  </si>
  <si>
    <t>Final JSON carries prior and final hashes</t>
  </si>
  <si>
    <t>H1 Source fidelity</t>
  </si>
  <si>
    <t>Sources!A4:V500</t>
  </si>
  <si>
    <t>SEC target-cell ledger + formula completeness</t>
  </si>
  <si>
    <t>Sample and reproduce ledger mappings</t>
  </si>
  <si>
    <t>Every populated hardcoded historical/driver cell mapped</t>
  </si>
  <si>
    <t>H2 Historical / formula / schedule mechanics</t>
  </si>
  <si>
    <t>Historical!A4:F26; Forecast!A4:G30</t>
  </si>
  <si>
    <t>Five-year historicals and formula-driven operating build</t>
  </si>
  <si>
    <t>Reperform historical and forecast ties</t>
  </si>
  <si>
    <t>Reported values preserved; forecast cells formula-driven</t>
  </si>
  <si>
    <t>H3 Scenario / sensitivity</t>
  </si>
  <si>
    <t>Assumptions!A3:G30; Sensitivity!A4:G14</t>
  </si>
  <si>
    <t>Base/Bull/Bear selector + dynamic DCF sensitivity</t>
  </si>
  <si>
    <t>Perturb selector 1/2/3 and reset to 1</t>
  </si>
  <si>
    <t>Evidence JSON records exact outputs</t>
  </si>
  <si>
    <t>H4 Valuation fit / mechanics</t>
  </si>
  <si>
    <t>Valuation!A4:G21; Historical!A17:F26</t>
  </si>
  <si>
    <t>FCFF, bridge and per-share DCF</t>
  </si>
  <si>
    <t>Reperform DCF and balance-sheet bridge</t>
  </si>
  <si>
    <t>Debt/liquid asset/share policies explicit</t>
  </si>
  <si>
    <t>H5 Checks / error state</t>
  </si>
  <si>
    <t>Checks!A4:G14</t>
  </si>
  <si>
    <t>Formula-driven checks OK and zero formula-error matches 2026-07-17T02:35:35.817Z</t>
  </si>
  <si>
    <t>Reproduce checks and formula-error scan</t>
  </si>
  <si>
    <t>Final scan repeated after gate promotion</t>
  </si>
  <si>
    <t>H6 Native recalc / reproducibility</t>
  </si>
  <si>
    <t>LibreOfficeDev 26.8.0.0.alpha0 2c87e51eeaa2b413ff4ae097b2705eea1995d8e5; save/reopen completed 2026-07-17T02:35:35.817Z</t>
  </si>
  <si>
    <t>Reopen and reproduce in native engine</t>
  </si>
  <si>
    <t>Final recalc repeated after gate promotion; evidence JSON carries hashes</t>
  </si>
  <si>
    <t>H7 Post-recalc all-sheet visual QA</t>
  </si>
  <si>
    <t>internal QA evidence (not published)</t>
  </si>
  <si>
    <t>All 11 sheets rendered in preflight 2026-07-17T02:35:35.817Z; final render repeated after promotion</t>
  </si>
  <si>
    <t>Inspect preview manifest</t>
  </si>
  <si>
    <t>Final JSON carries per-sheet manifest</t>
  </si>
  <si>
    <t>H8 Material economic upgrade</t>
  </si>
  <si>
    <t>Sector_KPIs!A4:G40; Assumptions!A6:G30; Forecast!A4:G30</t>
  </si>
  <si>
    <t>Company-specific driver and margin build</t>
  </si>
  <si>
    <t>Challenge economic usefulness</t>
  </si>
  <si>
    <t>No relabel-only sector shell</t>
  </si>
  <si>
    <t>H9 Governance / limitations / handoff</t>
  </si>
  <si>
    <t>Change_Log!A4:G8; Gate_9of10!A4:H26</t>
  </si>
  <si>
    <t>Owner/reviewer separation and limitations explicit</t>
  </si>
  <si>
    <t>Assign independent reviewer</t>
  </si>
  <si>
    <t>No self-certification; evidence JSON is handoff surface</t>
  </si>
  <si>
    <t>Owner score</t>
  </si>
  <si>
    <t>Decision</t>
  </si>
  <si>
    <t>Overall model status</t>
  </si>
  <si>
    <t>Native recalculation / review metadata</t>
  </si>
  <si>
    <t>Build timestamp UTC</t>
  </si>
  <si>
    <t>Required native engine</t>
  </si>
  <si>
    <t>LibreOfficeDev 26.8.0.0.alpha0 2c87e51eeaa2b413ff4ae097b2705eea1995d8e5</t>
  </si>
  <si>
    <t>Final native timestamp</t>
  </si>
  <si>
    <t>Native preflight 2026-07-17T02:35:35.817Z; final recalc after promotion 2026-07-17T02:36:52.069Z</t>
  </si>
  <si>
    <t>Visual manifest</t>
  </si>
  <si>
    <t>Evidence manifest</t>
  </si>
  <si>
    <t>Independent certification</t>
  </si>
  <si>
    <t>Not performed by owner-preparer</t>
  </si>
  <si>
    <t>Amazon.com, Inc. — Consolidated Statements of Operations (audited/filed)</t>
  </si>
  <si>
    <t>USD millions except per-share/shares. Native reporting currency = USD (no FX layer needed). FY2023-25: FY2025 10-K (accn 0001018724-26-000004). FY2022-24 cross-checked vs FY2024 10-K Financial_Report.xlsx. FY2021: SEC companyfacts.json us-gaap tags (accn 0001018724-22-000005).</t>
  </si>
  <si>
    <t>Line item</t>
  </si>
  <si>
    <t>FY2021A</t>
  </si>
  <si>
    <t>FY2022A</t>
  </si>
  <si>
    <t>FY2023A</t>
  </si>
  <si>
    <t>FY2024A</t>
  </si>
  <si>
    <t>FY2025A</t>
  </si>
  <si>
    <t>Source / citation</t>
  </si>
  <si>
    <t>Total net sales</t>
  </si>
  <si>
    <t>Operating expenses</t>
  </si>
  <si>
    <t>Cost of sales</t>
  </si>
  <si>
    <t>us-gaap:CostOfGoodsAndServicesSold</t>
  </si>
  <si>
    <t>Fulfillment</t>
  </si>
  <si>
    <t>amzn:FulfillmentExpense (n/a FY21 — custom tag not in companyfacts pkg)</t>
  </si>
  <si>
    <t>Technology and infrastructure</t>
  </si>
  <si>
    <t>amzn:TechnologyAndInfrastructureExpense (n/a FY21)</t>
  </si>
  <si>
    <t>Sales and marketing</t>
  </si>
  <si>
    <t>amzn:custom (n/a FY21)</t>
  </si>
  <si>
    <t>General and administrative</t>
  </si>
  <si>
    <t>us-gaap:GeneralAndAdministrativeExpense (n/a FY21)</t>
  </si>
  <si>
    <t>Other operating expense (income), net</t>
  </si>
  <si>
    <t>GAP: Fulfillment+Tech&amp;Infra+S&amp;M+G&amp;A+Other opex, combined (FY2021 only)</t>
  </si>
  <si>
    <t>derived = CostsAndExpenses - CostOfGoodsAndServicesSold; sub-line detail (custom amzn: tags) not present in companyfacts.json fetch for this run — see Sources_Audited</t>
  </si>
  <si>
    <t>Total operating expenses</t>
  </si>
  <si>
    <t>us-gaap:CostsAndExpenses</t>
  </si>
  <si>
    <t>Operating income</t>
  </si>
  <si>
    <t>Interest income</t>
  </si>
  <si>
    <t>us-gaap:InvestmentIncomeInterest</t>
  </si>
  <si>
    <t>Interest expense</t>
  </si>
  <si>
    <t>us-gaap:InterestExpense (FY21-23) / R4 FY2025 10-K (FY24-25)</t>
  </si>
  <si>
    <t>Other income (expense), net</t>
  </si>
  <si>
    <t>us-gaap:OtherNonoperatingIncomeExpense</t>
  </si>
  <si>
    <t>Total non-operating income (expense)</t>
  </si>
  <si>
    <t>us-gaap:NonoperatingIncomeExpense</t>
  </si>
  <si>
    <t>Income (loss) before income taxes</t>
  </si>
  <si>
    <t>Provision (benefit) for income taxes</t>
  </si>
  <si>
    <t>us-gaap:IncomeTaxExpenseBenefit (sign flipped to filed presentation)</t>
  </si>
  <si>
    <t>Equity-method investment activity, net of tax</t>
  </si>
  <si>
    <t>us-gaap:IncomeLossFromEquityMethodInvestments</t>
  </si>
  <si>
    <t>Net income (loss)</t>
  </si>
  <si>
    <t>Basic earnings per share ($)</t>
  </si>
  <si>
    <t>us-gaap:EarningsPerShareBasic</t>
  </si>
  <si>
    <t>Diluted earnings per share ($)</t>
  </si>
  <si>
    <t>us-gaap:EarningsPerShareDiluted</t>
  </si>
  <si>
    <t>Weighted-average shares — basic (millions)</t>
  </si>
  <si>
    <t>us-gaap:WeightedAverageNumberOfSharesOutstandingBasic</t>
  </si>
  <si>
    <t>Weighted-average shares — diluted (millions)</t>
  </si>
  <si>
    <t>Memo: net sales disaggregation</t>
  </si>
  <si>
    <t>Net product sales</t>
  </si>
  <si>
    <t>R4/Financial_Report.xlsx (FY22-25); FY21 dimensional breakout not in companyfacts default facts — gap</t>
  </si>
  <si>
    <t>Net service sales</t>
  </si>
  <si>
    <t>R4/Financial_Report.xlsx (FY22-25); FY21 gap (see above)</t>
  </si>
  <si>
    <t>Amazon.com, Inc. — Consolidated Balance Sheets (audited/filed)</t>
  </si>
  <si>
    <t>USD millions, as of December 31. FY2024-25 face BS (FY2025 10-K R7/R8). FY2021-23 built from independently-tagged companyfacts totals; algebraic identities verified against FY2024 10-K face BS where overlapping (FY23 exact match).</t>
  </si>
  <si>
    <t>Current assets</t>
  </si>
  <si>
    <t>Cash and cash equivalents</t>
  </si>
  <si>
    <t>Marketable securities</t>
  </si>
  <si>
    <t>Inventories</t>
  </si>
  <si>
    <t>us-gaap:InventoryNet</t>
  </si>
  <si>
    <t>Accounts receivable, net and other</t>
  </si>
  <si>
    <t>us-gaap:AccountsReceivableNetCurrent</t>
  </si>
  <si>
    <t>Total current assets</t>
  </si>
  <si>
    <t>us-gaap:AssetsCurrent</t>
  </si>
  <si>
    <t>Non-current assets</t>
  </si>
  <si>
    <t>Property and equipment, net</t>
  </si>
  <si>
    <t>GAP: derived = Assets - AssetsCurrent - OperatingLeaseROU - Goodwill - OtherAssetsNoncurrent (FY21-23; direct us-gaap:PropertyPlantAndEquipmentNet FY24-25)</t>
  </si>
  <si>
    <t>Operating leases</t>
  </si>
  <si>
    <t>us-gaap:OperatingLeaseRightOfUseAsset</t>
  </si>
  <si>
    <t>Goodwill</t>
  </si>
  <si>
    <t>us-gaap:Goodwill</t>
  </si>
  <si>
    <t>Other assets</t>
  </si>
  <si>
    <t>us-gaap:OtherAssetsNoncurrent</t>
  </si>
  <si>
    <t>Current liabilities</t>
  </si>
  <si>
    <t>Accounts payable</t>
  </si>
  <si>
    <t>us-gaap:AccountsPayableCurrent</t>
  </si>
  <si>
    <t>Accrued expenses and other</t>
  </si>
  <si>
    <t>us-gaap:AccruedLiabilitiesCurrent</t>
  </si>
  <si>
    <t>Unearned revenue</t>
  </si>
  <si>
    <t>us-gaap:ContractWithCustomerLiabilityCurrent</t>
  </si>
  <si>
    <t>Total current liabilities</t>
  </si>
  <si>
    <t>us-gaap:LiabilitiesCurrent</t>
  </si>
  <si>
    <t>Non-current liabilities</t>
  </si>
  <si>
    <t>Long-term lease liabilities</t>
  </si>
  <si>
    <t>us-gaap:OperatingLeaseLiabilityNoncurrent + us-gaap:FinanceLeaseLiabilityNoncurrent (sum matches filed line exactly for FY23-25)</t>
  </si>
  <si>
    <t>us-gaap:LongTermDebtNoncurrent</t>
  </si>
  <si>
    <t>Other long-term liabilities</t>
  </si>
  <si>
    <t>us-gaap:OtherLiabilitiesNoncurrent</t>
  </si>
  <si>
    <t>Total liabilities</t>
  </si>
  <si>
    <t>derived = Assets - StockholdersEquity (both exact tags); cross-checked = Total current + Total non-current liabilities</t>
  </si>
  <si>
    <t>Stockholders' equity</t>
  </si>
  <si>
    <t>Preferred stock</t>
  </si>
  <si>
    <t>us-gaap:PreferredStockValue (par $0.01; 500mm auth.; none issued)</t>
  </si>
  <si>
    <t>Common stock</t>
  </si>
  <si>
    <t>us-gaap:CommonStockValue</t>
  </si>
  <si>
    <t>Treasury stock, at cost</t>
  </si>
  <si>
    <t>us-gaap:TreasuryStockCommonValue (filed negative)</t>
  </si>
  <si>
    <t>Additional paid-in capital</t>
  </si>
  <si>
    <t>us-gaap:AdditionalPaidInCapital</t>
  </si>
  <si>
    <t>Accumulated other comprehensive income (loss)</t>
  </si>
  <si>
    <t>us-gaap:AccumulatedOtherComprehensiveIncomeLossNetOfTax</t>
  </si>
  <si>
    <t>Retained earnings</t>
  </si>
  <si>
    <t>us-gaap:RetainedEarningsAccumulatedDeficit</t>
  </si>
  <si>
    <t>Total stockholders' equity</t>
  </si>
  <si>
    <t>Total liabilities and stockholders’ equity</t>
  </si>
  <si>
    <t>us-gaap:LiabilitiesAndStockholdersEquity</t>
  </si>
  <si>
    <t>Amazon.com, Inc. — Consolidated Statements of Cash Flows (audited/filed)</t>
  </si>
  <si>
    <t>USD millions. Same source basis as IS_Hist. Signs as published (outflows negative). GAP rows are FY2021-only combined residuals computed from exact reported totals — flagged, never invented.</t>
  </si>
  <si>
    <t>Beginning cash, cash equivalents, and restricted cash</t>
  </si>
  <si>
    <t>us-gaap:CashCashEquivalentsRestrictedCashAndRestrictedCashEquivalents (prior FY-end instant)</t>
  </si>
  <si>
    <t>Operating activities</t>
  </si>
  <si>
    <t>Depreciation and amortization</t>
  </si>
  <si>
    <t>us-gaap:DepreciationDepletionAndAmortization</t>
  </si>
  <si>
    <t>Stock-based compensation</t>
  </si>
  <si>
    <t>us-gaap:ShareBasedCompensation</t>
  </si>
  <si>
    <t>Non-operating expense (income), net (non-cash)</t>
  </si>
  <si>
    <t>us-gaap:OtherNoncashIncomeExpense (filed sign; tag stored inverse of filed presentation — corrected here)</t>
  </si>
  <si>
    <t>Deferred income taxes</t>
  </si>
  <si>
    <t>us-gaap:DeferredIncomeTaxExpenseBenefit</t>
  </si>
  <si>
    <t>us-gaap:IncreaseDecreaseInInventories (filed sign)</t>
  </si>
  <si>
    <t>R3/Financial_Report.xlsx (n/a FY21 — see GAP row)</t>
  </si>
  <si>
    <t>R3/Financial_Report.xlsx (n/a FY21)</t>
  </si>
  <si>
    <t>us-gaap:IncreaseDecreaseInAccountsPayable</t>
  </si>
  <si>
    <t>GAP: AR/other assets/accrued/unearned working-capital changes, combined (FY2021 only)</t>
  </si>
  <si>
    <t>derived residual = CFO - (all other tagged lines above); components not separately tagged in companyfacts for FY2021</t>
  </si>
  <si>
    <t>Net cash provided by (used in) operating activities</t>
  </si>
  <si>
    <t>Investing activities</t>
  </si>
  <si>
    <t>Purchases of property and equipment</t>
  </si>
  <si>
    <t>us-gaap:PaymentsToAcquireProductiveAssets (filed negative)</t>
  </si>
  <si>
    <t>Proceeds from property and equipment sales and incentives</t>
  </si>
  <si>
    <t>Acquisitions, net of cash acquired, non-marketable investments, and other</t>
  </si>
  <si>
    <t>GAP: PP&amp;E-sale proceeds + acquisitions, net, combined (FY2021 only)</t>
  </si>
  <si>
    <t>derived residual = CFI - capex - (net marketable-securities activity); components not separately tagged for FY2021</t>
  </si>
  <si>
    <t>Sales and maturities of marketable securities</t>
  </si>
  <si>
    <t>us-gaap:ProceedsFromSaleAndMaturityOfMarketableSecurities</t>
  </si>
  <si>
    <t>Purchases of marketable securities</t>
  </si>
  <si>
    <t>us-gaap:PaymentsToAcquireMarketableSecurities (filed negative)</t>
  </si>
  <si>
    <t>Net cash provided by (used in) investing activities</t>
  </si>
  <si>
    <t>us-gaap:NetCashProvidedByUsedInInvestingActivities</t>
  </si>
  <si>
    <t>Financing activities</t>
  </si>
  <si>
    <t>Proceeds from short-term debt, and other</t>
  </si>
  <si>
    <t>us-gaap:ProceedsFromShortTermDebt</t>
  </si>
  <si>
    <t>Repayments of short-term debt, and other</t>
  </si>
  <si>
    <t>us-gaap:RepaymentsOfShortTermDebt (filed negative)</t>
  </si>
  <si>
    <t>Proceeds from long-term debt</t>
  </si>
  <si>
    <t>us-gaap:ProceedsFromIssuanceOfLongTermDebt</t>
  </si>
  <si>
    <t>Repayments of long-term debt</t>
  </si>
  <si>
    <t>us-gaap:RepaymentsOfLongTermDebt (filed negative)</t>
  </si>
  <si>
    <t>Principal repayments of finance leases</t>
  </si>
  <si>
    <t>us-gaap:FinanceLeasePrincipalPayments (filed negative)</t>
  </si>
  <si>
    <t>Common stock repurchased</t>
  </si>
  <si>
    <t>Principal repayments of financing obligations</t>
  </si>
  <si>
    <t>GAP: financing obligations repayments + other, combined (FY2021 only)</t>
  </si>
  <si>
    <t>derived residual = CFF - all other tagged financing lines; components not separately tagged for FY2021</t>
  </si>
  <si>
    <t>Net cash provided by (used in) financing activities</t>
  </si>
  <si>
    <t>us-gaap:NetCashProvidedByUsedInFinancingActivities</t>
  </si>
  <si>
    <t>Foreign currency effect on cash, cash equivalents, and restricted cash</t>
  </si>
  <si>
    <t>FY22-25 filed (R3/Financial_Report.xlsx); FY21 derived residual = NetChange - CFO - CFI - CFF</t>
  </si>
  <si>
    <t>Net increase (decrease) in cash, cash equivalents, and restricted cash</t>
  </si>
  <si>
    <t>us-gaap:CashCashEquivalentsRestrictedCashAndRestrictedCashEquivalentsPeriodIncreaseDecreaseIncludingExchangeRateEffect</t>
  </si>
  <si>
    <t>Ending cash, cash equivalents, and restricted cash</t>
  </si>
  <si>
    <t>us-gaap:CashCashEquivalentsRestrictedCashAndRestrictedCashEquivalents (FY-end instant)</t>
  </si>
  <si>
    <t>Amazon.com, Inc. — Consolidated Statements of Stockholders' Equity (audited/filed)</t>
  </si>
  <si>
    <t>USD millions. Full rollforward FY2023-25 from R9 (FY2025 10-K). FY2021-22 balance-only (rollforward detail not in source package).</t>
  </si>
  <si>
    <t>Beginning total equity</t>
  </si>
  <si>
    <t>BS_Hist (FY21/22); R9 FY2025 10-K (FY23-25, exact Dec-31-2022 opening balance)</t>
  </si>
  <si>
    <t>R9 (FY23-25); us-gaap:NetIncomeLoss (FY21/22, memo)</t>
  </si>
  <si>
    <t>Other comprehensive income (loss)</t>
  </si>
  <si>
    <t>R9 (FY23-25 only — GAP FY21/22, not in source pkg)</t>
  </si>
  <si>
    <t>Stock-based compensation and issuance of employee benefit plan stock</t>
  </si>
  <si>
    <t>R9 (FY23-25 only — GAP FY21/22)</t>
  </si>
  <si>
    <t>Ending total equity</t>
  </si>
  <si>
    <t>us-gaap:StockholdersEquity — ties to BS_Hist all 5 years (exact)</t>
  </si>
  <si>
    <t>Tie-out checks — audited historical statements (all deltas must be 0; USD millions)</t>
  </si>
  <si>
    <t>MASTER</t>
  </si>
  <si>
    <t>Check</t>
  </si>
  <si>
    <t>IS: COGS + opex detail (or FY21 combined) = Total operating expenses</t>
  </si>
  <si>
    <t>IS: Operating income = Revenue - Total opex</t>
  </si>
  <si>
    <t>IS: Total non-op = Interest income + Interest expense + Other income(expense)</t>
  </si>
  <si>
    <t>IS: PBT = Operating income + Total non-op</t>
  </si>
  <si>
    <t>IS: NI = PBT + tax(filed sign) + equity-method</t>
  </si>
  <si>
    <t>IS: Memo product+service sales = Total net sales (FY22-25 only)</t>
  </si>
  <si>
    <t>BS: Current assets sum = Total current assets</t>
  </si>
  <si>
    <t>BS: Total assets = Total CA + PP&amp;E + Op leases + Goodwill + Other assets</t>
  </si>
  <si>
    <t>BS: Current liabilities sum = Total current liabilities</t>
  </si>
  <si>
    <t>BS: Total liabilities = Total CL + LT lease + LT debt + Other LT liabilities</t>
  </si>
  <si>
    <t>BS: Equity components sum = Total stockholders' equity</t>
  </si>
  <si>
    <t>BS: Total L&amp;E = Total liabilities + Total equity</t>
  </si>
  <si>
    <t>BS: Balance (Total assets - Total L&amp;E)</t>
  </si>
  <si>
    <t>CF: CFO chain (NI + non-cash adj + WC changes)</t>
  </si>
  <si>
    <t>CF: CFI chain</t>
  </si>
  <si>
    <t>CF: CFF chain</t>
  </si>
  <si>
    <t>CF: Net change = CFO + CFI + CFF + FX effect</t>
  </si>
  <si>
    <t>CF: Ending cash = Beginning cash + Net change</t>
  </si>
  <si>
    <t>X: CF net income = IS net income</t>
  </si>
  <si>
    <t>X: SCE ending equity = BS total equity</t>
  </si>
  <si>
    <t>CF: Beginning cash = prior-year ending cash (FY22-25)</t>
  </si>
  <si>
    <t>Note: CF end-of-period cash INCLUDES restricted cash (us-gaap:CashCashEquivalentsRestrictedCashAndRestrictedCashEquivalents); BS "Cash and cash equivalents" EXCLUDES restricted cash (carried inside "Other assets"). No cross-tie between CF-end-cash and BS-cash is asserted here — the two are not the same balance by design (Amazon does not separately disclose the restricted-cash split in the face statements provided); asserting equality would be a false check. See Sources_Audited.</t>
  </si>
  <si>
    <t>Sources_Audited — Amazon.com, Inc. EDGAR source register (Ola 2 elevation, run 24e4a1f1)</t>
  </si>
  <si>
    <t>Filing</t>
  </si>
  <si>
    <t>CIK/Accession</t>
  </si>
  <si>
    <t>Period</t>
  </si>
  <si>
    <t>SEC file</t>
  </si>
  <si>
    <t>Used for</t>
  </si>
  <si>
    <t>10-K FY2025 (filed 2026-02-06)</t>
  </si>
  <si>
    <t>accn 0001018724-26-000004</t>
  </si>
  <si>
    <t>FY2023-2025 (3-yr IS/CF), FY2024-2025 (2-yr BS), FY2022-2025 (SCE rollforward via R9)</t>
  </si>
  <si>
    <t>10-K_2025-12-31 R-files {R3,R4,R7,R8,R9}.htm</t>
  </si>
  <si>
    <t>Primary source for FY2023-2025 IS/CF/BS/SCE face-statement figures (exact, parsed directly from R-file HTML tables)</t>
  </si>
  <si>
    <t>10-K FY2024 (filed 2025-02-07)</t>
  </si>
  <si>
    <t>accn 0001018724-25-000004</t>
  </si>
  <si>
    <t>FY2022-2024 (3-yr IS/CF), FY2023-2024 (2-yr BS)</t>
  </si>
  <si>
    <t>the maintainer's archive (sheets: Consolidated Statements of Oper/Cash/Balance Sheets, read via Mog SDK)</t>
  </si>
  <si>
    <t>Cross-check for FY2022-2024 (exact match on all overlapping years vs FY2025 10-K); source for full opex-line detail (Fulfillment/Tech&amp;Infra/S&amp;M/G&amp;A) FY2022-2024</t>
  </si>
  <si>
    <t>SEC companyfacts.json (XBRL company facts API)</t>
  </si>
  <si>
    <t>accn 0001018724-22-000005 (FY2021 10-K, filed 2022-02-04) for FY2021 figures; various later accns for cross-referenced years</t>
  </si>
  <si>
    <t>FY2021 (all standard us-gaap-tagged lines)</t>
  </si>
  <si>
    <t>the maintainer's archive</t>
  </si>
  <si>
    <t>Sole source for FY2021 figures. IMPORTANT: this companyfacts.json fetch contains only dei/us-gaap/ecd/ffd namespaces — Amazon's custom amzn: extension tags (Fulfillment, Technology and infrastructure, Sales and marketing, and several CF working-capital/investing/financing sub-lines) are ABSENT for all years in this fetch; for FY2022-2025 those sub-lines were instead sourced from the two Financial_Report.xlsx/R-file filings above. For FY2021 (no filing package in source bundle), those sub-lines are unavailable — see GAP-flagged combined rows on IS_Hist/CF_Hist, all computed as algebraic residuals of exact reported totals, never invented.</t>
  </si>
  <si>
    <t>Unit and scale policy</t>
  </si>
  <si>
    <t>All statement sheets in USD millions (matches face-statement presentation in both 10-Ks). Raw companyfacts.json values are absolute USD (e.g. 469822000000) and were divided by 1,000,000 before entry — verified against the two filed Financial_Report.xlsx/R-file packages, which already report in $ millions, with exact agreement on every overlapping year (FY2022-2025). Amazon's reporting/functional currency is USD, so no FX/translation layer is required for this workbook (see rule 4 in build brief).</t>
  </si>
  <si>
    <t>Known gaps (honest disclosure, not fabricated)</t>
  </si>
  <si>
    <t>1) FY2021 IS opex sub-line detail (Fulfillment/Tech&amp;Infra/Sales&amp;Mktg/G&amp;A/Other) — combined into one GAP row on IS_Hist, tied to the exact reported total (CostsAndExpenses tag).</t>
  </si>
  <si>
    <t>2) FY2021 CF working-capital, investing, and financing sub-line detail (AR/other assets/accrued/unearned; PP&amp;E-sale proceeds/acquisitions; financing-obligations repayments) — combined into GAP residual rows on CF_Hist, each tied to the exact reported subtotal (CFO/CFI/CFF).</t>
  </si>
  <si>
    <t>3) FY2021-22 Statement of Changes in Equity rollforward detail (OCI, SBC issuance) — SCE_Hist shows FY2021-22 as balance-only reference; full rollforward only available FY2023-25 (R9 of the FY2025 10-K).</t>
  </si>
  <si>
    <t>None of the above gaps affect any of the 20 tie-out checks on Checks_TieOut — all PASS using only exact, independently-tagged totals plus algebraically-derived subtotals (never invented figures).</t>
  </si>
  <si>
    <t>Turn #</t>
  </si>
  <si>
    <t>Date</t>
  </si>
  <si>
    <t>User Request</t>
  </si>
  <si>
    <t>Action Taken</t>
  </si>
  <si>
    <t>Details</t>
  </si>
  <si>
    <t>Outcome</t>
  </si>
  <si>
    <t>Prepare a public model copy</t>
  </si>
  <si>
    <t>Remove local paths and private build references; preserve financial formulas and inputs</t>
  </si>
  <si>
    <t>Agent run with MOG as the tool, checked by guard v1. The guard measured every sheet before and after the run.
Changed: Change_Log: 1 cell written, at B9; Gate_9of10: 3 cells written, at E12, B24, B25; Sources_Audited: 4 cells written, at D3, D4, D5, D6.
Agent: OpenFinmods export</t>
  </si>
  <si>
    <t>Compare against source and review public copy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</si>
</sst>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.00"/>
    <numFmt numFmtId="166" formatCode="0.0%"/>
    <numFmt numFmtId="167" formatCode="#,##0.000;[RED]\(#,##0.000\);\-"/>
    <numFmt numFmtId="168" formatCode="#,##0.0;[RED]\(#,##0.0\);\-"/>
    <numFmt numFmtId="169" formatCode="#,##0.0"/>
    <numFmt numFmtId="170" formatCode="0.0%;[RED]\(0.0%\);\-"/>
    <numFmt numFmtId="171" formatCode="#,##0;[RED]\(#,##0\);\-"/>
    <numFmt numFmtId="172" formatCode="0"/>
    <numFmt numFmtId="173" formatCode="yyyy\-mm\-dd hh:mm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b/>
      <i val="0"/>
      <strike val="0"/>
      <sz val="16"/>
      <color rgb="FFFFFFFF"/>
      <name val="Calibri"/>
      <family val="0"/>
    </font>
    <font>
      <b val="0"/>
      <i/>
      <strike val="0"/>
      <sz val="10"/>
      <color rgb="FF666666"/>
      <name val="Calibri"/>
      <family val="0"/>
    </font>
    <font>
      <b val="0"/>
      <i val="0"/>
      <strike val="0"/>
      <sz val="11"/>
      <name val="Calibri"/>
      <family val="0"/>
    </font>
    <font>
      <b/>
      <i val="0"/>
      <strike val="0"/>
      <sz val="11"/>
      <color rgb="FFFFFFFF"/>
      <name val="Calibri"/>
      <family val="0"/>
    </font>
    <font>
      <b val="0"/>
      <i val="0"/>
      <strike val="0"/>
      <sz val="11"/>
      <color rgb="FF008000"/>
      <name val="Calibri"/>
      <family val="0"/>
    </font>
    <font>
      <b val="0"/>
      <i/>
      <strike val="0"/>
      <sz val="11"/>
      <color rgb="FF666666"/>
      <name val="Calibri"/>
      <family val="0"/>
    </font>
    <font>
      <b/>
      <i val="0"/>
      <strike val="0"/>
      <sz val="11"/>
      <color rgb="FF17365D"/>
      <name val="Calibri"/>
      <family val="0"/>
    </font>
    <font>
      <b/>
      <i val="0"/>
      <strike val="0"/>
      <sz val="11"/>
      <name val="Calibri"/>
      <family val="0"/>
    </font>
    <font>
      <b val="0"/>
      <i val="0"/>
      <strike val="0"/>
      <sz val="11"/>
      <color rgb="FF0000FF"/>
      <name val="Calibri"/>
      <family val="0"/>
    </font>
    <font>
      <b val="0"/>
      <i val="0"/>
      <strike val="0"/>
      <sz val="11"/>
      <color rgb="FF000000"/>
      <name val="Calibri"/>
      <family val="0"/>
    </font>
    <font>
      <b/>
      <i val="0"/>
      <strike val="0"/>
      <sz val="10"/>
      <color rgb="FF000000"/>
      <name val="Arial"/>
      <family val="2"/>
    </font>
    <font>
      <b val="0"/>
      <i val="0"/>
      <strike val="0"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7365D"/>
        <bgColor rgb="FF17365D"/>
      </patternFill>
    </fill>
    <fill>
      <patternFill patternType="solid">
        <fgColor rgb="FFEAF3F8"/>
        <bgColor rgb="FFEAF3F8"/>
      </patternFill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FFF2CC"/>
        <bgColor rgb="FFFFF2CC"/>
      </patternFill>
    </fill>
  </fills>
  <borders count="2">
    <border/>
    <border diagonalUp="0" diagonalDown="0"/>
  </borders>
  <cellStyleXfs count="1">
    <xf numFmtId="0" fontId="1" fillId="0" borderId="1">
      <alignment horizontal="general" vertical="bottom" textRotation="0" indent="0"/>
      <protection locked="1"/>
    </xf>
  </cellStyleXfs>
  <cellXfs count="33">
    <xf numFmtId="0" fontId="1" fillId="0" borderId="1" xfId="0" applyFont="1" applyBorder="1" applyAlignment="1" applyProtection="1">
      <alignment horizontal="general" vertical="bottom" textRotation="0" indent="0"/>
      <protection locked="1"/>
    </xf>
    <xf numFmtId="164" fontId="2" fillId="2" borderId="1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4" fontId="3" fillId="3" borderId="1" xfId="0" applyNumberFormat="1" applyFont="1" applyFill="1" applyBorder="1" applyAlignment="1" applyProtection="1">
      <alignment horizontal="general" vertical="bottom" textRotation="0" wrapText="1" indent="0" readingOrder="0"/>
      <protection locked="1"/>
    </xf>
    <xf numFmtId="164" fontId="4" fillId="0" borderId="1" xfId="0" applyNumberFormat="1" applyFont="1" applyBorder="1" applyAlignment="1" applyProtection="1">
      <alignment horizontal="general" vertical="bottom" textRotation="0" wrapText="1" indent="0" readingOrder="0"/>
      <protection locked="1"/>
    </xf>
    <xf numFmtId="164" fontId="5" fillId="4" borderId="1" xfId="0" applyNumberFormat="1" applyFont="1" applyFill="1" applyBorder="1" applyAlignment="1" applyProtection="1">
      <alignment horizontal="general" vertical="bottom" textRotation="0" wrapText="1" indent="0" readingOrder="0"/>
      <protection locked="1"/>
    </xf>
    <xf numFmtId="165" fontId="4" fillId="0" borderId="1" xfId="0" applyNumberFormat="1" applyFont="1" applyBorder="1" applyAlignment="1" applyProtection="1">
      <alignment horizontal="general" vertical="bottom" textRotation="0" wrapText="1" indent="0" readingOrder="0"/>
      <protection locked="1"/>
    </xf>
    <xf numFmtId="164" fontId="6" fillId="0" borderId="1" xfId="0" applyNumberFormat="1" applyFont="1" applyBorder="1" applyAlignment="1" applyProtection="1">
      <alignment horizontal="general" vertical="bottom" textRotation="0" wrapText="1" indent="0" readingOrder="0"/>
      <protection locked="1"/>
    </xf>
    <xf numFmtId="165" fontId="6" fillId="0" borderId="1" xfId="0" applyNumberFormat="1" applyFont="1" applyBorder="1" applyAlignment="1" applyProtection="1">
      <alignment horizontal="general" vertical="bottom" textRotation="0" wrapText="1" indent="0" readingOrder="0"/>
      <protection locked="1"/>
    </xf>
    <xf numFmtId="166" fontId="6" fillId="0" borderId="1" xfId="0" applyNumberFormat="1" applyFont="1" applyBorder="1" applyAlignment="1" applyProtection="1">
      <alignment horizontal="general" vertical="bottom" textRotation="0" wrapText="1" indent="0" readingOrder="0"/>
      <protection locked="1"/>
    </xf>
    <xf numFmtId="164" fontId="2" fillId="2" borderId="1" xfId="0" applyNumberFormat="1" applyFont="1" applyFill="1" applyBorder="1" applyAlignment="1" applyProtection="1">
      <alignment horizontal="general" vertical="bottom" textRotation="0" indent="0" readingOrder="0"/>
      <protection locked="1"/>
    </xf>
    <xf numFmtId="164" fontId="7" fillId="3" borderId="1" xfId="0" applyNumberFormat="1" applyFont="1" applyFill="1" applyBorder="1" applyAlignment="1" applyProtection="1">
      <alignment horizontal="general" vertical="bottom" textRotation="0" wrapText="1" indent="0" readingOrder="0"/>
      <protection locked="1"/>
    </xf>
    <xf numFmtId="164" fontId="8" fillId="5" borderId="1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7" fontId="4" fillId="0" borderId="1" xfId="0" applyNumberFormat="1" applyFont="1" applyBorder="1" applyAlignment="1" applyProtection="1">
      <alignment horizontal="general" vertical="bottom" textRotation="0" wrapText="1" indent="0" readingOrder="0"/>
      <protection locked="1"/>
    </xf>
    <xf numFmtId="164" fontId="8" fillId="5" borderId="1" xfId="0" applyNumberFormat="1" applyFont="1" applyFill="1" applyBorder="1" applyAlignment="1" applyProtection="1">
      <alignment horizontal="general" vertical="bottom" textRotation="0" wrapText="1" indent="0" readingOrder="0"/>
      <protection locked="1"/>
    </xf>
    <xf numFmtId="164" fontId="2" fillId="2" borderId="1" xfId="0" applyNumberFormat="1" applyFont="1" applyFill="1" applyBorder="1" applyAlignment="1" applyProtection="1">
      <alignment horizontal="general" vertical="center" textRotation="0" indent="0" readingOrder="0"/>
      <protection locked="1"/>
    </xf>
    <xf numFmtId="164" fontId="3" fillId="3" borderId="1" xfId="0" applyNumberFormat="1" applyFont="1" applyFill="1" applyBorder="1" applyAlignment="1" applyProtection="1">
      <alignment horizontal="general" vertical="bottom" textRotation="0" indent="0" readingOrder="0"/>
      <protection locked="1"/>
    </xf>
    <xf numFmtId="164" fontId="9" fillId="0" borderId="1" xfId="0" applyNumberFormat="1" applyFont="1" applyBorder="1" applyAlignment="1" applyProtection="1">
      <alignment horizontal="general" vertical="bottom" textRotation="0" indent="0" readingOrder="0"/>
      <protection locked="1"/>
    </xf>
    <xf numFmtId="168" fontId="4" fillId="0" borderId="1" xfId="0" applyNumberFormat="1" applyFont="1" applyBorder="1" applyAlignment="1" applyProtection="1">
      <alignment horizontal="general" vertical="bottom" textRotation="0" indent="0" readingOrder="0"/>
      <protection locked="1"/>
    </xf>
    <xf numFmtId="164" fontId="8" fillId="5" borderId="1" xfId="0" applyNumberFormat="1" applyFont="1" applyFill="1" applyBorder="1" applyAlignment="1" applyProtection="1">
      <alignment horizontal="general" vertical="bottom" textRotation="0" indent="0" readingOrder="0"/>
      <protection locked="1"/>
    </xf>
    <xf numFmtId="169" fontId="4" fillId="0" borderId="1" xfId="0" applyNumberFormat="1" applyFont="1" applyBorder="1" applyAlignment="1" applyProtection="1">
      <alignment horizontal="general" vertical="bottom" textRotation="0" indent="0" readingOrder="0"/>
      <protection locked="1"/>
    </xf>
    <xf numFmtId="164" fontId="10" fillId="6" borderId="1" xfId="0" applyNumberFormat="1" applyFont="1" applyFill="1" applyBorder="1" applyAlignment="1" applyProtection="1">
      <alignment horizontal="general" vertical="bottom" textRotation="0" wrapText="1" indent="0" readingOrder="0"/>
      <protection locked="1"/>
    </xf>
    <xf numFmtId="170" fontId="10" fillId="6" borderId="1" xfId="0" applyNumberFormat="1" applyFont="1" applyFill="1" applyBorder="1" applyAlignment="1" applyProtection="1">
      <alignment horizontal="general" vertical="bottom" textRotation="0" wrapText="1" indent="0" readingOrder="0"/>
      <protection locked="1"/>
    </xf>
    <xf numFmtId="170" fontId="11" fillId="0" borderId="1" xfId="0" applyNumberFormat="1" applyFont="1" applyBorder="1" applyAlignment="1" applyProtection="1">
      <alignment horizontal="general" vertical="bottom" textRotation="0" wrapText="1" indent="0" readingOrder="0"/>
      <protection locked="1"/>
    </xf>
    <xf numFmtId="168" fontId="6" fillId="0" borderId="1" xfId="0" applyNumberFormat="1" applyFont="1" applyBorder="1" applyAlignment="1" applyProtection="1">
      <alignment horizontal="general" vertical="bottom" textRotation="0" indent="0" readingOrder="0"/>
      <protection locked="1"/>
    </xf>
    <xf numFmtId="165" fontId="4" fillId="0" borderId="1" xfId="0" applyNumberFormat="1" applyFont="1" applyBorder="1" applyAlignment="1" applyProtection="1">
      <alignment horizontal="general" vertical="bottom" textRotation="0" indent="0" readingOrder="0"/>
      <protection locked="1"/>
    </xf>
    <xf numFmtId="166" fontId="4" fillId="0" borderId="1" xfId="0" applyNumberFormat="1" applyFont="1" applyBorder="1" applyAlignment="1" applyProtection="1">
      <alignment horizontal="general" vertical="bottom" textRotation="0" indent="0" readingOrder="0"/>
      <protection locked="1"/>
    </xf>
    <xf numFmtId="166" fontId="8" fillId="5" borderId="1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7" fontId="8" fillId="5" borderId="1" xfId="0" applyNumberFormat="1" applyFont="1" applyFill="1" applyBorder="1" applyAlignment="1" applyProtection="1">
      <alignment horizontal="general" vertical="bottom" textRotation="0" wrapText="1" indent="0" readingOrder="0"/>
      <protection locked="1"/>
    </xf>
    <xf numFmtId="171" fontId="4" fillId="0" borderId="1" xfId="0" applyNumberFormat="1" applyFont="1" applyBorder="1" applyAlignment="1" applyProtection="1">
      <alignment horizontal="general" vertical="bottom" textRotation="0" wrapText="1" indent="0" readingOrder="0"/>
      <protection locked="1"/>
    </xf>
    <xf numFmtId="172" fontId="4" fillId="0" borderId="1" xfId="0" applyNumberFormat="1" applyFont="1" applyBorder="1" applyAlignment="1" applyProtection="1">
      <alignment horizontal="general" vertical="bottom" textRotation="0" wrapText="1" indent="0" readingOrder="0"/>
      <protection locked="1"/>
    </xf>
    <xf numFmtId="0" fontId="12" fillId="0" borderId="1" xfId="0" applyFont="1" applyFill="1" applyBorder="1" applyProtection="1">
      <protection locked="1" hidden="0"/>
    </xf>
    <xf numFmtId="0" fontId="13" fillId="0" borderId="1" xfId="0" applyFont="1" applyFill="1" applyBorder="1" applyAlignment="1" applyProtection="1">
      <alignment vertical="top" textRotation="0" indent="0"/>
      <protection locked="1" hidden="0"/>
    </xf>
    <xf numFmtId="173" fontId="13" fillId="0" borderId="1" xfId="0" applyNumberFormat="1" applyFont="1" applyFill="1" applyBorder="1" applyAlignment="1" applyProtection="1">
      <alignment vertical="top" textRotation="0" indent="0"/>
      <protection locked="1" hidden="0"/>
    </xf>
  </cellXfs>
  <cellStyles count="1">
    <cellStyle name="Normal" xfId="0" builtinId="0"/>
  </cellStyles>
  <dxfs count="10">
    <dxf>
      <font>
        <b/>
        <color rgb="FF006100"/>
      </font>
      <fill>
        <patternFill patternType="solid">
          <fgColor rgb="FFE2F0D9"/>
          <bgColor rgb="FFE2F0D9"/>
        </patternFill>
      </fill>
    </dxf>
    <dxf>
      <font>
        <b/>
        <color rgb="FF9C0006"/>
      </font>
      <fill>
        <patternFill patternType="solid">
          <fgColor rgb="FFFCE4D6"/>
          <bgColor rgb="FFFCE4D6"/>
        </patternFill>
      </fill>
    </dxf>
    <dxf>
      <font>
        <b/>
        <color rgb="FF006100"/>
      </font>
      <fill>
        <patternFill patternType="solid">
          <fgColor rgb="FFE2F0D9"/>
          <bgColor rgb="FFE2F0D9"/>
        </patternFill>
      </fill>
    </dxf>
    <dxf>
      <font>
        <b/>
        <color rgb="FF9C0006"/>
      </font>
      <fill>
        <patternFill patternType="solid">
          <fgColor rgb="FFFCE4D6"/>
          <bgColor rgb="FFFCE4D6"/>
        </patternFill>
      </fill>
    </dxf>
    <dxf>
      <font>
        <b/>
        <color rgb="FF006100"/>
      </font>
      <fill>
        <patternFill patternType="solid">
          <fgColor rgb="FFE2F0D9"/>
          <bgColor rgb="FFE2F0D9"/>
        </patternFill>
      </fill>
    </dxf>
    <dxf>
      <font>
        <b/>
        <color rgb="FF9C0006"/>
      </font>
      <fill>
        <patternFill patternType="solid">
          <fgColor rgb="FFFCE4D6"/>
          <bgColor rgb="FFFCE4D6"/>
        </patternFill>
      </fill>
    </dxf>
    <dxf>
      <font>
        <b/>
        <color rgb="FF006100"/>
      </font>
      <fill>
        <patternFill patternType="solid">
          <fgColor rgb="FFE2F0D9"/>
          <bgColor rgb="FFE2F0D9"/>
        </patternFill>
      </fill>
    </dxf>
    <dxf>
      <font>
        <b/>
        <color rgb="FF9C0006"/>
      </font>
      <fill>
        <patternFill patternType="solid">
          <fgColor rgb="FFFCE4D6"/>
          <bgColor rgb="FFFCE4D6"/>
        </patternFill>
      </fill>
    </dxf>
    <dxf>
      <font>
        <b/>
        <color rgb="FF006100"/>
      </font>
      <fill>
        <patternFill patternType="solid">
          <fgColor rgb="FFE2F0D9"/>
          <bgColor rgb="FFE2F0D9"/>
        </patternFill>
      </fill>
    </dxf>
    <dxf>
      <font>
        <b/>
        <color rgb="FF9C0006"/>
      </font>
      <fill>
        <patternFill patternType="solid">
          <fgColor rgb="FFFCE4D6"/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8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7365D"/>
      <rgbColor rgb="FF339966"/>
      <rgbColor rgb="FF0061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30"/>
  <sheetViews>
    <sheetView showGridLines="0" tabSelected="1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22" customWidth="1"/>
    <col min="2" max="2" width="30" customWidth="1"/>
    <col min="3" max="8" width="13" customWidth="1"/>
  </cols>
  <sheetData>
    <row r="1" ht="28" hidden="0" outlineLevel="0" collapsed="0">
      <c r="A1" s="1" t="s">
        <v>0</v>
      </c>
      <c r="B1" s="1"/>
      <c r="C1" s="1"/>
      <c r="D1" s="1"/>
      <c r="E1" s="1"/>
      <c r="F1" s="1"/>
      <c r="G1" s="1"/>
      <c r="H1" s="1"/>
    </row>
    <row r="2" ht="22" hidden="0" outlineLevel="0" collapsed="0">
      <c r="A2" s="2" t="s">
        <v>1</v>
      </c>
      <c r="B2" s="2"/>
      <c r="C2" s="2"/>
      <c r="D2" s="2"/>
      <c r="E2" s="2"/>
      <c r="F2" s="2"/>
      <c r="G2" s="2"/>
      <c r="H2" s="2"/>
    </row>
    <row r="3" hidden="0" outlineLevel="0" collapsed="0">
      <c r="A3" s="3"/>
      <c r="B3" s="3"/>
      <c r="C3" s="3"/>
      <c r="D3" s="3"/>
      <c r="E3" s="3"/>
      <c r="F3" s="3"/>
      <c r="G3" s="3"/>
      <c r="H3" s="3"/>
    </row>
    <row r="4" ht="21" hidden="0" outlineLevel="0" collapsed="0">
      <c r="A4" s="4" t="s">
        <v>2</v>
      </c>
      <c r="B4" s="4"/>
      <c r="C4" s="4"/>
      <c r="D4" s="4"/>
      <c r="E4" s="4"/>
      <c r="F4" s="4"/>
      <c r="G4" s="4"/>
      <c r="H4" s="4"/>
    </row>
    <row r="5" hidden="0" outlineLevel="0" collapsed="0">
      <c r="A5" s="3" t="s">
        <v>3</v>
      </c>
      <c r="B5" s="3" t="s">
        <v>4</v>
      </c>
      <c r="C5" s="3"/>
      <c r="D5" s="3"/>
      <c r="E5" s="3"/>
      <c r="F5" s="3"/>
      <c r="G5" s="3"/>
      <c r="H5" s="3"/>
    </row>
    <row r="6" hidden="0" outlineLevel="0" collapsed="0">
      <c r="A6" s="3" t="s">
        <v>5</v>
      </c>
      <c r="B6" s="3" t="s">
        <v>6</v>
      </c>
      <c r="C6" s="3"/>
      <c r="D6" s="3"/>
      <c r="E6" s="3"/>
      <c r="F6" s="3"/>
      <c r="G6" s="3"/>
      <c r="H6" s="3"/>
    </row>
    <row r="7" hidden="0" outlineLevel="0" collapsed="0">
      <c r="A7" s="3" t="s">
        <v>7</v>
      </c>
      <c r="B7" s="3" t="s">
        <v>8</v>
      </c>
      <c r="C7" s="3"/>
      <c r="D7" s="3"/>
      <c r="E7" s="3"/>
      <c r="F7" s="3"/>
      <c r="G7" s="3"/>
      <c r="H7" s="3"/>
    </row>
    <row r="8" hidden="0" outlineLevel="0" collapsed="0">
      <c r="A8" s="3" t="s">
        <v>9</v>
      </c>
      <c r="B8" s="3" t="s">
        <v>10</v>
      </c>
      <c r="C8" s="3"/>
      <c r="D8" s="3"/>
      <c r="E8" s="3"/>
      <c r="F8" s="3"/>
      <c r="G8" s="3"/>
      <c r="H8" s="3"/>
    </row>
    <row r="9" hidden="0" outlineLevel="0" collapsed="0">
      <c r="A9" s="3" t="s">
        <v>11</v>
      </c>
      <c r="B9" s="5">
        <v>254.96</v>
      </c>
      <c r="C9" s="3"/>
      <c r="D9" s="3"/>
      <c r="E9" s="3"/>
      <c r="F9" s="3"/>
      <c r="G9" s="3"/>
      <c r="H9" s="3"/>
    </row>
    <row r="10" hidden="0" outlineLevel="0" collapsed="0">
      <c r="A10" s="3" t="s">
        <v>12</v>
      </c>
      <c r="B10" s="5" t="s">
        <v>13</v>
      </c>
      <c r="C10" s="3"/>
      <c r="D10" s="3"/>
      <c r="E10" s="3"/>
      <c r="F10" s="3"/>
      <c r="G10" s="3"/>
      <c r="H10" s="3"/>
    </row>
    <row r="11" hidden="0" outlineLevel="0" collapsed="0">
      <c r="A11" s="3" t="s">
        <v>14</v>
      </c>
      <c r="B11" s="6" t="str">
        <f>Assumptions!B4</f>
        <v>Base</v>
      </c>
      <c r="C11" s="3"/>
      <c r="D11" s="3"/>
      <c r="E11" s="3"/>
      <c r="F11" s="3"/>
      <c r="G11" s="3"/>
      <c r="H11" s="3"/>
    </row>
    <row r="12" hidden="0" outlineLevel="0" collapsed="0">
      <c r="A12" s="3" t="s">
        <v>15</v>
      </c>
      <c r="B12" s="7">
        <f>Valuation!G18</f>
        <v>61.19093670261067</v>
      </c>
      <c r="C12" s="3"/>
      <c r="D12" s="3"/>
      <c r="E12" s="3"/>
      <c r="F12" s="3"/>
      <c r="G12" s="3"/>
      <c r="H12" s="3"/>
    </row>
    <row r="13" hidden="0" outlineLevel="0" collapsed="0">
      <c r="A13" s="3" t="s">
        <v>16</v>
      </c>
      <c r="B13" s="8">
        <f>Valuation!G20</f>
        <v>-0.7599978949536764</v>
      </c>
      <c r="C13" s="3"/>
      <c r="D13" s="3"/>
      <c r="E13" s="3"/>
      <c r="F13" s="3"/>
      <c r="G13" s="3"/>
      <c r="H13" s="3"/>
    </row>
    <row r="14" ht="23.85" hidden="0" outlineLevel="0" collapsed="0">
      <c r="A14" s="3" t="s">
        <v>17</v>
      </c>
      <c r="B14" s="6" t="str">
        <f>Gate_9of10!B17</f>
        <v>OWNER READY — INDEPENDENT REVIEW REQUIRED</v>
      </c>
      <c r="C14" s="3"/>
      <c r="D14" s="3"/>
      <c r="E14" s="3"/>
      <c r="F14" s="3"/>
      <c r="G14" s="3"/>
      <c r="H14" s="3"/>
    </row>
    <row r="15" ht="45" hidden="0" outlineLevel="0" collapsed="0">
      <c r="A15" s="3"/>
      <c r="B15" s="3"/>
      <c r="C15" s="3"/>
      <c r="D15" s="3"/>
      <c r="E15" s="3"/>
      <c r="F15" s="3"/>
      <c r="G15" s="3"/>
      <c r="H15" s="3"/>
    </row>
    <row r="16" ht="21" hidden="0" outlineLevel="0" collapsed="0">
      <c r="A16" s="4" t="s">
        <v>18</v>
      </c>
      <c r="B16" s="4"/>
      <c r="C16" s="4"/>
      <c r="D16" s="4"/>
      <c r="E16" s="4"/>
      <c r="F16" s="4"/>
      <c r="G16" s="4"/>
      <c r="H16" s="4"/>
    </row>
    <row r="17" hidden="0" outlineLevel="0" collapsed="0">
      <c r="A17" s="3" t="s">
        <v>19</v>
      </c>
      <c r="B17" s="3" t="s">
        <v>20</v>
      </c>
      <c r="C17" s="3"/>
      <c r="D17" s="3"/>
      <c r="E17" s="3"/>
      <c r="F17" s="3"/>
      <c r="G17" s="3"/>
      <c r="H17" s="3"/>
    </row>
    <row r="18" hidden="0" outlineLevel="0" collapsed="0">
      <c r="A18" s="3" t="s">
        <v>21</v>
      </c>
      <c r="B18" s="3" t="s">
        <v>22</v>
      </c>
      <c r="C18" s="3"/>
      <c r="D18" s="3"/>
      <c r="E18" s="3"/>
      <c r="F18" s="3"/>
      <c r="G18" s="3"/>
      <c r="H18" s="3"/>
    </row>
    <row r="19" hidden="0" outlineLevel="0" collapsed="0">
      <c r="A19" s="3" t="s">
        <v>23</v>
      </c>
      <c r="B19" s="3" t="s">
        <v>24</v>
      </c>
      <c r="C19" s="3"/>
      <c r="D19" s="3"/>
      <c r="E19" s="3"/>
      <c r="F19" s="3"/>
      <c r="G19" s="3"/>
      <c r="H19" s="3"/>
    </row>
    <row r="20" hidden="0" outlineLevel="0" collapsed="0">
      <c r="A20" s="3" t="s">
        <v>25</v>
      </c>
      <c r="B20" s="3" t="s">
        <v>26</v>
      </c>
      <c r="C20" s="3"/>
      <c r="D20" s="3"/>
      <c r="E20" s="3"/>
      <c r="F20" s="3"/>
      <c r="G20" s="3"/>
      <c r="H20" s="3"/>
    </row>
    <row r="21" hidden="0" outlineLevel="0" collapsed="0">
      <c r="A21" s="3" t="s">
        <v>27</v>
      </c>
      <c r="B21" s="3" t="s">
        <v>28</v>
      </c>
      <c r="C21" s="3"/>
      <c r="D21" s="3"/>
      <c r="E21" s="3"/>
      <c r="F21" s="3"/>
      <c r="G21" s="3"/>
      <c r="H21" s="3"/>
    </row>
    <row r="22" hidden="0" outlineLevel="0" collapsed="0">
      <c r="A22" s="3" t="s">
        <v>29</v>
      </c>
      <c r="B22" s="3" t="s">
        <v>30</v>
      </c>
      <c r="C22" s="3"/>
      <c r="D22" s="3"/>
      <c r="E22" s="3"/>
      <c r="F22" s="3"/>
      <c r="G22" s="3"/>
      <c r="H22" s="3"/>
    </row>
    <row r="23" hidden="0" outlineLevel="0" collapsed="0">
      <c r="A23" s="3"/>
      <c r="B23" s="3"/>
      <c r="C23" s="3"/>
      <c r="D23" s="3"/>
      <c r="E23" s="3"/>
      <c r="F23" s="3"/>
      <c r="G23" s="3"/>
      <c r="H23" s="3"/>
    </row>
    <row r="24" hidden="0" outlineLevel="0" collapsed="0">
      <c r="A24" s="3"/>
      <c r="B24" s="3"/>
      <c r="C24" s="3"/>
      <c r="D24" s="3"/>
      <c r="E24" s="3"/>
      <c r="F24" s="3"/>
      <c r="G24" s="3"/>
      <c r="H24" s="3"/>
    </row>
    <row r="25" hidden="0" outlineLevel="0" collapsed="0">
      <c r="A25" s="3"/>
      <c r="B25" s="3"/>
      <c r="C25" s="3"/>
      <c r="D25" s="3"/>
      <c r="E25" s="3"/>
      <c r="F25" s="3"/>
      <c r="G25" s="3"/>
      <c r="H25" s="3"/>
    </row>
    <row r="26" hidden="0" outlineLevel="0" collapsed="0">
      <c r="A26" s="3"/>
      <c r="B26" s="3"/>
      <c r="C26" s="3"/>
      <c r="D26" s="3"/>
      <c r="E26" s="3"/>
      <c r="F26" s="3"/>
      <c r="G26" s="3"/>
      <c r="H26" s="3"/>
    </row>
    <row r="27" hidden="0" outlineLevel="0" collapsed="0">
      <c r="A27" s="3"/>
      <c r="B27" s="3"/>
      <c r="C27" s="3"/>
      <c r="D27" s="3"/>
      <c r="E27" s="3"/>
      <c r="F27" s="3"/>
      <c r="G27" s="3"/>
      <c r="H27" s="3"/>
    </row>
    <row r="28" hidden="0" outlineLevel="0" collapsed="0">
      <c r="A28" s="3"/>
      <c r="B28" s="3"/>
      <c r="C28" s="3"/>
      <c r="D28" s="3"/>
      <c r="E28" s="3"/>
      <c r="F28" s="3"/>
      <c r="G28" s="3"/>
      <c r="H28" s="3"/>
    </row>
    <row r="29" hidden="0" outlineLevel="0" collapsed="0">
      <c r="A29" s="3"/>
      <c r="B29" s="3"/>
      <c r="C29" s="3"/>
      <c r="D29" s="3"/>
      <c r="E29" s="3"/>
      <c r="F29" s="3"/>
      <c r="G29" s="3"/>
      <c r="H29" s="3"/>
    </row>
    <row r="30" hidden="0" outlineLevel="0" collapsed="0">
      <c r="A30" s="3"/>
      <c r="B30" s="3"/>
      <c r="C30" s="3"/>
      <c r="D30" s="3"/>
      <c r="E30" s="3"/>
      <c r="F30" s="3"/>
      <c r="G30" s="3"/>
      <c r="H30" s="3"/>
    </row>
  </sheetData>
  <mergeCells count="11">
    <mergeCell ref="A1:H1"/>
    <mergeCell ref="A2:H2"/>
    <mergeCell ref="A4:H4"/>
    <mergeCell ref="A15:H15"/>
    <mergeCell ref="A16:H16"/>
    <mergeCell ref="B17:H17"/>
    <mergeCell ref="B18:H18"/>
    <mergeCell ref="B19:H19"/>
    <mergeCell ref="B20:H20"/>
    <mergeCell ref="B21:H21"/>
    <mergeCell ref="B22:H2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V78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10" customWidth="1"/>
    <col min="2" max="2" width="24" customWidth="1"/>
    <col min="3" max="3" width="22" customWidth="1"/>
    <col min="4" max="4" width="28" customWidth="1"/>
    <col min="5" max="7" width="16" customWidth="1"/>
    <col min="8" max="8" width="10" customWidth="1"/>
    <col min="9" max="9" width="35" customWidth="1"/>
    <col min="10" max="11" width="15" customWidth="1"/>
    <col min="12" max="12" width="14" customWidth="1"/>
    <col min="13" max="13" width="10" customWidth="1"/>
    <col min="14" max="14" width="13" customWidth="1"/>
    <col min="15" max="15" width="24" customWidth="1"/>
    <col min="16" max="16" width="45" customWidth="1"/>
    <col min="17" max="17" width="13" customWidth="1"/>
    <col min="18" max="18" width="27" customWidth="1"/>
    <col min="19" max="21" width="36" customWidth="1"/>
    <col min="22" max="22" width="12" customWidth="1"/>
  </cols>
  <sheetData>
    <row r="1" ht="28" hidden="0" outlineLevel="0" collapsed="0">
      <c r="A1" s="9" t="s">
        <v>31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ht="26" hidden="0" outlineLevel="0" collapsed="0">
      <c r="A2" s="10" t="s">
        <v>32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4" hidden="0" outlineLevel="0" collapsed="0">
      <c r="A4" s="11" t="s">
        <v>33</v>
      </c>
      <c r="B4" s="11" t="s">
        <v>34</v>
      </c>
      <c r="C4" s="11" t="s">
        <v>35</v>
      </c>
      <c r="D4" s="11" t="s">
        <v>36</v>
      </c>
      <c r="E4" s="11" t="s">
        <v>37</v>
      </c>
      <c r="F4" s="11" t="s">
        <v>38</v>
      </c>
      <c r="G4" s="11" t="s">
        <v>39</v>
      </c>
      <c r="H4" s="11" t="s">
        <v>40</v>
      </c>
      <c r="I4" s="11" t="s">
        <v>41</v>
      </c>
      <c r="J4" s="11" t="s">
        <v>42</v>
      </c>
      <c r="K4" s="11" t="s">
        <v>43</v>
      </c>
      <c r="L4" s="11" t="s">
        <v>44</v>
      </c>
      <c r="M4" s="11" t="s">
        <v>45</v>
      </c>
      <c r="N4" s="11" t="s">
        <v>46</v>
      </c>
      <c r="O4" s="11" t="s">
        <v>47</v>
      </c>
      <c r="P4" s="11" t="s">
        <v>48</v>
      </c>
      <c r="Q4" s="11" t="s">
        <v>49</v>
      </c>
      <c r="R4" s="11" t="s">
        <v>50</v>
      </c>
      <c r="S4" s="11" t="s">
        <v>51</v>
      </c>
      <c r="T4" s="11" t="s">
        <v>52</v>
      </c>
      <c r="U4" s="11" t="s">
        <v>53</v>
      </c>
      <c r="V4" s="11" t="s">
        <v>54</v>
      </c>
    </row>
    <row r="5" ht="35.05" hidden="0" outlineLevel="0" collapsed="0">
      <c r="A5" s="3">
        <v>1</v>
      </c>
      <c r="B5" s="3" t="s">
        <v>4</v>
      </c>
      <c r="C5" s="3" t="s">
        <v>55</v>
      </c>
      <c r="D5" s="3" t="s">
        <v>56</v>
      </c>
      <c r="E5" s="3" t="s">
        <v>57</v>
      </c>
      <c r="F5" s="12">
        <v>469822</v>
      </c>
      <c r="G5" s="3" t="s">
        <v>58</v>
      </c>
      <c r="H5" s="3" t="s">
        <v>59</v>
      </c>
      <c r="I5" s="3" t="s">
        <v>60</v>
      </c>
      <c r="J5" s="3" t="s">
        <v>61</v>
      </c>
      <c r="K5" s="3" t="s">
        <v>62</v>
      </c>
      <c r="L5" s="3" t="s">
        <v>63</v>
      </c>
      <c r="M5" s="3" t="s">
        <v>64</v>
      </c>
      <c r="N5" s="3" t="s">
        <v>65</v>
      </c>
      <c r="O5" s="3" t="s">
        <v>66</v>
      </c>
      <c r="P5" s="3" t="s">
        <v>67</v>
      </c>
      <c r="Q5" s="3" t="s">
        <v>68</v>
      </c>
      <c r="R5" s="3" t="s">
        <v>69</v>
      </c>
      <c r="S5" s="3" t="s">
        <v>70</v>
      </c>
      <c r="T5" s="3" t="s">
        <v>71</v>
      </c>
      <c r="U5" s="3" t="s">
        <v>72</v>
      </c>
      <c r="V5" s="3" t="str">
        <f>IF(COUNTA(A5:U5)=21,"OK","MISSING")</f>
        <v>OK</v>
      </c>
    </row>
    <row r="6" ht="35.05" hidden="0" outlineLevel="0" collapsed="0">
      <c r="A6" s="3">
        <v>2</v>
      </c>
      <c r="B6" s="3" t="s">
        <v>4</v>
      </c>
      <c r="C6" s="3" t="s">
        <v>73</v>
      </c>
      <c r="D6" s="3" t="s">
        <v>56</v>
      </c>
      <c r="E6" s="3" t="s">
        <v>74</v>
      </c>
      <c r="F6" s="12">
        <v>513983</v>
      </c>
      <c r="G6" s="3" t="s">
        <v>58</v>
      </c>
      <c r="H6" s="3" t="s">
        <v>59</v>
      </c>
      <c r="I6" s="3" t="s">
        <v>60</v>
      </c>
      <c r="J6" s="3" t="s">
        <v>75</v>
      </c>
      <c r="K6" s="3" t="s">
        <v>76</v>
      </c>
      <c r="L6" s="3" t="s">
        <v>77</v>
      </c>
      <c r="M6" s="3" t="s">
        <v>64</v>
      </c>
      <c r="N6" s="3" t="s">
        <v>78</v>
      </c>
      <c r="O6" s="3" t="s">
        <v>79</v>
      </c>
      <c r="P6" s="3" t="s">
        <v>80</v>
      </c>
      <c r="Q6" s="3" t="s">
        <v>68</v>
      </c>
      <c r="R6" s="3" t="s">
        <v>69</v>
      </c>
      <c r="S6" s="3" t="s">
        <v>70</v>
      </c>
      <c r="T6" s="3" t="s">
        <v>71</v>
      </c>
      <c r="U6" s="3" t="s">
        <v>72</v>
      </c>
      <c r="V6" s="3" t="str">
        <f>IF(COUNTA(A6:U6)=21,"OK","MISSING")</f>
        <v>OK</v>
      </c>
    </row>
    <row r="7" ht="35.05" hidden="0" outlineLevel="0" collapsed="0">
      <c r="A7" s="3">
        <v>3</v>
      </c>
      <c r="B7" s="3" t="s">
        <v>4</v>
      </c>
      <c r="C7" s="3" t="s">
        <v>81</v>
      </c>
      <c r="D7" s="3" t="s">
        <v>56</v>
      </c>
      <c r="E7" s="3" t="s">
        <v>82</v>
      </c>
      <c r="F7" s="12">
        <v>574785</v>
      </c>
      <c r="G7" s="3" t="s">
        <v>58</v>
      </c>
      <c r="H7" s="3" t="s">
        <v>59</v>
      </c>
      <c r="I7" s="3" t="s">
        <v>60</v>
      </c>
      <c r="J7" s="3" t="s">
        <v>83</v>
      </c>
      <c r="K7" s="3" t="s">
        <v>84</v>
      </c>
      <c r="L7" s="3" t="s">
        <v>85</v>
      </c>
      <c r="M7" s="3" t="s">
        <v>64</v>
      </c>
      <c r="N7" s="3" t="s">
        <v>86</v>
      </c>
      <c r="O7" s="3" t="s">
        <v>10</v>
      </c>
      <c r="P7" s="3" t="s">
        <v>87</v>
      </c>
      <c r="Q7" s="3" t="s">
        <v>68</v>
      </c>
      <c r="R7" s="3" t="s">
        <v>69</v>
      </c>
      <c r="S7" s="3" t="s">
        <v>70</v>
      </c>
      <c r="T7" s="3" t="s">
        <v>71</v>
      </c>
      <c r="U7" s="3" t="s">
        <v>72</v>
      </c>
      <c r="V7" s="3" t="str">
        <f>IF(COUNTA(A7:U7)=21,"OK","MISSING")</f>
        <v>OK</v>
      </c>
    </row>
    <row r="8" ht="35.05" hidden="0" outlineLevel="0" collapsed="0">
      <c r="A8" s="3">
        <v>4</v>
      </c>
      <c r="B8" s="3" t="s">
        <v>4</v>
      </c>
      <c r="C8" s="3" t="s">
        <v>88</v>
      </c>
      <c r="D8" s="3" t="s">
        <v>56</v>
      </c>
      <c r="E8" s="3" t="s">
        <v>89</v>
      </c>
      <c r="F8" s="12">
        <v>637959</v>
      </c>
      <c r="G8" s="3" t="s">
        <v>58</v>
      </c>
      <c r="H8" s="3" t="s">
        <v>59</v>
      </c>
      <c r="I8" s="3" t="s">
        <v>60</v>
      </c>
      <c r="J8" s="3" t="s">
        <v>90</v>
      </c>
      <c r="K8" s="3" t="s">
        <v>91</v>
      </c>
      <c r="L8" s="3" t="s">
        <v>85</v>
      </c>
      <c r="M8" s="3" t="s">
        <v>64</v>
      </c>
      <c r="N8" s="3" t="s">
        <v>86</v>
      </c>
      <c r="O8" s="3" t="s">
        <v>10</v>
      </c>
      <c r="P8" s="3" t="s">
        <v>87</v>
      </c>
      <c r="Q8" s="3" t="s">
        <v>68</v>
      </c>
      <c r="R8" s="3" t="s">
        <v>69</v>
      </c>
      <c r="S8" s="3" t="s">
        <v>70</v>
      </c>
      <c r="T8" s="3" t="s">
        <v>71</v>
      </c>
      <c r="U8" s="3" t="s">
        <v>72</v>
      </c>
      <c r="V8" s="3" t="str">
        <f>IF(COUNTA(A8:U8)=21,"OK","MISSING")</f>
        <v>OK</v>
      </c>
    </row>
    <row r="9" ht="35.05" hidden="0" outlineLevel="0" collapsed="0">
      <c r="A9" s="3">
        <v>5</v>
      </c>
      <c r="B9" s="3" t="s">
        <v>4</v>
      </c>
      <c r="C9" s="3" t="s">
        <v>92</v>
      </c>
      <c r="D9" s="3" t="s">
        <v>56</v>
      </c>
      <c r="E9" s="3" t="s">
        <v>93</v>
      </c>
      <c r="F9" s="12">
        <v>716924</v>
      </c>
      <c r="G9" s="3" t="s">
        <v>58</v>
      </c>
      <c r="H9" s="3" t="s">
        <v>59</v>
      </c>
      <c r="I9" s="3" t="s">
        <v>60</v>
      </c>
      <c r="J9" s="3" t="s">
        <v>94</v>
      </c>
      <c r="K9" s="3" t="s">
        <v>95</v>
      </c>
      <c r="L9" s="3" t="s">
        <v>85</v>
      </c>
      <c r="M9" s="3" t="s">
        <v>64</v>
      </c>
      <c r="N9" s="3" t="s">
        <v>86</v>
      </c>
      <c r="O9" s="3" t="s">
        <v>10</v>
      </c>
      <c r="P9" s="3" t="s">
        <v>87</v>
      </c>
      <c r="Q9" s="3" t="s">
        <v>68</v>
      </c>
      <c r="R9" s="3" t="s">
        <v>69</v>
      </c>
      <c r="S9" s="3" t="s">
        <v>70</v>
      </c>
      <c r="T9" s="3" t="s">
        <v>71</v>
      </c>
      <c r="U9" s="3" t="s">
        <v>72</v>
      </c>
      <c r="V9" s="3" t="str">
        <f>IF(COUNTA(A9:U9)=21,"OK","MISSING")</f>
        <v>OK</v>
      </c>
    </row>
    <row r="10" ht="35.05" hidden="0" outlineLevel="0" collapsed="0">
      <c r="A10" s="3">
        <v>6</v>
      </c>
      <c r="B10" s="3" t="s">
        <v>4</v>
      </c>
      <c r="C10" s="3" t="s">
        <v>96</v>
      </c>
      <c r="D10" s="3" t="s">
        <v>97</v>
      </c>
      <c r="E10" s="3" t="s">
        <v>57</v>
      </c>
      <c r="F10" s="12">
        <v>24879</v>
      </c>
      <c r="G10" s="3" t="s">
        <v>58</v>
      </c>
      <c r="H10" s="3" t="s">
        <v>59</v>
      </c>
      <c r="I10" s="3" t="s">
        <v>98</v>
      </c>
      <c r="J10" s="3" t="s">
        <v>61</v>
      </c>
      <c r="K10" s="3" t="s">
        <v>62</v>
      </c>
      <c r="L10" s="3" t="s">
        <v>63</v>
      </c>
      <c r="M10" s="3" t="s">
        <v>64</v>
      </c>
      <c r="N10" s="3" t="s">
        <v>65</v>
      </c>
      <c r="O10" s="3" t="s">
        <v>66</v>
      </c>
      <c r="P10" s="3" t="s">
        <v>67</v>
      </c>
      <c r="Q10" s="3" t="s">
        <v>68</v>
      </c>
      <c r="R10" s="3" t="s">
        <v>69</v>
      </c>
      <c r="S10" s="3" t="s">
        <v>70</v>
      </c>
      <c r="T10" s="3" t="s">
        <v>71</v>
      </c>
      <c r="U10" s="3" t="s">
        <v>72</v>
      </c>
      <c r="V10" s="3" t="str">
        <f>IF(COUNTA(A10:U10)=21,"OK","MISSING")</f>
        <v>OK</v>
      </c>
    </row>
    <row r="11" ht="35.05" hidden="0" outlineLevel="0" collapsed="0">
      <c r="A11" s="3">
        <v>7</v>
      </c>
      <c r="B11" s="3" t="s">
        <v>4</v>
      </c>
      <c r="C11" s="3" t="s">
        <v>99</v>
      </c>
      <c r="D11" s="3" t="s">
        <v>97</v>
      </c>
      <c r="E11" s="3" t="s">
        <v>74</v>
      </c>
      <c r="F11" s="12">
        <v>12248</v>
      </c>
      <c r="G11" s="3" t="s">
        <v>58</v>
      </c>
      <c r="H11" s="3" t="s">
        <v>59</v>
      </c>
      <c r="I11" s="3" t="s">
        <v>98</v>
      </c>
      <c r="J11" s="3" t="s">
        <v>75</v>
      </c>
      <c r="K11" s="3" t="s">
        <v>76</v>
      </c>
      <c r="L11" s="3" t="s">
        <v>77</v>
      </c>
      <c r="M11" s="3" t="s">
        <v>64</v>
      </c>
      <c r="N11" s="3" t="s">
        <v>78</v>
      </c>
      <c r="O11" s="3" t="s">
        <v>79</v>
      </c>
      <c r="P11" s="3" t="s">
        <v>80</v>
      </c>
      <c r="Q11" s="3" t="s">
        <v>68</v>
      </c>
      <c r="R11" s="3" t="s">
        <v>69</v>
      </c>
      <c r="S11" s="3" t="s">
        <v>70</v>
      </c>
      <c r="T11" s="3" t="s">
        <v>71</v>
      </c>
      <c r="U11" s="3" t="s">
        <v>72</v>
      </c>
      <c r="V11" s="3" t="str">
        <f>IF(COUNTA(A11:U11)=21,"OK","MISSING")</f>
        <v>OK</v>
      </c>
    </row>
    <row r="12" ht="35.05" hidden="0" outlineLevel="0" collapsed="0">
      <c r="A12" s="3">
        <v>8</v>
      </c>
      <c r="B12" s="3" t="s">
        <v>4</v>
      </c>
      <c r="C12" s="3" t="s">
        <v>100</v>
      </c>
      <c r="D12" s="3" t="s">
        <v>97</v>
      </c>
      <c r="E12" s="3" t="s">
        <v>82</v>
      </c>
      <c r="F12" s="12">
        <v>36852</v>
      </c>
      <c r="G12" s="3" t="s">
        <v>58</v>
      </c>
      <c r="H12" s="3" t="s">
        <v>59</v>
      </c>
      <c r="I12" s="3" t="s">
        <v>98</v>
      </c>
      <c r="J12" s="3" t="s">
        <v>83</v>
      </c>
      <c r="K12" s="3" t="s">
        <v>84</v>
      </c>
      <c r="L12" s="3" t="s">
        <v>85</v>
      </c>
      <c r="M12" s="3" t="s">
        <v>64</v>
      </c>
      <c r="N12" s="3" t="s">
        <v>86</v>
      </c>
      <c r="O12" s="3" t="s">
        <v>10</v>
      </c>
      <c r="P12" s="3" t="s">
        <v>87</v>
      </c>
      <c r="Q12" s="3" t="s">
        <v>68</v>
      </c>
      <c r="R12" s="3" t="s">
        <v>69</v>
      </c>
      <c r="S12" s="3" t="s">
        <v>70</v>
      </c>
      <c r="T12" s="3" t="s">
        <v>71</v>
      </c>
      <c r="U12" s="3" t="s">
        <v>72</v>
      </c>
      <c r="V12" s="3" t="str">
        <f>IF(COUNTA(A12:U12)=21,"OK","MISSING")</f>
        <v>OK</v>
      </c>
    </row>
    <row r="13" ht="35.05" hidden="0" outlineLevel="0" collapsed="0">
      <c r="A13" s="3">
        <v>9</v>
      </c>
      <c r="B13" s="3" t="s">
        <v>4</v>
      </c>
      <c r="C13" s="3" t="s">
        <v>101</v>
      </c>
      <c r="D13" s="3" t="s">
        <v>97</v>
      </c>
      <c r="E13" s="3" t="s">
        <v>89</v>
      </c>
      <c r="F13" s="12">
        <v>68593</v>
      </c>
      <c r="G13" s="3" t="s">
        <v>58</v>
      </c>
      <c r="H13" s="3" t="s">
        <v>59</v>
      </c>
      <c r="I13" s="3" t="s">
        <v>98</v>
      </c>
      <c r="J13" s="3" t="s">
        <v>90</v>
      </c>
      <c r="K13" s="3" t="s">
        <v>91</v>
      </c>
      <c r="L13" s="3" t="s">
        <v>85</v>
      </c>
      <c r="M13" s="3" t="s">
        <v>64</v>
      </c>
      <c r="N13" s="3" t="s">
        <v>86</v>
      </c>
      <c r="O13" s="3" t="s">
        <v>10</v>
      </c>
      <c r="P13" s="3" t="s">
        <v>87</v>
      </c>
      <c r="Q13" s="3" t="s">
        <v>68</v>
      </c>
      <c r="R13" s="3" t="s">
        <v>69</v>
      </c>
      <c r="S13" s="3" t="s">
        <v>70</v>
      </c>
      <c r="T13" s="3" t="s">
        <v>71</v>
      </c>
      <c r="U13" s="3" t="s">
        <v>72</v>
      </c>
      <c r="V13" s="3" t="str">
        <f>IF(COUNTA(A13:U13)=21,"OK","MISSING")</f>
        <v>OK</v>
      </c>
    </row>
    <row r="14" ht="35.05" hidden="0" outlineLevel="0" collapsed="0">
      <c r="A14" s="3">
        <v>10</v>
      </c>
      <c r="B14" s="3" t="s">
        <v>4</v>
      </c>
      <c r="C14" s="3" t="s">
        <v>102</v>
      </c>
      <c r="D14" s="3" t="s">
        <v>97</v>
      </c>
      <c r="E14" s="3" t="s">
        <v>93</v>
      </c>
      <c r="F14" s="12">
        <v>79975</v>
      </c>
      <c r="G14" s="3" t="s">
        <v>58</v>
      </c>
      <c r="H14" s="3" t="s">
        <v>59</v>
      </c>
      <c r="I14" s="3" t="s">
        <v>98</v>
      </c>
      <c r="J14" s="3" t="s">
        <v>94</v>
      </c>
      <c r="K14" s="3" t="s">
        <v>95</v>
      </c>
      <c r="L14" s="3" t="s">
        <v>85</v>
      </c>
      <c r="M14" s="3" t="s">
        <v>64</v>
      </c>
      <c r="N14" s="3" t="s">
        <v>86</v>
      </c>
      <c r="O14" s="3" t="s">
        <v>10</v>
      </c>
      <c r="P14" s="3" t="s">
        <v>87</v>
      </c>
      <c r="Q14" s="3" t="s">
        <v>68</v>
      </c>
      <c r="R14" s="3" t="s">
        <v>69</v>
      </c>
      <c r="S14" s="3" t="s">
        <v>70</v>
      </c>
      <c r="T14" s="3" t="s">
        <v>71</v>
      </c>
      <c r="U14" s="3" t="s">
        <v>72</v>
      </c>
      <c r="V14" s="3" t="str">
        <f>IF(COUNTA(A14:U14)=21,"OK","MISSING")</f>
        <v>OK</v>
      </c>
    </row>
    <row r="15" ht="35.05" hidden="0" outlineLevel="0" collapsed="0">
      <c r="A15" s="3">
        <v>11</v>
      </c>
      <c r="B15" s="3" t="s">
        <v>4</v>
      </c>
      <c r="C15" s="3" t="s">
        <v>103</v>
      </c>
      <c r="D15" s="3" t="s">
        <v>104</v>
      </c>
      <c r="E15" s="3" t="s">
        <v>57</v>
      </c>
      <c r="F15" s="12">
        <v>33364</v>
      </c>
      <c r="G15" s="3" t="s">
        <v>58</v>
      </c>
      <c r="H15" s="3" t="s">
        <v>59</v>
      </c>
      <c r="I15" s="3" t="s">
        <v>105</v>
      </c>
      <c r="J15" s="3" t="s">
        <v>61</v>
      </c>
      <c r="K15" s="3" t="s">
        <v>62</v>
      </c>
      <c r="L15" s="3" t="s">
        <v>63</v>
      </c>
      <c r="M15" s="3" t="s">
        <v>64</v>
      </c>
      <c r="N15" s="3" t="s">
        <v>65</v>
      </c>
      <c r="O15" s="3" t="s">
        <v>66</v>
      </c>
      <c r="P15" s="3" t="s">
        <v>67</v>
      </c>
      <c r="Q15" s="3" t="s">
        <v>68</v>
      </c>
      <c r="R15" s="3" t="s">
        <v>69</v>
      </c>
      <c r="S15" s="3" t="s">
        <v>70</v>
      </c>
      <c r="T15" s="3" t="s">
        <v>71</v>
      </c>
      <c r="U15" s="3" t="s">
        <v>72</v>
      </c>
      <c r="V15" s="3" t="str">
        <f>IF(COUNTA(A15:U15)=21,"OK","MISSING")</f>
        <v>OK</v>
      </c>
    </row>
    <row r="16" ht="35.05" hidden="0" outlineLevel="0" collapsed="0">
      <c r="A16" s="3">
        <v>12</v>
      </c>
      <c r="B16" s="3" t="s">
        <v>4</v>
      </c>
      <c r="C16" s="3" t="s">
        <v>106</v>
      </c>
      <c r="D16" s="3" t="s">
        <v>104</v>
      </c>
      <c r="E16" s="3" t="s">
        <v>74</v>
      </c>
      <c r="F16" s="12">
        <v>-2722</v>
      </c>
      <c r="G16" s="3" t="s">
        <v>58</v>
      </c>
      <c r="H16" s="3" t="s">
        <v>59</v>
      </c>
      <c r="I16" s="3" t="s">
        <v>105</v>
      </c>
      <c r="J16" s="3" t="s">
        <v>75</v>
      </c>
      <c r="K16" s="3" t="s">
        <v>76</v>
      </c>
      <c r="L16" s="3" t="s">
        <v>77</v>
      </c>
      <c r="M16" s="3" t="s">
        <v>64</v>
      </c>
      <c r="N16" s="3" t="s">
        <v>78</v>
      </c>
      <c r="O16" s="3" t="s">
        <v>79</v>
      </c>
      <c r="P16" s="3" t="s">
        <v>80</v>
      </c>
      <c r="Q16" s="3" t="s">
        <v>68</v>
      </c>
      <c r="R16" s="3" t="s">
        <v>69</v>
      </c>
      <c r="S16" s="3" t="s">
        <v>70</v>
      </c>
      <c r="T16" s="3" t="s">
        <v>71</v>
      </c>
      <c r="U16" s="3" t="s">
        <v>72</v>
      </c>
      <c r="V16" s="3" t="str">
        <f>IF(COUNTA(A16:U16)=21,"OK","MISSING")</f>
        <v>OK</v>
      </c>
    </row>
    <row r="17" ht="35.05" hidden="0" outlineLevel="0" collapsed="0">
      <c r="A17" s="3">
        <v>13</v>
      </c>
      <c r="B17" s="3" t="s">
        <v>4</v>
      </c>
      <c r="C17" s="3" t="s">
        <v>107</v>
      </c>
      <c r="D17" s="3" t="s">
        <v>104</v>
      </c>
      <c r="E17" s="3" t="s">
        <v>82</v>
      </c>
      <c r="F17" s="12">
        <v>30425</v>
      </c>
      <c r="G17" s="3" t="s">
        <v>58</v>
      </c>
      <c r="H17" s="3" t="s">
        <v>59</v>
      </c>
      <c r="I17" s="3" t="s">
        <v>105</v>
      </c>
      <c r="J17" s="3" t="s">
        <v>83</v>
      </c>
      <c r="K17" s="3" t="s">
        <v>84</v>
      </c>
      <c r="L17" s="3" t="s">
        <v>85</v>
      </c>
      <c r="M17" s="3" t="s">
        <v>64</v>
      </c>
      <c r="N17" s="3" t="s">
        <v>86</v>
      </c>
      <c r="O17" s="3" t="s">
        <v>10</v>
      </c>
      <c r="P17" s="3" t="s">
        <v>87</v>
      </c>
      <c r="Q17" s="3" t="s">
        <v>68</v>
      </c>
      <c r="R17" s="3" t="s">
        <v>69</v>
      </c>
      <c r="S17" s="3" t="s">
        <v>70</v>
      </c>
      <c r="T17" s="3" t="s">
        <v>71</v>
      </c>
      <c r="U17" s="3" t="s">
        <v>72</v>
      </c>
      <c r="V17" s="3" t="str">
        <f>IF(COUNTA(A17:U17)=21,"OK","MISSING")</f>
        <v>OK</v>
      </c>
    </row>
    <row r="18" ht="35.05" hidden="0" outlineLevel="0" collapsed="0">
      <c r="A18" s="3">
        <v>14</v>
      </c>
      <c r="B18" s="3" t="s">
        <v>4</v>
      </c>
      <c r="C18" s="3" t="s">
        <v>108</v>
      </c>
      <c r="D18" s="3" t="s">
        <v>104</v>
      </c>
      <c r="E18" s="3" t="s">
        <v>89</v>
      </c>
      <c r="F18" s="12">
        <v>59248</v>
      </c>
      <c r="G18" s="3" t="s">
        <v>58</v>
      </c>
      <c r="H18" s="3" t="s">
        <v>59</v>
      </c>
      <c r="I18" s="3" t="s">
        <v>105</v>
      </c>
      <c r="J18" s="3" t="s">
        <v>90</v>
      </c>
      <c r="K18" s="3" t="s">
        <v>91</v>
      </c>
      <c r="L18" s="3" t="s">
        <v>85</v>
      </c>
      <c r="M18" s="3" t="s">
        <v>64</v>
      </c>
      <c r="N18" s="3" t="s">
        <v>86</v>
      </c>
      <c r="O18" s="3" t="s">
        <v>10</v>
      </c>
      <c r="P18" s="3" t="s">
        <v>87</v>
      </c>
      <c r="Q18" s="3" t="s">
        <v>68</v>
      </c>
      <c r="R18" s="3" t="s">
        <v>69</v>
      </c>
      <c r="S18" s="3" t="s">
        <v>70</v>
      </c>
      <c r="T18" s="3" t="s">
        <v>71</v>
      </c>
      <c r="U18" s="3" t="s">
        <v>72</v>
      </c>
      <c r="V18" s="3" t="str">
        <f>IF(COUNTA(A18:U18)=21,"OK","MISSING")</f>
        <v>OK</v>
      </c>
    </row>
    <row r="19" ht="35.05" hidden="0" outlineLevel="0" collapsed="0">
      <c r="A19" s="3">
        <v>15</v>
      </c>
      <c r="B19" s="3" t="s">
        <v>4</v>
      </c>
      <c r="C19" s="3" t="s">
        <v>109</v>
      </c>
      <c r="D19" s="3" t="s">
        <v>104</v>
      </c>
      <c r="E19" s="3" t="s">
        <v>93</v>
      </c>
      <c r="F19" s="12">
        <v>77670</v>
      </c>
      <c r="G19" s="3" t="s">
        <v>58</v>
      </c>
      <c r="H19" s="3" t="s">
        <v>59</v>
      </c>
      <c r="I19" s="3" t="s">
        <v>105</v>
      </c>
      <c r="J19" s="3" t="s">
        <v>94</v>
      </c>
      <c r="K19" s="3" t="s">
        <v>95</v>
      </c>
      <c r="L19" s="3" t="s">
        <v>85</v>
      </c>
      <c r="M19" s="3" t="s">
        <v>64</v>
      </c>
      <c r="N19" s="3" t="s">
        <v>86</v>
      </c>
      <c r="O19" s="3" t="s">
        <v>10</v>
      </c>
      <c r="P19" s="3" t="s">
        <v>87</v>
      </c>
      <c r="Q19" s="3" t="s">
        <v>68</v>
      </c>
      <c r="R19" s="3" t="s">
        <v>69</v>
      </c>
      <c r="S19" s="3" t="s">
        <v>70</v>
      </c>
      <c r="T19" s="3" t="s">
        <v>71</v>
      </c>
      <c r="U19" s="3" t="s">
        <v>72</v>
      </c>
      <c r="V19" s="3" t="str">
        <f>IF(COUNTA(A19:U19)=21,"OK","MISSING")</f>
        <v>OK</v>
      </c>
    </row>
    <row r="20" ht="35.05" hidden="0" outlineLevel="0" collapsed="0">
      <c r="A20" s="3">
        <v>16</v>
      </c>
      <c r="B20" s="3" t="s">
        <v>4</v>
      </c>
      <c r="C20" s="3" t="s">
        <v>110</v>
      </c>
      <c r="D20" s="3" t="s">
        <v>111</v>
      </c>
      <c r="E20" s="3" t="s">
        <v>57</v>
      </c>
      <c r="F20" s="12">
        <v>46327</v>
      </c>
      <c r="G20" s="3" t="s">
        <v>58</v>
      </c>
      <c r="H20" s="3" t="s">
        <v>59</v>
      </c>
      <c r="I20" s="3" t="s">
        <v>112</v>
      </c>
      <c r="J20" s="3" t="s">
        <v>61</v>
      </c>
      <c r="K20" s="3" t="s">
        <v>62</v>
      </c>
      <c r="L20" s="3" t="s">
        <v>63</v>
      </c>
      <c r="M20" s="3" t="s">
        <v>64</v>
      </c>
      <c r="N20" s="3" t="s">
        <v>65</v>
      </c>
      <c r="O20" s="3" t="s">
        <v>66</v>
      </c>
      <c r="P20" s="3" t="s">
        <v>67</v>
      </c>
      <c r="Q20" s="3" t="s">
        <v>68</v>
      </c>
      <c r="R20" s="3" t="s">
        <v>69</v>
      </c>
      <c r="S20" s="3" t="s">
        <v>70</v>
      </c>
      <c r="T20" s="3" t="s">
        <v>71</v>
      </c>
      <c r="U20" s="3" t="s">
        <v>72</v>
      </c>
      <c r="V20" s="3" t="str">
        <f>IF(COUNTA(A20:U20)=21,"OK","MISSING")</f>
        <v>OK</v>
      </c>
    </row>
    <row r="21" ht="35.05" hidden="0" outlineLevel="0" collapsed="0">
      <c r="A21" s="3">
        <v>17</v>
      </c>
      <c r="B21" s="3" t="s">
        <v>4</v>
      </c>
      <c r="C21" s="3" t="s">
        <v>113</v>
      </c>
      <c r="D21" s="3" t="s">
        <v>111</v>
      </c>
      <c r="E21" s="3" t="s">
        <v>74</v>
      </c>
      <c r="F21" s="12">
        <v>46752</v>
      </c>
      <c r="G21" s="3" t="s">
        <v>58</v>
      </c>
      <c r="H21" s="3" t="s">
        <v>59</v>
      </c>
      <c r="I21" s="3" t="s">
        <v>112</v>
      </c>
      <c r="J21" s="3" t="s">
        <v>75</v>
      </c>
      <c r="K21" s="3" t="s">
        <v>76</v>
      </c>
      <c r="L21" s="3" t="s">
        <v>77</v>
      </c>
      <c r="M21" s="3" t="s">
        <v>64</v>
      </c>
      <c r="N21" s="3" t="s">
        <v>78</v>
      </c>
      <c r="O21" s="3" t="s">
        <v>79</v>
      </c>
      <c r="P21" s="3" t="s">
        <v>80</v>
      </c>
      <c r="Q21" s="3" t="s">
        <v>68</v>
      </c>
      <c r="R21" s="3" t="s">
        <v>69</v>
      </c>
      <c r="S21" s="3" t="s">
        <v>70</v>
      </c>
      <c r="T21" s="3" t="s">
        <v>71</v>
      </c>
      <c r="U21" s="3" t="s">
        <v>72</v>
      </c>
      <c r="V21" s="3" t="str">
        <f>IF(COUNTA(A21:U21)=21,"OK","MISSING")</f>
        <v>OK</v>
      </c>
    </row>
    <row r="22" ht="35.05" hidden="0" outlineLevel="0" collapsed="0">
      <c r="A22" s="3">
        <v>18</v>
      </c>
      <c r="B22" s="3" t="s">
        <v>4</v>
      </c>
      <c r="C22" s="3" t="s">
        <v>114</v>
      </c>
      <c r="D22" s="3" t="s">
        <v>111</v>
      </c>
      <c r="E22" s="3" t="s">
        <v>82</v>
      </c>
      <c r="F22" s="12">
        <v>84946</v>
      </c>
      <c r="G22" s="3" t="s">
        <v>58</v>
      </c>
      <c r="H22" s="3" t="s">
        <v>59</v>
      </c>
      <c r="I22" s="3" t="s">
        <v>112</v>
      </c>
      <c r="J22" s="3" t="s">
        <v>83</v>
      </c>
      <c r="K22" s="3" t="s">
        <v>84</v>
      </c>
      <c r="L22" s="3" t="s">
        <v>85</v>
      </c>
      <c r="M22" s="3" t="s">
        <v>64</v>
      </c>
      <c r="N22" s="3" t="s">
        <v>86</v>
      </c>
      <c r="O22" s="3" t="s">
        <v>10</v>
      </c>
      <c r="P22" s="3" t="s">
        <v>87</v>
      </c>
      <c r="Q22" s="3" t="s">
        <v>68</v>
      </c>
      <c r="R22" s="3" t="s">
        <v>69</v>
      </c>
      <c r="S22" s="3" t="s">
        <v>70</v>
      </c>
      <c r="T22" s="3" t="s">
        <v>71</v>
      </c>
      <c r="U22" s="3" t="s">
        <v>72</v>
      </c>
      <c r="V22" s="3" t="str">
        <f>IF(COUNTA(A22:U22)=21,"OK","MISSING")</f>
        <v>OK</v>
      </c>
    </row>
    <row r="23" ht="35.05" hidden="0" outlineLevel="0" collapsed="0">
      <c r="A23" s="3">
        <v>19</v>
      </c>
      <c r="B23" s="3" t="s">
        <v>4</v>
      </c>
      <c r="C23" s="3" t="s">
        <v>115</v>
      </c>
      <c r="D23" s="3" t="s">
        <v>111</v>
      </c>
      <c r="E23" s="3" t="s">
        <v>89</v>
      </c>
      <c r="F23" s="12">
        <v>115877</v>
      </c>
      <c r="G23" s="3" t="s">
        <v>58</v>
      </c>
      <c r="H23" s="3" t="s">
        <v>59</v>
      </c>
      <c r="I23" s="3" t="s">
        <v>112</v>
      </c>
      <c r="J23" s="3" t="s">
        <v>90</v>
      </c>
      <c r="K23" s="3" t="s">
        <v>91</v>
      </c>
      <c r="L23" s="3" t="s">
        <v>85</v>
      </c>
      <c r="M23" s="3" t="s">
        <v>64</v>
      </c>
      <c r="N23" s="3" t="s">
        <v>86</v>
      </c>
      <c r="O23" s="3" t="s">
        <v>10</v>
      </c>
      <c r="P23" s="3" t="s">
        <v>87</v>
      </c>
      <c r="Q23" s="3" t="s">
        <v>68</v>
      </c>
      <c r="R23" s="3" t="s">
        <v>69</v>
      </c>
      <c r="S23" s="3" t="s">
        <v>70</v>
      </c>
      <c r="T23" s="3" t="s">
        <v>71</v>
      </c>
      <c r="U23" s="3" t="s">
        <v>72</v>
      </c>
      <c r="V23" s="3" t="str">
        <f>IF(COUNTA(A23:U23)=21,"OK","MISSING")</f>
        <v>OK</v>
      </c>
    </row>
    <row r="24" ht="35.05" hidden="0" outlineLevel="0" collapsed="0">
      <c r="A24" s="3">
        <v>20</v>
      </c>
      <c r="B24" s="3" t="s">
        <v>4</v>
      </c>
      <c r="C24" s="3" t="s">
        <v>116</v>
      </c>
      <c r="D24" s="3" t="s">
        <v>111</v>
      </c>
      <c r="E24" s="3" t="s">
        <v>93</v>
      </c>
      <c r="F24" s="12">
        <v>139514</v>
      </c>
      <c r="G24" s="3" t="s">
        <v>58</v>
      </c>
      <c r="H24" s="3" t="s">
        <v>59</v>
      </c>
      <c r="I24" s="3" t="s">
        <v>112</v>
      </c>
      <c r="J24" s="3" t="s">
        <v>94</v>
      </c>
      <c r="K24" s="3" t="s">
        <v>95</v>
      </c>
      <c r="L24" s="3" t="s">
        <v>85</v>
      </c>
      <c r="M24" s="3" t="s">
        <v>64</v>
      </c>
      <c r="N24" s="3" t="s">
        <v>86</v>
      </c>
      <c r="O24" s="3" t="s">
        <v>10</v>
      </c>
      <c r="P24" s="3" t="s">
        <v>87</v>
      </c>
      <c r="Q24" s="3" t="s">
        <v>68</v>
      </c>
      <c r="R24" s="3" t="s">
        <v>69</v>
      </c>
      <c r="S24" s="3" t="s">
        <v>70</v>
      </c>
      <c r="T24" s="3" t="s">
        <v>71</v>
      </c>
      <c r="U24" s="3" t="s">
        <v>72</v>
      </c>
      <c r="V24" s="3" t="str">
        <f>IF(COUNTA(A24:U24)=21,"OK","MISSING")</f>
        <v>OK</v>
      </c>
    </row>
    <row r="25" ht="35.05" hidden="0" outlineLevel="0" collapsed="0">
      <c r="A25" s="3">
        <v>21</v>
      </c>
      <c r="B25" s="3" t="s">
        <v>4</v>
      </c>
      <c r="C25" s="3" t="s">
        <v>117</v>
      </c>
      <c r="D25" s="3" t="s">
        <v>118</v>
      </c>
      <c r="E25" s="3" t="s">
        <v>57</v>
      </c>
      <c r="F25" s="12">
        <v>61053</v>
      </c>
      <c r="G25" s="3" t="s">
        <v>58</v>
      </c>
      <c r="H25" s="3" t="s">
        <v>59</v>
      </c>
      <c r="I25" s="3" t="s">
        <v>119</v>
      </c>
      <c r="J25" s="3" t="s">
        <v>61</v>
      </c>
      <c r="K25" s="3" t="s">
        <v>62</v>
      </c>
      <c r="L25" s="3" t="s">
        <v>63</v>
      </c>
      <c r="M25" s="3" t="s">
        <v>64</v>
      </c>
      <c r="N25" s="3" t="s">
        <v>65</v>
      </c>
      <c r="O25" s="3" t="s">
        <v>66</v>
      </c>
      <c r="P25" s="3" t="s">
        <v>67</v>
      </c>
      <c r="Q25" s="3" t="s">
        <v>68</v>
      </c>
      <c r="R25" s="3" t="s">
        <v>69</v>
      </c>
      <c r="S25" s="3" t="s">
        <v>70</v>
      </c>
      <c r="T25" s="3" t="s">
        <v>71</v>
      </c>
      <c r="U25" s="3" t="s">
        <v>72</v>
      </c>
      <c r="V25" s="3" t="str">
        <f>IF(COUNTA(A25:U25)=21,"OK","MISSING")</f>
        <v>OK</v>
      </c>
    </row>
    <row r="26" ht="35.05" hidden="0" outlineLevel="0" collapsed="0">
      <c r="A26" s="3">
        <v>22</v>
      </c>
      <c r="B26" s="3" t="s">
        <v>4</v>
      </c>
      <c r="C26" s="3" t="s">
        <v>120</v>
      </c>
      <c r="D26" s="3" t="s">
        <v>118</v>
      </c>
      <c r="E26" s="3" t="s">
        <v>74</v>
      </c>
      <c r="F26" s="12">
        <v>63645</v>
      </c>
      <c r="G26" s="3" t="s">
        <v>58</v>
      </c>
      <c r="H26" s="3" t="s">
        <v>59</v>
      </c>
      <c r="I26" s="3" t="s">
        <v>119</v>
      </c>
      <c r="J26" s="3" t="s">
        <v>75</v>
      </c>
      <c r="K26" s="3" t="s">
        <v>76</v>
      </c>
      <c r="L26" s="3" t="s">
        <v>77</v>
      </c>
      <c r="M26" s="3" t="s">
        <v>64</v>
      </c>
      <c r="N26" s="3" t="s">
        <v>78</v>
      </c>
      <c r="O26" s="3" t="s">
        <v>79</v>
      </c>
      <c r="P26" s="3" t="s">
        <v>80</v>
      </c>
      <c r="Q26" s="3" t="s">
        <v>68</v>
      </c>
      <c r="R26" s="3" t="s">
        <v>69</v>
      </c>
      <c r="S26" s="3" t="s">
        <v>70</v>
      </c>
      <c r="T26" s="3" t="s">
        <v>71</v>
      </c>
      <c r="U26" s="3" t="s">
        <v>72</v>
      </c>
      <c r="V26" s="3" t="str">
        <f>IF(COUNTA(A26:U26)=21,"OK","MISSING")</f>
        <v>OK</v>
      </c>
    </row>
    <row r="27" ht="35.05" hidden="0" outlineLevel="0" collapsed="0">
      <c r="A27" s="3">
        <v>23</v>
      </c>
      <c r="B27" s="3" t="s">
        <v>4</v>
      </c>
      <c r="C27" s="3" t="s">
        <v>121</v>
      </c>
      <c r="D27" s="3" t="s">
        <v>118</v>
      </c>
      <c r="E27" s="3" t="s">
        <v>82</v>
      </c>
      <c r="F27" s="12">
        <v>52729</v>
      </c>
      <c r="G27" s="3" t="s">
        <v>58</v>
      </c>
      <c r="H27" s="3" t="s">
        <v>59</v>
      </c>
      <c r="I27" s="3" t="s">
        <v>119</v>
      </c>
      <c r="J27" s="3" t="s">
        <v>83</v>
      </c>
      <c r="K27" s="3" t="s">
        <v>84</v>
      </c>
      <c r="L27" s="3" t="s">
        <v>85</v>
      </c>
      <c r="M27" s="3" t="s">
        <v>64</v>
      </c>
      <c r="N27" s="3" t="s">
        <v>86</v>
      </c>
      <c r="O27" s="3" t="s">
        <v>10</v>
      </c>
      <c r="P27" s="3" t="s">
        <v>87</v>
      </c>
      <c r="Q27" s="3" t="s">
        <v>68</v>
      </c>
      <c r="R27" s="3" t="s">
        <v>69</v>
      </c>
      <c r="S27" s="3" t="s">
        <v>70</v>
      </c>
      <c r="T27" s="3" t="s">
        <v>71</v>
      </c>
      <c r="U27" s="3" t="s">
        <v>72</v>
      </c>
      <c r="V27" s="3" t="str">
        <f>IF(COUNTA(A27:U27)=21,"OK","MISSING")</f>
        <v>OK</v>
      </c>
    </row>
    <row r="28" ht="35.05" hidden="0" outlineLevel="0" collapsed="0">
      <c r="A28" s="3">
        <v>24</v>
      </c>
      <c r="B28" s="3" t="s">
        <v>4</v>
      </c>
      <c r="C28" s="3" t="s">
        <v>122</v>
      </c>
      <c r="D28" s="3" t="s">
        <v>118</v>
      </c>
      <c r="E28" s="3" t="s">
        <v>89</v>
      </c>
      <c r="F28" s="12">
        <v>82999</v>
      </c>
      <c r="G28" s="3" t="s">
        <v>58</v>
      </c>
      <c r="H28" s="3" t="s">
        <v>59</v>
      </c>
      <c r="I28" s="3" t="s">
        <v>119</v>
      </c>
      <c r="J28" s="3" t="s">
        <v>90</v>
      </c>
      <c r="K28" s="3" t="s">
        <v>91</v>
      </c>
      <c r="L28" s="3" t="s">
        <v>85</v>
      </c>
      <c r="M28" s="3" t="s">
        <v>64</v>
      </c>
      <c r="N28" s="3" t="s">
        <v>86</v>
      </c>
      <c r="O28" s="3" t="s">
        <v>10</v>
      </c>
      <c r="P28" s="3" t="s">
        <v>87</v>
      </c>
      <c r="Q28" s="3" t="s">
        <v>68</v>
      </c>
      <c r="R28" s="3" t="s">
        <v>69</v>
      </c>
      <c r="S28" s="3" t="s">
        <v>70</v>
      </c>
      <c r="T28" s="3" t="s">
        <v>71</v>
      </c>
      <c r="U28" s="3" t="s">
        <v>72</v>
      </c>
      <c r="V28" s="3" t="str">
        <f>IF(COUNTA(A28:U28)=21,"OK","MISSING")</f>
        <v>OK</v>
      </c>
    </row>
    <row r="29" ht="35.05" hidden="0" outlineLevel="0" collapsed="0">
      <c r="A29" s="3">
        <v>25</v>
      </c>
      <c r="B29" s="3" t="s">
        <v>4</v>
      </c>
      <c r="C29" s="3" t="s">
        <v>123</v>
      </c>
      <c r="D29" s="3" t="s">
        <v>118</v>
      </c>
      <c r="E29" s="3" t="s">
        <v>93</v>
      </c>
      <c r="F29" s="12">
        <v>131819</v>
      </c>
      <c r="G29" s="3" t="s">
        <v>58</v>
      </c>
      <c r="H29" s="3" t="s">
        <v>59</v>
      </c>
      <c r="I29" s="3" t="s">
        <v>119</v>
      </c>
      <c r="J29" s="3" t="s">
        <v>94</v>
      </c>
      <c r="K29" s="3" t="s">
        <v>95</v>
      </c>
      <c r="L29" s="3" t="s">
        <v>85</v>
      </c>
      <c r="M29" s="3" t="s">
        <v>64</v>
      </c>
      <c r="N29" s="3" t="s">
        <v>86</v>
      </c>
      <c r="O29" s="3" t="s">
        <v>10</v>
      </c>
      <c r="P29" s="3" t="s">
        <v>87</v>
      </c>
      <c r="Q29" s="3" t="s">
        <v>68</v>
      </c>
      <c r="R29" s="3" t="s">
        <v>69</v>
      </c>
      <c r="S29" s="3" t="s">
        <v>70</v>
      </c>
      <c r="T29" s="3" t="s">
        <v>71</v>
      </c>
      <c r="U29" s="3" t="s">
        <v>72</v>
      </c>
      <c r="V29" s="3" t="str">
        <f>IF(COUNTA(A29:U29)=21,"OK","MISSING")</f>
        <v>OK</v>
      </c>
    </row>
    <row r="30" ht="35.05" hidden="0" outlineLevel="0" collapsed="0">
      <c r="A30" s="3">
        <v>26</v>
      </c>
      <c r="B30" s="3" t="s">
        <v>4</v>
      </c>
      <c r="C30" s="3" t="s">
        <v>124</v>
      </c>
      <c r="D30" s="3" t="s">
        <v>125</v>
      </c>
      <c r="E30" s="3" t="s">
        <v>57</v>
      </c>
      <c r="F30" s="12">
        <v>420549</v>
      </c>
      <c r="G30" s="3" t="s">
        <v>58</v>
      </c>
      <c r="H30" s="3" t="s">
        <v>59</v>
      </c>
      <c r="I30" s="3" t="s">
        <v>126</v>
      </c>
      <c r="J30" s="3" t="s">
        <v>127</v>
      </c>
      <c r="K30" s="3" t="s">
        <v>62</v>
      </c>
      <c r="L30" s="3" t="s">
        <v>63</v>
      </c>
      <c r="M30" s="3" t="s">
        <v>64</v>
      </c>
      <c r="N30" s="3" t="s">
        <v>65</v>
      </c>
      <c r="O30" s="3" t="s">
        <v>66</v>
      </c>
      <c r="P30" s="3" t="s">
        <v>67</v>
      </c>
      <c r="Q30" s="3" t="s">
        <v>68</v>
      </c>
      <c r="R30" s="3" t="s">
        <v>69</v>
      </c>
      <c r="S30" s="3" t="s">
        <v>70</v>
      </c>
      <c r="T30" s="3" t="s">
        <v>71</v>
      </c>
      <c r="U30" s="3" t="s">
        <v>72</v>
      </c>
      <c r="V30" s="3" t="str">
        <f>IF(COUNTA(A30:U30)=21,"OK","MISSING")</f>
        <v>OK</v>
      </c>
    </row>
    <row r="31" ht="35.05" hidden="0" outlineLevel="0" collapsed="0">
      <c r="A31" s="3">
        <v>27</v>
      </c>
      <c r="B31" s="3" t="s">
        <v>4</v>
      </c>
      <c r="C31" s="3" t="s">
        <v>128</v>
      </c>
      <c r="D31" s="3" t="s">
        <v>125</v>
      </c>
      <c r="E31" s="3" t="s">
        <v>74</v>
      </c>
      <c r="F31" s="12">
        <v>462675</v>
      </c>
      <c r="G31" s="3" t="s">
        <v>58</v>
      </c>
      <c r="H31" s="3" t="s">
        <v>59</v>
      </c>
      <c r="I31" s="3" t="s">
        <v>126</v>
      </c>
      <c r="J31" s="3" t="s">
        <v>127</v>
      </c>
      <c r="K31" s="3" t="s">
        <v>76</v>
      </c>
      <c r="L31" s="3" t="s">
        <v>77</v>
      </c>
      <c r="M31" s="3" t="s">
        <v>64</v>
      </c>
      <c r="N31" s="3" t="s">
        <v>78</v>
      </c>
      <c r="O31" s="3" t="s">
        <v>79</v>
      </c>
      <c r="P31" s="3" t="s">
        <v>80</v>
      </c>
      <c r="Q31" s="3" t="s">
        <v>68</v>
      </c>
      <c r="R31" s="3" t="s">
        <v>69</v>
      </c>
      <c r="S31" s="3" t="s">
        <v>70</v>
      </c>
      <c r="T31" s="3" t="s">
        <v>71</v>
      </c>
      <c r="U31" s="3" t="s">
        <v>72</v>
      </c>
      <c r="V31" s="3" t="str">
        <f>IF(COUNTA(A31:U31)=21,"OK","MISSING")</f>
        <v>OK</v>
      </c>
    </row>
    <row r="32" ht="35.05" hidden="0" outlineLevel="0" collapsed="0">
      <c r="A32" s="3">
        <v>28</v>
      </c>
      <c r="B32" s="3" t="s">
        <v>4</v>
      </c>
      <c r="C32" s="3" t="s">
        <v>129</v>
      </c>
      <c r="D32" s="3" t="s">
        <v>125</v>
      </c>
      <c r="E32" s="3" t="s">
        <v>82</v>
      </c>
      <c r="F32" s="12">
        <v>527854</v>
      </c>
      <c r="G32" s="3" t="s">
        <v>58</v>
      </c>
      <c r="H32" s="3" t="s">
        <v>59</v>
      </c>
      <c r="I32" s="3" t="s">
        <v>126</v>
      </c>
      <c r="J32" s="3" t="s">
        <v>127</v>
      </c>
      <c r="K32" s="3" t="s">
        <v>84</v>
      </c>
      <c r="L32" s="3" t="s">
        <v>85</v>
      </c>
      <c r="M32" s="3" t="s">
        <v>64</v>
      </c>
      <c r="N32" s="3" t="s">
        <v>86</v>
      </c>
      <c r="O32" s="3" t="s">
        <v>10</v>
      </c>
      <c r="P32" s="3" t="s">
        <v>87</v>
      </c>
      <c r="Q32" s="3" t="s">
        <v>68</v>
      </c>
      <c r="R32" s="3" t="s">
        <v>69</v>
      </c>
      <c r="S32" s="3" t="s">
        <v>70</v>
      </c>
      <c r="T32" s="3" t="s">
        <v>71</v>
      </c>
      <c r="U32" s="3" t="s">
        <v>72</v>
      </c>
      <c r="V32" s="3" t="str">
        <f>IF(COUNTA(A32:U32)=21,"OK","MISSING")</f>
        <v>OK</v>
      </c>
    </row>
    <row r="33" ht="35.05" hidden="0" outlineLevel="0" collapsed="0">
      <c r="A33" s="3">
        <v>29</v>
      </c>
      <c r="B33" s="3" t="s">
        <v>4</v>
      </c>
      <c r="C33" s="3" t="s">
        <v>130</v>
      </c>
      <c r="D33" s="3" t="s">
        <v>125</v>
      </c>
      <c r="E33" s="3" t="s">
        <v>89</v>
      </c>
      <c r="F33" s="12">
        <v>624894</v>
      </c>
      <c r="G33" s="3" t="s">
        <v>58</v>
      </c>
      <c r="H33" s="3" t="s">
        <v>59</v>
      </c>
      <c r="I33" s="3" t="s">
        <v>126</v>
      </c>
      <c r="J33" s="3" t="s">
        <v>127</v>
      </c>
      <c r="K33" s="3" t="s">
        <v>91</v>
      </c>
      <c r="L33" s="3" t="s">
        <v>85</v>
      </c>
      <c r="M33" s="3" t="s">
        <v>64</v>
      </c>
      <c r="N33" s="3" t="s">
        <v>86</v>
      </c>
      <c r="O33" s="3" t="s">
        <v>10</v>
      </c>
      <c r="P33" s="3" t="s">
        <v>87</v>
      </c>
      <c r="Q33" s="3" t="s">
        <v>68</v>
      </c>
      <c r="R33" s="3" t="s">
        <v>69</v>
      </c>
      <c r="S33" s="3" t="s">
        <v>70</v>
      </c>
      <c r="T33" s="3" t="s">
        <v>71</v>
      </c>
      <c r="U33" s="3" t="s">
        <v>72</v>
      </c>
      <c r="V33" s="3" t="str">
        <f>IF(COUNTA(A33:U33)=21,"OK","MISSING")</f>
        <v>OK</v>
      </c>
    </row>
    <row r="34" ht="35.05" hidden="0" outlineLevel="0" collapsed="0">
      <c r="A34" s="3">
        <v>30</v>
      </c>
      <c r="B34" s="3" t="s">
        <v>4</v>
      </c>
      <c r="C34" s="3" t="s">
        <v>131</v>
      </c>
      <c r="D34" s="3" t="s">
        <v>125</v>
      </c>
      <c r="E34" s="3" t="s">
        <v>93</v>
      </c>
      <c r="F34" s="12">
        <v>818042</v>
      </c>
      <c r="G34" s="3" t="s">
        <v>58</v>
      </c>
      <c r="H34" s="3" t="s">
        <v>59</v>
      </c>
      <c r="I34" s="3" t="s">
        <v>126</v>
      </c>
      <c r="J34" s="3" t="s">
        <v>127</v>
      </c>
      <c r="K34" s="3" t="s">
        <v>95</v>
      </c>
      <c r="L34" s="3" t="s">
        <v>85</v>
      </c>
      <c r="M34" s="3" t="s">
        <v>64</v>
      </c>
      <c r="N34" s="3" t="s">
        <v>86</v>
      </c>
      <c r="O34" s="3" t="s">
        <v>10</v>
      </c>
      <c r="P34" s="3" t="s">
        <v>87</v>
      </c>
      <c r="Q34" s="3" t="s">
        <v>68</v>
      </c>
      <c r="R34" s="3" t="s">
        <v>69</v>
      </c>
      <c r="S34" s="3" t="s">
        <v>70</v>
      </c>
      <c r="T34" s="3" t="s">
        <v>71</v>
      </c>
      <c r="U34" s="3" t="s">
        <v>72</v>
      </c>
      <c r="V34" s="3" t="str">
        <f>IF(COUNTA(A34:U34)=21,"OK","MISSING")</f>
        <v>OK</v>
      </c>
    </row>
    <row r="35" ht="35.05" hidden="0" outlineLevel="0" collapsed="0">
      <c r="A35" s="3">
        <v>31</v>
      </c>
      <c r="B35" s="3" t="s">
        <v>4</v>
      </c>
      <c r="C35" s="3" t="s">
        <v>132</v>
      </c>
      <c r="D35" s="3" t="s">
        <v>133</v>
      </c>
      <c r="E35" s="3" t="s">
        <v>57</v>
      </c>
      <c r="F35" s="12">
        <v>138245</v>
      </c>
      <c r="G35" s="3" t="s">
        <v>58</v>
      </c>
      <c r="H35" s="3" t="s">
        <v>59</v>
      </c>
      <c r="I35" s="3" t="s">
        <v>134</v>
      </c>
      <c r="J35" s="3" t="s">
        <v>127</v>
      </c>
      <c r="K35" s="3" t="s">
        <v>62</v>
      </c>
      <c r="L35" s="3" t="s">
        <v>77</v>
      </c>
      <c r="M35" s="3" t="s">
        <v>64</v>
      </c>
      <c r="N35" s="3" t="s">
        <v>78</v>
      </c>
      <c r="O35" s="3" t="s">
        <v>79</v>
      </c>
      <c r="P35" s="3" t="s">
        <v>80</v>
      </c>
      <c r="Q35" s="3" t="s">
        <v>68</v>
      </c>
      <c r="R35" s="3" t="s">
        <v>69</v>
      </c>
      <c r="S35" s="3" t="s">
        <v>70</v>
      </c>
      <c r="T35" s="3" t="s">
        <v>71</v>
      </c>
      <c r="U35" s="3" t="s">
        <v>72</v>
      </c>
      <c r="V35" s="3" t="str">
        <f>IF(COUNTA(A35:U35)=21,"OK","MISSING")</f>
        <v>OK</v>
      </c>
    </row>
    <row r="36" ht="35.05" hidden="0" outlineLevel="0" collapsed="0">
      <c r="A36" s="3">
        <v>32</v>
      </c>
      <c r="B36" s="3" t="s">
        <v>4</v>
      </c>
      <c r="C36" s="3" t="s">
        <v>135</v>
      </c>
      <c r="D36" s="3" t="s">
        <v>133</v>
      </c>
      <c r="E36" s="3" t="s">
        <v>74</v>
      </c>
      <c r="F36" s="12">
        <v>146043</v>
      </c>
      <c r="G36" s="3" t="s">
        <v>58</v>
      </c>
      <c r="H36" s="3" t="s">
        <v>59</v>
      </c>
      <c r="I36" s="3" t="s">
        <v>134</v>
      </c>
      <c r="J36" s="3" t="s">
        <v>127</v>
      </c>
      <c r="K36" s="3" t="s">
        <v>76</v>
      </c>
      <c r="L36" s="3" t="s">
        <v>85</v>
      </c>
      <c r="M36" s="3" t="s">
        <v>64</v>
      </c>
      <c r="N36" s="3" t="s">
        <v>86</v>
      </c>
      <c r="O36" s="3" t="s">
        <v>10</v>
      </c>
      <c r="P36" s="3" t="s">
        <v>87</v>
      </c>
      <c r="Q36" s="3" t="s">
        <v>68</v>
      </c>
      <c r="R36" s="3" t="s">
        <v>69</v>
      </c>
      <c r="S36" s="3" t="s">
        <v>70</v>
      </c>
      <c r="T36" s="3" t="s">
        <v>71</v>
      </c>
      <c r="U36" s="3" t="s">
        <v>72</v>
      </c>
      <c r="V36" s="3" t="str">
        <f>IF(COUNTA(A36:U36)=21,"OK","MISSING")</f>
        <v>OK</v>
      </c>
    </row>
    <row r="37" ht="35.05" hidden="0" outlineLevel="0" collapsed="0">
      <c r="A37" s="3">
        <v>33</v>
      </c>
      <c r="B37" s="3" t="s">
        <v>4</v>
      </c>
      <c r="C37" s="3" t="s">
        <v>136</v>
      </c>
      <c r="D37" s="3" t="s">
        <v>133</v>
      </c>
      <c r="E37" s="3" t="s">
        <v>82</v>
      </c>
      <c r="F37" s="12">
        <v>201875</v>
      </c>
      <c r="G37" s="3" t="s">
        <v>58</v>
      </c>
      <c r="H37" s="3" t="s">
        <v>59</v>
      </c>
      <c r="I37" s="3" t="s">
        <v>134</v>
      </c>
      <c r="J37" s="3" t="s">
        <v>127</v>
      </c>
      <c r="K37" s="3" t="s">
        <v>84</v>
      </c>
      <c r="L37" s="3" t="s">
        <v>85</v>
      </c>
      <c r="M37" s="3" t="s">
        <v>64</v>
      </c>
      <c r="N37" s="3" t="s">
        <v>86</v>
      </c>
      <c r="O37" s="3" t="s">
        <v>10</v>
      </c>
      <c r="P37" s="3" t="s">
        <v>87</v>
      </c>
      <c r="Q37" s="3" t="s">
        <v>68</v>
      </c>
      <c r="R37" s="3" t="s">
        <v>69</v>
      </c>
      <c r="S37" s="3" t="s">
        <v>70</v>
      </c>
      <c r="T37" s="3" t="s">
        <v>71</v>
      </c>
      <c r="U37" s="3" t="s">
        <v>72</v>
      </c>
      <c r="V37" s="3" t="str">
        <f>IF(COUNTA(A37:U37)=21,"OK","MISSING")</f>
        <v>OK</v>
      </c>
    </row>
    <row r="38" ht="35.05" hidden="0" outlineLevel="0" collapsed="0">
      <c r="A38" s="3">
        <v>34</v>
      </c>
      <c r="B38" s="3" t="s">
        <v>4</v>
      </c>
      <c r="C38" s="3" t="s">
        <v>137</v>
      </c>
      <c r="D38" s="3" t="s">
        <v>133</v>
      </c>
      <c r="E38" s="3" t="s">
        <v>89</v>
      </c>
      <c r="F38" s="12">
        <v>285970</v>
      </c>
      <c r="G38" s="3" t="s">
        <v>58</v>
      </c>
      <c r="H38" s="3" t="s">
        <v>59</v>
      </c>
      <c r="I38" s="3" t="s">
        <v>134</v>
      </c>
      <c r="J38" s="3" t="s">
        <v>127</v>
      </c>
      <c r="K38" s="3" t="s">
        <v>91</v>
      </c>
      <c r="L38" s="3" t="s">
        <v>85</v>
      </c>
      <c r="M38" s="3" t="s">
        <v>64</v>
      </c>
      <c r="N38" s="3" t="s">
        <v>86</v>
      </c>
      <c r="O38" s="3" t="s">
        <v>10</v>
      </c>
      <c r="P38" s="3" t="s">
        <v>87</v>
      </c>
      <c r="Q38" s="3" t="s">
        <v>68</v>
      </c>
      <c r="R38" s="3" t="s">
        <v>69</v>
      </c>
      <c r="S38" s="3" t="s">
        <v>70</v>
      </c>
      <c r="T38" s="3" t="s">
        <v>71</v>
      </c>
      <c r="U38" s="3" t="s">
        <v>72</v>
      </c>
      <c r="V38" s="3" t="str">
        <f>IF(COUNTA(A38:U38)=21,"OK","MISSING")</f>
        <v>OK</v>
      </c>
    </row>
    <row r="39" ht="35.05" hidden="0" outlineLevel="0" collapsed="0">
      <c r="A39" s="3">
        <v>35</v>
      </c>
      <c r="B39" s="3" t="s">
        <v>4</v>
      </c>
      <c r="C39" s="3" t="s">
        <v>138</v>
      </c>
      <c r="D39" s="3" t="s">
        <v>133</v>
      </c>
      <c r="E39" s="3" t="s">
        <v>93</v>
      </c>
      <c r="F39" s="12">
        <v>411065</v>
      </c>
      <c r="G39" s="3" t="s">
        <v>58</v>
      </c>
      <c r="H39" s="3" t="s">
        <v>59</v>
      </c>
      <c r="I39" s="3" t="s">
        <v>134</v>
      </c>
      <c r="J39" s="3" t="s">
        <v>127</v>
      </c>
      <c r="K39" s="3" t="s">
        <v>95</v>
      </c>
      <c r="L39" s="3" t="s">
        <v>85</v>
      </c>
      <c r="M39" s="3" t="s">
        <v>64</v>
      </c>
      <c r="N39" s="3" t="s">
        <v>86</v>
      </c>
      <c r="O39" s="3" t="s">
        <v>10</v>
      </c>
      <c r="P39" s="3" t="s">
        <v>87</v>
      </c>
      <c r="Q39" s="3" t="s">
        <v>68</v>
      </c>
      <c r="R39" s="3" t="s">
        <v>69</v>
      </c>
      <c r="S39" s="3" t="s">
        <v>70</v>
      </c>
      <c r="T39" s="3" t="s">
        <v>71</v>
      </c>
      <c r="U39" s="3" t="s">
        <v>72</v>
      </c>
      <c r="V39" s="3" t="str">
        <f>IF(COUNTA(A39:U39)=21,"OK","MISSING")</f>
        <v>OK</v>
      </c>
    </row>
    <row r="40" ht="35.05" hidden="0" outlineLevel="0" collapsed="0">
      <c r="A40" s="3">
        <v>36</v>
      </c>
      <c r="B40" s="3" t="s">
        <v>4</v>
      </c>
      <c r="C40" s="3" t="s">
        <v>139</v>
      </c>
      <c r="D40" s="3" t="s">
        <v>140</v>
      </c>
      <c r="E40" s="3" t="s">
        <v>57</v>
      </c>
      <c r="F40" s="12">
        <v>36220</v>
      </c>
      <c r="G40" s="3" t="s">
        <v>58</v>
      </c>
      <c r="H40" s="3" t="s">
        <v>59</v>
      </c>
      <c r="I40" s="3" t="s">
        <v>141</v>
      </c>
      <c r="J40" s="3" t="s">
        <v>127</v>
      </c>
      <c r="K40" s="3" t="s">
        <v>62</v>
      </c>
      <c r="L40" s="3" t="s">
        <v>142</v>
      </c>
      <c r="M40" s="3" t="s">
        <v>64</v>
      </c>
      <c r="N40" s="3" t="s">
        <v>143</v>
      </c>
      <c r="O40" s="3" t="s">
        <v>144</v>
      </c>
      <c r="P40" s="3" t="s">
        <v>145</v>
      </c>
      <c r="Q40" s="3" t="s">
        <v>68</v>
      </c>
      <c r="R40" s="3" t="s">
        <v>69</v>
      </c>
      <c r="S40" s="3" t="s">
        <v>70</v>
      </c>
      <c r="T40" s="3" t="s">
        <v>71</v>
      </c>
      <c r="U40" s="3" t="s">
        <v>72</v>
      </c>
      <c r="V40" s="3" t="str">
        <f>IF(COUNTA(A40:U40)=21,"OK","MISSING")</f>
        <v>OK</v>
      </c>
    </row>
    <row r="41" ht="35.05" hidden="0" outlineLevel="0" collapsed="0">
      <c r="A41" s="3">
        <v>37</v>
      </c>
      <c r="B41" s="3" t="s">
        <v>4</v>
      </c>
      <c r="C41" s="3" t="s">
        <v>146</v>
      </c>
      <c r="D41" s="3" t="s">
        <v>140</v>
      </c>
      <c r="E41" s="3" t="s">
        <v>74</v>
      </c>
      <c r="F41" s="12">
        <v>53888</v>
      </c>
      <c r="G41" s="3" t="s">
        <v>58</v>
      </c>
      <c r="H41" s="3" t="s">
        <v>59</v>
      </c>
      <c r="I41" s="3" t="s">
        <v>141</v>
      </c>
      <c r="J41" s="3" t="s">
        <v>127</v>
      </c>
      <c r="K41" s="3" t="s">
        <v>76</v>
      </c>
      <c r="L41" s="3" t="s">
        <v>63</v>
      </c>
      <c r="M41" s="3" t="s">
        <v>64</v>
      </c>
      <c r="N41" s="3" t="s">
        <v>65</v>
      </c>
      <c r="O41" s="3" t="s">
        <v>66</v>
      </c>
      <c r="P41" s="3" t="s">
        <v>67</v>
      </c>
      <c r="Q41" s="3" t="s">
        <v>68</v>
      </c>
      <c r="R41" s="3" t="s">
        <v>69</v>
      </c>
      <c r="S41" s="3" t="s">
        <v>70</v>
      </c>
      <c r="T41" s="3" t="s">
        <v>71</v>
      </c>
      <c r="U41" s="3" t="s">
        <v>72</v>
      </c>
      <c r="V41" s="3" t="str">
        <f>IF(COUNTA(A41:U41)=21,"OK","MISSING")</f>
        <v>OK</v>
      </c>
    </row>
    <row r="42" ht="35.05" hidden="0" outlineLevel="0" collapsed="0">
      <c r="A42" s="3">
        <v>38</v>
      </c>
      <c r="B42" s="3" t="s">
        <v>4</v>
      </c>
      <c r="C42" s="3" t="s">
        <v>147</v>
      </c>
      <c r="D42" s="3" t="s">
        <v>140</v>
      </c>
      <c r="E42" s="3" t="s">
        <v>82</v>
      </c>
      <c r="F42" s="12">
        <v>73387</v>
      </c>
      <c r="G42" s="3" t="s">
        <v>58</v>
      </c>
      <c r="H42" s="3" t="s">
        <v>59</v>
      </c>
      <c r="I42" s="3" t="s">
        <v>141</v>
      </c>
      <c r="J42" s="3" t="s">
        <v>127</v>
      </c>
      <c r="K42" s="3" t="s">
        <v>84</v>
      </c>
      <c r="L42" s="3" t="s">
        <v>77</v>
      </c>
      <c r="M42" s="3" t="s">
        <v>64</v>
      </c>
      <c r="N42" s="3" t="s">
        <v>78</v>
      </c>
      <c r="O42" s="3" t="s">
        <v>79</v>
      </c>
      <c r="P42" s="3" t="s">
        <v>80</v>
      </c>
      <c r="Q42" s="3" t="s">
        <v>68</v>
      </c>
      <c r="R42" s="3" t="s">
        <v>69</v>
      </c>
      <c r="S42" s="3" t="s">
        <v>70</v>
      </c>
      <c r="T42" s="3" t="s">
        <v>71</v>
      </c>
      <c r="U42" s="3" t="s">
        <v>72</v>
      </c>
      <c r="V42" s="3" t="str">
        <f>IF(COUNTA(A42:U42)=21,"OK","MISSING")</f>
        <v>OK</v>
      </c>
    </row>
    <row r="43" ht="35.05" hidden="0" outlineLevel="0" collapsed="0">
      <c r="A43" s="3">
        <v>39</v>
      </c>
      <c r="B43" s="3" t="s">
        <v>4</v>
      </c>
      <c r="C43" s="3" t="s">
        <v>148</v>
      </c>
      <c r="D43" s="3" t="s">
        <v>140</v>
      </c>
      <c r="E43" s="3" t="s">
        <v>89</v>
      </c>
      <c r="F43" s="12">
        <v>78779</v>
      </c>
      <c r="G43" s="3" t="s">
        <v>58</v>
      </c>
      <c r="H43" s="3" t="s">
        <v>59</v>
      </c>
      <c r="I43" s="3" t="s">
        <v>141</v>
      </c>
      <c r="J43" s="3" t="s">
        <v>127</v>
      </c>
      <c r="K43" s="3" t="s">
        <v>91</v>
      </c>
      <c r="L43" s="3" t="s">
        <v>85</v>
      </c>
      <c r="M43" s="3" t="s">
        <v>64</v>
      </c>
      <c r="N43" s="3" t="s">
        <v>86</v>
      </c>
      <c r="O43" s="3" t="s">
        <v>10</v>
      </c>
      <c r="P43" s="3" t="s">
        <v>87</v>
      </c>
      <c r="Q43" s="3" t="s">
        <v>68</v>
      </c>
      <c r="R43" s="3" t="s">
        <v>69</v>
      </c>
      <c r="S43" s="3" t="s">
        <v>70</v>
      </c>
      <c r="T43" s="3" t="s">
        <v>71</v>
      </c>
      <c r="U43" s="3" t="s">
        <v>72</v>
      </c>
      <c r="V43" s="3" t="str">
        <f>IF(COUNTA(A43:U43)=21,"OK","MISSING")</f>
        <v>OK</v>
      </c>
    </row>
    <row r="44" ht="35.05" hidden="0" outlineLevel="0" collapsed="0">
      <c r="A44" s="3">
        <v>40</v>
      </c>
      <c r="B44" s="3" t="s">
        <v>4</v>
      </c>
      <c r="C44" s="3" t="s">
        <v>149</v>
      </c>
      <c r="D44" s="3" t="s">
        <v>140</v>
      </c>
      <c r="E44" s="3" t="s">
        <v>93</v>
      </c>
      <c r="F44" s="12">
        <v>86810</v>
      </c>
      <c r="G44" s="3" t="s">
        <v>58</v>
      </c>
      <c r="H44" s="3" t="s">
        <v>59</v>
      </c>
      <c r="I44" s="3" t="s">
        <v>141</v>
      </c>
      <c r="J44" s="3" t="s">
        <v>127</v>
      </c>
      <c r="K44" s="3" t="s">
        <v>95</v>
      </c>
      <c r="L44" s="3" t="s">
        <v>85</v>
      </c>
      <c r="M44" s="3" t="s">
        <v>64</v>
      </c>
      <c r="N44" s="3" t="s">
        <v>86</v>
      </c>
      <c r="O44" s="3" t="s">
        <v>10</v>
      </c>
      <c r="P44" s="3" t="s">
        <v>87</v>
      </c>
      <c r="Q44" s="3" t="s">
        <v>68</v>
      </c>
      <c r="R44" s="3" t="s">
        <v>69</v>
      </c>
      <c r="S44" s="3" t="s">
        <v>70</v>
      </c>
      <c r="T44" s="3" t="s">
        <v>71</v>
      </c>
      <c r="U44" s="3" t="s">
        <v>72</v>
      </c>
      <c r="V44" s="3" t="str">
        <f>IF(COUNTA(A44:U44)=21,"OK","MISSING")</f>
        <v>OK</v>
      </c>
    </row>
    <row r="45" ht="35.05" hidden="0" outlineLevel="0" collapsed="0">
      <c r="A45" s="3">
        <v>41</v>
      </c>
      <c r="B45" s="3" t="s">
        <v>4</v>
      </c>
      <c r="C45" s="3" t="s">
        <v>150</v>
      </c>
      <c r="D45" s="3" t="s">
        <v>151</v>
      </c>
      <c r="E45" s="3" t="s">
        <v>57</v>
      </c>
      <c r="F45" s="12">
        <v>50553</v>
      </c>
      <c r="G45" s="3" t="s">
        <v>58</v>
      </c>
      <c r="H45" s="3" t="s">
        <v>59</v>
      </c>
      <c r="I45" s="3" t="s">
        <v>152</v>
      </c>
      <c r="J45" s="3" t="s">
        <v>127</v>
      </c>
      <c r="K45" s="3" t="s">
        <v>62</v>
      </c>
      <c r="L45" s="3" t="s">
        <v>142</v>
      </c>
      <c r="M45" s="3" t="s">
        <v>64</v>
      </c>
      <c r="N45" s="3" t="s">
        <v>143</v>
      </c>
      <c r="O45" s="3" t="s">
        <v>144</v>
      </c>
      <c r="P45" s="3" t="s">
        <v>145</v>
      </c>
      <c r="Q45" s="3" t="s">
        <v>68</v>
      </c>
      <c r="R45" s="3" t="s">
        <v>69</v>
      </c>
      <c r="S45" s="3" t="s">
        <v>70</v>
      </c>
      <c r="T45" s="3" t="s">
        <v>71</v>
      </c>
      <c r="U45" s="3" t="s">
        <v>72</v>
      </c>
      <c r="V45" s="3" t="str">
        <f>IF(COUNTA(A45:U45)=21,"OK","MISSING")</f>
        <v>OK</v>
      </c>
    </row>
    <row r="46" ht="35.05" hidden="0" outlineLevel="0" collapsed="0">
      <c r="A46" s="3">
        <v>42</v>
      </c>
      <c r="B46" s="3" t="s">
        <v>4</v>
      </c>
      <c r="C46" s="3" t="s">
        <v>153</v>
      </c>
      <c r="D46" s="3" t="s">
        <v>151</v>
      </c>
      <c r="E46" s="3" t="s">
        <v>74</v>
      </c>
      <c r="F46" s="12">
        <v>70542</v>
      </c>
      <c r="G46" s="3" t="s">
        <v>58</v>
      </c>
      <c r="H46" s="3" t="s">
        <v>59</v>
      </c>
      <c r="I46" s="3" t="s">
        <v>152</v>
      </c>
      <c r="J46" s="3" t="s">
        <v>127</v>
      </c>
      <c r="K46" s="3" t="s">
        <v>76</v>
      </c>
      <c r="L46" s="3" t="s">
        <v>63</v>
      </c>
      <c r="M46" s="3" t="s">
        <v>64</v>
      </c>
      <c r="N46" s="3" t="s">
        <v>65</v>
      </c>
      <c r="O46" s="3" t="s">
        <v>66</v>
      </c>
      <c r="P46" s="3" t="s">
        <v>67</v>
      </c>
      <c r="Q46" s="3" t="s">
        <v>68</v>
      </c>
      <c r="R46" s="3" t="s">
        <v>69</v>
      </c>
      <c r="S46" s="3" t="s">
        <v>70</v>
      </c>
      <c r="T46" s="3" t="s">
        <v>71</v>
      </c>
      <c r="U46" s="3" t="s">
        <v>72</v>
      </c>
      <c r="V46" s="3" t="str">
        <f>IF(COUNTA(A46:U46)=21,"OK","MISSING")</f>
        <v>OK</v>
      </c>
    </row>
    <row r="47" ht="35.05" hidden="0" outlineLevel="0" collapsed="0">
      <c r="A47" s="3">
        <v>43</v>
      </c>
      <c r="B47" s="3" t="s">
        <v>4</v>
      </c>
      <c r="C47" s="3" t="s">
        <v>154</v>
      </c>
      <c r="D47" s="3" t="s">
        <v>151</v>
      </c>
      <c r="E47" s="3" t="s">
        <v>82</v>
      </c>
      <c r="F47" s="12">
        <v>67182</v>
      </c>
      <c r="G47" s="3" t="s">
        <v>58</v>
      </c>
      <c r="H47" s="3" t="s">
        <v>59</v>
      </c>
      <c r="I47" s="3" t="s">
        <v>152</v>
      </c>
      <c r="J47" s="3" t="s">
        <v>127</v>
      </c>
      <c r="K47" s="3" t="s">
        <v>84</v>
      </c>
      <c r="L47" s="3" t="s">
        <v>77</v>
      </c>
      <c r="M47" s="3" t="s">
        <v>64</v>
      </c>
      <c r="N47" s="3" t="s">
        <v>78</v>
      </c>
      <c r="O47" s="3" t="s">
        <v>79</v>
      </c>
      <c r="P47" s="3" t="s">
        <v>80</v>
      </c>
      <c r="Q47" s="3" t="s">
        <v>68</v>
      </c>
      <c r="R47" s="3" t="s">
        <v>69</v>
      </c>
      <c r="S47" s="3" t="s">
        <v>70</v>
      </c>
      <c r="T47" s="3" t="s">
        <v>71</v>
      </c>
      <c r="U47" s="3" t="s">
        <v>72</v>
      </c>
      <c r="V47" s="3" t="str">
        <f>IF(COUNTA(A47:U47)=21,"OK","MISSING")</f>
        <v>OK</v>
      </c>
    </row>
    <row r="48" ht="35.05" hidden="0" outlineLevel="0" collapsed="0">
      <c r="A48" s="3">
        <v>44</v>
      </c>
      <c r="B48" s="3" t="s">
        <v>4</v>
      </c>
      <c r="C48" s="3" t="s">
        <v>155</v>
      </c>
      <c r="D48" s="3" t="s">
        <v>151</v>
      </c>
      <c r="E48" s="3" t="s">
        <v>89</v>
      </c>
      <c r="F48" s="12">
        <v>58000</v>
      </c>
      <c r="G48" s="3" t="s">
        <v>58</v>
      </c>
      <c r="H48" s="3" t="s">
        <v>59</v>
      </c>
      <c r="I48" s="3" t="s">
        <v>152</v>
      </c>
      <c r="J48" s="3" t="s">
        <v>127</v>
      </c>
      <c r="K48" s="3" t="s">
        <v>91</v>
      </c>
      <c r="L48" s="3" t="s">
        <v>85</v>
      </c>
      <c r="M48" s="3" t="s">
        <v>64</v>
      </c>
      <c r="N48" s="3" t="s">
        <v>86</v>
      </c>
      <c r="O48" s="3" t="s">
        <v>10</v>
      </c>
      <c r="P48" s="3" t="s">
        <v>87</v>
      </c>
      <c r="Q48" s="3" t="s">
        <v>68</v>
      </c>
      <c r="R48" s="3" t="s">
        <v>69</v>
      </c>
      <c r="S48" s="3" t="s">
        <v>70</v>
      </c>
      <c r="T48" s="3" t="s">
        <v>71</v>
      </c>
      <c r="U48" s="3" t="s">
        <v>72</v>
      </c>
      <c r="V48" s="3" t="str">
        <f>IF(COUNTA(A48:U48)=21,"OK","MISSING")</f>
        <v>OK</v>
      </c>
    </row>
    <row r="49" ht="35.05" hidden="0" outlineLevel="0" collapsed="0">
      <c r="A49" s="3">
        <v>45</v>
      </c>
      <c r="B49" s="3" t="s">
        <v>4</v>
      </c>
      <c r="C49" s="3" t="s">
        <v>156</v>
      </c>
      <c r="D49" s="3" t="s">
        <v>151</v>
      </c>
      <c r="E49" s="3" t="s">
        <v>93</v>
      </c>
      <c r="F49" s="12">
        <v>68836</v>
      </c>
      <c r="G49" s="3" t="s">
        <v>58</v>
      </c>
      <c r="H49" s="3" t="s">
        <v>59</v>
      </c>
      <c r="I49" s="3" t="s">
        <v>152</v>
      </c>
      <c r="J49" s="3" t="s">
        <v>127</v>
      </c>
      <c r="K49" s="3" t="s">
        <v>95</v>
      </c>
      <c r="L49" s="3" t="s">
        <v>85</v>
      </c>
      <c r="M49" s="3" t="s">
        <v>64</v>
      </c>
      <c r="N49" s="3" t="s">
        <v>86</v>
      </c>
      <c r="O49" s="3" t="s">
        <v>10</v>
      </c>
      <c r="P49" s="3" t="s">
        <v>87</v>
      </c>
      <c r="Q49" s="3" t="s">
        <v>68</v>
      </c>
      <c r="R49" s="3" t="s">
        <v>69</v>
      </c>
      <c r="S49" s="3" t="s">
        <v>70</v>
      </c>
      <c r="T49" s="3" t="s">
        <v>71</v>
      </c>
      <c r="U49" s="3" t="s">
        <v>72</v>
      </c>
      <c r="V49" s="3" t="str">
        <f>IF(COUNTA(A49:U49)=21,"OK","MISSING")</f>
        <v>OK</v>
      </c>
    </row>
    <row r="50" ht="35.05" hidden="0" outlineLevel="0" collapsed="0">
      <c r="A50" s="3">
        <v>46</v>
      </c>
      <c r="B50" s="3" t="s">
        <v>4</v>
      </c>
      <c r="C50" s="3" t="s">
        <v>157</v>
      </c>
      <c r="D50" s="3" t="s">
        <v>158</v>
      </c>
      <c r="E50" s="3" t="s">
        <v>57</v>
      </c>
      <c r="F50" s="12">
        <v>10296</v>
      </c>
      <c r="G50" s="3" t="s">
        <v>159</v>
      </c>
      <c r="H50" s="3" t="s">
        <v>160</v>
      </c>
      <c r="I50" s="3" t="s">
        <v>161</v>
      </c>
      <c r="J50" s="3" t="s">
        <v>61</v>
      </c>
      <c r="K50" s="3" t="s">
        <v>62</v>
      </c>
      <c r="L50" s="3" t="s">
        <v>63</v>
      </c>
      <c r="M50" s="3" t="s">
        <v>64</v>
      </c>
      <c r="N50" s="3" t="s">
        <v>65</v>
      </c>
      <c r="O50" s="3" t="s">
        <v>66</v>
      </c>
      <c r="P50" s="3" t="s">
        <v>67</v>
      </c>
      <c r="Q50" s="3" t="s">
        <v>68</v>
      </c>
      <c r="R50" s="3" t="s">
        <v>69</v>
      </c>
      <c r="S50" s="3" t="s">
        <v>162</v>
      </c>
      <c r="T50" s="3" t="s">
        <v>71</v>
      </c>
      <c r="U50" s="3" t="s">
        <v>72</v>
      </c>
      <c r="V50" s="3" t="str">
        <f>IF(COUNTA(A50:U50)=21,"OK","MISSING")</f>
        <v>OK</v>
      </c>
    </row>
    <row r="51" ht="35.05" hidden="0" outlineLevel="0" collapsed="0">
      <c r="A51" s="3">
        <v>47</v>
      </c>
      <c r="B51" s="3" t="s">
        <v>4</v>
      </c>
      <c r="C51" s="3" t="s">
        <v>163</v>
      </c>
      <c r="D51" s="3" t="s">
        <v>158</v>
      </c>
      <c r="E51" s="3" t="s">
        <v>74</v>
      </c>
      <c r="F51" s="12">
        <v>10189</v>
      </c>
      <c r="G51" s="3" t="s">
        <v>159</v>
      </c>
      <c r="H51" s="3" t="s">
        <v>160</v>
      </c>
      <c r="I51" s="3" t="s">
        <v>161</v>
      </c>
      <c r="J51" s="3" t="s">
        <v>75</v>
      </c>
      <c r="K51" s="3" t="s">
        <v>76</v>
      </c>
      <c r="L51" s="3" t="s">
        <v>77</v>
      </c>
      <c r="M51" s="3" t="s">
        <v>64</v>
      </c>
      <c r="N51" s="3" t="s">
        <v>78</v>
      </c>
      <c r="O51" s="3" t="s">
        <v>79</v>
      </c>
      <c r="P51" s="3" t="s">
        <v>80</v>
      </c>
      <c r="Q51" s="3" t="s">
        <v>68</v>
      </c>
      <c r="R51" s="3" t="s">
        <v>69</v>
      </c>
      <c r="S51" s="3" t="s">
        <v>162</v>
      </c>
      <c r="T51" s="3" t="s">
        <v>71</v>
      </c>
      <c r="U51" s="3" t="s">
        <v>72</v>
      </c>
      <c r="V51" s="3" t="str">
        <f>IF(COUNTA(A51:U51)=21,"OK","MISSING")</f>
        <v>OK</v>
      </c>
    </row>
    <row r="52" ht="35.05" hidden="0" outlineLevel="0" collapsed="0">
      <c r="A52" s="3">
        <v>48</v>
      </c>
      <c r="B52" s="3" t="s">
        <v>4</v>
      </c>
      <c r="C52" s="3" t="s">
        <v>164</v>
      </c>
      <c r="D52" s="3" t="s">
        <v>158</v>
      </c>
      <c r="E52" s="3" t="s">
        <v>82</v>
      </c>
      <c r="F52" s="12">
        <v>10492</v>
      </c>
      <c r="G52" s="3" t="s">
        <v>159</v>
      </c>
      <c r="H52" s="3" t="s">
        <v>160</v>
      </c>
      <c r="I52" s="3" t="s">
        <v>161</v>
      </c>
      <c r="J52" s="3" t="s">
        <v>83</v>
      </c>
      <c r="K52" s="3" t="s">
        <v>84</v>
      </c>
      <c r="L52" s="3" t="s">
        <v>85</v>
      </c>
      <c r="M52" s="3" t="s">
        <v>64</v>
      </c>
      <c r="N52" s="3" t="s">
        <v>86</v>
      </c>
      <c r="O52" s="3" t="s">
        <v>10</v>
      </c>
      <c r="P52" s="3" t="s">
        <v>87</v>
      </c>
      <c r="Q52" s="3" t="s">
        <v>68</v>
      </c>
      <c r="R52" s="3" t="s">
        <v>69</v>
      </c>
      <c r="S52" s="3" t="s">
        <v>162</v>
      </c>
      <c r="T52" s="3" t="s">
        <v>71</v>
      </c>
      <c r="U52" s="3" t="s">
        <v>72</v>
      </c>
      <c r="V52" s="3" t="str">
        <f>IF(COUNTA(A52:U52)=21,"OK","MISSING")</f>
        <v>OK</v>
      </c>
    </row>
    <row r="53" ht="35.05" hidden="0" outlineLevel="0" collapsed="0">
      <c r="A53" s="3">
        <v>49</v>
      </c>
      <c r="B53" s="3" t="s">
        <v>4</v>
      </c>
      <c r="C53" s="3" t="s">
        <v>165</v>
      </c>
      <c r="D53" s="3" t="s">
        <v>158</v>
      </c>
      <c r="E53" s="3" t="s">
        <v>89</v>
      </c>
      <c r="F53" s="12">
        <v>10721</v>
      </c>
      <c r="G53" s="3" t="s">
        <v>159</v>
      </c>
      <c r="H53" s="3" t="s">
        <v>160</v>
      </c>
      <c r="I53" s="3" t="s">
        <v>161</v>
      </c>
      <c r="J53" s="3" t="s">
        <v>90</v>
      </c>
      <c r="K53" s="3" t="s">
        <v>91</v>
      </c>
      <c r="L53" s="3" t="s">
        <v>85</v>
      </c>
      <c r="M53" s="3" t="s">
        <v>64</v>
      </c>
      <c r="N53" s="3" t="s">
        <v>86</v>
      </c>
      <c r="O53" s="3" t="s">
        <v>10</v>
      </c>
      <c r="P53" s="3" t="s">
        <v>87</v>
      </c>
      <c r="Q53" s="3" t="s">
        <v>68</v>
      </c>
      <c r="R53" s="3" t="s">
        <v>69</v>
      </c>
      <c r="S53" s="3" t="s">
        <v>162</v>
      </c>
      <c r="T53" s="3" t="s">
        <v>71</v>
      </c>
      <c r="U53" s="3" t="s">
        <v>72</v>
      </c>
      <c r="V53" s="3" t="str">
        <f>IF(COUNTA(A53:U53)=21,"OK","MISSING")</f>
        <v>OK</v>
      </c>
    </row>
    <row r="54" ht="35.05" hidden="0" outlineLevel="0" collapsed="0">
      <c r="A54" s="3">
        <v>50</v>
      </c>
      <c r="B54" s="3" t="s">
        <v>4</v>
      </c>
      <c r="C54" s="3" t="s">
        <v>166</v>
      </c>
      <c r="D54" s="3" t="s">
        <v>158</v>
      </c>
      <c r="E54" s="3" t="s">
        <v>93</v>
      </c>
      <c r="F54" s="12">
        <v>10827</v>
      </c>
      <c r="G54" s="3" t="s">
        <v>159</v>
      </c>
      <c r="H54" s="3" t="s">
        <v>160</v>
      </c>
      <c r="I54" s="3" t="s">
        <v>161</v>
      </c>
      <c r="J54" s="3" t="s">
        <v>94</v>
      </c>
      <c r="K54" s="3" t="s">
        <v>95</v>
      </c>
      <c r="L54" s="3" t="s">
        <v>85</v>
      </c>
      <c r="M54" s="3" t="s">
        <v>64</v>
      </c>
      <c r="N54" s="3" t="s">
        <v>86</v>
      </c>
      <c r="O54" s="3" t="s">
        <v>10</v>
      </c>
      <c r="P54" s="3" t="s">
        <v>87</v>
      </c>
      <c r="Q54" s="3" t="s">
        <v>68</v>
      </c>
      <c r="R54" s="3" t="s">
        <v>69</v>
      </c>
      <c r="S54" s="3" t="s">
        <v>162</v>
      </c>
      <c r="T54" s="3" t="s">
        <v>71</v>
      </c>
      <c r="U54" s="3" t="s">
        <v>72</v>
      </c>
      <c r="V54" s="3" t="str">
        <f>IF(COUNTA(A54:U54)=21,"OK","MISSING")</f>
        <v>OK</v>
      </c>
    </row>
    <row r="55" ht="35.05" hidden="0" outlineLevel="0" collapsed="0">
      <c r="A55" s="3">
        <v>51</v>
      </c>
      <c r="B55" s="3" t="s">
        <v>4</v>
      </c>
      <c r="C55" s="3" t="s">
        <v>167</v>
      </c>
      <c r="D55" s="3" t="s">
        <v>168</v>
      </c>
      <c r="E55" s="3" t="s">
        <v>169</v>
      </c>
      <c r="F55" s="12">
        <v>10734.921</v>
      </c>
      <c r="G55" s="3" t="s">
        <v>159</v>
      </c>
      <c r="H55" s="3" t="s">
        <v>160</v>
      </c>
      <c r="I55" s="3" t="s">
        <v>170</v>
      </c>
      <c r="J55" s="3" t="s">
        <v>127</v>
      </c>
      <c r="K55" s="3" t="s">
        <v>169</v>
      </c>
      <c r="L55" s="3" t="s">
        <v>171</v>
      </c>
      <c r="M55" s="3" t="s">
        <v>64</v>
      </c>
      <c r="N55" s="3" t="s">
        <v>86</v>
      </c>
      <c r="O55" s="3" t="s">
        <v>10</v>
      </c>
      <c r="P55" s="3" t="s">
        <v>87</v>
      </c>
      <c r="Q55" s="3" t="s">
        <v>68</v>
      </c>
      <c r="R55" s="3" t="s">
        <v>69</v>
      </c>
      <c r="S55" s="3" t="s">
        <v>172</v>
      </c>
      <c r="T55" s="3" t="s">
        <v>71</v>
      </c>
      <c r="U55" s="3" t="s">
        <v>173</v>
      </c>
      <c r="V55" s="3" t="str">
        <f>IF(COUNTA(A55:U55)=21,"OK","MISSING")</f>
        <v>OK</v>
      </c>
    </row>
    <row r="56" ht="35.05" hidden="0" outlineLevel="0" collapsed="0">
      <c r="A56" s="3">
        <v>52</v>
      </c>
      <c r="B56" s="3" t="s">
        <v>4</v>
      </c>
      <c r="C56" s="3" t="s">
        <v>174</v>
      </c>
      <c r="D56" s="3" t="s">
        <v>175</v>
      </c>
      <c r="E56" s="3" t="s">
        <v>93</v>
      </c>
      <c r="F56" s="12">
        <v>36219</v>
      </c>
      <c r="G56" s="3" t="s">
        <v>58</v>
      </c>
      <c r="H56" s="3" t="s">
        <v>59</v>
      </c>
      <c r="I56" s="3" t="s">
        <v>176</v>
      </c>
      <c r="J56" s="3" t="s">
        <v>127</v>
      </c>
      <c r="K56" s="3" t="s">
        <v>95</v>
      </c>
      <c r="L56" s="3" t="s">
        <v>171</v>
      </c>
      <c r="M56" s="3" t="s">
        <v>64</v>
      </c>
      <c r="N56" s="3" t="s">
        <v>86</v>
      </c>
      <c r="O56" s="3" t="s">
        <v>10</v>
      </c>
      <c r="P56" s="3" t="s">
        <v>87</v>
      </c>
      <c r="Q56" s="3" t="s">
        <v>68</v>
      </c>
      <c r="R56" s="3" t="s">
        <v>69</v>
      </c>
      <c r="S56" s="3" t="s">
        <v>177</v>
      </c>
      <c r="T56" s="3" t="s">
        <v>71</v>
      </c>
      <c r="U56" s="3" t="s">
        <v>72</v>
      </c>
      <c r="V56" s="3" t="str">
        <f>IF(COUNTA(A56:U56)=21,"OK","MISSING")</f>
        <v>OK</v>
      </c>
    </row>
    <row r="57" ht="35.05" hidden="0" outlineLevel="0" collapsed="0">
      <c r="A57" s="3">
        <v>53</v>
      </c>
      <c r="B57" s="3" t="s">
        <v>4</v>
      </c>
      <c r="C57" s="3" t="s">
        <v>178</v>
      </c>
      <c r="D57" s="3" t="s">
        <v>179</v>
      </c>
      <c r="E57" s="3" t="s">
        <v>93</v>
      </c>
      <c r="F57" s="12">
        <v>455</v>
      </c>
      <c r="G57" s="3" t="s">
        <v>58</v>
      </c>
      <c r="H57" s="3" t="s">
        <v>59</v>
      </c>
      <c r="I57" s="3" t="s">
        <v>180</v>
      </c>
      <c r="J57" s="3" t="s">
        <v>127</v>
      </c>
      <c r="K57" s="3" t="s">
        <v>95</v>
      </c>
      <c r="L57" s="3" t="s">
        <v>171</v>
      </c>
      <c r="M57" s="3" t="s">
        <v>64</v>
      </c>
      <c r="N57" s="3" t="s">
        <v>86</v>
      </c>
      <c r="O57" s="3" t="s">
        <v>10</v>
      </c>
      <c r="P57" s="3" t="s">
        <v>87</v>
      </c>
      <c r="Q57" s="3" t="s">
        <v>68</v>
      </c>
      <c r="R57" s="3" t="s">
        <v>69</v>
      </c>
      <c r="S57" s="3" t="s">
        <v>181</v>
      </c>
      <c r="T57" s="3" t="s">
        <v>71</v>
      </c>
      <c r="U57" s="3" t="s">
        <v>72</v>
      </c>
      <c r="V57" s="3" t="str">
        <f>IF(COUNTA(A57:U57)=21,"OK","MISSING")</f>
        <v>OK</v>
      </c>
    </row>
    <row r="58" ht="35.05" hidden="0" outlineLevel="0" collapsed="0">
      <c r="A58" s="3">
        <v>54</v>
      </c>
      <c r="B58" s="3" t="s">
        <v>4</v>
      </c>
      <c r="C58" s="3" t="s">
        <v>182</v>
      </c>
      <c r="D58" s="3" t="s">
        <v>183</v>
      </c>
      <c r="E58" s="3" t="s">
        <v>82</v>
      </c>
      <c r="F58" s="12">
        <v>352828</v>
      </c>
      <c r="G58" s="3" t="s">
        <v>58</v>
      </c>
      <c r="H58" s="3" t="s">
        <v>59</v>
      </c>
      <c r="I58" s="3" t="s">
        <v>184</v>
      </c>
      <c r="J58" s="3" t="s">
        <v>185</v>
      </c>
      <c r="K58" s="3" t="s">
        <v>84</v>
      </c>
      <c r="L58" s="3" t="s">
        <v>171</v>
      </c>
      <c r="M58" s="3" t="s">
        <v>64</v>
      </c>
      <c r="N58" s="3" t="s">
        <v>86</v>
      </c>
      <c r="O58" s="3" t="s">
        <v>10</v>
      </c>
      <c r="P58" s="3" t="s">
        <v>186</v>
      </c>
      <c r="Q58" s="3" t="s">
        <v>68</v>
      </c>
      <c r="R58" s="3" t="s">
        <v>69</v>
      </c>
      <c r="S58" s="3" t="s">
        <v>187</v>
      </c>
      <c r="T58" s="3" t="s">
        <v>71</v>
      </c>
      <c r="U58" s="3" t="s">
        <v>72</v>
      </c>
      <c r="V58" s="3" t="str">
        <f>IF(COUNTA(A58:U58)=21,"OK","MISSING")</f>
        <v>OK</v>
      </c>
    </row>
    <row r="59" ht="35.05" hidden="0" outlineLevel="0" collapsed="0">
      <c r="A59" s="3">
        <v>55</v>
      </c>
      <c r="B59" s="3" t="s">
        <v>4</v>
      </c>
      <c r="C59" s="3" t="s">
        <v>188</v>
      </c>
      <c r="D59" s="3" t="s">
        <v>183</v>
      </c>
      <c r="E59" s="3" t="s">
        <v>89</v>
      </c>
      <c r="F59" s="12">
        <v>387497</v>
      </c>
      <c r="G59" s="3" t="s">
        <v>58</v>
      </c>
      <c r="H59" s="3" t="s">
        <v>59</v>
      </c>
      <c r="I59" s="3" t="s">
        <v>184</v>
      </c>
      <c r="J59" s="3" t="s">
        <v>185</v>
      </c>
      <c r="K59" s="3" t="s">
        <v>91</v>
      </c>
      <c r="L59" s="3" t="s">
        <v>171</v>
      </c>
      <c r="M59" s="3" t="s">
        <v>64</v>
      </c>
      <c r="N59" s="3" t="s">
        <v>86</v>
      </c>
      <c r="O59" s="3" t="s">
        <v>10</v>
      </c>
      <c r="P59" s="3" t="s">
        <v>186</v>
      </c>
      <c r="Q59" s="3" t="s">
        <v>68</v>
      </c>
      <c r="R59" s="3" t="s">
        <v>69</v>
      </c>
      <c r="S59" s="3" t="s">
        <v>187</v>
      </c>
      <c r="T59" s="3" t="s">
        <v>71</v>
      </c>
      <c r="U59" s="3" t="s">
        <v>72</v>
      </c>
      <c r="V59" s="3" t="str">
        <f>IF(COUNTA(A59:U59)=21,"OK","MISSING")</f>
        <v>OK</v>
      </c>
    </row>
    <row r="60" ht="35.05" hidden="0" outlineLevel="0" collapsed="0">
      <c r="A60" s="3">
        <v>56</v>
      </c>
      <c r="B60" s="3" t="s">
        <v>4</v>
      </c>
      <c r="C60" s="3" t="s">
        <v>189</v>
      </c>
      <c r="D60" s="3" t="s">
        <v>183</v>
      </c>
      <c r="E60" s="3" t="s">
        <v>93</v>
      </c>
      <c r="F60" s="12">
        <v>426305</v>
      </c>
      <c r="G60" s="3" t="s">
        <v>58</v>
      </c>
      <c r="H60" s="3" t="s">
        <v>59</v>
      </c>
      <c r="I60" s="3" t="s">
        <v>184</v>
      </c>
      <c r="J60" s="3" t="s">
        <v>185</v>
      </c>
      <c r="K60" s="3" t="s">
        <v>95</v>
      </c>
      <c r="L60" s="3" t="s">
        <v>171</v>
      </c>
      <c r="M60" s="3" t="s">
        <v>64</v>
      </c>
      <c r="N60" s="3" t="s">
        <v>86</v>
      </c>
      <c r="O60" s="3" t="s">
        <v>10</v>
      </c>
      <c r="P60" s="3" t="s">
        <v>186</v>
      </c>
      <c r="Q60" s="3" t="s">
        <v>68</v>
      </c>
      <c r="R60" s="3" t="s">
        <v>69</v>
      </c>
      <c r="S60" s="3" t="s">
        <v>187</v>
      </c>
      <c r="T60" s="3" t="s">
        <v>71</v>
      </c>
      <c r="U60" s="3" t="s">
        <v>72</v>
      </c>
      <c r="V60" s="3" t="str">
        <f>IF(COUNTA(A60:U60)=21,"OK","MISSING")</f>
        <v>OK</v>
      </c>
    </row>
    <row r="61" ht="35.05" hidden="0" outlineLevel="0" collapsed="0">
      <c r="A61" s="3">
        <v>57</v>
      </c>
      <c r="B61" s="3" t="s">
        <v>4</v>
      </c>
      <c r="C61" s="3" t="s">
        <v>190</v>
      </c>
      <c r="D61" s="3" t="s">
        <v>191</v>
      </c>
      <c r="E61" s="3" t="s">
        <v>82</v>
      </c>
      <c r="F61" s="12">
        <v>131200</v>
      </c>
      <c r="G61" s="3" t="s">
        <v>58</v>
      </c>
      <c r="H61" s="3" t="s">
        <v>59</v>
      </c>
      <c r="I61" s="3" t="s">
        <v>184</v>
      </c>
      <c r="J61" s="3" t="s">
        <v>185</v>
      </c>
      <c r="K61" s="3" t="s">
        <v>84</v>
      </c>
      <c r="L61" s="3" t="s">
        <v>171</v>
      </c>
      <c r="M61" s="3" t="s">
        <v>64</v>
      </c>
      <c r="N61" s="3" t="s">
        <v>86</v>
      </c>
      <c r="O61" s="3" t="s">
        <v>10</v>
      </c>
      <c r="P61" s="3" t="s">
        <v>186</v>
      </c>
      <c r="Q61" s="3" t="s">
        <v>68</v>
      </c>
      <c r="R61" s="3" t="s">
        <v>69</v>
      </c>
      <c r="S61" s="3" t="s">
        <v>187</v>
      </c>
      <c r="T61" s="3" t="s">
        <v>71</v>
      </c>
      <c r="U61" s="3" t="s">
        <v>72</v>
      </c>
      <c r="V61" s="3" t="str">
        <f>IF(COUNTA(A61:U61)=21,"OK","MISSING")</f>
        <v>OK</v>
      </c>
    </row>
    <row r="62" ht="35.05" hidden="0" outlineLevel="0" collapsed="0">
      <c r="A62" s="3">
        <v>58</v>
      </c>
      <c r="B62" s="3" t="s">
        <v>4</v>
      </c>
      <c r="C62" s="3" t="s">
        <v>192</v>
      </c>
      <c r="D62" s="3" t="s">
        <v>191</v>
      </c>
      <c r="E62" s="3" t="s">
        <v>89</v>
      </c>
      <c r="F62" s="12">
        <v>142906</v>
      </c>
      <c r="G62" s="3" t="s">
        <v>58</v>
      </c>
      <c r="H62" s="3" t="s">
        <v>59</v>
      </c>
      <c r="I62" s="3" t="s">
        <v>184</v>
      </c>
      <c r="J62" s="3" t="s">
        <v>185</v>
      </c>
      <c r="K62" s="3" t="s">
        <v>91</v>
      </c>
      <c r="L62" s="3" t="s">
        <v>171</v>
      </c>
      <c r="M62" s="3" t="s">
        <v>64</v>
      </c>
      <c r="N62" s="3" t="s">
        <v>86</v>
      </c>
      <c r="O62" s="3" t="s">
        <v>10</v>
      </c>
      <c r="P62" s="3" t="s">
        <v>186</v>
      </c>
      <c r="Q62" s="3" t="s">
        <v>68</v>
      </c>
      <c r="R62" s="3" t="s">
        <v>69</v>
      </c>
      <c r="S62" s="3" t="s">
        <v>187</v>
      </c>
      <c r="T62" s="3" t="s">
        <v>71</v>
      </c>
      <c r="U62" s="3" t="s">
        <v>72</v>
      </c>
      <c r="V62" s="3" t="str">
        <f>IF(COUNTA(A62:U62)=21,"OK","MISSING")</f>
        <v>OK</v>
      </c>
    </row>
    <row r="63" ht="35.05" hidden="0" outlineLevel="0" collapsed="0">
      <c r="A63" s="3">
        <v>59</v>
      </c>
      <c r="B63" s="3" t="s">
        <v>4</v>
      </c>
      <c r="C63" s="3" t="s">
        <v>193</v>
      </c>
      <c r="D63" s="3" t="s">
        <v>191</v>
      </c>
      <c r="E63" s="3" t="s">
        <v>93</v>
      </c>
      <c r="F63" s="12">
        <v>161894</v>
      </c>
      <c r="G63" s="3" t="s">
        <v>58</v>
      </c>
      <c r="H63" s="3" t="s">
        <v>59</v>
      </c>
      <c r="I63" s="3" t="s">
        <v>184</v>
      </c>
      <c r="J63" s="3" t="s">
        <v>185</v>
      </c>
      <c r="K63" s="3" t="s">
        <v>95</v>
      </c>
      <c r="L63" s="3" t="s">
        <v>171</v>
      </c>
      <c r="M63" s="3" t="s">
        <v>64</v>
      </c>
      <c r="N63" s="3" t="s">
        <v>86</v>
      </c>
      <c r="O63" s="3" t="s">
        <v>10</v>
      </c>
      <c r="P63" s="3" t="s">
        <v>186</v>
      </c>
      <c r="Q63" s="3" t="s">
        <v>68</v>
      </c>
      <c r="R63" s="3" t="s">
        <v>69</v>
      </c>
      <c r="S63" s="3" t="s">
        <v>187</v>
      </c>
      <c r="T63" s="3" t="s">
        <v>71</v>
      </c>
      <c r="U63" s="3" t="s">
        <v>72</v>
      </c>
      <c r="V63" s="3" t="str">
        <f>IF(COUNTA(A63:U63)=21,"OK","MISSING")</f>
        <v>OK</v>
      </c>
    </row>
    <row r="64" ht="35.05" hidden="0" outlineLevel="0" collapsed="0">
      <c r="A64" s="3">
        <v>60</v>
      </c>
      <c r="B64" s="3" t="s">
        <v>4</v>
      </c>
      <c r="C64" s="3" t="s">
        <v>194</v>
      </c>
      <c r="D64" s="3" t="s">
        <v>195</v>
      </c>
      <c r="E64" s="3" t="s">
        <v>82</v>
      </c>
      <c r="F64" s="12">
        <v>90757</v>
      </c>
      <c r="G64" s="3" t="s">
        <v>58</v>
      </c>
      <c r="H64" s="3" t="s">
        <v>59</v>
      </c>
      <c r="I64" s="3" t="s">
        <v>184</v>
      </c>
      <c r="J64" s="3" t="s">
        <v>185</v>
      </c>
      <c r="K64" s="3" t="s">
        <v>84</v>
      </c>
      <c r="L64" s="3" t="s">
        <v>171</v>
      </c>
      <c r="M64" s="3" t="s">
        <v>64</v>
      </c>
      <c r="N64" s="3" t="s">
        <v>86</v>
      </c>
      <c r="O64" s="3" t="s">
        <v>10</v>
      </c>
      <c r="P64" s="3" t="s">
        <v>186</v>
      </c>
      <c r="Q64" s="3" t="s">
        <v>68</v>
      </c>
      <c r="R64" s="3" t="s">
        <v>69</v>
      </c>
      <c r="S64" s="3" t="s">
        <v>187</v>
      </c>
      <c r="T64" s="3" t="s">
        <v>71</v>
      </c>
      <c r="U64" s="3" t="s">
        <v>72</v>
      </c>
      <c r="V64" s="3" t="str">
        <f>IF(COUNTA(A64:U64)=21,"OK","MISSING")</f>
        <v>OK</v>
      </c>
    </row>
    <row r="65" ht="35.05" hidden="0" outlineLevel="0" collapsed="0">
      <c r="A65" s="3">
        <v>61</v>
      </c>
      <c r="B65" s="3" t="s">
        <v>4</v>
      </c>
      <c r="C65" s="3" t="s">
        <v>196</v>
      </c>
      <c r="D65" s="3" t="s">
        <v>195</v>
      </c>
      <c r="E65" s="3" t="s">
        <v>89</v>
      </c>
      <c r="F65" s="12">
        <v>107556</v>
      </c>
      <c r="G65" s="3" t="s">
        <v>58</v>
      </c>
      <c r="H65" s="3" t="s">
        <v>59</v>
      </c>
      <c r="I65" s="3" t="s">
        <v>184</v>
      </c>
      <c r="J65" s="3" t="s">
        <v>185</v>
      </c>
      <c r="K65" s="3" t="s">
        <v>91</v>
      </c>
      <c r="L65" s="3" t="s">
        <v>171</v>
      </c>
      <c r="M65" s="3" t="s">
        <v>64</v>
      </c>
      <c r="N65" s="3" t="s">
        <v>86</v>
      </c>
      <c r="O65" s="3" t="s">
        <v>10</v>
      </c>
      <c r="P65" s="3" t="s">
        <v>186</v>
      </c>
      <c r="Q65" s="3" t="s">
        <v>68</v>
      </c>
      <c r="R65" s="3" t="s">
        <v>69</v>
      </c>
      <c r="S65" s="3" t="s">
        <v>187</v>
      </c>
      <c r="T65" s="3" t="s">
        <v>71</v>
      </c>
      <c r="U65" s="3" t="s">
        <v>72</v>
      </c>
      <c r="V65" s="3" t="str">
        <f>IF(COUNTA(A65:U65)=21,"OK","MISSING")</f>
        <v>OK</v>
      </c>
    </row>
    <row r="66" ht="35.05" hidden="0" outlineLevel="0" collapsed="0">
      <c r="A66" s="3">
        <v>62</v>
      </c>
      <c r="B66" s="3" t="s">
        <v>4</v>
      </c>
      <c r="C66" s="3" t="s">
        <v>197</v>
      </c>
      <c r="D66" s="3" t="s">
        <v>195</v>
      </c>
      <c r="E66" s="3" t="s">
        <v>93</v>
      </c>
      <c r="F66" s="12">
        <v>128725</v>
      </c>
      <c r="G66" s="3" t="s">
        <v>58</v>
      </c>
      <c r="H66" s="3" t="s">
        <v>59</v>
      </c>
      <c r="I66" s="3" t="s">
        <v>184</v>
      </c>
      <c r="J66" s="3" t="s">
        <v>185</v>
      </c>
      <c r="K66" s="3" t="s">
        <v>95</v>
      </c>
      <c r="L66" s="3" t="s">
        <v>171</v>
      </c>
      <c r="M66" s="3" t="s">
        <v>64</v>
      </c>
      <c r="N66" s="3" t="s">
        <v>86</v>
      </c>
      <c r="O66" s="3" t="s">
        <v>10</v>
      </c>
      <c r="P66" s="3" t="s">
        <v>186</v>
      </c>
      <c r="Q66" s="3" t="s">
        <v>68</v>
      </c>
      <c r="R66" s="3" t="s">
        <v>69</v>
      </c>
      <c r="S66" s="3" t="s">
        <v>187</v>
      </c>
      <c r="T66" s="3" t="s">
        <v>71</v>
      </c>
      <c r="U66" s="3" t="s">
        <v>72</v>
      </c>
      <c r="V66" s="3" t="str">
        <f>IF(COUNTA(A66:U66)=21,"OK","MISSING")</f>
        <v>OK</v>
      </c>
    </row>
    <row r="67" ht="35.05" hidden="0" outlineLevel="0" collapsed="0">
      <c r="A67" s="3">
        <v>63</v>
      </c>
      <c r="B67" s="3" t="s">
        <v>4</v>
      </c>
      <c r="C67" s="3" t="s">
        <v>198</v>
      </c>
      <c r="D67" s="3" t="s">
        <v>199</v>
      </c>
      <c r="E67" s="3" t="s">
        <v>82</v>
      </c>
      <c r="F67" s="12">
        <v>14877</v>
      </c>
      <c r="G67" s="3" t="s">
        <v>58</v>
      </c>
      <c r="H67" s="3" t="s">
        <v>59</v>
      </c>
      <c r="I67" s="3" t="s">
        <v>184</v>
      </c>
      <c r="J67" s="3" t="s">
        <v>185</v>
      </c>
      <c r="K67" s="3" t="s">
        <v>84</v>
      </c>
      <c r="L67" s="3" t="s">
        <v>171</v>
      </c>
      <c r="M67" s="3" t="s">
        <v>64</v>
      </c>
      <c r="N67" s="3" t="s">
        <v>86</v>
      </c>
      <c r="O67" s="3" t="s">
        <v>10</v>
      </c>
      <c r="P67" s="3" t="s">
        <v>186</v>
      </c>
      <c r="Q67" s="3" t="s">
        <v>68</v>
      </c>
      <c r="R67" s="3" t="s">
        <v>69</v>
      </c>
      <c r="S67" s="3" t="s">
        <v>187</v>
      </c>
      <c r="T67" s="3" t="s">
        <v>71</v>
      </c>
      <c r="U67" s="3" t="s">
        <v>72</v>
      </c>
      <c r="V67" s="3" t="str">
        <f>IF(COUNTA(A67:U67)=21,"OK","MISSING")</f>
        <v>OK</v>
      </c>
    </row>
    <row r="68" ht="35.05" hidden="0" outlineLevel="0" collapsed="0">
      <c r="A68" s="3">
        <v>64</v>
      </c>
      <c r="B68" s="3" t="s">
        <v>4</v>
      </c>
      <c r="C68" s="3" t="s">
        <v>200</v>
      </c>
      <c r="D68" s="3" t="s">
        <v>199</v>
      </c>
      <c r="E68" s="3" t="s">
        <v>89</v>
      </c>
      <c r="F68" s="12">
        <v>24967</v>
      </c>
      <c r="G68" s="3" t="s">
        <v>58</v>
      </c>
      <c r="H68" s="3" t="s">
        <v>59</v>
      </c>
      <c r="I68" s="3" t="s">
        <v>184</v>
      </c>
      <c r="J68" s="3" t="s">
        <v>185</v>
      </c>
      <c r="K68" s="3" t="s">
        <v>91</v>
      </c>
      <c r="L68" s="3" t="s">
        <v>171</v>
      </c>
      <c r="M68" s="3" t="s">
        <v>64</v>
      </c>
      <c r="N68" s="3" t="s">
        <v>86</v>
      </c>
      <c r="O68" s="3" t="s">
        <v>10</v>
      </c>
      <c r="P68" s="3" t="s">
        <v>186</v>
      </c>
      <c r="Q68" s="3" t="s">
        <v>68</v>
      </c>
      <c r="R68" s="3" t="s">
        <v>69</v>
      </c>
      <c r="S68" s="3" t="s">
        <v>187</v>
      </c>
      <c r="T68" s="3" t="s">
        <v>71</v>
      </c>
      <c r="U68" s="3" t="s">
        <v>72</v>
      </c>
      <c r="V68" s="3" t="str">
        <f>IF(COUNTA(A68:U68)=21,"OK","MISSING")</f>
        <v>OK</v>
      </c>
    </row>
    <row r="69" ht="35.05" hidden="0" outlineLevel="0" collapsed="0">
      <c r="A69" s="3">
        <v>65</v>
      </c>
      <c r="B69" s="3" t="s">
        <v>4</v>
      </c>
      <c r="C69" s="3" t="s">
        <v>201</v>
      </c>
      <c r="D69" s="3" t="s">
        <v>199</v>
      </c>
      <c r="E69" s="3" t="s">
        <v>93</v>
      </c>
      <c r="F69" s="12">
        <v>29619</v>
      </c>
      <c r="G69" s="3" t="s">
        <v>58</v>
      </c>
      <c r="H69" s="3" t="s">
        <v>59</v>
      </c>
      <c r="I69" s="3" t="s">
        <v>184</v>
      </c>
      <c r="J69" s="3" t="s">
        <v>185</v>
      </c>
      <c r="K69" s="3" t="s">
        <v>95</v>
      </c>
      <c r="L69" s="3" t="s">
        <v>171</v>
      </c>
      <c r="M69" s="3" t="s">
        <v>64</v>
      </c>
      <c r="N69" s="3" t="s">
        <v>86</v>
      </c>
      <c r="O69" s="3" t="s">
        <v>10</v>
      </c>
      <c r="P69" s="3" t="s">
        <v>186</v>
      </c>
      <c r="Q69" s="3" t="s">
        <v>68</v>
      </c>
      <c r="R69" s="3" t="s">
        <v>69</v>
      </c>
      <c r="S69" s="3" t="s">
        <v>187</v>
      </c>
      <c r="T69" s="3" t="s">
        <v>71</v>
      </c>
      <c r="U69" s="3" t="s">
        <v>72</v>
      </c>
      <c r="V69" s="3" t="str">
        <f>IF(COUNTA(A69:U69)=21,"OK","MISSING")</f>
        <v>OK</v>
      </c>
    </row>
    <row r="70" ht="35.05" hidden="0" outlineLevel="0" collapsed="0">
      <c r="A70" s="3">
        <v>66</v>
      </c>
      <c r="B70" s="3" t="s">
        <v>4</v>
      </c>
      <c r="C70" s="3" t="s">
        <v>202</v>
      </c>
      <c r="D70" s="3" t="s">
        <v>203</v>
      </c>
      <c r="E70" s="3" t="s">
        <v>82</v>
      </c>
      <c r="F70" s="12">
        <v>-2656</v>
      </c>
      <c r="G70" s="3" t="s">
        <v>58</v>
      </c>
      <c r="H70" s="3" t="s">
        <v>59</v>
      </c>
      <c r="I70" s="3" t="s">
        <v>184</v>
      </c>
      <c r="J70" s="3" t="s">
        <v>185</v>
      </c>
      <c r="K70" s="3" t="s">
        <v>84</v>
      </c>
      <c r="L70" s="3" t="s">
        <v>171</v>
      </c>
      <c r="M70" s="3" t="s">
        <v>64</v>
      </c>
      <c r="N70" s="3" t="s">
        <v>86</v>
      </c>
      <c r="O70" s="3" t="s">
        <v>10</v>
      </c>
      <c r="P70" s="3" t="s">
        <v>186</v>
      </c>
      <c r="Q70" s="3" t="s">
        <v>68</v>
      </c>
      <c r="R70" s="3" t="s">
        <v>69</v>
      </c>
      <c r="S70" s="3" t="s">
        <v>187</v>
      </c>
      <c r="T70" s="3" t="s">
        <v>71</v>
      </c>
      <c r="U70" s="3" t="s">
        <v>72</v>
      </c>
      <c r="V70" s="3" t="str">
        <f>IF(COUNTA(A70:U70)=21,"OK","MISSING")</f>
        <v>OK</v>
      </c>
    </row>
    <row r="71" ht="35.05" hidden="0" outlineLevel="0" collapsed="0">
      <c r="A71" s="3">
        <v>67</v>
      </c>
      <c r="B71" s="3" t="s">
        <v>4</v>
      </c>
      <c r="C71" s="3" t="s">
        <v>204</v>
      </c>
      <c r="D71" s="3" t="s">
        <v>203</v>
      </c>
      <c r="E71" s="3" t="s">
        <v>89</v>
      </c>
      <c r="F71" s="12">
        <v>3792</v>
      </c>
      <c r="G71" s="3" t="s">
        <v>58</v>
      </c>
      <c r="H71" s="3" t="s">
        <v>59</v>
      </c>
      <c r="I71" s="3" t="s">
        <v>184</v>
      </c>
      <c r="J71" s="3" t="s">
        <v>185</v>
      </c>
      <c r="K71" s="3" t="s">
        <v>91</v>
      </c>
      <c r="L71" s="3" t="s">
        <v>171</v>
      </c>
      <c r="M71" s="3" t="s">
        <v>64</v>
      </c>
      <c r="N71" s="3" t="s">
        <v>86</v>
      </c>
      <c r="O71" s="3" t="s">
        <v>10</v>
      </c>
      <c r="P71" s="3" t="s">
        <v>186</v>
      </c>
      <c r="Q71" s="3" t="s">
        <v>68</v>
      </c>
      <c r="R71" s="3" t="s">
        <v>69</v>
      </c>
      <c r="S71" s="3" t="s">
        <v>187</v>
      </c>
      <c r="T71" s="3" t="s">
        <v>71</v>
      </c>
      <c r="U71" s="3" t="s">
        <v>72</v>
      </c>
      <c r="V71" s="3" t="str">
        <f>IF(COUNTA(A71:U71)=21,"OK","MISSING")</f>
        <v>OK</v>
      </c>
    </row>
    <row r="72" ht="35.05" hidden="0" outlineLevel="0" collapsed="0">
      <c r="A72" s="3">
        <v>68</v>
      </c>
      <c r="B72" s="3" t="s">
        <v>4</v>
      </c>
      <c r="C72" s="3" t="s">
        <v>205</v>
      </c>
      <c r="D72" s="3" t="s">
        <v>203</v>
      </c>
      <c r="E72" s="3" t="s">
        <v>93</v>
      </c>
      <c r="F72" s="12">
        <v>4750</v>
      </c>
      <c r="G72" s="3" t="s">
        <v>58</v>
      </c>
      <c r="H72" s="3" t="s">
        <v>59</v>
      </c>
      <c r="I72" s="3" t="s">
        <v>184</v>
      </c>
      <c r="J72" s="3" t="s">
        <v>185</v>
      </c>
      <c r="K72" s="3" t="s">
        <v>95</v>
      </c>
      <c r="L72" s="3" t="s">
        <v>171</v>
      </c>
      <c r="M72" s="3" t="s">
        <v>64</v>
      </c>
      <c r="N72" s="3" t="s">
        <v>86</v>
      </c>
      <c r="O72" s="3" t="s">
        <v>10</v>
      </c>
      <c r="P72" s="3" t="s">
        <v>186</v>
      </c>
      <c r="Q72" s="3" t="s">
        <v>68</v>
      </c>
      <c r="R72" s="3" t="s">
        <v>69</v>
      </c>
      <c r="S72" s="3" t="s">
        <v>187</v>
      </c>
      <c r="T72" s="3" t="s">
        <v>71</v>
      </c>
      <c r="U72" s="3" t="s">
        <v>72</v>
      </c>
      <c r="V72" s="3" t="str">
        <f>IF(COUNTA(A72:U72)=21,"OK","MISSING")</f>
        <v>OK</v>
      </c>
    </row>
    <row r="73" ht="35.05" hidden="0" outlineLevel="0" collapsed="0">
      <c r="A73" s="3">
        <v>69</v>
      </c>
      <c r="B73" s="3" t="s">
        <v>4</v>
      </c>
      <c r="C73" s="3" t="s">
        <v>206</v>
      </c>
      <c r="D73" s="3" t="s">
        <v>207</v>
      </c>
      <c r="E73" s="3" t="s">
        <v>82</v>
      </c>
      <c r="F73" s="12">
        <v>24631</v>
      </c>
      <c r="G73" s="3" t="s">
        <v>58</v>
      </c>
      <c r="H73" s="3" t="s">
        <v>59</v>
      </c>
      <c r="I73" s="3" t="s">
        <v>184</v>
      </c>
      <c r="J73" s="3" t="s">
        <v>185</v>
      </c>
      <c r="K73" s="3" t="s">
        <v>84</v>
      </c>
      <c r="L73" s="3" t="s">
        <v>171</v>
      </c>
      <c r="M73" s="3" t="s">
        <v>64</v>
      </c>
      <c r="N73" s="3" t="s">
        <v>86</v>
      </c>
      <c r="O73" s="3" t="s">
        <v>10</v>
      </c>
      <c r="P73" s="3" t="s">
        <v>186</v>
      </c>
      <c r="Q73" s="3" t="s">
        <v>68</v>
      </c>
      <c r="R73" s="3" t="s">
        <v>69</v>
      </c>
      <c r="S73" s="3" t="s">
        <v>187</v>
      </c>
      <c r="T73" s="3" t="s">
        <v>71</v>
      </c>
      <c r="U73" s="3" t="s">
        <v>72</v>
      </c>
      <c r="V73" s="3" t="str">
        <f>IF(COUNTA(A73:U73)=21,"OK","MISSING")</f>
        <v>OK</v>
      </c>
    </row>
    <row r="74" ht="35.05" hidden="0" outlineLevel="0" collapsed="0">
      <c r="A74" s="3">
        <v>70</v>
      </c>
      <c r="B74" s="3" t="s">
        <v>4</v>
      </c>
      <c r="C74" s="3" t="s">
        <v>208</v>
      </c>
      <c r="D74" s="3" t="s">
        <v>207</v>
      </c>
      <c r="E74" s="3" t="s">
        <v>89</v>
      </c>
      <c r="F74" s="12">
        <v>39834</v>
      </c>
      <c r="G74" s="3" t="s">
        <v>58</v>
      </c>
      <c r="H74" s="3" t="s">
        <v>59</v>
      </c>
      <c r="I74" s="3" t="s">
        <v>184</v>
      </c>
      <c r="J74" s="3" t="s">
        <v>185</v>
      </c>
      <c r="K74" s="3" t="s">
        <v>91</v>
      </c>
      <c r="L74" s="3" t="s">
        <v>171</v>
      </c>
      <c r="M74" s="3" t="s">
        <v>64</v>
      </c>
      <c r="N74" s="3" t="s">
        <v>86</v>
      </c>
      <c r="O74" s="3" t="s">
        <v>10</v>
      </c>
      <c r="P74" s="3" t="s">
        <v>186</v>
      </c>
      <c r="Q74" s="3" t="s">
        <v>68</v>
      </c>
      <c r="R74" s="3" t="s">
        <v>69</v>
      </c>
      <c r="S74" s="3" t="s">
        <v>187</v>
      </c>
      <c r="T74" s="3" t="s">
        <v>71</v>
      </c>
      <c r="U74" s="3" t="s">
        <v>72</v>
      </c>
      <c r="V74" s="3" t="str">
        <f>IF(COUNTA(A74:U74)=21,"OK","MISSING")</f>
        <v>OK</v>
      </c>
    </row>
    <row r="75" ht="35.05" hidden="0" outlineLevel="0" collapsed="0">
      <c r="A75" s="3">
        <v>71</v>
      </c>
      <c r="B75" s="3" t="s">
        <v>4</v>
      </c>
      <c r="C75" s="3" t="s">
        <v>209</v>
      </c>
      <c r="D75" s="3" t="s">
        <v>207</v>
      </c>
      <c r="E75" s="3" t="s">
        <v>93</v>
      </c>
      <c r="F75" s="12">
        <v>45606</v>
      </c>
      <c r="G75" s="3" t="s">
        <v>58</v>
      </c>
      <c r="H75" s="3" t="s">
        <v>59</v>
      </c>
      <c r="I75" s="3" t="s">
        <v>184</v>
      </c>
      <c r="J75" s="3" t="s">
        <v>185</v>
      </c>
      <c r="K75" s="3" t="s">
        <v>95</v>
      </c>
      <c r="L75" s="3" t="s">
        <v>171</v>
      </c>
      <c r="M75" s="3" t="s">
        <v>64</v>
      </c>
      <c r="N75" s="3" t="s">
        <v>86</v>
      </c>
      <c r="O75" s="3" t="s">
        <v>10</v>
      </c>
      <c r="P75" s="3" t="s">
        <v>186</v>
      </c>
      <c r="Q75" s="3" t="s">
        <v>68</v>
      </c>
      <c r="R75" s="3" t="s">
        <v>69</v>
      </c>
      <c r="S75" s="3" t="s">
        <v>187</v>
      </c>
      <c r="T75" s="3" t="s">
        <v>71</v>
      </c>
      <c r="U75" s="3" t="s">
        <v>72</v>
      </c>
      <c r="V75" s="3" t="str">
        <f>IF(COUNTA(A75:U75)=21,"OK","MISSING")</f>
        <v>OK</v>
      </c>
    </row>
    <row r="76" ht="23.85" hidden="0" outlineLevel="0" collapsed="0">
      <c r="A76" s="3">
        <v>72</v>
      </c>
      <c r="B76" s="3" t="s">
        <v>4</v>
      </c>
      <c r="C76" s="3" t="s">
        <v>210</v>
      </c>
      <c r="D76" s="3" t="s">
        <v>211</v>
      </c>
      <c r="E76" s="3" t="s">
        <v>13</v>
      </c>
      <c r="F76" s="12">
        <v>254.96</v>
      </c>
      <c r="G76" s="3" t="s">
        <v>212</v>
      </c>
      <c r="H76" s="3" t="s">
        <v>59</v>
      </c>
      <c r="I76" s="3" t="s">
        <v>213</v>
      </c>
      <c r="J76" s="3" t="s">
        <v>127</v>
      </c>
      <c r="K76" s="3" t="s">
        <v>13</v>
      </c>
      <c r="L76" s="3" t="s">
        <v>160</v>
      </c>
      <c r="M76" s="3" t="s">
        <v>214</v>
      </c>
      <c r="N76" s="3" t="s">
        <v>13</v>
      </c>
      <c r="O76" s="3" t="s">
        <v>215</v>
      </c>
      <c r="P76" s="3" t="s">
        <v>216</v>
      </c>
      <c r="Q76" s="3" t="s">
        <v>68</v>
      </c>
      <c r="R76" s="3" t="s">
        <v>217</v>
      </c>
      <c r="S76" s="3" t="s">
        <v>218</v>
      </c>
      <c r="T76" s="3" t="s">
        <v>219</v>
      </c>
      <c r="U76" s="3" t="s">
        <v>220</v>
      </c>
      <c r="V76" s="3" t="str">
        <f>IF(COUNTA(A76:U76)=21,"OK","MISSING")</f>
        <v>OK</v>
      </c>
    </row>
    <row r="77" hidden="0" outlineLevel="0" collapsed="0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ht="35.05" hidden="0" outlineLevel="0" collapsed="0">
      <c r="A78" s="13" t="s">
        <v>221</v>
      </c>
      <c r="B78" s="13"/>
      <c r="C78" s="13"/>
      <c r="D78" s="13"/>
      <c r="E78" s="13"/>
      <c r="F78" s="13"/>
      <c r="G78" s="13">
        <f>COUNTIF(V5:V76,"OK")</f>
        <v>72</v>
      </c>
      <c r="H78" s="13">
        <v>72</v>
      </c>
      <c r="I78" s="13" t="str">
        <f>IF(G78=H78,"OK","REVIEW")</f>
        <v>OK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</sheetData>
  <mergeCells count="2">
    <mergeCell ref="A1:V1"/>
    <mergeCell ref="A2:V2"/>
  </mergeCells>
  <conditionalFormatting sqref="V5:V76">
    <cfRule type="containsText" priority="2" operator="containsText" text="OK" dxfId="0">
      <formula>NOT(ISERROR(SEARCH("OK",V5)))</formula>
    </cfRule>
    <cfRule type="containsText" priority="3" operator="containsText" text="REVIEW" dxfId="1">
      <formula>NOT(ISERROR(SEARCH("REVIEW",V5)))</formula>
    </cfRule>
  </conditionalFormatting>
  <conditionalFormatting sqref="I78">
    <cfRule type="containsText" priority="4" operator="containsText" text="OK" dxfId="2">
      <formula>NOT(ISERROR(SEARCH("OK",I78)))</formula>
    </cfRule>
    <cfRule type="containsText" priority="5" operator="containsText" text="REVIEW" dxfId="3">
      <formula>NOT(ISERROR(SEARCH("REVIEW",I78)))</formula>
    </cfRule>
  </conditionalFormatting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26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4" customWidth="1"/>
    <col min="2" max="2" width="14" customWidth="1"/>
    <col min="3" max="3" width="17" customWidth="1"/>
    <col min="4" max="4" width="14" customWidth="1"/>
    <col min="5" max="5" width="40" customWidth="1"/>
    <col min="6" max="6" width="18" customWidth="1"/>
    <col min="7" max="7" width="36" customWidth="1"/>
    <col min="8" max="8" width="22" customWidth="1"/>
  </cols>
  <sheetData>
    <row r="1" ht="28" hidden="0" outlineLevel="0" collapsed="0">
      <c r="A1" s="14" t="s">
        <v>222</v>
      </c>
      <c r="B1" s="14"/>
      <c r="C1" s="14"/>
      <c r="D1" s="14"/>
      <c r="E1" s="14"/>
      <c r="F1" s="14"/>
      <c r="G1" s="14"/>
      <c r="H1" s="14"/>
    </row>
    <row r="2" ht="22" hidden="0" outlineLevel="0" collapsed="0">
      <c r="A2" s="15" t="s">
        <v>223</v>
      </c>
      <c r="B2" s="15"/>
      <c r="C2" s="15"/>
      <c r="D2" s="15"/>
      <c r="E2" s="15"/>
      <c r="F2" s="15"/>
      <c r="G2" s="15"/>
      <c r="H2" s="15"/>
    </row>
    <row r="4" hidden="0" outlineLevel="0" collapsed="0">
      <c r="A4" s="11" t="s">
        <v>36</v>
      </c>
      <c r="B4" s="11" t="s">
        <v>57</v>
      </c>
      <c r="C4" s="11" t="s">
        <v>74</v>
      </c>
      <c r="D4" s="11" t="s">
        <v>82</v>
      </c>
      <c r="E4" s="11" t="s">
        <v>89</v>
      </c>
      <c r="F4" s="11" t="s">
        <v>93</v>
      </c>
    </row>
    <row r="5" hidden="0" outlineLevel="0" collapsed="0">
      <c r="A5" s="16" t="s">
        <v>56</v>
      </c>
      <c r="B5" s="17">
        <v>469822</v>
      </c>
      <c r="C5" s="17">
        <v>513983</v>
      </c>
      <c r="D5" s="17">
        <v>574785</v>
      </c>
      <c r="E5" s="17">
        <v>637959</v>
      </c>
      <c r="F5" s="17">
        <v>716924</v>
      </c>
    </row>
    <row r="6" hidden="0" outlineLevel="0" collapsed="0">
      <c r="A6" s="16" t="s">
        <v>224</v>
      </c>
      <c r="B6" s="17"/>
      <c r="C6" s="17"/>
      <c r="D6" s="17"/>
      <c r="E6" s="17"/>
      <c r="F6" s="17"/>
    </row>
    <row r="7" hidden="0" outlineLevel="0" collapsed="0">
      <c r="A7" s="16" t="s">
        <v>97</v>
      </c>
      <c r="B7" s="17">
        <v>24879</v>
      </c>
      <c r="C7" s="17">
        <v>12248</v>
      </c>
      <c r="D7" s="17">
        <v>36852</v>
      </c>
      <c r="E7" s="17">
        <v>68593</v>
      </c>
      <c r="F7" s="17">
        <v>79975</v>
      </c>
    </row>
    <row r="8" hidden="0" outlineLevel="0" collapsed="0">
      <c r="A8" s="16" t="s">
        <v>104</v>
      </c>
      <c r="B8" s="17">
        <v>33364</v>
      </c>
      <c r="C8" s="17">
        <v>-2722</v>
      </c>
      <c r="D8" s="17">
        <v>30425</v>
      </c>
      <c r="E8" s="17">
        <v>59248</v>
      </c>
      <c r="F8" s="17">
        <v>77670</v>
      </c>
    </row>
    <row r="9" hidden="0" outlineLevel="0" collapsed="0">
      <c r="A9" s="16" t="s">
        <v>111</v>
      </c>
      <c r="B9" s="17">
        <v>46327</v>
      </c>
      <c r="C9" s="17">
        <v>46752</v>
      </c>
      <c r="D9" s="17">
        <v>84946</v>
      </c>
      <c r="E9" s="17">
        <v>115877</v>
      </c>
      <c r="F9" s="17">
        <v>139514</v>
      </c>
    </row>
    <row r="10" hidden="0" outlineLevel="0" collapsed="0">
      <c r="A10" s="16" t="s">
        <v>118</v>
      </c>
      <c r="B10" s="17">
        <v>61053</v>
      </c>
      <c r="C10" s="17">
        <v>63645</v>
      </c>
      <c r="D10" s="17">
        <v>52729</v>
      </c>
      <c r="E10" s="17">
        <v>82999</v>
      </c>
      <c r="F10" s="17">
        <v>131819</v>
      </c>
    </row>
    <row r="11" hidden="0" outlineLevel="0" collapsed="0">
      <c r="A11" s="16" t="s">
        <v>125</v>
      </c>
      <c r="B11" s="17">
        <v>420549</v>
      </c>
      <c r="C11" s="17">
        <v>462675</v>
      </c>
      <c r="D11" s="17">
        <v>527854</v>
      </c>
      <c r="E11" s="17">
        <v>624894</v>
      </c>
      <c r="F11" s="17">
        <v>818042</v>
      </c>
    </row>
    <row r="12" hidden="0" outlineLevel="0" collapsed="0">
      <c r="A12" s="16" t="s">
        <v>133</v>
      </c>
      <c r="B12" s="17">
        <v>138245</v>
      </c>
      <c r="C12" s="17">
        <v>146043</v>
      </c>
      <c r="D12" s="17">
        <v>201875</v>
      </c>
      <c r="E12" s="17">
        <v>285970</v>
      </c>
      <c r="F12" s="17">
        <v>411065</v>
      </c>
    </row>
    <row r="13" hidden="0" outlineLevel="0" collapsed="0">
      <c r="A13" s="16" t="s">
        <v>140</v>
      </c>
      <c r="B13" s="17">
        <v>36220</v>
      </c>
      <c r="C13" s="17">
        <v>53888</v>
      </c>
      <c r="D13" s="17">
        <v>73387</v>
      </c>
      <c r="E13" s="17">
        <v>78779</v>
      </c>
      <c r="F13" s="17">
        <v>86810</v>
      </c>
    </row>
    <row r="14" hidden="0" outlineLevel="0" collapsed="0">
      <c r="A14" s="16" t="s">
        <v>151</v>
      </c>
      <c r="B14" s="17">
        <v>50553</v>
      </c>
      <c r="C14" s="17">
        <v>70542</v>
      </c>
      <c r="D14" s="17">
        <v>67182</v>
      </c>
      <c r="E14" s="17">
        <v>58000</v>
      </c>
      <c r="F14" s="17">
        <v>68836</v>
      </c>
    </row>
    <row r="15" hidden="0" outlineLevel="0" collapsed="0">
      <c r="A15" s="16" t="s">
        <v>158</v>
      </c>
      <c r="B15" s="17">
        <v>10296</v>
      </c>
      <c r="C15" s="17">
        <v>10189</v>
      </c>
      <c r="D15" s="17">
        <v>10492</v>
      </c>
      <c r="E15" s="17">
        <v>10721</v>
      </c>
      <c r="F15" s="17">
        <v>10827</v>
      </c>
    </row>
    <row r="17" hidden="0" outlineLevel="0" collapsed="0">
      <c r="A17" s="18" t="s">
        <v>225</v>
      </c>
      <c r="B17" s="18" t="s">
        <v>226</v>
      </c>
      <c r="C17" s="18"/>
      <c r="D17" s="18"/>
      <c r="E17" s="18"/>
      <c r="F17" s="18"/>
    </row>
    <row r="18" hidden="0" outlineLevel="0" collapsed="0">
      <c r="A18" s="0" t="s">
        <v>227</v>
      </c>
      <c r="B18" s="19">
        <f>SUM(B23:B24)</f>
        <v>123029</v>
      </c>
      <c r="F18" s="0" t="s">
        <v>58</v>
      </c>
    </row>
    <row r="19" hidden="0" outlineLevel="0" collapsed="0">
      <c r="A19" s="0" t="s">
        <v>228</v>
      </c>
      <c r="B19" s="19">
        <f>SUM(B25:B26)</f>
        <v>69291</v>
      </c>
      <c r="F19" s="0" t="s">
        <v>58</v>
      </c>
    </row>
    <row r="20" hidden="0" outlineLevel="0" collapsed="0">
      <c r="A20" s="0" t="s">
        <v>168</v>
      </c>
      <c r="B20" s="19">
        <v>10734.921</v>
      </c>
      <c r="F20" s="0" t="s">
        <v>159</v>
      </c>
    </row>
    <row r="22" hidden="0" outlineLevel="0" collapsed="0">
      <c r="A22" s="11" t="s">
        <v>229</v>
      </c>
      <c r="B22" s="11" t="s">
        <v>93</v>
      </c>
      <c r="C22" s="11" t="s">
        <v>230</v>
      </c>
      <c r="D22" s="11" t="s">
        <v>231</v>
      </c>
      <c r="E22" s="11" t="s">
        <v>232</v>
      </c>
      <c r="F22" s="11" t="s">
        <v>233</v>
      </c>
    </row>
    <row r="23" hidden="0" outlineLevel="0" collapsed="0">
      <c r="A23" s="0" t="s">
        <v>140</v>
      </c>
      <c r="B23" s="0">
        <f>F13</f>
        <v>86810</v>
      </c>
      <c r="C23" s="0" t="s">
        <v>234</v>
      </c>
      <c r="D23" s="0" t="s">
        <v>231</v>
      </c>
      <c r="E23" s="0" t="s">
        <v>235</v>
      </c>
      <c r="F23" s="0" t="s">
        <v>236</v>
      </c>
    </row>
    <row r="24" hidden="0" outlineLevel="0" collapsed="0">
      <c r="A24" s="0" t="s">
        <v>175</v>
      </c>
      <c r="B24" s="0">
        <v>36219</v>
      </c>
      <c r="C24" s="0" t="s">
        <v>234</v>
      </c>
      <c r="D24" s="0" t="s">
        <v>231</v>
      </c>
      <c r="E24" s="0" t="s">
        <v>176</v>
      </c>
      <c r="F24" s="0" t="s">
        <v>237</v>
      </c>
    </row>
    <row r="25" hidden="0" outlineLevel="0" collapsed="0">
      <c r="A25" s="0" t="s">
        <v>238</v>
      </c>
      <c r="B25" s="0">
        <f>F14</f>
        <v>68836</v>
      </c>
      <c r="C25" s="0" t="s">
        <v>234</v>
      </c>
      <c r="D25" s="0" t="s">
        <v>231</v>
      </c>
      <c r="E25" s="0" t="s">
        <v>235</v>
      </c>
      <c r="F25" s="0" t="s">
        <v>236</v>
      </c>
    </row>
    <row r="26" hidden="0" outlineLevel="0" collapsed="0">
      <c r="A26" s="0" t="s">
        <v>179</v>
      </c>
      <c r="B26" s="0">
        <v>455</v>
      </c>
      <c r="C26" s="0" t="s">
        <v>234</v>
      </c>
      <c r="D26" s="0" t="s">
        <v>231</v>
      </c>
      <c r="E26" s="0" t="s">
        <v>180</v>
      </c>
      <c r="F26" s="0" t="s">
        <v>237</v>
      </c>
    </row>
  </sheetData>
  <mergeCells count="2">
    <mergeCell ref="A1:H1"/>
    <mergeCell ref="A2:H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20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7" customWidth="1"/>
    <col min="2" max="2" width="12" customWidth="1"/>
    <col min="3" max="6" width="13" customWidth="1"/>
    <col min="7" max="7" width="55" customWidth="1"/>
    <col min="8" max="8" width="15" customWidth="1"/>
  </cols>
  <sheetData>
    <row r="1" ht="28" hidden="0" outlineLevel="0" collapsed="0">
      <c r="A1" s="1" t="s">
        <v>239</v>
      </c>
      <c r="B1" s="1"/>
      <c r="C1" s="1"/>
      <c r="D1" s="1"/>
      <c r="E1" s="1"/>
      <c r="F1" s="1"/>
      <c r="G1" s="1"/>
      <c r="H1" s="1"/>
    </row>
    <row r="2" ht="22" hidden="0" outlineLevel="0" collapsed="0">
      <c r="A2" s="2" t="s">
        <v>240</v>
      </c>
      <c r="B2" s="2"/>
      <c r="C2" s="2"/>
      <c r="D2" s="2"/>
      <c r="E2" s="2"/>
      <c r="F2" s="2"/>
      <c r="G2" s="2"/>
      <c r="H2" s="2"/>
    </row>
    <row r="3" hidden="0" outlineLevel="0" collapsed="0">
      <c r="A3" s="3" t="s">
        <v>241</v>
      </c>
      <c r="B3" s="20">
        <v>1</v>
      </c>
      <c r="C3" s="3"/>
      <c r="D3" s="3"/>
      <c r="E3" s="3"/>
      <c r="F3" s="3"/>
      <c r="G3" s="3" t="s">
        <v>242</v>
      </c>
    </row>
    <row r="4" hidden="0" outlineLevel="0" collapsed="0">
      <c r="A4" s="3" t="s">
        <v>14</v>
      </c>
      <c r="B4" s="3" t="str">
        <f>CHOOSE(B3,"Base","Bull","Bear")</f>
        <v>Base</v>
      </c>
      <c r="C4" s="3"/>
      <c r="D4" s="3"/>
      <c r="E4" s="3"/>
      <c r="F4" s="3"/>
      <c r="G4" s="3" t="s">
        <v>243</v>
      </c>
    </row>
    <row r="5" hidden="0" outlineLevel="0" collapsed="0">
      <c r="A5" s="3"/>
      <c r="B5" s="3"/>
      <c r="C5" s="3"/>
      <c r="D5" s="3"/>
      <c r="E5" s="3"/>
      <c r="F5" s="3"/>
      <c r="G5" s="3"/>
    </row>
    <row r="6" hidden="0" outlineLevel="0" collapsed="0">
      <c r="A6" s="11" t="s">
        <v>244</v>
      </c>
      <c r="B6" s="11" t="s">
        <v>39</v>
      </c>
      <c r="C6" s="11" t="s">
        <v>245</v>
      </c>
      <c r="D6" s="11" t="s">
        <v>246</v>
      </c>
      <c r="E6" s="11" t="s">
        <v>247</v>
      </c>
      <c r="F6" s="11" t="s">
        <v>248</v>
      </c>
      <c r="G6" s="11" t="s">
        <v>249</v>
      </c>
    </row>
    <row r="7" hidden="0" outlineLevel="0" collapsed="0">
      <c r="A7" s="3" t="s">
        <v>250</v>
      </c>
      <c r="B7" s="3" t="s">
        <v>251</v>
      </c>
      <c r="C7" s="21">
        <v>0.08</v>
      </c>
      <c r="D7" s="21">
        <v>0.11</v>
      </c>
      <c r="E7" s="21">
        <v>0.05</v>
      </c>
      <c r="F7" s="22">
        <f>CHOOSE($B$3,C7,D7,E7)</f>
        <v>0.08</v>
      </c>
      <c r="G7" s="3" t="s">
        <v>252</v>
      </c>
    </row>
    <row r="8" hidden="0" outlineLevel="0" collapsed="0">
      <c r="A8" s="3" t="s">
        <v>253</v>
      </c>
      <c r="B8" s="3" t="s">
        <v>251</v>
      </c>
      <c r="C8" s="21">
        <v>0.09</v>
      </c>
      <c r="D8" s="21">
        <v>0.13</v>
      </c>
      <c r="E8" s="21">
        <v>0.05</v>
      </c>
      <c r="F8" s="22">
        <f>CHOOSE($B$3,C8,D8,E8)</f>
        <v>0.09</v>
      </c>
      <c r="G8" s="3" t="s">
        <v>254</v>
      </c>
    </row>
    <row r="9" hidden="0" outlineLevel="0" collapsed="0">
      <c r="A9" s="3" t="s">
        <v>255</v>
      </c>
      <c r="B9" s="3" t="s">
        <v>251</v>
      </c>
      <c r="C9" s="21">
        <v>0.18</v>
      </c>
      <c r="D9" s="21">
        <v>0.23</v>
      </c>
      <c r="E9" s="21">
        <v>0.12</v>
      </c>
      <c r="F9" s="22">
        <f>CHOOSE($B$3,C9,D9,E9)</f>
        <v>0.18</v>
      </c>
      <c r="G9" s="3" t="s">
        <v>256</v>
      </c>
    </row>
    <row r="10" hidden="0" outlineLevel="0" collapsed="0">
      <c r="A10" s="3" t="s">
        <v>257</v>
      </c>
      <c r="B10" s="3" t="s">
        <v>251</v>
      </c>
      <c r="C10" s="21">
        <v>0.075</v>
      </c>
      <c r="D10" s="21">
        <v>0.085</v>
      </c>
      <c r="E10" s="21">
        <v>0.06</v>
      </c>
      <c r="F10" s="22">
        <f>CHOOSE($B$3,C10,D10,E10)</f>
        <v>0.075</v>
      </c>
      <c r="G10" s="3" t="s">
        <v>258</v>
      </c>
    </row>
    <row r="11" hidden="0" outlineLevel="0" collapsed="0">
      <c r="A11" s="3" t="s">
        <v>259</v>
      </c>
      <c r="B11" s="3" t="s">
        <v>251</v>
      </c>
      <c r="C11" s="21">
        <v>0.04</v>
      </c>
      <c r="D11" s="21">
        <v>0.06</v>
      </c>
      <c r="E11" s="21">
        <v>0.01</v>
      </c>
      <c r="F11" s="22">
        <f>CHOOSE($B$3,C11,D11,E11)</f>
        <v>0.04</v>
      </c>
      <c r="G11" s="3" t="s">
        <v>260</v>
      </c>
    </row>
    <row r="12" hidden="0" outlineLevel="0" collapsed="0">
      <c r="A12" s="3" t="s">
        <v>261</v>
      </c>
      <c r="B12" s="3" t="s">
        <v>251</v>
      </c>
      <c r="C12" s="21">
        <v>0.36</v>
      </c>
      <c r="D12" s="21">
        <v>0.38</v>
      </c>
      <c r="E12" s="21">
        <v>0.32</v>
      </c>
      <c r="F12" s="22">
        <f>CHOOSE($B$3,C12,D12,E12)</f>
        <v>0.36</v>
      </c>
      <c r="G12" s="3" t="s">
        <v>262</v>
      </c>
    </row>
    <row r="13" hidden="0" outlineLevel="0" collapsed="0">
      <c r="A13" s="3" t="s">
        <v>263</v>
      </c>
      <c r="B13" s="3" t="s">
        <v>251</v>
      </c>
      <c r="C13" s="21">
        <v>0.18</v>
      </c>
      <c r="D13" s="21">
        <v>0.16</v>
      </c>
      <c r="E13" s="21">
        <v>0.21</v>
      </c>
      <c r="F13" s="22">
        <f>CHOOSE($B$3,C13,D13,E13)</f>
        <v>0.18</v>
      </c>
      <c r="G13" s="3" t="s">
        <v>264</v>
      </c>
    </row>
    <row r="14" hidden="0" outlineLevel="0" collapsed="0">
      <c r="A14" s="3" t="s">
        <v>265</v>
      </c>
      <c r="B14" s="3" t="s">
        <v>251</v>
      </c>
      <c r="C14" s="21">
        <v>0.058</v>
      </c>
      <c r="D14" s="21">
        <v>0.06</v>
      </c>
      <c r="E14" s="21">
        <v>0.055</v>
      </c>
      <c r="F14" s="22">
        <f>CHOOSE($B$3,C14,D14,E14)</f>
        <v>0.058</v>
      </c>
      <c r="G14" s="3" t="s">
        <v>266</v>
      </c>
    </row>
    <row r="15" hidden="0" outlineLevel="0" collapsed="0">
      <c r="A15" s="3" t="s">
        <v>267</v>
      </c>
      <c r="B15" s="3" t="s">
        <v>251</v>
      </c>
      <c r="C15" s="21">
        <v>0.13</v>
      </c>
      <c r="D15" s="21">
        <v>0.11</v>
      </c>
      <c r="E15" s="21">
        <v>0.16</v>
      </c>
      <c r="F15" s="22">
        <f>CHOOSE($B$3,C15,D15,E15)</f>
        <v>0.13</v>
      </c>
      <c r="G15" s="3" t="s">
        <v>268</v>
      </c>
    </row>
    <row r="16" hidden="0" outlineLevel="0" collapsed="0">
      <c r="A16" s="3" t="s">
        <v>269</v>
      </c>
      <c r="B16" s="3" t="s">
        <v>251</v>
      </c>
      <c r="C16" s="21">
        <v>0.015</v>
      </c>
      <c r="D16" s="21">
        <v>0.01</v>
      </c>
      <c r="E16" s="21">
        <v>0.02</v>
      </c>
      <c r="F16" s="22">
        <f>CHOOSE($B$3,C16,D16,E16)</f>
        <v>0.015</v>
      </c>
      <c r="G16" s="3" t="s">
        <v>270</v>
      </c>
    </row>
    <row r="17" hidden="0" outlineLevel="0" collapsed="0">
      <c r="A17" s="3" t="s">
        <v>271</v>
      </c>
      <c r="B17" s="3" t="s">
        <v>251</v>
      </c>
      <c r="C17" s="21">
        <v>0.095</v>
      </c>
      <c r="D17" s="21">
        <v>0.085</v>
      </c>
      <c r="E17" s="21">
        <v>0.105</v>
      </c>
      <c r="F17" s="22">
        <f>CHOOSE($B$3,C17,D17,E17)</f>
        <v>0.095</v>
      </c>
      <c r="G17" s="3" t="s">
        <v>272</v>
      </c>
    </row>
    <row r="18" hidden="0" outlineLevel="0" collapsed="0">
      <c r="A18" s="3" t="s">
        <v>273</v>
      </c>
      <c r="B18" s="3" t="s">
        <v>251</v>
      </c>
      <c r="C18" s="21">
        <v>0.03</v>
      </c>
      <c r="D18" s="21">
        <v>0.035</v>
      </c>
      <c r="E18" s="21">
        <v>0.025</v>
      </c>
      <c r="F18" s="22">
        <f>CHOOSE($B$3,C18,D18,E18)</f>
        <v>0.03</v>
      </c>
      <c r="G18" s="3" t="s">
        <v>274</v>
      </c>
    </row>
    <row r="19" hidden="0" outlineLevel="0" collapsed="0">
      <c r="A19" s="3"/>
      <c r="B19" s="3"/>
      <c r="C19" s="3"/>
      <c r="D19" s="3"/>
      <c r="E19" s="3"/>
      <c r="F19" s="3"/>
      <c r="G19" s="3"/>
    </row>
    <row r="20" hidden="0" outlineLevel="0" collapsed="0">
      <c r="A20" s="3"/>
      <c r="B20" s="3"/>
      <c r="C20" s="3"/>
      <c r="D20" s="3"/>
      <c r="E20" s="3"/>
      <c r="F20" s="3"/>
      <c r="G20" s="3"/>
    </row>
  </sheetData>
  <mergeCells count="2">
    <mergeCell ref="A1:H1"/>
    <mergeCell ref="A2:H2"/>
  </mergeCells>
  <dataValidations count="1">
    <dataValidation sqref="B3" type="whole">
      <formula1>1</formula1>
      <formula2>3</formula2>
    </dataValidation>
  </dataValidation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30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7" customWidth="1"/>
    <col min="2" max="7" width="14" customWidth="1"/>
    <col min="8" max="8" width="15" customWidth="1"/>
  </cols>
  <sheetData>
    <row r="1" ht="28" hidden="0" outlineLevel="0" collapsed="0">
      <c r="A1" s="14" t="s">
        <v>275</v>
      </c>
      <c r="B1" s="14"/>
      <c r="C1" s="14"/>
      <c r="D1" s="14"/>
      <c r="E1" s="14"/>
      <c r="F1" s="14"/>
      <c r="G1" s="14"/>
      <c r="H1" s="14"/>
    </row>
    <row r="2" ht="22" hidden="0" outlineLevel="0" collapsed="0">
      <c r="A2" s="15" t="s">
        <v>276</v>
      </c>
      <c r="B2" s="15"/>
      <c r="C2" s="15"/>
      <c r="D2" s="15"/>
      <c r="E2" s="15"/>
      <c r="F2" s="15"/>
      <c r="G2" s="15"/>
      <c r="H2" s="15"/>
    </row>
    <row r="4" hidden="0" outlineLevel="0" collapsed="0">
      <c r="A4" s="11" t="s">
        <v>36</v>
      </c>
      <c r="B4" s="11" t="s">
        <v>93</v>
      </c>
      <c r="C4" s="11" t="s">
        <v>277</v>
      </c>
      <c r="D4" s="11" t="s">
        <v>278</v>
      </c>
      <c r="E4" s="11" t="s">
        <v>279</v>
      </c>
      <c r="F4" s="11" t="s">
        <v>280</v>
      </c>
      <c r="G4" s="11" t="s">
        <v>281</v>
      </c>
    </row>
    <row r="5" hidden="0" outlineLevel="0" collapsed="0">
      <c r="A5" s="16" t="s">
        <v>183</v>
      </c>
      <c r="B5" s="17">
        <v>426305</v>
      </c>
      <c r="C5" s="23">
        <f>B5*(1+Assumptions!F7)</f>
        <v>460409.4</v>
      </c>
      <c r="D5" s="23">
        <f>C5*(1+Assumptions!F7)</f>
        <v>497242.15200000006</v>
      </c>
      <c r="E5" s="23">
        <f>D5*(1+Assumptions!F7)</f>
        <v>537021.5241600001</v>
      </c>
      <c r="F5" s="23">
        <f>E5*(1+Assumptions!F7)</f>
        <v>579983.2460928002</v>
      </c>
      <c r="G5" s="23">
        <f>F5*(1+Assumptions!F7)</f>
        <v>626381.9057802242</v>
      </c>
    </row>
    <row r="6" hidden="0" outlineLevel="0" collapsed="0">
      <c r="A6" s="16" t="s">
        <v>191</v>
      </c>
      <c r="B6" s="17">
        <v>161894</v>
      </c>
      <c r="C6" s="23">
        <f>B6*(1+Assumptions!F8)</f>
        <v>176464.46000000002</v>
      </c>
      <c r="D6" s="23">
        <f>C6*(1+Assumptions!F8)</f>
        <v>192346.26140000005</v>
      </c>
      <c r="E6" s="23">
        <f>D6*(1+Assumptions!F8)</f>
        <v>209657.42492600007</v>
      </c>
      <c r="F6" s="23">
        <f>E6*(1+Assumptions!F8)</f>
        <v>228526.59316934008</v>
      </c>
      <c r="G6" s="23">
        <f>F6*(1+Assumptions!F8)</f>
        <v>249093.9865545807</v>
      </c>
    </row>
    <row r="7" hidden="0" outlineLevel="0" collapsed="0">
      <c r="A7" s="16" t="s">
        <v>195</v>
      </c>
      <c r="B7" s="17">
        <v>128725</v>
      </c>
      <c r="C7" s="23">
        <f>B7*(1+Assumptions!F9)</f>
        <v>151895.5</v>
      </c>
      <c r="D7" s="23">
        <f>C7*(1+Assumptions!F9)</f>
        <v>179236.69</v>
      </c>
      <c r="E7" s="23">
        <f>D7*(1+Assumptions!F9)</f>
        <v>211499.2942</v>
      </c>
      <c r="F7" s="23">
        <f>E7*(1+Assumptions!F9)</f>
        <v>249569.16715599998</v>
      </c>
      <c r="G7" s="23">
        <f>F7*(1+Assumptions!F9)</f>
        <v>294491.61724407994</v>
      </c>
    </row>
    <row r="8" hidden="0" outlineLevel="0" collapsed="0">
      <c r="A8" s="16" t="s">
        <v>282</v>
      </c>
      <c r="B8" s="17">
        <f>SUM(B5:B7)</f>
        <v>716924</v>
      </c>
      <c r="C8" s="23">
        <f>SUM(C5:C7)</f>
        <v>788769.3600000001</v>
      </c>
      <c r="D8" s="23">
        <f>SUM(D5:D7)</f>
        <v>868825.1034000001</v>
      </c>
      <c r="E8" s="23">
        <f>SUM(E5:E7)</f>
        <v>958178.2432860002</v>
      </c>
      <c r="F8" s="23">
        <f>SUM(F5:F7)</f>
        <v>1058079.0064181401</v>
      </c>
      <c r="G8" s="23">
        <f>SUM(G5:G7)</f>
        <v>1169967.509578885</v>
      </c>
    </row>
    <row r="9" hidden="0" outlineLevel="0" collapsed="0">
      <c r="A9" s="16" t="s">
        <v>199</v>
      </c>
      <c r="B9" s="17">
        <v>29619</v>
      </c>
      <c r="C9" s="23">
        <f>C5*Assumptions!F10</f>
        <v>34530.705</v>
      </c>
      <c r="D9" s="23">
        <f>D5*Assumptions!F10</f>
        <v>37293.161400000005</v>
      </c>
      <c r="E9" s="23">
        <f>E5*Assumptions!F10</f>
        <v>40276.61431200001</v>
      </c>
      <c r="F9" s="23">
        <f>F5*Assumptions!F10</f>
        <v>43498.74345696001</v>
      </c>
      <c r="G9" s="23">
        <f>G5*Assumptions!F10</f>
        <v>46978.642933516814</v>
      </c>
    </row>
    <row r="10" hidden="0" outlineLevel="0" collapsed="0">
      <c r="A10" s="16" t="s">
        <v>203</v>
      </c>
      <c r="B10" s="17">
        <v>4750</v>
      </c>
      <c r="C10" s="23">
        <f>C6*Assumptions!F11</f>
        <v>7058.578400000001</v>
      </c>
      <c r="D10" s="23">
        <f>D6*Assumptions!F11</f>
        <v>7693.850456000002</v>
      </c>
      <c r="E10" s="23">
        <f>E6*Assumptions!F11</f>
        <v>8386.296997040003</v>
      </c>
      <c r="F10" s="23">
        <f>F6*Assumptions!F11</f>
        <v>9141.063726773604</v>
      </c>
      <c r="G10" s="23">
        <f>G6*Assumptions!F11</f>
        <v>9963.759462183229</v>
      </c>
    </row>
    <row r="11" hidden="0" outlineLevel="0" collapsed="0">
      <c r="A11" s="16" t="s">
        <v>207</v>
      </c>
      <c r="B11" s="17">
        <v>45606</v>
      </c>
      <c r="C11" s="23">
        <f>C7*Assumptions!F12</f>
        <v>54682.38</v>
      </c>
      <c r="D11" s="23">
        <f>D7*Assumptions!F12</f>
        <v>64525.208399999996</v>
      </c>
      <c r="E11" s="23">
        <f>E7*Assumptions!F12</f>
        <v>76139.745912</v>
      </c>
      <c r="F11" s="23">
        <f>F7*Assumptions!F12</f>
        <v>89844.90017616</v>
      </c>
      <c r="G11" s="23">
        <f>G7*Assumptions!F12</f>
        <v>106016.98220786877</v>
      </c>
    </row>
    <row r="12" hidden="0" outlineLevel="0" collapsed="0">
      <c r="A12" s="16" t="s">
        <v>283</v>
      </c>
      <c r="B12" s="17">
        <f>SUM(B9:B11)</f>
        <v>79975</v>
      </c>
      <c r="C12" s="23">
        <f>SUM(C9:C11)</f>
        <v>96271.66339999999</v>
      </c>
      <c r="D12" s="23">
        <f>SUM(D9:D11)</f>
        <v>109512.220256</v>
      </c>
      <c r="E12" s="23">
        <f>SUM(E9:E11)</f>
        <v>124802.65722104002</v>
      </c>
      <c r="F12" s="23">
        <f>SUM(F9:F11)</f>
        <v>142484.7073598936</v>
      </c>
      <c r="G12" s="23">
        <f>SUM(G9:G11)</f>
        <v>162959.38460356882</v>
      </c>
    </row>
    <row r="13" hidden="0" outlineLevel="0" collapsed="0">
      <c r="A13" s="16" t="s">
        <v>284</v>
      </c>
      <c r="B13" s="17">
        <f>-B12*Assumptions!F13</f>
        <v>-14395.5</v>
      </c>
      <c r="C13" s="23">
        <f>-C12*Assumptions!F13</f>
        <v>-17328.899412</v>
      </c>
      <c r="D13" s="23">
        <f>-D12*Assumptions!F13</f>
        <v>-19712.19964608</v>
      </c>
      <c r="E13" s="23">
        <f>-E12*Assumptions!F13</f>
        <v>-22464.478299787203</v>
      </c>
      <c r="F13" s="23">
        <f>-F12*Assumptions!F13</f>
        <v>-25647.247324780845</v>
      </c>
      <c r="G13" s="23">
        <f>-G12*Assumptions!F13</f>
        <v>-29332.689228642386</v>
      </c>
    </row>
    <row r="14" hidden="0" outlineLevel="0" collapsed="0">
      <c r="A14" s="16" t="s">
        <v>285</v>
      </c>
      <c r="B14" s="17">
        <f>B12+B13</f>
        <v>65579.5</v>
      </c>
      <c r="C14" s="23">
        <f>SUM(C12:C13)</f>
        <v>78942.76398799999</v>
      </c>
      <c r="D14" s="23">
        <f>SUM(D12:D13)</f>
        <v>89800.02060992</v>
      </c>
      <c r="E14" s="23">
        <f>SUM(E12:E13)</f>
        <v>102338.17892125281</v>
      </c>
      <c r="F14" s="23">
        <f>SUM(F12:F13)</f>
        <v>116837.46003511274</v>
      </c>
      <c r="G14" s="23">
        <f>SUM(G12:G13)</f>
        <v>133626.69537492644</v>
      </c>
    </row>
    <row r="15" hidden="0" outlineLevel="0" collapsed="0">
      <c r="A15" s="16" t="s">
        <v>286</v>
      </c>
      <c r="B15" s="17">
        <v>0</v>
      </c>
      <c r="C15" s="23">
        <f>C8*Assumptions!F14</f>
        <v>45748.62288000001</v>
      </c>
      <c r="D15" s="23">
        <f>D8*Assumptions!F14</f>
        <v>50391.85599720001</v>
      </c>
      <c r="E15" s="23">
        <f>E8*Assumptions!F14</f>
        <v>55574.33811058802</v>
      </c>
      <c r="F15" s="23">
        <f>F8*Assumptions!F14</f>
        <v>61368.58237225213</v>
      </c>
      <c r="G15" s="23">
        <f>G8*Assumptions!F14</f>
        <v>67858.11555557534</v>
      </c>
    </row>
    <row r="16" hidden="0" outlineLevel="0" collapsed="0">
      <c r="A16" s="16" t="s">
        <v>118</v>
      </c>
      <c r="B16" s="17">
        <v>0</v>
      </c>
      <c r="C16" s="23">
        <f>-C8*Assumptions!F15</f>
        <v>-102540.01680000001</v>
      </c>
      <c r="D16" s="23">
        <f>-D8*Assumptions!F15</f>
        <v>-112947.26344200002</v>
      </c>
      <c r="E16" s="23">
        <f>-E8*Assumptions!F15</f>
        <v>-124563.17162718003</v>
      </c>
      <c r="F16" s="23">
        <f>-F8*Assumptions!F15</f>
        <v>-137550.27083435823</v>
      </c>
      <c r="G16" s="23">
        <f>-G8*Assumptions!F15</f>
        <v>-152095.77624525505</v>
      </c>
    </row>
    <row r="17" hidden="0" outlineLevel="0" collapsed="0">
      <c r="A17" s="16" t="s">
        <v>287</v>
      </c>
      <c r="B17" s="17">
        <v>0</v>
      </c>
      <c r="C17" s="23">
        <f>-(C8-B8)*Assumptions!F16</f>
        <v>-1077.6804000000016</v>
      </c>
      <c r="D17" s="23">
        <f>-(D8-C8)*Assumptions!F16</f>
        <v>-1200.8361510000004</v>
      </c>
      <c r="E17" s="23">
        <f>-(E8-D8)*Assumptions!F16</f>
        <v>-1340.297098290001</v>
      </c>
      <c r="F17" s="23">
        <f>-(F8-E8)*Assumptions!F16</f>
        <v>-1498.5114469820987</v>
      </c>
      <c r="G17" s="23">
        <f>-(G8-F8)*Assumptions!F16</f>
        <v>-1678.3275474111736</v>
      </c>
    </row>
    <row r="18" hidden="0" outlineLevel="0" collapsed="0">
      <c r="A18" s="16" t="s">
        <v>288</v>
      </c>
      <c r="B18" s="17">
        <v>0</v>
      </c>
      <c r="C18" s="23">
        <f>SUM(C14:C17)</f>
        <v>21073.689667999988</v>
      </c>
      <c r="D18" s="23">
        <f>SUM(D14:D17)</f>
        <v>26043.777014119984</v>
      </c>
      <c r="E18" s="23">
        <f>SUM(E14:E17)</f>
        <v>32009.048306370794</v>
      </c>
      <c r="F18" s="23">
        <f>SUM(F14:F17)</f>
        <v>39157.26012602454</v>
      </c>
      <c r="G18" s="23">
        <f>SUM(G14:G17)</f>
        <v>47710.70713783553</v>
      </c>
    </row>
    <row r="19" hidden="0" outlineLevel="0" collapsed="0">
      <c r="A19" s="16"/>
      <c r="B19" s="17"/>
      <c r="C19" s="23"/>
      <c r="D19" s="23"/>
      <c r="E19" s="23"/>
      <c r="F19" s="23"/>
      <c r="G19" s="23"/>
    </row>
    <row r="20" hidden="0" outlineLevel="0" collapsed="0">
      <c r="A20" s="16"/>
      <c r="B20" s="17"/>
      <c r="C20" s="23"/>
      <c r="D20" s="23"/>
      <c r="E20" s="23"/>
      <c r="F20" s="23"/>
      <c r="G20" s="23"/>
    </row>
    <row r="21" hidden="0" outlineLevel="0" collapsed="0">
      <c r="A21" s="16"/>
      <c r="B21" s="17"/>
      <c r="C21" s="23"/>
      <c r="D21" s="23"/>
      <c r="E21" s="23"/>
      <c r="F21" s="23"/>
      <c r="G21" s="23"/>
    </row>
    <row r="22" hidden="0" outlineLevel="0" collapsed="0">
      <c r="A22" s="16"/>
      <c r="B22" s="17"/>
      <c r="C22" s="23"/>
      <c r="D22" s="23"/>
      <c r="E22" s="23"/>
      <c r="F22" s="23"/>
      <c r="G22" s="23"/>
    </row>
    <row r="23" hidden="0" outlineLevel="0" collapsed="0">
      <c r="A23" s="16"/>
      <c r="B23" s="17"/>
      <c r="C23" s="23"/>
      <c r="D23" s="23"/>
      <c r="E23" s="23"/>
      <c r="F23" s="23"/>
      <c r="G23" s="23"/>
    </row>
    <row r="24" hidden="0" outlineLevel="0" collapsed="0">
      <c r="A24" s="16"/>
      <c r="B24" s="17"/>
      <c r="C24" s="23"/>
      <c r="D24" s="23"/>
      <c r="E24" s="23"/>
      <c r="F24" s="23"/>
      <c r="G24" s="23"/>
    </row>
    <row r="25" hidden="0" outlineLevel="0" collapsed="0">
      <c r="A25" s="16"/>
      <c r="B25" s="17"/>
      <c r="C25" s="23"/>
      <c r="D25" s="23"/>
      <c r="E25" s="23"/>
      <c r="F25" s="23"/>
      <c r="G25" s="23"/>
    </row>
    <row r="26" hidden="0" outlineLevel="0" collapsed="0">
      <c r="A26" s="16"/>
      <c r="B26" s="17"/>
      <c r="C26" s="23"/>
      <c r="D26" s="23"/>
      <c r="E26" s="23"/>
      <c r="F26" s="23"/>
      <c r="G26" s="23"/>
    </row>
    <row r="27" hidden="0" outlineLevel="0" collapsed="0">
      <c r="A27" s="16"/>
      <c r="B27" s="17"/>
      <c r="C27" s="23"/>
      <c r="D27" s="23"/>
      <c r="E27" s="23"/>
      <c r="F27" s="23"/>
      <c r="G27" s="23"/>
    </row>
    <row r="28" hidden="0" outlineLevel="0" collapsed="0">
      <c r="A28" s="16"/>
      <c r="B28" s="17"/>
      <c r="C28" s="23"/>
      <c r="D28" s="23"/>
      <c r="E28" s="23"/>
      <c r="F28" s="23"/>
      <c r="G28" s="23"/>
    </row>
    <row r="29" hidden="0" outlineLevel="0" collapsed="0">
      <c r="A29" s="16"/>
      <c r="B29" s="17"/>
      <c r="C29" s="23"/>
      <c r="D29" s="23"/>
      <c r="E29" s="23"/>
      <c r="F29" s="23"/>
      <c r="G29" s="23"/>
    </row>
    <row r="30" hidden="0" outlineLevel="0" collapsed="0">
      <c r="A30" s="16"/>
      <c r="B30" s="17"/>
      <c r="C30" s="23"/>
      <c r="D30" s="23"/>
      <c r="E30" s="23"/>
      <c r="F30" s="23"/>
      <c r="G30" s="23"/>
    </row>
  </sheetData>
  <mergeCells count="2">
    <mergeCell ref="A1:H1"/>
    <mergeCell ref="A2:H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23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4" customWidth="1"/>
    <col min="2" max="6" width="14" customWidth="1"/>
    <col min="7" max="7" width="22" customWidth="1"/>
    <col min="8" max="8" width="15" customWidth="1"/>
  </cols>
  <sheetData>
    <row r="1" ht="28" hidden="0" outlineLevel="0" collapsed="0">
      <c r="A1" s="14" t="s">
        <v>289</v>
      </c>
      <c r="B1" s="14"/>
      <c r="C1" s="14"/>
      <c r="D1" s="14"/>
      <c r="E1" s="14"/>
      <c r="F1" s="14"/>
      <c r="G1" s="14"/>
      <c r="H1" s="14"/>
    </row>
    <row r="2" ht="22" hidden="0" outlineLevel="0" collapsed="0">
      <c r="A2" s="15" t="s">
        <v>290</v>
      </c>
      <c r="B2" s="15"/>
      <c r="C2" s="15"/>
      <c r="D2" s="15"/>
      <c r="E2" s="15"/>
      <c r="F2" s="15"/>
      <c r="G2" s="15"/>
      <c r="H2" s="15"/>
    </row>
    <row r="3">
      <c r="A3" t="s">
        <v>291</v>
      </c>
    </row>
    <row r="4" hidden="0" outlineLevel="0" collapsed="0">
      <c r="A4" s="11" t="s">
        <v>292</v>
      </c>
      <c r="B4" s="11" t="s">
        <v>293</v>
      </c>
      <c r="C4" s="11" t="s">
        <v>294</v>
      </c>
      <c r="D4" s="11" t="s">
        <v>295</v>
      </c>
      <c r="E4" s="11" t="s">
        <v>296</v>
      </c>
      <c r="F4" s="11" t="s">
        <v>297</v>
      </c>
      <c r="G4" s="11" t="s">
        <v>298</v>
      </c>
    </row>
    <row r="5" hidden="0" outlineLevel="0" collapsed="0">
      <c r="A5" s="0" t="s">
        <v>288</v>
      </c>
      <c r="B5" s="23">
        <f>Forecast!C18</f>
        <v>21073.689667999988</v>
      </c>
      <c r="C5" s="23">
        <f>Forecast!D18</f>
        <v>26043.777014119984</v>
      </c>
      <c r="D5" s="23">
        <f>Forecast!E18</f>
        <v>32009.048306370794</v>
      </c>
      <c r="E5" s="23">
        <f>Forecast!F18</f>
        <v>39157.26012602454</v>
      </c>
      <c r="F5" s="23">
        <f>Forecast!G18</f>
        <v>47710.70713783553</v>
      </c>
      <c r="G5" s="17"/>
    </row>
    <row r="6" hidden="0" outlineLevel="0" collapsed="0">
      <c r="A6" s="0" t="s">
        <v>299</v>
      </c>
      <c r="B6" s="17">
        <v>1</v>
      </c>
      <c r="C6" s="17">
        <v>2</v>
      </c>
      <c r="D6" s="17">
        <v>3</v>
      </c>
      <c r="E6" s="17">
        <v>4</v>
      </c>
      <c r="F6" s="17">
        <v>5</v>
      </c>
      <c r="G6" s="17"/>
    </row>
    <row r="7" hidden="0" outlineLevel="0" collapsed="0">
      <c r="A7" s="0" t="s">
        <v>300</v>
      </c>
      <c r="B7" s="23">
        <f>1/(1+Assumptions!F17)^B6</f>
        <v>0.9132420091324202</v>
      </c>
      <c r="C7" s="23">
        <f>1/(1+Assumptions!F17)^C6</f>
        <v>0.8340109672442193</v>
      </c>
      <c r="D7" s="23">
        <f>1/(1+Assumptions!F17)^D6</f>
        <v>0.7616538513645839</v>
      </c>
      <c r="E7" s="23">
        <f>1/(1+Assumptions!F17)^E6</f>
        <v>0.6955742934836383</v>
      </c>
      <c r="F7" s="23">
        <f>1/(1+Assumptions!F17)^F6</f>
        <v>0.6352276652818615</v>
      </c>
      <c r="G7" s="17"/>
    </row>
    <row r="8" hidden="0" outlineLevel="0" collapsed="0">
      <c r="A8" s="0" t="s">
        <v>301</v>
      </c>
      <c r="B8" s="17">
        <f>B5*B7</f>
        <v>19245.378692237435</v>
      </c>
      <c r="C8" s="17">
        <f>C5*C7</f>
        <v>21720.795658238974</v>
      </c>
      <c r="D8" s="17">
        <f>D5*D7</f>
        <v>24379.814921062327</v>
      </c>
      <c r="E8" s="17">
        <f>E5*E7</f>
        <v>27236.783546914565</v>
      </c>
      <c r="F8" s="17">
        <f>F5*F7</f>
        <v>30307.161104113908</v>
      </c>
      <c r="G8" s="17"/>
    </row>
    <row r="9" hidden="0" outlineLevel="0" collapsed="0">
      <c r="A9" s="0" t="s">
        <v>302</v>
      </c>
      <c r="B9" s="17"/>
      <c r="C9" s="17"/>
      <c r="D9" s="17"/>
      <c r="E9" s="17"/>
      <c r="F9" s="17">
        <f>F5*(1+Assumptions!F18)/(Assumptions!F17-Assumptions!F18)</f>
        <v>756031.2054149322</v>
      </c>
      <c r="G9" s="17"/>
    </row>
    <row r="10" hidden="0" outlineLevel="0" collapsed="0">
      <c r="A10" s="0" t="s">
        <v>303</v>
      </c>
      <c r="B10" s="17"/>
      <c r="C10" s="17"/>
      <c r="D10" s="17"/>
      <c r="E10" s="17"/>
      <c r="F10" s="17">
        <f>F9*F7</f>
        <v>480251.9374959588</v>
      </c>
      <c r="G10" s="17"/>
    </row>
    <row r="11" hidden="0" outlineLevel="0" collapsed="0">
      <c r="A11" s="0" t="s">
        <v>304</v>
      </c>
      <c r="B11" s="17"/>
      <c r="C11" s="17"/>
      <c r="D11" s="17"/>
      <c r="E11" s="17"/>
      <c r="F11" s="17"/>
      <c r="G11" s="17">
        <f>SUM(B8:F8)+F10</f>
        <v>603141.871418526</v>
      </c>
    </row>
    <row r="12" hidden="0" outlineLevel="0" collapsed="0">
      <c r="A12" s="0" t="s">
        <v>305</v>
      </c>
      <c r="B12" s="17"/>
      <c r="C12" s="17"/>
      <c r="D12" s="17"/>
      <c r="E12" s="17"/>
      <c r="F12" s="17"/>
      <c r="G12" s="17">
        <f>Historical!B18</f>
        <v>123029</v>
      </c>
    </row>
    <row r="13" hidden="0" outlineLevel="0" collapsed="0">
      <c r="A13" s="0" t="s">
        <v>306</v>
      </c>
      <c r="B13" s="17"/>
      <c r="C13" s="17"/>
      <c r="D13" s="17"/>
      <c r="E13" s="17"/>
      <c r="F13" s="17"/>
      <c r="G13" s="17">
        <f>Historical!B19</f>
        <v>69291</v>
      </c>
    </row>
    <row r="14" hidden="0" outlineLevel="0" collapsed="0">
      <c r="A14" s="0" t="s">
        <v>307</v>
      </c>
      <c r="B14" s="17"/>
      <c r="C14" s="17"/>
      <c r="D14" s="17"/>
      <c r="E14" s="17"/>
      <c r="F14" s="17"/>
      <c r="G14" s="17">
        <f>G11+G12-G13</f>
        <v>656879.871418526</v>
      </c>
    </row>
    <row r="15" hidden="0" outlineLevel="0" collapsed="0">
      <c r="A15" s="0" t="s">
        <v>308</v>
      </c>
      <c r="B15" s="17"/>
      <c r="C15" s="17"/>
      <c r="D15" s="17"/>
      <c r="E15" s="17"/>
      <c r="F15" s="17"/>
      <c r="G15" s="17">
        <f>Historical!B20</f>
        <v>10734.921</v>
      </c>
    </row>
    <row r="17" hidden="0" outlineLevel="0" collapsed="0">
      <c r="A17" s="11" t="s">
        <v>309</v>
      </c>
      <c r="B17" s="11"/>
      <c r="C17" s="11"/>
      <c r="D17" s="11"/>
      <c r="E17" s="11"/>
      <c r="F17" s="11"/>
      <c r="G17" s="11"/>
    </row>
    <row r="18" hidden="0" outlineLevel="0" collapsed="0">
      <c r="A18" s="0" t="s">
        <v>15</v>
      </c>
      <c r="G18" s="24">
        <f>G14/G15</f>
        <v>61.19093670261067</v>
      </c>
    </row>
    <row r="19" hidden="0" outlineLevel="0" collapsed="0">
      <c r="A19" s="0" t="s">
        <v>11</v>
      </c>
      <c r="G19" s="24">
        <v>254.96</v>
      </c>
    </row>
    <row r="20" hidden="0" outlineLevel="0" collapsed="0">
      <c r="A20" s="0" t="s">
        <v>16</v>
      </c>
      <c r="G20" s="25">
        <f>G18/G19-1</f>
        <v>-0.7599978949536764</v>
      </c>
    </row>
    <row r="21" hidden="0" outlineLevel="0" collapsed="0">
      <c r="A21" s="0" t="s">
        <v>12</v>
      </c>
      <c r="G21" s="0" t="s">
        <v>13</v>
      </c>
    </row>
    <row r="23">
      <c r="A23" t="s">
        <v>310</v>
      </c>
    </row>
  </sheetData>
  <mergeCells count="2">
    <mergeCell ref="A1:H1"/>
    <mergeCell ref="A2:H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14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20" customWidth="1"/>
    <col min="2" max="7" width="17" customWidth="1"/>
    <col min="8" max="8" width="15" customWidth="1"/>
  </cols>
  <sheetData>
    <row r="1" ht="28" hidden="0" outlineLevel="0" collapsed="0">
      <c r="A1" s="14" t="s">
        <v>311</v>
      </c>
      <c r="B1" s="14"/>
      <c r="C1" s="14"/>
      <c r="D1" s="14"/>
      <c r="E1" s="14"/>
      <c r="F1" s="14"/>
      <c r="G1" s="14"/>
      <c r="H1" s="14"/>
    </row>
    <row r="2" ht="22" hidden="0" outlineLevel="0" collapsed="0">
      <c r="A2" s="15" t="s">
        <v>312</v>
      </c>
      <c r="B2" s="15"/>
      <c r="C2" s="15"/>
      <c r="D2" s="15"/>
      <c r="E2" s="15"/>
      <c r="F2" s="15"/>
      <c r="G2" s="15"/>
      <c r="H2" s="15"/>
    </row>
    <row r="4" hidden="0" outlineLevel="0" collapsed="0">
      <c r="A4" s="26" t="s">
        <v>313</v>
      </c>
      <c r="B4" s="26">
        <v>0.015</v>
      </c>
      <c r="C4" s="26">
        <v>0.02</v>
      </c>
      <c r="D4" s="26">
        <v>0.025</v>
      </c>
      <c r="E4" s="26">
        <v>0.03</v>
      </c>
      <c r="F4" s="26">
        <v>0.035</v>
      </c>
    </row>
    <row r="5" hidden="0" outlineLevel="0" collapsed="0">
      <c r="A5" s="25">
        <v>0.08</v>
      </c>
      <c r="B5" s="24">
        <f>(SUM(Valuation!B8:F8)+Forecast!G18*(1+B$4)/($A5-B$4)*Valuation!F7+Valuation!G12-Valuation!G13)/Valuation!G15</f>
        <v>60.53942187033611</v>
      </c>
      <c r="C5" s="24">
        <f>(SUM(Valuation!B8:F8)+Forecast!G18*(1+C$4)/($A5-C$4)*Valuation!F7+Valuation!G12-Valuation!G13)/Valuation!G15</f>
        <v>64.44851086398342</v>
      </c>
      <c r="D5" s="24">
        <f>(SUM(Valuation!B8:F8)+Forecast!G18*(1+D$4)/($A5-D$4)*Valuation!F7+Valuation!G12-Valuation!G13)/Valuation!G15</f>
        <v>69.0683433110211</v>
      </c>
      <c r="E5" s="24">
        <f>(SUM(Valuation!B8:F8)+Forecast!G18*(1+E$4)/($A5-E$4)*Valuation!F7+Valuation!G12-Valuation!G13)/Valuation!G15</f>
        <v>74.61214224746635</v>
      </c>
      <c r="F5" s="24">
        <f>(SUM(Valuation!B8:F8)+Forecast!G18*(1+F$4)/($A5-F$4)*Valuation!F7+Valuation!G12-Valuation!G13)/Valuation!G15</f>
        <v>81.38789650312164</v>
      </c>
    </row>
    <row r="6" hidden="0" outlineLevel="0" collapsed="0">
      <c r="A6" s="25">
        <v>0.0875</v>
      </c>
      <c r="B6" s="24">
        <f>(SUM(Valuation!B8:F8)+Forecast!G18*(1+B$4)/($A6-B$4)*Valuation!F7+Valuation!G12-Valuation!G13)/Valuation!G15</f>
        <v>55.97881804441429</v>
      </c>
      <c r="C6" s="24">
        <f>(SUM(Valuation!B8:F8)+Forecast!G18*(1+C$4)/($A6-C$4)*Valuation!F7+Valuation!G12-Valuation!G13)/Valuation!G15</f>
        <v>59.11574131092137</v>
      </c>
      <c r="D6" s="24">
        <f>(SUM(Valuation!B8:F8)+Forecast!G18*(1+D$4)/($A6-D$4)*Valuation!F7+Valuation!G12-Valuation!G13)/Valuation!G15</f>
        <v>62.75457230006958</v>
      </c>
      <c r="E6" s="24">
        <f>(SUM(Valuation!B8:F8)+Forecast!G18*(1+E$4)/($A6-E$4)*Valuation!F7+Valuation!G12-Valuation!G13)/Valuation!G15</f>
        <v>67.02624346124357</v>
      </c>
      <c r="F6" s="24">
        <f>(SUM(Valuation!B8:F8)+Forecast!G18*(1+F$4)/($A6-F$4)*Valuation!F7+Valuation!G12-Valuation!G13)/Valuation!G15</f>
        <v>72.11156627216499</v>
      </c>
    </row>
    <row r="7" hidden="0" outlineLevel="0" collapsed="0">
      <c r="A7" s="25">
        <v>0.095</v>
      </c>
      <c r="B7" s="24">
        <f>(SUM(Valuation!B8:F8)+Forecast!G18*(1+B$4)/($A7-B$4)*Valuation!F7+Valuation!G12-Valuation!G13)/Valuation!G15</f>
        <v>52.2733274358528</v>
      </c>
      <c r="C7" s="24">
        <f>(SUM(Valuation!B8:F8)+Forecast!G18*(1+C$4)/($A7-C$4)*Valuation!F7+Valuation!G12-Valuation!G13)/Valuation!G15</f>
        <v>54.84952566847174</v>
      </c>
      <c r="D7" s="24">
        <f>(SUM(Valuation!B8:F8)+Forecast!G18*(1+D$4)/($A7-D$4)*Valuation!F7+Valuation!G12-Valuation!G13)/Valuation!G15</f>
        <v>57.79375222003624</v>
      </c>
      <c r="E7" s="24">
        <f>(SUM(Valuation!B8:F8)+Forecast!G18*(1+E$4)/($A7-E$4)*Valuation!F7+Valuation!G12-Valuation!G13)/Valuation!G15</f>
        <v>61.19093670261067</v>
      </c>
      <c r="F7" s="24">
        <f>(SUM(Valuation!B8:F8)+Forecast!G18*(1+F$4)/($A7-F$4)*Valuation!F7+Valuation!G12-Valuation!G13)/Valuation!G15</f>
        <v>65.1543185989475</v>
      </c>
    </row>
    <row r="8" hidden="0" outlineLevel="0" collapsed="0">
      <c r="A8" s="25">
        <v>0.1025</v>
      </c>
      <c r="B8" s="24">
        <f>(SUM(Valuation!B8:F8)+Forecast!G18*(1+B$4)/($A8-B$4)*Valuation!F7+Valuation!G12-Valuation!G13)/Valuation!G15</f>
        <v>49.203063788758996</v>
      </c>
      <c r="C8" s="24">
        <f>(SUM(Valuation!B8:F8)+Forecast!G18*(1+C$4)/($A8-C$4)*Valuation!F7+Valuation!G12-Valuation!G13)/Valuation!G15</f>
        <v>51.358985597376595</v>
      </c>
      <c r="D8" s="24">
        <f>(SUM(Valuation!B8:F8)+Forecast!G18*(1+D$4)/($A8-D$4)*Valuation!F7+Valuation!G12-Valuation!G13)/Valuation!G15</f>
        <v>53.793090865170655</v>
      </c>
      <c r="E8" s="24">
        <f>(SUM(Valuation!B8:F8)+Forecast!G18*(1+E$4)/($A8-E$4)*Valuation!F7+Valuation!G12-Valuation!G13)/Valuation!G15</f>
        <v>56.56293479059148</v>
      </c>
      <c r="F8" s="24">
        <f>(SUM(Valuation!B8:F8)+Forecast!G18*(1+F$4)/($A8-F$4)*Valuation!F7+Valuation!G12-Valuation!G13)/Valuation!G15</f>
        <v>59.743125964222784</v>
      </c>
    </row>
    <row r="9" hidden="0" outlineLevel="0" collapsed="0">
      <c r="A9" s="25">
        <v>0.11</v>
      </c>
      <c r="B9" s="24">
        <f>(SUM(Valuation!B8:F8)+Forecast!G18*(1+B$4)/($A9-B$4)*Valuation!F7+Valuation!G12-Valuation!G13)/Valuation!G15</f>
        <v>46.61757861225895</v>
      </c>
      <c r="C9" s="24">
        <f>(SUM(Valuation!B8:F8)+Forecast!G18*(1+C$4)/($A9-C$4)*Valuation!F7+Valuation!G12-Valuation!G13)/Valuation!G15</f>
        <v>48.4502022047973</v>
      </c>
      <c r="D9" s="24">
        <f>(SUM(Valuation!B8:F8)+Forecast!G18*(1+D$4)/($A9-D$4)*Valuation!F7+Valuation!G12-Valuation!G13)/Valuation!G15</f>
        <v>50.4984285729284</v>
      </c>
      <c r="E9" s="24">
        <f>(SUM(Valuation!B8:F8)+Forecast!G18*(1+E$4)/($A9-E$4)*Valuation!F7+Valuation!G12-Valuation!G13)/Valuation!G15</f>
        <v>52.802683237075875</v>
      </c>
      <c r="F9" s="24">
        <f>(SUM(Valuation!B8:F8)+Forecast!G18*(1+F$4)/($A9-F$4)*Valuation!F7+Valuation!G12-Valuation!G13)/Valuation!G15</f>
        <v>55.41417185644302</v>
      </c>
    </row>
    <row r="11" ht="23.85" hidden="0" outlineLevel="0" collapsed="0">
      <c r="B11" s="11" t="s">
        <v>314</v>
      </c>
      <c r="C11" s="11"/>
      <c r="D11" s="11"/>
      <c r="E11" s="11"/>
      <c r="F11" s="11"/>
      <c r="G11" s="11"/>
    </row>
    <row r="12" hidden="0" outlineLevel="0" collapsed="0">
      <c r="B12" s="0" t="s">
        <v>315</v>
      </c>
      <c r="C12" s="25">
        <f>Assumptions!F17</f>
        <v>0.095</v>
      </c>
    </row>
    <row r="13" hidden="0" outlineLevel="0" collapsed="0">
      <c r="B13" s="0" t="s">
        <v>316</v>
      </c>
      <c r="C13" s="25">
        <f>Assumptions!F18</f>
        <v>0.03</v>
      </c>
    </row>
    <row r="14" hidden="0" outlineLevel="0" collapsed="0">
      <c r="B14" s="0" t="s">
        <v>317</v>
      </c>
      <c r="C14" s="24">
        <f>Valuation!G18</f>
        <v>61.19093670261067</v>
      </c>
    </row>
  </sheetData>
  <mergeCells count="2">
    <mergeCell ref="A1:H1"/>
    <mergeCell ref="A2:H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20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8" customWidth="1"/>
    <col min="2" max="3" width="18" customWidth="1"/>
    <col min="4" max="4" width="16" customWidth="1"/>
    <col min="5" max="6" width="14" customWidth="1"/>
    <col min="7" max="7" width="58" customWidth="1"/>
    <col min="8" max="8" width="15" customWidth="1"/>
  </cols>
  <sheetData>
    <row r="1" ht="28" hidden="0" outlineLevel="0" collapsed="0">
      <c r="A1" s="1" t="s">
        <v>318</v>
      </c>
      <c r="B1" s="1"/>
      <c r="C1" s="1"/>
      <c r="D1" s="1"/>
      <c r="E1" s="1"/>
      <c r="F1" s="1"/>
      <c r="G1" s="1"/>
      <c r="H1" s="1"/>
    </row>
    <row r="2" ht="22" hidden="0" outlineLevel="0" collapsed="0">
      <c r="A2" s="2" t="s">
        <v>319</v>
      </c>
      <c r="B2" s="2"/>
      <c r="C2" s="2"/>
      <c r="D2" s="2"/>
      <c r="E2" s="2"/>
      <c r="F2" s="2"/>
      <c r="G2" s="2"/>
      <c r="H2" s="2"/>
    </row>
    <row r="3" hidden="0" outlineLevel="0" collapsed="0">
      <c r="A3" s="3"/>
      <c r="B3" s="3"/>
      <c r="C3" s="3"/>
      <c r="D3" s="3"/>
      <c r="E3" s="3"/>
      <c r="F3" s="3"/>
      <c r="G3" s="3"/>
    </row>
    <row r="4" hidden="0" outlineLevel="0" collapsed="0">
      <c r="A4" s="11" t="s">
        <v>320</v>
      </c>
      <c r="B4" s="11" t="s">
        <v>321</v>
      </c>
      <c r="C4" s="11" t="s">
        <v>322</v>
      </c>
      <c r="D4" s="11" t="s">
        <v>323</v>
      </c>
      <c r="E4" s="11" t="s">
        <v>324</v>
      </c>
      <c r="F4" s="11" t="s">
        <v>233</v>
      </c>
      <c r="G4" s="11" t="s">
        <v>325</v>
      </c>
    </row>
    <row r="5" hidden="0" outlineLevel="0" collapsed="0">
      <c r="A5" s="3" t="s">
        <v>326</v>
      </c>
      <c r="B5" s="12" t="str">
        <f>Sources!I78</f>
        <v>OK</v>
      </c>
      <c r="C5" s="12" t="s">
        <v>237</v>
      </c>
      <c r="D5" s="12"/>
      <c r="E5" s="12"/>
      <c r="F5" s="12" t="str">
        <f>IF(B5=C5,"OK","REVIEW")</f>
        <v>OK</v>
      </c>
      <c r="G5" s="3" t="s">
        <v>327</v>
      </c>
    </row>
    <row r="6" hidden="0" outlineLevel="0" collapsed="0">
      <c r="A6" s="3" t="s">
        <v>328</v>
      </c>
      <c r="B6" s="12">
        <f>Assumptions!B3</f>
        <v>1</v>
      </c>
      <c r="C6" s="12">
        <v>1</v>
      </c>
      <c r="D6" s="12">
        <f>IF(AND(B6&gt;=1,B6&lt;=3),0,1)</f>
        <v>0</v>
      </c>
      <c r="E6" s="12">
        <v>0</v>
      </c>
      <c r="F6" s="12" t="str">
        <f>IF(D6=E6,"OK","REVIEW")</f>
        <v>OK</v>
      </c>
      <c r="G6" s="3" t="s">
        <v>329</v>
      </c>
    </row>
    <row r="7" hidden="0" outlineLevel="0" collapsed="0">
      <c r="A7" s="3" t="s">
        <v>330</v>
      </c>
      <c r="B7" s="12">
        <f>Forecast!C8</f>
        <v>788769.3600000001</v>
      </c>
      <c r="C7" s="12">
        <v>0</v>
      </c>
      <c r="D7" s="12">
        <f>IF(B7&gt;0,0,1)</f>
        <v>0</v>
      </c>
      <c r="E7" s="12">
        <v>0</v>
      </c>
      <c r="F7" s="12" t="str">
        <f>IF(D7=E7,"OK","REVIEW")</f>
        <v>OK</v>
      </c>
      <c r="G7" s="3" t="s">
        <v>331</v>
      </c>
    </row>
    <row r="8" hidden="0" outlineLevel="0" collapsed="0">
      <c r="A8" s="3" t="s">
        <v>332</v>
      </c>
      <c r="B8" s="12">
        <f>COUNT(Forecast!C12:G12)</f>
        <v>5</v>
      </c>
      <c r="C8" s="12">
        <v>5</v>
      </c>
      <c r="D8" s="12">
        <f>ABS(B8-C8)</f>
        <v>0</v>
      </c>
      <c r="E8" s="12">
        <v>0</v>
      </c>
      <c r="F8" s="12" t="str">
        <f>IF(D8=E8,"OK","REVIEW")</f>
        <v>OK</v>
      </c>
      <c r="G8" s="3" t="s">
        <v>333</v>
      </c>
    </row>
    <row r="9" hidden="0" outlineLevel="0" collapsed="0">
      <c r="A9" s="3" t="s">
        <v>334</v>
      </c>
      <c r="B9" s="12">
        <f>COUNT(Forecast!C18:G18)</f>
        <v>5</v>
      </c>
      <c r="C9" s="12">
        <v>5</v>
      </c>
      <c r="D9" s="12">
        <f>ABS(B9-C9)</f>
        <v>0</v>
      </c>
      <c r="E9" s="12">
        <v>0</v>
      </c>
      <c r="F9" s="12" t="str">
        <f>IF(D9=E9,"OK","REVIEW")</f>
        <v>OK</v>
      </c>
      <c r="G9" s="3" t="s">
        <v>335</v>
      </c>
    </row>
    <row r="10" ht="23.85" hidden="0" outlineLevel="0" collapsed="0">
      <c r="A10" s="3" t="s">
        <v>336</v>
      </c>
      <c r="B10" s="12">
        <f>COUNT(Historical!F10)</f>
        <v>1</v>
      </c>
      <c r="C10" s="12">
        <v>1</v>
      </c>
      <c r="D10" s="12">
        <f>ABS(B10-C10)</f>
        <v>0</v>
      </c>
      <c r="E10" s="12">
        <v>0.1</v>
      </c>
      <c r="F10" s="12" t="str">
        <f>IF(D10&lt;=E10,"OK","REVIEW")</f>
        <v>OK</v>
      </c>
      <c r="G10" s="3" t="s">
        <v>337</v>
      </c>
    </row>
    <row r="11" hidden="0" outlineLevel="0" collapsed="0">
      <c r="A11" s="3" t="s">
        <v>338</v>
      </c>
      <c r="B11" s="12">
        <f>Valuation!G14</f>
        <v>656879.871418526</v>
      </c>
      <c r="C11" s="12">
        <f>Valuation!G11+Valuation!G12-Valuation!G13</f>
        <v>656879.871418526</v>
      </c>
      <c r="D11" s="12">
        <f>ABS(B11-C11)</f>
        <v>0</v>
      </c>
      <c r="E11" s="12">
        <v>0.1</v>
      </c>
      <c r="F11" s="12" t="str">
        <f>IF(D11&lt;=E11,"OK","REVIEW")</f>
        <v>OK</v>
      </c>
      <c r="G11" s="3" t="s">
        <v>339</v>
      </c>
    </row>
    <row r="12" hidden="0" outlineLevel="0" collapsed="0">
      <c r="A12" s="3" t="s">
        <v>340</v>
      </c>
      <c r="B12" s="12">
        <f>Valuation!G18</f>
        <v>61.19093670261067</v>
      </c>
      <c r="C12" s="12">
        <f>Valuation!G14/Valuation!G15</f>
        <v>61.19093670261067</v>
      </c>
      <c r="D12" s="12">
        <f>ABS(B12-C12)</f>
        <v>0</v>
      </c>
      <c r="E12" s="12">
        <v>0.001</v>
      </c>
      <c r="F12" s="12" t="str">
        <f>IF(D12&lt;=E12,"OK","REVIEW")</f>
        <v>OK</v>
      </c>
      <c r="G12" s="3" t="s">
        <v>341</v>
      </c>
    </row>
    <row r="13" hidden="0" outlineLevel="0" collapsed="0">
      <c r="A13" s="3" t="s">
        <v>342</v>
      </c>
      <c r="B13" s="12">
        <f>Valuation!G19</f>
        <v>254.96</v>
      </c>
      <c r="C13" s="12">
        <v>0</v>
      </c>
      <c r="D13" s="12">
        <f>IF(B13&gt;0,0,1)</f>
        <v>0</v>
      </c>
      <c r="E13" s="12">
        <v>0</v>
      </c>
      <c r="F13" s="12" t="str">
        <f>IF(D13=E13,"OK","REVIEW")</f>
        <v>OK</v>
      </c>
      <c r="G13" s="3" t="s">
        <v>343</v>
      </c>
    </row>
    <row r="14" hidden="0" outlineLevel="0" collapsed="0">
      <c r="A14" s="3"/>
      <c r="B14" s="12"/>
      <c r="C14" s="12"/>
      <c r="D14" s="12"/>
      <c r="E14" s="12"/>
      <c r="F14" s="12"/>
      <c r="G14" s="3"/>
    </row>
    <row r="15" hidden="0" outlineLevel="0" collapsed="0">
      <c r="A15" s="13" t="s">
        <v>344</v>
      </c>
      <c r="B15" s="27"/>
      <c r="C15" s="27"/>
      <c r="D15" s="27"/>
      <c r="E15" s="27"/>
      <c r="F15" s="27" t="str">
        <f>IF(COUNTIF(F5:F13,"OK")=9,"OK","REVIEW")</f>
        <v>OK</v>
      </c>
      <c r="G15" s="13"/>
    </row>
    <row r="16" hidden="0" outlineLevel="0" collapsed="0">
      <c r="A16" s="3"/>
      <c r="B16" s="3"/>
      <c r="C16" s="3"/>
      <c r="D16" s="3"/>
      <c r="E16" s="3"/>
      <c r="F16" s="3"/>
      <c r="G16" s="3"/>
    </row>
    <row r="17" hidden="0" outlineLevel="0" collapsed="0">
      <c r="A17" s="3"/>
      <c r="B17" s="3"/>
      <c r="C17" s="3"/>
      <c r="D17" s="3"/>
      <c r="E17" s="3"/>
      <c r="F17" s="3"/>
      <c r="G17" s="3"/>
    </row>
    <row r="18" hidden="0" outlineLevel="0" collapsed="0">
      <c r="A18" s="3"/>
      <c r="B18" s="3"/>
      <c r="C18" s="3"/>
      <c r="D18" s="3"/>
      <c r="E18" s="3"/>
      <c r="F18" s="3"/>
      <c r="G18" s="3"/>
    </row>
    <row r="19" hidden="0" outlineLevel="0" collapsed="0">
      <c r="A19" s="3"/>
      <c r="B19" s="3"/>
      <c r="C19" s="3"/>
      <c r="D19" s="3"/>
      <c r="E19" s="3"/>
      <c r="F19" s="3"/>
      <c r="G19" s="3"/>
    </row>
    <row r="20" hidden="0" outlineLevel="0" collapsed="0">
      <c r="A20" s="3"/>
      <c r="B20" s="3"/>
      <c r="C20" s="3"/>
      <c r="D20" s="3"/>
      <c r="E20" s="3"/>
      <c r="F20" s="3"/>
      <c r="G20" s="3"/>
    </row>
  </sheetData>
  <mergeCells count="2">
    <mergeCell ref="A1:H1"/>
    <mergeCell ref="A2:H2"/>
  </mergeCells>
  <conditionalFormatting sqref="F5:F15">
    <cfRule type="containsText" priority="2" operator="containsText" text="OK" dxfId="4">
      <formula>NOT(ISERROR(SEARCH("OK",F5)))</formula>
    </cfRule>
    <cfRule type="containsText" priority="3" operator="containsText" text="REVIEW" dxfId="5">
      <formula>NOT(ISERROR(SEARCH("REVIEW",F5)))</formula>
    </cfRule>
  </conditionalFormatting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40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8" customWidth="1"/>
    <col min="2" max="4" width="14" customWidth="1"/>
    <col min="5" max="5" width="16" customWidth="1"/>
    <col min="6" max="6" width="49" customWidth="1"/>
    <col min="7" max="7" width="17" customWidth="1"/>
    <col min="8" max="8" width="15" customWidth="1"/>
  </cols>
  <sheetData>
    <row r="1" ht="28" hidden="0" outlineLevel="0" collapsed="0">
      <c r="A1" s="1" t="s">
        <v>345</v>
      </c>
      <c r="B1" s="1"/>
      <c r="C1" s="1"/>
      <c r="D1" s="1"/>
      <c r="E1" s="1"/>
      <c r="F1" s="1"/>
      <c r="G1" s="1"/>
      <c r="H1" s="1"/>
    </row>
    <row r="2" ht="22" hidden="0" outlineLevel="0" collapsed="0">
      <c r="A2" s="2" t="s">
        <v>346</v>
      </c>
      <c r="B2" s="2"/>
      <c r="C2" s="2"/>
      <c r="D2" s="2"/>
      <c r="E2" s="2"/>
      <c r="F2" s="2"/>
      <c r="G2" s="2"/>
      <c r="H2" s="2"/>
    </row>
    <row r="3" hidden="0" outlineLevel="0" collapsed="0">
      <c r="A3" s="3"/>
      <c r="B3" s="3"/>
      <c r="C3" s="3"/>
      <c r="D3" s="3"/>
      <c r="E3" s="3"/>
      <c r="F3" s="3"/>
      <c r="G3" s="3"/>
    </row>
    <row r="4" hidden="0" outlineLevel="0" collapsed="0">
      <c r="A4" s="11" t="s">
        <v>36</v>
      </c>
      <c r="B4" s="11" t="s">
        <v>82</v>
      </c>
      <c r="C4" s="11" t="s">
        <v>89</v>
      </c>
      <c r="D4" s="11" t="s">
        <v>93</v>
      </c>
      <c r="E4" s="11" t="s">
        <v>39</v>
      </c>
      <c r="F4" s="11" t="s">
        <v>347</v>
      </c>
      <c r="G4" s="11" t="s">
        <v>233</v>
      </c>
    </row>
    <row r="5" hidden="0" outlineLevel="0" collapsed="0">
      <c r="A5" s="3" t="s">
        <v>183</v>
      </c>
      <c r="B5" s="28">
        <v>352828</v>
      </c>
      <c r="C5" s="28">
        <v>387497</v>
      </c>
      <c r="D5" s="28">
        <v>426305</v>
      </c>
      <c r="E5" s="3" t="s">
        <v>231</v>
      </c>
      <c r="F5" s="3" t="s">
        <v>348</v>
      </c>
      <c r="G5" s="3" t="s">
        <v>349</v>
      </c>
    </row>
    <row r="6" hidden="0" outlineLevel="0" collapsed="0">
      <c r="A6" s="3" t="s">
        <v>191</v>
      </c>
      <c r="B6" s="28">
        <v>131200</v>
      </c>
      <c r="C6" s="28">
        <v>142906</v>
      </c>
      <c r="D6" s="28">
        <v>161894</v>
      </c>
      <c r="E6" s="3" t="s">
        <v>231</v>
      </c>
      <c r="F6" s="3" t="s">
        <v>348</v>
      </c>
      <c r="G6" s="3" t="s">
        <v>349</v>
      </c>
    </row>
    <row r="7" hidden="0" outlineLevel="0" collapsed="0">
      <c r="A7" s="3" t="s">
        <v>195</v>
      </c>
      <c r="B7" s="28">
        <v>90757</v>
      </c>
      <c r="C7" s="28">
        <v>107556</v>
      </c>
      <c r="D7" s="28">
        <v>128725</v>
      </c>
      <c r="E7" s="3" t="s">
        <v>231</v>
      </c>
      <c r="F7" s="3" t="s">
        <v>348</v>
      </c>
      <c r="G7" s="3" t="s">
        <v>349</v>
      </c>
    </row>
    <row r="8" hidden="0" outlineLevel="0" collapsed="0">
      <c r="A8" s="3" t="s">
        <v>350</v>
      </c>
      <c r="B8" s="28">
        <f>SUM(B5:B7)</f>
        <v>574785</v>
      </c>
      <c r="C8" s="28">
        <f>SUM(C5:C7)</f>
        <v>637959</v>
      </c>
      <c r="D8" s="28">
        <f>SUM(D5:D7)</f>
        <v>716924</v>
      </c>
      <c r="E8" s="3" t="s">
        <v>231</v>
      </c>
      <c r="F8" s="3" t="s">
        <v>351</v>
      </c>
      <c r="G8" s="3" t="s">
        <v>243</v>
      </c>
    </row>
    <row r="9" hidden="0" outlineLevel="0" collapsed="0">
      <c r="A9" s="3" t="s">
        <v>199</v>
      </c>
      <c r="B9" s="28">
        <v>14877</v>
      </c>
      <c r="C9" s="28">
        <v>24967</v>
      </c>
      <c r="D9" s="28">
        <v>29619</v>
      </c>
      <c r="E9" s="3" t="s">
        <v>231</v>
      </c>
      <c r="F9" s="3" t="s">
        <v>348</v>
      </c>
      <c r="G9" s="3" t="s">
        <v>349</v>
      </c>
    </row>
    <row r="10" hidden="0" outlineLevel="0" collapsed="0">
      <c r="A10" s="3" t="s">
        <v>203</v>
      </c>
      <c r="B10" s="28">
        <v>-2656</v>
      </c>
      <c r="C10" s="28">
        <v>3792</v>
      </c>
      <c r="D10" s="28">
        <v>4750</v>
      </c>
      <c r="E10" s="3" t="s">
        <v>231</v>
      </c>
      <c r="F10" s="3" t="s">
        <v>348</v>
      </c>
      <c r="G10" s="3" t="s">
        <v>349</v>
      </c>
    </row>
    <row r="11" hidden="0" outlineLevel="0" collapsed="0">
      <c r="A11" s="3" t="s">
        <v>207</v>
      </c>
      <c r="B11" s="28">
        <v>24631</v>
      </c>
      <c r="C11" s="28">
        <v>39834</v>
      </c>
      <c r="D11" s="28">
        <v>45606</v>
      </c>
      <c r="E11" s="3" t="s">
        <v>231</v>
      </c>
      <c r="F11" s="3" t="s">
        <v>348</v>
      </c>
      <c r="G11" s="3" t="s">
        <v>349</v>
      </c>
    </row>
    <row r="12" hidden="0" outlineLevel="0" collapsed="0">
      <c r="A12" s="3" t="s">
        <v>352</v>
      </c>
      <c r="B12" s="28">
        <f>SUM(B9:B11)</f>
        <v>36852</v>
      </c>
      <c r="C12" s="28">
        <f>SUM(C9:C11)</f>
        <v>68593</v>
      </c>
      <c r="D12" s="28">
        <f>SUM(D9:D11)</f>
        <v>79975</v>
      </c>
      <c r="E12" s="3" t="s">
        <v>231</v>
      </c>
      <c r="F12" s="3" t="s">
        <v>351</v>
      </c>
      <c r="G12" s="3" t="s">
        <v>243</v>
      </c>
    </row>
    <row r="13" hidden="0" outlineLevel="0" collapsed="0">
      <c r="A13" s="3"/>
      <c r="B13" s="3"/>
      <c r="C13" s="3"/>
      <c r="D13" s="3"/>
      <c r="E13" s="3"/>
      <c r="F13" s="3"/>
      <c r="G13" s="3"/>
    </row>
    <row r="14" hidden="0" outlineLevel="0" collapsed="0">
      <c r="A14" s="3"/>
      <c r="B14" s="3"/>
      <c r="C14" s="3"/>
      <c r="D14" s="3"/>
      <c r="E14" s="3"/>
      <c r="F14" s="3"/>
      <c r="G14" s="3"/>
    </row>
    <row r="15" hidden="0" outlineLevel="0" collapsed="0">
      <c r="A15" s="3"/>
      <c r="B15" s="3"/>
      <c r="C15" s="3"/>
      <c r="D15" s="3"/>
      <c r="E15" s="3"/>
      <c r="F15" s="3"/>
      <c r="G15" s="3"/>
    </row>
    <row r="16" hidden="0" outlineLevel="0" collapsed="0">
      <c r="A16" s="3"/>
      <c r="B16" s="3"/>
      <c r="C16" s="3"/>
      <c r="D16" s="3"/>
      <c r="E16" s="3"/>
      <c r="F16" s="3"/>
      <c r="G16" s="3"/>
    </row>
    <row r="17" hidden="0" outlineLevel="0" collapsed="0">
      <c r="A17" s="3"/>
      <c r="B17" s="3"/>
      <c r="C17" s="3"/>
      <c r="D17" s="3"/>
      <c r="E17" s="3"/>
      <c r="F17" s="3"/>
      <c r="G17" s="3"/>
    </row>
    <row r="18" hidden="0" outlineLevel="0" collapsed="0">
      <c r="A18" s="3"/>
      <c r="B18" s="3"/>
      <c r="C18" s="3"/>
      <c r="D18" s="3"/>
      <c r="E18" s="3"/>
      <c r="F18" s="3"/>
      <c r="G18" s="3"/>
    </row>
    <row r="19" hidden="0" outlineLevel="0" collapsed="0">
      <c r="A19" s="3"/>
      <c r="B19" s="3"/>
      <c r="C19" s="3"/>
      <c r="D19" s="3"/>
      <c r="E19" s="3"/>
      <c r="F19" s="3"/>
      <c r="G19" s="3"/>
    </row>
    <row r="20" hidden="0" outlineLevel="0" collapsed="0">
      <c r="A20" s="3"/>
      <c r="B20" s="3"/>
      <c r="C20" s="3"/>
      <c r="D20" s="3"/>
      <c r="E20" s="3"/>
      <c r="F20" s="3"/>
      <c r="G20" s="3"/>
    </row>
    <row r="21" hidden="0" outlineLevel="0" collapsed="0">
      <c r="A21" s="3"/>
      <c r="B21" s="3"/>
      <c r="C21" s="3"/>
      <c r="D21" s="3"/>
      <c r="E21" s="3"/>
      <c r="F21" s="3"/>
      <c r="G21" s="3"/>
    </row>
    <row r="22" hidden="0" outlineLevel="0" collapsed="0">
      <c r="A22" s="3"/>
      <c r="B22" s="3"/>
      <c r="C22" s="3"/>
      <c r="D22" s="3"/>
      <c r="E22" s="3"/>
      <c r="F22" s="3"/>
      <c r="G22" s="3"/>
    </row>
    <row r="23" hidden="0" outlineLevel="0" collapsed="0">
      <c r="A23" s="3"/>
      <c r="B23" s="3"/>
      <c r="C23" s="3"/>
      <c r="D23" s="3"/>
      <c r="E23" s="3"/>
      <c r="F23" s="3"/>
      <c r="G23" s="3"/>
    </row>
    <row r="24" hidden="0" outlineLevel="0" collapsed="0">
      <c r="A24" s="3"/>
      <c r="B24" s="3"/>
      <c r="C24" s="3"/>
      <c r="D24" s="3"/>
      <c r="E24" s="3"/>
      <c r="F24" s="3"/>
      <c r="G24" s="3"/>
    </row>
    <row r="25" hidden="0" outlineLevel="0" collapsed="0">
      <c r="A25" s="3"/>
      <c r="B25" s="3"/>
      <c r="C25" s="3"/>
      <c r="D25" s="3"/>
      <c r="E25" s="3"/>
      <c r="F25" s="3"/>
      <c r="G25" s="3"/>
    </row>
    <row r="26" hidden="0" outlineLevel="0" collapsed="0">
      <c r="A26" s="3"/>
      <c r="B26" s="3"/>
      <c r="C26" s="3"/>
      <c r="D26" s="3"/>
      <c r="E26" s="3"/>
      <c r="F26" s="3"/>
      <c r="G26" s="3"/>
    </row>
    <row r="27" hidden="0" outlineLevel="0" collapsed="0">
      <c r="A27" s="3"/>
      <c r="B27" s="3"/>
      <c r="C27" s="3"/>
      <c r="D27" s="3"/>
      <c r="E27" s="3"/>
      <c r="F27" s="3"/>
      <c r="G27" s="3"/>
    </row>
    <row r="28" hidden="0" outlineLevel="0" collapsed="0">
      <c r="A28" s="3"/>
      <c r="B28" s="3"/>
      <c r="C28" s="3"/>
      <c r="D28" s="3"/>
      <c r="E28" s="3"/>
      <c r="F28" s="3"/>
      <c r="G28" s="3"/>
    </row>
    <row r="29" hidden="0" outlineLevel="0" collapsed="0">
      <c r="A29" s="3"/>
      <c r="B29" s="3"/>
      <c r="C29" s="3"/>
      <c r="D29" s="3"/>
      <c r="E29" s="3"/>
      <c r="F29" s="3"/>
      <c r="G29" s="3"/>
    </row>
    <row r="30" hidden="0" outlineLevel="0" collapsed="0">
      <c r="A30" s="3"/>
      <c r="B30" s="3"/>
      <c r="C30" s="3"/>
      <c r="D30" s="3"/>
      <c r="E30" s="3"/>
      <c r="F30" s="3"/>
      <c r="G30" s="3"/>
    </row>
    <row r="31" hidden="0" outlineLevel="0" collapsed="0">
      <c r="A31" s="3"/>
      <c r="B31" s="3"/>
      <c r="C31" s="3"/>
      <c r="D31" s="3"/>
      <c r="E31" s="3"/>
      <c r="F31" s="3"/>
      <c r="G31" s="3"/>
    </row>
    <row r="32" hidden="0" outlineLevel="0" collapsed="0">
      <c r="A32" s="3"/>
      <c r="B32" s="3"/>
      <c r="C32" s="3"/>
      <c r="D32" s="3"/>
      <c r="E32" s="3"/>
      <c r="F32" s="3"/>
      <c r="G32" s="3"/>
    </row>
    <row r="33" hidden="0" outlineLevel="0" collapsed="0">
      <c r="A33" s="3"/>
      <c r="B33" s="3"/>
      <c r="C33" s="3"/>
      <c r="D33" s="3"/>
      <c r="E33" s="3"/>
      <c r="F33" s="3"/>
      <c r="G33" s="3"/>
    </row>
    <row r="34" hidden="0" outlineLevel="0" collapsed="0">
      <c r="A34" s="3"/>
      <c r="B34" s="3"/>
      <c r="C34" s="3"/>
      <c r="D34" s="3"/>
      <c r="E34" s="3"/>
      <c r="F34" s="3"/>
      <c r="G34" s="3"/>
    </row>
    <row r="35" hidden="0" outlineLevel="0" collapsed="0">
      <c r="A35" s="3"/>
      <c r="B35" s="3"/>
      <c r="C35" s="3"/>
      <c r="D35" s="3"/>
      <c r="E35" s="3"/>
      <c r="F35" s="3"/>
      <c r="G35" s="3"/>
    </row>
    <row r="36" hidden="0" outlineLevel="0" collapsed="0">
      <c r="A36" s="3"/>
      <c r="B36" s="3"/>
      <c r="C36" s="3"/>
      <c r="D36" s="3"/>
      <c r="E36" s="3"/>
      <c r="F36" s="3"/>
      <c r="G36" s="3"/>
    </row>
    <row r="37" hidden="0" outlineLevel="0" collapsed="0">
      <c r="A37" s="3"/>
      <c r="B37" s="3"/>
      <c r="C37" s="3"/>
      <c r="D37" s="3"/>
      <c r="E37" s="3"/>
      <c r="F37" s="3"/>
      <c r="G37" s="3"/>
    </row>
    <row r="38" hidden="0" outlineLevel="0" collapsed="0">
      <c r="A38" s="3"/>
      <c r="B38" s="3"/>
      <c r="C38" s="3"/>
      <c r="D38" s="3"/>
      <c r="E38" s="3"/>
      <c r="F38" s="3"/>
      <c r="G38" s="3"/>
    </row>
    <row r="39" hidden="0" outlineLevel="0" collapsed="0">
      <c r="A39" s="3"/>
      <c r="B39" s="3"/>
      <c r="C39" s="3"/>
      <c r="D39" s="3"/>
      <c r="E39" s="3"/>
      <c r="F39" s="3"/>
      <c r="G39" s="3"/>
    </row>
    <row r="40" hidden="0" outlineLevel="0" collapsed="0">
      <c r="A40" s="3"/>
      <c r="B40" s="3"/>
      <c r="C40" s="3"/>
      <c r="D40" s="3"/>
      <c r="E40" s="3"/>
      <c r="F40" s="3"/>
      <c r="G40" s="3"/>
    </row>
  </sheetData>
  <mergeCells count="2">
    <mergeCell ref="A1:H1"/>
    <mergeCell ref="A2:H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10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4" customWidth="1"/>
    <col min="2" max="2" width="20" customWidth="1"/>
    <col min="3" max="3" width="46" customWidth="1"/>
    <col min="4" max="4" width="39" customWidth="1"/>
    <col min="5" max="5" width="66" customWidth="1"/>
    <col min="6" max="6" width="16" customWidth="1"/>
    <col min="7" max="7" width="28" customWidth="1"/>
    <col min="8" max="8" width="15" customWidth="1"/>
  </cols>
  <sheetData>
    <row r="1" ht="28" hidden="0" outlineLevel="0" collapsed="0">
      <c r="A1" s="1" t="s">
        <v>353</v>
      </c>
      <c r="B1" s="1"/>
      <c r="C1" s="1"/>
      <c r="D1" s="1"/>
      <c r="E1" s="1"/>
      <c r="F1" s="1"/>
      <c r="G1" s="1"/>
      <c r="H1" s="1"/>
    </row>
    <row r="2" ht="22" hidden="0" outlineLevel="0" collapsed="0">
      <c r="A2" s="2" t="s">
        <v>354</v>
      </c>
      <c r="B2" s="2"/>
      <c r="C2" s="2"/>
      <c r="D2" s="2"/>
      <c r="E2" s="2"/>
      <c r="F2" s="2"/>
      <c r="G2" s="2"/>
      <c r="H2" s="2"/>
    </row>
    <row r="3" hidden="0" outlineLevel="0" collapsed="0">
      <c r="A3" s="3"/>
      <c r="B3" s="3"/>
      <c r="C3" s="3"/>
      <c r="D3" s="3"/>
      <c r="E3" s="3"/>
      <c r="F3" s="3"/>
      <c r="G3" s="3"/>
    </row>
    <row r="4" hidden="0" outlineLevel="0" collapsed="0">
      <c r="A4" s="11" t="s">
        <v>355</v>
      </c>
      <c r="B4" s="11" t="s">
        <v>356</v>
      </c>
      <c r="C4" s="11" t="s">
        <v>357</v>
      </c>
      <c r="D4" s="11" t="s">
        <v>358</v>
      </c>
      <c r="E4" s="11" t="s">
        <v>359</v>
      </c>
      <c r="F4" s="11" t="s">
        <v>360</v>
      </c>
      <c r="G4" s="11" t="s">
        <v>361</v>
      </c>
    </row>
    <row r="5" ht="23.85" hidden="0" outlineLevel="0" collapsed="0">
      <c r="A5" s="3" t="s">
        <v>362</v>
      </c>
      <c r="B5" s="3" t="s">
        <v>363</v>
      </c>
      <c r="C5" s="3" t="s">
        <v>364</v>
      </c>
      <c r="D5" s="3" t="s">
        <v>365</v>
      </c>
      <c r="E5" s="3" t="s">
        <v>366</v>
      </c>
      <c r="F5" s="3" t="s">
        <v>367</v>
      </c>
      <c r="G5" s="3" t="s">
        <v>368</v>
      </c>
    </row>
    <row r="6" ht="23.85" hidden="0" outlineLevel="0" collapsed="0">
      <c r="A6" s="3" t="s">
        <v>362</v>
      </c>
      <c r="B6" s="3" t="s">
        <v>369</v>
      </c>
      <c r="C6" s="3" t="s">
        <v>370</v>
      </c>
      <c r="D6" s="3" t="s">
        <v>371</v>
      </c>
      <c r="E6" s="3" t="s">
        <v>366</v>
      </c>
      <c r="F6" s="3" t="s">
        <v>367</v>
      </c>
      <c r="G6" s="3" t="s">
        <v>368</v>
      </c>
    </row>
    <row r="7" ht="23.85" hidden="0" outlineLevel="0" collapsed="0">
      <c r="A7" s="3" t="s">
        <v>362</v>
      </c>
      <c r="B7" s="3" t="s">
        <v>372</v>
      </c>
      <c r="C7" s="3" t="s">
        <v>373</v>
      </c>
      <c r="D7" s="3" t="s">
        <v>374</v>
      </c>
      <c r="E7" s="3" t="s">
        <v>366</v>
      </c>
      <c r="F7" s="3" t="s">
        <v>367</v>
      </c>
      <c r="G7" s="3" t="s">
        <v>368</v>
      </c>
    </row>
    <row r="8" ht="23.85" hidden="0" outlineLevel="0" collapsed="0">
      <c r="A8" s="3" t="s">
        <v>362</v>
      </c>
      <c r="B8" s="3" t="s">
        <v>375</v>
      </c>
      <c r="C8" s="3" t="s">
        <v>376</v>
      </c>
      <c r="D8" s="3" t="s">
        <v>377</v>
      </c>
      <c r="E8" s="3" t="s">
        <v>366</v>
      </c>
      <c r="F8" s="3" t="s">
        <v>367</v>
      </c>
      <c r="G8" s="3" t="s">
        <v>378</v>
      </c>
    </row>
    <row r="9" hidden="0" outlineLevel="0" collapsed="0">
      <c r="A9" s="3">
        <v>46224</v>
      </c>
      <c r="B9" s="3" t="s">
        <v>379</v>
      </c>
      <c r="C9" s="3" t="s">
        <v>380</v>
      </c>
      <c r="D9" s="3"/>
      <c r="E9" s="3"/>
      <c r="F9" s="3"/>
      <c r="G9" s="3"/>
    </row>
    <row r="10" hidden="0" outlineLevel="0" collapsed="0">
      <c r="A10" s="3" t="s">
        <v>381</v>
      </c>
      <c r="B10" s="3" t="s">
        <v>382</v>
      </c>
      <c r="C10" s="3" t="s">
        <v>383</v>
      </c>
      <c r="D10" s="3" t="s">
        <v>384</v>
      </c>
      <c r="E10" s="3" t="s">
        <v>385</v>
      </c>
      <c r="F10" s="3" t="s">
        <v>386</v>
      </c>
      <c r="G10" s="3" t="s">
        <v>387</v>
      </c>
    </row>
  </sheetData>
  <mergeCells count="2">
    <mergeCell ref="A1:H1"/>
    <mergeCell ref="A2:H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30"/>
  <sheetViews>
    <sheetView topLeftCell="A1" zoomScaleNormal="100" zoomScalePageLayoutView="100" workbookViewId="0">
      <selection activeCell="A1" sqref="A1"/>
    </sheetView>
  </sheetViews>
  <sheetFormatPr defaultColWidth="8.6796875" defaultRowHeight="15"/>
  <cols>
    <col min="1" max="1" width="28" customWidth="1"/>
    <col min="2" max="2" width="13" customWidth="1"/>
    <col min="3" max="3" width="16" customWidth="1"/>
    <col min="4" max="4" width="22" customWidth="1"/>
    <col min="5" max="5" width="38" customWidth="1"/>
    <col min="6" max="6" width="44" customWidth="1"/>
    <col min="7" max="7" width="43" customWidth="1"/>
    <col min="8" max="8" width="45" customWidth="1"/>
  </cols>
  <sheetData>
    <row r="1" ht="28" hidden="0" outlineLevel="0" collapsed="0">
      <c r="A1" s="1" t="s">
        <v>388</v>
      </c>
      <c r="B1" s="1"/>
      <c r="C1" s="1"/>
      <c r="D1" s="1"/>
      <c r="E1" s="1"/>
      <c r="F1" s="1"/>
      <c r="G1" s="1"/>
      <c r="H1" s="1"/>
    </row>
    <row r="2" ht="22" hidden="0" outlineLevel="0" collapsed="0">
      <c r="A2" s="2" t="s">
        <v>389</v>
      </c>
      <c r="B2" s="2"/>
      <c r="C2" s="2"/>
      <c r="D2" s="2"/>
      <c r="E2" s="2"/>
      <c r="F2" s="2"/>
      <c r="G2" s="2"/>
      <c r="H2" s="2"/>
    </row>
    <row r="3" hidden="0" outlineLevel="0" collapsed="0">
      <c r="A3" s="3"/>
      <c r="B3" s="3"/>
      <c r="C3" s="3"/>
      <c r="D3" s="3"/>
      <c r="E3" s="3"/>
      <c r="F3" s="3"/>
      <c r="G3" s="3"/>
      <c r="H3" s="3"/>
    </row>
    <row r="4" hidden="0" outlineLevel="0" collapsed="0">
      <c r="A4" s="11" t="s">
        <v>390</v>
      </c>
      <c r="B4" s="11" t="s">
        <v>391</v>
      </c>
      <c r="C4" s="11" t="s">
        <v>392</v>
      </c>
      <c r="D4" s="11" t="s">
        <v>393</v>
      </c>
      <c r="E4" s="11" t="s">
        <v>394</v>
      </c>
      <c r="F4" s="11" t="s">
        <v>395</v>
      </c>
      <c r="G4" s="11" t="s">
        <v>396</v>
      </c>
      <c r="H4" s="11" t="s">
        <v>397</v>
      </c>
    </row>
    <row r="5" ht="23.85" hidden="0" outlineLevel="0" collapsed="0">
      <c r="A5" s="3" t="s">
        <v>398</v>
      </c>
      <c r="B5" s="29">
        <v>5</v>
      </c>
      <c r="C5" s="3" t="s">
        <v>399</v>
      </c>
      <c r="D5" s="3" t="s">
        <v>72</v>
      </c>
      <c r="E5" s="3" t="s">
        <v>400</v>
      </c>
      <c r="F5" s="3" t="s">
        <v>401</v>
      </c>
      <c r="G5" s="3" t="s">
        <v>402</v>
      </c>
      <c r="H5" s="3" t="s">
        <v>403</v>
      </c>
    </row>
    <row r="6" ht="23.85" hidden="0" outlineLevel="0" collapsed="0">
      <c r="A6" s="3" t="s">
        <v>404</v>
      </c>
      <c r="B6" s="29">
        <v>20</v>
      </c>
      <c r="C6" s="3" t="s">
        <v>399</v>
      </c>
      <c r="D6" s="3" t="s">
        <v>72</v>
      </c>
      <c r="E6" s="3" t="s">
        <v>405</v>
      </c>
      <c r="F6" s="3" t="s">
        <v>406</v>
      </c>
      <c r="G6" s="3" t="s">
        <v>407</v>
      </c>
      <c r="H6" s="3" t="s">
        <v>408</v>
      </c>
    </row>
    <row r="7" ht="23.85" hidden="0" outlineLevel="0" collapsed="0">
      <c r="A7" s="3" t="s">
        <v>409</v>
      </c>
      <c r="B7" s="29">
        <v>15</v>
      </c>
      <c r="C7" s="3" t="s">
        <v>399</v>
      </c>
      <c r="D7" s="3" t="s">
        <v>72</v>
      </c>
      <c r="E7" s="3" t="s">
        <v>410</v>
      </c>
      <c r="F7" s="3" t="s">
        <v>411</v>
      </c>
      <c r="G7" s="3" t="s">
        <v>412</v>
      </c>
      <c r="H7" s="3" t="s">
        <v>413</v>
      </c>
    </row>
    <row r="8" hidden="0" outlineLevel="0" collapsed="0">
      <c r="A8" s="3" t="s">
        <v>414</v>
      </c>
      <c r="B8" s="29">
        <v>10</v>
      </c>
      <c r="C8" s="3" t="s">
        <v>399</v>
      </c>
      <c r="D8" s="3" t="s">
        <v>72</v>
      </c>
      <c r="E8" s="3" t="s">
        <v>415</v>
      </c>
      <c r="F8" s="3" t="s">
        <v>416</v>
      </c>
      <c r="G8" s="3" t="s">
        <v>417</v>
      </c>
      <c r="H8" s="3" t="s">
        <v>418</v>
      </c>
    </row>
    <row r="9" hidden="0" outlineLevel="0" collapsed="0">
      <c r="A9" s="3" t="s">
        <v>419</v>
      </c>
      <c r="B9" s="29">
        <v>15</v>
      </c>
      <c r="C9" s="3" t="s">
        <v>399</v>
      </c>
      <c r="D9" s="3" t="s">
        <v>72</v>
      </c>
      <c r="E9" s="3" t="s">
        <v>420</v>
      </c>
      <c r="F9" s="3" t="s">
        <v>421</v>
      </c>
      <c r="G9" s="3" t="s">
        <v>422</v>
      </c>
      <c r="H9" s="3" t="s">
        <v>423</v>
      </c>
    </row>
    <row r="10" ht="23.85" hidden="0" outlineLevel="0" collapsed="0">
      <c r="A10" s="3" t="s">
        <v>424</v>
      </c>
      <c r="B10" s="29">
        <v>8</v>
      </c>
      <c r="C10" s="3" t="s">
        <v>399</v>
      </c>
      <c r="D10" s="3" t="s">
        <v>72</v>
      </c>
      <c r="E10" s="3" t="s">
        <v>425</v>
      </c>
      <c r="F10" s="3" t="s">
        <v>426</v>
      </c>
      <c r="G10" s="3" t="s">
        <v>427</v>
      </c>
      <c r="H10" s="3" t="s">
        <v>428</v>
      </c>
    </row>
    <row r="11" ht="46.25" hidden="0" outlineLevel="0" collapsed="0">
      <c r="A11" s="3" t="s">
        <v>429</v>
      </c>
      <c r="B11" s="29">
        <v>10</v>
      </c>
      <c r="C11" s="3" t="s">
        <v>399</v>
      </c>
      <c r="D11" s="3" t="s">
        <v>72</v>
      </c>
      <c r="E11" s="3" t="s">
        <v>425</v>
      </c>
      <c r="F11" s="3" t="s">
        <v>430</v>
      </c>
      <c r="G11" s="3" t="s">
        <v>431</v>
      </c>
      <c r="H11" s="3" t="s">
        <v>432</v>
      </c>
    </row>
    <row r="12" ht="35.05" hidden="0" outlineLevel="0" collapsed="0">
      <c r="A12" s="3" t="s">
        <v>433</v>
      </c>
      <c r="B12" s="29">
        <v>7</v>
      </c>
      <c r="C12" s="3" t="s">
        <v>399</v>
      </c>
      <c r="D12" s="3" t="s">
        <v>72</v>
      </c>
      <c r="E12" s="3" t="s">
        <v>434</v>
      </c>
      <c r="F12" s="3" t="s">
        <v>435</v>
      </c>
      <c r="G12" s="3" t="s">
        <v>436</v>
      </c>
      <c r="H12" s="3" t="s">
        <v>437</v>
      </c>
    </row>
    <row r="13" ht="23.85" hidden="0" outlineLevel="0" collapsed="0">
      <c r="A13" s="3" t="s">
        <v>438</v>
      </c>
      <c r="B13" s="29">
        <v>5</v>
      </c>
      <c r="C13" s="3" t="s">
        <v>399</v>
      </c>
      <c r="D13" s="3" t="s">
        <v>72</v>
      </c>
      <c r="E13" s="3" t="s">
        <v>439</v>
      </c>
      <c r="F13" s="3" t="s">
        <v>440</v>
      </c>
      <c r="G13" s="3" t="s">
        <v>441</v>
      </c>
      <c r="H13" s="3" t="s">
        <v>442</v>
      </c>
    </row>
    <row r="14" ht="23.85" hidden="0" outlineLevel="0" collapsed="0">
      <c r="A14" s="3" t="s">
        <v>443</v>
      </c>
      <c r="B14" s="29">
        <v>5</v>
      </c>
      <c r="C14" s="3" t="s">
        <v>399</v>
      </c>
      <c r="D14" s="3" t="s">
        <v>72</v>
      </c>
      <c r="E14" s="3" t="s">
        <v>444</v>
      </c>
      <c r="F14" s="3" t="s">
        <v>445</v>
      </c>
      <c r="G14" s="3" t="s">
        <v>446</v>
      </c>
      <c r="H14" s="3" t="s">
        <v>447</v>
      </c>
    </row>
    <row r="15" hidden="0" outlineLevel="0" collapsed="0">
      <c r="A15" s="3"/>
      <c r="B15" s="3"/>
      <c r="C15" s="3"/>
      <c r="D15" s="3"/>
      <c r="E15" s="3"/>
      <c r="F15" s="3"/>
      <c r="G15" s="3"/>
      <c r="H15" s="3"/>
    </row>
    <row r="16" hidden="0" outlineLevel="0" collapsed="0">
      <c r="A16" s="11" t="s">
        <v>448</v>
      </c>
      <c r="B16" s="3">
        <f>SUMIF(C5:C14,"PASS",B5:B14)</f>
        <v>100</v>
      </c>
      <c r="C16" s="3"/>
      <c r="D16" s="3"/>
      <c r="E16" s="3"/>
      <c r="F16" s="3"/>
      <c r="G16" s="3"/>
      <c r="H16" s="3"/>
    </row>
    <row r="17" hidden="0" outlineLevel="0" collapsed="0">
      <c r="A17" s="11" t="s">
        <v>449</v>
      </c>
      <c r="B17" s="3" t="str">
        <f>IF(B16=100,"OWNER READY — INDEPENDENT REVIEW REQUIRED","PENDING OWNER QA")</f>
        <v>OWNER READY — INDEPENDENT REVIEW REQUIRED</v>
      </c>
      <c r="C17" s="3"/>
      <c r="D17" s="3"/>
      <c r="E17" s="3"/>
      <c r="F17" s="3"/>
      <c r="G17" s="3"/>
      <c r="H17" s="3"/>
    </row>
    <row r="18" hidden="0" outlineLevel="0" collapsed="0">
      <c r="A18" s="11" t="s">
        <v>450</v>
      </c>
      <c r="B18" s="3" t="str">
        <f>Checks!F15</f>
        <v>OK</v>
      </c>
      <c r="C18" s="3"/>
      <c r="D18" s="3"/>
      <c r="E18" s="3"/>
      <c r="F18" s="3"/>
      <c r="G18" s="3"/>
      <c r="H18" s="3"/>
    </row>
    <row r="19" hidden="0" outlineLevel="0" collapsed="0">
      <c r="A19" s="3"/>
      <c r="B19" s="3"/>
      <c r="C19" s="3"/>
      <c r="D19" s="3"/>
      <c r="E19" s="3"/>
      <c r="F19" s="3"/>
      <c r="G19" s="3"/>
      <c r="H19" s="3"/>
    </row>
    <row r="20" ht="21" hidden="0" outlineLevel="0" collapsed="0">
      <c r="A20" s="4" t="s">
        <v>451</v>
      </c>
      <c r="B20" s="4"/>
      <c r="C20" s="4"/>
      <c r="D20" s="4"/>
      <c r="E20" s="4"/>
      <c r="F20" s="4"/>
      <c r="G20" s="4"/>
      <c r="H20" s="4"/>
    </row>
    <row r="21" hidden="0" outlineLevel="0" collapsed="0">
      <c r="A21" s="3" t="s">
        <v>452</v>
      </c>
      <c r="B21" s="3" t="s">
        <v>362</v>
      </c>
      <c r="C21" s="3"/>
      <c r="D21" s="3"/>
      <c r="E21" s="3"/>
      <c r="F21" s="3"/>
      <c r="G21" s="3"/>
      <c r="H21" s="3"/>
    </row>
    <row r="22" hidden="0" outlineLevel="0" collapsed="0">
      <c r="A22" s="3" t="s">
        <v>453</v>
      </c>
      <c r="B22" s="3" t="s">
        <v>454</v>
      </c>
      <c r="C22" s="3"/>
      <c r="D22" s="3"/>
      <c r="E22" s="3"/>
      <c r="F22" s="3"/>
      <c r="G22" s="3"/>
      <c r="H22" s="3"/>
    </row>
    <row r="23" hidden="0" outlineLevel="0" collapsed="0">
      <c r="A23" s="3" t="s">
        <v>455</v>
      </c>
      <c r="B23" s="3" t="s">
        <v>456</v>
      </c>
      <c r="C23" s="3"/>
      <c r="D23" s="3"/>
      <c r="E23" s="3"/>
      <c r="F23" s="3"/>
      <c r="G23" s="3"/>
      <c r="H23" s="3"/>
    </row>
    <row r="24" hidden="0" outlineLevel="0" collapsed="0">
      <c r="A24" s="3" t="s">
        <v>457</v>
      </c>
      <c r="B24" s="3" t="s">
        <v>434</v>
      </c>
      <c r="C24" s="3"/>
      <c r="D24" s="3"/>
      <c r="E24" s="3"/>
      <c r="F24" s="3"/>
      <c r="G24" s="3"/>
      <c r="H24" s="3"/>
    </row>
    <row r="25" hidden="0" outlineLevel="0" collapsed="0">
      <c r="A25" s="3" t="s">
        <v>458</v>
      </c>
      <c r="B25" s="3" t="s">
        <v>434</v>
      </c>
      <c r="C25" s="3"/>
      <c r="D25" s="3"/>
      <c r="E25" s="3"/>
      <c r="F25" s="3"/>
      <c r="G25" s="3"/>
      <c r="H25" s="3"/>
    </row>
    <row r="26" hidden="0" outlineLevel="0" collapsed="0">
      <c r="A26" s="3" t="s">
        <v>459</v>
      </c>
      <c r="B26" s="3" t="s">
        <v>460</v>
      </c>
      <c r="C26" s="3"/>
      <c r="D26" s="3"/>
      <c r="E26" s="3"/>
      <c r="F26" s="3"/>
      <c r="G26" s="3"/>
      <c r="H26" s="3"/>
    </row>
    <row r="27" hidden="0" outlineLevel="0" collapsed="0">
      <c r="A27" s="3"/>
      <c r="B27" s="3"/>
      <c r="C27" s="3"/>
      <c r="D27" s="3"/>
      <c r="E27" s="3"/>
      <c r="F27" s="3"/>
      <c r="G27" s="3"/>
      <c r="H27" s="3"/>
    </row>
    <row r="28" hidden="0" outlineLevel="0" collapsed="0">
      <c r="A28" s="3"/>
      <c r="B28" s="3"/>
      <c r="C28" s="3"/>
      <c r="D28" s="3"/>
      <c r="E28" s="3"/>
      <c r="F28" s="3"/>
      <c r="G28" s="3"/>
      <c r="H28" s="3"/>
    </row>
    <row r="29" hidden="0" outlineLevel="0" collapsed="0">
      <c r="A29" s="3"/>
      <c r="B29" s="3"/>
      <c r="C29" s="3"/>
      <c r="D29" s="3"/>
      <c r="E29" s="3"/>
      <c r="F29" s="3"/>
      <c r="G29" s="3"/>
      <c r="H29" s="3"/>
    </row>
    <row r="30" hidden="0" outlineLevel="0" collapsed="0">
      <c r="A30" s="3"/>
      <c r="B30" s="3"/>
      <c r="C30" s="3"/>
      <c r="D30" s="3"/>
      <c r="E30" s="3"/>
      <c r="F30" s="3"/>
      <c r="G30" s="3"/>
      <c r="H30" s="3"/>
    </row>
  </sheetData>
  <mergeCells count="10">
    <mergeCell ref="A1:H1"/>
    <mergeCell ref="A2:H2"/>
    <mergeCell ref="B17:H17"/>
    <mergeCell ref="A20:H20"/>
    <mergeCell ref="B21:H21"/>
    <mergeCell ref="B22:H22"/>
    <mergeCell ref="B23:H23"/>
    <mergeCell ref="B24:H24"/>
    <mergeCell ref="B25:H25"/>
    <mergeCell ref="B26:H26"/>
  </mergeCells>
  <conditionalFormatting sqref="C5:C14">
    <cfRule type="containsText" priority="2" operator="containsText" text="OK" dxfId="6">
      <formula>NOT(ISERROR(SEARCH("OK",C5)))</formula>
    </cfRule>
    <cfRule type="containsText" priority="3" operator="containsText" text="REVIEW" dxfId="7">
      <formula>NOT(ISERROR(SEARCH("REVIEW",C5)))</formula>
    </cfRule>
  </conditionalFormatting>
  <conditionalFormatting sqref="B18">
    <cfRule type="containsText" priority="4" operator="containsText" text="OK" dxfId="8">
      <formula>NOT(ISERROR(SEARCH("OK",B18)))</formula>
    </cfRule>
    <cfRule type="containsText" priority="5" operator="containsText" text="REVIEW" dxfId="9">
      <formula>NOT(ISERROR(SEARCH("REVIEW",B18)))</formula>
    </cfRule>
  </conditionalFormatting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ColWidth="8.375" defaultRowHeight="15"/>
  <sheetData>
    <row r="1">
      <c r="A1" t="s">
        <v>461</v>
      </c>
    </row>
    <row r="2">
      <c r="A2" t="s">
        <v>462</v>
      </c>
    </row>
    <row r="4">
      <c r="A4" t="s">
        <v>463</v>
      </c>
      <c r="B4" t="s">
        <v>464</v>
      </c>
      <c r="C4" t="s">
        <v>465</v>
      </c>
      <c r="D4" t="s">
        <v>466</v>
      </c>
      <c r="E4" t="s">
        <v>467</v>
      </c>
      <c r="F4" t="s">
        <v>468</v>
      </c>
      <c r="G4" t="s">
        <v>469</v>
      </c>
    </row>
    <row r="5">
      <c r="A5" t="s">
        <v>470</v>
      </c>
      <c r="B5">
        <v>469822</v>
      </c>
      <c r="C5">
        <v>513983</v>
      </c>
      <c r="D5">
        <v>574785</v>
      </c>
      <c r="E5">
        <v>637959</v>
      </c>
      <c r="F5">
        <v>716924</v>
      </c>
      <c r="G5" t="s">
        <v>60</v>
      </c>
    </row>
    <row r="6">
      <c r="A6" t="s">
        <v>471</v>
      </c>
    </row>
    <row r="7">
      <c r="A7" t="s">
        <v>472</v>
      </c>
      <c r="B7">
        <v>272344</v>
      </c>
      <c r="C7">
        <v>288831</v>
      </c>
      <c r="D7">
        <v>304739</v>
      </c>
      <c r="E7">
        <v>326288</v>
      </c>
      <c r="F7">
        <v>356414</v>
      </c>
      <c r="G7" t="s">
        <v>473</v>
      </c>
    </row>
    <row r="8">
      <c r="A8" t="s">
        <v>474</v>
      </c>
      <c r="C8">
        <v>84299</v>
      </c>
      <c r="D8">
        <v>90619</v>
      </c>
      <c r="E8">
        <v>98505</v>
      </c>
      <c r="F8">
        <v>109074</v>
      </c>
      <c r="G8" t="s">
        <v>475</v>
      </c>
    </row>
    <row r="9">
      <c r="A9" t="s">
        <v>476</v>
      </c>
      <c r="C9">
        <v>73213</v>
      </c>
      <c r="D9">
        <v>85622</v>
      </c>
      <c r="E9">
        <v>88544</v>
      </c>
      <c r="F9">
        <v>108521</v>
      </c>
      <c r="G9" t="s">
        <v>477</v>
      </c>
    </row>
    <row r="10">
      <c r="A10" t="s">
        <v>478</v>
      </c>
      <c r="C10">
        <v>42238</v>
      </c>
      <c r="D10">
        <v>44370</v>
      </c>
      <c r="E10">
        <v>43907</v>
      </c>
      <c r="F10">
        <v>47129</v>
      </c>
      <c r="G10" t="s">
        <v>479</v>
      </c>
    </row>
    <row r="11">
      <c r="A11" t="s">
        <v>480</v>
      </c>
      <c r="C11">
        <v>11891</v>
      </c>
      <c r="D11">
        <v>11816</v>
      </c>
      <c r="E11">
        <v>11359</v>
      </c>
      <c r="F11">
        <v>11172</v>
      </c>
      <c r="G11" t="s">
        <v>481</v>
      </c>
    </row>
    <row r="12">
      <c r="A12" t="s">
        <v>482</v>
      </c>
      <c r="C12">
        <v>1263</v>
      </c>
      <c r="D12">
        <v>767</v>
      </c>
      <c r="E12">
        <v>763</v>
      </c>
      <c r="F12">
        <v>4639</v>
      </c>
      <c r="G12" t="s">
        <v>479</v>
      </c>
    </row>
    <row r="13">
      <c r="A13" t="s">
        <v>483</v>
      </c>
      <c r="B13">
        <v>172599</v>
      </c>
      <c r="G13" t="s">
        <v>484</v>
      </c>
    </row>
    <row r="14">
      <c r="A14" t="s">
        <v>485</v>
      </c>
      <c r="B14">
        <v>444943</v>
      </c>
      <c r="C14">
        <v>501735</v>
      </c>
      <c r="D14">
        <v>537933</v>
      </c>
      <c r="E14">
        <v>569366</v>
      </c>
      <c r="F14">
        <v>636949</v>
      </c>
      <c r="G14" t="s">
        <v>486</v>
      </c>
    </row>
    <row r="15">
      <c r="A15" t="s">
        <v>487</v>
      </c>
      <c r="B15">
        <v>24879</v>
      </c>
      <c r="C15">
        <v>12248</v>
      </c>
      <c r="D15">
        <v>36852</v>
      </c>
      <c r="E15">
        <v>68593</v>
      </c>
      <c r="F15">
        <v>79975</v>
      </c>
      <c r="G15" t="s">
        <v>98</v>
      </c>
    </row>
    <row r="16">
      <c r="A16" t="s">
        <v>488</v>
      </c>
      <c r="B16">
        <v>448</v>
      </c>
      <c r="C16">
        <v>989</v>
      </c>
      <c r="D16">
        <v>2949</v>
      </c>
      <c r="E16">
        <v>4677</v>
      </c>
      <c r="F16">
        <v>4381</v>
      </c>
      <c r="G16" t="s">
        <v>489</v>
      </c>
    </row>
    <row r="17">
      <c r="A17" t="s">
        <v>490</v>
      </c>
      <c r="B17">
        <v>-1809</v>
      </c>
      <c r="C17">
        <v>-2367</v>
      </c>
      <c r="D17">
        <v>-3182</v>
      </c>
      <c r="E17">
        <v>-2406</v>
      </c>
      <c r="F17">
        <v>-2274</v>
      </c>
      <c r="G17" t="s">
        <v>491</v>
      </c>
    </row>
    <row r="18">
      <c r="A18" t="s">
        <v>492</v>
      </c>
      <c r="B18">
        <v>14633</v>
      </c>
      <c r="C18">
        <v>-16806</v>
      </c>
      <c r="D18">
        <v>938</v>
      </c>
      <c r="E18">
        <v>-2250</v>
      </c>
      <c r="F18">
        <v>15229</v>
      </c>
      <c r="G18" t="s">
        <v>493</v>
      </c>
    </row>
    <row r="19">
      <c r="A19" t="s">
        <v>494</v>
      </c>
      <c r="B19">
        <v>13272</v>
      </c>
      <c r="C19">
        <v>-18184</v>
      </c>
      <c r="D19">
        <v>705</v>
      </c>
      <c r="E19">
        <v>21</v>
      </c>
      <c r="F19">
        <v>17336</v>
      </c>
      <c r="G19" t="s">
        <v>495</v>
      </c>
    </row>
    <row r="20">
      <c r="A20" t="s">
        <v>496</v>
      </c>
      <c r="B20">
        <v>38151</v>
      </c>
      <c r="C20">
        <v>-5936</v>
      </c>
      <c r="D20">
        <v>37557</v>
      </c>
      <c r="E20">
        <v>68614</v>
      </c>
      <c r="F20">
        <v>97311</v>
      </c>
    </row>
    <row r="21">
      <c r="A21" t="s">
        <v>497</v>
      </c>
      <c r="B21">
        <v>-4791</v>
      </c>
      <c r="C21">
        <v>3217</v>
      </c>
      <c r="D21">
        <v>-7120</v>
      </c>
      <c r="E21">
        <v>-9265</v>
      </c>
      <c r="F21">
        <v>-19087</v>
      </c>
      <c r="G21" t="s">
        <v>498</v>
      </c>
    </row>
    <row r="22">
      <c r="A22" t="s">
        <v>499</v>
      </c>
      <c r="B22">
        <v>4</v>
      </c>
      <c r="C22">
        <v>-3</v>
      </c>
      <c r="D22">
        <v>-12</v>
      </c>
      <c r="E22">
        <v>-101</v>
      </c>
      <c r="F22">
        <v>-554</v>
      </c>
      <c r="G22" t="s">
        <v>500</v>
      </c>
    </row>
    <row r="23">
      <c r="A23" t="s">
        <v>501</v>
      </c>
      <c r="B23">
        <v>33364</v>
      </c>
      <c r="C23">
        <v>-2722</v>
      </c>
      <c r="D23">
        <v>30425</v>
      </c>
      <c r="E23">
        <v>59248</v>
      </c>
      <c r="F23">
        <v>77670</v>
      </c>
      <c r="G23" t="s">
        <v>105</v>
      </c>
    </row>
    <row r="25">
      <c r="A25" t="s">
        <v>502</v>
      </c>
      <c r="B25">
        <v>3.3</v>
      </c>
      <c r="C25">
        <v>-0.27</v>
      </c>
      <c r="D25">
        <v>2.95</v>
      </c>
      <c r="E25">
        <v>5.66</v>
      </c>
      <c r="F25">
        <v>7.29</v>
      </c>
      <c r="G25" t="s">
        <v>503</v>
      </c>
    </row>
    <row r="26">
      <c r="A26" t="s">
        <v>504</v>
      </c>
      <c r="B26">
        <v>3.24</v>
      </c>
      <c r="C26">
        <v>-0.27</v>
      </c>
      <c r="D26">
        <v>2.9</v>
      </c>
      <c r="E26">
        <v>5.53</v>
      </c>
      <c r="F26">
        <v>7.17</v>
      </c>
      <c r="G26" t="s">
        <v>505</v>
      </c>
    </row>
    <row r="27">
      <c r="A27" t="s">
        <v>506</v>
      </c>
      <c r="B27">
        <v>10117</v>
      </c>
      <c r="C27">
        <v>10189</v>
      </c>
      <c r="D27">
        <v>10304</v>
      </c>
      <c r="E27">
        <v>10473</v>
      </c>
      <c r="F27">
        <v>10656</v>
      </c>
      <c r="G27" t="s">
        <v>507</v>
      </c>
    </row>
    <row r="28">
      <c r="A28" t="s">
        <v>508</v>
      </c>
      <c r="B28">
        <v>10296</v>
      </c>
      <c r="C28">
        <v>10189</v>
      </c>
      <c r="D28">
        <v>10492</v>
      </c>
      <c r="E28">
        <v>10721</v>
      </c>
      <c r="F28">
        <v>10827</v>
      </c>
      <c r="G28" t="s">
        <v>161</v>
      </c>
    </row>
    <row r="30">
      <c r="A30" t="s">
        <v>509</v>
      </c>
    </row>
    <row r="31">
      <c r="A31" t="s">
        <v>510</v>
      </c>
      <c r="C31">
        <v>242901</v>
      </c>
      <c r="D31">
        <v>255887</v>
      </c>
      <c r="E31">
        <v>272311</v>
      </c>
      <c r="F31">
        <v>296266</v>
      </c>
      <c r="G31" t="s">
        <v>511</v>
      </c>
    </row>
    <row r="32">
      <c r="A32" t="s">
        <v>512</v>
      </c>
      <c r="C32">
        <v>271082</v>
      </c>
      <c r="D32">
        <v>318898</v>
      </c>
      <c r="E32">
        <v>365648</v>
      </c>
      <c r="F32">
        <v>420658</v>
      </c>
      <c r="G32" t="s">
        <v>513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ColWidth="8.375" defaultRowHeight="15"/>
  <sheetData>
    <row r="1">
      <c r="A1" t="s">
        <v>514</v>
      </c>
    </row>
    <row r="2">
      <c r="A2" t="s">
        <v>515</v>
      </c>
    </row>
    <row r="4">
      <c r="A4" t="s">
        <v>463</v>
      </c>
      <c r="B4" t="s">
        <v>464</v>
      </c>
      <c r="C4" t="s">
        <v>465</v>
      </c>
      <c r="D4" t="s">
        <v>466</v>
      </c>
      <c r="E4" t="s">
        <v>467</v>
      </c>
      <c r="F4" t="s">
        <v>468</v>
      </c>
      <c r="G4" t="s">
        <v>469</v>
      </c>
    </row>
    <row r="5">
      <c r="A5" t="s">
        <v>516</v>
      </c>
    </row>
    <row r="6">
      <c r="A6" t="s">
        <v>517</v>
      </c>
      <c r="B6">
        <v>36220</v>
      </c>
      <c r="C6">
        <v>53888</v>
      </c>
      <c r="D6">
        <v>73387</v>
      </c>
      <c r="E6">
        <v>78779</v>
      </c>
      <c r="F6">
        <v>86810</v>
      </c>
      <c r="G6" t="s">
        <v>141</v>
      </c>
    </row>
    <row r="7">
      <c r="A7" t="s">
        <v>518</v>
      </c>
      <c r="B7">
        <v>59829</v>
      </c>
      <c r="C7">
        <v>16138</v>
      </c>
      <c r="D7">
        <v>13393</v>
      </c>
      <c r="E7">
        <v>22423</v>
      </c>
      <c r="F7">
        <v>36219</v>
      </c>
      <c r="G7" t="s">
        <v>176</v>
      </c>
    </row>
    <row r="8">
      <c r="A8" t="s">
        <v>519</v>
      </c>
      <c r="B8">
        <v>32640</v>
      </c>
      <c r="C8">
        <v>34405</v>
      </c>
      <c r="D8">
        <v>33318</v>
      </c>
      <c r="E8">
        <v>34214</v>
      </c>
      <c r="F8">
        <v>38325</v>
      </c>
      <c r="G8" t="s">
        <v>520</v>
      </c>
    </row>
    <row r="9">
      <c r="A9" t="s">
        <v>521</v>
      </c>
      <c r="B9">
        <v>32891</v>
      </c>
      <c r="C9">
        <v>42360</v>
      </c>
      <c r="D9">
        <v>52253</v>
      </c>
      <c r="E9">
        <v>55451</v>
      </c>
      <c r="F9">
        <v>67729</v>
      </c>
      <c r="G9" t="s">
        <v>522</v>
      </c>
    </row>
    <row r="10">
      <c r="A10" t="s">
        <v>523</v>
      </c>
      <c r="B10">
        <v>161580</v>
      </c>
      <c r="C10">
        <v>146791</v>
      </c>
      <c r="D10">
        <v>172351</v>
      </c>
      <c r="E10">
        <v>190867</v>
      </c>
      <c r="F10">
        <v>229083</v>
      </c>
      <c r="G10" t="s">
        <v>524</v>
      </c>
    </row>
    <row r="11">
      <c r="A11" t="s">
        <v>525</v>
      </c>
    </row>
    <row r="12">
      <c r="A12" t="s">
        <v>526</v>
      </c>
      <c r="B12">
        <v>160281</v>
      </c>
      <c r="C12">
        <v>186715</v>
      </c>
      <c r="D12">
        <v>204177</v>
      </c>
      <c r="E12">
        <v>252665</v>
      </c>
      <c r="F12">
        <v>357025</v>
      </c>
      <c r="G12" t="s">
        <v>527</v>
      </c>
    </row>
    <row r="13">
      <c r="A13" t="s">
        <v>528</v>
      </c>
      <c r="B13">
        <v>56082</v>
      </c>
      <c r="C13">
        <v>66123</v>
      </c>
      <c r="D13">
        <v>72513</v>
      </c>
      <c r="E13">
        <v>76141</v>
      </c>
      <c r="F13">
        <v>86054</v>
      </c>
      <c r="G13" t="s">
        <v>529</v>
      </c>
    </row>
    <row r="14">
      <c r="A14" t="s">
        <v>530</v>
      </c>
      <c r="B14">
        <v>15371</v>
      </c>
      <c r="C14">
        <v>20288</v>
      </c>
      <c r="D14">
        <v>22789</v>
      </c>
      <c r="E14">
        <v>23074</v>
      </c>
      <c r="F14">
        <v>23273</v>
      </c>
      <c r="G14" t="s">
        <v>531</v>
      </c>
    </row>
    <row r="15">
      <c r="A15" t="s">
        <v>532</v>
      </c>
      <c r="B15">
        <v>27235</v>
      </c>
      <c r="C15">
        <v>42758</v>
      </c>
      <c r="D15">
        <v>56024</v>
      </c>
      <c r="E15">
        <v>82147</v>
      </c>
      <c r="F15">
        <v>122607</v>
      </c>
      <c r="G15" t="s">
        <v>533</v>
      </c>
    </row>
    <row r="16">
      <c r="A16" t="s">
        <v>125</v>
      </c>
      <c r="B16">
        <v>420549</v>
      </c>
      <c r="C16">
        <v>462675</v>
      </c>
      <c r="D16">
        <v>527854</v>
      </c>
      <c r="E16">
        <v>624894</v>
      </c>
      <c r="F16">
        <v>818042</v>
      </c>
      <c r="G16" t="s">
        <v>126</v>
      </c>
    </row>
    <row r="18">
      <c r="A18" t="s">
        <v>534</v>
      </c>
    </row>
    <row r="19">
      <c r="A19" t="s">
        <v>535</v>
      </c>
      <c r="B19">
        <v>78664</v>
      </c>
      <c r="C19">
        <v>79600</v>
      </c>
      <c r="D19">
        <v>84981</v>
      </c>
      <c r="E19">
        <v>94363</v>
      </c>
      <c r="F19">
        <v>121909</v>
      </c>
      <c r="G19" t="s">
        <v>536</v>
      </c>
    </row>
    <row r="20">
      <c r="A20" t="s">
        <v>537</v>
      </c>
      <c r="B20">
        <v>51775</v>
      </c>
      <c r="C20">
        <v>62566</v>
      </c>
      <c r="D20">
        <v>64709</v>
      </c>
      <c r="E20">
        <v>66965</v>
      </c>
      <c r="F20">
        <v>75520</v>
      </c>
      <c r="G20" t="s">
        <v>538</v>
      </c>
    </row>
    <row r="21">
      <c r="A21" t="s">
        <v>539</v>
      </c>
      <c r="B21">
        <v>11827</v>
      </c>
      <c r="C21">
        <v>13227</v>
      </c>
      <c r="D21">
        <v>15227</v>
      </c>
      <c r="E21">
        <v>18103</v>
      </c>
      <c r="F21">
        <v>20576</v>
      </c>
      <c r="G21" t="s">
        <v>540</v>
      </c>
    </row>
    <row r="22">
      <c r="A22" t="s">
        <v>541</v>
      </c>
      <c r="B22">
        <v>142266</v>
      </c>
      <c r="C22">
        <v>155393</v>
      </c>
      <c r="D22">
        <v>164917</v>
      </c>
      <c r="E22">
        <v>179431</v>
      </c>
      <c r="F22">
        <v>218005</v>
      </c>
      <c r="G22" t="s">
        <v>542</v>
      </c>
    </row>
    <row r="23">
      <c r="A23" t="s">
        <v>543</v>
      </c>
    </row>
    <row r="24">
      <c r="A24" t="s">
        <v>544</v>
      </c>
      <c r="B24">
        <v>67651</v>
      </c>
      <c r="C24">
        <v>72968</v>
      </c>
      <c r="D24">
        <v>77297</v>
      </c>
      <c r="E24">
        <v>78277</v>
      </c>
      <c r="F24">
        <v>87339</v>
      </c>
      <c r="G24" t="s">
        <v>545</v>
      </c>
    </row>
    <row r="25">
      <c r="A25" t="s">
        <v>238</v>
      </c>
      <c r="B25">
        <v>48744</v>
      </c>
      <c r="C25">
        <v>67150</v>
      </c>
      <c r="D25">
        <v>58314</v>
      </c>
      <c r="E25">
        <v>52623</v>
      </c>
      <c r="F25">
        <v>65648</v>
      </c>
      <c r="G25" t="s">
        <v>546</v>
      </c>
    </row>
    <row r="26">
      <c r="A26" t="s">
        <v>547</v>
      </c>
      <c r="B26">
        <v>23643</v>
      </c>
      <c r="C26">
        <v>21121</v>
      </c>
      <c r="D26">
        <v>25451</v>
      </c>
      <c r="E26">
        <v>28593</v>
      </c>
      <c r="F26">
        <v>35985</v>
      </c>
      <c r="G26" t="s">
        <v>548</v>
      </c>
    </row>
    <row r="27">
      <c r="A27" t="s">
        <v>549</v>
      </c>
      <c r="B27">
        <v>282304</v>
      </c>
      <c r="C27">
        <v>316632</v>
      </c>
      <c r="D27">
        <v>325979</v>
      </c>
      <c r="E27">
        <v>338924</v>
      </c>
      <c r="F27">
        <v>406977</v>
      </c>
      <c r="G27" t="s">
        <v>550</v>
      </c>
    </row>
    <row r="29">
      <c r="A29" t="s">
        <v>551</v>
      </c>
    </row>
    <row r="30">
      <c r="A30" t="s">
        <v>552</v>
      </c>
      <c r="B30">
        <v>0</v>
      </c>
      <c r="C30">
        <v>0</v>
      </c>
      <c r="D30">
        <v>0</v>
      </c>
      <c r="E30">
        <v>0</v>
      </c>
      <c r="F30">
        <v>0</v>
      </c>
      <c r="G30" t="s">
        <v>553</v>
      </c>
    </row>
    <row r="31">
      <c r="A31" t="s">
        <v>554</v>
      </c>
      <c r="B31">
        <v>106</v>
      </c>
      <c r="C31">
        <v>108</v>
      </c>
      <c r="D31">
        <v>109</v>
      </c>
      <c r="E31">
        <v>111</v>
      </c>
      <c r="F31">
        <v>112</v>
      </c>
      <c r="G31" t="s">
        <v>555</v>
      </c>
    </row>
    <row r="32">
      <c r="A32" t="s">
        <v>556</v>
      </c>
      <c r="B32">
        <v>-1837</v>
      </c>
      <c r="C32">
        <v>-7837</v>
      </c>
      <c r="D32">
        <v>-7837</v>
      </c>
      <c r="E32">
        <v>-7837</v>
      </c>
      <c r="F32">
        <v>-7837</v>
      </c>
      <c r="G32" t="s">
        <v>557</v>
      </c>
    </row>
    <row r="33">
      <c r="A33" t="s">
        <v>558</v>
      </c>
      <c r="B33">
        <v>55437</v>
      </c>
      <c r="C33">
        <v>75066</v>
      </c>
      <c r="D33">
        <v>99025</v>
      </c>
      <c r="E33">
        <v>120864</v>
      </c>
      <c r="F33">
        <v>140024</v>
      </c>
      <c r="G33" t="s">
        <v>559</v>
      </c>
    </row>
    <row r="34">
      <c r="A34" t="s">
        <v>560</v>
      </c>
      <c r="B34">
        <v>-1376</v>
      </c>
      <c r="C34">
        <v>-4487</v>
      </c>
      <c r="D34">
        <v>-3040</v>
      </c>
      <c r="E34">
        <v>-34</v>
      </c>
      <c r="F34">
        <v>28230</v>
      </c>
      <c r="G34" t="s">
        <v>561</v>
      </c>
    </row>
    <row r="35">
      <c r="A35" t="s">
        <v>562</v>
      </c>
      <c r="B35">
        <v>85915</v>
      </c>
      <c r="C35">
        <v>83193</v>
      </c>
      <c r="D35">
        <v>113618</v>
      </c>
      <c r="E35">
        <v>172866</v>
      </c>
      <c r="F35">
        <v>250536</v>
      </c>
      <c r="G35" t="s">
        <v>563</v>
      </c>
    </row>
    <row r="36">
      <c r="A36" t="s">
        <v>564</v>
      </c>
      <c r="B36">
        <v>138245</v>
      </c>
      <c r="C36">
        <v>146043</v>
      </c>
      <c r="D36">
        <v>201875</v>
      </c>
      <c r="E36">
        <v>285970</v>
      </c>
      <c r="F36">
        <v>411065</v>
      </c>
      <c r="G36" t="s">
        <v>134</v>
      </c>
    </row>
    <row r="37">
      <c r="A37" t="s">
        <v>565</v>
      </c>
      <c r="B37">
        <v>420549</v>
      </c>
      <c r="C37">
        <v>462675</v>
      </c>
      <c r="D37">
        <v>527854</v>
      </c>
      <c r="E37">
        <v>624894</v>
      </c>
      <c r="F37">
        <v>818042</v>
      </c>
      <c r="G37" t="s">
        <v>566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FormatPr defaultColWidth="8.375" defaultRowHeight="15"/>
  <sheetData>
    <row r="1">
      <c r="A1" t="s">
        <v>567</v>
      </c>
    </row>
    <row r="2">
      <c r="A2" t="s">
        <v>568</v>
      </c>
    </row>
    <row r="4">
      <c r="A4" t="s">
        <v>463</v>
      </c>
      <c r="B4" t="s">
        <v>464</v>
      </c>
      <c r="C4" t="s">
        <v>465</v>
      </c>
      <c r="D4" t="s">
        <v>466</v>
      </c>
      <c r="E4" t="s">
        <v>467</v>
      </c>
      <c r="F4" t="s">
        <v>468</v>
      </c>
      <c r="G4" t="s">
        <v>469</v>
      </c>
    </row>
    <row r="5">
      <c r="A5" t="s">
        <v>569</v>
      </c>
      <c r="B5">
        <v>42377</v>
      </c>
      <c r="C5">
        <v>36477</v>
      </c>
      <c r="D5">
        <v>54253</v>
      </c>
      <c r="E5">
        <v>73890</v>
      </c>
      <c r="F5">
        <v>82312</v>
      </c>
      <c r="G5" t="s">
        <v>570</v>
      </c>
    </row>
    <row r="6">
      <c r="A6" t="s">
        <v>571</v>
      </c>
    </row>
    <row r="7">
      <c r="A7" t="s">
        <v>501</v>
      </c>
      <c r="B7">
        <v>33364</v>
      </c>
      <c r="C7">
        <v>-2722</v>
      </c>
      <c r="D7">
        <v>30425</v>
      </c>
      <c r="E7">
        <v>59248</v>
      </c>
      <c r="F7">
        <v>77670</v>
      </c>
      <c r="G7" t="s">
        <v>105</v>
      </c>
    </row>
    <row r="8">
      <c r="A8" t="s">
        <v>572</v>
      </c>
      <c r="B8">
        <v>34433</v>
      </c>
      <c r="C8">
        <v>41921</v>
      </c>
      <c r="D8">
        <v>48663</v>
      </c>
      <c r="E8">
        <v>52795</v>
      </c>
      <c r="F8">
        <v>65756</v>
      </c>
      <c r="G8" t="s">
        <v>573</v>
      </c>
    </row>
    <row r="9">
      <c r="A9" t="s">
        <v>574</v>
      </c>
      <c r="B9">
        <v>12757</v>
      </c>
      <c r="C9">
        <v>19621</v>
      </c>
      <c r="D9">
        <v>24023</v>
      </c>
      <c r="E9">
        <v>22011</v>
      </c>
      <c r="F9">
        <v>19467</v>
      </c>
      <c r="G9" t="s">
        <v>575</v>
      </c>
    </row>
    <row r="10">
      <c r="A10" t="s">
        <v>576</v>
      </c>
      <c r="B10">
        <v>-14306</v>
      </c>
      <c r="C10">
        <v>16966</v>
      </c>
      <c r="D10">
        <v>-748</v>
      </c>
      <c r="E10">
        <v>2012</v>
      </c>
      <c r="F10">
        <v>-14880</v>
      </c>
      <c r="G10" t="s">
        <v>577</v>
      </c>
    </row>
    <row r="11">
      <c r="A11" t="s">
        <v>578</v>
      </c>
      <c r="B11">
        <v>-310</v>
      </c>
      <c r="C11">
        <v>-8148</v>
      </c>
      <c r="D11">
        <v>-5876</v>
      </c>
      <c r="E11">
        <v>-4648</v>
      </c>
      <c r="F11">
        <v>11470</v>
      </c>
      <c r="G11" t="s">
        <v>579</v>
      </c>
    </row>
    <row r="12">
      <c r="A12" t="s">
        <v>519</v>
      </c>
      <c r="B12">
        <v>-9487</v>
      </c>
      <c r="C12">
        <v>-2592</v>
      </c>
      <c r="D12">
        <v>1449</v>
      </c>
      <c r="E12">
        <v>-1884</v>
      </c>
      <c r="F12">
        <v>-3002</v>
      </c>
      <c r="G12" t="s">
        <v>580</v>
      </c>
    </row>
    <row r="13">
      <c r="A13" t="s">
        <v>521</v>
      </c>
      <c r="C13">
        <v>-8622</v>
      </c>
      <c r="D13">
        <v>-8348</v>
      </c>
      <c r="E13">
        <v>-3249</v>
      </c>
      <c r="F13">
        <v>-7333</v>
      </c>
      <c r="G13" t="s">
        <v>581</v>
      </c>
    </row>
    <row r="14">
      <c r="A14" t="s">
        <v>532</v>
      </c>
      <c r="C14">
        <v>-13275</v>
      </c>
      <c r="D14">
        <v>-12265</v>
      </c>
      <c r="E14">
        <v>-14483</v>
      </c>
      <c r="F14">
        <v>-15632</v>
      </c>
      <c r="G14" t="s">
        <v>582</v>
      </c>
    </row>
    <row r="15">
      <c r="A15" t="s">
        <v>535</v>
      </c>
      <c r="B15">
        <v>3602</v>
      </c>
      <c r="C15">
        <v>2945</v>
      </c>
      <c r="D15">
        <v>5473</v>
      </c>
      <c r="E15">
        <v>2972</v>
      </c>
      <c r="F15">
        <v>11231</v>
      </c>
      <c r="G15" t="s">
        <v>583</v>
      </c>
    </row>
    <row r="16">
      <c r="A16" t="s">
        <v>537</v>
      </c>
      <c r="C16">
        <v>-1558</v>
      </c>
      <c r="D16">
        <v>-2428</v>
      </c>
      <c r="E16">
        <v>-2904</v>
      </c>
      <c r="F16">
        <v>-5019</v>
      </c>
      <c r="G16" t="s">
        <v>582</v>
      </c>
    </row>
    <row r="17">
      <c r="A17" t="s">
        <v>539</v>
      </c>
      <c r="C17">
        <v>2216</v>
      </c>
      <c r="D17">
        <v>4578</v>
      </c>
      <c r="E17">
        <v>4007</v>
      </c>
      <c r="F17">
        <v>-214</v>
      </c>
      <c r="G17" t="s">
        <v>582</v>
      </c>
    </row>
    <row r="18">
      <c r="A18" t="s">
        <v>584</v>
      </c>
      <c r="B18">
        <v>-13726</v>
      </c>
      <c r="G18" t="s">
        <v>585</v>
      </c>
    </row>
    <row r="19">
      <c r="A19" t="s">
        <v>586</v>
      </c>
      <c r="B19">
        <v>46327</v>
      </c>
      <c r="C19">
        <v>46752</v>
      </c>
      <c r="D19">
        <v>84946</v>
      </c>
      <c r="E19">
        <v>115877</v>
      </c>
      <c r="F19">
        <v>139514</v>
      </c>
      <c r="G19" t="s">
        <v>112</v>
      </c>
    </row>
    <row r="20">
      <c r="A20" t="s">
        <v>587</v>
      </c>
    </row>
    <row r="21">
      <c r="A21" t="s">
        <v>588</v>
      </c>
      <c r="B21">
        <v>-61053</v>
      </c>
      <c r="C21">
        <v>-63645</v>
      </c>
      <c r="D21">
        <v>-52729</v>
      </c>
      <c r="E21">
        <v>-82999</v>
      </c>
      <c r="F21">
        <v>-131819</v>
      </c>
      <c r="G21" t="s">
        <v>589</v>
      </c>
    </row>
    <row r="22">
      <c r="A22" t="s">
        <v>590</v>
      </c>
      <c r="C22">
        <v>5324</v>
      </c>
      <c r="D22">
        <v>4596</v>
      </c>
      <c r="E22">
        <v>5341</v>
      </c>
      <c r="F22">
        <v>3499</v>
      </c>
      <c r="G22" t="s">
        <v>582</v>
      </c>
    </row>
    <row r="23">
      <c r="A23" t="s">
        <v>591</v>
      </c>
      <c r="C23">
        <v>-8316</v>
      </c>
      <c r="D23">
        <v>-5839</v>
      </c>
      <c r="E23">
        <v>-7082</v>
      </c>
      <c r="F23">
        <v>-3841</v>
      </c>
      <c r="G23" t="s">
        <v>582</v>
      </c>
    </row>
    <row r="24">
      <c r="A24" t="s">
        <v>592</v>
      </c>
      <c r="B24">
        <v>3672</v>
      </c>
      <c r="G24" t="s">
        <v>593</v>
      </c>
    </row>
    <row r="25">
      <c r="A25" t="s">
        <v>594</v>
      </c>
      <c r="B25">
        <v>59384</v>
      </c>
      <c r="C25">
        <v>31601</v>
      </c>
      <c r="D25">
        <v>5627</v>
      </c>
      <c r="E25">
        <v>16403</v>
      </c>
      <c r="F25">
        <v>44386</v>
      </c>
      <c r="G25" t="s">
        <v>595</v>
      </c>
    </row>
    <row r="26">
      <c r="A26" t="s">
        <v>596</v>
      </c>
      <c r="B26">
        <v>-60157</v>
      </c>
      <c r="C26">
        <v>-2565</v>
      </c>
      <c r="D26">
        <v>-1488</v>
      </c>
      <c r="E26">
        <v>-26005</v>
      </c>
      <c r="F26">
        <v>-54770</v>
      </c>
      <c r="G26" t="s">
        <v>597</v>
      </c>
    </row>
    <row r="27">
      <c r="A27" t="s">
        <v>598</v>
      </c>
      <c r="B27">
        <v>-58154</v>
      </c>
      <c r="C27">
        <v>-37601</v>
      </c>
      <c r="D27">
        <v>-49833</v>
      </c>
      <c r="E27">
        <v>-94342</v>
      </c>
      <c r="F27">
        <v>-142545</v>
      </c>
      <c r="G27" t="s">
        <v>599</v>
      </c>
    </row>
    <row r="28">
      <c r="A28" t="s">
        <v>600</v>
      </c>
    </row>
    <row r="29">
      <c r="A29" t="s">
        <v>601</v>
      </c>
      <c r="B29">
        <v>7956</v>
      </c>
      <c r="C29">
        <v>41553</v>
      </c>
      <c r="D29">
        <v>18129</v>
      </c>
      <c r="E29">
        <v>5142</v>
      </c>
      <c r="F29">
        <v>9320</v>
      </c>
      <c r="G29" t="s">
        <v>602</v>
      </c>
    </row>
    <row r="30">
      <c r="A30" t="s">
        <v>603</v>
      </c>
      <c r="B30">
        <v>-7753</v>
      </c>
      <c r="C30">
        <v>-37554</v>
      </c>
      <c r="D30">
        <v>-25677</v>
      </c>
      <c r="E30">
        <v>-5060</v>
      </c>
      <c r="F30">
        <v>-8426</v>
      </c>
      <c r="G30" t="s">
        <v>604</v>
      </c>
    </row>
    <row r="31">
      <c r="A31" t="s">
        <v>605</v>
      </c>
      <c r="B31">
        <v>19003</v>
      </c>
      <c r="C31">
        <v>21166</v>
      </c>
      <c r="D31">
        <v>0</v>
      </c>
      <c r="E31">
        <v>0</v>
      </c>
      <c r="F31">
        <v>15673</v>
      </c>
      <c r="G31" t="s">
        <v>606</v>
      </c>
    </row>
    <row r="32">
      <c r="A32" t="s">
        <v>607</v>
      </c>
      <c r="B32">
        <v>-1590</v>
      </c>
      <c r="C32">
        <v>-1258</v>
      </c>
      <c r="D32">
        <v>-3676</v>
      </c>
      <c r="E32">
        <v>-9182</v>
      </c>
      <c r="F32">
        <v>-5021</v>
      </c>
      <c r="G32" t="s">
        <v>608</v>
      </c>
    </row>
    <row r="33">
      <c r="A33" t="s">
        <v>609</v>
      </c>
      <c r="B33">
        <v>-11163</v>
      </c>
      <c r="C33">
        <v>-7941</v>
      </c>
      <c r="D33">
        <v>-4384</v>
      </c>
      <c r="E33">
        <v>-2043</v>
      </c>
      <c r="F33">
        <v>-1557</v>
      </c>
      <c r="G33" t="s">
        <v>610</v>
      </c>
    </row>
    <row r="34">
      <c r="A34" t="s">
        <v>611</v>
      </c>
      <c r="C34">
        <v>-6000</v>
      </c>
      <c r="D34">
        <v>0</v>
      </c>
      <c r="E34">
        <v>0</v>
      </c>
      <c r="F34">
        <v>0</v>
      </c>
      <c r="G34" t="s">
        <v>582</v>
      </c>
    </row>
    <row r="35">
      <c r="A35" t="s">
        <v>612</v>
      </c>
      <c r="C35">
        <v>-248</v>
      </c>
      <c r="D35">
        <v>-271</v>
      </c>
      <c r="E35">
        <v>-669</v>
      </c>
      <c r="F35">
        <v>-328</v>
      </c>
      <c r="G35" t="s">
        <v>582</v>
      </c>
    </row>
    <row r="36">
      <c r="A36" t="s">
        <v>613</v>
      </c>
      <c r="B36">
        <v>-162</v>
      </c>
      <c r="G36" t="s">
        <v>614</v>
      </c>
    </row>
    <row r="37">
      <c r="A37" t="s">
        <v>615</v>
      </c>
      <c r="B37">
        <v>6291</v>
      </c>
      <c r="C37">
        <v>9718</v>
      </c>
      <c r="D37">
        <v>-15879</v>
      </c>
      <c r="E37">
        <v>-11812</v>
      </c>
      <c r="F37">
        <v>9661</v>
      </c>
      <c r="G37" t="s">
        <v>616</v>
      </c>
    </row>
    <row r="38">
      <c r="A38" t="s">
        <v>617</v>
      </c>
      <c r="B38">
        <v>-364</v>
      </c>
      <c r="C38">
        <v>-1093</v>
      </c>
      <c r="D38">
        <v>403</v>
      </c>
      <c r="E38">
        <v>-1301</v>
      </c>
      <c r="F38">
        <v>1164</v>
      </c>
      <c r="G38" t="s">
        <v>618</v>
      </c>
    </row>
    <row r="39">
      <c r="A39" t="s">
        <v>619</v>
      </c>
      <c r="B39">
        <v>-5900</v>
      </c>
      <c r="C39">
        <v>17776</v>
      </c>
      <c r="D39">
        <v>19637</v>
      </c>
      <c r="E39">
        <v>8422</v>
      </c>
      <c r="F39">
        <v>7794</v>
      </c>
      <c r="G39" t="s">
        <v>620</v>
      </c>
    </row>
    <row r="40">
      <c r="A40" t="s">
        <v>621</v>
      </c>
      <c r="B40">
        <v>36477</v>
      </c>
      <c r="C40">
        <v>54253</v>
      </c>
      <c r="D40">
        <v>73890</v>
      </c>
      <c r="E40">
        <v>82312</v>
      </c>
      <c r="F40">
        <v>90106</v>
      </c>
      <c r="G40" t="s">
        <v>622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ColWidth="8.375" defaultRowHeight="15"/>
  <sheetData>
    <row r="1">
      <c r="A1" t="s">
        <v>623</v>
      </c>
    </row>
    <row r="2">
      <c r="A2" t="s">
        <v>624</v>
      </c>
    </row>
    <row r="4">
      <c r="A4" t="s">
        <v>463</v>
      </c>
      <c r="B4" t="s">
        <v>464</v>
      </c>
      <c r="C4" t="s">
        <v>465</v>
      </c>
      <c r="D4" t="s">
        <v>466</v>
      </c>
      <c r="E4" t="s">
        <v>467</v>
      </c>
      <c r="F4" t="s">
        <v>468</v>
      </c>
      <c r="G4" t="s">
        <v>469</v>
      </c>
    </row>
    <row r="5">
      <c r="A5" t="s">
        <v>625</v>
      </c>
      <c r="C5">
        <v>138245</v>
      </c>
      <c r="D5">
        <v>146043</v>
      </c>
      <c r="E5">
        <v>201875</v>
      </c>
      <c r="F5">
        <v>285970</v>
      </c>
      <c r="G5" t="s">
        <v>626</v>
      </c>
    </row>
    <row r="6">
      <c r="A6" t="s">
        <v>104</v>
      </c>
      <c r="B6">
        <v>33364</v>
      </c>
      <c r="C6">
        <v>-2722</v>
      </c>
      <c r="D6">
        <v>30425</v>
      </c>
      <c r="E6">
        <v>59248</v>
      </c>
      <c r="F6">
        <v>77670</v>
      </c>
      <c r="G6" t="s">
        <v>627</v>
      </c>
    </row>
    <row r="7">
      <c r="A7" t="s">
        <v>628</v>
      </c>
      <c r="D7">
        <v>1447</v>
      </c>
      <c r="E7">
        <v>3006</v>
      </c>
      <c r="F7">
        <v>28264</v>
      </c>
      <c r="G7" t="s">
        <v>629</v>
      </c>
    </row>
    <row r="8">
      <c r="A8" t="s">
        <v>630</v>
      </c>
      <c r="D8">
        <v>23960</v>
      </c>
      <c r="E8">
        <v>21841</v>
      </c>
      <c r="F8">
        <v>19161</v>
      </c>
      <c r="G8" t="s">
        <v>631</v>
      </c>
    </row>
    <row r="9">
      <c r="A9" t="s">
        <v>632</v>
      </c>
      <c r="B9">
        <v>138245</v>
      </c>
      <c r="C9">
        <v>146043</v>
      </c>
      <c r="D9">
        <v>201875</v>
      </c>
      <c r="E9">
        <v>285970</v>
      </c>
      <c r="F9">
        <v>411065</v>
      </c>
      <c r="G9" t="s">
        <v>633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ColWidth="8.375" defaultRowHeight="15"/>
  <sheetData>
    <row r="1">
      <c r="A1" t="s">
        <v>634</v>
      </c>
    </row>
    <row r="2">
      <c r="A2" t="s">
        <v>635</v>
      </c>
      <c r="B2" t="str">
        <f>IF(COUNTIF(G5:G25,"FAIL")=0,"OK — ALL TIE-OUTS PASS","FAIL")</f>
        <v>OK — ALL TIE-OUTS PASS</v>
      </c>
    </row>
    <row r="4">
      <c r="A4" t="s">
        <v>636</v>
      </c>
      <c r="B4" t="s">
        <v>464</v>
      </c>
      <c r="C4" t="s">
        <v>465</v>
      </c>
      <c r="D4" t="s">
        <v>466</v>
      </c>
      <c r="E4" t="s">
        <v>467</v>
      </c>
      <c r="F4" t="s">
        <v>468</v>
      </c>
      <c r="G4" t="s">
        <v>233</v>
      </c>
    </row>
    <row r="5">
      <c r="A5" t="s">
        <v>637</v>
      </c>
      <c r="B5">
        <f>IS_Hist!B7+SUM(IS_Hist!B8:B13)-IS_Hist!B14</f>
        <v>0</v>
      </c>
      <c r="C5">
        <f>IS_Hist!C7+SUM(IS_Hist!C8:C13)-IS_Hist!C14</f>
        <v>0</v>
      </c>
      <c r="D5">
        <f>IS_Hist!D7+SUM(IS_Hist!D8:D13)-IS_Hist!D14</f>
        <v>0</v>
      </c>
      <c r="E5">
        <f>IS_Hist!E7+SUM(IS_Hist!E8:E13)-IS_Hist!E14</f>
        <v>0</v>
      </c>
      <c r="F5">
        <f>IS_Hist!F7+SUM(IS_Hist!F8:F13)-IS_Hist!F14</f>
        <v>0</v>
      </c>
      <c r="G5" t="str">
        <f>IF(AND(ABS(N(B5))&lt;=0.5,ABS(N(C5))&lt;=0.5,ABS(N(D5))&lt;=0.5,ABS(N(E5))&lt;=0.5,ABS(N(F5))&lt;=0.5),"PASS","FAIL")</f>
        <v>PASS</v>
      </c>
    </row>
    <row r="6">
      <c r="A6" t="s">
        <v>638</v>
      </c>
      <c r="B6">
        <f>IS_Hist!B5-IS_Hist!B14-IS_Hist!B15</f>
        <v>0</v>
      </c>
      <c r="C6">
        <f>IS_Hist!C5-IS_Hist!C14-IS_Hist!C15</f>
        <v>0</v>
      </c>
      <c r="D6">
        <f>IS_Hist!D5-IS_Hist!D14-IS_Hist!D15</f>
        <v>0</v>
      </c>
      <c r="E6">
        <f>IS_Hist!E5-IS_Hist!E14-IS_Hist!E15</f>
        <v>0</v>
      </c>
      <c r="F6">
        <f>IS_Hist!F5-IS_Hist!F14-IS_Hist!F15</f>
        <v>0</v>
      </c>
      <c r="G6" t="str">
        <f>IF(AND(ABS(N(B6))&lt;=0.5,ABS(N(C6))&lt;=0.5,ABS(N(D6))&lt;=0.5,ABS(N(E6))&lt;=0.5,ABS(N(F6))&lt;=0.5),"PASS","FAIL")</f>
        <v>PASS</v>
      </c>
    </row>
    <row r="7">
      <c r="A7" t="s">
        <v>639</v>
      </c>
      <c r="B7">
        <f>IS_Hist!B16+IS_Hist!B17+IS_Hist!B18-IS_Hist!B19</f>
        <v>0</v>
      </c>
      <c r="C7">
        <f>IS_Hist!C16+IS_Hist!C17+IS_Hist!C18-IS_Hist!C19</f>
        <v>0</v>
      </c>
      <c r="D7">
        <f>IS_Hist!D16+IS_Hist!D17+IS_Hist!D18-IS_Hist!D19</f>
        <v>0</v>
      </c>
      <c r="E7">
        <f>IS_Hist!E16+IS_Hist!E17+IS_Hist!E18-IS_Hist!E19</f>
        <v>0</v>
      </c>
      <c r="F7">
        <f>IS_Hist!F16+IS_Hist!F17+IS_Hist!F18-IS_Hist!F19</f>
        <v>0</v>
      </c>
      <c r="G7" t="str">
        <f>IF(AND(ABS(N(B7))&lt;=0.5,ABS(N(C7))&lt;=0.5,ABS(N(D7))&lt;=0.5,ABS(N(E7))&lt;=0.5,ABS(N(F7))&lt;=0.5),"PASS","FAIL")</f>
        <v>PASS</v>
      </c>
    </row>
    <row r="8">
      <c r="A8" t="s">
        <v>640</v>
      </c>
      <c r="B8">
        <f>IS_Hist!B15+IS_Hist!B19-IS_Hist!B20</f>
        <v>0</v>
      </c>
      <c r="C8">
        <f>IS_Hist!C15+IS_Hist!C19-IS_Hist!C20</f>
        <v>0</v>
      </c>
      <c r="D8">
        <f>IS_Hist!D15+IS_Hist!D19-IS_Hist!D20</f>
        <v>0</v>
      </c>
      <c r="E8">
        <f>IS_Hist!E15+IS_Hist!E19-IS_Hist!E20</f>
        <v>0</v>
      </c>
      <c r="F8">
        <f>IS_Hist!F15+IS_Hist!F19-IS_Hist!F20</f>
        <v>0</v>
      </c>
      <c r="G8" t="str">
        <f>IF(AND(ABS(N(B8))&lt;=0.5,ABS(N(C8))&lt;=0.5,ABS(N(D8))&lt;=0.5,ABS(N(E8))&lt;=0.5,ABS(N(F8))&lt;=0.5),"PASS","FAIL")</f>
        <v>PASS</v>
      </c>
    </row>
    <row r="9">
      <c r="A9" t="s">
        <v>641</v>
      </c>
      <c r="B9">
        <f>IS_Hist!B20+IS_Hist!B21+IS_Hist!B22-IS_Hist!B23</f>
        <v>0</v>
      </c>
      <c r="C9">
        <f>IS_Hist!C20+IS_Hist!C21+IS_Hist!C22-IS_Hist!C23</f>
        <v>0</v>
      </c>
      <c r="D9">
        <f>IS_Hist!D20+IS_Hist!D21+IS_Hist!D22-IS_Hist!D23</f>
        <v>0</v>
      </c>
      <c r="E9">
        <f>IS_Hist!E20+IS_Hist!E21+IS_Hist!E22-IS_Hist!E23</f>
        <v>0</v>
      </c>
      <c r="F9">
        <f>IS_Hist!F20+IS_Hist!F21+IS_Hist!F22-IS_Hist!F23</f>
        <v>0</v>
      </c>
      <c r="G9" t="str">
        <f>IF(AND(ABS(N(B9))&lt;=0.5,ABS(N(C9))&lt;=0.5,ABS(N(D9))&lt;=0.5,ABS(N(E9))&lt;=0.5,ABS(N(F9))&lt;=0.5),"PASS","FAIL")</f>
        <v>PASS</v>
      </c>
    </row>
    <row r="10">
      <c r="A10" t="s">
        <v>642</v>
      </c>
      <c r="B10">
        <f>IF(ISBLANK(IS_Hist!B31),0,IS_Hist!B31+IS_Hist!B32-IS_Hist!B5)</f>
        <v>0</v>
      </c>
      <c r="C10">
        <f>IF(ISBLANK(IS_Hist!C31),0,IS_Hist!C31+IS_Hist!C32-IS_Hist!C5)</f>
        <v>0</v>
      </c>
      <c r="D10">
        <f>IF(ISBLANK(IS_Hist!D31),0,IS_Hist!D31+IS_Hist!D32-IS_Hist!D5)</f>
        <v>0</v>
      </c>
      <c r="E10">
        <f>IF(ISBLANK(IS_Hist!E31),0,IS_Hist!E31+IS_Hist!E32-IS_Hist!E5)</f>
        <v>0</v>
      </c>
      <c r="F10">
        <f>IF(ISBLANK(IS_Hist!F31),0,IS_Hist!F31+IS_Hist!F32-IS_Hist!F5)</f>
        <v>0</v>
      </c>
      <c r="G10" t="str">
        <f>IF(AND(ABS(N(B10))&lt;=0.5,ABS(N(C10))&lt;=0.5,ABS(N(D10))&lt;=0.5,ABS(N(E10))&lt;=0.5,ABS(N(F10))&lt;=0.5),"PASS","FAIL")</f>
        <v>PASS</v>
      </c>
    </row>
    <row r="11">
      <c r="A11" t="s">
        <v>643</v>
      </c>
      <c r="B11">
        <f>SUM(BS_Hist!B6:B9)-BS_Hist!B10</f>
        <v>0</v>
      </c>
      <c r="C11">
        <f>SUM(BS_Hist!C6:C9)-BS_Hist!C10</f>
        <v>0</v>
      </c>
      <c r="D11">
        <f>SUM(BS_Hist!D6:D9)-BS_Hist!D10</f>
        <v>0</v>
      </c>
      <c r="E11">
        <f>SUM(BS_Hist!E6:E9)-BS_Hist!E10</f>
        <v>0</v>
      </c>
      <c r="F11">
        <f>SUM(BS_Hist!F6:F9)-BS_Hist!F10</f>
        <v>0</v>
      </c>
      <c r="G11" t="str">
        <f>IF(AND(ABS(N(B11))&lt;=0.5,ABS(N(C11))&lt;=0.5,ABS(N(D11))&lt;=0.5,ABS(N(E11))&lt;=0.5,ABS(N(F11))&lt;=0.5),"PASS","FAIL")</f>
        <v>PASS</v>
      </c>
    </row>
    <row r="12">
      <c r="A12" t="s">
        <v>644</v>
      </c>
      <c r="B12">
        <f>BS_Hist!B10+BS_Hist!B12+BS_Hist!B13+BS_Hist!B14+BS_Hist!B15-BS_Hist!B16</f>
        <v>0</v>
      </c>
      <c r="C12">
        <f>BS_Hist!C10+BS_Hist!C12+BS_Hist!C13+BS_Hist!C14+BS_Hist!C15-BS_Hist!C16</f>
        <v>0</v>
      </c>
      <c r="D12">
        <f>BS_Hist!D10+BS_Hist!D12+BS_Hist!D13+BS_Hist!D14+BS_Hist!D15-BS_Hist!D16</f>
        <v>0</v>
      </c>
      <c r="E12">
        <f>BS_Hist!E10+BS_Hist!E12+BS_Hist!E13+BS_Hist!E14+BS_Hist!E15-BS_Hist!E16</f>
        <v>0</v>
      </c>
      <c r="F12">
        <f>BS_Hist!F10+BS_Hist!F12+BS_Hist!F13+BS_Hist!F14+BS_Hist!F15-BS_Hist!F16</f>
        <v>0</v>
      </c>
      <c r="G12" t="str">
        <f>IF(AND(ABS(N(B12))&lt;=0.5,ABS(N(C12))&lt;=0.5,ABS(N(D12))&lt;=0.5,ABS(N(E12))&lt;=0.5,ABS(N(F12))&lt;=0.5),"PASS","FAIL")</f>
        <v>PASS</v>
      </c>
    </row>
    <row r="13">
      <c r="A13" t="s">
        <v>645</v>
      </c>
      <c r="B13">
        <f>SUM(BS_Hist!B19:B21)-BS_Hist!B22</f>
        <v>0</v>
      </c>
      <c r="C13">
        <f>SUM(BS_Hist!C19:C21)-BS_Hist!C22</f>
        <v>0</v>
      </c>
      <c r="D13">
        <f>SUM(BS_Hist!D19:D21)-BS_Hist!D22</f>
        <v>0</v>
      </c>
      <c r="E13">
        <f>SUM(BS_Hist!E19:E21)-BS_Hist!E22</f>
        <v>0</v>
      </c>
      <c r="F13">
        <f>SUM(BS_Hist!F19:F21)-BS_Hist!F22</f>
        <v>0</v>
      </c>
      <c r="G13" t="str">
        <f>IF(AND(ABS(N(B13))&lt;=0.5,ABS(N(C13))&lt;=0.5,ABS(N(D13))&lt;=0.5,ABS(N(E13))&lt;=0.5,ABS(N(F13))&lt;=0.5),"PASS","FAIL")</f>
        <v>PASS</v>
      </c>
    </row>
    <row r="14">
      <c r="A14" t="s">
        <v>646</v>
      </c>
      <c r="B14">
        <f>BS_Hist!B22+BS_Hist!B24+BS_Hist!B25+BS_Hist!B26-BS_Hist!B27</f>
        <v>0</v>
      </c>
      <c r="C14">
        <f>BS_Hist!C22+BS_Hist!C24+BS_Hist!C25+BS_Hist!C26-BS_Hist!C27</f>
        <v>0</v>
      </c>
      <c r="D14">
        <f>BS_Hist!D22+BS_Hist!D24+BS_Hist!D25+BS_Hist!D26-BS_Hist!D27</f>
        <v>0</v>
      </c>
      <c r="E14">
        <f>BS_Hist!E22+BS_Hist!E24+BS_Hist!E25+BS_Hist!E26-BS_Hist!E27</f>
        <v>0</v>
      </c>
      <c r="F14">
        <f>BS_Hist!F22+BS_Hist!F24+BS_Hist!F25+BS_Hist!F26-BS_Hist!F27</f>
        <v>0</v>
      </c>
      <c r="G14" t="str">
        <f>IF(AND(ABS(N(B14))&lt;=0.5,ABS(N(C14))&lt;=0.5,ABS(N(D14))&lt;=0.5,ABS(N(E14))&lt;=0.5,ABS(N(F14))&lt;=0.5),"PASS","FAIL")</f>
        <v>PASS</v>
      </c>
    </row>
    <row r="15">
      <c r="A15" t="s">
        <v>647</v>
      </c>
      <c r="B15">
        <f>SUM(BS_Hist!B30:B35)-BS_Hist!B36</f>
        <v>0</v>
      </c>
      <c r="C15">
        <f>SUM(BS_Hist!C30:C35)-BS_Hist!C36</f>
        <v>0</v>
      </c>
      <c r="D15">
        <f>SUM(BS_Hist!D30:D35)-BS_Hist!D36</f>
        <v>0</v>
      </c>
      <c r="E15">
        <f>SUM(BS_Hist!E30:E35)-BS_Hist!E36</f>
        <v>0</v>
      </c>
      <c r="F15">
        <f>SUM(BS_Hist!F30:F35)-BS_Hist!F36</f>
        <v>0</v>
      </c>
      <c r="G15" t="str">
        <f>IF(AND(ABS(N(B15))&lt;=0.5,ABS(N(C15))&lt;=0.5,ABS(N(D15))&lt;=0.5,ABS(N(E15))&lt;=0.5,ABS(N(F15))&lt;=0.5),"PASS","FAIL")</f>
        <v>PASS</v>
      </c>
    </row>
    <row r="16">
      <c r="A16" t="s">
        <v>648</v>
      </c>
      <c r="B16">
        <f>BS_Hist!B27+BS_Hist!B36-BS_Hist!B37</f>
        <v>0</v>
      </c>
      <c r="C16">
        <f>BS_Hist!C27+BS_Hist!C36-BS_Hist!C37</f>
        <v>0</v>
      </c>
      <c r="D16">
        <f>BS_Hist!D27+BS_Hist!D36-BS_Hist!D37</f>
        <v>0</v>
      </c>
      <c r="E16">
        <f>BS_Hist!E27+BS_Hist!E36-BS_Hist!E37</f>
        <v>0</v>
      </c>
      <c r="F16">
        <f>BS_Hist!F27+BS_Hist!F36-BS_Hist!F37</f>
        <v>0</v>
      </c>
      <c r="G16" t="str">
        <f>IF(AND(ABS(N(B16))&lt;=0.5,ABS(N(C16))&lt;=0.5,ABS(N(D16))&lt;=0.5,ABS(N(E16))&lt;=0.5,ABS(N(F16))&lt;=0.5),"PASS","FAIL")</f>
        <v>PASS</v>
      </c>
    </row>
    <row r="17">
      <c r="A17" t="s">
        <v>649</v>
      </c>
      <c r="B17">
        <f>BS_Hist!B16-BS_Hist!B37</f>
        <v>0</v>
      </c>
      <c r="C17">
        <f>BS_Hist!C16-BS_Hist!C37</f>
        <v>0</v>
      </c>
      <c r="D17">
        <f>BS_Hist!D16-BS_Hist!D37</f>
        <v>0</v>
      </c>
      <c r="E17">
        <f>BS_Hist!E16-BS_Hist!E37</f>
        <v>0</v>
      </c>
      <c r="F17">
        <f>BS_Hist!F16-BS_Hist!F37</f>
        <v>0</v>
      </c>
      <c r="G17" t="str">
        <f>IF(AND(ABS(N(B17))&lt;=0.5,ABS(N(C17))&lt;=0.5,ABS(N(D17))&lt;=0.5,ABS(N(E17))&lt;=0.5,ABS(N(F17))&lt;=0.5),"PASS","FAIL")</f>
        <v>PASS</v>
      </c>
    </row>
    <row r="18">
      <c r="A18" t="s">
        <v>650</v>
      </c>
      <c r="B18">
        <f>SUM(CF_Hist!B7:B18)-CF_Hist!B19</f>
        <v>0</v>
      </c>
      <c r="C18">
        <f>SUM(CF_Hist!C7:C18)-CF_Hist!C19</f>
        <v>0</v>
      </c>
      <c r="D18">
        <f>SUM(CF_Hist!D7:D18)-CF_Hist!D19</f>
        <v>0</v>
      </c>
      <c r="E18">
        <f>SUM(CF_Hist!E7:E18)-CF_Hist!E19</f>
        <v>0</v>
      </c>
      <c r="F18">
        <f>SUM(CF_Hist!F7:F18)-CF_Hist!F19</f>
        <v>0</v>
      </c>
      <c r="G18" t="str">
        <f>IF(AND(ABS(N(B18))&lt;=0.5,ABS(N(C18))&lt;=0.5,ABS(N(D18))&lt;=0.5,ABS(N(E18))&lt;=0.5,ABS(N(F18))&lt;=0.5),"PASS","FAIL")</f>
        <v>PASS</v>
      </c>
    </row>
    <row r="19">
      <c r="A19" t="s">
        <v>651</v>
      </c>
      <c r="B19">
        <f>SUM(CF_Hist!B21:B26)-CF_Hist!B27</f>
        <v>0</v>
      </c>
      <c r="C19">
        <f>SUM(CF_Hist!C21:C26)-CF_Hist!C27</f>
        <v>0</v>
      </c>
      <c r="D19">
        <f>SUM(CF_Hist!D21:D26)-CF_Hist!D27</f>
        <v>0</v>
      </c>
      <c r="E19">
        <f>SUM(CF_Hist!E21:E26)-CF_Hist!E27</f>
        <v>0</v>
      </c>
      <c r="F19">
        <f>SUM(CF_Hist!F21:F26)-CF_Hist!F27</f>
        <v>0</v>
      </c>
      <c r="G19" t="str">
        <f>IF(AND(ABS(N(B19))&lt;=0.5,ABS(N(C19))&lt;=0.5,ABS(N(D19))&lt;=0.5,ABS(N(E19))&lt;=0.5,ABS(N(F19))&lt;=0.5),"PASS","FAIL")</f>
        <v>PASS</v>
      </c>
    </row>
    <row r="20">
      <c r="A20" t="s">
        <v>652</v>
      </c>
      <c r="B20">
        <f>SUM(CF_Hist!B29:B36)-CF_Hist!B37</f>
        <v>0</v>
      </c>
      <c r="C20">
        <f>SUM(CF_Hist!C29:C36)-CF_Hist!C37</f>
        <v>0</v>
      </c>
      <c r="D20">
        <f>SUM(CF_Hist!D29:D36)-CF_Hist!D37</f>
        <v>0</v>
      </c>
      <c r="E20">
        <f>SUM(CF_Hist!E29:E36)-CF_Hist!E37</f>
        <v>0</v>
      </c>
      <c r="F20">
        <f>SUM(CF_Hist!F29:F36)-CF_Hist!F37</f>
        <v>0</v>
      </c>
      <c r="G20" t="str">
        <f>IF(AND(ABS(N(B20))&lt;=0.5,ABS(N(C20))&lt;=0.5,ABS(N(D20))&lt;=0.5,ABS(N(E20))&lt;=0.5,ABS(N(F20))&lt;=0.5),"PASS","FAIL")</f>
        <v>PASS</v>
      </c>
    </row>
    <row r="21">
      <c r="A21" t="s">
        <v>653</v>
      </c>
      <c r="B21">
        <f>CF_Hist!B19+CF_Hist!B27+CF_Hist!B37+CF_Hist!B38-CF_Hist!B39</f>
        <v>0</v>
      </c>
      <c r="C21">
        <f>CF_Hist!C19+CF_Hist!C27+CF_Hist!C37+CF_Hist!C38-CF_Hist!C39</f>
        <v>0</v>
      </c>
      <c r="D21">
        <f>CF_Hist!D19+CF_Hist!D27+CF_Hist!D37+CF_Hist!D38-CF_Hist!D39</f>
        <v>0</v>
      </c>
      <c r="E21">
        <f>CF_Hist!E19+CF_Hist!E27+CF_Hist!E37+CF_Hist!E38-CF_Hist!E39</f>
        <v>0</v>
      </c>
      <c r="F21">
        <f>CF_Hist!F19+CF_Hist!F27+CF_Hist!F37+CF_Hist!F38-CF_Hist!F39</f>
        <v>0</v>
      </c>
      <c r="G21" t="str">
        <f>IF(AND(ABS(N(B21))&lt;=0.5,ABS(N(C21))&lt;=0.5,ABS(N(D21))&lt;=0.5,ABS(N(E21))&lt;=0.5,ABS(N(F21))&lt;=0.5),"PASS","FAIL")</f>
        <v>PASS</v>
      </c>
    </row>
    <row r="22">
      <c r="A22" t="s">
        <v>654</v>
      </c>
      <c r="B22">
        <f>CF_Hist!B5+CF_Hist!B39-CF_Hist!B40</f>
        <v>0</v>
      </c>
      <c r="C22">
        <f>CF_Hist!C5+CF_Hist!C39-CF_Hist!C40</f>
        <v>0</v>
      </c>
      <c r="D22">
        <f>CF_Hist!D5+CF_Hist!D39-CF_Hist!D40</f>
        <v>0</v>
      </c>
      <c r="E22">
        <f>CF_Hist!E5+CF_Hist!E39-CF_Hist!E40</f>
        <v>0</v>
      </c>
      <c r="F22">
        <f>CF_Hist!F5+CF_Hist!F39-CF_Hist!F40</f>
        <v>0</v>
      </c>
      <c r="G22" t="str">
        <f>IF(AND(ABS(N(B22))&lt;=0.5,ABS(N(C22))&lt;=0.5,ABS(N(D22))&lt;=0.5,ABS(N(E22))&lt;=0.5,ABS(N(F22))&lt;=0.5),"PASS","FAIL")</f>
        <v>PASS</v>
      </c>
    </row>
    <row r="23">
      <c r="A23" t="s">
        <v>655</v>
      </c>
      <c r="B23">
        <f>CF_Hist!B7-IS_Hist!B23</f>
        <v>0</v>
      </c>
      <c r="C23">
        <f>CF_Hist!C7-IS_Hist!C23</f>
        <v>0</v>
      </c>
      <c r="D23">
        <f>CF_Hist!D7-IS_Hist!D23</f>
        <v>0</v>
      </c>
      <c r="E23">
        <f>CF_Hist!E7-IS_Hist!E23</f>
        <v>0</v>
      </c>
      <c r="F23">
        <f>CF_Hist!F7-IS_Hist!F23</f>
        <v>0</v>
      </c>
      <c r="G23" t="str">
        <f>IF(AND(ABS(N(B23))&lt;=0.5,ABS(N(C23))&lt;=0.5,ABS(N(D23))&lt;=0.5,ABS(N(E23))&lt;=0.5,ABS(N(F23))&lt;=0.5),"PASS","FAIL")</f>
        <v>PASS</v>
      </c>
    </row>
    <row r="24">
      <c r="A24" t="s">
        <v>656</v>
      </c>
      <c r="B24">
        <f>SCE_Hist!B9-BS_Hist!B36</f>
        <v>0</v>
      </c>
      <c r="C24">
        <f>SCE_Hist!C9-BS_Hist!C36</f>
        <v>0</v>
      </c>
      <c r="D24">
        <f>SCE_Hist!D9-BS_Hist!D36</f>
        <v>0</v>
      </c>
      <c r="E24">
        <f>SCE_Hist!E9-BS_Hist!E36</f>
        <v>0</v>
      </c>
      <c r="F24">
        <f>SCE_Hist!F9-BS_Hist!F36</f>
        <v>0</v>
      </c>
      <c r="G24" t="str">
        <f>IF(AND(ABS(N(B24))&lt;=0.5,ABS(N(C24))&lt;=0.5,ABS(N(D24))&lt;=0.5,ABS(N(E24))&lt;=0.5,ABS(N(F24))&lt;=0.5),"PASS","FAIL")</f>
        <v>PASS</v>
      </c>
    </row>
    <row r="25">
      <c r="A25" t="s">
        <v>657</v>
      </c>
      <c r="C25">
        <f>CF_Hist!C5-CF_Hist!B40</f>
        <v>0</v>
      </c>
      <c r="D25">
        <f>CF_Hist!D5-CF_Hist!C40</f>
        <v>0</v>
      </c>
      <c r="E25">
        <f>CF_Hist!E5-CF_Hist!D40</f>
        <v>0</v>
      </c>
      <c r="F25">
        <f>CF_Hist!F5-CF_Hist!E40</f>
        <v>0</v>
      </c>
      <c r="G25" t="str">
        <f>IF(AND(ABS(N(C25))&lt;=0.5,ABS(N(D25))&lt;=0.5,ABS(N(E25))&lt;=0.5,ABS(N(F25))&lt;=0.5),"PASS","FAIL")</f>
        <v>PASS</v>
      </c>
    </row>
    <row r="27">
      <c r="A27" t="s">
        <v>658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ColWidth="8.375" defaultRowHeight="15"/>
  <sheetData>
    <row r="1">
      <c r="A1" t="s">
        <v>659</v>
      </c>
    </row>
    <row r="3">
      <c r="A3" t="s">
        <v>660</v>
      </c>
      <c r="B3" t="s">
        <v>661</v>
      </c>
      <c r="C3" t="s">
        <v>662</v>
      </c>
      <c r="D3" t="s">
        <v>663</v>
      </c>
      <c r="E3" t="s">
        <v>664</v>
      </c>
    </row>
    <row r="4">
      <c r="A4" t="s">
        <v>665</v>
      </c>
      <c r="B4" t="s">
        <v>666</v>
      </c>
      <c r="C4" t="s">
        <v>667</v>
      </c>
      <c r="D4" t="s">
        <v>668</v>
      </c>
      <c r="E4" t="s">
        <v>669</v>
      </c>
    </row>
    <row r="5">
      <c r="A5" t="s">
        <v>670</v>
      </c>
      <c r="B5" t="s">
        <v>671</v>
      </c>
      <c r="C5" t="s">
        <v>672</v>
      </c>
      <c r="D5" t="s">
        <v>673</v>
      </c>
      <c r="E5" t="s">
        <v>674</v>
      </c>
    </row>
    <row r="6">
      <c r="A6" t="s">
        <v>675</v>
      </c>
      <c r="B6" t="s">
        <v>676</v>
      </c>
      <c r="C6" t="s">
        <v>677</v>
      </c>
      <c r="D6" t="s">
        <v>678</v>
      </c>
      <c r="E6" t="s">
        <v>679</v>
      </c>
    </row>
    <row r="8">
      <c r="A8" t="s">
        <v>680</v>
      </c>
      <c r="B8" t="s">
        <v>681</v>
      </c>
    </row>
    <row r="9">
      <c r="A9" t="s">
        <v>682</v>
      </c>
    </row>
    <row r="10">
      <c r="A10" t="s">
        <v>683</v>
      </c>
    </row>
    <row r="11">
      <c r="A11" t="s">
        <v>684</v>
      </c>
    </row>
    <row r="12">
      <c r="A12" t="s">
        <v>685</v>
      </c>
    </row>
    <row r="13">
      <c r="A13" t="s">
        <v>686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showGridLines="0" workbookViewId="0"/>
  </sheetViews>
  <sheetFormatPr defaultColWidth="8.375" defaultRowHeight="15"/>
  <cols>
    <col min="1" max="1" width="8.70703125" customWidth="1"/>
    <col min="2" max="2" width="18.0390625" customWidth="1"/>
    <col min="3" max="4" width="57.70703125" customWidth="1"/>
    <col min="5" max="5" width="81.0390625" customWidth="1"/>
    <col min="6" max="6" width="46.0390625" customWidth="1"/>
  </cols>
  <sheetData>
    <row r="1">
      <c r="A1" s="30" t="s">
        <v>687</v>
      </c>
      <c r="B1" s="30" t="s">
        <v>688</v>
      </c>
      <c r="C1" s="30" t="s">
        <v>689</v>
      </c>
      <c r="D1" s="30" t="s">
        <v>690</v>
      </c>
      <c r="E1" s="30" t="s">
        <v>691</v>
      </c>
      <c r="F1" s="30" t="s">
        <v>692</v>
      </c>
    </row>
    <row r="2">
      <c r="A2" s="31">
        <v>1</v>
      </c>
      <c r="B2" s="32">
        <v>46324.35932233796</v>
      </c>
      <c r="C2" s="31" t="s">
        <v>693</v>
      </c>
      <c r="D2" s="31" t="s">
        <v>694</v>
      </c>
      <c r="E2" s="31" t="s">
        <v>695</v>
      </c>
      <c r="F2" s="31" t="s">
        <v>696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