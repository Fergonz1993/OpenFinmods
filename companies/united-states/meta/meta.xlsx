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bookViews>
    <workbookView xWindow="0" yWindow="-20980" windowWidth="38400" windowHeight="20980" activeTab="8" xr2:uid="{00000000-000D-0000-FFFF-FFFF00000000}"/>
  </bookViews>
  <sheets>
    <sheet name="Claude Log" sheetId="24" r:id="rId1"/>
    <sheet name="00_Cover" sheetId="1" r:id="rId2"/>
    <sheet name="IS_Hist" sheetId="2" r:id="rId3"/>
    <sheet name="CI_Hist" sheetId="3" r:id="rId4"/>
    <sheet name="BS_Hist" sheetId="4" r:id="rId5"/>
    <sheet name="CF_Hist" sheetId="5" r:id="rId6"/>
    <sheet name="SCE_Hist" sheetId="6" r:id="rId7"/>
    <sheet name="Revenue_Hist" sheetId="10" r:id="rId8"/>
    <sheet name="Assumptions" sheetId="11" r:id="rId9"/>
    <sheet name="Interim_Bridge" sheetId="12" r:id="rId10"/>
    <sheet name="Revenue_Build" sheetId="13" r:id="rId11"/>
    <sheet name="Schedules" sheetId="14" r:id="rId12"/>
    <sheet name="Forecast_3Stmt" sheetId="15" r:id="rId13"/>
    <sheet name="Debt_Credit" sheetId="16" r:id="rId14"/>
    <sheet name="Market_Package" sheetId="17" r:id="rId15"/>
    <sheet name="DCF" sheetId="18" r:id="rId16"/>
    <sheet name="Valuation" sheetId="19" r:id="rId17"/>
    <sheet name="Sensitivity" sheetId="20" r:id="rId18"/>
    <sheet name="Scenario_Summary" sheetId="21" r:id="rId19"/>
    <sheet name="Limitations" sheetId="22" r:id="rId20"/>
    <sheet name="Checks" sheetId="7" r:id="rId21"/>
    <sheet name="Recasts" sheetId="8" r:id="rId22"/>
    <sheet name="FormatRules" sheetId="23" r:id="rId23"/>
    <sheet name="Claude Code Log" sheetId="9" r:id="rId24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<sst xmlns="http://schemas.openxmlformats.org/spreadsheetml/2006/main" count="2177" uniqueCount="1368">
  <si>
    <t>Turn #</t>
  </si>
  <si>
    <t>Date</t>
  </si>
  <si>
    <t>User Request</t>
  </si>
  <si>
    <t>Action Taken</t>
  </si>
  <si>
    <t>Details</t>
  </si>
  <si>
    <t>Outcome</t>
  </si>
  <si>
    <t>2026-10-27</t>
  </si>
  <si>
    <t>Fill up the blank cells in the selected drivers block (Assumptions!A52:K76).</t>
  </si>
  <si>
    <t>Filled history (2019A-2025A) on the Active rows and the 2026E column for price per ad, other revenue, Reality Labs and DAP.</t>
  </si>
  <si>
    <t>History links to Revenue_Hist rows 27, 28, 30 and growth of rows 8 and 10 (2019A blank: no prior year). 2026E Base/Bull/Bear derived from Interim_Bridge and the Q4 guidance inputs (J:L rows 10, 13, 14); DAP 2026E = Sep 2026 / Dec 2025 average. Active row = CHOOSE on $B$5. Formats: 0.00%, italic, green for cross-sheet links. Neighbouring cells still show 0.0%, not touched.</t>
  </si>
  <si>
    <t>Assumptions!I61 equals Revenue_Build!C8 (12.65%). Rows 77+ (cash costs, legal charges) were outside the selection and not reviewed.</t>
  </si>
  <si>
    <t>Asked to fill the rest of the drivers block (Assumptions!A52:K111).</t>
  </si>
  <si>
    <t>Filled history on Active rows 81, 91, 101, 111 (2019A-2025A), H96, H106 and 2026E Base/Bull/Bear + Active for cash costs, legal charges, RL operating loss and DPS growth.</t>
  </si>
  <si>
    <t>Cash costs = (total costs - D&amp;A) / revenue, legal charges not stripped from history (none tagged in the workbook). Capex = -(PP&amp;E purchases + finance-lease principal). Tax = provision / pre-tax. Buybacks = repurchases / (CFO - capex - dividends - RSU tax). 2026E: cash costs from guidance J:L rows 10-11 less legal and D&amp;A; legal = Interim_Bridge!D13; RL = 9M + Q4 scenario; DPS = I39 vs 2025A. Tax and buybacks 2026E left blank (label says 2027E onward; 2026E set by bridge inputs).</t>
  </si>
  <si>
    <t>Base 2026E cash costs 53.63% (ties to note 53.6%); RL Base (18,500). Open: legal history B:H, RL history B:G, DPS 2024A growth not in workbook.</t>
  </si>
  <si>
    <t>Meta Platforms, Inc. (Facebook, Inc. until 28 October 2021) | Financial model: statements as filed, 10-year forecast, valuation and credit</t>
  </si>
  <si>
    <t>What this workbook holds</t>
  </si>
  <si>
    <t>Every line of the five audited statements in each Form 10-K for fiscal 2019 to fiscal 2025.</t>
  </si>
  <si>
    <t>The statements: income, comprehensive income, balance sheet, stockholders' equity, cash flows.</t>
  </si>
  <si>
    <t>The nine months to 30 September 2025 and 2026 come from the Q3 Form 10-Q. These are not audited.</t>
  </si>
  <si>
    <t>Forecast 2026E-2035E with Base, Bull and Bear (switch: Assumptions!C5); valuation (DCF, FCFE, reverse DCF, comps, sum of the parts); credit metrics.</t>
  </si>
  <si>
    <t>How to read it</t>
  </si>
  <si>
    <t>Each period comes from the filing that first reported it. A later recast is listed on the Recasts sheet, not applied.</t>
  </si>
  <si>
    <t>Units: USD millions, except per-share amounts (USD) and share counts (millions).</t>
  </si>
  <si>
    <t>Signs follow the filing. A number in parentheses in the filing is negative here.</t>
  </si>
  <si>
    <t>A dash means the filing shows a dash or zero. An empty cell means the filing does not show that line for that period.</t>
  </si>
  <si>
    <t>If a filing changed only the wording of a line, the line keeps one row. Column O shows the earlier wording.</t>
  </si>
  <si>
    <t>Column N shows the XBRL concept of the line. Column M is for your comments.</t>
  </si>
  <si>
    <t>Blue numbers are typed from a filing or are inputs. Black numbers are formulas. Green numbers link to another sheet.</t>
  </si>
  <si>
    <t>The thin vertical line separates the audited 10-K columns from the unaudited 10-Q columns.</t>
  </si>
  <si>
    <t>Source of every number: the inline XBRL of the filing on SEC EDGAR (CIK 0001326801).</t>
  </si>
  <si>
    <t>Master check (all checks on the Checks sheet)</t>
  </si>
  <si>
    <t>Filing</t>
  </si>
  <si>
    <t>Form</t>
  </si>
  <si>
    <t>Period end</t>
  </si>
  <si>
    <t>Filed</t>
  </si>
  <si>
    <t>Accession number</t>
  </si>
  <si>
    <t>Columns taken from it</t>
  </si>
  <si>
    <t>Link</t>
  </si>
  <si>
    <t>Form 10-K for fiscal 2019</t>
  </si>
  <si>
    <t>10-K</t>
  </si>
  <si>
    <t>0001326801-20-000013</t>
  </si>
  <si>
    <t>2019A</t>
  </si>
  <si>
    <t>https://www.sec.gov/Archives/edgar/data/1326801/000132680120000013/fb-12312019x10k.htm</t>
  </si>
  <si>
    <t>Form 10-K for fiscal 2020</t>
  </si>
  <si>
    <t>0001326801-21-000014</t>
  </si>
  <si>
    <t>2020A</t>
  </si>
  <si>
    <t>https://www.sec.gov/Archives/edgar/data/1326801/000132680121000014/fb-20201231.htm</t>
  </si>
  <si>
    <t>Form 10-K for fiscal 2021</t>
  </si>
  <si>
    <t>0001326801-22-000018</t>
  </si>
  <si>
    <t>2021A</t>
  </si>
  <si>
    <t>https://www.sec.gov/Archives/edgar/data/1326801/000132680122000018/fb-20211231.htm</t>
  </si>
  <si>
    <t>Form 10-K for fiscal 2022</t>
  </si>
  <si>
    <t>0001326801-23-000013</t>
  </si>
  <si>
    <t>2022A</t>
  </si>
  <si>
    <t>https://www.sec.gov/Archives/edgar/data/1326801/000132680123000013/meta-20221231.htm</t>
  </si>
  <si>
    <t>Form 10-K for fiscal 2023</t>
  </si>
  <si>
    <t>0001326801-24-000012</t>
  </si>
  <si>
    <t>2023A</t>
  </si>
  <si>
    <t>https://www.sec.gov/Archives/edgar/data/1326801/000132680124000012/meta-20231231.htm</t>
  </si>
  <si>
    <t>Form 10-K for fiscal 2024</t>
  </si>
  <si>
    <t>0001326801-25-000017</t>
  </si>
  <si>
    <t>2024A</t>
  </si>
  <si>
    <t>https://www.sec.gov/Archives/edgar/data/1326801/000132680125000017/meta-20241231.htm</t>
  </si>
  <si>
    <t>Form 10-K for fiscal 2025</t>
  </si>
  <si>
    <t>0001628280-26-003942</t>
  </si>
  <si>
    <t>2025A</t>
  </si>
  <si>
    <t>https://www.sec.gov/Archives/edgar/data/1326801/000162828026003942/meta-20251231.htm</t>
  </si>
  <si>
    <t>Form 10-Q for the quarter ended 2025-09-30</t>
  </si>
  <si>
    <t>10-Q</t>
  </si>
  <si>
    <t>0001628280-25-047240</t>
  </si>
  <si>
    <t>9M 2025A, Sep 2025A</t>
  </si>
  <si>
    <t>https://www.sec.gov/Archives/edgar/data/1326801/000162828025047240/meta-20250930.htm</t>
  </si>
  <si>
    <t>Form 10-Q for the quarter ended 2026-09-30</t>
  </si>
  <si>
    <t>0001628280-26-066773</t>
  </si>
  <si>
    <t>9M 2026A, Sep 2026A</t>
  </si>
  <si>
    <t>https://www.sec.gov/Archives/edgar/data/1326801/000162828026066773/meta-20260930.htm</t>
  </si>
  <si>
    <t>Sheets</t>
  </si>
  <si>
    <t>What it shows</t>
  </si>
  <si>
    <t>IS_Hist</t>
  </si>
  <si>
    <t>Consolidated statements of income</t>
  </si>
  <si>
    <t>CI_Hist</t>
  </si>
  <si>
    <t>Consolidated statements of comprehensive income</t>
  </si>
  <si>
    <t>BS_Hist</t>
  </si>
  <si>
    <t>Consolidated balance sheets, with the parenthetical share data</t>
  </si>
  <si>
    <t>CF_Hist</t>
  </si>
  <si>
    <t>Consolidated statements of cash flows, with supplemental data</t>
  </si>
  <si>
    <t>SCE_Hist</t>
  </si>
  <si>
    <t>Consolidated statements of stockholders' equity, as a roll-forward per component</t>
  </si>
  <si>
    <t>Revenue_Hist</t>
  </si>
  <si>
    <t>Revenue by source, segment and region (audited notes), Meta's reported drivers, and ratios</t>
  </si>
  <si>
    <t>Assumptions</t>
  </si>
  <si>
    <t>Every forecast input: Base, Bull and Bear rows, the active row and the scenario switch (C5)</t>
  </si>
  <si>
    <t>Interim_Bridge</t>
  </si>
  <si>
    <t>2026E = nine months actual (10-Q) + fourth quarter from guidance</t>
  </si>
  <si>
    <t>Revenue_Build</t>
  </si>
  <si>
    <t>Advertising = ads shown x price per ad; other revenue; Reality Labs</t>
  </si>
  <si>
    <t>Schedules</t>
  </si>
  <si>
    <t>Capex and depreciation by vintage, working capital, debt, cash, equity and shares</t>
  </si>
  <si>
    <t>Forecast_3Stmt</t>
  </si>
  <si>
    <t>Integrated income statement, balance sheet and cash flow, 2025A-2035E</t>
  </si>
  <si>
    <t>Debt_Credit</t>
  </si>
  <si>
    <t>Notes, maturities, off-balance-sheet items, ratings and credit ratios</t>
  </si>
  <si>
    <t>Market_Package</t>
  </si>
  <si>
    <t>Dated price, shares, cost of capital, enterprise value and LTM multiples</t>
  </si>
  <si>
    <t>DCF</t>
  </si>
  <si>
    <t>Free cash flow to the firm: perpetuity and exit-multiple values</t>
  </si>
  <si>
    <t>Valuation</t>
  </si>
  <si>
    <t>Reverse DCF, FCFE, trading comparables, sum of the parts, football field</t>
  </si>
  <si>
    <t>Sensitivity</t>
  </si>
  <si>
    <t>WACC x growth, WACC x exit multiple, price x capex (capex payoff test)</t>
  </si>
  <si>
    <t>Scenario_Summary</t>
  </si>
  <si>
    <t>Base, Bull and Bear outputs side by side</t>
  </si>
  <si>
    <t>Limitations</t>
  </si>
  <si>
    <t>What the model simplifies</t>
  </si>
  <si>
    <t>Checks</t>
  </si>
  <si>
    <t>Every tie-out in one list, with the master check</t>
  </si>
  <si>
    <t>Recasts</t>
  </si>
  <si>
    <t>Numbers that a later filing changed (reclassification or recast)</t>
  </si>
  <si>
    <t>FormatRules</t>
  </si>
  <si>
    <t>Colours and styles of this workbook: the OpenFinmods palette and the number colour code</t>
  </si>
  <si>
    <t>Claude Code Log</t>
  </si>
  <si>
    <t>Log of every scripted change to this workbook</t>
  </si>
  <si>
    <t>Model outputs (active scenario)</t>
  </si>
  <si>
    <t>Active scenario</t>
  </si>
  <si>
    <t>Share price, 26 Oct 2026 (USD)</t>
  </si>
  <si>
    <t>DCF value per share, perpetuity (USD)</t>
  </si>
  <si>
    <t>Upside / (downside)</t>
  </si>
  <si>
    <t>DCF value per share, exit multiple (USD)</t>
  </si>
  <si>
    <t>FCFE value per share (USD)</t>
  </si>
  <si>
    <t>Comps: AI mega-caps median EV / EBITDA (USD per share)</t>
  </si>
  <si>
    <t>Growth the price implies after 2035</t>
  </si>
  <si>
    <t>Revenue 2027E</t>
  </si>
  <si>
    <t>Operating margin 2027E</t>
  </si>
  <si>
    <t>Free cash flow 2027E</t>
  </si>
  <si>
    <t>Net debt / EBITDA 2027E</t>
  </si>
  <si>
    <t>Scenario table status</t>
  </si>
  <si>
    <t>Meta Platforms, Inc. | Consolidated Statements of Income</t>
  </si>
  <si>
    <t>USD millions, except per-share amounts (USD) and share counts (millions). Each period as first reported in its own filing.</t>
  </si>
  <si>
    <t>Audited (Form 10-K)</t>
  </si>
  <si>
    <t>Unaudited (Form 10-Q)</t>
  </si>
  <si>
    <t>Fiscal year ends 31 December</t>
  </si>
  <si>
    <t>9M 2025A</t>
  </si>
  <si>
    <t>9M 2026A</t>
  </si>
  <si>
    <t>Comentarios FG</t>
  </si>
  <si>
    <t>XBRL concept (latest filing)</t>
  </si>
  <si>
    <t>Earlier wording of this line</t>
  </si>
  <si>
    <t>Revenue</t>
  </si>
  <si>
    <t>RevenueFromContractWithCustomerExcludingAssessedTax</t>
  </si>
  <si>
    <t>Costs and expenses:</t>
  </si>
  <si>
    <t>Cost of revenue</t>
  </si>
  <si>
    <t>CostOfRevenue</t>
  </si>
  <si>
    <t>Research and development</t>
  </si>
  <si>
    <t>ResearchAndDevelopmentExpense</t>
  </si>
  <si>
    <t>Marketing and sales</t>
  </si>
  <si>
    <t>SellingAndMarketingExpense</t>
  </si>
  <si>
    <t>General and administrative</t>
  </si>
  <si>
    <t>GeneralAndAdministrativeExpense</t>
  </si>
  <si>
    <t>Total costs and expenses</t>
  </si>
  <si>
    <t>CostsAndExpenses</t>
  </si>
  <si>
    <t>Income from operations</t>
  </si>
  <si>
    <t>OperatingIncomeLoss</t>
  </si>
  <si>
    <t>Interest and other income, net</t>
  </si>
  <si>
    <t>NonoperatingIncomeExpense</t>
  </si>
  <si>
    <t>Interest and other income (expense), net</t>
  </si>
  <si>
    <t>Income before provision for income taxes</t>
  </si>
  <si>
    <t>IncomeLossFromContinuingOperationsBeforeIncomeTaxesExtraordinaryItemsNoncontrollingInterest</t>
  </si>
  <si>
    <t>Income before income taxes</t>
  </si>
  <si>
    <t>Provision for income taxes</t>
  </si>
  <si>
    <t>IncomeTaxExpenseBenefit</t>
  </si>
  <si>
    <t>Net income</t>
  </si>
  <si>
    <t>NetIncomeLoss</t>
  </si>
  <si>
    <t>Less: Net income attributable to participating securities</t>
  </si>
  <si>
    <t>UndistributedEarningsLossAllocatedToParticipatingSecuritiesBasic</t>
  </si>
  <si>
    <t>Net income attributable to Class A and Class B common stockholders</t>
  </si>
  <si>
    <t>NetIncomeLossAvailableToCommonStockholdersBasic</t>
  </si>
  <si>
    <t>Earnings per share:</t>
  </si>
  <si>
    <t>Earnings per share attributable to Class A and Class B common stockholders:</t>
  </si>
  <si>
    <t>Basic</t>
  </si>
  <si>
    <t>EarningsPerShareBasic</t>
  </si>
  <si>
    <t>Diluted</t>
  </si>
  <si>
    <t>EarningsPerShareDiluted</t>
  </si>
  <si>
    <t>Weighted-average shares used to compute earnings per share:</t>
  </si>
  <si>
    <t>Weighted-average shares used to compute earnings per share attributable to Class A and Class B common stockholders:</t>
  </si>
  <si>
    <t>WeightedAverageNumberOfSharesOutstandingBasic</t>
  </si>
  <si>
    <t>WeightedAverageNumberOfDilutedSharesOutstanding</t>
  </si>
  <si>
    <t>Share-based compensation expense included in costs and expenses:</t>
  </si>
  <si>
    <t>AllocatedShareBasedCompensationExpense</t>
  </si>
  <si>
    <t>Total share-based compensation expense</t>
  </si>
  <si>
    <t>Checks (each should be zero)</t>
  </si>
  <si>
    <t>Costs and expenses add to the total</t>
  </si>
  <si>
    <t>Revenue less total costs equals income from operations</t>
  </si>
  <si>
    <t>Operating income plus other income equals pre-tax income</t>
  </si>
  <si>
    <t>Pre-tax income less tax equals net income</t>
  </si>
  <si>
    <t>Net income less participating securities equals net income to common</t>
  </si>
  <si>
    <t>Share-based compensation by function adds to the total</t>
  </si>
  <si>
    <t>Net income equals the cash flow statement</t>
  </si>
  <si>
    <t>Net income equals the comprehensive income statement</t>
  </si>
  <si>
    <t>Net income equals the retained earnings roll-forward</t>
  </si>
  <si>
    <t>Meta Platforms, Inc. | Consolidated Statements of Comprehensive Income</t>
  </si>
  <si>
    <t>Other comprehensive income (loss):</t>
  </si>
  <si>
    <t>Change in foreign currency translation adjustment, net of tax</t>
  </si>
  <si>
    <t>OtherComprehensiveIncomeLossForeignCurrencyTransactionAndTranslationAdjustmentNetOfTax</t>
  </si>
  <si>
    <t>Change in unrealized gain (loss) on available-for-sale investments and other, net of tax</t>
  </si>
  <si>
    <t>OtherComprehensiveIncomeLossAvailableForSaleSecuritiesAdjustmentAndOtherNetofTax, OtherComprehensiveIncomeLossAvailableForSaleSecuritiesAdjustmentAndOtherNetofTax, OtherComprehensiveIncomeUnrealizedHoldingGainLossOnSecuritiesArisingDuringPeriodNetOfTax</t>
  </si>
  <si>
    <t>Change in unrealized gain/loss on available-for-sale investments and other, net of tax</t>
  </si>
  <si>
    <t>Comprehensive income</t>
  </si>
  <si>
    <t>ComprehensiveIncomeNetOfTax</t>
  </si>
  <si>
    <t>Net income plus other comprehensive income equals comprehensive income</t>
  </si>
  <si>
    <t>Other comprehensive income equals the equity roll-forward</t>
  </si>
  <si>
    <t>Meta Platforms, Inc. | Consolidated Balance Sheets</t>
  </si>
  <si>
    <t>Sep 2025A</t>
  </si>
  <si>
    <t>Sep 2026A</t>
  </si>
  <si>
    <t>Assets</t>
  </si>
  <si>
    <t>Current assets:</t>
  </si>
  <si>
    <t>Cash and cash equivalents</t>
  </si>
  <si>
    <t>CashAndCashEquivalentsAtCarryingValue</t>
  </si>
  <si>
    <t>Marketable securities</t>
  </si>
  <si>
    <t>AvailableForSaleSecuritiesDebtSecuritiesCurrent, MarketableSecuritiesCurrent</t>
  </si>
  <si>
    <t>Accounts receivable, net</t>
  </si>
  <si>
    <t>AccountsReceivableNetCurrent</t>
  </si>
  <si>
    <t>Accounts receivable, net of allowances of $114 million and $92 million as of December 31, 2020 and 2019, respectively | Accounts receivable, net of allowances of $206 and $229 as of December 31, 2019 and December 31, 2018, respectively</t>
  </si>
  <si>
    <t>Prepaid expenses and other current assets</t>
  </si>
  <si>
    <t>PrepaidExpenseAndOtherAssetsCurrent</t>
  </si>
  <si>
    <t>Total current assets</t>
  </si>
  <si>
    <t>AssetsCurrent</t>
  </si>
  <si>
    <t>Non-marketable equity investments</t>
  </si>
  <si>
    <t>NonmarketableEquitySecuritiesCarryingValue, NonmarketableEquitySecuritiesCarryingValue, EquitySecuritiesWithoutReadilyDeterminableFairValueAmount</t>
  </si>
  <si>
    <t>Non-marketable equity securities | Equity investments</t>
  </si>
  <si>
    <t>Property and equipment, net</t>
  </si>
  <si>
    <t>PropertyPlantAndEquipmentAndFinanceLeaseRightofUseAssetAfterAccumulatedDepreciationAndAmortization, PropertyPlantAndEquipmentAndFinanceLeaseRightOfUseAssetAfterAccumulatedDepreciationAndAmortization</t>
  </si>
  <si>
    <t>Operating lease right-of-use assets</t>
  </si>
  <si>
    <t>OperatingLeaseRightOfUseAsset</t>
  </si>
  <si>
    <t>Operating lease right-of-use assets, net</t>
  </si>
  <si>
    <t>Intangible assets, net</t>
  </si>
  <si>
    <t>IntangibleAssetsNetExcludingGoodwill</t>
  </si>
  <si>
    <t>Goodwill</t>
  </si>
  <si>
    <t>Other assets</t>
  </si>
  <si>
    <t>OtherAssetsNoncurrent</t>
  </si>
  <si>
    <t>Total assets</t>
  </si>
  <si>
    <t>Liabilities and stockholders' equity</t>
  </si>
  <si>
    <t>Current liabilities:</t>
  </si>
  <si>
    <t>Accounts payable</t>
  </si>
  <si>
    <t>AccountsPayableCurrent, AccountsPayableTradeCurrent</t>
  </si>
  <si>
    <t>Partners payable</t>
  </si>
  <si>
    <t>AccountsPayableOtherCurrent, AccountsPayableTradeCurrent</t>
  </si>
  <si>
    <t>Operating lease liabilities, current</t>
  </si>
  <si>
    <t>OperatingLeaseLiabilityCurrent</t>
  </si>
  <si>
    <t>Accrued expenses and other current liabilities</t>
  </si>
  <si>
    <t>AccruedLiabilitiesCurrent</t>
  </si>
  <si>
    <t>Deferred revenue and deposits</t>
  </si>
  <si>
    <t>ContractWithCustomerLiabilityAndUnusedDeposits, ContractWithCustomerLiabilityCurrent</t>
  </si>
  <si>
    <t>Total current liabilities</t>
  </si>
  <si>
    <t>LiabilitiesCurrent</t>
  </si>
  <si>
    <t>Operating lease liabilities, non-current</t>
  </si>
  <si>
    <t>OperatingLeaseLiabilityNoncurrent</t>
  </si>
  <si>
    <t>Long-term debt</t>
  </si>
  <si>
    <t>LongTermDebtNoncurrent</t>
  </si>
  <si>
    <t>Long-term income taxes</t>
  </si>
  <si>
    <t>AccruedIncomeTaxesNoncurrent</t>
  </si>
  <si>
    <t>Other liabilities</t>
  </si>
  <si>
    <t>OtherLiabilitiesNoncurrent</t>
  </si>
  <si>
    <t>Total liabilities</t>
  </si>
  <si>
    <t>Liabilities</t>
  </si>
  <si>
    <t>Commitments and contingencies</t>
  </si>
  <si>
    <t>Stockholders' equity:</t>
  </si>
  <si>
    <t>Common stock and additional paid-in capital, $0.000006 par value</t>
  </si>
  <si>
    <t>CommonStocksIncludingAdditionalPaidInCapital</t>
  </si>
  <si>
    <t>Common stock and additional paid-in capital, $0.000006 par value; 5,000 million Class A shares authorized, 2,214 million and 2,187 million shares issued and outstanding, as of September 30, 2026 and December 31, 2025, respectively; 4,141 million Class B shares authorized, 342 million and 343 million shares issued and outstanding, as of September 30, 2026 and December 31, 2025, respectively</t>
  </si>
  <si>
    <t>Common stock, $0.000006 par value</t>
  </si>
  <si>
    <t>CommonStockValue</t>
  </si>
  <si>
    <t>Common stock, $0.000006 par value; 5,000 million Class A shares authorized, 2,187 million and 2,190 million shares issued and outstanding, as of December 31, 2025 and 2024, respectively; 4,141 million Class B shares authorized, 343 million and 344 million shares issued and outstanding, as of December 31, 2025 and 2024, respectively | Common stock, $0.000006 par value; 5,000 million Class A shares authorized, 2,190 million and 2,211 million shares issued and outstanding, as of December 31, 2024 and 2023, respectively; 4,141 million Class B shares authorized, 344 million and 350 million shares issued and outstanding, as of December 31, 2024 and 2023, respectively | Common stock, $0.000006 par value; 5,000 million Class A shares authorized, 2,211 million and 2,247 million shares issued and outstanding, as of December 31, 2023 and 2022, respectively; 4,141 million Class B shares authorized, 350 million and 367 million shares issued and outstanding, as of December 31, 2023 and 2022, respectively | Common stock, $0.000006 par value; 5,000 million Class A shares authorized, 2,247 million and 2,328 million shares issued and outstanding, as of December 31, 2022 and 2021, respectively; 4,141 million Class B shares authorized, 367 million and 413 million shares issued and outstanding, as of December 31, 2022 and 2021, respectively | Common stock, $0.000006 par value; 5,000 million Class A shares authorized, 2,328 million and 2,406 million shares issued and outstanding, as of December 31, 2021 and 2020, respectively; 4,141 million Class B shares authorized, 413 million and 443 million shares issued and outstanding, as of December 31, 2021 and 2020, respectively | Common stock, $0.000006 par value; 5,000 million Class A shares authorized, 2,406 million and 2,407 million shares issued and outstanding, as of December 31, 2020 and 2019, respectively; 4,141 million Class B shares authorized, 443 million and 445 million shares issued and outstanding, as of December 31, 2020 and 2019, respectively | Common stock, $0.000006 par value; 5,000 million Class A shares authorized, 2,407 million and 2,385 million shares issued and outstanding, as of December 31, 2019 and December 31, 2018, respectively; 4,141 million Class B shares authorized, 445 million and 469 million shares issued and outstanding, as of December 31, 2019 and December 31, 2018, respectively. | Common stock, $0.000006 par value; 5,000 million Class A shares authorized, 2,178 million and 2,190 million shares issued and outstanding, as of September 30, 2025 and December 31, 2024, respectively; 4,141 million Class B shares authorized, 343 million and 344 million shares issued and outstanding, as of September 30, 2025 and December 31, 2024, respectively</t>
  </si>
  <si>
    <t>Additional paid-in capital</t>
  </si>
  <si>
    <t>AdditionalPaidInCapital</t>
  </si>
  <si>
    <t>Accumulated other comprehensive income (loss)</t>
  </si>
  <si>
    <t>AccumulatedOtherComprehensiveIncomeLossNetOfTax</t>
  </si>
  <si>
    <t>Accumulated other comprehensive loss</t>
  </si>
  <si>
    <t>Retained earnings</t>
  </si>
  <si>
    <t>RetainedEarningsAccumulatedDeficit</t>
  </si>
  <si>
    <t>Total stockholders' equity</t>
  </si>
  <si>
    <t>StockholdersEquity</t>
  </si>
  <si>
    <t>Total liabilities and stockholders' equity</t>
  </si>
  <si>
    <t>LiabilitiesAndStockholdersEquity</t>
  </si>
  <si>
    <t>Memo: balance sheet parenthetical (from the face of the balance sheet)</t>
  </si>
  <si>
    <t>Accounts receivable, allowances for doubtful accounts</t>
  </si>
  <si>
    <t>Common stock, par value per share (USD)</t>
  </si>
  <si>
    <t>Class A common stock, shares authorized (millions)</t>
  </si>
  <si>
    <t>Class A common stock, shares issued (millions)</t>
  </si>
  <si>
    <t>Class A common stock, shares outstanding (millions)</t>
  </si>
  <si>
    <t>Class B common stock, shares authorized (millions)</t>
  </si>
  <si>
    <t>Class B common stock, shares issued (millions)</t>
  </si>
  <si>
    <t>Class B common stock, shares outstanding (millions)</t>
  </si>
  <si>
    <t>Current assets add to the total</t>
  </si>
  <si>
    <t>Current plus non-current assets equal total assets</t>
  </si>
  <si>
    <t>Current liabilities add to the total</t>
  </si>
  <si>
    <t>Current plus non-current liabilities equal total liabilities</t>
  </si>
  <si>
    <t>Equity lines add to total stockholders' equity</t>
  </si>
  <si>
    <t>Liabilities plus equity equal the reported total</t>
  </si>
  <si>
    <t>Total assets equal total liabilities and equity</t>
  </si>
  <si>
    <t>Cash equals the cash flow reconciliation</t>
  </si>
  <si>
    <t>Total equity equals the equity roll-forward</t>
  </si>
  <si>
    <t>Retained earnings equal the equity roll-forward</t>
  </si>
  <si>
    <t>AOCI equals the equity roll-forward</t>
  </si>
  <si>
    <t>Common stock and APIC equal the equity roll-forward</t>
  </si>
  <si>
    <t>Class A plus Class B shares equal the equity roll-forward</t>
  </si>
  <si>
    <t>Meta Platforms, Inc. | Consolidated Statements of Cash Flows</t>
  </si>
  <si>
    <t>Cash flows from operating activities</t>
  </si>
  <si>
    <t>Adjustments to reconcile net income to net cash provided by operating activities:</t>
  </si>
  <si>
    <t>Depreciation and amortization</t>
  </si>
  <si>
    <t>DepreciationDepletionAndAmortization</t>
  </si>
  <si>
    <t>Share-based compensation</t>
  </si>
  <si>
    <t>ShareBasedCompensation</t>
  </si>
  <si>
    <t>Deferred income taxes</t>
  </si>
  <si>
    <t>DeferredIncomeTaxExpenseBenefit, DeferredIncomeTaxesAndTaxCredits</t>
  </si>
  <si>
    <t>Unrealized gain on marketable equity securities</t>
  </si>
  <si>
    <t>EquitySecuritiesFvNiUnrealizedGainLoss</t>
  </si>
  <si>
    <t>Unrealized (gain) loss on equity investments</t>
  </si>
  <si>
    <t>UnrealizedGainLossOnMarketableAndNonmarketableEquityInvestments</t>
  </si>
  <si>
    <t>Unrealized (gain) and loss on equity investments</t>
  </si>
  <si>
    <t>Impairment charges for facilities consolidation</t>
  </si>
  <si>
    <t>ImpairmentOfLongLivedAssetsHeldForUse, RestructuringCharges</t>
  </si>
  <si>
    <t>Impairment charges for facilities consolidation, net | Impairment charges for leases and leasehold improvements</t>
  </si>
  <si>
    <t>Data center assets abandonment</t>
  </si>
  <si>
    <t>RestructuringCharges</t>
  </si>
  <si>
    <t>Abandonment charges for data center assets</t>
  </si>
  <si>
    <t>Fair value adjustments for non-marketable securities</t>
  </si>
  <si>
    <t>EquitySecuritiesFvNiGainLoss</t>
  </si>
  <si>
    <t>Other</t>
  </si>
  <si>
    <t>OtherNoncashIncomeExpense</t>
  </si>
  <si>
    <t>Changes in assets and liabilities:</t>
  </si>
  <si>
    <t>Accounts receivable</t>
  </si>
  <si>
    <t>IncreaseDecreaseInAccountsReceivable</t>
  </si>
  <si>
    <t>IncreaseDecreaseInPrepaidDeferredExpenseAndOtherAssets</t>
  </si>
  <si>
    <t>IncreaseDecreaseInOtherOperatingAssets</t>
  </si>
  <si>
    <t>IncreaseDecreaseInAccountsPayableTrade</t>
  </si>
  <si>
    <t>IncreaseDecreaseInOtherAccountsPayable</t>
  </si>
  <si>
    <t>IncreaseDecreaseInAccruedLiabilities</t>
  </si>
  <si>
    <t>IncreaseDecreaseInContractWithCustomerLiability</t>
  </si>
  <si>
    <t>IncreaseDecreaseInOtherNoncurrentLiabilities</t>
  </si>
  <si>
    <t>Net cash provided by operating activities</t>
  </si>
  <si>
    <t>NetCashProvidedByUsedInOperatingActivities</t>
  </si>
  <si>
    <t>Cash flows from investing activities</t>
  </si>
  <si>
    <t>Purchases of property and equipment</t>
  </si>
  <si>
    <t>PaymentsToAcquirePropertyPlantAndEquipment</t>
  </si>
  <si>
    <t>Purchases of property and equipment, net</t>
  </si>
  <si>
    <t>Proceeds relating to property and equipment</t>
  </si>
  <si>
    <t>ProceedsFromSaleOfPropertyPlantAndEquipment</t>
  </si>
  <si>
    <t>Purchases of marketable securities</t>
  </si>
  <si>
    <t>PaymentsToAcquireAvailableForSaleSecuritiesDebt, PaymentsToAcquireMarketableSecurities</t>
  </si>
  <si>
    <t>Purchases of marketable debt securities</t>
  </si>
  <si>
    <t>Sales of marketable debt securities</t>
  </si>
  <si>
    <t>ProceedsFromSaleOfAvailableForSaleSecuritiesDebt</t>
  </si>
  <si>
    <t>Sales of marketable securities</t>
  </si>
  <si>
    <t>Maturities of marketable debt securities</t>
  </si>
  <si>
    <t>ProceedsFromMaturitiesPrepaymentsAndCallsOfAvailableForSaleSecurities</t>
  </si>
  <si>
    <t>Maturities of marketable securities</t>
  </si>
  <si>
    <t>Sales and maturities of marketable securities</t>
  </si>
  <si>
    <t>ProceedsFromSaleAndMaturityOfAvailableForSaleSecurities, ProceedsFromSaleAndMaturityOfMarketableSecurities</t>
  </si>
  <si>
    <t>Sales and maturities of marketable debt securities</t>
  </si>
  <si>
    <t>Payments for held-for-sale assets</t>
  </si>
  <si>
    <t>PaymentsForHeldForSaleAssets</t>
  </si>
  <si>
    <t>Proceeds from Venture distribution</t>
  </si>
  <si>
    <t>ProceedsFromOneTimeVentureDistribution, EquityMethodInvestmentDividendsOrDistributions</t>
  </si>
  <si>
    <t>Proceeds from data center venture distribution</t>
  </si>
  <si>
    <t>Purchases of non-marketable equity investments</t>
  </si>
  <si>
    <t>PaymentsForEquitySecuritiesWithoutReadilyDeterminableFairValue, PaymentsForEquitySecuritiesWithoutReadilyDeterminableFairValue</t>
  </si>
  <si>
    <t>Purchases of non-marketable equity securities | Purchases of equity investments | Payments for non-marketable equity investments</t>
  </si>
  <si>
    <t>Acquisitions of businesses and intangible assets</t>
  </si>
  <si>
    <t>PaymentsToAcquireBusinessesNetOfCashAcquiredAndPurchasesOfIntangibleAndOtherAssets, PaymentsToAcquireBusinessesNetOfCashAcquiredAndPurchasesOfIntangibleAndOtherAssets</t>
  </si>
  <si>
    <t>Acquisitions of businesses, net of cash acquired, and purchases of intangible assets</t>
  </si>
  <si>
    <t>Other investing activities</t>
  </si>
  <si>
    <t>PaymentsForProceedsFromOtherInvestingActivities</t>
  </si>
  <si>
    <t>Other investing activities, net</t>
  </si>
  <si>
    <t>Net cash used in investing activities</t>
  </si>
  <si>
    <t>NetCashProvidedByUsedInInvestingActivities</t>
  </si>
  <si>
    <t>Cash flows from financing activities</t>
  </si>
  <si>
    <t>Taxes paid related to net share settlement of equity awards</t>
  </si>
  <si>
    <t>PaymentsRelatedToTaxWithholdingForShareBasedCompensation</t>
  </si>
  <si>
    <t>Repurchases of Class A common stock</t>
  </si>
  <si>
    <t>PaymentsForRepurchaseOfCommonStock</t>
  </si>
  <si>
    <t>Payments for dividends and dividend equivalents</t>
  </si>
  <si>
    <t>PaymentsOfDividends</t>
  </si>
  <si>
    <t>Proceeds from issuance of long-term debt, net</t>
  </si>
  <si>
    <t>ProceedsFromIssuanceOfLongTermDebt</t>
  </si>
  <si>
    <t>Principal payments on finance leases</t>
  </si>
  <si>
    <t>FinanceLeasePrincipalPayments</t>
  </si>
  <si>
    <t>Net change in overdraft in cash pooling entities</t>
  </si>
  <si>
    <t>ProceedsFromRepaymentsOfBankOverdrafts</t>
  </si>
  <si>
    <t>Other financing activities</t>
  </si>
  <si>
    <t>ProceedsFromPaymentsForOtherFinancingActivities</t>
  </si>
  <si>
    <t>Other financing activities, net</t>
  </si>
  <si>
    <t>Net cash used in financing activities</t>
  </si>
  <si>
    <t>NetCashProvidedByUsedInFinancingActivities</t>
  </si>
  <si>
    <t>Net cash provided by (used in) financing activities</t>
  </si>
  <si>
    <t>Effect of exchange rate changes on cash, cash equivalents, and restricted cash equivalents</t>
  </si>
  <si>
    <t>EffectOfExchangeRateOnCashCashEquivalentsRestrictedCashAndRestrictedCashEquivalents</t>
  </si>
  <si>
    <t>Effect of exchange rate changes on cash, cash equivalents, and restricted cash | Effect of exchange rate changes on cash, cash equivalents, restricted cash, and restricted cash equivalents</t>
  </si>
  <si>
    <t>Net increase (decrease) in cash, cash equivalents, and restricted cash equivalents</t>
  </si>
  <si>
    <t>CashCashEquivalentsRestrictedCashAndRestrictedCashEquivalentsPeriodIncreaseDecreaseIncludingExchangeRateEffect</t>
  </si>
  <si>
    <t>Net increase (decrease) in cash, cash equivalents, and restricted cash | Net decrease in cash, cash equivalents, and restricted cash | Net decrease in cash, cash equivalents, restricted cash, and restricted cash equivalents</t>
  </si>
  <si>
    <t>Cash, cash equivalents, and restricted cash equivalents at beginning of the period</t>
  </si>
  <si>
    <t>CashCashEquivalentsRestrictedCashAndRestrictedCashEquivalents</t>
  </si>
  <si>
    <t>Cash, cash equivalents, and restricted cash at beginning of the period | Cash, cash equivalents, restricted cash, and restricted cash equivalents at beginning of the period</t>
  </si>
  <si>
    <t>Cash, cash equivalents, and restricted cash equivalents at end of the period</t>
  </si>
  <si>
    <t>Cash, cash equivalents, and restricted cash at end of the period | Cash, cash equivalents, restricted cash, and restricted cash equivalents at end of the period</t>
  </si>
  <si>
    <t>Reconciliation of cash, cash equivalents, and restricted cash equivalents to the consolidated balance sheets</t>
  </si>
  <si>
    <t>Reconciliation of cash, cash equivalents, and restricted cash to the consolidated balance sheets | Reconciliation of cash, cash equivalents, restricted cash, and restricted cash equivalents to the condensed consolidated balance sheets | Reconciliation of cash, cash equivalents, and restricted cash equivalents to the condensed consolidated balance sheets</t>
  </si>
  <si>
    <t>Restricted cash equivalents, included in prepaid expenses and other current assets</t>
  </si>
  <si>
    <t>RestrictedCashAndCashEquivalents, RestrictedCashAndCashEquivalentsAtCarryingValue</t>
  </si>
  <si>
    <t>Restricted cash, included in prepaid expenses and other current assets | Restricted cash and restricted cash equivalents, included in prepaid expenses and other current assets</t>
  </si>
  <si>
    <t>Restricted cash equivalents, included in other assets</t>
  </si>
  <si>
    <t>RestrictedCashAndCashEquivalents, RestrictedCashAndCashEquivalentsNoncurrent</t>
  </si>
  <si>
    <t>Restricted cash, included in other assets | Restricted cash and restricted cash equivalents, included in other assets</t>
  </si>
  <si>
    <t>Total cash, cash equivalents, and restricted cash equivalents</t>
  </si>
  <si>
    <t>(untagged in the filing), CashCashEquivalentsRestrictedCashAndRestrictedCashEquivalents</t>
  </si>
  <si>
    <t>Total cash, cash equivalents, and restricted cash | Total cash, cash equivalents, restricted cash, and restricted cash equivalents</t>
  </si>
  <si>
    <t>Supplemental cash flow data</t>
  </si>
  <si>
    <t>Cash paid for income taxes, net</t>
  </si>
  <si>
    <t>IncomeTaxesPaidNet</t>
  </si>
  <si>
    <t>Cash paid for income taxes</t>
  </si>
  <si>
    <t>Cash paid for interest, net of amounts capitalized</t>
  </si>
  <si>
    <t>InterestPaidNet</t>
  </si>
  <si>
    <t>Non-cash investing and financing activities:</t>
  </si>
  <si>
    <t>Non-cash investing activities:</t>
  </si>
  <si>
    <t>Net change in prepaids and liabilities related to property and equipment</t>
  </si>
  <si>
    <t>IncreaseDecreaseInPrepaidsAndLiabilitiesRelatedToPropertyAndEquipmentAdditions</t>
  </si>
  <si>
    <t>Property and equipment in accounts payable and accrued expenses and other current liabilities</t>
  </si>
  <si>
    <t>CapitalExpendituresIncurredButNotYetPaid</t>
  </si>
  <si>
    <t>Property and equipment in accounts payable and accrued liabilities</t>
  </si>
  <si>
    <t>Acquisition of businesses and intangible assets in accounts payable, accrued expenses and other current liabilities, and other liabilities</t>
  </si>
  <si>
    <t>AcquisitionIncurredButNotYetPaid, AcquisitionIncurredButNotYetPaid, AcquisitionOfBusinessAndIntangibleAssets</t>
  </si>
  <si>
    <t>Acquisition of businesses and intangible assets in accrued expenses and other current liabilities and other liabilities | Acquisition of businesses in accrued expenses and other current liabilities and other liabilities</t>
  </si>
  <si>
    <t>Other current assets through financing arrangement in accrued expenses and other current liabilities</t>
  </si>
  <si>
    <t>OtherSignificantNoncashTransaction, OtherSignificantNoncashTransaction</t>
  </si>
  <si>
    <t>Repurchases of Class A common stock in accrued expenses and other current liabilities</t>
  </si>
  <si>
    <t>RepurchaseOfCommonStockInAccruedExpensesAndOtherCurrentLiabilities, RepurchaseOfCommonStockInAccruedExpensesAndOtherCurrentLiabilities</t>
  </si>
  <si>
    <t>Operating lines add to net cash from operating activities</t>
  </si>
  <si>
    <t>Investing lines add to net cash from investing activities</t>
  </si>
  <si>
    <t>Financing lines add to net cash from financing activities</t>
  </si>
  <si>
    <t>Three activities plus exchange rate effect equal the net change</t>
  </si>
  <si>
    <t>Beginning cash plus net change equals ending cash</t>
  </si>
  <si>
    <t>Reconciliation lines add to the total</t>
  </si>
  <si>
    <t>Reconciliation total equals ending cash</t>
  </si>
  <si>
    <t>Beginning cash equals the prior year's ending cash</t>
  </si>
  <si>
    <t>Meta Platforms, Inc. | Consolidated Statements of Stockholders' Equity (roll-forward by component)</t>
  </si>
  <si>
    <t>USD millions; shares in millions. Each column of the filed statement is shown here as one block, years across.</t>
  </si>
  <si>
    <t>Balance at beginning of period</t>
  </si>
  <si>
    <t>Other comprehensive income (loss)</t>
  </si>
  <si>
    <t>Other comprehensive income | Other comprehensive loss</t>
  </si>
  <si>
    <t>Issuance of common stock for cash upon exercise of stock options</t>
  </si>
  <si>
    <t>Issuance of common stock for settlement of RSUs</t>
  </si>
  <si>
    <t>Issuance of common stock</t>
  </si>
  <si>
    <t>Shares withheld related to net share settlement</t>
  </si>
  <si>
    <t>Shares withheld related to net share settlement and other</t>
  </si>
  <si>
    <t>Share repurchases</t>
  </si>
  <si>
    <t>Dividends and dividend equivalents declared</t>
  </si>
  <si>
    <t>Dividends and dividend equivalents declared ($2.00 per share)</t>
  </si>
  <si>
    <t>Balance at end of period</t>
  </si>
  <si>
    <t>Class A and Class B common stock: shares (millions)</t>
  </si>
  <si>
    <t>Class A and Class B common stock: par value</t>
  </si>
  <si>
    <t>9M 2026A: the Q3 2026 10-Q shows common stock and additional paid-in capital as one column; that column is shown here (par value is USD 0).</t>
  </si>
  <si>
    <t>Memo: dividends and dividend equivalents declared per share (USD)</t>
  </si>
  <si>
    <t>Total stockholders' equity: beginning plus movements equal ending</t>
  </si>
  <si>
    <t>Class A and Class B common stock: shares (millions): beginning plus movements equal ending</t>
  </si>
  <si>
    <t>Class A and Class B common stock: par value: beginning plus movements equal ending</t>
  </si>
  <si>
    <t>Additional paid-in capital: beginning plus movements equal ending</t>
  </si>
  <si>
    <t>Accumulated other comprehensive income (loss): beginning plus movements equal ending</t>
  </si>
  <si>
    <t>Retained earnings: beginning plus movements equal ending</t>
  </si>
  <si>
    <t>Components add to total equity (beginning)</t>
  </si>
  <si>
    <t>Components add to total equity (end)</t>
  </si>
  <si>
    <t>Beginning equity equals the prior year-end</t>
  </si>
  <si>
    <t>Meta Platforms, Inc. | Revenue: sources, segments, regions and drivers</t>
  </si>
  <si>
    <t>USD millions unless the row says otherwise. Each number comes from the filing that first reported it. Sections A and B: audited notes. Section C: management's discussion, not audited. Section D: formulas.</t>
  </si>
  <si>
    <t>Form 10-K</t>
  </si>
  <si>
    <t>Form 10-Q</t>
  </si>
  <si>
    <t>Where in the filing</t>
  </si>
  <si>
    <t>Note</t>
  </si>
  <si>
    <t>A. Revenue by source and by segment (audited note)</t>
  </si>
  <si>
    <t>Advertising</t>
  </si>
  <si>
    <t>Notes: Revenue (by source and by segment)</t>
  </si>
  <si>
    <t>Other revenue</t>
  </si>
  <si>
    <t>2019A and 2020A first reported in the 2021 10-K, the first 10-K with two segments. Mainly business messaging and Meta Verified.</t>
  </si>
  <si>
    <t>Family of Apps</t>
  </si>
  <si>
    <t>2019A and 2020A first reported in the 2021 10-K, the first 10-K with two segments.</t>
  </si>
  <si>
    <t>Reality Labs</t>
  </si>
  <si>
    <t>2019A and 2020A first reported in the 2021 10-K, the first 10-K with two segments. Hardware, software and content.</t>
  </si>
  <si>
    <t>Total revenue</t>
  </si>
  <si>
    <t>Memo: other revenue as reported before the segment split</t>
  </si>
  <si>
    <t>The 2019 and 2020 10-Ks show one other-revenue line that includes Reality Labs. The 2021 10-K split it (see Recasts).</t>
  </si>
  <si>
    <t>Memo: total revenue per the income statement</t>
  </si>
  <si>
    <t>B. Revenue by region, by the customer's address (audited note)</t>
  </si>
  <si>
    <t>Region = the address of the customer (the advertiser), not the place of the user.</t>
  </si>
  <si>
    <t>United States and Canada</t>
  </si>
  <si>
    <t>Notes: Revenue (by geography)</t>
  </si>
  <si>
    <t>Europe</t>
  </si>
  <si>
    <t>Includes Russia and Turkey.</t>
  </si>
  <si>
    <t>Asia-Pacific</t>
  </si>
  <si>
    <t>Rest of World</t>
  </si>
  <si>
    <t>Africa, Latin America and the Middle East.</t>
  </si>
  <si>
    <t>Memo: United States</t>
  </si>
  <si>
    <t>Notes: Revenue (footnote to the geography table)</t>
  </si>
  <si>
    <t>Given in USD billions with two decimals. The 10-Qs do not give it.</t>
  </si>
  <si>
    <t>Memo: China (customers based in China)</t>
  </si>
  <si>
    <t>Given in USD billions with two decimals. First given in the 2023 10-K, for 2021A to 2023A. The 2025 10-K does not give it.</t>
  </si>
  <si>
    <t>C. Drivers reported by Meta (management's discussion, not audited)</t>
  </si>
  <si>
    <t>The sentence behind each number: evidence/driver_sentences.tsv in the run folder 2026-10-26_meta-pestana-ingresos.</t>
  </si>
  <si>
    <t>Ad impressions delivered: change on a year earlier</t>
  </si>
  <si>
    <t>Management's discussion: results of operations, revenue</t>
  </si>
  <si>
    <t>Meta gives whole percents. 9M columns: the nine months against the same nine months a year earlier.</t>
  </si>
  <si>
    <t>Average price per ad: change on a year earlier</t>
  </si>
  <si>
    <t>Meta gives whole percents.</t>
  </si>
  <si>
    <t>Daily active people, DAP (billions)</t>
  </si>
  <si>
    <t>Management's discussion: key user metrics</t>
  </si>
  <si>
    <t>Average for December in the 10-K columns; average for September in the 10-Q columns.</t>
  </si>
  <si>
    <t>Daily active people: change on a year earlier</t>
  </si>
  <si>
    <t>Facebook daily active users, DAU (billions)</t>
  </si>
  <si>
    <t>Average for December. Facebook only. Meta stopped this metric after 2023.</t>
  </si>
  <si>
    <t>Average revenue per person, ARPP (USD): definition to 2023</t>
  </si>
  <si>
    <t>Management's discussion: monetization metrics</t>
  </si>
  <si>
    <t>Total revenue divided by monthly active people; sum of four quarters.</t>
  </si>
  <si>
    <t>Average revenue per person, ARPP (USD): definition from 2024</t>
  </si>
  <si>
    <t>Family of Apps revenue divided by daily active people; sum of four quarters. The 2024 10-K recast the 2023 quarters; their sum is 43.15 (not typed here).</t>
  </si>
  <si>
    <t>Facebook average revenue per user, ARPU (USD)</t>
  </si>
  <si>
    <t>Facebook only; sum of four quarters. Meta stopped this metric after 2023.</t>
  </si>
  <si>
    <t>Effect of exchange rates on revenue</t>
  </si>
  <si>
    <t>Management's discussion: foreign exchange impact on revenue</t>
  </si>
  <si>
    <t>Revenue less revenue at the prior year's exchange rates. Meta says 'higher' or 'lower' in words; the sign is ours: negative = the dollar cut revenue.</t>
  </si>
  <si>
    <t>D. Calculated here (formulas, not in the filings)</t>
  </si>
  <si>
    <t>Revenue: growth on the prior period</t>
  </si>
  <si>
    <t>Advertising revenue: growth on the prior period</t>
  </si>
  <si>
    <t>Ads shown x price per ad: implied advertising growth</t>
  </si>
  <si>
    <t>(1 + change in ads shown) x (1 + change in price per ad) - 1.</t>
  </si>
  <si>
    <t>Gap: implied less actual advertising growth</t>
  </si>
  <si>
    <t>Not a check. Meta rounds both changes to whole percents, so a gap up to about 1 point is normal.</t>
  </si>
  <si>
    <t>Revenue: growth at the prior year's exchange rates</t>
  </si>
  <si>
    <t>(Revenue - exchange-rate effect) / prior-period revenue - 1.</t>
  </si>
  <si>
    <t>Advertising: share of revenue</t>
  </si>
  <si>
    <t>Reality Labs: share of revenue</t>
  </si>
  <si>
    <t>Index, 2019A = 1.00 (full years only)</t>
  </si>
  <si>
    <t>Each index compounds the yearly changes from 2019A.</t>
  </si>
  <si>
    <t>Ads shown</t>
  </si>
  <si>
    <t>Price per ad</t>
  </si>
  <si>
    <t>Ads shown x price per ad</t>
  </si>
  <si>
    <t>Advertising revenue, actual</t>
  </si>
  <si>
    <t>Daily active people (December)</t>
  </si>
  <si>
    <t>Ads shown per daily active person (estimate)</t>
  </si>
  <si>
    <t>Estimate: ads shown index / people index. It divides a full-year count by a December average.</t>
  </si>
  <si>
    <t>Share of revenue by region</t>
  </si>
  <si>
    <t>China (customers based in China)</t>
  </si>
  <si>
    <t>Advertising plus other revenue equals Family of Apps</t>
  </si>
  <si>
    <t>Family of Apps plus Reality Labs equals total revenue</t>
  </si>
  <si>
    <t>Revenue by source equals the income statement</t>
  </si>
  <si>
    <t>Regions add to total revenue</t>
  </si>
  <si>
    <t>Revenue by region equals the income statement</t>
  </si>
  <si>
    <t>Before the split: advertising plus other revenue equals total revenue</t>
  </si>
  <si>
    <t>The split: other revenue plus Reality Labs equals the earlier other revenue</t>
  </si>
  <si>
    <t>Meta Platforms, Inc. | Assumptions and scenarios</t>
  </si>
  <si>
    <t>Blue cells are inputs. Each driver has Base, Bull and Bear rows; the Active row follows the switch in C5. USD millions unless stated.</t>
  </si>
  <si>
    <t>Actual</t>
  </si>
  <si>
    <t>Forecast</t>
  </si>
  <si>
    <t>Source / derivation</t>
  </si>
  <si>
    <t>Scenario switch: 1 = Base, 2 = Bull, 3 = Bear</t>
  </si>
  <si>
    <t>Same convention as the house templates (Supuestos!C5).</t>
  </si>
  <si>
    <t>A. 2026E bridge and valuation inputs (one value per scenario)</t>
  </si>
  <si>
    <t>Active</t>
  </si>
  <si>
    <t>Base</t>
  </si>
  <si>
    <t>Bull</t>
  </si>
  <si>
    <t>Bear</t>
  </si>
  <si>
    <t>Q4 2026E revenue (USD m)</t>
  </si>
  <si>
    <t>Guidance USD 73-76 bn (Q3 2026 earnings, 21 Oct 2026): midpoint, top, bottom.</t>
  </si>
  <si>
    <t>FY2026E total costs and expenses (USD m)</t>
  </si>
  <si>
    <t>Guidance USD 175-179 bn including the legal charge (Q3 2026 earnings call).</t>
  </si>
  <si>
    <t>Q4 2026E effective tax rate</t>
  </si>
  <si>
    <t>Guidance 15-17% (Q3 2026 earnings call).</t>
  </si>
  <si>
    <t>Q4 2026E other revenue: growth on Q4 2025</t>
  </si>
  <si>
    <t>9M 2026 +67% (10-Q).</t>
  </si>
  <si>
    <t>Q4 2026E Reality Labs revenue (USD m)</t>
  </si>
  <si>
    <t>Q4 2025 = 955 (FY2025 less 9M 2025). Base flat (9M 2026 +2%).</t>
  </si>
  <si>
    <t>Q4 2026E Reality Labs operating loss (USD m)</t>
  </si>
  <si>
    <t>FY2026 loss guidance USD 18-19 bn less 9M loss 12,775.</t>
  </si>
  <si>
    <t>Terminal growth (after 2035E)</t>
  </si>
  <si>
    <t>Below the 10-year Treasury yield (5.00%); near long-run nominal GDP. Analyst input.</t>
  </si>
  <si>
    <t>Terminal return on new invested capital</t>
  </si>
  <si>
    <t>Reinvestment = growth / ROIC (Damodaran). Meta's pre-AI ROIC was about 30%. Analyst input.</t>
  </si>
  <si>
    <t>Exit EV / EBITDA multiple (2035E)</t>
  </si>
  <si>
    <t>Cross-check only. LTM EV/EBITDA today about 14x-16x; a 2035 exit sees lower growth. Analyst input.</t>
  </si>
  <si>
    <t>Terminal return on equity (FCFE method)</t>
  </si>
  <si>
    <t>Reinvestment of equity = growth / ROE. Analyst input.</t>
  </si>
  <si>
    <t>B. Inputs that do not change with the scenario</t>
  </si>
  <si>
    <t>Q4 2026E interest and other income, net (USD m)</t>
  </si>
  <si>
    <t>Interest income on about USD 82 bn of cash at 3.5% less interest on USD 84 bn of notes at 4.8%, per quarter.</t>
  </si>
  <si>
    <t>Q4 2026E interest expense on the notes (USD m)</t>
  </si>
  <si>
    <t>USD 84 bn x 4.8% / 4.</t>
  </si>
  <si>
    <t>Q4 2026E depreciation and amortization (USD m)</t>
  </si>
  <si>
    <t>Q3 2026 depreciation 6,810 grows about 15% a quarter, plus about 340 of amortization (10-Q).</t>
  </si>
  <si>
    <t>Q4 2026E share-based compensation (USD m)</t>
  </si>
  <si>
    <t>9M 2026: 21,053 (10-Q), so about 7,000 a quarter.</t>
  </si>
  <si>
    <t>Q4 2026E taxes paid on RSU net share settlement (USD m)</t>
  </si>
  <si>
    <t>9M 2026: 12,768 (10-Q), so about 4,250 a quarter.</t>
  </si>
  <si>
    <t>Q4 2026E dividends paid (USD m)</t>
  </si>
  <si>
    <t>Q3 2026 payments USD 1.36 bn (press release).</t>
  </si>
  <si>
    <t>Q4 2026E new debt issued (USD m)</t>
  </si>
  <si>
    <t>No issue announced after 30 Sep 2026.</t>
  </si>
  <si>
    <t>Q4 2026E share buybacks (USD m)</t>
  </si>
  <si>
    <t>No buybacks in 9M 2026 (10-Q).</t>
  </si>
  <si>
    <t>9M 2026 legal charges in costs (USD m)</t>
  </si>
  <si>
    <t>Multistate attorneys general agreement charges (10-Q, G&amp;A discussion).</t>
  </si>
  <si>
    <t>Interest income yield on cash and marketable securities</t>
  </si>
  <si>
    <t>Between the 2025 realized yield (about 2.7%) and the 3-month bill (4.22%, Treasury, 26 Oct 2026). Analyst input.</t>
  </si>
  <si>
    <t>Interest rate on debt (on beginning balance)</t>
  </si>
  <si>
    <t>Coupons 3.50%-6.45% (10-Q Note 9); new issues near 5.3%-6.5%. Analyst input.</t>
  </si>
  <si>
    <t>Minimum cash and marketable securities: % of revenue</t>
  </si>
  <si>
    <t>Meta held 34% of LTM revenue at 30 Sep 2026; S&amp;P expects a neutral net debt position. Analyst policy input.</t>
  </si>
  <si>
    <t>Gross share dilution from equity awards, per year</t>
  </si>
  <si>
    <t>Class A + B shares 2,530 m (Dec 2025) to 2,556 m (Sep 2026) with no buybacks: +1.0% in 9 months.</t>
  </si>
  <si>
    <t>Dilutive shares from equity awards (m)</t>
  </si>
  <si>
    <t>Q3 2026 incremental shares (10-Q, EPS note).</t>
  </si>
  <si>
    <t>Buyback share price: growth per year from today's price</t>
  </si>
  <si>
    <t>About the cost of equity less the dividend yield. Analyst input.</t>
  </si>
  <si>
    <t>RSU tax payments: % of share-based compensation (2027E onward)</t>
  </si>
  <si>
    <t>2025A 90%; 9M 2026 61%. Analyst input.</t>
  </si>
  <si>
    <t>Share-based compensation: % of revenue (2027E onward)</t>
  </si>
  <si>
    <t>2025A 10.2%; 9M 2026 11.6%. Inside cash costs; used for the cash flow add-back.</t>
  </si>
  <si>
    <t>Dividend per share 2026E (USD)</t>
  </si>
  <si>
    <t>4 x USD 0.525 (10-Q).</t>
  </si>
  <si>
    <t>Share of capex in servers and network equipment</t>
  </si>
  <si>
    <t>Calibrated to D&amp;A 2019A-2025A (fit error about 1.5 bn a year). Gross servers 134 bn vs buildings and construction 158 bn at Sep 2026.</t>
  </si>
  <si>
    <t>Useful life of servers and network assets (years)</t>
  </si>
  <si>
    <t>Meta's estimate since January 2025 (10-K FY2025).</t>
  </si>
  <si>
    <t>Useful life of buildings and other assets (years)</t>
  </si>
  <si>
    <t>Calibrated; buildings up to 30 years, equipment shorter.</t>
  </si>
  <si>
    <t>Construction lag before buildings depreciate (years)</t>
  </si>
  <si>
    <t>Calibrated.</t>
  </si>
  <si>
    <t>Sensitivity: price-per-ad growth shift, all years 2027E-2035E (pp)</t>
  </si>
  <si>
    <t>Keep at 0. The Sensitivity sheet moves it.</t>
  </si>
  <si>
    <t>Sensitivity: capex scale versus the scenario path</t>
  </si>
  <si>
    <t>Accounts receivable: % of revenue</t>
  </si>
  <si>
    <t>2025A ratio, held flat (link to the audited balance sheet).</t>
  </si>
  <si>
    <t>Prepaid expenses and other current assets: % of revenue</t>
  </si>
  <si>
    <t>Accounts payable: % of revenue</t>
  </si>
  <si>
    <t>Accrued expenses and other current liabilities: % of revenue</t>
  </si>
  <si>
    <t>C. Drivers by year (Base, Bull, Bear and the active row)</t>
  </si>
  <si>
    <t>Ad impressions delivered: growth on a year earlier</t>
  </si>
  <si>
    <t>2026E: 9M 2026 +14%, Q3 +10% (10-Q), so about 13% for the year. Later years fade with people growth (DAP +3% in Sep 2026) and ad load. Analyst input.</t>
  </si>
  <si>
    <t>Average price per ad: growth on a year earlier (2026E is derived in Revenue_Build)</t>
  </si>
  <si>
    <t>Base 2027E: ads x price = +18.8%, near Moody's +18% expectation for 2027 (Investing.com, 2026). Bull: capex pays off, price keeps the 2024-2026 pace (+9% to +14%) and fades. Bear: price returns to its 2019-2025 average (about 0%). Analyst input.</t>
  </si>
  <si>
    <t>Family of Apps other revenue: growth on a year earlier</t>
  </si>
  <si>
    <t>2025A +50%, 9M 2026 +67% (business messaging, Meta Verified). Fades. Analyst input.</t>
  </si>
  <si>
    <t>Reality Labs revenue: growth on a year earlier</t>
  </si>
  <si>
    <t>9M 2026 +2% (10-Q). Bull: AI glasses scale. Analyst input.</t>
  </si>
  <si>
    <t>Daily active people: growth on a year earlier (memo, revenue per person)</t>
  </si>
  <si>
    <t>DAP +3% in Sep 2026 (10-Q). Memo only; it does not drive revenue.</t>
  </si>
  <si>
    <t>Cash costs excluding D&amp;A and one-off legal charges: % of revenue</t>
  </si>
  <si>
    <t>2025A 49.3%; 2026E 53.6% excluding the USD 11.89 bn legal charge (cloud, AI token and staff costs). Base falls 0.875 pp a year from 54% to 47% (operating leverage; headcount -15% in 2026). Analyst input.</t>
  </si>
  <si>
    <t>Legal charges outside the run-rate (USD m)</t>
  </si>
  <si>
    <t>Bear: the USD 25 bn New Mexico civil penalty (ordered 21 Oct 2026, under appeal; 10-Q Note 10) is paid in 2027E. Base and Bull: covered by amounts Meta has accrued.</t>
  </si>
  <si>
    <t>Capital expenditures incl. finance-lease principal, Meta's definition (USD m)</t>
  </si>
  <si>
    <t>2026E: guidance USD 135-145 bn (Q3 2026 10-Q); Base midpoint, Bull and Bear top. 2027E Base: midpoint of pre-earnings estimates USD 193-205 bn (Investing.com, 22 Oct 2026). Bull and Bear spend the same through 2028E (the payoff test); Bear cuts from 2029E when price stalls.</t>
  </si>
  <si>
    <t>Reality Labs operating income (loss) (memo, USD m)</t>
  </si>
  <si>
    <t>Meta: 2026 loss USD 18-19 bn (10-Q); 2027 about USD 15 bn (Q3 2026 call). Memo for the sum of the parts; total costs come from the cash-cost ratio and D&amp;A.</t>
  </si>
  <si>
    <t>Effective tax rate (2027E onward)</t>
  </si>
  <si>
    <t>Q3 2026 rate excluding the legal charge: 17% (press release); Q4 2026 guidance 15-17%. Analyst input.</t>
  </si>
  <si>
    <t>Dividend per share: growth</t>
  </si>
  <si>
    <t>2026 quarterly dividend USD 0.525, flat on 2025 (10-Q). Analyst input.</t>
  </si>
  <si>
    <t>Buybacks: share of free cash flow after dividends and RSU tax payments</t>
  </si>
  <si>
    <t>Meta bought no shares in 9M 2026 (10-Q). Applied only when that free cash flow is positive. Analyst input.</t>
  </si>
  <si>
    <t>Meta Platforms, Inc. | 2026E bridge: nine months actual plus fourth quarter estimate</t>
  </si>
  <si>
    <t>9M columns link to the 10-Q sheets; Q4 2026E comes from guidance and inputs on Assumptions. USD millions.</t>
  </si>
  <si>
    <t>Line</t>
  </si>
  <si>
    <t>Q4 2026E</t>
  </si>
  <si>
    <t>FY2026E</t>
  </si>
  <si>
    <t>Q4 2025A</t>
  </si>
  <si>
    <t>FY2025A</t>
  </si>
  <si>
    <t>Q4 2026E = Q4 revenue guidance less other revenue and Reality Labs.</t>
  </si>
  <si>
    <t>Q4 guidance USD 73-76 bn.</t>
  </si>
  <si>
    <t>Q4 2026E = FY2026 guidance (USD 175-179 bn) less 9M actual.</t>
  </si>
  <si>
    <t xml:space="preserve">  of which legal charges outside the run-rate</t>
  </si>
  <si>
    <t>Attorneys general agreement, 10-Q.</t>
  </si>
  <si>
    <t xml:space="preserve">  Reality Labs income (loss) from operations</t>
  </si>
  <si>
    <t>10-Q and 10-K segment notes (XBRL OperatingIncomeLoss, RealityLabsMember).</t>
  </si>
  <si>
    <t xml:space="preserve">  Family of Apps income from operations</t>
  </si>
  <si>
    <t>EBITDA (income from operations + D&amp;A)</t>
  </si>
  <si>
    <t xml:space="preserve">  memo: interest expense on the notes</t>
  </si>
  <si>
    <t>10-Q Note 9 and 10-K Note 9 (net of capitalized interest).</t>
  </si>
  <si>
    <t>9M 2026 includes an 8.03 bn CAMT tax benefit; 9M 2025 a 15.93 bn charge (10-Q).</t>
  </si>
  <si>
    <t>Cash flow items</t>
  </si>
  <si>
    <t>Net cash provided by operating activities (memo)</t>
  </si>
  <si>
    <t>Capital expenditures incl. finance-lease principal</t>
  </si>
  <si>
    <t>Meta's definition: purchases of property and equipment plus principal payments on finance leases. FY2026E = guidance (Assumptions).</t>
  </si>
  <si>
    <t>Dividends paid</t>
  </si>
  <si>
    <t>Share buybacks</t>
  </si>
  <si>
    <t>Taxes paid on RSU net share settlement</t>
  </si>
  <si>
    <t>Proceeds from new long-term debt</t>
  </si>
  <si>
    <t>Revenue growth on the same period a year earlier</t>
  </si>
  <si>
    <t>Segments add to total revenue</t>
  </si>
  <si>
    <t>Income from operations ties to the income statement</t>
  </si>
  <si>
    <t>Net income ties to the income statement</t>
  </si>
  <si>
    <t>FY2026E costs equal the guidance input</t>
  </si>
  <si>
    <t>Meta Platforms, Inc. | Revenue build: ads shown x price per ad</t>
  </si>
  <si>
    <t>Advertising revenue grows with the number of ads shown and the average price per ad, the two numbers Meta reports each year.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</si>
  <si>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</si>
  <si>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</si>
  <si>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</si>
  <si>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</si>
  <si>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</si>
  <si>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</si>
  <si>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</si>
  <si>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</si>
  <si>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</si>
  <si>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</si>
  <si>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Ad impressions: growth</t>
  </si>
  <si>
    <t>Average price per ad: growth (2026E derived)</t>
  </si>
  <si>
    <t>2026E: (1 + ad revenue growth) / (1 + impressions growth) - 1. Later years: Assumptions plus the sensitivity shift.</t>
  </si>
  <si>
    <t>Advertising revenue</t>
  </si>
  <si>
    <t>Advertising revenue: growth</t>
  </si>
  <si>
    <t>Revenue by segment</t>
  </si>
  <si>
    <t>Total revenue: growth</t>
  </si>
  <si>
    <t>People (memo; does not drive revenue)</t>
  </si>
  <si>
    <t>Daily active people, year-end (billions)</t>
  </si>
  <si>
    <t>2025A: December 2025 average; 2026E: September 2026 average (latest).</t>
  </si>
  <si>
    <t>Family of Apps revenue per daily active person (USD)</t>
  </si>
  <si>
    <t>Ads shown per person: index, 2025A = 1.00</t>
  </si>
  <si>
    <t>2025A total revenue equals the income statement</t>
  </si>
  <si>
    <t>2026E total revenue equals the bridge</t>
  </si>
  <si>
    <t>Meta Platforms, Inc. | Schedules: capex and depreciation, working capital, debt, cash, equity and shares</t>
  </si>
  <si>
    <t>USD millions; shares in millions; per-share in USD. Interest uses beginning balances, so the model has no circular reference.</t>
  </si>
  <si>
    <t>Property and equipment</t>
  </si>
  <si>
    <t>Capex: % of revenue</t>
  </si>
  <si>
    <t>2026E: 9M actual + Q4 estimate. 2027E onward: the vintage table below.</t>
  </si>
  <si>
    <t>D&amp;A: % of revenue</t>
  </si>
  <si>
    <t>Property and equipment, net: beginning</t>
  </si>
  <si>
    <t>Property and equipment, net: ending</t>
  </si>
  <si>
    <t>Depreciation by capex vintage</t>
  </si>
  <si>
    <t>Servers (share in Assumptions) over their life with a half year in year one; the rest after the construction lag over the building life. Calibrated to D&amp;A 2019A-2025A.</t>
  </si>
  <si>
    <t>Capex of 2017</t>
  </si>
  <si>
    <t>10-K FY2019 comparative (finance-lease principal not available)</t>
  </si>
  <si>
    <t>Capex of 2018</t>
  </si>
  <si>
    <t>Capex of 2019</t>
  </si>
  <si>
    <t>Capex of 2020</t>
  </si>
  <si>
    <t>Capex of 2021</t>
  </si>
  <si>
    <t>Capex of 2022</t>
  </si>
  <si>
    <t>Capex of 2023</t>
  </si>
  <si>
    <t>Capex of 2024</t>
  </si>
  <si>
    <t>Capex of 2025</t>
  </si>
  <si>
    <t>Capex of 2026</t>
  </si>
  <si>
    <t>Capex of 2027</t>
  </si>
  <si>
    <t>Capex of 2028</t>
  </si>
  <si>
    <t>Capex of 2029</t>
  </si>
  <si>
    <t>Capex of 2030</t>
  </si>
  <si>
    <t>Capex of 2031</t>
  </si>
  <si>
    <t>Capex of 2032</t>
  </si>
  <si>
    <t>Capex of 2033</t>
  </si>
  <si>
    <t>Capex of 2034</t>
  </si>
  <si>
    <t>Capex of 2035</t>
  </si>
  <si>
    <t>D&amp;A from the vintage method</t>
  </si>
  <si>
    <t>2026E: vintage method less the D&amp;A used (memo)</t>
  </si>
  <si>
    <t>Working capital</t>
  </si>
  <si>
    <t>Net operating working capital</t>
  </si>
  <si>
    <t>Cash flow from working capital (negative = cash used)</t>
  </si>
  <si>
    <t>Debt (carrying value)</t>
  </si>
  <si>
    <t>Debt: beginning</t>
  </si>
  <si>
    <t>New debt issued</t>
  </si>
  <si>
    <t>2026E: actual 9M issue (USD 25 bn May 2026 notes, net) + Q4 input. Later: borrow only to restore the minimum cash.</t>
  </si>
  <si>
    <t>Scheduled repayments</t>
  </si>
  <si>
    <t>10-Q Note 9 principal by year: 2027 2,750; 2028 1,500; 2029 1,000; 2030 5,000; later maturities (73,750) are assumed refinanced.</t>
  </si>
  <si>
    <t>Debt: ending</t>
  </si>
  <si>
    <t>Interest expense</t>
  </si>
  <si>
    <t>Cash and marketable securities</t>
  </si>
  <si>
    <t>Cash and marketable securities: beginning</t>
  </si>
  <si>
    <t>Free cash flow (operating cash flow less capex)</t>
  </si>
  <si>
    <t>Dividend per share (USD)</t>
  </si>
  <si>
    <t>Dividends</t>
  </si>
  <si>
    <t>Minimum cash and marketable securities</t>
  </si>
  <si>
    <t>Cash before new debt</t>
  </si>
  <si>
    <t>Cash and marketable securities: ending</t>
  </si>
  <si>
    <t>Equity and shares</t>
  </si>
  <si>
    <t>Buyback share price (USD)</t>
  </si>
  <si>
    <t>Class A + B shares: beginning</t>
  </si>
  <si>
    <t>Shares issued to employees (gross)</t>
  </si>
  <si>
    <t>Shares bought back</t>
  </si>
  <si>
    <t>Class A + B shares: ending</t>
  </si>
  <si>
    <t>Diluted shares: average</t>
  </si>
  <si>
    <t>Stockholders' equity: beginning</t>
  </si>
  <si>
    <t>Plus net income</t>
  </si>
  <si>
    <t>Plus share-based compensation</t>
  </si>
  <si>
    <t>Less RSU taxes, buybacks and dividends</t>
  </si>
  <si>
    <t>Stockholders' equity: ending</t>
  </si>
  <si>
    <t>Cash never falls below the minimum</t>
  </si>
  <si>
    <t>Debt is never negative</t>
  </si>
  <si>
    <t>Property and equipment roll-forward: ending = beginning + capex - D&amp;A</t>
  </si>
  <si>
    <t>Meta Platforms, Inc. | Integrated forecast: income statement, balance sheet, cash flow</t>
  </si>
  <si>
    <t>2025A links to the audited statements; 2026E = 9M actual + Q4 estimate (Interim_Bridge); 2027E-2035E from the drivers. Cash includes marketable securities.</t>
  </si>
  <si>
    <t>Income statement</t>
  </si>
  <si>
    <t>Revenue growth</t>
  </si>
  <si>
    <t>Cash costs excluding D&amp;A and one-off legal charges</t>
  </si>
  <si>
    <t>Includes share-based compensation, third-party cloud and AI token costs.</t>
  </si>
  <si>
    <t xml:space="preserve">  % of revenue</t>
  </si>
  <si>
    <t>Legal charges outside the run-rate</t>
  </si>
  <si>
    <t xml:space="preserve">  Operating margin</t>
  </si>
  <si>
    <t xml:space="preserve">  memo: Reality Labs income (loss) from operations</t>
  </si>
  <si>
    <t xml:space="preserve">  memo: Family of Apps income from operations</t>
  </si>
  <si>
    <t xml:space="preserve">  memo: EBITDA</t>
  </si>
  <si>
    <t>Interest income</t>
  </si>
  <si>
    <t>2026E is a memo inside the bridge line below.</t>
  </si>
  <si>
    <t xml:space="preserve">  Effective tax rate</t>
  </si>
  <si>
    <t>Diluted shares (average, m)</t>
  </si>
  <si>
    <t>Diluted earnings per share (USD)</t>
  </si>
  <si>
    <t>Share-based compensation (memo)</t>
  </si>
  <si>
    <t>Balance sheet (31 December)</t>
  </si>
  <si>
    <t>Goodwill and intangible assets</t>
  </si>
  <si>
    <t>Operating lease liabilities (current + non-current)</t>
  </si>
  <si>
    <t>Long-term debt (incl. current portion)</t>
  </si>
  <si>
    <t>Cash flow statement</t>
  </si>
  <si>
    <t>Working capital and other operating items</t>
  </si>
  <si>
    <t>2025A: all other operating lines of the audited statement. Forecast: working capital only.</t>
  </si>
  <si>
    <t>Debt repaid</t>
  </si>
  <si>
    <t>Net change in cash and marketable securities</t>
  </si>
  <si>
    <t>Free cash flow (memo)</t>
  </si>
  <si>
    <t xml:space="preserve">  Free cash flow margin</t>
  </si>
  <si>
    <t>Balance sheet balances</t>
  </si>
  <si>
    <t>2025A total assets equal the audited balance sheet</t>
  </si>
  <si>
    <t>2025A total costs equal the audited income statement</t>
  </si>
  <si>
    <t>Ending cash equals the cash schedule</t>
  </si>
  <si>
    <t>2026E net income equals the bridge</t>
  </si>
  <si>
    <t>Equity roll-forward: change equals net income + SBC - RSU taxes - buybacks - dividends</t>
  </si>
  <si>
    <t>Meta Platforms, Inc. | Debt, liquidity and credit metrics</t>
  </si>
  <si>
    <t>Notes, maturities, debt-like items and ratings at 30 Sep 2026; credit ratios for 2019A-2025A, LTM and 2026E-2035E (active scenario). USD millions.</t>
  </si>
  <si>
    <t>A. Senior notes outstanding (10-Q Note 9)</t>
  </si>
  <si>
    <t>Issue</t>
  </si>
  <si>
    <t>Maturities</t>
  </si>
  <si>
    <t>Stated rates</t>
  </si>
  <si>
    <t>Effective rates</t>
  </si>
  <si>
    <t>Face 30 Sep 2026</t>
  </si>
  <si>
    <t>Face 31 Dec 2025</t>
  </si>
  <si>
    <t>August 2022 Notes</t>
  </si>
  <si>
    <t>2027-2062</t>
  </si>
  <si>
    <t>3.50%-4.65%</t>
  </si>
  <si>
    <t>3.63%-4.71%</t>
  </si>
  <si>
    <t>May 2023 Notes</t>
  </si>
  <si>
    <t>2028-2063</t>
  </si>
  <si>
    <t>4.60%-5.75%</t>
  </si>
  <si>
    <t>4.68%-5.79%</t>
  </si>
  <si>
    <t>August 2024 Notes</t>
  </si>
  <si>
    <t>2029-2064</t>
  </si>
  <si>
    <t>4.30%-5.55%</t>
  </si>
  <si>
    <t>4.42%-5.60%</t>
  </si>
  <si>
    <t>November 2025 Notes</t>
  </si>
  <si>
    <t>2030-2065</t>
  </si>
  <si>
    <t>4.20%-5.75%</t>
  </si>
  <si>
    <t>4.27%-5.77%</t>
  </si>
  <si>
    <t>May 2026 Notes</t>
  </si>
  <si>
    <t>2031-2066</t>
  </si>
  <si>
    <t>4.55%-6.45%</t>
  </si>
  <si>
    <t>4.60%-6.48%</t>
  </si>
  <si>
    <t>Total face value</t>
  </si>
  <si>
    <t>Unamortized discount and issuance costs</t>
  </si>
  <si>
    <t>Carrying value</t>
  </si>
  <si>
    <t xml:space="preserve">  of which current</t>
  </si>
  <si>
    <t>Fair value</t>
  </si>
  <si>
    <t>Financial covenants: none ('We are not subject to any financial covenants under the Notes', 10-Q Note 9).</t>
  </si>
  <si>
    <t>B. Principal due by year (10-Q Note 9)</t>
  </si>
  <si>
    <t>Remainder of 2026</t>
  </si>
  <si>
    <t>Thereafter</t>
  </si>
  <si>
    <t>Total</t>
  </si>
  <si>
    <t>C. Liquidity, debt-like and off-balance-sheet items at 30 Sep 2026</t>
  </si>
  <si>
    <t>Operating lease liabilities</t>
  </si>
  <si>
    <t>Q3 2026 10-Q balance sheet</t>
  </si>
  <si>
    <t>Finance lease liabilities</t>
  </si>
  <si>
    <t>10-K FY2025 (latest disclosed)</t>
  </si>
  <si>
    <t>Legal-related accrued liabilities</t>
  </si>
  <si>
    <t>10-Q Note 8</t>
  </si>
  <si>
    <t>Leases signed but not yet commenced</t>
  </si>
  <si>
    <t>10-Q Note 10: data centers, energy, colocation; start 2026-2036, terms up to 30 years</t>
  </si>
  <si>
    <t>Non-cancelable contractual commitments</t>
  </si>
  <si>
    <t>10-Q Note 10: mostly third-party cloud capacity, servers, network, energy</t>
  </si>
  <si>
    <t xml:space="preserve">  of which due in the rest of 2026</t>
  </si>
  <si>
    <t>10-Q Note 10</t>
  </si>
  <si>
    <t xml:space="preserve">  of which due in 2027</t>
  </si>
  <si>
    <t>Contingent obligation to buy cloud capacity</t>
  </si>
  <si>
    <t>10-Q Note 10: over five years; may fall if the provider resells</t>
  </si>
  <si>
    <t>Data center ventures: maximum exposure</t>
  </si>
  <si>
    <t>10-Q Note 5: equity 4,732 + lease commitments 18,476 + funding 3,703 + residual value guarantees 41,493</t>
  </si>
  <si>
    <t xml:space="preserve">  of which residual value guarantees</t>
  </si>
  <si>
    <t>10-Q Note 5</t>
  </si>
  <si>
    <t>New Mexico civil penalty ordered 21 Oct 2026</t>
  </si>
  <si>
    <t>10-Q Note 10: 15% post-judgment interest; Meta accrued an undisclosed amount and will appeal</t>
  </si>
  <si>
    <t>D. Credit ratings</t>
  </si>
  <si>
    <t>Moody's</t>
  </si>
  <si>
    <t>Aa3, stable</t>
  </si>
  <si>
    <t>Affirmed 2026 (Investing.com); Aa3 on May 2026 notes (FWP 30 Apr 2026)</t>
  </si>
  <si>
    <t>S&amp;P Global</t>
  </si>
  <si>
    <t>AA-, stable</t>
  </si>
  <si>
    <t>S&amp;P, 30 Oct 2025; AA- on May 2026 notes (FWP 30 Apr 2026)</t>
  </si>
  <si>
    <t>Financial covenants</t>
  </si>
  <si>
    <t>None</t>
  </si>
  <si>
    <t>10-Q Note 9: 'We are not subject to any financial covenants under the Notes.'</t>
  </si>
  <si>
    <t>E. Credit metrics (forecast columns follow the active scenario)</t>
  </si>
  <si>
    <t>USD millions</t>
  </si>
  <si>
    <t>LTM Sep 2026</t>
  </si>
  <si>
    <t>D&amp;A</t>
  </si>
  <si>
    <t>EBITDA</t>
  </si>
  <si>
    <t>10-K notes (InterestExpense / InterestExpenseNonoperating); 2020 = finance-lease interest only. LTM = FY2025 + 9M 2026 notes interest 2,170 - 9M 2025 notes interest 668.</t>
  </si>
  <si>
    <t>Meta had no debt before August 2022.</t>
  </si>
  <si>
    <t>Forecast held flat; leases signed but not commenced (355.73 bn) are not included.</t>
  </si>
  <si>
    <t>Lease-adjusted debt</t>
  </si>
  <si>
    <t>Net debt (negative = net cash)</t>
  </si>
  <si>
    <t>Operating cash flow</t>
  </si>
  <si>
    <t>Funds from operations (operating cash flow before working capital)</t>
  </si>
  <si>
    <t>Forecast: net income + D&amp;A + SBC.</t>
  </si>
  <si>
    <t>Capex incl. finance-lease principal</t>
  </si>
  <si>
    <t>Free operating cash flow</t>
  </si>
  <si>
    <t>Dividends, buybacks and RSU tax payments</t>
  </si>
  <si>
    <t>Discretionary cash flow</t>
  </si>
  <si>
    <t>Stockholders' equity</t>
  </si>
  <si>
    <t>Ratios</t>
  </si>
  <si>
    <t>Debt / EBITDA</t>
  </si>
  <si>
    <t>Lease-adjusted debt / EBITDA</t>
  </si>
  <si>
    <t>EBITDA not adjusted for lease cost, so this overstates leverage slightly.</t>
  </si>
  <si>
    <t>Net debt / EBITDA (negative = net cash)</t>
  </si>
  <si>
    <t>EBITDA / interest expense</t>
  </si>
  <si>
    <t>EBIT / interest expense</t>
  </si>
  <si>
    <t>FFO / debt</t>
  </si>
  <si>
    <t>Free operating cash flow / debt</t>
  </si>
  <si>
    <t>Discretionary cash flow / debt</t>
  </si>
  <si>
    <t>Debt / (debt + equity)</t>
  </si>
  <si>
    <t>Capex / revenue</t>
  </si>
  <si>
    <t>Capex / operating cash flow</t>
  </si>
  <si>
    <t>Cash / debt</t>
  </si>
  <si>
    <t>Agency reference: Moody's projected gross leverage (with its lease adjustments) of 0.6x-0.7x at year-end 2026 (Oct 2025 note). S&amp;P expects a neutral net debt position.</t>
  </si>
  <si>
    <t>Face value equals principal due by year</t>
  </si>
  <si>
    <t>Carrying value equals the balance sheet (non-current + current)</t>
  </si>
  <si>
    <t>Dec 2025 carrying value equals the audited balance sheet</t>
  </si>
  <si>
    <t>Face value equals Market_Package debt</t>
  </si>
  <si>
    <t>Meta Platforms, Inc. | Market package (dated)</t>
  </si>
  <si>
    <t>Every market input carries its date and source. Balance-sheet items are at 30 September 2026 (latest 10-Q). USD millions unless stated.</t>
  </si>
  <si>
    <t>Item</t>
  </si>
  <si>
    <t>Value</t>
  </si>
  <si>
    <t>Unit</t>
  </si>
  <si>
    <t>As of</t>
  </si>
  <si>
    <t>Source</t>
  </si>
  <si>
    <t>1. Price and shares</t>
  </si>
  <si>
    <t>Valuation date</t>
  </si>
  <si>
    <t>date</t>
  </si>
  <si>
    <t>Closing price date</t>
  </si>
  <si>
    <t>Share price (close)</t>
  </si>
  <si>
    <t>USD per share</t>
  </si>
  <si>
    <t>stockanalysis.com/stocks/meta/statistics (close)</t>
  </si>
  <si>
    <t>Class A shares outstanding</t>
  </si>
  <si>
    <t>million shares</t>
  </si>
  <si>
    <t>Q3 2026 10-Q cover, Class A</t>
  </si>
  <si>
    <t>Class B shares outstanding</t>
  </si>
  <si>
    <t>Q3 2026 10-Q cover, Class B</t>
  </si>
  <si>
    <t>Class A + B shares outstanding</t>
  </si>
  <si>
    <t>Dilutive shares from equity awards</t>
  </si>
  <si>
    <t>Diluted shares for per-share values</t>
  </si>
  <si>
    <t>Market capitalization</t>
  </si>
  <si>
    <t>USD m</t>
  </si>
  <si>
    <t>Price x Class A + B shares.</t>
  </si>
  <si>
    <t>Two-for-one split via a non-voting Class C dividend</t>
  </si>
  <si>
    <t>Announced 21 Oct 2026; trading expected late January 2027</t>
  </si>
  <si>
    <t>Investing.com, 'Meta earnings analysis'</t>
  </si>
  <si>
    <t>Per-share values here are before the split. After it, divide by 2.</t>
  </si>
  <si>
    <t>2. Bridge from enterprise value to equity (30 Sep 2026)</t>
  </si>
  <si>
    <t>Non-marketable equity investments (at book)</t>
  </si>
  <si>
    <t>Added at book value; no market price.</t>
  </si>
  <si>
    <t>Debt: face value of the notes</t>
  </si>
  <si>
    <t>10-Q Note 9, total face value of the Notes</t>
  </si>
  <si>
    <t>10-K FY2025, finance lease liabilities (latest disclosed)</t>
  </si>
  <si>
    <t>Latest disclosed; not in the 10-Q.</t>
  </si>
  <si>
    <t>Legal-related accrued liabilities, current</t>
  </si>
  <si>
    <t>10-Q Note 8, legal-related accrued liabilities, current</t>
  </si>
  <si>
    <t>Treated as debt-like: payments not in forecast cash flows.</t>
  </si>
  <si>
    <t>Legal-related accrued liabilities, non-current</t>
  </si>
  <si>
    <t>10-Q Note 8, legal-related accrued liabilities, non-current</t>
  </si>
  <si>
    <t>Legal accruals (debt-like)</t>
  </si>
  <si>
    <t>Net bridge items (cash + investments - debt - leases - legal)</t>
  </si>
  <si>
    <t>Enterprise value (market)</t>
  </si>
  <si>
    <t>Market cap less net bridge items.</t>
  </si>
  <si>
    <t>3. Cost of capital</t>
  </si>
  <si>
    <t>Risk-free rate: 10-year Treasury</t>
  </si>
  <si>
    <t>%</t>
  </si>
  <si>
    <t>home.treasury.gov, daily par yield curve, 10-year</t>
  </si>
  <si>
    <t>Equity risk premium (implied, S&amp;P 500)</t>
  </si>
  <si>
    <t>A. Damodaran, implied ERP, blog 'Stock Prices, Earnings and Cashflows' (Oct 2026)</t>
  </si>
  <si>
    <t>Rf on 1 Oct 2026 was 5.29%; today's Rf is used.</t>
  </si>
  <si>
    <t>Beta (5-year, monthly)</t>
  </si>
  <si>
    <t>x</t>
  </si>
  <si>
    <t>stockanalysis.com, beta (5Y)</t>
  </si>
  <si>
    <t>Cost of equity (CAPM)</t>
  </si>
  <si>
    <t>Rf + beta x ERP.</t>
  </si>
  <si>
    <t>Pre-tax cost of debt</t>
  </si>
  <si>
    <t>FRED BAMLC0A2CAAEY, ICE BofA AA US Corporate effective yield</t>
  </si>
  <si>
    <t>Meta is rated Aa3 / AA-.</t>
  </si>
  <si>
    <t>Tax rate (2027E active)</t>
  </si>
  <si>
    <t>After-tax cost of debt</t>
  </si>
  <si>
    <t>Equity (market value)</t>
  </si>
  <si>
    <t>Debt (face + finance leases)</t>
  </si>
  <si>
    <t>Book value as a proxy for market value (fair value 73,310).</t>
  </si>
  <si>
    <t>Weight of equity</t>
  </si>
  <si>
    <t>Weight of debt</t>
  </si>
  <si>
    <t>WACC</t>
  </si>
  <si>
    <t>Used by the DCF.</t>
  </si>
  <si>
    <t>Memo: alternative ERP (adjusted payout)</t>
  </si>
  <si>
    <t>Damodaran implied ERP with adjusted payout, as quoted by yxinsights.com</t>
  </si>
  <si>
    <t>Memo: WACC with the alternative ERP</t>
  </si>
  <si>
    <t>Memo: Meta 5.25% notes due 2036, yield at issue</t>
  </si>
  <si>
    <t>Meta FWP, 5.250% notes due 2036, yield at issue</t>
  </si>
  <si>
    <t>4. Last twelve months (to 30 Sep 2026) and implied multiples</t>
  </si>
  <si>
    <t>Revenue LTM</t>
  </si>
  <si>
    <t>FY2025 - 9M 2025 + 9M 2026.</t>
  </si>
  <si>
    <t>Income from operations LTM</t>
  </si>
  <si>
    <t>Legal charges LTM (one-off)</t>
  </si>
  <si>
    <t>Income from operations LTM excluding legal charges</t>
  </si>
  <si>
    <t>D&amp;A LTM</t>
  </si>
  <si>
    <t>EBITDA LTM</t>
  </si>
  <si>
    <t>EBITDA LTM excluding legal charges</t>
  </si>
  <si>
    <t>Comparable with the peers' figures, which exclude unusual items.</t>
  </si>
  <si>
    <t>Net income LTM</t>
  </si>
  <si>
    <t>Diluted EPS LTM</t>
  </si>
  <si>
    <t>USD</t>
  </si>
  <si>
    <t>Operating cash flow LTM</t>
  </si>
  <si>
    <t>Capex incl. finance-lease principal LTM</t>
  </si>
  <si>
    <t>Free cash flow LTM</t>
  </si>
  <si>
    <t>EV / revenue LTM</t>
  </si>
  <si>
    <t>EV / EBITDA LTM</t>
  </si>
  <si>
    <t>EV / EBITDA LTM excluding legal charges</t>
  </si>
  <si>
    <t>P / E LTM</t>
  </si>
  <si>
    <t>Free cash flow yield LTM</t>
  </si>
  <si>
    <t>Dividend yield</t>
  </si>
  <si>
    <t>Forward P / E (market data)</t>
  </si>
  <si>
    <t>stockanalysis.com, forward P/E</t>
  </si>
  <si>
    <t>Implied next-twelve-months EPS (price / forward P/E)</t>
  </si>
  <si>
    <t>Model 2027E EPS (active scenario)</t>
  </si>
  <si>
    <t>Model 2027E EPS versus the implied market EPS</t>
  </si>
  <si>
    <t>Meta Platforms, Inc. | Discounted cash flow (free cash flow to the firm)</t>
  </si>
  <si>
    <t>Valuation date 26 Oct 2026. Q4 2026E stub, then 2027E-2035E, mid-period discounting. SBC is treated as a cash cost (not added back).</t>
  </si>
  <si>
    <t>Stub</t>
  </si>
  <si>
    <t>Free cash flow to the firm</t>
  </si>
  <si>
    <t>Tax rate</t>
  </si>
  <si>
    <t>NOPAT</t>
  </si>
  <si>
    <t>Plus D&amp;A</t>
  </si>
  <si>
    <t>Less capex incl. finance-lease principal</t>
  </si>
  <si>
    <t>Plus cash flow from working capital</t>
  </si>
  <si>
    <t>Q4 2026E stub: working capital held flat.</t>
  </si>
  <si>
    <t>Years from the valuation date (mid-period)</t>
  </si>
  <si>
    <t>Discount factor</t>
  </si>
  <si>
    <t>Present value</t>
  </si>
  <si>
    <t>Perpetuity value (growth with reinvestment = growth / ROIC)</t>
  </si>
  <si>
    <t>Terminal growth</t>
  </si>
  <si>
    <t>Return on new invested capital</t>
  </si>
  <si>
    <t>Sum of present values, Q4 2026E-2035E</t>
  </si>
  <si>
    <t>NOPAT 2036E</t>
  </si>
  <si>
    <t>Reinvestment rate</t>
  </si>
  <si>
    <t>Free cash flow to the firm 2036E</t>
  </si>
  <si>
    <t>Terminal value at end-2035</t>
  </si>
  <si>
    <t>Years to end-2035</t>
  </si>
  <si>
    <t>Present value of the terminal value</t>
  </si>
  <si>
    <t>Enterprise value</t>
  </si>
  <si>
    <t>Terminal value: share of enterprise value</t>
  </si>
  <si>
    <t>Terminal value / 2035E EBITDA (implied multiple)</t>
  </si>
  <si>
    <t>Net bridge items (Market_Package)</t>
  </si>
  <si>
    <t>Cash and securities + investments - debt - finance leases - legal accruals, at 30 Sep 2026.</t>
  </si>
  <si>
    <t>Equity value</t>
  </si>
  <si>
    <t>Diluted shares (m)</t>
  </si>
  <si>
    <t>Value per share (USD)</t>
  </si>
  <si>
    <t>Share price (USD)</t>
  </si>
  <si>
    <t>Exit multiple (cross-check)</t>
  </si>
  <si>
    <t>2035E EBITDA</t>
  </si>
  <si>
    <t>Exit EV / EBITDA</t>
  </si>
  <si>
    <t>Perpetual growth implied by the exit value (same ROIC)</t>
  </si>
  <si>
    <t>Growth recovered from the perpetuity value (must equal the input)</t>
  </si>
  <si>
    <t>Recovered terminal growth equals the input</t>
  </si>
  <si>
    <t>Value per share x shares equals equity value</t>
  </si>
  <si>
    <t>Meta Platforms, Inc. | Other valuation methods and football field</t>
  </si>
  <si>
    <t>Reverse DCF, free cash flow to equity, trading comparables and sum of the parts. USD millions unless stated.</t>
  </si>
  <si>
    <t>A. Reverse DCF: what the share price implies</t>
  </si>
  <si>
    <t>Enterprise value at the market price</t>
  </si>
  <si>
    <t>Present value of the explicit cash flows (active scenario)</t>
  </si>
  <si>
    <t>Present value the terminal value must supply</t>
  </si>
  <si>
    <t>Terminal value needed at end-2035</t>
  </si>
  <si>
    <t>Perpetual growth the price implies after 2035 (same ROIC)</t>
  </si>
  <si>
    <t>Solves TV = NOPAT x (1+g) x (1 - g/ROIC) / (WACC - g) for g.</t>
  </si>
  <si>
    <t>EV / EBITDA 2035E the price implies</t>
  </si>
  <si>
    <t>B. Free cash flow to equity (cost of equity)</t>
  </si>
  <si>
    <t>Less after-tax interest income (cash is added below)</t>
  </si>
  <si>
    <t>Less capex</t>
  </si>
  <si>
    <t>Plus working capital</t>
  </si>
  <si>
    <t>Plus net borrowing</t>
  </si>
  <si>
    <t>Free cash flow to equity</t>
  </si>
  <si>
    <t>Discount factor at the cost of equity</t>
  </si>
  <si>
    <t>Cost of equity</t>
  </si>
  <si>
    <t>Terminal return on equity</t>
  </si>
  <si>
    <t>Sum of present values</t>
  </si>
  <si>
    <t>Net income 2036E (excluding interest income)</t>
  </si>
  <si>
    <t>Equity value (+ cash and investments - legal accruals)</t>
  </si>
  <si>
    <t>Debt service is inside the cash flows, so debt is not deducted again.</t>
  </si>
  <si>
    <t>C. Trading comparables (last twelve months, close of 26 Oct 2026)</t>
  </si>
  <si>
    <t>Source: stockanalysis.com statistics pages, 26 Oct 2026 (copies in evidence/market). Peer EBITDA and EBIT exclude unusual items.</t>
  </si>
  <si>
    <t>Company</t>
  </si>
  <si>
    <t>Group</t>
  </si>
  <si>
    <t>Market cap</t>
  </si>
  <si>
    <t>EV</t>
  </si>
  <si>
    <t>EBIT</t>
  </si>
  <si>
    <t>Forward P/E</t>
  </si>
  <si>
    <t>EV / revenue</t>
  </si>
  <si>
    <t>EV / EBITDA</t>
  </si>
  <si>
    <t>EV / EBIT</t>
  </si>
  <si>
    <t>Alphabet (GOOGL)</t>
  </si>
  <si>
    <t>Digital ads</t>
  </si>
  <si>
    <t>Snap (SNAP)</t>
  </si>
  <si>
    <t>Pinterest (PINS)</t>
  </si>
  <si>
    <t>Reddit (RDDT)</t>
  </si>
  <si>
    <t>The Trade Desk (TTD)</t>
  </si>
  <si>
    <t>AI mega-caps</t>
  </si>
  <si>
    <t>Microsoft (MSFT)</t>
  </si>
  <si>
    <t>Amazon (AMZN)</t>
  </si>
  <si>
    <t>Apple (AAPL)</t>
  </si>
  <si>
    <t>NVIDIA (NVDA)</t>
  </si>
  <si>
    <t>Meta Platforms (META), for reference</t>
  </si>
  <si>
    <t>Subject</t>
  </si>
  <si>
    <t>Digital ads: 25th percentile</t>
  </si>
  <si>
    <t>Digital ads: Median</t>
  </si>
  <si>
    <t>Digital ads: 75th percentile</t>
  </si>
  <si>
    <t>AI mega-caps: 25th percentile</t>
  </si>
  <si>
    <t>AI mega-caps: Median</t>
  </si>
  <si>
    <t>AI mega-caps: 75th percentile</t>
  </si>
  <si>
    <t>Implied value per share for Meta (USD)</t>
  </si>
  <si>
    <t>Metric</t>
  </si>
  <si>
    <t>Meta metric</t>
  </si>
  <si>
    <t>25th pct</t>
  </si>
  <si>
    <t>Median</t>
  </si>
  <si>
    <t>75th pct</t>
  </si>
  <si>
    <t>AI mega-caps: EV / EBITDA</t>
  </si>
  <si>
    <t>EBITDA LTM ex legal</t>
  </si>
  <si>
    <t>Digital ads: EV / EBITDA</t>
  </si>
  <si>
    <t>AI mega-caps: EV / revenue</t>
  </si>
  <si>
    <t>Digital ads: EV / revenue</t>
  </si>
  <si>
    <t>AI mega-caps: forward P / E</t>
  </si>
  <si>
    <t>EPS 2027E (model)</t>
  </si>
  <si>
    <t>Digital ads: forward P / E</t>
  </si>
  <si>
    <t>D. Sum of the parts (active scenario)</t>
  </si>
  <si>
    <t>Family of Apps income from operations LTM, excluding legal charges</t>
  </si>
  <si>
    <t>Family of Apps EV at AI mega-cap EV / EBIT</t>
  </si>
  <si>
    <t>Reality Labs: present value of after-tax operating losses, Q4 2026E-2035E</t>
  </si>
  <si>
    <t>No value after 2035 (convention). Negative = value Reality Labs costs shareholders.</t>
  </si>
  <si>
    <t>Reality Labs: value per share (USD)</t>
  </si>
  <si>
    <t>Sum of the parts: value per share (USD)</t>
  </si>
  <si>
    <t>E. Football field: value per share (USD)</t>
  </si>
  <si>
    <t>Method</t>
  </si>
  <si>
    <t>Low</t>
  </si>
  <si>
    <t>Middle</t>
  </si>
  <si>
    <t>High</t>
  </si>
  <si>
    <t>Middle (bar)</t>
  </si>
  <si>
    <t>Low / middle / high</t>
  </si>
  <si>
    <t>DCF, perpetuity growth</t>
  </si>
  <si>
    <t>Bear / Base / Bull (Scenario_Summary, captured)</t>
  </si>
  <si>
    <t>DCF, exit multiple</t>
  </si>
  <si>
    <t>Bear / Base / Bull (captured)</t>
  </si>
  <si>
    <t>Comps: AI mega-caps EV / EBITDA</t>
  </si>
  <si>
    <t>25th percentile / median / 75th percentile</t>
  </si>
  <si>
    <t>Comps: digital ads EV / EBITDA</t>
  </si>
  <si>
    <t>Comps: AI mega-caps forward P / E</t>
  </si>
  <si>
    <t>Sum of the parts (active scenario)</t>
  </si>
  <si>
    <t>Family of Apps at the 25th / median / 75th AI mega-cap EV / EBIT</t>
  </si>
  <si>
    <t>Share price, 26 Oct 2026</t>
  </si>
  <si>
    <t>Five peers in each group</t>
  </si>
  <si>
    <t>Meta Platforms, Inc. | Sensitivity of the value per share (USD)</t>
  </si>
  <si>
    <t>Tables 1 and 2 are live formulas on the active scenario's cash flows. Table 3 is captured by re-running the whole model.</t>
  </si>
  <si>
    <t>1. WACC (rows) x terminal growth (columns): perpetuity method</t>
  </si>
  <si>
    <t>WACC \ terminal growth</t>
  </si>
  <si>
    <t>Same formula at the model's WACC and growth (must equal DCF)</t>
  </si>
  <si>
    <t>2. WACC (rows) x exit EV / EBITDA (columns): exit method</t>
  </si>
  <si>
    <t>WACC \ exit multiple</t>
  </si>
  <si>
    <t>3. Price-per-ad growth shift (rows) x capex scale (columns): the capex payoff test, perpetuity method</t>
  </si>
  <si>
    <t>Price growth shift \ capex scale</t>
  </si>
  <si>
    <t>Captured by</t>
  </si>
  <si>
    <t>MOG build 2026-10-26: Base scenario, all other inputs as saved</t>
  </si>
  <si>
    <t>Status of table 3</t>
  </si>
  <si>
    <t>Table formula equals the DCF value per share</t>
  </si>
  <si>
    <t>Meta Platforms, Inc. | Scenario summary</t>
  </si>
  <si>
    <t>Live = the active scenario. Base, Bull and Bear are values captured by re-running the model for each scenario (see the stamp below).</t>
  </si>
  <si>
    <t>Output</t>
  </si>
  <si>
    <t>Live</t>
  </si>
  <si>
    <t>Live vs captured</t>
  </si>
  <si>
    <t>Revenue 2030E</t>
  </si>
  <si>
    <t>Revenue 2035E</t>
  </si>
  <si>
    <t>Revenue growth per year, 2025A-2035E</t>
  </si>
  <si>
    <t>Operating margin 2030E</t>
  </si>
  <si>
    <t>Operating margin 2035E</t>
  </si>
  <si>
    <t>Capex 2027E</t>
  </si>
  <si>
    <t>Capex 2026E-2035E, total</t>
  </si>
  <si>
    <t>Free cash flow 2026E-2035E, total</t>
  </si>
  <si>
    <t>Peak debt 2026E-2035E</t>
  </si>
  <si>
    <t>Peak net debt / EBITDA 2026E-2035E</t>
  </si>
  <si>
    <t>Diluted EPS 2027E (USD)</t>
  </si>
  <si>
    <t>Sum of the parts, median (USD)</t>
  </si>
  <si>
    <t>Upside / (downside), perpetuity DCF</t>
  </si>
  <si>
    <t>MOG build 2026-10-26: switch 1, 2, 3 with sensitivity shifts at 0</t>
  </si>
  <si>
    <t>Status of the captured columns</t>
  </si>
  <si>
    <t>Meta Platforms, Inc. | Model limitations</t>
  </si>
  <si>
    <t>What the model simplifies, how it treats it, and what it can change.</t>
  </si>
  <si>
    <t>ID</t>
  </si>
  <si>
    <t>Area</t>
  </si>
  <si>
    <t>Limitation</t>
  </si>
  <si>
    <t>Treatment</t>
  </si>
  <si>
    <t>Impact</t>
  </si>
  <si>
    <t>L01</t>
  </si>
  <si>
    <t>Market data</t>
  </si>
  <si>
    <t>Price, beta, rates and peer figures are a snapshot of 26 Oct 2026 from public websites.</t>
  </si>
  <si>
    <t>Dated and sourced on Market_Package and Valuation.</t>
  </si>
  <si>
    <t>Refresh before use.</t>
  </si>
  <si>
    <t>L02</t>
  </si>
  <si>
    <t>Per-share values</t>
  </si>
  <si>
    <t>Meta announced a two-for-one split through a Class C dividend, expected in late January 2027.</t>
  </si>
  <si>
    <t>Values are before the split.</t>
  </si>
  <si>
    <t>Divide by 2 after the split.</t>
  </si>
  <si>
    <t>L03</t>
  </si>
  <si>
    <t>Balance sheet</t>
  </si>
  <si>
    <t>Investments, leases, goodwill, other assets and other liabilities are held flat at 2025A.</t>
  </si>
  <si>
    <t>Visible flat formulas.</t>
  </si>
  <si>
    <t>The 30 Sep 2026 balance sheet already differs (e.g. other assets +14.7 bn).</t>
  </si>
  <si>
    <t>L04</t>
  </si>
  <si>
    <t>Leases and commitments</t>
  </si>
  <si>
    <t>Leases signed but not commenced (355.73 bn) and non-cancelable commitments (454.52 bn) are not modeled as debt.</t>
  </si>
  <si>
    <t>Listed on Debt_Credit; their cost sits in cash costs.</t>
  </si>
  <si>
    <t>Credit ratios exclude them.</t>
  </si>
  <si>
    <t>L05</t>
  </si>
  <si>
    <t>Legal</t>
  </si>
  <si>
    <t>The 25 bn New Mexico penalty is under appeal; Meta accrued an undisclosed amount.</t>
  </si>
  <si>
    <t>Bear pays it in 2027E; accrued legal liabilities are deducted in the equity bridge.</t>
  </si>
  <si>
    <t>Base and Bull may understate the cost.</t>
  </si>
  <si>
    <t>L06</t>
  </si>
  <si>
    <t>Depreciation</t>
  </si>
  <si>
    <t>Two asset classes with straight-line lives, calibrated to 2019A-2025A.</t>
  </si>
  <si>
    <t>Inputs on Assumptions; vintage table on Schedules.</t>
  </si>
  <si>
    <t>Actual mix and lives may differ.</t>
  </si>
  <si>
    <t>L07</t>
  </si>
  <si>
    <t>Cash and securities</t>
  </si>
  <si>
    <t>Purchases and sales of marketable securities are not modeled; cash includes securities.</t>
  </si>
  <si>
    <t>One cash line.</t>
  </si>
  <si>
    <t>No effect on value.</t>
  </si>
  <si>
    <t>L08</t>
  </si>
  <si>
    <t>Segments</t>
  </si>
  <si>
    <t>Total costs come from one cash-cost ratio plus D&amp;A; Reality Labs loss is a memo.</t>
  </si>
  <si>
    <t>Family of Apps = total less Reality Labs.</t>
  </si>
  <si>
    <t>Segment margins are indicative.</t>
  </si>
  <si>
    <t>L09</t>
  </si>
  <si>
    <t>Comparables</t>
  </si>
  <si>
    <t>Peer EBITDA and EBIT exclude unusual items; Alphabet's P/E includes large investment gains.</t>
  </si>
  <si>
    <t>Medians and quartiles reduce outliers.</t>
  </si>
  <si>
    <t>Comps are a cross-check.</t>
  </si>
  <si>
    <t>L10</t>
  </si>
  <si>
    <t>Captured tables</t>
  </si>
  <si>
    <t>Scenario_Summary columns C:E and Sensitivity table 3 are values captured by re-running the model.</t>
  </si>
  <si>
    <t>Status cells show 'current' or 'STALE'.</t>
  </si>
  <si>
    <t>Re-run the capture after any input change.</t>
  </si>
  <si>
    <t>L11</t>
  </si>
  <si>
    <t>Dividend discount model</t>
  </si>
  <si>
    <t>Not built: the dividend yield is about 0.3%, so a DDM says little.</t>
  </si>
  <si>
    <t>FCFE is used instead.</t>
  </si>
  <si>
    <t>None.</t>
  </si>
  <si>
    <t>L12</t>
  </si>
  <si>
    <t>Recalculation</t>
  </si>
  <si>
    <t>Built and recalculated with MOG; checked with Formualizer and LibreOffice on copies.</t>
  </si>
  <si>
    <t>Results in the run folder qa/.</t>
  </si>
  <si>
    <t>Open in Excel to confirm visually.</t>
  </si>
  <si>
    <t>Meta Platforms, Inc. | Checks</t>
  </si>
  <si>
    <t>Each row adds the absolute differences of one check across all periods. Every row must show a dash (zero).</t>
  </si>
  <si>
    <t>Master check</t>
  </si>
  <si>
    <t>Check</t>
  </si>
  <si>
    <t>Sheet</t>
  </si>
  <si>
    <t>Sum of absolute differences</t>
  </si>
  <si>
    <t>Captured tables (not part of the master check)</t>
  </si>
  <si>
    <t>Scenario_Summary: Base, Bull and Bear columns</t>
  </si>
  <si>
    <t>Sensitivity: table 3 (price x capex)</t>
  </si>
  <si>
    <t>Meta Platforms, Inc. | Lines that a later filing shows with a different number</t>
  </si>
  <si>
    <t>The statement sheets keep the number as first reported. This list shows where a later filing reclassified or recast it. Not applied.</t>
  </si>
  <si>
    <t>Statement</t>
  </si>
  <si>
    <t>Period</t>
  </si>
  <si>
    <t>As first reported</t>
  </si>
  <si>
    <t>Later filing shows</t>
  </si>
  <si>
    <t>Difference</t>
  </si>
  <si>
    <t>Later filing</t>
  </si>
  <si>
    <t>Form 10-K for fiscal 2020 (filed 2021-01-28)</t>
  </si>
  <si>
    <t>Form 10-K for fiscal 2024 (filed 2025-01-30)</t>
  </si>
  <si>
    <t>Form 10-K for fiscal 2022 (filed 2023-02-02)</t>
  </si>
  <si>
    <t>Form 10-K for fiscal 2023 (filed 2024-02-02)</t>
  </si>
  <si>
    <t>Form 10-K for fiscal 2025 (filed 2026-01-29)</t>
  </si>
  <si>
    <t>Form 10-Q for the quarter ended 2026-09-30 (filed 2026-10-22)</t>
  </si>
  <si>
    <t>Form 10-K for fiscal 2021 (filed 2022-02-03)</t>
  </si>
  <si>
    <t>Other revenue: the 2021 10-K moved Reality Labs out of it</t>
  </si>
  <si>
    <t>Meta Platforms, Inc. | Format rules (OpenFinmods palette)</t>
  </si>
  <si>
    <t>Colours from the OpenFinmods public palette. The number colour code does not change: blue typed, black formula, green link to another sheet.</t>
  </si>
  <si>
    <t>Role</t>
  </si>
  <si>
    <t>Applies to</t>
  </si>
  <si>
    <t>Hex</t>
  </si>
  <si>
    <t>Pigment</t>
  </si>
  <si>
    <t>Swatch</t>
  </si>
  <si>
    <t>Sheet title</t>
  </si>
  <si>
    <t>Row 1 title of every sheet (Arial 10 bold)</t>
  </si>
  <si>
    <t>#5A2331</t>
  </si>
  <si>
    <t>Borgona</t>
  </si>
  <si>
    <t>Text colour only. The title stays Arial 10 bold.</t>
  </si>
  <si>
    <t>Year band, label and actual years</t>
  </si>
  <si>
    <t>Header row over the label column and the actual years</t>
  </si>
  <si>
    <t>#F6F3EC</t>
  </si>
  <si>
    <t>Crema</t>
  </si>
  <si>
    <t>Was #F2F2F2.</t>
  </si>
  <si>
    <t>Year band, forecast years</t>
  </si>
  <si>
    <t>Header row over the forecast years</t>
  </si>
  <si>
    <t>#EAE2DD</t>
  </si>
  <si>
    <t>Borgona 8% on crema</t>
  </si>
  <si>
    <t>Was #F2F2F2 (house rule #DCE6F1).</t>
  </si>
  <si>
    <t>Notes columns header</t>
  </si>
  <si>
    <t>Header of column M (Comentarios FG) and the notes and source columns</t>
  </si>
  <si>
    <t>#D3D2CF</t>
  </si>
  <si>
    <t>Navy 15% on crema</t>
  </si>
  <si>
    <t>Was #BDD7EE.</t>
  </si>
  <si>
    <t>Input and scenario rows</t>
  </si>
  <si>
    <t>Fill of cream input and scenario rows (none in this workbook yet)</t>
  </si>
  <si>
    <t>#EBDDC8</t>
  </si>
  <si>
    <t>Ocre 20% on crema</t>
  </si>
  <si>
    <t>Was #FFF2CC. Blue on it: 5.41:1.</t>
  </si>
  <si>
    <t>Detail rows fill</t>
  </si>
  <si>
    <t>Breakdown rows (none in this workbook yet)</t>
  </si>
  <si>
    <t>#EDEAE4</t>
  </si>
  <si>
    <t>Navy 4% on crema</t>
  </si>
  <si>
    <t>Detail rows font</t>
  </si>
  <si>
    <t>#6A7689</t>
  </si>
  <si>
    <t>Gris</t>
  </si>
  <si>
    <t>Was #7F7F7F.</t>
  </si>
  <si>
    <t>Tab, cover and checks</t>
  </si>
  <si>
    <t>00_Cover, Checks, FormatRules</t>
  </si>
  <si>
    <t>#0E1A2B</t>
  </si>
  <si>
    <t>Navy</t>
  </si>
  <si>
    <t>Tab, source sheets</t>
  </si>
  <si>
    <t>Audited statements, revenue notes, recasts, limitations</t>
  </si>
  <si>
    <t>Tab, model sheets</t>
  </si>
  <si>
    <t>Assumptions to Debt_Credit</t>
  </si>
  <si>
    <t>Tab, output sheets</t>
  </si>
  <si>
    <t>Market_Package, DCF, Valuation, Sensitivity, Scenario_Summary</t>
  </si>
  <si>
    <t>#C0873A</t>
  </si>
  <si>
    <t>Ocre</t>
  </si>
  <si>
    <t>Typed number (code, unchanged)</t>
  </si>
  <si>
    <t>Hard-coded inputs</t>
  </si>
  <si>
    <t>#0432FF</t>
  </si>
  <si>
    <t>Standard financial-model number colours</t>
  </si>
  <si>
    <t>Blue = typed. Does not change.</t>
  </si>
  <si>
    <t>Formula and text (code, unchanged)</t>
  </si>
  <si>
    <t>Formulas and labels</t>
  </si>
  <si>
    <t>#000000</t>
  </si>
  <si>
    <t>Black = formula. Does not change.</t>
  </si>
  <si>
    <t>Link to another sheet (code, unchanged)</t>
  </si>
  <si>
    <t>References to other sheets</t>
  </si>
  <si>
    <t>#00703C</t>
  </si>
  <si>
    <t>Green = link. Does not change.</t>
  </si>
  <si>
    <t>Link to another workbook (code, unchanged)</t>
  </si>
  <si>
    <t>External links (none)</t>
  </si>
  <si>
    <t>#7030A0</t>
  </si>
  <si>
    <t>Purple. Does not change.</t>
  </si>
  <si>
    <t>Check (code, unchanged)</t>
  </si>
  <si>
    <t>Check rows, through the number format [Red]</t>
  </si>
  <si>
    <t>#FF0000</t>
  </si>
  <si>
    <t>Does not change.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</si>
  <si>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</si>
  <si>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</si>
  <si>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00_Cover: 1 cell written, at B53; FormatRules: 7 cells written, at A1, A2, D16, D17, D18, D19, D20.
Other actions: clear x1.
Agent: OpenFinmods export</t>
  </si>
  <si>
    <t>Compare against source and review public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</si>
</sst>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[Red]#,##0;[Red]\(#,##0\);&quot;-&quot;"/>
    <numFmt numFmtId="165" formatCode="#,##0;\(#,##0\);&quot;-&quot;"/>
    <numFmt numFmtId="166" formatCode="yyyy\-mm\-dd\ hh:mm"/>
    <numFmt numFmtId="167" formatCode="yyyy\-mm\-dd"/>
    <numFmt numFmtId="168" formatCode="0.000000;\(0.000000\);&quot;-&quot;"/>
    <numFmt numFmtId="169" formatCode="#,##0.00;\(#,##0.00\);&quot;-&quot;"/>
    <numFmt numFmtId="170" formatCode="#,##0.000;\(#,##0.000\);&quot;-&quot;"/>
    <numFmt numFmtId="171" formatCode="0%;\(0%\);&quot;-&quot;"/>
    <numFmt numFmtId="172" formatCode="0.0%;\(0.0%\);&quot;-&quot;"/>
    <numFmt numFmtId="173" formatCode="#,##0.0;\(#,##0.0\);&quot;-&quot;"/>
    <numFmt numFmtId="174" formatCode="[Red]#,##0.00;[Red]\(#,##0.00\);&quot;-&quot;"/>
    <numFmt numFmtId="175" formatCode="0.0&quot;x&quot;;\(0.0&quot;x&quot;\);&quot;-&quot;"/>
    <numFmt numFmtId="176" formatCode="0.0000"/>
    <numFmt numFmtId="177" formatCode="0.000000"/>
    <numFmt numFmtId="179" formatCode="_(* #,##0_);_(* \(#,##0\);_(* &quot;-&quot;??_);_(@_)"/>
    <numFmt numFmtId="180" formatCode="0&quot;A&quot;"/>
    <numFmt numFmtId="181" formatCode="0&quot;E&quot;"/>
    <numFmt numFmtId="182" formatCode="0.00%;\(0.00%\);&quot;-&quot;"/>
    <numFmt numFmtId="183" formatCode="General"/>
    <numFmt numFmtId="184" formatCode="yyyy\-mm\-dd hh:mm"/>
  </numFmts>
  <fonts count="3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432FF"/>
      <name val="Arial"/>
      <family val="2"/>
    </font>
    <font>
      <b/>
      <sz val="10"/>
      <color rgb="FF0432FF"/>
      <name val="Arial"/>
      <family val="2"/>
    </font>
    <font>
      <b/>
      <sz val="10"/>
      <color rgb="FF000000"/>
      <name val="Arial"/>
      <family val="2"/>
    </font>
    <font>
      <sz val="10"/>
      <color rgb="FF00703C"/>
      <name val="Arial"/>
      <family val="2"/>
    </font>
    <font>
      <b/>
      <sz val="10"/>
      <color rgb="FF00703C"/>
      <name val="Arial"/>
      <family val="2"/>
    </font>
    <font>
      <sz val="10"/>
      <color rgb="FF000000"/>
      <name val="Arial"/>
      <family val="2"/>
    </font>
    <font>
      <sz val="10"/>
      <color rgb="FF0432FF"/>
      <name val="Arial"/>
      <family val="2"/>
    </font>
    <font>
      <sz val="10"/>
      <color theme="1"/>
      <name val="Arial"/>
      <family val="2"/>
    </font>
    <font>
      <sz val="10"/>
      <color rgb="FF00703C"/>
      <name val="Arial"/>
      <family val="2"/>
    </font>
    <font>
      <b/>
      <sz val="10"/>
      <color rgb="FF0432FF"/>
      <name val="Arial"/>
      <family val="2"/>
    </font>
    <font>
      <b/>
      <sz val="10"/>
      <color rgb="FF000000"/>
      <name val="Arial"/>
      <family val="2"/>
    </font>
    <font>
      <sz val="10"/>
      <color rgb="FF0432FF"/>
      <name val="Arial"/>
      <family val="2"/>
    </font>
    <font>
      <sz val="10"/>
      <color rgb="FF000000"/>
      <name val="Arial"/>
      <family val="2"/>
    </font>
    <font>
      <sz val="10"/>
      <color rgb="FF00703C"/>
      <name val="Arial"/>
      <family val="2"/>
    </font>
    <font>
      <i/>
      <sz val="10"/>
      <color rgb="FF000000"/>
      <name val="Arial"/>
      <family val="2"/>
    </font>
    <font>
      <b/>
      <sz val="10"/>
      <color rgb="FF0432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703C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5A233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0"/>
      <color rgb="FF00703C"/>
      <name val="Arial"/>
      <family val="2"/>
    </font>
    <font>
      <i/>
      <sz val="10"/>
      <color rgb="FF00703C"/>
      <name val="Arial"/>
      <family val="2"/>
    </font>
    <font>
      <b/>
      <i/>
      <sz val="10"/>
      <color rgb="FF000000"/>
      <name val="Arial"/>
      <family val="2"/>
    </font>
    <font>
      <b val="0"/>
      <i val="0"/>
      <strike val="0"/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solid">
        <fgColor rgb="FFF6F3EC"/>
      </patternFill>
    </fill>
    <fill>
      <patternFill patternType="solid">
        <fgColor rgb="FF6A7689"/>
      </patternFill>
    </fill>
    <fill>
      <patternFill patternType="solid">
        <fgColor rgb="FF0E1A2B"/>
      </patternFill>
    </fill>
    <fill>
      <patternFill patternType="solid">
        <fgColor rgb="FFFF0000"/>
      </patternFill>
    </fill>
    <fill>
      <patternFill patternType="solid">
        <fgColor rgb="FFEDEAE4"/>
      </patternFill>
    </fill>
    <fill>
      <patternFill patternType="solid">
        <fgColor rgb="FF7030A0"/>
      </patternFill>
    </fill>
    <fill>
      <patternFill patternType="solid">
        <fgColor rgb="FFEBDDC8"/>
      </patternFill>
    </fill>
    <fill>
      <patternFill patternType="solid">
        <fgColor rgb="FF00703C"/>
      </patternFill>
    </fill>
    <fill>
      <patternFill patternType="solid">
        <fgColor rgb="FFD3D2CF"/>
      </patternFill>
    </fill>
    <fill>
      <patternFill patternType="solid">
        <fgColor rgb="FF000000"/>
      </patternFill>
    </fill>
    <fill>
      <patternFill patternType="solid">
        <fgColor rgb="FFEAE2DD"/>
      </patternFill>
    </fill>
    <fill>
      <patternFill patternType="solid">
        <fgColor rgb="FF0432FF"/>
      </patternFill>
    </fill>
    <fill>
      <patternFill patternType="solid">
        <fgColor rgb="FFC0873A"/>
      </patternFill>
    </fill>
    <fill>
      <patternFill patternType="solid">
        <fgColor rgb="FF5A2331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150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5" fontId="2" fillId="2" borderId="0" xfId="0" applyNumberFormat="1" applyFont="1" applyFill="1"/>
    <xf numFmtId="165" fontId="3" fillId="2" borderId="1" xfId="0" applyNumberFormat="1" applyFont="1" applyFill="1" applyBorder="1"/>
    <xf numFmtId="0" fontId="1" fillId="2" borderId="0" xfId="0" applyFont="1" applyFill="1" applyAlignment="1">
      <alignment indent="2"/>
    </xf>
    <xf numFmtId="166" fontId="1" fillId="2" borderId="0" xfId="0" applyNumberFormat="1" applyFont="1" applyFill="1" applyAlignment="1">
      <alignment vertical="top"/>
    </xf>
    <xf numFmtId="0" fontId="4" fillId="2" borderId="0" xfId="0" applyFont="1" applyFill="1"/>
    <xf numFmtId="165" fontId="3" fillId="2" borderId="2" xfId="0" applyNumberFormat="1" applyFont="1" applyFill="1" applyBorder="1"/>
    <xf numFmtId="0" fontId="4" fillId="2" borderId="0" xfId="0" applyFont="1" applyFill="1" applyAlignment="1">
      <alignment indent="1"/>
    </xf>
    <xf numFmtId="0" fontId="1" fillId="2" borderId="0" xfId="0" applyFont="1" applyFill="1" applyAlignment="1">
      <alignment vertical="top"/>
    </xf>
    <xf numFmtId="165" fontId="2" fillId="2" borderId="3" xfId="0" applyNumberFormat="1" applyFont="1" applyFill="1" applyBorder="1"/>
    <xf numFmtId="165" fontId="3" fillId="2" borderId="4" xfId="0" applyNumberFormat="1" applyFont="1" applyFill="1" applyBorder="1"/>
    <xf numFmtId="164" fontId="5" fillId="2" borderId="0" xfId="0" applyNumberFormat="1" applyFont="1" applyFill="1"/>
    <xf numFmtId="0" fontId="1" fillId="2" borderId="3" xfId="0" applyFont="1" applyFill="1" applyBorder="1"/>
    <xf numFmtId="167" fontId="1" fillId="2" borderId="0" xfId="0" applyNumberFormat="1" applyFont="1" applyFill="1"/>
    <xf numFmtId="168" fontId="2" fillId="2" borderId="0" xfId="0" applyNumberFormat="1" applyFont="1" applyFill="1"/>
    <xf numFmtId="165" fontId="1" fillId="2" borderId="0" xfId="0" applyNumberFormat="1" applyFont="1" applyFill="1"/>
    <xf numFmtId="169" fontId="2" fillId="2" borderId="0" xfId="0" applyNumberFormat="1" applyFont="1" applyFill="1"/>
    <xf numFmtId="165" fontId="3" fillId="2" borderId="5" xfId="0" applyNumberFormat="1" applyFont="1" applyFill="1" applyBorder="1"/>
    <xf numFmtId="0" fontId="6" fillId="2" borderId="0" xfId="0" applyFont="1" applyFill="1"/>
    <xf numFmtId="169" fontId="2" fillId="2" borderId="3" xfId="0" applyNumberFormat="1" applyFont="1" applyFill="1" applyBorder="1"/>
    <xf numFmtId="0" fontId="1" fillId="2" borderId="0" xfId="0" applyFont="1" applyFill="1" applyAlignment="1">
      <alignment indent="1"/>
    </xf>
    <xf numFmtId="170" fontId="2" fillId="2" borderId="0" xfId="0" applyNumberFormat="1" applyFont="1" applyFill="1"/>
    <xf numFmtId="170" fontId="2" fillId="2" borderId="3" xfId="0" applyNumberFormat="1" applyFont="1" applyFill="1" applyBorder="1"/>
    <xf numFmtId="0" fontId="7" fillId="0" borderId="0" xfId="0" applyFont="1"/>
    <xf numFmtId="165" fontId="8" fillId="0" borderId="0" xfId="0" applyNumberFormat="1" applyFont="1"/>
    <xf numFmtId="0" fontId="9" fillId="0" borderId="0" xfId="0" applyFont="1" applyAlignment="1">
      <alignment vertical="top"/>
    </xf>
    <xf numFmtId="164" fontId="7" fillId="0" borderId="0" xfId="0" applyNumberFormat="1" applyFont="1"/>
    <xf numFmtId="164" fontId="10" fillId="0" borderId="0" xfId="0" applyNumberFormat="1" applyFont="1"/>
    <xf numFmtId="0" fontId="7" fillId="0" borderId="0" xfId="0" applyFont="1" applyAlignment="1">
      <alignment indent="2"/>
    </xf>
    <xf numFmtId="165" fontId="11" fillId="0" borderId="6" xfId="0" applyNumberFormat="1" applyFont="1" applyBorder="1"/>
    <xf numFmtId="166" fontId="9" fillId="0" borderId="0" xfId="0" applyNumberFormat="1" applyFont="1" applyAlignment="1">
      <alignment vertical="top"/>
    </xf>
    <xf numFmtId="171" fontId="8" fillId="0" borderId="7" xfId="0" applyNumberFormat="1" applyFont="1" applyBorder="1"/>
    <xf numFmtId="172" fontId="7" fillId="0" borderId="7" xfId="0" applyNumberFormat="1" applyFont="1" applyBorder="1"/>
    <xf numFmtId="165" fontId="7" fillId="0" borderId="0" xfId="0" applyNumberFormat="1" applyFont="1"/>
    <xf numFmtId="172" fontId="7" fillId="0" borderId="0" xfId="0" applyNumberFormat="1" applyFont="1"/>
    <xf numFmtId="169" fontId="8" fillId="0" borderId="0" xfId="0" applyNumberFormat="1" applyFont="1"/>
    <xf numFmtId="169" fontId="7" fillId="0" borderId="0" xfId="0" applyNumberFormat="1" applyFont="1"/>
    <xf numFmtId="165" fontId="8" fillId="0" borderId="7" xfId="0" applyNumberFormat="1" applyFont="1" applyBorder="1"/>
    <xf numFmtId="171" fontId="8" fillId="0" borderId="0" xfId="0" applyNumberFormat="1" applyFont="1"/>
    <xf numFmtId="0" fontId="7" fillId="0" borderId="7" xfId="0" applyFont="1" applyBorder="1"/>
    <xf numFmtId="164" fontId="7" fillId="0" borderId="7" xfId="0" applyNumberFormat="1" applyFont="1" applyBorder="1"/>
    <xf numFmtId="165" fontId="11" fillId="0" borderId="8" xfId="0" applyNumberFormat="1" applyFont="1" applyBorder="1"/>
    <xf numFmtId="165" fontId="10" fillId="0" borderId="0" xfId="0" applyNumberFormat="1" applyFont="1"/>
    <xf numFmtId="0" fontId="12" fillId="0" borderId="0" xfId="0" applyFont="1" applyAlignment="1">
      <alignment indent="1"/>
    </xf>
    <xf numFmtId="169" fontId="7" fillId="0" borderId="7" xfId="0" applyNumberFormat="1" applyFont="1" applyBorder="1"/>
    <xf numFmtId="169" fontId="8" fillId="0" borderId="7" xfId="0" applyNumberFormat="1" applyFont="1" applyBorder="1"/>
    <xf numFmtId="0" fontId="7" fillId="0" borderId="0" xfId="0" applyFont="1" applyAlignment="1">
      <alignment indent="1"/>
    </xf>
    <xf numFmtId="0" fontId="12" fillId="0" borderId="0" xfId="0" applyFont="1"/>
    <xf numFmtId="165" fontId="10" fillId="0" borderId="7" xfId="0" applyNumberFormat="1" applyFont="1" applyBorder="1"/>
    <xf numFmtId="165" fontId="11" fillId="0" borderId="9" xfId="0" applyNumberFormat="1" applyFont="1" applyBorder="1"/>
    <xf numFmtId="165" fontId="11" fillId="0" borderId="10" xfId="0" applyNumberFormat="1" applyFont="1" applyBorder="1"/>
    <xf numFmtId="165" fontId="13" fillId="0" borderId="0" xfId="0" applyNumberFormat="1" applyFont="1"/>
    <xf numFmtId="0" fontId="14" fillId="0" borderId="0" xfId="0" applyFont="1"/>
    <xf numFmtId="165" fontId="15" fillId="0" borderId="0" xfId="0" applyNumberFormat="1" applyFont="1"/>
    <xf numFmtId="172" fontId="14" fillId="0" borderId="0" xfId="0" applyNumberFormat="1" applyFont="1"/>
    <xf numFmtId="169" fontId="14" fillId="0" borderId="0" xfId="0" applyNumberFormat="1" applyFont="1"/>
    <xf numFmtId="0" fontId="14" fillId="0" borderId="0" xfId="0" applyFont="1" applyAlignment="1">
      <alignment indent="2"/>
    </xf>
    <xf numFmtId="173" fontId="15" fillId="0" borderId="0" xfId="0" applyNumberFormat="1" applyFont="1"/>
    <xf numFmtId="169" fontId="16" fillId="0" borderId="0" xfId="0" applyNumberFormat="1" applyFont="1"/>
    <xf numFmtId="174" fontId="15" fillId="0" borderId="0" xfId="0" applyNumberFormat="1" applyFont="1"/>
    <xf numFmtId="0" fontId="15" fillId="0" borderId="0" xfId="0" applyFont="1"/>
    <xf numFmtId="167" fontId="14" fillId="0" borderId="0" xfId="0" applyNumberFormat="1" applyFont="1"/>
    <xf numFmtId="175" fontId="14" fillId="0" borderId="0" xfId="0" applyNumberFormat="1" applyFont="1"/>
    <xf numFmtId="175" fontId="16" fillId="0" borderId="0" xfId="0" applyNumberFormat="1" applyFont="1"/>
    <xf numFmtId="169" fontId="15" fillId="0" borderId="0" xfId="0" applyNumberFormat="1" applyFont="1"/>
    <xf numFmtId="172" fontId="17" fillId="0" borderId="0" xfId="0" applyNumberFormat="1" applyFont="1"/>
    <xf numFmtId="165" fontId="14" fillId="0" borderId="0" xfId="0" applyNumberFormat="1" applyFont="1"/>
    <xf numFmtId="165" fontId="16" fillId="0" borderId="0" xfId="0" applyNumberFormat="1" applyFont="1"/>
    <xf numFmtId="165" fontId="18" fillId="0" borderId="6" xfId="0" applyNumberFormat="1" applyFont="1" applyBorder="1"/>
    <xf numFmtId="174" fontId="14" fillId="0" borderId="0" xfId="0" applyNumberFormat="1" applyFont="1"/>
    <xf numFmtId="0" fontId="18" fillId="0" borderId="0" xfId="0" applyFont="1" applyAlignment="1">
      <alignment indent="1"/>
    </xf>
    <xf numFmtId="0" fontId="18" fillId="0" borderId="0" xfId="0" applyFont="1"/>
    <xf numFmtId="172" fontId="16" fillId="0" borderId="0" xfId="0" applyNumberFormat="1" applyFont="1"/>
    <xf numFmtId="169" fontId="18" fillId="0" borderId="0" xfId="0" applyNumberFormat="1" applyFont="1"/>
    <xf numFmtId="165" fontId="18" fillId="0" borderId="8" xfId="0" applyNumberFormat="1" applyFont="1" applyBorder="1"/>
    <xf numFmtId="0" fontId="19" fillId="0" borderId="0" xfId="0" applyFont="1"/>
    <xf numFmtId="175" fontId="15" fillId="0" borderId="0" xfId="0" applyNumberFormat="1" applyFont="1"/>
    <xf numFmtId="172" fontId="13" fillId="0" borderId="0" xfId="0" applyNumberFormat="1" applyFont="1"/>
    <xf numFmtId="175" fontId="13" fillId="0" borderId="0" xfId="0" applyNumberFormat="1" applyFont="1"/>
    <xf numFmtId="173" fontId="13" fillId="0" borderId="0" xfId="0" applyNumberFormat="1" applyFont="1"/>
    <xf numFmtId="176" fontId="14" fillId="0" borderId="0" xfId="0" applyNumberFormat="1" applyFont="1"/>
    <xf numFmtId="172" fontId="18" fillId="0" borderId="0" xfId="0" applyNumberFormat="1" applyFont="1"/>
    <xf numFmtId="177" fontId="14" fillId="0" borderId="0" xfId="0" applyNumberFormat="1" applyFont="1"/>
    <xf numFmtId="0" fontId="20" fillId="0" borderId="0" xfId="0" applyFont="1"/>
    <xf numFmtId="172" fontId="15" fillId="0" borderId="0" xfId="0" applyNumberFormat="1" applyFont="1"/>
    <xf numFmtId="0" fontId="18" fillId="0" borderId="0" xfId="0" applyFont="1" applyAlignment="1">
      <alignment horizontal="right"/>
    </xf>
    <xf numFmtId="0" fontId="19" fillId="0" borderId="0" xfId="0" applyFont="1" applyAlignment="1">
      <alignment vertical="top"/>
    </xf>
    <xf numFmtId="166" fontId="19" fillId="0" borderId="0" xfId="0" applyNumberFormat="1" applyFont="1" applyAlignment="1">
      <alignment vertical="top"/>
    </xf>
    <xf numFmtId="175" fontId="17" fillId="0" borderId="0" xfId="0" applyNumberFormat="1" applyFont="1"/>
    <xf numFmtId="0" fontId="18" fillId="0" borderId="0" xfId="0" applyFont="1" applyAlignment="1">
      <alignment indent="2"/>
    </xf>
    <xf numFmtId="169" fontId="13" fillId="0" borderId="0" xfId="0" applyNumberFormat="1" applyFont="1"/>
    <xf numFmtId="175" fontId="18" fillId="0" borderId="0" xfId="0" applyNumberFormat="1" applyFont="1"/>
    <xf numFmtId="165" fontId="21" fillId="0" borderId="8" xfId="0" applyNumberFormat="1" applyFont="1" applyBorder="1"/>
    <xf numFmtId="165" fontId="18" fillId="0" borderId="0" xfId="0" applyNumberFormat="1" applyFont="1"/>
    <xf numFmtId="165" fontId="21" fillId="0" borderId="0" xfId="0" applyNumberFormat="1" applyFont="1"/>
    <xf numFmtId="173" fontId="18" fillId="0" borderId="8" xfId="0" applyNumberFormat="1" applyFont="1" applyBorder="1"/>
    <xf numFmtId="173" fontId="14" fillId="0" borderId="0" xfId="0" applyNumberFormat="1" applyFont="1"/>
    <xf numFmtId="167" fontId="13" fillId="0" borderId="0" xfId="0" applyNumberFormat="1" applyFont="1"/>
    <xf numFmtId="165" fontId="21" fillId="0" borderId="6" xfId="0" applyNumberFormat="1" applyFont="1" applyBorder="1"/>
    <xf numFmtId="175" fontId="21" fillId="0" borderId="0" xfId="0" applyNumberFormat="1" applyFont="1"/>
    <xf numFmtId="0" fontId="14" fillId="0" borderId="0" xfId="0" applyFont="1" applyAlignment="1">
      <alignment indent="1"/>
    </xf>
    <xf numFmtId="169" fontId="21" fillId="0" borderId="0" xfId="0" applyNumberFormat="1" applyFont="1"/>
    <xf numFmtId="173" fontId="21" fillId="0" borderId="8" xfId="0" applyNumberFormat="1" applyFont="1" applyBorder="1"/>
    <xf numFmtId="0" fontId="22" fillId="0" borderId="0" xfId="0" applyFont="1"/>
    <xf numFmtId="0" fontId="22" fillId="4" borderId="0" xfId="0" applyFont="1" applyFill="1"/>
    <xf numFmtId="0" fontId="22" fillId="5" borderId="0" xfId="0" applyFont="1" applyFill="1"/>
    <xf numFmtId="0" fontId="22" fillId="6" borderId="0" xfId="0" applyFont="1" applyFill="1"/>
    <xf numFmtId="0" fontId="22" fillId="7" borderId="0" xfId="0" applyFont="1" applyFill="1"/>
    <xf numFmtId="0" fontId="22" fillId="8" borderId="0" xfId="0" applyFont="1" applyFill="1"/>
    <xf numFmtId="0" fontId="22" fillId="9" borderId="0" xfId="0" applyFont="1" applyFill="1"/>
    <xf numFmtId="0" fontId="22" fillId="10" borderId="0" xfId="0" applyFont="1" applyFill="1"/>
    <xf numFmtId="0" fontId="22" fillId="11" borderId="0" xfId="0" applyFont="1" applyFill="1"/>
    <xf numFmtId="0" fontId="22" fillId="12" borderId="0" xfId="0" applyFont="1" applyFill="1"/>
    <xf numFmtId="0" fontId="22" fillId="13" borderId="0" xfId="0" applyFont="1" applyFill="1"/>
    <xf numFmtId="0" fontId="22" fillId="14" borderId="0" xfId="0" applyFont="1" applyFill="1"/>
    <xf numFmtId="0" fontId="22" fillId="3" borderId="0" xfId="0" applyFont="1" applyFill="1"/>
    <xf numFmtId="0" fontId="22" fillId="15" borderId="0" xfId="0" applyFont="1" applyFill="1"/>
    <xf numFmtId="0" fontId="22" fillId="16" borderId="0" xfId="0" applyFont="1" applyFill="1"/>
    <xf numFmtId="0" fontId="23" fillId="0" borderId="0" xfId="0" applyFont="1" applyAlignment="1">
      <alignment vertical="top"/>
    </xf>
    <xf numFmtId="166" fontId="23" fillId="0" borderId="0" xfId="0" applyNumberFormat="1" applyFont="1" applyAlignment="1">
      <alignment vertical="top"/>
    </xf>
    <xf numFmtId="0" fontId="24" fillId="0" borderId="0" xfId="0" applyFont="1"/>
    <xf numFmtId="0" fontId="25" fillId="3" borderId="0" xfId="0" applyFont="1" applyFill="1" applyAlignment="1">
      <alignment horizontal="right"/>
    </xf>
    <xf numFmtId="0" fontId="25" fillId="13" borderId="0" xfId="0" applyFont="1" applyFill="1" applyAlignment="1">
      <alignment horizontal="right"/>
    </xf>
    <xf numFmtId="0" fontId="25" fillId="3" borderId="0" xfId="0" applyFont="1" applyFill="1"/>
    <xf numFmtId="0" fontId="25" fillId="11" borderId="0" xfId="0" applyFont="1" applyFill="1"/>
    <xf numFmtId="0" fontId="25" fillId="3" borderId="3" xfId="0" applyFont="1" applyFill="1" applyBorder="1" applyAlignment="1">
      <alignment horizontal="right"/>
    </xf>
    <xf numFmtId="0" fontId="26" fillId="0" borderId="0" xfId="0" applyFont="1" applyAlignment="1">
      <alignment vertical="top"/>
    </xf>
    <xf numFmtId="166" fontId="26" fillId="0" borderId="0" xfId="0" applyNumberFormat="1" applyFont="1" applyAlignment="1">
      <alignment vertical="top"/>
    </xf>
    <xf numFmtId="0" fontId="25" fillId="3" borderId="7" xfId="0" applyFont="1" applyFill="1" applyBorder="1" applyAlignment="1">
      <alignment horizontal="right"/>
    </xf>
    <xf numFmtId="9" fontId="1" fillId="2" borderId="0" xfId="2" applyFont="1" applyFill="1"/>
    <xf numFmtId="179" fontId="1" fillId="2" borderId="0" xfId="1" applyNumberFormat="1" applyFont="1" applyFill="1"/>
    <xf numFmtId="1" fontId="17" fillId="17" borderId="0" xfId="0" applyNumberFormat="1" applyFont="1" applyFill="1" applyAlignment="1">
      <alignment horizontal="center"/>
    </xf>
    <xf numFmtId="0" fontId="18" fillId="17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180" fontId="25" fillId="3" borderId="0" xfId="0" applyNumberFormat="1" applyFont="1" applyFill="1" applyAlignment="1">
      <alignment horizontal="center"/>
    </xf>
    <xf numFmtId="181" fontId="25" fillId="13" borderId="0" xfId="0" applyNumberFormat="1" applyFont="1" applyFill="1" applyAlignment="1">
      <alignment horizontal="center"/>
    </xf>
    <xf numFmtId="182" fontId="28" fillId="0" borderId="0" xfId="0" applyNumberFormat="1" applyFont="1" applyAlignment="1">
      <alignment horizontal="right" indent="2"/>
    </xf>
    <xf numFmtId="182" fontId="28" fillId="0" borderId="0" xfId="0" applyNumberFormat="1" applyFont="1" applyAlignment="1">
      <alignment horizontal="right"/>
    </xf>
    <xf numFmtId="182" fontId="29" fillId="0" borderId="0" xfId="0" applyNumberFormat="1" applyFont="1" applyAlignment="1">
      <alignment horizontal="right"/>
    </xf>
    <xf numFmtId="182" fontId="30" fillId="0" borderId="0" xfId="0" applyNumberFormat="1" applyFont="1" applyAlignment="1">
      <alignment horizontal="right"/>
    </xf>
    <xf numFmtId="0" fontId="9" fillId="0" borderId="0" xfId="0" applyFont="1"/>
    <xf numFmtId="49" fontId="9" fillId="0" borderId="0" xfId="0" applyNumberFormat="1" applyFont="1"/>
    <xf numFmtId="165" fontId="6" fillId="0" borderId="0" xfId="0" applyNumberFormat="1" applyFont="1" applyAlignment="1">
      <alignment horizontal="right" indent="2"/>
    </xf>
    <xf numFmtId="165" fontId="6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83" fontId="31" fillId="0" borderId="0" xfId="0" applyNumberFormat="1" applyFont="1" applyFill="1" applyAlignment="1" applyProtection="1">
      <alignment vertical="top" textRotation="0" indent="0" readingOrder="0"/>
      <protection locked="1" hidden="0"/>
    </xf>
    <xf numFmtId="184" fontId="31" fillId="0" borderId="0" xfId="0" applyNumberFormat="1" applyFont="1" applyFill="1" applyAlignment="1" applyProtection="1">
      <alignment vertical="top" textRotation="0" indent="0" readingOrder="0"/>
      <protection locked="1" hidden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Malgun Gothic"/>
        <a:font script="Hans" typeface="DengXian Light"/>
        <a:font script="Hant" typeface="Microsoft JhengHei Light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</a:majorFont>
      <a:minorFont>
        <a:latin typeface="Calibri" panose="020F0502020204030204"/>
        <a:ea typeface=""/>
        <a:cs typeface=""/>
        <a:font script="Jpan" typeface="Yu Gothic"/>
        <a:font script="Hang" typeface="Malgun Gothic"/>
        <a:font script="Hans" typeface="DengXian"/>
        <a:font script="Hant" typeface="Microsoft JhengHei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3CE02E-F502-304C-9254-A08AE9A160B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63fd8a8-673d-4bfe-af3c-a0740468f62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933E-E345-664F-8BAA-DDCA016F7AD5}">
  <dimension ref="A1:F3"/>
  <sheetViews>
    <sheetView workbookViewId="0"/>
  </sheetViews>
  <sheetFormatPr baseColWidth="10" defaultRowHeight="15" x14ac:dyDescent="0.2"/>
  <cols>
    <col min="1" max="6" width="10.83203125" style="142"/>
  </cols>
  <sheetData>
    <row r="1" spans="1:6" x14ac:dyDescent="0.2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</row>
    <row r="2" spans="1:6" x14ac:dyDescent="0.2">
      <c r="A2" s="142">
        <v>1</v>
      </c>
      <c r="B2" s="143" t="s">
        <v>6</v>
      </c>
      <c r="C2" s="142" t="s">
        <v>7</v>
      </c>
      <c r="D2" s="142" t="s">
        <v>8</v>
      </c>
      <c r="E2" s="142" t="s">
        <v>9</v>
      </c>
      <c r="F2" s="142" t="s">
        <v>10</v>
      </c>
    </row>
    <row r="3" spans="1:6" x14ac:dyDescent="0.2">
      <c r="A3" s="142">
        <v>2</v>
      </c>
      <c r="B3" s="143" t="s">
        <v>6</v>
      </c>
      <c r="C3" s="142" t="s">
        <v>11</v>
      </c>
      <c r="D3" s="142" t="s">
        <v>12</v>
      </c>
      <c r="E3" s="142" t="s">
        <v>13</v>
      </c>
      <c r="F3" s="14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A39D-8B10-AF4B-BBF6-61A9D3797F93}">
  <sheetPr>
    <tabColor rgb="FF0E1A2B"/>
  </sheetPr>
  <dimension ref="A1:O69"/>
  <sheetViews>
    <sheetView showGridLines="0" workbookViewId="0"/>
  </sheetViews>
  <sheetFormatPr baseColWidth="10" defaultColWidth="8.83203125" defaultRowHeight="15" x14ac:dyDescent="0.2"/>
  <cols>
    <col min="1" max="1" width="54.33203125" customWidth="1"/>
    <col min="2" max="2" width="9.33203125" customWidth="1"/>
    <col min="3" max="4" width="11.83203125" customWidth="1"/>
    <col min="5" max="5" width="22.6640625" customWidth="1"/>
    <col min="6" max="6" width="24.33203125" customWidth="1"/>
    <col min="7" max="7" width="86" customWidth="1"/>
  </cols>
  <sheetData>
    <row r="1" spans="1:15" x14ac:dyDescent="0.2">
      <c r="A1" s="122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7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19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54" t="s">
        <v>20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7" t="s">
        <v>21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1" t="s">
        <v>22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1" t="s">
        <v>23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 t="s">
        <v>24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1" t="s">
        <v>25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">
      <c r="A13" s="1" t="s">
        <v>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1" t="s">
        <v>27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">
      <c r="A15" s="1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">
      <c r="A16" s="1" t="s">
        <v>29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" t="s">
        <v>30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">
      <c r="A19" s="7" t="s">
        <v>31</v>
      </c>
      <c r="B19" s="1"/>
      <c r="C19" s="1"/>
      <c r="D19" s="20" t="str">
        <f>Checks!C4</f>
        <v>OK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">
      <c r="A21" s="125" t="s">
        <v>32</v>
      </c>
      <c r="B21" s="125" t="s">
        <v>33</v>
      </c>
      <c r="C21" s="125" t="s">
        <v>34</v>
      </c>
      <c r="D21" s="125" t="s">
        <v>35</v>
      </c>
      <c r="E21" s="125" t="s">
        <v>36</v>
      </c>
      <c r="F21" s="125" t="s">
        <v>37</v>
      </c>
      <c r="G21" s="125" t="s">
        <v>38</v>
      </c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1" t="s">
        <v>39</v>
      </c>
      <c r="B22" s="1" t="s">
        <v>40</v>
      </c>
      <c r="C22" s="15">
        <v>43830</v>
      </c>
      <c r="D22" s="15">
        <v>43860</v>
      </c>
      <c r="E22" s="1" t="s">
        <v>41</v>
      </c>
      <c r="F22" s="1" t="s">
        <v>42</v>
      </c>
      <c r="G22" s="1" t="s">
        <v>43</v>
      </c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1" t="s">
        <v>44</v>
      </c>
      <c r="B23" s="1" t="s">
        <v>40</v>
      </c>
      <c r="C23" s="15">
        <v>44196</v>
      </c>
      <c r="D23" s="15">
        <v>44224</v>
      </c>
      <c r="E23" s="1" t="s">
        <v>45</v>
      </c>
      <c r="F23" s="1" t="s">
        <v>46</v>
      </c>
      <c r="G23" s="1" t="s">
        <v>47</v>
      </c>
      <c r="H23" s="1"/>
      <c r="I23" s="1"/>
      <c r="J23" s="1"/>
      <c r="K23" s="1"/>
      <c r="L23" s="1"/>
      <c r="M23" s="1"/>
      <c r="N23" s="1"/>
      <c r="O23" s="1"/>
    </row>
    <row r="24" spans="1:15" x14ac:dyDescent="0.2">
      <c r="A24" s="1" t="s">
        <v>48</v>
      </c>
      <c r="B24" s="1" t="s">
        <v>40</v>
      </c>
      <c r="C24" s="15">
        <v>44561</v>
      </c>
      <c r="D24" s="15">
        <v>44595</v>
      </c>
      <c r="E24" s="1" t="s">
        <v>49</v>
      </c>
      <c r="F24" s="1" t="s">
        <v>50</v>
      </c>
      <c r="G24" s="1" t="s">
        <v>51</v>
      </c>
      <c r="H24" s="1"/>
      <c r="I24" s="1"/>
      <c r="J24" s="1"/>
      <c r="K24" s="1"/>
      <c r="L24" s="1"/>
      <c r="M24" s="1"/>
      <c r="N24" s="1"/>
      <c r="O24" s="1"/>
    </row>
    <row r="25" spans="1:15" x14ac:dyDescent="0.2">
      <c r="A25" s="1" t="s">
        <v>52</v>
      </c>
      <c r="B25" s="1" t="s">
        <v>40</v>
      </c>
      <c r="C25" s="15">
        <v>44926</v>
      </c>
      <c r="D25" s="15">
        <v>44959</v>
      </c>
      <c r="E25" s="1" t="s">
        <v>53</v>
      </c>
      <c r="F25" s="1" t="s">
        <v>54</v>
      </c>
      <c r="G25" s="1" t="s">
        <v>55</v>
      </c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1" t="s">
        <v>56</v>
      </c>
      <c r="B26" s="1" t="s">
        <v>40</v>
      </c>
      <c r="C26" s="15">
        <v>45291</v>
      </c>
      <c r="D26" s="15">
        <v>45324</v>
      </c>
      <c r="E26" s="1" t="s">
        <v>57</v>
      </c>
      <c r="F26" s="1" t="s">
        <v>58</v>
      </c>
      <c r="G26" s="1" t="s">
        <v>59</v>
      </c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 t="s">
        <v>60</v>
      </c>
      <c r="B27" s="1" t="s">
        <v>40</v>
      </c>
      <c r="C27" s="15">
        <v>45657</v>
      </c>
      <c r="D27" s="15">
        <v>45687</v>
      </c>
      <c r="E27" s="1" t="s">
        <v>61</v>
      </c>
      <c r="F27" s="1" t="s">
        <v>62</v>
      </c>
      <c r="G27" s="1" t="s">
        <v>63</v>
      </c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 t="s">
        <v>64</v>
      </c>
      <c r="B28" s="1" t="s">
        <v>40</v>
      </c>
      <c r="C28" s="15">
        <v>46022</v>
      </c>
      <c r="D28" s="15">
        <v>46051</v>
      </c>
      <c r="E28" s="1" t="s">
        <v>65</v>
      </c>
      <c r="F28" s="1" t="s">
        <v>66</v>
      </c>
      <c r="G28" s="1" t="s">
        <v>67</v>
      </c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 t="s">
        <v>68</v>
      </c>
      <c r="B29" s="1" t="s">
        <v>69</v>
      </c>
      <c r="C29" s="15">
        <v>45930</v>
      </c>
      <c r="D29" s="15">
        <v>45960</v>
      </c>
      <c r="E29" s="1" t="s">
        <v>70</v>
      </c>
      <c r="F29" s="1" t="s">
        <v>71</v>
      </c>
      <c r="G29" s="1" t="s">
        <v>72</v>
      </c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 t="s">
        <v>73</v>
      </c>
      <c r="B30" s="1" t="s">
        <v>69</v>
      </c>
      <c r="C30" s="15">
        <v>46295</v>
      </c>
      <c r="D30" s="15">
        <v>46317</v>
      </c>
      <c r="E30" s="1" t="s">
        <v>74</v>
      </c>
      <c r="F30" s="1" t="s">
        <v>75</v>
      </c>
      <c r="G30" s="1" t="s">
        <v>76</v>
      </c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25" t="s">
        <v>77</v>
      </c>
      <c r="B32" s="125" t="s">
        <v>78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54" t="s">
        <v>79</v>
      </c>
      <c r="B33" s="54" t="s">
        <v>80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54" t="s">
        <v>81</v>
      </c>
      <c r="B34" s="54" t="s">
        <v>82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54" t="s">
        <v>83</v>
      </c>
      <c r="B35" s="54" t="s">
        <v>84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54" t="s">
        <v>85</v>
      </c>
      <c r="B36" s="54" t="s">
        <v>86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54" t="s">
        <v>87</v>
      </c>
      <c r="B37" s="54" t="s">
        <v>88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54" t="s">
        <v>89</v>
      </c>
      <c r="B38" s="54" t="s">
        <v>90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54" t="s">
        <v>91</v>
      </c>
      <c r="B39" s="54" t="s">
        <v>92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54" t="s">
        <v>93</v>
      </c>
      <c r="B40" s="54" t="s">
        <v>94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54" t="s">
        <v>95</v>
      </c>
      <c r="B41" s="54" t="s">
        <v>96</v>
      </c>
    </row>
    <row r="42" spans="1:15" x14ac:dyDescent="0.2">
      <c r="A42" s="54" t="s">
        <v>97</v>
      </c>
      <c r="B42" s="54" t="s">
        <v>98</v>
      </c>
    </row>
    <row r="43" spans="1:15" x14ac:dyDescent="0.2">
      <c r="A43" s="54" t="s">
        <v>99</v>
      </c>
      <c r="B43" s="54" t="s">
        <v>100</v>
      </c>
    </row>
    <row r="44" spans="1:15" x14ac:dyDescent="0.2">
      <c r="A44" s="54" t="s">
        <v>101</v>
      </c>
      <c r="B44" s="54" t="s">
        <v>102</v>
      </c>
    </row>
    <row r="45" spans="1:15" x14ac:dyDescent="0.2">
      <c r="A45" s="54" t="s">
        <v>103</v>
      </c>
      <c r="B45" s="54" t="s">
        <v>104</v>
      </c>
    </row>
    <row r="46" spans="1:15" x14ac:dyDescent="0.2">
      <c r="A46" s="54" t="s">
        <v>105</v>
      </c>
      <c r="B46" s="54" t="s">
        <v>106</v>
      </c>
    </row>
    <row r="47" spans="1:15" x14ac:dyDescent="0.2">
      <c r="A47" s="54" t="s">
        <v>107</v>
      </c>
      <c r="B47" s="54" t="s">
        <v>108</v>
      </c>
    </row>
    <row r="48" spans="1:15" x14ac:dyDescent="0.2">
      <c r="A48" s="54" t="s">
        <v>109</v>
      </c>
      <c r="B48" s="54" t="s">
        <v>110</v>
      </c>
    </row>
    <row r="49" spans="1:4" x14ac:dyDescent="0.2">
      <c r="A49" s="54" t="s">
        <v>111</v>
      </c>
      <c r="B49" s="54" t="s">
        <v>112</v>
      </c>
    </row>
    <row r="50" spans="1:4" x14ac:dyDescent="0.2">
      <c r="A50" s="54" t="s">
        <v>113</v>
      </c>
      <c r="B50" s="54" t="s">
        <v>114</v>
      </c>
    </row>
    <row r="51" spans="1:4" x14ac:dyDescent="0.2">
      <c r="A51" s="54" t="s">
        <v>115</v>
      </c>
      <c r="B51" s="54" t="s">
        <v>116</v>
      </c>
    </row>
    <row r="52" spans="1:4" x14ac:dyDescent="0.2">
      <c r="A52" s="54" t="s">
        <v>117</v>
      </c>
      <c r="B52" s="54" t="s">
        <v>118</v>
      </c>
    </row>
    <row r="53" spans="1:4" x14ac:dyDescent="0.2">
      <c r="A53" s="105" t="s">
        <v>119</v>
      </c>
      <c r="B53" s="105" t="s">
        <v>120</v>
      </c>
    </row>
    <row r="54" spans="1:4" x14ac:dyDescent="0.2">
      <c r="A54" s="54" t="s">
        <v>121</v>
      </c>
      <c r="B54" s="54" t="s">
        <v>122</v>
      </c>
    </row>
    <row r="56" spans="1:4" x14ac:dyDescent="0.2">
      <c r="A56" s="73" t="s">
        <v>123</v>
      </c>
      <c r="B56" s="54"/>
      <c r="C56" s="54"/>
      <c r="D56" s="54"/>
    </row>
    <row r="57" spans="1:4" x14ac:dyDescent="0.2">
      <c r="A57" s="54" t="s">
        <v>124</v>
      </c>
      <c r="B57" s="54"/>
      <c r="C57" s="54"/>
      <c r="D57" s="62" t="str">
        <f>Assumptions!B6</f>
        <v>Base</v>
      </c>
    </row>
    <row r="58" spans="1:4" x14ac:dyDescent="0.2">
      <c r="A58" s="54" t="s">
        <v>125</v>
      </c>
      <c r="B58" s="54"/>
      <c r="C58" s="54"/>
      <c r="D58" s="66">
        <f>Market_Package!B8</f>
        <v>630.55999999999995</v>
      </c>
    </row>
    <row r="59" spans="1:4" x14ac:dyDescent="0.2">
      <c r="A59" s="54" t="s">
        <v>126</v>
      </c>
      <c r="B59" s="54"/>
      <c r="C59" s="54"/>
      <c r="D59" s="66">
        <f>DCF!B36</f>
        <v>495.77169546031331</v>
      </c>
    </row>
    <row r="60" spans="1:4" x14ac:dyDescent="0.2">
      <c r="A60" s="54" t="s">
        <v>127</v>
      </c>
      <c r="B60" s="54"/>
      <c r="C60" s="54"/>
      <c r="D60" s="86">
        <f>DCF!B38</f>
        <v>-0.21375968114007649</v>
      </c>
    </row>
    <row r="61" spans="1:4" x14ac:dyDescent="0.2">
      <c r="A61" s="54" t="s">
        <v>128</v>
      </c>
      <c r="B61" s="54"/>
      <c r="C61" s="54"/>
      <c r="D61" s="66">
        <f>DCF!B45</f>
        <v>654.83062050662295</v>
      </c>
    </row>
    <row r="62" spans="1:4" x14ac:dyDescent="0.2">
      <c r="A62" s="54" t="s">
        <v>129</v>
      </c>
      <c r="B62" s="54"/>
      <c r="C62" s="54"/>
      <c r="D62" s="66">
        <f>Valuation!B30</f>
        <v>533.08644674649531</v>
      </c>
    </row>
    <row r="63" spans="1:4" x14ac:dyDescent="0.2">
      <c r="A63" s="54" t="s">
        <v>130</v>
      </c>
      <c r="B63" s="54"/>
      <c r="C63" s="54"/>
      <c r="D63" s="66">
        <f>Valuation!E54</f>
        <v>980.21487154202555</v>
      </c>
    </row>
    <row r="64" spans="1:4" x14ac:dyDescent="0.2">
      <c r="A64" s="54" t="s">
        <v>131</v>
      </c>
      <c r="B64" s="54"/>
      <c r="C64" s="54"/>
      <c r="D64" s="86">
        <f>Valuation!B9</f>
        <v>4.7921146299808898E-2</v>
      </c>
    </row>
    <row r="65" spans="1:4" x14ac:dyDescent="0.2">
      <c r="A65" s="54" t="s">
        <v>132</v>
      </c>
      <c r="B65" s="54"/>
      <c r="C65" s="54"/>
      <c r="D65" s="55">
        <f>Forecast_3Stmt!D10</f>
        <v>304976.58199999999</v>
      </c>
    </row>
    <row r="66" spans="1:4" x14ac:dyDescent="0.2">
      <c r="A66" s="54" t="s">
        <v>133</v>
      </c>
      <c r="B66" s="54"/>
      <c r="C66" s="54"/>
      <c r="D66" s="86">
        <f>Forecast_3Stmt!D18</f>
        <v>0.31677791543292394</v>
      </c>
    </row>
    <row r="67" spans="1:4" x14ac:dyDescent="0.2">
      <c r="A67" s="54" t="s">
        <v>134</v>
      </c>
      <c r="B67" s="54"/>
      <c r="C67" s="54"/>
      <c r="D67" s="55">
        <f>Forecast_3Stmt!D69</f>
        <v>-41199.108691015572</v>
      </c>
    </row>
    <row r="68" spans="1:4" x14ac:dyDescent="0.2">
      <c r="A68" s="54" t="s">
        <v>135</v>
      </c>
      <c r="B68" s="54"/>
      <c r="C68" s="54"/>
      <c r="D68" s="78">
        <f>Debt_Credit!K69</f>
        <v>0.5581949051500614</v>
      </c>
    </row>
    <row r="69" spans="1:4" x14ac:dyDescent="0.2">
      <c r="A69" s="54" t="s">
        <v>136</v>
      </c>
      <c r="B69" s="54"/>
      <c r="C69" s="54"/>
      <c r="D69" s="62" t="str">
        <f>Scenario_Summary!B27</f>
        <v>current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DF22-C643-3045-B929-21DF1FA2B03E}">
  <sheetPr>
    <tabColor rgb="FF6A7689"/>
  </sheetPr>
  <dimension ref="A1:O50"/>
  <sheetViews>
    <sheetView showGridLines="0" workbookViewId="0">
      <selection activeCell="C7" sqref="C7"/>
    </sheetView>
  </sheetViews>
  <sheetFormatPr baseColWidth="10" defaultColWidth="8.33203125" defaultRowHeight="15" x14ac:dyDescent="0.2"/>
  <cols>
    <col min="1" max="1" width="77.6640625" customWidth="1"/>
    <col min="2" max="10" width="10" customWidth="1"/>
    <col min="11" max="12" width="1.33203125" customWidth="1"/>
    <col min="13" max="13" width="17.6640625" customWidth="1"/>
    <col min="14" max="14" width="42.6640625" customWidth="1"/>
    <col min="15" max="15" width="69.33203125" customWidth="1"/>
  </cols>
  <sheetData>
    <row r="1" spans="1:15" x14ac:dyDescent="0.2">
      <c r="A1" s="122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138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 t="s">
        <v>139</v>
      </c>
      <c r="C3" s="1"/>
      <c r="D3" s="1"/>
      <c r="E3" s="1"/>
      <c r="F3" s="1"/>
      <c r="G3" s="1"/>
      <c r="H3" s="1"/>
      <c r="I3" s="1" t="s">
        <v>140</v>
      </c>
      <c r="J3" s="1"/>
      <c r="K3" s="1"/>
      <c r="L3" s="1"/>
      <c r="M3" s="1"/>
      <c r="N3" s="1"/>
      <c r="O3" s="1"/>
    </row>
    <row r="4" spans="1:15" x14ac:dyDescent="0.2">
      <c r="A4" s="125" t="s">
        <v>141</v>
      </c>
      <c r="B4" s="123" t="s">
        <v>42</v>
      </c>
      <c r="C4" s="123" t="s">
        <v>46</v>
      </c>
      <c r="D4" s="123" t="s">
        <v>50</v>
      </c>
      <c r="E4" s="123" t="s">
        <v>54</v>
      </c>
      <c r="F4" s="123" t="s">
        <v>58</v>
      </c>
      <c r="G4" s="123" t="s">
        <v>62</v>
      </c>
      <c r="H4" s="123" t="s">
        <v>66</v>
      </c>
      <c r="I4" s="127" t="s">
        <v>142</v>
      </c>
      <c r="J4" s="123" t="s">
        <v>143</v>
      </c>
      <c r="K4" s="1"/>
      <c r="L4" s="1"/>
      <c r="M4" s="126" t="s">
        <v>144</v>
      </c>
      <c r="N4" s="126" t="s">
        <v>145</v>
      </c>
      <c r="O4" s="126" t="s">
        <v>146</v>
      </c>
    </row>
    <row r="5" spans="1:15" x14ac:dyDescent="0.2">
      <c r="A5" s="1"/>
      <c r="B5" s="1"/>
      <c r="C5" s="1"/>
      <c r="D5" s="1"/>
      <c r="E5" s="1"/>
      <c r="F5" s="1"/>
      <c r="G5" s="1"/>
      <c r="H5" s="1"/>
      <c r="I5" s="14"/>
      <c r="J5" s="1"/>
      <c r="K5" s="1"/>
      <c r="L5" s="1"/>
      <c r="M5" s="1"/>
      <c r="N5" s="1"/>
      <c r="O5" s="1"/>
    </row>
    <row r="6" spans="1:15" x14ac:dyDescent="0.2">
      <c r="A6" s="22" t="s">
        <v>147</v>
      </c>
      <c r="B6" s="3">
        <v>70697</v>
      </c>
      <c r="C6" s="3">
        <v>85965</v>
      </c>
      <c r="D6" s="3">
        <v>117929</v>
      </c>
      <c r="E6" s="3">
        <v>116609</v>
      </c>
      <c r="F6" s="3">
        <v>134902</v>
      </c>
      <c r="G6" s="3">
        <v>164501</v>
      </c>
      <c r="H6" s="3">
        <v>200966</v>
      </c>
      <c r="I6" s="11">
        <v>141073</v>
      </c>
      <c r="J6" s="3">
        <v>181712</v>
      </c>
      <c r="K6" s="1"/>
      <c r="L6" s="1"/>
      <c r="M6" s="1"/>
      <c r="N6" s="1" t="s">
        <v>148</v>
      </c>
      <c r="O6" s="1"/>
    </row>
    <row r="7" spans="1:15" x14ac:dyDescent="0.2">
      <c r="A7" s="1"/>
      <c r="B7" s="1"/>
      <c r="C7" s="1"/>
      <c r="D7" s="1"/>
      <c r="E7" s="1"/>
      <c r="F7" s="1"/>
      <c r="G7" s="1"/>
      <c r="H7" s="1"/>
      <c r="I7" s="14"/>
      <c r="J7" s="1"/>
      <c r="K7" s="1"/>
      <c r="L7" s="1"/>
      <c r="M7" s="1"/>
      <c r="N7" s="1"/>
      <c r="O7" s="1"/>
    </row>
    <row r="8" spans="1:15" x14ac:dyDescent="0.2">
      <c r="A8" s="9" t="s">
        <v>149</v>
      </c>
      <c r="B8" s="1"/>
      <c r="C8" s="1"/>
      <c r="D8" s="1"/>
      <c r="E8" s="1"/>
      <c r="F8" s="1"/>
      <c r="G8" s="1"/>
      <c r="H8" s="1"/>
      <c r="I8" s="14"/>
      <c r="J8" s="1"/>
      <c r="K8" s="1"/>
      <c r="L8" s="1"/>
      <c r="M8" s="1"/>
      <c r="N8" s="1"/>
      <c r="O8" s="1"/>
    </row>
    <row r="9" spans="1:15" x14ac:dyDescent="0.2">
      <c r="A9" s="5" t="s">
        <v>150</v>
      </c>
      <c r="B9" s="3">
        <v>12770</v>
      </c>
      <c r="C9" s="3">
        <v>16692</v>
      </c>
      <c r="D9" s="3">
        <v>22649</v>
      </c>
      <c r="E9" s="3">
        <v>25249</v>
      </c>
      <c r="F9" s="3">
        <v>25959</v>
      </c>
      <c r="G9" s="3">
        <v>30161</v>
      </c>
      <c r="H9" s="3">
        <v>36175</v>
      </c>
      <c r="I9" s="11">
        <v>25269</v>
      </c>
      <c r="J9" s="3">
        <v>34917</v>
      </c>
      <c r="K9" s="1"/>
      <c r="L9" s="1"/>
      <c r="M9" s="1"/>
      <c r="N9" s="1" t="s">
        <v>151</v>
      </c>
      <c r="O9" s="1"/>
    </row>
    <row r="10" spans="1:15" x14ac:dyDescent="0.2">
      <c r="A10" s="5" t="s">
        <v>152</v>
      </c>
      <c r="B10" s="3">
        <v>13600</v>
      </c>
      <c r="C10" s="3">
        <v>18447</v>
      </c>
      <c r="D10" s="3">
        <v>24655</v>
      </c>
      <c r="E10" s="3">
        <v>35338</v>
      </c>
      <c r="F10" s="3">
        <v>38483</v>
      </c>
      <c r="G10" s="3">
        <v>43873</v>
      </c>
      <c r="H10" s="3">
        <v>57372</v>
      </c>
      <c r="I10" s="11">
        <v>40237</v>
      </c>
      <c r="J10" s="3">
        <v>59409</v>
      </c>
      <c r="K10" s="1"/>
      <c r="L10" s="1"/>
      <c r="M10" s="1"/>
      <c r="N10" s="1" t="s">
        <v>153</v>
      </c>
      <c r="O10" s="1"/>
    </row>
    <row r="11" spans="1:15" x14ac:dyDescent="0.2">
      <c r="A11" s="5" t="s">
        <v>154</v>
      </c>
      <c r="B11" s="3">
        <v>9876</v>
      </c>
      <c r="C11" s="3">
        <v>11591</v>
      </c>
      <c r="D11" s="3">
        <v>14043</v>
      </c>
      <c r="E11" s="3">
        <v>15262</v>
      </c>
      <c r="F11" s="3">
        <v>12301</v>
      </c>
      <c r="G11" s="3">
        <v>11347</v>
      </c>
      <c r="H11" s="3">
        <v>11991</v>
      </c>
      <c r="I11" s="11">
        <v>8581</v>
      </c>
      <c r="J11" s="3">
        <v>9672</v>
      </c>
      <c r="K11" s="1"/>
      <c r="L11" s="1"/>
      <c r="M11" s="1"/>
      <c r="N11" s="1" t="s">
        <v>155</v>
      </c>
      <c r="O11" s="1"/>
    </row>
    <row r="12" spans="1:15" x14ac:dyDescent="0.2">
      <c r="A12" s="5" t="s">
        <v>156</v>
      </c>
      <c r="B12" s="3">
        <v>10465</v>
      </c>
      <c r="C12" s="3">
        <v>6564</v>
      </c>
      <c r="D12" s="3">
        <v>9829</v>
      </c>
      <c r="E12" s="3">
        <v>11816</v>
      </c>
      <c r="F12" s="3">
        <v>11408</v>
      </c>
      <c r="G12" s="3">
        <v>9740</v>
      </c>
      <c r="H12" s="3">
        <v>12152</v>
      </c>
      <c r="I12" s="11">
        <v>8455</v>
      </c>
      <c r="J12" s="3">
        <v>23079</v>
      </c>
      <c r="K12" s="1"/>
      <c r="L12" s="1"/>
      <c r="M12" s="1"/>
      <c r="N12" s="1" t="s">
        <v>157</v>
      </c>
      <c r="O12" s="1"/>
    </row>
    <row r="13" spans="1:15" x14ac:dyDescent="0.2">
      <c r="A13" s="9" t="s">
        <v>158</v>
      </c>
      <c r="B13" s="8">
        <v>46711</v>
      </c>
      <c r="C13" s="8">
        <v>53294</v>
      </c>
      <c r="D13" s="8">
        <v>71176</v>
      </c>
      <c r="E13" s="8">
        <v>87665</v>
      </c>
      <c r="F13" s="8">
        <v>88151</v>
      </c>
      <c r="G13" s="8">
        <v>95121</v>
      </c>
      <c r="H13" s="8">
        <v>117690</v>
      </c>
      <c r="I13" s="4">
        <v>82542</v>
      </c>
      <c r="J13" s="8">
        <v>127077</v>
      </c>
      <c r="K13" s="1"/>
      <c r="L13" s="1"/>
      <c r="M13" s="1"/>
      <c r="N13" s="1" t="s">
        <v>159</v>
      </c>
      <c r="O13" s="1"/>
    </row>
    <row r="14" spans="1:15" x14ac:dyDescent="0.2">
      <c r="A14" s="1"/>
      <c r="B14" s="1"/>
      <c r="C14" s="1"/>
      <c r="D14" s="1"/>
      <c r="E14" s="1"/>
      <c r="F14" s="1"/>
      <c r="G14" s="1"/>
      <c r="H14" s="1"/>
      <c r="I14" s="14"/>
      <c r="J14" s="1"/>
      <c r="K14" s="1"/>
      <c r="L14" s="1"/>
      <c r="M14" s="1"/>
      <c r="N14" s="1"/>
      <c r="O14" s="1"/>
    </row>
    <row r="15" spans="1:15" x14ac:dyDescent="0.2">
      <c r="A15" s="9" t="s">
        <v>160</v>
      </c>
      <c r="B15" s="8">
        <v>23986</v>
      </c>
      <c r="C15" s="8">
        <v>32671</v>
      </c>
      <c r="D15" s="8">
        <v>46753</v>
      </c>
      <c r="E15" s="8">
        <v>28944</v>
      </c>
      <c r="F15" s="8">
        <v>46751</v>
      </c>
      <c r="G15" s="8">
        <v>69380</v>
      </c>
      <c r="H15" s="8">
        <v>83276</v>
      </c>
      <c r="I15" s="4">
        <v>58531</v>
      </c>
      <c r="J15" s="8">
        <v>54635</v>
      </c>
      <c r="K15" s="1"/>
      <c r="L15" s="1"/>
      <c r="M15" s="1"/>
      <c r="N15" s="1" t="s">
        <v>161</v>
      </c>
      <c r="O15" s="1"/>
    </row>
    <row r="16" spans="1:15" x14ac:dyDescent="0.2">
      <c r="A16" s="1"/>
      <c r="B16" s="1"/>
      <c r="C16" s="1"/>
      <c r="D16" s="1"/>
      <c r="E16" s="1"/>
      <c r="F16" s="1"/>
      <c r="G16" s="1"/>
      <c r="H16" s="1"/>
      <c r="I16" s="14"/>
      <c r="J16" s="1"/>
      <c r="K16" s="1"/>
      <c r="L16" s="1"/>
      <c r="M16" s="1"/>
      <c r="N16" s="1"/>
      <c r="O16" s="1"/>
    </row>
    <row r="17" spans="1:15" x14ac:dyDescent="0.2">
      <c r="A17" s="5" t="s">
        <v>162</v>
      </c>
      <c r="B17" s="3">
        <v>826</v>
      </c>
      <c r="C17" s="3">
        <v>509</v>
      </c>
      <c r="D17" s="3">
        <v>531</v>
      </c>
      <c r="E17" s="3">
        <v>-125</v>
      </c>
      <c r="F17" s="3">
        <v>677</v>
      </c>
      <c r="G17" s="3">
        <v>1283</v>
      </c>
      <c r="H17" s="3">
        <v>2656</v>
      </c>
      <c r="I17" s="11">
        <v>2047</v>
      </c>
      <c r="J17" s="3">
        <v>-1126</v>
      </c>
      <c r="K17" s="1"/>
      <c r="L17" s="1"/>
      <c r="M17" s="1"/>
      <c r="N17" s="1" t="s">
        <v>163</v>
      </c>
      <c r="O17" s="1" t="s">
        <v>164</v>
      </c>
    </row>
    <row r="18" spans="1:15" x14ac:dyDescent="0.2">
      <c r="A18" s="9" t="s">
        <v>165</v>
      </c>
      <c r="B18" s="8">
        <v>24812</v>
      </c>
      <c r="C18" s="8">
        <v>33180</v>
      </c>
      <c r="D18" s="8">
        <v>47284</v>
      </c>
      <c r="E18" s="8">
        <v>28819</v>
      </c>
      <c r="F18" s="8">
        <v>47428</v>
      </c>
      <c r="G18" s="8">
        <v>70663</v>
      </c>
      <c r="H18" s="8">
        <v>85932</v>
      </c>
      <c r="I18" s="4">
        <v>60578</v>
      </c>
      <c r="J18" s="8">
        <v>53509</v>
      </c>
      <c r="K18" s="1"/>
      <c r="L18" s="1"/>
      <c r="M18" s="1"/>
      <c r="N18" s="1" t="s">
        <v>166</v>
      </c>
      <c r="O18" s="1" t="s">
        <v>167</v>
      </c>
    </row>
    <row r="19" spans="1:15" x14ac:dyDescent="0.2">
      <c r="A19" s="1"/>
      <c r="B19" s="1"/>
      <c r="C19" s="1"/>
      <c r="D19" s="1"/>
      <c r="E19" s="1"/>
      <c r="F19" s="1"/>
      <c r="G19" s="1"/>
      <c r="H19" s="1"/>
      <c r="I19" s="14"/>
      <c r="J19" s="1"/>
      <c r="K19" s="1"/>
      <c r="L19" s="1"/>
      <c r="M19" s="1"/>
      <c r="N19" s="1"/>
      <c r="O19" s="1"/>
    </row>
    <row r="20" spans="1:15" x14ac:dyDescent="0.2">
      <c r="A20" s="5" t="s">
        <v>168</v>
      </c>
      <c r="B20" s="3">
        <v>6327</v>
      </c>
      <c r="C20" s="3">
        <v>4034</v>
      </c>
      <c r="D20" s="3">
        <v>7914</v>
      </c>
      <c r="E20" s="3">
        <v>5619</v>
      </c>
      <c r="F20" s="3">
        <v>8330</v>
      </c>
      <c r="G20" s="3">
        <v>8303</v>
      </c>
      <c r="H20" s="3">
        <v>25474</v>
      </c>
      <c r="I20" s="11">
        <v>22888</v>
      </c>
      <c r="J20" s="3">
        <v>1028</v>
      </c>
      <c r="K20" s="1"/>
      <c r="L20" s="1"/>
      <c r="M20" s="1"/>
      <c r="N20" s="1" t="s">
        <v>169</v>
      </c>
      <c r="O20" s="1"/>
    </row>
    <row r="21" spans="1:15" x14ac:dyDescent="0.2">
      <c r="A21" s="7" t="s">
        <v>170</v>
      </c>
      <c r="B21" s="12">
        <v>18485</v>
      </c>
      <c r="C21" s="12">
        <v>29146</v>
      </c>
      <c r="D21" s="12">
        <v>39370</v>
      </c>
      <c r="E21" s="12">
        <v>23200</v>
      </c>
      <c r="F21" s="12">
        <v>39098</v>
      </c>
      <c r="G21" s="12">
        <v>62360</v>
      </c>
      <c r="H21" s="12">
        <v>60458</v>
      </c>
      <c r="I21" s="19">
        <v>37690</v>
      </c>
      <c r="J21" s="12">
        <v>52481</v>
      </c>
      <c r="K21" s="1"/>
      <c r="L21" s="1"/>
      <c r="M21" s="1"/>
      <c r="N21" s="1" t="s">
        <v>171</v>
      </c>
      <c r="O21" s="1"/>
    </row>
    <row r="22" spans="1:15" x14ac:dyDescent="0.2">
      <c r="A22" s="1"/>
      <c r="B22" s="1"/>
      <c r="C22" s="1"/>
      <c r="D22" s="1"/>
      <c r="E22" s="1"/>
      <c r="F22" s="1"/>
      <c r="G22" s="1"/>
      <c r="H22" s="1"/>
      <c r="I22" s="14"/>
      <c r="J22" s="1"/>
      <c r="K22" s="1"/>
      <c r="L22" s="1"/>
      <c r="M22" s="1"/>
      <c r="N22" s="1"/>
      <c r="O22" s="1"/>
    </row>
    <row r="23" spans="1:15" x14ac:dyDescent="0.2">
      <c r="A23" s="5" t="s">
        <v>172</v>
      </c>
      <c r="B23" s="3">
        <v>0</v>
      </c>
      <c r="C23" s="3">
        <v>0</v>
      </c>
      <c r="D23" s="3"/>
      <c r="E23" s="3"/>
      <c r="F23" s="3"/>
      <c r="G23" s="3"/>
      <c r="H23" s="3"/>
      <c r="I23" s="11"/>
      <c r="J23" s="3"/>
      <c r="K23" s="1"/>
      <c r="L23" s="1"/>
      <c r="M23" s="1"/>
      <c r="N23" s="1" t="s">
        <v>173</v>
      </c>
      <c r="O23" s="1"/>
    </row>
    <row r="24" spans="1:15" x14ac:dyDescent="0.2">
      <c r="A24" s="9" t="s">
        <v>174</v>
      </c>
      <c r="B24" s="8">
        <v>18485</v>
      </c>
      <c r="C24" s="8">
        <v>29146</v>
      </c>
      <c r="D24" s="8"/>
      <c r="E24" s="8"/>
      <c r="F24" s="8"/>
      <c r="G24" s="8"/>
      <c r="H24" s="8"/>
      <c r="I24" s="4"/>
      <c r="J24" s="8"/>
      <c r="K24" s="1"/>
      <c r="L24" s="1"/>
      <c r="M24" s="1"/>
      <c r="N24" s="1" t="s">
        <v>175</v>
      </c>
      <c r="O24" s="1"/>
    </row>
    <row r="25" spans="1:15" x14ac:dyDescent="0.2">
      <c r="A25" s="1"/>
      <c r="B25" s="1"/>
      <c r="C25" s="1"/>
      <c r="D25" s="1"/>
      <c r="E25" s="1"/>
      <c r="F25" s="1"/>
      <c r="G25" s="1"/>
      <c r="H25" s="1"/>
      <c r="I25" s="14"/>
      <c r="J25" s="1"/>
      <c r="K25" s="1"/>
      <c r="L25" s="1"/>
      <c r="M25" s="1"/>
      <c r="N25" s="1"/>
      <c r="O25" s="1"/>
    </row>
    <row r="26" spans="1:15" x14ac:dyDescent="0.2">
      <c r="A26" s="9" t="s">
        <v>176</v>
      </c>
      <c r="B26" s="1"/>
      <c r="C26" s="1"/>
      <c r="D26" s="1"/>
      <c r="E26" s="1"/>
      <c r="F26" s="1"/>
      <c r="G26" s="1"/>
      <c r="H26" s="1"/>
      <c r="I26" s="14"/>
      <c r="J26" s="1"/>
      <c r="K26" s="1"/>
      <c r="L26" s="1"/>
      <c r="M26" s="1"/>
      <c r="N26" s="1"/>
      <c r="O26" s="1" t="s">
        <v>177</v>
      </c>
    </row>
    <row r="27" spans="1:15" x14ac:dyDescent="0.2">
      <c r="A27" s="5" t="s">
        <v>178</v>
      </c>
      <c r="B27" s="18">
        <v>6.48</v>
      </c>
      <c r="C27" s="18">
        <v>10.220000000000001</v>
      </c>
      <c r="D27" s="18">
        <v>13.99</v>
      </c>
      <c r="E27" s="18">
        <v>8.6300000000000008</v>
      </c>
      <c r="F27" s="18">
        <v>15.19</v>
      </c>
      <c r="G27" s="18">
        <v>24.61</v>
      </c>
      <c r="H27" s="18">
        <v>23.98</v>
      </c>
      <c r="I27" s="21">
        <v>14.96</v>
      </c>
      <c r="J27" s="18">
        <v>20.64</v>
      </c>
      <c r="K27" s="1"/>
      <c r="L27" s="1"/>
      <c r="M27" s="1"/>
      <c r="N27" s="1" t="s">
        <v>179</v>
      </c>
      <c r="O27" s="1"/>
    </row>
    <row r="28" spans="1:15" x14ac:dyDescent="0.2">
      <c r="A28" s="5" t="s">
        <v>180</v>
      </c>
      <c r="B28" s="18">
        <v>6.43</v>
      </c>
      <c r="C28" s="18">
        <v>10.09</v>
      </c>
      <c r="D28" s="18">
        <v>13.77</v>
      </c>
      <c r="E28" s="18">
        <v>8.59</v>
      </c>
      <c r="F28" s="18">
        <v>14.87</v>
      </c>
      <c r="G28" s="18">
        <v>23.86</v>
      </c>
      <c r="H28" s="18">
        <v>23.49</v>
      </c>
      <c r="I28" s="21">
        <v>14.62</v>
      </c>
      <c r="J28" s="18">
        <v>20.440000000000001</v>
      </c>
      <c r="K28" s="1"/>
      <c r="L28" s="1"/>
      <c r="M28" s="1"/>
      <c r="N28" s="1" t="s">
        <v>181</v>
      </c>
      <c r="O28" s="1"/>
    </row>
    <row r="29" spans="1:15" x14ac:dyDescent="0.2">
      <c r="A29" s="1"/>
      <c r="B29" s="1"/>
      <c r="C29" s="1"/>
      <c r="D29" s="1"/>
      <c r="E29" s="1"/>
      <c r="F29" s="1"/>
      <c r="G29" s="1"/>
      <c r="H29" s="1"/>
      <c r="I29" s="14"/>
      <c r="J29" s="1"/>
      <c r="K29" s="1"/>
      <c r="L29" s="1"/>
      <c r="M29" s="1"/>
      <c r="N29" s="1"/>
      <c r="O29" s="1"/>
    </row>
    <row r="30" spans="1:15" x14ac:dyDescent="0.2">
      <c r="A30" s="9" t="s">
        <v>182</v>
      </c>
      <c r="B30" s="1"/>
      <c r="C30" s="1"/>
      <c r="D30" s="1"/>
      <c r="E30" s="1"/>
      <c r="F30" s="1"/>
      <c r="G30" s="1"/>
      <c r="H30" s="1"/>
      <c r="I30" s="14"/>
      <c r="J30" s="1"/>
      <c r="K30" s="1"/>
      <c r="L30" s="1"/>
      <c r="M30" s="1"/>
      <c r="N30" s="1"/>
      <c r="O30" s="1" t="s">
        <v>183</v>
      </c>
    </row>
    <row r="31" spans="1:15" x14ac:dyDescent="0.2">
      <c r="A31" s="5" t="s">
        <v>178</v>
      </c>
      <c r="B31" s="3">
        <v>2854</v>
      </c>
      <c r="C31" s="3">
        <v>2851</v>
      </c>
      <c r="D31" s="3">
        <v>2815</v>
      </c>
      <c r="E31" s="3">
        <v>2687</v>
      </c>
      <c r="F31" s="3">
        <v>2574</v>
      </c>
      <c r="G31" s="3">
        <v>2534</v>
      </c>
      <c r="H31" s="3">
        <v>2521</v>
      </c>
      <c r="I31" s="11">
        <v>2520</v>
      </c>
      <c r="J31" s="3">
        <v>2543</v>
      </c>
      <c r="K31" s="1"/>
      <c r="L31" s="1"/>
      <c r="M31" s="1"/>
      <c r="N31" s="1" t="s">
        <v>184</v>
      </c>
      <c r="O31" s="1"/>
    </row>
    <row r="32" spans="1:15" x14ac:dyDescent="0.2">
      <c r="A32" s="5" t="s">
        <v>180</v>
      </c>
      <c r="B32" s="3">
        <v>2876</v>
      </c>
      <c r="C32" s="3">
        <v>2888</v>
      </c>
      <c r="D32" s="3">
        <v>2859</v>
      </c>
      <c r="E32" s="3">
        <v>2702</v>
      </c>
      <c r="F32" s="3">
        <v>2629</v>
      </c>
      <c r="G32" s="3">
        <v>2614</v>
      </c>
      <c r="H32" s="3">
        <v>2574</v>
      </c>
      <c r="I32" s="11">
        <v>2578</v>
      </c>
      <c r="J32" s="3">
        <v>2568</v>
      </c>
      <c r="K32" s="1"/>
      <c r="L32" s="1"/>
      <c r="M32" s="1"/>
      <c r="N32" s="1" t="s">
        <v>185</v>
      </c>
      <c r="O32" s="1"/>
    </row>
    <row r="33" spans="1:15" x14ac:dyDescent="0.2">
      <c r="A33" s="1"/>
      <c r="B33" s="1"/>
      <c r="C33" s="1"/>
      <c r="D33" s="1"/>
      <c r="E33" s="1"/>
      <c r="F33" s="1"/>
      <c r="G33" s="1"/>
      <c r="H33" s="1"/>
      <c r="I33" s="14"/>
      <c r="J33" s="1"/>
      <c r="K33" s="1"/>
      <c r="L33" s="1"/>
      <c r="M33" s="1"/>
      <c r="N33" s="1"/>
      <c r="O33" s="1"/>
    </row>
    <row r="34" spans="1:15" x14ac:dyDescent="0.2">
      <c r="A34" s="9" t="s">
        <v>186</v>
      </c>
      <c r="B34" s="1"/>
      <c r="C34" s="1"/>
      <c r="D34" s="1"/>
      <c r="E34" s="1"/>
      <c r="F34" s="1"/>
      <c r="G34" s="1"/>
      <c r="H34" s="1"/>
      <c r="I34" s="14"/>
      <c r="J34" s="1"/>
      <c r="K34" s="1"/>
      <c r="L34" s="1"/>
      <c r="M34" s="1"/>
      <c r="N34" s="1"/>
      <c r="O34" s="1"/>
    </row>
    <row r="35" spans="1:15" x14ac:dyDescent="0.2">
      <c r="A35" s="5" t="s">
        <v>150</v>
      </c>
      <c r="B35" s="3">
        <v>377</v>
      </c>
      <c r="C35" s="3">
        <v>447</v>
      </c>
      <c r="D35" s="3">
        <v>577</v>
      </c>
      <c r="E35" s="3">
        <v>768</v>
      </c>
      <c r="F35" s="3"/>
      <c r="G35" s="3"/>
      <c r="H35" s="3"/>
      <c r="I35" s="11"/>
      <c r="J35" s="3"/>
      <c r="K35" s="1"/>
      <c r="L35" s="1"/>
      <c r="M35" s="1"/>
      <c r="N35" s="1" t="s">
        <v>187</v>
      </c>
      <c r="O35" s="1"/>
    </row>
    <row r="36" spans="1:15" x14ac:dyDescent="0.2">
      <c r="A36" s="5" t="s">
        <v>152</v>
      </c>
      <c r="B36" s="3">
        <v>3488</v>
      </c>
      <c r="C36" s="3">
        <v>4918</v>
      </c>
      <c r="D36" s="3">
        <v>7106</v>
      </c>
      <c r="E36" s="3">
        <v>9361</v>
      </c>
      <c r="F36" s="3"/>
      <c r="G36" s="3"/>
      <c r="H36" s="3"/>
      <c r="I36" s="11"/>
      <c r="J36" s="3"/>
      <c r="K36" s="1"/>
      <c r="L36" s="1"/>
      <c r="M36" s="1"/>
      <c r="N36" s="1" t="s">
        <v>187</v>
      </c>
      <c r="O36" s="1"/>
    </row>
    <row r="37" spans="1:15" x14ac:dyDescent="0.2">
      <c r="A37" s="5" t="s">
        <v>154</v>
      </c>
      <c r="B37" s="3">
        <v>569</v>
      </c>
      <c r="C37" s="3">
        <v>691</v>
      </c>
      <c r="D37" s="3">
        <v>837</v>
      </c>
      <c r="E37" s="3">
        <v>1004</v>
      </c>
      <c r="F37" s="3"/>
      <c r="G37" s="3"/>
      <c r="H37" s="3"/>
      <c r="I37" s="11"/>
      <c r="J37" s="3"/>
      <c r="K37" s="1"/>
      <c r="L37" s="1"/>
      <c r="M37" s="1"/>
      <c r="N37" s="1" t="s">
        <v>187</v>
      </c>
      <c r="O37" s="1"/>
    </row>
    <row r="38" spans="1:15" x14ac:dyDescent="0.2">
      <c r="A38" s="5" t="s">
        <v>156</v>
      </c>
      <c r="B38" s="3">
        <v>402</v>
      </c>
      <c r="C38" s="3">
        <v>480</v>
      </c>
      <c r="D38" s="3">
        <v>644</v>
      </c>
      <c r="E38" s="3">
        <v>859</v>
      </c>
      <c r="F38" s="3"/>
      <c r="G38" s="3"/>
      <c r="H38" s="3"/>
      <c r="I38" s="11"/>
      <c r="J38" s="3"/>
      <c r="K38" s="1"/>
      <c r="L38" s="1"/>
      <c r="M38" s="1"/>
      <c r="N38" s="1" t="s">
        <v>187</v>
      </c>
      <c r="O38" s="1"/>
    </row>
    <row r="39" spans="1:15" x14ac:dyDescent="0.2">
      <c r="A39" s="7" t="s">
        <v>188</v>
      </c>
      <c r="B39" s="12">
        <v>4836</v>
      </c>
      <c r="C39" s="12">
        <v>6536</v>
      </c>
      <c r="D39" s="12">
        <v>9164</v>
      </c>
      <c r="E39" s="12">
        <v>11992</v>
      </c>
      <c r="F39" s="12"/>
      <c r="G39" s="12"/>
      <c r="H39" s="12"/>
      <c r="I39" s="19"/>
      <c r="J39" s="12"/>
      <c r="K39" s="1"/>
      <c r="L39" s="1"/>
      <c r="M39" s="1"/>
      <c r="N39" s="1" t="s">
        <v>187</v>
      </c>
      <c r="O39" s="1"/>
    </row>
    <row r="40" spans="1:15" x14ac:dyDescent="0.2">
      <c r="A40" s="1"/>
      <c r="B40" s="1"/>
      <c r="C40" s="1"/>
      <c r="D40" s="1"/>
      <c r="E40" s="1"/>
      <c r="F40" s="1"/>
      <c r="G40" s="1"/>
      <c r="H40" s="1"/>
      <c r="I40" s="14"/>
      <c r="J40" s="1"/>
      <c r="K40" s="1"/>
      <c r="L40" s="1"/>
      <c r="M40" s="1"/>
      <c r="N40" s="1"/>
      <c r="O40" s="1"/>
    </row>
    <row r="41" spans="1:15" x14ac:dyDescent="0.2">
      <c r="A41" s="9" t="s">
        <v>189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5" t="s">
        <v>190</v>
      </c>
      <c r="B42" s="2">
        <f t="shared" si="0" ref="B42:J42">B9+B10+B11+B12-B13</f>
        <v>0</v>
      </c>
      <c r="C42" s="2">
        <f t="shared" si="0"/>
        <v>0</v>
      </c>
      <c r="D42" s="2">
        <f t="shared" si="0"/>
        <v>0</v>
      </c>
      <c r="E42" s="2">
        <f t="shared" si="0"/>
        <v>0</v>
      </c>
      <c r="F42" s="2">
        <f t="shared" si="0"/>
        <v>0</v>
      </c>
      <c r="G42" s="2">
        <f t="shared" si="0"/>
        <v>0</v>
      </c>
      <c r="H42" s="2">
        <f t="shared" si="0"/>
        <v>0</v>
      </c>
      <c r="I42" s="2">
        <f t="shared" si="0"/>
        <v>0</v>
      </c>
      <c r="J42" s="2">
        <f t="shared" si="0"/>
        <v>0</v>
      </c>
      <c r="K42" s="1"/>
      <c r="L42" s="1"/>
      <c r="M42" s="1"/>
      <c r="N42" s="1"/>
      <c r="O42" s="1"/>
    </row>
    <row r="43" spans="1:15" x14ac:dyDescent="0.2">
      <c r="A43" s="5" t="s">
        <v>191</v>
      </c>
      <c r="B43" s="2">
        <f t="shared" si="1" ref="B43:J43">B6-B13-B15</f>
        <v>0</v>
      </c>
      <c r="C43" s="2">
        <f t="shared" si="1"/>
        <v>0</v>
      </c>
      <c r="D43" s="2">
        <f t="shared" si="1"/>
        <v>0</v>
      </c>
      <c r="E43" s="2">
        <f t="shared" si="1"/>
        <v>0</v>
      </c>
      <c r="F43" s="2">
        <f t="shared" si="1"/>
        <v>0</v>
      </c>
      <c r="G43" s="2">
        <f t="shared" si="1"/>
        <v>0</v>
      </c>
      <c r="H43" s="2">
        <f t="shared" si="1"/>
        <v>0</v>
      </c>
      <c r="I43" s="2">
        <f t="shared" si="1"/>
        <v>0</v>
      </c>
      <c r="J43" s="2">
        <f t="shared" si="1"/>
        <v>0</v>
      </c>
      <c r="K43" s="1"/>
      <c r="L43" s="1"/>
      <c r="M43" s="1"/>
      <c r="N43" s="1"/>
      <c r="O43" s="1"/>
    </row>
    <row r="44" spans="1:15" x14ac:dyDescent="0.2">
      <c r="A44" s="5" t="s">
        <v>192</v>
      </c>
      <c r="B44" s="2">
        <f t="shared" si="2" ref="B44:J44">B15+B17-B18</f>
        <v>0</v>
      </c>
      <c r="C44" s="2">
        <f t="shared" si="2"/>
        <v>0</v>
      </c>
      <c r="D44" s="2">
        <f t="shared" si="2"/>
        <v>0</v>
      </c>
      <c r="E44" s="2">
        <f t="shared" si="2"/>
        <v>0</v>
      </c>
      <c r="F44" s="2">
        <f t="shared" si="2"/>
        <v>0</v>
      </c>
      <c r="G44" s="2">
        <f t="shared" si="2"/>
        <v>0</v>
      </c>
      <c r="H44" s="2">
        <f t="shared" si="2"/>
        <v>0</v>
      </c>
      <c r="I44" s="2">
        <f t="shared" si="2"/>
        <v>0</v>
      </c>
      <c r="J44" s="2">
        <f t="shared" si="2"/>
        <v>0</v>
      </c>
      <c r="K44" s="1"/>
      <c r="L44" s="1"/>
      <c r="M44" s="1"/>
      <c r="N44" s="1"/>
      <c r="O44" s="1"/>
    </row>
    <row r="45" spans="1:15" x14ac:dyDescent="0.2">
      <c r="A45" s="5" t="s">
        <v>193</v>
      </c>
      <c r="B45" s="2">
        <f t="shared" si="3" ref="B45:J45">B18-B20-B21</f>
        <v>0</v>
      </c>
      <c r="C45" s="2">
        <f t="shared" si="3"/>
        <v>0</v>
      </c>
      <c r="D45" s="2">
        <f t="shared" si="3"/>
        <v>0</v>
      </c>
      <c r="E45" s="2">
        <f t="shared" si="3"/>
        <v>0</v>
      </c>
      <c r="F45" s="2">
        <f t="shared" si="3"/>
        <v>0</v>
      </c>
      <c r="G45" s="2">
        <f t="shared" si="3"/>
        <v>0</v>
      </c>
      <c r="H45" s="2">
        <f t="shared" si="3"/>
        <v>0</v>
      </c>
      <c r="I45" s="2">
        <f t="shared" si="3"/>
        <v>0</v>
      </c>
      <c r="J45" s="2">
        <f t="shared" si="3"/>
        <v>0</v>
      </c>
      <c r="K45" s="1"/>
      <c r="L45" s="1"/>
      <c r="M45" s="1"/>
      <c r="N45" s="1"/>
      <c r="O45" s="1"/>
    </row>
    <row r="46" spans="1:15" x14ac:dyDescent="0.2">
      <c r="A46" s="5" t="s">
        <v>194</v>
      </c>
      <c r="B46" s="2">
        <f>B21+B23-B24</f>
        <v>0</v>
      </c>
      <c r="C46" s="2">
        <f>C21+C23-C24</f>
        <v>0</v>
      </c>
      <c r="D46" s="2"/>
      <c r="E46" s="2"/>
      <c r="F46" s="2"/>
      <c r="G46" s="2"/>
      <c r="H46" s="2"/>
      <c r="I46" s="2"/>
      <c r="J46" s="2"/>
      <c r="K46" s="1"/>
      <c r="L46" s="1"/>
      <c r="M46" s="1"/>
      <c r="N46" s="1"/>
      <c r="O46" s="1"/>
    </row>
    <row r="47" spans="1:15" x14ac:dyDescent="0.2">
      <c r="A47" s="5" t="s">
        <v>195</v>
      </c>
      <c r="B47" s="2">
        <f>B35+B36+B37+B38-B39</f>
        <v>0</v>
      </c>
      <c r="C47" s="2">
        <f>C35+C36+C37+C38-C39</f>
        <v>0</v>
      </c>
      <c r="D47" s="2">
        <f>D35+D36+D37+D38-D39</f>
        <v>0</v>
      </c>
      <c r="E47" s="2">
        <f>E35+E36+E37+E38-E39</f>
        <v>0</v>
      </c>
      <c r="F47" s="2"/>
      <c r="G47" s="2"/>
      <c r="H47" s="2"/>
      <c r="I47" s="2"/>
      <c r="J47" s="2"/>
      <c r="K47" s="1"/>
      <c r="L47" s="1"/>
      <c r="M47" s="1"/>
      <c r="N47" s="1"/>
      <c r="O47" s="1"/>
    </row>
    <row r="48" spans="1:15" x14ac:dyDescent="0.2">
      <c r="A48" s="5" t="s">
        <v>196</v>
      </c>
      <c r="B48" s="2">
        <f>B21-CF_Hist!B7</f>
        <v>0</v>
      </c>
      <c r="C48" s="2">
        <f>C21-CF_Hist!C7</f>
        <v>0</v>
      </c>
      <c r="D48" s="2">
        <f>D21-CF_Hist!D7</f>
        <v>0</v>
      </c>
      <c r="E48" s="2">
        <f>E21-CF_Hist!E7</f>
        <v>0</v>
      </c>
      <c r="F48" s="2">
        <f>F21-CF_Hist!F7</f>
        <v>0</v>
      </c>
      <c r="G48" s="2">
        <f>G21-CF_Hist!G7</f>
        <v>0</v>
      </c>
      <c r="H48" s="2">
        <f>H21-CF_Hist!H7</f>
        <v>0</v>
      </c>
      <c r="I48" s="2">
        <f>I21-CF_Hist!I7</f>
        <v>0</v>
      </c>
      <c r="J48" s="2">
        <f>J21-CF_Hist!J7</f>
        <v>0</v>
      </c>
      <c r="K48" s="1"/>
      <c r="L48" s="1"/>
      <c r="M48" s="1"/>
      <c r="N48" s="1"/>
      <c r="O48" s="1"/>
    </row>
    <row r="49" spans="1:15" x14ac:dyDescent="0.2">
      <c r="A49" s="5" t="s">
        <v>197</v>
      </c>
      <c r="B49" s="2">
        <f>B21-CI_Hist!B6</f>
        <v>0</v>
      </c>
      <c r="C49" s="2">
        <f>C21-CI_Hist!C6</f>
        <v>0</v>
      </c>
      <c r="D49" s="2">
        <f>D21-CI_Hist!D6</f>
        <v>0</v>
      </c>
      <c r="E49" s="2">
        <f>E21-CI_Hist!E6</f>
        <v>0</v>
      </c>
      <c r="F49" s="2">
        <f>F21-CI_Hist!F6</f>
        <v>0</v>
      </c>
      <c r="G49" s="2">
        <f>G21-CI_Hist!G6</f>
        <v>0</v>
      </c>
      <c r="H49" s="2">
        <f>H21-CI_Hist!H6</f>
        <v>0</v>
      </c>
      <c r="I49" s="2">
        <f>I21-CI_Hist!I6</f>
        <v>0</v>
      </c>
      <c r="J49" s="2">
        <f>J21-CI_Hist!J6</f>
        <v>0</v>
      </c>
      <c r="K49" s="1"/>
      <c r="L49" s="1"/>
      <c r="M49" s="1"/>
      <c r="N49" s="1"/>
      <c r="O49" s="1"/>
    </row>
    <row r="50" spans="1:15" x14ac:dyDescent="0.2">
      <c r="A50" s="5" t="s">
        <v>198</v>
      </c>
      <c r="B50" s="2">
        <f>B21-SCE_Hist!B49</f>
        <v>0</v>
      </c>
      <c r="C50" s="2">
        <f>C21-SCE_Hist!C49</f>
        <v>0</v>
      </c>
      <c r="D50" s="2">
        <f>D21-SCE_Hist!D49</f>
        <v>0</v>
      </c>
      <c r="E50" s="2">
        <f>E21-SCE_Hist!E49</f>
        <v>0</v>
      </c>
      <c r="F50" s="2">
        <f>F21-SCE_Hist!F49</f>
        <v>0</v>
      </c>
      <c r="G50" s="2">
        <f>G21-SCE_Hist!G49</f>
        <v>0</v>
      </c>
      <c r="H50" s="2">
        <f>H21-SCE_Hist!H49</f>
        <v>0</v>
      </c>
      <c r="I50" s="2">
        <f>I21-SCE_Hist!I49</f>
        <v>0</v>
      </c>
      <c r="J50" s="2">
        <f>J21-SCE_Hist!J49</f>
        <v>0</v>
      </c>
      <c r="K50" s="1"/>
      <c r="L50" s="1"/>
      <c r="M50" s="1"/>
      <c r="N50" s="1"/>
      <c r="O5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F2D2-53EC-D744-863C-BDACCD48560B}">
  <sheetPr>
    <tabColor rgb="FF6A7689"/>
  </sheetPr>
  <dimension ref="A1:O15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10" width="10" customWidth="1"/>
    <col min="11" max="12" width="1.33203125" customWidth="1"/>
    <col min="13" max="13" width="17.6640625" customWidth="1"/>
    <col min="14" max="14" width="42.6640625" customWidth="1"/>
    <col min="15" max="15" width="69.33203125" customWidth="1"/>
  </cols>
  <sheetData>
    <row r="1" spans="1:15" x14ac:dyDescent="0.2">
      <c r="A1" s="122" t="s">
        <v>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138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 t="s">
        <v>139</v>
      </c>
      <c r="C3" s="1"/>
      <c r="D3" s="1"/>
      <c r="E3" s="1"/>
      <c r="F3" s="1"/>
      <c r="G3" s="1"/>
      <c r="H3" s="1"/>
      <c r="I3" s="1" t="s">
        <v>140</v>
      </c>
      <c r="J3" s="1"/>
      <c r="K3" s="1"/>
      <c r="L3" s="1"/>
      <c r="M3" s="1"/>
      <c r="N3" s="1"/>
      <c r="O3" s="1"/>
    </row>
    <row r="4" spans="1:15" x14ac:dyDescent="0.2">
      <c r="A4" s="125" t="s">
        <v>141</v>
      </c>
      <c r="B4" s="123" t="s">
        <v>42</v>
      </c>
      <c r="C4" s="123" t="s">
        <v>46</v>
      </c>
      <c r="D4" s="123" t="s">
        <v>50</v>
      </c>
      <c r="E4" s="123" t="s">
        <v>54</v>
      </c>
      <c r="F4" s="123" t="s">
        <v>58</v>
      </c>
      <c r="G4" s="123" t="s">
        <v>62</v>
      </c>
      <c r="H4" s="123" t="s">
        <v>66</v>
      </c>
      <c r="I4" s="127" t="s">
        <v>142</v>
      </c>
      <c r="J4" s="123" t="s">
        <v>143</v>
      </c>
      <c r="K4" s="1"/>
      <c r="L4" s="1"/>
      <c r="M4" s="126" t="s">
        <v>144</v>
      </c>
      <c r="N4" s="126" t="s">
        <v>145</v>
      </c>
      <c r="O4" s="126" t="s">
        <v>146</v>
      </c>
    </row>
    <row r="5" spans="1:15" x14ac:dyDescent="0.2">
      <c r="A5" s="1"/>
      <c r="B5" s="1"/>
      <c r="C5" s="1"/>
      <c r="D5" s="1"/>
      <c r="E5" s="1"/>
      <c r="F5" s="1"/>
      <c r="G5" s="1"/>
      <c r="H5" s="1"/>
      <c r="I5" s="14"/>
      <c r="J5" s="1"/>
      <c r="K5" s="1"/>
      <c r="L5" s="1"/>
      <c r="M5" s="1"/>
      <c r="N5" s="1"/>
      <c r="O5" s="1"/>
    </row>
    <row r="6" spans="1:15" x14ac:dyDescent="0.2">
      <c r="A6" s="5" t="s">
        <v>170</v>
      </c>
      <c r="B6" s="3">
        <v>18485</v>
      </c>
      <c r="C6" s="3">
        <v>29146</v>
      </c>
      <c r="D6" s="3">
        <v>39370</v>
      </c>
      <c r="E6" s="3">
        <v>23200</v>
      </c>
      <c r="F6" s="3">
        <v>39098</v>
      </c>
      <c r="G6" s="3">
        <v>62360</v>
      </c>
      <c r="H6" s="3">
        <v>60458</v>
      </c>
      <c r="I6" s="11">
        <v>37690</v>
      </c>
      <c r="J6" s="3">
        <v>52481</v>
      </c>
      <c r="K6" s="1"/>
      <c r="L6" s="1"/>
      <c r="M6" s="1"/>
      <c r="N6" s="1" t="s">
        <v>171</v>
      </c>
      <c r="O6" s="1"/>
    </row>
    <row r="7" spans="1:15" x14ac:dyDescent="0.2">
      <c r="A7" s="1"/>
      <c r="B7" s="1"/>
      <c r="C7" s="1"/>
      <c r="D7" s="1"/>
      <c r="E7" s="1"/>
      <c r="F7" s="1"/>
      <c r="G7" s="1"/>
      <c r="H7" s="1"/>
      <c r="I7" s="14"/>
      <c r="J7" s="1"/>
      <c r="K7" s="1"/>
      <c r="L7" s="1"/>
      <c r="M7" s="1"/>
      <c r="N7" s="1"/>
      <c r="O7" s="1"/>
    </row>
    <row r="8" spans="1:15" x14ac:dyDescent="0.2">
      <c r="A8" s="9" t="s">
        <v>200</v>
      </c>
      <c r="B8" s="1"/>
      <c r="C8" s="1"/>
      <c r="D8" s="1"/>
      <c r="E8" s="1"/>
      <c r="F8" s="1"/>
      <c r="G8" s="1"/>
      <c r="H8" s="1"/>
      <c r="I8" s="14"/>
      <c r="J8" s="1"/>
      <c r="K8" s="1"/>
      <c r="L8" s="1"/>
      <c r="M8" s="1"/>
      <c r="N8" s="1"/>
      <c r="O8" s="1"/>
    </row>
    <row r="9" spans="1:15" x14ac:dyDescent="0.2">
      <c r="A9" s="5" t="s">
        <v>201</v>
      </c>
      <c r="B9" s="3">
        <v>-151</v>
      </c>
      <c r="C9" s="3">
        <v>1056</v>
      </c>
      <c r="D9" s="3">
        <v>-1116</v>
      </c>
      <c r="E9" s="3">
        <v>-1184</v>
      </c>
      <c r="F9" s="3">
        <v>618</v>
      </c>
      <c r="G9" s="3">
        <v>-1413</v>
      </c>
      <c r="H9" s="3">
        <v>2693</v>
      </c>
      <c r="I9" s="11">
        <v>2598</v>
      </c>
      <c r="J9" s="3">
        <v>-638</v>
      </c>
      <c r="K9" s="1"/>
      <c r="L9" s="1"/>
      <c r="M9" s="1"/>
      <c r="N9" s="1" t="s">
        <v>202</v>
      </c>
      <c r="O9" s="1"/>
    </row>
    <row r="10" spans="1:15" x14ac:dyDescent="0.2">
      <c r="A10" s="5" t="s">
        <v>203</v>
      </c>
      <c r="B10" s="3">
        <v>422</v>
      </c>
      <c r="C10" s="3">
        <v>360</v>
      </c>
      <c r="D10" s="3">
        <v>-504</v>
      </c>
      <c r="E10" s="3">
        <v>-1653</v>
      </c>
      <c r="F10" s="3">
        <v>757</v>
      </c>
      <c r="G10" s="3">
        <v>471</v>
      </c>
      <c r="H10" s="3">
        <v>675</v>
      </c>
      <c r="I10" s="11">
        <v>658</v>
      </c>
      <c r="J10" s="3">
        <v>-833</v>
      </c>
      <c r="K10" s="1"/>
      <c r="L10" s="1"/>
      <c r="M10" s="1"/>
      <c r="N10" s="1" t="s">
        <v>204</v>
      </c>
      <c r="O10" s="1" t="s">
        <v>205</v>
      </c>
    </row>
    <row r="11" spans="1:15" x14ac:dyDescent="0.2">
      <c r="A11" s="7" t="s">
        <v>206</v>
      </c>
      <c r="B11" s="12">
        <v>18756</v>
      </c>
      <c r="C11" s="12">
        <v>30562</v>
      </c>
      <c r="D11" s="12">
        <v>37750</v>
      </c>
      <c r="E11" s="12">
        <v>20363</v>
      </c>
      <c r="F11" s="12">
        <v>40473</v>
      </c>
      <c r="G11" s="12">
        <v>61418</v>
      </c>
      <c r="H11" s="12">
        <v>63826</v>
      </c>
      <c r="I11" s="19">
        <v>40946</v>
      </c>
      <c r="J11" s="12">
        <v>51010</v>
      </c>
      <c r="K11" s="1"/>
      <c r="L11" s="1"/>
      <c r="M11" s="1"/>
      <c r="N11" s="1" t="s">
        <v>207</v>
      </c>
      <c r="O11" s="1"/>
    </row>
    <row r="12" spans="1:15" x14ac:dyDescent="0.2">
      <c r="A12" s="1"/>
      <c r="B12" s="1"/>
      <c r="C12" s="1"/>
      <c r="D12" s="1"/>
      <c r="E12" s="1"/>
      <c r="F12" s="1"/>
      <c r="G12" s="1"/>
      <c r="H12" s="1"/>
      <c r="I12" s="14"/>
      <c r="J12" s="1"/>
      <c r="K12" s="1"/>
      <c r="L12" s="1"/>
      <c r="M12" s="1"/>
      <c r="N12" s="1"/>
      <c r="O12" s="1"/>
    </row>
    <row r="13" spans="1:15" x14ac:dyDescent="0.2">
      <c r="A13" s="9" t="s">
        <v>189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5" t="s">
        <v>208</v>
      </c>
      <c r="B14" s="2">
        <f t="shared" si="0" ref="B14:J14">B6+B9+B10-B11</f>
        <v>0</v>
      </c>
      <c r="C14" s="2">
        <f t="shared" si="0"/>
        <v>0</v>
      </c>
      <c r="D14" s="2">
        <f t="shared" si="0"/>
        <v>0</v>
      </c>
      <c r="E14" s="2">
        <f t="shared" si="0"/>
        <v>0</v>
      </c>
      <c r="F14" s="2">
        <f t="shared" si="0"/>
        <v>0</v>
      </c>
      <c r="G14" s="2">
        <f t="shared" si="0"/>
        <v>0</v>
      </c>
      <c r="H14" s="2">
        <f t="shared" si="0"/>
        <v>0</v>
      </c>
      <c r="I14" s="2">
        <f t="shared" si="0"/>
        <v>0</v>
      </c>
      <c r="J14" s="2">
        <f t="shared" si="0"/>
        <v>0</v>
      </c>
      <c r="K14" s="1"/>
      <c r="L14" s="1"/>
      <c r="M14" s="1"/>
      <c r="N14" s="1"/>
      <c r="O14" s="1"/>
    </row>
    <row r="15" spans="1:15" x14ac:dyDescent="0.2">
      <c r="A15" s="5" t="s">
        <v>209</v>
      </c>
      <c r="B15" s="2">
        <f>B9+B10-SCE_Hist!B44</f>
        <v>0</v>
      </c>
      <c r="C15" s="2">
        <f>C9+C10-SCE_Hist!C44</f>
        <v>0</v>
      </c>
      <c r="D15" s="2">
        <f>D9+D10-SCE_Hist!D44</f>
        <v>0</v>
      </c>
      <c r="E15" s="2">
        <f>E9+E10-SCE_Hist!E44</f>
        <v>0</v>
      </c>
      <c r="F15" s="2">
        <f>F9+F10-SCE_Hist!F44</f>
        <v>0</v>
      </c>
      <c r="G15" s="2">
        <f>G9+G10-SCE_Hist!G44</f>
        <v>0</v>
      </c>
      <c r="H15" s="2">
        <f>H9+H10-SCE_Hist!H44</f>
        <v>0</v>
      </c>
      <c r="I15" s="2">
        <f>I9+I10-SCE_Hist!I44</f>
        <v>0</v>
      </c>
      <c r="J15" s="2">
        <f>J9+J10-SCE_Hist!J44</f>
        <v>0</v>
      </c>
      <c r="K15" s="1"/>
      <c r="L15" s="1"/>
      <c r="M15" s="1"/>
      <c r="N15" s="1"/>
      <c r="O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8FAB-F151-794A-832E-D96EEB5FC3F8}">
  <sheetPr>
    <tabColor rgb="FF6A7689"/>
  </sheetPr>
  <dimension ref="A1:O74"/>
  <sheetViews>
    <sheetView showGridLines="0" topLeftCell="A28" workbookViewId="0">
      <selection activeCell="H42" sqref="H42"/>
    </sheetView>
  </sheetViews>
  <sheetFormatPr baseColWidth="10" defaultColWidth="8.33203125" defaultRowHeight="15" x14ac:dyDescent="0.2"/>
  <cols>
    <col min="1" max="1" width="77.6640625" customWidth="1"/>
    <col min="2" max="10" width="10" customWidth="1"/>
    <col min="11" max="12" width="1.33203125" customWidth="1"/>
    <col min="13" max="13" width="17.6640625" customWidth="1"/>
    <col min="14" max="14" width="42.6640625" customWidth="1"/>
    <col min="15" max="15" width="69.33203125" customWidth="1"/>
  </cols>
  <sheetData>
    <row r="1" spans="1:15" x14ac:dyDescent="0.2">
      <c r="A1" s="122" t="s">
        <v>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138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 t="s">
        <v>139</v>
      </c>
      <c r="C3" s="1"/>
      <c r="D3" s="1"/>
      <c r="E3" s="1"/>
      <c r="F3" s="1"/>
      <c r="G3" s="1"/>
      <c r="H3" s="1"/>
      <c r="I3" s="1" t="s">
        <v>140</v>
      </c>
      <c r="J3" s="1"/>
      <c r="K3" s="1"/>
      <c r="L3" s="1"/>
      <c r="M3" s="1"/>
      <c r="N3" s="1"/>
      <c r="O3" s="1"/>
    </row>
    <row r="4" spans="1:15" x14ac:dyDescent="0.2">
      <c r="A4" s="125" t="s">
        <v>141</v>
      </c>
      <c r="B4" s="123" t="s">
        <v>42</v>
      </c>
      <c r="C4" s="123" t="s">
        <v>46</v>
      </c>
      <c r="D4" s="123" t="s">
        <v>50</v>
      </c>
      <c r="E4" s="123" t="s">
        <v>54</v>
      </c>
      <c r="F4" s="123" t="s">
        <v>58</v>
      </c>
      <c r="G4" s="123" t="s">
        <v>62</v>
      </c>
      <c r="H4" s="123" t="s">
        <v>66</v>
      </c>
      <c r="I4" s="127" t="s">
        <v>211</v>
      </c>
      <c r="J4" s="123" t="s">
        <v>212</v>
      </c>
      <c r="K4" s="1"/>
      <c r="L4" s="1"/>
      <c r="M4" s="126" t="s">
        <v>144</v>
      </c>
      <c r="N4" s="126" t="s">
        <v>145</v>
      </c>
      <c r="O4" s="126" t="s">
        <v>146</v>
      </c>
    </row>
    <row r="5" spans="1:15" x14ac:dyDescent="0.2">
      <c r="A5" s="1"/>
      <c r="B5" s="1"/>
      <c r="C5" s="1"/>
      <c r="D5" s="1"/>
      <c r="E5" s="1"/>
      <c r="F5" s="1"/>
      <c r="G5" s="1"/>
      <c r="H5" s="1"/>
      <c r="I5" s="14"/>
      <c r="J5" s="1"/>
      <c r="K5" s="1"/>
      <c r="L5" s="1"/>
      <c r="M5" s="1"/>
      <c r="N5" s="1"/>
      <c r="O5" s="1"/>
    </row>
    <row r="6" spans="1:15" x14ac:dyDescent="0.2">
      <c r="A6" s="7" t="s">
        <v>213</v>
      </c>
      <c r="B6" s="1"/>
      <c r="C6" s="1"/>
      <c r="D6" s="1"/>
      <c r="E6" s="1"/>
      <c r="F6" s="1"/>
      <c r="G6" s="1"/>
      <c r="H6" s="1"/>
      <c r="I6" s="14"/>
      <c r="J6" s="17">
        <f>+J7+J48</f>
        <v>127746</v>
      </c>
      <c r="K6" s="1"/>
      <c r="L6" s="1"/>
      <c r="M6" s="1"/>
      <c r="N6" s="1"/>
      <c r="O6" s="1"/>
    </row>
    <row r="7" spans="1:15" x14ac:dyDescent="0.2">
      <c r="A7" s="1"/>
      <c r="B7" s="1"/>
      <c r="C7" s="1"/>
      <c r="D7" s="1"/>
      <c r="E7" s="1"/>
      <c r="F7" s="1"/>
      <c r="G7" s="1"/>
      <c r="H7" s="1"/>
      <c r="I7" s="14"/>
      <c r="J7" s="17">
        <f>+J10+J9-H10+H9</f>
        <v>72603</v>
      </c>
      <c r="K7" s="1"/>
      <c r="L7" s="1"/>
      <c r="M7" s="1"/>
      <c r="N7" s="1"/>
      <c r="O7" s="1"/>
    </row>
    <row r="8" spans="1:15" x14ac:dyDescent="0.2">
      <c r="A8" s="9" t="s">
        <v>214</v>
      </c>
      <c r="B8" s="1"/>
      <c r="C8" s="1"/>
      <c r="D8" s="1"/>
      <c r="E8" s="1"/>
      <c r="F8" s="1"/>
      <c r="G8" s="1"/>
      <c r="H8" s="1"/>
      <c r="I8" s="14"/>
      <c r="J8" s="131">
        <f>+(J10+J9)/(H10+H9)</f>
        <v>1.0105034807334052</v>
      </c>
      <c r="K8" s="1"/>
      <c r="L8" s="1"/>
      <c r="M8" s="1"/>
      <c r="N8" s="1"/>
      <c r="O8" s="1"/>
    </row>
    <row r="9" spans="1:15" x14ac:dyDescent="0.2">
      <c r="A9" s="5" t="s">
        <v>215</v>
      </c>
      <c r="B9" s="3">
        <v>19079</v>
      </c>
      <c r="C9" s="3">
        <v>17576</v>
      </c>
      <c r="D9" s="3">
        <v>16601</v>
      </c>
      <c r="E9" s="3">
        <v>14681</v>
      </c>
      <c r="F9" s="3">
        <v>41862</v>
      </c>
      <c r="G9" s="3">
        <v>43889</v>
      </c>
      <c r="H9" s="3">
        <v>35873</v>
      </c>
      <c r="I9" s="11">
        <v>10187</v>
      </c>
      <c r="J9" s="3">
        <v>11222</v>
      </c>
      <c r="K9" s="1"/>
      <c r="L9" s="1"/>
      <c r="M9" s="1"/>
      <c r="N9" s="1" t="s">
        <v>216</v>
      </c>
      <c r="O9" s="1"/>
    </row>
    <row r="10" spans="1:15" x14ac:dyDescent="0.2">
      <c r="A10" s="5" t="s">
        <v>217</v>
      </c>
      <c r="B10" s="3">
        <v>35776</v>
      </c>
      <c r="C10" s="3">
        <v>44378</v>
      </c>
      <c r="D10" s="3">
        <v>31397</v>
      </c>
      <c r="E10" s="3">
        <v>26057</v>
      </c>
      <c r="F10" s="3">
        <v>23541</v>
      </c>
      <c r="G10" s="3">
        <v>33926</v>
      </c>
      <c r="H10" s="3">
        <v>45719</v>
      </c>
      <c r="I10" s="11">
        <v>34261</v>
      </c>
      <c r="J10" s="3">
        <v>71227</v>
      </c>
      <c r="K10" s="1"/>
      <c r="L10" s="1"/>
      <c r="M10" s="1"/>
      <c r="N10" s="1" t="s">
        <v>218</v>
      </c>
      <c r="O10" s="1"/>
    </row>
    <row r="11" spans="1:15" x14ac:dyDescent="0.2">
      <c r="A11" s="5" t="s">
        <v>219</v>
      </c>
      <c r="B11" s="3">
        <v>9518</v>
      </c>
      <c r="C11" s="3">
        <v>11335</v>
      </c>
      <c r="D11" s="3">
        <v>14039</v>
      </c>
      <c r="E11" s="3">
        <v>13466</v>
      </c>
      <c r="F11" s="3">
        <v>16169</v>
      </c>
      <c r="G11" s="3">
        <v>16994</v>
      </c>
      <c r="H11" s="3">
        <v>19769</v>
      </c>
      <c r="I11" s="11">
        <v>17297</v>
      </c>
      <c r="J11" s="3">
        <v>22716</v>
      </c>
      <c r="K11" s="1"/>
      <c r="L11" s="1"/>
      <c r="M11" s="1"/>
      <c r="N11" s="1" t="s">
        <v>220</v>
      </c>
      <c r="O11" s="1" t="s">
        <v>221</v>
      </c>
    </row>
    <row r="12" spans="1:15" x14ac:dyDescent="0.2">
      <c r="A12" s="5" t="s">
        <v>222</v>
      </c>
      <c r="B12" s="3">
        <v>1852</v>
      </c>
      <c r="C12" s="3">
        <v>2381</v>
      </c>
      <c r="D12" s="3">
        <v>4629</v>
      </c>
      <c r="E12" s="3">
        <v>5345</v>
      </c>
      <c r="F12" s="3">
        <v>3793</v>
      </c>
      <c r="G12" s="3">
        <v>5236</v>
      </c>
      <c r="H12" s="3">
        <v>7361</v>
      </c>
      <c r="I12" s="11">
        <v>11373</v>
      </c>
      <c r="J12" s="3">
        <v>14735</v>
      </c>
      <c r="K12" s="1"/>
      <c r="L12" s="1"/>
      <c r="M12" s="1"/>
      <c r="N12" s="1" t="s">
        <v>223</v>
      </c>
      <c r="O12" s="1"/>
    </row>
    <row r="13" spans="1:15" x14ac:dyDescent="0.2">
      <c r="A13" s="9" t="s">
        <v>224</v>
      </c>
      <c r="B13" s="8">
        <v>66225</v>
      </c>
      <c r="C13" s="8">
        <v>75670</v>
      </c>
      <c r="D13" s="8">
        <v>66666</v>
      </c>
      <c r="E13" s="8">
        <v>59549</v>
      </c>
      <c r="F13" s="8">
        <v>85365</v>
      </c>
      <c r="G13" s="8">
        <v>100045</v>
      </c>
      <c r="H13" s="8">
        <v>108722</v>
      </c>
      <c r="I13" s="4">
        <v>73118</v>
      </c>
      <c r="J13" s="8">
        <v>119900</v>
      </c>
      <c r="K13" s="1"/>
      <c r="L13" s="1"/>
      <c r="M13" s="1"/>
      <c r="N13" s="1" t="s">
        <v>225</v>
      </c>
      <c r="O13" s="1"/>
    </row>
    <row r="14" spans="1:15" x14ac:dyDescent="0.2">
      <c r="A14" s="1"/>
      <c r="B14" s="1"/>
      <c r="C14" s="1"/>
      <c r="D14" s="1"/>
      <c r="E14" s="1"/>
      <c r="F14" s="1"/>
      <c r="G14" s="1"/>
      <c r="H14" s="1"/>
      <c r="I14" s="14"/>
      <c r="J14" s="131">
        <f>+(J16)/(H16)</f>
        <v>1.435498866213152</v>
      </c>
      <c r="K14" s="1"/>
      <c r="L14" s="1"/>
      <c r="M14" s="1"/>
      <c r="N14" s="1"/>
      <c r="O14" s="1"/>
    </row>
    <row r="15" spans="1:15" x14ac:dyDescent="0.2">
      <c r="A15" s="5" t="s">
        <v>226</v>
      </c>
      <c r="B15" s="3"/>
      <c r="C15" s="3">
        <v>6234</v>
      </c>
      <c r="D15" s="3">
        <v>6775</v>
      </c>
      <c r="E15" s="3">
        <v>6201</v>
      </c>
      <c r="F15" s="3">
        <v>6141</v>
      </c>
      <c r="G15" s="3">
        <v>6070</v>
      </c>
      <c r="H15" s="3">
        <v>27524</v>
      </c>
      <c r="I15" s="11">
        <v>25074</v>
      </c>
      <c r="J15" s="3">
        <v>32624</v>
      </c>
      <c r="K15" s="1"/>
      <c r="L15" s="1"/>
      <c r="M15" s="1"/>
      <c r="N15" s="1" t="s">
        <v>227</v>
      </c>
      <c r="O15" s="1" t="s">
        <v>228</v>
      </c>
    </row>
    <row r="16" spans="1:15" x14ac:dyDescent="0.2">
      <c r="A16" s="5" t="s">
        <v>229</v>
      </c>
      <c r="B16" s="3">
        <v>35323</v>
      </c>
      <c r="C16" s="3">
        <v>45633</v>
      </c>
      <c r="D16" s="3">
        <v>57809</v>
      </c>
      <c r="E16" s="3">
        <v>79518</v>
      </c>
      <c r="F16" s="3">
        <v>96587</v>
      </c>
      <c r="G16" s="3">
        <v>121346</v>
      </c>
      <c r="H16" s="3">
        <v>176400</v>
      </c>
      <c r="I16" s="11">
        <v>160270</v>
      </c>
      <c r="J16" s="3">
        <v>253222</v>
      </c>
      <c r="K16" s="1"/>
      <c r="L16" s="1"/>
      <c r="M16" s="1"/>
      <c r="N16" s="1" t="s">
        <v>230</v>
      </c>
      <c r="O16" s="1"/>
    </row>
    <row r="17" spans="1:15" x14ac:dyDescent="0.2">
      <c r="A17" s="5" t="s">
        <v>231</v>
      </c>
      <c r="B17" s="3">
        <v>9460</v>
      </c>
      <c r="C17" s="3">
        <v>9348</v>
      </c>
      <c r="D17" s="3">
        <v>12155</v>
      </c>
      <c r="E17" s="3">
        <v>12673</v>
      </c>
      <c r="F17" s="3">
        <v>13294</v>
      </c>
      <c r="G17" s="3">
        <v>14922</v>
      </c>
      <c r="H17" s="3">
        <v>20404</v>
      </c>
      <c r="I17" s="11">
        <v>17372</v>
      </c>
      <c r="J17" s="3">
        <v>26576</v>
      </c>
      <c r="K17" s="1"/>
      <c r="L17" s="1"/>
      <c r="M17" s="1"/>
      <c r="N17" s="1" t="s">
        <v>232</v>
      </c>
      <c r="O17" s="1" t="s">
        <v>233</v>
      </c>
    </row>
    <row r="18" spans="1:15" x14ac:dyDescent="0.2">
      <c r="A18" s="5" t="s">
        <v>234</v>
      </c>
      <c r="B18" s="3">
        <v>894</v>
      </c>
      <c r="C18" s="3">
        <v>623</v>
      </c>
      <c r="D18" s="3">
        <v>634</v>
      </c>
      <c r="E18" s="3">
        <v>897</v>
      </c>
      <c r="F18" s="3">
        <v>788</v>
      </c>
      <c r="G18" s="3"/>
      <c r="H18" s="3"/>
      <c r="I18" s="11"/>
      <c r="J18" s="3"/>
      <c r="K18" s="1"/>
      <c r="L18" s="1"/>
      <c r="M18" s="1"/>
      <c r="N18" s="1" t="s">
        <v>235</v>
      </c>
      <c r="O18" s="1"/>
    </row>
    <row r="19" spans="1:15" x14ac:dyDescent="0.2">
      <c r="A19" s="5" t="s">
        <v>236</v>
      </c>
      <c r="B19" s="3">
        <v>18715</v>
      </c>
      <c r="C19" s="3">
        <v>19050</v>
      </c>
      <c r="D19" s="3">
        <v>19197</v>
      </c>
      <c r="E19" s="3">
        <v>20306</v>
      </c>
      <c r="F19" s="3">
        <v>20654</v>
      </c>
      <c r="G19" s="3">
        <v>20654</v>
      </c>
      <c r="H19" s="3">
        <v>24534</v>
      </c>
      <c r="I19" s="11">
        <v>21158</v>
      </c>
      <c r="J19" s="3">
        <v>23421</v>
      </c>
      <c r="K19" s="1"/>
      <c r="L19" s="1"/>
      <c r="M19" s="1"/>
      <c r="N19" s="1" t="s">
        <v>236</v>
      </c>
      <c r="O19" s="1"/>
    </row>
    <row r="20" spans="1:15" x14ac:dyDescent="0.2">
      <c r="A20" s="5" t="s">
        <v>237</v>
      </c>
      <c r="B20" s="3">
        <v>2759</v>
      </c>
      <c r="C20" s="3">
        <v>2758</v>
      </c>
      <c r="D20" s="3">
        <v>2751</v>
      </c>
      <c r="E20" s="3">
        <v>6583</v>
      </c>
      <c r="F20" s="3">
        <v>6794</v>
      </c>
      <c r="G20" s="3">
        <v>13017</v>
      </c>
      <c r="H20" s="3">
        <v>8437</v>
      </c>
      <c r="I20" s="11">
        <v>6852</v>
      </c>
      <c r="J20" s="3">
        <v>23093</v>
      </c>
      <c r="K20" s="1"/>
      <c r="L20" s="1"/>
      <c r="M20" s="1"/>
      <c r="N20" s="1" t="s">
        <v>238</v>
      </c>
      <c r="O20" s="1"/>
    </row>
    <row r="21" spans="1:15" x14ac:dyDescent="0.2">
      <c r="A21" s="7" t="s">
        <v>239</v>
      </c>
      <c r="B21" s="12">
        <v>133376</v>
      </c>
      <c r="C21" s="12">
        <v>159316</v>
      </c>
      <c r="D21" s="12">
        <v>165987</v>
      </c>
      <c r="E21" s="12">
        <v>185727</v>
      </c>
      <c r="F21" s="12">
        <v>229623</v>
      </c>
      <c r="G21" s="12">
        <v>276054</v>
      </c>
      <c r="H21" s="12">
        <v>366021</v>
      </c>
      <c r="I21" s="19">
        <v>303844</v>
      </c>
      <c r="J21" s="12">
        <v>478836</v>
      </c>
      <c r="K21" s="1"/>
      <c r="L21" s="1"/>
      <c r="M21" s="1"/>
      <c r="N21" s="1" t="s">
        <v>213</v>
      </c>
      <c r="O21" s="1"/>
    </row>
    <row r="22" spans="1:15" x14ac:dyDescent="0.2">
      <c r="A22" s="1"/>
      <c r="B22" s="1"/>
      <c r="C22" s="1"/>
      <c r="D22" s="1"/>
      <c r="E22" s="1"/>
      <c r="F22" s="1"/>
      <c r="G22" s="1"/>
      <c r="H22" s="1">
        <f>+H21/B21-1</f>
        <v>1.7442793306142033</v>
      </c>
      <c r="I22" s="14"/>
      <c r="J22" s="1"/>
      <c r="K22" s="1"/>
      <c r="L22" s="1"/>
      <c r="M22" s="1"/>
      <c r="N22" s="1"/>
      <c r="O22" s="1"/>
    </row>
    <row r="23" spans="1:15" x14ac:dyDescent="0.2">
      <c r="A23" s="7" t="s">
        <v>240</v>
      </c>
      <c r="B23" s="1"/>
      <c r="C23" s="1"/>
      <c r="D23" s="1"/>
      <c r="E23" s="1"/>
      <c r="F23" s="1"/>
      <c r="G23" s="1"/>
      <c r="H23" s="1"/>
      <c r="I23" s="14"/>
      <c r="J23" s="1"/>
      <c r="K23" s="1"/>
      <c r="L23" s="1"/>
      <c r="M23" s="1"/>
      <c r="N23" s="1"/>
      <c r="O23" s="1"/>
    </row>
    <row r="24" spans="1:15" x14ac:dyDescent="0.2">
      <c r="A24" s="1"/>
      <c r="B24" s="1"/>
      <c r="C24" s="1"/>
      <c r="D24" s="1"/>
      <c r="E24" s="1"/>
      <c r="F24" s="1"/>
      <c r="G24" s="1"/>
      <c r="H24" s="1"/>
      <c r="I24" s="14"/>
      <c r="J24" s="1"/>
      <c r="K24" s="1"/>
      <c r="L24" s="1"/>
      <c r="M24" s="1"/>
      <c r="N24" s="1"/>
      <c r="O24" s="1"/>
    </row>
    <row r="25" spans="1:15" x14ac:dyDescent="0.2">
      <c r="A25" s="9" t="s">
        <v>241</v>
      </c>
      <c r="B25" s="1"/>
      <c r="C25" s="1"/>
      <c r="D25" s="1"/>
      <c r="E25" s="1"/>
      <c r="F25" s="1"/>
      <c r="G25" s="1"/>
      <c r="H25" s="1"/>
      <c r="I25" s="14"/>
      <c r="J25" s="1"/>
      <c r="K25" s="1"/>
      <c r="L25" s="1"/>
      <c r="M25" s="1"/>
      <c r="N25" s="1"/>
      <c r="O25" s="1"/>
    </row>
    <row r="26" spans="1:15" x14ac:dyDescent="0.2">
      <c r="A26" s="5" t="s">
        <v>242</v>
      </c>
      <c r="B26" s="3">
        <v>1363</v>
      </c>
      <c r="C26" s="3">
        <v>1331</v>
      </c>
      <c r="D26" s="3">
        <v>4083</v>
      </c>
      <c r="E26" s="3">
        <v>4990</v>
      </c>
      <c r="F26" s="3">
        <v>4849</v>
      </c>
      <c r="G26" s="3">
        <v>7687</v>
      </c>
      <c r="H26" s="3">
        <v>8894</v>
      </c>
      <c r="I26" s="11">
        <v>7798</v>
      </c>
      <c r="J26" s="3">
        <v>19097</v>
      </c>
      <c r="K26" s="1"/>
      <c r="L26" s="1"/>
      <c r="M26" s="1"/>
      <c r="N26" s="1" t="s">
        <v>243</v>
      </c>
      <c r="O26" s="1"/>
    </row>
    <row r="27" spans="1:15" x14ac:dyDescent="0.2">
      <c r="A27" s="5" t="s">
        <v>244</v>
      </c>
      <c r="B27" s="3">
        <v>886</v>
      </c>
      <c r="C27" s="3">
        <v>1093</v>
      </c>
      <c r="D27" s="3">
        <v>1052</v>
      </c>
      <c r="E27" s="3">
        <v>1117</v>
      </c>
      <c r="F27" s="3">
        <v>863</v>
      </c>
      <c r="G27" s="3"/>
      <c r="H27" s="3"/>
      <c r="I27" s="11"/>
      <c r="J27" s="3"/>
      <c r="K27" s="1"/>
      <c r="L27" s="1"/>
      <c r="M27" s="1"/>
      <c r="N27" s="1" t="s">
        <v>245</v>
      </c>
      <c r="O27" s="1"/>
    </row>
    <row r="28" spans="1:15" x14ac:dyDescent="0.2">
      <c r="A28" s="5" t="s">
        <v>246</v>
      </c>
      <c r="B28" s="3">
        <v>800</v>
      </c>
      <c r="C28" s="3">
        <v>1023</v>
      </c>
      <c r="D28" s="3">
        <v>1127</v>
      </c>
      <c r="E28" s="3">
        <v>1367</v>
      </c>
      <c r="F28" s="3">
        <v>1623</v>
      </c>
      <c r="G28" s="3">
        <v>1942</v>
      </c>
      <c r="H28" s="3">
        <v>2213</v>
      </c>
      <c r="I28" s="11">
        <v>2113</v>
      </c>
      <c r="J28" s="3">
        <v>2522</v>
      </c>
      <c r="K28" s="1"/>
      <c r="L28" s="1"/>
      <c r="M28" s="1"/>
      <c r="N28" s="1" t="s">
        <v>247</v>
      </c>
      <c r="O28" s="1"/>
    </row>
    <row r="29" spans="1:15" x14ac:dyDescent="0.2">
      <c r="A29" s="5" t="s">
        <v>248</v>
      </c>
      <c r="B29" s="3">
        <v>11735</v>
      </c>
      <c r="C29" s="3">
        <v>11152</v>
      </c>
      <c r="D29" s="3">
        <v>14312</v>
      </c>
      <c r="E29" s="3">
        <v>19552</v>
      </c>
      <c r="F29" s="3">
        <v>24625</v>
      </c>
      <c r="G29" s="3">
        <v>23967</v>
      </c>
      <c r="H29" s="3">
        <v>30729</v>
      </c>
      <c r="I29" s="11">
        <v>27047</v>
      </c>
      <c r="J29" s="3">
        <v>41392</v>
      </c>
      <c r="K29" s="1"/>
      <c r="L29" s="1"/>
      <c r="M29" s="1"/>
      <c r="N29" s="1" t="s">
        <v>249</v>
      </c>
      <c r="O29" s="1"/>
    </row>
    <row r="30" spans="1:15" x14ac:dyDescent="0.2">
      <c r="A30" s="5" t="s">
        <v>250</v>
      </c>
      <c r="B30" s="3">
        <v>269</v>
      </c>
      <c r="C30" s="3">
        <v>382</v>
      </c>
      <c r="D30" s="3">
        <v>561</v>
      </c>
      <c r="E30" s="3"/>
      <c r="F30" s="3"/>
      <c r="G30" s="3"/>
      <c r="H30" s="3"/>
      <c r="I30" s="11"/>
      <c r="J30" s="3"/>
      <c r="K30" s="1"/>
      <c r="L30" s="1"/>
      <c r="M30" s="1"/>
      <c r="N30" s="1" t="s">
        <v>251</v>
      </c>
      <c r="O30" s="1"/>
    </row>
    <row r="31" spans="1:15" x14ac:dyDescent="0.2">
      <c r="A31" s="9" t="s">
        <v>252</v>
      </c>
      <c r="B31" s="8">
        <v>15053</v>
      </c>
      <c r="C31" s="8">
        <v>14981</v>
      </c>
      <c r="D31" s="8">
        <v>21135</v>
      </c>
      <c r="E31" s="8">
        <v>27026</v>
      </c>
      <c r="F31" s="8">
        <v>31960</v>
      </c>
      <c r="G31" s="8">
        <v>33596</v>
      </c>
      <c r="H31" s="8">
        <v>41836</v>
      </c>
      <c r="I31" s="4">
        <v>36958</v>
      </c>
      <c r="J31" s="8">
        <v>63011</v>
      </c>
      <c r="K31" s="1"/>
      <c r="L31" s="1"/>
      <c r="M31" s="1"/>
      <c r="N31" s="1" t="s">
        <v>253</v>
      </c>
      <c r="O31" s="1"/>
    </row>
    <row r="32" spans="1:15" x14ac:dyDescent="0.2">
      <c r="A32" s="1"/>
      <c r="B32" s="1"/>
      <c r="C32" s="1"/>
      <c r="D32" s="1"/>
      <c r="E32" s="1"/>
      <c r="F32" s="1"/>
      <c r="G32" s="1"/>
      <c r="H32" s="1"/>
      <c r="I32" s="14"/>
      <c r="J32" s="1"/>
      <c r="K32" s="1"/>
      <c r="L32" s="1"/>
      <c r="M32" s="1"/>
      <c r="N32" s="1"/>
      <c r="O32" s="1"/>
    </row>
    <row r="33" spans="1:15" x14ac:dyDescent="0.2">
      <c r="A33" s="5" t="s">
        <v>254</v>
      </c>
      <c r="B33" s="3">
        <v>9524</v>
      </c>
      <c r="C33" s="3">
        <v>9631</v>
      </c>
      <c r="D33" s="3">
        <v>12746</v>
      </c>
      <c r="E33" s="3">
        <v>15301</v>
      </c>
      <c r="F33" s="3">
        <v>17226</v>
      </c>
      <c r="G33" s="3">
        <v>18292</v>
      </c>
      <c r="H33" s="3">
        <v>22940</v>
      </c>
      <c r="I33" s="11">
        <v>20113</v>
      </c>
      <c r="J33" s="3">
        <v>28651</v>
      </c>
      <c r="K33" s="1"/>
      <c r="L33" s="1"/>
      <c r="M33" s="1"/>
      <c r="N33" s="1" t="s">
        <v>255</v>
      </c>
      <c r="O33" s="1"/>
    </row>
    <row r="34" spans="1:15" x14ac:dyDescent="0.2">
      <c r="A34" s="5" t="s">
        <v>256</v>
      </c>
      <c r="B34" s="3"/>
      <c r="C34" s="3"/>
      <c r="D34" s="3"/>
      <c r="E34" s="3">
        <v>9923</v>
      </c>
      <c r="F34" s="3">
        <v>18385</v>
      </c>
      <c r="G34" s="3">
        <v>28826</v>
      </c>
      <c r="H34" s="3">
        <v>58744</v>
      </c>
      <c r="I34" s="11">
        <v>28834</v>
      </c>
      <c r="J34" s="3">
        <v>80922</v>
      </c>
      <c r="K34" s="1"/>
      <c r="L34" s="1"/>
      <c r="M34" s="1"/>
      <c r="N34" s="1" t="s">
        <v>257</v>
      </c>
      <c r="O34" s="1"/>
    </row>
    <row r="35" spans="1:15" x14ac:dyDescent="0.2">
      <c r="A35" s="5" t="s">
        <v>258</v>
      </c>
      <c r="B35" s="3"/>
      <c r="C35" s="3"/>
      <c r="D35" s="3"/>
      <c r="E35" s="3"/>
      <c r="F35" s="3"/>
      <c r="G35" s="3">
        <v>9987</v>
      </c>
      <c r="H35" s="3">
        <v>21005</v>
      </c>
      <c r="I35" s="11">
        <v>11738</v>
      </c>
      <c r="J35" s="3">
        <v>20521</v>
      </c>
      <c r="K35" s="1"/>
      <c r="L35" s="1"/>
      <c r="M35" s="1"/>
      <c r="N35" s="1" t="s">
        <v>259</v>
      </c>
      <c r="O35" s="1"/>
    </row>
    <row r="36" spans="1:15" x14ac:dyDescent="0.2">
      <c r="A36" s="5" t="s">
        <v>260</v>
      </c>
      <c r="B36" s="3">
        <v>7745</v>
      </c>
      <c r="C36" s="3">
        <v>6414</v>
      </c>
      <c r="D36" s="3">
        <v>7227</v>
      </c>
      <c r="E36" s="3">
        <v>7764</v>
      </c>
      <c r="F36" s="3">
        <v>8884</v>
      </c>
      <c r="G36" s="3">
        <v>2716</v>
      </c>
      <c r="H36" s="3">
        <v>4253</v>
      </c>
      <c r="I36" s="11">
        <v>12135</v>
      </c>
      <c r="J36" s="3">
        <v>13345</v>
      </c>
      <c r="K36" s="1"/>
      <c r="L36" s="1"/>
      <c r="M36" s="1"/>
      <c r="N36" s="1" t="s">
        <v>261</v>
      </c>
      <c r="O36" s="1"/>
    </row>
    <row r="37" spans="1:15" x14ac:dyDescent="0.2">
      <c r="A37" s="9" t="s">
        <v>262</v>
      </c>
      <c r="B37" s="8">
        <v>32322</v>
      </c>
      <c r="C37" s="8">
        <v>31026</v>
      </c>
      <c r="D37" s="8">
        <v>41108</v>
      </c>
      <c r="E37" s="8">
        <v>60014</v>
      </c>
      <c r="F37" s="8">
        <v>76455</v>
      </c>
      <c r="G37" s="8">
        <v>93417</v>
      </c>
      <c r="H37" s="8">
        <v>148778</v>
      </c>
      <c r="I37" s="4">
        <v>109778</v>
      </c>
      <c r="J37" s="8">
        <v>206450</v>
      </c>
      <c r="K37" s="1"/>
      <c r="L37" s="1"/>
      <c r="M37" s="1"/>
      <c r="N37" s="1" t="s">
        <v>263</v>
      </c>
      <c r="O37" s="1"/>
    </row>
    <row r="38" spans="1:15" x14ac:dyDescent="0.2">
      <c r="A38" s="1"/>
      <c r="B38" s="1"/>
      <c r="C38" s="1"/>
      <c r="D38" s="1"/>
      <c r="E38" s="1"/>
      <c r="F38" s="1"/>
      <c r="G38" s="1"/>
      <c r="H38" s="1"/>
      <c r="I38" s="14"/>
      <c r="J38" s="17">
        <f>+J37-H37</f>
        <v>57672</v>
      </c>
      <c r="K38" s="1"/>
      <c r="L38" s="1"/>
      <c r="M38" s="1"/>
      <c r="N38" s="1"/>
      <c r="O38" s="1"/>
    </row>
    <row r="39" spans="1:15" x14ac:dyDescent="0.2">
      <c r="A39" s="22" t="s">
        <v>264</v>
      </c>
      <c r="B39" s="3"/>
      <c r="C39" s="3"/>
      <c r="D39" s="3"/>
      <c r="E39" s="3"/>
      <c r="F39" s="3"/>
      <c r="G39" s="3"/>
      <c r="H39" s="3"/>
      <c r="I39" s="11"/>
      <c r="J39" s="3"/>
      <c r="K39" s="1"/>
      <c r="L39" s="1"/>
      <c r="M39" s="1"/>
      <c r="N39" s="1"/>
      <c r="O39" s="1"/>
    </row>
    <row r="40" spans="1:15" x14ac:dyDescent="0.2">
      <c r="A40" s="1"/>
      <c r="B40" s="1"/>
      <c r="C40" s="1"/>
      <c r="D40" s="1"/>
      <c r="E40" s="1"/>
      <c r="F40" s="1"/>
      <c r="G40" s="1"/>
      <c r="H40" s="1"/>
      <c r="I40" s="14"/>
      <c r="J40" s="1"/>
      <c r="K40" s="1"/>
      <c r="L40" s="1"/>
      <c r="M40" s="1"/>
      <c r="N40" s="1"/>
      <c r="O40" s="1"/>
    </row>
    <row r="41" spans="1:15" x14ac:dyDescent="0.2">
      <c r="A41" s="9" t="s">
        <v>265</v>
      </c>
      <c r="B41" s="1"/>
      <c r="C41" s="1"/>
      <c r="D41" s="1"/>
      <c r="E41" s="1"/>
      <c r="F41" s="1"/>
      <c r="G41" s="1"/>
      <c r="H41" s="1"/>
      <c r="I41" s="14"/>
      <c r="J41" s="1"/>
      <c r="K41" s="1"/>
      <c r="L41" s="1"/>
      <c r="M41" s="1"/>
      <c r="N41" s="1"/>
      <c r="O41" s="1"/>
    </row>
    <row r="42" spans="1:15" x14ac:dyDescent="0.2">
      <c r="A42" s="5" t="s">
        <v>266</v>
      </c>
      <c r="B42" s="3"/>
      <c r="C42" s="3"/>
      <c r="D42" s="3"/>
      <c r="E42" s="3"/>
      <c r="F42" s="3"/>
      <c r="G42" s="3"/>
      <c r="H42" s="3"/>
      <c r="I42" s="11"/>
      <c r="J42" s="3">
        <v>108244</v>
      </c>
      <c r="K42" s="1"/>
      <c r="L42" s="1"/>
      <c r="M42" s="1"/>
      <c r="N42" s="1" t="s">
        <v>267</v>
      </c>
      <c r="O42" s="1" t="s">
        <v>268</v>
      </c>
    </row>
    <row r="43" spans="1:15" x14ac:dyDescent="0.2">
      <c r="A43" s="5" t="s">
        <v>269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11">
        <v>0</v>
      </c>
      <c r="J43" s="3"/>
      <c r="K43" s="1"/>
      <c r="L43" s="1"/>
      <c r="M43" s="1"/>
      <c r="N43" s="1" t="s">
        <v>270</v>
      </c>
      <c r="O43" s="1" t="s">
        <v>271</v>
      </c>
    </row>
    <row r="44" spans="1:15" x14ac:dyDescent="0.2">
      <c r="A44" s="5" t="s">
        <v>272</v>
      </c>
      <c r="B44" s="3">
        <v>45851</v>
      </c>
      <c r="C44" s="3">
        <v>50018</v>
      </c>
      <c r="D44" s="3">
        <v>55811</v>
      </c>
      <c r="E44" s="3">
        <v>64444</v>
      </c>
      <c r="F44" s="3">
        <v>73253</v>
      </c>
      <c r="G44" s="3">
        <v>83228</v>
      </c>
      <c r="H44" s="3">
        <v>95793</v>
      </c>
      <c r="I44" s="11">
        <v>92330</v>
      </c>
      <c r="J44" s="3"/>
      <c r="K44" s="1"/>
      <c r="L44" s="1"/>
      <c r="M44" s="1"/>
      <c r="N44" s="1" t="s">
        <v>273</v>
      </c>
      <c r="O44" s="1"/>
    </row>
    <row r="45" spans="1:15" x14ac:dyDescent="0.2">
      <c r="A45" s="5" t="s">
        <v>274</v>
      </c>
      <c r="B45" s="3">
        <v>-489</v>
      </c>
      <c r="C45" s="3">
        <v>927</v>
      </c>
      <c r="D45" s="3">
        <v>-693</v>
      </c>
      <c r="E45" s="3">
        <v>-3530</v>
      </c>
      <c r="F45" s="3">
        <v>-2155</v>
      </c>
      <c r="G45" s="3">
        <v>-3097</v>
      </c>
      <c r="H45" s="3">
        <v>271</v>
      </c>
      <c r="I45" s="11">
        <v>159</v>
      </c>
      <c r="J45" s="3">
        <v>-1200</v>
      </c>
      <c r="K45" s="1"/>
      <c r="L45" s="1"/>
      <c r="M45" s="1"/>
      <c r="N45" s="1" t="s">
        <v>275</v>
      </c>
      <c r="O45" s="1" t="s">
        <v>276</v>
      </c>
    </row>
    <row r="46" spans="1:15" x14ac:dyDescent="0.2">
      <c r="A46" s="5" t="s">
        <v>277</v>
      </c>
      <c r="B46" s="3">
        <v>55692</v>
      </c>
      <c r="C46" s="3">
        <v>77345</v>
      </c>
      <c r="D46" s="3">
        <v>69761</v>
      </c>
      <c r="E46" s="3">
        <v>64799</v>
      </c>
      <c r="F46" s="3">
        <v>82070</v>
      </c>
      <c r="G46" s="3">
        <v>102506</v>
      </c>
      <c r="H46" s="3">
        <v>121179</v>
      </c>
      <c r="I46" s="11">
        <v>101577</v>
      </c>
      <c r="J46" s="3">
        <v>165342</v>
      </c>
      <c r="K46" s="1"/>
      <c r="L46" s="1"/>
      <c r="M46" s="1"/>
      <c r="N46" s="1" t="s">
        <v>278</v>
      </c>
      <c r="O46" s="1"/>
    </row>
    <row r="47" spans="1:15" x14ac:dyDescent="0.2">
      <c r="A47" s="9" t="s">
        <v>279</v>
      </c>
      <c r="B47" s="8">
        <v>101054</v>
      </c>
      <c r="C47" s="8">
        <v>128290</v>
      </c>
      <c r="D47" s="8">
        <v>124879</v>
      </c>
      <c r="E47" s="8">
        <v>125713</v>
      </c>
      <c r="F47" s="8">
        <v>153168</v>
      </c>
      <c r="G47" s="8">
        <v>182637</v>
      </c>
      <c r="H47" s="8">
        <v>217243</v>
      </c>
      <c r="I47" s="4">
        <v>194066</v>
      </c>
      <c r="J47" s="8">
        <v>272386</v>
      </c>
      <c r="K47" s="1"/>
      <c r="L47" s="1"/>
      <c r="M47" s="1"/>
      <c r="N47" s="1" t="s">
        <v>280</v>
      </c>
      <c r="O47" s="1"/>
    </row>
    <row r="48" spans="1:15" x14ac:dyDescent="0.2">
      <c r="A48" s="1"/>
      <c r="B48" s="1"/>
      <c r="C48" s="1"/>
      <c r="D48" s="1"/>
      <c r="E48" s="1"/>
      <c r="F48" s="1"/>
      <c r="G48" s="1"/>
      <c r="H48" s="1"/>
      <c r="I48" s="14"/>
      <c r="J48" s="17">
        <f>+J47-H47</f>
        <v>55143</v>
      </c>
      <c r="K48" s="1"/>
      <c r="L48" s="1"/>
      <c r="M48" s="1"/>
      <c r="N48" s="1"/>
      <c r="O48" s="1"/>
    </row>
    <row r="49" spans="1:15" x14ac:dyDescent="0.2">
      <c r="A49" s="7" t="s">
        <v>281</v>
      </c>
      <c r="B49" s="12">
        <v>133376</v>
      </c>
      <c r="C49" s="12">
        <v>159316</v>
      </c>
      <c r="D49" s="12">
        <v>165987</v>
      </c>
      <c r="E49" s="12">
        <v>185727</v>
      </c>
      <c r="F49" s="12">
        <v>229623</v>
      </c>
      <c r="G49" s="12">
        <v>276054</v>
      </c>
      <c r="H49" s="12">
        <v>366021</v>
      </c>
      <c r="I49" s="19">
        <v>303844</v>
      </c>
      <c r="J49" s="12">
        <v>478836</v>
      </c>
      <c r="K49" s="1"/>
      <c r="L49" s="1"/>
      <c r="M49" s="1"/>
      <c r="N49" s="1" t="s">
        <v>282</v>
      </c>
      <c r="O49" s="1"/>
    </row>
    <row r="50" spans="1:15" x14ac:dyDescent="0.2">
      <c r="A50" s="1"/>
      <c r="B50" s="1"/>
      <c r="C50" s="1"/>
      <c r="D50" s="1"/>
      <c r="E50" s="1"/>
      <c r="F50" s="1"/>
      <c r="G50" s="1"/>
      <c r="H50" s="1"/>
      <c r="I50" s="14"/>
      <c r="J50" s="1"/>
      <c r="K50" s="1"/>
      <c r="L50" s="1"/>
      <c r="M50" s="1"/>
      <c r="N50" s="1"/>
      <c r="O50" s="1"/>
    </row>
    <row r="51" spans="1:15" x14ac:dyDescent="0.2">
      <c r="A51" s="9" t="s">
        <v>283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">
      <c r="A52" s="5" t="s">
        <v>284</v>
      </c>
      <c r="B52" s="3">
        <v>206</v>
      </c>
      <c r="C52" s="3">
        <v>114</v>
      </c>
      <c r="D52" s="3"/>
      <c r="E52" s="3"/>
      <c r="F52" s="3"/>
      <c r="G52" s="3"/>
      <c r="H52" s="3"/>
      <c r="I52" s="3"/>
      <c r="J52" s="3"/>
      <c r="K52" s="1"/>
      <c r="L52" s="1"/>
      <c r="M52" s="1"/>
      <c r="N52" s="1"/>
      <c r="O52" s="1"/>
    </row>
    <row r="53" spans="1:15" x14ac:dyDescent="0.2">
      <c r="A53" s="5" t="s">
        <v>285</v>
      </c>
      <c r="B53" s="16">
        <v>6.0000000000000002E-6</v>
      </c>
      <c r="C53" s="16">
        <v>6.0000000000000002E-6</v>
      </c>
      <c r="D53" s="16">
        <v>6.0000000000000002E-6</v>
      </c>
      <c r="E53" s="16">
        <v>6.0000000000000002E-6</v>
      </c>
      <c r="F53" s="16">
        <v>6.0000000000000002E-6</v>
      </c>
      <c r="G53" s="16">
        <v>6.0000000000000002E-6</v>
      </c>
      <c r="H53" s="16">
        <v>6.0000000000000002E-6</v>
      </c>
      <c r="I53" s="16">
        <v>6.0000000000000002E-6</v>
      </c>
      <c r="J53" s="16">
        <v>6.0000000000000002E-6</v>
      </c>
      <c r="K53" s="1"/>
      <c r="L53" s="1"/>
      <c r="M53" s="1"/>
      <c r="N53" s="1"/>
      <c r="O53" s="1"/>
    </row>
    <row r="54" spans="1:15" x14ac:dyDescent="0.2">
      <c r="A54" s="5" t="s">
        <v>286</v>
      </c>
      <c r="B54" s="3">
        <v>5000</v>
      </c>
      <c r="C54" s="3">
        <v>5000</v>
      </c>
      <c r="D54" s="3">
        <v>5000</v>
      </c>
      <c r="E54" s="3">
        <v>5000</v>
      </c>
      <c r="F54" s="3">
        <v>5000</v>
      </c>
      <c r="G54" s="3">
        <v>5000</v>
      </c>
      <c r="H54" s="3">
        <v>5000</v>
      </c>
      <c r="I54" s="3">
        <v>5000</v>
      </c>
      <c r="J54" s="3">
        <v>5000</v>
      </c>
      <c r="K54" s="1"/>
      <c r="L54" s="1"/>
      <c r="M54" s="1"/>
      <c r="N54" s="1"/>
      <c r="O54" s="1"/>
    </row>
    <row r="55" spans="1:15" x14ac:dyDescent="0.2">
      <c r="A55" s="5" t="s">
        <v>287</v>
      </c>
      <c r="B55" s="3">
        <v>2407</v>
      </c>
      <c r="C55" s="3">
        <v>2406</v>
      </c>
      <c r="D55" s="3">
        <v>2328</v>
      </c>
      <c r="E55" s="3">
        <v>2247</v>
      </c>
      <c r="F55" s="3">
        <v>2211</v>
      </c>
      <c r="G55" s="3">
        <v>2190</v>
      </c>
      <c r="H55" s="3">
        <v>2187</v>
      </c>
      <c r="I55" s="3">
        <v>2178</v>
      </c>
      <c r="J55" s="3">
        <v>2214</v>
      </c>
      <c r="K55" s="1"/>
      <c r="L55" s="1"/>
      <c r="M55" s="1"/>
      <c r="N55" s="1"/>
      <c r="O55" s="1"/>
    </row>
    <row r="56" spans="1:15" x14ac:dyDescent="0.2">
      <c r="A56" s="5" t="s">
        <v>288</v>
      </c>
      <c r="B56" s="3">
        <v>2407</v>
      </c>
      <c r="C56" s="3">
        <v>2406</v>
      </c>
      <c r="D56" s="3">
        <v>2328</v>
      </c>
      <c r="E56" s="3">
        <v>2247</v>
      </c>
      <c r="F56" s="3">
        <v>2211</v>
      </c>
      <c r="G56" s="3">
        <v>2190</v>
      </c>
      <c r="H56" s="3">
        <v>2187</v>
      </c>
      <c r="I56" s="3">
        <v>2178</v>
      </c>
      <c r="J56" s="3">
        <v>2214</v>
      </c>
      <c r="K56" s="1"/>
      <c r="L56" s="1"/>
      <c r="M56" s="1"/>
      <c r="N56" s="1"/>
      <c r="O56" s="1"/>
    </row>
    <row r="57" spans="1:15" x14ac:dyDescent="0.2">
      <c r="A57" s="5" t="s">
        <v>289</v>
      </c>
      <c r="B57" s="3">
        <v>4141</v>
      </c>
      <c r="C57" s="3">
        <v>4141</v>
      </c>
      <c r="D57" s="3">
        <v>4141</v>
      </c>
      <c r="E57" s="3">
        <v>4141</v>
      </c>
      <c r="F57" s="3">
        <v>4141</v>
      </c>
      <c r="G57" s="3">
        <v>4141</v>
      </c>
      <c r="H57" s="3">
        <v>4141</v>
      </c>
      <c r="I57" s="3">
        <v>4141</v>
      </c>
      <c r="J57" s="3">
        <v>4141</v>
      </c>
      <c r="K57" s="1"/>
      <c r="L57" s="1"/>
      <c r="M57" s="1"/>
      <c r="N57" s="1"/>
      <c r="O57" s="1"/>
    </row>
    <row r="58" spans="1:15" x14ac:dyDescent="0.2">
      <c r="A58" s="5" t="s">
        <v>290</v>
      </c>
      <c r="B58" s="3">
        <v>445</v>
      </c>
      <c r="C58" s="3">
        <v>443</v>
      </c>
      <c r="D58" s="3">
        <v>413</v>
      </c>
      <c r="E58" s="3">
        <v>367</v>
      </c>
      <c r="F58" s="3">
        <v>350</v>
      </c>
      <c r="G58" s="3">
        <v>344</v>
      </c>
      <c r="H58" s="3">
        <v>343</v>
      </c>
      <c r="I58" s="3">
        <v>343</v>
      </c>
      <c r="J58" s="3">
        <v>342</v>
      </c>
      <c r="K58" s="1"/>
      <c r="L58" s="1"/>
      <c r="M58" s="1"/>
      <c r="N58" s="1"/>
      <c r="O58" s="1"/>
    </row>
    <row r="59" spans="1:15" x14ac:dyDescent="0.2">
      <c r="A59" s="5" t="s">
        <v>291</v>
      </c>
      <c r="B59" s="3">
        <v>445</v>
      </c>
      <c r="C59" s="3">
        <v>443</v>
      </c>
      <c r="D59" s="3">
        <v>413</v>
      </c>
      <c r="E59" s="3">
        <v>367</v>
      </c>
      <c r="F59" s="3">
        <v>350</v>
      </c>
      <c r="G59" s="3">
        <v>344</v>
      </c>
      <c r="H59" s="3">
        <v>343</v>
      </c>
      <c r="I59" s="3">
        <v>343</v>
      </c>
      <c r="J59" s="3">
        <v>342</v>
      </c>
      <c r="K59" s="1"/>
      <c r="L59" s="1"/>
      <c r="M59" s="1"/>
      <c r="N59" s="1"/>
      <c r="O59" s="1"/>
    </row>
    <row r="60" spans="1: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">
      <c r="A61" s="9" t="s">
        <v>189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">
      <c r="A62" s="5" t="s">
        <v>292</v>
      </c>
      <c r="B62" s="2">
        <f t="shared" si="0" ref="B62:J62">B9+B10+B11+B12-B13</f>
        <v>0</v>
      </c>
      <c r="C62" s="2">
        <f t="shared" si="0"/>
        <v>0</v>
      </c>
      <c r="D62" s="2">
        <f t="shared" si="0"/>
        <v>0</v>
      </c>
      <c r="E62" s="2">
        <f t="shared" si="0"/>
        <v>0</v>
      </c>
      <c r="F62" s="2">
        <f t="shared" si="0"/>
        <v>0</v>
      </c>
      <c r="G62" s="2">
        <f t="shared" si="0"/>
        <v>0</v>
      </c>
      <c r="H62" s="2">
        <f t="shared" si="0"/>
        <v>0</v>
      </c>
      <c r="I62" s="2">
        <f t="shared" si="0"/>
        <v>0</v>
      </c>
      <c r="J62" s="2">
        <f t="shared" si="0"/>
        <v>0</v>
      </c>
      <c r="K62" s="1"/>
      <c r="L62" s="1"/>
      <c r="M62" s="1"/>
      <c r="N62" s="1"/>
      <c r="O62" s="1"/>
    </row>
    <row r="63" spans="1:15" x14ac:dyDescent="0.2">
      <c r="A63" s="5" t="s">
        <v>293</v>
      </c>
      <c r="B63" s="2">
        <f>B13+B16+B17+B18+B19+B20-B21</f>
        <v>0</v>
      </c>
      <c r="C63" s="2">
        <f>C13+C15+C16+C17+C18+C19+C20-C21</f>
        <v>0</v>
      </c>
      <c r="D63" s="2">
        <f>D13+D15+D16+D17+D18+D19+D20-D21</f>
        <v>0</v>
      </c>
      <c r="E63" s="2">
        <f>E13+E15+E16+E17+E18+E19+E20-E21</f>
        <v>0</v>
      </c>
      <c r="F63" s="2">
        <f>F13+F15+F16+F17+F18+F19+F20-F21</f>
        <v>0</v>
      </c>
      <c r="G63" s="2">
        <f>G13+G15+G16+G17+G19+G20-G21</f>
        <v>0</v>
      </c>
      <c r="H63" s="2">
        <f>H13+H15+H16+H17+H19+H20-H21</f>
        <v>0</v>
      </c>
      <c r="I63" s="2">
        <f>I13+I15+I16+I17+I19+I20-I21</f>
        <v>0</v>
      </c>
      <c r="J63" s="2">
        <f>J13+J15+J16+J17+J19+J20-J21</f>
        <v>0</v>
      </c>
      <c r="K63" s="1"/>
      <c r="L63" s="1"/>
      <c r="M63" s="1"/>
      <c r="N63" s="1"/>
      <c r="O63" s="1"/>
    </row>
    <row r="64" spans="1:15" x14ac:dyDescent="0.2">
      <c r="A64" s="5" t="s">
        <v>294</v>
      </c>
      <c r="B64" s="2">
        <f>B26+B27+B28+B29+B30-B31</f>
        <v>0</v>
      </c>
      <c r="C64" s="2">
        <f>C26+C27+C28+C29+C30-C31</f>
        <v>0</v>
      </c>
      <c r="D64" s="2">
        <f>D26+D27+D28+D29+D30-D31</f>
        <v>0</v>
      </c>
      <c r="E64" s="2">
        <f>E26+E27+E28+E29-E31</f>
        <v>0</v>
      </c>
      <c r="F64" s="2">
        <f>F26+F27+F28+F29-F31</f>
        <v>0</v>
      </c>
      <c r="G64" s="2">
        <f>G26+G28+G29-G31</f>
        <v>0</v>
      </c>
      <c r="H64" s="2">
        <f>H26+H28+H29-H31</f>
        <v>0</v>
      </c>
      <c r="I64" s="2">
        <f>I26+I28+I29-I31</f>
        <v>0</v>
      </c>
      <c r="J64" s="2">
        <f>J26+J28+J29-J31</f>
        <v>0</v>
      </c>
      <c r="K64" s="1"/>
      <c r="L64" s="1"/>
      <c r="M64" s="1"/>
      <c r="N64" s="1"/>
      <c r="O64" s="1"/>
    </row>
    <row r="65" spans="1:15" x14ac:dyDescent="0.2">
      <c r="A65" s="5" t="s">
        <v>295</v>
      </c>
      <c r="B65" s="2">
        <f>B31+B33+B36-B37</f>
        <v>0</v>
      </c>
      <c r="C65" s="2">
        <f>C31+C33+C36-C37</f>
        <v>0</v>
      </c>
      <c r="D65" s="2">
        <f>D31+D33+D36-D37</f>
        <v>0</v>
      </c>
      <c r="E65" s="2">
        <f>E31+E33+E34+E36-E37</f>
        <v>0</v>
      </c>
      <c r="F65" s="2">
        <f>F31+F33+F34+F36-F37</f>
        <v>0</v>
      </c>
      <c r="G65" s="2">
        <f>G31+G33+G34+G35+G36-G37</f>
        <v>0</v>
      </c>
      <c r="H65" s="2">
        <f>H31+H33+H34+H35+H36-H37</f>
        <v>0</v>
      </c>
      <c r="I65" s="2">
        <f>I31+I33+I34+I35+I36-I37</f>
        <v>0</v>
      </c>
      <c r="J65" s="2">
        <f>J31+J33+J34+J35+J36-J37</f>
        <v>0</v>
      </c>
      <c r="K65" s="1"/>
      <c r="L65" s="1"/>
      <c r="M65" s="1"/>
      <c r="N65" s="1"/>
      <c r="O65" s="1"/>
    </row>
    <row r="66" spans="1:15" x14ac:dyDescent="0.2">
      <c r="A66" s="5" t="s">
        <v>296</v>
      </c>
      <c r="B66" s="2">
        <f t="shared" si="1" ref="B66:I66">B43+B44+B45+B46-B47</f>
        <v>0</v>
      </c>
      <c r="C66" s="2">
        <f t="shared" si="1"/>
        <v>0</v>
      </c>
      <c r="D66" s="2">
        <f t="shared" si="1"/>
        <v>0</v>
      </c>
      <c r="E66" s="2">
        <f t="shared" si="1"/>
        <v>0</v>
      </c>
      <c r="F66" s="2">
        <f t="shared" si="1"/>
        <v>0</v>
      </c>
      <c r="G66" s="2">
        <f t="shared" si="1"/>
        <v>0</v>
      </c>
      <c r="H66" s="2">
        <f t="shared" si="1"/>
        <v>0</v>
      </c>
      <c r="I66" s="2">
        <f t="shared" si="1"/>
        <v>0</v>
      </c>
      <c r="J66" s="2">
        <f>J42+J45+J46-J47</f>
        <v>0</v>
      </c>
      <c r="K66" s="1"/>
      <c r="L66" s="1"/>
      <c r="M66" s="1"/>
      <c r="N66" s="1"/>
      <c r="O66" s="1"/>
    </row>
    <row r="67" spans="1:15" x14ac:dyDescent="0.2">
      <c r="A67" s="5" t="s">
        <v>297</v>
      </c>
      <c r="B67" s="2">
        <f t="shared" si="2" ref="B67:J67">B37+B47-B49</f>
        <v>0</v>
      </c>
      <c r="C67" s="2">
        <f t="shared" si="2"/>
        <v>0</v>
      </c>
      <c r="D67" s="2">
        <f t="shared" si="2"/>
        <v>0</v>
      </c>
      <c r="E67" s="2">
        <f t="shared" si="2"/>
        <v>0</v>
      </c>
      <c r="F67" s="2">
        <f t="shared" si="2"/>
        <v>0</v>
      </c>
      <c r="G67" s="2">
        <f t="shared" si="2"/>
        <v>0</v>
      </c>
      <c r="H67" s="2">
        <f t="shared" si="2"/>
        <v>0</v>
      </c>
      <c r="I67" s="2">
        <f t="shared" si="2"/>
        <v>0</v>
      </c>
      <c r="J67" s="2">
        <f t="shared" si="2"/>
        <v>0</v>
      </c>
      <c r="K67" s="1"/>
      <c r="L67" s="1"/>
      <c r="M67" s="1"/>
      <c r="N67" s="1"/>
      <c r="O67" s="1"/>
    </row>
    <row r="68" spans="1:15" x14ac:dyDescent="0.2">
      <c r="A68" s="5" t="s">
        <v>298</v>
      </c>
      <c r="B68" s="2">
        <f t="shared" si="3" ref="B68:J68">B21-B49</f>
        <v>0</v>
      </c>
      <c r="C68" s="2">
        <f t="shared" si="3"/>
        <v>0</v>
      </c>
      <c r="D68" s="2">
        <f t="shared" si="3"/>
        <v>0</v>
      </c>
      <c r="E68" s="2">
        <f t="shared" si="3"/>
        <v>0</v>
      </c>
      <c r="F68" s="2">
        <f t="shared" si="3"/>
        <v>0</v>
      </c>
      <c r="G68" s="2">
        <f t="shared" si="3"/>
        <v>0</v>
      </c>
      <c r="H68" s="2">
        <f t="shared" si="3"/>
        <v>0</v>
      </c>
      <c r="I68" s="2">
        <f t="shared" si="3"/>
        <v>0</v>
      </c>
      <c r="J68" s="2">
        <f t="shared" si="3"/>
        <v>0</v>
      </c>
      <c r="K68" s="1"/>
      <c r="L68" s="1"/>
      <c r="M68" s="1"/>
      <c r="N68" s="1"/>
      <c r="O68" s="1"/>
    </row>
    <row r="69" spans="1:15" x14ac:dyDescent="0.2">
      <c r="A69" s="5" t="s">
        <v>299</v>
      </c>
      <c r="B69" s="2">
        <f>B9-CF_Hist!B62</f>
        <v>0</v>
      </c>
      <c r="C69" s="2">
        <f>C9-CF_Hist!C62</f>
        <v>0</v>
      </c>
      <c r="D69" s="2">
        <f>D9-CF_Hist!D62</f>
        <v>0</v>
      </c>
      <c r="E69" s="2">
        <f>E9-CF_Hist!E62</f>
        <v>0</v>
      </c>
      <c r="F69" s="2">
        <f>F9-CF_Hist!F62</f>
        <v>0</v>
      </c>
      <c r="G69" s="2">
        <f>G9-CF_Hist!G62</f>
        <v>0</v>
      </c>
      <c r="H69" s="2">
        <f>H9-CF_Hist!H62</f>
        <v>0</v>
      </c>
      <c r="I69" s="2">
        <f>I9-CF_Hist!I62</f>
        <v>0</v>
      </c>
      <c r="J69" s="2">
        <f>J9-CF_Hist!J62</f>
        <v>0</v>
      </c>
      <c r="K69" s="1"/>
      <c r="L69" s="1"/>
      <c r="M69" s="1"/>
      <c r="N69" s="1"/>
      <c r="O69" s="1"/>
    </row>
    <row r="70" spans="1:15" x14ac:dyDescent="0.2">
      <c r="A70" s="5" t="s">
        <v>300</v>
      </c>
      <c r="B70" s="2">
        <f>B47-SCE_Hist!B18</f>
        <v>0</v>
      </c>
      <c r="C70" s="2">
        <f>C47-SCE_Hist!C18</f>
        <v>0</v>
      </c>
      <c r="D70" s="2">
        <f>D47-SCE_Hist!D18</f>
        <v>0</v>
      </c>
      <c r="E70" s="2">
        <f>E47-SCE_Hist!E18</f>
        <v>0</v>
      </c>
      <c r="F70" s="2">
        <f>F47-SCE_Hist!F18</f>
        <v>0</v>
      </c>
      <c r="G70" s="2">
        <f>G47-SCE_Hist!G18</f>
        <v>0</v>
      </c>
      <c r="H70" s="2">
        <f>H47-SCE_Hist!H18</f>
        <v>0</v>
      </c>
      <c r="I70" s="2">
        <f>I47-SCE_Hist!I18</f>
        <v>0</v>
      </c>
      <c r="J70" s="2">
        <f>J47-SCE_Hist!J18</f>
        <v>0</v>
      </c>
      <c r="K70" s="1"/>
      <c r="L70" s="1"/>
      <c r="M70" s="1"/>
      <c r="N70" s="1"/>
      <c r="O70" s="1"/>
    </row>
    <row r="71" spans="1:15" x14ac:dyDescent="0.2">
      <c r="A71" s="5" t="s">
        <v>301</v>
      </c>
      <c r="B71" s="2">
        <f>B46-SCE_Hist!B54</f>
        <v>0</v>
      </c>
      <c r="C71" s="2">
        <f>C46-SCE_Hist!C54</f>
        <v>0</v>
      </c>
      <c r="D71" s="2">
        <f>D46-SCE_Hist!D54</f>
        <v>0</v>
      </c>
      <c r="E71" s="2">
        <f>E46-SCE_Hist!E54</f>
        <v>0</v>
      </c>
      <c r="F71" s="2">
        <f>F46-SCE_Hist!F54</f>
        <v>0</v>
      </c>
      <c r="G71" s="2">
        <f>G46-SCE_Hist!G54</f>
        <v>0</v>
      </c>
      <c r="H71" s="2">
        <f>H46-SCE_Hist!H54</f>
        <v>0</v>
      </c>
      <c r="I71" s="2">
        <f>I46-SCE_Hist!I54</f>
        <v>0</v>
      </c>
      <c r="J71" s="2">
        <f>J46-SCE_Hist!J54</f>
        <v>0</v>
      </c>
      <c r="K71" s="1"/>
      <c r="L71" s="1"/>
      <c r="M71" s="1"/>
      <c r="N71" s="1"/>
      <c r="O71" s="1"/>
    </row>
    <row r="72" spans="1:15" x14ac:dyDescent="0.2">
      <c r="A72" s="5" t="s">
        <v>302</v>
      </c>
      <c r="B72" s="2">
        <f>B45-SCE_Hist!B45</f>
        <v>0</v>
      </c>
      <c r="C72" s="2">
        <f>C45-SCE_Hist!C45</f>
        <v>0</v>
      </c>
      <c r="D72" s="2">
        <f>D45-SCE_Hist!D45</f>
        <v>0</v>
      </c>
      <c r="E72" s="2">
        <f>E45-SCE_Hist!E45</f>
        <v>0</v>
      </c>
      <c r="F72" s="2">
        <f>F45-SCE_Hist!F45</f>
        <v>0</v>
      </c>
      <c r="G72" s="2">
        <f>G45-SCE_Hist!G45</f>
        <v>0</v>
      </c>
      <c r="H72" s="2">
        <f>H45-SCE_Hist!H45</f>
        <v>0</v>
      </c>
      <c r="I72" s="2">
        <f>I45-SCE_Hist!I45</f>
        <v>0</v>
      </c>
      <c r="J72" s="2">
        <f>J45-SCE_Hist!J45</f>
        <v>0</v>
      </c>
      <c r="K72" s="1"/>
      <c r="L72" s="1"/>
      <c r="M72" s="1"/>
      <c r="N72" s="1"/>
      <c r="O72" s="1"/>
    </row>
    <row r="73" spans="1:15" x14ac:dyDescent="0.2">
      <c r="A73" s="5" t="s">
        <v>303</v>
      </c>
      <c r="B73" s="2">
        <f>B43+B44-SCE_Hist!B31-SCE_Hist!B40</f>
        <v>0</v>
      </c>
      <c r="C73" s="2">
        <f>C43+C44-SCE_Hist!C31-SCE_Hist!C40</f>
        <v>0</v>
      </c>
      <c r="D73" s="2">
        <f>D43+D44-SCE_Hist!D31-SCE_Hist!D40</f>
        <v>0</v>
      </c>
      <c r="E73" s="2">
        <f>E43+E44-SCE_Hist!E31-SCE_Hist!E40</f>
        <v>0</v>
      </c>
      <c r="F73" s="2">
        <f>F43+F44-SCE_Hist!F31-SCE_Hist!F40</f>
        <v>0</v>
      </c>
      <c r="G73" s="2">
        <f>G43+G44-SCE_Hist!G31-SCE_Hist!G40</f>
        <v>0</v>
      </c>
      <c r="H73" s="2">
        <f>H43+H44-SCE_Hist!H31-SCE_Hist!H40</f>
        <v>0</v>
      </c>
      <c r="I73" s="2">
        <f>I43+I44-SCE_Hist!I31-SCE_Hist!I40</f>
        <v>0</v>
      </c>
      <c r="J73" s="2">
        <f>J42-0-SCE_Hist!J40</f>
        <v>0</v>
      </c>
      <c r="K73" s="1"/>
      <c r="L73" s="1"/>
      <c r="M73" s="1"/>
      <c r="N73" s="1"/>
      <c r="O73" s="1"/>
    </row>
    <row r="74" spans="1:15" x14ac:dyDescent="0.2">
      <c r="A74" s="5" t="s">
        <v>304</v>
      </c>
      <c r="B74" s="2">
        <f>B56+B59-SCE_Hist!B27</f>
        <v>0</v>
      </c>
      <c r="C74" s="2">
        <f>C56+C59-SCE_Hist!C27</f>
        <v>0</v>
      </c>
      <c r="D74" s="2">
        <f>D56+D59-SCE_Hist!D27</f>
        <v>0</v>
      </c>
      <c r="E74" s="2">
        <f>E56+E59-SCE_Hist!E27</f>
        <v>0</v>
      </c>
      <c r="F74" s="2">
        <f>F56+F59-SCE_Hist!F27</f>
        <v>0</v>
      </c>
      <c r="G74" s="2">
        <f>G56+G59-SCE_Hist!G27</f>
        <v>0</v>
      </c>
      <c r="H74" s="2">
        <f>H56+H59-SCE_Hist!H27</f>
        <v>0</v>
      </c>
      <c r="I74" s="2">
        <f>I56+I59-SCE_Hist!I27</f>
        <v>0</v>
      </c>
      <c r="J74" s="2">
        <f>J56+J59-SCE_Hist!J27</f>
        <v>0</v>
      </c>
      <c r="K74" s="1"/>
      <c r="L74" s="1"/>
      <c r="M74" s="1"/>
      <c r="N74" s="1"/>
      <c r="O7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5D75-8B12-3044-A11E-C4C18DC717FD}">
  <sheetPr>
    <tabColor rgb="FF6A7689"/>
  </sheetPr>
  <dimension ref="A1:O86"/>
  <sheetViews>
    <sheetView showGridLines="0" topLeftCell="A59" workbookViewId="0">
      <selection activeCell="K41" sqref="K41"/>
    </sheetView>
  </sheetViews>
  <sheetFormatPr baseColWidth="10" defaultColWidth="8.33203125" defaultRowHeight="15" x14ac:dyDescent="0.2"/>
  <cols>
    <col min="1" max="1" width="77.6640625" customWidth="1"/>
    <col min="2" max="10" width="10" customWidth="1"/>
    <col min="11" max="12" width="16.33203125" customWidth="1"/>
    <col min="13" max="13" width="17.6640625" customWidth="1"/>
    <col min="14" max="14" width="42.6640625" customWidth="1"/>
    <col min="15" max="15" width="69.33203125" customWidth="1"/>
  </cols>
  <sheetData>
    <row r="1" spans="1:15" x14ac:dyDescent="0.2">
      <c r="A1" s="122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138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 t="s">
        <v>139</v>
      </c>
      <c r="C3" s="1"/>
      <c r="D3" s="1"/>
      <c r="E3" s="1"/>
      <c r="F3" s="1"/>
      <c r="G3" s="1"/>
      <c r="H3" s="1"/>
      <c r="I3" s="1" t="s">
        <v>140</v>
      </c>
      <c r="J3" s="1"/>
      <c r="K3" s="1"/>
      <c r="L3" s="1"/>
      <c r="M3" s="1"/>
      <c r="N3" s="1"/>
      <c r="O3" s="1"/>
    </row>
    <row r="4" spans="1:15" x14ac:dyDescent="0.2">
      <c r="A4" s="125" t="s">
        <v>141</v>
      </c>
      <c r="B4" s="123" t="s">
        <v>42</v>
      </c>
      <c r="C4" s="123" t="s">
        <v>46</v>
      </c>
      <c r="D4" s="123" t="s">
        <v>50</v>
      </c>
      <c r="E4" s="123" t="s">
        <v>54</v>
      </c>
      <c r="F4" s="123" t="s">
        <v>58</v>
      </c>
      <c r="G4" s="123" t="s">
        <v>62</v>
      </c>
      <c r="H4" s="123" t="s">
        <v>66</v>
      </c>
      <c r="I4" s="127" t="s">
        <v>142</v>
      </c>
      <c r="J4" s="123" t="s">
        <v>143</v>
      </c>
      <c r="K4" s="1"/>
      <c r="L4" s="1"/>
      <c r="M4" s="126" t="s">
        <v>144</v>
      </c>
      <c r="N4" s="126" t="s">
        <v>145</v>
      </c>
      <c r="O4" s="126" t="s">
        <v>146</v>
      </c>
    </row>
    <row r="5" spans="1:15" x14ac:dyDescent="0.2">
      <c r="A5" s="1"/>
      <c r="B5" s="1"/>
      <c r="C5" s="1"/>
      <c r="D5" s="1"/>
      <c r="E5" s="1"/>
      <c r="F5" s="1"/>
      <c r="G5" s="1"/>
      <c r="H5" s="1"/>
      <c r="I5" s="14"/>
      <c r="J5" s="1"/>
      <c r="K5" s="1"/>
      <c r="L5" s="1"/>
      <c r="M5" s="1"/>
      <c r="N5" s="1"/>
      <c r="O5" s="1"/>
    </row>
    <row r="6" spans="1:15" x14ac:dyDescent="0.2">
      <c r="A6" s="9" t="s">
        <v>306</v>
      </c>
      <c r="B6" s="1"/>
      <c r="C6" s="1"/>
      <c r="D6" s="1"/>
      <c r="E6" s="1"/>
      <c r="F6" s="1"/>
      <c r="G6" s="1"/>
      <c r="H6" s="1"/>
      <c r="I6" s="14"/>
      <c r="J6" s="1"/>
      <c r="K6" s="1"/>
      <c r="L6" s="1"/>
      <c r="M6" s="1"/>
      <c r="N6" s="1"/>
      <c r="O6" s="1"/>
    </row>
    <row r="7" spans="1:15" x14ac:dyDescent="0.2">
      <c r="A7" s="5" t="s">
        <v>170</v>
      </c>
      <c r="B7" s="3">
        <v>18485</v>
      </c>
      <c r="C7" s="3">
        <v>29146</v>
      </c>
      <c r="D7" s="3">
        <v>39370</v>
      </c>
      <c r="E7" s="3">
        <v>23200</v>
      </c>
      <c r="F7" s="3">
        <v>39098</v>
      </c>
      <c r="G7" s="3">
        <v>62360</v>
      </c>
      <c r="H7" s="3">
        <v>60458</v>
      </c>
      <c r="I7" s="11">
        <v>37690</v>
      </c>
      <c r="J7" s="3">
        <v>52481</v>
      </c>
      <c r="K7" s="1"/>
      <c r="L7" s="1"/>
      <c r="M7" s="1"/>
      <c r="N7" s="1" t="s">
        <v>171</v>
      </c>
      <c r="O7" s="1"/>
    </row>
    <row r="8" spans="1:15" x14ac:dyDescent="0.2">
      <c r="A8" s="1"/>
      <c r="B8" s="1"/>
      <c r="C8" s="1"/>
      <c r="D8" s="1"/>
      <c r="E8" s="1"/>
      <c r="F8" s="1"/>
      <c r="G8" s="1"/>
      <c r="H8" s="1"/>
      <c r="I8" s="14"/>
      <c r="J8" s="1"/>
      <c r="K8" s="1"/>
      <c r="L8" s="1"/>
      <c r="M8" s="1"/>
      <c r="N8" s="1"/>
      <c r="O8" s="1"/>
    </row>
    <row r="9" spans="1:15" x14ac:dyDescent="0.2">
      <c r="A9" s="9" t="s">
        <v>307</v>
      </c>
      <c r="B9" s="1"/>
      <c r="C9" s="1"/>
      <c r="D9" s="1"/>
      <c r="E9" s="1"/>
      <c r="F9" s="1"/>
      <c r="G9" s="1"/>
      <c r="H9" s="1"/>
      <c r="I9" s="14"/>
      <c r="J9" s="1"/>
      <c r="K9" s="1"/>
      <c r="L9" s="1"/>
      <c r="M9" s="1"/>
      <c r="N9" s="1"/>
      <c r="O9" s="1"/>
    </row>
    <row r="10" spans="1:15" x14ac:dyDescent="0.2">
      <c r="A10" s="5" t="s">
        <v>308</v>
      </c>
      <c r="B10" s="3">
        <v>5741</v>
      </c>
      <c r="C10" s="3">
        <v>6862</v>
      </c>
      <c r="D10" s="3">
        <v>7967</v>
      </c>
      <c r="E10" s="3">
        <v>8686</v>
      </c>
      <c r="F10" s="3">
        <v>11178</v>
      </c>
      <c r="G10" s="3">
        <v>15498</v>
      </c>
      <c r="H10" s="3">
        <v>18616</v>
      </c>
      <c r="I10" s="11">
        <v>13205</v>
      </c>
      <c r="J10" s="3">
        <v>19509</v>
      </c>
      <c r="K10" s="1"/>
      <c r="L10" s="1"/>
      <c r="M10" s="1"/>
      <c r="N10" s="1" t="s">
        <v>309</v>
      </c>
      <c r="O10" s="1"/>
    </row>
    <row r="11" spans="1:15" x14ac:dyDescent="0.2">
      <c r="A11" s="5" t="s">
        <v>310</v>
      </c>
      <c r="B11" s="3">
        <v>4836</v>
      </c>
      <c r="C11" s="3">
        <v>6536</v>
      </c>
      <c r="D11" s="3">
        <v>9164</v>
      </c>
      <c r="E11" s="3">
        <v>11992</v>
      </c>
      <c r="F11" s="3">
        <v>14027</v>
      </c>
      <c r="G11" s="3">
        <v>16690</v>
      </c>
      <c r="H11" s="3">
        <v>20427</v>
      </c>
      <c r="I11" s="11">
        <v>14537</v>
      </c>
      <c r="J11" s="3">
        <v>21053</v>
      </c>
      <c r="K11" s="1"/>
      <c r="L11" s="1"/>
      <c r="M11" s="1"/>
      <c r="N11" s="1" t="s">
        <v>311</v>
      </c>
      <c r="O11" s="1"/>
    </row>
    <row r="12" spans="1:15" x14ac:dyDescent="0.2">
      <c r="A12" s="5" t="s">
        <v>312</v>
      </c>
      <c r="B12" s="3">
        <v>-37</v>
      </c>
      <c r="C12" s="3">
        <v>-1192</v>
      </c>
      <c r="D12" s="3">
        <v>609</v>
      </c>
      <c r="E12" s="3">
        <v>-3286</v>
      </c>
      <c r="F12" s="3">
        <v>131</v>
      </c>
      <c r="G12" s="3">
        <v>-4738</v>
      </c>
      <c r="H12" s="3">
        <v>18738</v>
      </c>
      <c r="I12" s="11">
        <v>17704</v>
      </c>
      <c r="J12" s="3">
        <v>3685</v>
      </c>
      <c r="K12" s="1"/>
      <c r="L12" s="1"/>
      <c r="M12" s="1"/>
      <c r="N12" s="1" t="s">
        <v>313</v>
      </c>
      <c r="O12" s="1"/>
    </row>
    <row r="13" spans="1:15" x14ac:dyDescent="0.2">
      <c r="A13" s="5" t="s">
        <v>314</v>
      </c>
      <c r="B13" s="3"/>
      <c r="C13" s="3"/>
      <c r="D13" s="3"/>
      <c r="E13" s="3"/>
      <c r="F13" s="3"/>
      <c r="G13" s="3"/>
      <c r="H13" s="3"/>
      <c r="I13" s="11">
        <v>-548</v>
      </c>
      <c r="J13" s="3"/>
      <c r="K13" s="1"/>
      <c r="L13" s="1"/>
      <c r="M13" s="1"/>
      <c r="N13" s="1" t="s">
        <v>315</v>
      </c>
      <c r="O13" s="1"/>
    </row>
    <row r="14" spans="1:15" x14ac:dyDescent="0.2">
      <c r="A14" s="5" t="s">
        <v>316</v>
      </c>
      <c r="B14" s="3"/>
      <c r="C14" s="3"/>
      <c r="D14" s="3"/>
      <c r="E14" s="3"/>
      <c r="F14" s="3"/>
      <c r="G14" s="3"/>
      <c r="H14" s="3">
        <v>-1138</v>
      </c>
      <c r="I14" s="11"/>
      <c r="J14" s="3">
        <v>1204</v>
      </c>
      <c r="K14" s="1"/>
      <c r="L14" s="1"/>
      <c r="M14" s="1"/>
      <c r="N14" s="1" t="s">
        <v>317</v>
      </c>
      <c r="O14" s="1" t="s">
        <v>318</v>
      </c>
    </row>
    <row r="15" spans="1:15" x14ac:dyDescent="0.2">
      <c r="A15" s="5" t="s">
        <v>319</v>
      </c>
      <c r="B15" s="3"/>
      <c r="C15" s="3"/>
      <c r="D15" s="3"/>
      <c r="E15" s="3">
        <v>2218</v>
      </c>
      <c r="F15" s="3">
        <v>2432</v>
      </c>
      <c r="G15" s="3">
        <v>383</v>
      </c>
      <c r="H15" s="3">
        <v>0</v>
      </c>
      <c r="I15" s="11"/>
      <c r="J15" s="3"/>
      <c r="K15" s="1"/>
      <c r="L15" s="1"/>
      <c r="M15" s="1"/>
      <c r="N15" s="1" t="s">
        <v>320</v>
      </c>
      <c r="O15" s="1" t="s">
        <v>321</v>
      </c>
    </row>
    <row r="16" spans="1:15" x14ac:dyDescent="0.2">
      <c r="A16" s="5" t="s">
        <v>322</v>
      </c>
      <c r="B16" s="3"/>
      <c r="C16" s="3"/>
      <c r="D16" s="3"/>
      <c r="E16" s="3">
        <v>1341</v>
      </c>
      <c r="F16" s="3">
        <v>-224</v>
      </c>
      <c r="G16" s="3">
        <v>0</v>
      </c>
      <c r="H16" s="3"/>
      <c r="I16" s="11"/>
      <c r="J16" s="3"/>
      <c r="K16" s="1"/>
      <c r="L16" s="1"/>
      <c r="M16" s="1"/>
      <c r="N16" s="1" t="s">
        <v>323</v>
      </c>
      <c r="O16" s="1" t="s">
        <v>324</v>
      </c>
    </row>
    <row r="17" spans="1:15" x14ac:dyDescent="0.2">
      <c r="A17" s="5" t="s">
        <v>325</v>
      </c>
      <c r="B17" s="3"/>
      <c r="C17" s="3"/>
      <c r="D17" s="3"/>
      <c r="E17" s="3">
        <v>463</v>
      </c>
      <c r="F17" s="3"/>
      <c r="G17" s="3"/>
      <c r="H17" s="3"/>
      <c r="I17" s="11"/>
      <c r="J17" s="3"/>
      <c r="K17" s="1"/>
      <c r="L17" s="1"/>
      <c r="M17" s="1"/>
      <c r="N17" s="1" t="s">
        <v>326</v>
      </c>
      <c r="O17" s="1"/>
    </row>
    <row r="18" spans="1:15" x14ac:dyDescent="0.2">
      <c r="A18" s="5" t="s">
        <v>327</v>
      </c>
      <c r="B18" s="3">
        <v>39</v>
      </c>
      <c r="C18" s="3">
        <v>118</v>
      </c>
      <c r="D18" s="3">
        <v>-127</v>
      </c>
      <c r="E18" s="3">
        <v>178</v>
      </c>
      <c r="F18" s="3">
        <v>635</v>
      </c>
      <c r="G18" s="3">
        <v>87</v>
      </c>
      <c r="H18" s="3">
        <v>-416</v>
      </c>
      <c r="I18" s="11">
        <v>-453</v>
      </c>
      <c r="J18" s="3">
        <v>-402</v>
      </c>
      <c r="K18" s="1"/>
      <c r="L18" s="1"/>
      <c r="M18" s="1"/>
      <c r="N18" s="1" t="s">
        <v>328</v>
      </c>
      <c r="O18" s="1"/>
    </row>
    <row r="19" spans="1:15" x14ac:dyDescent="0.2">
      <c r="A19" s="1"/>
      <c r="B19" s="1"/>
      <c r="C19" s="1"/>
      <c r="D19" s="1"/>
      <c r="E19" s="1"/>
      <c r="F19" s="1"/>
      <c r="G19" s="1"/>
      <c r="H19" s="1"/>
      <c r="I19" s="14"/>
      <c r="J19" s="1"/>
      <c r="K19" s="1"/>
      <c r="L19" s="1"/>
      <c r="M19" s="1"/>
      <c r="N19" s="1"/>
      <c r="O19" s="1"/>
    </row>
    <row r="20" spans="1:15" x14ac:dyDescent="0.2">
      <c r="A20" s="9" t="s">
        <v>329</v>
      </c>
      <c r="B20" s="1"/>
      <c r="C20" s="1"/>
      <c r="D20" s="1"/>
      <c r="E20" s="1"/>
      <c r="F20" s="1"/>
      <c r="G20" s="1"/>
      <c r="H20" s="1"/>
      <c r="I20" s="14"/>
      <c r="J20" s="1"/>
      <c r="K20" s="1"/>
      <c r="L20" s="1"/>
      <c r="M20" s="1"/>
      <c r="N20" s="1"/>
      <c r="O20" s="1"/>
    </row>
    <row r="21" spans="1:15" x14ac:dyDescent="0.2">
      <c r="A21" s="5" t="s">
        <v>330</v>
      </c>
      <c r="B21" s="3">
        <v>-1961</v>
      </c>
      <c r="C21" s="3">
        <v>-1512</v>
      </c>
      <c r="D21" s="3">
        <v>-3110</v>
      </c>
      <c r="E21" s="3">
        <v>231</v>
      </c>
      <c r="F21" s="3">
        <v>-2399</v>
      </c>
      <c r="G21" s="3">
        <v>-1485</v>
      </c>
      <c r="H21" s="3">
        <v>-1815</v>
      </c>
      <c r="I21" s="11">
        <v>660</v>
      </c>
      <c r="J21" s="3">
        <v>-3272</v>
      </c>
      <c r="K21" s="1"/>
      <c r="L21" s="1"/>
      <c r="M21" s="1"/>
      <c r="N21" s="1" t="s">
        <v>331</v>
      </c>
      <c r="O21" s="1"/>
    </row>
    <row r="22" spans="1:15" x14ac:dyDescent="0.2">
      <c r="A22" s="5" t="s">
        <v>222</v>
      </c>
      <c r="B22" s="3">
        <v>47</v>
      </c>
      <c r="C22" s="3">
        <v>135</v>
      </c>
      <c r="D22" s="3">
        <v>-1750</v>
      </c>
      <c r="E22" s="3">
        <v>162</v>
      </c>
      <c r="F22" s="3">
        <v>559</v>
      </c>
      <c r="G22" s="3">
        <v>-698</v>
      </c>
      <c r="H22" s="3">
        <v>-89</v>
      </c>
      <c r="I22" s="11">
        <v>-348</v>
      </c>
      <c r="J22" s="3">
        <v>-4166</v>
      </c>
      <c r="K22" s="1"/>
      <c r="L22" s="1"/>
      <c r="M22" s="1"/>
      <c r="N22" s="1" t="s">
        <v>332</v>
      </c>
      <c r="O22" s="1"/>
    </row>
    <row r="23" spans="1:15" x14ac:dyDescent="0.2">
      <c r="A23" s="5" t="s">
        <v>237</v>
      </c>
      <c r="B23" s="3">
        <v>41</v>
      </c>
      <c r="C23" s="3">
        <v>-34</v>
      </c>
      <c r="D23" s="3">
        <v>-349</v>
      </c>
      <c r="E23" s="3">
        <v>-106</v>
      </c>
      <c r="F23" s="3">
        <v>-80</v>
      </c>
      <c r="G23" s="3">
        <v>-270</v>
      </c>
      <c r="H23" s="3">
        <v>-481</v>
      </c>
      <c r="I23" s="11">
        <v>-209</v>
      </c>
      <c r="J23" s="3">
        <v>-4973</v>
      </c>
      <c r="K23" s="1"/>
      <c r="L23" s="1"/>
      <c r="M23" s="1"/>
      <c r="N23" s="1" t="s">
        <v>333</v>
      </c>
      <c r="O23" s="1"/>
    </row>
    <row r="24" spans="1:15" x14ac:dyDescent="0.2">
      <c r="A24" s="5" t="s">
        <v>242</v>
      </c>
      <c r="B24" s="3">
        <v>113</v>
      </c>
      <c r="C24" s="3">
        <v>-17</v>
      </c>
      <c r="D24" s="3">
        <v>1436</v>
      </c>
      <c r="E24" s="3">
        <v>210</v>
      </c>
      <c r="F24" s="3">
        <v>51</v>
      </c>
      <c r="G24" s="3">
        <v>373</v>
      </c>
      <c r="H24" s="3">
        <v>-14</v>
      </c>
      <c r="I24" s="11">
        <v>-637</v>
      </c>
      <c r="J24" s="3">
        <v>1242</v>
      </c>
      <c r="K24" s="1"/>
      <c r="L24" s="1"/>
      <c r="M24" s="1"/>
      <c r="N24" s="1" t="s">
        <v>334</v>
      </c>
      <c r="O24" s="1"/>
    </row>
    <row r="25" spans="1:15" x14ac:dyDescent="0.2">
      <c r="A25" s="5" t="s">
        <v>244</v>
      </c>
      <c r="B25" s="3">
        <v>348</v>
      </c>
      <c r="C25" s="3">
        <v>178</v>
      </c>
      <c r="D25" s="3">
        <v>-12</v>
      </c>
      <c r="E25" s="3">
        <v>90</v>
      </c>
      <c r="F25" s="3">
        <v>-271</v>
      </c>
      <c r="G25" s="3"/>
      <c r="H25" s="3"/>
      <c r="I25" s="11"/>
      <c r="J25" s="3"/>
      <c r="K25" s="1"/>
      <c r="L25" s="1"/>
      <c r="M25" s="1"/>
      <c r="N25" s="1" t="s">
        <v>335</v>
      </c>
      <c r="O25" s="1"/>
    </row>
    <row r="26" spans="1:15" x14ac:dyDescent="0.2">
      <c r="A26" s="5" t="s">
        <v>248</v>
      </c>
      <c r="B26" s="3">
        <v>7300</v>
      </c>
      <c r="C26" s="3">
        <v>-1054</v>
      </c>
      <c r="D26" s="3">
        <v>3357</v>
      </c>
      <c r="E26" s="3">
        <v>4210</v>
      </c>
      <c r="F26" s="3">
        <v>5352</v>
      </c>
      <c r="G26" s="3">
        <v>323</v>
      </c>
      <c r="H26" s="3">
        <v>1077</v>
      </c>
      <c r="I26" s="11">
        <v>-2883</v>
      </c>
      <c r="J26" s="3">
        <v>7602</v>
      </c>
      <c r="K26" s="1"/>
      <c r="L26" s="1"/>
      <c r="M26" s="1"/>
      <c r="N26" s="1" t="s">
        <v>336</v>
      </c>
      <c r="O26" s="1"/>
    </row>
    <row r="27" spans="1:15" x14ac:dyDescent="0.2">
      <c r="A27" s="5" t="s">
        <v>250</v>
      </c>
      <c r="B27" s="3">
        <v>123</v>
      </c>
      <c r="C27" s="3">
        <v>108</v>
      </c>
      <c r="D27" s="3">
        <v>187</v>
      </c>
      <c r="E27" s="3"/>
      <c r="F27" s="3"/>
      <c r="G27" s="3"/>
      <c r="H27" s="3"/>
      <c r="I27" s="11"/>
      <c r="J27" s="3"/>
      <c r="K27" s="1"/>
      <c r="L27" s="1"/>
      <c r="M27" s="1"/>
      <c r="N27" s="1" t="s">
        <v>337</v>
      </c>
      <c r="O27" s="1"/>
    </row>
    <row r="28" spans="1:15" x14ac:dyDescent="0.2">
      <c r="A28" s="5" t="s">
        <v>260</v>
      </c>
      <c r="B28" s="3">
        <v>1239</v>
      </c>
      <c r="C28" s="3">
        <v>-527</v>
      </c>
      <c r="D28" s="3">
        <v>941</v>
      </c>
      <c r="E28" s="3">
        <v>886</v>
      </c>
      <c r="F28" s="3">
        <v>624</v>
      </c>
      <c r="G28" s="3">
        <v>2805</v>
      </c>
      <c r="H28" s="3">
        <v>437</v>
      </c>
      <c r="I28" s="11">
        <v>868</v>
      </c>
      <c r="J28" s="3">
        <v>2910</v>
      </c>
      <c r="K28" s="1"/>
      <c r="L28" s="1"/>
      <c r="M28" s="1"/>
      <c r="N28" s="1" t="s">
        <v>338</v>
      </c>
      <c r="O28" s="1"/>
    </row>
    <row r="29" spans="1:15" x14ac:dyDescent="0.2">
      <c r="A29" s="9" t="s">
        <v>339</v>
      </c>
      <c r="B29" s="8">
        <v>36314</v>
      </c>
      <c r="C29" s="8">
        <v>38747</v>
      </c>
      <c r="D29" s="8">
        <v>57683</v>
      </c>
      <c r="E29" s="8">
        <v>50475</v>
      </c>
      <c r="F29" s="8">
        <v>71113</v>
      </c>
      <c r="G29" s="8">
        <v>91328</v>
      </c>
      <c r="H29" s="8">
        <v>115800</v>
      </c>
      <c r="I29" s="4">
        <v>79586</v>
      </c>
      <c r="J29" s="8">
        <v>96873</v>
      </c>
      <c r="K29" s="132"/>
      <c r="L29" s="1"/>
      <c r="M29" s="1"/>
      <c r="N29" s="1" t="s">
        <v>340</v>
      </c>
      <c r="O29" s="1"/>
    </row>
    <row r="30" spans="1:15" x14ac:dyDescent="0.2">
      <c r="A30" s="1"/>
      <c r="B30" s="1"/>
      <c r="C30" s="1"/>
      <c r="D30" s="1"/>
      <c r="E30" s="1"/>
      <c r="F30" s="1"/>
      <c r="G30" s="1"/>
      <c r="H30" s="1"/>
      <c r="I30" s="14"/>
      <c r="J30" s="1"/>
      <c r="K30" s="1"/>
      <c r="L30" s="1"/>
      <c r="M30" s="1"/>
      <c r="N30" s="1"/>
      <c r="O30" s="1"/>
    </row>
    <row r="31" spans="1:15" x14ac:dyDescent="0.2">
      <c r="A31" s="9" t="s">
        <v>341</v>
      </c>
      <c r="B31" s="1"/>
      <c r="C31" s="1"/>
      <c r="D31" s="1"/>
      <c r="E31" s="1"/>
      <c r="F31" s="1"/>
      <c r="G31" s="1"/>
      <c r="H31" s="1"/>
      <c r="I31" s="14"/>
      <c r="J31" s="1"/>
      <c r="K31" s="1"/>
      <c r="L31" s="1"/>
      <c r="M31" s="1"/>
      <c r="N31" s="1"/>
      <c r="O31" s="1"/>
    </row>
    <row r="32" spans="1:15" x14ac:dyDescent="0.2">
      <c r="A32" s="5" t="s">
        <v>342</v>
      </c>
      <c r="B32" s="3">
        <v>-15102</v>
      </c>
      <c r="C32" s="3">
        <v>-15115</v>
      </c>
      <c r="D32" s="3">
        <v>-18567</v>
      </c>
      <c r="E32" s="3">
        <v>-31431</v>
      </c>
      <c r="F32" s="3">
        <v>-27266</v>
      </c>
      <c r="G32" s="3">
        <v>-37256</v>
      </c>
      <c r="H32" s="3">
        <v>-69691</v>
      </c>
      <c r="I32" s="11">
        <v>-48308</v>
      </c>
      <c r="J32" s="3">
        <v>-83055</v>
      </c>
      <c r="K32" s="1"/>
      <c r="L32" s="1"/>
      <c r="M32" s="1"/>
      <c r="N32" s="1" t="s">
        <v>343</v>
      </c>
      <c r="O32" s="1" t="s">
        <v>344</v>
      </c>
    </row>
    <row r="33" spans="1:15" x14ac:dyDescent="0.2">
      <c r="A33" s="5" t="s">
        <v>345</v>
      </c>
      <c r="B33" s="3"/>
      <c r="C33" s="3"/>
      <c r="D33" s="3"/>
      <c r="E33" s="3">
        <v>245</v>
      </c>
      <c r="F33" s="3">
        <v>221</v>
      </c>
      <c r="G33" s="3"/>
      <c r="H33" s="3"/>
      <c r="I33" s="11"/>
      <c r="J33" s="3"/>
      <c r="K33" s="1"/>
      <c r="L33" s="1"/>
      <c r="M33" s="1"/>
      <c r="N33" s="1" t="s">
        <v>346</v>
      </c>
      <c r="O33" s="1"/>
    </row>
    <row r="34" spans="1:15" x14ac:dyDescent="0.2">
      <c r="A34" s="5" t="s">
        <v>347</v>
      </c>
      <c r="B34" s="3">
        <v>-23910</v>
      </c>
      <c r="C34" s="3">
        <v>-33930</v>
      </c>
      <c r="D34" s="3">
        <v>-30407</v>
      </c>
      <c r="E34" s="3">
        <v>-9626</v>
      </c>
      <c r="F34" s="3">
        <v>-2982</v>
      </c>
      <c r="G34" s="3">
        <v>-25542</v>
      </c>
      <c r="H34" s="3">
        <v>-36929</v>
      </c>
      <c r="I34" s="11">
        <v>-22349</v>
      </c>
      <c r="J34" s="3">
        <v>-117467</v>
      </c>
      <c r="K34" s="1"/>
      <c r="L34" s="1"/>
      <c r="M34" s="1"/>
      <c r="N34" s="1" t="s">
        <v>348</v>
      </c>
      <c r="O34" s="1" t="s">
        <v>349</v>
      </c>
    </row>
    <row r="35" spans="1:15" x14ac:dyDescent="0.2">
      <c r="A35" s="5" t="s">
        <v>350</v>
      </c>
      <c r="B35" s="3">
        <v>9565</v>
      </c>
      <c r="C35" s="3">
        <v>11787</v>
      </c>
      <c r="D35" s="3">
        <v>31671</v>
      </c>
      <c r="E35" s="3">
        <v>11083</v>
      </c>
      <c r="F35" s="3"/>
      <c r="G35" s="3"/>
      <c r="H35" s="3"/>
      <c r="I35" s="11"/>
      <c r="J35" s="3"/>
      <c r="K35" s="1"/>
      <c r="L35" s="1"/>
      <c r="M35" s="1"/>
      <c r="N35" s="1" t="s">
        <v>351</v>
      </c>
      <c r="O35" s="1" t="s">
        <v>352</v>
      </c>
    </row>
    <row r="36" spans="1:15" x14ac:dyDescent="0.2">
      <c r="A36" s="5" t="s">
        <v>353</v>
      </c>
      <c r="B36" s="3">
        <v>10152</v>
      </c>
      <c r="C36" s="3">
        <v>13984</v>
      </c>
      <c r="D36" s="3">
        <v>10915</v>
      </c>
      <c r="E36" s="3">
        <v>2075</v>
      </c>
      <c r="F36" s="3"/>
      <c r="G36" s="3"/>
      <c r="H36" s="3"/>
      <c r="I36" s="11"/>
      <c r="J36" s="3"/>
      <c r="K36" s="1"/>
      <c r="L36" s="1"/>
      <c r="M36" s="1"/>
      <c r="N36" s="1" t="s">
        <v>354</v>
      </c>
      <c r="O36" s="1" t="s">
        <v>355</v>
      </c>
    </row>
    <row r="37" spans="1:15" x14ac:dyDescent="0.2">
      <c r="A37" s="5" t="s">
        <v>356</v>
      </c>
      <c r="B37" s="3"/>
      <c r="C37" s="3"/>
      <c r="D37" s="3"/>
      <c r="E37" s="3"/>
      <c r="F37" s="3">
        <v>6184</v>
      </c>
      <c r="G37" s="3">
        <v>15789</v>
      </c>
      <c r="H37" s="3">
        <v>26874</v>
      </c>
      <c r="I37" s="11">
        <v>23761</v>
      </c>
      <c r="J37" s="3">
        <v>88837</v>
      </c>
      <c r="K37" s="1"/>
      <c r="L37" s="1"/>
      <c r="M37" s="1"/>
      <c r="N37" s="1" t="s">
        <v>357</v>
      </c>
      <c r="O37" s="1" t="s">
        <v>358</v>
      </c>
    </row>
    <row r="38" spans="1:15" x14ac:dyDescent="0.2">
      <c r="A38" s="5" t="s">
        <v>359</v>
      </c>
      <c r="B38" s="3"/>
      <c r="C38" s="3"/>
      <c r="D38" s="3"/>
      <c r="E38" s="3"/>
      <c r="F38" s="3"/>
      <c r="G38" s="3"/>
      <c r="H38" s="3">
        <v>-2432</v>
      </c>
      <c r="I38" s="11">
        <v>-1797</v>
      </c>
      <c r="J38" s="3">
        <v>-1612</v>
      </c>
      <c r="K38" s="1"/>
      <c r="L38" s="1"/>
      <c r="M38" s="1"/>
      <c r="N38" s="1" t="s">
        <v>360</v>
      </c>
      <c r="O38" s="1"/>
    </row>
    <row r="39" spans="1:15" x14ac:dyDescent="0.2">
      <c r="A39" s="5" t="s">
        <v>361</v>
      </c>
      <c r="B39" s="3"/>
      <c r="C39" s="3"/>
      <c r="D39" s="3"/>
      <c r="E39" s="3"/>
      <c r="F39" s="3"/>
      <c r="G39" s="3"/>
      <c r="H39" s="3">
        <v>2554</v>
      </c>
      <c r="I39" s="11"/>
      <c r="J39" s="3">
        <v>1037</v>
      </c>
      <c r="K39" s="1"/>
      <c r="L39" s="1"/>
      <c r="M39" s="1"/>
      <c r="N39" s="1" t="s">
        <v>362</v>
      </c>
      <c r="O39" s="1" t="s">
        <v>363</v>
      </c>
    </row>
    <row r="40" spans="1:15" x14ac:dyDescent="0.2">
      <c r="A40" s="5" t="s">
        <v>364</v>
      </c>
      <c r="B40" s="3"/>
      <c r="C40" s="3">
        <v>-6361</v>
      </c>
      <c r="D40" s="3">
        <v>-47</v>
      </c>
      <c r="E40" s="3">
        <v>-5</v>
      </c>
      <c r="F40" s="3"/>
      <c r="G40" s="3"/>
      <c r="H40" s="3">
        <v>-18330</v>
      </c>
      <c r="I40" s="11">
        <v>-18260</v>
      </c>
      <c r="J40" s="3">
        <v>-2544</v>
      </c>
      <c r="K40" s="1"/>
      <c r="L40" s="1"/>
      <c r="M40" s="1"/>
      <c r="N40" s="1" t="s">
        <v>365</v>
      </c>
      <c r="O40" s="1" t="s">
        <v>366</v>
      </c>
    </row>
    <row r="41" spans="1:15" x14ac:dyDescent="0.2">
      <c r="A41" s="5" t="s">
        <v>367</v>
      </c>
      <c r="B41" s="3">
        <v>-508</v>
      </c>
      <c r="C41" s="3">
        <v>-388</v>
      </c>
      <c r="D41" s="3">
        <v>-851</v>
      </c>
      <c r="E41" s="3">
        <v>-1312</v>
      </c>
      <c r="F41" s="3">
        <v>-629</v>
      </c>
      <c r="G41" s="3">
        <v>-270</v>
      </c>
      <c r="H41" s="3">
        <v>-4231</v>
      </c>
      <c r="I41" s="11">
        <v>-815</v>
      </c>
      <c r="J41" s="3">
        <v>-584</v>
      </c>
      <c r="K41" s="1"/>
      <c r="L41" s="1"/>
      <c r="M41" s="1"/>
      <c r="N41" s="1" t="s">
        <v>368</v>
      </c>
      <c r="O41" s="1" t="s">
        <v>369</v>
      </c>
    </row>
    <row r="42" spans="1:15" x14ac:dyDescent="0.2">
      <c r="A42" s="5" t="s">
        <v>370</v>
      </c>
      <c r="B42" s="3">
        <v>-61</v>
      </c>
      <c r="C42" s="3">
        <v>-36</v>
      </c>
      <c r="D42" s="3">
        <v>-284</v>
      </c>
      <c r="E42" s="3">
        <v>1</v>
      </c>
      <c r="F42" s="3">
        <v>-23</v>
      </c>
      <c r="G42" s="3">
        <v>129</v>
      </c>
      <c r="H42" s="3">
        <v>182</v>
      </c>
      <c r="I42" s="11">
        <v>-48</v>
      </c>
      <c r="J42" s="3">
        <v>1079</v>
      </c>
      <c r="K42" s="1"/>
      <c r="L42" s="1"/>
      <c r="M42" s="1"/>
      <c r="N42" s="1" t="s">
        <v>371</v>
      </c>
      <c r="O42" s="1" t="s">
        <v>372</v>
      </c>
    </row>
    <row r="43" spans="1:15" x14ac:dyDescent="0.2">
      <c r="A43" s="9" t="s">
        <v>373</v>
      </c>
      <c r="B43" s="8">
        <v>-19864</v>
      </c>
      <c r="C43" s="8">
        <v>-30059</v>
      </c>
      <c r="D43" s="8">
        <v>-7570</v>
      </c>
      <c r="E43" s="8">
        <v>-28970</v>
      </c>
      <c r="F43" s="8">
        <v>-24495</v>
      </c>
      <c r="G43" s="8">
        <v>-47150</v>
      </c>
      <c r="H43" s="8">
        <v>-102003</v>
      </c>
      <c r="I43" s="4">
        <v>-67816</v>
      </c>
      <c r="J43" s="8">
        <v>-114309</v>
      </c>
      <c r="K43" s="132"/>
      <c r="L43" s="1"/>
      <c r="M43" s="1"/>
      <c r="N43" s="1" t="s">
        <v>374</v>
      </c>
      <c r="O43" s="1"/>
    </row>
    <row r="44" spans="1:15" x14ac:dyDescent="0.2">
      <c r="A44" s="1"/>
      <c r="B44" s="1"/>
      <c r="C44" s="1"/>
      <c r="D44" s="1"/>
      <c r="E44" s="1"/>
      <c r="F44" s="1"/>
      <c r="G44" s="1"/>
      <c r="H44" s="1"/>
      <c r="I44" s="14"/>
      <c r="J44" s="1"/>
      <c r="K44" s="1"/>
      <c r="L44" s="1"/>
      <c r="M44" s="1"/>
      <c r="N44" s="1"/>
      <c r="O44" s="1"/>
    </row>
    <row r="45" spans="1:15" x14ac:dyDescent="0.2">
      <c r="A45" s="9" t="s">
        <v>375</v>
      </c>
      <c r="B45" s="1"/>
      <c r="C45" s="1"/>
      <c r="D45" s="1"/>
      <c r="E45" s="1"/>
      <c r="F45" s="1"/>
      <c r="G45" s="1"/>
      <c r="H45" s="1"/>
      <c r="I45" s="14"/>
      <c r="J45" s="1"/>
      <c r="K45" s="1"/>
      <c r="L45" s="1"/>
      <c r="M45" s="1"/>
      <c r="N45" s="1"/>
      <c r="O45" s="1"/>
    </row>
    <row r="46" spans="1:15" x14ac:dyDescent="0.2">
      <c r="A46" s="5" t="s">
        <v>376</v>
      </c>
      <c r="B46" s="3">
        <v>-2337</v>
      </c>
      <c r="C46" s="3">
        <v>-3564</v>
      </c>
      <c r="D46" s="3">
        <v>-5515</v>
      </c>
      <c r="E46" s="3">
        <v>-3595</v>
      </c>
      <c r="F46" s="3">
        <v>-7012</v>
      </c>
      <c r="G46" s="3">
        <v>-13770</v>
      </c>
      <c r="H46" s="3">
        <v>-18400</v>
      </c>
      <c r="I46" s="11">
        <v>-14128</v>
      </c>
      <c r="J46" s="3">
        <v>-12768</v>
      </c>
      <c r="K46" s="1"/>
      <c r="L46" s="1"/>
      <c r="M46" s="1"/>
      <c r="N46" s="1" t="s">
        <v>377</v>
      </c>
      <c r="O46" s="1"/>
    </row>
    <row r="47" spans="1:15" x14ac:dyDescent="0.2">
      <c r="A47" s="5" t="s">
        <v>378</v>
      </c>
      <c r="B47" s="3">
        <v>-4202</v>
      </c>
      <c r="C47" s="3">
        <v>-6272</v>
      </c>
      <c r="D47" s="3">
        <v>-44537</v>
      </c>
      <c r="E47" s="3">
        <v>-27956</v>
      </c>
      <c r="F47" s="3">
        <v>-19774</v>
      </c>
      <c r="G47" s="3">
        <v>-30125</v>
      </c>
      <c r="H47" s="3">
        <v>-26248</v>
      </c>
      <c r="I47" s="11">
        <v>-26248</v>
      </c>
      <c r="J47" s="3">
        <v>0</v>
      </c>
      <c r="K47" s="1"/>
      <c r="L47" s="1"/>
      <c r="M47" s="1"/>
      <c r="N47" s="1" t="s">
        <v>379</v>
      </c>
      <c r="O47" s="1"/>
    </row>
    <row r="48" spans="1:15" x14ac:dyDescent="0.2">
      <c r="A48" s="5" t="s">
        <v>380</v>
      </c>
      <c r="B48" s="3"/>
      <c r="C48" s="3"/>
      <c r="D48" s="3"/>
      <c r="E48" s="3"/>
      <c r="F48" s="3"/>
      <c r="G48" s="3">
        <v>-5072</v>
      </c>
      <c r="H48" s="3">
        <v>-5324</v>
      </c>
      <c r="I48" s="11">
        <v>-3986</v>
      </c>
      <c r="J48" s="3">
        <v>-4060</v>
      </c>
      <c r="K48" s="1"/>
      <c r="L48" s="1"/>
      <c r="M48" s="1"/>
      <c r="N48" s="1" t="s">
        <v>381</v>
      </c>
      <c r="O48" s="1"/>
    </row>
    <row r="49" spans="1:15" x14ac:dyDescent="0.2">
      <c r="A49" s="5" t="s">
        <v>382</v>
      </c>
      <c r="B49" s="3"/>
      <c r="C49" s="3"/>
      <c r="D49" s="3"/>
      <c r="E49" s="3">
        <v>9921</v>
      </c>
      <c r="F49" s="3">
        <v>8455</v>
      </c>
      <c r="G49" s="3">
        <v>10432</v>
      </c>
      <c r="H49" s="3">
        <v>29906</v>
      </c>
      <c r="I49" s="11">
        <v>0</v>
      </c>
      <c r="J49" s="3">
        <v>24910</v>
      </c>
      <c r="K49" s="1"/>
      <c r="L49" s="1"/>
      <c r="M49" s="1"/>
      <c r="N49" s="1" t="s">
        <v>383</v>
      </c>
      <c r="O49" s="1"/>
    </row>
    <row r="50" spans="1:15" x14ac:dyDescent="0.2">
      <c r="A50" s="5" t="s">
        <v>384</v>
      </c>
      <c r="B50" s="3">
        <v>-552</v>
      </c>
      <c r="C50" s="3">
        <v>-604</v>
      </c>
      <c r="D50" s="3">
        <v>-677</v>
      </c>
      <c r="E50" s="3">
        <v>-850</v>
      </c>
      <c r="F50" s="3">
        <v>-1058</v>
      </c>
      <c r="G50" s="3">
        <v>-1969</v>
      </c>
      <c r="H50" s="3">
        <v>-2524</v>
      </c>
      <c r="I50" s="11">
        <v>-1770</v>
      </c>
      <c r="J50" s="3">
        <v>-2769</v>
      </c>
      <c r="K50" s="1"/>
      <c r="L50" s="1"/>
      <c r="M50" s="1"/>
      <c r="N50" s="1" t="s">
        <v>385</v>
      </c>
      <c r="O50" s="1"/>
    </row>
    <row r="51" spans="1:15" x14ac:dyDescent="0.2">
      <c r="A51" s="5" t="s">
        <v>386</v>
      </c>
      <c r="B51" s="3">
        <v>-223</v>
      </c>
      <c r="C51" s="3">
        <v>24</v>
      </c>
      <c r="D51" s="3">
        <v>14</v>
      </c>
      <c r="E51" s="3"/>
      <c r="F51" s="3"/>
      <c r="G51" s="3"/>
      <c r="H51" s="3"/>
      <c r="I51" s="11"/>
      <c r="J51" s="3"/>
      <c r="K51" s="1"/>
      <c r="L51" s="1"/>
      <c r="M51" s="1"/>
      <c r="N51" s="1" t="s">
        <v>387</v>
      </c>
      <c r="O51" s="1"/>
    </row>
    <row r="52" spans="1:15" x14ac:dyDescent="0.2">
      <c r="A52" s="5" t="s">
        <v>388</v>
      </c>
      <c r="B52" s="3">
        <v>15</v>
      </c>
      <c r="C52" s="3">
        <v>124</v>
      </c>
      <c r="D52" s="3">
        <v>-13</v>
      </c>
      <c r="E52" s="3">
        <v>344</v>
      </c>
      <c r="F52" s="3">
        <v>-111</v>
      </c>
      <c r="G52" s="3">
        <v>-277</v>
      </c>
      <c r="H52" s="3">
        <v>2220</v>
      </c>
      <c r="I52" s="11">
        <v>613</v>
      </c>
      <c r="J52" s="3">
        <v>-2631</v>
      </c>
      <c r="K52" s="1"/>
      <c r="L52" s="1"/>
      <c r="M52" s="1"/>
      <c r="N52" s="1" t="s">
        <v>389</v>
      </c>
      <c r="O52" s="1" t="s">
        <v>390</v>
      </c>
    </row>
    <row r="53" spans="1:15" x14ac:dyDescent="0.2">
      <c r="A53" s="9" t="s">
        <v>391</v>
      </c>
      <c r="B53" s="8">
        <v>-7299</v>
      </c>
      <c r="C53" s="8">
        <v>-10292</v>
      </c>
      <c r="D53" s="8">
        <v>-50728</v>
      </c>
      <c r="E53" s="8">
        <v>-22136</v>
      </c>
      <c r="F53" s="8">
        <v>-19500</v>
      </c>
      <c r="G53" s="8">
        <v>-40781</v>
      </c>
      <c r="H53" s="8">
        <v>-20370</v>
      </c>
      <c r="I53" s="4">
        <v>-45519</v>
      </c>
      <c r="J53" s="8">
        <v>2682</v>
      </c>
      <c r="K53" s="1"/>
      <c r="L53" s="1"/>
      <c r="M53" s="1"/>
      <c r="N53" s="1" t="s">
        <v>392</v>
      </c>
      <c r="O53" s="1" t="s">
        <v>393</v>
      </c>
    </row>
    <row r="54" spans="1:15" x14ac:dyDescent="0.2">
      <c r="A54" s="1"/>
      <c r="B54" s="1"/>
      <c r="C54" s="1"/>
      <c r="D54" s="1"/>
      <c r="E54" s="1"/>
      <c r="F54" s="1"/>
      <c r="G54" s="1"/>
      <c r="H54" s="1"/>
      <c r="I54" s="14"/>
      <c r="J54" s="1"/>
      <c r="K54" s="1"/>
      <c r="L54" s="1"/>
      <c r="M54" s="1"/>
      <c r="N54" s="1"/>
      <c r="O54" s="1"/>
    </row>
    <row r="55" spans="1:15" x14ac:dyDescent="0.2">
      <c r="A55" s="5" t="s">
        <v>394</v>
      </c>
      <c r="B55" s="3">
        <v>4</v>
      </c>
      <c r="C55" s="3">
        <v>279</v>
      </c>
      <c r="D55" s="3">
        <v>-474</v>
      </c>
      <c r="E55" s="3">
        <v>-638</v>
      </c>
      <c r="F55" s="3">
        <v>113</v>
      </c>
      <c r="G55" s="3">
        <v>-786</v>
      </c>
      <c r="H55" s="3">
        <v>235</v>
      </c>
      <c r="I55" s="11">
        <v>252</v>
      </c>
      <c r="J55" s="3">
        <v>8</v>
      </c>
      <c r="K55" s="1"/>
      <c r="L55" s="1"/>
      <c r="M55" s="1"/>
      <c r="N55" s="1" t="s">
        <v>395</v>
      </c>
      <c r="O55" s="1" t="s">
        <v>396</v>
      </c>
    </row>
    <row r="56" spans="1:15" x14ac:dyDescent="0.2">
      <c r="A56" s="9" t="s">
        <v>397</v>
      </c>
      <c r="B56" s="8">
        <v>9155</v>
      </c>
      <c r="C56" s="8">
        <v>-1325</v>
      </c>
      <c r="D56" s="8">
        <v>-1089</v>
      </c>
      <c r="E56" s="8">
        <v>-1269</v>
      </c>
      <c r="F56" s="8">
        <v>27231</v>
      </c>
      <c r="G56" s="8">
        <v>2611</v>
      </c>
      <c r="H56" s="8">
        <v>-6338</v>
      </c>
      <c r="I56" s="4">
        <v>-33497</v>
      </c>
      <c r="J56" s="8">
        <v>-14746</v>
      </c>
      <c r="K56" s="1"/>
      <c r="L56" s="1"/>
      <c r="M56" s="1"/>
      <c r="N56" s="1" t="s">
        <v>398</v>
      </c>
      <c r="O56" s="1" t="s">
        <v>399</v>
      </c>
    </row>
    <row r="57" spans="1:15" x14ac:dyDescent="0.2">
      <c r="A57" s="1"/>
      <c r="B57" s="1"/>
      <c r="C57" s="1"/>
      <c r="D57" s="1"/>
      <c r="E57" s="1"/>
      <c r="F57" s="1"/>
      <c r="G57" s="1"/>
      <c r="H57" s="1"/>
      <c r="I57" s="14"/>
      <c r="J57" s="1"/>
      <c r="K57" s="1"/>
      <c r="L57" s="1"/>
      <c r="M57" s="1"/>
      <c r="N57" s="1"/>
      <c r="O57" s="1"/>
    </row>
    <row r="58" spans="1:15" x14ac:dyDescent="0.2">
      <c r="A58" s="5" t="s">
        <v>400</v>
      </c>
      <c r="B58" s="3">
        <v>10124</v>
      </c>
      <c r="C58" s="3">
        <v>19279</v>
      </c>
      <c r="D58" s="3">
        <v>17954</v>
      </c>
      <c r="E58" s="3">
        <v>16865</v>
      </c>
      <c r="F58" s="3">
        <v>15596</v>
      </c>
      <c r="G58" s="3">
        <v>42827</v>
      </c>
      <c r="H58" s="3">
        <v>45438</v>
      </c>
      <c r="I58" s="11">
        <v>45438</v>
      </c>
      <c r="J58" s="3">
        <v>39100</v>
      </c>
      <c r="K58" s="1"/>
      <c r="L58" s="1"/>
      <c r="M58" s="1"/>
      <c r="N58" s="1" t="s">
        <v>401</v>
      </c>
      <c r="O58" s="1" t="s">
        <v>402</v>
      </c>
    </row>
    <row r="59" spans="1:15" x14ac:dyDescent="0.2">
      <c r="A59" s="7" t="s">
        <v>403</v>
      </c>
      <c r="B59" s="12">
        <v>19279</v>
      </c>
      <c r="C59" s="12">
        <v>17954</v>
      </c>
      <c r="D59" s="12">
        <v>16865</v>
      </c>
      <c r="E59" s="12">
        <v>15596</v>
      </c>
      <c r="F59" s="12">
        <v>42827</v>
      </c>
      <c r="G59" s="12">
        <v>45438</v>
      </c>
      <c r="H59" s="12">
        <v>39100</v>
      </c>
      <c r="I59" s="19">
        <v>11941</v>
      </c>
      <c r="J59" s="12">
        <v>24354</v>
      </c>
      <c r="K59" s="1"/>
      <c r="L59" s="1"/>
      <c r="M59" s="1"/>
      <c r="N59" s="1" t="s">
        <v>401</v>
      </c>
      <c r="O59" s="1" t="s">
        <v>404</v>
      </c>
    </row>
    <row r="60" spans="1:15" x14ac:dyDescent="0.2">
      <c r="A60" s="1"/>
      <c r="B60" s="1"/>
      <c r="C60" s="1"/>
      <c r="D60" s="1"/>
      <c r="E60" s="1"/>
      <c r="F60" s="1"/>
      <c r="G60" s="1"/>
      <c r="H60" s="1"/>
      <c r="I60" s="14"/>
      <c r="J60" s="1"/>
      <c r="K60" s="1"/>
      <c r="L60" s="1"/>
      <c r="M60" s="1"/>
      <c r="N60" s="1"/>
      <c r="O60" s="1"/>
    </row>
    <row r="61" spans="1:15" x14ac:dyDescent="0.2">
      <c r="A61" s="9" t="s">
        <v>405</v>
      </c>
      <c r="B61" s="1"/>
      <c r="C61" s="1"/>
      <c r="D61" s="1"/>
      <c r="E61" s="1"/>
      <c r="F61" s="1"/>
      <c r="G61" s="1"/>
      <c r="H61" s="1"/>
      <c r="I61" s="14"/>
      <c r="J61" s="1"/>
      <c r="K61" s="1"/>
      <c r="L61" s="1"/>
      <c r="M61" s="1"/>
      <c r="N61" s="1"/>
      <c r="O61" s="1" t="s">
        <v>406</v>
      </c>
    </row>
    <row r="62" spans="1:15" x14ac:dyDescent="0.2">
      <c r="A62" s="5" t="s">
        <v>215</v>
      </c>
      <c r="B62" s="3">
        <v>19079</v>
      </c>
      <c r="C62" s="3">
        <v>17576</v>
      </c>
      <c r="D62" s="3">
        <v>16601</v>
      </c>
      <c r="E62" s="3">
        <v>14681</v>
      </c>
      <c r="F62" s="3">
        <v>41862</v>
      </c>
      <c r="G62" s="3">
        <v>43889</v>
      </c>
      <c r="H62" s="3">
        <v>35873</v>
      </c>
      <c r="I62" s="11">
        <v>10187</v>
      </c>
      <c r="J62" s="3">
        <v>11222</v>
      </c>
      <c r="K62" s="1"/>
      <c r="L62" s="1"/>
      <c r="M62" s="1"/>
      <c r="N62" s="1" t="s">
        <v>216</v>
      </c>
      <c r="O62" s="1"/>
    </row>
    <row r="63" spans="1:15" x14ac:dyDescent="0.2">
      <c r="A63" s="5" t="s">
        <v>407</v>
      </c>
      <c r="B63" s="3">
        <v>8</v>
      </c>
      <c r="C63" s="3">
        <v>241</v>
      </c>
      <c r="D63" s="3">
        <v>149</v>
      </c>
      <c r="E63" s="3">
        <v>294</v>
      </c>
      <c r="F63" s="3">
        <v>99</v>
      </c>
      <c r="G63" s="3">
        <v>353</v>
      </c>
      <c r="H63" s="3">
        <v>837</v>
      </c>
      <c r="I63" s="11">
        <v>142</v>
      </c>
      <c r="J63" s="3">
        <v>597</v>
      </c>
      <c r="K63" s="1"/>
      <c r="L63" s="1"/>
      <c r="M63" s="1"/>
      <c r="N63" s="1" t="s">
        <v>408</v>
      </c>
      <c r="O63" s="1" t="s">
        <v>409</v>
      </c>
    </row>
    <row r="64" spans="1:15" x14ac:dyDescent="0.2">
      <c r="A64" s="5" t="s">
        <v>410</v>
      </c>
      <c r="B64" s="3">
        <v>192</v>
      </c>
      <c r="C64" s="3">
        <v>137</v>
      </c>
      <c r="D64" s="3">
        <v>115</v>
      </c>
      <c r="E64" s="3">
        <v>621</v>
      </c>
      <c r="F64" s="3">
        <v>866</v>
      </c>
      <c r="G64" s="3">
        <v>1196</v>
      </c>
      <c r="H64" s="3">
        <v>2390</v>
      </c>
      <c r="I64" s="11">
        <v>1612</v>
      </c>
      <c r="J64" s="3">
        <v>12535</v>
      </c>
      <c r="K64" s="1"/>
      <c r="L64" s="1"/>
      <c r="M64" s="1"/>
      <c r="N64" s="1" t="s">
        <v>411</v>
      </c>
      <c r="O64" s="1" t="s">
        <v>412</v>
      </c>
    </row>
    <row r="65" spans="1:15" x14ac:dyDescent="0.2">
      <c r="A65" s="7" t="s">
        <v>413</v>
      </c>
      <c r="B65" s="12">
        <v>19279</v>
      </c>
      <c r="C65" s="12">
        <v>17954</v>
      </c>
      <c r="D65" s="12">
        <v>16865</v>
      </c>
      <c r="E65" s="12">
        <v>15596</v>
      </c>
      <c r="F65" s="12">
        <v>42827</v>
      </c>
      <c r="G65" s="12">
        <v>45438</v>
      </c>
      <c r="H65" s="12">
        <v>39100</v>
      </c>
      <c r="I65" s="19">
        <v>11941</v>
      </c>
      <c r="J65" s="12">
        <v>24354</v>
      </c>
      <c r="K65" s="1"/>
      <c r="L65" s="1"/>
      <c r="M65" s="1"/>
      <c r="N65" s="1" t="s">
        <v>414</v>
      </c>
      <c r="O65" s="1" t="s">
        <v>415</v>
      </c>
    </row>
    <row r="66" spans="1:15" x14ac:dyDescent="0.2">
      <c r="A66" s="1"/>
      <c r="B66" s="1"/>
      <c r="C66" s="1"/>
      <c r="D66" s="1"/>
      <c r="E66" s="1"/>
      <c r="F66" s="1"/>
      <c r="G66" s="1"/>
      <c r="H66" s="1"/>
      <c r="I66" s="14"/>
      <c r="J66" s="1"/>
      <c r="K66" s="1"/>
      <c r="L66" s="1"/>
      <c r="M66" s="1"/>
      <c r="N66" s="1"/>
      <c r="O66" s="1"/>
    </row>
    <row r="67" spans="1:15" x14ac:dyDescent="0.2">
      <c r="A67" s="9" t="s">
        <v>416</v>
      </c>
      <c r="B67" s="1"/>
      <c r="C67" s="1"/>
      <c r="D67" s="1"/>
      <c r="E67" s="1"/>
      <c r="F67" s="1"/>
      <c r="G67" s="1"/>
      <c r="H67" s="1"/>
      <c r="I67" s="14"/>
      <c r="J67" s="1"/>
      <c r="K67" s="1"/>
      <c r="L67" s="1"/>
      <c r="M67" s="1"/>
      <c r="N67" s="1"/>
      <c r="O67" s="1"/>
    </row>
    <row r="68" spans="1:15" x14ac:dyDescent="0.2">
      <c r="A68" s="5" t="s">
        <v>417</v>
      </c>
      <c r="B68" s="3">
        <v>5182</v>
      </c>
      <c r="C68" s="3">
        <v>4229</v>
      </c>
      <c r="D68" s="3">
        <v>8525</v>
      </c>
      <c r="E68" s="3">
        <v>6407</v>
      </c>
      <c r="F68" s="3">
        <v>6607</v>
      </c>
      <c r="G68" s="3">
        <v>10554</v>
      </c>
      <c r="H68" s="3">
        <v>7578</v>
      </c>
      <c r="I68" s="11">
        <v>6293</v>
      </c>
      <c r="J68" s="3">
        <v>2926</v>
      </c>
      <c r="K68" s="1"/>
      <c r="L68" s="1"/>
      <c r="M68" s="1"/>
      <c r="N68" s="1" t="s">
        <v>418</v>
      </c>
      <c r="O68" s="1" t="s">
        <v>419</v>
      </c>
    </row>
    <row r="69" spans="1:15" x14ac:dyDescent="0.2">
      <c r="A69" s="5" t="s">
        <v>420</v>
      </c>
      <c r="B69" s="3"/>
      <c r="C69" s="3"/>
      <c r="D69" s="3"/>
      <c r="E69" s="3"/>
      <c r="F69" s="3">
        <v>448</v>
      </c>
      <c r="G69" s="3">
        <v>486</v>
      </c>
      <c r="H69" s="3">
        <v>696</v>
      </c>
      <c r="I69" s="11">
        <v>603</v>
      </c>
      <c r="J69" s="3">
        <v>1368</v>
      </c>
      <c r="K69" s="1"/>
      <c r="L69" s="1"/>
      <c r="M69" s="1"/>
      <c r="N69" s="1" t="s">
        <v>421</v>
      </c>
      <c r="O69" s="1"/>
    </row>
    <row r="70" spans="1:15" x14ac:dyDescent="0.2">
      <c r="A70" s="1"/>
      <c r="B70" s="1"/>
      <c r="C70" s="1"/>
      <c r="D70" s="1"/>
      <c r="E70" s="1"/>
      <c r="F70" s="1"/>
      <c r="G70" s="1"/>
      <c r="H70" s="1"/>
      <c r="I70" s="14"/>
      <c r="J70" s="1"/>
      <c r="K70" s="1"/>
      <c r="L70" s="1"/>
      <c r="M70" s="1"/>
      <c r="N70" s="1"/>
      <c r="O70" s="1"/>
    </row>
    <row r="71" spans="1:15" x14ac:dyDescent="0.2">
      <c r="A71" s="9" t="s">
        <v>422</v>
      </c>
      <c r="B71" s="1"/>
      <c r="C71" s="1"/>
      <c r="D71" s="1"/>
      <c r="E71" s="1"/>
      <c r="F71" s="1"/>
      <c r="G71" s="1"/>
      <c r="H71" s="1"/>
      <c r="I71" s="14"/>
      <c r="J71" s="1"/>
      <c r="K71" s="1"/>
      <c r="L71" s="1"/>
      <c r="M71" s="1"/>
      <c r="N71" s="1"/>
      <c r="O71" s="1" t="s">
        <v>423</v>
      </c>
    </row>
    <row r="72" spans="1:15" x14ac:dyDescent="0.2">
      <c r="A72" s="5" t="s">
        <v>424</v>
      </c>
      <c r="B72" s="3">
        <v>-153</v>
      </c>
      <c r="C72" s="3"/>
      <c r="D72" s="3"/>
      <c r="E72" s="3"/>
      <c r="F72" s="3"/>
      <c r="G72" s="3"/>
      <c r="H72" s="3"/>
      <c r="I72" s="11"/>
      <c r="J72" s="3"/>
      <c r="K72" s="1"/>
      <c r="L72" s="1"/>
      <c r="M72" s="1"/>
      <c r="N72" s="1" t="s">
        <v>425</v>
      </c>
      <c r="O72" s="1"/>
    </row>
    <row r="73" spans="1:15" x14ac:dyDescent="0.2">
      <c r="A73" s="5" t="s">
        <v>426</v>
      </c>
      <c r="B73" s="3">
        <v>1887</v>
      </c>
      <c r="C73" s="3">
        <v>2201</v>
      </c>
      <c r="D73" s="3">
        <v>3404</v>
      </c>
      <c r="E73" s="3">
        <v>3319</v>
      </c>
      <c r="F73" s="3">
        <v>4105</v>
      </c>
      <c r="G73" s="3">
        <v>7127</v>
      </c>
      <c r="H73" s="3">
        <v>9331</v>
      </c>
      <c r="I73" s="11">
        <v>9136</v>
      </c>
      <c r="J73" s="3">
        <v>21109</v>
      </c>
      <c r="K73" s="1"/>
      <c r="L73" s="1"/>
      <c r="M73" s="1"/>
      <c r="N73" s="1" t="s">
        <v>427</v>
      </c>
      <c r="O73" s="1" t="s">
        <v>428</v>
      </c>
    </row>
    <row r="74" spans="1:15" x14ac:dyDescent="0.2">
      <c r="A74" s="5" t="s">
        <v>429</v>
      </c>
      <c r="B74" s="3"/>
      <c r="C74" s="3">
        <v>118</v>
      </c>
      <c r="D74" s="3">
        <v>73</v>
      </c>
      <c r="E74" s="3">
        <v>291</v>
      </c>
      <c r="F74" s="3">
        <v>119</v>
      </c>
      <c r="G74" s="3">
        <v>172</v>
      </c>
      <c r="H74" s="3">
        <v>2659</v>
      </c>
      <c r="I74" s="11">
        <v>1931</v>
      </c>
      <c r="J74" s="3">
        <v>1593</v>
      </c>
      <c r="K74" s="1"/>
      <c r="L74" s="1"/>
      <c r="M74" s="1"/>
      <c r="N74" s="1" t="s">
        <v>430</v>
      </c>
      <c r="O74" s="1" t="s">
        <v>431</v>
      </c>
    </row>
    <row r="75" spans="1:15" x14ac:dyDescent="0.2">
      <c r="A75" s="5" t="s">
        <v>432</v>
      </c>
      <c r="B75" s="3"/>
      <c r="C75" s="3"/>
      <c r="D75" s="3">
        <v>508</v>
      </c>
      <c r="E75" s="3">
        <v>16</v>
      </c>
      <c r="F75" s="3">
        <v>15</v>
      </c>
      <c r="G75" s="3"/>
      <c r="H75" s="3"/>
      <c r="I75" s="11"/>
      <c r="J75" s="3"/>
      <c r="K75" s="1"/>
      <c r="L75" s="1"/>
      <c r="M75" s="1"/>
      <c r="N75" s="1" t="s">
        <v>433</v>
      </c>
      <c r="O75" s="1"/>
    </row>
    <row r="76" spans="1:15" x14ac:dyDescent="0.2">
      <c r="A76" s="5" t="s">
        <v>434</v>
      </c>
      <c r="B76" s="3"/>
      <c r="C76" s="3"/>
      <c r="D76" s="3">
        <v>340</v>
      </c>
      <c r="E76" s="3">
        <v>310</v>
      </c>
      <c r="F76" s="3">
        <v>474</v>
      </c>
      <c r="G76" s="3">
        <v>0</v>
      </c>
      <c r="H76" s="3"/>
      <c r="I76" s="11"/>
      <c r="J76" s="3"/>
      <c r="K76" s="1"/>
      <c r="L76" s="1"/>
      <c r="M76" s="1"/>
      <c r="N76" s="1" t="s">
        <v>435</v>
      </c>
      <c r="O76" s="1"/>
    </row>
    <row r="77" spans="1: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">
      <c r="A78" s="9" t="s">
        <v>189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">
      <c r="A79" s="5" t="s">
        <v>436</v>
      </c>
      <c r="B79" s="2">
        <f>B7+B10+B11+B12+B18+B21+B22+B23+B24+B25+B26+B27+B28-B29</f>
        <v>0</v>
      </c>
      <c r="C79" s="2">
        <f>C7+C10+C11+C12+C18+C21+C22+C23+C24+C25+C26+C27+C28-C29</f>
        <v>0</v>
      </c>
      <c r="D79" s="2">
        <f>D7+D10+D11+D12+D18+D21+D22+D23+D24+D25+D26+D27+D28-D29</f>
        <v>0</v>
      </c>
      <c r="E79" s="2">
        <f>E7+E10+E11+E12+E15+E16+E17+E18+E21+E22+E23+E24+E25+E26+E28-E29</f>
        <v>0</v>
      </c>
      <c r="F79" s="2">
        <f>F7+F10+F11+F12+F15+F16+F18+F21+F22+F23+F24+F25+F26+F28-F29</f>
        <v>0</v>
      </c>
      <c r="G79" s="2">
        <f>G7+G10+G11+G12+G15+G16+G18+G21+G22+G23+G24+G26+G28-G29</f>
        <v>0</v>
      </c>
      <c r="H79" s="2">
        <f>H7+H10+H11+H12+H14+H15+H18+H21+H22+H23+H24+H26+H28-H29</f>
        <v>0</v>
      </c>
      <c r="I79" s="2">
        <f>I7+I10+I11+I12+I13+I18+I21+I22+I23+I24+I26+I28-I29</f>
        <v>0</v>
      </c>
      <c r="J79" s="2">
        <f>J7+J10+J11+J12+J14+J18+J21+J22+J23+J24+J26+J28-J29</f>
        <v>0</v>
      </c>
      <c r="K79" s="1"/>
      <c r="L79" s="1"/>
      <c r="M79" s="1"/>
      <c r="N79" s="1"/>
      <c r="O79" s="1"/>
    </row>
    <row r="80" spans="1:15" x14ac:dyDescent="0.2">
      <c r="A80" s="5" t="s">
        <v>437</v>
      </c>
      <c r="B80" s="2">
        <f>B32+B34+B35+B36+B41+B42-B43</f>
        <v>0</v>
      </c>
      <c r="C80" s="2">
        <f>C32+C34+C35+C36+C40+C41+C42-C43</f>
        <v>0</v>
      </c>
      <c r="D80" s="2">
        <f>D32+D34+D35+D36+D40+D41+D42-D43</f>
        <v>0</v>
      </c>
      <c r="E80" s="2">
        <f>E32+E33+E34+E35+E36+E40+E41+E42-E43</f>
        <v>0</v>
      </c>
      <c r="F80" s="2">
        <f>F32+F33+F34+F37+F41+F42-F43</f>
        <v>0</v>
      </c>
      <c r="G80" s="2">
        <f>G32+G34+G37+G41+G42-G43</f>
        <v>0</v>
      </c>
      <c r="H80" s="2">
        <f>H32+H34+H37+H38+H39+H40+H41+H42-H43</f>
        <v>0</v>
      </c>
      <c r="I80" s="2">
        <f>I32+I34+I37+I38+I40+I41+I42-I43</f>
        <v>0</v>
      </c>
      <c r="J80" s="2">
        <f>J32+J34+J37+J38+J39+J40+J41+J42-J43</f>
        <v>0</v>
      </c>
      <c r="K80" s="1"/>
      <c r="L80" s="1"/>
      <c r="M80" s="1"/>
      <c r="N80" s="1"/>
      <c r="O80" s="1"/>
    </row>
    <row r="81" spans="1:15" x14ac:dyDescent="0.2">
      <c r="A81" s="5" t="s">
        <v>438</v>
      </c>
      <c r="B81" s="2">
        <f>B46+B47+B50+B51+B52-B53</f>
        <v>0</v>
      </c>
      <c r="C81" s="2">
        <f>C46+C47+C50+C51+C52-C53</f>
        <v>0</v>
      </c>
      <c r="D81" s="2">
        <f>D46+D47+D50+D51+D52-D53</f>
        <v>0</v>
      </c>
      <c r="E81" s="2">
        <f>E46+E47+E49+E50+E52-E53</f>
        <v>0</v>
      </c>
      <c r="F81" s="2">
        <f>F46+F47+F49+F50+F52-F53</f>
        <v>0</v>
      </c>
      <c r="G81" s="2">
        <f>G46+G47+G48+G49+G50+G52-G53</f>
        <v>0</v>
      </c>
      <c r="H81" s="2">
        <f>H46+H47+H48+H49+H50+H52-H53</f>
        <v>0</v>
      </c>
      <c r="I81" s="2">
        <f>I46+I47+I48+I49+I50+I52-I53</f>
        <v>0</v>
      </c>
      <c r="J81" s="2">
        <f>J46+J47+J48+J49+J50+J52-J53</f>
        <v>0</v>
      </c>
      <c r="K81" s="1"/>
      <c r="L81" s="1"/>
      <c r="M81" s="1"/>
      <c r="N81" s="1"/>
      <c r="O81" s="1"/>
    </row>
    <row r="82" spans="1:15" x14ac:dyDescent="0.2">
      <c r="A82" s="5" t="s">
        <v>439</v>
      </c>
      <c r="B82" s="2">
        <f t="shared" si="0" ref="B82:J82">B29+B43+B53+B55-B56</f>
        <v>0</v>
      </c>
      <c r="C82" s="2">
        <f t="shared" si="0"/>
        <v>0</v>
      </c>
      <c r="D82" s="2">
        <f t="shared" si="0"/>
        <v>0</v>
      </c>
      <c r="E82" s="2">
        <f t="shared" si="0"/>
        <v>0</v>
      </c>
      <c r="F82" s="2">
        <f t="shared" si="0"/>
        <v>0</v>
      </c>
      <c r="G82" s="2">
        <f t="shared" si="0"/>
        <v>0</v>
      </c>
      <c r="H82" s="2">
        <f t="shared" si="0"/>
        <v>0</v>
      </c>
      <c r="I82" s="2">
        <f t="shared" si="0"/>
        <v>0</v>
      </c>
      <c r="J82" s="2">
        <f t="shared" si="0"/>
        <v>0</v>
      </c>
      <c r="K82" s="1"/>
      <c r="L82" s="1"/>
      <c r="M82" s="1"/>
      <c r="N82" s="1"/>
      <c r="O82" s="1"/>
    </row>
    <row r="83" spans="1:15" x14ac:dyDescent="0.2">
      <c r="A83" s="5" t="s">
        <v>440</v>
      </c>
      <c r="B83" s="2">
        <f t="shared" si="1" ref="B83:J83">B58+B56-B59</f>
        <v>0</v>
      </c>
      <c r="C83" s="2">
        <f t="shared" si="1"/>
        <v>0</v>
      </c>
      <c r="D83" s="2">
        <f t="shared" si="1"/>
        <v>0</v>
      </c>
      <c r="E83" s="2">
        <f t="shared" si="1"/>
        <v>0</v>
      </c>
      <c r="F83" s="2">
        <f t="shared" si="1"/>
        <v>0</v>
      </c>
      <c r="G83" s="2">
        <f t="shared" si="1"/>
        <v>0</v>
      </c>
      <c r="H83" s="2">
        <f t="shared" si="1"/>
        <v>0</v>
      </c>
      <c r="I83" s="2">
        <f t="shared" si="1"/>
        <v>0</v>
      </c>
      <c r="J83" s="2">
        <f t="shared" si="1"/>
        <v>0</v>
      </c>
      <c r="K83" s="1"/>
      <c r="L83" s="1"/>
      <c r="M83" s="1"/>
      <c r="N83" s="1"/>
      <c r="O83" s="1"/>
    </row>
    <row r="84" spans="1:15" x14ac:dyDescent="0.2">
      <c r="A84" s="5" t="s">
        <v>441</v>
      </c>
      <c r="B84" s="2">
        <f t="shared" si="2" ref="B84:J84">B62+B63+B64-B65</f>
        <v>0</v>
      </c>
      <c r="C84" s="2">
        <f t="shared" si="2"/>
        <v>0</v>
      </c>
      <c r="D84" s="2">
        <f t="shared" si="2"/>
        <v>0</v>
      </c>
      <c r="E84" s="2">
        <f t="shared" si="2"/>
        <v>0</v>
      </c>
      <c r="F84" s="2">
        <f t="shared" si="2"/>
        <v>0</v>
      </c>
      <c r="G84" s="2">
        <f t="shared" si="2"/>
        <v>0</v>
      </c>
      <c r="H84" s="2">
        <f t="shared" si="2"/>
        <v>0</v>
      </c>
      <c r="I84" s="2">
        <f t="shared" si="2"/>
        <v>0</v>
      </c>
      <c r="J84" s="2">
        <f t="shared" si="2"/>
        <v>0</v>
      </c>
      <c r="K84" s="1"/>
      <c r="L84" s="1"/>
      <c r="M84" s="1"/>
      <c r="N84" s="1"/>
      <c r="O84" s="1"/>
    </row>
    <row r="85" spans="1:15" x14ac:dyDescent="0.2">
      <c r="A85" s="5" t="s">
        <v>442</v>
      </c>
      <c r="B85" s="2">
        <f t="shared" si="3" ref="B85:J85">B65-B59</f>
        <v>0</v>
      </c>
      <c r="C85" s="2">
        <f t="shared" si="3"/>
        <v>0</v>
      </c>
      <c r="D85" s="2">
        <f t="shared" si="3"/>
        <v>0</v>
      </c>
      <c r="E85" s="2">
        <f t="shared" si="3"/>
        <v>0</v>
      </c>
      <c r="F85" s="2">
        <f t="shared" si="3"/>
        <v>0</v>
      </c>
      <c r="G85" s="2">
        <f t="shared" si="3"/>
        <v>0</v>
      </c>
      <c r="H85" s="2">
        <f t="shared" si="3"/>
        <v>0</v>
      </c>
      <c r="I85" s="2">
        <f t="shared" si="3"/>
        <v>0</v>
      </c>
      <c r="J85" s="2">
        <f t="shared" si="3"/>
        <v>0</v>
      </c>
      <c r="K85" s="1"/>
      <c r="L85" s="1"/>
      <c r="M85" s="1"/>
      <c r="N85" s="1"/>
      <c r="O85" s="1"/>
    </row>
    <row r="86" spans="1:15" x14ac:dyDescent="0.2">
      <c r="A86" s="5" t="s">
        <v>443</v>
      </c>
      <c r="B86" s="2"/>
      <c r="C86" s="2">
        <f t="shared" si="4" ref="C86:H86">C58-B59</f>
        <v>0</v>
      </c>
      <c r="D86" s="2">
        <f t="shared" si="4"/>
        <v>0</v>
      </c>
      <c r="E86" s="2">
        <f t="shared" si="4"/>
        <v>0</v>
      </c>
      <c r="F86" s="2">
        <f t="shared" si="4"/>
        <v>0</v>
      </c>
      <c r="G86" s="2">
        <f t="shared" si="4"/>
        <v>0</v>
      </c>
      <c r="H86" s="2">
        <f t="shared" si="4"/>
        <v>0</v>
      </c>
      <c r="I86" s="2"/>
      <c r="J86" s="2">
        <f>J58-H59</f>
        <v>0</v>
      </c>
      <c r="K86" s="1"/>
      <c r="L86" s="1"/>
      <c r="M86" s="1"/>
      <c r="N86" s="1"/>
      <c r="O8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1D94-1DCF-8A43-BC45-B8B5AD3D9DF8}">
  <sheetPr>
    <tabColor rgb="FF6A7689"/>
  </sheetPr>
  <dimension ref="A1:O67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10" width="10" customWidth="1"/>
    <col min="11" max="12" width="1.33203125" customWidth="1"/>
    <col min="13" max="13" width="17.6640625" customWidth="1"/>
    <col min="14" max="14" width="42.6640625" customWidth="1"/>
    <col min="15" max="15" width="69.33203125" customWidth="1"/>
  </cols>
  <sheetData>
    <row r="1" spans="1:15" x14ac:dyDescent="0.2">
      <c r="A1" s="122" t="s">
        <v>444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445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 t="s">
        <v>139</v>
      </c>
      <c r="C3" s="1"/>
      <c r="D3" s="1"/>
      <c r="E3" s="1"/>
      <c r="F3" s="1"/>
      <c r="G3" s="1"/>
      <c r="H3" s="1"/>
      <c r="I3" s="1" t="s">
        <v>140</v>
      </c>
      <c r="J3" s="1"/>
      <c r="K3" s="1"/>
      <c r="L3" s="1"/>
      <c r="M3" s="1"/>
      <c r="N3" s="1"/>
      <c r="O3" s="1"/>
    </row>
    <row r="4" spans="1:15" x14ac:dyDescent="0.2">
      <c r="A4" s="125" t="s">
        <v>141</v>
      </c>
      <c r="B4" s="123" t="s">
        <v>42</v>
      </c>
      <c r="C4" s="123" t="s">
        <v>46</v>
      </c>
      <c r="D4" s="123" t="s">
        <v>50</v>
      </c>
      <c r="E4" s="123" t="s">
        <v>54</v>
      </c>
      <c r="F4" s="123" t="s">
        <v>58</v>
      </c>
      <c r="G4" s="123" t="s">
        <v>62</v>
      </c>
      <c r="H4" s="123" t="s">
        <v>66</v>
      </c>
      <c r="I4" s="127" t="s">
        <v>142</v>
      </c>
      <c r="J4" s="123" t="s">
        <v>143</v>
      </c>
      <c r="K4" s="1"/>
      <c r="L4" s="1"/>
      <c r="M4" s="126" t="s">
        <v>144</v>
      </c>
      <c r="N4" s="126" t="s">
        <v>145</v>
      </c>
      <c r="O4" s="126" t="s">
        <v>146</v>
      </c>
    </row>
    <row r="5" spans="1:15" x14ac:dyDescent="0.2">
      <c r="A5" s="1"/>
      <c r="B5" s="1"/>
      <c r="C5" s="1"/>
      <c r="D5" s="1"/>
      <c r="E5" s="1"/>
      <c r="F5" s="1"/>
      <c r="G5" s="1"/>
      <c r="H5" s="1"/>
      <c r="I5" s="14"/>
      <c r="J5" s="1"/>
      <c r="K5" s="1"/>
      <c r="L5" s="1"/>
      <c r="M5" s="1"/>
      <c r="N5" s="1"/>
      <c r="O5" s="1"/>
    </row>
    <row r="6" spans="1:15" x14ac:dyDescent="0.2">
      <c r="A6" s="9" t="s">
        <v>279</v>
      </c>
      <c r="B6" s="1"/>
      <c r="C6" s="1"/>
      <c r="D6" s="1"/>
      <c r="E6" s="1"/>
      <c r="F6" s="1"/>
      <c r="G6" s="1"/>
      <c r="H6" s="1"/>
      <c r="I6" s="14"/>
      <c r="J6" s="1"/>
      <c r="K6" s="1"/>
      <c r="L6" s="1"/>
      <c r="M6" s="1"/>
      <c r="N6" s="1"/>
      <c r="O6" s="1"/>
    </row>
    <row r="7" spans="1:15" x14ac:dyDescent="0.2">
      <c r="A7" s="5" t="s">
        <v>446</v>
      </c>
      <c r="B7" s="3">
        <v>84127</v>
      </c>
      <c r="C7" s="3">
        <v>101054</v>
      </c>
      <c r="D7" s="3">
        <v>128290</v>
      </c>
      <c r="E7" s="3">
        <v>124879</v>
      </c>
      <c r="F7" s="3">
        <v>125713</v>
      </c>
      <c r="G7" s="3">
        <v>153168</v>
      </c>
      <c r="H7" s="3">
        <v>182637</v>
      </c>
      <c r="I7" s="11">
        <v>182637</v>
      </c>
      <c r="J7" s="3">
        <v>217243</v>
      </c>
      <c r="K7" s="1"/>
      <c r="L7" s="1"/>
      <c r="M7" s="1"/>
      <c r="N7" s="1"/>
      <c r="O7" s="1"/>
    </row>
    <row r="8" spans="1:15" x14ac:dyDescent="0.2">
      <c r="A8" s="5" t="s">
        <v>170</v>
      </c>
      <c r="B8" s="3">
        <v>18485</v>
      </c>
      <c r="C8" s="3">
        <v>29146</v>
      </c>
      <c r="D8" s="3">
        <v>39370</v>
      </c>
      <c r="E8" s="3">
        <v>23200</v>
      </c>
      <c r="F8" s="3">
        <v>39098</v>
      </c>
      <c r="G8" s="3">
        <v>62360</v>
      </c>
      <c r="H8" s="3">
        <v>60458</v>
      </c>
      <c r="I8" s="11">
        <v>37690</v>
      </c>
      <c r="J8" s="3">
        <v>52481</v>
      </c>
      <c r="K8" s="1"/>
      <c r="L8" s="1"/>
      <c r="M8" s="1"/>
      <c r="N8" s="1"/>
      <c r="O8" s="1"/>
    </row>
    <row r="9" spans="1:15" x14ac:dyDescent="0.2">
      <c r="A9" s="5" t="s">
        <v>447</v>
      </c>
      <c r="B9" s="3">
        <v>271</v>
      </c>
      <c r="C9" s="3">
        <v>1416</v>
      </c>
      <c r="D9" s="3">
        <v>-1620</v>
      </c>
      <c r="E9" s="3">
        <v>-2837</v>
      </c>
      <c r="F9" s="3">
        <v>1375</v>
      </c>
      <c r="G9" s="3">
        <v>-942</v>
      </c>
      <c r="H9" s="3">
        <v>3368</v>
      </c>
      <c r="I9" s="11">
        <v>3256</v>
      </c>
      <c r="J9" s="3">
        <v>-1471</v>
      </c>
      <c r="K9" s="1"/>
      <c r="L9" s="1"/>
      <c r="M9" s="1"/>
      <c r="N9" s="1"/>
      <c r="O9" s="1" t="s">
        <v>448</v>
      </c>
    </row>
    <row r="10" spans="1:15" x14ac:dyDescent="0.2">
      <c r="A10" s="5" t="s">
        <v>449</v>
      </c>
      <c r="B10" s="3">
        <v>15</v>
      </c>
      <c r="C10" s="3"/>
      <c r="D10" s="3"/>
      <c r="E10" s="3"/>
      <c r="F10" s="3"/>
      <c r="G10" s="3"/>
      <c r="H10" s="3"/>
      <c r="I10" s="11"/>
      <c r="J10" s="3"/>
      <c r="K10" s="1"/>
      <c r="L10" s="1"/>
      <c r="M10" s="1"/>
      <c r="N10" s="1"/>
      <c r="O10" s="1"/>
    </row>
    <row r="11" spans="1:15" x14ac:dyDescent="0.2">
      <c r="A11" s="5" t="s">
        <v>450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11"/>
      <c r="J11" s="3"/>
      <c r="K11" s="1"/>
      <c r="L11" s="1"/>
      <c r="M11" s="1"/>
      <c r="N11" s="1"/>
      <c r="O11" s="1"/>
    </row>
    <row r="12" spans="1:15" x14ac:dyDescent="0.2">
      <c r="A12" s="5" t="s">
        <v>451</v>
      </c>
      <c r="B12" s="3"/>
      <c r="C12" s="3"/>
      <c r="D12" s="3"/>
      <c r="E12" s="3"/>
      <c r="F12" s="3"/>
      <c r="G12" s="3"/>
      <c r="H12" s="3">
        <v>450</v>
      </c>
      <c r="I12" s="11">
        <v>450</v>
      </c>
      <c r="J12" s="3"/>
      <c r="K12" s="1"/>
      <c r="L12" s="1"/>
      <c r="M12" s="1"/>
      <c r="N12" s="1"/>
      <c r="O12" s="1"/>
    </row>
    <row r="13" spans="1:15" x14ac:dyDescent="0.2">
      <c r="A13" s="5" t="s">
        <v>452</v>
      </c>
      <c r="B13" s="3">
        <v>-2581</v>
      </c>
      <c r="C13" s="3">
        <v>-3564</v>
      </c>
      <c r="D13" s="3">
        <v>-5515</v>
      </c>
      <c r="E13" s="3">
        <v>-3595</v>
      </c>
      <c r="F13" s="3">
        <v>-7012</v>
      </c>
      <c r="G13" s="3">
        <v>-13770</v>
      </c>
      <c r="H13" s="3">
        <v>-18400</v>
      </c>
      <c r="I13" s="11">
        <v>-14128</v>
      </c>
      <c r="J13" s="3">
        <v>-12768</v>
      </c>
      <c r="K13" s="1"/>
      <c r="L13" s="1"/>
      <c r="M13" s="1"/>
      <c r="N13" s="1"/>
      <c r="O13" s="1" t="s">
        <v>453</v>
      </c>
    </row>
    <row r="14" spans="1:15" x14ac:dyDescent="0.2">
      <c r="A14" s="5" t="s">
        <v>310</v>
      </c>
      <c r="B14" s="3">
        <v>4836</v>
      </c>
      <c r="C14" s="3">
        <v>6536</v>
      </c>
      <c r="D14" s="3">
        <v>9164</v>
      </c>
      <c r="E14" s="3">
        <v>11992</v>
      </c>
      <c r="F14" s="3">
        <v>14027</v>
      </c>
      <c r="G14" s="3">
        <v>16690</v>
      </c>
      <c r="H14" s="3">
        <v>20427</v>
      </c>
      <c r="I14" s="11">
        <v>14537</v>
      </c>
      <c r="J14" s="3">
        <v>21053</v>
      </c>
      <c r="K14" s="1"/>
      <c r="L14" s="1"/>
      <c r="M14" s="1"/>
      <c r="N14" s="1"/>
      <c r="O14" s="1"/>
    </row>
    <row r="15" spans="1:15" x14ac:dyDescent="0.2">
      <c r="A15" s="5" t="s">
        <v>454</v>
      </c>
      <c r="B15" s="3">
        <v>-4099</v>
      </c>
      <c r="C15" s="3">
        <v>-6298</v>
      </c>
      <c r="D15" s="3">
        <v>-44810</v>
      </c>
      <c r="E15" s="3">
        <v>-27926</v>
      </c>
      <c r="F15" s="3">
        <v>-20033</v>
      </c>
      <c r="G15" s="3">
        <v>-29754</v>
      </c>
      <c r="H15" s="3">
        <v>-26264</v>
      </c>
      <c r="I15" s="11">
        <v>-26319</v>
      </c>
      <c r="J15" s="3"/>
      <c r="K15" s="1"/>
      <c r="L15" s="1"/>
      <c r="M15" s="1"/>
      <c r="N15" s="1"/>
      <c r="O15" s="1"/>
    </row>
    <row r="16" spans="1:15" x14ac:dyDescent="0.2">
      <c r="A16" s="5" t="s">
        <v>455</v>
      </c>
      <c r="B16" s="3"/>
      <c r="C16" s="3"/>
      <c r="D16" s="3"/>
      <c r="E16" s="3"/>
      <c r="F16" s="3"/>
      <c r="G16" s="3">
        <v>-5121</v>
      </c>
      <c r="H16" s="3">
        <v>-5421</v>
      </c>
      <c r="I16" s="11">
        <v>-4052</v>
      </c>
      <c r="J16" s="3">
        <v>-4152</v>
      </c>
      <c r="K16" s="1"/>
      <c r="L16" s="1"/>
      <c r="M16" s="1"/>
      <c r="N16" s="1"/>
      <c r="O16" s="1" t="s">
        <v>456</v>
      </c>
    </row>
    <row r="17" spans="1:15" x14ac:dyDescent="0.2">
      <c r="A17" s="5" t="s">
        <v>327</v>
      </c>
      <c r="B17" s="3"/>
      <c r="C17" s="3"/>
      <c r="D17" s="3"/>
      <c r="E17" s="3"/>
      <c r="F17" s="3"/>
      <c r="G17" s="3">
        <v>6</v>
      </c>
      <c r="H17" s="3">
        <v>-12</v>
      </c>
      <c r="I17" s="11">
        <v>-5</v>
      </c>
      <c r="J17" s="3"/>
      <c r="K17" s="1"/>
      <c r="L17" s="1"/>
      <c r="M17" s="1"/>
      <c r="N17" s="1"/>
      <c r="O17" s="1"/>
    </row>
    <row r="18" spans="1:15" x14ac:dyDescent="0.2">
      <c r="A18" s="9" t="s">
        <v>457</v>
      </c>
      <c r="B18" s="12">
        <v>101054</v>
      </c>
      <c r="C18" s="12">
        <v>128290</v>
      </c>
      <c r="D18" s="12">
        <v>124879</v>
      </c>
      <c r="E18" s="12">
        <v>125713</v>
      </c>
      <c r="F18" s="12">
        <v>153168</v>
      </c>
      <c r="G18" s="12">
        <v>182637</v>
      </c>
      <c r="H18" s="12">
        <v>217243</v>
      </c>
      <c r="I18" s="19">
        <v>194066</v>
      </c>
      <c r="J18" s="12">
        <v>272386</v>
      </c>
      <c r="K18" s="1"/>
      <c r="L18" s="1"/>
      <c r="M18" s="1"/>
      <c r="N18" s="1"/>
      <c r="O18" s="1"/>
    </row>
    <row r="19" spans="1:15" x14ac:dyDescent="0.2">
      <c r="A19" s="1"/>
      <c r="B19" s="1"/>
      <c r="C19" s="1"/>
      <c r="D19" s="1"/>
      <c r="E19" s="1"/>
      <c r="F19" s="1"/>
      <c r="G19" s="1"/>
      <c r="H19" s="1"/>
      <c r="I19" s="14"/>
      <c r="J19" s="1"/>
      <c r="K19" s="1"/>
      <c r="L19" s="1"/>
      <c r="M19" s="1"/>
      <c r="N19" s="1"/>
      <c r="O19" s="1"/>
    </row>
    <row r="20" spans="1:15" x14ac:dyDescent="0.2">
      <c r="A20" s="9" t="s">
        <v>458</v>
      </c>
      <c r="B20" s="1"/>
      <c r="C20" s="1"/>
      <c r="D20" s="1"/>
      <c r="E20" s="1"/>
      <c r="F20" s="1"/>
      <c r="G20" s="1"/>
      <c r="H20" s="1"/>
      <c r="I20" s="14"/>
      <c r="J20" s="1"/>
      <c r="K20" s="1"/>
      <c r="L20" s="1"/>
      <c r="M20" s="1"/>
      <c r="N20" s="1"/>
      <c r="O20" s="1"/>
    </row>
    <row r="21" spans="1:15" x14ac:dyDescent="0.2">
      <c r="A21" s="5" t="s">
        <v>446</v>
      </c>
      <c r="B21" s="3">
        <v>2854</v>
      </c>
      <c r="C21" s="3">
        <v>2852</v>
      </c>
      <c r="D21" s="3">
        <v>2849</v>
      </c>
      <c r="E21" s="3">
        <v>2741</v>
      </c>
      <c r="F21" s="3">
        <v>2614</v>
      </c>
      <c r="G21" s="3">
        <v>2561</v>
      </c>
      <c r="H21" s="3">
        <v>2534</v>
      </c>
      <c r="I21" s="11">
        <v>2534</v>
      </c>
      <c r="J21" s="3">
        <v>2530</v>
      </c>
      <c r="K21" s="1"/>
      <c r="L21" s="1"/>
      <c r="M21" s="1"/>
      <c r="N21" s="1"/>
      <c r="O21" s="1"/>
    </row>
    <row r="22" spans="1:15" x14ac:dyDescent="0.2">
      <c r="A22" s="5" t="s">
        <v>449</v>
      </c>
      <c r="B22" s="3">
        <v>1</v>
      </c>
      <c r="C22" s="3"/>
      <c r="D22" s="3"/>
      <c r="E22" s="3"/>
      <c r="F22" s="3"/>
      <c r="G22" s="3"/>
      <c r="H22" s="3"/>
      <c r="I22" s="11"/>
      <c r="J22" s="3"/>
      <c r="K22" s="1"/>
      <c r="L22" s="1"/>
      <c r="M22" s="1"/>
      <c r="N22" s="1"/>
      <c r="O22" s="1"/>
    </row>
    <row r="23" spans="1:15" x14ac:dyDescent="0.2">
      <c r="A23" s="5" t="s">
        <v>450</v>
      </c>
      <c r="B23" s="3">
        <v>32</v>
      </c>
      <c r="C23" s="3">
        <v>38</v>
      </c>
      <c r="D23" s="3">
        <v>45</v>
      </c>
      <c r="E23" s="3"/>
      <c r="F23" s="3"/>
      <c r="G23" s="3"/>
      <c r="H23" s="3"/>
      <c r="I23" s="11"/>
      <c r="J23" s="3"/>
      <c r="K23" s="1"/>
      <c r="L23" s="1"/>
      <c r="M23" s="1"/>
      <c r="N23" s="1"/>
      <c r="O23" s="1"/>
    </row>
    <row r="24" spans="1:15" x14ac:dyDescent="0.2">
      <c r="A24" s="5" t="s">
        <v>451</v>
      </c>
      <c r="B24" s="3"/>
      <c r="C24" s="3"/>
      <c r="D24" s="3"/>
      <c r="E24" s="3">
        <v>54</v>
      </c>
      <c r="F24" s="3">
        <v>65</v>
      </c>
      <c r="G24" s="3">
        <v>65</v>
      </c>
      <c r="H24" s="3">
        <v>63</v>
      </c>
      <c r="I24" s="11">
        <v>47</v>
      </c>
      <c r="J24" s="3">
        <v>47</v>
      </c>
      <c r="K24" s="1"/>
      <c r="L24" s="1"/>
      <c r="M24" s="1"/>
      <c r="N24" s="1"/>
      <c r="O24" s="1"/>
    </row>
    <row r="25" spans="1:15" x14ac:dyDescent="0.2">
      <c r="A25" s="5" t="s">
        <v>452</v>
      </c>
      <c r="B25" s="3">
        <v>-13</v>
      </c>
      <c r="C25" s="3">
        <v>-14</v>
      </c>
      <c r="D25" s="3">
        <v>-17</v>
      </c>
      <c r="E25" s="3">
        <v>-20</v>
      </c>
      <c r="F25" s="3">
        <v>-26</v>
      </c>
      <c r="G25" s="3">
        <v>-27</v>
      </c>
      <c r="H25" s="3">
        <v>-27</v>
      </c>
      <c r="I25" s="11">
        <v>-20</v>
      </c>
      <c r="J25" s="3">
        <v>-21</v>
      </c>
      <c r="K25" s="1"/>
      <c r="L25" s="1"/>
      <c r="M25" s="1"/>
      <c r="N25" s="1"/>
      <c r="O25" s="1" t="s">
        <v>453</v>
      </c>
    </row>
    <row r="26" spans="1:15" x14ac:dyDescent="0.2">
      <c r="A26" s="5" t="s">
        <v>454</v>
      </c>
      <c r="B26" s="3">
        <v>-22</v>
      </c>
      <c r="C26" s="3">
        <v>-27</v>
      </c>
      <c r="D26" s="3">
        <v>-136</v>
      </c>
      <c r="E26" s="3">
        <v>-161</v>
      </c>
      <c r="F26" s="3">
        <v>-92</v>
      </c>
      <c r="G26" s="3">
        <v>-65</v>
      </c>
      <c r="H26" s="3">
        <v>-40</v>
      </c>
      <c r="I26" s="11">
        <v>-40</v>
      </c>
      <c r="J26" s="3"/>
      <c r="K26" s="1"/>
      <c r="L26" s="1"/>
      <c r="M26" s="1"/>
      <c r="N26" s="1"/>
      <c r="O26" s="1"/>
    </row>
    <row r="27" spans="1:15" x14ac:dyDescent="0.2">
      <c r="A27" s="9" t="s">
        <v>457</v>
      </c>
      <c r="B27" s="12">
        <v>2852</v>
      </c>
      <c r="C27" s="12">
        <v>2849</v>
      </c>
      <c r="D27" s="12">
        <v>2741</v>
      </c>
      <c r="E27" s="12">
        <v>2614</v>
      </c>
      <c r="F27" s="12">
        <v>2561</v>
      </c>
      <c r="G27" s="12">
        <v>2534</v>
      </c>
      <c r="H27" s="12">
        <v>2530</v>
      </c>
      <c r="I27" s="19">
        <v>2521</v>
      </c>
      <c r="J27" s="12">
        <v>2556</v>
      </c>
      <c r="K27" s="1"/>
      <c r="L27" s="1"/>
      <c r="M27" s="1"/>
      <c r="N27" s="1"/>
      <c r="O27" s="1"/>
    </row>
    <row r="28" spans="1:15" x14ac:dyDescent="0.2">
      <c r="A28" s="1"/>
      <c r="B28" s="1"/>
      <c r="C28" s="1"/>
      <c r="D28" s="1"/>
      <c r="E28" s="1"/>
      <c r="F28" s="1"/>
      <c r="G28" s="1"/>
      <c r="H28" s="1"/>
      <c r="I28" s="14"/>
      <c r="J28" s="1"/>
      <c r="K28" s="1"/>
      <c r="L28" s="1"/>
      <c r="M28" s="1"/>
      <c r="N28" s="1"/>
      <c r="O28" s="1"/>
    </row>
    <row r="29" spans="1:15" x14ac:dyDescent="0.2">
      <c r="A29" s="9" t="s">
        <v>459</v>
      </c>
      <c r="B29" s="1"/>
      <c r="C29" s="1"/>
      <c r="D29" s="1"/>
      <c r="E29" s="1"/>
      <c r="F29" s="1"/>
      <c r="G29" s="1"/>
      <c r="H29" s="1"/>
      <c r="I29" s="14"/>
      <c r="J29" s="1"/>
      <c r="K29" s="1"/>
      <c r="L29" s="1"/>
      <c r="M29" s="1"/>
      <c r="N29" s="1"/>
      <c r="O29" s="1"/>
    </row>
    <row r="30" spans="1:15" x14ac:dyDescent="0.2">
      <c r="A30" s="5" t="s">
        <v>446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11">
        <v>0</v>
      </c>
      <c r="J30" s="3"/>
      <c r="K30" s="1"/>
      <c r="L30" s="1"/>
      <c r="M30" s="1"/>
      <c r="N30" s="1"/>
      <c r="O30" s="1"/>
    </row>
    <row r="31" spans="1:15" x14ac:dyDescent="0.2">
      <c r="A31" s="9" t="s">
        <v>457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9">
        <v>0</v>
      </c>
      <c r="J31" s="12"/>
      <c r="K31" s="1"/>
      <c r="L31" s="1"/>
      <c r="M31" s="1"/>
      <c r="N31" s="1"/>
      <c r="O31" s="1"/>
    </row>
    <row r="32" spans="1:15" x14ac:dyDescent="0.2">
      <c r="A32" s="1"/>
      <c r="B32" s="1"/>
      <c r="C32" s="1"/>
      <c r="D32" s="1"/>
      <c r="E32" s="1"/>
      <c r="F32" s="1"/>
      <c r="G32" s="1"/>
      <c r="H32" s="1"/>
      <c r="I32" s="14"/>
      <c r="J32" s="1"/>
      <c r="K32" s="1"/>
      <c r="L32" s="1"/>
      <c r="M32" s="1"/>
      <c r="N32" s="1"/>
      <c r="O32" s="1"/>
    </row>
    <row r="33" spans="1:15" x14ac:dyDescent="0.2">
      <c r="A33" s="9" t="s">
        <v>272</v>
      </c>
      <c r="B33" s="1"/>
      <c r="C33" s="1"/>
      <c r="D33" s="1"/>
      <c r="E33" s="1"/>
      <c r="F33" s="1"/>
      <c r="G33" s="1"/>
      <c r="H33" s="1"/>
      <c r="I33" s="14"/>
      <c r="J33" s="1"/>
      <c r="K33" s="1"/>
      <c r="L33" s="1"/>
      <c r="M33" s="1"/>
      <c r="N33" s="1"/>
      <c r="O33" s="1"/>
    </row>
    <row r="34" spans="1:15" x14ac:dyDescent="0.2">
      <c r="A34" s="5" t="s">
        <v>446</v>
      </c>
      <c r="B34" s="3">
        <v>42906</v>
      </c>
      <c r="C34" s="3">
        <v>45851</v>
      </c>
      <c r="D34" s="3">
        <v>50018</v>
      </c>
      <c r="E34" s="3">
        <v>55811</v>
      </c>
      <c r="F34" s="3">
        <v>64444</v>
      </c>
      <c r="G34" s="3">
        <v>73253</v>
      </c>
      <c r="H34" s="3">
        <v>83228</v>
      </c>
      <c r="I34" s="11">
        <v>83228</v>
      </c>
      <c r="J34" s="3">
        <v>95793</v>
      </c>
      <c r="K34" s="1"/>
      <c r="L34" s="1"/>
      <c r="M34" s="1"/>
      <c r="N34" s="1"/>
      <c r="O34" s="1"/>
    </row>
    <row r="35" spans="1:15" x14ac:dyDescent="0.2">
      <c r="A35" s="5" t="s">
        <v>449</v>
      </c>
      <c r="B35" s="3">
        <v>15</v>
      </c>
      <c r="C35" s="3"/>
      <c r="D35" s="3"/>
      <c r="E35" s="3"/>
      <c r="F35" s="3"/>
      <c r="G35" s="3"/>
      <c r="H35" s="3"/>
      <c r="I35" s="11"/>
      <c r="J35" s="3"/>
      <c r="K35" s="1"/>
      <c r="L35" s="1"/>
      <c r="M35" s="1"/>
      <c r="N35" s="1"/>
      <c r="O35" s="1"/>
    </row>
    <row r="36" spans="1:15" x14ac:dyDescent="0.2">
      <c r="A36" s="5" t="s">
        <v>451</v>
      </c>
      <c r="B36" s="3"/>
      <c r="C36" s="3"/>
      <c r="D36" s="3"/>
      <c r="E36" s="3"/>
      <c r="F36" s="3"/>
      <c r="G36" s="3"/>
      <c r="H36" s="3">
        <v>450</v>
      </c>
      <c r="I36" s="11">
        <v>450</v>
      </c>
      <c r="J36" s="3"/>
      <c r="K36" s="1"/>
      <c r="L36" s="1"/>
      <c r="M36" s="1"/>
      <c r="N36" s="1"/>
      <c r="O36" s="1"/>
    </row>
    <row r="37" spans="1:15" x14ac:dyDescent="0.2">
      <c r="A37" s="5" t="s">
        <v>452</v>
      </c>
      <c r="B37" s="3">
        <v>-1906</v>
      </c>
      <c r="C37" s="3">
        <v>-2369</v>
      </c>
      <c r="D37" s="3">
        <v>-3371</v>
      </c>
      <c r="E37" s="3">
        <v>-3359</v>
      </c>
      <c r="F37" s="3">
        <v>-5218</v>
      </c>
      <c r="G37" s="3">
        <v>-6721</v>
      </c>
      <c r="H37" s="3">
        <v>-8312</v>
      </c>
      <c r="I37" s="11">
        <v>-5880</v>
      </c>
      <c r="J37" s="3">
        <v>-8602</v>
      </c>
      <c r="K37" s="1"/>
      <c r="L37" s="1"/>
      <c r="M37" s="1"/>
      <c r="N37" s="1"/>
      <c r="O37" s="1" t="s">
        <v>453</v>
      </c>
    </row>
    <row r="38" spans="1:15" x14ac:dyDescent="0.2">
      <c r="A38" s="5" t="s">
        <v>310</v>
      </c>
      <c r="B38" s="3">
        <v>4836</v>
      </c>
      <c r="C38" s="3">
        <v>6536</v>
      </c>
      <c r="D38" s="3">
        <v>9164</v>
      </c>
      <c r="E38" s="3">
        <v>11992</v>
      </c>
      <c r="F38" s="3">
        <v>14027</v>
      </c>
      <c r="G38" s="3">
        <v>16690</v>
      </c>
      <c r="H38" s="3">
        <v>20427</v>
      </c>
      <c r="I38" s="11">
        <v>14537</v>
      </c>
      <c r="J38" s="3">
        <v>21053</v>
      </c>
      <c r="K38" s="1"/>
      <c r="L38" s="1"/>
      <c r="M38" s="1"/>
      <c r="N38" s="1"/>
      <c r="O38" s="1"/>
    </row>
    <row r="39" spans="1:15" x14ac:dyDescent="0.2">
      <c r="A39" s="5" t="s">
        <v>327</v>
      </c>
      <c r="B39" s="3"/>
      <c r="C39" s="3"/>
      <c r="D39" s="3"/>
      <c r="E39" s="3"/>
      <c r="F39" s="3"/>
      <c r="G39" s="3">
        <v>6</v>
      </c>
      <c r="H39" s="3"/>
      <c r="I39" s="11">
        <v>-5</v>
      </c>
      <c r="J39" s="3"/>
      <c r="K39" s="1"/>
      <c r="L39" s="1"/>
      <c r="M39" s="1"/>
      <c r="N39" s="1"/>
      <c r="O39" s="1"/>
    </row>
    <row r="40" spans="1:15" x14ac:dyDescent="0.2">
      <c r="A40" s="9" t="s">
        <v>457</v>
      </c>
      <c r="B40" s="12">
        <v>45851</v>
      </c>
      <c r="C40" s="12">
        <v>50018</v>
      </c>
      <c r="D40" s="12">
        <v>55811</v>
      </c>
      <c r="E40" s="12">
        <v>64444</v>
      </c>
      <c r="F40" s="12">
        <v>73253</v>
      </c>
      <c r="G40" s="12">
        <v>83228</v>
      </c>
      <c r="H40" s="12">
        <v>95793</v>
      </c>
      <c r="I40" s="19">
        <v>92330</v>
      </c>
      <c r="J40" s="12">
        <v>108244</v>
      </c>
      <c r="K40" s="1"/>
      <c r="L40" s="1"/>
      <c r="M40" s="1"/>
      <c r="N40" s="1"/>
      <c r="O40" s="1" t="s">
        <v>460</v>
      </c>
    </row>
    <row r="41" spans="1:15" x14ac:dyDescent="0.2">
      <c r="A41" s="1"/>
      <c r="B41" s="1"/>
      <c r="C41" s="1"/>
      <c r="D41" s="1"/>
      <c r="E41" s="1"/>
      <c r="F41" s="1"/>
      <c r="G41" s="1"/>
      <c r="H41" s="1"/>
      <c r="I41" s="14"/>
      <c r="J41" s="1"/>
      <c r="K41" s="1"/>
      <c r="L41" s="1"/>
      <c r="M41" s="1"/>
      <c r="N41" s="1"/>
      <c r="O41" s="1"/>
    </row>
    <row r="42" spans="1:15" x14ac:dyDescent="0.2">
      <c r="A42" s="9" t="s">
        <v>274</v>
      </c>
      <c r="B42" s="1"/>
      <c r="C42" s="1"/>
      <c r="D42" s="1"/>
      <c r="E42" s="1"/>
      <c r="F42" s="1"/>
      <c r="G42" s="1"/>
      <c r="H42" s="1"/>
      <c r="I42" s="14"/>
      <c r="J42" s="1"/>
      <c r="K42" s="1"/>
      <c r="L42" s="1"/>
      <c r="M42" s="1"/>
      <c r="N42" s="1"/>
      <c r="O42" s="1"/>
    </row>
    <row r="43" spans="1:15" x14ac:dyDescent="0.2">
      <c r="A43" s="5" t="s">
        <v>446</v>
      </c>
      <c r="B43" s="3">
        <v>-760</v>
      </c>
      <c r="C43" s="3">
        <v>-489</v>
      </c>
      <c r="D43" s="3">
        <v>927</v>
      </c>
      <c r="E43" s="3">
        <v>-693</v>
      </c>
      <c r="F43" s="3">
        <v>-3530</v>
      </c>
      <c r="G43" s="3">
        <v>-2155</v>
      </c>
      <c r="H43" s="3">
        <v>-3097</v>
      </c>
      <c r="I43" s="11">
        <v>-3097</v>
      </c>
      <c r="J43" s="3">
        <v>271</v>
      </c>
      <c r="K43" s="1"/>
      <c r="L43" s="1"/>
      <c r="M43" s="1"/>
      <c r="N43" s="1"/>
      <c r="O43" s="1"/>
    </row>
    <row r="44" spans="1:15" x14ac:dyDescent="0.2">
      <c r="A44" s="5" t="s">
        <v>447</v>
      </c>
      <c r="B44" s="3">
        <v>271</v>
      </c>
      <c r="C44" s="3">
        <v>1416</v>
      </c>
      <c r="D44" s="3">
        <v>-1620</v>
      </c>
      <c r="E44" s="3">
        <v>-2837</v>
      </c>
      <c r="F44" s="3">
        <v>1375</v>
      </c>
      <c r="G44" s="3">
        <v>-942</v>
      </c>
      <c r="H44" s="3">
        <v>3368</v>
      </c>
      <c r="I44" s="11">
        <v>3256</v>
      </c>
      <c r="J44" s="3">
        <v>-1471</v>
      </c>
      <c r="K44" s="1"/>
      <c r="L44" s="1"/>
      <c r="M44" s="1"/>
      <c r="N44" s="1"/>
      <c r="O44" s="1" t="s">
        <v>448</v>
      </c>
    </row>
    <row r="45" spans="1:15" x14ac:dyDescent="0.2">
      <c r="A45" s="9" t="s">
        <v>457</v>
      </c>
      <c r="B45" s="12">
        <v>-489</v>
      </c>
      <c r="C45" s="12">
        <v>927</v>
      </c>
      <c r="D45" s="12">
        <v>-693</v>
      </c>
      <c r="E45" s="12">
        <v>-3530</v>
      </c>
      <c r="F45" s="12">
        <v>-2155</v>
      </c>
      <c r="G45" s="12">
        <v>-3097</v>
      </c>
      <c r="H45" s="12">
        <v>271</v>
      </c>
      <c r="I45" s="19">
        <v>159</v>
      </c>
      <c r="J45" s="12">
        <v>-1200</v>
      </c>
      <c r="K45" s="1"/>
      <c r="L45" s="1"/>
      <c r="M45" s="1"/>
      <c r="N45" s="1"/>
      <c r="O45" s="1"/>
    </row>
    <row r="46" spans="1:15" x14ac:dyDescent="0.2">
      <c r="A46" s="1"/>
      <c r="B46" s="1"/>
      <c r="C46" s="1"/>
      <c r="D46" s="1"/>
      <c r="E46" s="1"/>
      <c r="F46" s="1"/>
      <c r="G46" s="1"/>
      <c r="H46" s="1"/>
      <c r="I46" s="14"/>
      <c r="J46" s="1"/>
      <c r="K46" s="1"/>
      <c r="L46" s="1"/>
      <c r="M46" s="1"/>
      <c r="N46" s="1"/>
      <c r="O46" s="1"/>
    </row>
    <row r="47" spans="1:15" x14ac:dyDescent="0.2">
      <c r="A47" s="9" t="s">
        <v>277</v>
      </c>
      <c r="B47" s="1"/>
      <c r="C47" s="1"/>
      <c r="D47" s="1"/>
      <c r="E47" s="1"/>
      <c r="F47" s="1"/>
      <c r="G47" s="1"/>
      <c r="H47" s="1"/>
      <c r="I47" s="14"/>
      <c r="J47" s="1"/>
      <c r="K47" s="1"/>
      <c r="L47" s="1"/>
      <c r="M47" s="1"/>
      <c r="N47" s="1"/>
      <c r="O47" s="1"/>
    </row>
    <row r="48" spans="1:15" x14ac:dyDescent="0.2">
      <c r="A48" s="5" t="s">
        <v>446</v>
      </c>
      <c r="B48" s="3">
        <v>41981</v>
      </c>
      <c r="C48" s="3">
        <v>55692</v>
      </c>
      <c r="D48" s="3">
        <v>77345</v>
      </c>
      <c r="E48" s="3">
        <v>69761</v>
      </c>
      <c r="F48" s="3">
        <v>64799</v>
      </c>
      <c r="G48" s="3">
        <v>82070</v>
      </c>
      <c r="H48" s="3">
        <v>102506</v>
      </c>
      <c r="I48" s="11">
        <v>102506</v>
      </c>
      <c r="J48" s="3">
        <v>121179</v>
      </c>
      <c r="K48" s="1"/>
      <c r="L48" s="1"/>
      <c r="M48" s="1"/>
      <c r="N48" s="1"/>
      <c r="O48" s="1"/>
    </row>
    <row r="49" spans="1:15" x14ac:dyDescent="0.2">
      <c r="A49" s="5" t="s">
        <v>170</v>
      </c>
      <c r="B49" s="3">
        <v>18485</v>
      </c>
      <c r="C49" s="3">
        <v>29146</v>
      </c>
      <c r="D49" s="3">
        <v>39370</v>
      </c>
      <c r="E49" s="3">
        <v>23200</v>
      </c>
      <c r="F49" s="3">
        <v>39098</v>
      </c>
      <c r="G49" s="3">
        <v>62360</v>
      </c>
      <c r="H49" s="3">
        <v>60458</v>
      </c>
      <c r="I49" s="11">
        <v>37690</v>
      </c>
      <c r="J49" s="3">
        <v>52481</v>
      </c>
      <c r="K49" s="1"/>
      <c r="L49" s="1"/>
      <c r="M49" s="1"/>
      <c r="N49" s="1"/>
      <c r="O49" s="1"/>
    </row>
    <row r="50" spans="1:15" x14ac:dyDescent="0.2">
      <c r="A50" s="5" t="s">
        <v>452</v>
      </c>
      <c r="B50" s="3">
        <v>-675</v>
      </c>
      <c r="C50" s="3">
        <v>-1195</v>
      </c>
      <c r="D50" s="3">
        <v>-2144</v>
      </c>
      <c r="E50" s="3">
        <v>-236</v>
      </c>
      <c r="F50" s="3">
        <v>-1794</v>
      </c>
      <c r="G50" s="3">
        <v>-7049</v>
      </c>
      <c r="H50" s="3">
        <v>-10088</v>
      </c>
      <c r="I50" s="11">
        <v>-8248</v>
      </c>
      <c r="J50" s="3">
        <v>-4166</v>
      </c>
      <c r="K50" s="1"/>
      <c r="L50" s="1"/>
      <c r="M50" s="1"/>
      <c r="N50" s="1"/>
      <c r="O50" s="1" t="s">
        <v>453</v>
      </c>
    </row>
    <row r="51" spans="1:15" x14ac:dyDescent="0.2">
      <c r="A51" s="5" t="s">
        <v>454</v>
      </c>
      <c r="B51" s="3">
        <v>-4099</v>
      </c>
      <c r="C51" s="3">
        <v>-6298</v>
      </c>
      <c r="D51" s="3">
        <v>-44810</v>
      </c>
      <c r="E51" s="3">
        <v>-27926</v>
      </c>
      <c r="F51" s="3">
        <v>-20033</v>
      </c>
      <c r="G51" s="3">
        <v>-29754</v>
      </c>
      <c r="H51" s="3">
        <v>-26264</v>
      </c>
      <c r="I51" s="11">
        <v>-26319</v>
      </c>
      <c r="J51" s="3"/>
      <c r="K51" s="1"/>
      <c r="L51" s="1"/>
      <c r="M51" s="1"/>
      <c r="N51" s="1"/>
      <c r="O51" s="1"/>
    </row>
    <row r="52" spans="1:15" x14ac:dyDescent="0.2">
      <c r="A52" s="5" t="s">
        <v>455</v>
      </c>
      <c r="B52" s="3"/>
      <c r="C52" s="3"/>
      <c r="D52" s="3"/>
      <c r="E52" s="3"/>
      <c r="F52" s="3"/>
      <c r="G52" s="3">
        <v>-5121</v>
      </c>
      <c r="H52" s="3">
        <v>-5421</v>
      </c>
      <c r="I52" s="11">
        <v>-4052</v>
      </c>
      <c r="J52" s="3">
        <v>-4152</v>
      </c>
      <c r="K52" s="1"/>
      <c r="L52" s="1"/>
      <c r="M52" s="1"/>
      <c r="N52" s="1"/>
      <c r="O52" s="1" t="s">
        <v>456</v>
      </c>
    </row>
    <row r="53" spans="1:15" x14ac:dyDescent="0.2">
      <c r="A53" s="5" t="s">
        <v>327</v>
      </c>
      <c r="B53" s="3"/>
      <c r="C53" s="3"/>
      <c r="D53" s="3"/>
      <c r="E53" s="3"/>
      <c r="F53" s="3"/>
      <c r="G53" s="3"/>
      <c r="H53" s="3">
        <v>-12</v>
      </c>
      <c r="I53" s="11"/>
      <c r="J53" s="3"/>
      <c r="K53" s="1"/>
      <c r="L53" s="1"/>
      <c r="M53" s="1"/>
      <c r="N53" s="1"/>
      <c r="O53" s="1"/>
    </row>
    <row r="54" spans="1:15" x14ac:dyDescent="0.2">
      <c r="A54" s="9" t="s">
        <v>457</v>
      </c>
      <c r="B54" s="12">
        <v>55692</v>
      </c>
      <c r="C54" s="12">
        <v>77345</v>
      </c>
      <c r="D54" s="12">
        <v>69761</v>
      </c>
      <c r="E54" s="12">
        <v>64799</v>
      </c>
      <c r="F54" s="12">
        <v>82070</v>
      </c>
      <c r="G54" s="12">
        <v>102506</v>
      </c>
      <c r="H54" s="12">
        <v>121179</v>
      </c>
      <c r="I54" s="19">
        <v>101577</v>
      </c>
      <c r="J54" s="12">
        <v>165342</v>
      </c>
      <c r="K54" s="1"/>
      <c r="L54" s="1"/>
      <c r="M54" s="1"/>
      <c r="N54" s="1"/>
      <c r="O54" s="1"/>
    </row>
    <row r="55" spans="1:15" x14ac:dyDescent="0.2">
      <c r="A55" s="1"/>
      <c r="B55" s="1"/>
      <c r="C55" s="1"/>
      <c r="D55" s="1"/>
      <c r="E55" s="1"/>
      <c r="F55" s="1"/>
      <c r="G55" s="1"/>
      <c r="H55" s="1"/>
      <c r="I55" s="14"/>
      <c r="J55" s="1"/>
      <c r="K55" s="1"/>
      <c r="L55" s="1"/>
      <c r="M55" s="1"/>
      <c r="N55" s="1"/>
      <c r="O55" s="1"/>
    </row>
    <row r="56" spans="1:15" x14ac:dyDescent="0.2">
      <c r="A56" s="5" t="s">
        <v>461</v>
      </c>
      <c r="B56" s="23"/>
      <c r="C56" s="23"/>
      <c r="D56" s="23"/>
      <c r="E56" s="23"/>
      <c r="F56" s="23"/>
      <c r="G56" s="23">
        <v>2</v>
      </c>
      <c r="H56" s="23">
        <v>2.1</v>
      </c>
      <c r="I56" s="24">
        <v>1.575</v>
      </c>
      <c r="J56" s="23">
        <v>1.575</v>
      </c>
      <c r="K56" s="1"/>
      <c r="L56" s="1"/>
      <c r="M56" s="1"/>
      <c r="N56" s="1"/>
      <c r="O56" s="1"/>
    </row>
    <row r="57" spans="1: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">
      <c r="A58" s="9" t="s">
        <v>189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">
      <c r="A59" s="5" t="s">
        <v>462</v>
      </c>
      <c r="B59" s="2">
        <f>B7+B8+B9+B10+B11+B13+B14+B15-B18</f>
        <v>0</v>
      </c>
      <c r="C59" s="2">
        <f>C7+C8+C9+C11+C13+C14+C15-C18</f>
        <v>0</v>
      </c>
      <c r="D59" s="2">
        <f>D7+D8+D9+D11+D13+D14+D15-D18</f>
        <v>0</v>
      </c>
      <c r="E59" s="2">
        <f>E7+E8+E9+E13+E14+E15-E18</f>
        <v>0</v>
      </c>
      <c r="F59" s="2">
        <f>F7+F8+F9+F13+F14+F15-F18</f>
        <v>0</v>
      </c>
      <c r="G59" s="2">
        <f>G7+G8+G9+G13+G14+G15+G16+G17-G18</f>
        <v>0</v>
      </c>
      <c r="H59" s="2">
        <f>H7+H8+H9+H12+H13+H14+H15+H16+H17-H18</f>
        <v>0</v>
      </c>
      <c r="I59" s="2">
        <f>I7+I8+I9+I12+I13+I14+I15+I16+I17-I18</f>
        <v>0</v>
      </c>
      <c r="J59" s="2">
        <f>J7+J8+J9+J13+J14+J16-J18</f>
        <v>0</v>
      </c>
      <c r="K59" s="1"/>
      <c r="L59" s="1"/>
      <c r="M59" s="1"/>
      <c r="N59" s="1"/>
      <c r="O59" s="1"/>
    </row>
    <row r="60" spans="1:15" x14ac:dyDescent="0.2">
      <c r="A60" s="5" t="s">
        <v>463</v>
      </c>
      <c r="B60" s="2">
        <f>B21+B22+B23+B25+B26-B27</f>
        <v>0</v>
      </c>
      <c r="C60" s="2">
        <f>C21+C23+C25+C26-C27</f>
        <v>0</v>
      </c>
      <c r="D60" s="2">
        <f>D21+D23+D25+D26-D27</f>
        <v>0</v>
      </c>
      <c r="E60" s="2">
        <f>E21+E24+E25+E26-E27</f>
        <v>0</v>
      </c>
      <c r="F60" s="2">
        <f>F21+F24+F25+F26-F27</f>
        <v>0</v>
      </c>
      <c r="G60" s="2">
        <f>G21+G24+G25+G26-G27</f>
        <v>0</v>
      </c>
      <c r="H60" s="2">
        <f>H21+H24+H25+H26-H27</f>
        <v>0</v>
      </c>
      <c r="I60" s="2">
        <f>I21+I24+I25+I26-I27</f>
        <v>0</v>
      </c>
      <c r="J60" s="2">
        <f>J21+J24+J25-J27</f>
        <v>0</v>
      </c>
      <c r="K60" s="1"/>
      <c r="L60" s="1"/>
      <c r="M60" s="1"/>
      <c r="N60" s="1"/>
      <c r="O60" s="1"/>
    </row>
    <row r="61" spans="1:15" x14ac:dyDescent="0.2">
      <c r="A61" s="5" t="s">
        <v>464</v>
      </c>
      <c r="B61" s="2">
        <f t="shared" si="0" ref="B61:I61">B30+0-B31</f>
        <v>0</v>
      </c>
      <c r="C61" s="2">
        <f t="shared" si="0"/>
        <v>0</v>
      </c>
      <c r="D61" s="2">
        <f t="shared" si="0"/>
        <v>0</v>
      </c>
      <c r="E61" s="2">
        <f t="shared" si="0"/>
        <v>0</v>
      </c>
      <c r="F61" s="2">
        <f t="shared" si="0"/>
        <v>0</v>
      </c>
      <c r="G61" s="2">
        <f t="shared" si="0"/>
        <v>0</v>
      </c>
      <c r="H61" s="2">
        <f t="shared" si="0"/>
        <v>0</v>
      </c>
      <c r="I61" s="2">
        <f t="shared" si="0"/>
        <v>0</v>
      </c>
      <c r="J61" s="2"/>
      <c r="K61" s="1"/>
      <c r="L61" s="1"/>
      <c r="M61" s="1"/>
      <c r="N61" s="1"/>
      <c r="O61" s="1"/>
    </row>
    <row r="62" spans="1:15" x14ac:dyDescent="0.2">
      <c r="A62" s="5" t="s">
        <v>465</v>
      </c>
      <c r="B62" s="2">
        <f>B34+B35+B37+B38-B40</f>
        <v>0</v>
      </c>
      <c r="C62" s="2">
        <f>C34+C37+C38-C40</f>
        <v>0</v>
      </c>
      <c r="D62" s="2">
        <f>D34+D37+D38-D40</f>
        <v>0</v>
      </c>
      <c r="E62" s="2">
        <f>E34+E37+E38-E40</f>
        <v>0</v>
      </c>
      <c r="F62" s="2">
        <f>F34+F37+F38-F40</f>
        <v>0</v>
      </c>
      <c r="G62" s="2">
        <f>G34+G37+G38+G39-G40</f>
        <v>0</v>
      </c>
      <c r="H62" s="2">
        <f>H34+H36+H37+H38-H40</f>
        <v>0</v>
      </c>
      <c r="I62" s="2">
        <f>I34+I36+I37+I38+I39-I40</f>
        <v>0</v>
      </c>
      <c r="J62" s="2">
        <f>J34+J37+J38-J40</f>
        <v>0</v>
      </c>
      <c r="K62" s="1"/>
      <c r="L62" s="1"/>
      <c r="M62" s="1"/>
      <c r="N62" s="1"/>
      <c r="O62" s="1"/>
    </row>
    <row r="63" spans="1:15" x14ac:dyDescent="0.2">
      <c r="A63" s="5" t="s">
        <v>466</v>
      </c>
      <c r="B63" s="2">
        <f t="shared" si="1" ref="B63:J63">B43+B44-B45</f>
        <v>0</v>
      </c>
      <c r="C63" s="2">
        <f t="shared" si="1"/>
        <v>0</v>
      </c>
      <c r="D63" s="2">
        <f t="shared" si="1"/>
        <v>0</v>
      </c>
      <c r="E63" s="2">
        <f t="shared" si="1"/>
        <v>0</v>
      </c>
      <c r="F63" s="2">
        <f t="shared" si="1"/>
        <v>0</v>
      </c>
      <c r="G63" s="2">
        <f t="shared" si="1"/>
        <v>0</v>
      </c>
      <c r="H63" s="2">
        <f t="shared" si="1"/>
        <v>0</v>
      </c>
      <c r="I63" s="2">
        <f t="shared" si="1"/>
        <v>0</v>
      </c>
      <c r="J63" s="2">
        <f t="shared" si="1"/>
        <v>0</v>
      </c>
      <c r="K63" s="1"/>
      <c r="L63" s="1"/>
      <c r="M63" s="1"/>
      <c r="N63" s="1"/>
      <c r="O63" s="1"/>
    </row>
    <row r="64" spans="1:15" x14ac:dyDescent="0.2">
      <c r="A64" s="5" t="s">
        <v>467</v>
      </c>
      <c r="B64" s="2">
        <f>B48+B49+B50+B51-B54</f>
        <v>0</v>
      </c>
      <c r="C64" s="2">
        <f>C48+C49+C50+C51-C54</f>
        <v>0</v>
      </c>
      <c r="D64" s="2">
        <f>D48+D49+D50+D51-D54</f>
        <v>0</v>
      </c>
      <c r="E64" s="2">
        <f>E48+E49+E50+E51-E54</f>
        <v>0</v>
      </c>
      <c r="F64" s="2">
        <f>F48+F49+F50+F51-F54</f>
        <v>0</v>
      </c>
      <c r="G64" s="2">
        <f>G48+G49+G50+G51+G52-G54</f>
        <v>0</v>
      </c>
      <c r="H64" s="2">
        <f>H48+H49+H50+H51+H52+H53-H54</f>
        <v>0</v>
      </c>
      <c r="I64" s="2">
        <f>I48+I49+I50+I51+I52-I54</f>
        <v>0</v>
      </c>
      <c r="J64" s="2">
        <f>J48+J49+J50+J52-J54</f>
        <v>0</v>
      </c>
      <c r="K64" s="1"/>
      <c r="L64" s="1"/>
      <c r="M64" s="1"/>
      <c r="N64" s="1"/>
      <c r="O64" s="1"/>
    </row>
    <row r="65" spans="1:15" x14ac:dyDescent="0.2">
      <c r="A65" s="5" t="s">
        <v>468</v>
      </c>
      <c r="B65" s="2">
        <f t="shared" si="2" ref="B65:I65">B30+B34+B43+B48-B7</f>
        <v>0</v>
      </c>
      <c r="C65" s="2">
        <f t="shared" si="2"/>
        <v>0</v>
      </c>
      <c r="D65" s="2">
        <f t="shared" si="2"/>
        <v>0</v>
      </c>
      <c r="E65" s="2">
        <f t="shared" si="2"/>
        <v>0</v>
      </c>
      <c r="F65" s="2">
        <f t="shared" si="2"/>
        <v>0</v>
      </c>
      <c r="G65" s="2">
        <f t="shared" si="2"/>
        <v>0</v>
      </c>
      <c r="H65" s="2">
        <f t="shared" si="2"/>
        <v>0</v>
      </c>
      <c r="I65" s="2">
        <f t="shared" si="2"/>
        <v>0</v>
      </c>
      <c r="J65" s="2">
        <f>J34+J43+J48-J7</f>
        <v>0</v>
      </c>
      <c r="K65" s="1"/>
      <c r="L65" s="1"/>
      <c r="M65" s="1"/>
      <c r="N65" s="1"/>
      <c r="O65" s="1"/>
    </row>
    <row r="66" spans="1:15" x14ac:dyDescent="0.2">
      <c r="A66" s="5" t="s">
        <v>469</v>
      </c>
      <c r="B66" s="2">
        <f t="shared" si="3" ref="B66:I66">B31+B40+B45+B54-B18</f>
        <v>0</v>
      </c>
      <c r="C66" s="2">
        <f t="shared" si="3"/>
        <v>0</v>
      </c>
      <c r="D66" s="2">
        <f t="shared" si="3"/>
        <v>0</v>
      </c>
      <c r="E66" s="2">
        <f t="shared" si="3"/>
        <v>0</v>
      </c>
      <c r="F66" s="2">
        <f t="shared" si="3"/>
        <v>0</v>
      </c>
      <c r="G66" s="2">
        <f t="shared" si="3"/>
        <v>0</v>
      </c>
      <c r="H66" s="2">
        <f t="shared" si="3"/>
        <v>0</v>
      </c>
      <c r="I66" s="2">
        <f t="shared" si="3"/>
        <v>0</v>
      </c>
      <c r="J66" s="2">
        <f>J40+J45+J54-J18</f>
        <v>0</v>
      </c>
      <c r="K66" s="1"/>
      <c r="L66" s="1"/>
      <c r="M66" s="1"/>
      <c r="N66" s="1"/>
      <c r="O66" s="1"/>
    </row>
    <row r="67" spans="1:15" x14ac:dyDescent="0.2">
      <c r="A67" s="5" t="s">
        <v>470</v>
      </c>
      <c r="B67" s="2"/>
      <c r="C67" s="2">
        <f t="shared" si="4" ref="C67:H67">C7-B18</f>
        <v>0</v>
      </c>
      <c r="D67" s="2">
        <f t="shared" si="4"/>
        <v>0</v>
      </c>
      <c r="E67" s="2">
        <f t="shared" si="4"/>
        <v>0</v>
      </c>
      <c r="F67" s="2">
        <f t="shared" si="4"/>
        <v>0</v>
      </c>
      <c r="G67" s="2">
        <f t="shared" si="4"/>
        <v>0</v>
      </c>
      <c r="H67" s="2">
        <f t="shared" si="4"/>
        <v>0</v>
      </c>
      <c r="I67" s="2">
        <f>I7-G18</f>
        <v>0</v>
      </c>
      <c r="J67" s="2">
        <f>J7-H18</f>
        <v>0</v>
      </c>
      <c r="K67" s="1"/>
      <c r="L67" s="1"/>
      <c r="M67" s="1"/>
      <c r="N67" s="1"/>
      <c r="O6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D2DE-6A07-5D42-A1AD-31B4ECC26D48}">
  <sheetPr>
    <tabColor rgb="FF6A7689"/>
  </sheetPr>
  <dimension ref="A1:O68"/>
  <sheetViews>
    <sheetView showGridLines="0" workbookViewId="0">
      <selection activeCell="A12" sqref="A12"/>
    </sheetView>
  </sheetViews>
  <sheetFormatPr baseColWidth="10" defaultColWidth="8.33203125" defaultRowHeight="15" x14ac:dyDescent="0.2"/>
  <cols>
    <col min="1" max="1" width="77.6640625" customWidth="1"/>
    <col min="2" max="10" width="10" customWidth="1"/>
    <col min="11" max="12" width="1.33203125" customWidth="1"/>
    <col min="13" max="13" width="17.6640625" customWidth="1"/>
    <col min="14" max="14" width="49.33203125" customWidth="1"/>
    <col min="15" max="15" width="86" customWidth="1"/>
  </cols>
  <sheetData>
    <row r="1" spans="1:15" x14ac:dyDescent="0.2">
      <c r="A1" s="122" t="s">
        <v>471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2">
      <c r="A2" s="25" t="s">
        <v>472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x14ac:dyDescent="0.2">
      <c r="A3" s="25"/>
      <c r="B3" s="25" t="s">
        <v>473</v>
      </c>
      <c r="C3" s="25"/>
      <c r="D3" s="25"/>
      <c r="E3" s="25"/>
      <c r="F3" s="25"/>
      <c r="G3" s="25"/>
      <c r="H3" s="25"/>
      <c r="I3" s="25" t="s">
        <v>474</v>
      </c>
      <c r="J3" s="25"/>
      <c r="K3" s="25"/>
      <c r="L3" s="25"/>
      <c r="M3" s="25"/>
      <c r="N3" s="25"/>
      <c r="O3" s="25"/>
    </row>
    <row r="4" spans="1:15" x14ac:dyDescent="0.2">
      <c r="A4" s="125" t="s">
        <v>141</v>
      </c>
      <c r="B4" s="123" t="s">
        <v>42</v>
      </c>
      <c r="C4" s="123" t="s">
        <v>46</v>
      </c>
      <c r="D4" s="123" t="s">
        <v>50</v>
      </c>
      <c r="E4" s="123" t="s">
        <v>54</v>
      </c>
      <c r="F4" s="123" t="s">
        <v>58</v>
      </c>
      <c r="G4" s="123" t="s">
        <v>62</v>
      </c>
      <c r="H4" s="123" t="s">
        <v>66</v>
      </c>
      <c r="I4" s="130" t="s">
        <v>142</v>
      </c>
      <c r="J4" s="123" t="s">
        <v>143</v>
      </c>
      <c r="K4" s="25"/>
      <c r="L4" s="25"/>
      <c r="M4" s="126" t="s">
        <v>144</v>
      </c>
      <c r="N4" s="126" t="s">
        <v>475</v>
      </c>
      <c r="O4" s="126" t="s">
        <v>476</v>
      </c>
    </row>
    <row r="5" spans="1:15" x14ac:dyDescent="0.2">
      <c r="A5" s="25"/>
      <c r="B5" s="25"/>
      <c r="C5" s="25"/>
      <c r="D5" s="25"/>
      <c r="E5" s="25"/>
      <c r="F5" s="25"/>
      <c r="G5" s="25"/>
      <c r="H5" s="25"/>
      <c r="I5" s="41"/>
      <c r="J5" s="25"/>
      <c r="K5" s="25"/>
      <c r="L5" s="25"/>
      <c r="M5" s="25"/>
      <c r="N5" s="25"/>
      <c r="O5" s="25"/>
    </row>
    <row r="6" spans="1:15" x14ac:dyDescent="0.2">
      <c r="A6" s="45" t="s">
        <v>477</v>
      </c>
      <c r="B6" s="25"/>
      <c r="C6" s="25"/>
      <c r="D6" s="25"/>
      <c r="E6" s="25"/>
      <c r="F6" s="25"/>
      <c r="G6" s="25"/>
      <c r="H6" s="25"/>
      <c r="I6" s="41"/>
      <c r="J6" s="25"/>
      <c r="K6" s="25"/>
      <c r="L6" s="25"/>
      <c r="M6" s="25"/>
      <c r="N6" s="25"/>
      <c r="O6" s="25"/>
    </row>
    <row r="7" spans="1:15" x14ac:dyDescent="0.2">
      <c r="A7" s="30" t="s">
        <v>478</v>
      </c>
      <c r="B7" s="26">
        <v>69655</v>
      </c>
      <c r="C7" s="26">
        <v>84169</v>
      </c>
      <c r="D7" s="26">
        <v>114934</v>
      </c>
      <c r="E7" s="26">
        <v>113642</v>
      </c>
      <c r="F7" s="26">
        <v>131948</v>
      </c>
      <c r="G7" s="26">
        <v>160633</v>
      </c>
      <c r="H7" s="26">
        <v>196175</v>
      </c>
      <c r="I7" s="39">
        <v>138037</v>
      </c>
      <c r="J7" s="26">
        <v>177449</v>
      </c>
      <c r="K7" s="25"/>
      <c r="L7" s="25"/>
      <c r="M7" s="25"/>
      <c r="N7" s="25" t="s">
        <v>479</v>
      </c>
      <c r="O7" s="25"/>
    </row>
    <row r="8" spans="1:15" x14ac:dyDescent="0.2">
      <c r="A8" s="30" t="s">
        <v>480</v>
      </c>
      <c r="B8" s="26">
        <v>541</v>
      </c>
      <c r="C8" s="26">
        <v>657</v>
      </c>
      <c r="D8" s="26">
        <v>721</v>
      </c>
      <c r="E8" s="26">
        <v>808</v>
      </c>
      <c r="F8" s="26">
        <v>1058</v>
      </c>
      <c r="G8" s="26">
        <v>1722</v>
      </c>
      <c r="H8" s="26">
        <v>2584</v>
      </c>
      <c r="I8" s="39">
        <v>1784</v>
      </c>
      <c r="J8" s="26">
        <v>2987</v>
      </c>
      <c r="K8" s="25"/>
      <c r="L8" s="25"/>
      <c r="M8" s="25"/>
      <c r="N8" s="25" t="s">
        <v>479</v>
      </c>
      <c r="O8" s="25" t="s">
        <v>481</v>
      </c>
    </row>
    <row r="9" spans="1:15" x14ac:dyDescent="0.2">
      <c r="A9" s="45" t="s">
        <v>482</v>
      </c>
      <c r="B9" s="43">
        <v>70196</v>
      </c>
      <c r="C9" s="43">
        <v>84826</v>
      </c>
      <c r="D9" s="43">
        <v>115655</v>
      </c>
      <c r="E9" s="43">
        <v>114450</v>
      </c>
      <c r="F9" s="43">
        <v>133006</v>
      </c>
      <c r="G9" s="43">
        <v>162355</v>
      </c>
      <c r="H9" s="43">
        <v>198759</v>
      </c>
      <c r="I9" s="52">
        <v>139821</v>
      </c>
      <c r="J9" s="43">
        <v>180436</v>
      </c>
      <c r="K9" s="25"/>
      <c r="L9" s="25"/>
      <c r="M9" s="25"/>
      <c r="N9" s="25" t="s">
        <v>479</v>
      </c>
      <c r="O9" s="25" t="s">
        <v>483</v>
      </c>
    </row>
    <row r="10" spans="1:15" x14ac:dyDescent="0.2">
      <c r="A10" s="48" t="s">
        <v>484</v>
      </c>
      <c r="B10" s="26">
        <v>501</v>
      </c>
      <c r="C10" s="26">
        <v>1139</v>
      </c>
      <c r="D10" s="26">
        <v>2274</v>
      </c>
      <c r="E10" s="26">
        <v>2159</v>
      </c>
      <c r="F10" s="26">
        <v>1896</v>
      </c>
      <c r="G10" s="26">
        <v>2146</v>
      </c>
      <c r="H10" s="26">
        <v>2207</v>
      </c>
      <c r="I10" s="39">
        <v>1252</v>
      </c>
      <c r="J10" s="26">
        <v>1276</v>
      </c>
      <c r="K10" s="25"/>
      <c r="L10" s="25"/>
      <c r="M10" s="25"/>
      <c r="N10" s="25" t="s">
        <v>479</v>
      </c>
      <c r="O10" s="25" t="s">
        <v>485</v>
      </c>
    </row>
    <row r="11" spans="1:15" x14ac:dyDescent="0.2">
      <c r="A11" s="49" t="s">
        <v>486</v>
      </c>
      <c r="B11" s="31">
        <v>70697</v>
      </c>
      <c r="C11" s="31">
        <v>85965</v>
      </c>
      <c r="D11" s="31">
        <v>117929</v>
      </c>
      <c r="E11" s="31">
        <v>116609</v>
      </c>
      <c r="F11" s="31">
        <v>134902</v>
      </c>
      <c r="G11" s="31">
        <v>164501</v>
      </c>
      <c r="H11" s="31">
        <v>200966</v>
      </c>
      <c r="I11" s="51">
        <v>141073</v>
      </c>
      <c r="J11" s="31">
        <v>181712</v>
      </c>
      <c r="K11" s="25"/>
      <c r="L11" s="25"/>
      <c r="M11" s="25"/>
      <c r="N11" s="25" t="s">
        <v>479</v>
      </c>
      <c r="O11" s="25"/>
    </row>
    <row r="12" spans="1:15" x14ac:dyDescent="0.2">
      <c r="A12" s="25"/>
      <c r="B12" s="25"/>
      <c r="C12" s="25"/>
      <c r="D12" s="25"/>
      <c r="E12" s="25"/>
      <c r="F12" s="25"/>
      <c r="G12" s="25"/>
      <c r="H12" s="25"/>
      <c r="I12" s="41"/>
      <c r="J12" s="25"/>
      <c r="K12" s="25"/>
      <c r="L12" s="25"/>
      <c r="M12" s="25"/>
      <c r="N12" s="25"/>
      <c r="O12" s="25"/>
    </row>
    <row r="13" spans="1:15" x14ac:dyDescent="0.2">
      <c r="A13" s="30" t="s">
        <v>487</v>
      </c>
      <c r="B13" s="26">
        <v>1042</v>
      </c>
      <c r="C13" s="26">
        <v>1796</v>
      </c>
      <c r="D13" s="26"/>
      <c r="E13" s="26"/>
      <c r="F13" s="26"/>
      <c r="G13" s="26"/>
      <c r="H13" s="26"/>
      <c r="I13" s="39"/>
      <c r="J13" s="26"/>
      <c r="K13" s="25"/>
      <c r="L13" s="25"/>
      <c r="M13" s="25"/>
      <c r="N13" s="25" t="s">
        <v>479</v>
      </c>
      <c r="O13" s="25" t="s">
        <v>488</v>
      </c>
    </row>
    <row r="14" spans="1:15" x14ac:dyDescent="0.2">
      <c r="A14" s="30" t="s">
        <v>489</v>
      </c>
      <c r="B14" s="44">
        <f>IS_Hist!B6</f>
        <v>70697</v>
      </c>
      <c r="C14" s="44">
        <f>IS_Hist!C6</f>
        <v>85965</v>
      </c>
      <c r="D14" s="44">
        <f>IS_Hist!D6</f>
        <v>117929</v>
      </c>
      <c r="E14" s="44">
        <f>IS_Hist!E6</f>
        <v>116609</v>
      </c>
      <c r="F14" s="44">
        <f>IS_Hist!F6</f>
        <v>134902</v>
      </c>
      <c r="G14" s="44">
        <f>IS_Hist!G6</f>
        <v>164501</v>
      </c>
      <c r="H14" s="44">
        <f>IS_Hist!H6</f>
        <v>200966</v>
      </c>
      <c r="I14" s="50">
        <f>IS_Hist!I6</f>
        <v>141073</v>
      </c>
      <c r="J14" s="44">
        <f>IS_Hist!J6</f>
        <v>181712</v>
      </c>
      <c r="K14" s="25"/>
      <c r="L14" s="25"/>
      <c r="M14" s="25"/>
      <c r="N14" s="25"/>
      <c r="O14" s="25"/>
    </row>
    <row r="15" spans="1:15" x14ac:dyDescent="0.2">
      <c r="A15" s="25"/>
      <c r="B15" s="25"/>
      <c r="C15" s="25"/>
      <c r="D15" s="25"/>
      <c r="E15" s="25"/>
      <c r="F15" s="25"/>
      <c r="G15" s="25"/>
      <c r="H15" s="25"/>
      <c r="I15" s="41"/>
      <c r="J15" s="25"/>
      <c r="K15" s="25"/>
      <c r="L15" s="25"/>
      <c r="M15" s="25"/>
      <c r="N15" s="25"/>
      <c r="O15" s="25"/>
    </row>
    <row r="16" spans="1:15" x14ac:dyDescent="0.2">
      <c r="A16" s="45" t="s">
        <v>490</v>
      </c>
      <c r="B16" s="25"/>
      <c r="C16" s="25"/>
      <c r="D16" s="25"/>
      <c r="E16" s="25"/>
      <c r="F16" s="25"/>
      <c r="G16" s="25"/>
      <c r="H16" s="25"/>
      <c r="I16" s="41"/>
      <c r="J16" s="25"/>
      <c r="K16" s="25"/>
      <c r="L16" s="25"/>
      <c r="M16" s="25"/>
      <c r="N16" s="25"/>
      <c r="O16" s="25" t="s">
        <v>491</v>
      </c>
    </row>
    <row r="17" spans="1:15" x14ac:dyDescent="0.2">
      <c r="A17" s="30" t="s">
        <v>492</v>
      </c>
      <c r="B17" s="26">
        <v>32206</v>
      </c>
      <c r="C17" s="26">
        <v>38433</v>
      </c>
      <c r="D17" s="26">
        <v>51541</v>
      </c>
      <c r="E17" s="26">
        <v>50150</v>
      </c>
      <c r="F17" s="26">
        <v>52888</v>
      </c>
      <c r="G17" s="26">
        <v>63207</v>
      </c>
      <c r="H17" s="26">
        <v>78866</v>
      </c>
      <c r="I17" s="39">
        <v>55031</v>
      </c>
      <c r="J17" s="26">
        <v>71346</v>
      </c>
      <c r="K17" s="25"/>
      <c r="L17" s="25"/>
      <c r="M17" s="25"/>
      <c r="N17" s="25" t="s">
        <v>493</v>
      </c>
      <c r="O17" s="25"/>
    </row>
    <row r="18" spans="1:15" x14ac:dyDescent="0.2">
      <c r="A18" s="30" t="s">
        <v>494</v>
      </c>
      <c r="B18" s="26">
        <v>16826</v>
      </c>
      <c r="C18" s="26">
        <v>20349</v>
      </c>
      <c r="D18" s="26">
        <v>29057</v>
      </c>
      <c r="E18" s="26">
        <v>26681</v>
      </c>
      <c r="F18" s="26">
        <v>31210</v>
      </c>
      <c r="G18" s="26">
        <v>38361</v>
      </c>
      <c r="H18" s="26">
        <v>46569</v>
      </c>
      <c r="I18" s="39">
        <v>32315</v>
      </c>
      <c r="J18" s="26">
        <v>41272</v>
      </c>
      <c r="K18" s="25"/>
      <c r="L18" s="25"/>
      <c r="M18" s="25"/>
      <c r="N18" s="25" t="s">
        <v>493</v>
      </c>
      <c r="O18" s="25" t="s">
        <v>495</v>
      </c>
    </row>
    <row r="19" spans="1:15" x14ac:dyDescent="0.2">
      <c r="A19" s="30" t="s">
        <v>496</v>
      </c>
      <c r="B19" s="26">
        <v>15406</v>
      </c>
      <c r="C19" s="26">
        <v>19848</v>
      </c>
      <c r="D19" s="26">
        <v>26739</v>
      </c>
      <c r="E19" s="26">
        <v>27760</v>
      </c>
      <c r="F19" s="26">
        <v>36154</v>
      </c>
      <c r="G19" s="26">
        <v>45009</v>
      </c>
      <c r="H19" s="26">
        <v>53817</v>
      </c>
      <c r="I19" s="39">
        <v>38401</v>
      </c>
      <c r="J19" s="26">
        <v>48511</v>
      </c>
      <c r="K19" s="25"/>
      <c r="L19" s="25"/>
      <c r="M19" s="25"/>
      <c r="N19" s="25" t="s">
        <v>493</v>
      </c>
      <c r="O19" s="25"/>
    </row>
    <row r="20" spans="1:15" x14ac:dyDescent="0.2">
      <c r="A20" s="30" t="s">
        <v>497</v>
      </c>
      <c r="B20" s="26">
        <v>6259</v>
      </c>
      <c r="C20" s="26">
        <v>7335</v>
      </c>
      <c r="D20" s="26">
        <v>10592</v>
      </c>
      <c r="E20" s="26">
        <v>12018</v>
      </c>
      <c r="F20" s="26">
        <v>14650</v>
      </c>
      <c r="G20" s="26">
        <v>17924</v>
      </c>
      <c r="H20" s="26">
        <v>21714</v>
      </c>
      <c r="I20" s="39">
        <v>15326</v>
      </c>
      <c r="J20" s="26">
        <v>20583</v>
      </c>
      <c r="K20" s="25"/>
      <c r="L20" s="25"/>
      <c r="M20" s="25"/>
      <c r="N20" s="25" t="s">
        <v>493</v>
      </c>
      <c r="O20" s="25" t="s">
        <v>498</v>
      </c>
    </row>
    <row r="21" spans="1:15" x14ac:dyDescent="0.2">
      <c r="A21" s="49" t="s">
        <v>486</v>
      </c>
      <c r="B21" s="31">
        <v>70697</v>
      </c>
      <c r="C21" s="31">
        <v>85965</v>
      </c>
      <c r="D21" s="31">
        <v>117929</v>
      </c>
      <c r="E21" s="31">
        <v>116609</v>
      </c>
      <c r="F21" s="31">
        <v>134902</v>
      </c>
      <c r="G21" s="31">
        <v>164501</v>
      </c>
      <c r="H21" s="31">
        <v>200966</v>
      </c>
      <c r="I21" s="51">
        <v>141073</v>
      </c>
      <c r="J21" s="31">
        <v>181712</v>
      </c>
      <c r="K21" s="25"/>
      <c r="L21" s="25"/>
      <c r="M21" s="25"/>
      <c r="N21" s="25" t="s">
        <v>493</v>
      </c>
      <c r="O21" s="25"/>
    </row>
    <row r="22" spans="1:15" x14ac:dyDescent="0.2">
      <c r="A22" s="25"/>
      <c r="B22" s="25"/>
      <c r="C22" s="25"/>
      <c r="D22" s="25"/>
      <c r="E22" s="25"/>
      <c r="F22" s="25"/>
      <c r="G22" s="25"/>
      <c r="H22" s="25"/>
      <c r="I22" s="41"/>
      <c r="J22" s="25"/>
      <c r="K22" s="25"/>
      <c r="L22" s="25"/>
      <c r="M22" s="25"/>
      <c r="N22" s="25"/>
      <c r="O22" s="25"/>
    </row>
    <row r="23" spans="1:15" x14ac:dyDescent="0.2">
      <c r="A23" s="30" t="s">
        <v>499</v>
      </c>
      <c r="B23" s="26">
        <v>30230</v>
      </c>
      <c r="C23" s="26">
        <v>36250</v>
      </c>
      <c r="D23" s="26">
        <v>48380</v>
      </c>
      <c r="E23" s="26">
        <v>47200</v>
      </c>
      <c r="F23" s="26">
        <v>49780</v>
      </c>
      <c r="G23" s="26">
        <v>59730</v>
      </c>
      <c r="H23" s="26">
        <v>74780</v>
      </c>
      <c r="I23" s="39"/>
      <c r="J23" s="26"/>
      <c r="K23" s="25"/>
      <c r="L23" s="25"/>
      <c r="M23" s="25"/>
      <c r="N23" s="25" t="s">
        <v>500</v>
      </c>
      <c r="O23" s="25" t="s">
        <v>501</v>
      </c>
    </row>
    <row r="24" spans="1:15" x14ac:dyDescent="0.2">
      <c r="A24" s="30" t="s">
        <v>502</v>
      </c>
      <c r="B24" s="26"/>
      <c r="C24" s="26"/>
      <c r="D24" s="26">
        <v>7590</v>
      </c>
      <c r="E24" s="26">
        <v>7400</v>
      </c>
      <c r="F24" s="26">
        <v>13690</v>
      </c>
      <c r="G24" s="26">
        <v>18350</v>
      </c>
      <c r="H24" s="26"/>
      <c r="I24" s="39"/>
      <c r="J24" s="26"/>
      <c r="K24" s="25"/>
      <c r="L24" s="25"/>
      <c r="M24" s="25"/>
      <c r="N24" s="25" t="s">
        <v>500</v>
      </c>
      <c r="O24" s="25" t="s">
        <v>503</v>
      </c>
    </row>
    <row r="25" spans="1:15" x14ac:dyDescent="0.2">
      <c r="A25" s="25"/>
      <c r="B25" s="25"/>
      <c r="C25" s="25"/>
      <c r="D25" s="25"/>
      <c r="E25" s="25"/>
      <c r="F25" s="25"/>
      <c r="G25" s="25"/>
      <c r="H25" s="25"/>
      <c r="I25" s="41"/>
      <c r="J25" s="25"/>
      <c r="K25" s="25"/>
      <c r="L25" s="25"/>
      <c r="M25" s="25"/>
      <c r="N25" s="25"/>
      <c r="O25" s="25"/>
    </row>
    <row r="26" spans="1:15" x14ac:dyDescent="0.2">
      <c r="A26" s="45" t="s">
        <v>504</v>
      </c>
      <c r="B26" s="25"/>
      <c r="C26" s="25"/>
      <c r="D26" s="25"/>
      <c r="E26" s="25"/>
      <c r="F26" s="25"/>
      <c r="G26" s="25"/>
      <c r="H26" s="25"/>
      <c r="I26" s="41"/>
      <c r="J26" s="25"/>
      <c r="K26" s="25"/>
      <c r="L26" s="25"/>
      <c r="M26" s="25"/>
      <c r="N26" s="25"/>
      <c r="O26" s="25" t="s">
        <v>505</v>
      </c>
    </row>
    <row r="27" spans="1:15" x14ac:dyDescent="0.2">
      <c r="A27" s="30" t="s">
        <v>506</v>
      </c>
      <c r="B27" s="40">
        <v>0.33</v>
      </c>
      <c r="C27" s="40">
        <v>0.34</v>
      </c>
      <c r="D27" s="40">
        <v>0.1</v>
      </c>
      <c r="E27" s="40">
        <v>0.18</v>
      </c>
      <c r="F27" s="40">
        <v>0.28000000000000003</v>
      </c>
      <c r="G27" s="40">
        <v>0.11</v>
      </c>
      <c r="H27" s="40">
        <v>0.12</v>
      </c>
      <c r="I27" s="33">
        <v>0.1</v>
      </c>
      <c r="J27" s="40">
        <v>0.14000000000000001</v>
      </c>
      <c r="K27" s="25"/>
      <c r="L27" s="25"/>
      <c r="M27" s="25"/>
      <c r="N27" s="25" t="s">
        <v>507</v>
      </c>
      <c r="O27" s="25" t="s">
        <v>508</v>
      </c>
    </row>
    <row r="28" spans="1:15" x14ac:dyDescent="0.2">
      <c r="A28" s="30" t="s">
        <v>509</v>
      </c>
      <c r="B28" s="40">
        <v>-0.05</v>
      </c>
      <c r="C28" s="40">
        <v>-0.1</v>
      </c>
      <c r="D28" s="40">
        <v>0.24</v>
      </c>
      <c r="E28" s="40">
        <v>-0.16</v>
      </c>
      <c r="F28" s="40">
        <v>-0.09</v>
      </c>
      <c r="G28" s="40">
        <v>0.1</v>
      </c>
      <c r="H28" s="40">
        <v>0.09</v>
      </c>
      <c r="I28" s="33">
        <v>0.1</v>
      </c>
      <c r="J28" s="40">
        <v>0.13</v>
      </c>
      <c r="K28" s="25"/>
      <c r="L28" s="25"/>
      <c r="M28" s="25"/>
      <c r="N28" s="25" t="s">
        <v>507</v>
      </c>
      <c r="O28" s="25" t="s">
        <v>510</v>
      </c>
    </row>
    <row r="29" spans="1:15" x14ac:dyDescent="0.2">
      <c r="A29" s="30" t="s">
        <v>511</v>
      </c>
      <c r="B29" s="37">
        <v>2.2599999999999998</v>
      </c>
      <c r="C29" s="37">
        <v>2.6</v>
      </c>
      <c r="D29" s="37">
        <v>2.82</v>
      </c>
      <c r="E29" s="37">
        <v>2.96</v>
      </c>
      <c r="F29" s="37">
        <v>3.19</v>
      </c>
      <c r="G29" s="37">
        <v>3.35</v>
      </c>
      <c r="H29" s="37">
        <v>3.58</v>
      </c>
      <c r="I29" s="47">
        <v>3.54</v>
      </c>
      <c r="J29" s="37">
        <v>3.64</v>
      </c>
      <c r="K29" s="25"/>
      <c r="L29" s="25"/>
      <c r="M29" s="25"/>
      <c r="N29" s="25" t="s">
        <v>512</v>
      </c>
      <c r="O29" s="25" t="s">
        <v>513</v>
      </c>
    </row>
    <row r="30" spans="1:15" x14ac:dyDescent="0.2">
      <c r="A30" s="30" t="s">
        <v>514</v>
      </c>
      <c r="B30" s="40">
        <v>0.11</v>
      </c>
      <c r="C30" s="40">
        <v>0.15</v>
      </c>
      <c r="D30" s="40">
        <v>0.08</v>
      </c>
      <c r="E30" s="40">
        <v>0.05</v>
      </c>
      <c r="F30" s="40">
        <v>0.08</v>
      </c>
      <c r="G30" s="40">
        <v>0.05</v>
      </c>
      <c r="H30" s="40">
        <v>7.0000000000000007E-2</v>
      </c>
      <c r="I30" s="33">
        <v>0.08</v>
      </c>
      <c r="J30" s="40">
        <v>0.03</v>
      </c>
      <c r="K30" s="25"/>
      <c r="L30" s="25"/>
      <c r="M30" s="25"/>
      <c r="N30" s="25" t="s">
        <v>512</v>
      </c>
      <c r="O30" s="25"/>
    </row>
    <row r="31" spans="1:15" x14ac:dyDescent="0.2">
      <c r="A31" s="30" t="s">
        <v>515</v>
      </c>
      <c r="B31" s="37">
        <v>1.66</v>
      </c>
      <c r="C31" s="37">
        <v>1.84</v>
      </c>
      <c r="D31" s="37">
        <v>1.93</v>
      </c>
      <c r="E31" s="37">
        <v>2</v>
      </c>
      <c r="F31" s="37">
        <v>2.11</v>
      </c>
      <c r="G31" s="37"/>
      <c r="H31" s="37"/>
      <c r="I31" s="47"/>
      <c r="J31" s="37"/>
      <c r="K31" s="25"/>
      <c r="L31" s="25"/>
      <c r="M31" s="25"/>
      <c r="N31" s="25" t="s">
        <v>512</v>
      </c>
      <c r="O31" s="25" t="s">
        <v>516</v>
      </c>
    </row>
    <row r="32" spans="1:15" x14ac:dyDescent="0.2">
      <c r="A32" s="30" t="s">
        <v>517</v>
      </c>
      <c r="B32" s="37">
        <v>25.57</v>
      </c>
      <c r="C32" s="37">
        <v>27.51</v>
      </c>
      <c r="D32" s="37">
        <v>33.68</v>
      </c>
      <c r="E32" s="37">
        <v>31.79</v>
      </c>
      <c r="F32" s="37">
        <v>34.72</v>
      </c>
      <c r="G32" s="37"/>
      <c r="H32" s="37"/>
      <c r="I32" s="47"/>
      <c r="J32" s="37"/>
      <c r="K32" s="25"/>
      <c r="L32" s="25"/>
      <c r="M32" s="25"/>
      <c r="N32" s="25" t="s">
        <v>518</v>
      </c>
      <c r="O32" s="25" t="s">
        <v>519</v>
      </c>
    </row>
    <row r="33" spans="1:15" x14ac:dyDescent="0.2">
      <c r="A33" s="30" t="s">
        <v>520</v>
      </c>
      <c r="B33" s="37"/>
      <c r="C33" s="37"/>
      <c r="D33" s="37"/>
      <c r="E33" s="37"/>
      <c r="F33" s="37"/>
      <c r="G33" s="37">
        <v>49.63</v>
      </c>
      <c r="H33" s="37">
        <v>57.03</v>
      </c>
      <c r="I33" s="47"/>
      <c r="J33" s="37"/>
      <c r="K33" s="25"/>
      <c r="L33" s="25"/>
      <c r="M33" s="25"/>
      <c r="N33" s="25" t="s">
        <v>518</v>
      </c>
      <c r="O33" s="25" t="s">
        <v>521</v>
      </c>
    </row>
    <row r="34" spans="1:15" x14ac:dyDescent="0.2">
      <c r="A34" s="30" t="s">
        <v>522</v>
      </c>
      <c r="B34" s="37">
        <v>29.25</v>
      </c>
      <c r="C34" s="37">
        <v>32.03</v>
      </c>
      <c r="D34" s="37">
        <v>40.96</v>
      </c>
      <c r="E34" s="37">
        <v>39.630000000000003</v>
      </c>
      <c r="F34" s="37">
        <v>44.6</v>
      </c>
      <c r="G34" s="37"/>
      <c r="H34" s="37"/>
      <c r="I34" s="47"/>
      <c r="J34" s="37"/>
      <c r="K34" s="25"/>
      <c r="L34" s="25"/>
      <c r="M34" s="25"/>
      <c r="N34" s="25" t="s">
        <v>518</v>
      </c>
      <c r="O34" s="25" t="s">
        <v>523</v>
      </c>
    </row>
    <row r="35" spans="1:15" x14ac:dyDescent="0.2">
      <c r="A35" s="30" t="s">
        <v>524</v>
      </c>
      <c r="B35" s="26">
        <v>-1670</v>
      </c>
      <c r="C35" s="26">
        <v>-120</v>
      </c>
      <c r="D35" s="26">
        <v>1640</v>
      </c>
      <c r="E35" s="26">
        <v>-5960</v>
      </c>
      <c r="F35" s="26">
        <v>374</v>
      </c>
      <c r="G35" s="26">
        <v>-874</v>
      </c>
      <c r="H35" s="26">
        <v>-418</v>
      </c>
      <c r="I35" s="39">
        <v>-906</v>
      </c>
      <c r="J35" s="26">
        <v>2320</v>
      </c>
      <c r="K35" s="25"/>
      <c r="L35" s="25"/>
      <c r="M35" s="25"/>
      <c r="N35" s="25" t="s">
        <v>525</v>
      </c>
      <c r="O35" s="25" t="s">
        <v>526</v>
      </c>
    </row>
    <row r="36" spans="1:15" x14ac:dyDescent="0.2">
      <c r="A36" s="25"/>
      <c r="B36" s="25"/>
      <c r="C36" s="25"/>
      <c r="D36" s="25"/>
      <c r="E36" s="25"/>
      <c r="F36" s="25"/>
      <c r="G36" s="25"/>
      <c r="H36" s="25"/>
      <c r="I36" s="41"/>
      <c r="J36" s="25"/>
      <c r="K36" s="25"/>
      <c r="L36" s="25"/>
      <c r="M36" s="25"/>
      <c r="N36" s="25"/>
      <c r="O36" s="25"/>
    </row>
    <row r="37" spans="1:15" x14ac:dyDescent="0.2">
      <c r="A37" s="45" t="s">
        <v>527</v>
      </c>
      <c r="B37" s="25"/>
      <c r="C37" s="25"/>
      <c r="D37" s="25"/>
      <c r="E37" s="25"/>
      <c r="F37" s="25"/>
      <c r="G37" s="25"/>
      <c r="H37" s="25"/>
      <c r="I37" s="41"/>
      <c r="J37" s="25"/>
      <c r="K37" s="25"/>
      <c r="L37" s="25"/>
      <c r="M37" s="25"/>
      <c r="N37" s="25"/>
      <c r="O37" s="25"/>
    </row>
    <row r="38" spans="1:15" x14ac:dyDescent="0.2">
      <c r="A38" s="30" t="s">
        <v>528</v>
      </c>
      <c r="B38" s="36"/>
      <c r="C38" s="36">
        <f t="shared" si="0" ref="C38:H38">C11/B11-1</f>
        <v>0.21596390228722573</v>
      </c>
      <c r="D38" s="36">
        <f t="shared" si="0"/>
        <v>0.37182574303495608</v>
      </c>
      <c r="E38" s="36">
        <f t="shared" si="0"/>
        <v>-1.1193175554782941E-2</v>
      </c>
      <c r="F38" s="36">
        <f t="shared" si="0"/>
        <v>0.15687468377226454</v>
      </c>
      <c r="G38" s="36">
        <f t="shared" si="0"/>
        <v>0.21941112807816054</v>
      </c>
      <c r="H38" s="36">
        <f t="shared" si="0"/>
        <v>0.22167038498246217</v>
      </c>
      <c r="I38" s="34"/>
      <c r="J38" s="36">
        <f>J11/I11-1</f>
        <v>0.28807071516165395</v>
      </c>
      <c r="K38" s="25"/>
      <c r="L38" s="25"/>
      <c r="M38" s="25"/>
      <c r="N38" s="25"/>
      <c r="O38" s="25"/>
    </row>
    <row r="39" spans="1:15" x14ac:dyDescent="0.2">
      <c r="A39" s="30" t="s">
        <v>529</v>
      </c>
      <c r="B39" s="36"/>
      <c r="C39" s="36">
        <f t="shared" si="1" ref="C39:H39">C7/B7-1</f>
        <v>0.20836982269758098</v>
      </c>
      <c r="D39" s="36">
        <f t="shared" si="1"/>
        <v>0.36551461939669005</v>
      </c>
      <c r="E39" s="36">
        <f t="shared" si="1"/>
        <v>-1.124123409957023E-2</v>
      </c>
      <c r="F39" s="36">
        <f t="shared" si="1"/>
        <v>0.16108481019341436</v>
      </c>
      <c r="G39" s="36">
        <f t="shared" si="1"/>
        <v>0.21739624700639637</v>
      </c>
      <c r="H39" s="36">
        <f t="shared" si="1"/>
        <v>0.22126213169149556</v>
      </c>
      <c r="I39" s="34"/>
      <c r="J39" s="36">
        <f>J7/I7-1</f>
        <v>0.28551765106456961</v>
      </c>
      <c r="K39" s="25"/>
      <c r="L39" s="25"/>
      <c r="M39" s="25"/>
      <c r="N39" s="25"/>
      <c r="O39" s="25"/>
    </row>
    <row r="40" spans="1:15" x14ac:dyDescent="0.2">
      <c r="A40" s="30" t="s">
        <v>530</v>
      </c>
      <c r="B40" s="36">
        <f t="shared" si="2" ref="B40:J40">(1+B27)*(1+B28)-1</f>
        <v>0.26350000000000007</v>
      </c>
      <c r="C40" s="36">
        <f t="shared" si="2"/>
        <v>0.20600000000000018</v>
      </c>
      <c r="D40" s="36">
        <f t="shared" si="2"/>
        <v>0.3640000000000001</v>
      </c>
      <c r="E40" s="36">
        <f t="shared" si="2"/>
        <v>-8.800000000000141E-3</v>
      </c>
      <c r="F40" s="36">
        <f t="shared" si="2"/>
        <v>0.16480000000000006</v>
      </c>
      <c r="G40" s="36">
        <f t="shared" si="2"/>
        <v>0.22100000000000031</v>
      </c>
      <c r="H40" s="36">
        <f t="shared" si="2"/>
        <v>0.22080000000000011</v>
      </c>
      <c r="I40" s="34">
        <f t="shared" si="2"/>
        <v>0.21000000000000019</v>
      </c>
      <c r="J40" s="36">
        <f t="shared" si="2"/>
        <v>0.28820000000000001</v>
      </c>
      <c r="K40" s="25"/>
      <c r="L40" s="25"/>
      <c r="M40" s="25"/>
      <c r="N40" s="25"/>
      <c r="O40" s="25" t="s">
        <v>531</v>
      </c>
    </row>
    <row r="41" spans="1:15" x14ac:dyDescent="0.2">
      <c r="A41" s="30" t="s">
        <v>532</v>
      </c>
      <c r="B41" s="36"/>
      <c r="C41" s="36">
        <f t="shared" si="3" ref="C41:H41">C40-C39</f>
        <v>-2.3698226975807923E-3</v>
      </c>
      <c r="D41" s="36">
        <f t="shared" si="3"/>
        <v>-1.5146193966899535E-3</v>
      </c>
      <c r="E41" s="36">
        <f t="shared" si="3"/>
        <v>2.4412340995700887E-3</v>
      </c>
      <c r="F41" s="36">
        <f t="shared" si="3"/>
        <v>3.7151898065856948E-3</v>
      </c>
      <c r="G41" s="36">
        <f t="shared" si="3"/>
        <v>3.603752993603937E-3</v>
      </c>
      <c r="H41" s="36">
        <f t="shared" si="3"/>
        <v>-4.6213169149544875E-4</v>
      </c>
      <c r="I41" s="34"/>
      <c r="J41" s="36">
        <f>J40-J39</f>
        <v>2.6823489354304009E-3</v>
      </c>
      <c r="K41" s="25"/>
      <c r="L41" s="25"/>
      <c r="M41" s="25"/>
      <c r="N41" s="25"/>
      <c r="O41" s="25" t="s">
        <v>533</v>
      </c>
    </row>
    <row r="42" spans="1:15" x14ac:dyDescent="0.2">
      <c r="A42" s="30" t="s">
        <v>534</v>
      </c>
      <c r="B42" s="36"/>
      <c r="C42" s="36">
        <f t="shared" si="4" ref="C42:H42">(C11-C35)/B11-1</f>
        <v>0.21766128690043418</v>
      </c>
      <c r="D42" s="36">
        <f t="shared" si="4"/>
        <v>0.35274821148141688</v>
      </c>
      <c r="E42" s="36">
        <f t="shared" si="4"/>
        <v>3.9345708010752212E-2</v>
      </c>
      <c r="F42" s="36">
        <f t="shared" si="4"/>
        <v>0.15366738416417247</v>
      </c>
      <c r="G42" s="36">
        <f t="shared" si="4"/>
        <v>0.22588990526456243</v>
      </c>
      <c r="H42" s="36">
        <f t="shared" si="4"/>
        <v>0.22421140297019471</v>
      </c>
      <c r="I42" s="34"/>
      <c r="J42" s="36">
        <f>(J11-J35)/I11-1</f>
        <v>0.27162532873051548</v>
      </c>
      <c r="K42" s="25"/>
      <c r="L42" s="25"/>
      <c r="M42" s="25"/>
      <c r="N42" s="25"/>
      <c r="O42" s="25" t="s">
        <v>535</v>
      </c>
    </row>
    <row r="43" spans="1:15" x14ac:dyDescent="0.2">
      <c r="A43" s="30" t="s">
        <v>536</v>
      </c>
      <c r="B43" s="36">
        <f t="shared" si="5" ref="B43:J43">B7/B11</f>
        <v>0.98526104360863964</v>
      </c>
      <c r="C43" s="36">
        <f t="shared" si="5"/>
        <v>0.97910777642063629</v>
      </c>
      <c r="D43" s="36">
        <f t="shared" si="5"/>
        <v>0.97460336304047346</v>
      </c>
      <c r="E43" s="36">
        <f t="shared" si="5"/>
        <v>0.97455599482029687</v>
      </c>
      <c r="F43" s="36">
        <f t="shared" si="5"/>
        <v>0.97810262264458647</v>
      </c>
      <c r="G43" s="36">
        <f t="shared" si="5"/>
        <v>0.97648646512787152</v>
      </c>
      <c r="H43" s="36">
        <f t="shared" si="5"/>
        <v>0.97616014649244154</v>
      </c>
      <c r="I43" s="34">
        <f t="shared" si="5"/>
        <v>0.97847922706683776</v>
      </c>
      <c r="J43" s="36">
        <f t="shared" si="5"/>
        <v>0.9765397992427578</v>
      </c>
      <c r="K43" s="25"/>
      <c r="L43" s="25"/>
      <c r="M43" s="25"/>
      <c r="N43" s="25"/>
      <c r="O43" s="25"/>
    </row>
    <row r="44" spans="1:15" x14ac:dyDescent="0.2">
      <c r="A44" s="30" t="s">
        <v>537</v>
      </c>
      <c r="B44" s="36">
        <f t="shared" si="6" ref="B44:J44">B10/B11</f>
        <v>7.0865807601454096E-3</v>
      </c>
      <c r="C44" s="36">
        <f t="shared" si="6"/>
        <v>1.324957831675682E-2</v>
      </c>
      <c r="D44" s="36">
        <f t="shared" si="6"/>
        <v>1.9282788796648832E-2</v>
      </c>
      <c r="E44" s="36">
        <f t="shared" si="6"/>
        <v>1.8514865919440182E-2</v>
      </c>
      <c r="F44" s="36">
        <f t="shared" si="6"/>
        <v>1.4054647077137477E-2</v>
      </c>
      <c r="G44" s="36">
        <f t="shared" si="6"/>
        <v>1.3045513401134339E-2</v>
      </c>
      <c r="H44" s="36">
        <f t="shared" si="6"/>
        <v>1.0981957146980087E-2</v>
      </c>
      <c r="I44" s="34">
        <f t="shared" si="6"/>
        <v>8.8748378499074951E-3</v>
      </c>
      <c r="J44" s="36">
        <f t="shared" si="6"/>
        <v>7.0221009069296467E-3</v>
      </c>
      <c r="K44" s="25"/>
      <c r="L44" s="25"/>
      <c r="M44" s="25"/>
      <c r="N44" s="25"/>
      <c r="O44" s="25"/>
    </row>
    <row r="45" spans="1:15" x14ac:dyDescent="0.2">
      <c r="A45" s="25"/>
      <c r="B45" s="25"/>
      <c r="C45" s="25"/>
      <c r="D45" s="25"/>
      <c r="E45" s="25"/>
      <c r="F45" s="25"/>
      <c r="G45" s="25"/>
      <c r="H45" s="25"/>
      <c r="I45" s="41"/>
      <c r="J45" s="25"/>
      <c r="K45" s="25"/>
      <c r="L45" s="25"/>
      <c r="M45" s="25"/>
      <c r="N45" s="25"/>
      <c r="O45" s="25"/>
    </row>
    <row r="46" spans="1:15" x14ac:dyDescent="0.2">
      <c r="A46" s="45" t="s">
        <v>538</v>
      </c>
      <c r="B46" s="25"/>
      <c r="C46" s="25"/>
      <c r="D46" s="25"/>
      <c r="E46" s="25"/>
      <c r="F46" s="25"/>
      <c r="G46" s="25"/>
      <c r="H46" s="25"/>
      <c r="I46" s="41"/>
      <c r="J46" s="25"/>
      <c r="K46" s="25"/>
      <c r="L46" s="25"/>
      <c r="M46" s="25"/>
      <c r="N46" s="25"/>
      <c r="O46" s="25" t="s">
        <v>539</v>
      </c>
    </row>
    <row r="47" spans="1:15" x14ac:dyDescent="0.2">
      <c r="A47" s="30" t="s">
        <v>540</v>
      </c>
      <c r="B47" s="38">
        <f>1</f>
        <v>1</v>
      </c>
      <c r="C47" s="38">
        <f t="shared" si="7" ref="C47:H48">B47*(1+C27)</f>
        <v>1.34</v>
      </c>
      <c r="D47" s="38">
        <f t="shared" si="7"/>
        <v>1.4740000000000002</v>
      </c>
      <c r="E47" s="38">
        <f t="shared" si="7"/>
        <v>1.7393200000000002</v>
      </c>
      <c r="F47" s="38">
        <f t="shared" si="7"/>
        <v>2.2263296000000001</v>
      </c>
      <c r="G47" s="38">
        <f t="shared" si="7"/>
        <v>2.4712258560000002</v>
      </c>
      <c r="H47" s="38">
        <f t="shared" si="7"/>
        <v>2.7677729587200006</v>
      </c>
      <c r="I47" s="46"/>
      <c r="J47" s="38"/>
      <c r="K47" s="25"/>
      <c r="L47" s="25"/>
      <c r="M47" s="25"/>
      <c r="N47" s="25"/>
      <c r="O47" s="25"/>
    </row>
    <row r="48" spans="1:15" x14ac:dyDescent="0.2">
      <c r="A48" s="30" t="s">
        <v>541</v>
      </c>
      <c r="B48" s="38">
        <f>1</f>
        <v>1</v>
      </c>
      <c r="C48" s="38">
        <f t="shared" si="7"/>
        <v>0.9</v>
      </c>
      <c r="D48" s="38">
        <f t="shared" si="7"/>
        <v>1.1160000000000001</v>
      </c>
      <c r="E48" s="38">
        <f t="shared" si="7"/>
        <v>0.93744000000000005</v>
      </c>
      <c r="F48" s="38">
        <f t="shared" si="7"/>
        <v>0.85307040000000012</v>
      </c>
      <c r="G48" s="38">
        <f t="shared" si="7"/>
        <v>0.93837744000000023</v>
      </c>
      <c r="H48" s="38">
        <f t="shared" si="7"/>
        <v>1.0228314096000004</v>
      </c>
      <c r="I48" s="46"/>
      <c r="J48" s="38"/>
      <c r="K48" s="25"/>
      <c r="L48" s="25"/>
      <c r="M48" s="25"/>
      <c r="N48" s="25"/>
      <c r="O48" s="25"/>
    </row>
    <row r="49" spans="1:15" x14ac:dyDescent="0.2">
      <c r="A49" s="30" t="s">
        <v>542</v>
      </c>
      <c r="B49" s="38">
        <f t="shared" si="8" ref="B49:H49">B47*B48</f>
        <v>1</v>
      </c>
      <c r="C49" s="38">
        <f t="shared" si="8"/>
        <v>1.2060000000000002</v>
      </c>
      <c r="D49" s="38">
        <f t="shared" si="8"/>
        <v>1.6449840000000004</v>
      </c>
      <c r="E49" s="38">
        <f t="shared" si="8"/>
        <v>1.6305081408000002</v>
      </c>
      <c r="F49" s="38">
        <f t="shared" si="8"/>
        <v>1.8992158824038403</v>
      </c>
      <c r="G49" s="38">
        <f t="shared" si="8"/>
        <v>2.3189425924150893</v>
      </c>
      <c r="H49" s="38">
        <f t="shared" si="8"/>
        <v>2.8309651168203418</v>
      </c>
      <c r="I49" s="46"/>
      <c r="J49" s="38"/>
      <c r="K49" s="25"/>
      <c r="L49" s="25"/>
      <c r="M49" s="25"/>
      <c r="N49" s="25"/>
      <c r="O49" s="25"/>
    </row>
    <row r="50" spans="1:15" x14ac:dyDescent="0.2">
      <c r="A50" s="30" t="s">
        <v>543</v>
      </c>
      <c r="B50" s="38">
        <f>B7/B7</f>
        <v>1</v>
      </c>
      <c r="C50" s="38">
        <f>C7/B7</f>
        <v>1.208369822697581</v>
      </c>
      <c r="D50" s="38">
        <f>D7/B7</f>
        <v>1.6500466585313329</v>
      </c>
      <c r="E50" s="38">
        <f>E7/B7</f>
        <v>1.6314980977675688</v>
      </c>
      <c r="F50" s="38">
        <f>F7/B7</f>
        <v>1.8943076591773742</v>
      </c>
      <c r="G50" s="38">
        <f>G7/B7</f>
        <v>2.3061230349580075</v>
      </c>
      <c r="H50" s="38">
        <f>H7/B7</f>
        <v>2.8163807336156772</v>
      </c>
      <c r="I50" s="46"/>
      <c r="J50" s="38"/>
      <c r="K50" s="25"/>
      <c r="L50" s="25"/>
      <c r="M50" s="25"/>
      <c r="N50" s="25"/>
      <c r="O50" s="25"/>
    </row>
    <row r="51" spans="1:15" x14ac:dyDescent="0.2">
      <c r="A51" s="30" t="s">
        <v>544</v>
      </c>
      <c r="B51" s="38">
        <f>B29/B29</f>
        <v>1</v>
      </c>
      <c r="C51" s="38">
        <f>C29/B29</f>
        <v>1.1504424778761064</v>
      </c>
      <c r="D51" s="38">
        <f>D29/B29</f>
        <v>1.247787610619469</v>
      </c>
      <c r="E51" s="38">
        <f>E29/B29</f>
        <v>1.3097345132743363</v>
      </c>
      <c r="F51" s="38">
        <f>F29/B29</f>
        <v>1.4115044247787611</v>
      </c>
      <c r="G51" s="38">
        <f>G29/B29</f>
        <v>1.4823008849557524</v>
      </c>
      <c r="H51" s="38">
        <f>H29/B29</f>
        <v>1.5840707964601772</v>
      </c>
      <c r="I51" s="46"/>
      <c r="J51" s="38"/>
      <c r="K51" s="25"/>
      <c r="L51" s="25"/>
      <c r="M51" s="25"/>
      <c r="N51" s="25"/>
      <c r="O51" s="25"/>
    </row>
    <row r="52" spans="1:15" x14ac:dyDescent="0.2">
      <c r="A52" s="30" t="s">
        <v>545</v>
      </c>
      <c r="B52" s="38">
        <f t="shared" si="9" ref="B52:H52">B47/B51</f>
        <v>1</v>
      </c>
      <c r="C52" s="38">
        <f t="shared" si="9"/>
        <v>1.1647692307692306</v>
      </c>
      <c r="D52" s="38">
        <f t="shared" si="9"/>
        <v>1.1812907801418442</v>
      </c>
      <c r="E52" s="38">
        <f t="shared" si="9"/>
        <v>1.3279943243243244</v>
      </c>
      <c r="F52" s="38">
        <f t="shared" si="9"/>
        <v>1.5772742620689655</v>
      </c>
      <c r="G52" s="38">
        <f t="shared" si="9"/>
        <v>1.6671553535999999</v>
      </c>
      <c r="H52" s="38">
        <f t="shared" si="9"/>
        <v>1.7472533203092739</v>
      </c>
      <c r="I52" s="46"/>
      <c r="J52" s="38"/>
      <c r="K52" s="25"/>
      <c r="L52" s="25"/>
      <c r="M52" s="25"/>
      <c r="N52" s="25"/>
      <c r="O52" s="25" t="s">
        <v>546</v>
      </c>
    </row>
    <row r="53" spans="1:15" x14ac:dyDescent="0.2">
      <c r="A53" s="25"/>
      <c r="B53" s="25"/>
      <c r="C53" s="25"/>
      <c r="D53" s="25"/>
      <c r="E53" s="25"/>
      <c r="F53" s="25"/>
      <c r="G53" s="25"/>
      <c r="H53" s="25"/>
      <c r="I53" s="41"/>
      <c r="J53" s="25"/>
      <c r="K53" s="25"/>
      <c r="L53" s="25"/>
      <c r="M53" s="25"/>
      <c r="N53" s="25"/>
      <c r="O53" s="25"/>
    </row>
    <row r="54" spans="1:15" x14ac:dyDescent="0.2">
      <c r="A54" s="45" t="s">
        <v>547</v>
      </c>
      <c r="B54" s="25"/>
      <c r="C54" s="25"/>
      <c r="D54" s="25"/>
      <c r="E54" s="25"/>
      <c r="F54" s="25"/>
      <c r="G54" s="25"/>
      <c r="H54" s="25"/>
      <c r="I54" s="41"/>
      <c r="J54" s="25"/>
      <c r="K54" s="25"/>
      <c r="L54" s="25"/>
      <c r="M54" s="25"/>
      <c r="N54" s="25"/>
      <c r="O54" s="25"/>
    </row>
    <row r="55" spans="1:15" x14ac:dyDescent="0.2">
      <c r="A55" s="30" t="s">
        <v>492</v>
      </c>
      <c r="B55" s="36">
        <f t="shared" si="10" ref="B55:J55">B17/B21</f>
        <v>0.4555497404416029</v>
      </c>
      <c r="C55" s="36">
        <f t="shared" si="10"/>
        <v>0.4470772989007154</v>
      </c>
      <c r="D55" s="36">
        <f t="shared" si="10"/>
        <v>0.43705110702202171</v>
      </c>
      <c r="E55" s="36">
        <f t="shared" si="10"/>
        <v>0.43006972017597267</v>
      </c>
      <c r="F55" s="36">
        <f t="shared" si="10"/>
        <v>0.39204756045129058</v>
      </c>
      <c r="G55" s="36">
        <f t="shared" si="10"/>
        <v>0.38423474629333559</v>
      </c>
      <c r="H55" s="36">
        <f t="shared" si="10"/>
        <v>0.39243454116616744</v>
      </c>
      <c r="I55" s="34">
        <f t="shared" si="10"/>
        <v>0.39008881926378541</v>
      </c>
      <c r="J55" s="36">
        <f t="shared" si="10"/>
        <v>0.39263229726160076</v>
      </c>
      <c r="K55" s="25"/>
      <c r="L55" s="25"/>
      <c r="M55" s="25"/>
      <c r="N55" s="25"/>
      <c r="O55" s="25"/>
    </row>
    <row r="56" spans="1:15" x14ac:dyDescent="0.2">
      <c r="A56" s="30" t="s">
        <v>494</v>
      </c>
      <c r="B56" s="36">
        <f t="shared" si="11" ref="B56:J56">B18/B21</f>
        <v>0.23800161251538254</v>
      </c>
      <c r="C56" s="36">
        <f t="shared" si="11"/>
        <v>0.23671261559937185</v>
      </c>
      <c r="D56" s="36">
        <f t="shared" si="11"/>
        <v>0.24639401673888525</v>
      </c>
      <c r="E56" s="36">
        <f t="shared" si="11"/>
        <v>0.22880738193449907</v>
      </c>
      <c r="F56" s="36">
        <f t="shared" si="11"/>
        <v>0.23135313042060163</v>
      </c>
      <c r="G56" s="36">
        <f t="shared" si="11"/>
        <v>0.23319615078327791</v>
      </c>
      <c r="H56" s="36">
        <f t="shared" si="11"/>
        <v>0.23172576455718877</v>
      </c>
      <c r="I56" s="34">
        <f t="shared" si="11"/>
        <v>0.22906580281131045</v>
      </c>
      <c r="J56" s="36">
        <f t="shared" si="11"/>
        <v>0.22712864312758652</v>
      </c>
      <c r="K56" s="25"/>
      <c r="L56" s="25"/>
      <c r="M56" s="25"/>
      <c r="N56" s="25"/>
      <c r="O56" s="25"/>
    </row>
    <row r="57" spans="1:15" x14ac:dyDescent="0.2">
      <c r="A57" s="30" t="s">
        <v>496</v>
      </c>
      <c r="B57" s="36">
        <f t="shared" si="12" ref="B57:J57">B19/B21</f>
        <v>0.21791589459241553</v>
      </c>
      <c r="C57" s="36">
        <f t="shared" si="12"/>
        <v>0.23088466236258942</v>
      </c>
      <c r="D57" s="36">
        <f t="shared" si="12"/>
        <v>0.22673812209041033</v>
      </c>
      <c r="E57" s="36">
        <f t="shared" si="12"/>
        <v>0.23806052706051847</v>
      </c>
      <c r="F57" s="36">
        <f t="shared" si="12"/>
        <v>0.26800195697617529</v>
      </c>
      <c r="G57" s="36">
        <f t="shared" si="12"/>
        <v>0.2736092789709485</v>
      </c>
      <c r="H57" s="36">
        <f t="shared" si="12"/>
        <v>0.26779156673268117</v>
      </c>
      <c r="I57" s="34">
        <f t="shared" si="12"/>
        <v>0.27220658807851256</v>
      </c>
      <c r="J57" s="36">
        <f t="shared" si="12"/>
        <v>0.26696640838249536</v>
      </c>
      <c r="K57" s="25"/>
      <c r="L57" s="25"/>
      <c r="M57" s="25"/>
      <c r="N57" s="25"/>
      <c r="O57" s="25"/>
    </row>
    <row r="58" spans="1:15" x14ac:dyDescent="0.2">
      <c r="A58" s="30" t="s">
        <v>497</v>
      </c>
      <c r="B58" s="36">
        <f t="shared" si="13" ref="B58:J58">B20/B21</f>
        <v>8.8532752450599037E-2</v>
      </c>
      <c r="C58" s="36">
        <f t="shared" si="13"/>
        <v>8.5325423137323331E-2</v>
      </c>
      <c r="D58" s="36">
        <f t="shared" si="13"/>
        <v>8.9816754148682676E-2</v>
      </c>
      <c r="E58" s="36">
        <f t="shared" si="13"/>
        <v>0.10306237082900976</v>
      </c>
      <c r="F58" s="36">
        <f t="shared" si="13"/>
        <v>0.10859735215193252</v>
      </c>
      <c r="G58" s="36">
        <f t="shared" si="13"/>
        <v>0.10895982395243797</v>
      </c>
      <c r="H58" s="36">
        <f t="shared" si="13"/>
        <v>0.10804812754396266</v>
      </c>
      <c r="I58" s="34">
        <f t="shared" si="13"/>
        <v>0.10863878984639158</v>
      </c>
      <c r="J58" s="36">
        <f t="shared" si="13"/>
        <v>0.11327265122831734</v>
      </c>
      <c r="K58" s="25"/>
      <c r="L58" s="25"/>
      <c r="M58" s="25"/>
      <c r="N58" s="25"/>
      <c r="O58" s="25"/>
    </row>
    <row r="59" spans="1:15" x14ac:dyDescent="0.2">
      <c r="A59" s="30" t="s">
        <v>548</v>
      </c>
      <c r="B59" s="36"/>
      <c r="C59" s="36"/>
      <c r="D59" s="36">
        <f>D24/D11</f>
        <v>6.4360759440002038E-2</v>
      </c>
      <c r="E59" s="36">
        <f>E24/E11</f>
        <v>6.3459938769734756E-2</v>
      </c>
      <c r="F59" s="36">
        <f>F24/F11</f>
        <v>0.10148107515085025</v>
      </c>
      <c r="G59" s="36">
        <f>G24/G11</f>
        <v>0.11154947386338077</v>
      </c>
      <c r="H59" s="36"/>
      <c r="I59" s="34"/>
      <c r="J59" s="36"/>
      <c r="K59" s="25"/>
      <c r="L59" s="25"/>
      <c r="M59" s="25"/>
      <c r="N59" s="25"/>
      <c r="O59" s="25"/>
    </row>
    <row r="60" spans="1:15" x14ac:dyDescent="0.2">
      <c r="A60" s="25"/>
      <c r="B60" s="25"/>
      <c r="C60" s="25"/>
      <c r="D60" s="25"/>
      <c r="E60" s="25"/>
      <c r="F60" s="25"/>
      <c r="G60" s="25"/>
      <c r="H60" s="25"/>
      <c r="I60" s="41"/>
      <c r="J60" s="25"/>
      <c r="K60" s="25"/>
      <c r="L60" s="25"/>
      <c r="M60" s="25"/>
      <c r="N60" s="25"/>
      <c r="O60" s="25"/>
    </row>
    <row r="61" spans="1:15" x14ac:dyDescent="0.2">
      <c r="A61" s="45" t="s">
        <v>189</v>
      </c>
      <c r="B61" s="25"/>
      <c r="C61" s="25"/>
      <c r="D61" s="25"/>
      <c r="E61" s="25"/>
      <c r="F61" s="25"/>
      <c r="G61" s="25"/>
      <c r="H61" s="25"/>
      <c r="I61" s="41"/>
      <c r="J61" s="25"/>
      <c r="K61" s="25"/>
      <c r="L61" s="25"/>
      <c r="M61" s="25"/>
      <c r="N61" s="25"/>
      <c r="O61" s="25"/>
    </row>
    <row r="62" spans="1:15" x14ac:dyDescent="0.2">
      <c r="A62" s="30" t="s">
        <v>549</v>
      </c>
      <c r="B62" s="28">
        <f t="shared" si="14" ref="B62:J62">B7+B8-B9</f>
        <v>0</v>
      </c>
      <c r="C62" s="28">
        <f t="shared" si="14"/>
        <v>0</v>
      </c>
      <c r="D62" s="28">
        <f t="shared" si="14"/>
        <v>0</v>
      </c>
      <c r="E62" s="28">
        <f t="shared" si="14"/>
        <v>0</v>
      </c>
      <c r="F62" s="28">
        <f t="shared" si="14"/>
        <v>0</v>
      </c>
      <c r="G62" s="28">
        <f t="shared" si="14"/>
        <v>0</v>
      </c>
      <c r="H62" s="28">
        <f t="shared" si="14"/>
        <v>0</v>
      </c>
      <c r="I62" s="42">
        <f t="shared" si="14"/>
        <v>0</v>
      </c>
      <c r="J62" s="28">
        <f t="shared" si="14"/>
        <v>0</v>
      </c>
      <c r="K62" s="25"/>
      <c r="L62" s="25"/>
      <c r="M62" s="25"/>
      <c r="N62" s="25"/>
      <c r="O62" s="25"/>
    </row>
    <row r="63" spans="1:15" x14ac:dyDescent="0.2">
      <c r="A63" s="30" t="s">
        <v>550</v>
      </c>
      <c r="B63" s="28">
        <f t="shared" si="15" ref="B63:J63">B9+B10-B11</f>
        <v>0</v>
      </c>
      <c r="C63" s="28">
        <f t="shared" si="15"/>
        <v>0</v>
      </c>
      <c r="D63" s="28">
        <f t="shared" si="15"/>
        <v>0</v>
      </c>
      <c r="E63" s="28">
        <f t="shared" si="15"/>
        <v>0</v>
      </c>
      <c r="F63" s="28">
        <f t="shared" si="15"/>
        <v>0</v>
      </c>
      <c r="G63" s="28">
        <f t="shared" si="15"/>
        <v>0</v>
      </c>
      <c r="H63" s="28">
        <f t="shared" si="15"/>
        <v>0</v>
      </c>
      <c r="I63" s="42">
        <f t="shared" si="15"/>
        <v>0</v>
      </c>
      <c r="J63" s="28">
        <f t="shared" si="15"/>
        <v>0</v>
      </c>
      <c r="K63" s="25"/>
      <c r="L63" s="25"/>
      <c r="M63" s="25"/>
      <c r="N63" s="25"/>
      <c r="O63" s="25"/>
    </row>
    <row r="64" spans="1:15" x14ac:dyDescent="0.2">
      <c r="A64" s="30" t="s">
        <v>551</v>
      </c>
      <c r="B64" s="28">
        <f t="shared" si="16" ref="B64:J64">B11-B14</f>
        <v>0</v>
      </c>
      <c r="C64" s="28">
        <f t="shared" si="16"/>
        <v>0</v>
      </c>
      <c r="D64" s="28">
        <f t="shared" si="16"/>
        <v>0</v>
      </c>
      <c r="E64" s="28">
        <f t="shared" si="16"/>
        <v>0</v>
      </c>
      <c r="F64" s="28">
        <f t="shared" si="16"/>
        <v>0</v>
      </c>
      <c r="G64" s="28">
        <f t="shared" si="16"/>
        <v>0</v>
      </c>
      <c r="H64" s="28">
        <f t="shared" si="16"/>
        <v>0</v>
      </c>
      <c r="I64" s="42">
        <f t="shared" si="16"/>
        <v>0</v>
      </c>
      <c r="J64" s="28">
        <f t="shared" si="16"/>
        <v>0</v>
      </c>
      <c r="K64" s="25"/>
      <c r="L64" s="25"/>
      <c r="M64" s="25"/>
      <c r="N64" s="25"/>
      <c r="O64" s="25"/>
    </row>
    <row r="65" spans="1:15" x14ac:dyDescent="0.2">
      <c r="A65" s="30" t="s">
        <v>552</v>
      </c>
      <c r="B65" s="28">
        <f t="shared" si="17" ref="B65:J65">B17+B18+B19+B20-B21</f>
        <v>0</v>
      </c>
      <c r="C65" s="28">
        <f t="shared" si="17"/>
        <v>0</v>
      </c>
      <c r="D65" s="28">
        <f t="shared" si="17"/>
        <v>0</v>
      </c>
      <c r="E65" s="28">
        <f t="shared" si="17"/>
        <v>0</v>
      </c>
      <c r="F65" s="28">
        <f t="shared" si="17"/>
        <v>0</v>
      </c>
      <c r="G65" s="28">
        <f t="shared" si="17"/>
        <v>0</v>
      </c>
      <c r="H65" s="28">
        <f t="shared" si="17"/>
        <v>0</v>
      </c>
      <c r="I65" s="42">
        <f t="shared" si="17"/>
        <v>0</v>
      </c>
      <c r="J65" s="28">
        <f t="shared" si="17"/>
        <v>0</v>
      </c>
      <c r="K65" s="25"/>
      <c r="L65" s="25"/>
      <c r="M65" s="25"/>
      <c r="N65" s="25"/>
      <c r="O65" s="25"/>
    </row>
    <row r="66" spans="1:15" x14ac:dyDescent="0.2">
      <c r="A66" s="30" t="s">
        <v>553</v>
      </c>
      <c r="B66" s="28">
        <f t="shared" si="18" ref="B66:J66">B21-B14</f>
        <v>0</v>
      </c>
      <c r="C66" s="28">
        <f t="shared" si="18"/>
        <v>0</v>
      </c>
      <c r="D66" s="28">
        <f t="shared" si="18"/>
        <v>0</v>
      </c>
      <c r="E66" s="28">
        <f t="shared" si="18"/>
        <v>0</v>
      </c>
      <c r="F66" s="28">
        <f t="shared" si="18"/>
        <v>0</v>
      </c>
      <c r="G66" s="28">
        <f t="shared" si="18"/>
        <v>0</v>
      </c>
      <c r="H66" s="28">
        <f t="shared" si="18"/>
        <v>0</v>
      </c>
      <c r="I66" s="42">
        <f t="shared" si="18"/>
        <v>0</v>
      </c>
      <c r="J66" s="28">
        <f t="shared" si="18"/>
        <v>0</v>
      </c>
      <c r="K66" s="25"/>
      <c r="L66" s="25"/>
      <c r="M66" s="25"/>
      <c r="N66" s="25"/>
      <c r="O66" s="25"/>
    </row>
    <row r="67" spans="1:15" x14ac:dyDescent="0.2">
      <c r="A67" s="30" t="s">
        <v>554</v>
      </c>
      <c r="B67" s="28">
        <f>B7+B13-B11</f>
        <v>0</v>
      </c>
      <c r="C67" s="28">
        <f>C7+C13-C11</f>
        <v>0</v>
      </c>
      <c r="D67" s="28"/>
      <c r="E67" s="28"/>
      <c r="F67" s="28"/>
      <c r="G67" s="28"/>
      <c r="H67" s="28"/>
      <c r="I67" s="42"/>
      <c r="J67" s="28"/>
      <c r="K67" s="25"/>
      <c r="L67" s="25"/>
      <c r="M67" s="25"/>
      <c r="N67" s="25"/>
      <c r="O67" s="25"/>
    </row>
    <row r="68" spans="1:15" x14ac:dyDescent="0.2">
      <c r="A68" s="30" t="s">
        <v>555</v>
      </c>
      <c r="B68" s="28">
        <f>B8+B10-B13</f>
        <v>0</v>
      </c>
      <c r="C68" s="28">
        <f>C8+C10-C13</f>
        <v>0</v>
      </c>
      <c r="D68" s="28"/>
      <c r="E68" s="28"/>
      <c r="F68" s="28"/>
      <c r="G68" s="28"/>
      <c r="H68" s="28"/>
      <c r="I68" s="42"/>
      <c r="J68" s="28"/>
      <c r="K68" s="25"/>
      <c r="L68" s="25"/>
      <c r="M68" s="25"/>
      <c r="N68" s="25"/>
      <c r="O68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A0AB-8EEB-3742-A4E9-109411518324}">
  <sheetPr>
    <tabColor rgb="FF5A2331"/>
  </sheetPr>
  <dimension ref="A1:T111"/>
  <sheetViews>
    <sheetView showGridLines="0" tabSelected="1" zoomScale="75" zoomScaleNormal="90" workbookViewId="0">
      <selection activeCell="C80" sqref="C80"/>
    </sheetView>
  </sheetViews>
  <sheetFormatPr baseColWidth="10" defaultColWidth="8.33203125" defaultRowHeight="15" x14ac:dyDescent="0.2"/>
  <cols>
    <col min="1" max="1" width="77.6640625" customWidth="1"/>
    <col min="2" max="8" width="15.83203125" customWidth="1"/>
    <col min="9" max="9" width="7.83203125" bestFit="1" customWidth="1"/>
    <col min="10" max="18" width="11" customWidth="1"/>
    <col min="19" max="19" width="17.6640625" customWidth="1"/>
    <col min="20" max="20" width="106" customWidth="1"/>
  </cols>
  <sheetData>
    <row r="1" spans="1:20" x14ac:dyDescent="0.2">
      <c r="A1" s="122" t="s">
        <v>556</v>
      </c>
      <c r="B1" s="122"/>
      <c r="C1" s="122"/>
      <c r="D1" s="122"/>
      <c r="E1" s="122"/>
      <c r="F1" s="122">
        <v>15</v>
      </c>
      <c r="G1" s="122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x14ac:dyDescent="0.2">
      <c r="A2" s="54" t="s">
        <v>557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x14ac:dyDescent="0.2">
      <c r="A3" s="54"/>
      <c r="B3" s="54"/>
      <c r="C3" s="54"/>
      <c r="D3" s="54"/>
      <c r="E3" s="54"/>
      <c r="F3" s="54"/>
      <c r="G3" s="54"/>
      <c r="H3" s="54" t="s">
        <v>558</v>
      </c>
      <c r="I3" s="54" t="s">
        <v>559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1:20" x14ac:dyDescent="0.2">
      <c r="A4" s="125" t="s">
        <v>141</v>
      </c>
      <c r="B4" s="136">
        <v>2019</v>
      </c>
      <c r="C4" s="136">
        <f>+B4+1</f>
        <v>2020</v>
      </c>
      <c r="D4" s="136">
        <f t="shared" si="0" ref="D4:G4">+C4+1</f>
        <v>2021</v>
      </c>
      <c r="E4" s="136">
        <f t="shared" si="0"/>
        <v>2022</v>
      </c>
      <c r="F4" s="136">
        <f t="shared" si="0"/>
        <v>2023</v>
      </c>
      <c r="G4" s="136">
        <f t="shared" si="0"/>
        <v>2024</v>
      </c>
      <c r="H4" s="136">
        <f>+G4+1</f>
        <v>2025</v>
      </c>
      <c r="I4" s="137">
        <f>+H4+1</f>
        <v>2026</v>
      </c>
      <c r="J4" s="137">
        <f t="shared" si="1" ref="J4:R4">+I4+1</f>
        <v>2027</v>
      </c>
      <c r="K4" s="137">
        <f t="shared" si="1"/>
        <v>2028</v>
      </c>
      <c r="L4" s="137">
        <f t="shared" si="1"/>
        <v>2029</v>
      </c>
      <c r="M4" s="137">
        <f t="shared" si="1"/>
        <v>2030</v>
      </c>
      <c r="N4" s="137">
        <f t="shared" si="1"/>
        <v>2031</v>
      </c>
      <c r="O4" s="137">
        <f t="shared" si="1"/>
        <v>2032</v>
      </c>
      <c r="P4" s="137">
        <f t="shared" si="1"/>
        <v>2033</v>
      </c>
      <c r="Q4" s="137">
        <f t="shared" si="1"/>
        <v>2034</v>
      </c>
      <c r="R4" s="137">
        <f t="shared" si="1"/>
        <v>2035</v>
      </c>
      <c r="S4" s="135" t="s">
        <v>144</v>
      </c>
      <c r="T4" s="135" t="s">
        <v>560</v>
      </c>
    </row>
    <row r="5" spans="1:20" x14ac:dyDescent="0.2">
      <c r="A5" s="73" t="s">
        <v>561</v>
      </c>
      <c r="B5" s="133">
        <v>1</v>
      </c>
      <c r="C5" s="73"/>
      <c r="D5" s="73"/>
      <c r="E5" s="73"/>
      <c r="F5" s="73"/>
      <c r="G5" s="73"/>
      <c r="H5" s="73"/>
      <c r="J5" s="54"/>
      <c r="K5" s="54"/>
      <c r="L5" s="54"/>
      <c r="M5" s="54"/>
      <c r="N5" s="54"/>
      <c r="O5" s="54"/>
      <c r="P5" s="54"/>
      <c r="Q5" s="54"/>
      <c r="R5" s="54"/>
      <c r="S5" s="54"/>
      <c r="T5" s="54" t="s">
        <v>562</v>
      </c>
    </row>
    <row r="6" spans="1:20" x14ac:dyDescent="0.2">
      <c r="A6" s="73" t="s">
        <v>124</v>
      </c>
      <c r="B6" s="134" t="str">
        <f>CHOOSE(B5,"Base","Bull","Bear")</f>
        <v>Base</v>
      </c>
      <c r="C6" s="73"/>
      <c r="D6" s="73"/>
      <c r="E6" s="73"/>
      <c r="F6" s="73"/>
      <c r="G6" s="73"/>
      <c r="H6" s="73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x14ac:dyDescent="0.2">
      <c r="A8" s="72" t="s">
        <v>563</v>
      </c>
      <c r="B8" s="72"/>
      <c r="C8" s="72"/>
      <c r="D8" s="72"/>
      <c r="E8" s="72"/>
      <c r="F8" s="72"/>
      <c r="G8" s="72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x14ac:dyDescent="0.2">
      <c r="A9" s="54"/>
      <c r="B9" s="54"/>
      <c r="C9" s="54"/>
      <c r="D9" s="54"/>
      <c r="E9" s="54"/>
      <c r="F9" s="54"/>
      <c r="G9" s="54"/>
      <c r="H9" s="54"/>
      <c r="I9" s="87" t="s">
        <v>564</v>
      </c>
      <c r="J9" s="87" t="s">
        <v>565</v>
      </c>
      <c r="K9" s="87" t="s">
        <v>566</v>
      </c>
      <c r="L9" s="87" t="s">
        <v>567</v>
      </c>
      <c r="M9" s="54"/>
      <c r="N9" s="54"/>
      <c r="O9" s="54"/>
      <c r="P9" s="54"/>
      <c r="Q9" s="54"/>
      <c r="R9" s="54"/>
      <c r="S9" s="54"/>
      <c r="T9" s="54"/>
    </row>
    <row r="10" spans="1:20" x14ac:dyDescent="0.2">
      <c r="A10" s="58" t="s">
        <v>568</v>
      </c>
      <c r="B10" s="58"/>
      <c r="C10" s="58"/>
      <c r="D10" s="58"/>
      <c r="E10" s="58"/>
      <c r="F10" s="58"/>
      <c r="G10" s="58"/>
      <c r="H10" s="54"/>
      <c r="I10" s="68">
        <f>CHOOSE($B$5,J10,K10,L10)</f>
        <v>74500</v>
      </c>
      <c r="J10" s="53">
        <v>74500</v>
      </c>
      <c r="K10" s="53">
        <v>76000</v>
      </c>
      <c r="L10" s="53">
        <v>73000</v>
      </c>
      <c r="M10" s="54"/>
      <c r="N10" s="54"/>
      <c r="O10" s="54"/>
      <c r="P10" s="54"/>
      <c r="Q10" s="54"/>
      <c r="R10" s="54"/>
      <c r="S10" s="54"/>
      <c r="T10" s="54" t="s">
        <v>569</v>
      </c>
    </row>
    <row r="11" spans="1:20" x14ac:dyDescent="0.2">
      <c r="A11" s="58" t="s">
        <v>570</v>
      </c>
      <c r="B11" s="58"/>
      <c r="C11" s="58"/>
      <c r="D11" s="58"/>
      <c r="E11" s="58"/>
      <c r="F11" s="58"/>
      <c r="G11" s="58"/>
      <c r="H11" s="54"/>
      <c r="I11" s="68">
        <f>CHOOSE($B$5,J11,K11,L11)</f>
        <v>177000</v>
      </c>
      <c r="J11" s="53">
        <v>177000</v>
      </c>
      <c r="K11" s="53">
        <v>175000</v>
      </c>
      <c r="L11" s="53">
        <v>179000</v>
      </c>
      <c r="M11" s="54"/>
      <c r="N11" s="54"/>
      <c r="O11" s="54"/>
      <c r="P11" s="54"/>
      <c r="Q11" s="54"/>
      <c r="R11" s="54"/>
      <c r="S11" s="54"/>
      <c r="T11" s="54" t="s">
        <v>571</v>
      </c>
    </row>
    <row r="12" spans="1:20" x14ac:dyDescent="0.2">
      <c r="A12" s="58" t="s">
        <v>572</v>
      </c>
      <c r="B12" s="58"/>
      <c r="C12" s="58"/>
      <c r="D12" s="58"/>
      <c r="E12" s="58"/>
      <c r="F12" s="58"/>
      <c r="G12" s="58"/>
      <c r="H12" s="54"/>
      <c r="I12" s="56">
        <f>CHOOSE($B$5,J12,K12,L12)</f>
        <v>0.16</v>
      </c>
      <c r="J12" s="79">
        <v>0.16</v>
      </c>
      <c r="K12" s="79">
        <v>0.15</v>
      </c>
      <c r="L12" s="79">
        <v>0.17</v>
      </c>
      <c r="M12" s="54"/>
      <c r="N12" s="54"/>
      <c r="O12" s="54"/>
      <c r="P12" s="54"/>
      <c r="Q12" s="54"/>
      <c r="R12" s="54"/>
      <c r="S12" s="54"/>
      <c r="T12" s="54" t="s">
        <v>573</v>
      </c>
    </row>
    <row r="13" spans="1:20" x14ac:dyDescent="0.2">
      <c r="A13" s="58" t="s">
        <v>574</v>
      </c>
      <c r="B13" s="58"/>
      <c r="C13" s="58"/>
      <c r="D13" s="58"/>
      <c r="E13" s="58"/>
      <c r="F13" s="58"/>
      <c r="G13" s="58"/>
      <c r="H13" s="54"/>
      <c r="I13" s="56">
        <f>CHOOSE($B$5,J13,K13,L13)</f>
        <v>0.6</v>
      </c>
      <c r="J13" s="79">
        <v>0.6</v>
      </c>
      <c r="K13" s="79">
        <v>0.7</v>
      </c>
      <c r="L13" s="79">
        <v>0.5</v>
      </c>
      <c r="M13" s="54"/>
      <c r="N13" s="54"/>
      <c r="O13" s="54"/>
      <c r="P13" s="54"/>
      <c r="Q13" s="54"/>
      <c r="R13" s="54"/>
      <c r="S13" s="54"/>
      <c r="T13" s="54" t="s">
        <v>575</v>
      </c>
    </row>
    <row r="14" spans="1:20" x14ac:dyDescent="0.2">
      <c r="A14" s="58" t="s">
        <v>576</v>
      </c>
      <c r="B14" s="58"/>
      <c r="C14" s="58"/>
      <c r="D14" s="58"/>
      <c r="E14" s="58"/>
      <c r="F14" s="58"/>
      <c r="G14" s="58"/>
      <c r="H14" s="54"/>
      <c r="I14" s="68">
        <f>CHOOSE($B$5,J14,K14,L14)</f>
        <v>955</v>
      </c>
      <c r="J14" s="53">
        <v>955</v>
      </c>
      <c r="K14" s="53">
        <v>1050</v>
      </c>
      <c r="L14" s="53">
        <v>900</v>
      </c>
      <c r="M14" s="54"/>
      <c r="N14" s="54"/>
      <c r="O14" s="54"/>
      <c r="P14" s="54"/>
      <c r="Q14" s="54"/>
      <c r="R14" s="54"/>
      <c r="S14" s="54"/>
      <c r="T14" s="54" t="s">
        <v>577</v>
      </c>
    </row>
    <row r="15" spans="1:20" x14ac:dyDescent="0.2">
      <c r="A15" s="58" t="s">
        <v>578</v>
      </c>
      <c r="B15" s="58"/>
      <c r="C15" s="58"/>
      <c r="D15" s="58"/>
      <c r="E15" s="58"/>
      <c r="F15" s="58"/>
      <c r="G15" s="58"/>
      <c r="H15" s="54"/>
      <c r="I15" s="68">
        <f>CHOOSE($B$5,J15,K15,L15)</f>
        <v>-5725</v>
      </c>
      <c r="J15" s="53">
        <v>-5725</v>
      </c>
      <c r="K15" s="53">
        <v>-5225</v>
      </c>
      <c r="L15" s="53">
        <v>-6225</v>
      </c>
      <c r="M15" s="54"/>
      <c r="N15" s="54"/>
      <c r="O15" s="54"/>
      <c r="P15" s="54"/>
      <c r="Q15" s="54"/>
      <c r="R15" s="54"/>
      <c r="S15" s="54"/>
      <c r="T15" s="54" t="s">
        <v>579</v>
      </c>
    </row>
    <row r="16" spans="1:20" x14ac:dyDescent="0.2">
      <c r="A16" s="58" t="s">
        <v>580</v>
      </c>
      <c r="B16" s="58"/>
      <c r="C16" s="58"/>
      <c r="D16" s="58"/>
      <c r="E16" s="58"/>
      <c r="F16" s="58"/>
      <c r="G16" s="58"/>
      <c r="H16" s="54"/>
      <c r="I16" s="56">
        <f>CHOOSE($B$5,J16,K16,L16)</f>
        <v>0.03</v>
      </c>
      <c r="J16" s="79">
        <v>0.03</v>
      </c>
      <c r="K16" s="79">
        <v>3.5000000000000003E-2</v>
      </c>
      <c r="L16" s="79">
        <v>2.5000000000000001E-2</v>
      </c>
      <c r="M16" s="54"/>
      <c r="N16" s="54"/>
      <c r="O16" s="54"/>
      <c r="P16" s="54"/>
      <c r="Q16" s="54"/>
      <c r="R16" s="54"/>
      <c r="S16" s="54"/>
      <c r="T16" s="54" t="s">
        <v>581</v>
      </c>
    </row>
    <row r="17" spans="1:20" x14ac:dyDescent="0.2">
      <c r="A17" s="58" t="s">
        <v>582</v>
      </c>
      <c r="B17" s="58"/>
      <c r="C17" s="58"/>
      <c r="D17" s="58"/>
      <c r="E17" s="58"/>
      <c r="F17" s="58"/>
      <c r="G17" s="58"/>
      <c r="H17" s="54"/>
      <c r="I17" s="56">
        <f>CHOOSE($B$5,J17,K17,L17)</f>
        <v>0.2</v>
      </c>
      <c r="J17" s="79">
        <v>0.2</v>
      </c>
      <c r="K17" s="79">
        <v>0.3</v>
      </c>
      <c r="L17" s="79">
        <v>0.12</v>
      </c>
      <c r="M17" s="54"/>
      <c r="N17" s="54"/>
      <c r="O17" s="54"/>
      <c r="P17" s="54"/>
      <c r="Q17" s="54"/>
      <c r="R17" s="54"/>
      <c r="S17" s="54"/>
      <c r="T17" s="54" t="s">
        <v>583</v>
      </c>
    </row>
    <row r="18" spans="1:20" x14ac:dyDescent="0.2">
      <c r="A18" s="58" t="s">
        <v>584</v>
      </c>
      <c r="B18" s="58"/>
      <c r="C18" s="58"/>
      <c r="D18" s="58"/>
      <c r="E18" s="58"/>
      <c r="F18" s="58"/>
      <c r="G18" s="58"/>
      <c r="H18" s="54"/>
      <c r="I18" s="64">
        <f>CHOOSE($B$5,J18,K18,L18)</f>
        <v>10</v>
      </c>
      <c r="J18" s="80">
        <v>10</v>
      </c>
      <c r="K18" s="80">
        <v>12</v>
      </c>
      <c r="L18" s="80">
        <v>7</v>
      </c>
      <c r="M18" s="54"/>
      <c r="N18" s="54"/>
      <c r="O18" s="54"/>
      <c r="P18" s="54"/>
      <c r="Q18" s="54"/>
      <c r="R18" s="54"/>
      <c r="S18" s="54"/>
      <c r="T18" s="54" t="s">
        <v>585</v>
      </c>
    </row>
    <row r="19" spans="1:20" x14ac:dyDescent="0.2">
      <c r="A19" s="58" t="s">
        <v>586</v>
      </c>
      <c r="B19" s="58"/>
      <c r="C19" s="58"/>
      <c r="D19" s="58"/>
      <c r="E19" s="58"/>
      <c r="F19" s="58"/>
      <c r="G19" s="58"/>
      <c r="H19" s="54"/>
      <c r="I19" s="56">
        <f>CHOOSE($B$5,J19,K19,L19)</f>
        <v>0.25</v>
      </c>
      <c r="J19" s="79">
        <v>0.25</v>
      </c>
      <c r="K19" s="79">
        <v>0.3</v>
      </c>
      <c r="L19" s="79">
        <v>0.15</v>
      </c>
      <c r="M19" s="54"/>
      <c r="N19" s="54"/>
      <c r="O19" s="54"/>
      <c r="P19" s="54"/>
      <c r="Q19" s="54"/>
      <c r="R19" s="54"/>
      <c r="S19" s="54"/>
      <c r="T19" s="54" t="s">
        <v>587</v>
      </c>
    </row>
    <row r="20" spans="1:20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x14ac:dyDescent="0.2">
      <c r="A21" s="72" t="s">
        <v>588</v>
      </c>
      <c r="B21" s="72"/>
      <c r="C21" s="72"/>
      <c r="D21" s="72"/>
      <c r="E21" s="72"/>
      <c r="F21" s="72"/>
      <c r="G21" s="72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x14ac:dyDescent="0.2">
      <c r="A22" s="58" t="s">
        <v>589</v>
      </c>
      <c r="B22" s="58"/>
      <c r="C22" s="58"/>
      <c r="D22" s="58"/>
      <c r="E22" s="58"/>
      <c r="F22" s="58"/>
      <c r="G22" s="58"/>
      <c r="H22" s="54"/>
      <c r="I22" s="53">
        <v>-200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 t="s">
        <v>590</v>
      </c>
    </row>
    <row r="23" spans="1:20" x14ac:dyDescent="0.2">
      <c r="A23" s="58" t="s">
        <v>591</v>
      </c>
      <c r="B23" s="58"/>
      <c r="C23" s="58"/>
      <c r="D23" s="58"/>
      <c r="E23" s="58"/>
      <c r="F23" s="58"/>
      <c r="G23" s="58"/>
      <c r="H23" s="54"/>
      <c r="I23" s="53">
        <v>1000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 t="s">
        <v>592</v>
      </c>
    </row>
    <row r="24" spans="1:20" x14ac:dyDescent="0.2">
      <c r="A24" s="58" t="s">
        <v>593</v>
      </c>
      <c r="B24" s="58"/>
      <c r="C24" s="58"/>
      <c r="D24" s="58"/>
      <c r="E24" s="58"/>
      <c r="F24" s="58"/>
      <c r="G24" s="58"/>
      <c r="H24" s="54"/>
      <c r="I24" s="53">
        <v>8200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 t="s">
        <v>594</v>
      </c>
    </row>
    <row r="25" spans="1:20" x14ac:dyDescent="0.2">
      <c r="A25" s="58" t="s">
        <v>595</v>
      </c>
      <c r="B25" s="58"/>
      <c r="C25" s="58"/>
      <c r="D25" s="58"/>
      <c r="E25" s="58"/>
      <c r="F25" s="58"/>
      <c r="G25" s="58"/>
      <c r="H25" s="54"/>
      <c r="I25" s="53">
        <v>7000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 t="s">
        <v>596</v>
      </c>
    </row>
    <row r="26" spans="1:20" x14ac:dyDescent="0.2">
      <c r="A26" s="58" t="s">
        <v>597</v>
      </c>
      <c r="B26" s="58"/>
      <c r="C26" s="58"/>
      <c r="D26" s="58"/>
      <c r="E26" s="58"/>
      <c r="F26" s="58"/>
      <c r="G26" s="58"/>
      <c r="H26" s="54"/>
      <c r="I26" s="53">
        <v>4250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 t="s">
        <v>598</v>
      </c>
    </row>
    <row r="27" spans="1:20" x14ac:dyDescent="0.2">
      <c r="A27" s="58" t="s">
        <v>599</v>
      </c>
      <c r="B27" s="58"/>
      <c r="C27" s="58"/>
      <c r="D27" s="58"/>
      <c r="E27" s="58"/>
      <c r="F27" s="58"/>
      <c r="G27" s="58"/>
      <c r="H27" s="54"/>
      <c r="I27" s="53">
        <v>1360</v>
      </c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 t="s">
        <v>600</v>
      </c>
    </row>
    <row r="28" spans="1:20" x14ac:dyDescent="0.2">
      <c r="A28" s="58" t="s">
        <v>601</v>
      </c>
      <c r="B28" s="58"/>
      <c r="C28" s="58"/>
      <c r="D28" s="58"/>
      <c r="E28" s="58"/>
      <c r="F28" s="58"/>
      <c r="G28" s="58"/>
      <c r="H28" s="54"/>
      <c r="I28" s="53">
        <v>0</v>
      </c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 t="s">
        <v>602</v>
      </c>
    </row>
    <row r="29" spans="1:20" x14ac:dyDescent="0.2">
      <c r="A29" s="58" t="s">
        <v>603</v>
      </c>
      <c r="B29" s="58"/>
      <c r="C29" s="58"/>
      <c r="D29" s="58"/>
      <c r="E29" s="58"/>
      <c r="F29" s="58"/>
      <c r="G29" s="58"/>
      <c r="H29" s="54"/>
      <c r="I29" s="53">
        <v>0</v>
      </c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 t="s">
        <v>604</v>
      </c>
    </row>
    <row r="30" spans="1:20" x14ac:dyDescent="0.2">
      <c r="A30" s="58" t="s">
        <v>605</v>
      </c>
      <c r="B30" s="58"/>
      <c r="C30" s="58"/>
      <c r="D30" s="58"/>
      <c r="E30" s="58"/>
      <c r="F30" s="58"/>
      <c r="G30" s="58"/>
      <c r="H30" s="54"/>
      <c r="I30" s="53">
        <v>11890</v>
      </c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 t="s">
        <v>606</v>
      </c>
    </row>
    <row r="31" spans="1:20" x14ac:dyDescent="0.2">
      <c r="A31" s="58" t="s">
        <v>607</v>
      </c>
      <c r="B31" s="58"/>
      <c r="C31" s="58"/>
      <c r="D31" s="58"/>
      <c r="E31" s="58"/>
      <c r="F31" s="58"/>
      <c r="G31" s="58"/>
      <c r="H31" s="54"/>
      <c r="I31" s="79">
        <v>3.5000000000000003E-2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 t="s">
        <v>608</v>
      </c>
    </row>
    <row r="32" spans="1:20" x14ac:dyDescent="0.2">
      <c r="A32" s="58" t="s">
        <v>609</v>
      </c>
      <c r="B32" s="58"/>
      <c r="C32" s="58"/>
      <c r="D32" s="58"/>
      <c r="E32" s="58"/>
      <c r="F32" s="58"/>
      <c r="G32" s="58"/>
      <c r="H32" s="54"/>
      <c r="I32" s="79">
        <v>4.8000000000000001E-2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 t="s">
        <v>610</v>
      </c>
    </row>
    <row r="33" spans="1:20" x14ac:dyDescent="0.2">
      <c r="A33" s="58" t="s">
        <v>611</v>
      </c>
      <c r="B33" s="58"/>
      <c r="C33" s="58"/>
      <c r="D33" s="58"/>
      <c r="E33" s="58"/>
      <c r="F33" s="58"/>
      <c r="G33" s="58"/>
      <c r="H33" s="54"/>
      <c r="I33" s="79">
        <v>0.25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 t="s">
        <v>612</v>
      </c>
    </row>
    <row r="34" spans="1:20" x14ac:dyDescent="0.2">
      <c r="A34" s="58" t="s">
        <v>613</v>
      </c>
      <c r="B34" s="58"/>
      <c r="C34" s="58"/>
      <c r="D34" s="58"/>
      <c r="E34" s="58"/>
      <c r="F34" s="58"/>
      <c r="G34" s="58"/>
      <c r="H34" s="54"/>
      <c r="I34" s="79">
        <v>1.4E-2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 t="s">
        <v>614</v>
      </c>
    </row>
    <row r="35" spans="1:20" x14ac:dyDescent="0.2">
      <c r="A35" s="58" t="s">
        <v>615</v>
      </c>
      <c r="B35" s="58"/>
      <c r="C35" s="58"/>
      <c r="D35" s="58"/>
      <c r="E35" s="58"/>
      <c r="F35" s="58"/>
      <c r="G35" s="58"/>
      <c r="H35" s="54"/>
      <c r="I35" s="81">
        <v>21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 t="s">
        <v>616</v>
      </c>
    </row>
    <row r="36" spans="1:20" x14ac:dyDescent="0.2">
      <c r="A36" s="58" t="s">
        <v>617</v>
      </c>
      <c r="B36" s="58"/>
      <c r="C36" s="58"/>
      <c r="D36" s="58"/>
      <c r="E36" s="58"/>
      <c r="F36" s="58"/>
      <c r="G36" s="58"/>
      <c r="H36" s="54"/>
      <c r="I36" s="79">
        <v>0.08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 t="s">
        <v>618</v>
      </c>
    </row>
    <row r="37" spans="1:20" x14ac:dyDescent="0.2">
      <c r="A37" s="58" t="s">
        <v>619</v>
      </c>
      <c r="B37" s="58"/>
      <c r="C37" s="58"/>
      <c r="D37" s="58"/>
      <c r="E37" s="58"/>
      <c r="F37" s="58"/>
      <c r="G37" s="58"/>
      <c r="H37" s="54"/>
      <c r="I37" s="79">
        <v>0.75</v>
      </c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 t="s">
        <v>620</v>
      </c>
    </row>
    <row r="38" spans="1:20" x14ac:dyDescent="0.2">
      <c r="A38" s="58" t="s">
        <v>621</v>
      </c>
      <c r="B38" s="58"/>
      <c r="C38" s="58"/>
      <c r="D38" s="58"/>
      <c r="E38" s="58"/>
      <c r="F38" s="58"/>
      <c r="G38" s="58"/>
      <c r="H38" s="54"/>
      <c r="I38" s="79">
        <v>0.105</v>
      </c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 t="s">
        <v>622</v>
      </c>
    </row>
    <row r="39" spans="1:20" x14ac:dyDescent="0.2">
      <c r="A39" s="58" t="s">
        <v>623</v>
      </c>
      <c r="B39" s="58"/>
      <c r="C39" s="58"/>
      <c r="D39" s="58"/>
      <c r="E39" s="58"/>
      <c r="F39" s="58"/>
      <c r="G39" s="58"/>
      <c r="H39" s="54"/>
      <c r="I39" s="92">
        <v>2.1</v>
      </c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 t="s">
        <v>624</v>
      </c>
    </row>
    <row r="40" spans="1:20" x14ac:dyDescent="0.2">
      <c r="A40" s="58" t="s">
        <v>625</v>
      </c>
      <c r="B40" s="58"/>
      <c r="C40" s="58"/>
      <c r="D40" s="58"/>
      <c r="E40" s="58"/>
      <c r="F40" s="58"/>
      <c r="G40" s="58"/>
      <c r="H40" s="54"/>
      <c r="I40" s="79">
        <v>0.5</v>
      </c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 t="s">
        <v>626</v>
      </c>
    </row>
    <row r="41" spans="1:20" x14ac:dyDescent="0.2">
      <c r="A41" s="58" t="s">
        <v>627</v>
      </c>
      <c r="B41" s="58"/>
      <c r="C41" s="58"/>
      <c r="D41" s="58"/>
      <c r="E41" s="58"/>
      <c r="F41" s="58"/>
      <c r="G41" s="58"/>
      <c r="H41" s="54"/>
      <c r="I41" s="81">
        <v>5.5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 t="s">
        <v>628</v>
      </c>
    </row>
    <row r="42" spans="1:20" x14ac:dyDescent="0.2">
      <c r="A42" s="58" t="s">
        <v>629</v>
      </c>
      <c r="B42" s="58"/>
      <c r="C42" s="58"/>
      <c r="D42" s="58"/>
      <c r="E42" s="58"/>
      <c r="F42" s="58"/>
      <c r="G42" s="58"/>
      <c r="H42" s="54"/>
      <c r="I42" s="81">
        <v>25</v>
      </c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 t="s">
        <v>630</v>
      </c>
    </row>
    <row r="43" spans="1:20" x14ac:dyDescent="0.2">
      <c r="A43" s="58" t="s">
        <v>631</v>
      </c>
      <c r="B43" s="58"/>
      <c r="C43" s="58"/>
      <c r="D43" s="58"/>
      <c r="E43" s="58"/>
      <c r="F43" s="58"/>
      <c r="G43" s="58"/>
      <c r="H43" s="54"/>
      <c r="I43" s="81">
        <v>1</v>
      </c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 t="s">
        <v>632</v>
      </c>
    </row>
    <row r="44" spans="1:20" x14ac:dyDescent="0.2">
      <c r="A44" s="58" t="s">
        <v>633</v>
      </c>
      <c r="B44" s="58"/>
      <c r="C44" s="58"/>
      <c r="D44" s="58"/>
      <c r="E44" s="58"/>
      <c r="F44" s="58"/>
      <c r="G44" s="58"/>
      <c r="H44" s="54"/>
      <c r="I44" s="79">
        <v>0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 t="s">
        <v>634</v>
      </c>
    </row>
    <row r="45" spans="1:20" x14ac:dyDescent="0.2">
      <c r="A45" s="58" t="s">
        <v>635</v>
      </c>
      <c r="B45" s="58"/>
      <c r="C45" s="58"/>
      <c r="D45" s="58"/>
      <c r="E45" s="58"/>
      <c r="F45" s="58"/>
      <c r="G45" s="58"/>
      <c r="H45" s="54"/>
      <c r="I45" s="79">
        <v>0</v>
      </c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 t="s">
        <v>634</v>
      </c>
    </row>
    <row r="46" spans="1:20" x14ac:dyDescent="0.2">
      <c r="A46" s="58" t="s">
        <v>636</v>
      </c>
      <c r="B46" s="58"/>
      <c r="C46" s="58"/>
      <c r="D46" s="58"/>
      <c r="E46" s="58"/>
      <c r="F46" s="58"/>
      <c r="G46" s="58"/>
      <c r="H46" s="54"/>
      <c r="I46" s="86">
        <f>BS_Hist!H11/IS_Hist!H6</f>
        <v>9.8369873510942146E-2</v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 t="s">
        <v>637</v>
      </c>
    </row>
    <row r="47" spans="1:20" x14ac:dyDescent="0.2">
      <c r="A47" s="58" t="s">
        <v>638</v>
      </c>
      <c r="B47" s="58"/>
      <c r="C47" s="58"/>
      <c r="D47" s="58"/>
      <c r="E47" s="58"/>
      <c r="F47" s="58"/>
      <c r="G47" s="58"/>
      <c r="H47" s="54"/>
      <c r="I47" s="86">
        <f>BS_Hist!H12/IS_Hist!H6</f>
        <v>3.6628086342963488E-2</v>
      </c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 t="s">
        <v>637</v>
      </c>
    </row>
    <row r="48" spans="1:20" x14ac:dyDescent="0.2">
      <c r="A48" s="58" t="s">
        <v>639</v>
      </c>
      <c r="B48" s="58"/>
      <c r="C48" s="58"/>
      <c r="D48" s="58"/>
      <c r="E48" s="58"/>
      <c r="F48" s="58"/>
      <c r="G48" s="58"/>
      <c r="H48" s="54"/>
      <c r="I48" s="86">
        <f>BS_Hist!H26/IS_Hist!H6</f>
        <v>4.4256242349452149E-2</v>
      </c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 t="s">
        <v>637</v>
      </c>
    </row>
    <row r="49" spans="1:20" x14ac:dyDescent="0.2">
      <c r="A49" s="58" t="s">
        <v>640</v>
      </c>
      <c r="B49" s="58"/>
      <c r="C49" s="58"/>
      <c r="D49" s="58"/>
      <c r="E49" s="58"/>
      <c r="F49" s="58"/>
      <c r="G49" s="58"/>
      <c r="H49" s="54"/>
      <c r="I49" s="86">
        <f>BS_Hist!H29/IS_Hist!H6</f>
        <v>0.15290646178955644</v>
      </c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 t="s">
        <v>637</v>
      </c>
    </row>
    <row r="50" spans="1:20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x14ac:dyDescent="0.2">
      <c r="A51" s="72" t="s">
        <v>641</v>
      </c>
      <c r="B51" s="72"/>
      <c r="C51" s="72"/>
      <c r="D51" s="72"/>
      <c r="E51" s="72"/>
      <c r="F51" s="72"/>
      <c r="G51" s="72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x14ac:dyDescent="0.2">
      <c r="A52" s="72" t="s">
        <v>642</v>
      </c>
      <c r="B52" s="72"/>
      <c r="C52" s="72"/>
      <c r="D52" s="72"/>
      <c r="E52" s="72"/>
      <c r="F52" s="72"/>
      <c r="G52" s="72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 t="s">
        <v>643</v>
      </c>
    </row>
    <row r="53" spans="1:20" x14ac:dyDescent="0.2">
      <c r="A53" s="58" t="s">
        <v>565</v>
      </c>
      <c r="B53" s="58"/>
      <c r="C53" s="58"/>
      <c r="D53" s="58"/>
      <c r="E53" s="58"/>
      <c r="F53" s="58"/>
      <c r="G53" s="58"/>
      <c r="H53" s="54"/>
      <c r="I53" s="79">
        <v>0.13</v>
      </c>
      <c r="J53" s="79">
        <v>0.1</v>
      </c>
      <c r="K53" s="79">
        <v>0.09</v>
      </c>
      <c r="L53" s="79">
        <v>0.08</v>
      </c>
      <c r="M53" s="79">
        <v>7.0000000000000007E-2</v>
      </c>
      <c r="N53" s="79">
        <v>0.06</v>
      </c>
      <c r="O53" s="79">
        <v>0.05</v>
      </c>
      <c r="P53" s="79">
        <v>0.04</v>
      </c>
      <c r="Q53" s="79">
        <v>3.5000000000000003E-2</v>
      </c>
      <c r="R53" s="79">
        <v>0.03</v>
      </c>
      <c r="S53" s="54"/>
      <c r="T53" s="54"/>
    </row>
    <row r="54" spans="1:20" x14ac:dyDescent="0.2">
      <c r="A54" s="58" t="s">
        <v>566</v>
      </c>
      <c r="B54" s="58"/>
      <c r="C54" s="58"/>
      <c r="D54" s="58"/>
      <c r="E54" s="58"/>
      <c r="F54" s="58"/>
      <c r="G54" s="58"/>
      <c r="H54" s="54"/>
      <c r="I54" s="79">
        <v>0.14000000000000001</v>
      </c>
      <c r="J54" s="79">
        <v>0.11</v>
      </c>
      <c r="K54" s="79">
        <v>0.1</v>
      </c>
      <c r="L54" s="79">
        <v>0.09</v>
      </c>
      <c r="M54" s="79">
        <v>0.08</v>
      </c>
      <c r="N54" s="79">
        <v>7.0000000000000007E-2</v>
      </c>
      <c r="O54" s="79">
        <v>0.06</v>
      </c>
      <c r="P54" s="79">
        <v>0.05</v>
      </c>
      <c r="Q54" s="79">
        <v>0.04</v>
      </c>
      <c r="R54" s="79">
        <v>3.5000000000000003E-2</v>
      </c>
      <c r="S54" s="54"/>
      <c r="T54" s="54"/>
    </row>
    <row r="55" spans="1:20" x14ac:dyDescent="0.2">
      <c r="A55" s="58" t="s">
        <v>567</v>
      </c>
      <c r="B55" s="58"/>
      <c r="C55" s="58"/>
      <c r="D55" s="58"/>
      <c r="E55" s="58"/>
      <c r="F55" s="58"/>
      <c r="G55" s="58"/>
      <c r="H55" s="54"/>
      <c r="I55" s="79">
        <v>0.12</v>
      </c>
      <c r="J55" s="79">
        <v>0.09</v>
      </c>
      <c r="K55" s="79">
        <v>0.08</v>
      </c>
      <c r="L55" s="79">
        <v>7.0000000000000007E-2</v>
      </c>
      <c r="M55" s="79">
        <v>0.06</v>
      </c>
      <c r="N55" s="79">
        <v>0.05</v>
      </c>
      <c r="O55" s="79">
        <v>0.04</v>
      </c>
      <c r="P55" s="79">
        <v>0.04</v>
      </c>
      <c r="Q55" s="79">
        <v>0.03</v>
      </c>
      <c r="R55" s="79">
        <v>0.03</v>
      </c>
      <c r="S55" s="54"/>
      <c r="T55" s="54"/>
    </row>
    <row r="56" spans="1:20" x14ac:dyDescent="0.2">
      <c r="A56" s="91" t="s">
        <v>564</v>
      </c>
      <c r="B56" s="138">
        <f>Revenue_Hist!B27</f>
        <v>0.33</v>
      </c>
      <c r="C56" s="138">
        <f>Revenue_Hist!C27</f>
        <v>0.34</v>
      </c>
      <c r="D56" s="138">
        <f>Revenue_Hist!D27</f>
        <v>0.1</v>
      </c>
      <c r="E56" s="138">
        <f>Revenue_Hist!E27</f>
        <v>0.18</v>
      </c>
      <c r="F56" s="138">
        <f>Revenue_Hist!F27</f>
        <v>0.28000000000000003</v>
      </c>
      <c r="G56" s="138">
        <f>Revenue_Hist!G27</f>
        <v>0.11</v>
      </c>
      <c r="H56" s="139">
        <f>Revenue_Hist!H27</f>
        <v>0.12</v>
      </c>
      <c r="I56" s="83">
        <f>CHOOSE($B$5,I53,I54,I55)</f>
        <v>0.13</v>
      </c>
      <c r="J56" s="83">
        <f>CHOOSE($B$5,J53,J54,J55)</f>
        <v>0.1</v>
      </c>
      <c r="K56" s="83">
        <f>CHOOSE($B$5,K53,K54,K55)</f>
        <v>0.09</v>
      </c>
      <c r="L56" s="83">
        <f>CHOOSE($B$5,L53,L54,L55)</f>
        <v>0.08</v>
      </c>
      <c r="M56" s="83">
        <f>CHOOSE($B$5,M53,M54,M55)</f>
        <v>7.0000000000000007E-2</v>
      </c>
      <c r="N56" s="83">
        <f>CHOOSE($B$5,N53,N54,N55)</f>
        <v>0.06</v>
      </c>
      <c r="O56" s="83">
        <f>CHOOSE($B$5,O53,O54,O55)</f>
        <v>0.05</v>
      </c>
      <c r="P56" s="83">
        <f>CHOOSE($B$5,P53,P54,P55)</f>
        <v>0.04</v>
      </c>
      <c r="Q56" s="83">
        <f>CHOOSE($B$5,Q53,Q54,Q55)</f>
        <v>3.5000000000000003E-2</v>
      </c>
      <c r="R56" s="83">
        <f>CHOOSE($B$5,R53,R54,R55)</f>
        <v>0.03</v>
      </c>
      <c r="S56" s="54"/>
      <c r="T56" s="54"/>
    </row>
    <row r="57" spans="1:20" x14ac:dyDescent="0.2">
      <c r="A57" s="72" t="s">
        <v>644</v>
      </c>
      <c r="B57" s="72"/>
      <c r="C57" s="72"/>
      <c r="D57" s="72"/>
      <c r="E57" s="72"/>
      <c r="F57" s="72"/>
      <c r="G57" s="72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 t="s">
        <v>645</v>
      </c>
    </row>
    <row r="58" spans="1:20" x14ac:dyDescent="0.2">
      <c r="A58" s="58" t="s">
        <v>565</v>
      </c>
      <c r="B58" s="58"/>
      <c r="C58" s="58"/>
      <c r="D58" s="58"/>
      <c r="E58" s="58"/>
      <c r="F58" s="58"/>
      <c r="G58" s="58"/>
      <c r="H58" s="54"/>
      <c r="I58" s="140">
        <f>((Interim_Bridge!$B$7+$J$10-Interim_Bridge!$F$8*(1+$J$13)-$J$14)/Revenue_Hist!$H$7)/(1+I53)-1</f>
        <v>0.12647299965828784</v>
      </c>
      <c r="J58" s="79">
        <v>0.08</v>
      </c>
      <c r="K58" s="79">
        <v>7.0000000000000007E-2</v>
      </c>
      <c r="L58" s="79">
        <v>0.06</v>
      </c>
      <c r="M58" s="79">
        <v>0.05</v>
      </c>
      <c r="N58" s="79">
        <v>0.04</v>
      </c>
      <c r="O58" s="79">
        <v>0.04</v>
      </c>
      <c r="P58" s="79">
        <v>3.5000000000000003E-2</v>
      </c>
      <c r="Q58" s="79">
        <v>0.03</v>
      </c>
      <c r="R58" s="79">
        <v>2.5000000000000001E-2</v>
      </c>
      <c r="S58" s="54"/>
      <c r="T58" s="54"/>
    </row>
    <row r="59" spans="1:20" x14ac:dyDescent="0.2">
      <c r="A59" s="58" t="s">
        <v>566</v>
      </c>
      <c r="B59" s="58"/>
      <c r="C59" s="58"/>
      <c r="D59" s="58"/>
      <c r="E59" s="58"/>
      <c r="F59" s="58"/>
      <c r="G59" s="58"/>
      <c r="H59" s="54"/>
      <c r="I59" s="140">
        <f>((Interim_Bridge!$B$7+$K$10-Interim_Bridge!$F$8*(1+$K$13)-$K$14)/Revenue_Hist!$H$7)/(1+I54)-1</f>
        <v>0.12251637121349312</v>
      </c>
      <c r="J59" s="79">
        <v>0.12</v>
      </c>
      <c r="K59" s="79">
        <v>0.11</v>
      </c>
      <c r="L59" s="79">
        <v>0.1</v>
      </c>
      <c r="M59" s="79">
        <v>0.08</v>
      </c>
      <c r="N59" s="79">
        <v>7.0000000000000007E-2</v>
      </c>
      <c r="O59" s="79">
        <v>0.06</v>
      </c>
      <c r="P59" s="79">
        <v>0.05</v>
      </c>
      <c r="Q59" s="79">
        <v>0.04</v>
      </c>
      <c r="R59" s="79">
        <v>3.5000000000000003E-2</v>
      </c>
      <c r="S59" s="54"/>
      <c r="T59" s="54"/>
    </row>
    <row r="60" spans="1:20" x14ac:dyDescent="0.2">
      <c r="A60" s="58" t="s">
        <v>567</v>
      </c>
      <c r="B60" s="58"/>
      <c r="C60" s="58"/>
      <c r="D60" s="58"/>
      <c r="E60" s="58"/>
      <c r="F60" s="58"/>
      <c r="G60" s="58"/>
      <c r="H60" s="54"/>
      <c r="I60" s="140">
        <f>((Interim_Bridge!$B$7+$L$10-Interim_Bridge!$F$8*(1+$L$13)-$L$14)/Revenue_Hist!$H$7)/(1+I55)-1</f>
        <v>0.13031822898650991</v>
      </c>
      <c r="J60" s="79">
        <v>0.04</v>
      </c>
      <c r="K60" s="79">
        <v>0.02</v>
      </c>
      <c r="L60" s="79">
        <v>0.01</v>
      </c>
      <c r="M60" s="79">
        <v>0</v>
      </c>
      <c r="N60" s="79">
        <v>0</v>
      </c>
      <c r="O60" s="79">
        <v>0</v>
      </c>
      <c r="P60" s="79">
        <v>0</v>
      </c>
      <c r="Q60" s="79">
        <v>0</v>
      </c>
      <c r="R60" s="79">
        <v>0</v>
      </c>
      <c r="S60" s="54"/>
      <c r="T60" s="54"/>
    </row>
    <row r="61" spans="1:20" x14ac:dyDescent="0.2">
      <c r="A61" s="91" t="s">
        <v>564</v>
      </c>
      <c r="B61" s="138">
        <f>Revenue_Hist!B28</f>
        <v>-0.05</v>
      </c>
      <c r="C61" s="138">
        <f>Revenue_Hist!C28</f>
        <v>-0.1</v>
      </c>
      <c r="D61" s="138">
        <f>Revenue_Hist!D28</f>
        <v>0.24</v>
      </c>
      <c r="E61" s="138">
        <f>Revenue_Hist!E28</f>
        <v>-0.16</v>
      </c>
      <c r="F61" s="138">
        <f>Revenue_Hist!F28</f>
        <v>-0.09</v>
      </c>
      <c r="G61" s="138">
        <f>Revenue_Hist!G28</f>
        <v>0.1</v>
      </c>
      <c r="H61" s="139">
        <f>Revenue_Hist!H28</f>
        <v>0.09</v>
      </c>
      <c r="I61" s="141">
        <f>CHOOSE($B$5,I58,I59,I60)</f>
        <v>0.12647299965828784</v>
      </c>
      <c r="J61" s="83">
        <f>CHOOSE($B$5,J58,J59,J60)</f>
        <v>0.08</v>
      </c>
      <c r="K61" s="83">
        <f>CHOOSE($B$5,K58,K59,K60)</f>
        <v>7.0000000000000007E-2</v>
      </c>
      <c r="L61" s="83">
        <f>CHOOSE($B$5,L58,L59,L60)</f>
        <v>0.06</v>
      </c>
      <c r="M61" s="83">
        <f>CHOOSE($B$5,M58,M59,M60)</f>
        <v>0.05</v>
      </c>
      <c r="N61" s="83">
        <f>CHOOSE($B$5,N58,N59,N60)</f>
        <v>0.04</v>
      </c>
      <c r="O61" s="83">
        <f>CHOOSE($B$5,O58,O59,O60)</f>
        <v>0.04</v>
      </c>
      <c r="P61" s="83">
        <f>CHOOSE($B$5,P58,P59,P60)</f>
        <v>3.5000000000000003E-2</v>
      </c>
      <c r="Q61" s="83">
        <f>CHOOSE($B$5,Q58,Q59,Q60)</f>
        <v>0.03</v>
      </c>
      <c r="R61" s="83">
        <f>CHOOSE($B$5,R58,R59,R60)</f>
        <v>2.5000000000000001E-2</v>
      </c>
      <c r="S61" s="54"/>
      <c r="T61" s="54"/>
    </row>
    <row r="62" spans="1:20" x14ac:dyDescent="0.2">
      <c r="A62" s="72" t="s">
        <v>646</v>
      </c>
      <c r="B62" s="72"/>
      <c r="C62" s="72"/>
      <c r="D62" s="72"/>
      <c r="E62" s="72"/>
      <c r="F62" s="72"/>
      <c r="G62" s="72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 t="s">
        <v>647</v>
      </c>
    </row>
    <row r="63" spans="1:20" x14ac:dyDescent="0.2">
      <c r="A63" s="58" t="s">
        <v>565</v>
      </c>
      <c r="B63" s="58"/>
      <c r="C63" s="58"/>
      <c r="D63" s="58"/>
      <c r="E63" s="58"/>
      <c r="F63" s="58"/>
      <c r="G63" s="58"/>
      <c r="H63" s="54"/>
      <c r="I63" s="140">
        <f>(Interim_Bridge!$B$8+Interim_Bridge!$F$8*(1+$J$13))/Revenue_Hist!$H$8-1</f>
        <v>0.65131578947368429</v>
      </c>
      <c r="J63" s="79">
        <v>0.4</v>
      </c>
      <c r="K63" s="79">
        <v>0.3</v>
      </c>
      <c r="L63" s="79">
        <v>0.25</v>
      </c>
      <c r="M63" s="79">
        <v>0.2</v>
      </c>
      <c r="N63" s="79">
        <v>0.15</v>
      </c>
      <c r="O63" s="79">
        <v>0.12</v>
      </c>
      <c r="P63" s="79">
        <v>0.1</v>
      </c>
      <c r="Q63" s="79">
        <v>0.08</v>
      </c>
      <c r="R63" s="79">
        <v>0.06</v>
      </c>
      <c r="S63" s="54"/>
      <c r="T63" s="54"/>
    </row>
    <row r="64" spans="1:20" x14ac:dyDescent="0.2">
      <c r="A64" s="58" t="s">
        <v>566</v>
      </c>
      <c r="B64" s="58"/>
      <c r="C64" s="58"/>
      <c r="D64" s="58"/>
      <c r="E64" s="58"/>
      <c r="F64" s="58"/>
      <c r="G64" s="58"/>
      <c r="H64" s="54"/>
      <c r="I64" s="140">
        <f>(Interim_Bridge!$B$8+Interim_Bridge!$F$8*(1+$K$13))/Revenue_Hist!$H$8-1</f>
        <v>0.68227554179566563</v>
      </c>
      <c r="J64" s="79">
        <v>0.5</v>
      </c>
      <c r="K64" s="79">
        <v>0.4</v>
      </c>
      <c r="L64" s="79">
        <v>0.3</v>
      </c>
      <c r="M64" s="79">
        <v>0.25</v>
      </c>
      <c r="N64" s="79">
        <v>0.2</v>
      </c>
      <c r="O64" s="79">
        <v>0.15</v>
      </c>
      <c r="P64" s="79">
        <v>0.12</v>
      </c>
      <c r="Q64" s="79">
        <v>0.1</v>
      </c>
      <c r="R64" s="79">
        <v>0.08</v>
      </c>
      <c r="S64" s="54"/>
      <c r="T64" s="54"/>
    </row>
    <row r="65" spans="1:20" x14ac:dyDescent="0.2">
      <c r="A65" s="58" t="s">
        <v>567</v>
      </c>
      <c r="B65" s="58"/>
      <c r="C65" s="58"/>
      <c r="D65" s="58"/>
      <c r="E65" s="58"/>
      <c r="F65" s="58"/>
      <c r="G65" s="58"/>
      <c r="H65" s="54"/>
      <c r="I65" s="140">
        <f>(Interim_Bridge!$B$8+Interim_Bridge!$F$8*(1+$L$13))/Revenue_Hist!$H$8-1</f>
        <v>0.62035603715170273</v>
      </c>
      <c r="J65" s="79">
        <v>0.25</v>
      </c>
      <c r="K65" s="79">
        <v>0.2</v>
      </c>
      <c r="L65" s="79">
        <v>0.15</v>
      </c>
      <c r="M65" s="79">
        <v>0.1</v>
      </c>
      <c r="N65" s="79">
        <v>0.08</v>
      </c>
      <c r="O65" s="79">
        <v>0.06</v>
      </c>
      <c r="P65" s="79">
        <v>0.05</v>
      </c>
      <c r="Q65" s="79">
        <v>0.04</v>
      </c>
      <c r="R65" s="79">
        <v>0.04</v>
      </c>
      <c r="S65" s="54"/>
      <c r="T65" s="54"/>
    </row>
    <row r="66" spans="1:20" x14ac:dyDescent="0.2">
      <c r="A66" s="91" t="s">
        <v>564</v>
      </c>
      <c r="B66" s="91"/>
      <c r="C66" s="138">
        <f>Revenue_Hist!C8/Revenue_Hist!B8-1</f>
        <v>0.21441774491682075</v>
      </c>
      <c r="D66" s="138">
        <f>Revenue_Hist!D8/Revenue_Hist!C8-1</f>
        <v>9.7412480974124804E-2</v>
      </c>
      <c r="E66" s="138">
        <f>Revenue_Hist!E8/Revenue_Hist!D8-1</f>
        <v>0.12066574202496527</v>
      </c>
      <c r="F66" s="138">
        <f>Revenue_Hist!F8/Revenue_Hist!E8-1</f>
        <v>0.30940594059405946</v>
      </c>
      <c r="G66" s="138">
        <f>Revenue_Hist!G8/Revenue_Hist!F8-1</f>
        <v>0.6275992438563327</v>
      </c>
      <c r="H66" s="139">
        <f>Revenue_Hist!H8/Revenue_Hist!G8-1</f>
        <v>0.50058072009291532</v>
      </c>
      <c r="I66" s="141">
        <f>CHOOSE($B$5,I63,I64,I65)</f>
        <v>0.65131578947368429</v>
      </c>
      <c r="J66" s="83">
        <f>CHOOSE($B$5,J63,J64,J65)</f>
        <v>0.4</v>
      </c>
      <c r="K66" s="83">
        <f>CHOOSE($B$5,K63,K64,K65)</f>
        <v>0.3</v>
      </c>
      <c r="L66" s="83">
        <f>CHOOSE($B$5,L63,L64,L65)</f>
        <v>0.25</v>
      </c>
      <c r="M66" s="83">
        <f>CHOOSE($B$5,M63,M64,M65)</f>
        <v>0.2</v>
      </c>
      <c r="N66" s="83">
        <f>CHOOSE($B$5,N63,N64,N65)</f>
        <v>0.15</v>
      </c>
      <c r="O66" s="83">
        <f>CHOOSE($B$5,O63,O64,O65)</f>
        <v>0.12</v>
      </c>
      <c r="P66" s="83">
        <f>CHOOSE($B$5,P63,P64,P65)</f>
        <v>0.1</v>
      </c>
      <c r="Q66" s="83">
        <f>CHOOSE($B$5,Q63,Q64,Q65)</f>
        <v>0.08</v>
      </c>
      <c r="R66" s="83">
        <f>CHOOSE($B$5,R63,R64,R65)</f>
        <v>0.06</v>
      </c>
      <c r="S66" s="54"/>
      <c r="T66" s="54"/>
    </row>
    <row r="67" spans="1:20" x14ac:dyDescent="0.2">
      <c r="A67" s="72" t="s">
        <v>648</v>
      </c>
      <c r="B67" s="72"/>
      <c r="C67" s="72"/>
      <c r="D67" s="72"/>
      <c r="E67" s="72"/>
      <c r="F67" s="72"/>
      <c r="G67" s="72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 t="s">
        <v>649</v>
      </c>
    </row>
    <row r="68" spans="1:20" x14ac:dyDescent="0.2">
      <c r="A68" s="58" t="s">
        <v>565</v>
      </c>
      <c r="B68" s="58"/>
      <c r="C68" s="58"/>
      <c r="D68" s="58"/>
      <c r="E68" s="58"/>
      <c r="F68" s="58"/>
      <c r="G68" s="58"/>
      <c r="H68" s="54"/>
      <c r="I68" s="140">
        <f>(Interim_Bridge!$B$9+$J$14)/Revenue_Hist!$H$10-1</f>
        <v>1.0874490258269143E-2</v>
      </c>
      <c r="J68" s="79">
        <v>0.05</v>
      </c>
      <c r="K68" s="79">
        <v>0.05</v>
      </c>
      <c r="L68" s="79">
        <v>0.05</v>
      </c>
      <c r="M68" s="79">
        <v>0.05</v>
      </c>
      <c r="N68" s="79">
        <v>0.05</v>
      </c>
      <c r="O68" s="79">
        <v>0.05</v>
      </c>
      <c r="P68" s="79">
        <v>0.05</v>
      </c>
      <c r="Q68" s="79">
        <v>0.05</v>
      </c>
      <c r="R68" s="79">
        <v>0.05</v>
      </c>
      <c r="S68" s="54"/>
      <c r="T68" s="54"/>
    </row>
    <row r="69" spans="1:20" x14ac:dyDescent="0.2">
      <c r="A69" s="58" t="s">
        <v>566</v>
      </c>
      <c r="B69" s="58"/>
      <c r="C69" s="58"/>
      <c r="D69" s="58"/>
      <c r="E69" s="58"/>
      <c r="F69" s="58"/>
      <c r="G69" s="58"/>
      <c r="H69" s="54"/>
      <c r="I69" s="140">
        <f>(Interim_Bridge!$B$9+$K$14)/Revenue_Hist!$H$10-1</f>
        <v>5.3919347530584583E-2</v>
      </c>
      <c r="J69" s="79">
        <v>0.15</v>
      </c>
      <c r="K69" s="79">
        <v>0.15</v>
      </c>
      <c r="L69" s="79">
        <v>0.12</v>
      </c>
      <c r="M69" s="79">
        <v>0.1</v>
      </c>
      <c r="N69" s="79">
        <v>0.1</v>
      </c>
      <c r="O69" s="79">
        <v>0.08</v>
      </c>
      <c r="P69" s="79">
        <v>0.08</v>
      </c>
      <c r="Q69" s="79">
        <v>0.06</v>
      </c>
      <c r="R69" s="79">
        <v>0.06</v>
      </c>
      <c r="S69" s="54"/>
      <c r="T69" s="54"/>
    </row>
    <row r="70" spans="1:20" x14ac:dyDescent="0.2">
      <c r="A70" s="58" t="s">
        <v>567</v>
      </c>
      <c r="B70" s="58"/>
      <c r="C70" s="58"/>
      <c r="D70" s="58"/>
      <c r="E70" s="58"/>
      <c r="F70" s="58"/>
      <c r="G70" s="58"/>
      <c r="H70" s="54"/>
      <c r="I70" s="140">
        <f>(Interim_Bridge!$B$9+$L$14)/Revenue_Hist!$H$10-1</f>
        <v>-1.4046216583597615E-2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54"/>
      <c r="T70" s="54"/>
    </row>
    <row r="71" spans="1:20" x14ac:dyDescent="0.2">
      <c r="A71" s="91" t="s">
        <v>564</v>
      </c>
      <c r="B71" s="91"/>
      <c r="C71" s="138">
        <f>Revenue_Hist!C10/Revenue_Hist!B10-1</f>
        <v>1.2734530938123751</v>
      </c>
      <c r="D71" s="138">
        <f>Revenue_Hist!D10/Revenue_Hist!C10-1</f>
        <v>0.99648814749780512</v>
      </c>
      <c r="E71" s="138">
        <f>Revenue_Hist!E10/Revenue_Hist!D10-1</f>
        <v>-5.0571679859278795E-2</v>
      </c>
      <c r="F71" s="138">
        <f>Revenue_Hist!F10/Revenue_Hist!E10-1</f>
        <v>-0.12181565539601669</v>
      </c>
      <c r="G71" s="138">
        <f>Revenue_Hist!G10/Revenue_Hist!F10-1</f>
        <v>0.1318565400843883</v>
      </c>
      <c r="H71" s="139">
        <f>Revenue_Hist!H10/Revenue_Hist!G10-1</f>
        <v>2.8424976700838878E-2</v>
      </c>
      <c r="I71" s="141">
        <f>CHOOSE($B$5,I68,I69,I70)</f>
        <v>1.0874490258269143E-2</v>
      </c>
      <c r="J71" s="83">
        <f>CHOOSE($B$5,J68,J69,J70)</f>
        <v>0.05</v>
      </c>
      <c r="K71" s="83">
        <f>CHOOSE($B$5,K68,K69,K70)</f>
        <v>0.05</v>
      </c>
      <c r="L71" s="83">
        <f>CHOOSE($B$5,L68,L69,L70)</f>
        <v>0.05</v>
      </c>
      <c r="M71" s="83">
        <f>CHOOSE($B$5,M68,M69,M70)</f>
        <v>0.05</v>
      </c>
      <c r="N71" s="83">
        <f>CHOOSE($B$5,N68,N69,N70)</f>
        <v>0.05</v>
      </c>
      <c r="O71" s="83">
        <f>CHOOSE($B$5,O68,O69,O70)</f>
        <v>0.05</v>
      </c>
      <c r="P71" s="83">
        <f>CHOOSE($B$5,P68,P69,P70)</f>
        <v>0.05</v>
      </c>
      <c r="Q71" s="83">
        <f>CHOOSE($B$5,Q68,Q69,Q70)</f>
        <v>0.05</v>
      </c>
      <c r="R71" s="83">
        <f>CHOOSE($B$5,R68,R69,R70)</f>
        <v>0.05</v>
      </c>
      <c r="S71" s="54"/>
      <c r="T71" s="54"/>
    </row>
    <row r="72" spans="1:20" x14ac:dyDescent="0.2">
      <c r="A72" s="72" t="s">
        <v>650</v>
      </c>
      <c r="B72" s="72"/>
      <c r="C72" s="72"/>
      <c r="D72" s="72"/>
      <c r="E72" s="72"/>
      <c r="F72" s="72"/>
      <c r="G72" s="72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 t="s">
        <v>651</v>
      </c>
    </row>
    <row r="73" spans="1:20" x14ac:dyDescent="0.2">
      <c r="A73" s="58" t="s">
        <v>565</v>
      </c>
      <c r="B73" s="58"/>
      <c r="C73" s="58"/>
      <c r="D73" s="58"/>
      <c r="E73" s="58"/>
      <c r="F73" s="58"/>
      <c r="G73" s="58"/>
      <c r="H73" s="54"/>
      <c r="I73" s="140">
        <f>Revenue_Hist!$J$29/Revenue_Hist!$H$29-1</f>
        <v>1.6759776536312776E-2</v>
      </c>
      <c r="J73" s="79">
        <v>2.5000000000000001E-2</v>
      </c>
      <c r="K73" s="79">
        <v>0.02</v>
      </c>
      <c r="L73" s="79">
        <v>0.02</v>
      </c>
      <c r="M73" s="79">
        <v>1.4999999999999999E-2</v>
      </c>
      <c r="N73" s="79">
        <v>1.4999999999999999E-2</v>
      </c>
      <c r="O73" s="79">
        <v>0.01</v>
      </c>
      <c r="P73" s="79">
        <v>0.01</v>
      </c>
      <c r="Q73" s="79">
        <v>0.01</v>
      </c>
      <c r="R73" s="79">
        <v>0.01</v>
      </c>
      <c r="S73" s="54"/>
      <c r="T73" s="54"/>
    </row>
    <row r="74" spans="1:20" x14ac:dyDescent="0.2">
      <c r="A74" s="58" t="s">
        <v>566</v>
      </c>
      <c r="B74" s="58"/>
      <c r="C74" s="58"/>
      <c r="D74" s="58"/>
      <c r="E74" s="58"/>
      <c r="F74" s="58"/>
      <c r="G74" s="58"/>
      <c r="H74" s="54"/>
      <c r="I74" s="140">
        <f>Revenue_Hist!$J$29/Revenue_Hist!$H$29-1</f>
        <v>1.6759776536312776E-2</v>
      </c>
      <c r="J74" s="79">
        <v>0.03</v>
      </c>
      <c r="K74" s="79">
        <v>2.5000000000000001E-2</v>
      </c>
      <c r="L74" s="79">
        <v>2.5000000000000001E-2</v>
      </c>
      <c r="M74" s="79">
        <v>0.02</v>
      </c>
      <c r="N74" s="79">
        <v>0.02</v>
      </c>
      <c r="O74" s="79">
        <v>1.4999999999999999E-2</v>
      </c>
      <c r="P74" s="79">
        <v>1.4999999999999999E-2</v>
      </c>
      <c r="Q74" s="79">
        <v>0.01</v>
      </c>
      <c r="R74" s="79">
        <v>0.01</v>
      </c>
      <c r="S74" s="54"/>
      <c r="T74" s="54"/>
    </row>
    <row r="75" spans="1:20" x14ac:dyDescent="0.2">
      <c r="A75" s="58" t="s">
        <v>567</v>
      </c>
      <c r="B75" s="58"/>
      <c r="C75" s="58"/>
      <c r="D75" s="58"/>
      <c r="E75" s="58"/>
      <c r="F75" s="58"/>
      <c r="G75" s="58"/>
      <c r="H75" s="54"/>
      <c r="I75" s="140">
        <f>Revenue_Hist!$J$29/Revenue_Hist!$H$29-1</f>
        <v>1.6759776536312776E-2</v>
      </c>
      <c r="J75" s="79">
        <v>1.4999999999999999E-2</v>
      </c>
      <c r="K75" s="79">
        <v>0.01</v>
      </c>
      <c r="L75" s="79">
        <v>0.01</v>
      </c>
      <c r="M75" s="79">
        <v>5.0000000000000001E-3</v>
      </c>
      <c r="N75" s="79">
        <v>5.0000000000000001E-3</v>
      </c>
      <c r="O75" s="79">
        <v>5.0000000000000001E-3</v>
      </c>
      <c r="P75" s="79">
        <v>5.0000000000000001E-3</v>
      </c>
      <c r="Q75" s="79">
        <v>5.0000000000000001E-3</v>
      </c>
      <c r="R75" s="79">
        <v>5.0000000000000001E-3</v>
      </c>
      <c r="S75" s="54"/>
      <c r="T75" s="54"/>
    </row>
    <row r="76" spans="1:20" x14ac:dyDescent="0.2">
      <c r="A76" s="91" t="s">
        <v>564</v>
      </c>
      <c r="B76" s="138">
        <f>Revenue_Hist!B30</f>
        <v>0.11</v>
      </c>
      <c r="C76" s="138">
        <f>Revenue_Hist!C30</f>
        <v>0.15</v>
      </c>
      <c r="D76" s="138">
        <f>Revenue_Hist!D30</f>
        <v>0.08</v>
      </c>
      <c r="E76" s="138">
        <f>Revenue_Hist!E30</f>
        <v>0.05</v>
      </c>
      <c r="F76" s="138">
        <f>Revenue_Hist!F30</f>
        <v>0.08</v>
      </c>
      <c r="G76" s="138">
        <f>Revenue_Hist!G30</f>
        <v>0.05</v>
      </c>
      <c r="H76" s="139">
        <f>Revenue_Hist!H30</f>
        <v>7.0000000000000007E-2</v>
      </c>
      <c r="I76" s="141">
        <f>CHOOSE($B$5,I73,I74,I75)</f>
        <v>1.6759776536312776E-2</v>
      </c>
      <c r="J76" s="83">
        <f>CHOOSE($B$5,J73,J74,J75)</f>
        <v>2.5000000000000001E-2</v>
      </c>
      <c r="K76" s="83">
        <f>CHOOSE($B$5,K73,K74,K75)</f>
        <v>0.02</v>
      </c>
      <c r="L76" s="83">
        <f>CHOOSE($B$5,L73,L74,L75)</f>
        <v>0.02</v>
      </c>
      <c r="M76" s="83">
        <f>CHOOSE($B$5,M73,M74,M75)</f>
        <v>1.4999999999999999E-2</v>
      </c>
      <c r="N76" s="83">
        <f>CHOOSE($B$5,N73,N74,N75)</f>
        <v>1.4999999999999999E-2</v>
      </c>
      <c r="O76" s="83">
        <f>CHOOSE($B$5,O73,O74,O75)</f>
        <v>0.01</v>
      </c>
      <c r="P76" s="83">
        <f>CHOOSE($B$5,P73,P74,P75)</f>
        <v>0.01</v>
      </c>
      <c r="Q76" s="83">
        <f>CHOOSE($B$5,Q73,Q74,Q75)</f>
        <v>0.01</v>
      </c>
      <c r="R76" s="83">
        <f>CHOOSE($B$5,R73,R74,R75)</f>
        <v>0.01</v>
      </c>
      <c r="S76" s="54"/>
      <c r="T76" s="54"/>
    </row>
    <row r="77" spans="1:20" x14ac:dyDescent="0.2">
      <c r="A77" s="72" t="s">
        <v>652</v>
      </c>
      <c r="B77" s="72"/>
      <c r="C77" s="72"/>
      <c r="D77" s="72"/>
      <c r="E77" s="72"/>
      <c r="F77" s="72"/>
      <c r="G77" s="72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 t="s">
        <v>653</v>
      </c>
    </row>
    <row r="78" spans="1:20" x14ac:dyDescent="0.2">
      <c r="A78" s="58" t="s">
        <v>565</v>
      </c>
      <c r="B78" s="58"/>
      <c r="C78" s="58"/>
      <c r="D78" s="58"/>
      <c r="E78" s="58"/>
      <c r="F78" s="58"/>
      <c r="G78" s="58"/>
      <c r="H78" s="54"/>
      <c r="I78" s="140">
        <f>($J$11-Interim_Bridge!$D$13-Interim_Bridge!$D$17)/(IS_Hist!$J$6+$J$10)</f>
        <v>0.53627855057530482</v>
      </c>
      <c r="J78" s="79">
        <v>0.54</v>
      </c>
      <c r="K78" s="79">
        <v>0.53100000000000003</v>
      </c>
      <c r="L78" s="79">
        <v>0.52300000000000002</v>
      </c>
      <c r="M78" s="79">
        <v>0.51400000000000001</v>
      </c>
      <c r="N78" s="79">
        <v>0.505</v>
      </c>
      <c r="O78" s="79">
        <v>0.496</v>
      </c>
      <c r="P78" s="79">
        <v>0.48799999999999999</v>
      </c>
      <c r="Q78" s="79">
        <v>0.47899999999999998</v>
      </c>
      <c r="R78" s="79">
        <v>0.47</v>
      </c>
      <c r="S78" s="54"/>
      <c r="T78" s="54"/>
    </row>
    <row r="79" spans="1:20" x14ac:dyDescent="0.2">
      <c r="A79" s="58" t="s">
        <v>566</v>
      </c>
      <c r="B79" s="58"/>
      <c r="C79" s="58"/>
      <c r="D79" s="58"/>
      <c r="E79" s="58"/>
      <c r="F79" s="58"/>
      <c r="G79" s="58"/>
      <c r="H79" s="54"/>
      <c r="I79" s="140">
        <f>($K$11-Interim_Bridge!$D$13-Interim_Bridge!$D$17)/(IS_Hist!$J$6+$K$10)</f>
        <v>0.52539656671012602</v>
      </c>
      <c r="J79" s="79">
        <v>0.53</v>
      </c>
      <c r="K79" s="79">
        <v>0.51749999999999996</v>
      </c>
      <c r="L79" s="79">
        <v>0.505</v>
      </c>
      <c r="M79" s="79">
        <v>0.49249999999999999</v>
      </c>
      <c r="N79" s="79">
        <v>0.48</v>
      </c>
      <c r="O79" s="79">
        <v>0.46750000000000003</v>
      </c>
      <c r="P79" s="79">
        <v>0.45500000000000002</v>
      </c>
      <c r="Q79" s="79">
        <v>0.4425</v>
      </c>
      <c r="R79" s="79">
        <v>0.43</v>
      </c>
      <c r="S79" s="54"/>
      <c r="T79" s="54"/>
    </row>
    <row r="80" spans="1:20" x14ac:dyDescent="0.2">
      <c r="A80" s="58" t="s">
        <v>567</v>
      </c>
      <c r="B80" s="58"/>
      <c r="C80" s="58"/>
      <c r="D80" s="58"/>
      <c r="E80" s="58"/>
      <c r="F80" s="58"/>
      <c r="G80" s="58"/>
      <c r="H80" s="54"/>
      <c r="I80" s="140">
        <f>($L$11-Interim_Bridge!$D$13-Interim_Bridge!$D$17)/(IS_Hist!$J$6+$L$10)</f>
        <v>0.54728870253462736</v>
      </c>
      <c r="J80" s="79">
        <v>0.55000000000000004</v>
      </c>
      <c r="K80" s="79">
        <v>0.54500000000000004</v>
      </c>
      <c r="L80" s="79">
        <v>0.54</v>
      </c>
      <c r="M80" s="79">
        <v>0.53500000000000003</v>
      </c>
      <c r="N80" s="79">
        <v>0.53</v>
      </c>
      <c r="O80" s="79">
        <v>0.52500000000000002</v>
      </c>
      <c r="P80" s="79">
        <v>0.52</v>
      </c>
      <c r="Q80" s="79">
        <v>0.51500000000000001</v>
      </c>
      <c r="R80" s="79">
        <v>0.51</v>
      </c>
      <c r="S80" s="54"/>
      <c r="T80" s="54"/>
    </row>
    <row r="81" spans="1:20" x14ac:dyDescent="0.2">
      <c r="A81" s="91" t="s">
        <v>564</v>
      </c>
      <c r="B81" s="138">
        <f>(IS_Hist!B13-CF_Hist!B10)/IS_Hist!B6</f>
        <v>0.57951539669292895</v>
      </c>
      <c r="C81" s="138">
        <f>(IS_Hist!C13-CF_Hist!C10)/IS_Hist!C6</f>
        <v>0.54012679578898393</v>
      </c>
      <c r="D81" s="138">
        <f>(IS_Hist!D13-CF_Hist!D10)/IS_Hist!D6</f>
        <v>0.53599199518354268</v>
      </c>
      <c r="E81" s="138">
        <f>(IS_Hist!E13-CF_Hist!E10)/IS_Hist!E6</f>
        <v>0.67729763568849743</v>
      </c>
      <c r="F81" s="138">
        <f>(IS_Hist!F13-CF_Hist!F10)/IS_Hist!F6</f>
        <v>0.57058457250448469</v>
      </c>
      <c r="G81" s="138">
        <f>(IS_Hist!G13-CF_Hist!G10)/IS_Hist!G6</f>
        <v>0.48402745272065217</v>
      </c>
      <c r="H81" s="139">
        <f>(IS_Hist!H13-CF_Hist!H10)/IS_Hist!H6</f>
        <v>0.49298886378790441</v>
      </c>
      <c r="I81" s="141">
        <f>CHOOSE($B$5,I78,I79,I80)</f>
        <v>0.53627855057530482</v>
      </c>
      <c r="J81" s="83">
        <f>CHOOSE($B$5,J78,J79,J80)</f>
        <v>0.54</v>
      </c>
      <c r="K81" s="83">
        <f>CHOOSE($B$5,K78,K79,K80)</f>
        <v>0.53100000000000003</v>
      </c>
      <c r="L81" s="83">
        <f>CHOOSE($B$5,L78,L79,L80)</f>
        <v>0.52300000000000002</v>
      </c>
      <c r="M81" s="83">
        <f>CHOOSE($B$5,M78,M79,M80)</f>
        <v>0.51400000000000001</v>
      </c>
      <c r="N81" s="83">
        <f>CHOOSE($B$5,N78,N79,N80)</f>
        <v>0.505</v>
      </c>
      <c r="O81" s="83">
        <f>CHOOSE($B$5,O78,O79,O80)</f>
        <v>0.496</v>
      </c>
      <c r="P81" s="83">
        <f>CHOOSE($B$5,P78,P79,P80)</f>
        <v>0.48799999999999999</v>
      </c>
      <c r="Q81" s="83">
        <f>CHOOSE($B$5,Q78,Q79,Q80)</f>
        <v>0.47899999999999998</v>
      </c>
      <c r="R81" s="83">
        <f>CHOOSE($B$5,R78,R79,R80)</f>
        <v>0.47</v>
      </c>
      <c r="S81" s="54"/>
      <c r="T81" s="54"/>
    </row>
    <row r="82" spans="1:20" x14ac:dyDescent="0.2">
      <c r="A82" s="72" t="s">
        <v>654</v>
      </c>
      <c r="B82" s="72"/>
      <c r="C82" s="72"/>
      <c r="D82" s="72"/>
      <c r="E82" s="72"/>
      <c r="F82" s="72"/>
      <c r="G82" s="72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 t="s">
        <v>655</v>
      </c>
    </row>
    <row r="83" spans="1:20" x14ac:dyDescent="0.2">
      <c r="A83" s="58" t="s">
        <v>565</v>
      </c>
      <c r="B83" s="58"/>
      <c r="C83" s="58"/>
      <c r="D83" s="58"/>
      <c r="E83" s="58"/>
      <c r="F83" s="58"/>
      <c r="G83" s="58"/>
      <c r="H83" s="54"/>
      <c r="I83" s="146">
        <f>Interim_Bridge!$D$13</f>
        <v>11890</v>
      </c>
      <c r="J83" s="53">
        <v>0</v>
      </c>
      <c r="K83" s="53">
        <v>0</v>
      </c>
      <c r="L83" s="53">
        <v>0</v>
      </c>
      <c r="M83" s="53">
        <v>0</v>
      </c>
      <c r="N83" s="53">
        <v>0</v>
      </c>
      <c r="O83" s="53">
        <v>0</v>
      </c>
      <c r="P83" s="53">
        <v>0</v>
      </c>
      <c r="Q83" s="53">
        <v>0</v>
      </c>
      <c r="R83" s="53">
        <v>0</v>
      </c>
      <c r="S83" s="54"/>
      <c r="T83" s="54"/>
    </row>
    <row r="84" spans="1:20" x14ac:dyDescent="0.2">
      <c r="A84" s="58" t="s">
        <v>566</v>
      </c>
      <c r="B84" s="58"/>
      <c r="C84" s="58"/>
      <c r="D84" s="58"/>
      <c r="E84" s="58"/>
      <c r="F84" s="58"/>
      <c r="G84" s="58"/>
      <c r="H84" s="54"/>
      <c r="I84" s="146">
        <f>Interim_Bridge!$D$13</f>
        <v>11890</v>
      </c>
      <c r="J84" s="53">
        <v>0</v>
      </c>
      <c r="K84" s="53">
        <v>0</v>
      </c>
      <c r="L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4"/>
      <c r="T84" s="54"/>
    </row>
    <row r="85" spans="1:20" x14ac:dyDescent="0.2">
      <c r="A85" s="58" t="s">
        <v>567</v>
      </c>
      <c r="B85" s="58"/>
      <c r="C85" s="58"/>
      <c r="D85" s="58"/>
      <c r="E85" s="58"/>
      <c r="F85" s="58"/>
      <c r="G85" s="58"/>
      <c r="H85" s="54"/>
      <c r="I85" s="146">
        <f>Interim_Bridge!$D$13</f>
        <v>11890</v>
      </c>
      <c r="J85" s="53">
        <v>25000</v>
      </c>
      <c r="K85" s="53">
        <v>0</v>
      </c>
      <c r="L85" s="53">
        <v>0</v>
      </c>
      <c r="M85" s="53">
        <v>0</v>
      </c>
      <c r="N85" s="53">
        <v>0</v>
      </c>
      <c r="O85" s="53">
        <v>0</v>
      </c>
      <c r="P85" s="53">
        <v>0</v>
      </c>
      <c r="Q85" s="53">
        <v>0</v>
      </c>
      <c r="R85" s="53">
        <v>0</v>
      </c>
      <c r="S85" s="54"/>
      <c r="T85" s="54"/>
    </row>
    <row r="86" spans="1:20" x14ac:dyDescent="0.2">
      <c r="A86" s="91" t="s">
        <v>564</v>
      </c>
      <c r="B86" s="91"/>
      <c r="C86" s="91"/>
      <c r="D86" s="91"/>
      <c r="E86" s="91"/>
      <c r="F86" s="91"/>
      <c r="G86" s="91"/>
      <c r="H86" s="73"/>
      <c r="I86" s="147">
        <f>CHOOSE($B$5,I83,I84,I85)</f>
        <v>11890</v>
      </c>
      <c r="J86" s="95">
        <f>CHOOSE($B$5,J83,J84,J85)</f>
        <v>0</v>
      </c>
      <c r="K86" s="95">
        <f>CHOOSE($B$5,K83,K84,K85)</f>
        <v>0</v>
      </c>
      <c r="L86" s="95">
        <f>CHOOSE($B$5,L83,L84,L85)</f>
        <v>0</v>
      </c>
      <c r="M86" s="95">
        <f>CHOOSE($B$5,M83,M84,M85)</f>
        <v>0</v>
      </c>
      <c r="N86" s="95">
        <f>CHOOSE($B$5,N83,N84,N85)</f>
        <v>0</v>
      </c>
      <c r="O86" s="95">
        <f>CHOOSE($B$5,O83,O84,O85)</f>
        <v>0</v>
      </c>
      <c r="P86" s="95">
        <f>CHOOSE($B$5,P83,P84,P85)</f>
        <v>0</v>
      </c>
      <c r="Q86" s="95">
        <f>CHOOSE($B$5,Q83,Q84,Q85)</f>
        <v>0</v>
      </c>
      <c r="R86" s="95">
        <f>CHOOSE($B$5,R83,R84,R85)</f>
        <v>0</v>
      </c>
      <c r="S86" s="54"/>
      <c r="T86" s="54"/>
    </row>
    <row r="87" spans="1:20" x14ac:dyDescent="0.2">
      <c r="A87" s="72" t="s">
        <v>656</v>
      </c>
      <c r="B87" s="72"/>
      <c r="C87" s="72"/>
      <c r="D87" s="72"/>
      <c r="E87" s="72"/>
      <c r="F87" s="72"/>
      <c r="G87" s="72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 t="s">
        <v>657</v>
      </c>
    </row>
    <row r="88" spans="1:20" x14ac:dyDescent="0.2">
      <c r="A88" s="58" t="s">
        <v>565</v>
      </c>
      <c r="B88" s="58"/>
      <c r="C88" s="58"/>
      <c r="D88" s="58"/>
      <c r="E88" s="58"/>
      <c r="F88" s="58"/>
      <c r="G88" s="58"/>
      <c r="H88" s="54"/>
      <c r="I88" s="53">
        <v>140000</v>
      </c>
      <c r="J88" s="53">
        <v>199000</v>
      </c>
      <c r="K88" s="53">
        <v>205000</v>
      </c>
      <c r="L88" s="53">
        <v>200000</v>
      </c>
      <c r="M88" s="53">
        <v>190000</v>
      </c>
      <c r="N88" s="53">
        <v>185000</v>
      </c>
      <c r="O88" s="53">
        <v>185000</v>
      </c>
      <c r="P88" s="53">
        <v>190000</v>
      </c>
      <c r="Q88" s="53">
        <v>195000</v>
      </c>
      <c r="R88" s="53">
        <v>200000</v>
      </c>
      <c r="S88" s="54"/>
      <c r="T88" s="54"/>
    </row>
    <row r="89" spans="1:20" x14ac:dyDescent="0.2">
      <c r="A89" s="58" t="s">
        <v>566</v>
      </c>
      <c r="B89" s="58"/>
      <c r="C89" s="58"/>
      <c r="D89" s="58"/>
      <c r="E89" s="58"/>
      <c r="F89" s="58"/>
      <c r="G89" s="58"/>
      <c r="H89" s="54"/>
      <c r="I89" s="53">
        <v>145000</v>
      </c>
      <c r="J89" s="53">
        <v>215000</v>
      </c>
      <c r="K89" s="53">
        <v>235000</v>
      </c>
      <c r="L89" s="53">
        <v>240000</v>
      </c>
      <c r="M89" s="53">
        <v>235000</v>
      </c>
      <c r="N89" s="53">
        <v>230000</v>
      </c>
      <c r="O89" s="53">
        <v>230000</v>
      </c>
      <c r="P89" s="53">
        <v>235000</v>
      </c>
      <c r="Q89" s="53">
        <v>240000</v>
      </c>
      <c r="R89" s="53">
        <v>245000</v>
      </c>
      <c r="S89" s="54"/>
      <c r="T89" s="54"/>
    </row>
    <row r="90" spans="1:20" x14ac:dyDescent="0.2">
      <c r="A90" s="58" t="s">
        <v>567</v>
      </c>
      <c r="B90" s="58"/>
      <c r="C90" s="58"/>
      <c r="D90" s="58"/>
      <c r="E90" s="58"/>
      <c r="F90" s="58"/>
      <c r="G90" s="58"/>
      <c r="H90" s="54"/>
      <c r="I90" s="53">
        <v>145000</v>
      </c>
      <c r="J90" s="53">
        <v>215000</v>
      </c>
      <c r="K90" s="53">
        <v>235000</v>
      </c>
      <c r="L90" s="53">
        <v>210000</v>
      </c>
      <c r="M90" s="53">
        <v>185000</v>
      </c>
      <c r="N90" s="53">
        <v>170000</v>
      </c>
      <c r="O90" s="53">
        <v>160000</v>
      </c>
      <c r="P90" s="53">
        <v>155000</v>
      </c>
      <c r="Q90" s="53">
        <v>155000</v>
      </c>
      <c r="R90" s="53">
        <v>155000</v>
      </c>
      <c r="S90" s="54"/>
      <c r="T90" s="54"/>
    </row>
    <row r="91" spans="1:20" x14ac:dyDescent="0.2">
      <c r="A91" s="91" t="s">
        <v>564</v>
      </c>
      <c r="B91" s="144">
        <f>-(CF_Hist!B32+CF_Hist!B50)</f>
        <v>15654</v>
      </c>
      <c r="C91" s="144">
        <f>-(CF_Hist!C32+CF_Hist!C50)</f>
        <v>15719</v>
      </c>
      <c r="D91" s="144">
        <f>-(CF_Hist!D32+CF_Hist!D50)</f>
        <v>19244</v>
      </c>
      <c r="E91" s="144">
        <f>-(CF_Hist!E32+CF_Hist!E50)</f>
        <v>32281</v>
      </c>
      <c r="F91" s="144">
        <f>-(CF_Hist!F32+CF_Hist!F50)</f>
        <v>28324</v>
      </c>
      <c r="G91" s="144">
        <f>-(CF_Hist!G32+CF_Hist!G50)</f>
        <v>39225</v>
      </c>
      <c r="H91" s="145">
        <f>-(CF_Hist!H32+CF_Hist!H50)</f>
        <v>72215</v>
      </c>
      <c r="I91" s="95">
        <f>CHOOSE($B$5,I88,I89,I90)</f>
        <v>140000</v>
      </c>
      <c r="J91" s="95">
        <f>CHOOSE($B$5,J88,J89,J90)</f>
        <v>199000</v>
      </c>
      <c r="K91" s="95">
        <f>CHOOSE($B$5,K88,K89,K90)</f>
        <v>205000</v>
      </c>
      <c r="L91" s="95">
        <f>CHOOSE($B$5,L88,L89,L90)</f>
        <v>200000</v>
      </c>
      <c r="M91" s="95">
        <f>CHOOSE($B$5,M88,M89,M90)</f>
        <v>190000</v>
      </c>
      <c r="N91" s="95">
        <f>CHOOSE($B$5,N88,N89,N90)</f>
        <v>185000</v>
      </c>
      <c r="O91" s="95">
        <f>CHOOSE($B$5,O88,O89,O90)</f>
        <v>185000</v>
      </c>
      <c r="P91" s="95">
        <f>CHOOSE($B$5,P88,P89,P90)</f>
        <v>190000</v>
      </c>
      <c r="Q91" s="95">
        <f>CHOOSE($B$5,Q88,Q89,Q90)</f>
        <v>195000</v>
      </c>
      <c r="R91" s="95">
        <f>CHOOSE($B$5,R88,R89,R90)</f>
        <v>200000</v>
      </c>
      <c r="S91" s="54"/>
      <c r="T91" s="54"/>
    </row>
    <row r="92" spans="1:20" x14ac:dyDescent="0.2">
      <c r="A92" s="72" t="s">
        <v>658</v>
      </c>
      <c r="B92" s="72"/>
      <c r="C92" s="72"/>
      <c r="D92" s="72"/>
      <c r="E92" s="72"/>
      <c r="F92" s="72"/>
      <c r="G92" s="72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 t="s">
        <v>659</v>
      </c>
    </row>
    <row r="93" spans="1:20" x14ac:dyDescent="0.2">
      <c r="A93" s="58" t="s">
        <v>565</v>
      </c>
      <c r="B93" s="58"/>
      <c r="C93" s="58"/>
      <c r="D93" s="58"/>
      <c r="E93" s="58"/>
      <c r="F93" s="58"/>
      <c r="G93" s="58"/>
      <c r="H93" s="54"/>
      <c r="I93" s="146">
        <f>Interim_Bridge!$B$15+$J$15</f>
        <v>-18500</v>
      </c>
      <c r="J93" s="53">
        <v>-15000</v>
      </c>
      <c r="K93" s="53">
        <v>-13500</v>
      </c>
      <c r="L93" s="53">
        <v>-12000</v>
      </c>
      <c r="M93" s="53">
        <v>-10500</v>
      </c>
      <c r="N93" s="53">
        <v>-9000</v>
      </c>
      <c r="O93" s="53">
        <v>-7500</v>
      </c>
      <c r="P93" s="53">
        <v>-6000</v>
      </c>
      <c r="Q93" s="53">
        <v>-5000</v>
      </c>
      <c r="R93" s="53">
        <v>-4000</v>
      </c>
      <c r="S93" s="54"/>
      <c r="T93" s="54"/>
    </row>
    <row r="94" spans="1:20" x14ac:dyDescent="0.2">
      <c r="A94" s="58" t="s">
        <v>566</v>
      </c>
      <c r="B94" s="58"/>
      <c r="C94" s="58"/>
      <c r="D94" s="58"/>
      <c r="E94" s="58"/>
      <c r="F94" s="58"/>
      <c r="G94" s="58"/>
      <c r="H94" s="54"/>
      <c r="I94" s="146">
        <f>Interim_Bridge!$B$15+$K$15</f>
        <v>-18000</v>
      </c>
      <c r="J94" s="53">
        <v>-14000</v>
      </c>
      <c r="K94" s="53">
        <v>-11000</v>
      </c>
      <c r="L94" s="53">
        <v>-8000</v>
      </c>
      <c r="M94" s="53">
        <v>-5000</v>
      </c>
      <c r="N94" s="53">
        <v>-3000</v>
      </c>
      <c r="O94" s="53">
        <v>-1000</v>
      </c>
      <c r="P94" s="53">
        <v>0</v>
      </c>
      <c r="Q94" s="53">
        <v>1000</v>
      </c>
      <c r="R94" s="53">
        <v>2000</v>
      </c>
      <c r="S94" s="54"/>
      <c r="T94" s="54"/>
    </row>
    <row r="95" spans="1:20" x14ac:dyDescent="0.2">
      <c r="A95" s="58" t="s">
        <v>567</v>
      </c>
      <c r="B95" s="58"/>
      <c r="C95" s="58"/>
      <c r="D95" s="58"/>
      <c r="E95" s="58"/>
      <c r="F95" s="58"/>
      <c r="G95" s="58"/>
      <c r="H95" s="54"/>
      <c r="I95" s="146">
        <f>Interim_Bridge!$B$15+$L$15</f>
        <v>-19000</v>
      </c>
      <c r="J95" s="53">
        <v>-16000</v>
      </c>
      <c r="K95" s="53">
        <v>-16000</v>
      </c>
      <c r="L95" s="53">
        <v>-15000</v>
      </c>
      <c r="M95" s="53">
        <v>-15000</v>
      </c>
      <c r="N95" s="53">
        <v>-14000</v>
      </c>
      <c r="O95" s="53">
        <v>-14000</v>
      </c>
      <c r="P95" s="53">
        <v>-13000</v>
      </c>
      <c r="Q95" s="53">
        <v>-13000</v>
      </c>
      <c r="R95" s="53">
        <v>-12000</v>
      </c>
      <c r="S95" s="54"/>
      <c r="T95" s="54"/>
    </row>
    <row r="96" spans="1:20" x14ac:dyDescent="0.2">
      <c r="A96" s="91" t="s">
        <v>564</v>
      </c>
      <c r="B96" s="91"/>
      <c r="C96" s="91"/>
      <c r="D96" s="91"/>
      <c r="E96" s="91"/>
      <c r="F96" s="91"/>
      <c r="G96" s="91"/>
      <c r="H96" s="145">
        <f>Interim_Bridge!G15</f>
        <v>-19193</v>
      </c>
      <c r="I96" s="147">
        <f>CHOOSE($B$5,I93,I94,I95)</f>
        <v>-18500</v>
      </c>
      <c r="J96" s="95">
        <f>CHOOSE($B$5,J93,J94,J95)</f>
        <v>-15000</v>
      </c>
      <c r="K96" s="95">
        <f>CHOOSE($B$5,K93,K94,K95)</f>
        <v>-13500</v>
      </c>
      <c r="L96" s="95">
        <f>CHOOSE($B$5,L93,L94,L95)</f>
        <v>-12000</v>
      </c>
      <c r="M96" s="95">
        <f>CHOOSE($B$5,M93,M94,M95)</f>
        <v>-10500</v>
      </c>
      <c r="N96" s="95">
        <f>CHOOSE($B$5,N93,N94,N95)</f>
        <v>-9000</v>
      </c>
      <c r="O96" s="95">
        <f>CHOOSE($B$5,O93,O94,O95)</f>
        <v>-7500</v>
      </c>
      <c r="P96" s="95">
        <f>CHOOSE($B$5,P93,P94,P95)</f>
        <v>-6000</v>
      </c>
      <c r="Q96" s="95">
        <f>CHOOSE($B$5,Q93,Q94,Q95)</f>
        <v>-5000</v>
      </c>
      <c r="R96" s="95">
        <f>CHOOSE($B$5,R93,R94,R95)</f>
        <v>-4000</v>
      </c>
      <c r="S96" s="54"/>
      <c r="T96" s="54"/>
    </row>
    <row r="97" spans="1:20" x14ac:dyDescent="0.2">
      <c r="A97" s="72" t="s">
        <v>660</v>
      </c>
      <c r="B97" s="72"/>
      <c r="C97" s="72"/>
      <c r="D97" s="72"/>
      <c r="E97" s="72"/>
      <c r="F97" s="72"/>
      <c r="G97" s="72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 t="s">
        <v>661</v>
      </c>
    </row>
    <row r="98" spans="1:20" x14ac:dyDescent="0.2">
      <c r="A98" s="58" t="s">
        <v>565</v>
      </c>
      <c r="B98" s="58"/>
      <c r="C98" s="58"/>
      <c r="D98" s="58"/>
      <c r="E98" s="58"/>
      <c r="F98" s="58"/>
      <c r="G98" s="58"/>
      <c r="H98" s="54"/>
      <c r="I98" s="79"/>
      <c r="J98" s="79">
        <v>0.17</v>
      </c>
      <c r="K98" s="79">
        <v>0.17</v>
      </c>
      <c r="L98" s="79">
        <v>0.17</v>
      </c>
      <c r="M98" s="79">
        <v>0.17</v>
      </c>
      <c r="N98" s="79">
        <v>0.17</v>
      </c>
      <c r="O98" s="79">
        <v>0.17</v>
      </c>
      <c r="P98" s="79">
        <v>0.17</v>
      </c>
      <c r="Q98" s="79">
        <v>0.17</v>
      </c>
      <c r="R98" s="79">
        <v>0.17</v>
      </c>
      <c r="S98" s="54"/>
      <c r="T98" s="54"/>
    </row>
    <row r="99" spans="1:20" x14ac:dyDescent="0.2">
      <c r="A99" s="58" t="s">
        <v>566</v>
      </c>
      <c r="B99" s="58"/>
      <c r="C99" s="58"/>
      <c r="D99" s="58"/>
      <c r="E99" s="58"/>
      <c r="F99" s="58"/>
      <c r="G99" s="58"/>
      <c r="H99" s="54"/>
      <c r="I99" s="79"/>
      <c r="J99" s="79">
        <v>0.15</v>
      </c>
      <c r="K99" s="79">
        <v>0.15</v>
      </c>
      <c r="L99" s="79">
        <v>0.15</v>
      </c>
      <c r="M99" s="79">
        <v>0.15</v>
      </c>
      <c r="N99" s="79">
        <v>0.15</v>
      </c>
      <c r="O99" s="79">
        <v>0.15</v>
      </c>
      <c r="P99" s="79">
        <v>0.15</v>
      </c>
      <c r="Q99" s="79">
        <v>0.15</v>
      </c>
      <c r="R99" s="79">
        <v>0.15</v>
      </c>
      <c r="S99" s="54"/>
      <c r="T99" s="54"/>
    </row>
    <row r="100" spans="1:20" x14ac:dyDescent="0.2">
      <c r="A100" s="58" t="s">
        <v>567</v>
      </c>
      <c r="B100" s="58"/>
      <c r="C100" s="58"/>
      <c r="D100" s="58"/>
      <c r="E100" s="58"/>
      <c r="F100" s="58"/>
      <c r="G100" s="58"/>
      <c r="H100" s="54"/>
      <c r="I100" s="79"/>
      <c r="J100" s="79">
        <v>0.2</v>
      </c>
      <c r="K100" s="79">
        <v>0.2</v>
      </c>
      <c r="L100" s="79">
        <v>0.2</v>
      </c>
      <c r="M100" s="79">
        <v>0.2</v>
      </c>
      <c r="N100" s="79">
        <v>0.2</v>
      </c>
      <c r="O100" s="79">
        <v>0.2</v>
      </c>
      <c r="P100" s="79">
        <v>0.2</v>
      </c>
      <c r="Q100" s="79">
        <v>0.2</v>
      </c>
      <c r="R100" s="79">
        <v>0.2</v>
      </c>
      <c r="S100" s="54"/>
      <c r="T100" s="54"/>
    </row>
    <row r="101" spans="1:20" x14ac:dyDescent="0.2">
      <c r="A101" s="91" t="s">
        <v>564</v>
      </c>
      <c r="B101" s="138">
        <f>IS_Hist!B20/IS_Hist!B18</f>
        <v>0.25499758181525067</v>
      </c>
      <c r="C101" s="138">
        <f>IS_Hist!C20/IS_Hist!C18</f>
        <v>0.12157926461723931</v>
      </c>
      <c r="D101" s="138">
        <f>IS_Hist!D20/IS_Hist!D18</f>
        <v>0.16737162676592504</v>
      </c>
      <c r="E101" s="138">
        <f>IS_Hist!E20/IS_Hist!E18</f>
        <v>0.19497553697213643</v>
      </c>
      <c r="F101" s="138">
        <f>IS_Hist!F20/IS_Hist!F18</f>
        <v>0.17563464620055663</v>
      </c>
      <c r="G101" s="138">
        <f>IS_Hist!G20/IS_Hist!G18</f>
        <v>0.11750137978857393</v>
      </c>
      <c r="H101" s="139">
        <f>IS_Hist!H20/IS_Hist!H18</f>
        <v>0.29644369966950612</v>
      </c>
      <c r="I101" s="83"/>
      <c r="J101" s="83">
        <f>CHOOSE($B$5,J98,J99,J100)</f>
        <v>0.17</v>
      </c>
      <c r="K101" s="83">
        <f>CHOOSE($B$5,K98,K99,K100)</f>
        <v>0.17</v>
      </c>
      <c r="L101" s="83">
        <f>CHOOSE($B$5,L98,L99,L100)</f>
        <v>0.17</v>
      </c>
      <c r="M101" s="83">
        <f>CHOOSE($B$5,M98,M99,M100)</f>
        <v>0.17</v>
      </c>
      <c r="N101" s="83">
        <f>CHOOSE($B$5,N98,N99,N100)</f>
        <v>0.17</v>
      </c>
      <c r="O101" s="83">
        <f>CHOOSE($B$5,O98,O99,O100)</f>
        <v>0.17</v>
      </c>
      <c r="P101" s="83">
        <f>CHOOSE($B$5,P98,P99,P100)</f>
        <v>0.17</v>
      </c>
      <c r="Q101" s="83">
        <f>CHOOSE($B$5,Q98,Q99,Q100)</f>
        <v>0.17</v>
      </c>
      <c r="R101" s="83">
        <f>CHOOSE($B$5,R98,R99,R100)</f>
        <v>0.17</v>
      </c>
      <c r="S101" s="54"/>
      <c r="T101" s="54"/>
    </row>
    <row r="102" spans="1:20" x14ac:dyDescent="0.2">
      <c r="A102" s="72" t="s">
        <v>662</v>
      </c>
      <c r="B102" s="72"/>
      <c r="C102" s="72"/>
      <c r="D102" s="72"/>
      <c r="E102" s="72"/>
      <c r="F102" s="72"/>
      <c r="G102" s="72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 t="s">
        <v>663</v>
      </c>
    </row>
    <row r="103" spans="1:20" x14ac:dyDescent="0.2">
      <c r="A103" s="58" t="s">
        <v>565</v>
      </c>
      <c r="B103" s="58"/>
      <c r="C103" s="58"/>
      <c r="D103" s="58"/>
      <c r="E103" s="58"/>
      <c r="F103" s="58"/>
      <c r="G103" s="58"/>
      <c r="H103" s="54"/>
      <c r="I103" s="140">
        <f>$I$39/SCE_Hist!$H$56-1</f>
        <v>0</v>
      </c>
      <c r="J103" s="79">
        <v>0.05</v>
      </c>
      <c r="K103" s="79">
        <v>0.05</v>
      </c>
      <c r="L103" s="79">
        <v>0.05</v>
      </c>
      <c r="M103" s="79">
        <v>0.05</v>
      </c>
      <c r="N103" s="79">
        <v>0.05</v>
      </c>
      <c r="O103" s="79">
        <v>0.05</v>
      </c>
      <c r="P103" s="79">
        <v>0.05</v>
      </c>
      <c r="Q103" s="79">
        <v>0.05</v>
      </c>
      <c r="R103" s="79">
        <v>0.05</v>
      </c>
      <c r="S103" s="54"/>
      <c r="T103" s="54"/>
    </row>
    <row r="104" spans="1:20" x14ac:dyDescent="0.2">
      <c r="A104" s="58" t="s">
        <v>566</v>
      </c>
      <c r="B104" s="58"/>
      <c r="C104" s="58"/>
      <c r="D104" s="58"/>
      <c r="E104" s="58"/>
      <c r="F104" s="58"/>
      <c r="G104" s="58"/>
      <c r="H104" s="54"/>
      <c r="I104" s="140">
        <f>$I$39/SCE_Hist!$H$56-1</f>
        <v>0</v>
      </c>
      <c r="J104" s="79">
        <v>0.08</v>
      </c>
      <c r="K104" s="79">
        <v>0.08</v>
      </c>
      <c r="L104" s="79">
        <v>0.08</v>
      </c>
      <c r="M104" s="79">
        <v>0.08</v>
      </c>
      <c r="N104" s="79">
        <v>0.08</v>
      </c>
      <c r="O104" s="79">
        <v>0.08</v>
      </c>
      <c r="P104" s="79">
        <v>0.08</v>
      </c>
      <c r="Q104" s="79">
        <v>0.08</v>
      </c>
      <c r="R104" s="79">
        <v>0.08</v>
      </c>
      <c r="S104" s="54"/>
      <c r="T104" s="54"/>
    </row>
    <row r="105" spans="1:20" x14ac:dyDescent="0.2">
      <c r="A105" s="58" t="s">
        <v>567</v>
      </c>
      <c r="B105" s="58"/>
      <c r="C105" s="58"/>
      <c r="D105" s="58"/>
      <c r="E105" s="58"/>
      <c r="F105" s="58"/>
      <c r="G105" s="58"/>
      <c r="H105" s="54"/>
      <c r="I105" s="140">
        <f>$I$39/SCE_Hist!$H$56-1</f>
        <v>0</v>
      </c>
      <c r="J105" s="79">
        <v>0</v>
      </c>
      <c r="K105" s="79">
        <v>0</v>
      </c>
      <c r="L105" s="79">
        <v>0</v>
      </c>
      <c r="M105" s="79">
        <v>0</v>
      </c>
      <c r="N105" s="79">
        <v>0</v>
      </c>
      <c r="O105" s="79">
        <v>0</v>
      </c>
      <c r="P105" s="79">
        <v>0</v>
      </c>
      <c r="Q105" s="79">
        <v>0</v>
      </c>
      <c r="R105" s="79">
        <v>0</v>
      </c>
      <c r="S105" s="54"/>
      <c r="T105" s="54"/>
    </row>
    <row r="106" spans="1:20" x14ac:dyDescent="0.2">
      <c r="A106" s="91" t="s">
        <v>564</v>
      </c>
      <c r="B106" s="91"/>
      <c r="C106" s="91"/>
      <c r="D106" s="91"/>
      <c r="E106" s="91"/>
      <c r="F106" s="91"/>
      <c r="G106" s="91"/>
      <c r="H106" s="139">
        <f>SCE_Hist!H56/SCE_Hist!G56-1</f>
        <v>5.0000000000000044E-2</v>
      </c>
      <c r="I106" s="141">
        <f>CHOOSE($B$5,I103,I104,I105)</f>
        <v>0</v>
      </c>
      <c r="J106" s="83">
        <f>CHOOSE($B$5,J103,J104,J105)</f>
        <v>0.05</v>
      </c>
      <c r="K106" s="83">
        <f>CHOOSE($B$5,K103,K104,K105)</f>
        <v>0.05</v>
      </c>
      <c r="L106" s="83">
        <f>CHOOSE($B$5,L103,L104,L105)</f>
        <v>0.05</v>
      </c>
      <c r="M106" s="83">
        <f>CHOOSE($B$5,M103,M104,M105)</f>
        <v>0.05</v>
      </c>
      <c r="N106" s="83">
        <f>CHOOSE($B$5,N103,N104,N105)</f>
        <v>0.05</v>
      </c>
      <c r="O106" s="83">
        <f>CHOOSE($B$5,O103,O104,O105)</f>
        <v>0.05</v>
      </c>
      <c r="P106" s="83">
        <f>CHOOSE($B$5,P103,P104,P105)</f>
        <v>0.05</v>
      </c>
      <c r="Q106" s="83">
        <f>CHOOSE($B$5,Q103,Q104,Q105)</f>
        <v>0.05</v>
      </c>
      <c r="R106" s="83">
        <f>CHOOSE($B$5,R103,R104,R105)</f>
        <v>0.05</v>
      </c>
      <c r="S106" s="54"/>
      <c r="T106" s="54"/>
    </row>
    <row r="107" spans="1:20" x14ac:dyDescent="0.2">
      <c r="A107" s="72" t="s">
        <v>664</v>
      </c>
      <c r="B107" s="72"/>
      <c r="C107" s="72"/>
      <c r="D107" s="72"/>
      <c r="E107" s="72"/>
      <c r="F107" s="72"/>
      <c r="G107" s="72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 t="s">
        <v>665</v>
      </c>
    </row>
    <row r="108" spans="1:20" x14ac:dyDescent="0.2">
      <c r="A108" s="58" t="s">
        <v>565</v>
      </c>
      <c r="B108" s="58"/>
      <c r="C108" s="58"/>
      <c r="D108" s="58"/>
      <c r="E108" s="58"/>
      <c r="F108" s="58"/>
      <c r="G108" s="58"/>
      <c r="H108" s="54"/>
      <c r="I108" s="79"/>
      <c r="J108" s="79">
        <v>0.75</v>
      </c>
      <c r="K108" s="79">
        <v>0.75</v>
      </c>
      <c r="L108" s="79">
        <v>0.75</v>
      </c>
      <c r="M108" s="79">
        <v>0.75</v>
      </c>
      <c r="N108" s="79">
        <v>0.75</v>
      </c>
      <c r="O108" s="79">
        <v>0.75</v>
      </c>
      <c r="P108" s="79">
        <v>0.75</v>
      </c>
      <c r="Q108" s="79">
        <v>0.75</v>
      </c>
      <c r="R108" s="79">
        <v>0.75</v>
      </c>
      <c r="S108" s="54"/>
      <c r="T108" s="54"/>
    </row>
    <row r="109" spans="1:20" x14ac:dyDescent="0.2">
      <c r="A109" s="58" t="s">
        <v>566</v>
      </c>
      <c r="B109" s="58"/>
      <c r="C109" s="58"/>
      <c r="D109" s="58"/>
      <c r="E109" s="58"/>
      <c r="F109" s="58"/>
      <c r="G109" s="58"/>
      <c r="H109" s="54"/>
      <c r="I109" s="79"/>
      <c r="J109" s="79">
        <v>0.9</v>
      </c>
      <c r="K109" s="79">
        <v>0.9</v>
      </c>
      <c r="L109" s="79">
        <v>0.9</v>
      </c>
      <c r="M109" s="79">
        <v>0.9</v>
      </c>
      <c r="N109" s="79">
        <v>0.9</v>
      </c>
      <c r="O109" s="79">
        <v>0.9</v>
      </c>
      <c r="P109" s="79">
        <v>0.9</v>
      </c>
      <c r="Q109" s="79">
        <v>0.9</v>
      </c>
      <c r="R109" s="79">
        <v>0.9</v>
      </c>
      <c r="S109" s="54"/>
      <c r="T109" s="54"/>
    </row>
    <row r="110" spans="1:20" x14ac:dyDescent="0.2">
      <c r="A110" s="58" t="s">
        <v>567</v>
      </c>
      <c r="B110" s="58"/>
      <c r="C110" s="58"/>
      <c r="D110" s="58"/>
      <c r="E110" s="58"/>
      <c r="F110" s="58"/>
      <c r="G110" s="58"/>
      <c r="H110" s="54"/>
      <c r="I110" s="79"/>
      <c r="J110" s="79">
        <v>0.5</v>
      </c>
      <c r="K110" s="79">
        <v>0.5</v>
      </c>
      <c r="L110" s="79">
        <v>0.5</v>
      </c>
      <c r="M110" s="79">
        <v>0.5</v>
      </c>
      <c r="N110" s="79">
        <v>0.5</v>
      </c>
      <c r="O110" s="79">
        <v>0.5</v>
      </c>
      <c r="P110" s="79">
        <v>0.5</v>
      </c>
      <c r="Q110" s="79">
        <v>0.5</v>
      </c>
      <c r="R110" s="79">
        <v>0.5</v>
      </c>
      <c r="S110" s="54"/>
      <c r="T110" s="54"/>
    </row>
    <row r="111" spans="1:20" x14ac:dyDescent="0.2">
      <c r="A111" s="91" t="s">
        <v>564</v>
      </c>
      <c r="B111" s="138">
        <f>-CF_Hist!B47/(CF_Hist!B29+CF_Hist!B32+CF_Hist!B50+CF_Hist!B48+CF_Hist!B46)</f>
        <v>0.22932925830922885</v>
      </c>
      <c r="C111" s="138">
        <f>-CF_Hist!C47/(CF_Hist!C29+CF_Hist!C32+CF_Hist!C50+CF_Hist!C48+CF_Hist!C46)</f>
        <v>0.32223592272914098</v>
      </c>
      <c r="D111" s="138">
        <f>-CF_Hist!D47/(CF_Hist!D29+CF_Hist!D32+CF_Hist!D50+CF_Hist!D48+CF_Hist!D46)</f>
        <v>1.3527214190256347</v>
      </c>
      <c r="E111" s="138">
        <f>-CF_Hist!E47/(CF_Hist!E29+CF_Hist!E32+CF_Hist!E50+CF_Hist!E48+CF_Hist!E46)</f>
        <v>1.914925679841085</v>
      </c>
      <c r="F111" s="138">
        <f>-CF_Hist!F47/(CF_Hist!F29+CF_Hist!F32+CF_Hist!F50+CF_Hist!F48+CF_Hist!F46)</f>
        <v>0.55270145624283762</v>
      </c>
      <c r="G111" s="138">
        <f>-CF_Hist!G47/(CF_Hist!G29+CF_Hist!G32+CF_Hist!G50+CF_Hist!G48+CF_Hist!G46)</f>
        <v>0.90571540242325843</v>
      </c>
      <c r="H111" s="139">
        <f>-CF_Hist!H47/(CF_Hist!H29+CF_Hist!H32+CF_Hist!H50+CF_Hist!H48+CF_Hist!H46)</f>
        <v>1.3215850158602287</v>
      </c>
      <c r="I111" s="83"/>
      <c r="J111" s="83">
        <f>CHOOSE($B$5,J108,J109,J110)</f>
        <v>0.75</v>
      </c>
      <c r="K111" s="83">
        <f>CHOOSE($B$5,K108,K109,K110)</f>
        <v>0.75</v>
      </c>
      <c r="L111" s="83">
        <f>CHOOSE($B$5,L108,L109,L110)</f>
        <v>0.75</v>
      </c>
      <c r="M111" s="83">
        <f>CHOOSE($B$5,M108,M109,M110)</f>
        <v>0.75</v>
      </c>
      <c r="N111" s="83">
        <f>CHOOSE($B$5,N108,N109,N110)</f>
        <v>0.75</v>
      </c>
      <c r="O111" s="83">
        <f>CHOOSE($B$5,O108,O109,O110)</f>
        <v>0.75</v>
      </c>
      <c r="P111" s="83">
        <f>CHOOSE($B$5,P108,P109,P110)</f>
        <v>0.75</v>
      </c>
      <c r="Q111" s="83">
        <f>CHOOSE($B$5,Q108,Q109,Q110)</f>
        <v>0.75</v>
      </c>
      <c r="R111" s="83">
        <f>CHOOSE($B$5,R108,R109,R110)</f>
        <v>0.75</v>
      </c>
      <c r="S111" s="54"/>
      <c r="T111" s="5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9906-3E9F-1448-AAC6-01F2A9963DC4}">
  <sheetPr>
    <tabColor rgb="FF5A2331"/>
  </sheetPr>
  <dimension ref="A1:I40"/>
  <sheetViews>
    <sheetView showGridLines="0" workbookViewId="0"/>
  </sheetViews>
  <sheetFormatPr baseColWidth="10" defaultColWidth="8.33203125" defaultRowHeight="15" x14ac:dyDescent="0.2"/>
  <cols>
    <col min="1" max="1" width="69.33203125" customWidth="1"/>
    <col min="2" max="7" width="12.6640625" customWidth="1"/>
    <col min="8" max="8" width="17.6640625" customWidth="1"/>
    <col min="9" max="9" width="102.6640625" customWidth="1"/>
  </cols>
  <sheetData>
    <row r="1" spans="1:9" x14ac:dyDescent="0.2">
      <c r="A1" s="122" t="s">
        <v>666</v>
      </c>
      <c r="B1" s="54"/>
      <c r="C1" s="54"/>
      <c r="D1" s="54"/>
      <c r="E1" s="54"/>
      <c r="F1" s="54"/>
      <c r="G1" s="54"/>
      <c r="H1" s="54"/>
      <c r="I1" s="54"/>
    </row>
    <row r="2" spans="1:9" x14ac:dyDescent="0.2">
      <c r="A2" s="54" t="s">
        <v>667</v>
      </c>
      <c r="B2" s="54"/>
      <c r="C2" s="54"/>
      <c r="D2" s="54"/>
      <c r="E2" s="54"/>
      <c r="F2" s="54"/>
      <c r="G2" s="54"/>
      <c r="H2" s="54"/>
      <c r="I2" s="54"/>
    </row>
    <row r="3" spans="1:9" x14ac:dyDescent="0.2">
      <c r="A3" s="54"/>
      <c r="B3" s="54"/>
      <c r="C3" s="54"/>
      <c r="D3" s="54"/>
      <c r="E3" s="54"/>
      <c r="F3" s="54"/>
      <c r="G3" s="54"/>
      <c r="H3" s="54"/>
      <c r="I3" s="54"/>
    </row>
    <row r="4" spans="1:9" x14ac:dyDescent="0.2">
      <c r="A4" s="125" t="s">
        <v>668</v>
      </c>
      <c r="B4" s="123" t="s">
        <v>143</v>
      </c>
      <c r="C4" s="124" t="s">
        <v>669</v>
      </c>
      <c r="D4" s="124" t="s">
        <v>670</v>
      </c>
      <c r="E4" s="123" t="s">
        <v>142</v>
      </c>
      <c r="F4" s="123" t="s">
        <v>671</v>
      </c>
      <c r="G4" s="123" t="s">
        <v>672</v>
      </c>
      <c r="H4" s="126" t="s">
        <v>144</v>
      </c>
      <c r="I4" s="126" t="s">
        <v>560</v>
      </c>
    </row>
    <row r="5" spans="1:9" x14ac:dyDescent="0.2">
      <c r="A5" s="54"/>
      <c r="B5" s="54"/>
      <c r="C5" s="54"/>
      <c r="D5" s="54"/>
      <c r="E5" s="54"/>
      <c r="F5" s="54"/>
      <c r="G5" s="54"/>
      <c r="H5" s="54"/>
      <c r="I5" s="54"/>
    </row>
    <row r="6" spans="1:9" x14ac:dyDescent="0.2">
      <c r="A6" s="72" t="s">
        <v>147</v>
      </c>
      <c r="B6" s="54"/>
      <c r="C6" s="54"/>
      <c r="D6" s="54"/>
      <c r="E6" s="54"/>
      <c r="F6" s="54"/>
      <c r="G6" s="54"/>
      <c r="H6" s="54"/>
      <c r="I6" s="54"/>
    </row>
    <row r="7" spans="1:9" x14ac:dyDescent="0.2">
      <c r="A7" s="58" t="s">
        <v>478</v>
      </c>
      <c r="B7" s="55">
        <f>Revenue_Hist!J7</f>
        <v>177449</v>
      </c>
      <c r="C7" s="55">
        <f>C10-C8-C9</f>
        <v>72265</v>
      </c>
      <c r="D7" s="68">
        <f>B7+C7</f>
        <v>249714</v>
      </c>
      <c r="E7" s="55">
        <f>Revenue_Hist!I7</f>
        <v>138037</v>
      </c>
      <c r="F7" s="68">
        <f>G7-E7</f>
        <v>58138</v>
      </c>
      <c r="G7" s="55">
        <f>Revenue_Hist!H7</f>
        <v>196175</v>
      </c>
      <c r="H7" s="54"/>
      <c r="I7" s="54" t="s">
        <v>673</v>
      </c>
    </row>
    <row r="8" spans="1:9" x14ac:dyDescent="0.2">
      <c r="A8" s="58" t="s">
        <v>480</v>
      </c>
      <c r="B8" s="55">
        <f>Revenue_Hist!J8</f>
        <v>2987</v>
      </c>
      <c r="C8" s="55">
        <f>F8*(1+Assumptions!$I$13)</f>
        <v>1280</v>
      </c>
      <c r="D8" s="68">
        <f>B8+C8</f>
        <v>4267</v>
      </c>
      <c r="E8" s="55">
        <f>Revenue_Hist!I8</f>
        <v>1784</v>
      </c>
      <c r="F8" s="68">
        <f>G8-E8</f>
        <v>800</v>
      </c>
      <c r="G8" s="55">
        <f>Revenue_Hist!H8</f>
        <v>2584</v>
      </c>
      <c r="H8" s="54"/>
      <c r="I8" s="54"/>
    </row>
    <row r="9" spans="1:9" x14ac:dyDescent="0.2">
      <c r="A9" s="58" t="s">
        <v>484</v>
      </c>
      <c r="B9" s="55">
        <f>Revenue_Hist!J10</f>
        <v>1276</v>
      </c>
      <c r="C9" s="55">
        <f>Assumptions!$I$14</f>
        <v>955</v>
      </c>
      <c r="D9" s="68">
        <f>B9+C9</f>
        <v>2231</v>
      </c>
      <c r="E9" s="55">
        <f>Revenue_Hist!I10</f>
        <v>1252</v>
      </c>
      <c r="F9" s="68">
        <f>G9-E9</f>
        <v>955</v>
      </c>
      <c r="G9" s="55">
        <f>Revenue_Hist!H10</f>
        <v>2207</v>
      </c>
      <c r="H9" s="54"/>
      <c r="I9" s="54"/>
    </row>
    <row r="10" spans="1:9" x14ac:dyDescent="0.2">
      <c r="A10" s="91" t="s">
        <v>486</v>
      </c>
      <c r="B10" s="94">
        <f>IS_Hist!J6</f>
        <v>181712</v>
      </c>
      <c r="C10" s="94">
        <f>Assumptions!$I$10</f>
        <v>74500</v>
      </c>
      <c r="D10" s="76">
        <f>B10+C10</f>
        <v>256212</v>
      </c>
      <c r="E10" s="94">
        <f>IS_Hist!I6</f>
        <v>141073</v>
      </c>
      <c r="F10" s="76">
        <f>G10-E10</f>
        <v>59893</v>
      </c>
      <c r="G10" s="94">
        <f>IS_Hist!H6</f>
        <v>200966</v>
      </c>
      <c r="H10" s="54"/>
      <c r="I10" s="54" t="s">
        <v>674</v>
      </c>
    </row>
    <row r="11" spans="1:9" x14ac:dyDescent="0.2">
      <c r="A11" s="54"/>
      <c r="B11" s="54"/>
      <c r="C11" s="54"/>
      <c r="D11" s="54"/>
      <c r="E11" s="54"/>
      <c r="F11" s="54"/>
      <c r="G11" s="54"/>
      <c r="H11" s="54"/>
      <c r="I11" s="54"/>
    </row>
    <row r="12" spans="1:9" x14ac:dyDescent="0.2">
      <c r="A12" s="58" t="s">
        <v>158</v>
      </c>
      <c r="B12" s="55">
        <f>IS_Hist!J13</f>
        <v>127077</v>
      </c>
      <c r="C12" s="55">
        <f>Assumptions!$I$11-B12</f>
        <v>49923</v>
      </c>
      <c r="D12" s="68">
        <f t="shared" si="0" ref="D12:D23">B12+C12</f>
        <v>177000</v>
      </c>
      <c r="E12" s="55">
        <f>IS_Hist!I13</f>
        <v>82542</v>
      </c>
      <c r="F12" s="68">
        <f t="shared" si="1" ref="F12:F23">G12-E12</f>
        <v>35148</v>
      </c>
      <c r="G12" s="55">
        <f>IS_Hist!H13</f>
        <v>117690</v>
      </c>
      <c r="H12" s="54"/>
      <c r="I12" s="54" t="s">
        <v>675</v>
      </c>
    </row>
    <row r="13" spans="1:9" x14ac:dyDescent="0.2">
      <c r="A13" s="58" t="s">
        <v>676</v>
      </c>
      <c r="B13" s="68">
        <f>Assumptions!$I$30</f>
        <v>11890</v>
      </c>
      <c r="C13" s="68">
        <v>0</v>
      </c>
      <c r="D13" s="68">
        <f t="shared" si="0"/>
        <v>11890</v>
      </c>
      <c r="E13" s="53">
        <v>0</v>
      </c>
      <c r="F13" s="68">
        <f t="shared" si="1"/>
        <v>0</v>
      </c>
      <c r="G13" s="53">
        <v>0</v>
      </c>
      <c r="H13" s="54"/>
      <c r="I13" s="54" t="s">
        <v>677</v>
      </c>
    </row>
    <row r="14" spans="1:9" x14ac:dyDescent="0.2">
      <c r="A14" s="91" t="s">
        <v>160</v>
      </c>
      <c r="B14" s="95">
        <f>B10-B12</f>
        <v>54635</v>
      </c>
      <c r="C14" s="96">
        <f>C10-C12</f>
        <v>24577</v>
      </c>
      <c r="D14" s="95">
        <f t="shared" si="0"/>
        <v>79212</v>
      </c>
      <c r="E14" s="95">
        <f>E10-E12</f>
        <v>58531</v>
      </c>
      <c r="F14" s="95">
        <f t="shared" si="1"/>
        <v>24745</v>
      </c>
      <c r="G14" s="95">
        <f>G10-G12</f>
        <v>83276</v>
      </c>
      <c r="H14" s="54"/>
      <c r="I14" s="54"/>
    </row>
    <row r="15" spans="1:9" x14ac:dyDescent="0.2">
      <c r="A15" s="58" t="s">
        <v>678</v>
      </c>
      <c r="B15" s="53">
        <v>-12775</v>
      </c>
      <c r="C15" s="55">
        <f>Assumptions!$I$15</f>
        <v>-5725</v>
      </c>
      <c r="D15" s="68">
        <f t="shared" si="0"/>
        <v>-18500</v>
      </c>
      <c r="E15" s="53">
        <v>-13171</v>
      </c>
      <c r="F15" s="68">
        <f t="shared" si="1"/>
        <v>-6022</v>
      </c>
      <c r="G15" s="53">
        <v>-19193</v>
      </c>
      <c r="H15" s="54"/>
      <c r="I15" s="54" t="s">
        <v>679</v>
      </c>
    </row>
    <row r="16" spans="1:9" x14ac:dyDescent="0.2">
      <c r="A16" s="58" t="s">
        <v>680</v>
      </c>
      <c r="B16" s="68">
        <f>B14-B15</f>
        <v>67410</v>
      </c>
      <c r="C16" s="55">
        <f>C14-C15</f>
        <v>30302</v>
      </c>
      <c r="D16" s="68">
        <f t="shared" si="0"/>
        <v>97712</v>
      </c>
      <c r="E16" s="68">
        <f>E14-E15</f>
        <v>71702</v>
      </c>
      <c r="F16" s="68">
        <f t="shared" si="1"/>
        <v>30767</v>
      </c>
      <c r="G16" s="68">
        <f>G14-G15</f>
        <v>102469</v>
      </c>
      <c r="H16" s="54"/>
      <c r="I16" s="54"/>
    </row>
    <row r="17" spans="1:9" x14ac:dyDescent="0.2">
      <c r="A17" s="58" t="s">
        <v>308</v>
      </c>
      <c r="B17" s="55">
        <f>CF_Hist!J10</f>
        <v>19509</v>
      </c>
      <c r="C17" s="55">
        <f>Assumptions!$I$24</f>
        <v>8200</v>
      </c>
      <c r="D17" s="68">
        <f t="shared" si="0"/>
        <v>27709</v>
      </c>
      <c r="E17" s="55">
        <f>CF_Hist!I10</f>
        <v>13205</v>
      </c>
      <c r="F17" s="68">
        <f t="shared" si="1"/>
        <v>5411</v>
      </c>
      <c r="G17" s="55">
        <f>CF_Hist!H10</f>
        <v>18616</v>
      </c>
      <c r="H17" s="54"/>
      <c r="I17" s="54"/>
    </row>
    <row r="18" spans="1:9" x14ac:dyDescent="0.2">
      <c r="A18" s="58" t="s">
        <v>681</v>
      </c>
      <c r="B18" s="68">
        <f>B14+B17</f>
        <v>74144</v>
      </c>
      <c r="C18" s="55">
        <f>C14+C17</f>
        <v>32777</v>
      </c>
      <c r="D18" s="68">
        <f t="shared" si="0"/>
        <v>106921</v>
      </c>
      <c r="E18" s="68">
        <f>E14+E17</f>
        <v>71736</v>
      </c>
      <c r="F18" s="68">
        <f t="shared" si="1"/>
        <v>30156</v>
      </c>
      <c r="G18" s="68">
        <f>G14+G17</f>
        <v>101892</v>
      </c>
      <c r="H18" s="54"/>
      <c r="I18" s="54"/>
    </row>
    <row r="19" spans="1:9" x14ac:dyDescent="0.2">
      <c r="A19" s="58" t="s">
        <v>162</v>
      </c>
      <c r="B19" s="55">
        <f>IS_Hist!J17</f>
        <v>-1126</v>
      </c>
      <c r="C19" s="55">
        <f>Assumptions!$I$22</f>
        <v>-200</v>
      </c>
      <c r="D19" s="68">
        <f t="shared" si="0"/>
        <v>-1326</v>
      </c>
      <c r="E19" s="55">
        <f>IS_Hist!I17</f>
        <v>2047</v>
      </c>
      <c r="F19" s="68">
        <f t="shared" si="1"/>
        <v>609</v>
      </c>
      <c r="G19" s="55">
        <f>IS_Hist!H17</f>
        <v>2656</v>
      </c>
      <c r="H19" s="54"/>
      <c r="I19" s="54"/>
    </row>
    <row r="20" spans="1:9" x14ac:dyDescent="0.2">
      <c r="A20" s="58" t="s">
        <v>682</v>
      </c>
      <c r="B20" s="53">
        <v>2170</v>
      </c>
      <c r="C20" s="55">
        <f>Assumptions!$I$23</f>
        <v>1000</v>
      </c>
      <c r="D20" s="68">
        <f t="shared" si="0"/>
        <v>3170</v>
      </c>
      <c r="E20" s="53">
        <v>668</v>
      </c>
      <c r="F20" s="68">
        <f t="shared" si="1"/>
        <v>422</v>
      </c>
      <c r="G20" s="53">
        <v>1090</v>
      </c>
      <c r="H20" s="54"/>
      <c r="I20" s="54" t="s">
        <v>683</v>
      </c>
    </row>
    <row r="21" spans="1:9" x14ac:dyDescent="0.2">
      <c r="A21" s="58" t="s">
        <v>165</v>
      </c>
      <c r="B21" s="68">
        <f>B14+B19</f>
        <v>53509</v>
      </c>
      <c r="C21" s="55">
        <f>C14+C19</f>
        <v>24377</v>
      </c>
      <c r="D21" s="68">
        <f t="shared" si="0"/>
        <v>77886</v>
      </c>
      <c r="E21" s="68">
        <f>E14+E19</f>
        <v>60578</v>
      </c>
      <c r="F21" s="68">
        <f t="shared" si="1"/>
        <v>25354</v>
      </c>
      <c r="G21" s="68">
        <f>G14+G19</f>
        <v>85932</v>
      </c>
      <c r="H21" s="54"/>
      <c r="I21" s="54"/>
    </row>
    <row r="22" spans="1:9" x14ac:dyDescent="0.2">
      <c r="A22" s="58" t="s">
        <v>168</v>
      </c>
      <c r="B22" s="55">
        <f>IS_Hist!J20</f>
        <v>1028</v>
      </c>
      <c r="C22" s="55">
        <f>C21*Assumptions!$I$12</f>
        <v>3900.32</v>
      </c>
      <c r="D22" s="68">
        <f t="shared" si="0"/>
        <v>4928.32</v>
      </c>
      <c r="E22" s="55">
        <f>IS_Hist!I20</f>
        <v>22888</v>
      </c>
      <c r="F22" s="68">
        <f t="shared" si="1"/>
        <v>2586</v>
      </c>
      <c r="G22" s="55">
        <f>IS_Hist!H20</f>
        <v>25474</v>
      </c>
      <c r="H22" s="54"/>
      <c r="I22" s="54" t="s">
        <v>684</v>
      </c>
    </row>
    <row r="23" spans="1:9" x14ac:dyDescent="0.2">
      <c r="A23" s="91" t="s">
        <v>170</v>
      </c>
      <c r="B23" s="70">
        <f>B21-B22</f>
        <v>52481</v>
      </c>
      <c r="C23" s="100">
        <f>C21-C22</f>
        <v>20476.68</v>
      </c>
      <c r="D23" s="70">
        <f t="shared" si="0"/>
        <v>72957.679999999993</v>
      </c>
      <c r="E23" s="70">
        <f>E21-E22</f>
        <v>37690</v>
      </c>
      <c r="F23" s="70">
        <f t="shared" si="1"/>
        <v>22768</v>
      </c>
      <c r="G23" s="70">
        <f>G21-G22</f>
        <v>60458</v>
      </c>
      <c r="H23" s="54"/>
      <c r="I23" s="54"/>
    </row>
    <row r="24" spans="1:9" x14ac:dyDescent="0.2">
      <c r="A24" s="54"/>
      <c r="B24" s="54"/>
      <c r="C24" s="54"/>
      <c r="D24" s="54"/>
      <c r="E24" s="54"/>
      <c r="F24" s="54"/>
      <c r="G24" s="54"/>
      <c r="H24" s="54"/>
      <c r="I24" s="54"/>
    </row>
    <row r="25" spans="1:9" x14ac:dyDescent="0.2">
      <c r="A25" s="72" t="s">
        <v>685</v>
      </c>
      <c r="B25" s="54"/>
      <c r="C25" s="54"/>
      <c r="D25" s="54"/>
      <c r="E25" s="54"/>
      <c r="F25" s="54"/>
      <c r="G25" s="54"/>
      <c r="H25" s="54"/>
      <c r="I25" s="54"/>
    </row>
    <row r="26" spans="1:9" x14ac:dyDescent="0.2">
      <c r="A26" s="58" t="s">
        <v>686</v>
      </c>
      <c r="B26" s="55">
        <f>CF_Hist!J29</f>
        <v>96873</v>
      </c>
      <c r="C26" s="68"/>
      <c r="D26" s="68"/>
      <c r="E26" s="55">
        <f>CF_Hist!I29</f>
        <v>79586</v>
      </c>
      <c r="F26" s="68">
        <f t="shared" si="2" ref="F26:F32">G26-E26</f>
        <v>36214</v>
      </c>
      <c r="G26" s="55">
        <f>CF_Hist!H29</f>
        <v>115800</v>
      </c>
      <c r="H26" s="54"/>
      <c r="I26" s="54"/>
    </row>
    <row r="27" spans="1:9" x14ac:dyDescent="0.2">
      <c r="A27" s="58" t="s">
        <v>310</v>
      </c>
      <c r="B27" s="55">
        <f>CF_Hist!J11</f>
        <v>21053</v>
      </c>
      <c r="C27" s="55">
        <f>Assumptions!$I$25</f>
        <v>7000</v>
      </c>
      <c r="D27" s="68">
        <f t="shared" si="3" ref="D27:D32">B27+C27</f>
        <v>28053</v>
      </c>
      <c r="E27" s="55">
        <f>CF_Hist!I11</f>
        <v>14537</v>
      </c>
      <c r="F27" s="68">
        <f t="shared" si="2"/>
        <v>5890</v>
      </c>
      <c r="G27" s="55">
        <f>CF_Hist!H11</f>
        <v>20427</v>
      </c>
      <c r="H27" s="54"/>
      <c r="I27" s="54"/>
    </row>
    <row r="28" spans="1:9" x14ac:dyDescent="0.2">
      <c r="A28" s="58" t="s">
        <v>687</v>
      </c>
      <c r="B28" s="55">
        <f>-(CF_Hist!J32+CF_Hist!J50)</f>
        <v>85824</v>
      </c>
      <c r="C28" s="55">
        <f>Assumptions!I91-B28</f>
        <v>54176</v>
      </c>
      <c r="D28" s="68">
        <f t="shared" si="3"/>
        <v>140000</v>
      </c>
      <c r="E28" s="55">
        <f>-(CF_Hist!I32+CF_Hist!I50)</f>
        <v>50078</v>
      </c>
      <c r="F28" s="68">
        <f t="shared" si="2"/>
        <v>22137</v>
      </c>
      <c r="G28" s="55">
        <f>-(CF_Hist!H32+CF_Hist!H50)</f>
        <v>72215</v>
      </c>
      <c r="H28" s="54"/>
      <c r="I28" s="54" t="s">
        <v>688</v>
      </c>
    </row>
    <row r="29" spans="1:9" x14ac:dyDescent="0.2">
      <c r="A29" s="58" t="s">
        <v>689</v>
      </c>
      <c r="B29" s="55">
        <f>-CF_Hist!J48</f>
        <v>4060</v>
      </c>
      <c r="C29" s="55">
        <f>Assumptions!$I$27</f>
        <v>1360</v>
      </c>
      <c r="D29" s="68">
        <f t="shared" si="3"/>
        <v>5420</v>
      </c>
      <c r="E29" s="55">
        <f>-CF_Hist!I48</f>
        <v>3986</v>
      </c>
      <c r="F29" s="68">
        <f t="shared" si="2"/>
        <v>1338</v>
      </c>
      <c r="G29" s="55">
        <f>-CF_Hist!H48</f>
        <v>5324</v>
      </c>
      <c r="H29" s="54"/>
      <c r="I29" s="54"/>
    </row>
    <row r="30" spans="1:9" x14ac:dyDescent="0.2">
      <c r="A30" s="58" t="s">
        <v>690</v>
      </c>
      <c r="B30" s="55">
        <f>-CF_Hist!J47</f>
        <v>0</v>
      </c>
      <c r="C30" s="55">
        <f>Assumptions!$I$29</f>
        <v>0</v>
      </c>
      <c r="D30" s="68">
        <f t="shared" si="3"/>
        <v>0</v>
      </c>
      <c r="E30" s="55">
        <f>-CF_Hist!I47</f>
        <v>26248</v>
      </c>
      <c r="F30" s="68">
        <f t="shared" si="2"/>
        <v>0</v>
      </c>
      <c r="G30" s="55">
        <f>-CF_Hist!H47</f>
        <v>26248</v>
      </c>
      <c r="H30" s="54"/>
      <c r="I30" s="54"/>
    </row>
    <row r="31" spans="1:9" x14ac:dyDescent="0.2">
      <c r="A31" s="58" t="s">
        <v>691</v>
      </c>
      <c r="B31" s="55">
        <f>-CF_Hist!J46</f>
        <v>12768</v>
      </c>
      <c r="C31" s="55">
        <f>Assumptions!$I$26</f>
        <v>4250</v>
      </c>
      <c r="D31" s="68">
        <f t="shared" si="3"/>
        <v>17018</v>
      </c>
      <c r="E31" s="55">
        <f>-CF_Hist!I46</f>
        <v>14128</v>
      </c>
      <c r="F31" s="68">
        <f t="shared" si="2"/>
        <v>4272</v>
      </c>
      <c r="G31" s="55">
        <f>-CF_Hist!H46</f>
        <v>18400</v>
      </c>
      <c r="H31" s="54"/>
      <c r="I31" s="54"/>
    </row>
    <row r="32" spans="1:9" x14ac:dyDescent="0.2">
      <c r="A32" s="58" t="s">
        <v>692</v>
      </c>
      <c r="B32" s="55">
        <f>CF_Hist!J49</f>
        <v>24910</v>
      </c>
      <c r="C32" s="55">
        <f>Assumptions!$I$28</f>
        <v>0</v>
      </c>
      <c r="D32" s="68">
        <f t="shared" si="3"/>
        <v>24910</v>
      </c>
      <c r="E32" s="55">
        <f>CF_Hist!I49</f>
        <v>0</v>
      </c>
      <c r="F32" s="68">
        <f t="shared" si="2"/>
        <v>29906</v>
      </c>
      <c r="G32" s="55">
        <f>CF_Hist!H49</f>
        <v>29906</v>
      </c>
      <c r="H32" s="54"/>
      <c r="I32" s="54"/>
    </row>
    <row r="33" spans="1:9" x14ac:dyDescent="0.2">
      <c r="A33" s="54"/>
      <c r="B33" s="54"/>
      <c r="C33" s="54"/>
      <c r="D33" s="54"/>
      <c r="E33" s="54"/>
      <c r="F33" s="54"/>
      <c r="G33" s="54"/>
      <c r="H33" s="54"/>
      <c r="I33" s="54"/>
    </row>
    <row r="34" spans="1:9" x14ac:dyDescent="0.2">
      <c r="A34" s="58" t="s">
        <v>693</v>
      </c>
      <c r="B34" s="56">
        <f>B10/E10-1</f>
        <v>0.28807071516165395</v>
      </c>
      <c r="C34" s="86">
        <f>C10/F10-1</f>
        <v>0.24388492812181717</v>
      </c>
      <c r="D34" s="56">
        <f>D10/G10-1</f>
        <v>0.274902222266453</v>
      </c>
      <c r="E34" s="56"/>
      <c r="F34" s="56"/>
      <c r="G34" s="56"/>
      <c r="H34" s="54"/>
      <c r="I34" s="54"/>
    </row>
    <row r="35" spans="1:9" x14ac:dyDescent="0.2">
      <c r="A35" s="54"/>
      <c r="B35" s="54"/>
      <c r="C35" s="54"/>
      <c r="D35" s="54"/>
      <c r="E35" s="54"/>
      <c r="F35" s="54"/>
      <c r="G35" s="54"/>
      <c r="H35" s="54"/>
      <c r="I35" s="54"/>
    </row>
    <row r="36" spans="1:9" x14ac:dyDescent="0.2">
      <c r="A36" s="72" t="s">
        <v>189</v>
      </c>
      <c r="B36" s="54"/>
      <c r="C36" s="54"/>
      <c r="D36" s="54"/>
      <c r="E36" s="54"/>
      <c r="F36" s="54"/>
      <c r="G36" s="54"/>
      <c r="H36" s="54"/>
      <c r="I36" s="54"/>
    </row>
    <row r="37" spans="1:9" x14ac:dyDescent="0.2">
      <c r="A37" s="58" t="s">
        <v>694</v>
      </c>
      <c r="B37" s="71">
        <f t="shared" si="4" ref="B37:G37">ROUND(B7+B8+B9-B10,2)</f>
        <v>0</v>
      </c>
      <c r="C37" s="71">
        <f t="shared" si="4"/>
        <v>0</v>
      </c>
      <c r="D37" s="71">
        <f t="shared" si="4"/>
        <v>0</v>
      </c>
      <c r="E37" s="71">
        <f t="shared" si="4"/>
        <v>0</v>
      </c>
      <c r="F37" s="71">
        <f t="shared" si="4"/>
        <v>0</v>
      </c>
      <c r="G37" s="71">
        <f t="shared" si="4"/>
        <v>0</v>
      </c>
      <c r="H37" s="54"/>
      <c r="I37" s="54"/>
    </row>
    <row r="38" spans="1:9" x14ac:dyDescent="0.2">
      <c r="A38" s="58" t="s">
        <v>695</v>
      </c>
      <c r="B38" s="71">
        <f>ROUND(B14-IS_Hist!J15,2)</f>
        <v>0</v>
      </c>
      <c r="C38" s="71"/>
      <c r="D38" s="71"/>
      <c r="E38" s="71">
        <f>ROUND(E14-IS_Hist!I15,2)</f>
        <v>0</v>
      </c>
      <c r="F38" s="71"/>
      <c r="G38" s="71">
        <f>ROUND(G14-IS_Hist!H15,2)</f>
        <v>0</v>
      </c>
      <c r="H38" s="54"/>
      <c r="I38" s="54"/>
    </row>
    <row r="39" spans="1:9" x14ac:dyDescent="0.2">
      <c r="A39" s="58" t="s">
        <v>696</v>
      </c>
      <c r="B39" s="71">
        <f>ROUND(B23-IS_Hist!J21,2)</f>
        <v>0</v>
      </c>
      <c r="C39" s="71"/>
      <c r="D39" s="71"/>
      <c r="E39" s="71">
        <f>ROUND(E23-IS_Hist!I21,2)</f>
        <v>0</v>
      </c>
      <c r="F39" s="71"/>
      <c r="G39" s="71">
        <f>ROUND(G23-IS_Hist!H21,2)</f>
        <v>0</v>
      </c>
      <c r="H39" s="54"/>
      <c r="I39" s="54"/>
    </row>
    <row r="40" spans="1:9" x14ac:dyDescent="0.2">
      <c r="A40" s="58" t="s">
        <v>697</v>
      </c>
      <c r="B40" s="71"/>
      <c r="C40" s="71"/>
      <c r="D40" s="71">
        <f>ROUND(D12-Assumptions!$I$11,2)</f>
        <v>0</v>
      </c>
      <c r="E40" s="71"/>
      <c r="F40" s="71"/>
      <c r="G40" s="71"/>
      <c r="H40" s="54"/>
      <c r="I40" s="5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50EF-4C54-4F4C-A497-C5A440C378A0}">
  <sheetPr>
    <tabColor rgb="FF5A2331"/>
  </sheetPr>
  <dimension ref="A1:N28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12" width="11.83203125" customWidth="1"/>
    <col min="13" max="13" width="17.6640625" customWidth="1"/>
    <col min="14" max="14" width="92.6640625" customWidth="1"/>
  </cols>
  <sheetData>
    <row r="1" spans="1:14" x14ac:dyDescent="0.2">
      <c r="A1" s="122" t="s">
        <v>698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x14ac:dyDescent="0.2">
      <c r="A2" s="54" t="s">
        <v>699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x14ac:dyDescent="0.2">
      <c r="A3" s="54"/>
      <c r="B3" s="54" t="s">
        <v>558</v>
      </c>
      <c r="C3" s="54" t="s">
        <v>559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x14ac:dyDescent="0.2">
      <c r="A4" s="125" t="s">
        <v>141</v>
      </c>
      <c r="B4" s="123" t="s">
        <v>66</v>
      </c>
      <c r="C4" s="124" t="s">
        <v>700</v>
      </c>
      <c r="D4" s="124" t="s">
        <v>701</v>
      </c>
      <c r="E4" s="124" t="s">
        <v>702</v>
      </c>
      <c r="F4" s="124" t="s">
        <v>703</v>
      </c>
      <c r="G4" s="124" t="s">
        <v>704</v>
      </c>
      <c r="H4" s="124" t="s">
        <v>705</v>
      </c>
      <c r="I4" s="124" t="s">
        <v>706</v>
      </c>
      <c r="J4" s="124" t="s">
        <v>707</v>
      </c>
      <c r="K4" s="124" t="s">
        <v>708</v>
      </c>
      <c r="L4" s="124" t="s">
        <v>709</v>
      </c>
      <c r="M4" s="126" t="s">
        <v>144</v>
      </c>
      <c r="N4" s="126" t="s">
        <v>560</v>
      </c>
    </row>
    <row r="5" spans="1:14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 x14ac:dyDescent="0.2">
      <c r="A6" s="72" t="s">
        <v>478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x14ac:dyDescent="0.2">
      <c r="A7" s="58" t="s">
        <v>710</v>
      </c>
      <c r="B7" s="86"/>
      <c r="C7" s="86">
        <f>Assumptions!I56</f>
        <v>0.13</v>
      </c>
      <c r="D7" s="86">
        <f>Assumptions!J56</f>
        <v>0.1</v>
      </c>
      <c r="E7" s="86">
        <f>Assumptions!K56</f>
        <v>0.09</v>
      </c>
      <c r="F7" s="86">
        <f>Assumptions!L56</f>
        <v>0.08</v>
      </c>
      <c r="G7" s="86">
        <f>Assumptions!M56</f>
        <v>7.0000000000000007E-2</v>
      </c>
      <c r="H7" s="86">
        <f>Assumptions!N56</f>
        <v>0.06</v>
      </c>
      <c r="I7" s="86">
        <f>Assumptions!O56</f>
        <v>0.05</v>
      </c>
      <c r="J7" s="86">
        <f>Assumptions!P56</f>
        <v>0.04</v>
      </c>
      <c r="K7" s="86">
        <f>Assumptions!Q56</f>
        <v>3.5000000000000003E-2</v>
      </c>
      <c r="L7" s="86">
        <f>Assumptions!R56</f>
        <v>0.03</v>
      </c>
      <c r="M7" s="54"/>
      <c r="N7" s="54"/>
    </row>
    <row r="8" spans="1:14" x14ac:dyDescent="0.2">
      <c r="A8" s="58" t="s">
        <v>711</v>
      </c>
      <c r="B8" s="56"/>
      <c r="C8" s="56">
        <f>(1+C10)/(1+C7)-1</f>
        <v>0.12647299965828784</v>
      </c>
      <c r="D8" s="56">
        <f>Assumptions!J61+Assumptions!$I$44</f>
        <v>0.08</v>
      </c>
      <c r="E8" s="56">
        <f>Assumptions!K61+Assumptions!$I$44</f>
        <v>7.0000000000000007E-2</v>
      </c>
      <c r="F8" s="56">
        <f>Assumptions!L61+Assumptions!$I$44</f>
        <v>0.06</v>
      </c>
      <c r="G8" s="56">
        <f>Assumptions!M61+Assumptions!$I$44</f>
        <v>0.05</v>
      </c>
      <c r="H8" s="56">
        <f>Assumptions!N61+Assumptions!$I$44</f>
        <v>0.04</v>
      </c>
      <c r="I8" s="56">
        <f>Assumptions!O61+Assumptions!$I$44</f>
        <v>0.04</v>
      </c>
      <c r="J8" s="56">
        <f>Assumptions!P61+Assumptions!$I$44</f>
        <v>3.5000000000000003E-2</v>
      </c>
      <c r="K8" s="56">
        <f>Assumptions!Q61+Assumptions!$I$44</f>
        <v>0.03</v>
      </c>
      <c r="L8" s="56">
        <f>Assumptions!R61+Assumptions!$I$44</f>
        <v>2.5000000000000001E-2</v>
      </c>
      <c r="M8" s="54"/>
      <c r="N8" s="54" t="s">
        <v>712</v>
      </c>
    </row>
    <row r="9" spans="1:14" x14ac:dyDescent="0.2">
      <c r="A9" s="58" t="s">
        <v>713</v>
      </c>
      <c r="B9" s="55">
        <f>Revenue_Hist!H7</f>
        <v>196175</v>
      </c>
      <c r="C9" s="55">
        <f>Interim_Bridge!D7</f>
        <v>249714</v>
      </c>
      <c r="D9" s="68">
        <f t="shared" si="0" ref="D9:L9">C9*(1+D7)*(1+D8)</f>
        <v>296660.23200000002</v>
      </c>
      <c r="E9" s="68">
        <f t="shared" si="0"/>
        <v>345994.8285816001</v>
      </c>
      <c r="F9" s="68">
        <f t="shared" si="0"/>
        <v>396094.87976021587</v>
      </c>
      <c r="G9" s="68">
        <f t="shared" si="0"/>
        <v>445012.59741060261</v>
      </c>
      <c r="H9" s="68">
        <f t="shared" si="0"/>
        <v>490581.88738544838</v>
      </c>
      <c r="I9" s="68">
        <f t="shared" si="0"/>
        <v>535715.42102490971</v>
      </c>
      <c r="J9" s="68">
        <f t="shared" si="0"/>
        <v>576644.07919121278</v>
      </c>
      <c r="K9" s="68">
        <f t="shared" si="0"/>
        <v>614731.42062179232</v>
      </c>
      <c r="L9" s="68">
        <f t="shared" si="0"/>
        <v>649002.69732145721</v>
      </c>
      <c r="M9" s="54"/>
      <c r="N9" s="54"/>
    </row>
    <row r="10" spans="1:14" x14ac:dyDescent="0.2">
      <c r="A10" s="58" t="s">
        <v>714</v>
      </c>
      <c r="B10" s="56"/>
      <c r="C10" s="56">
        <f t="shared" si="1" ref="C10:L10">C9/B9-1</f>
        <v>0.27291448961386511</v>
      </c>
      <c r="D10" s="56">
        <f t="shared" si="1"/>
        <v>0.18800000000000017</v>
      </c>
      <c r="E10" s="56">
        <f t="shared" si="1"/>
        <v>0.16630000000000034</v>
      </c>
      <c r="F10" s="56">
        <f t="shared" si="1"/>
        <v>0.14480000000000026</v>
      </c>
      <c r="G10" s="56">
        <f t="shared" si="1"/>
        <v>0.12350000000000017</v>
      </c>
      <c r="H10" s="56">
        <f t="shared" si="1"/>
        <v>0.10240000000000005</v>
      </c>
      <c r="I10" s="56">
        <f t="shared" si="1"/>
        <v>9.2000000000000082E-2</v>
      </c>
      <c r="J10" s="56">
        <f t="shared" si="1"/>
        <v>7.6400000000000023E-2</v>
      </c>
      <c r="K10" s="56">
        <f t="shared" si="1"/>
        <v>6.6049999999999942E-2</v>
      </c>
      <c r="L10" s="56">
        <f t="shared" si="1"/>
        <v>5.5749999999999966E-2</v>
      </c>
      <c r="M10" s="54"/>
      <c r="N10" s="54"/>
    </row>
    <row r="11" spans="1:14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 spans="1:14" x14ac:dyDescent="0.2">
      <c r="A12" s="72" t="s">
        <v>715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 spans="1:14" x14ac:dyDescent="0.2">
      <c r="A13" s="58" t="s">
        <v>478</v>
      </c>
      <c r="B13" s="68">
        <f t="shared" si="2" ref="B13:L13">B9</f>
        <v>196175</v>
      </c>
      <c r="C13" s="68">
        <f t="shared" si="2"/>
        <v>249714</v>
      </c>
      <c r="D13" s="68">
        <f t="shared" si="2"/>
        <v>296660.23200000002</v>
      </c>
      <c r="E13" s="68">
        <f t="shared" si="2"/>
        <v>345994.8285816001</v>
      </c>
      <c r="F13" s="68">
        <f t="shared" si="2"/>
        <v>396094.87976021587</v>
      </c>
      <c r="G13" s="68">
        <f t="shared" si="2"/>
        <v>445012.59741060261</v>
      </c>
      <c r="H13" s="68">
        <f t="shared" si="2"/>
        <v>490581.88738544838</v>
      </c>
      <c r="I13" s="68">
        <f t="shared" si="2"/>
        <v>535715.42102490971</v>
      </c>
      <c r="J13" s="68">
        <f t="shared" si="2"/>
        <v>576644.07919121278</v>
      </c>
      <c r="K13" s="68">
        <f t="shared" si="2"/>
        <v>614731.42062179232</v>
      </c>
      <c r="L13" s="68">
        <f t="shared" si="2"/>
        <v>649002.69732145721</v>
      </c>
      <c r="M13" s="54"/>
      <c r="N13" s="54"/>
    </row>
    <row r="14" spans="1:14" x14ac:dyDescent="0.2">
      <c r="A14" s="58" t="s">
        <v>480</v>
      </c>
      <c r="B14" s="55">
        <f>Revenue_Hist!H8</f>
        <v>2584</v>
      </c>
      <c r="C14" s="55">
        <f>Interim_Bridge!D8</f>
        <v>4267</v>
      </c>
      <c r="D14" s="68">
        <f>C14*(1+Assumptions!J66)</f>
        <v>5973.7999999999993</v>
      </c>
      <c r="E14" s="68">
        <f>D14*(1+Assumptions!K66)</f>
        <v>7765.94</v>
      </c>
      <c r="F14" s="68">
        <f>E14*(1+Assumptions!L66)</f>
        <v>9707.4249999999993</v>
      </c>
      <c r="G14" s="68">
        <f>F14*(1+Assumptions!M66)</f>
        <v>11648.909999999998</v>
      </c>
      <c r="H14" s="68">
        <f>G14*(1+Assumptions!N66)</f>
        <v>13396.246499999997</v>
      </c>
      <c r="I14" s="68">
        <f>H14*(1+Assumptions!O66)</f>
        <v>15003.796079999998</v>
      </c>
      <c r="J14" s="68">
        <f>I14*(1+Assumptions!P66)</f>
        <v>16504.175687999999</v>
      </c>
      <c r="K14" s="68">
        <f>J14*(1+Assumptions!Q66)</f>
        <v>17824.509743040002</v>
      </c>
      <c r="L14" s="68">
        <f>K14*(1+Assumptions!R66)</f>
        <v>18893.980327622405</v>
      </c>
      <c r="M14" s="54"/>
      <c r="N14" s="54"/>
    </row>
    <row r="15" spans="1:14" x14ac:dyDescent="0.2">
      <c r="A15" s="72" t="s">
        <v>482</v>
      </c>
      <c r="B15" s="76">
        <f t="shared" si="3" ref="B15:L15">B13+B14</f>
        <v>198759</v>
      </c>
      <c r="C15" s="76">
        <f t="shared" si="3"/>
        <v>253981</v>
      </c>
      <c r="D15" s="76">
        <f t="shared" si="3"/>
        <v>302634.03200000001</v>
      </c>
      <c r="E15" s="76">
        <f t="shared" si="3"/>
        <v>353760.7685816001</v>
      </c>
      <c r="F15" s="76">
        <f t="shared" si="3"/>
        <v>405802.30476021586</v>
      </c>
      <c r="G15" s="76">
        <f t="shared" si="3"/>
        <v>456661.50741060259</v>
      </c>
      <c r="H15" s="76">
        <f t="shared" si="3"/>
        <v>503978.13388544839</v>
      </c>
      <c r="I15" s="76">
        <f t="shared" si="3"/>
        <v>550719.21710490971</v>
      </c>
      <c r="J15" s="76">
        <f t="shared" si="3"/>
        <v>593148.25487921282</v>
      </c>
      <c r="K15" s="76">
        <f t="shared" si="3"/>
        <v>632555.93036483228</v>
      </c>
      <c r="L15" s="76">
        <f t="shared" si="3"/>
        <v>667896.67764907959</v>
      </c>
      <c r="M15" s="54"/>
      <c r="N15" s="54"/>
    </row>
    <row r="16" spans="1:14" x14ac:dyDescent="0.2">
      <c r="A16" s="102" t="s">
        <v>484</v>
      </c>
      <c r="B16" s="55">
        <f>Revenue_Hist!H10</f>
        <v>2207</v>
      </c>
      <c r="C16" s="55">
        <f>Interim_Bridge!D9</f>
        <v>2231</v>
      </c>
      <c r="D16" s="68">
        <f>C16*(1+Assumptions!J71)</f>
        <v>2342.5500000000002</v>
      </c>
      <c r="E16" s="68">
        <f>D16*(1+Assumptions!K71)</f>
        <v>2459.6775000000002</v>
      </c>
      <c r="F16" s="68">
        <f>E16*(1+Assumptions!L71)</f>
        <v>2582.6613750000001</v>
      </c>
      <c r="G16" s="68">
        <f>F16*(1+Assumptions!M71)</f>
        <v>2711.7944437500005</v>
      </c>
      <c r="H16" s="68">
        <f>G16*(1+Assumptions!N71)</f>
        <v>2847.3841659375007</v>
      </c>
      <c r="I16" s="68">
        <f>H16*(1+Assumptions!O71)</f>
        <v>2989.7533742343758</v>
      </c>
      <c r="J16" s="68">
        <f>I16*(1+Assumptions!P71)</f>
        <v>3139.2410429460947</v>
      </c>
      <c r="K16" s="68">
        <f>J16*(1+Assumptions!Q71)</f>
        <v>3296.2030950933995</v>
      </c>
      <c r="L16" s="68">
        <f>K16*(1+Assumptions!R71)</f>
        <v>3461.0132498480698</v>
      </c>
      <c r="M16" s="54"/>
      <c r="N16" s="54"/>
    </row>
    <row r="17" spans="1:14" x14ac:dyDescent="0.2">
      <c r="A17" s="73" t="s">
        <v>486</v>
      </c>
      <c r="B17" s="70">
        <f t="shared" si="4" ref="B17:L17">B15+B16</f>
        <v>200966</v>
      </c>
      <c r="C17" s="70">
        <f t="shared" si="4"/>
        <v>256212</v>
      </c>
      <c r="D17" s="70">
        <f t="shared" si="4"/>
        <v>304976.58199999999</v>
      </c>
      <c r="E17" s="70">
        <f t="shared" si="4"/>
        <v>356220.44608160009</v>
      </c>
      <c r="F17" s="70">
        <f t="shared" si="4"/>
        <v>408384.96613521589</v>
      </c>
      <c r="G17" s="70">
        <f t="shared" si="4"/>
        <v>459373.30185435258</v>
      </c>
      <c r="H17" s="70">
        <f t="shared" si="4"/>
        <v>506825.51805138588</v>
      </c>
      <c r="I17" s="70">
        <f t="shared" si="4"/>
        <v>553708.97047914413</v>
      </c>
      <c r="J17" s="70">
        <f t="shared" si="4"/>
        <v>596287.49592215894</v>
      </c>
      <c r="K17" s="70">
        <f t="shared" si="4"/>
        <v>635852.13345992565</v>
      </c>
      <c r="L17" s="70">
        <f t="shared" si="4"/>
        <v>671357.69089892763</v>
      </c>
      <c r="M17" s="54"/>
      <c r="N17" s="54"/>
    </row>
    <row r="18" spans="1:14" x14ac:dyDescent="0.2">
      <c r="A18" s="58" t="s">
        <v>716</v>
      </c>
      <c r="B18" s="56"/>
      <c r="C18" s="56">
        <f t="shared" si="5" ref="C18:L18">C17/B17-1</f>
        <v>0.274902222266453</v>
      </c>
      <c r="D18" s="56">
        <f t="shared" si="5"/>
        <v>0.19032903220770292</v>
      </c>
      <c r="E18" s="56">
        <f t="shared" si="5"/>
        <v>0.16802557017836905</v>
      </c>
      <c r="F18" s="56">
        <f t="shared" si="5"/>
        <v>0.14643887128720956</v>
      </c>
      <c r="G18" s="56">
        <f t="shared" si="5"/>
        <v>0.12485360614928842</v>
      </c>
      <c r="H18" s="56">
        <f t="shared" si="5"/>
        <v>0.10329772323616315</v>
      </c>
      <c r="I18" s="56">
        <f t="shared" si="5"/>
        <v>9.2504127669050806E-2</v>
      </c>
      <c r="J18" s="56">
        <f t="shared" si="5"/>
        <v>7.6896939932488584E-2</v>
      </c>
      <c r="K18" s="56">
        <f t="shared" si="5"/>
        <v>6.6351613623190309E-2</v>
      </c>
      <c r="L18" s="56">
        <f t="shared" si="5"/>
        <v>5.5839330515102592E-2</v>
      </c>
      <c r="M18" s="54"/>
      <c r="N18" s="54"/>
    </row>
    <row r="19" spans="1:14" x14ac:dyDescent="0.2">
      <c r="A19" s="58" t="s">
        <v>536</v>
      </c>
      <c r="B19" s="56">
        <f t="shared" si="6" ref="B19:L19">B9/B17</f>
        <v>0.97616014649244154</v>
      </c>
      <c r="C19" s="56">
        <f t="shared" si="6"/>
        <v>0.97463819024870024</v>
      </c>
      <c r="D19" s="56">
        <f t="shared" si="6"/>
        <v>0.9727311849799668</v>
      </c>
      <c r="E19" s="56">
        <f t="shared" si="6"/>
        <v>0.97129413088866445</v>
      </c>
      <c r="F19" s="56">
        <f t="shared" si="6"/>
        <v>0.96990563464833623</v>
      </c>
      <c r="G19" s="56">
        <f t="shared" si="6"/>
        <v>0.96873848700875709</v>
      </c>
      <c r="H19" s="56">
        <f t="shared" si="6"/>
        <v>0.96795025094949816</v>
      </c>
      <c r="I19" s="56">
        <f t="shared" si="6"/>
        <v>0.96750359771367989</v>
      </c>
      <c r="J19" s="56">
        <f t="shared" si="6"/>
        <v>0.96705713793215198</v>
      </c>
      <c r="K19" s="56">
        <f t="shared" si="6"/>
        <v>0.96678360938539742</v>
      </c>
      <c r="L19" s="56">
        <f t="shared" si="6"/>
        <v>0.9667018135332035</v>
      </c>
      <c r="M19" s="54"/>
      <c r="N19" s="54"/>
    </row>
    <row r="20" spans="1:14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</row>
    <row r="21" spans="1:14" x14ac:dyDescent="0.2">
      <c r="A21" s="72" t="s">
        <v>717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spans="1:14" x14ac:dyDescent="0.2">
      <c r="A22" s="58" t="s">
        <v>718</v>
      </c>
      <c r="B22" s="66">
        <f>Revenue_Hist!H29</f>
        <v>3.58</v>
      </c>
      <c r="C22" s="66">
        <f>Revenue_Hist!J29</f>
        <v>3.64</v>
      </c>
      <c r="D22" s="57">
        <f>C22*(1+Assumptions!J76)</f>
        <v>3.7309999999999999</v>
      </c>
      <c r="E22" s="57">
        <f>D22*(1+Assumptions!K76)</f>
        <v>3.8056199999999998</v>
      </c>
      <c r="F22" s="57">
        <f>E22*(1+Assumptions!L76)</f>
        <v>3.8817323999999997</v>
      </c>
      <c r="G22" s="57">
        <f>F22*(1+Assumptions!M76)</f>
        <v>3.9399583859999994</v>
      </c>
      <c r="H22" s="57">
        <f>G22*(1+Assumptions!N76)</f>
        <v>3.9990577617899992</v>
      </c>
      <c r="I22" s="57">
        <f>H22*(1+Assumptions!O76)</f>
        <v>4.0390483394078993</v>
      </c>
      <c r="J22" s="57">
        <f>I22*(1+Assumptions!P76)</f>
        <v>4.0794388228019782</v>
      </c>
      <c r="K22" s="57">
        <f>J22*(1+Assumptions!Q76)</f>
        <v>4.1202332110299977</v>
      </c>
      <c r="L22" s="57">
        <f>K22*(1+Assumptions!R76)</f>
        <v>4.1614355431402981</v>
      </c>
      <c r="M22" s="54"/>
      <c r="N22" s="54" t="s">
        <v>719</v>
      </c>
    </row>
    <row r="23" spans="1:14" x14ac:dyDescent="0.2">
      <c r="A23" s="58" t="s">
        <v>720</v>
      </c>
      <c r="B23" s="57">
        <f t="shared" si="7" ref="B23:L23">B15/(B22*1000)</f>
        <v>55.519273743016761</v>
      </c>
      <c r="C23" s="57">
        <f t="shared" si="7"/>
        <v>69.775000000000006</v>
      </c>
      <c r="D23" s="57">
        <f t="shared" si="7"/>
        <v>81.113383007236664</v>
      </c>
      <c r="E23" s="57">
        <f t="shared" si="7"/>
        <v>92.957459909712512</v>
      </c>
      <c r="F23" s="57">
        <f t="shared" si="7"/>
        <v>104.5415456151011</v>
      </c>
      <c r="G23" s="57">
        <f t="shared" si="7"/>
        <v>115.90516007307968</v>
      </c>
      <c r="H23" s="57">
        <f t="shared" si="7"/>
        <v>126.02421968015415</v>
      </c>
      <c r="I23" s="57">
        <f t="shared" si="7"/>
        <v>136.34875614923735</v>
      </c>
      <c r="J23" s="57">
        <f t="shared" si="7"/>
        <v>145.39947297746374</v>
      </c>
      <c r="K23" s="57">
        <f t="shared" si="7"/>
        <v>153.52430262235146</v>
      </c>
      <c r="L23" s="57">
        <f t="shared" si="7"/>
        <v>160.49670137268834</v>
      </c>
      <c r="M23" s="54"/>
      <c r="N23" s="54"/>
    </row>
    <row r="24" spans="1:14" x14ac:dyDescent="0.2">
      <c r="A24" s="58" t="s">
        <v>721</v>
      </c>
      <c r="B24" s="57">
        <v>1</v>
      </c>
      <c r="C24" s="57">
        <f t="shared" si="8" ref="C24:L24">B24*(1+C7)/(C22/B22)</f>
        <v>1.1113736263736262</v>
      </c>
      <c r="D24" s="57">
        <f t="shared" si="8"/>
        <v>1.1926936478155989</v>
      </c>
      <c r="E24" s="57">
        <f t="shared" si="8"/>
        <v>1.2745451726656891</v>
      </c>
      <c r="F24" s="57">
        <f t="shared" si="8"/>
        <v>1.349518418116612</v>
      </c>
      <c r="G24" s="57">
        <f t="shared" si="8"/>
        <v>1.4226450319061823</v>
      </c>
      <c r="H24" s="57">
        <f t="shared" si="8"/>
        <v>1.4857179643552252</v>
      </c>
      <c r="I24" s="57">
        <f t="shared" si="8"/>
        <v>1.544558279775234</v>
      </c>
      <c r="J24" s="57">
        <f t="shared" si="8"/>
        <v>1.5904362484814292</v>
      </c>
      <c r="K24" s="57">
        <f t="shared" si="8"/>
        <v>1.6298034823547318</v>
      </c>
      <c r="L24" s="57">
        <f t="shared" si="8"/>
        <v>1.6620768186389838</v>
      </c>
      <c r="M24" s="54"/>
      <c r="N24" s="54"/>
    </row>
    <row r="25" spans="1:14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1:14" x14ac:dyDescent="0.2">
      <c r="A26" s="72" t="s">
        <v>189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1:14" x14ac:dyDescent="0.2">
      <c r="A27" s="58" t="s">
        <v>722</v>
      </c>
      <c r="B27" s="71">
        <f>ROUND(B17-IS_Hist!H6,2)</f>
        <v>0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54"/>
      <c r="N27" s="54"/>
    </row>
    <row r="28" spans="1:14" x14ac:dyDescent="0.2">
      <c r="A28" s="58" t="s">
        <v>723</v>
      </c>
      <c r="B28" s="71"/>
      <c r="C28" s="71">
        <f>ROUND(C17-Interim_Bridge!D10,2)</f>
        <v>0</v>
      </c>
      <c r="D28" s="71"/>
      <c r="E28" s="71"/>
      <c r="F28" s="71"/>
      <c r="G28" s="71"/>
      <c r="H28" s="71"/>
      <c r="I28" s="71"/>
      <c r="J28" s="71"/>
      <c r="K28" s="71"/>
      <c r="L28" s="71"/>
      <c r="M28" s="54"/>
      <c r="N28" s="5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3283-55BD-D548-8FE2-613E9C362D52}">
  <sheetPr>
    <tabColor rgb="FF5A2331"/>
  </sheetPr>
  <dimension ref="A1:N79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12" width="11.83203125" customWidth="1"/>
    <col min="13" max="13" width="17.6640625" customWidth="1"/>
    <col min="14" max="14" width="92.6640625" customWidth="1"/>
  </cols>
  <sheetData>
    <row r="1" spans="1:14" x14ac:dyDescent="0.2">
      <c r="A1" s="122" t="s">
        <v>724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x14ac:dyDescent="0.2">
      <c r="A2" s="54" t="s">
        <v>725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x14ac:dyDescent="0.2">
      <c r="A3" s="54"/>
      <c r="B3" s="54" t="s">
        <v>558</v>
      </c>
      <c r="C3" s="54" t="s">
        <v>559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x14ac:dyDescent="0.2">
      <c r="A4" s="125" t="s">
        <v>141</v>
      </c>
      <c r="B4" s="123" t="s">
        <v>66</v>
      </c>
      <c r="C4" s="124" t="s">
        <v>700</v>
      </c>
      <c r="D4" s="124" t="s">
        <v>701</v>
      </c>
      <c r="E4" s="124" t="s">
        <v>702</v>
      </c>
      <c r="F4" s="124" t="s">
        <v>703</v>
      </c>
      <c r="G4" s="124" t="s">
        <v>704</v>
      </c>
      <c r="H4" s="124" t="s">
        <v>705</v>
      </c>
      <c r="I4" s="124" t="s">
        <v>706</v>
      </c>
      <c r="J4" s="124" t="s">
        <v>707</v>
      </c>
      <c r="K4" s="124" t="s">
        <v>708</v>
      </c>
      <c r="L4" s="124" t="s">
        <v>709</v>
      </c>
      <c r="M4" s="126" t="s">
        <v>144</v>
      </c>
      <c r="N4" s="126" t="s">
        <v>560</v>
      </c>
    </row>
    <row r="5" spans="1:14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 x14ac:dyDescent="0.2">
      <c r="A6" s="72" t="s">
        <v>726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x14ac:dyDescent="0.2">
      <c r="A7" s="58" t="s">
        <v>687</v>
      </c>
      <c r="B7" s="55">
        <f>-(CF_Hist!H32+CF_Hist!H50)</f>
        <v>72215</v>
      </c>
      <c r="C7" s="55">
        <f>Interim_Bridge!D28</f>
        <v>140000</v>
      </c>
      <c r="D7" s="68">
        <f>Assumptions!J91*(1+Assumptions!$I$45)</f>
        <v>199000</v>
      </c>
      <c r="E7" s="68">
        <f>Assumptions!K91*(1+Assumptions!$I$45)</f>
        <v>205000</v>
      </c>
      <c r="F7" s="68">
        <f>Assumptions!L91*(1+Assumptions!$I$45)</f>
        <v>200000</v>
      </c>
      <c r="G7" s="68">
        <f>Assumptions!M91*(1+Assumptions!$I$45)</f>
        <v>190000</v>
      </c>
      <c r="H7" s="68">
        <f>Assumptions!N91*(1+Assumptions!$I$45)</f>
        <v>185000</v>
      </c>
      <c r="I7" s="68">
        <f>Assumptions!O91*(1+Assumptions!$I$45)</f>
        <v>185000</v>
      </c>
      <c r="J7" s="68">
        <f>Assumptions!P91*(1+Assumptions!$I$45)</f>
        <v>190000</v>
      </c>
      <c r="K7" s="68">
        <f>Assumptions!Q91*(1+Assumptions!$I$45)</f>
        <v>195000</v>
      </c>
      <c r="L7" s="68">
        <f>Assumptions!R91*(1+Assumptions!$I$45)</f>
        <v>200000</v>
      </c>
      <c r="M7" s="54"/>
      <c r="N7" s="54"/>
    </row>
    <row r="8" spans="1:14" x14ac:dyDescent="0.2">
      <c r="A8" s="58" t="s">
        <v>727</v>
      </c>
      <c r="B8" s="56">
        <f>B7/Revenue_Build!B17</f>
        <v>0.35933939074271271</v>
      </c>
      <c r="C8" s="56">
        <f>C7/Revenue_Build!C17</f>
        <v>0.54642249387226205</v>
      </c>
      <c r="D8" s="56">
        <f>D7/Revenue_Build!D17</f>
        <v>0.65250911625732633</v>
      </c>
      <c r="E8" s="56">
        <f>E7/Revenue_Build!E17</f>
        <v>0.57548633789830317</v>
      </c>
      <c r="F8" s="56">
        <f>F7/Revenue_Build!F17</f>
        <v>0.48973399264110073</v>
      </c>
      <c r="G8" s="56">
        <f>G7/Revenue_Build!G17</f>
        <v>0.41360697113442779</v>
      </c>
      <c r="H8" s="56">
        <f>H7/Revenue_Build!H17</f>
        <v>0.3650171378727684</v>
      </c>
      <c r="I8" s="56">
        <f>I7/Revenue_Build!I17</f>
        <v>0.33411053434787752</v>
      </c>
      <c r="J8" s="56">
        <f>J7/Revenue_Build!J17</f>
        <v>0.31863824296057874</v>
      </c>
      <c r="K8" s="56">
        <f>K7/Revenue_Build!K17</f>
        <v>0.306675073871227</v>
      </c>
      <c r="L8" s="56">
        <f>L7/Revenue_Build!L17</f>
        <v>0.29790378915925736</v>
      </c>
      <c r="M8" s="54"/>
      <c r="N8" s="54"/>
    </row>
    <row r="9" spans="1:14" x14ac:dyDescent="0.2">
      <c r="A9" s="58" t="s">
        <v>308</v>
      </c>
      <c r="B9" s="55">
        <f>CF_Hist!H10</f>
        <v>18616</v>
      </c>
      <c r="C9" s="55">
        <f>Interim_Bridge!D17</f>
        <v>27709</v>
      </c>
      <c r="D9" s="68">
        <f t="shared" si="0" ref="D9:L9">D34</f>
        <v>43679.38181818182</v>
      </c>
      <c r="E9" s="68">
        <f t="shared" si="0"/>
        <v>62498.38181818182</v>
      </c>
      <c r="F9" s="68">
        <f t="shared" si="0"/>
        <v>82372.563636363629</v>
      </c>
      <c r="G9" s="68">
        <f t="shared" si="0"/>
        <v>100583.92727272728</v>
      </c>
      <c r="H9" s="68">
        <f t="shared" si="0"/>
        <v>114964.38181818182</v>
      </c>
      <c r="I9" s="68">
        <f t="shared" si="0"/>
        <v>122805.29090909091</v>
      </c>
      <c r="J9" s="68">
        <f t="shared" si="0"/>
        <v>125459.83636363636</v>
      </c>
      <c r="K9" s="68">
        <f t="shared" si="0"/>
        <v>128073.47272727273</v>
      </c>
      <c r="L9" s="68">
        <f t="shared" si="0"/>
        <v>131696.20000000001</v>
      </c>
      <c r="M9" s="54"/>
      <c r="N9" s="54" t="s">
        <v>728</v>
      </c>
    </row>
    <row r="10" spans="1:14" x14ac:dyDescent="0.2">
      <c r="A10" s="58" t="s">
        <v>729</v>
      </c>
      <c r="B10" s="56">
        <f>B9/Revenue_Build!B17</f>
        <v>9.2632584616303248E-2</v>
      </c>
      <c r="C10" s="56">
        <f>C9/Revenue_Build!C17</f>
        <v>0.10814872059076078</v>
      </c>
      <c r="D10" s="56">
        <f>D9/Revenue_Build!D17</f>
        <v>0.1432220845670761</v>
      </c>
      <c r="E10" s="56">
        <f>E9/Revenue_Build!E17</f>
        <v>0.17544860915666025</v>
      </c>
      <c r="F10" s="56">
        <f>F9/Revenue_Build!F17</f>
        <v>0.20170322236859756</v>
      </c>
      <c r="G10" s="56">
        <f>G9/Revenue_Build!G17</f>
        <v>0.21895901844251736</v>
      </c>
      <c r="H10" s="56">
        <f>H9/Revenue_Build!H17</f>
        <v>0.2268322681545128</v>
      </c>
      <c r="I10" s="56">
        <f>I9/Revenue_Build!I17</f>
        <v>0.22178671008855627</v>
      </c>
      <c r="J10" s="56">
        <f>J9/Revenue_Build!J17</f>
        <v>0.21040158853174115</v>
      </c>
      <c r="K10" s="56">
        <f>K9/Revenue_Build!K17</f>
        <v>0.2014202138952869</v>
      </c>
      <c r="L10" s="56">
        <f>L9/Revenue_Build!L17</f>
        <v>0.19616398498937695</v>
      </c>
      <c r="M10" s="54"/>
      <c r="N10" s="54"/>
    </row>
    <row r="11" spans="1:14" x14ac:dyDescent="0.2">
      <c r="A11" s="58" t="s">
        <v>730</v>
      </c>
      <c r="B11" s="68"/>
      <c r="C11" s="68">
        <f t="shared" si="1" ref="C11:L11">B12</f>
        <v>176400</v>
      </c>
      <c r="D11" s="68">
        <f t="shared" si="1"/>
        <v>288691</v>
      </c>
      <c r="E11" s="68">
        <f t="shared" si="1"/>
        <v>444011.61818181816</v>
      </c>
      <c r="F11" s="68">
        <f t="shared" si="1"/>
        <v>586513.23636363633</v>
      </c>
      <c r="G11" s="68">
        <f t="shared" si="1"/>
        <v>704140.67272727273</v>
      </c>
      <c r="H11" s="68">
        <f t="shared" si="1"/>
        <v>793556.74545454548</v>
      </c>
      <c r="I11" s="68">
        <f t="shared" si="1"/>
        <v>863592.36363636365</v>
      </c>
      <c r="J11" s="68">
        <f t="shared" si="1"/>
        <v>925787.07272727287</v>
      </c>
      <c r="K11" s="68">
        <f t="shared" si="1"/>
        <v>990327.23636363633</v>
      </c>
      <c r="L11" s="68">
        <f t="shared" si="1"/>
        <v>1057253.7636363637</v>
      </c>
      <c r="M11" s="54"/>
      <c r="N11" s="54"/>
    </row>
    <row r="12" spans="1:14" x14ac:dyDescent="0.2">
      <c r="A12" s="72" t="s">
        <v>731</v>
      </c>
      <c r="B12" s="94">
        <f>BS_Hist!H16</f>
        <v>176400</v>
      </c>
      <c r="C12" s="76">
        <f t="shared" si="2" ref="C12:L12">C11+C7-C9</f>
        <v>288691</v>
      </c>
      <c r="D12" s="76">
        <f t="shared" si="2"/>
        <v>444011.61818181816</v>
      </c>
      <c r="E12" s="76">
        <f t="shared" si="2"/>
        <v>586513.23636363633</v>
      </c>
      <c r="F12" s="76">
        <f t="shared" si="2"/>
        <v>704140.67272727273</v>
      </c>
      <c r="G12" s="76">
        <f t="shared" si="2"/>
        <v>793556.74545454548</v>
      </c>
      <c r="H12" s="76">
        <f t="shared" si="2"/>
        <v>863592.36363636365</v>
      </c>
      <c r="I12" s="76">
        <f t="shared" si="2"/>
        <v>925787.07272727287</v>
      </c>
      <c r="J12" s="76">
        <f t="shared" si="2"/>
        <v>990327.23636363633</v>
      </c>
      <c r="K12" s="76">
        <f t="shared" si="2"/>
        <v>1057253.7636363637</v>
      </c>
      <c r="L12" s="76">
        <f t="shared" si="2"/>
        <v>1125557.5636363637</v>
      </c>
      <c r="M12" s="54"/>
      <c r="N12" s="54"/>
    </row>
    <row r="13" spans="1:14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</row>
    <row r="14" spans="1:14" x14ac:dyDescent="0.2">
      <c r="A14" s="72" t="s">
        <v>732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733</v>
      </c>
    </row>
    <row r="15" spans="1:14" x14ac:dyDescent="0.2">
      <c r="A15" s="58" t="s">
        <v>734</v>
      </c>
      <c r="B15" s="53">
        <v>6733</v>
      </c>
      <c r="C15" s="68">
        <f>B15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134.66</v>
      </c>
      <c r="D15" s="68">
        <f>B15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134.66</v>
      </c>
      <c r="E15" s="68">
        <f>B15*(Assumptions!$I$40*IF(11&lt;Assumptions!$I$41+0.5,MIN(1,Assumptions!$I$41+0.5-11)/Assumptions!$I$41,0)+(1-Assumptions!$I$40)*IF(11-Assumptions!$I$43&lt;0,0,IF(11-Assumptions!$I$43=0,0.5/Assumptions!$I$42,IF(11-Assumptions!$I$43&lt;Assumptions!$I$42+0.5,MIN(1,Assumptions!$I$42+0.5-(11-Assumptions!$I$43))/Assumptions!$I$42,0))))</f>
        <v>134.66</v>
      </c>
      <c r="F15" s="68">
        <f>B15*(Assumptions!$I$40*IF(12&lt;Assumptions!$I$41+0.5,MIN(1,Assumptions!$I$41+0.5-12)/Assumptions!$I$41,0)+(1-Assumptions!$I$40)*IF(12-Assumptions!$I$43&lt;0,0,IF(12-Assumptions!$I$43=0,0.5/Assumptions!$I$42,IF(12-Assumptions!$I$43&lt;Assumptions!$I$42+0.5,MIN(1,Assumptions!$I$42+0.5-(12-Assumptions!$I$43))/Assumptions!$I$42,0))))</f>
        <v>134.66</v>
      </c>
      <c r="G15" s="68">
        <f>B15*(Assumptions!$I$40*IF(13&lt;Assumptions!$I$41+0.5,MIN(1,Assumptions!$I$41+0.5-13)/Assumptions!$I$41,0)+(1-Assumptions!$I$40)*IF(13-Assumptions!$I$43&lt;0,0,IF(13-Assumptions!$I$43=0,0.5/Assumptions!$I$42,IF(13-Assumptions!$I$43&lt;Assumptions!$I$42+0.5,MIN(1,Assumptions!$I$42+0.5-(13-Assumptions!$I$43))/Assumptions!$I$42,0))))</f>
        <v>134.66</v>
      </c>
      <c r="H15" s="68">
        <f>B15*(Assumptions!$I$40*IF(14&lt;Assumptions!$I$41+0.5,MIN(1,Assumptions!$I$41+0.5-14)/Assumptions!$I$41,0)+(1-Assumptions!$I$40)*IF(14-Assumptions!$I$43&lt;0,0,IF(14-Assumptions!$I$43=0,0.5/Assumptions!$I$42,IF(14-Assumptions!$I$43&lt;Assumptions!$I$42+0.5,MIN(1,Assumptions!$I$42+0.5-(14-Assumptions!$I$43))/Assumptions!$I$42,0))))</f>
        <v>134.66</v>
      </c>
      <c r="I15" s="68">
        <f>B15*(Assumptions!$I$40*IF(15&lt;Assumptions!$I$41+0.5,MIN(1,Assumptions!$I$41+0.5-15)/Assumptions!$I$41,0)+(1-Assumptions!$I$40)*IF(15-Assumptions!$I$43&lt;0,0,IF(15-Assumptions!$I$43=0,0.5/Assumptions!$I$42,IF(15-Assumptions!$I$43&lt;Assumptions!$I$42+0.5,MIN(1,Assumptions!$I$42+0.5-(15-Assumptions!$I$43))/Assumptions!$I$42,0))))</f>
        <v>134.66</v>
      </c>
      <c r="J15" s="68">
        <f>B15*(Assumptions!$I$40*IF(16&lt;Assumptions!$I$41+0.5,MIN(1,Assumptions!$I$41+0.5-16)/Assumptions!$I$41,0)+(1-Assumptions!$I$40)*IF(16-Assumptions!$I$43&lt;0,0,IF(16-Assumptions!$I$43=0,0.5/Assumptions!$I$42,IF(16-Assumptions!$I$43&lt;Assumptions!$I$42+0.5,MIN(1,Assumptions!$I$42+0.5-(16-Assumptions!$I$43))/Assumptions!$I$42,0))))</f>
        <v>134.66</v>
      </c>
      <c r="K15" s="68">
        <f>B15*(Assumptions!$I$40*IF(17&lt;Assumptions!$I$41+0.5,MIN(1,Assumptions!$I$41+0.5-17)/Assumptions!$I$41,0)+(1-Assumptions!$I$40)*IF(17-Assumptions!$I$43&lt;0,0,IF(17-Assumptions!$I$43=0,0.5/Assumptions!$I$42,IF(17-Assumptions!$I$43&lt;Assumptions!$I$42+0.5,MIN(1,Assumptions!$I$42+0.5-(17-Assumptions!$I$43))/Assumptions!$I$42,0))))</f>
        <v>134.66</v>
      </c>
      <c r="L15" s="68">
        <f>B15*(Assumptions!$I$40*IF(18&lt;Assumptions!$I$41+0.5,MIN(1,Assumptions!$I$41+0.5-18)/Assumptions!$I$41,0)+(1-Assumptions!$I$40)*IF(18-Assumptions!$I$43&lt;0,0,IF(18-Assumptions!$I$43=0,0.5/Assumptions!$I$42,IF(18-Assumptions!$I$43&lt;Assumptions!$I$42+0.5,MIN(1,Assumptions!$I$42+0.5-(18-Assumptions!$I$43))/Assumptions!$I$42,0))))</f>
        <v>134.66</v>
      </c>
      <c r="M15" s="54"/>
      <c r="N15" s="54" t="s">
        <v>735</v>
      </c>
    </row>
    <row r="16" spans="1:14" x14ac:dyDescent="0.2">
      <c r="A16" s="58" t="s">
        <v>736</v>
      </c>
      <c r="B16" s="53">
        <v>13915</v>
      </c>
      <c r="C16" s="68">
        <f>B16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278.3</v>
      </c>
      <c r="D16" s="68">
        <f>B16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278.3</v>
      </c>
      <c r="E16" s="68">
        <f>B16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278.3</v>
      </c>
      <c r="F16" s="68">
        <f>B16*(Assumptions!$I$40*IF(11&lt;Assumptions!$I$41+0.5,MIN(1,Assumptions!$I$41+0.5-11)/Assumptions!$I$41,0)+(1-Assumptions!$I$40)*IF(11-Assumptions!$I$43&lt;0,0,IF(11-Assumptions!$I$43=0,0.5/Assumptions!$I$42,IF(11-Assumptions!$I$43&lt;Assumptions!$I$42+0.5,MIN(1,Assumptions!$I$42+0.5-(11-Assumptions!$I$43))/Assumptions!$I$42,0))))</f>
        <v>278.3</v>
      </c>
      <c r="G16" s="68">
        <f>B16*(Assumptions!$I$40*IF(12&lt;Assumptions!$I$41+0.5,MIN(1,Assumptions!$I$41+0.5-12)/Assumptions!$I$41,0)+(1-Assumptions!$I$40)*IF(12-Assumptions!$I$43&lt;0,0,IF(12-Assumptions!$I$43=0,0.5/Assumptions!$I$42,IF(12-Assumptions!$I$43&lt;Assumptions!$I$42+0.5,MIN(1,Assumptions!$I$42+0.5-(12-Assumptions!$I$43))/Assumptions!$I$42,0))))</f>
        <v>278.3</v>
      </c>
      <c r="H16" s="68">
        <f>B16*(Assumptions!$I$40*IF(13&lt;Assumptions!$I$41+0.5,MIN(1,Assumptions!$I$41+0.5-13)/Assumptions!$I$41,0)+(1-Assumptions!$I$40)*IF(13-Assumptions!$I$43&lt;0,0,IF(13-Assumptions!$I$43=0,0.5/Assumptions!$I$42,IF(13-Assumptions!$I$43&lt;Assumptions!$I$42+0.5,MIN(1,Assumptions!$I$42+0.5-(13-Assumptions!$I$43))/Assumptions!$I$42,0))))</f>
        <v>278.3</v>
      </c>
      <c r="I16" s="68">
        <f>B16*(Assumptions!$I$40*IF(14&lt;Assumptions!$I$41+0.5,MIN(1,Assumptions!$I$41+0.5-14)/Assumptions!$I$41,0)+(1-Assumptions!$I$40)*IF(14-Assumptions!$I$43&lt;0,0,IF(14-Assumptions!$I$43=0,0.5/Assumptions!$I$42,IF(14-Assumptions!$I$43&lt;Assumptions!$I$42+0.5,MIN(1,Assumptions!$I$42+0.5-(14-Assumptions!$I$43))/Assumptions!$I$42,0))))</f>
        <v>278.3</v>
      </c>
      <c r="J16" s="68">
        <f>B16*(Assumptions!$I$40*IF(15&lt;Assumptions!$I$41+0.5,MIN(1,Assumptions!$I$41+0.5-15)/Assumptions!$I$41,0)+(1-Assumptions!$I$40)*IF(15-Assumptions!$I$43&lt;0,0,IF(15-Assumptions!$I$43=0,0.5/Assumptions!$I$42,IF(15-Assumptions!$I$43&lt;Assumptions!$I$42+0.5,MIN(1,Assumptions!$I$42+0.5-(15-Assumptions!$I$43))/Assumptions!$I$42,0))))</f>
        <v>278.3</v>
      </c>
      <c r="K16" s="68">
        <f>B16*(Assumptions!$I$40*IF(16&lt;Assumptions!$I$41+0.5,MIN(1,Assumptions!$I$41+0.5-16)/Assumptions!$I$41,0)+(1-Assumptions!$I$40)*IF(16-Assumptions!$I$43&lt;0,0,IF(16-Assumptions!$I$43=0,0.5/Assumptions!$I$42,IF(16-Assumptions!$I$43&lt;Assumptions!$I$42+0.5,MIN(1,Assumptions!$I$42+0.5-(16-Assumptions!$I$43))/Assumptions!$I$42,0))))</f>
        <v>278.3</v>
      </c>
      <c r="L16" s="68">
        <f>B16*(Assumptions!$I$40*IF(17&lt;Assumptions!$I$41+0.5,MIN(1,Assumptions!$I$41+0.5-17)/Assumptions!$I$41,0)+(1-Assumptions!$I$40)*IF(17-Assumptions!$I$43&lt;0,0,IF(17-Assumptions!$I$43=0,0.5/Assumptions!$I$42,IF(17-Assumptions!$I$43&lt;Assumptions!$I$42+0.5,MIN(1,Assumptions!$I$42+0.5-(17-Assumptions!$I$43))/Assumptions!$I$42,0))))</f>
        <v>278.3</v>
      </c>
      <c r="M16" s="54"/>
      <c r="N16" s="54" t="s">
        <v>735</v>
      </c>
    </row>
    <row r="17" spans="1:14" x14ac:dyDescent="0.2">
      <c r="A17" s="58" t="s">
        <v>737</v>
      </c>
      <c r="B17" s="55">
        <f>-(CF_Hist!B32+CF_Hist!B50)</f>
        <v>15654</v>
      </c>
      <c r="C17" s="68">
        <f>B17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313.08</v>
      </c>
      <c r="D17" s="68">
        <f>B17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313.08</v>
      </c>
      <c r="E17" s="68">
        <f>B17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313.08</v>
      </c>
      <c r="F17" s="68">
        <f>B17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313.08</v>
      </c>
      <c r="G17" s="68">
        <f>B17*(Assumptions!$I$40*IF(11&lt;Assumptions!$I$41+0.5,MIN(1,Assumptions!$I$41+0.5-11)/Assumptions!$I$41,0)+(1-Assumptions!$I$40)*IF(11-Assumptions!$I$43&lt;0,0,IF(11-Assumptions!$I$43=0,0.5/Assumptions!$I$42,IF(11-Assumptions!$I$43&lt;Assumptions!$I$42+0.5,MIN(1,Assumptions!$I$42+0.5-(11-Assumptions!$I$43))/Assumptions!$I$42,0))))</f>
        <v>313.08</v>
      </c>
      <c r="H17" s="68">
        <f>B17*(Assumptions!$I$40*IF(12&lt;Assumptions!$I$41+0.5,MIN(1,Assumptions!$I$41+0.5-12)/Assumptions!$I$41,0)+(1-Assumptions!$I$40)*IF(12-Assumptions!$I$43&lt;0,0,IF(12-Assumptions!$I$43=0,0.5/Assumptions!$I$42,IF(12-Assumptions!$I$43&lt;Assumptions!$I$42+0.5,MIN(1,Assumptions!$I$42+0.5-(12-Assumptions!$I$43))/Assumptions!$I$42,0))))</f>
        <v>313.08</v>
      </c>
      <c r="I17" s="68">
        <f>B17*(Assumptions!$I$40*IF(13&lt;Assumptions!$I$41+0.5,MIN(1,Assumptions!$I$41+0.5-13)/Assumptions!$I$41,0)+(1-Assumptions!$I$40)*IF(13-Assumptions!$I$43&lt;0,0,IF(13-Assumptions!$I$43=0,0.5/Assumptions!$I$42,IF(13-Assumptions!$I$43&lt;Assumptions!$I$42+0.5,MIN(1,Assumptions!$I$42+0.5-(13-Assumptions!$I$43))/Assumptions!$I$42,0))))</f>
        <v>313.08</v>
      </c>
      <c r="J17" s="68">
        <f>B17*(Assumptions!$I$40*IF(14&lt;Assumptions!$I$41+0.5,MIN(1,Assumptions!$I$41+0.5-14)/Assumptions!$I$41,0)+(1-Assumptions!$I$40)*IF(14-Assumptions!$I$43&lt;0,0,IF(14-Assumptions!$I$43=0,0.5/Assumptions!$I$42,IF(14-Assumptions!$I$43&lt;Assumptions!$I$42+0.5,MIN(1,Assumptions!$I$42+0.5-(14-Assumptions!$I$43))/Assumptions!$I$42,0))))</f>
        <v>313.08</v>
      </c>
      <c r="K17" s="68">
        <f>B17*(Assumptions!$I$40*IF(15&lt;Assumptions!$I$41+0.5,MIN(1,Assumptions!$I$41+0.5-15)/Assumptions!$I$41,0)+(1-Assumptions!$I$40)*IF(15-Assumptions!$I$43&lt;0,0,IF(15-Assumptions!$I$43=0,0.5/Assumptions!$I$42,IF(15-Assumptions!$I$43&lt;Assumptions!$I$42+0.5,MIN(1,Assumptions!$I$42+0.5-(15-Assumptions!$I$43))/Assumptions!$I$42,0))))</f>
        <v>313.08</v>
      </c>
      <c r="L17" s="68">
        <f>B17*(Assumptions!$I$40*IF(16&lt;Assumptions!$I$41+0.5,MIN(1,Assumptions!$I$41+0.5-16)/Assumptions!$I$41,0)+(1-Assumptions!$I$40)*IF(16-Assumptions!$I$43&lt;0,0,IF(16-Assumptions!$I$43=0,0.5/Assumptions!$I$42,IF(16-Assumptions!$I$43&lt;Assumptions!$I$42+0.5,MIN(1,Assumptions!$I$42+0.5-(16-Assumptions!$I$43))/Assumptions!$I$42,0))))</f>
        <v>313.08</v>
      </c>
      <c r="M17" s="54"/>
      <c r="N17" s="54"/>
    </row>
    <row r="18" spans="1:14" x14ac:dyDescent="0.2">
      <c r="A18" s="58" t="s">
        <v>738</v>
      </c>
      <c r="B18" s="55">
        <f>-(CF_Hist!C32+CF_Hist!C50)</f>
        <v>15719</v>
      </c>
      <c r="C18" s="68">
        <f>B18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314.38</v>
      </c>
      <c r="D18" s="68">
        <f>B18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314.38</v>
      </c>
      <c r="E18" s="68">
        <f>B18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314.38</v>
      </c>
      <c r="F18" s="68">
        <f>B18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314.38</v>
      </c>
      <c r="G18" s="68">
        <f>B18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314.38</v>
      </c>
      <c r="H18" s="68">
        <f>B18*(Assumptions!$I$40*IF(11&lt;Assumptions!$I$41+0.5,MIN(1,Assumptions!$I$41+0.5-11)/Assumptions!$I$41,0)+(1-Assumptions!$I$40)*IF(11-Assumptions!$I$43&lt;0,0,IF(11-Assumptions!$I$43=0,0.5/Assumptions!$I$42,IF(11-Assumptions!$I$43&lt;Assumptions!$I$42+0.5,MIN(1,Assumptions!$I$42+0.5-(11-Assumptions!$I$43))/Assumptions!$I$42,0))))</f>
        <v>314.38</v>
      </c>
      <c r="I18" s="68">
        <f>B18*(Assumptions!$I$40*IF(12&lt;Assumptions!$I$41+0.5,MIN(1,Assumptions!$I$41+0.5-12)/Assumptions!$I$41,0)+(1-Assumptions!$I$40)*IF(12-Assumptions!$I$43&lt;0,0,IF(12-Assumptions!$I$43=0,0.5/Assumptions!$I$42,IF(12-Assumptions!$I$43&lt;Assumptions!$I$42+0.5,MIN(1,Assumptions!$I$42+0.5-(12-Assumptions!$I$43))/Assumptions!$I$42,0))))</f>
        <v>314.38</v>
      </c>
      <c r="J18" s="68">
        <f>B18*(Assumptions!$I$40*IF(13&lt;Assumptions!$I$41+0.5,MIN(1,Assumptions!$I$41+0.5-13)/Assumptions!$I$41,0)+(1-Assumptions!$I$40)*IF(13-Assumptions!$I$43&lt;0,0,IF(13-Assumptions!$I$43=0,0.5/Assumptions!$I$42,IF(13-Assumptions!$I$43&lt;Assumptions!$I$42+0.5,MIN(1,Assumptions!$I$42+0.5-(13-Assumptions!$I$43))/Assumptions!$I$42,0))))</f>
        <v>314.38</v>
      </c>
      <c r="K18" s="68">
        <f>B18*(Assumptions!$I$40*IF(14&lt;Assumptions!$I$41+0.5,MIN(1,Assumptions!$I$41+0.5-14)/Assumptions!$I$41,0)+(1-Assumptions!$I$40)*IF(14-Assumptions!$I$43&lt;0,0,IF(14-Assumptions!$I$43=0,0.5/Assumptions!$I$42,IF(14-Assumptions!$I$43&lt;Assumptions!$I$42+0.5,MIN(1,Assumptions!$I$42+0.5-(14-Assumptions!$I$43))/Assumptions!$I$42,0))))</f>
        <v>314.38</v>
      </c>
      <c r="L18" s="68">
        <f>B18*(Assumptions!$I$40*IF(15&lt;Assumptions!$I$41+0.5,MIN(1,Assumptions!$I$41+0.5-15)/Assumptions!$I$41,0)+(1-Assumptions!$I$40)*IF(15-Assumptions!$I$43&lt;0,0,IF(15-Assumptions!$I$43=0,0.5/Assumptions!$I$42,IF(15-Assumptions!$I$43&lt;Assumptions!$I$42+0.5,MIN(1,Assumptions!$I$42+0.5-(15-Assumptions!$I$43))/Assumptions!$I$42,0))))</f>
        <v>314.38</v>
      </c>
      <c r="M18" s="54"/>
      <c r="N18" s="54"/>
    </row>
    <row r="19" spans="1:14" x14ac:dyDescent="0.2">
      <c r="A19" s="58" t="s">
        <v>739</v>
      </c>
      <c r="B19" s="55">
        <f>-(CF_Hist!D32+CF_Hist!D50)</f>
        <v>19244</v>
      </c>
      <c r="C19" s="68">
        <f>B19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2134.3345454545456</v>
      </c>
      <c r="D19" s="68">
        <f>B19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384.88</v>
      </c>
      <c r="E19" s="68">
        <f>B19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384.88</v>
      </c>
      <c r="F19" s="68">
        <f>B19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384.88</v>
      </c>
      <c r="G19" s="68">
        <f>B19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384.88</v>
      </c>
      <c r="H19" s="68">
        <f>B19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384.88</v>
      </c>
      <c r="I19" s="68">
        <f>B19*(Assumptions!$I$40*IF(11&lt;Assumptions!$I$41+0.5,MIN(1,Assumptions!$I$41+0.5-11)/Assumptions!$I$41,0)+(1-Assumptions!$I$40)*IF(11-Assumptions!$I$43&lt;0,0,IF(11-Assumptions!$I$43=0,0.5/Assumptions!$I$42,IF(11-Assumptions!$I$43&lt;Assumptions!$I$42+0.5,MIN(1,Assumptions!$I$42+0.5-(11-Assumptions!$I$43))/Assumptions!$I$42,0))))</f>
        <v>384.88</v>
      </c>
      <c r="J19" s="68">
        <f>B19*(Assumptions!$I$40*IF(12&lt;Assumptions!$I$41+0.5,MIN(1,Assumptions!$I$41+0.5-12)/Assumptions!$I$41,0)+(1-Assumptions!$I$40)*IF(12-Assumptions!$I$43&lt;0,0,IF(12-Assumptions!$I$43=0,0.5/Assumptions!$I$42,IF(12-Assumptions!$I$43&lt;Assumptions!$I$42+0.5,MIN(1,Assumptions!$I$42+0.5-(12-Assumptions!$I$43))/Assumptions!$I$42,0))))</f>
        <v>384.88</v>
      </c>
      <c r="K19" s="68">
        <f>B19*(Assumptions!$I$40*IF(13&lt;Assumptions!$I$41+0.5,MIN(1,Assumptions!$I$41+0.5-13)/Assumptions!$I$41,0)+(1-Assumptions!$I$40)*IF(13-Assumptions!$I$43&lt;0,0,IF(13-Assumptions!$I$43=0,0.5/Assumptions!$I$42,IF(13-Assumptions!$I$43&lt;Assumptions!$I$42+0.5,MIN(1,Assumptions!$I$42+0.5-(13-Assumptions!$I$43))/Assumptions!$I$42,0))))</f>
        <v>384.88</v>
      </c>
      <c r="L19" s="68">
        <f>B19*(Assumptions!$I$40*IF(14&lt;Assumptions!$I$41+0.5,MIN(1,Assumptions!$I$41+0.5-14)/Assumptions!$I$41,0)+(1-Assumptions!$I$40)*IF(14-Assumptions!$I$43&lt;0,0,IF(14-Assumptions!$I$43=0,0.5/Assumptions!$I$42,IF(14-Assumptions!$I$43&lt;Assumptions!$I$42+0.5,MIN(1,Assumptions!$I$42+0.5-(14-Assumptions!$I$43))/Assumptions!$I$42,0))))</f>
        <v>384.88</v>
      </c>
      <c r="M19" s="54"/>
      <c r="N19" s="54"/>
    </row>
    <row r="20" spans="1:14" x14ac:dyDescent="0.2">
      <c r="A20" s="58" t="s">
        <v>740</v>
      </c>
      <c r="B20" s="55">
        <f>-(CF_Hist!E32+CF_Hist!E50)</f>
        <v>32281</v>
      </c>
      <c r="C20" s="68">
        <f>B20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3580.2563636363639</v>
      </c>
      <c r="D20" s="68">
        <f>B20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3580.2563636363639</v>
      </c>
      <c r="E20" s="68">
        <f>B20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645.62</v>
      </c>
      <c r="F20" s="68">
        <f>B20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645.62</v>
      </c>
      <c r="G20" s="68">
        <f>B20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645.62</v>
      </c>
      <c r="H20" s="68">
        <f>B20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645.62</v>
      </c>
      <c r="I20" s="68">
        <f>B20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645.62</v>
      </c>
      <c r="J20" s="68">
        <f>B20*(Assumptions!$I$40*IF(11&lt;Assumptions!$I$41+0.5,MIN(1,Assumptions!$I$41+0.5-11)/Assumptions!$I$41,0)+(1-Assumptions!$I$40)*IF(11-Assumptions!$I$43&lt;0,0,IF(11-Assumptions!$I$43=0,0.5/Assumptions!$I$42,IF(11-Assumptions!$I$43&lt;Assumptions!$I$42+0.5,MIN(1,Assumptions!$I$42+0.5-(11-Assumptions!$I$43))/Assumptions!$I$42,0))))</f>
        <v>645.62</v>
      </c>
      <c r="K20" s="68">
        <f>B20*(Assumptions!$I$40*IF(12&lt;Assumptions!$I$41+0.5,MIN(1,Assumptions!$I$41+0.5-12)/Assumptions!$I$41,0)+(1-Assumptions!$I$40)*IF(12-Assumptions!$I$43&lt;0,0,IF(12-Assumptions!$I$43=0,0.5/Assumptions!$I$42,IF(12-Assumptions!$I$43&lt;Assumptions!$I$42+0.5,MIN(1,Assumptions!$I$42+0.5-(12-Assumptions!$I$43))/Assumptions!$I$42,0))))</f>
        <v>645.62</v>
      </c>
      <c r="L20" s="68">
        <f>B20*(Assumptions!$I$40*IF(13&lt;Assumptions!$I$41+0.5,MIN(1,Assumptions!$I$41+0.5-13)/Assumptions!$I$41,0)+(1-Assumptions!$I$40)*IF(13-Assumptions!$I$43&lt;0,0,IF(13-Assumptions!$I$43=0,0.5/Assumptions!$I$42,IF(13-Assumptions!$I$43&lt;Assumptions!$I$42+0.5,MIN(1,Assumptions!$I$42+0.5-(13-Assumptions!$I$43))/Assumptions!$I$42,0))))</f>
        <v>645.62</v>
      </c>
      <c r="M20" s="54"/>
      <c r="N20" s="54"/>
    </row>
    <row r="21" spans="1:14" x14ac:dyDescent="0.2">
      <c r="A21" s="58" t="s">
        <v>741</v>
      </c>
      <c r="B21" s="55">
        <f>-(CF_Hist!F32+CF_Hist!F50)</f>
        <v>28324</v>
      </c>
      <c r="C21" s="68">
        <f>B21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3141.389090909091</v>
      </c>
      <c r="D21" s="68">
        <f>B21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3141.389090909091</v>
      </c>
      <c r="E21" s="68">
        <f>B21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3141.389090909091</v>
      </c>
      <c r="F21" s="68">
        <f>B21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566.48</v>
      </c>
      <c r="G21" s="68">
        <f>B21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566.48</v>
      </c>
      <c r="H21" s="68">
        <f>B21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566.48</v>
      </c>
      <c r="I21" s="68">
        <f>B21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566.48</v>
      </c>
      <c r="J21" s="68">
        <f>B21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566.48</v>
      </c>
      <c r="K21" s="68">
        <f>B21*(Assumptions!$I$40*IF(11&lt;Assumptions!$I$41+0.5,MIN(1,Assumptions!$I$41+0.5-11)/Assumptions!$I$41,0)+(1-Assumptions!$I$40)*IF(11-Assumptions!$I$43&lt;0,0,IF(11-Assumptions!$I$43=0,0.5/Assumptions!$I$42,IF(11-Assumptions!$I$43&lt;Assumptions!$I$42+0.5,MIN(1,Assumptions!$I$42+0.5-(11-Assumptions!$I$43))/Assumptions!$I$42,0))))</f>
        <v>566.48</v>
      </c>
      <c r="L21" s="68">
        <f>B21*(Assumptions!$I$40*IF(12&lt;Assumptions!$I$41+0.5,MIN(1,Assumptions!$I$41+0.5-12)/Assumptions!$I$41,0)+(1-Assumptions!$I$40)*IF(12-Assumptions!$I$43&lt;0,0,IF(12-Assumptions!$I$43=0,0.5/Assumptions!$I$42,IF(12-Assumptions!$I$43&lt;Assumptions!$I$42+0.5,MIN(1,Assumptions!$I$42+0.5-(12-Assumptions!$I$43))/Assumptions!$I$42,0))))</f>
        <v>566.48</v>
      </c>
      <c r="M21" s="54"/>
      <c r="N21" s="54"/>
    </row>
    <row r="22" spans="1:14" x14ac:dyDescent="0.2">
      <c r="A22" s="58" t="s">
        <v>742</v>
      </c>
      <c r="B22" s="55">
        <f>-(CF_Hist!G32+CF_Hist!G50)</f>
        <v>39225</v>
      </c>
      <c r="C22" s="68">
        <f>B22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4350.409090909091</v>
      </c>
      <c r="D22" s="68">
        <f>B22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4350.409090909091</v>
      </c>
      <c r="E22" s="68">
        <f>B22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4350.409090909091</v>
      </c>
      <c r="F22" s="68">
        <f>B22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4350.409090909091</v>
      </c>
      <c r="G22" s="68">
        <f>B22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784.5</v>
      </c>
      <c r="H22" s="68">
        <f>B22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784.5</v>
      </c>
      <c r="I22" s="68">
        <f>B22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784.5</v>
      </c>
      <c r="J22" s="68">
        <f>B22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784.5</v>
      </c>
      <c r="K22" s="68">
        <f>B22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784.5</v>
      </c>
      <c r="L22" s="68">
        <f>B22*(Assumptions!$I$40*IF(11&lt;Assumptions!$I$41+0.5,MIN(1,Assumptions!$I$41+0.5-11)/Assumptions!$I$41,0)+(1-Assumptions!$I$40)*IF(11-Assumptions!$I$43&lt;0,0,IF(11-Assumptions!$I$43=0,0.5/Assumptions!$I$42,IF(11-Assumptions!$I$43&lt;Assumptions!$I$42+0.5,MIN(1,Assumptions!$I$42+0.5-(11-Assumptions!$I$43))/Assumptions!$I$42,0))))</f>
        <v>784.5</v>
      </c>
      <c r="M22" s="54"/>
      <c r="N22" s="54"/>
    </row>
    <row r="23" spans="1:14" x14ac:dyDescent="0.2">
      <c r="A23" s="58" t="s">
        <v>743</v>
      </c>
      <c r="B23" s="55">
        <f>-(CF_Hist!H32+CF_Hist!H50)</f>
        <v>72215</v>
      </c>
      <c r="C23" s="68">
        <f>B23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7287.15</v>
      </c>
      <c r="D23" s="68">
        <f>B23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8009.3</v>
      </c>
      <c r="E23" s="68">
        <f>B23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8009.3</v>
      </c>
      <c r="F23" s="68">
        <f>B23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8009.3</v>
      </c>
      <c r="G23" s="68">
        <f>B23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8009.3</v>
      </c>
      <c r="H23" s="68">
        <f>B23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1444.3</v>
      </c>
      <c r="I23" s="68">
        <f>B23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1444.3</v>
      </c>
      <c r="J23" s="68">
        <f>B23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1444.3</v>
      </c>
      <c r="K23" s="68">
        <f>B23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1444.3</v>
      </c>
      <c r="L23" s="68">
        <f>B23*(Assumptions!$I$40*IF(10&lt;Assumptions!$I$41+0.5,MIN(1,Assumptions!$I$41+0.5-10)/Assumptions!$I$41,0)+(1-Assumptions!$I$40)*IF(10-Assumptions!$I$43&lt;0,0,IF(10-Assumptions!$I$43=0,0.5/Assumptions!$I$42,IF(10-Assumptions!$I$43&lt;Assumptions!$I$42+0.5,MIN(1,Assumptions!$I$42+0.5-(10-Assumptions!$I$43))/Assumptions!$I$42,0))))</f>
        <v>1444.3</v>
      </c>
      <c r="M23" s="54"/>
      <c r="N23" s="54"/>
    </row>
    <row r="24" spans="1:14" x14ac:dyDescent="0.2">
      <c r="A24" s="58" t="s">
        <v>744</v>
      </c>
      <c r="B24" s="68">
        <f>C7</f>
        <v>140000</v>
      </c>
      <c r="C24" s="68">
        <f>B24*(Assumptions!$I$40*0.5/Assumptions!$I$41+(1-Assumptions!$I$40)*IF(0-Assumptions!$I$43&lt;0,0,IF(0-Assumptions!$I$43=0,0.5/Assumptions!$I$42,IF(0-Assumptions!$I$43&lt;Assumptions!$I$42+0.5,MIN(1,Assumptions!$I$42+0.5-(0-Assumptions!$I$43))/Assumptions!$I$42,0))))</f>
        <v>6363.636363636364</v>
      </c>
      <c r="D24" s="68">
        <f>B24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14127.272727272726</v>
      </c>
      <c r="E24" s="68">
        <f>B24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15527.272727272728</v>
      </c>
      <c r="F24" s="68">
        <f>B24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15527.272727272728</v>
      </c>
      <c r="G24" s="68">
        <f>B24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15527.272727272728</v>
      </c>
      <c r="H24" s="68">
        <f>B24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15527.272727272728</v>
      </c>
      <c r="I24" s="68">
        <f>B24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2800</v>
      </c>
      <c r="J24" s="68">
        <f>B24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2800</v>
      </c>
      <c r="K24" s="68">
        <f>B24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2800</v>
      </c>
      <c r="L24" s="68">
        <f>B24*(Assumptions!$I$40*IF(9&lt;Assumptions!$I$41+0.5,MIN(1,Assumptions!$I$41+0.5-9)/Assumptions!$I$41,0)+(1-Assumptions!$I$40)*IF(9-Assumptions!$I$43&lt;0,0,IF(9-Assumptions!$I$43=0,0.5/Assumptions!$I$42,IF(9-Assumptions!$I$43&lt;Assumptions!$I$42+0.5,MIN(1,Assumptions!$I$42+0.5-(9-Assumptions!$I$43))/Assumptions!$I$42,0))))</f>
        <v>2800</v>
      </c>
      <c r="M24" s="54"/>
      <c r="N24" s="54"/>
    </row>
    <row r="25" spans="1:14" x14ac:dyDescent="0.2">
      <c r="A25" s="58" t="s">
        <v>745</v>
      </c>
      <c r="B25" s="68">
        <f>D7</f>
        <v>199000</v>
      </c>
      <c r="C25" s="68"/>
      <c r="D25" s="68">
        <f>B25*(Assumptions!$I$40*0.5/Assumptions!$I$41+(1-Assumptions!$I$40)*IF(0-Assumptions!$I$43&lt;0,0,IF(0-Assumptions!$I$43=0,0.5/Assumptions!$I$42,IF(0-Assumptions!$I$43&lt;Assumptions!$I$42+0.5,MIN(1,Assumptions!$I$42+0.5-(0-Assumptions!$I$43))/Assumptions!$I$42,0))))</f>
        <v>9045.454545454546</v>
      </c>
      <c r="E25" s="68">
        <f>B25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20080.909090909092</v>
      </c>
      <c r="F25" s="68">
        <f>B25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22070.909090909092</v>
      </c>
      <c r="G25" s="68">
        <f>B25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22070.909090909092</v>
      </c>
      <c r="H25" s="68">
        <f>B25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22070.909090909092</v>
      </c>
      <c r="I25" s="68">
        <f>B25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22070.909090909092</v>
      </c>
      <c r="J25" s="68">
        <f>B25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3980</v>
      </c>
      <c r="K25" s="68">
        <f>B25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3980</v>
      </c>
      <c r="L25" s="68">
        <f>B25*(Assumptions!$I$40*IF(8&lt;Assumptions!$I$41+0.5,MIN(1,Assumptions!$I$41+0.5-8)/Assumptions!$I$41,0)+(1-Assumptions!$I$40)*IF(8-Assumptions!$I$43&lt;0,0,IF(8-Assumptions!$I$43=0,0.5/Assumptions!$I$42,IF(8-Assumptions!$I$43&lt;Assumptions!$I$42+0.5,MIN(1,Assumptions!$I$42+0.5-(8-Assumptions!$I$43))/Assumptions!$I$42,0))))</f>
        <v>3980</v>
      </c>
      <c r="M25" s="54"/>
      <c r="N25" s="54"/>
    </row>
    <row r="26" spans="1:14" x14ac:dyDescent="0.2">
      <c r="A26" s="58" t="s">
        <v>746</v>
      </c>
      <c r="B26" s="68">
        <f>E7</f>
        <v>205000</v>
      </c>
      <c r="C26" s="68"/>
      <c r="D26" s="68"/>
      <c r="E26" s="68">
        <f>B26*(Assumptions!$I$40*0.5/Assumptions!$I$41+(1-Assumptions!$I$40)*IF(0-Assumptions!$I$43&lt;0,0,IF(0-Assumptions!$I$43=0,0.5/Assumptions!$I$42,IF(0-Assumptions!$I$43&lt;Assumptions!$I$42+0.5,MIN(1,Assumptions!$I$42+0.5-(0-Assumptions!$I$43))/Assumptions!$I$42,0))))</f>
        <v>9318.181818181818</v>
      </c>
      <c r="F26" s="68">
        <f>B26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20686.363636363636</v>
      </c>
      <c r="G26" s="68">
        <f>B26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22736.363636363636</v>
      </c>
      <c r="H26" s="68">
        <f>B26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22736.363636363636</v>
      </c>
      <c r="I26" s="68">
        <f>B26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22736.363636363636</v>
      </c>
      <c r="J26" s="68">
        <f>B26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22736.363636363636</v>
      </c>
      <c r="K26" s="68">
        <f>B26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4100</v>
      </c>
      <c r="L26" s="68">
        <f>B26*(Assumptions!$I$40*IF(7&lt;Assumptions!$I$41+0.5,MIN(1,Assumptions!$I$41+0.5-7)/Assumptions!$I$41,0)+(1-Assumptions!$I$40)*IF(7-Assumptions!$I$43&lt;0,0,IF(7-Assumptions!$I$43=0,0.5/Assumptions!$I$42,IF(7-Assumptions!$I$43&lt;Assumptions!$I$42+0.5,MIN(1,Assumptions!$I$42+0.5-(7-Assumptions!$I$43))/Assumptions!$I$42,0))))</f>
        <v>4100</v>
      </c>
      <c r="M26" s="54"/>
      <c r="N26" s="54"/>
    </row>
    <row r="27" spans="1:14" x14ac:dyDescent="0.2">
      <c r="A27" s="58" t="s">
        <v>747</v>
      </c>
      <c r="B27" s="68">
        <f>F7</f>
        <v>200000</v>
      </c>
      <c r="C27" s="68"/>
      <c r="D27" s="68"/>
      <c r="E27" s="68"/>
      <c r="F27" s="68">
        <f>B27*(Assumptions!$I$40*0.5/Assumptions!$I$41+(1-Assumptions!$I$40)*IF(0-Assumptions!$I$43&lt;0,0,IF(0-Assumptions!$I$43=0,0.5/Assumptions!$I$42,IF(0-Assumptions!$I$43&lt;Assumptions!$I$42+0.5,MIN(1,Assumptions!$I$42+0.5-(0-Assumptions!$I$43))/Assumptions!$I$42,0))))</f>
        <v>9090.9090909090919</v>
      </c>
      <c r="G27" s="68">
        <f>B27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20181.81818181818</v>
      </c>
      <c r="H27" s="68">
        <f>B27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22181.818181818184</v>
      </c>
      <c r="I27" s="68">
        <f>B27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22181.818181818184</v>
      </c>
      <c r="J27" s="68">
        <f>B27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22181.818181818184</v>
      </c>
      <c r="K27" s="68">
        <f>B27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22181.818181818184</v>
      </c>
      <c r="L27" s="68">
        <f>B27*(Assumptions!$I$40*IF(6&lt;Assumptions!$I$41+0.5,MIN(1,Assumptions!$I$41+0.5-6)/Assumptions!$I$41,0)+(1-Assumptions!$I$40)*IF(6-Assumptions!$I$43&lt;0,0,IF(6-Assumptions!$I$43=0,0.5/Assumptions!$I$42,IF(6-Assumptions!$I$43&lt;Assumptions!$I$42+0.5,MIN(1,Assumptions!$I$42+0.5-(6-Assumptions!$I$43))/Assumptions!$I$42,0))))</f>
        <v>4000</v>
      </c>
      <c r="M27" s="54"/>
      <c r="N27" s="54"/>
    </row>
    <row r="28" spans="1:14" x14ac:dyDescent="0.2">
      <c r="A28" s="58" t="s">
        <v>748</v>
      </c>
      <c r="B28" s="68">
        <f>G7</f>
        <v>190000</v>
      </c>
      <c r="C28" s="68"/>
      <c r="D28" s="68"/>
      <c r="E28" s="68"/>
      <c r="F28" s="68"/>
      <c r="G28" s="68">
        <f>B28*(Assumptions!$I$40*0.5/Assumptions!$I$41+(1-Assumptions!$I$40)*IF(0-Assumptions!$I$43&lt;0,0,IF(0-Assumptions!$I$43=0,0.5/Assumptions!$I$42,IF(0-Assumptions!$I$43&lt;Assumptions!$I$42+0.5,MIN(1,Assumptions!$I$42+0.5-(0-Assumptions!$I$43))/Assumptions!$I$42,0))))</f>
        <v>8636.363636363636</v>
      </c>
      <c r="H28" s="68">
        <f>B28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19172.727272727272</v>
      </c>
      <c r="I28" s="68">
        <f>B28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21072.727272727276</v>
      </c>
      <c r="J28" s="68">
        <f>B28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21072.727272727276</v>
      </c>
      <c r="K28" s="68">
        <f>B28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21072.727272727276</v>
      </c>
      <c r="L28" s="68">
        <f>B28*(Assumptions!$I$40*IF(5&lt;Assumptions!$I$41+0.5,MIN(1,Assumptions!$I$41+0.5-5)/Assumptions!$I$41,0)+(1-Assumptions!$I$40)*IF(5-Assumptions!$I$43&lt;0,0,IF(5-Assumptions!$I$43=0,0.5/Assumptions!$I$42,IF(5-Assumptions!$I$43&lt;Assumptions!$I$42+0.5,MIN(1,Assumptions!$I$42+0.5-(5-Assumptions!$I$43))/Assumptions!$I$42,0))))</f>
        <v>21072.727272727276</v>
      </c>
      <c r="M28" s="54"/>
      <c r="N28" s="54"/>
    </row>
    <row r="29" spans="1:14" x14ac:dyDescent="0.2">
      <c r="A29" s="58" t="s">
        <v>749</v>
      </c>
      <c r="B29" s="68">
        <f>H7</f>
        <v>185000</v>
      </c>
      <c r="C29" s="68"/>
      <c r="D29" s="68"/>
      <c r="E29" s="68"/>
      <c r="F29" s="68"/>
      <c r="G29" s="68"/>
      <c r="H29" s="68">
        <f>B29*(Assumptions!$I$40*0.5/Assumptions!$I$41+(1-Assumptions!$I$40)*IF(0-Assumptions!$I$43&lt;0,0,IF(0-Assumptions!$I$43=0,0.5/Assumptions!$I$42,IF(0-Assumptions!$I$43&lt;Assumptions!$I$42+0.5,MIN(1,Assumptions!$I$42+0.5-(0-Assumptions!$I$43))/Assumptions!$I$42,0))))</f>
        <v>8409.0909090909099</v>
      </c>
      <c r="I29" s="68">
        <f>B29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18668.181818181816</v>
      </c>
      <c r="J29" s="68">
        <f>B29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20518.18181818182</v>
      </c>
      <c r="K29" s="68">
        <f>B29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20518.18181818182</v>
      </c>
      <c r="L29" s="68">
        <f>B29*(Assumptions!$I$40*IF(4&lt;Assumptions!$I$41+0.5,MIN(1,Assumptions!$I$41+0.5-4)/Assumptions!$I$41,0)+(1-Assumptions!$I$40)*IF(4-Assumptions!$I$43&lt;0,0,IF(4-Assumptions!$I$43=0,0.5/Assumptions!$I$42,IF(4-Assumptions!$I$43&lt;Assumptions!$I$42+0.5,MIN(1,Assumptions!$I$42+0.5-(4-Assumptions!$I$43))/Assumptions!$I$42,0))))</f>
        <v>20518.18181818182</v>
      </c>
      <c r="M29" s="54"/>
      <c r="N29" s="54"/>
    </row>
    <row r="30" spans="1:14" x14ac:dyDescent="0.2">
      <c r="A30" s="58" t="s">
        <v>750</v>
      </c>
      <c r="B30" s="68">
        <f>I7</f>
        <v>185000</v>
      </c>
      <c r="C30" s="68"/>
      <c r="D30" s="68"/>
      <c r="E30" s="68"/>
      <c r="F30" s="68"/>
      <c r="G30" s="68"/>
      <c r="H30" s="68"/>
      <c r="I30" s="68">
        <f>B30*(Assumptions!$I$40*0.5/Assumptions!$I$41+(1-Assumptions!$I$40)*IF(0-Assumptions!$I$43&lt;0,0,IF(0-Assumptions!$I$43=0,0.5/Assumptions!$I$42,IF(0-Assumptions!$I$43&lt;Assumptions!$I$42+0.5,MIN(1,Assumptions!$I$42+0.5-(0-Assumptions!$I$43))/Assumptions!$I$42,0))))</f>
        <v>8409.0909090909099</v>
      </c>
      <c r="J30" s="68">
        <f>B30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18668.181818181816</v>
      </c>
      <c r="K30" s="68">
        <f>B30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20518.18181818182</v>
      </c>
      <c r="L30" s="68">
        <f>B30*(Assumptions!$I$40*IF(3&lt;Assumptions!$I$41+0.5,MIN(1,Assumptions!$I$41+0.5-3)/Assumptions!$I$41,0)+(1-Assumptions!$I$40)*IF(3-Assumptions!$I$43&lt;0,0,IF(3-Assumptions!$I$43=0,0.5/Assumptions!$I$42,IF(3-Assumptions!$I$43&lt;Assumptions!$I$42+0.5,MIN(1,Assumptions!$I$42+0.5-(3-Assumptions!$I$43))/Assumptions!$I$42,0))))</f>
        <v>20518.18181818182</v>
      </c>
      <c r="M30" s="54"/>
      <c r="N30" s="54"/>
    </row>
    <row r="31" spans="1:14" x14ac:dyDescent="0.2">
      <c r="A31" s="58" t="s">
        <v>751</v>
      </c>
      <c r="B31" s="68">
        <f>J7</f>
        <v>190000</v>
      </c>
      <c r="C31" s="68"/>
      <c r="D31" s="68"/>
      <c r="E31" s="68"/>
      <c r="F31" s="68"/>
      <c r="G31" s="68"/>
      <c r="H31" s="68"/>
      <c r="I31" s="68"/>
      <c r="J31" s="68">
        <f>B31*(Assumptions!$I$40*0.5/Assumptions!$I$41+(1-Assumptions!$I$40)*IF(0-Assumptions!$I$43&lt;0,0,IF(0-Assumptions!$I$43=0,0.5/Assumptions!$I$42,IF(0-Assumptions!$I$43&lt;Assumptions!$I$42+0.5,MIN(1,Assumptions!$I$42+0.5-(0-Assumptions!$I$43))/Assumptions!$I$42,0))))</f>
        <v>8636.363636363636</v>
      </c>
      <c r="K31" s="68">
        <f>B31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19172.727272727272</v>
      </c>
      <c r="L31" s="68">
        <f>B31*(Assumptions!$I$40*IF(2&lt;Assumptions!$I$41+0.5,MIN(1,Assumptions!$I$41+0.5-2)/Assumptions!$I$41,0)+(1-Assumptions!$I$40)*IF(2-Assumptions!$I$43&lt;0,0,IF(2-Assumptions!$I$43=0,0.5/Assumptions!$I$42,IF(2-Assumptions!$I$43&lt;Assumptions!$I$42+0.5,MIN(1,Assumptions!$I$42+0.5-(2-Assumptions!$I$43))/Assumptions!$I$42,0))))</f>
        <v>21072.727272727276</v>
      </c>
      <c r="M31" s="54"/>
      <c r="N31" s="54"/>
    </row>
    <row r="32" spans="1:14" x14ac:dyDescent="0.2">
      <c r="A32" s="58" t="s">
        <v>752</v>
      </c>
      <c r="B32" s="68">
        <f>K7</f>
        <v>195000</v>
      </c>
      <c r="C32" s="68"/>
      <c r="D32" s="68"/>
      <c r="E32" s="68"/>
      <c r="F32" s="68"/>
      <c r="G32" s="68"/>
      <c r="H32" s="68"/>
      <c r="I32" s="68"/>
      <c r="J32" s="68"/>
      <c r="K32" s="68">
        <f>B32*(Assumptions!$I$40*0.5/Assumptions!$I$41+(1-Assumptions!$I$40)*IF(0-Assumptions!$I$43&lt;0,0,IF(0-Assumptions!$I$43=0,0.5/Assumptions!$I$42,IF(0-Assumptions!$I$43&lt;Assumptions!$I$42+0.5,MIN(1,Assumptions!$I$42+0.5-(0-Assumptions!$I$43))/Assumptions!$I$42,0))))</f>
        <v>8863.636363636364</v>
      </c>
      <c r="L32" s="68">
        <f>B32*(Assumptions!$I$40*IF(1&lt;Assumptions!$I$41+0.5,MIN(1,Assumptions!$I$41+0.5-1)/Assumptions!$I$41,0)+(1-Assumptions!$I$40)*IF(1-Assumptions!$I$43&lt;0,0,IF(1-Assumptions!$I$43=0,0.5/Assumptions!$I$42,IF(1-Assumptions!$I$43&lt;Assumptions!$I$42+0.5,MIN(1,Assumptions!$I$42+0.5-(1-Assumptions!$I$43))/Assumptions!$I$42,0))))</f>
        <v>19677.272727272728</v>
      </c>
      <c r="M32" s="54"/>
      <c r="N32" s="54"/>
    </row>
    <row r="33" spans="1:14" x14ac:dyDescent="0.2">
      <c r="A33" s="58" t="s">
        <v>753</v>
      </c>
      <c r="B33" s="68">
        <f>L7</f>
        <v>200000</v>
      </c>
      <c r="C33" s="68"/>
      <c r="D33" s="68"/>
      <c r="E33" s="68"/>
      <c r="F33" s="68"/>
      <c r="G33" s="68"/>
      <c r="H33" s="68"/>
      <c r="I33" s="68"/>
      <c r="J33" s="68"/>
      <c r="K33" s="68"/>
      <c r="L33" s="68">
        <f>B33*(Assumptions!$I$40*0.5/Assumptions!$I$41+(1-Assumptions!$I$40)*IF(0-Assumptions!$I$43&lt;0,0,IF(0-Assumptions!$I$43=0,0.5/Assumptions!$I$42,IF(0-Assumptions!$I$43&lt;Assumptions!$I$42+0.5,MIN(1,Assumptions!$I$42+0.5-(0-Assumptions!$I$43))/Assumptions!$I$42,0))))</f>
        <v>9090.9090909090919</v>
      </c>
      <c r="M33" s="54"/>
      <c r="N33" s="54"/>
    </row>
    <row r="34" spans="1:14" x14ac:dyDescent="0.2">
      <c r="A34" s="72" t="s">
        <v>754</v>
      </c>
      <c r="B34" s="76"/>
      <c r="C34" s="76">
        <f t="shared" si="3" ref="C34:L34">SUM(C15:C33)</f>
        <v>27897.595454545455</v>
      </c>
      <c r="D34" s="76">
        <f t="shared" si="3"/>
        <v>43679.38181818182</v>
      </c>
      <c r="E34" s="76">
        <f t="shared" si="3"/>
        <v>62498.38181818182</v>
      </c>
      <c r="F34" s="76">
        <f t="shared" si="3"/>
        <v>82372.563636363629</v>
      </c>
      <c r="G34" s="76">
        <f t="shared" si="3"/>
        <v>100583.92727272728</v>
      </c>
      <c r="H34" s="76">
        <f t="shared" si="3"/>
        <v>114964.38181818182</v>
      </c>
      <c r="I34" s="76">
        <f t="shared" si="3"/>
        <v>122805.29090909091</v>
      </c>
      <c r="J34" s="76">
        <f t="shared" si="3"/>
        <v>125459.83636363636</v>
      </c>
      <c r="K34" s="76">
        <f t="shared" si="3"/>
        <v>128073.47272727273</v>
      </c>
      <c r="L34" s="76">
        <f t="shared" si="3"/>
        <v>131696.20000000001</v>
      </c>
      <c r="M34" s="54"/>
      <c r="N34" s="54"/>
    </row>
    <row r="35" spans="1:14" x14ac:dyDescent="0.2">
      <c r="A35" s="58" t="s">
        <v>755</v>
      </c>
      <c r="B35" s="68"/>
      <c r="C35" s="68">
        <f>C34-C9</f>
        <v>188.59545454545514</v>
      </c>
      <c r="D35" s="68"/>
      <c r="E35" s="68"/>
      <c r="F35" s="68"/>
      <c r="G35" s="68"/>
      <c r="H35" s="68"/>
      <c r="I35" s="68"/>
      <c r="J35" s="68"/>
      <c r="K35" s="68"/>
      <c r="L35" s="68"/>
      <c r="M35" s="54"/>
      <c r="N35" s="54"/>
    </row>
    <row r="36" spans="1:14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</row>
    <row r="37" spans="1:14" x14ac:dyDescent="0.2">
      <c r="A37" s="72" t="s">
        <v>756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</row>
    <row r="38" spans="1:14" x14ac:dyDescent="0.2">
      <c r="A38" s="58" t="s">
        <v>330</v>
      </c>
      <c r="B38" s="55">
        <f>BS_Hist!H11</f>
        <v>19769</v>
      </c>
      <c r="C38" s="68">
        <f>Revenue_Build!C17*Assumptions!$I$46</f>
        <v>25203.542031985507</v>
      </c>
      <c r="D38" s="68">
        <f>Revenue_Build!D17*Assumptions!$I$46</f>
        <v>30000.507795139474</v>
      </c>
      <c r="E38" s="68">
        <f>Revenue_Build!E17*Assumptions!$I$46</f>
        <v>35041.360223058386</v>
      </c>
      <c r="F38" s="68">
        <f>Revenue_Build!F17*Assumptions!$I$46</f>
        <v>40172.777462491576</v>
      </c>
      <c r="G38" s="68">
        <f>Revenue_Build!G17*Assumptions!$I$46</f>
        <v>45188.493597716508</v>
      </c>
      <c r="H38" s="68">
        <f>Revenue_Build!H17*Assumptions!$I$46</f>
        <v>49856.362102832558</v>
      </c>
      <c r="I38" s="68">
        <f>Revenue_Build!I17*Assumptions!$I$46</f>
        <v>54468.281387907409</v>
      </c>
      <c r="J38" s="68">
        <f>Revenue_Build!J17*Assumptions!$I$46</f>
        <v>58656.725550019204</v>
      </c>
      <c r="K38" s="68">
        <f>Revenue_Build!K17*Assumptions!$I$46</f>
        <v>62548.693940115591</v>
      </c>
      <c r="L38" s="68">
        <f>Revenue_Build!L17*Assumptions!$I$46</f>
        <v>66041.371134325702</v>
      </c>
      <c r="M38" s="54"/>
      <c r="N38" s="54"/>
    </row>
    <row r="39" spans="1:14" x14ac:dyDescent="0.2">
      <c r="A39" s="58" t="s">
        <v>222</v>
      </c>
      <c r="B39" s="55">
        <f>BS_Hist!H12</f>
        <v>7361</v>
      </c>
      <c r="C39" s="68">
        <f>Revenue_Build!C17*Assumptions!$I$47</f>
        <v>9384.5552581033608</v>
      </c>
      <c r="D39" s="68">
        <f>Revenue_Build!D17*Assumptions!$I$47</f>
        <v>11170.708578077883</v>
      </c>
      <c r="E39" s="68">
        <f>Revenue_Build!E17*Assumptions!$I$47</f>
        <v>13047.673256205819</v>
      </c>
      <c r="F39" s="68">
        <f>Revenue_Build!F17*Assumptions!$I$47</f>
        <v>14958.359800768907</v>
      </c>
      <c r="G39" s="68">
        <f>Revenue_Build!G17*Assumptions!$I$47</f>
        <v>16825.964963973456</v>
      </c>
      <c r="H39" s="68">
        <f>Revenue_Build!H17*Assumptions!$I$47</f>
        <v>18564.048836003363</v>
      </c>
      <c r="I39" s="68">
        <f>Revenue_Build!I17*Assumptions!$I$47</f>
        <v>20281.299979583513</v>
      </c>
      <c r="J39" s="68">
        <f>Revenue_Build!J17*Assumptions!$I$47</f>
        <v>21840.869885866327</v>
      </c>
      <c r="K39" s="68">
        <f>Revenue_Build!K17*Assumptions!$I$47</f>
        <v>23290.046845727698</v>
      </c>
      <c r="L39" s="68">
        <f>Revenue_Build!L17*Assumptions!$I$47</f>
        <v>24590.547469258512</v>
      </c>
      <c r="M39" s="54"/>
      <c r="N39" s="54"/>
    </row>
    <row r="40" spans="1:14" x14ac:dyDescent="0.2">
      <c r="A40" s="58" t="s">
        <v>242</v>
      </c>
      <c r="B40" s="55">
        <f>BS_Hist!H26</f>
        <v>8894</v>
      </c>
      <c r="C40" s="68">
        <f>Revenue_Build!C17*Assumptions!$I$48</f>
        <v>11338.980364837835</v>
      </c>
      <c r="D40" s="68">
        <f>Revenue_Build!D17*Assumptions!$I$48</f>
        <v>13497.117523899566</v>
      </c>
      <c r="E40" s="68">
        <f>Revenue_Build!E17*Assumptions!$I$48</f>
        <v>15764.978391617246</v>
      </c>
      <c r="F40" s="68">
        <f>Revenue_Build!F17*Assumptions!$I$48</f>
        <v>18073.584033152922</v>
      </c>
      <c r="G40" s="68">
        <f>Revenue_Build!G17*Assumptions!$I$48</f>
        <v>20330.136175734264</v>
      </c>
      <c r="H40" s="68">
        <f>Revenue_Build!H17*Assumptions!$I$48</f>
        <v>22430.192955768769</v>
      </c>
      <c r="I40" s="68">
        <f>Revenue_Build!I17*Assumptions!$I$48</f>
        <v>24505.078388590649</v>
      </c>
      <c r="J40" s="68">
        <f>Revenue_Build!J17*Assumptions!$I$48</f>
        <v>26389.443929479025</v>
      </c>
      <c r="K40" s="68">
        <f>Revenue_Build!K17*Assumptions!$I$48</f>
        <v>28140.42611681866</v>
      </c>
      <c r="L40" s="68">
        <f>Revenue_Build!L17*Assumptions!$I$48</f>
        <v>29711.768671591526</v>
      </c>
      <c r="M40" s="54"/>
      <c r="N40" s="54"/>
    </row>
    <row r="41" spans="1:14" x14ac:dyDescent="0.2">
      <c r="A41" s="58" t="s">
        <v>248</v>
      </c>
      <c r="B41" s="55">
        <f>BS_Hist!H29</f>
        <v>30729</v>
      </c>
      <c r="C41" s="68">
        <f>Revenue_Build!C17*Assumptions!$I$49</f>
        <v>39176.470388025838</v>
      </c>
      <c r="D41" s="68">
        <f>Revenue_Build!D17*Assumptions!$I$49</f>
        <v>46632.890082292528</v>
      </c>
      <c r="E41" s="68">
        <f>Revenue_Build!E17*Assumptions!$I$49</f>
        <v>54468.408027434933</v>
      </c>
      <c r="F41" s="68">
        <f>Revenue_Build!F17*Assumptions!$I$49</f>
        <v>62444.700219783692</v>
      </c>
      <c r="G41" s="68">
        <f>Revenue_Build!G17*Assumptions!$I$49</f>
        <v>70241.146227134945</v>
      </c>
      <c r="H41" s="68">
        <f>Revenue_Build!H17*Assumptions!$I$49</f>
        <v>77496.896709896377</v>
      </c>
      <c r="I41" s="68">
        <f>Revenue_Build!I17*Assumptions!$I$49</f>
        <v>84665.67953710389</v>
      </c>
      <c r="J41" s="68">
        <f>Revenue_Build!J17*Assumptions!$I$49</f>
        <v>91176.211210811889</v>
      </c>
      <c r="K41" s="68">
        <f>Revenue_Build!K17*Assumptions!$I$49</f>
        <v>97225.899948698061</v>
      </c>
      <c r="L41" s="68">
        <f>Revenue_Build!L17*Assumptions!$I$49</f>
        <v>102654.92911056172</v>
      </c>
      <c r="M41" s="54"/>
      <c r="N41" s="54"/>
    </row>
    <row r="42" spans="1:14" x14ac:dyDescent="0.2">
      <c r="A42" s="72" t="s">
        <v>757</v>
      </c>
      <c r="B42" s="76">
        <f t="shared" si="4" ref="B42:L42">B38+B39-B40-B41</f>
        <v>-12493</v>
      </c>
      <c r="C42" s="76">
        <f t="shared" si="4"/>
        <v>-15927.353462774809</v>
      </c>
      <c r="D42" s="76">
        <f t="shared" si="4"/>
        <v>-18958.791232974734</v>
      </c>
      <c r="E42" s="76">
        <f t="shared" si="4"/>
        <v>-22144.352939787976</v>
      </c>
      <c r="F42" s="76">
        <f t="shared" si="4"/>
        <v>-25387.146989676134</v>
      </c>
      <c r="G42" s="76">
        <f t="shared" si="4"/>
        <v>-28556.823841179241</v>
      </c>
      <c r="H42" s="76">
        <f t="shared" si="4"/>
        <v>-31506.678726829225</v>
      </c>
      <c r="I42" s="76">
        <f t="shared" si="4"/>
        <v>-34421.17655820361</v>
      </c>
      <c r="J42" s="76">
        <f t="shared" si="4"/>
        <v>-37068.059704405372</v>
      </c>
      <c r="K42" s="76">
        <f t="shared" si="4"/>
        <v>-39527.58527967344</v>
      </c>
      <c r="L42" s="76">
        <f t="shared" si="4"/>
        <v>-41734.779178569028</v>
      </c>
      <c r="M42" s="54"/>
      <c r="N42" s="54"/>
    </row>
    <row r="43" spans="1:14" x14ac:dyDescent="0.2">
      <c r="A43" s="58" t="s">
        <v>758</v>
      </c>
      <c r="B43" s="68"/>
      <c r="C43" s="68">
        <f t="shared" si="5" ref="C43:L43">-(C42-B42)</f>
        <v>3434.3534627748086</v>
      </c>
      <c r="D43" s="68">
        <f t="shared" si="5"/>
        <v>3031.4377701999256</v>
      </c>
      <c r="E43" s="68">
        <f t="shared" si="5"/>
        <v>3185.5617068132415</v>
      </c>
      <c r="F43" s="68">
        <f t="shared" si="5"/>
        <v>3242.794049888158</v>
      </c>
      <c r="G43" s="68">
        <f t="shared" si="5"/>
        <v>3169.6768515031072</v>
      </c>
      <c r="H43" s="68">
        <f t="shared" si="5"/>
        <v>2949.8548856499838</v>
      </c>
      <c r="I43" s="68">
        <f t="shared" si="5"/>
        <v>2914.497831374385</v>
      </c>
      <c r="J43" s="68">
        <f t="shared" si="5"/>
        <v>2646.8831462017624</v>
      </c>
      <c r="K43" s="68">
        <f t="shared" si="5"/>
        <v>2459.5255752680678</v>
      </c>
      <c r="L43" s="68">
        <f t="shared" si="5"/>
        <v>2207.1938988955881</v>
      </c>
      <c r="M43" s="54"/>
      <c r="N43" s="54"/>
    </row>
    <row r="44" spans="1:14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spans="1:14" x14ac:dyDescent="0.2">
      <c r="A45" s="72" t="s">
        <v>759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spans="1:14" x14ac:dyDescent="0.2">
      <c r="A46" s="58" t="s">
        <v>760</v>
      </c>
      <c r="B46" s="68"/>
      <c r="C46" s="68">
        <f t="shared" si="6" ref="C46:L46">B49</f>
        <v>58744</v>
      </c>
      <c r="D46" s="68">
        <f t="shared" si="6"/>
        <v>83654</v>
      </c>
      <c r="E46" s="68">
        <f t="shared" si="6"/>
        <v>154552.87766074078</v>
      </c>
      <c r="F46" s="68">
        <f t="shared" si="6"/>
        <v>220502.0744248091</v>
      </c>
      <c r="G46" s="68">
        <f t="shared" si="6"/>
        <v>256503.44328346936</v>
      </c>
      <c r="H46" s="68">
        <f t="shared" si="6"/>
        <v>265863.2779060157</v>
      </c>
      <c r="I46" s="68">
        <f t="shared" si="6"/>
        <v>266592.79111504031</v>
      </c>
      <c r="J46" s="68">
        <f t="shared" si="6"/>
        <v>266592.79111504031</v>
      </c>
      <c r="K46" s="68">
        <f t="shared" si="6"/>
        <v>266592.79111504031</v>
      </c>
      <c r="L46" s="68">
        <f t="shared" si="6"/>
        <v>266592.79111504031</v>
      </c>
      <c r="M46" s="54"/>
      <c r="N46" s="54"/>
    </row>
    <row r="47" spans="1:14" x14ac:dyDescent="0.2">
      <c r="A47" s="58" t="s">
        <v>761</v>
      </c>
      <c r="B47" s="68"/>
      <c r="C47" s="55">
        <f>Interim_Bridge!D32</f>
        <v>24910</v>
      </c>
      <c r="D47" s="68">
        <f t="shared" si="7" ref="D47:L47">MAX(0,D59-D60)</f>
        <v>73648.877660740778</v>
      </c>
      <c r="E47" s="68">
        <f t="shared" si="7"/>
        <v>67449.19676406833</v>
      </c>
      <c r="F47" s="68">
        <f t="shared" si="7"/>
        <v>37001.36885866025</v>
      </c>
      <c r="G47" s="68">
        <f t="shared" si="7"/>
        <v>14359.834622546332</v>
      </c>
      <c r="H47" s="68">
        <f t="shared" si="7"/>
        <v>729.5132090246334</v>
      </c>
      <c r="I47" s="68">
        <f t="shared" si="7"/>
        <v>0</v>
      </c>
      <c r="J47" s="68">
        <f t="shared" si="7"/>
        <v>0</v>
      </c>
      <c r="K47" s="68">
        <f t="shared" si="7"/>
        <v>0</v>
      </c>
      <c r="L47" s="68">
        <f t="shared" si="7"/>
        <v>0</v>
      </c>
      <c r="M47" s="54"/>
      <c r="N47" s="54" t="s">
        <v>762</v>
      </c>
    </row>
    <row r="48" spans="1:14" x14ac:dyDescent="0.2">
      <c r="A48" s="58" t="s">
        <v>763</v>
      </c>
      <c r="B48" s="53"/>
      <c r="C48" s="53">
        <v>0</v>
      </c>
      <c r="D48" s="53">
        <v>2750</v>
      </c>
      <c r="E48" s="53">
        <v>1500</v>
      </c>
      <c r="F48" s="53">
        <v>1000</v>
      </c>
      <c r="G48" s="53">
        <v>5000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4"/>
      <c r="N48" s="54" t="s">
        <v>764</v>
      </c>
    </row>
    <row r="49" spans="1:14" x14ac:dyDescent="0.2">
      <c r="A49" s="72" t="s">
        <v>765</v>
      </c>
      <c r="B49" s="94">
        <f>BS_Hist!H34</f>
        <v>58744</v>
      </c>
      <c r="C49" s="76">
        <f t="shared" si="8" ref="C49:L49">C46+C47-C48</f>
        <v>83654</v>
      </c>
      <c r="D49" s="76">
        <f t="shared" si="8"/>
        <v>154552.87766074078</v>
      </c>
      <c r="E49" s="76">
        <f t="shared" si="8"/>
        <v>220502.0744248091</v>
      </c>
      <c r="F49" s="76">
        <f t="shared" si="8"/>
        <v>256503.44328346936</v>
      </c>
      <c r="G49" s="76">
        <f t="shared" si="8"/>
        <v>265863.2779060157</v>
      </c>
      <c r="H49" s="76">
        <f t="shared" si="8"/>
        <v>266592.79111504031</v>
      </c>
      <c r="I49" s="76">
        <f t="shared" si="8"/>
        <v>266592.79111504031</v>
      </c>
      <c r="J49" s="76">
        <f t="shared" si="8"/>
        <v>266592.79111504031</v>
      </c>
      <c r="K49" s="76">
        <f t="shared" si="8"/>
        <v>266592.79111504031</v>
      </c>
      <c r="L49" s="76">
        <f t="shared" si="8"/>
        <v>266592.79111504031</v>
      </c>
      <c r="M49" s="54"/>
      <c r="N49" s="54"/>
    </row>
    <row r="50" spans="1:14" x14ac:dyDescent="0.2">
      <c r="A50" s="58" t="s">
        <v>766</v>
      </c>
      <c r="B50" s="68"/>
      <c r="C50" s="55">
        <f>Interim_Bridge!D20</f>
        <v>3170</v>
      </c>
      <c r="D50" s="68">
        <f>D46*Assumptions!$I$32</f>
        <v>4015.3920000000003</v>
      </c>
      <c r="E50" s="68">
        <f>E46*Assumptions!$I$32</f>
        <v>7418.5381277155575</v>
      </c>
      <c r="F50" s="68">
        <f>F46*Assumptions!$I$32</f>
        <v>10584.099572390838</v>
      </c>
      <c r="G50" s="68">
        <f>G46*Assumptions!$I$32</f>
        <v>12312.165277606529</v>
      </c>
      <c r="H50" s="68">
        <f>H46*Assumptions!$I$32</f>
        <v>12761.437339488753</v>
      </c>
      <c r="I50" s="68">
        <f>I46*Assumptions!$I$32</f>
        <v>12796.453973521935</v>
      </c>
      <c r="J50" s="68">
        <f>J46*Assumptions!$I$32</f>
        <v>12796.453973521935</v>
      </c>
      <c r="K50" s="68">
        <f>K46*Assumptions!$I$32</f>
        <v>12796.453973521935</v>
      </c>
      <c r="L50" s="68">
        <f>L46*Assumptions!$I$32</f>
        <v>12796.453973521935</v>
      </c>
      <c r="M50" s="54"/>
      <c r="N50" s="54"/>
    </row>
    <row r="51" spans="1:14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14" x14ac:dyDescent="0.2">
      <c r="A52" s="72" t="s">
        <v>767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spans="1:14" x14ac:dyDescent="0.2">
      <c r="A53" s="58" t="s">
        <v>768</v>
      </c>
      <c r="B53" s="55"/>
      <c r="C53" s="55">
        <f>Forecast_3Stmt!B35</f>
        <v>81592</v>
      </c>
      <c r="D53" s="55">
        <f>Forecast_3Stmt!C35</f>
        <v>76218.033462774794</v>
      </c>
      <c r="E53" s="55">
        <f>Forecast_3Stmt!D35</f>
        <v>76244.145499999999</v>
      </c>
      <c r="F53" s="55">
        <f>Forecast_3Stmt!E35</f>
        <v>89055.111520400023</v>
      </c>
      <c r="G53" s="55">
        <f>Forecast_3Stmt!F35</f>
        <v>102096.24153380399</v>
      </c>
      <c r="H53" s="55">
        <f>Forecast_3Stmt!G35</f>
        <v>114843.32546358813</v>
      </c>
      <c r="I53" s="55">
        <f>Forecast_3Stmt!H35</f>
        <v>126706.3795128465</v>
      </c>
      <c r="J53" s="55">
        <f>Forecast_3Stmt!I35</f>
        <v>144308.75025607</v>
      </c>
      <c r="K53" s="55">
        <f>Forecast_3Stmt!J35</f>
        <v>166472.98375097718</v>
      </c>
      <c r="L53" s="55">
        <f>Forecast_3Stmt!K35</f>
        <v>193182.1636645889</v>
      </c>
      <c r="M53" s="54"/>
      <c r="N53" s="54"/>
    </row>
    <row r="54" spans="1:14" x14ac:dyDescent="0.2">
      <c r="A54" s="58" t="s">
        <v>769</v>
      </c>
      <c r="B54" s="55"/>
      <c r="C54" s="55">
        <f>Forecast_3Stmt!C59+Forecast_3Stmt!C60</f>
        <v>-7845.9665372252057</v>
      </c>
      <c r="D54" s="55">
        <f>Forecast_3Stmt!D59+Forecast_3Stmt!D60</f>
        <v>-41199.108691015572</v>
      </c>
      <c r="E54" s="55">
        <f>Forecast_3Stmt!E59+Forecast_3Stmt!E60</f>
        <v>-19063.1277185723</v>
      </c>
      <c r="F54" s="55">
        <f>Forecast_3Stmt!F59+Forecast_3Stmt!F60</f>
        <v>15612.491599444154</v>
      </c>
      <c r="G54" s="55">
        <f>Forecast_3Stmt!G59+Forecast_3Stmt!G60</f>
        <v>56551.94232072611</v>
      </c>
      <c r="H54" s="55">
        <f>Forecast_3Stmt!H59+Forecast_3Stmt!H60</f>
        <v>91683.94889448985</v>
      </c>
      <c r="I54" s="55">
        <f>Forecast_3Stmt!I59+Forecast_3Stmt!I60</f>
        <v>121618.13924389053</v>
      </c>
      <c r="J54" s="55">
        <f>Forecast_3Stmt!J59+Forecast_3Stmt!J60</f>
        <v>143554.68906384293</v>
      </c>
      <c r="K54" s="55">
        <f>Forecast_3Stmt!K59+Forecast_3Stmt!K60</f>
        <v>165173.011404215</v>
      </c>
      <c r="L54" s="55">
        <f>Forecast_3Stmt!L59+Forecast_3Stmt!L60</f>
        <v>185409.23872615438</v>
      </c>
      <c r="M54" s="54"/>
      <c r="N54" s="54"/>
    </row>
    <row r="55" spans="1:14" x14ac:dyDescent="0.2">
      <c r="A55" s="58" t="s">
        <v>770</v>
      </c>
      <c r="B55" s="57"/>
      <c r="C55" s="57">
        <f>Assumptions!$I$39</f>
        <v>2.1</v>
      </c>
      <c r="D55" s="57">
        <f>C55*(1+Assumptions!J106)</f>
        <v>2.2050000000000001</v>
      </c>
      <c r="E55" s="57">
        <f>D55*(1+Assumptions!K106)</f>
        <v>2.3152500000000003</v>
      </c>
      <c r="F55" s="57">
        <f>E55*(1+Assumptions!L106)</f>
        <v>2.4310125000000005</v>
      </c>
      <c r="G55" s="57">
        <f>F55*(1+Assumptions!M106)</f>
        <v>2.5525631250000007</v>
      </c>
      <c r="H55" s="57">
        <f>G55*(1+Assumptions!N106)</f>
        <v>2.6801912812500008</v>
      </c>
      <c r="I55" s="57">
        <f>H55*(1+Assumptions!O106)</f>
        <v>2.8142008453125009</v>
      </c>
      <c r="J55" s="57">
        <f>I55*(1+Assumptions!P106)</f>
        <v>2.954910887578126</v>
      </c>
      <c r="K55" s="57">
        <f>J55*(1+Assumptions!Q106)</f>
        <v>3.1026564319570324</v>
      </c>
      <c r="L55" s="57">
        <f>K55*(1+Assumptions!R106)</f>
        <v>3.257789253554884</v>
      </c>
      <c r="M55" s="54"/>
      <c r="N55" s="54"/>
    </row>
    <row r="56" spans="1:14" x14ac:dyDescent="0.2">
      <c r="A56" s="58" t="s">
        <v>771</v>
      </c>
      <c r="B56" s="68"/>
      <c r="C56" s="55">
        <f>Interim_Bridge!D29</f>
        <v>5420</v>
      </c>
      <c r="D56" s="68">
        <f t="shared" si="9" ref="D56:L56">D55*D65</f>
        <v>5656.7511000000004</v>
      </c>
      <c r="E56" s="68">
        <f t="shared" si="9"/>
        <v>6022.7428961700007</v>
      </c>
      <c r="F56" s="68">
        <f t="shared" si="9"/>
        <v>6412.4143615522007</v>
      </c>
      <c r="G56" s="68">
        <f t="shared" si="9"/>
        <v>6827.2975707446285</v>
      </c>
      <c r="H56" s="68">
        <f t="shared" si="9"/>
        <v>7237.27598700829</v>
      </c>
      <c r="I56" s="68">
        <f t="shared" si="9"/>
        <v>7604.074845763972</v>
      </c>
      <c r="J56" s="68">
        <f t="shared" si="9"/>
        <v>7940.1147803442627</v>
      </c>
      <c r="K56" s="68">
        <f t="shared" si="9"/>
        <v>8262.9362397989789</v>
      </c>
      <c r="L56" s="68">
        <f t="shared" si="9"/>
        <v>8573.8882080115854</v>
      </c>
      <c r="M56" s="54"/>
      <c r="N56" s="54"/>
    </row>
    <row r="57" spans="1:14" x14ac:dyDescent="0.2">
      <c r="A57" s="58" t="s">
        <v>691</v>
      </c>
      <c r="B57" s="68"/>
      <c r="C57" s="55">
        <f>Interim_Bridge!D31</f>
        <v>17018</v>
      </c>
      <c r="D57" s="68">
        <f>Forecast_3Stmt!D32*Assumptions!$I$37</f>
        <v>24016.905832500001</v>
      </c>
      <c r="E57" s="68">
        <f>Forecast_3Stmt!E32*Assumptions!$I$37</f>
        <v>28052.360128926004</v>
      </c>
      <c r="F57" s="68">
        <f>Forecast_3Stmt!F32*Assumptions!$I$37</f>
        <v>32160.316083148249</v>
      </c>
      <c r="G57" s="68">
        <f>Forecast_3Stmt!G32*Assumptions!$I$37</f>
        <v>36175.64752103026</v>
      </c>
      <c r="H57" s="68">
        <f>Forecast_3Stmt!H32*Assumptions!$I$37</f>
        <v>39912.509546546637</v>
      </c>
      <c r="I57" s="68">
        <f>Forecast_3Stmt!I32*Assumptions!$I$37</f>
        <v>43604.581425232594</v>
      </c>
      <c r="J57" s="68">
        <f>Forecast_3Stmt!J32*Assumptions!$I$37</f>
        <v>46957.640303870015</v>
      </c>
      <c r="K57" s="68">
        <f>Forecast_3Stmt!K32*Assumptions!$I$37</f>
        <v>50073.355509969144</v>
      </c>
      <c r="L57" s="68">
        <f>Forecast_3Stmt!L32*Assumptions!$I$37</f>
        <v>52869.418158290544</v>
      </c>
      <c r="M57" s="54"/>
      <c r="N57" s="54"/>
    </row>
    <row r="58" spans="1:14" x14ac:dyDescent="0.2">
      <c r="A58" s="58" t="s">
        <v>690</v>
      </c>
      <c r="B58" s="68"/>
      <c r="C58" s="55">
        <f>Interim_Bridge!D30</f>
        <v>0</v>
      </c>
      <c r="D58" s="68">
        <f>MAX(0,D54-D56-D57)*Assumptions!J111</f>
        <v>0</v>
      </c>
      <c r="E58" s="68">
        <f>MAX(0,E54-E56-E57)*Assumptions!K111</f>
        <v>0</v>
      </c>
      <c r="F58" s="68">
        <f>MAX(0,F54-F56-F57)*Assumptions!L111</f>
        <v>0</v>
      </c>
      <c r="G58" s="68">
        <f>MAX(0,G54-G56-G57)*Assumptions!M111</f>
        <v>10161.747921713417</v>
      </c>
      <c r="H58" s="68">
        <f>MAX(0,H54-H56-H57)*Assumptions!N111</f>
        <v>33400.62252070119</v>
      </c>
      <c r="I58" s="68">
        <f>MAX(0,I54-I56-I57)*Assumptions!O111</f>
        <v>52807.112229670471</v>
      </c>
      <c r="J58" s="68">
        <f>MAX(0,J54-J56-J57)*Assumptions!P111</f>
        <v>66492.700484721485</v>
      </c>
      <c r="K58" s="68">
        <f>MAX(0,K54-K56-K57)*Assumptions!Q111</f>
        <v>80127.53974083516</v>
      </c>
      <c r="L58" s="68">
        <f>MAX(0,L54-L56-L57)*Assumptions!R111</f>
        <v>92974.449269889199</v>
      </c>
      <c r="M58" s="54"/>
      <c r="N58" s="54"/>
    </row>
    <row r="59" spans="1:14" x14ac:dyDescent="0.2">
      <c r="A59" s="58" t="s">
        <v>772</v>
      </c>
      <c r="B59" s="68"/>
      <c r="C59" s="68">
        <f>Revenue_Build!C17*Assumptions!$I$33</f>
        <v>64053</v>
      </c>
      <c r="D59" s="68">
        <f>Revenue_Build!D17*Assumptions!$I$33</f>
        <v>76244.145499999999</v>
      </c>
      <c r="E59" s="68">
        <f>Revenue_Build!E17*Assumptions!$I$33</f>
        <v>89055.111520400023</v>
      </c>
      <c r="F59" s="68">
        <f>Revenue_Build!F17*Assumptions!$I$33</f>
        <v>102096.24153380397</v>
      </c>
      <c r="G59" s="68">
        <f>Revenue_Build!G17*Assumptions!$I$33</f>
        <v>114843.32546358815</v>
      </c>
      <c r="H59" s="68">
        <f>Revenue_Build!H17*Assumptions!$I$33</f>
        <v>126706.37951284647</v>
      </c>
      <c r="I59" s="68">
        <f>Revenue_Build!I17*Assumptions!$I$33</f>
        <v>138427.24261978603</v>
      </c>
      <c r="J59" s="68">
        <f>Revenue_Build!J17*Assumptions!$I$33</f>
        <v>149071.87398053973</v>
      </c>
      <c r="K59" s="68">
        <f>Revenue_Build!K17*Assumptions!$I$33</f>
        <v>158963.03336498141</v>
      </c>
      <c r="L59" s="68">
        <f>Revenue_Build!L17*Assumptions!$I$33</f>
        <v>167839.42272473191</v>
      </c>
      <c r="M59" s="54"/>
      <c r="N59" s="54"/>
    </row>
    <row r="60" spans="1:14" x14ac:dyDescent="0.2">
      <c r="A60" s="58" t="s">
        <v>773</v>
      </c>
      <c r="B60" s="68"/>
      <c r="C60" s="68">
        <f t="shared" si="10" ref="C60:L60">C53+C54-C56-C57-C58-C48</f>
        <v>51308.033462774794</v>
      </c>
      <c r="D60" s="68">
        <f t="shared" si="10"/>
        <v>2595.2678392592206</v>
      </c>
      <c r="E60" s="68">
        <f t="shared" si="10"/>
        <v>21605.914756331695</v>
      </c>
      <c r="F60" s="68">
        <f t="shared" si="10"/>
        <v>65094.87267514372</v>
      </c>
      <c r="G60" s="68">
        <f t="shared" si="10"/>
        <v>100483.49084104181</v>
      </c>
      <c r="H60" s="68">
        <f t="shared" si="10"/>
        <v>125976.86630382184</v>
      </c>
      <c r="I60" s="68">
        <f t="shared" si="10"/>
        <v>144308.75025606999</v>
      </c>
      <c r="J60" s="68">
        <f t="shared" si="10"/>
        <v>166472.98375097718</v>
      </c>
      <c r="K60" s="68">
        <f t="shared" si="10"/>
        <v>193182.163664589</v>
      </c>
      <c r="L60" s="68">
        <f t="shared" si="10"/>
        <v>224173.6467545519</v>
      </c>
      <c r="M60" s="54"/>
      <c r="N60" s="54"/>
    </row>
    <row r="61" spans="1:14" x14ac:dyDescent="0.2">
      <c r="A61" s="72" t="s">
        <v>774</v>
      </c>
      <c r="B61" s="76"/>
      <c r="C61" s="76">
        <f t="shared" si="11" ref="C61:L61">C60+C47</f>
        <v>76218.033462774794</v>
      </c>
      <c r="D61" s="76">
        <f t="shared" si="11"/>
        <v>76244.145499999999</v>
      </c>
      <c r="E61" s="76">
        <f t="shared" si="11"/>
        <v>89055.111520400023</v>
      </c>
      <c r="F61" s="76">
        <f t="shared" si="11"/>
        <v>102096.24153380397</v>
      </c>
      <c r="G61" s="76">
        <f t="shared" si="11"/>
        <v>114843.32546358815</v>
      </c>
      <c r="H61" s="76">
        <f t="shared" si="11"/>
        <v>126706.37951284647</v>
      </c>
      <c r="I61" s="76">
        <f t="shared" si="11"/>
        <v>144308.75025606999</v>
      </c>
      <c r="J61" s="76">
        <f t="shared" si="11"/>
        <v>166472.98375097718</v>
      </c>
      <c r="K61" s="76">
        <f t="shared" si="11"/>
        <v>193182.163664589</v>
      </c>
      <c r="L61" s="76">
        <f t="shared" si="11"/>
        <v>224173.6467545519</v>
      </c>
      <c r="M61" s="54"/>
      <c r="N61" s="54"/>
    </row>
    <row r="62" spans="1:14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x14ac:dyDescent="0.2">
      <c r="A63" s="72" t="s">
        <v>775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</row>
    <row r="64" spans="1:14" x14ac:dyDescent="0.2">
      <c r="A64" s="58" t="s">
        <v>776</v>
      </c>
      <c r="B64" s="57"/>
      <c r="C64" s="57">
        <f>Market_Package!B8*(1+Assumptions!$I$36)^0</f>
        <v>630.55999999999995</v>
      </c>
      <c r="D64" s="57">
        <f>Market_Package!B8*(1+Assumptions!$I$36)^1</f>
        <v>681.00479999999993</v>
      </c>
      <c r="E64" s="57">
        <f>Market_Package!B8*(1+Assumptions!$I$36)^2</f>
        <v>735.485184</v>
      </c>
      <c r="F64" s="57">
        <f>Market_Package!B8*(1+Assumptions!$I$36)^3</f>
        <v>794.32399872000008</v>
      </c>
      <c r="G64" s="57">
        <f>Market_Package!B8*(1+Assumptions!$I$36)^4</f>
        <v>857.86991861760009</v>
      </c>
      <c r="H64" s="57">
        <f>Market_Package!B8*(1+Assumptions!$I$36)^5</f>
        <v>926.4995121070083</v>
      </c>
      <c r="I64" s="57">
        <f>Market_Package!B8*(1+Assumptions!$I$36)^6</f>
        <v>1000.6194730755689</v>
      </c>
      <c r="J64" s="57">
        <f>Market_Package!B8*(1+Assumptions!$I$36)^7</f>
        <v>1080.6690309216146</v>
      </c>
      <c r="K64" s="57">
        <f>Market_Package!B8*(1+Assumptions!$I$36)^8</f>
        <v>1167.1225533953439</v>
      </c>
      <c r="L64" s="57">
        <f>Market_Package!B8*(1+Assumptions!$I$36)^9</f>
        <v>1260.4923576669714</v>
      </c>
      <c r="M64" s="54"/>
      <c r="N64" s="54"/>
    </row>
    <row r="65" spans="1:14" x14ac:dyDescent="0.2">
      <c r="A65" s="58" t="s">
        <v>777</v>
      </c>
      <c r="B65" s="98"/>
      <c r="C65" s="98">
        <f t="shared" si="12" ref="C65:L65">B68</f>
        <v>2530</v>
      </c>
      <c r="D65" s="98">
        <f t="shared" si="12"/>
        <v>2565.42</v>
      </c>
      <c r="E65" s="98">
        <f t="shared" si="12"/>
        <v>2601.3358800000001</v>
      </c>
      <c r="F65" s="98">
        <f t="shared" si="12"/>
        <v>2637.7545823200003</v>
      </c>
      <c r="G65" s="98">
        <f t="shared" si="12"/>
        <v>2674.6831464724801</v>
      </c>
      <c r="H65" s="98">
        <f t="shared" si="12"/>
        <v>2700.2833856070652</v>
      </c>
      <c r="I65" s="98">
        <f t="shared" si="12"/>
        <v>2702.0370128982686</v>
      </c>
      <c r="J65" s="98">
        <f t="shared" si="12"/>
        <v>2687.0911111813793</v>
      </c>
      <c r="K65" s="98">
        <f t="shared" si="12"/>
        <v>2663.1811871567897</v>
      </c>
      <c r="L65" s="98">
        <f t="shared" si="12"/>
        <v>2631.811802637571</v>
      </c>
      <c r="M65" s="54"/>
      <c r="N65" s="54"/>
    </row>
    <row r="66" spans="1:14" x14ac:dyDescent="0.2">
      <c r="A66" s="58" t="s">
        <v>778</v>
      </c>
      <c r="B66" s="98"/>
      <c r="C66" s="98">
        <f>C65*Assumptions!$I$34</f>
        <v>35.42</v>
      </c>
      <c r="D66" s="98">
        <f>D65*Assumptions!$I$34</f>
        <v>35.915880000000001</v>
      </c>
      <c r="E66" s="98">
        <f>E65*Assumptions!$I$34</f>
        <v>36.418702320000001</v>
      </c>
      <c r="F66" s="98">
        <f>F65*Assumptions!$I$34</f>
        <v>36.928564152480007</v>
      </c>
      <c r="G66" s="98">
        <f>G65*Assumptions!$I$34</f>
        <v>37.44556405061472</v>
      </c>
      <c r="H66" s="98">
        <f>H65*Assumptions!$I$34</f>
        <v>37.803967398498912</v>
      </c>
      <c r="I66" s="98">
        <f>I65*Assumptions!$I$34</f>
        <v>37.828518180575763</v>
      </c>
      <c r="J66" s="98">
        <f>J65*Assumptions!$I$34</f>
        <v>37.619275556539314</v>
      </c>
      <c r="K66" s="98">
        <f>K65*Assumptions!$I$34</f>
        <v>37.284536620195055</v>
      </c>
      <c r="L66" s="98">
        <f>L65*Assumptions!$I$34</f>
        <v>36.845365236925993</v>
      </c>
      <c r="M66" s="54"/>
      <c r="N66" s="54"/>
    </row>
    <row r="67" spans="1:14" x14ac:dyDescent="0.2">
      <c r="A67" s="58" t="s">
        <v>779</v>
      </c>
      <c r="B67" s="98"/>
      <c r="C67" s="98">
        <f t="shared" si="13" ref="C67:L67">C58/C64</f>
        <v>0</v>
      </c>
      <c r="D67" s="98">
        <f t="shared" si="13"/>
        <v>0</v>
      </c>
      <c r="E67" s="98">
        <f t="shared" si="13"/>
        <v>0</v>
      </c>
      <c r="F67" s="98">
        <f t="shared" si="13"/>
        <v>0</v>
      </c>
      <c r="G67" s="98">
        <f t="shared" si="13"/>
        <v>11.845324916029686</v>
      </c>
      <c r="H67" s="98">
        <f t="shared" si="13"/>
        <v>36.05034010729571</v>
      </c>
      <c r="I67" s="98">
        <f t="shared" si="13"/>
        <v>52.774419897465222</v>
      </c>
      <c r="J67" s="98">
        <f t="shared" si="13"/>
        <v>61.52919958112918</v>
      </c>
      <c r="K67" s="98">
        <f t="shared" si="13"/>
        <v>68.65392113941375</v>
      </c>
      <c r="L67" s="98">
        <f t="shared" si="13"/>
        <v>73.7604228255492</v>
      </c>
      <c r="M67" s="54"/>
      <c r="N67" s="54"/>
    </row>
    <row r="68" spans="1:14" x14ac:dyDescent="0.2">
      <c r="A68" s="72" t="s">
        <v>780</v>
      </c>
      <c r="B68" s="104">
        <f>BS_Hist!H56+BS_Hist!H59</f>
        <v>2530</v>
      </c>
      <c r="C68" s="97">
        <f t="shared" si="14" ref="C68:L68">C65+C66-C67</f>
        <v>2565.42</v>
      </c>
      <c r="D68" s="97">
        <f t="shared" si="14"/>
        <v>2601.3358800000001</v>
      </c>
      <c r="E68" s="97">
        <f t="shared" si="14"/>
        <v>2637.7545823200003</v>
      </c>
      <c r="F68" s="97">
        <f t="shared" si="14"/>
        <v>2674.6831464724801</v>
      </c>
      <c r="G68" s="97">
        <f t="shared" si="14"/>
        <v>2700.2833856070652</v>
      </c>
      <c r="H68" s="97">
        <f t="shared" si="14"/>
        <v>2702.0370128982686</v>
      </c>
      <c r="I68" s="97">
        <f t="shared" si="14"/>
        <v>2687.0911111813793</v>
      </c>
      <c r="J68" s="97">
        <f t="shared" si="14"/>
        <v>2663.1811871567897</v>
      </c>
      <c r="K68" s="97">
        <f t="shared" si="14"/>
        <v>2631.811802637571</v>
      </c>
      <c r="L68" s="97">
        <f t="shared" si="14"/>
        <v>2594.8967450489477</v>
      </c>
      <c r="M68" s="54"/>
      <c r="N68" s="54"/>
    </row>
    <row r="69" spans="1:14" x14ac:dyDescent="0.2">
      <c r="A69" s="58" t="s">
        <v>781</v>
      </c>
      <c r="B69" s="98"/>
      <c r="C69" s="98">
        <f>(C65+C68)/2+Assumptions!$I$35</f>
        <v>2568.71</v>
      </c>
      <c r="D69" s="98">
        <f>(D65+D68)/2+Assumptions!$I$35</f>
        <v>2604.3779400000003</v>
      </c>
      <c r="E69" s="98">
        <f>(E65+E68)/2+Assumptions!$I$35</f>
        <v>2640.5452311600002</v>
      </c>
      <c r="F69" s="98">
        <f>(F65+F68)/2+Assumptions!$I$35</f>
        <v>2677.21886439624</v>
      </c>
      <c r="G69" s="98">
        <f>(G65+G68)/2+Assumptions!$I$35</f>
        <v>2708.4832660397724</v>
      </c>
      <c r="H69" s="98">
        <f>(H65+H68)/2+Assumptions!$I$35</f>
        <v>2722.1601992526666</v>
      </c>
      <c r="I69" s="98">
        <f>(I65+I68)/2+Assumptions!$I$35</f>
        <v>2715.564062039824</v>
      </c>
      <c r="J69" s="98">
        <f>(J65+J68)/2+Assumptions!$I$35</f>
        <v>2696.1361491690845</v>
      </c>
      <c r="K69" s="98">
        <f>(K65+K68)/2+Assumptions!$I$35</f>
        <v>2668.4964948971801</v>
      </c>
      <c r="L69" s="98">
        <f>(L65+L68)/2+Assumptions!$I$35</f>
        <v>2634.3542738432593</v>
      </c>
      <c r="M69" s="54"/>
      <c r="N69" s="54"/>
    </row>
    <row r="70" spans="1:14" x14ac:dyDescent="0.2">
      <c r="A70" s="58" t="s">
        <v>782</v>
      </c>
      <c r="B70" s="68"/>
      <c r="C70" s="68">
        <f t="shared" si="15" ref="C70:L70">B74</f>
        <v>217243</v>
      </c>
      <c r="D70" s="68">
        <f t="shared" si="15"/>
        <v>295815.67999999999</v>
      </c>
      <c r="E70" s="68">
        <f t="shared" si="15"/>
        <v>377232.09478810267</v>
      </c>
      <c r="F70" s="68">
        <f t="shared" si="15"/>
        <v>463409.92051943927</v>
      </c>
      <c r="G70" s="68">
        <f t="shared" si="15"/>
        <v>554834.32398793113</v>
      </c>
      <c r="H70" s="68">
        <f t="shared" si="15"/>
        <v>644467.9691709386</v>
      </c>
      <c r="I70" s="68">
        <f t="shared" si="15"/>
        <v>722687.2733073406</v>
      </c>
      <c r="J70" s="68">
        <f t="shared" si="15"/>
        <v>799569.85531009873</v>
      </c>
      <c r="K70" s="68">
        <f t="shared" si="15"/>
        <v>883627.36929516785</v>
      </c>
      <c r="L70" s="68">
        <f t="shared" si="15"/>
        <v>974803.5509062388</v>
      </c>
      <c r="M70" s="54"/>
      <c r="N70" s="54"/>
    </row>
    <row r="71" spans="1:14" x14ac:dyDescent="0.2">
      <c r="A71" s="58" t="s">
        <v>783</v>
      </c>
      <c r="B71" s="55"/>
      <c r="C71" s="55">
        <f>Forecast_3Stmt!C28</f>
        <v>72957.679999999993</v>
      </c>
      <c r="D71" s="55">
        <f>Forecast_3Stmt!D28</f>
        <v>79067.530610602698</v>
      </c>
      <c r="E71" s="55">
        <f>Forecast_3Stmt!E28</f>
        <v>82849.78191786463</v>
      </c>
      <c r="F71" s="55">
        <f>Forecast_3Stmt!F28</f>
        <v>87116.712468994709</v>
      </c>
      <c r="G71" s="55">
        <f>Forecast_3Stmt!G28</f>
        <v>94564.141501788719</v>
      </c>
      <c r="H71" s="55">
        <f>Forecast_3Stmt!H28</f>
        <v>105553.03279526254</v>
      </c>
      <c r="I71" s="55">
        <f>Forecast_3Stmt!I28</f>
        <v>122758.90860311512</v>
      </c>
      <c r="J71" s="55">
        <f>Forecast_3Stmt!J28</f>
        <v>142837.78248217813</v>
      </c>
      <c r="K71" s="55">
        <f>Forecast_3Stmt!K28</f>
        <v>162875.539088382</v>
      </c>
      <c r="L71" s="55">
        <f>Forecast_3Stmt!L28</f>
        <v>181013.28728287137</v>
      </c>
      <c r="M71" s="54"/>
      <c r="N71" s="54"/>
    </row>
    <row r="72" spans="1:14" x14ac:dyDescent="0.2">
      <c r="A72" s="58" t="s">
        <v>784</v>
      </c>
      <c r="B72" s="55"/>
      <c r="C72" s="55">
        <f>Forecast_3Stmt!C32</f>
        <v>28053</v>
      </c>
      <c r="D72" s="55">
        <f>Forecast_3Stmt!D32</f>
        <v>32022.541109999998</v>
      </c>
      <c r="E72" s="55">
        <f>Forecast_3Stmt!E32</f>
        <v>37403.146838568005</v>
      </c>
      <c r="F72" s="55">
        <f>Forecast_3Stmt!F32</f>
        <v>42880.421444197666</v>
      </c>
      <c r="G72" s="55">
        <f>Forecast_3Stmt!G32</f>
        <v>48234.196694707018</v>
      </c>
      <c r="H72" s="55">
        <f>Forecast_3Stmt!H32</f>
        <v>53216.679395395513</v>
      </c>
      <c r="I72" s="55">
        <f>Forecast_3Stmt!I32</f>
        <v>58139.441900310128</v>
      </c>
      <c r="J72" s="55">
        <f>Forecast_3Stmt!J32</f>
        <v>62610.187071826687</v>
      </c>
      <c r="K72" s="55">
        <f>Forecast_3Stmt!K32</f>
        <v>66764.474013292187</v>
      </c>
      <c r="L72" s="55">
        <f>Forecast_3Stmt!L32</f>
        <v>70492.557544387397</v>
      </c>
      <c r="M72" s="54"/>
      <c r="N72" s="54"/>
    </row>
    <row r="73" spans="1:14" x14ac:dyDescent="0.2">
      <c r="A73" s="58" t="s">
        <v>785</v>
      </c>
      <c r="B73" s="68"/>
      <c r="C73" s="68">
        <f t="shared" si="16" ref="C73:L73">-(C57+C58+C56)</f>
        <v>-22438</v>
      </c>
      <c r="D73" s="68">
        <f t="shared" si="16"/>
        <v>-29673.656932500002</v>
      </c>
      <c r="E73" s="68">
        <f t="shared" si="16"/>
        <v>-34075.103025096003</v>
      </c>
      <c r="F73" s="68">
        <f t="shared" si="16"/>
        <v>-38572.73044470045</v>
      </c>
      <c r="G73" s="68">
        <f t="shared" si="16"/>
        <v>-53164.69301348831</v>
      </c>
      <c r="H73" s="68">
        <f t="shared" si="16"/>
        <v>-80550.40805425611</v>
      </c>
      <c r="I73" s="68">
        <f t="shared" si="16"/>
        <v>-104015.76850066704</v>
      </c>
      <c r="J73" s="68">
        <f t="shared" si="16"/>
        <v>-121390.45556893577</v>
      </c>
      <c r="K73" s="68">
        <f t="shared" si="16"/>
        <v>-138463.83149060328</v>
      </c>
      <c r="L73" s="68">
        <f t="shared" si="16"/>
        <v>-154417.75563619132</v>
      </c>
      <c r="M73" s="54"/>
      <c r="N73" s="54"/>
    </row>
    <row r="74" spans="1:14" x14ac:dyDescent="0.2">
      <c r="A74" s="72" t="s">
        <v>786</v>
      </c>
      <c r="B74" s="94">
        <f>BS_Hist!H47</f>
        <v>217243</v>
      </c>
      <c r="C74" s="76">
        <f t="shared" si="17" ref="C74:L74">C70+C71+C72+C73</f>
        <v>295815.67999999999</v>
      </c>
      <c r="D74" s="76">
        <f t="shared" si="17"/>
        <v>377232.09478810267</v>
      </c>
      <c r="E74" s="76">
        <f t="shared" si="17"/>
        <v>463409.92051943927</v>
      </c>
      <c r="F74" s="76">
        <f t="shared" si="17"/>
        <v>554834.32398793113</v>
      </c>
      <c r="G74" s="76">
        <f t="shared" si="17"/>
        <v>644467.9691709386</v>
      </c>
      <c r="H74" s="76">
        <f t="shared" si="17"/>
        <v>722687.2733073406</v>
      </c>
      <c r="I74" s="76">
        <f t="shared" si="17"/>
        <v>799569.85531009873</v>
      </c>
      <c r="J74" s="76">
        <f t="shared" si="17"/>
        <v>883627.36929516785</v>
      </c>
      <c r="K74" s="76">
        <f t="shared" si="17"/>
        <v>974803.5509062388</v>
      </c>
      <c r="L74" s="76">
        <f t="shared" si="17"/>
        <v>1071891.6400973063</v>
      </c>
      <c r="M74" s="54"/>
      <c r="N74" s="54"/>
    </row>
    <row r="75" spans="1:14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</row>
    <row r="76" spans="1:14" x14ac:dyDescent="0.2">
      <c r="A76" s="72" t="s">
        <v>189</v>
      </c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</row>
    <row r="77" spans="1:14" x14ac:dyDescent="0.2">
      <c r="A77" s="58" t="s">
        <v>787</v>
      </c>
      <c r="B77" s="71"/>
      <c r="C77" s="71"/>
      <c r="D77" s="71">
        <f t="shared" si="18" ref="D77:L77">ROUND(MIN(0,D61-D59),2)</f>
        <v>0</v>
      </c>
      <c r="E77" s="71">
        <f t="shared" si="18"/>
        <v>0</v>
      </c>
      <c r="F77" s="71">
        <f t="shared" si="18"/>
        <v>0</v>
      </c>
      <c r="G77" s="71">
        <f t="shared" si="18"/>
        <v>0</v>
      </c>
      <c r="H77" s="71">
        <f t="shared" si="18"/>
        <v>0</v>
      </c>
      <c r="I77" s="71">
        <f t="shared" si="18"/>
        <v>0</v>
      </c>
      <c r="J77" s="71">
        <f t="shared" si="18"/>
        <v>0</v>
      </c>
      <c r="K77" s="71">
        <f t="shared" si="18"/>
        <v>0</v>
      </c>
      <c r="L77" s="71">
        <f t="shared" si="18"/>
        <v>0</v>
      </c>
      <c r="M77" s="54"/>
      <c r="N77" s="54"/>
    </row>
    <row r="78" spans="1:14" x14ac:dyDescent="0.2">
      <c r="A78" s="58" t="s">
        <v>788</v>
      </c>
      <c r="B78" s="71"/>
      <c r="C78" s="71">
        <f t="shared" si="19" ref="C78:L78">ROUND(MIN(0,C49),2)</f>
        <v>0</v>
      </c>
      <c r="D78" s="71">
        <f t="shared" si="19"/>
        <v>0</v>
      </c>
      <c r="E78" s="71">
        <f t="shared" si="19"/>
        <v>0</v>
      </c>
      <c r="F78" s="71">
        <f t="shared" si="19"/>
        <v>0</v>
      </c>
      <c r="G78" s="71">
        <f t="shared" si="19"/>
        <v>0</v>
      </c>
      <c r="H78" s="71">
        <f t="shared" si="19"/>
        <v>0</v>
      </c>
      <c r="I78" s="71">
        <f t="shared" si="19"/>
        <v>0</v>
      </c>
      <c r="J78" s="71">
        <f t="shared" si="19"/>
        <v>0</v>
      </c>
      <c r="K78" s="71">
        <f t="shared" si="19"/>
        <v>0</v>
      </c>
      <c r="L78" s="71">
        <f t="shared" si="19"/>
        <v>0</v>
      </c>
      <c r="M78" s="54"/>
      <c r="N78" s="54"/>
    </row>
    <row r="79" spans="1:14" x14ac:dyDescent="0.2">
      <c r="A79" s="58" t="s">
        <v>789</v>
      </c>
      <c r="B79" s="71"/>
      <c r="C79" s="71">
        <f t="shared" si="20" ref="C79:L79">ROUND(C12-B12-C7+C9,2)</f>
        <v>0</v>
      </c>
      <c r="D79" s="71">
        <f t="shared" si="20"/>
        <v>0</v>
      </c>
      <c r="E79" s="71">
        <f t="shared" si="20"/>
        <v>0</v>
      </c>
      <c r="F79" s="71">
        <f t="shared" si="20"/>
        <v>0</v>
      </c>
      <c r="G79" s="71">
        <f t="shared" si="20"/>
        <v>0</v>
      </c>
      <c r="H79" s="71">
        <f t="shared" si="20"/>
        <v>0</v>
      </c>
      <c r="I79" s="71">
        <f t="shared" si="20"/>
        <v>0</v>
      </c>
      <c r="J79" s="71">
        <f t="shared" si="20"/>
        <v>0</v>
      </c>
      <c r="K79" s="71">
        <f t="shared" si="20"/>
        <v>0</v>
      </c>
      <c r="L79" s="71">
        <f t="shared" si="20"/>
        <v>0</v>
      </c>
      <c r="M79" s="54"/>
      <c r="N79" s="5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87A3-CE63-2642-AF5A-3DD979AE6C14}">
  <sheetPr>
    <tabColor rgb="FF5A2331"/>
  </sheetPr>
  <dimension ref="A1:N78"/>
  <sheetViews>
    <sheetView showGridLines="0" workbookViewId="0"/>
  </sheetViews>
  <sheetFormatPr baseColWidth="10" defaultColWidth="8.33203125" defaultRowHeight="15" x14ac:dyDescent="0.2"/>
  <cols>
    <col min="1" max="1" width="77.6640625" customWidth="1"/>
    <col min="2" max="12" width="11.83203125" customWidth="1"/>
    <col min="13" max="13" width="17.6640625" customWidth="1"/>
    <col min="14" max="14" width="86" customWidth="1"/>
  </cols>
  <sheetData>
    <row r="1" spans="1:14" x14ac:dyDescent="0.2">
      <c r="A1" s="122" t="s">
        <v>790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x14ac:dyDescent="0.2">
      <c r="A2" s="54" t="s">
        <v>791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x14ac:dyDescent="0.2">
      <c r="A3" s="54"/>
      <c r="B3" s="54" t="s">
        <v>558</v>
      </c>
      <c r="C3" s="54" t="s">
        <v>559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x14ac:dyDescent="0.2">
      <c r="A4" s="125" t="s">
        <v>141</v>
      </c>
      <c r="B4" s="123" t="s">
        <v>66</v>
      </c>
      <c r="C4" s="124" t="s">
        <v>700</v>
      </c>
      <c r="D4" s="124" t="s">
        <v>701</v>
      </c>
      <c r="E4" s="124" t="s">
        <v>702</v>
      </c>
      <c r="F4" s="124" t="s">
        <v>703</v>
      </c>
      <c r="G4" s="124" t="s">
        <v>704</v>
      </c>
      <c r="H4" s="124" t="s">
        <v>705</v>
      </c>
      <c r="I4" s="124" t="s">
        <v>706</v>
      </c>
      <c r="J4" s="124" t="s">
        <v>707</v>
      </c>
      <c r="K4" s="124" t="s">
        <v>708</v>
      </c>
      <c r="L4" s="124" t="s">
        <v>709</v>
      </c>
      <c r="M4" s="126" t="s">
        <v>144</v>
      </c>
      <c r="N4" s="126" t="s">
        <v>560</v>
      </c>
    </row>
    <row r="5" spans="1:14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 x14ac:dyDescent="0.2">
      <c r="A6" s="72" t="s">
        <v>792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x14ac:dyDescent="0.2">
      <c r="A7" s="58" t="s">
        <v>478</v>
      </c>
      <c r="B7" s="55">
        <f>Revenue_Build!B13</f>
        <v>196175</v>
      </c>
      <c r="C7" s="55">
        <f>Revenue_Build!C13</f>
        <v>249714</v>
      </c>
      <c r="D7" s="55">
        <f>Revenue_Build!D13</f>
        <v>296660.23200000002</v>
      </c>
      <c r="E7" s="55">
        <f>Revenue_Build!E13</f>
        <v>345994.8285816001</v>
      </c>
      <c r="F7" s="55">
        <f>Revenue_Build!F13</f>
        <v>396094.87976021587</v>
      </c>
      <c r="G7" s="55">
        <f>Revenue_Build!G13</f>
        <v>445012.59741060261</v>
      </c>
      <c r="H7" s="55">
        <f>Revenue_Build!H13</f>
        <v>490581.88738544838</v>
      </c>
      <c r="I7" s="55">
        <f>Revenue_Build!I13</f>
        <v>535715.42102490971</v>
      </c>
      <c r="J7" s="55">
        <f>Revenue_Build!J13</f>
        <v>576644.07919121278</v>
      </c>
      <c r="K7" s="55">
        <f>Revenue_Build!K13</f>
        <v>614731.42062179232</v>
      </c>
      <c r="L7" s="55">
        <f>Revenue_Build!L13</f>
        <v>649002.69732145721</v>
      </c>
      <c r="M7" s="54"/>
      <c r="N7" s="54"/>
    </row>
    <row r="8" spans="1:14" x14ac:dyDescent="0.2">
      <c r="A8" s="58" t="s">
        <v>480</v>
      </c>
      <c r="B8" s="55">
        <f>Revenue_Build!B14</f>
        <v>2584</v>
      </c>
      <c r="C8" s="55">
        <f>Revenue_Build!C14</f>
        <v>4267</v>
      </c>
      <c r="D8" s="55">
        <f>Revenue_Build!D14</f>
        <v>5973.7999999999993</v>
      </c>
      <c r="E8" s="55">
        <f>Revenue_Build!E14</f>
        <v>7765.94</v>
      </c>
      <c r="F8" s="55">
        <f>Revenue_Build!F14</f>
        <v>9707.4249999999993</v>
      </c>
      <c r="G8" s="55">
        <f>Revenue_Build!G14</f>
        <v>11648.909999999998</v>
      </c>
      <c r="H8" s="55">
        <f>Revenue_Build!H14</f>
        <v>13396.246499999997</v>
      </c>
      <c r="I8" s="55">
        <f>Revenue_Build!I14</f>
        <v>15003.796079999998</v>
      </c>
      <c r="J8" s="55">
        <f>Revenue_Build!J14</f>
        <v>16504.175687999999</v>
      </c>
      <c r="K8" s="55">
        <f>Revenue_Build!K14</f>
        <v>17824.509743040002</v>
      </c>
      <c r="L8" s="55">
        <f>Revenue_Build!L14</f>
        <v>18893.980327622405</v>
      </c>
      <c r="M8" s="54"/>
      <c r="N8" s="54"/>
    </row>
    <row r="9" spans="1:14" x14ac:dyDescent="0.2">
      <c r="A9" s="58" t="s">
        <v>484</v>
      </c>
      <c r="B9" s="55">
        <f>Revenue_Build!B16</f>
        <v>2207</v>
      </c>
      <c r="C9" s="55">
        <f>Revenue_Build!C16</f>
        <v>2231</v>
      </c>
      <c r="D9" s="55">
        <f>Revenue_Build!D16</f>
        <v>2342.5500000000002</v>
      </c>
      <c r="E9" s="55">
        <f>Revenue_Build!E16</f>
        <v>2459.6775000000002</v>
      </c>
      <c r="F9" s="55">
        <f>Revenue_Build!F16</f>
        <v>2582.6613750000001</v>
      </c>
      <c r="G9" s="55">
        <f>Revenue_Build!G16</f>
        <v>2711.7944437500005</v>
      </c>
      <c r="H9" s="55">
        <f>Revenue_Build!H16</f>
        <v>2847.3841659375007</v>
      </c>
      <c r="I9" s="55">
        <f>Revenue_Build!I16</f>
        <v>2989.7533742343758</v>
      </c>
      <c r="J9" s="55">
        <f>Revenue_Build!J16</f>
        <v>3139.2410429460947</v>
      </c>
      <c r="K9" s="55">
        <f>Revenue_Build!K16</f>
        <v>3296.2030950933995</v>
      </c>
      <c r="L9" s="55">
        <f>Revenue_Build!L16</f>
        <v>3461.0132498480698</v>
      </c>
      <c r="M9" s="54"/>
      <c r="N9" s="54"/>
    </row>
    <row r="10" spans="1:14" x14ac:dyDescent="0.2">
      <c r="A10" s="72" t="s">
        <v>147</v>
      </c>
      <c r="B10" s="76">
        <f t="shared" si="0" ref="B10:L10">B7+B8+B9</f>
        <v>200966</v>
      </c>
      <c r="C10" s="76">
        <f t="shared" si="0"/>
        <v>256212</v>
      </c>
      <c r="D10" s="76">
        <f t="shared" si="0"/>
        <v>304976.58199999999</v>
      </c>
      <c r="E10" s="76">
        <f t="shared" si="0"/>
        <v>356220.44608160009</v>
      </c>
      <c r="F10" s="76">
        <f t="shared" si="0"/>
        <v>408384.96613521589</v>
      </c>
      <c r="G10" s="76">
        <f t="shared" si="0"/>
        <v>459373.30185435258</v>
      </c>
      <c r="H10" s="76">
        <f t="shared" si="0"/>
        <v>506825.51805138588</v>
      </c>
      <c r="I10" s="76">
        <f t="shared" si="0"/>
        <v>553708.97047914413</v>
      </c>
      <c r="J10" s="76">
        <f t="shared" si="0"/>
        <v>596287.49592215894</v>
      </c>
      <c r="K10" s="76">
        <f t="shared" si="0"/>
        <v>635852.13345992565</v>
      </c>
      <c r="L10" s="76">
        <f t="shared" si="0"/>
        <v>671357.69089892763</v>
      </c>
      <c r="M10" s="54"/>
      <c r="N10" s="54"/>
    </row>
    <row r="11" spans="1:14" x14ac:dyDescent="0.2">
      <c r="A11" s="58" t="s">
        <v>793</v>
      </c>
      <c r="B11" s="56"/>
      <c r="C11" s="56">
        <f t="shared" si="1" ref="C11:L11">C10/B10-1</f>
        <v>0.274902222266453</v>
      </c>
      <c r="D11" s="56">
        <f t="shared" si="1"/>
        <v>0.19032903220770292</v>
      </c>
      <c r="E11" s="56">
        <f t="shared" si="1"/>
        <v>0.16802557017836905</v>
      </c>
      <c r="F11" s="56">
        <f t="shared" si="1"/>
        <v>0.14643887128720956</v>
      </c>
      <c r="G11" s="56">
        <f t="shared" si="1"/>
        <v>0.12485360614928842</v>
      </c>
      <c r="H11" s="56">
        <f t="shared" si="1"/>
        <v>0.10329772323616315</v>
      </c>
      <c r="I11" s="56">
        <f t="shared" si="1"/>
        <v>9.2504127669050806E-2</v>
      </c>
      <c r="J11" s="56">
        <f t="shared" si="1"/>
        <v>7.6896939932488584E-2</v>
      </c>
      <c r="K11" s="56">
        <f t="shared" si="1"/>
        <v>6.6351613623190309E-2</v>
      </c>
      <c r="L11" s="56">
        <f t="shared" si="1"/>
        <v>5.5839330515102592E-2</v>
      </c>
      <c r="M11" s="54"/>
      <c r="N11" s="54"/>
    </row>
    <row r="12" spans="1:14" x14ac:dyDescent="0.2">
      <c r="A12" s="58" t="s">
        <v>794</v>
      </c>
      <c r="B12" s="55">
        <f>IS_Hist!H13-CF_Hist!H10</f>
        <v>99074</v>
      </c>
      <c r="C12" s="55">
        <f>Interim_Bridge!D12-Interim_Bridge!D17-Interim_Bridge!D13</f>
        <v>137401</v>
      </c>
      <c r="D12" s="68">
        <f>D10*Assumptions!J81</f>
        <v>164687.35428</v>
      </c>
      <c r="E12" s="68">
        <f>E10*Assumptions!K81</f>
        <v>189153.05686932965</v>
      </c>
      <c r="F12" s="68">
        <f>F10*Assumptions!L81</f>
        <v>213585.33728871791</v>
      </c>
      <c r="G12" s="68">
        <f>G10*Assumptions!M81</f>
        <v>236117.87715313723</v>
      </c>
      <c r="H12" s="68">
        <f>H10*Assumptions!N81</f>
        <v>255946.88661594986</v>
      </c>
      <c r="I12" s="68">
        <f>I10*Assumptions!O81</f>
        <v>274639.64935765549</v>
      </c>
      <c r="J12" s="68">
        <f>J10*Assumptions!P81</f>
        <v>290988.29801001353</v>
      </c>
      <c r="K12" s="68">
        <f>K10*Assumptions!Q81</f>
        <v>304573.17192730436</v>
      </c>
      <c r="L12" s="68">
        <f>L10*Assumptions!R81</f>
        <v>315538.11472249596</v>
      </c>
      <c r="M12" s="54"/>
      <c r="N12" s="54" t="s">
        <v>795</v>
      </c>
    </row>
    <row r="13" spans="1:14" x14ac:dyDescent="0.2">
      <c r="A13" s="58" t="s">
        <v>796</v>
      </c>
      <c r="B13" s="56">
        <f t="shared" si="2" ref="B13:L13">B12/B10</f>
        <v>0.49298886378790441</v>
      </c>
      <c r="C13" s="56">
        <f t="shared" si="2"/>
        <v>0.53627855057530482</v>
      </c>
      <c r="D13" s="56">
        <f t="shared" si="2"/>
        <v>0.54</v>
      </c>
      <c r="E13" s="56">
        <f t="shared" si="2"/>
        <v>0.53100000000000003</v>
      </c>
      <c r="F13" s="56">
        <f t="shared" si="2"/>
        <v>0.52300000000000002</v>
      </c>
      <c r="G13" s="56">
        <f t="shared" si="2"/>
        <v>0.51400000000000001</v>
      </c>
      <c r="H13" s="56">
        <f t="shared" si="2"/>
        <v>0.505</v>
      </c>
      <c r="I13" s="56">
        <f t="shared" si="2"/>
        <v>0.496</v>
      </c>
      <c r="J13" s="56">
        <f t="shared" si="2"/>
        <v>0.48799999999999993</v>
      </c>
      <c r="K13" s="56">
        <f t="shared" si="2"/>
        <v>0.47899999999999993</v>
      </c>
      <c r="L13" s="56">
        <f t="shared" si="2"/>
        <v>0.47</v>
      </c>
      <c r="M13" s="54"/>
      <c r="N13" s="54"/>
    </row>
    <row r="14" spans="1:14" x14ac:dyDescent="0.2">
      <c r="A14" s="58" t="s">
        <v>797</v>
      </c>
      <c r="B14" s="53">
        <v>0</v>
      </c>
      <c r="C14" s="55">
        <f>Interim_Bridge!D13</f>
        <v>11890</v>
      </c>
      <c r="D14" s="55">
        <f>Assumptions!J86</f>
        <v>0</v>
      </c>
      <c r="E14" s="55">
        <f>Assumptions!K86</f>
        <v>0</v>
      </c>
      <c r="F14" s="55">
        <f>Assumptions!L86</f>
        <v>0</v>
      </c>
      <c r="G14" s="55">
        <f>Assumptions!M86</f>
        <v>0</v>
      </c>
      <c r="H14" s="55">
        <f>Assumptions!N86</f>
        <v>0</v>
      </c>
      <c r="I14" s="55">
        <f>Assumptions!O86</f>
        <v>0</v>
      </c>
      <c r="J14" s="55">
        <f>Assumptions!P86</f>
        <v>0</v>
      </c>
      <c r="K14" s="55">
        <f>Assumptions!Q86</f>
        <v>0</v>
      </c>
      <c r="L14" s="55">
        <f>Assumptions!R86</f>
        <v>0</v>
      </c>
      <c r="M14" s="54"/>
      <c r="N14" s="54"/>
    </row>
    <row r="15" spans="1:14" x14ac:dyDescent="0.2">
      <c r="A15" s="58" t="s">
        <v>308</v>
      </c>
      <c r="B15" s="55">
        <f>Schedules!B9</f>
        <v>18616</v>
      </c>
      <c r="C15" s="55">
        <f>Schedules!C9</f>
        <v>27709</v>
      </c>
      <c r="D15" s="55">
        <f>Schedules!D9</f>
        <v>43679.38181818182</v>
      </c>
      <c r="E15" s="55">
        <f>Schedules!E9</f>
        <v>62498.38181818182</v>
      </c>
      <c r="F15" s="55">
        <f>Schedules!F9</f>
        <v>82372.563636363629</v>
      </c>
      <c r="G15" s="55">
        <f>Schedules!G9</f>
        <v>100583.92727272728</v>
      </c>
      <c r="H15" s="55">
        <f>Schedules!H9</f>
        <v>114964.38181818182</v>
      </c>
      <c r="I15" s="55">
        <f>Schedules!I9</f>
        <v>122805.29090909091</v>
      </c>
      <c r="J15" s="55">
        <f>Schedules!J9</f>
        <v>125459.83636363636</v>
      </c>
      <c r="K15" s="55">
        <f>Schedules!K9</f>
        <v>128073.47272727273</v>
      </c>
      <c r="L15" s="55">
        <f>Schedules!L9</f>
        <v>131696.20000000001</v>
      </c>
      <c r="M15" s="54"/>
      <c r="N15" s="54"/>
    </row>
    <row r="16" spans="1:14" x14ac:dyDescent="0.2">
      <c r="A16" s="72" t="s">
        <v>158</v>
      </c>
      <c r="B16" s="76">
        <f t="shared" si="3" ref="B16:L16">B12+B14+B15</f>
        <v>117690</v>
      </c>
      <c r="C16" s="76">
        <f t="shared" si="3"/>
        <v>177000</v>
      </c>
      <c r="D16" s="76">
        <f t="shared" si="3"/>
        <v>208366.73609818181</v>
      </c>
      <c r="E16" s="76">
        <f t="shared" si="3"/>
        <v>251651.4386875115</v>
      </c>
      <c r="F16" s="76">
        <f t="shared" si="3"/>
        <v>295957.90092508157</v>
      </c>
      <c r="G16" s="76">
        <f t="shared" si="3"/>
        <v>336701.80442586448</v>
      </c>
      <c r="H16" s="76">
        <f t="shared" si="3"/>
        <v>370911.2684341317</v>
      </c>
      <c r="I16" s="76">
        <f t="shared" si="3"/>
        <v>397444.9402667464</v>
      </c>
      <c r="J16" s="76">
        <f t="shared" si="3"/>
        <v>416448.1343736499</v>
      </c>
      <c r="K16" s="76">
        <f t="shared" si="3"/>
        <v>432646.6446545771</v>
      </c>
      <c r="L16" s="76">
        <f t="shared" si="3"/>
        <v>447234.31472249597</v>
      </c>
      <c r="M16" s="54"/>
      <c r="N16" s="54"/>
    </row>
    <row r="17" spans="1:14" x14ac:dyDescent="0.2">
      <c r="A17" s="72" t="s">
        <v>160</v>
      </c>
      <c r="B17" s="76">
        <f t="shared" si="4" ref="B17:L17">B10-B16</f>
        <v>83276</v>
      </c>
      <c r="C17" s="76">
        <f t="shared" si="4"/>
        <v>79212</v>
      </c>
      <c r="D17" s="76">
        <f t="shared" si="4"/>
        <v>96609.845901818189</v>
      </c>
      <c r="E17" s="76">
        <f t="shared" si="4"/>
        <v>104569.0073940886</v>
      </c>
      <c r="F17" s="76">
        <f t="shared" si="4"/>
        <v>112427.06521013431</v>
      </c>
      <c r="G17" s="76">
        <f t="shared" si="4"/>
        <v>122671.4974284881</v>
      </c>
      <c r="H17" s="76">
        <f t="shared" si="4"/>
        <v>135914.2496172542</v>
      </c>
      <c r="I17" s="76">
        <f t="shared" si="4"/>
        <v>156264.03021239775</v>
      </c>
      <c r="J17" s="76">
        <f t="shared" si="4"/>
        <v>179839.36154850904</v>
      </c>
      <c r="K17" s="76">
        <f t="shared" si="4"/>
        <v>203205.48880534858</v>
      </c>
      <c r="L17" s="76">
        <f t="shared" si="4"/>
        <v>224123.37617643166</v>
      </c>
      <c r="M17" s="54"/>
      <c r="N17" s="54"/>
    </row>
    <row r="18" spans="1:14" x14ac:dyDescent="0.2">
      <c r="A18" s="58" t="s">
        <v>798</v>
      </c>
      <c r="B18" s="56">
        <f t="shared" si="5" ref="B18:L18">B17/B10</f>
        <v>0.41437855159579234</v>
      </c>
      <c r="C18" s="56">
        <f t="shared" si="5"/>
        <v>0.30916584703292588</v>
      </c>
      <c r="D18" s="56">
        <f t="shared" si="5"/>
        <v>0.31677791543292394</v>
      </c>
      <c r="E18" s="56">
        <f t="shared" si="5"/>
        <v>0.2935513908433397</v>
      </c>
      <c r="F18" s="56">
        <f t="shared" si="5"/>
        <v>0.27529677763140237</v>
      </c>
      <c r="G18" s="56">
        <f t="shared" si="5"/>
        <v>0.26704098155748268</v>
      </c>
      <c r="H18" s="56">
        <f t="shared" si="5"/>
        <v>0.2681677318454872</v>
      </c>
      <c r="I18" s="56">
        <f t="shared" si="5"/>
        <v>0.28221328991144373</v>
      </c>
      <c r="J18" s="56">
        <f t="shared" si="5"/>
        <v>0.30159841146825889</v>
      </c>
      <c r="K18" s="56">
        <f t="shared" si="5"/>
        <v>0.31957978610471316</v>
      </c>
      <c r="L18" s="56">
        <f t="shared" si="5"/>
        <v>0.3338360150106231</v>
      </c>
      <c r="M18" s="54"/>
      <c r="N18" s="54"/>
    </row>
    <row r="19" spans="1:14" x14ac:dyDescent="0.2">
      <c r="A19" s="58" t="s">
        <v>799</v>
      </c>
      <c r="B19" s="55">
        <f>Interim_Bridge!G15</f>
        <v>-19193</v>
      </c>
      <c r="C19" s="55">
        <f>Interim_Bridge!D15</f>
        <v>-18500</v>
      </c>
      <c r="D19" s="55">
        <f>Assumptions!J96</f>
        <v>-15000</v>
      </c>
      <c r="E19" s="55">
        <f>Assumptions!K96</f>
        <v>-13500</v>
      </c>
      <c r="F19" s="55">
        <f>Assumptions!L96</f>
        <v>-12000</v>
      </c>
      <c r="G19" s="55">
        <f>Assumptions!M96</f>
        <v>-10500</v>
      </c>
      <c r="H19" s="55">
        <f>Assumptions!N96</f>
        <v>-9000</v>
      </c>
      <c r="I19" s="55">
        <f>Assumptions!O96</f>
        <v>-7500</v>
      </c>
      <c r="J19" s="55">
        <f>Assumptions!P96</f>
        <v>-6000</v>
      </c>
      <c r="K19" s="55">
        <f>Assumptions!Q96</f>
        <v>-5000</v>
      </c>
      <c r="L19" s="55">
        <f>Assumptions!R96</f>
        <v>-4000</v>
      </c>
      <c r="M19" s="54"/>
      <c r="N19" s="54"/>
    </row>
    <row r="20" spans="1:14" x14ac:dyDescent="0.2">
      <c r="A20" s="58" t="s">
        <v>800</v>
      </c>
      <c r="B20" s="68">
        <f t="shared" si="6" ref="B20:L20">B17-B19</f>
        <v>102469</v>
      </c>
      <c r="C20" s="68">
        <f t="shared" si="6"/>
        <v>97712</v>
      </c>
      <c r="D20" s="68">
        <f t="shared" si="6"/>
        <v>111609.84590181819</v>
      </c>
      <c r="E20" s="68">
        <f t="shared" si="6"/>
        <v>118069.0073940886</v>
      </c>
      <c r="F20" s="68">
        <f t="shared" si="6"/>
        <v>124427.06521013431</v>
      </c>
      <c r="G20" s="68">
        <f t="shared" si="6"/>
        <v>133171.4974284881</v>
      </c>
      <c r="H20" s="68">
        <f t="shared" si="6"/>
        <v>144914.2496172542</v>
      </c>
      <c r="I20" s="68">
        <f t="shared" si="6"/>
        <v>163764.03021239775</v>
      </c>
      <c r="J20" s="68">
        <f t="shared" si="6"/>
        <v>185839.36154850904</v>
      </c>
      <c r="K20" s="68">
        <f t="shared" si="6"/>
        <v>208205.48880534858</v>
      </c>
      <c r="L20" s="68">
        <f t="shared" si="6"/>
        <v>228123.37617643166</v>
      </c>
      <c r="M20" s="54"/>
      <c r="N20" s="54"/>
    </row>
    <row r="21" spans="1:14" x14ac:dyDescent="0.2">
      <c r="A21" s="58" t="s">
        <v>801</v>
      </c>
      <c r="B21" s="68">
        <f t="shared" si="7" ref="B21:L21">B17+B15</f>
        <v>101892</v>
      </c>
      <c r="C21" s="68">
        <f t="shared" si="7"/>
        <v>106921</v>
      </c>
      <c r="D21" s="68">
        <f t="shared" si="7"/>
        <v>140289.22772000002</v>
      </c>
      <c r="E21" s="68">
        <f t="shared" si="7"/>
        <v>167067.38921227044</v>
      </c>
      <c r="F21" s="68">
        <f t="shared" si="7"/>
        <v>194799.62884649794</v>
      </c>
      <c r="G21" s="68">
        <f t="shared" si="7"/>
        <v>223255.42470121538</v>
      </c>
      <c r="H21" s="68">
        <f t="shared" si="7"/>
        <v>250878.63143543602</v>
      </c>
      <c r="I21" s="68">
        <f t="shared" si="7"/>
        <v>279069.32112148864</v>
      </c>
      <c r="J21" s="68">
        <f t="shared" si="7"/>
        <v>305299.19791214541</v>
      </c>
      <c r="K21" s="68">
        <f t="shared" si="7"/>
        <v>331278.9615326213</v>
      </c>
      <c r="L21" s="68">
        <f t="shared" si="7"/>
        <v>355819.57617643167</v>
      </c>
      <c r="M21" s="54"/>
      <c r="N21" s="54"/>
    </row>
    <row r="22" spans="1:14" x14ac:dyDescent="0.2">
      <c r="A22" s="58" t="s">
        <v>802</v>
      </c>
      <c r="B22" s="68"/>
      <c r="C22" s="68"/>
      <c r="D22" s="68">
        <f>C35*Assumptions!$I$31</f>
        <v>2667.631171197118</v>
      </c>
      <c r="E22" s="68">
        <f>D35*Assumptions!$I$31</f>
        <v>2668.5450925</v>
      </c>
      <c r="F22" s="68">
        <f>E35*Assumptions!$I$31</f>
        <v>3116.9289032140009</v>
      </c>
      <c r="G22" s="68">
        <f>F35*Assumptions!$I$31</f>
        <v>3573.3684536831397</v>
      </c>
      <c r="H22" s="68">
        <f>G35*Assumptions!$I$31</f>
        <v>4019.516391225585</v>
      </c>
      <c r="I22" s="68">
        <f>H35*Assumptions!$I$31</f>
        <v>4434.723282949628</v>
      </c>
      <c r="J22" s="68">
        <f>I35*Assumptions!$I$31</f>
        <v>5050.806258962451</v>
      </c>
      <c r="K22" s="68">
        <f>J35*Assumptions!$I$31</f>
        <v>5826.554431284202</v>
      </c>
      <c r="L22" s="68">
        <f>K35*Assumptions!$I$31</f>
        <v>6761.375728260612</v>
      </c>
      <c r="M22" s="54"/>
      <c r="N22" s="54"/>
    </row>
    <row r="23" spans="1:14" x14ac:dyDescent="0.2">
      <c r="A23" s="58" t="s">
        <v>766</v>
      </c>
      <c r="B23" s="55"/>
      <c r="C23" s="55">
        <f>Schedules!C50</f>
        <v>3170</v>
      </c>
      <c r="D23" s="55">
        <f>Schedules!D50</f>
        <v>4015.3920000000003</v>
      </c>
      <c r="E23" s="55">
        <f>Schedules!E50</f>
        <v>7418.5381277155575</v>
      </c>
      <c r="F23" s="55">
        <f>Schedules!F50</f>
        <v>10584.099572390838</v>
      </c>
      <c r="G23" s="55">
        <f>Schedules!G50</f>
        <v>12312.165277606529</v>
      </c>
      <c r="H23" s="55">
        <f>Schedules!H50</f>
        <v>12761.437339488753</v>
      </c>
      <c r="I23" s="55">
        <f>Schedules!I50</f>
        <v>12796.453973521935</v>
      </c>
      <c r="J23" s="55">
        <f>Schedules!J50</f>
        <v>12796.453973521935</v>
      </c>
      <c r="K23" s="55">
        <f>Schedules!K50</f>
        <v>12796.453973521935</v>
      </c>
      <c r="L23" s="55">
        <f>Schedules!L50</f>
        <v>12796.453973521935</v>
      </c>
      <c r="M23" s="54"/>
      <c r="N23" s="54" t="s">
        <v>803</v>
      </c>
    </row>
    <row r="24" spans="1:14" x14ac:dyDescent="0.2">
      <c r="A24" s="58" t="s">
        <v>162</v>
      </c>
      <c r="B24" s="55">
        <f>IS_Hist!H17</f>
        <v>2656</v>
      </c>
      <c r="C24" s="55">
        <f>Interim_Bridge!D19</f>
        <v>-1326</v>
      </c>
      <c r="D24" s="68">
        <f t="shared" si="8" ref="D24:L24">D22-D23</f>
        <v>-1347.7608288028823</v>
      </c>
      <c r="E24" s="68">
        <f t="shared" si="8"/>
        <v>-4749.993035215557</v>
      </c>
      <c r="F24" s="68">
        <f t="shared" si="8"/>
        <v>-7467.170669176838</v>
      </c>
      <c r="G24" s="68">
        <f t="shared" si="8"/>
        <v>-8738.796823923389</v>
      </c>
      <c r="H24" s="68">
        <f t="shared" si="8"/>
        <v>-8741.920948263169</v>
      </c>
      <c r="I24" s="68">
        <f t="shared" si="8"/>
        <v>-8361.730690572307</v>
      </c>
      <c r="J24" s="68">
        <f t="shared" si="8"/>
        <v>-7745.6477145594845</v>
      </c>
      <c r="K24" s="68">
        <f t="shared" si="8"/>
        <v>-6969.899542237733</v>
      </c>
      <c r="L24" s="68">
        <f t="shared" si="8"/>
        <v>-6035.078245261323</v>
      </c>
      <c r="M24" s="54"/>
      <c r="N24" s="54"/>
    </row>
    <row r="25" spans="1:14" x14ac:dyDescent="0.2">
      <c r="A25" s="72" t="s">
        <v>165</v>
      </c>
      <c r="B25" s="76">
        <f t="shared" si="9" ref="B25:L25">B17+B24</f>
        <v>85932</v>
      </c>
      <c r="C25" s="76">
        <f t="shared" si="9"/>
        <v>77886</v>
      </c>
      <c r="D25" s="76">
        <f t="shared" si="9"/>
        <v>95262.085073015303</v>
      </c>
      <c r="E25" s="76">
        <f t="shared" si="9"/>
        <v>99819.01435887304</v>
      </c>
      <c r="F25" s="76">
        <f t="shared" si="9"/>
        <v>104959.89454095748</v>
      </c>
      <c r="G25" s="76">
        <f t="shared" si="9"/>
        <v>113932.70060456471</v>
      </c>
      <c r="H25" s="76">
        <f t="shared" si="9"/>
        <v>127172.32866899102</v>
      </c>
      <c r="I25" s="76">
        <f t="shared" si="9"/>
        <v>147902.29952182545</v>
      </c>
      <c r="J25" s="76">
        <f t="shared" si="9"/>
        <v>172093.71383394956</v>
      </c>
      <c r="K25" s="76">
        <f t="shared" si="9"/>
        <v>196235.58926311086</v>
      </c>
      <c r="L25" s="76">
        <f t="shared" si="9"/>
        <v>218088.29793117032</v>
      </c>
      <c r="M25" s="54"/>
      <c r="N25" s="54"/>
    </row>
    <row r="26" spans="1:14" x14ac:dyDescent="0.2">
      <c r="A26" s="58" t="s">
        <v>168</v>
      </c>
      <c r="B26" s="55">
        <f>IS_Hist!H20</f>
        <v>25474</v>
      </c>
      <c r="C26" s="55">
        <f>Interim_Bridge!D22</f>
        <v>4928.32</v>
      </c>
      <c r="D26" s="68">
        <f>D25*Assumptions!J101</f>
        <v>16194.554462412603</v>
      </c>
      <c r="E26" s="68">
        <f>E25*Assumptions!K101</f>
        <v>16969.23244100842</v>
      </c>
      <c r="F26" s="68">
        <f>F25*Assumptions!L101</f>
        <v>17843.182071962772</v>
      </c>
      <c r="G26" s="68">
        <f>G25*Assumptions!M101</f>
        <v>19368.559102776002</v>
      </c>
      <c r="H26" s="68">
        <f>H25*Assumptions!N101</f>
        <v>21619.295873728475</v>
      </c>
      <c r="I26" s="68">
        <f>I25*Assumptions!O101</f>
        <v>25143.390918710327</v>
      </c>
      <c r="J26" s="68">
        <f>J25*Assumptions!P101</f>
        <v>29255.931351771425</v>
      </c>
      <c r="K26" s="68">
        <f>K25*Assumptions!Q101</f>
        <v>33360.05017472885</v>
      </c>
      <c r="L26" s="68">
        <f>L25*Assumptions!R101</f>
        <v>37075.010648298958</v>
      </c>
      <c r="M26" s="54"/>
      <c r="N26" s="54"/>
    </row>
    <row r="27" spans="1:14" x14ac:dyDescent="0.2">
      <c r="A27" s="58" t="s">
        <v>804</v>
      </c>
      <c r="B27" s="56">
        <f t="shared" si="10" ref="B27:L27">B26/B25</f>
        <v>0.29644369966950612</v>
      </c>
      <c r="C27" s="56">
        <f t="shared" si="10"/>
        <v>6.3276070153814548E-2</v>
      </c>
      <c r="D27" s="56">
        <f t="shared" si="10"/>
        <v>0.17</v>
      </c>
      <c r="E27" s="56">
        <f t="shared" si="10"/>
        <v>0.17</v>
      </c>
      <c r="F27" s="56">
        <f t="shared" si="10"/>
        <v>0.17</v>
      </c>
      <c r="G27" s="56">
        <f t="shared" si="10"/>
        <v>0.17</v>
      </c>
      <c r="H27" s="56">
        <f t="shared" si="10"/>
        <v>0.17</v>
      </c>
      <c r="I27" s="56">
        <f t="shared" si="10"/>
        <v>0.17</v>
      </c>
      <c r="J27" s="56">
        <f t="shared" si="10"/>
        <v>0.17</v>
      </c>
      <c r="K27" s="56">
        <f t="shared" si="10"/>
        <v>0.17</v>
      </c>
      <c r="L27" s="56">
        <f t="shared" si="10"/>
        <v>0.17</v>
      </c>
      <c r="M27" s="54"/>
      <c r="N27" s="54"/>
    </row>
    <row r="28" spans="1:14" x14ac:dyDescent="0.2">
      <c r="A28" s="73" t="s">
        <v>170</v>
      </c>
      <c r="B28" s="70">
        <f t="shared" si="11" ref="B28:L28">B25-B26</f>
        <v>60458</v>
      </c>
      <c r="C28" s="70">
        <f t="shared" si="11"/>
        <v>72957.679999999993</v>
      </c>
      <c r="D28" s="70">
        <f t="shared" si="11"/>
        <v>79067.530610602698</v>
      </c>
      <c r="E28" s="70">
        <f t="shared" si="11"/>
        <v>82849.78191786463</v>
      </c>
      <c r="F28" s="70">
        <f t="shared" si="11"/>
        <v>87116.712468994709</v>
      </c>
      <c r="G28" s="70">
        <f t="shared" si="11"/>
        <v>94564.141501788719</v>
      </c>
      <c r="H28" s="70">
        <f t="shared" si="11"/>
        <v>105553.03279526254</v>
      </c>
      <c r="I28" s="70">
        <f t="shared" si="11"/>
        <v>122758.90860311512</v>
      </c>
      <c r="J28" s="70">
        <f t="shared" si="11"/>
        <v>142837.78248217813</v>
      </c>
      <c r="K28" s="70">
        <f t="shared" si="11"/>
        <v>162875.539088382</v>
      </c>
      <c r="L28" s="70">
        <f t="shared" si="11"/>
        <v>181013.28728287137</v>
      </c>
      <c r="M28" s="54"/>
      <c r="N28" s="54"/>
    </row>
    <row r="29" spans="1:14" x14ac:dyDescent="0.2">
      <c r="A29" s="58" t="s">
        <v>805</v>
      </c>
      <c r="B29" s="59">
        <f>IS_Hist!H32</f>
        <v>2574</v>
      </c>
      <c r="C29" s="59">
        <f>Schedules!C69</f>
        <v>2568.71</v>
      </c>
      <c r="D29" s="59">
        <f>Schedules!D69</f>
        <v>2604.3779400000003</v>
      </c>
      <c r="E29" s="59">
        <f>Schedules!E69</f>
        <v>2640.5452311600002</v>
      </c>
      <c r="F29" s="59">
        <f>Schedules!F69</f>
        <v>2677.21886439624</v>
      </c>
      <c r="G29" s="59">
        <f>Schedules!G69</f>
        <v>2708.4832660397724</v>
      </c>
      <c r="H29" s="59">
        <f>Schedules!H69</f>
        <v>2722.1601992526666</v>
      </c>
      <c r="I29" s="59">
        <f>Schedules!I69</f>
        <v>2715.564062039824</v>
      </c>
      <c r="J29" s="59">
        <f>Schedules!J69</f>
        <v>2696.1361491690845</v>
      </c>
      <c r="K29" s="59">
        <f>Schedules!K69</f>
        <v>2668.4964948971801</v>
      </c>
      <c r="L29" s="59">
        <f>Schedules!L69</f>
        <v>2634.3542738432593</v>
      </c>
      <c r="M29" s="54"/>
      <c r="N29" s="54"/>
    </row>
    <row r="30" spans="1:14" x14ac:dyDescent="0.2">
      <c r="A30" s="58" t="s">
        <v>806</v>
      </c>
      <c r="B30" s="57">
        <f t="shared" si="12" ref="B30:L30">B28/B29</f>
        <v>23.487956487956488</v>
      </c>
      <c r="C30" s="57">
        <f t="shared" si="12"/>
        <v>28.402458821743206</v>
      </c>
      <c r="D30" s="57">
        <f t="shared" si="12"/>
        <v>30.359468722347835</v>
      </c>
      <c r="E30" s="57">
        <f t="shared" si="12"/>
        <v>31.376013158262943</v>
      </c>
      <c r="F30" s="57">
        <f t="shared" si="12"/>
        <v>32.540003967378688</v>
      </c>
      <c r="G30" s="57">
        <f t="shared" si="12"/>
        <v>34.914057874190355</v>
      </c>
      <c r="H30" s="57">
        <f t="shared" si="12"/>
        <v>38.77546693403303</v>
      </c>
      <c r="I30" s="57">
        <f t="shared" si="12"/>
        <v>45.205675800151624</v>
      </c>
      <c r="J30" s="57">
        <f t="shared" si="12"/>
        <v>52.978697877033746</v>
      </c>
      <c r="K30" s="57">
        <f t="shared" si="12"/>
        <v>61.036444829453586</v>
      </c>
      <c r="L30" s="57">
        <f t="shared" si="12"/>
        <v>68.712583223968238</v>
      </c>
      <c r="M30" s="54"/>
      <c r="N30" s="54"/>
    </row>
    <row r="31" spans="1:14" x14ac:dyDescent="0.2">
      <c r="A31" s="58" t="s">
        <v>770</v>
      </c>
      <c r="B31" s="66"/>
      <c r="C31" s="66">
        <f>Schedules!C55</f>
        <v>2.1</v>
      </c>
      <c r="D31" s="66">
        <f>Schedules!D55</f>
        <v>2.2050000000000001</v>
      </c>
      <c r="E31" s="66">
        <f>Schedules!E55</f>
        <v>2.3152500000000003</v>
      </c>
      <c r="F31" s="66">
        <f>Schedules!F55</f>
        <v>2.4310125000000005</v>
      </c>
      <c r="G31" s="66">
        <f>Schedules!G55</f>
        <v>2.5525631250000007</v>
      </c>
      <c r="H31" s="66">
        <f>Schedules!H55</f>
        <v>2.6801912812500008</v>
      </c>
      <c r="I31" s="66">
        <f>Schedules!I55</f>
        <v>2.8142008453125009</v>
      </c>
      <c r="J31" s="66">
        <f>Schedules!J55</f>
        <v>2.954910887578126</v>
      </c>
      <c r="K31" s="66">
        <f>Schedules!K55</f>
        <v>3.1026564319570324</v>
      </c>
      <c r="L31" s="66">
        <f>Schedules!L55</f>
        <v>3.257789253554884</v>
      </c>
      <c r="M31" s="54"/>
      <c r="N31" s="54"/>
    </row>
    <row r="32" spans="1:14" x14ac:dyDescent="0.2">
      <c r="A32" s="58" t="s">
        <v>807</v>
      </c>
      <c r="B32" s="55">
        <f>CF_Hist!H11</f>
        <v>20427</v>
      </c>
      <c r="C32" s="55">
        <f>Interim_Bridge!D27</f>
        <v>28053</v>
      </c>
      <c r="D32" s="68">
        <f>D10*Assumptions!$I$38</f>
        <v>32022.541109999998</v>
      </c>
      <c r="E32" s="68">
        <f>E10*Assumptions!$I$38</f>
        <v>37403.146838568005</v>
      </c>
      <c r="F32" s="68">
        <f>F10*Assumptions!$I$38</f>
        <v>42880.421444197666</v>
      </c>
      <c r="G32" s="68">
        <f>G10*Assumptions!$I$38</f>
        <v>48234.196694707018</v>
      </c>
      <c r="H32" s="68">
        <f>H10*Assumptions!$I$38</f>
        <v>53216.679395395513</v>
      </c>
      <c r="I32" s="68">
        <f>I10*Assumptions!$I$38</f>
        <v>58139.441900310128</v>
      </c>
      <c r="J32" s="68">
        <f>J10*Assumptions!$I$38</f>
        <v>62610.187071826687</v>
      </c>
      <c r="K32" s="68">
        <f>K10*Assumptions!$I$38</f>
        <v>66764.474013292187</v>
      </c>
      <c r="L32" s="68">
        <f>L10*Assumptions!$I$38</f>
        <v>70492.557544387397</v>
      </c>
      <c r="M32" s="54"/>
      <c r="N32" s="54"/>
    </row>
    <row r="33" spans="1:14" x14ac:dyDescent="0.2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</row>
    <row r="34" spans="1:14" x14ac:dyDescent="0.2">
      <c r="A34" s="72" t="s">
        <v>808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 spans="1:14" x14ac:dyDescent="0.2">
      <c r="A35" s="58" t="s">
        <v>767</v>
      </c>
      <c r="B35" s="55">
        <f>BS_Hist!H9+BS_Hist!H10</f>
        <v>81592</v>
      </c>
      <c r="C35" s="68">
        <f t="shared" si="13" ref="C35:L35">C68</f>
        <v>76218.033462774794</v>
      </c>
      <c r="D35" s="68">
        <f t="shared" si="13"/>
        <v>76244.145499999999</v>
      </c>
      <c r="E35" s="68">
        <f t="shared" si="13"/>
        <v>89055.111520400023</v>
      </c>
      <c r="F35" s="68">
        <f t="shared" si="13"/>
        <v>102096.24153380399</v>
      </c>
      <c r="G35" s="68">
        <f t="shared" si="13"/>
        <v>114843.32546358813</v>
      </c>
      <c r="H35" s="68">
        <f t="shared" si="13"/>
        <v>126706.3795128465</v>
      </c>
      <c r="I35" s="68">
        <f t="shared" si="13"/>
        <v>144308.75025607</v>
      </c>
      <c r="J35" s="68">
        <f t="shared" si="13"/>
        <v>166472.98375097718</v>
      </c>
      <c r="K35" s="68">
        <f t="shared" si="13"/>
        <v>193182.1636645889</v>
      </c>
      <c r="L35" s="68">
        <f t="shared" si="13"/>
        <v>224173.64675455197</v>
      </c>
      <c r="M35" s="54"/>
      <c r="N35" s="54"/>
    </row>
    <row r="36" spans="1:14" x14ac:dyDescent="0.2">
      <c r="A36" s="58" t="s">
        <v>219</v>
      </c>
      <c r="B36" s="55">
        <f>BS_Hist!H11</f>
        <v>19769</v>
      </c>
      <c r="C36" s="55">
        <f>Schedules!C38</f>
        <v>25203.542031985507</v>
      </c>
      <c r="D36" s="55">
        <f>Schedules!D38</f>
        <v>30000.507795139474</v>
      </c>
      <c r="E36" s="55">
        <f>Schedules!E38</f>
        <v>35041.360223058386</v>
      </c>
      <c r="F36" s="55">
        <f>Schedules!F38</f>
        <v>40172.777462491576</v>
      </c>
      <c r="G36" s="55">
        <f>Schedules!G38</f>
        <v>45188.493597716508</v>
      </c>
      <c r="H36" s="55">
        <f>Schedules!H38</f>
        <v>49856.362102832558</v>
      </c>
      <c r="I36" s="55">
        <f>Schedules!I38</f>
        <v>54468.281387907409</v>
      </c>
      <c r="J36" s="55">
        <f>Schedules!J38</f>
        <v>58656.725550019204</v>
      </c>
      <c r="K36" s="55">
        <f>Schedules!K38</f>
        <v>62548.693940115591</v>
      </c>
      <c r="L36" s="55">
        <f>Schedules!L38</f>
        <v>66041.371134325702</v>
      </c>
      <c r="M36" s="54"/>
      <c r="N36" s="54"/>
    </row>
    <row r="37" spans="1:14" x14ac:dyDescent="0.2">
      <c r="A37" s="58" t="s">
        <v>222</v>
      </c>
      <c r="B37" s="55">
        <f>BS_Hist!H12</f>
        <v>7361</v>
      </c>
      <c r="C37" s="55">
        <f>Schedules!C39</f>
        <v>9384.5552581033608</v>
      </c>
      <c r="D37" s="55">
        <f>Schedules!D39</f>
        <v>11170.708578077883</v>
      </c>
      <c r="E37" s="55">
        <f>Schedules!E39</f>
        <v>13047.673256205819</v>
      </c>
      <c r="F37" s="55">
        <f>Schedules!F39</f>
        <v>14958.359800768907</v>
      </c>
      <c r="G37" s="55">
        <f>Schedules!G39</f>
        <v>16825.964963973456</v>
      </c>
      <c r="H37" s="55">
        <f>Schedules!H39</f>
        <v>18564.048836003363</v>
      </c>
      <c r="I37" s="55">
        <f>Schedules!I39</f>
        <v>20281.299979583513</v>
      </c>
      <c r="J37" s="55">
        <f>Schedules!J39</f>
        <v>21840.869885866327</v>
      </c>
      <c r="K37" s="55">
        <f>Schedules!K39</f>
        <v>23290.046845727698</v>
      </c>
      <c r="L37" s="55">
        <f>Schedules!L39</f>
        <v>24590.547469258512</v>
      </c>
      <c r="M37" s="54"/>
      <c r="N37" s="54"/>
    </row>
    <row r="38" spans="1:14" x14ac:dyDescent="0.2">
      <c r="A38" s="58" t="s">
        <v>226</v>
      </c>
      <c r="B38" s="55">
        <f>BS_Hist!H15</f>
        <v>27524</v>
      </c>
      <c r="C38" s="68">
        <f t="shared" si="14" ref="C38:L38">B38</f>
        <v>27524</v>
      </c>
      <c r="D38" s="68">
        <f t="shared" si="14"/>
        <v>27524</v>
      </c>
      <c r="E38" s="68">
        <f t="shared" si="14"/>
        <v>27524</v>
      </c>
      <c r="F38" s="68">
        <f t="shared" si="14"/>
        <v>27524</v>
      </c>
      <c r="G38" s="68">
        <f t="shared" si="14"/>
        <v>27524</v>
      </c>
      <c r="H38" s="68">
        <f t="shared" si="14"/>
        <v>27524</v>
      </c>
      <c r="I38" s="68">
        <f t="shared" si="14"/>
        <v>27524</v>
      </c>
      <c r="J38" s="68">
        <f t="shared" si="14"/>
        <v>27524</v>
      </c>
      <c r="K38" s="68">
        <f t="shared" si="14"/>
        <v>27524</v>
      </c>
      <c r="L38" s="68">
        <f t="shared" si="14"/>
        <v>27524</v>
      </c>
      <c r="M38" s="54"/>
      <c r="N38" s="54"/>
    </row>
    <row r="39" spans="1:14" x14ac:dyDescent="0.2">
      <c r="A39" s="58" t="s">
        <v>229</v>
      </c>
      <c r="B39" s="55">
        <f>BS_Hist!H16</f>
        <v>176400</v>
      </c>
      <c r="C39" s="55">
        <f>Schedules!C12</f>
        <v>288691</v>
      </c>
      <c r="D39" s="55">
        <f>Schedules!D12</f>
        <v>444011.61818181816</v>
      </c>
      <c r="E39" s="55">
        <f>Schedules!E12</f>
        <v>586513.23636363633</v>
      </c>
      <c r="F39" s="55">
        <f>Schedules!F12</f>
        <v>704140.67272727273</v>
      </c>
      <c r="G39" s="55">
        <f>Schedules!G12</f>
        <v>793556.74545454548</v>
      </c>
      <c r="H39" s="55">
        <f>Schedules!H12</f>
        <v>863592.36363636365</v>
      </c>
      <c r="I39" s="55">
        <f>Schedules!I12</f>
        <v>925787.07272727287</v>
      </c>
      <c r="J39" s="55">
        <f>Schedules!J12</f>
        <v>990327.23636363633</v>
      </c>
      <c r="K39" s="55">
        <f>Schedules!K12</f>
        <v>1057253.7636363637</v>
      </c>
      <c r="L39" s="55">
        <f>Schedules!L12</f>
        <v>1125557.5636363637</v>
      </c>
      <c r="M39" s="54"/>
      <c r="N39" s="54"/>
    </row>
    <row r="40" spans="1:14" x14ac:dyDescent="0.2">
      <c r="A40" s="58" t="s">
        <v>231</v>
      </c>
      <c r="B40" s="55">
        <f>BS_Hist!H17</f>
        <v>20404</v>
      </c>
      <c r="C40" s="68">
        <f t="shared" si="15" ref="C40:L40">B40</f>
        <v>20404</v>
      </c>
      <c r="D40" s="68">
        <f t="shared" si="15"/>
        <v>20404</v>
      </c>
      <c r="E40" s="68">
        <f t="shared" si="15"/>
        <v>20404</v>
      </c>
      <c r="F40" s="68">
        <f t="shared" si="15"/>
        <v>20404</v>
      </c>
      <c r="G40" s="68">
        <f t="shared" si="15"/>
        <v>20404</v>
      </c>
      <c r="H40" s="68">
        <f t="shared" si="15"/>
        <v>20404</v>
      </c>
      <c r="I40" s="68">
        <f t="shared" si="15"/>
        <v>20404</v>
      </c>
      <c r="J40" s="68">
        <f t="shared" si="15"/>
        <v>20404</v>
      </c>
      <c r="K40" s="68">
        <f t="shared" si="15"/>
        <v>20404</v>
      </c>
      <c r="L40" s="68">
        <f t="shared" si="15"/>
        <v>20404</v>
      </c>
      <c r="M40" s="54"/>
      <c r="N40" s="54"/>
    </row>
    <row r="41" spans="1:14" x14ac:dyDescent="0.2">
      <c r="A41" s="58" t="s">
        <v>809</v>
      </c>
      <c r="B41" s="55">
        <f>BS_Hist!H18+BS_Hist!H19</f>
        <v>24534</v>
      </c>
      <c r="C41" s="68">
        <f t="shared" si="16" ref="C41:L41">B41</f>
        <v>24534</v>
      </c>
      <c r="D41" s="68">
        <f t="shared" si="16"/>
        <v>24534</v>
      </c>
      <c r="E41" s="68">
        <f t="shared" si="16"/>
        <v>24534</v>
      </c>
      <c r="F41" s="68">
        <f t="shared" si="16"/>
        <v>24534</v>
      </c>
      <c r="G41" s="68">
        <f t="shared" si="16"/>
        <v>24534</v>
      </c>
      <c r="H41" s="68">
        <f t="shared" si="16"/>
        <v>24534</v>
      </c>
      <c r="I41" s="68">
        <f t="shared" si="16"/>
        <v>24534</v>
      </c>
      <c r="J41" s="68">
        <f t="shared" si="16"/>
        <v>24534</v>
      </c>
      <c r="K41" s="68">
        <f t="shared" si="16"/>
        <v>24534</v>
      </c>
      <c r="L41" s="68">
        <f t="shared" si="16"/>
        <v>24534</v>
      </c>
      <c r="M41" s="54"/>
      <c r="N41" s="54"/>
    </row>
    <row r="42" spans="1:14" x14ac:dyDescent="0.2">
      <c r="A42" s="58" t="s">
        <v>237</v>
      </c>
      <c r="B42" s="55">
        <f>BS_Hist!H20</f>
        <v>8437</v>
      </c>
      <c r="C42" s="68">
        <f t="shared" si="17" ref="C42:L42">B42</f>
        <v>8437</v>
      </c>
      <c r="D42" s="68">
        <f t="shared" si="17"/>
        <v>8437</v>
      </c>
      <c r="E42" s="68">
        <f t="shared" si="17"/>
        <v>8437</v>
      </c>
      <c r="F42" s="68">
        <f t="shared" si="17"/>
        <v>8437</v>
      </c>
      <c r="G42" s="68">
        <f t="shared" si="17"/>
        <v>8437</v>
      </c>
      <c r="H42" s="68">
        <f t="shared" si="17"/>
        <v>8437</v>
      </c>
      <c r="I42" s="68">
        <f t="shared" si="17"/>
        <v>8437</v>
      </c>
      <c r="J42" s="68">
        <f t="shared" si="17"/>
        <v>8437</v>
      </c>
      <c r="K42" s="68">
        <f t="shared" si="17"/>
        <v>8437</v>
      </c>
      <c r="L42" s="68">
        <f t="shared" si="17"/>
        <v>8437</v>
      </c>
      <c r="M42" s="54"/>
      <c r="N42" s="54"/>
    </row>
    <row r="43" spans="1:14" x14ac:dyDescent="0.2">
      <c r="A43" s="73" t="s">
        <v>239</v>
      </c>
      <c r="B43" s="70">
        <f t="shared" si="18" ref="B43:L43">SUM(B35:B42)</f>
        <v>366021</v>
      </c>
      <c r="C43" s="70">
        <f t="shared" si="18"/>
        <v>480396.13075286365</v>
      </c>
      <c r="D43" s="70">
        <f t="shared" si="18"/>
        <v>642325.98005503556</v>
      </c>
      <c r="E43" s="70">
        <f t="shared" si="18"/>
        <v>804556.38136330061</v>
      </c>
      <c r="F43" s="70">
        <f t="shared" si="18"/>
        <v>942267.0515243373</v>
      </c>
      <c r="G43" s="70">
        <f t="shared" si="18"/>
        <v>1051313.5294798235</v>
      </c>
      <c r="H43" s="70">
        <f t="shared" si="18"/>
        <v>1139618.1540880459</v>
      </c>
      <c r="I43" s="70">
        <f t="shared" si="18"/>
        <v>1225744.404350834</v>
      </c>
      <c r="J43" s="70">
        <f t="shared" si="18"/>
        <v>1318196.8155504991</v>
      </c>
      <c r="K43" s="70">
        <f t="shared" si="18"/>
        <v>1417173.6680867958</v>
      </c>
      <c r="L43" s="70">
        <f t="shared" si="18"/>
        <v>1521262.1289945</v>
      </c>
      <c r="M43" s="54"/>
      <c r="N43" s="54"/>
    </row>
    <row r="44" spans="1:14" x14ac:dyDescent="0.2">
      <c r="A44" s="58" t="s">
        <v>242</v>
      </c>
      <c r="B44" s="55">
        <f>BS_Hist!H26</f>
        <v>8894</v>
      </c>
      <c r="C44" s="55">
        <f>Schedules!C40</f>
        <v>11338.980364837835</v>
      </c>
      <c r="D44" s="55">
        <f>Schedules!D40</f>
        <v>13497.117523899566</v>
      </c>
      <c r="E44" s="55">
        <f>Schedules!E40</f>
        <v>15764.978391617246</v>
      </c>
      <c r="F44" s="55">
        <f>Schedules!F40</f>
        <v>18073.584033152922</v>
      </c>
      <c r="G44" s="55">
        <f>Schedules!G40</f>
        <v>20330.136175734264</v>
      </c>
      <c r="H44" s="55">
        <f>Schedules!H40</f>
        <v>22430.192955768769</v>
      </c>
      <c r="I44" s="55">
        <f>Schedules!I40</f>
        <v>24505.078388590649</v>
      </c>
      <c r="J44" s="55">
        <f>Schedules!J40</f>
        <v>26389.443929479025</v>
      </c>
      <c r="K44" s="55">
        <f>Schedules!K40</f>
        <v>28140.42611681866</v>
      </c>
      <c r="L44" s="55">
        <f>Schedules!L40</f>
        <v>29711.768671591526</v>
      </c>
      <c r="M44" s="54"/>
      <c r="N44" s="54"/>
    </row>
    <row r="45" spans="1:14" x14ac:dyDescent="0.2">
      <c r="A45" s="58" t="s">
        <v>248</v>
      </c>
      <c r="B45" s="55">
        <f>BS_Hist!H29</f>
        <v>30729</v>
      </c>
      <c r="C45" s="55">
        <f>Schedules!C41</f>
        <v>39176.470388025838</v>
      </c>
      <c r="D45" s="55">
        <f>Schedules!D41</f>
        <v>46632.890082292528</v>
      </c>
      <c r="E45" s="55">
        <f>Schedules!E41</f>
        <v>54468.408027434933</v>
      </c>
      <c r="F45" s="55">
        <f>Schedules!F41</f>
        <v>62444.700219783692</v>
      </c>
      <c r="G45" s="55">
        <f>Schedules!G41</f>
        <v>70241.146227134945</v>
      </c>
      <c r="H45" s="55">
        <f>Schedules!H41</f>
        <v>77496.896709896377</v>
      </c>
      <c r="I45" s="55">
        <f>Schedules!I41</f>
        <v>84665.67953710389</v>
      </c>
      <c r="J45" s="55">
        <f>Schedules!J41</f>
        <v>91176.211210811889</v>
      </c>
      <c r="K45" s="55">
        <f>Schedules!K41</f>
        <v>97225.899948698061</v>
      </c>
      <c r="L45" s="55">
        <f>Schedules!L41</f>
        <v>102654.92911056172</v>
      </c>
      <c r="M45" s="54"/>
      <c r="N45" s="54"/>
    </row>
    <row r="46" spans="1:14" x14ac:dyDescent="0.2">
      <c r="A46" s="58" t="s">
        <v>810</v>
      </c>
      <c r="B46" s="55">
        <f>BS_Hist!H28+BS_Hist!H33</f>
        <v>25153</v>
      </c>
      <c r="C46" s="68">
        <f t="shared" si="19" ref="C46:L46">B46</f>
        <v>25153</v>
      </c>
      <c r="D46" s="68">
        <f t="shared" si="19"/>
        <v>25153</v>
      </c>
      <c r="E46" s="68">
        <f t="shared" si="19"/>
        <v>25153</v>
      </c>
      <c r="F46" s="68">
        <f t="shared" si="19"/>
        <v>25153</v>
      </c>
      <c r="G46" s="68">
        <f t="shared" si="19"/>
        <v>25153</v>
      </c>
      <c r="H46" s="68">
        <f t="shared" si="19"/>
        <v>25153</v>
      </c>
      <c r="I46" s="68">
        <f t="shared" si="19"/>
        <v>25153</v>
      </c>
      <c r="J46" s="68">
        <f t="shared" si="19"/>
        <v>25153</v>
      </c>
      <c r="K46" s="68">
        <f t="shared" si="19"/>
        <v>25153</v>
      </c>
      <c r="L46" s="68">
        <f t="shared" si="19"/>
        <v>25153</v>
      </c>
      <c r="M46" s="54"/>
      <c r="N46" s="54"/>
    </row>
    <row r="47" spans="1:14" x14ac:dyDescent="0.2">
      <c r="A47" s="58" t="s">
        <v>811</v>
      </c>
      <c r="B47" s="55">
        <f>BS_Hist!H34</f>
        <v>58744</v>
      </c>
      <c r="C47" s="55">
        <f>Schedules!C49</f>
        <v>83654</v>
      </c>
      <c r="D47" s="55">
        <f>Schedules!D49</f>
        <v>154552.87766074078</v>
      </c>
      <c r="E47" s="55">
        <f>Schedules!E49</f>
        <v>220502.0744248091</v>
      </c>
      <c r="F47" s="55">
        <f>Schedules!F49</f>
        <v>256503.44328346936</v>
      </c>
      <c r="G47" s="55">
        <f>Schedules!G49</f>
        <v>265863.2779060157</v>
      </c>
      <c r="H47" s="55">
        <f>Schedules!H49</f>
        <v>266592.79111504031</v>
      </c>
      <c r="I47" s="55">
        <f>Schedules!I49</f>
        <v>266592.79111504031</v>
      </c>
      <c r="J47" s="55">
        <f>Schedules!J49</f>
        <v>266592.79111504031</v>
      </c>
      <c r="K47" s="55">
        <f>Schedules!K49</f>
        <v>266592.79111504031</v>
      </c>
      <c r="L47" s="55">
        <f>Schedules!L49</f>
        <v>266592.79111504031</v>
      </c>
      <c r="M47" s="54"/>
      <c r="N47" s="54"/>
    </row>
    <row r="48" spans="1:14" x14ac:dyDescent="0.2">
      <c r="A48" s="58" t="s">
        <v>258</v>
      </c>
      <c r="B48" s="55">
        <f>BS_Hist!H35</f>
        <v>21005</v>
      </c>
      <c r="C48" s="68">
        <f t="shared" si="20" ref="C48:L48">B48</f>
        <v>21005</v>
      </c>
      <c r="D48" s="68">
        <f t="shared" si="20"/>
        <v>21005</v>
      </c>
      <c r="E48" s="68">
        <f t="shared" si="20"/>
        <v>21005</v>
      </c>
      <c r="F48" s="68">
        <f t="shared" si="20"/>
        <v>21005</v>
      </c>
      <c r="G48" s="68">
        <f t="shared" si="20"/>
        <v>21005</v>
      </c>
      <c r="H48" s="68">
        <f t="shared" si="20"/>
        <v>21005</v>
      </c>
      <c r="I48" s="68">
        <f t="shared" si="20"/>
        <v>21005</v>
      </c>
      <c r="J48" s="68">
        <f t="shared" si="20"/>
        <v>21005</v>
      </c>
      <c r="K48" s="68">
        <f t="shared" si="20"/>
        <v>21005</v>
      </c>
      <c r="L48" s="68">
        <f t="shared" si="20"/>
        <v>21005</v>
      </c>
      <c r="M48" s="54"/>
      <c r="N48" s="54"/>
    </row>
    <row r="49" spans="1:14" x14ac:dyDescent="0.2">
      <c r="A49" s="58" t="s">
        <v>260</v>
      </c>
      <c r="B49" s="55">
        <f>BS_Hist!H36</f>
        <v>4253</v>
      </c>
      <c r="C49" s="68">
        <f t="shared" si="21" ref="C49:L49">B49</f>
        <v>4253</v>
      </c>
      <c r="D49" s="68">
        <f t="shared" si="21"/>
        <v>4253</v>
      </c>
      <c r="E49" s="68">
        <f t="shared" si="21"/>
        <v>4253</v>
      </c>
      <c r="F49" s="68">
        <f t="shared" si="21"/>
        <v>4253</v>
      </c>
      <c r="G49" s="68">
        <f t="shared" si="21"/>
        <v>4253</v>
      </c>
      <c r="H49" s="68">
        <f t="shared" si="21"/>
        <v>4253</v>
      </c>
      <c r="I49" s="68">
        <f t="shared" si="21"/>
        <v>4253</v>
      </c>
      <c r="J49" s="68">
        <f t="shared" si="21"/>
        <v>4253</v>
      </c>
      <c r="K49" s="68">
        <f t="shared" si="21"/>
        <v>4253</v>
      </c>
      <c r="L49" s="68">
        <f t="shared" si="21"/>
        <v>4253</v>
      </c>
      <c r="M49" s="54"/>
      <c r="N49" s="54"/>
    </row>
    <row r="50" spans="1:14" x14ac:dyDescent="0.2">
      <c r="A50" s="72" t="s">
        <v>262</v>
      </c>
      <c r="B50" s="76">
        <f t="shared" si="22" ref="B50:L50">SUM(B44:B49)</f>
        <v>148778</v>
      </c>
      <c r="C50" s="76">
        <f t="shared" si="22"/>
        <v>184580.45075286366</v>
      </c>
      <c r="D50" s="76">
        <f t="shared" si="22"/>
        <v>265093.88526693289</v>
      </c>
      <c r="E50" s="76">
        <f t="shared" si="22"/>
        <v>341146.4608438613</v>
      </c>
      <c r="F50" s="76">
        <f t="shared" si="22"/>
        <v>387432.72753640596</v>
      </c>
      <c r="G50" s="76">
        <f t="shared" si="22"/>
        <v>406845.5603088849</v>
      </c>
      <c r="H50" s="76">
        <f t="shared" si="22"/>
        <v>416930.88078070548</v>
      </c>
      <c r="I50" s="76">
        <f t="shared" si="22"/>
        <v>426174.54904073488</v>
      </c>
      <c r="J50" s="76">
        <f t="shared" si="22"/>
        <v>434569.44625533122</v>
      </c>
      <c r="K50" s="76">
        <f t="shared" si="22"/>
        <v>442370.11718055705</v>
      </c>
      <c r="L50" s="76">
        <f t="shared" si="22"/>
        <v>449370.48889719357</v>
      </c>
      <c r="M50" s="54"/>
      <c r="N50" s="54"/>
    </row>
    <row r="51" spans="1:14" x14ac:dyDescent="0.2">
      <c r="A51" s="58" t="s">
        <v>279</v>
      </c>
      <c r="B51" s="55">
        <f>BS_Hist!H47</f>
        <v>217243</v>
      </c>
      <c r="C51" s="55">
        <f>Schedules!C74</f>
        <v>295815.67999999999</v>
      </c>
      <c r="D51" s="55">
        <f>Schedules!D74</f>
        <v>377232.09478810267</v>
      </c>
      <c r="E51" s="55">
        <f>Schedules!E74</f>
        <v>463409.92051943927</v>
      </c>
      <c r="F51" s="55">
        <f>Schedules!F74</f>
        <v>554834.32398793113</v>
      </c>
      <c r="G51" s="55">
        <f>Schedules!G74</f>
        <v>644467.9691709386</v>
      </c>
      <c r="H51" s="55">
        <f>Schedules!H74</f>
        <v>722687.2733073406</v>
      </c>
      <c r="I51" s="55">
        <f>Schedules!I74</f>
        <v>799569.85531009873</v>
      </c>
      <c r="J51" s="55">
        <f>Schedules!J74</f>
        <v>883627.36929516785</v>
      </c>
      <c r="K51" s="55">
        <f>Schedules!K74</f>
        <v>974803.5509062388</v>
      </c>
      <c r="L51" s="55">
        <f>Schedules!L74</f>
        <v>1071891.6400973063</v>
      </c>
      <c r="M51" s="54"/>
      <c r="N51" s="54"/>
    </row>
    <row r="52" spans="1:14" x14ac:dyDescent="0.2">
      <c r="A52" s="73" t="s">
        <v>281</v>
      </c>
      <c r="B52" s="70">
        <f t="shared" si="23" ref="B52:L52">B50+B51</f>
        <v>366021</v>
      </c>
      <c r="C52" s="70">
        <f t="shared" si="23"/>
        <v>480396.13075286365</v>
      </c>
      <c r="D52" s="70">
        <f t="shared" si="23"/>
        <v>642325.98005503556</v>
      </c>
      <c r="E52" s="70">
        <f t="shared" si="23"/>
        <v>804556.3813633006</v>
      </c>
      <c r="F52" s="70">
        <f t="shared" si="23"/>
        <v>942267.05152433715</v>
      </c>
      <c r="G52" s="70">
        <f t="shared" si="23"/>
        <v>1051313.5294798235</v>
      </c>
      <c r="H52" s="70">
        <f t="shared" si="23"/>
        <v>1139618.154088046</v>
      </c>
      <c r="I52" s="70">
        <f t="shared" si="23"/>
        <v>1225744.4043508335</v>
      </c>
      <c r="J52" s="70">
        <f t="shared" si="23"/>
        <v>1318196.8155504991</v>
      </c>
      <c r="K52" s="70">
        <f t="shared" si="23"/>
        <v>1417173.6680867958</v>
      </c>
      <c r="L52" s="70">
        <f t="shared" si="23"/>
        <v>1521262.1289944998</v>
      </c>
      <c r="M52" s="54"/>
      <c r="N52" s="54"/>
    </row>
    <row r="53" spans="1:14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</row>
    <row r="54" spans="1:14" x14ac:dyDescent="0.2">
      <c r="A54" s="72" t="s">
        <v>812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</row>
    <row r="55" spans="1:14" x14ac:dyDescent="0.2">
      <c r="A55" s="58" t="s">
        <v>170</v>
      </c>
      <c r="B55" s="68">
        <f t="shared" si="24" ref="B55:L55">B28</f>
        <v>60458</v>
      </c>
      <c r="C55" s="68">
        <f t="shared" si="24"/>
        <v>72957.679999999993</v>
      </c>
      <c r="D55" s="68">
        <f t="shared" si="24"/>
        <v>79067.530610602698</v>
      </c>
      <c r="E55" s="68">
        <f t="shared" si="24"/>
        <v>82849.78191786463</v>
      </c>
      <c r="F55" s="68">
        <f t="shared" si="24"/>
        <v>87116.712468994709</v>
      </c>
      <c r="G55" s="68">
        <f t="shared" si="24"/>
        <v>94564.141501788719</v>
      </c>
      <c r="H55" s="68">
        <f t="shared" si="24"/>
        <v>105553.03279526254</v>
      </c>
      <c r="I55" s="68">
        <f t="shared" si="24"/>
        <v>122758.90860311512</v>
      </c>
      <c r="J55" s="68">
        <f t="shared" si="24"/>
        <v>142837.78248217813</v>
      </c>
      <c r="K55" s="68">
        <f t="shared" si="24"/>
        <v>162875.539088382</v>
      </c>
      <c r="L55" s="68">
        <f t="shared" si="24"/>
        <v>181013.28728287137</v>
      </c>
      <c r="M55" s="54"/>
      <c r="N55" s="54"/>
    </row>
    <row r="56" spans="1:14" x14ac:dyDescent="0.2">
      <c r="A56" s="58" t="s">
        <v>308</v>
      </c>
      <c r="B56" s="68">
        <f t="shared" si="25" ref="B56:L56">B15</f>
        <v>18616</v>
      </c>
      <c r="C56" s="68">
        <f t="shared" si="25"/>
        <v>27709</v>
      </c>
      <c r="D56" s="68">
        <f t="shared" si="25"/>
        <v>43679.38181818182</v>
      </c>
      <c r="E56" s="68">
        <f t="shared" si="25"/>
        <v>62498.38181818182</v>
      </c>
      <c r="F56" s="68">
        <f t="shared" si="25"/>
        <v>82372.563636363629</v>
      </c>
      <c r="G56" s="68">
        <f t="shared" si="25"/>
        <v>100583.92727272728</v>
      </c>
      <c r="H56" s="68">
        <f t="shared" si="25"/>
        <v>114964.38181818182</v>
      </c>
      <c r="I56" s="68">
        <f t="shared" si="25"/>
        <v>122805.29090909091</v>
      </c>
      <c r="J56" s="68">
        <f t="shared" si="25"/>
        <v>125459.83636363636</v>
      </c>
      <c r="K56" s="68">
        <f t="shared" si="25"/>
        <v>128073.47272727273</v>
      </c>
      <c r="L56" s="68">
        <f t="shared" si="25"/>
        <v>131696.20000000001</v>
      </c>
      <c r="M56" s="54"/>
      <c r="N56" s="54"/>
    </row>
    <row r="57" spans="1:14" x14ac:dyDescent="0.2">
      <c r="A57" s="58" t="s">
        <v>310</v>
      </c>
      <c r="B57" s="68">
        <f t="shared" si="26" ref="B57:L57">B32</f>
        <v>20427</v>
      </c>
      <c r="C57" s="68">
        <f t="shared" si="26"/>
        <v>28053</v>
      </c>
      <c r="D57" s="68">
        <f t="shared" si="26"/>
        <v>32022.541109999998</v>
      </c>
      <c r="E57" s="68">
        <f t="shared" si="26"/>
        <v>37403.146838568005</v>
      </c>
      <c r="F57" s="68">
        <f t="shared" si="26"/>
        <v>42880.421444197666</v>
      </c>
      <c r="G57" s="68">
        <f t="shared" si="26"/>
        <v>48234.196694707018</v>
      </c>
      <c r="H57" s="68">
        <f t="shared" si="26"/>
        <v>53216.679395395513</v>
      </c>
      <c r="I57" s="68">
        <f t="shared" si="26"/>
        <v>58139.441900310128</v>
      </c>
      <c r="J57" s="68">
        <f t="shared" si="26"/>
        <v>62610.187071826687</v>
      </c>
      <c r="K57" s="68">
        <f t="shared" si="26"/>
        <v>66764.474013292187</v>
      </c>
      <c r="L57" s="68">
        <f t="shared" si="26"/>
        <v>70492.557544387397</v>
      </c>
      <c r="M57" s="54"/>
      <c r="N57" s="54"/>
    </row>
    <row r="58" spans="1:14" x14ac:dyDescent="0.2">
      <c r="A58" s="58" t="s">
        <v>813</v>
      </c>
      <c r="B58" s="68">
        <f>CF_Hist!H29-B55-B56-B57</f>
        <v>16299</v>
      </c>
      <c r="C58" s="68">
        <f>Schedules!C43</f>
        <v>3434.3534627748086</v>
      </c>
      <c r="D58" s="68">
        <f>Schedules!D43</f>
        <v>3031.4377701999256</v>
      </c>
      <c r="E58" s="68">
        <f>Schedules!E43</f>
        <v>3185.5617068132415</v>
      </c>
      <c r="F58" s="68">
        <f>Schedules!F43</f>
        <v>3242.794049888158</v>
      </c>
      <c r="G58" s="68">
        <f>Schedules!G43</f>
        <v>3169.6768515031072</v>
      </c>
      <c r="H58" s="68">
        <f>Schedules!H43</f>
        <v>2949.8548856499838</v>
      </c>
      <c r="I58" s="68">
        <f>Schedules!I43</f>
        <v>2914.497831374385</v>
      </c>
      <c r="J58" s="68">
        <f>Schedules!J43</f>
        <v>2646.8831462017624</v>
      </c>
      <c r="K58" s="68">
        <f>Schedules!K43</f>
        <v>2459.5255752680678</v>
      </c>
      <c r="L58" s="68">
        <f>Schedules!L43</f>
        <v>2207.1938988955881</v>
      </c>
      <c r="M58" s="54"/>
      <c r="N58" s="54" t="s">
        <v>814</v>
      </c>
    </row>
    <row r="59" spans="1:14" x14ac:dyDescent="0.2">
      <c r="A59" s="72" t="s">
        <v>339</v>
      </c>
      <c r="B59" s="76">
        <f t="shared" si="27" ref="B59:L59">SUM(B55:B58)</f>
        <v>115800</v>
      </c>
      <c r="C59" s="76">
        <f t="shared" si="27"/>
        <v>132154.03346277479</v>
      </c>
      <c r="D59" s="76">
        <f t="shared" si="27"/>
        <v>157800.89130898443</v>
      </c>
      <c r="E59" s="76">
        <f t="shared" si="27"/>
        <v>185936.8722814277</v>
      </c>
      <c r="F59" s="76">
        <f t="shared" si="27"/>
        <v>215612.49159944415</v>
      </c>
      <c r="G59" s="76">
        <f t="shared" si="27"/>
        <v>246551.9423207261</v>
      </c>
      <c r="H59" s="76">
        <f t="shared" si="27"/>
        <v>276683.94889448985</v>
      </c>
      <c r="I59" s="76">
        <f t="shared" si="27"/>
        <v>306618.13924389053</v>
      </c>
      <c r="J59" s="76">
        <f t="shared" si="27"/>
        <v>333554.68906384293</v>
      </c>
      <c r="K59" s="76">
        <f t="shared" si="27"/>
        <v>360173.011404215</v>
      </c>
      <c r="L59" s="76">
        <f t="shared" si="27"/>
        <v>385409.23872615438</v>
      </c>
      <c r="M59" s="54"/>
      <c r="N59" s="54"/>
    </row>
    <row r="60" spans="1:14" x14ac:dyDescent="0.2">
      <c r="A60" s="58" t="s">
        <v>687</v>
      </c>
      <c r="B60" s="55">
        <f>CF_Hist!H32+CF_Hist!H50</f>
        <v>-72215</v>
      </c>
      <c r="C60" s="68">
        <f>-Schedules!C7</f>
        <v>-140000</v>
      </c>
      <c r="D60" s="68">
        <f>-Schedules!D7</f>
        <v>-199000</v>
      </c>
      <c r="E60" s="68">
        <f>-Schedules!E7</f>
        <v>-205000</v>
      </c>
      <c r="F60" s="68">
        <f>-Schedules!F7</f>
        <v>-200000</v>
      </c>
      <c r="G60" s="68">
        <f>-Schedules!G7</f>
        <v>-190000</v>
      </c>
      <c r="H60" s="68">
        <f>-Schedules!H7</f>
        <v>-185000</v>
      </c>
      <c r="I60" s="68">
        <f>-Schedules!I7</f>
        <v>-185000</v>
      </c>
      <c r="J60" s="68">
        <f>-Schedules!J7</f>
        <v>-190000</v>
      </c>
      <c r="K60" s="68">
        <f>-Schedules!K7</f>
        <v>-195000</v>
      </c>
      <c r="L60" s="68">
        <f>-Schedules!L7</f>
        <v>-200000</v>
      </c>
      <c r="M60" s="54"/>
      <c r="N60" s="54"/>
    </row>
    <row r="61" spans="1:14" x14ac:dyDescent="0.2">
      <c r="A61" s="58" t="s">
        <v>761</v>
      </c>
      <c r="B61" s="55"/>
      <c r="C61" s="55">
        <f>Schedules!C47</f>
        <v>24910</v>
      </c>
      <c r="D61" s="55">
        <f>Schedules!D47</f>
        <v>73648.877660740778</v>
      </c>
      <c r="E61" s="55">
        <f>Schedules!E47</f>
        <v>67449.19676406833</v>
      </c>
      <c r="F61" s="55">
        <f>Schedules!F47</f>
        <v>37001.36885866025</v>
      </c>
      <c r="G61" s="55">
        <f>Schedules!G47</f>
        <v>14359.834622546332</v>
      </c>
      <c r="H61" s="55">
        <f>Schedules!H47</f>
        <v>729.5132090246334</v>
      </c>
      <c r="I61" s="55">
        <f>Schedules!I47</f>
        <v>0</v>
      </c>
      <c r="J61" s="55">
        <f>Schedules!J47</f>
        <v>0</v>
      </c>
      <c r="K61" s="55">
        <f>Schedules!K47</f>
        <v>0</v>
      </c>
      <c r="L61" s="55">
        <f>Schedules!L47</f>
        <v>0</v>
      </c>
      <c r="M61" s="54"/>
      <c r="N61" s="54"/>
    </row>
    <row r="62" spans="1:14" x14ac:dyDescent="0.2">
      <c r="A62" s="58" t="s">
        <v>815</v>
      </c>
      <c r="B62" s="55"/>
      <c r="C62" s="55">
        <f>-Schedules!C48</f>
        <v>0</v>
      </c>
      <c r="D62" s="55">
        <f>-Schedules!D48</f>
        <v>-2750</v>
      </c>
      <c r="E62" s="55">
        <f>-Schedules!E48</f>
        <v>-1500</v>
      </c>
      <c r="F62" s="55">
        <f>-Schedules!F48</f>
        <v>-1000</v>
      </c>
      <c r="G62" s="55">
        <f>-Schedules!G48</f>
        <v>-5000</v>
      </c>
      <c r="H62" s="55">
        <f>-Schedules!H48</f>
        <v>0</v>
      </c>
      <c r="I62" s="55">
        <f>-Schedules!I48</f>
        <v>0</v>
      </c>
      <c r="J62" s="55">
        <f>-Schedules!J48</f>
        <v>0</v>
      </c>
      <c r="K62" s="55">
        <f>-Schedules!K48</f>
        <v>0</v>
      </c>
      <c r="L62" s="55">
        <f>-Schedules!L48</f>
        <v>0</v>
      </c>
      <c r="M62" s="54"/>
      <c r="N62" s="54"/>
    </row>
    <row r="63" spans="1:14" x14ac:dyDescent="0.2">
      <c r="A63" s="58" t="s">
        <v>771</v>
      </c>
      <c r="B63" s="55"/>
      <c r="C63" s="55">
        <f>-Schedules!C56</f>
        <v>-5420</v>
      </c>
      <c r="D63" s="55">
        <f>-Schedules!D56</f>
        <v>-5656.7511000000004</v>
      </c>
      <c r="E63" s="55">
        <f>-Schedules!E56</f>
        <v>-6022.7428961700007</v>
      </c>
      <c r="F63" s="55">
        <f>-Schedules!F56</f>
        <v>-6412.4143615522007</v>
      </c>
      <c r="G63" s="55">
        <f>-Schedules!G56</f>
        <v>-6827.2975707446285</v>
      </c>
      <c r="H63" s="55">
        <f>-Schedules!H56</f>
        <v>-7237.27598700829</v>
      </c>
      <c r="I63" s="55">
        <f>-Schedules!I56</f>
        <v>-7604.074845763972</v>
      </c>
      <c r="J63" s="55">
        <f>-Schedules!J56</f>
        <v>-7940.1147803442627</v>
      </c>
      <c r="K63" s="55">
        <f>-Schedules!K56</f>
        <v>-8262.9362397989789</v>
      </c>
      <c r="L63" s="55">
        <f>-Schedules!L56</f>
        <v>-8573.8882080115854</v>
      </c>
      <c r="M63" s="54"/>
      <c r="N63" s="54"/>
    </row>
    <row r="64" spans="1:14" x14ac:dyDescent="0.2">
      <c r="A64" s="58" t="s">
        <v>690</v>
      </c>
      <c r="B64" s="55"/>
      <c r="C64" s="55">
        <f>-Schedules!C58</f>
        <v>0</v>
      </c>
      <c r="D64" s="55">
        <f>-Schedules!D58</f>
        <v>0</v>
      </c>
      <c r="E64" s="55">
        <f>-Schedules!E58</f>
        <v>0</v>
      </c>
      <c r="F64" s="55">
        <f>-Schedules!F58</f>
        <v>0</v>
      </c>
      <c r="G64" s="55">
        <f>-Schedules!G58</f>
        <v>-10161.747921713417</v>
      </c>
      <c r="H64" s="55">
        <f>-Schedules!H58</f>
        <v>-33400.62252070119</v>
      </c>
      <c r="I64" s="55">
        <f>-Schedules!I58</f>
        <v>-52807.112229670471</v>
      </c>
      <c r="J64" s="55">
        <f>-Schedules!J58</f>
        <v>-66492.700484721485</v>
      </c>
      <c r="K64" s="55">
        <f>-Schedules!K58</f>
        <v>-80127.53974083516</v>
      </c>
      <c r="L64" s="55">
        <f>-Schedules!L58</f>
        <v>-92974.449269889199</v>
      </c>
      <c r="M64" s="54"/>
      <c r="N64" s="54"/>
    </row>
    <row r="65" spans="1:14" x14ac:dyDescent="0.2">
      <c r="A65" s="58" t="s">
        <v>691</v>
      </c>
      <c r="B65" s="55"/>
      <c r="C65" s="55">
        <f>-Schedules!C57</f>
        <v>-17018</v>
      </c>
      <c r="D65" s="55">
        <f>-Schedules!D57</f>
        <v>-24016.905832500001</v>
      </c>
      <c r="E65" s="55">
        <f>-Schedules!E57</f>
        <v>-28052.360128926004</v>
      </c>
      <c r="F65" s="55">
        <f>-Schedules!F57</f>
        <v>-32160.316083148249</v>
      </c>
      <c r="G65" s="55">
        <f>-Schedules!G57</f>
        <v>-36175.64752103026</v>
      </c>
      <c r="H65" s="55">
        <f>-Schedules!H57</f>
        <v>-39912.509546546637</v>
      </c>
      <c r="I65" s="55">
        <f>-Schedules!I57</f>
        <v>-43604.581425232594</v>
      </c>
      <c r="J65" s="55">
        <f>-Schedules!J57</f>
        <v>-46957.640303870015</v>
      </c>
      <c r="K65" s="55">
        <f>-Schedules!K57</f>
        <v>-50073.355509969144</v>
      </c>
      <c r="L65" s="55">
        <f>-Schedules!L57</f>
        <v>-52869.418158290544</v>
      </c>
      <c r="M65" s="54"/>
      <c r="N65" s="54"/>
    </row>
    <row r="66" spans="1:14" x14ac:dyDescent="0.2">
      <c r="A66" s="72" t="s">
        <v>816</v>
      </c>
      <c r="B66" s="76"/>
      <c r="C66" s="76">
        <f t="shared" si="28" ref="C66:L66">SUM(C59:C65)</f>
        <v>-5373.9665372252057</v>
      </c>
      <c r="D66" s="76">
        <f t="shared" si="28"/>
        <v>26.112037225204404</v>
      </c>
      <c r="E66" s="76">
        <f t="shared" si="28"/>
        <v>12810.966020400025</v>
      </c>
      <c r="F66" s="76">
        <f t="shared" si="28"/>
        <v>13041.130013403956</v>
      </c>
      <c r="G66" s="76">
        <f t="shared" si="28"/>
        <v>12747.083929784145</v>
      </c>
      <c r="H66" s="76">
        <f t="shared" si="28"/>
        <v>11863.054049258368</v>
      </c>
      <c r="I66" s="76">
        <f t="shared" si="28"/>
        <v>17602.370743223495</v>
      </c>
      <c r="J66" s="76">
        <f t="shared" si="28"/>
        <v>22164.233494907174</v>
      </c>
      <c r="K66" s="76">
        <f t="shared" si="28"/>
        <v>26709.179913611733</v>
      </c>
      <c r="L66" s="76">
        <f t="shared" si="28"/>
        <v>30991.483089963047</v>
      </c>
      <c r="M66" s="54"/>
      <c r="N66" s="54"/>
    </row>
    <row r="67" spans="1:14" x14ac:dyDescent="0.2">
      <c r="A67" s="58" t="s">
        <v>768</v>
      </c>
      <c r="B67" s="68"/>
      <c r="C67" s="68">
        <f t="shared" si="29" ref="C67:L67">B35</f>
        <v>81592</v>
      </c>
      <c r="D67" s="68">
        <f t="shared" si="29"/>
        <v>76218.033462774794</v>
      </c>
      <c r="E67" s="68">
        <f t="shared" si="29"/>
        <v>76244.145499999999</v>
      </c>
      <c r="F67" s="68">
        <f t="shared" si="29"/>
        <v>89055.111520400023</v>
      </c>
      <c r="G67" s="68">
        <f t="shared" si="29"/>
        <v>102096.24153380399</v>
      </c>
      <c r="H67" s="68">
        <f t="shared" si="29"/>
        <v>114843.32546358813</v>
      </c>
      <c r="I67" s="68">
        <f t="shared" si="29"/>
        <v>126706.3795128465</v>
      </c>
      <c r="J67" s="68">
        <f t="shared" si="29"/>
        <v>144308.75025607</v>
      </c>
      <c r="K67" s="68">
        <f t="shared" si="29"/>
        <v>166472.98375097718</v>
      </c>
      <c r="L67" s="68">
        <f t="shared" si="29"/>
        <v>193182.1636645889</v>
      </c>
      <c r="M67" s="54"/>
      <c r="N67" s="54"/>
    </row>
    <row r="68" spans="1:14" x14ac:dyDescent="0.2">
      <c r="A68" s="73" t="s">
        <v>774</v>
      </c>
      <c r="B68" s="70"/>
      <c r="C68" s="70">
        <f t="shared" si="30" ref="C68:L68">C67+C66</f>
        <v>76218.033462774794</v>
      </c>
      <c r="D68" s="70">
        <f t="shared" si="30"/>
        <v>76244.145499999999</v>
      </c>
      <c r="E68" s="70">
        <f t="shared" si="30"/>
        <v>89055.111520400023</v>
      </c>
      <c r="F68" s="70">
        <f t="shared" si="30"/>
        <v>102096.24153380399</v>
      </c>
      <c r="G68" s="70">
        <f t="shared" si="30"/>
        <v>114843.32546358813</v>
      </c>
      <c r="H68" s="70">
        <f t="shared" si="30"/>
        <v>126706.3795128465</v>
      </c>
      <c r="I68" s="70">
        <f t="shared" si="30"/>
        <v>144308.75025607</v>
      </c>
      <c r="J68" s="70">
        <f t="shared" si="30"/>
        <v>166472.98375097718</v>
      </c>
      <c r="K68" s="70">
        <f t="shared" si="30"/>
        <v>193182.1636645889</v>
      </c>
      <c r="L68" s="70">
        <f t="shared" si="30"/>
        <v>224173.64675455197</v>
      </c>
      <c r="M68" s="54"/>
      <c r="N68" s="54"/>
    </row>
    <row r="69" spans="1:14" x14ac:dyDescent="0.2">
      <c r="A69" s="58" t="s">
        <v>817</v>
      </c>
      <c r="B69" s="68">
        <f t="shared" si="31" ref="B69:L69">B59+B60</f>
        <v>43585</v>
      </c>
      <c r="C69" s="68">
        <f t="shared" si="31"/>
        <v>-7845.9665372252057</v>
      </c>
      <c r="D69" s="68">
        <f t="shared" si="31"/>
        <v>-41199.108691015572</v>
      </c>
      <c r="E69" s="68">
        <f t="shared" si="31"/>
        <v>-19063.1277185723</v>
      </c>
      <c r="F69" s="68">
        <f t="shared" si="31"/>
        <v>15612.491599444154</v>
      </c>
      <c r="G69" s="68">
        <f t="shared" si="31"/>
        <v>56551.94232072611</v>
      </c>
      <c r="H69" s="68">
        <f t="shared" si="31"/>
        <v>91683.94889448985</v>
      </c>
      <c r="I69" s="68">
        <f t="shared" si="31"/>
        <v>121618.13924389053</v>
      </c>
      <c r="J69" s="68">
        <f t="shared" si="31"/>
        <v>143554.68906384293</v>
      </c>
      <c r="K69" s="68">
        <f t="shared" si="31"/>
        <v>165173.011404215</v>
      </c>
      <c r="L69" s="68">
        <f t="shared" si="31"/>
        <v>185409.23872615438</v>
      </c>
      <c r="M69" s="54"/>
      <c r="N69" s="54"/>
    </row>
    <row r="70" spans="1:14" x14ac:dyDescent="0.2">
      <c r="A70" s="58" t="s">
        <v>818</v>
      </c>
      <c r="B70" s="56">
        <f t="shared" si="32" ref="B70:L70">B69/B10</f>
        <v>0.2168774817630843</v>
      </c>
      <c r="C70" s="56">
        <f t="shared" si="32"/>
        <v>-3.0622947157920806E-2</v>
      </c>
      <c r="D70" s="56">
        <f t="shared" si="32"/>
        <v>-0.13508941709831207</v>
      </c>
      <c r="E70" s="56">
        <f t="shared" si="32"/>
        <v>-0.053514973461701504</v>
      </c>
      <c r="F70" s="56">
        <f t="shared" si="32"/>
        <v>0.03822983923035715</v>
      </c>
      <c r="G70" s="56">
        <f t="shared" si="32"/>
        <v>0.12310672407918101</v>
      </c>
      <c r="H70" s="56">
        <f t="shared" si="32"/>
        <v>0.18089844656399923</v>
      </c>
      <c r="I70" s="56">
        <f t="shared" si="32"/>
        <v>0.21964271075227482</v>
      </c>
      <c r="J70" s="56">
        <f t="shared" si="32"/>
        <v>0.24074744153713223</v>
      </c>
      <c r="K70" s="56">
        <f t="shared" si="32"/>
        <v>0.259766387045747</v>
      </c>
      <c r="L70" s="56">
        <f t="shared" si="32"/>
        <v>0.27617057380827353</v>
      </c>
      <c r="M70" s="54"/>
      <c r="N70" s="54"/>
    </row>
    <row r="71" spans="1:14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1:14" x14ac:dyDescent="0.2">
      <c r="A72" s="72" t="s">
        <v>189</v>
      </c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1:14" x14ac:dyDescent="0.2">
      <c r="A73" s="58" t="s">
        <v>819</v>
      </c>
      <c r="B73" s="71">
        <f t="shared" si="33" ref="B73:L73">ROUND(B43-B52,2)</f>
        <v>0</v>
      </c>
      <c r="C73" s="71">
        <f t="shared" si="33"/>
        <v>0</v>
      </c>
      <c r="D73" s="71">
        <f t="shared" si="33"/>
        <v>0</v>
      </c>
      <c r="E73" s="71">
        <f t="shared" si="33"/>
        <v>0</v>
      </c>
      <c r="F73" s="71">
        <f t="shared" si="33"/>
        <v>0</v>
      </c>
      <c r="G73" s="71">
        <f t="shared" si="33"/>
        <v>0</v>
      </c>
      <c r="H73" s="71">
        <f t="shared" si="33"/>
        <v>0</v>
      </c>
      <c r="I73" s="71">
        <f t="shared" si="33"/>
        <v>0</v>
      </c>
      <c r="J73" s="71">
        <f t="shared" si="33"/>
        <v>0</v>
      </c>
      <c r="K73" s="71">
        <f t="shared" si="33"/>
        <v>0</v>
      </c>
      <c r="L73" s="71">
        <f t="shared" si="33"/>
        <v>0</v>
      </c>
      <c r="M73" s="54"/>
      <c r="N73" s="54"/>
    </row>
    <row r="74" spans="1:14" x14ac:dyDescent="0.2">
      <c r="A74" s="58" t="s">
        <v>820</v>
      </c>
      <c r="B74" s="71">
        <f>ROUND(B43-BS_Hist!H21,2)</f>
        <v>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54"/>
      <c r="N74" s="54"/>
    </row>
    <row r="75" spans="1:14" x14ac:dyDescent="0.2">
      <c r="A75" s="58" t="s">
        <v>821</v>
      </c>
      <c r="B75" s="71">
        <f>ROUND(B16-IS_Hist!H13,2)</f>
        <v>0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54"/>
      <c r="N75" s="54"/>
    </row>
    <row r="76" spans="1:14" x14ac:dyDescent="0.2">
      <c r="A76" s="58" t="s">
        <v>822</v>
      </c>
      <c r="B76" s="71"/>
      <c r="C76" s="71">
        <f>ROUND(C68-Schedules!C61,2)</f>
        <v>0</v>
      </c>
      <c r="D76" s="71">
        <f>ROUND(D68-Schedules!D61,2)</f>
        <v>0</v>
      </c>
      <c r="E76" s="71">
        <f>ROUND(E68-Schedules!E61,2)</f>
        <v>0</v>
      </c>
      <c r="F76" s="71">
        <f>ROUND(F68-Schedules!F61,2)</f>
        <v>0</v>
      </c>
      <c r="G76" s="71">
        <f>ROUND(G68-Schedules!G61,2)</f>
        <v>0</v>
      </c>
      <c r="H76" s="71">
        <f>ROUND(H68-Schedules!H61,2)</f>
        <v>0</v>
      </c>
      <c r="I76" s="71">
        <f>ROUND(I68-Schedules!I61,2)</f>
        <v>0</v>
      </c>
      <c r="J76" s="71">
        <f>ROUND(J68-Schedules!J61,2)</f>
        <v>0</v>
      </c>
      <c r="K76" s="71">
        <f>ROUND(K68-Schedules!K61,2)</f>
        <v>0</v>
      </c>
      <c r="L76" s="71">
        <f>ROUND(L68-Schedules!L61,2)</f>
        <v>0</v>
      </c>
      <c r="M76" s="54"/>
      <c r="N76" s="54"/>
    </row>
    <row r="77" spans="1:14" x14ac:dyDescent="0.2">
      <c r="A77" s="58" t="s">
        <v>823</v>
      </c>
      <c r="B77" s="71"/>
      <c r="C77" s="71">
        <f>ROUND(C28-Interim_Bridge!D23,2)</f>
        <v>0</v>
      </c>
      <c r="D77" s="71"/>
      <c r="E77" s="71"/>
      <c r="F77" s="71"/>
      <c r="G77" s="71"/>
      <c r="H77" s="71"/>
      <c r="I77" s="71"/>
      <c r="J77" s="71"/>
      <c r="K77" s="71"/>
      <c r="L77" s="71"/>
      <c r="M77" s="54"/>
      <c r="N77" s="54"/>
    </row>
    <row r="78" spans="1:14" x14ac:dyDescent="0.2">
      <c r="A78" s="58" t="s">
        <v>824</v>
      </c>
      <c r="B78" s="71"/>
      <c r="C78" s="71">
        <f>ROUND(C51-B51-C28-C32+Schedules!C57+Schedules!C58+Schedules!C56,2)</f>
        <v>0</v>
      </c>
      <c r="D78" s="71">
        <f>ROUND(D51-C51-D28-D32+Schedules!D57+Schedules!D58+Schedules!D56,2)</f>
        <v>0</v>
      </c>
      <c r="E78" s="71">
        <f>ROUND(E51-D51-E28-E32+Schedules!E57+Schedules!E58+Schedules!E56,2)</f>
        <v>0</v>
      </c>
      <c r="F78" s="71">
        <f>ROUND(F51-E51-F28-F32+Schedules!F57+Schedules!F58+Schedules!F56,2)</f>
        <v>0</v>
      </c>
      <c r="G78" s="71">
        <f>ROUND(G51-F51-G28-G32+Schedules!G57+Schedules!G58+Schedules!G56,2)</f>
        <v>0</v>
      </c>
      <c r="H78" s="71">
        <f>ROUND(H51-G51-H28-H32+Schedules!H57+Schedules!H58+Schedules!H56,2)</f>
        <v>0</v>
      </c>
      <c r="I78" s="71">
        <f>ROUND(I51-H51-I28-I32+Schedules!I57+Schedules!I58+Schedules!I56,2)</f>
        <v>0</v>
      </c>
      <c r="J78" s="71">
        <f>ROUND(J51-I51-J28-J32+Schedules!J57+Schedules!J58+Schedules!J56,2)</f>
        <v>0</v>
      </c>
      <c r="K78" s="71">
        <f>ROUND(K51-J51-K28-K32+Schedules!K57+Schedules!K58+Schedules!K56,2)</f>
        <v>0</v>
      </c>
      <c r="L78" s="71">
        <f>ROUND(L51-K51-L28-L32+Schedules!L57+Schedules!L58+Schedules!L56,2)</f>
        <v>0</v>
      </c>
      <c r="M78" s="54"/>
      <c r="N78" s="5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095F-2C00-1F40-9DB2-E5E3FE0D31A5}">
  <sheetPr>
    <tabColor rgb="FF5A2331"/>
  </sheetPr>
  <dimension ref="A1:U86"/>
  <sheetViews>
    <sheetView showGridLines="0" workbookViewId="0"/>
  </sheetViews>
  <sheetFormatPr baseColWidth="10" defaultColWidth="8.33203125" defaultRowHeight="15" x14ac:dyDescent="0.2"/>
  <cols>
    <col min="1" max="1" width="71" customWidth="1"/>
    <col min="2" max="19" width="11.33203125" customWidth="1"/>
    <col min="20" max="20" width="17.6640625" customWidth="1"/>
    <col min="21" max="21" width="86" customWidth="1"/>
  </cols>
  <sheetData>
    <row r="1" spans="1:21" x14ac:dyDescent="0.2">
      <c r="A1" s="122" t="s">
        <v>825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x14ac:dyDescent="0.2">
      <c r="A2" s="54" t="s">
        <v>826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</row>
    <row r="4" spans="1:21" x14ac:dyDescent="0.2">
      <c r="A4" s="72" t="s">
        <v>827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 spans="1:21" x14ac:dyDescent="0.2">
      <c r="A5" s="125" t="s">
        <v>828</v>
      </c>
      <c r="B5" s="125" t="s">
        <v>829</v>
      </c>
      <c r="C5" s="125" t="s">
        <v>830</v>
      </c>
      <c r="D5" s="125" t="s">
        <v>831</v>
      </c>
      <c r="E5" s="125" t="s">
        <v>832</v>
      </c>
      <c r="F5" s="125" t="s">
        <v>833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</row>
    <row r="6" spans="1:21" x14ac:dyDescent="0.2">
      <c r="A6" s="58" t="s">
        <v>834</v>
      </c>
      <c r="B6" s="54" t="s">
        <v>835</v>
      </c>
      <c r="C6" s="54" t="s">
        <v>836</v>
      </c>
      <c r="D6" s="54" t="s">
        <v>837</v>
      </c>
      <c r="E6" s="53">
        <v>10000</v>
      </c>
      <c r="F6" s="53">
        <v>10000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 spans="1:21" x14ac:dyDescent="0.2">
      <c r="A7" s="58" t="s">
        <v>838</v>
      </c>
      <c r="B7" s="54" t="s">
        <v>839</v>
      </c>
      <c r="C7" s="54" t="s">
        <v>840</v>
      </c>
      <c r="D7" s="54" t="s">
        <v>841</v>
      </c>
      <c r="E7" s="53">
        <v>8500</v>
      </c>
      <c r="F7" s="53">
        <v>8500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</row>
    <row r="8" spans="1:21" x14ac:dyDescent="0.2">
      <c r="A8" s="58" t="s">
        <v>842</v>
      </c>
      <c r="B8" s="54" t="s">
        <v>843</v>
      </c>
      <c r="C8" s="54" t="s">
        <v>844</v>
      </c>
      <c r="D8" s="54" t="s">
        <v>845</v>
      </c>
      <c r="E8" s="53">
        <v>10500</v>
      </c>
      <c r="F8" s="53">
        <v>10500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</row>
    <row r="9" spans="1:21" x14ac:dyDescent="0.2">
      <c r="A9" s="58" t="s">
        <v>846</v>
      </c>
      <c r="B9" s="54" t="s">
        <v>847</v>
      </c>
      <c r="C9" s="54" t="s">
        <v>848</v>
      </c>
      <c r="D9" s="54" t="s">
        <v>849</v>
      </c>
      <c r="E9" s="53">
        <v>30000</v>
      </c>
      <c r="F9" s="53">
        <v>30000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</row>
    <row r="10" spans="1:21" x14ac:dyDescent="0.2">
      <c r="A10" s="58" t="s">
        <v>850</v>
      </c>
      <c r="B10" s="54" t="s">
        <v>851</v>
      </c>
      <c r="C10" s="54" t="s">
        <v>852</v>
      </c>
      <c r="D10" s="54" t="s">
        <v>853</v>
      </c>
      <c r="E10" s="53">
        <v>25000</v>
      </c>
      <c r="F10" s="53">
        <v>0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</row>
    <row r="11" spans="1:21" x14ac:dyDescent="0.2">
      <c r="A11" s="73" t="s">
        <v>854</v>
      </c>
      <c r="B11" s="73"/>
      <c r="C11" s="73"/>
      <c r="D11" s="73"/>
      <c r="E11" s="76">
        <f>SUM(E6:E10)</f>
        <v>84000</v>
      </c>
      <c r="F11" s="76">
        <f>SUM(F6:F10)</f>
        <v>59000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</row>
    <row r="12" spans="1:21" x14ac:dyDescent="0.2">
      <c r="A12" s="58" t="s">
        <v>855</v>
      </c>
      <c r="B12" s="54"/>
      <c r="C12" s="54"/>
      <c r="D12" s="54"/>
      <c r="E12" s="53">
        <v>-331</v>
      </c>
      <c r="F12" s="53">
        <v>-256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</row>
    <row r="13" spans="1:21" x14ac:dyDescent="0.2">
      <c r="A13" s="73" t="s">
        <v>856</v>
      </c>
      <c r="B13" s="73"/>
      <c r="C13" s="73"/>
      <c r="D13" s="73"/>
      <c r="E13" s="76">
        <f>E11+E12</f>
        <v>83669</v>
      </c>
      <c r="F13" s="76">
        <f>F11+F12</f>
        <v>58744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</row>
    <row r="14" spans="1:21" x14ac:dyDescent="0.2">
      <c r="A14" s="58" t="s">
        <v>857</v>
      </c>
      <c r="B14" s="54"/>
      <c r="C14" s="54"/>
      <c r="D14" s="54"/>
      <c r="E14" s="53">
        <v>2747</v>
      </c>
      <c r="F14" s="53">
        <v>0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</row>
    <row r="15" spans="1:21" x14ac:dyDescent="0.2">
      <c r="A15" s="58" t="s">
        <v>858</v>
      </c>
      <c r="B15" s="54"/>
      <c r="C15" s="54"/>
      <c r="D15" s="54"/>
      <c r="E15" s="53">
        <v>73310</v>
      </c>
      <c r="F15" s="53">
        <v>57220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 spans="1:21" x14ac:dyDescent="0.2">
      <c r="A16" s="54" t="s">
        <v>859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r="17" spans="1:21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</row>
    <row r="18" spans="1:21" x14ac:dyDescent="0.2">
      <c r="A18" s="72" t="s">
        <v>860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 spans="1:21" x14ac:dyDescent="0.2">
      <c r="A19" s="58" t="s">
        <v>861</v>
      </c>
      <c r="B19" s="53">
        <v>0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</row>
    <row r="20" spans="1:21" x14ac:dyDescent="0.2">
      <c r="A20" s="58">
        <v>2027</v>
      </c>
      <c r="B20" s="53">
        <v>2750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spans="1:21" x14ac:dyDescent="0.2">
      <c r="A21" s="58">
        <v>2028</v>
      </c>
      <c r="B21" s="53">
        <v>1500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</row>
    <row r="22" spans="1:21" x14ac:dyDescent="0.2">
      <c r="A22" s="58">
        <v>2029</v>
      </c>
      <c r="B22" s="53">
        <v>1000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</row>
    <row r="23" spans="1:21" x14ac:dyDescent="0.2">
      <c r="A23" s="58">
        <v>2030</v>
      </c>
      <c r="B23" s="53">
        <v>5000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 spans="1:21" x14ac:dyDescent="0.2">
      <c r="A24" s="58" t="s">
        <v>862</v>
      </c>
      <c r="B24" s="53">
        <v>73750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</row>
    <row r="25" spans="1:21" x14ac:dyDescent="0.2">
      <c r="A25" s="73" t="s">
        <v>863</v>
      </c>
      <c r="B25" s="76">
        <f>SUM(B19:B24)</f>
        <v>84000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</row>
    <row r="26" spans="1:21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</row>
    <row r="27" spans="1:21" x14ac:dyDescent="0.2">
      <c r="A27" s="72" t="s">
        <v>864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</row>
    <row r="28" spans="1:21" x14ac:dyDescent="0.2">
      <c r="A28" s="58" t="s">
        <v>767</v>
      </c>
      <c r="B28" s="55">
        <f>Market_Package!B20</f>
        <v>82449</v>
      </c>
      <c r="C28" s="54" t="s">
        <v>103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</row>
    <row r="29" spans="1:21" x14ac:dyDescent="0.2">
      <c r="A29" s="58" t="s">
        <v>865</v>
      </c>
      <c r="B29" s="55">
        <f>BS_Hist!J28+BS_Hist!J33</f>
        <v>31173</v>
      </c>
      <c r="C29" s="54" t="s">
        <v>866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</row>
    <row r="30" spans="1:21" x14ac:dyDescent="0.2">
      <c r="A30" s="58" t="s">
        <v>867</v>
      </c>
      <c r="B30" s="55">
        <f>Market_Package!B23</f>
        <v>1184</v>
      </c>
      <c r="C30" s="54" t="s">
        <v>868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</row>
    <row r="31" spans="1:21" x14ac:dyDescent="0.2">
      <c r="A31" s="58" t="s">
        <v>869</v>
      </c>
      <c r="B31" s="55">
        <f>Market_Package!B26</f>
        <v>19881</v>
      </c>
      <c r="C31" s="54" t="s">
        <v>870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</row>
    <row r="32" spans="1:21" x14ac:dyDescent="0.2">
      <c r="A32" s="58" t="s">
        <v>871</v>
      </c>
      <c r="B32" s="53">
        <v>355730</v>
      </c>
      <c r="C32" s="54" t="s">
        <v>872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1:21" x14ac:dyDescent="0.2">
      <c r="A33" s="58" t="s">
        <v>873</v>
      </c>
      <c r="B33" s="53">
        <v>454520</v>
      </c>
      <c r="C33" s="54" t="s">
        <v>874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1:21" x14ac:dyDescent="0.2">
      <c r="A34" s="58" t="s">
        <v>875</v>
      </c>
      <c r="B34" s="53">
        <v>45850</v>
      </c>
      <c r="C34" s="54" t="s">
        <v>876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</row>
    <row r="35" spans="1:21" x14ac:dyDescent="0.2">
      <c r="A35" s="58" t="s">
        <v>877</v>
      </c>
      <c r="B35" s="53">
        <v>121410</v>
      </c>
      <c r="C35" s="54" t="s">
        <v>876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</row>
    <row r="36" spans="1:21" x14ac:dyDescent="0.2">
      <c r="A36" s="58" t="s">
        <v>878</v>
      </c>
      <c r="B36" s="53">
        <v>14720</v>
      </c>
      <c r="C36" s="54" t="s">
        <v>879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</row>
    <row r="37" spans="1:21" x14ac:dyDescent="0.2">
      <c r="A37" s="58" t="s">
        <v>880</v>
      </c>
      <c r="B37" s="53">
        <v>68404</v>
      </c>
      <c r="C37" s="54" t="s">
        <v>881</v>
      </c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1:21" x14ac:dyDescent="0.2">
      <c r="A38" s="58" t="s">
        <v>882</v>
      </c>
      <c r="B38" s="53">
        <v>41493</v>
      </c>
      <c r="C38" s="54" t="s">
        <v>883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</row>
    <row r="39" spans="1:21" x14ac:dyDescent="0.2">
      <c r="A39" s="58" t="s">
        <v>884</v>
      </c>
      <c r="B39" s="53">
        <v>25000</v>
      </c>
      <c r="C39" s="54" t="s">
        <v>885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</row>
    <row r="40" spans="1:21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</row>
    <row r="41" spans="1:21" x14ac:dyDescent="0.2">
      <c r="A41" s="72" t="s">
        <v>886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</row>
    <row r="42" spans="1:21" x14ac:dyDescent="0.2">
      <c r="A42" s="58" t="s">
        <v>887</v>
      </c>
      <c r="B42" s="54" t="s">
        <v>888</v>
      </c>
      <c r="C42" s="54" t="s">
        <v>889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</row>
    <row r="43" spans="1:21" x14ac:dyDescent="0.2">
      <c r="A43" s="58" t="s">
        <v>890</v>
      </c>
      <c r="B43" s="54" t="s">
        <v>891</v>
      </c>
      <c r="C43" s="54" t="s">
        <v>892</v>
      </c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</row>
    <row r="44" spans="1:21" x14ac:dyDescent="0.2">
      <c r="A44" s="58" t="s">
        <v>893</v>
      </c>
      <c r="B44" s="54" t="s">
        <v>894</v>
      </c>
      <c r="C44" s="54" t="s">
        <v>895</v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1:21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</row>
    <row r="46" spans="1:21" x14ac:dyDescent="0.2">
      <c r="A46" s="72" t="s">
        <v>896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</row>
    <row r="47" spans="1:21" x14ac:dyDescent="0.2">
      <c r="A47" s="125" t="s">
        <v>897</v>
      </c>
      <c r="B47" s="123" t="s">
        <v>42</v>
      </c>
      <c r="C47" s="123" t="s">
        <v>46</v>
      </c>
      <c r="D47" s="123" t="s">
        <v>50</v>
      </c>
      <c r="E47" s="123" t="s">
        <v>54</v>
      </c>
      <c r="F47" s="123" t="s">
        <v>58</v>
      </c>
      <c r="G47" s="123" t="s">
        <v>62</v>
      </c>
      <c r="H47" s="123" t="s">
        <v>66</v>
      </c>
      <c r="I47" s="123" t="s">
        <v>898</v>
      </c>
      <c r="J47" s="124" t="s">
        <v>700</v>
      </c>
      <c r="K47" s="124" t="s">
        <v>701</v>
      </c>
      <c r="L47" s="124" t="s">
        <v>702</v>
      </c>
      <c r="M47" s="124" t="s">
        <v>703</v>
      </c>
      <c r="N47" s="124" t="s">
        <v>704</v>
      </c>
      <c r="O47" s="124" t="s">
        <v>705</v>
      </c>
      <c r="P47" s="124" t="s">
        <v>706</v>
      </c>
      <c r="Q47" s="124" t="s">
        <v>707</v>
      </c>
      <c r="R47" s="124" t="s">
        <v>708</v>
      </c>
      <c r="S47" s="124" t="s">
        <v>709</v>
      </c>
      <c r="T47" s="126" t="s">
        <v>144</v>
      </c>
      <c r="U47" s="126" t="s">
        <v>560</v>
      </c>
    </row>
    <row r="48" spans="1:21" x14ac:dyDescent="0.2">
      <c r="A48" s="58" t="s">
        <v>147</v>
      </c>
      <c r="B48" s="55">
        <f>IS_Hist!B6</f>
        <v>70697</v>
      </c>
      <c r="C48" s="55">
        <f>IS_Hist!C6</f>
        <v>85965</v>
      </c>
      <c r="D48" s="55">
        <f>IS_Hist!D6</f>
        <v>117929</v>
      </c>
      <c r="E48" s="55">
        <f>IS_Hist!E6</f>
        <v>116609</v>
      </c>
      <c r="F48" s="55">
        <f>IS_Hist!F6</f>
        <v>134902</v>
      </c>
      <c r="G48" s="55">
        <f>IS_Hist!G6</f>
        <v>164501</v>
      </c>
      <c r="H48" s="55">
        <f>IS_Hist!H6</f>
        <v>200966</v>
      </c>
      <c r="I48" s="55">
        <f>Market_Package!B48</f>
        <v>241605</v>
      </c>
      <c r="J48" s="55">
        <f>Forecast_3Stmt!C10</f>
        <v>256212</v>
      </c>
      <c r="K48" s="55">
        <f>Forecast_3Stmt!D10</f>
        <v>304976.58199999999</v>
      </c>
      <c r="L48" s="55">
        <f>Forecast_3Stmt!E10</f>
        <v>356220.44608160009</v>
      </c>
      <c r="M48" s="55">
        <f>Forecast_3Stmt!F10</f>
        <v>408384.96613521589</v>
      </c>
      <c r="N48" s="55">
        <f>Forecast_3Stmt!G10</f>
        <v>459373.30185435258</v>
      </c>
      <c r="O48" s="55">
        <f>Forecast_3Stmt!H10</f>
        <v>506825.51805138588</v>
      </c>
      <c r="P48" s="55">
        <f>Forecast_3Stmt!I10</f>
        <v>553708.97047914413</v>
      </c>
      <c r="Q48" s="55">
        <f>Forecast_3Stmt!J10</f>
        <v>596287.49592215894</v>
      </c>
      <c r="R48" s="55">
        <f>Forecast_3Stmt!K10</f>
        <v>635852.13345992565</v>
      </c>
      <c r="S48" s="55">
        <f>Forecast_3Stmt!L10</f>
        <v>671357.69089892763</v>
      </c>
      <c r="T48" s="54"/>
      <c r="U48" s="54"/>
    </row>
    <row r="49" spans="1:21" x14ac:dyDescent="0.2">
      <c r="A49" s="58" t="s">
        <v>160</v>
      </c>
      <c r="B49" s="55">
        <f>IS_Hist!B15</f>
        <v>23986</v>
      </c>
      <c r="C49" s="55">
        <f>IS_Hist!C15</f>
        <v>32671</v>
      </c>
      <c r="D49" s="55">
        <f>IS_Hist!D15</f>
        <v>46753</v>
      </c>
      <c r="E49" s="55">
        <f>IS_Hist!E15</f>
        <v>28944</v>
      </c>
      <c r="F49" s="55">
        <f>IS_Hist!F15</f>
        <v>46751</v>
      </c>
      <c r="G49" s="55">
        <f>IS_Hist!G15</f>
        <v>69380</v>
      </c>
      <c r="H49" s="55">
        <f>IS_Hist!H15</f>
        <v>83276</v>
      </c>
      <c r="I49" s="55">
        <f>Market_Package!B49</f>
        <v>79380</v>
      </c>
      <c r="J49" s="55">
        <f>Forecast_3Stmt!C17</f>
        <v>79212</v>
      </c>
      <c r="K49" s="55">
        <f>Forecast_3Stmt!D17</f>
        <v>96609.845901818189</v>
      </c>
      <c r="L49" s="55">
        <f>Forecast_3Stmt!E17</f>
        <v>104569.0073940886</v>
      </c>
      <c r="M49" s="55">
        <f>Forecast_3Stmt!F17</f>
        <v>112427.06521013431</v>
      </c>
      <c r="N49" s="55">
        <f>Forecast_3Stmt!G17</f>
        <v>122671.4974284881</v>
      </c>
      <c r="O49" s="55">
        <f>Forecast_3Stmt!H17</f>
        <v>135914.2496172542</v>
      </c>
      <c r="P49" s="55">
        <f>Forecast_3Stmt!I17</f>
        <v>156264.03021239775</v>
      </c>
      <c r="Q49" s="55">
        <f>Forecast_3Stmt!J17</f>
        <v>179839.36154850904</v>
      </c>
      <c r="R49" s="55">
        <f>Forecast_3Stmt!K17</f>
        <v>203205.48880534858</v>
      </c>
      <c r="S49" s="55">
        <f>Forecast_3Stmt!L17</f>
        <v>224123.37617643166</v>
      </c>
      <c r="T49" s="54"/>
      <c r="U49" s="54"/>
    </row>
    <row r="50" spans="1:21" x14ac:dyDescent="0.2">
      <c r="A50" s="58" t="s">
        <v>899</v>
      </c>
      <c r="B50" s="55">
        <f>CF_Hist!B10</f>
        <v>5741</v>
      </c>
      <c r="C50" s="55">
        <f>CF_Hist!C10</f>
        <v>6862</v>
      </c>
      <c r="D50" s="55">
        <f>CF_Hist!D10</f>
        <v>7967</v>
      </c>
      <c r="E50" s="55">
        <f>CF_Hist!E10</f>
        <v>8686</v>
      </c>
      <c r="F50" s="55">
        <f>CF_Hist!F10</f>
        <v>11178</v>
      </c>
      <c r="G50" s="55">
        <f>CF_Hist!G10</f>
        <v>15498</v>
      </c>
      <c r="H50" s="55">
        <f>CF_Hist!H10</f>
        <v>18616</v>
      </c>
      <c r="I50" s="55">
        <f>Market_Package!B52</f>
        <v>24920</v>
      </c>
      <c r="J50" s="55">
        <f>Forecast_3Stmt!C15</f>
        <v>27709</v>
      </c>
      <c r="K50" s="55">
        <f>Forecast_3Stmt!D15</f>
        <v>43679.38181818182</v>
      </c>
      <c r="L50" s="55">
        <f>Forecast_3Stmt!E15</f>
        <v>62498.38181818182</v>
      </c>
      <c r="M50" s="55">
        <f>Forecast_3Stmt!F15</f>
        <v>82372.563636363629</v>
      </c>
      <c r="N50" s="55">
        <f>Forecast_3Stmt!G15</f>
        <v>100583.92727272728</v>
      </c>
      <c r="O50" s="55">
        <f>Forecast_3Stmt!H15</f>
        <v>114964.38181818182</v>
      </c>
      <c r="P50" s="55">
        <f>Forecast_3Stmt!I15</f>
        <v>122805.29090909091</v>
      </c>
      <c r="Q50" s="55">
        <f>Forecast_3Stmt!J15</f>
        <v>125459.83636363636</v>
      </c>
      <c r="R50" s="55">
        <f>Forecast_3Stmt!K15</f>
        <v>128073.47272727273</v>
      </c>
      <c r="S50" s="55">
        <f>Forecast_3Stmt!L15</f>
        <v>131696.20000000001</v>
      </c>
      <c r="T50" s="54"/>
      <c r="U50" s="54"/>
    </row>
    <row r="51" spans="1:21" x14ac:dyDescent="0.2">
      <c r="A51" s="58" t="s">
        <v>900</v>
      </c>
      <c r="B51" s="68">
        <f t="shared" si="0" ref="B51:S51">B49+B50</f>
        <v>29727</v>
      </c>
      <c r="C51" s="68">
        <f t="shared" si="0"/>
        <v>39533</v>
      </c>
      <c r="D51" s="68">
        <f t="shared" si="0"/>
        <v>54720</v>
      </c>
      <c r="E51" s="68">
        <f t="shared" si="0"/>
        <v>37630</v>
      </c>
      <c r="F51" s="68">
        <f t="shared" si="0"/>
        <v>57929</v>
      </c>
      <c r="G51" s="68">
        <f t="shared" si="0"/>
        <v>84878</v>
      </c>
      <c r="H51" s="68">
        <f t="shared" si="0"/>
        <v>101892</v>
      </c>
      <c r="I51" s="68">
        <f t="shared" si="0"/>
        <v>104300</v>
      </c>
      <c r="J51" s="68">
        <f t="shared" si="0"/>
        <v>106921</v>
      </c>
      <c r="K51" s="68">
        <f t="shared" si="0"/>
        <v>140289.22772000002</v>
      </c>
      <c r="L51" s="68">
        <f t="shared" si="0"/>
        <v>167067.38921227044</v>
      </c>
      <c r="M51" s="68">
        <f t="shared" si="0"/>
        <v>194799.62884649794</v>
      </c>
      <c r="N51" s="68">
        <f t="shared" si="0"/>
        <v>223255.42470121538</v>
      </c>
      <c r="O51" s="68">
        <f t="shared" si="0"/>
        <v>250878.63143543602</v>
      </c>
      <c r="P51" s="68">
        <f t="shared" si="0"/>
        <v>279069.32112148864</v>
      </c>
      <c r="Q51" s="68">
        <f t="shared" si="0"/>
        <v>305299.19791214541</v>
      </c>
      <c r="R51" s="68">
        <f t="shared" si="0"/>
        <v>331278.9615326213</v>
      </c>
      <c r="S51" s="68">
        <f t="shared" si="0"/>
        <v>355819.57617643167</v>
      </c>
      <c r="T51" s="54"/>
      <c r="U51" s="54"/>
    </row>
    <row r="52" spans="1:21" x14ac:dyDescent="0.2">
      <c r="A52" s="58" t="s">
        <v>766</v>
      </c>
      <c r="B52" s="53">
        <v>20</v>
      </c>
      <c r="C52" s="53">
        <v>14</v>
      </c>
      <c r="D52" s="53">
        <v>23</v>
      </c>
      <c r="E52" s="53">
        <v>185</v>
      </c>
      <c r="F52" s="53">
        <v>446</v>
      </c>
      <c r="G52" s="53">
        <v>715</v>
      </c>
      <c r="H52" s="53">
        <v>1165</v>
      </c>
      <c r="I52" s="53">
        <v>2667</v>
      </c>
      <c r="J52" s="68">
        <f>Schedules!C50</f>
        <v>3170</v>
      </c>
      <c r="K52" s="68">
        <f>Schedules!D50</f>
        <v>4015.3920000000003</v>
      </c>
      <c r="L52" s="68">
        <f>Schedules!E50</f>
        <v>7418.5381277155575</v>
      </c>
      <c r="M52" s="68">
        <f>Schedules!F50</f>
        <v>10584.099572390838</v>
      </c>
      <c r="N52" s="68">
        <f>Schedules!G50</f>
        <v>12312.165277606529</v>
      </c>
      <c r="O52" s="68">
        <f>Schedules!H50</f>
        <v>12761.437339488753</v>
      </c>
      <c r="P52" s="68">
        <f>Schedules!I50</f>
        <v>12796.453973521935</v>
      </c>
      <c r="Q52" s="68">
        <f>Schedules!J50</f>
        <v>12796.453973521935</v>
      </c>
      <c r="R52" s="68">
        <f>Schedules!K50</f>
        <v>12796.453973521935</v>
      </c>
      <c r="S52" s="68">
        <f>Schedules!L50</f>
        <v>12796.453973521935</v>
      </c>
      <c r="T52" s="54"/>
      <c r="U52" s="54" t="s">
        <v>901</v>
      </c>
    </row>
    <row r="53" spans="1:21" x14ac:dyDescent="0.2">
      <c r="A53" s="58" t="s">
        <v>759</v>
      </c>
      <c r="B53" s="55">
        <f>IF(BS_Hist!B34="",0,BS_Hist!B34)</f>
        <v>0</v>
      </c>
      <c r="C53" s="55">
        <f>IF(BS_Hist!C34="",0,BS_Hist!C34)</f>
        <v>0</v>
      </c>
      <c r="D53" s="55">
        <f>IF(BS_Hist!D34="",0,BS_Hist!D34)</f>
        <v>0</v>
      </c>
      <c r="E53" s="55">
        <f>IF(BS_Hist!E34="",0,BS_Hist!E34)</f>
        <v>9923</v>
      </c>
      <c r="F53" s="55">
        <f>IF(BS_Hist!F34="",0,BS_Hist!F34)</f>
        <v>18385</v>
      </c>
      <c r="G53" s="55">
        <f>IF(BS_Hist!G34="",0,BS_Hist!G34)</f>
        <v>28826</v>
      </c>
      <c r="H53" s="55">
        <f>IF(BS_Hist!H34="",0,BS_Hist!H34)</f>
        <v>58744</v>
      </c>
      <c r="I53" s="55">
        <f>E13</f>
        <v>83669</v>
      </c>
      <c r="J53" s="55">
        <f>Forecast_3Stmt!C47</f>
        <v>83654</v>
      </c>
      <c r="K53" s="55">
        <f>Forecast_3Stmt!D47</f>
        <v>154552.87766074078</v>
      </c>
      <c r="L53" s="55">
        <f>Forecast_3Stmt!E47</f>
        <v>220502.0744248091</v>
      </c>
      <c r="M53" s="55">
        <f>Forecast_3Stmt!F47</f>
        <v>256503.44328346936</v>
      </c>
      <c r="N53" s="55">
        <f>Forecast_3Stmt!G47</f>
        <v>265863.2779060157</v>
      </c>
      <c r="O53" s="55">
        <f>Forecast_3Stmt!H47</f>
        <v>266592.79111504031</v>
      </c>
      <c r="P53" s="55">
        <f>Forecast_3Stmt!I47</f>
        <v>266592.79111504031</v>
      </c>
      <c r="Q53" s="55">
        <f>Forecast_3Stmt!J47</f>
        <v>266592.79111504031</v>
      </c>
      <c r="R53" s="55">
        <f>Forecast_3Stmt!K47</f>
        <v>266592.79111504031</v>
      </c>
      <c r="S53" s="55">
        <f>Forecast_3Stmt!L47</f>
        <v>266592.79111504031</v>
      </c>
      <c r="T53" s="54"/>
      <c r="U53" s="54" t="s">
        <v>902</v>
      </c>
    </row>
    <row r="54" spans="1:21" x14ac:dyDescent="0.2">
      <c r="A54" s="58" t="s">
        <v>865</v>
      </c>
      <c r="B54" s="55">
        <f>BS_Hist!B28+BS_Hist!B33</f>
        <v>10324</v>
      </c>
      <c r="C54" s="55">
        <f>BS_Hist!C28+BS_Hist!C33</f>
        <v>10654</v>
      </c>
      <c r="D54" s="55">
        <f>BS_Hist!D28+BS_Hist!D33</f>
        <v>13873</v>
      </c>
      <c r="E54" s="55">
        <f>BS_Hist!E28+BS_Hist!E33</f>
        <v>16668</v>
      </c>
      <c r="F54" s="55">
        <f>BS_Hist!F28+BS_Hist!F33</f>
        <v>18849</v>
      </c>
      <c r="G54" s="55">
        <f>BS_Hist!G28+BS_Hist!G33</f>
        <v>20234</v>
      </c>
      <c r="H54" s="55">
        <f>BS_Hist!H28+BS_Hist!H33</f>
        <v>25153</v>
      </c>
      <c r="I54" s="55">
        <f>B29</f>
        <v>31173</v>
      </c>
      <c r="J54" s="55">
        <f>Forecast_3Stmt!C46</f>
        <v>25153</v>
      </c>
      <c r="K54" s="55">
        <f>Forecast_3Stmt!D46</f>
        <v>25153</v>
      </c>
      <c r="L54" s="55">
        <f>Forecast_3Stmt!E46</f>
        <v>25153</v>
      </c>
      <c r="M54" s="55">
        <f>Forecast_3Stmt!F46</f>
        <v>25153</v>
      </c>
      <c r="N54" s="55">
        <f>Forecast_3Stmt!G46</f>
        <v>25153</v>
      </c>
      <c r="O54" s="55">
        <f>Forecast_3Stmt!H46</f>
        <v>25153</v>
      </c>
      <c r="P54" s="55">
        <f>Forecast_3Stmt!I46</f>
        <v>25153</v>
      </c>
      <c r="Q54" s="55">
        <f>Forecast_3Stmt!J46</f>
        <v>25153</v>
      </c>
      <c r="R54" s="55">
        <f>Forecast_3Stmt!K46</f>
        <v>25153</v>
      </c>
      <c r="S54" s="55">
        <f>Forecast_3Stmt!L46</f>
        <v>25153</v>
      </c>
      <c r="T54" s="54"/>
      <c r="U54" s="54" t="s">
        <v>903</v>
      </c>
    </row>
    <row r="55" spans="1:21" x14ac:dyDescent="0.2">
      <c r="A55" s="58" t="s">
        <v>904</v>
      </c>
      <c r="B55" s="68">
        <f t="shared" si="1" ref="B55:S55">B53+B54</f>
        <v>10324</v>
      </c>
      <c r="C55" s="68">
        <f t="shared" si="1"/>
        <v>10654</v>
      </c>
      <c r="D55" s="68">
        <f t="shared" si="1"/>
        <v>13873</v>
      </c>
      <c r="E55" s="68">
        <f t="shared" si="1"/>
        <v>26591</v>
      </c>
      <c r="F55" s="68">
        <f t="shared" si="1"/>
        <v>37234</v>
      </c>
      <c r="G55" s="68">
        <f t="shared" si="1"/>
        <v>49060</v>
      </c>
      <c r="H55" s="68">
        <f t="shared" si="1"/>
        <v>83897</v>
      </c>
      <c r="I55" s="68">
        <f t="shared" si="1"/>
        <v>114842</v>
      </c>
      <c r="J55" s="68">
        <f t="shared" si="1"/>
        <v>108807</v>
      </c>
      <c r="K55" s="68">
        <f t="shared" si="1"/>
        <v>179705.87766074078</v>
      </c>
      <c r="L55" s="68">
        <f t="shared" si="1"/>
        <v>245655.0744248091</v>
      </c>
      <c r="M55" s="68">
        <f t="shared" si="1"/>
        <v>281656.44328346936</v>
      </c>
      <c r="N55" s="68">
        <f t="shared" si="1"/>
        <v>291016.2779060157</v>
      </c>
      <c r="O55" s="68">
        <f t="shared" si="1"/>
        <v>291745.79111504031</v>
      </c>
      <c r="P55" s="68">
        <f t="shared" si="1"/>
        <v>291745.79111504031</v>
      </c>
      <c r="Q55" s="68">
        <f t="shared" si="1"/>
        <v>291745.79111504031</v>
      </c>
      <c r="R55" s="68">
        <f t="shared" si="1"/>
        <v>291745.79111504031</v>
      </c>
      <c r="S55" s="68">
        <f t="shared" si="1"/>
        <v>291745.79111504031</v>
      </c>
      <c r="T55" s="54"/>
      <c r="U55" s="54"/>
    </row>
    <row r="56" spans="1:21" x14ac:dyDescent="0.2">
      <c r="A56" s="58" t="s">
        <v>767</v>
      </c>
      <c r="B56" s="55">
        <f>BS_Hist!B9+BS_Hist!B10</f>
        <v>54855</v>
      </c>
      <c r="C56" s="55">
        <f>BS_Hist!C9+BS_Hist!C10</f>
        <v>61954</v>
      </c>
      <c r="D56" s="55">
        <f>BS_Hist!D9+BS_Hist!D10</f>
        <v>47998</v>
      </c>
      <c r="E56" s="55">
        <f>BS_Hist!E9+BS_Hist!E10</f>
        <v>40738</v>
      </c>
      <c r="F56" s="55">
        <f>BS_Hist!F9+BS_Hist!F10</f>
        <v>65403</v>
      </c>
      <c r="G56" s="55">
        <f>BS_Hist!G9+BS_Hist!G10</f>
        <v>77815</v>
      </c>
      <c r="H56" s="55">
        <f>BS_Hist!H9+BS_Hist!H10</f>
        <v>81592</v>
      </c>
      <c r="I56" s="55">
        <f>B28</f>
        <v>82449</v>
      </c>
      <c r="J56" s="55">
        <f>Forecast_3Stmt!C35</f>
        <v>76218.033462774794</v>
      </c>
      <c r="K56" s="55">
        <f>Forecast_3Stmt!D35</f>
        <v>76244.145499999999</v>
      </c>
      <c r="L56" s="55">
        <f>Forecast_3Stmt!E35</f>
        <v>89055.111520400023</v>
      </c>
      <c r="M56" s="55">
        <f>Forecast_3Stmt!F35</f>
        <v>102096.24153380399</v>
      </c>
      <c r="N56" s="55">
        <f>Forecast_3Stmt!G35</f>
        <v>114843.32546358813</v>
      </c>
      <c r="O56" s="55">
        <f>Forecast_3Stmt!H35</f>
        <v>126706.3795128465</v>
      </c>
      <c r="P56" s="55">
        <f>Forecast_3Stmt!I35</f>
        <v>144308.75025607</v>
      </c>
      <c r="Q56" s="55">
        <f>Forecast_3Stmt!J35</f>
        <v>166472.98375097718</v>
      </c>
      <c r="R56" s="55">
        <f>Forecast_3Stmt!K35</f>
        <v>193182.1636645889</v>
      </c>
      <c r="S56" s="55">
        <f>Forecast_3Stmt!L35</f>
        <v>224173.64675455197</v>
      </c>
      <c r="T56" s="54"/>
      <c r="U56" s="54"/>
    </row>
    <row r="57" spans="1:21" x14ac:dyDescent="0.2">
      <c r="A57" s="58" t="s">
        <v>905</v>
      </c>
      <c r="B57" s="68">
        <f t="shared" si="2" ref="B57:S57">B53-B56</f>
        <v>-54855</v>
      </c>
      <c r="C57" s="68">
        <f t="shared" si="2"/>
        <v>-61954</v>
      </c>
      <c r="D57" s="68">
        <f t="shared" si="2"/>
        <v>-47998</v>
      </c>
      <c r="E57" s="68">
        <f t="shared" si="2"/>
        <v>-30815</v>
      </c>
      <c r="F57" s="68">
        <f t="shared" si="2"/>
        <v>-47018</v>
      </c>
      <c r="G57" s="68">
        <f t="shared" si="2"/>
        <v>-48989</v>
      </c>
      <c r="H57" s="68">
        <f t="shared" si="2"/>
        <v>-22848</v>
      </c>
      <c r="I57" s="68">
        <f t="shared" si="2"/>
        <v>1220</v>
      </c>
      <c r="J57" s="68">
        <f t="shared" si="2"/>
        <v>7435.9665372252057</v>
      </c>
      <c r="K57" s="68">
        <f t="shared" si="2"/>
        <v>78308.732160740779</v>
      </c>
      <c r="L57" s="68">
        <f t="shared" si="2"/>
        <v>131446.9629044091</v>
      </c>
      <c r="M57" s="68">
        <f t="shared" si="2"/>
        <v>154407.20174966537</v>
      </c>
      <c r="N57" s="68">
        <f t="shared" si="2"/>
        <v>151019.95244242757</v>
      </c>
      <c r="O57" s="68">
        <f t="shared" si="2"/>
        <v>139886.4116021938</v>
      </c>
      <c r="P57" s="68">
        <f t="shared" si="2"/>
        <v>122284.04085897031</v>
      </c>
      <c r="Q57" s="68">
        <f t="shared" si="2"/>
        <v>100119.80736406313</v>
      </c>
      <c r="R57" s="68">
        <f t="shared" si="2"/>
        <v>73410.6274504514</v>
      </c>
      <c r="S57" s="68">
        <f t="shared" si="2"/>
        <v>42419.14436048834</v>
      </c>
      <c r="T57" s="54"/>
      <c r="U57" s="54"/>
    </row>
    <row r="58" spans="1:21" x14ac:dyDescent="0.2">
      <c r="A58" s="58" t="s">
        <v>906</v>
      </c>
      <c r="B58" s="55">
        <f>CF_Hist!B29</f>
        <v>36314</v>
      </c>
      <c r="C58" s="55">
        <f>CF_Hist!C29</f>
        <v>38747</v>
      </c>
      <c r="D58" s="55">
        <f>CF_Hist!D29</f>
        <v>57683</v>
      </c>
      <c r="E58" s="55">
        <f>CF_Hist!E29</f>
        <v>50475</v>
      </c>
      <c r="F58" s="55">
        <f>CF_Hist!F29</f>
        <v>71113</v>
      </c>
      <c r="G58" s="55">
        <f>CF_Hist!G29</f>
        <v>91328</v>
      </c>
      <c r="H58" s="55">
        <f>CF_Hist!H29</f>
        <v>115800</v>
      </c>
      <c r="I58" s="55">
        <f>Market_Package!B57</f>
        <v>133087</v>
      </c>
      <c r="J58" s="55">
        <f>Forecast_3Stmt!C59</f>
        <v>132154.03346277479</v>
      </c>
      <c r="K58" s="55">
        <f>Forecast_3Stmt!D59</f>
        <v>157800.89130898443</v>
      </c>
      <c r="L58" s="55">
        <f>Forecast_3Stmt!E59</f>
        <v>185936.8722814277</v>
      </c>
      <c r="M58" s="55">
        <f>Forecast_3Stmt!F59</f>
        <v>215612.49159944415</v>
      </c>
      <c r="N58" s="55">
        <f>Forecast_3Stmt!G59</f>
        <v>246551.9423207261</v>
      </c>
      <c r="O58" s="55">
        <f>Forecast_3Stmt!H59</f>
        <v>276683.94889448985</v>
      </c>
      <c r="P58" s="55">
        <f>Forecast_3Stmt!I59</f>
        <v>306618.13924389053</v>
      </c>
      <c r="Q58" s="55">
        <f>Forecast_3Stmt!J59</f>
        <v>333554.68906384293</v>
      </c>
      <c r="R58" s="55">
        <f>Forecast_3Stmt!K59</f>
        <v>360173.011404215</v>
      </c>
      <c r="S58" s="55">
        <f>Forecast_3Stmt!L59</f>
        <v>385409.23872615438</v>
      </c>
      <c r="T58" s="54"/>
      <c r="U58" s="54"/>
    </row>
    <row r="59" spans="1:21" x14ac:dyDescent="0.2">
      <c r="A59" s="58" t="s">
        <v>907</v>
      </c>
      <c r="B59" s="55">
        <f>CF_Hist!B29-SUM(CF_Hist!B21:B28)</f>
        <v>29064</v>
      </c>
      <c r="C59" s="55">
        <f>CF_Hist!C29-SUM(CF_Hist!C21:C28)</f>
        <v>41470</v>
      </c>
      <c r="D59" s="55">
        <f>CF_Hist!D29-SUM(CF_Hist!D21:D28)</f>
        <v>56983</v>
      </c>
      <c r="E59" s="55">
        <f>CF_Hist!E29-SUM(CF_Hist!E21:E28)</f>
        <v>44792</v>
      </c>
      <c r="F59" s="55">
        <f>CF_Hist!F29-SUM(CF_Hist!F21:F28)</f>
        <v>67277</v>
      </c>
      <c r="G59" s="55">
        <f>CF_Hist!G29-SUM(CF_Hist!G21:G28)</f>
        <v>90280</v>
      </c>
      <c r="H59" s="55">
        <f>CF_Hist!H29-SUM(CF_Hist!H21:H28)</f>
        <v>116685</v>
      </c>
      <c r="I59" s="55">
        <f>CF_Hist!H29-SUM(CF_Hist!H21:H28)-(CF_Hist!I29-SUM(CF_Hist!I21:I28))+(CF_Hist!J29-SUM(CF_Hist!J21:J28))</f>
        <v>132080</v>
      </c>
      <c r="J59" s="55">
        <f>Forecast_3Stmt!C28+Forecast_3Stmt!C15+Forecast_3Stmt!C32</f>
        <v>128719.67999999999</v>
      </c>
      <c r="K59" s="55">
        <f>Forecast_3Stmt!D28+Forecast_3Stmt!D15+Forecast_3Stmt!D32</f>
        <v>154769.45353878452</v>
      </c>
      <c r="L59" s="55">
        <f>Forecast_3Stmt!E28+Forecast_3Stmt!E15+Forecast_3Stmt!E32</f>
        <v>182751.31057461447</v>
      </c>
      <c r="M59" s="55">
        <f>Forecast_3Stmt!F28+Forecast_3Stmt!F15+Forecast_3Stmt!F32</f>
        <v>212369.69754955597</v>
      </c>
      <c r="N59" s="55">
        <f>Forecast_3Stmt!G28+Forecast_3Stmt!G15+Forecast_3Stmt!G32</f>
        <v>243382.26546922303</v>
      </c>
      <c r="O59" s="55">
        <f>Forecast_3Stmt!H28+Forecast_3Stmt!H15+Forecast_3Stmt!H32</f>
        <v>273734.09400883986</v>
      </c>
      <c r="P59" s="55">
        <f>Forecast_3Stmt!I28+Forecast_3Stmt!I15+Forecast_3Stmt!I32</f>
        <v>303703.64141251612</v>
      </c>
      <c r="Q59" s="55">
        <f>Forecast_3Stmt!J28+Forecast_3Stmt!J15+Forecast_3Stmt!J32</f>
        <v>330907.80591764115</v>
      </c>
      <c r="R59" s="55">
        <f>Forecast_3Stmt!K28+Forecast_3Stmt!K15+Forecast_3Stmt!K32</f>
        <v>357713.4858289469</v>
      </c>
      <c r="S59" s="55">
        <f>Forecast_3Stmt!L28+Forecast_3Stmt!L15+Forecast_3Stmt!L32</f>
        <v>383202.0448272588</v>
      </c>
      <c r="T59" s="54"/>
      <c r="U59" s="54" t="s">
        <v>908</v>
      </c>
    </row>
    <row r="60" spans="1:21" x14ac:dyDescent="0.2">
      <c r="A60" s="58" t="s">
        <v>909</v>
      </c>
      <c r="B60" s="55">
        <f>-(CF_Hist!B32+CF_Hist!B50)</f>
        <v>15654</v>
      </c>
      <c r="C60" s="55">
        <f>-(CF_Hist!C32+CF_Hist!C50)</f>
        <v>15719</v>
      </c>
      <c r="D60" s="55">
        <f>-(CF_Hist!D32+CF_Hist!D50)</f>
        <v>19244</v>
      </c>
      <c r="E60" s="55">
        <f>-(CF_Hist!E32+CF_Hist!E50)</f>
        <v>32281</v>
      </c>
      <c r="F60" s="55">
        <f>-(CF_Hist!F32+CF_Hist!F50)</f>
        <v>28324</v>
      </c>
      <c r="G60" s="55">
        <f>-(CF_Hist!G32+CF_Hist!G50)</f>
        <v>39225</v>
      </c>
      <c r="H60" s="55">
        <f>-(CF_Hist!H32+CF_Hist!H50)</f>
        <v>72215</v>
      </c>
      <c r="I60" s="55">
        <f>Market_Package!B58</f>
        <v>107961</v>
      </c>
      <c r="J60" s="55">
        <f>Schedules!C7</f>
        <v>140000</v>
      </c>
      <c r="K60" s="55">
        <f>Schedules!D7</f>
        <v>199000</v>
      </c>
      <c r="L60" s="55">
        <f>Schedules!E7</f>
        <v>205000</v>
      </c>
      <c r="M60" s="55">
        <f>Schedules!F7</f>
        <v>200000</v>
      </c>
      <c r="N60" s="55">
        <f>Schedules!G7</f>
        <v>190000</v>
      </c>
      <c r="O60" s="55">
        <f>Schedules!H7</f>
        <v>185000</v>
      </c>
      <c r="P60" s="55">
        <f>Schedules!I7</f>
        <v>185000</v>
      </c>
      <c r="Q60" s="55">
        <f>Schedules!J7</f>
        <v>190000</v>
      </c>
      <c r="R60" s="55">
        <f>Schedules!K7</f>
        <v>195000</v>
      </c>
      <c r="S60" s="55">
        <f>Schedules!L7</f>
        <v>200000</v>
      </c>
      <c r="T60" s="54"/>
      <c r="U60" s="54"/>
    </row>
    <row r="61" spans="1:21" x14ac:dyDescent="0.2">
      <c r="A61" s="58" t="s">
        <v>910</v>
      </c>
      <c r="B61" s="68">
        <f t="shared" si="3" ref="B61:S61">B58-B60</f>
        <v>20660</v>
      </c>
      <c r="C61" s="68">
        <f t="shared" si="3"/>
        <v>23028</v>
      </c>
      <c r="D61" s="68">
        <f t="shared" si="3"/>
        <v>38439</v>
      </c>
      <c r="E61" s="68">
        <f t="shared" si="3"/>
        <v>18194</v>
      </c>
      <c r="F61" s="68">
        <f t="shared" si="3"/>
        <v>42789</v>
      </c>
      <c r="G61" s="68">
        <f t="shared" si="3"/>
        <v>52103</v>
      </c>
      <c r="H61" s="68">
        <f t="shared" si="3"/>
        <v>43585</v>
      </c>
      <c r="I61" s="68">
        <f t="shared" si="3"/>
        <v>25126</v>
      </c>
      <c r="J61" s="68">
        <f t="shared" si="3"/>
        <v>-7845.9665372252057</v>
      </c>
      <c r="K61" s="68">
        <f t="shared" si="3"/>
        <v>-41199.108691015572</v>
      </c>
      <c r="L61" s="68">
        <f t="shared" si="3"/>
        <v>-19063.1277185723</v>
      </c>
      <c r="M61" s="68">
        <f t="shared" si="3"/>
        <v>15612.491599444154</v>
      </c>
      <c r="N61" s="68">
        <f t="shared" si="3"/>
        <v>56551.94232072611</v>
      </c>
      <c r="O61" s="68">
        <f t="shared" si="3"/>
        <v>91683.94889448985</v>
      </c>
      <c r="P61" s="68">
        <f t="shared" si="3"/>
        <v>121618.13924389053</v>
      </c>
      <c r="Q61" s="68">
        <f t="shared" si="3"/>
        <v>143554.68906384293</v>
      </c>
      <c r="R61" s="68">
        <f t="shared" si="3"/>
        <v>165173.011404215</v>
      </c>
      <c r="S61" s="68">
        <f t="shared" si="3"/>
        <v>185409.23872615438</v>
      </c>
      <c r="T61" s="54"/>
      <c r="U61" s="54"/>
    </row>
    <row r="62" spans="1:21" x14ac:dyDescent="0.2">
      <c r="A62" s="58" t="s">
        <v>911</v>
      </c>
      <c r="B62" s="55">
        <f>-(CF_Hist!B46+CF_Hist!B47+CF_Hist!B48)</f>
        <v>6539</v>
      </c>
      <c r="C62" s="55">
        <f>-(CF_Hist!C46+CF_Hist!C47+CF_Hist!C48)</f>
        <v>9836</v>
      </c>
      <c r="D62" s="55">
        <f>-(CF_Hist!D46+CF_Hist!D47+CF_Hist!D48)</f>
        <v>50052</v>
      </c>
      <c r="E62" s="55">
        <f>-(CF_Hist!E46+CF_Hist!E47+CF_Hist!E48)</f>
        <v>31551</v>
      </c>
      <c r="F62" s="55">
        <f>-(CF_Hist!F46+CF_Hist!F47+CF_Hist!F48)</f>
        <v>26786</v>
      </c>
      <c r="G62" s="55">
        <f>-(CF_Hist!G46+CF_Hist!G47+CF_Hist!G48)</f>
        <v>48967</v>
      </c>
      <c r="H62" s="55">
        <f>-(CF_Hist!H46+CF_Hist!H47+CF_Hist!H48)</f>
        <v>49972</v>
      </c>
      <c r="I62" s="55">
        <f>-(CF_Hist!H46+CF_Hist!H47+CF_Hist!H48)+(CF_Hist!I46+CF_Hist!I47+CF_Hist!I48)-(CF_Hist!J46+CF_Hist!J47+CF_Hist!J48)</f>
        <v>22438</v>
      </c>
      <c r="J62" s="55">
        <f>Schedules!C56+Schedules!C58+Schedules!C57</f>
        <v>22438</v>
      </c>
      <c r="K62" s="55">
        <f>Schedules!D56+Schedules!D58+Schedules!D57</f>
        <v>29673.656932500002</v>
      </c>
      <c r="L62" s="55">
        <f>Schedules!E56+Schedules!E58+Schedules!E57</f>
        <v>34075.103025096003</v>
      </c>
      <c r="M62" s="55">
        <f>Schedules!F56+Schedules!F58+Schedules!F57</f>
        <v>38572.73044470045</v>
      </c>
      <c r="N62" s="55">
        <f>Schedules!G56+Schedules!G58+Schedules!G57</f>
        <v>53164.6930134883</v>
      </c>
      <c r="O62" s="55">
        <f>Schedules!H56+Schedules!H58+Schedules!H57</f>
        <v>80550.40805425611</v>
      </c>
      <c r="P62" s="55">
        <f>Schedules!I56+Schedules!I58+Schedules!I57</f>
        <v>104015.76850066704</v>
      </c>
      <c r="Q62" s="55">
        <f>Schedules!J56+Schedules!J58+Schedules!J57</f>
        <v>121390.45556893575</v>
      </c>
      <c r="R62" s="55">
        <f>Schedules!K56+Schedules!K58+Schedules!K57</f>
        <v>138463.83149060328</v>
      </c>
      <c r="S62" s="55">
        <f>Schedules!L56+Schedules!L58+Schedules!L57</f>
        <v>154417.75563619134</v>
      </c>
      <c r="T62" s="54"/>
      <c r="U62" s="54"/>
    </row>
    <row r="63" spans="1:21" x14ac:dyDescent="0.2">
      <c r="A63" s="58" t="s">
        <v>912</v>
      </c>
      <c r="B63" s="68">
        <f t="shared" si="4" ref="B63:S63">B61-B62</f>
        <v>14121</v>
      </c>
      <c r="C63" s="68">
        <f t="shared" si="4"/>
        <v>13192</v>
      </c>
      <c r="D63" s="68">
        <f t="shared" si="4"/>
        <v>-11613</v>
      </c>
      <c r="E63" s="68">
        <f t="shared" si="4"/>
        <v>-13357</v>
      </c>
      <c r="F63" s="68">
        <f t="shared" si="4"/>
        <v>16003</v>
      </c>
      <c r="G63" s="68">
        <f t="shared" si="4"/>
        <v>3136</v>
      </c>
      <c r="H63" s="68">
        <f t="shared" si="4"/>
        <v>-6387</v>
      </c>
      <c r="I63" s="68">
        <f t="shared" si="4"/>
        <v>2688</v>
      </c>
      <c r="J63" s="68">
        <f t="shared" si="4"/>
        <v>-30283.966537225206</v>
      </c>
      <c r="K63" s="68">
        <f t="shared" si="4"/>
        <v>-70872.765623515574</v>
      </c>
      <c r="L63" s="68">
        <f t="shared" si="4"/>
        <v>-53138.230743668304</v>
      </c>
      <c r="M63" s="68">
        <f t="shared" si="4"/>
        <v>-22960.238845256295</v>
      </c>
      <c r="N63" s="68">
        <f t="shared" si="4"/>
        <v>3387.2493072378129</v>
      </c>
      <c r="O63" s="68">
        <f t="shared" si="4"/>
        <v>11133.540840233734</v>
      </c>
      <c r="P63" s="68">
        <f t="shared" si="4"/>
        <v>17602.370743223495</v>
      </c>
      <c r="Q63" s="68">
        <f t="shared" si="4"/>
        <v>22164.233494907181</v>
      </c>
      <c r="R63" s="68">
        <f t="shared" si="4"/>
        <v>26709.179913611733</v>
      </c>
      <c r="S63" s="68">
        <f t="shared" si="4"/>
        <v>30991.483089963032</v>
      </c>
      <c r="T63" s="54"/>
      <c r="U63" s="54"/>
    </row>
    <row r="64" spans="1:21" x14ac:dyDescent="0.2">
      <c r="A64" s="58" t="s">
        <v>913</v>
      </c>
      <c r="B64" s="55">
        <f>BS_Hist!B47</f>
        <v>101054</v>
      </c>
      <c r="C64" s="55">
        <f>BS_Hist!C47</f>
        <v>128290</v>
      </c>
      <c r="D64" s="55">
        <f>BS_Hist!D47</f>
        <v>124879</v>
      </c>
      <c r="E64" s="55">
        <f>BS_Hist!E47</f>
        <v>125713</v>
      </c>
      <c r="F64" s="55">
        <f>BS_Hist!F47</f>
        <v>153168</v>
      </c>
      <c r="G64" s="55">
        <f>BS_Hist!G47</f>
        <v>182637</v>
      </c>
      <c r="H64" s="55">
        <f>BS_Hist!H47</f>
        <v>217243</v>
      </c>
      <c r="I64" s="55">
        <f>BS_Hist!J47</f>
        <v>272386</v>
      </c>
      <c r="J64" s="55">
        <f>Forecast_3Stmt!C51</f>
        <v>295815.67999999999</v>
      </c>
      <c r="K64" s="55">
        <f>Forecast_3Stmt!D51</f>
        <v>377232.09478810267</v>
      </c>
      <c r="L64" s="55">
        <f>Forecast_3Stmt!E51</f>
        <v>463409.92051943927</v>
      </c>
      <c r="M64" s="55">
        <f>Forecast_3Stmt!F51</f>
        <v>554834.32398793113</v>
      </c>
      <c r="N64" s="55">
        <f>Forecast_3Stmt!G51</f>
        <v>644467.9691709386</v>
      </c>
      <c r="O64" s="55">
        <f>Forecast_3Stmt!H51</f>
        <v>722687.2733073406</v>
      </c>
      <c r="P64" s="55">
        <f>Forecast_3Stmt!I51</f>
        <v>799569.85531009873</v>
      </c>
      <c r="Q64" s="55">
        <f>Forecast_3Stmt!J51</f>
        <v>883627.36929516785</v>
      </c>
      <c r="R64" s="55">
        <f>Forecast_3Stmt!K51</f>
        <v>974803.5509062388</v>
      </c>
      <c r="S64" s="55">
        <f>Forecast_3Stmt!L51</f>
        <v>1071891.6400973063</v>
      </c>
      <c r="T64" s="54"/>
      <c r="U64" s="54"/>
    </row>
    <row r="65" spans="1:2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</row>
    <row r="66" spans="1:21" x14ac:dyDescent="0.2">
      <c r="A66" s="72" t="s">
        <v>914</v>
      </c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 spans="1:21" x14ac:dyDescent="0.2">
      <c r="A67" s="58" t="s">
        <v>915</v>
      </c>
      <c r="B67" s="64">
        <f t="shared" si="5" ref="B67:S67">IFERROR(B53/B51,"n/m")</f>
        <v>0</v>
      </c>
      <c r="C67" s="64">
        <f t="shared" si="5"/>
        <v>0</v>
      </c>
      <c r="D67" s="64">
        <f t="shared" si="5"/>
        <v>0</v>
      </c>
      <c r="E67" s="64">
        <f t="shared" si="5"/>
        <v>0.26369917618921074</v>
      </c>
      <c r="F67" s="64">
        <f t="shared" si="5"/>
        <v>0.31737126482418132</v>
      </c>
      <c r="G67" s="64">
        <f t="shared" si="5"/>
        <v>0.33961686184877116</v>
      </c>
      <c r="H67" s="64">
        <f t="shared" si="5"/>
        <v>0.57653201428963996</v>
      </c>
      <c r="I67" s="64">
        <f t="shared" si="5"/>
        <v>0.80219558964525406</v>
      </c>
      <c r="J67" s="64">
        <f t="shared" si="5"/>
        <v>0.78239073708625995</v>
      </c>
      <c r="K67" s="64">
        <f t="shared" si="5"/>
        <v>1.1016731660196266</v>
      </c>
      <c r="L67" s="64">
        <f t="shared" si="5"/>
        <v>1.3198391108192054</v>
      </c>
      <c r="M67" s="64">
        <f t="shared" si="5"/>
        <v>1.3167552977505619</v>
      </c>
      <c r="N67" s="64">
        <f t="shared" si="5"/>
        <v>1.190848008561596</v>
      </c>
      <c r="O67" s="64">
        <f t="shared" si="5"/>
        <v>1.062636501122848</v>
      </c>
      <c r="P67" s="64">
        <f t="shared" si="5"/>
        <v>0.95529236264198</v>
      </c>
      <c r="Q67" s="64">
        <f t="shared" si="5"/>
        <v>0.87321811828590701</v>
      </c>
      <c r="R67" s="64">
        <f t="shared" si="5"/>
        <v>0.80473806692004113</v>
      </c>
      <c r="S67" s="64">
        <f t="shared" si="5"/>
        <v>0.74923587392181978</v>
      </c>
      <c r="T67" s="54"/>
      <c r="U67" s="54"/>
    </row>
    <row r="68" spans="1:21" x14ac:dyDescent="0.2">
      <c r="A68" s="58" t="s">
        <v>916</v>
      </c>
      <c r="B68" s="64">
        <f t="shared" si="6" ref="B68:S68">IFERROR(B55/B51,"n/m")</f>
        <v>0.34729370605846538</v>
      </c>
      <c r="C68" s="64">
        <f t="shared" si="6"/>
        <v>0.26949637012116462</v>
      </c>
      <c r="D68" s="64">
        <f t="shared" si="6"/>
        <v>0.25352704678362575</v>
      </c>
      <c r="E68" s="64">
        <f t="shared" si="6"/>
        <v>0.70664363539728936</v>
      </c>
      <c r="F68" s="64">
        <f t="shared" si="6"/>
        <v>0.64275233475461335</v>
      </c>
      <c r="G68" s="64">
        <f t="shared" si="6"/>
        <v>0.57800607931383874</v>
      </c>
      <c r="H68" s="64">
        <f t="shared" si="6"/>
        <v>0.82339143406744397</v>
      </c>
      <c r="I68" s="64">
        <f t="shared" si="6"/>
        <v>1.1010738255033556</v>
      </c>
      <c r="J68" s="64">
        <f t="shared" si="6"/>
        <v>1.0176391915526417</v>
      </c>
      <c r="K68" s="64">
        <f t="shared" si="6"/>
        <v>1.2809670463038796</v>
      </c>
      <c r="L68" s="64">
        <f t="shared" si="6"/>
        <v>1.4703951236868118</v>
      </c>
      <c r="M68" s="64">
        <f t="shared" si="6"/>
        <v>1.4458777203595936</v>
      </c>
      <c r="N68" s="64">
        <f t="shared" si="6"/>
        <v>1.3035126841620321</v>
      </c>
      <c r="O68" s="64">
        <f t="shared" si="6"/>
        <v>1.1628961360550212</v>
      </c>
      <c r="P68" s="64">
        <f t="shared" si="6"/>
        <v>1.045424090124307</v>
      </c>
      <c r="Q68" s="64">
        <f t="shared" si="6"/>
        <v>0.95560615000041593</v>
      </c>
      <c r="R68" s="64">
        <f t="shared" si="6"/>
        <v>0.88066501345365955</v>
      </c>
      <c r="S68" s="64">
        <f t="shared" si="6"/>
        <v>0.81992619475882733</v>
      </c>
      <c r="T68" s="54"/>
      <c r="U68" s="54" t="s">
        <v>917</v>
      </c>
    </row>
    <row r="69" spans="1:21" x14ac:dyDescent="0.2">
      <c r="A69" s="58" t="s">
        <v>918</v>
      </c>
      <c r="B69" s="64">
        <f t="shared" si="7" ref="B69:S69">IFERROR(B57/B51,"n/m")</f>
        <v>-1.8452921586436573</v>
      </c>
      <c r="C69" s="64">
        <f t="shared" si="7"/>
        <v>-1.5671464346242381</v>
      </c>
      <c r="D69" s="64">
        <f t="shared" si="7"/>
        <v>-0.87715643274853805</v>
      </c>
      <c r="E69" s="64">
        <f t="shared" si="7"/>
        <v>-0.81889449906989109</v>
      </c>
      <c r="F69" s="64">
        <f t="shared" si="7"/>
        <v>-0.81164874242607332</v>
      </c>
      <c r="G69" s="64">
        <f t="shared" si="7"/>
        <v>-0.57716958458022105</v>
      </c>
      <c r="H69" s="64">
        <f t="shared" si="7"/>
        <v>-0.22423742786479803</v>
      </c>
      <c r="I69" s="64">
        <f t="shared" si="7"/>
        <v>1.1697027804410355E-2</v>
      </c>
      <c r="J69" s="64">
        <f t="shared" si="7"/>
        <v>6.9546361680354704E-2</v>
      </c>
      <c r="K69" s="64">
        <f t="shared" si="7"/>
        <v>0.5581949051500614</v>
      </c>
      <c r="L69" s="64">
        <f t="shared" si="7"/>
        <v>0.7867900703074783</v>
      </c>
      <c r="M69" s="64">
        <f t="shared" si="7"/>
        <v>0.79264628307550933</v>
      </c>
      <c r="N69" s="64">
        <f t="shared" si="7"/>
        <v>0.6764447163805263</v>
      </c>
      <c r="O69" s="64">
        <f t="shared" si="7"/>
        <v>0.5575859960723429</v>
      </c>
      <c r="P69" s="64">
        <f t="shared" si="7"/>
        <v>0.43818518054062916</v>
      </c>
      <c r="Q69" s="64">
        <f t="shared" si="7"/>
        <v>0.3279399620069561</v>
      </c>
      <c r="R69" s="64">
        <f t="shared" si="7"/>
        <v>0.22159761401939373</v>
      </c>
      <c r="S69" s="64">
        <f t="shared" si="7"/>
        <v>0.11921531922531148</v>
      </c>
      <c r="T69" s="54"/>
      <c r="U69" s="54"/>
    </row>
    <row r="70" spans="1:21" x14ac:dyDescent="0.2">
      <c r="A70" s="58" t="s">
        <v>919</v>
      </c>
      <c r="B70" s="64">
        <f t="shared" si="8" ref="B70:S70">IFERROR(B51/B52,"n/m")</f>
        <v>1486.35</v>
      </c>
      <c r="C70" s="64">
        <f t="shared" si="8"/>
        <v>2823.7857142857142</v>
      </c>
      <c r="D70" s="64">
        <f t="shared" si="8"/>
        <v>2379.1304347826085</v>
      </c>
      <c r="E70" s="64">
        <f t="shared" si="8"/>
        <v>203.40540540540542</v>
      </c>
      <c r="F70" s="64">
        <f t="shared" si="8"/>
        <v>129.88565022421525</v>
      </c>
      <c r="G70" s="64">
        <f t="shared" si="8"/>
        <v>118.71048951048951</v>
      </c>
      <c r="H70" s="64">
        <f t="shared" si="8"/>
        <v>87.460944206008577</v>
      </c>
      <c r="I70" s="64">
        <f t="shared" si="8"/>
        <v>39.107611548556427</v>
      </c>
      <c r="J70" s="64">
        <f t="shared" si="8"/>
        <v>33.729022082018929</v>
      </c>
      <c r="K70" s="64">
        <f t="shared" si="8"/>
        <v>34.937866021549084</v>
      </c>
      <c r="L70" s="64">
        <f t="shared" si="8"/>
        <v>22.520257540782726</v>
      </c>
      <c r="M70" s="64">
        <f t="shared" si="8"/>
        <v>18.404931615972576</v>
      </c>
      <c r="N70" s="64">
        <f t="shared" si="8"/>
        <v>18.132913233976335</v>
      </c>
      <c r="O70" s="64">
        <f t="shared" si="8"/>
        <v>19.659120266893595</v>
      </c>
      <c r="P70" s="64">
        <f t="shared" si="8"/>
        <v>21.80833234729958</v>
      </c>
      <c r="Q70" s="64">
        <f t="shared" si="8"/>
        <v>23.858109328089014</v>
      </c>
      <c r="R70" s="64">
        <f t="shared" si="8"/>
        <v>25.888340802701627</v>
      </c>
      <c r="S70" s="64">
        <f t="shared" si="8"/>
        <v>27.806107607051423</v>
      </c>
      <c r="T70" s="54"/>
      <c r="U70" s="54"/>
    </row>
    <row r="71" spans="1:21" x14ac:dyDescent="0.2">
      <c r="A71" s="58" t="s">
        <v>920</v>
      </c>
      <c r="B71" s="64">
        <f t="shared" si="9" ref="B71:S71">IFERROR(B49/B52,"n/m")</f>
        <v>1199.3</v>
      </c>
      <c r="C71" s="64">
        <f t="shared" si="9"/>
        <v>2333.6428571428573</v>
      </c>
      <c r="D71" s="64">
        <f t="shared" si="9"/>
        <v>2032.7391304347825</v>
      </c>
      <c r="E71" s="64">
        <f t="shared" si="9"/>
        <v>156.45405405405404</v>
      </c>
      <c r="F71" s="64">
        <f t="shared" si="9"/>
        <v>104.82286995515695</v>
      </c>
      <c r="G71" s="64">
        <f t="shared" si="9"/>
        <v>97.03496503496504</v>
      </c>
      <c r="H71" s="64">
        <f t="shared" si="9"/>
        <v>71.481545064377684</v>
      </c>
      <c r="I71" s="64">
        <f t="shared" si="9"/>
        <v>29.763779527559056</v>
      </c>
      <c r="J71" s="64">
        <f t="shared" si="9"/>
        <v>24.98801261829653</v>
      </c>
      <c r="K71" s="64">
        <f t="shared" si="9"/>
        <v>24.059879060828479</v>
      </c>
      <c r="L71" s="64">
        <f t="shared" si="9"/>
        <v>14.095635230803792</v>
      </c>
      <c r="M71" s="64">
        <f t="shared" si="9"/>
        <v>10.622260726212934</v>
      </c>
      <c r="N71" s="64">
        <f t="shared" si="9"/>
        <v>9.9634381656331445</v>
      </c>
      <c r="O71" s="64">
        <f t="shared" si="9"/>
        <v>10.650387256667685</v>
      </c>
      <c r="P71" s="64">
        <f t="shared" si="9"/>
        <v>12.211510355582485</v>
      </c>
      <c r="Q71" s="64">
        <f t="shared" si="9"/>
        <v>14.053843503882218</v>
      </c>
      <c r="R71" s="64">
        <f t="shared" si="9"/>
        <v>15.879828054382543</v>
      </c>
      <c r="S71" s="64">
        <f t="shared" si="9"/>
        <v>17.514490861310602</v>
      </c>
      <c r="T71" s="54"/>
      <c r="U71" s="54"/>
    </row>
    <row r="72" spans="1:21" x14ac:dyDescent="0.2">
      <c r="A72" s="58" t="s">
        <v>921</v>
      </c>
      <c r="B72" s="56" t="str">
        <f t="shared" si="10" ref="B72:S72">IFERROR(B59/B53,"n/m")</f>
        <v>n/m</v>
      </c>
      <c r="C72" s="56" t="str">
        <f t="shared" si="10"/>
        <v>n/m</v>
      </c>
      <c r="D72" s="56" t="str">
        <f t="shared" si="10"/>
        <v>n/m</v>
      </c>
      <c r="E72" s="56">
        <f t="shared" si="10"/>
        <v>4.5139574725385465</v>
      </c>
      <c r="F72" s="56">
        <f t="shared" si="10"/>
        <v>3.6593418547729128</v>
      </c>
      <c r="G72" s="56">
        <f t="shared" si="10"/>
        <v>3.1318948171789356</v>
      </c>
      <c r="H72" s="56">
        <f t="shared" si="10"/>
        <v>1.9863305188615008</v>
      </c>
      <c r="I72" s="56">
        <f t="shared" si="10"/>
        <v>1.578601393586633</v>
      </c>
      <c r="J72" s="56">
        <f t="shared" si="10"/>
        <v>1.5387151839720754</v>
      </c>
      <c r="K72" s="56">
        <f t="shared" si="10"/>
        <v>1.0014013060210962</v>
      </c>
      <c r="L72" s="56">
        <f t="shared" si="10"/>
        <v>0.8287963324215002</v>
      </c>
      <c r="M72" s="56">
        <f t="shared" si="10"/>
        <v>0.82794092286262255</v>
      </c>
      <c r="N72" s="56">
        <f t="shared" si="10"/>
        <v>0.9154414531639836</v>
      </c>
      <c r="O72" s="56">
        <f t="shared" si="10"/>
        <v>1.0267873068282554</v>
      </c>
      <c r="P72" s="56">
        <f t="shared" si="10"/>
        <v>1.1392042528316593</v>
      </c>
      <c r="Q72" s="56">
        <f t="shared" si="10"/>
        <v>1.2412481392823844</v>
      </c>
      <c r="R72" s="56">
        <f t="shared" si="10"/>
        <v>1.34179729441591</v>
      </c>
      <c r="S72" s="56">
        <f t="shared" si="10"/>
        <v>1.4374058774226164</v>
      </c>
      <c r="T72" s="54"/>
      <c r="U72" s="54"/>
    </row>
    <row r="73" spans="1:21" x14ac:dyDescent="0.2">
      <c r="A73" s="58" t="s">
        <v>922</v>
      </c>
      <c r="B73" s="56" t="str">
        <f t="shared" si="11" ref="B73:S73">IFERROR(B61/B53,"n/m")</f>
        <v>n/m</v>
      </c>
      <c r="C73" s="56" t="str">
        <f t="shared" si="11"/>
        <v>n/m</v>
      </c>
      <c r="D73" s="56" t="str">
        <f t="shared" si="11"/>
        <v>n/m</v>
      </c>
      <c r="E73" s="56">
        <f t="shared" si="11"/>
        <v>1.8335180892875138</v>
      </c>
      <c r="F73" s="56">
        <f t="shared" si="11"/>
        <v>2.3273864563502857</v>
      </c>
      <c r="G73" s="56">
        <f t="shared" si="11"/>
        <v>1.8075001734545202</v>
      </c>
      <c r="H73" s="56">
        <f t="shared" si="11"/>
        <v>0.74194811384992509</v>
      </c>
      <c r="I73" s="56">
        <f t="shared" si="11"/>
        <v>0.3003023820052827</v>
      </c>
      <c r="J73" s="56">
        <f t="shared" si="11"/>
        <v>-9.3790691864408221E-2</v>
      </c>
      <c r="K73" s="56">
        <f t="shared" si="11"/>
        <v>-0.26656966414725575</v>
      </c>
      <c r="L73" s="56">
        <f t="shared" si="11"/>
        <v>-0.08645328062468093</v>
      </c>
      <c r="M73" s="56">
        <f t="shared" si="11"/>
        <v>0.060866596563346476</v>
      </c>
      <c r="N73" s="56">
        <f t="shared" si="11"/>
        <v>0.21271061865383897</v>
      </c>
      <c r="O73" s="56">
        <f t="shared" si="11"/>
        <v>0.34391008290590397</v>
      </c>
      <c r="P73" s="56">
        <f t="shared" si="11"/>
        <v>0.45619440321403809</v>
      </c>
      <c r="Q73" s="56">
        <f t="shared" si="11"/>
        <v>0.5384792606859955</v>
      </c>
      <c r="R73" s="56">
        <f t="shared" si="11"/>
        <v>0.6195704344193592</v>
      </c>
      <c r="S73" s="56">
        <f t="shared" si="11"/>
        <v>0.69547731561183312</v>
      </c>
      <c r="T73" s="54"/>
      <c r="U73" s="54"/>
    </row>
    <row r="74" spans="1:21" x14ac:dyDescent="0.2">
      <c r="A74" s="58" t="s">
        <v>923</v>
      </c>
      <c r="B74" s="56" t="str">
        <f t="shared" si="12" ref="B74:S74">IFERROR(B63/B53,"n/m")</f>
        <v>n/m</v>
      </c>
      <c r="C74" s="56" t="str">
        <f t="shared" si="12"/>
        <v>n/m</v>
      </c>
      <c r="D74" s="56" t="str">
        <f t="shared" si="12"/>
        <v>n/m</v>
      </c>
      <c r="E74" s="56">
        <f t="shared" si="12"/>
        <v>-1.3460646981759548</v>
      </c>
      <c r="F74" s="56">
        <f t="shared" si="12"/>
        <v>0.87043785694859943</v>
      </c>
      <c r="G74" s="56">
        <f t="shared" si="12"/>
        <v>0.10879067508499271</v>
      </c>
      <c r="H74" s="56">
        <f t="shared" si="12"/>
        <v>-0.10872599754868582</v>
      </c>
      <c r="I74" s="56">
        <f t="shared" si="12"/>
        <v>3.2126594079049588E-2</v>
      </c>
      <c r="J74" s="56">
        <f t="shared" si="12"/>
        <v>-0.36201456639521368</v>
      </c>
      <c r="K74" s="56">
        <f t="shared" si="12"/>
        <v>-0.45856645761775122</v>
      </c>
      <c r="L74" s="56">
        <f t="shared" si="12"/>
        <v>-0.24098744142104825</v>
      </c>
      <c r="M74" s="56">
        <f t="shared" si="12"/>
        <v>-0.08951240011184673</v>
      </c>
      <c r="N74" s="56">
        <f t="shared" si="12"/>
        <v>0.012740568512945314</v>
      </c>
      <c r="O74" s="56">
        <f t="shared" si="12"/>
        <v>0.04176234771265582</v>
      </c>
      <c r="P74" s="56">
        <f t="shared" si="12"/>
        <v>6.6027182016439853E-2</v>
      </c>
      <c r="Q74" s="56">
        <f t="shared" si="12"/>
        <v>8.3138907853449254E-2</v>
      </c>
      <c r="R74" s="56">
        <f t="shared" si="12"/>
        <v>0.10018717986296249</v>
      </c>
      <c r="S74" s="56">
        <f t="shared" si="12"/>
        <v>0.1162502667845567</v>
      </c>
      <c r="T74" s="54"/>
      <c r="U74" s="54"/>
    </row>
    <row r="75" spans="1:21" x14ac:dyDescent="0.2">
      <c r="A75" s="58" t="s">
        <v>924</v>
      </c>
      <c r="B75" s="56">
        <f t="shared" si="13" ref="B75:S75">IFERROR(B53/(B53+B64),"n/m")</f>
        <v>0</v>
      </c>
      <c r="C75" s="56">
        <f t="shared" si="13"/>
        <v>0</v>
      </c>
      <c r="D75" s="56">
        <f t="shared" si="13"/>
        <v>0</v>
      </c>
      <c r="E75" s="56">
        <f t="shared" si="13"/>
        <v>7.3159043321831957E-2</v>
      </c>
      <c r="F75" s="56">
        <f t="shared" si="13"/>
        <v>0.10716804719241284</v>
      </c>
      <c r="G75" s="56">
        <f t="shared" si="13"/>
        <v>0.1363169916250124</v>
      </c>
      <c r="H75" s="56">
        <f t="shared" si="13"/>
        <v>0.21285060528213284</v>
      </c>
      <c r="I75" s="56">
        <f t="shared" si="13"/>
        <v>0.23498897642218197</v>
      </c>
      <c r="J75" s="56">
        <f t="shared" si="13"/>
        <v>0.22044976030759558</v>
      </c>
      <c r="K75" s="56">
        <f t="shared" si="13"/>
        <v>0.29063039699868248</v>
      </c>
      <c r="L75" s="56">
        <f t="shared" si="13"/>
        <v>0.3224129362474249</v>
      </c>
      <c r="M75" s="56">
        <f t="shared" si="13"/>
        <v>0.31614877752592829</v>
      </c>
      <c r="N75" s="56">
        <f t="shared" si="13"/>
        <v>0.2920511393623964</v>
      </c>
      <c r="O75" s="56">
        <f t="shared" si="13"/>
        <v>0.26948161668525894</v>
      </c>
      <c r="P75" s="56">
        <f t="shared" si="13"/>
        <v>0.25004889451804591</v>
      </c>
      <c r="Q75" s="56">
        <f t="shared" si="13"/>
        <v>0.2317754463805991</v>
      </c>
      <c r="R75" s="56">
        <f t="shared" si="13"/>
        <v>0.21475235755968627</v>
      </c>
      <c r="S75" s="56">
        <f t="shared" si="13"/>
        <v>0.19917511545021935</v>
      </c>
      <c r="T75" s="54"/>
      <c r="U75" s="54"/>
    </row>
    <row r="76" spans="1:21" x14ac:dyDescent="0.2">
      <c r="A76" s="58" t="s">
        <v>925</v>
      </c>
      <c r="B76" s="56">
        <f t="shared" si="14" ref="B76:S76">IFERROR(B60/B48,"n/m")</f>
        <v>0.22142382279304637</v>
      </c>
      <c r="C76" s="56">
        <f t="shared" si="14"/>
        <v>0.18285348688419706</v>
      </c>
      <c r="D76" s="56">
        <f t="shared" si="14"/>
        <v>0.16318293210321463</v>
      </c>
      <c r="E76" s="56">
        <f t="shared" si="14"/>
        <v>0.27683111938186589</v>
      </c>
      <c r="F76" s="56">
        <f t="shared" si="14"/>
        <v>0.20995982268609806</v>
      </c>
      <c r="G76" s="56">
        <f t="shared" si="14"/>
        <v>0.23844839848997879</v>
      </c>
      <c r="H76" s="56">
        <f t="shared" si="14"/>
        <v>0.35933939074271271</v>
      </c>
      <c r="I76" s="56">
        <f t="shared" si="14"/>
        <v>0.44684919600173839</v>
      </c>
      <c r="J76" s="56">
        <f t="shared" si="14"/>
        <v>0.54642249387226205</v>
      </c>
      <c r="K76" s="56">
        <f t="shared" si="14"/>
        <v>0.65250911625732633</v>
      </c>
      <c r="L76" s="56">
        <f t="shared" si="14"/>
        <v>0.57548633789830317</v>
      </c>
      <c r="M76" s="56">
        <f t="shared" si="14"/>
        <v>0.48973399264110073</v>
      </c>
      <c r="N76" s="56">
        <f t="shared" si="14"/>
        <v>0.41360697113442779</v>
      </c>
      <c r="O76" s="56">
        <f t="shared" si="14"/>
        <v>0.3650171378727684</v>
      </c>
      <c r="P76" s="56">
        <f t="shared" si="14"/>
        <v>0.33411053434787752</v>
      </c>
      <c r="Q76" s="56">
        <f t="shared" si="14"/>
        <v>0.31863824296057874</v>
      </c>
      <c r="R76" s="56">
        <f t="shared" si="14"/>
        <v>0.306675073871227</v>
      </c>
      <c r="S76" s="56">
        <f t="shared" si="14"/>
        <v>0.29790378915925736</v>
      </c>
      <c r="T76" s="54"/>
      <c r="U76" s="54"/>
    </row>
    <row r="77" spans="1:21" x14ac:dyDescent="0.2">
      <c r="A77" s="58" t="s">
        <v>926</v>
      </c>
      <c r="B77" s="56">
        <f t="shared" si="15" ref="B77:S77">IFERROR(B60/B58,"n/m")</f>
        <v>0.43107341521176407</v>
      </c>
      <c r="C77" s="56">
        <f t="shared" si="15"/>
        <v>0.4056830206209513</v>
      </c>
      <c r="D77" s="56">
        <f t="shared" si="15"/>
        <v>0.33361649012707384</v>
      </c>
      <c r="E77" s="56">
        <f t="shared" si="15"/>
        <v>0.63954432887568102</v>
      </c>
      <c r="F77" s="56">
        <f t="shared" si="15"/>
        <v>0.3982956702712584</v>
      </c>
      <c r="G77" s="56">
        <f t="shared" si="15"/>
        <v>0.42949588297126839</v>
      </c>
      <c r="H77" s="56">
        <f t="shared" si="15"/>
        <v>0.62361830742659763</v>
      </c>
      <c r="I77" s="56">
        <f t="shared" si="15"/>
        <v>0.811206203460894</v>
      </c>
      <c r="J77" s="56">
        <f t="shared" si="15"/>
        <v>1.059369860545613</v>
      </c>
      <c r="K77" s="56">
        <f t="shared" si="15"/>
        <v>1.2610828642934915</v>
      </c>
      <c r="L77" s="56">
        <f t="shared" si="15"/>
        <v>1.1025247304887382</v>
      </c>
      <c r="M77" s="56">
        <f t="shared" si="15"/>
        <v>0.9275900413578616</v>
      </c>
      <c r="N77" s="56">
        <f t="shared" si="15"/>
        <v>0.7706286886713684</v>
      </c>
      <c r="O77" s="56">
        <f t="shared" si="15"/>
        <v>0.6686329320482106</v>
      </c>
      <c r="P77" s="56">
        <f t="shared" si="15"/>
        <v>0.60335634563631313</v>
      </c>
      <c r="Q77" s="56">
        <f t="shared" si="15"/>
        <v>0.56962173289560225</v>
      </c>
      <c r="R77" s="56">
        <f t="shared" si="15"/>
        <v>0.54140647362707417</v>
      </c>
      <c r="S77" s="56">
        <f t="shared" si="15"/>
        <v>0.51892891997357238</v>
      </c>
      <c r="T77" s="54"/>
      <c r="U77" s="54"/>
    </row>
    <row r="78" spans="1:21" x14ac:dyDescent="0.2">
      <c r="A78" s="58" t="s">
        <v>927</v>
      </c>
      <c r="B78" s="64" t="str">
        <f t="shared" si="16" ref="B78:S78">IFERROR(B56/B53,"n/m")</f>
        <v>n/m</v>
      </c>
      <c r="C78" s="64" t="str">
        <f t="shared" si="16"/>
        <v>n/m</v>
      </c>
      <c r="D78" s="64" t="str">
        <f t="shared" si="16"/>
        <v>n/m</v>
      </c>
      <c r="E78" s="64">
        <f t="shared" si="16"/>
        <v>4.1054116698579062</v>
      </c>
      <c r="F78" s="64">
        <f t="shared" si="16"/>
        <v>3.5574109328256731</v>
      </c>
      <c r="G78" s="64">
        <f t="shared" si="16"/>
        <v>2.6994726982585164</v>
      </c>
      <c r="H78" s="64">
        <f t="shared" si="16"/>
        <v>1.3889418493803622</v>
      </c>
      <c r="I78" s="64">
        <f t="shared" si="16"/>
        <v>0.98541873334209806</v>
      </c>
      <c r="J78" s="64">
        <f t="shared" si="16"/>
        <v>0.91111044854728762</v>
      </c>
      <c r="K78" s="64">
        <f t="shared" si="16"/>
        <v>0.49332077573711453</v>
      </c>
      <c r="L78" s="64">
        <f t="shared" si="16"/>
        <v>0.40387425720463094</v>
      </c>
      <c r="M78" s="64">
        <f t="shared" si="16"/>
        <v>0.3980306861649981</v>
      </c>
      <c r="N78" s="64">
        <f t="shared" si="16"/>
        <v>0.43196385137546506</v>
      </c>
      <c r="O78" s="64">
        <f t="shared" si="16"/>
        <v>0.4752805917327677</v>
      </c>
      <c r="P78" s="64">
        <f t="shared" si="16"/>
        <v>0.5413077737492076</v>
      </c>
      <c r="Q78" s="64">
        <f t="shared" si="16"/>
        <v>0.6244466816026568</v>
      </c>
      <c r="R78" s="64">
        <f t="shared" si="16"/>
        <v>0.7246338614656194</v>
      </c>
      <c r="S78" s="64">
        <f t="shared" si="16"/>
        <v>0.8408841282501761</v>
      </c>
      <c r="T78" s="54"/>
      <c r="U78" s="54"/>
    </row>
    <row r="79" spans="1:2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 spans="1:21" x14ac:dyDescent="0.2">
      <c r="A80" s="54" t="s">
        <v>928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</row>
    <row r="81" spans="1:2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 spans="1:21" x14ac:dyDescent="0.2">
      <c r="A82" s="72" t="s">
        <v>189</v>
      </c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</row>
    <row r="83" spans="1:21" x14ac:dyDescent="0.2">
      <c r="A83" s="58" t="s">
        <v>929</v>
      </c>
      <c r="B83" s="71">
        <f>ROUND(E11-B25,2)</f>
        <v>0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</row>
    <row r="84" spans="1:21" x14ac:dyDescent="0.2">
      <c r="A84" s="58" t="s">
        <v>930</v>
      </c>
      <c r="B84" s="71">
        <f>ROUND(E13-BS_Hist!J34-E14,2)</f>
        <v>0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</row>
    <row r="85" spans="1:21" x14ac:dyDescent="0.2">
      <c r="A85" s="58" t="s">
        <v>931</v>
      </c>
      <c r="B85" s="71">
        <f>ROUND(F13-BS_Hist!H34,2)</f>
        <v>0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</row>
    <row r="86" spans="1:21" x14ac:dyDescent="0.2">
      <c r="A86" s="58" t="s">
        <v>932</v>
      </c>
      <c r="B86" s="71">
        <f>ROUND(E11-Market_Package!B22,2)</f>
        <v>0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527F-1855-4C4B-B0D8-AD9D231141AE}">
  <sheetPr>
    <tabColor rgb="FFC0873A"/>
  </sheetPr>
  <dimension ref="A1:F69"/>
  <sheetViews>
    <sheetView showGridLines="0" workbookViewId="0"/>
  </sheetViews>
  <sheetFormatPr baseColWidth="10" defaultColWidth="8.33203125" defaultRowHeight="15" x14ac:dyDescent="0.2"/>
  <cols>
    <col min="1" max="1" width="69.33203125" customWidth="1"/>
    <col min="2" max="2" width="15.1640625" customWidth="1"/>
    <col min="3" max="3" width="14.33203125" customWidth="1"/>
    <col min="4" max="4" width="12.6640625" customWidth="1"/>
    <col min="5" max="5" width="69.33203125" customWidth="1"/>
    <col min="6" max="6" width="76" customWidth="1"/>
  </cols>
  <sheetData>
    <row r="1" spans="1:6" x14ac:dyDescent="0.2">
      <c r="A1" s="122" t="s">
        <v>933</v>
      </c>
      <c r="B1" s="54"/>
      <c r="C1" s="54"/>
      <c r="D1" s="54"/>
      <c r="E1" s="54"/>
      <c r="F1" s="54"/>
    </row>
    <row r="2" spans="1:6" x14ac:dyDescent="0.2">
      <c r="A2" s="54" t="s">
        <v>934</v>
      </c>
      <c r="B2" s="54"/>
      <c r="C2" s="54"/>
      <c r="D2" s="54"/>
      <c r="E2" s="54"/>
      <c r="F2" s="54"/>
    </row>
    <row r="3" spans="1:6" x14ac:dyDescent="0.2">
      <c r="A3" s="54"/>
      <c r="B3" s="54"/>
      <c r="C3" s="54"/>
      <c r="D3" s="54"/>
      <c r="E3" s="54"/>
      <c r="F3" s="54"/>
    </row>
    <row r="4" spans="1:6" x14ac:dyDescent="0.2">
      <c r="A4" s="125" t="s">
        <v>935</v>
      </c>
      <c r="B4" s="125" t="s">
        <v>936</v>
      </c>
      <c r="C4" s="125" t="s">
        <v>937</v>
      </c>
      <c r="D4" s="125" t="s">
        <v>938</v>
      </c>
      <c r="E4" s="125" t="s">
        <v>939</v>
      </c>
      <c r="F4" s="125" t="s">
        <v>476</v>
      </c>
    </row>
    <row r="5" spans="1:6" x14ac:dyDescent="0.2">
      <c r="A5" s="54"/>
      <c r="B5" s="54"/>
      <c r="C5" s="54"/>
      <c r="D5" s="54"/>
      <c r="E5" s="54"/>
      <c r="F5" s="54"/>
    </row>
    <row r="6" spans="1:6" x14ac:dyDescent="0.2">
      <c r="A6" s="72" t="s">
        <v>940</v>
      </c>
      <c r="B6" s="54"/>
      <c r="C6" s="54"/>
      <c r="D6" s="54"/>
      <c r="E6" s="54"/>
      <c r="F6" s="54"/>
    </row>
    <row r="7" spans="1:6" x14ac:dyDescent="0.2">
      <c r="A7" s="58" t="s">
        <v>941</v>
      </c>
      <c r="B7" s="99">
        <f>DATE(2026,10,26)</f>
        <v>46321</v>
      </c>
      <c r="C7" s="54" t="s">
        <v>942</v>
      </c>
      <c r="D7" s="63">
        <v>46321</v>
      </c>
      <c r="E7" s="54" t="s">
        <v>943</v>
      </c>
      <c r="F7" s="54"/>
    </row>
    <row r="8" spans="1:6" x14ac:dyDescent="0.2">
      <c r="A8" s="58" t="s">
        <v>944</v>
      </c>
      <c r="B8" s="92">
        <v>630.55999999999995</v>
      </c>
      <c r="C8" s="54" t="s">
        <v>945</v>
      </c>
      <c r="D8" s="63">
        <v>46321</v>
      </c>
      <c r="E8" s="54" t="s">
        <v>946</v>
      </c>
      <c r="F8" s="54"/>
    </row>
    <row r="9" spans="1:6" x14ac:dyDescent="0.2">
      <c r="A9" s="58" t="s">
        <v>947</v>
      </c>
      <c r="B9" s="81">
        <v>2214.4723669999998</v>
      </c>
      <c r="C9" s="54" t="s">
        <v>948</v>
      </c>
      <c r="D9" s="63">
        <v>46311</v>
      </c>
      <c r="E9" s="54" t="s">
        <v>949</v>
      </c>
      <c r="F9" s="54"/>
    </row>
    <row r="10" spans="1:6" x14ac:dyDescent="0.2">
      <c r="A10" s="58" t="s">
        <v>950</v>
      </c>
      <c r="B10" s="81">
        <v>341.76888600000001</v>
      </c>
      <c r="C10" s="54" t="s">
        <v>948</v>
      </c>
      <c r="D10" s="63">
        <v>46311</v>
      </c>
      <c r="E10" s="54" t="s">
        <v>951</v>
      </c>
      <c r="F10" s="54"/>
    </row>
    <row r="11" spans="1:6" x14ac:dyDescent="0.2">
      <c r="A11" s="58" t="s">
        <v>952</v>
      </c>
      <c r="B11" s="98">
        <f>B9+B10</f>
        <v>2556.2412529999997</v>
      </c>
      <c r="C11" s="54" t="s">
        <v>948</v>
      </c>
      <c r="D11" s="54"/>
      <c r="E11" s="54"/>
      <c r="F11" s="54"/>
    </row>
    <row r="12" spans="1:6" x14ac:dyDescent="0.2">
      <c r="A12" s="58" t="s">
        <v>953</v>
      </c>
      <c r="B12" s="59">
        <f>Assumptions!$I$35</f>
        <v>21</v>
      </c>
      <c r="C12" s="54" t="s">
        <v>948</v>
      </c>
      <c r="D12" s="54"/>
      <c r="E12" s="54" t="s">
        <v>91</v>
      </c>
      <c r="F12" s="54"/>
    </row>
    <row r="13" spans="1:6" x14ac:dyDescent="0.2">
      <c r="A13" s="58" t="s">
        <v>954</v>
      </c>
      <c r="B13" s="98">
        <f>B11+B12</f>
        <v>2577.2412529999997</v>
      </c>
      <c r="C13" s="54" t="s">
        <v>948</v>
      </c>
      <c r="D13" s="54"/>
      <c r="E13" s="54"/>
      <c r="F13" s="54"/>
    </row>
    <row r="14" spans="1:6" x14ac:dyDescent="0.2">
      <c r="A14" s="58" t="s">
        <v>955</v>
      </c>
      <c r="B14" s="68">
        <f>B8*B11</f>
        <v>1611863.4844916796</v>
      </c>
      <c r="C14" s="54" t="s">
        <v>956</v>
      </c>
      <c r="D14" s="54"/>
      <c r="E14" s="54"/>
      <c r="F14" s="54" t="s">
        <v>957</v>
      </c>
    </row>
    <row r="15" spans="1:6" x14ac:dyDescent="0.2">
      <c r="A15" s="58" t="s">
        <v>958</v>
      </c>
      <c r="B15" s="54" t="s">
        <v>959</v>
      </c>
      <c r="C15" s="54"/>
      <c r="D15" s="63">
        <v>46317</v>
      </c>
      <c r="E15" s="54" t="s">
        <v>960</v>
      </c>
      <c r="F15" s="54" t="s">
        <v>961</v>
      </c>
    </row>
    <row r="16" spans="1:6" x14ac:dyDescent="0.2">
      <c r="A16" s="54"/>
      <c r="B16" s="54"/>
      <c r="C16" s="54"/>
      <c r="D16" s="54"/>
      <c r="E16" s="54"/>
      <c r="F16" s="54"/>
    </row>
    <row r="17" spans="1:6" x14ac:dyDescent="0.2">
      <c r="A17" s="72" t="s">
        <v>962</v>
      </c>
      <c r="B17" s="54"/>
      <c r="C17" s="54"/>
      <c r="D17" s="54"/>
      <c r="E17" s="54"/>
      <c r="F17" s="54"/>
    </row>
    <row r="18" spans="1:6" x14ac:dyDescent="0.2">
      <c r="A18" s="58" t="s">
        <v>215</v>
      </c>
      <c r="B18" s="55">
        <f>BS_Hist!J9</f>
        <v>11222</v>
      </c>
      <c r="C18" s="54" t="s">
        <v>956</v>
      </c>
      <c r="D18" s="63">
        <v>46295</v>
      </c>
      <c r="E18" s="54" t="s">
        <v>866</v>
      </c>
      <c r="F18" s="54"/>
    </row>
    <row r="19" spans="1:6" x14ac:dyDescent="0.2">
      <c r="A19" s="58" t="s">
        <v>217</v>
      </c>
      <c r="B19" s="55">
        <f>BS_Hist!J10</f>
        <v>71227</v>
      </c>
      <c r="C19" s="54" t="s">
        <v>956</v>
      </c>
      <c r="D19" s="63">
        <v>46295</v>
      </c>
      <c r="E19" s="54" t="s">
        <v>866</v>
      </c>
      <c r="F19" s="54"/>
    </row>
    <row r="20" spans="1:6" x14ac:dyDescent="0.2">
      <c r="A20" s="58" t="s">
        <v>767</v>
      </c>
      <c r="B20" s="68">
        <f>B18+B19</f>
        <v>82449</v>
      </c>
      <c r="C20" s="54" t="s">
        <v>956</v>
      </c>
      <c r="D20" s="54"/>
      <c r="E20" s="54"/>
      <c r="F20" s="54"/>
    </row>
    <row r="21" spans="1:6" x14ac:dyDescent="0.2">
      <c r="A21" s="58" t="s">
        <v>963</v>
      </c>
      <c r="B21" s="55">
        <f>BS_Hist!J15</f>
        <v>32624</v>
      </c>
      <c r="C21" s="54" t="s">
        <v>956</v>
      </c>
      <c r="D21" s="63">
        <v>46295</v>
      </c>
      <c r="E21" s="54" t="s">
        <v>866</v>
      </c>
      <c r="F21" s="54" t="s">
        <v>964</v>
      </c>
    </row>
    <row r="22" spans="1:6" x14ac:dyDescent="0.2">
      <c r="A22" s="58" t="s">
        <v>965</v>
      </c>
      <c r="B22" s="53">
        <v>84000</v>
      </c>
      <c r="C22" s="54" t="s">
        <v>956</v>
      </c>
      <c r="D22" s="63">
        <v>46295</v>
      </c>
      <c r="E22" s="54" t="s">
        <v>966</v>
      </c>
      <c r="F22" s="54"/>
    </row>
    <row r="23" spans="1:6" x14ac:dyDescent="0.2">
      <c r="A23" s="58" t="s">
        <v>867</v>
      </c>
      <c r="B23" s="53">
        <v>1184</v>
      </c>
      <c r="C23" s="54" t="s">
        <v>956</v>
      </c>
      <c r="D23" s="63">
        <v>46022</v>
      </c>
      <c r="E23" s="54" t="s">
        <v>967</v>
      </c>
      <c r="F23" s="54" t="s">
        <v>968</v>
      </c>
    </row>
    <row r="24" spans="1:6" x14ac:dyDescent="0.2">
      <c r="A24" s="58" t="s">
        <v>969</v>
      </c>
      <c r="B24" s="53">
        <v>11577</v>
      </c>
      <c r="C24" s="54" t="s">
        <v>956</v>
      </c>
      <c r="D24" s="63">
        <v>46295</v>
      </c>
      <c r="E24" s="54" t="s">
        <v>970</v>
      </c>
      <c r="F24" s="54" t="s">
        <v>971</v>
      </c>
    </row>
    <row r="25" spans="1:6" x14ac:dyDescent="0.2">
      <c r="A25" s="58" t="s">
        <v>972</v>
      </c>
      <c r="B25" s="53">
        <v>8304</v>
      </c>
      <c r="C25" s="54" t="s">
        <v>956</v>
      </c>
      <c r="D25" s="63">
        <v>46295</v>
      </c>
      <c r="E25" s="54" t="s">
        <v>973</v>
      </c>
      <c r="F25" s="54"/>
    </row>
    <row r="26" spans="1:6" x14ac:dyDescent="0.2">
      <c r="A26" s="58" t="s">
        <v>974</v>
      </c>
      <c r="B26" s="68">
        <f>B24+B25</f>
        <v>19881</v>
      </c>
      <c r="C26" s="54" t="s">
        <v>956</v>
      </c>
      <c r="D26" s="54"/>
      <c r="E26" s="54"/>
      <c r="F26" s="54"/>
    </row>
    <row r="27" spans="1:6" x14ac:dyDescent="0.2">
      <c r="A27" s="58" t="s">
        <v>975</v>
      </c>
      <c r="B27" s="68">
        <f>B20+B21-B22-B23-B26</f>
        <v>10008</v>
      </c>
      <c r="C27" s="54" t="s">
        <v>956</v>
      </c>
      <c r="D27" s="54"/>
      <c r="E27" s="54"/>
      <c r="F27" s="54"/>
    </row>
    <row r="28" spans="1:6" x14ac:dyDescent="0.2">
      <c r="A28" s="58" t="s">
        <v>976</v>
      </c>
      <c r="B28" s="68">
        <f>B14-B27</f>
        <v>1601855.4844916796</v>
      </c>
      <c r="C28" s="54" t="s">
        <v>956</v>
      </c>
      <c r="D28" s="54"/>
      <c r="E28" s="54"/>
      <c r="F28" s="54" t="s">
        <v>977</v>
      </c>
    </row>
    <row r="29" spans="1:6" x14ac:dyDescent="0.2">
      <c r="A29" s="54"/>
      <c r="B29" s="54"/>
      <c r="C29" s="54"/>
      <c r="D29" s="54"/>
      <c r="E29" s="54"/>
      <c r="F29" s="54"/>
    </row>
    <row r="30" spans="1:6" x14ac:dyDescent="0.2">
      <c r="A30" s="72" t="s">
        <v>978</v>
      </c>
      <c r="B30" s="54"/>
      <c r="C30" s="54"/>
      <c r="D30" s="54"/>
      <c r="E30" s="54"/>
      <c r="F30" s="54"/>
    </row>
    <row r="31" spans="1:6" x14ac:dyDescent="0.2">
      <c r="A31" s="58" t="s">
        <v>979</v>
      </c>
      <c r="B31" s="79">
        <v>0.05</v>
      </c>
      <c r="C31" s="54" t="s">
        <v>980</v>
      </c>
      <c r="D31" s="63">
        <v>46321</v>
      </c>
      <c r="E31" s="54" t="s">
        <v>981</v>
      </c>
      <c r="F31" s="54"/>
    </row>
    <row r="32" spans="1:6" x14ac:dyDescent="0.2">
      <c r="A32" s="58" t="s">
        <v>982</v>
      </c>
      <c r="B32" s="79">
        <v>3.6999999999999998E-2</v>
      </c>
      <c r="C32" s="54" t="s">
        <v>980</v>
      </c>
      <c r="D32" s="63">
        <v>46296</v>
      </c>
      <c r="E32" s="54" t="s">
        <v>983</v>
      </c>
      <c r="F32" s="54" t="s">
        <v>984</v>
      </c>
    </row>
    <row r="33" spans="1:6" x14ac:dyDescent="0.2">
      <c r="A33" s="58" t="s">
        <v>985</v>
      </c>
      <c r="B33" s="92">
        <v>1.19</v>
      </c>
      <c r="C33" s="54" t="s">
        <v>986</v>
      </c>
      <c r="D33" s="63">
        <v>46321</v>
      </c>
      <c r="E33" s="54" t="s">
        <v>987</v>
      </c>
      <c r="F33" s="54"/>
    </row>
    <row r="34" spans="1:6" x14ac:dyDescent="0.2">
      <c r="A34" s="58" t="s">
        <v>988</v>
      </c>
      <c r="B34" s="56">
        <f>B31+B33*B32</f>
        <v>9.4030000000000002E-2</v>
      </c>
      <c r="C34" s="54" t="s">
        <v>980</v>
      </c>
      <c r="D34" s="54"/>
      <c r="E34" s="54"/>
      <c r="F34" s="54" t="s">
        <v>989</v>
      </c>
    </row>
    <row r="35" spans="1:6" x14ac:dyDescent="0.2">
      <c r="A35" s="58" t="s">
        <v>990</v>
      </c>
      <c r="B35" s="79">
        <v>5.6500000000000002E-2</v>
      </c>
      <c r="C35" s="54" t="s">
        <v>980</v>
      </c>
      <c r="D35" s="63">
        <v>46318</v>
      </c>
      <c r="E35" s="54" t="s">
        <v>991</v>
      </c>
      <c r="F35" s="54" t="s">
        <v>992</v>
      </c>
    </row>
    <row r="36" spans="1:6" x14ac:dyDescent="0.2">
      <c r="A36" s="58" t="s">
        <v>993</v>
      </c>
      <c r="B36" s="86">
        <f>Assumptions!J101</f>
        <v>0.17</v>
      </c>
      <c r="C36" s="54" t="s">
        <v>980</v>
      </c>
      <c r="D36" s="54"/>
      <c r="E36" s="54" t="s">
        <v>91</v>
      </c>
      <c r="F36" s="54"/>
    </row>
    <row r="37" spans="1:6" x14ac:dyDescent="0.2">
      <c r="A37" s="58" t="s">
        <v>994</v>
      </c>
      <c r="B37" s="56">
        <f>B35*(1-B36)</f>
        <v>4.6894999999999999E-2</v>
      </c>
      <c r="C37" s="54" t="s">
        <v>980</v>
      </c>
      <c r="D37" s="54"/>
      <c r="E37" s="54"/>
      <c r="F37" s="54"/>
    </row>
    <row r="38" spans="1:6" x14ac:dyDescent="0.2">
      <c r="A38" s="58" t="s">
        <v>995</v>
      </c>
      <c r="B38" s="68">
        <f>B14</f>
        <v>1611863.4844916796</v>
      </c>
      <c r="C38" s="54" t="s">
        <v>956</v>
      </c>
      <c r="D38" s="54"/>
      <c r="E38" s="54"/>
      <c r="F38" s="54"/>
    </row>
    <row r="39" spans="1:6" x14ac:dyDescent="0.2">
      <c r="A39" s="58" t="s">
        <v>996</v>
      </c>
      <c r="B39" s="68">
        <f>B22+B23</f>
        <v>85184</v>
      </c>
      <c r="C39" s="54" t="s">
        <v>956</v>
      </c>
      <c r="D39" s="54"/>
      <c r="E39" s="54"/>
      <c r="F39" s="54" t="s">
        <v>997</v>
      </c>
    </row>
    <row r="40" spans="1:6" x14ac:dyDescent="0.2">
      <c r="A40" s="58" t="s">
        <v>998</v>
      </c>
      <c r="B40" s="56">
        <f>B38/(B38+B39)</f>
        <v>0.94980458662562683</v>
      </c>
      <c r="C40" s="54" t="s">
        <v>980</v>
      </c>
      <c r="D40" s="54"/>
      <c r="E40" s="54"/>
      <c r="F40" s="54"/>
    </row>
    <row r="41" spans="1:6" x14ac:dyDescent="0.2">
      <c r="A41" s="58" t="s">
        <v>999</v>
      </c>
      <c r="B41" s="56">
        <f>B39/(B38+B39)</f>
        <v>5.0195413374373173E-2</v>
      </c>
      <c r="C41" s="54" t="s">
        <v>980</v>
      </c>
      <c r="D41" s="54"/>
      <c r="E41" s="54"/>
      <c r="F41" s="54"/>
    </row>
    <row r="42" spans="1:6" x14ac:dyDescent="0.2">
      <c r="A42" s="91" t="s">
        <v>1000</v>
      </c>
      <c r="B42" s="83">
        <f>B40*B34+B41*B37</f>
        <v>9.1664039190598914E-2</v>
      </c>
      <c r="C42" s="54" t="s">
        <v>980</v>
      </c>
      <c r="D42" s="54"/>
      <c r="E42" s="54"/>
      <c r="F42" s="54" t="s">
        <v>1001</v>
      </c>
    </row>
    <row r="43" spans="1:6" x14ac:dyDescent="0.2">
      <c r="A43" s="58" t="s">
        <v>1002</v>
      </c>
      <c r="B43" s="79">
        <v>4.2000000000000003E-2</v>
      </c>
      <c r="C43" s="54" t="s">
        <v>980</v>
      </c>
      <c r="D43" s="63">
        <v>46296</v>
      </c>
      <c r="E43" s="54" t="s">
        <v>1003</v>
      </c>
      <c r="F43" s="54"/>
    </row>
    <row r="44" spans="1:6" x14ac:dyDescent="0.2">
      <c r="A44" s="58" t="s">
        <v>1004</v>
      </c>
      <c r="B44" s="56">
        <f>B40*(B31+B33*B43)+B41*B37</f>
        <v>9.7315376481021412E-2</v>
      </c>
      <c r="C44" s="54" t="s">
        <v>980</v>
      </c>
      <c r="D44" s="54"/>
      <c r="E44" s="54"/>
      <c r="F44" s="54"/>
    </row>
    <row r="45" spans="1:6" x14ac:dyDescent="0.2">
      <c r="A45" s="58" t="s">
        <v>1005</v>
      </c>
      <c r="B45" s="79">
        <v>5.2859999999999997E-2</v>
      </c>
      <c r="C45" s="54" t="s">
        <v>980</v>
      </c>
      <c r="D45" s="63">
        <v>46142</v>
      </c>
      <c r="E45" s="54" t="s">
        <v>1006</v>
      </c>
      <c r="F45" s="54"/>
    </row>
    <row r="46" spans="1:6" x14ac:dyDescent="0.2">
      <c r="A46" s="54"/>
      <c r="B46" s="54"/>
      <c r="C46" s="54"/>
      <c r="D46" s="54"/>
      <c r="E46" s="54"/>
      <c r="F46" s="54"/>
    </row>
    <row r="47" spans="1:6" x14ac:dyDescent="0.2">
      <c r="A47" s="72" t="s">
        <v>1007</v>
      </c>
      <c r="B47" s="54"/>
      <c r="C47" s="54"/>
      <c r="D47" s="54"/>
      <c r="E47" s="54"/>
      <c r="F47" s="54"/>
    </row>
    <row r="48" spans="1:6" x14ac:dyDescent="0.2">
      <c r="A48" s="58" t="s">
        <v>1008</v>
      </c>
      <c r="B48" s="55">
        <f>IS_Hist!H6-IS_Hist!I6+IS_Hist!J6</f>
        <v>241605</v>
      </c>
      <c r="C48" s="54" t="s">
        <v>956</v>
      </c>
      <c r="D48" s="54"/>
      <c r="E48" s="54"/>
      <c r="F48" s="54" t="s">
        <v>1009</v>
      </c>
    </row>
    <row r="49" spans="1:6" x14ac:dyDescent="0.2">
      <c r="A49" s="58" t="s">
        <v>1010</v>
      </c>
      <c r="B49" s="55">
        <f>IS_Hist!H15-IS_Hist!I15+IS_Hist!J15</f>
        <v>79380</v>
      </c>
      <c r="C49" s="54" t="s">
        <v>956</v>
      </c>
      <c r="D49" s="54"/>
      <c r="E49" s="54"/>
      <c r="F49" s="54"/>
    </row>
    <row r="50" spans="1:6" x14ac:dyDescent="0.2">
      <c r="A50" s="58" t="s">
        <v>1011</v>
      </c>
      <c r="B50" s="55">
        <f>Assumptions!$I$30</f>
        <v>11890</v>
      </c>
      <c r="C50" s="54" t="s">
        <v>956</v>
      </c>
      <c r="D50" s="54"/>
      <c r="E50" s="54"/>
      <c r="F50" s="54"/>
    </row>
    <row r="51" spans="1:6" x14ac:dyDescent="0.2">
      <c r="A51" s="58" t="s">
        <v>1012</v>
      </c>
      <c r="B51" s="68">
        <f>B49+B50</f>
        <v>91270</v>
      </c>
      <c r="C51" s="54" t="s">
        <v>956</v>
      </c>
      <c r="D51" s="54"/>
      <c r="E51" s="54"/>
      <c r="F51" s="54"/>
    </row>
    <row r="52" spans="1:6" x14ac:dyDescent="0.2">
      <c r="A52" s="58" t="s">
        <v>1013</v>
      </c>
      <c r="B52" s="55">
        <f>CF_Hist!H10-CF_Hist!I10+CF_Hist!J10</f>
        <v>24920</v>
      </c>
      <c r="C52" s="54" t="s">
        <v>956</v>
      </c>
      <c r="D52" s="54"/>
      <c r="E52" s="54"/>
      <c r="F52" s="54"/>
    </row>
    <row r="53" spans="1:6" x14ac:dyDescent="0.2">
      <c r="A53" s="58" t="s">
        <v>1014</v>
      </c>
      <c r="B53" s="68">
        <f>B49+B52</f>
        <v>104300</v>
      </c>
      <c r="C53" s="54" t="s">
        <v>956</v>
      </c>
      <c r="D53" s="54"/>
      <c r="E53" s="54"/>
      <c r="F53" s="54"/>
    </row>
    <row r="54" spans="1:6" x14ac:dyDescent="0.2">
      <c r="A54" s="58" t="s">
        <v>1015</v>
      </c>
      <c r="B54" s="68">
        <f>B51+B52</f>
        <v>116190</v>
      </c>
      <c r="C54" s="54" t="s">
        <v>956</v>
      </c>
      <c r="D54" s="54"/>
      <c r="E54" s="54"/>
      <c r="F54" s="54" t="s">
        <v>1016</v>
      </c>
    </row>
    <row r="55" spans="1:6" x14ac:dyDescent="0.2">
      <c r="A55" s="58" t="s">
        <v>1017</v>
      </c>
      <c r="B55" s="55">
        <f>IS_Hist!H21-IS_Hist!I21+IS_Hist!J21</f>
        <v>75249</v>
      </c>
      <c r="C55" s="54" t="s">
        <v>956</v>
      </c>
      <c r="D55" s="54"/>
      <c r="E55" s="54"/>
      <c r="F55" s="54"/>
    </row>
    <row r="56" spans="1:6" x14ac:dyDescent="0.2">
      <c r="A56" s="58" t="s">
        <v>1018</v>
      </c>
      <c r="B56" s="66">
        <f>IS_Hist!H28-IS_Hist!I28+IS_Hist!J28</f>
        <v>29.310000000000002</v>
      </c>
      <c r="C56" s="54" t="s">
        <v>1019</v>
      </c>
      <c r="D56" s="54"/>
      <c r="E56" s="54"/>
      <c r="F56" s="54"/>
    </row>
    <row r="57" spans="1:6" x14ac:dyDescent="0.2">
      <c r="A57" s="58" t="s">
        <v>1020</v>
      </c>
      <c r="B57" s="55">
        <f>CF_Hist!H29-CF_Hist!I29+CF_Hist!J29</f>
        <v>133087</v>
      </c>
      <c r="C57" s="54" t="s">
        <v>956</v>
      </c>
      <c r="D57" s="54"/>
      <c r="E57" s="54"/>
      <c r="F57" s="54"/>
    </row>
    <row r="58" spans="1:6" x14ac:dyDescent="0.2">
      <c r="A58" s="58" t="s">
        <v>1021</v>
      </c>
      <c r="B58" s="55">
        <f>-(CF_Hist!H32+CF_Hist!H50)+(CF_Hist!I32+CF_Hist!I50)-(CF_Hist!J32+CF_Hist!J50)</f>
        <v>107961</v>
      </c>
      <c r="C58" s="54" t="s">
        <v>956</v>
      </c>
      <c r="D58" s="54"/>
      <c r="E58" s="54"/>
      <c r="F58" s="54"/>
    </row>
    <row r="59" spans="1:6" x14ac:dyDescent="0.2">
      <c r="A59" s="58" t="s">
        <v>1022</v>
      </c>
      <c r="B59" s="68">
        <f>B57-B58</f>
        <v>25126</v>
      </c>
      <c r="C59" s="54" t="s">
        <v>956</v>
      </c>
      <c r="D59" s="54"/>
      <c r="E59" s="54"/>
      <c r="F59" s="54"/>
    </row>
    <row r="60" spans="1:6" x14ac:dyDescent="0.2">
      <c r="A60" s="58" t="s">
        <v>1023</v>
      </c>
      <c r="B60" s="64">
        <f>B28/B48</f>
        <v>6.6300593302774349</v>
      </c>
      <c r="C60" s="54" t="s">
        <v>986</v>
      </c>
      <c r="D60" s="54"/>
      <c r="E60" s="54"/>
      <c r="F60" s="54"/>
    </row>
    <row r="61" spans="1:6" x14ac:dyDescent="0.2">
      <c r="A61" s="58" t="s">
        <v>1024</v>
      </c>
      <c r="B61" s="64">
        <f>B28/B53</f>
        <v>15.358154213726554</v>
      </c>
      <c r="C61" s="54" t="s">
        <v>986</v>
      </c>
      <c r="D61" s="54"/>
      <c r="E61" s="54"/>
      <c r="F61" s="54"/>
    </row>
    <row r="62" spans="1:6" x14ac:dyDescent="0.2">
      <c r="A62" s="58" t="s">
        <v>1025</v>
      </c>
      <c r="B62" s="64">
        <f>B28/B54</f>
        <v>13.786517639140026</v>
      </c>
      <c r="C62" s="54" t="s">
        <v>986</v>
      </c>
      <c r="D62" s="54"/>
      <c r="E62" s="54"/>
      <c r="F62" s="54"/>
    </row>
    <row r="63" spans="1:6" x14ac:dyDescent="0.2">
      <c r="A63" s="58" t="s">
        <v>1026</v>
      </c>
      <c r="B63" s="64">
        <f>B8/B56</f>
        <v>21.513476629136811</v>
      </c>
      <c r="C63" s="54" t="s">
        <v>986</v>
      </c>
      <c r="D63" s="54"/>
      <c r="E63" s="54"/>
      <c r="F63" s="54"/>
    </row>
    <row r="64" spans="1:6" x14ac:dyDescent="0.2">
      <c r="A64" s="58" t="s">
        <v>1027</v>
      </c>
      <c r="B64" s="56">
        <f>B59/B14</f>
        <v>1.558816875110474E-2</v>
      </c>
      <c r="C64" s="54" t="s">
        <v>980</v>
      </c>
      <c r="D64" s="54"/>
      <c r="E64" s="54"/>
      <c r="F64" s="54"/>
    </row>
    <row r="65" spans="1:6" x14ac:dyDescent="0.2">
      <c r="A65" s="58" t="s">
        <v>1028</v>
      </c>
      <c r="B65" s="56">
        <f>Assumptions!$I$39/B8</f>
        <v>3.3303730017761992E-3</v>
      </c>
      <c r="C65" s="54" t="s">
        <v>980</v>
      </c>
      <c r="D65" s="54"/>
      <c r="E65" s="54"/>
      <c r="F65" s="54"/>
    </row>
    <row r="66" spans="1:6" x14ac:dyDescent="0.2">
      <c r="A66" s="58" t="s">
        <v>1029</v>
      </c>
      <c r="B66" s="80">
        <v>19.170000000000002</v>
      </c>
      <c r="C66" s="54" t="s">
        <v>986</v>
      </c>
      <c r="D66" s="63">
        <v>46321</v>
      </c>
      <c r="E66" s="54" t="s">
        <v>1030</v>
      </c>
      <c r="F66" s="54"/>
    </row>
    <row r="67" spans="1:6" x14ac:dyDescent="0.2">
      <c r="A67" s="58" t="s">
        <v>1031</v>
      </c>
      <c r="B67" s="57">
        <f>B8/B66</f>
        <v>32.89306207616066</v>
      </c>
      <c r="C67" s="54" t="s">
        <v>1019</v>
      </c>
      <c r="D67" s="54"/>
      <c r="E67" s="54"/>
      <c r="F67" s="54"/>
    </row>
    <row r="68" spans="1:6" x14ac:dyDescent="0.2">
      <c r="A68" s="58" t="s">
        <v>1032</v>
      </c>
      <c r="B68" s="66">
        <f>Forecast_3Stmt!D30</f>
        <v>30.359468722347835</v>
      </c>
      <c r="C68" s="54" t="s">
        <v>1019</v>
      </c>
      <c r="D68" s="54"/>
      <c r="E68" s="54"/>
      <c r="F68" s="54"/>
    </row>
    <row r="69" spans="1:6" x14ac:dyDescent="0.2">
      <c r="A69" s="58" t="s">
        <v>1033</v>
      </c>
      <c r="B69" s="56">
        <f>B68/B67-1</f>
        <v>-7.7025159528977261E-2</v>
      </c>
      <c r="C69" s="54" t="s">
        <v>980</v>
      </c>
      <c r="D69" s="54"/>
      <c r="E69" s="54"/>
      <c r="F69" s="5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7BEA-8BE1-C741-9104-4CA955A0DAEE}">
  <sheetPr>
    <tabColor rgb="FFC0873A"/>
  </sheetPr>
  <dimension ref="A1:N51"/>
  <sheetViews>
    <sheetView showGridLines="0" workbookViewId="0"/>
  </sheetViews>
  <sheetFormatPr baseColWidth="10" defaultColWidth="8.33203125" defaultRowHeight="15" x14ac:dyDescent="0.2"/>
  <cols>
    <col min="1" max="1" width="76" customWidth="1"/>
    <col min="2" max="2" width="15.1640625" customWidth="1"/>
    <col min="3" max="12" width="11.83203125" customWidth="1"/>
    <col min="13" max="13" width="17.6640625" customWidth="1"/>
    <col min="14" max="14" width="86" customWidth="1"/>
  </cols>
  <sheetData>
    <row r="1" spans="1:14" x14ac:dyDescent="0.2">
      <c r="A1" s="122" t="s">
        <v>1034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x14ac:dyDescent="0.2">
      <c r="A2" s="54" t="s">
        <v>1035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x14ac:dyDescent="0.2">
      <c r="A3" s="54"/>
      <c r="B3" s="54"/>
      <c r="C3" s="54" t="s">
        <v>1036</v>
      </c>
      <c r="D3" s="54" t="s">
        <v>559</v>
      </c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x14ac:dyDescent="0.2">
      <c r="A4" s="125" t="s">
        <v>897</v>
      </c>
      <c r="B4" s="123" t="s">
        <v>936</v>
      </c>
      <c r="C4" s="124" t="s">
        <v>669</v>
      </c>
      <c r="D4" s="124" t="s">
        <v>701</v>
      </c>
      <c r="E4" s="124" t="s">
        <v>702</v>
      </c>
      <c r="F4" s="124" t="s">
        <v>703</v>
      </c>
      <c r="G4" s="124" t="s">
        <v>704</v>
      </c>
      <c r="H4" s="124" t="s">
        <v>705</v>
      </c>
      <c r="I4" s="124" t="s">
        <v>706</v>
      </c>
      <c r="J4" s="124" t="s">
        <v>707</v>
      </c>
      <c r="K4" s="124" t="s">
        <v>708</v>
      </c>
      <c r="L4" s="124" t="s">
        <v>709</v>
      </c>
      <c r="M4" s="126" t="s">
        <v>144</v>
      </c>
      <c r="N4" s="126" t="s">
        <v>560</v>
      </c>
    </row>
    <row r="5" spans="1:14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 x14ac:dyDescent="0.2">
      <c r="A6" s="72" t="s">
        <v>1037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x14ac:dyDescent="0.2">
      <c r="A7" s="58" t="s">
        <v>147</v>
      </c>
      <c r="B7" s="54"/>
      <c r="C7" s="55">
        <f>Interim_Bridge!C10</f>
        <v>74500</v>
      </c>
      <c r="D7" s="55">
        <f>Forecast_3Stmt!D10</f>
        <v>304976.58199999999</v>
      </c>
      <c r="E7" s="55">
        <f>Forecast_3Stmt!E10</f>
        <v>356220.44608160009</v>
      </c>
      <c r="F7" s="55">
        <f>Forecast_3Stmt!F10</f>
        <v>408384.96613521589</v>
      </c>
      <c r="G7" s="55">
        <f>Forecast_3Stmt!G10</f>
        <v>459373.30185435258</v>
      </c>
      <c r="H7" s="55">
        <f>Forecast_3Stmt!H10</f>
        <v>506825.51805138588</v>
      </c>
      <c r="I7" s="55">
        <f>Forecast_3Stmt!I10</f>
        <v>553708.97047914413</v>
      </c>
      <c r="J7" s="55">
        <f>Forecast_3Stmt!J10</f>
        <v>596287.49592215894</v>
      </c>
      <c r="K7" s="55">
        <f>Forecast_3Stmt!K10</f>
        <v>635852.13345992565</v>
      </c>
      <c r="L7" s="55">
        <f>Forecast_3Stmt!L10</f>
        <v>671357.69089892763</v>
      </c>
      <c r="M7" s="54"/>
      <c r="N7" s="54"/>
    </row>
    <row r="8" spans="1:14" x14ac:dyDescent="0.2">
      <c r="A8" s="58" t="s">
        <v>160</v>
      </c>
      <c r="B8" s="54"/>
      <c r="C8" s="55">
        <f>Interim_Bridge!C14</f>
        <v>24577</v>
      </c>
      <c r="D8" s="55">
        <f>Forecast_3Stmt!D17</f>
        <v>96609.845901818189</v>
      </c>
      <c r="E8" s="55">
        <f>Forecast_3Stmt!E17</f>
        <v>104569.0073940886</v>
      </c>
      <c r="F8" s="55">
        <f>Forecast_3Stmt!F17</f>
        <v>112427.06521013431</v>
      </c>
      <c r="G8" s="55">
        <f>Forecast_3Stmt!G17</f>
        <v>122671.4974284881</v>
      </c>
      <c r="H8" s="55">
        <f>Forecast_3Stmt!H17</f>
        <v>135914.2496172542</v>
      </c>
      <c r="I8" s="55">
        <f>Forecast_3Stmt!I17</f>
        <v>156264.03021239775</v>
      </c>
      <c r="J8" s="55">
        <f>Forecast_3Stmt!J17</f>
        <v>179839.36154850904</v>
      </c>
      <c r="K8" s="55">
        <f>Forecast_3Stmt!K17</f>
        <v>203205.48880534858</v>
      </c>
      <c r="L8" s="55">
        <f>Forecast_3Stmt!L17</f>
        <v>224123.37617643166</v>
      </c>
      <c r="M8" s="54"/>
      <c r="N8" s="54"/>
    </row>
    <row r="9" spans="1:14" x14ac:dyDescent="0.2">
      <c r="A9" s="58" t="s">
        <v>1038</v>
      </c>
      <c r="B9" s="54"/>
      <c r="C9" s="86">
        <f>Assumptions!$I$12</f>
        <v>0.16</v>
      </c>
      <c r="D9" s="86">
        <f>Assumptions!J101</f>
        <v>0.17</v>
      </c>
      <c r="E9" s="86">
        <f>Assumptions!K101</f>
        <v>0.17</v>
      </c>
      <c r="F9" s="86">
        <f>Assumptions!L101</f>
        <v>0.17</v>
      </c>
      <c r="G9" s="86">
        <f>Assumptions!M101</f>
        <v>0.17</v>
      </c>
      <c r="H9" s="86">
        <f>Assumptions!N101</f>
        <v>0.17</v>
      </c>
      <c r="I9" s="86">
        <f>Assumptions!O101</f>
        <v>0.17</v>
      </c>
      <c r="J9" s="86">
        <f>Assumptions!P101</f>
        <v>0.17</v>
      </c>
      <c r="K9" s="86">
        <f>Assumptions!Q101</f>
        <v>0.17</v>
      </c>
      <c r="L9" s="86">
        <f>Assumptions!R101</f>
        <v>0.17</v>
      </c>
      <c r="M9" s="54"/>
      <c r="N9" s="54"/>
    </row>
    <row r="10" spans="1:14" x14ac:dyDescent="0.2">
      <c r="A10" s="58" t="s">
        <v>1039</v>
      </c>
      <c r="B10" s="54"/>
      <c r="C10" s="68">
        <f t="shared" si="0" ref="C10:L10">C8*(1-C9)</f>
        <v>20644.68</v>
      </c>
      <c r="D10" s="68">
        <f t="shared" si="0"/>
        <v>80186.172098509094</v>
      </c>
      <c r="E10" s="68">
        <f t="shared" si="0"/>
        <v>86792.27613709353</v>
      </c>
      <c r="F10" s="68">
        <f t="shared" si="0"/>
        <v>93314.464124411475</v>
      </c>
      <c r="G10" s="68">
        <f t="shared" si="0"/>
        <v>101817.34286564511</v>
      </c>
      <c r="H10" s="68">
        <f t="shared" si="0"/>
        <v>112808.82718232097</v>
      </c>
      <c r="I10" s="68">
        <f t="shared" si="0"/>
        <v>129699.14507629012</v>
      </c>
      <c r="J10" s="68">
        <f t="shared" si="0"/>
        <v>149266.67008526251</v>
      </c>
      <c r="K10" s="68">
        <f t="shared" si="0"/>
        <v>168660.55570843932</v>
      </c>
      <c r="L10" s="68">
        <f t="shared" si="0"/>
        <v>186022.40222643828</v>
      </c>
      <c r="M10" s="54"/>
      <c r="N10" s="54"/>
    </row>
    <row r="11" spans="1:14" x14ac:dyDescent="0.2">
      <c r="A11" s="58" t="s">
        <v>1040</v>
      </c>
      <c r="B11" s="54"/>
      <c r="C11" s="55">
        <f>Interim_Bridge!C17</f>
        <v>8200</v>
      </c>
      <c r="D11" s="55">
        <f>Forecast_3Stmt!D15</f>
        <v>43679.38181818182</v>
      </c>
      <c r="E11" s="55">
        <f>Forecast_3Stmt!E15</f>
        <v>62498.38181818182</v>
      </c>
      <c r="F11" s="55">
        <f>Forecast_3Stmt!F15</f>
        <v>82372.563636363629</v>
      </c>
      <c r="G11" s="55">
        <f>Forecast_3Stmt!G15</f>
        <v>100583.92727272728</v>
      </c>
      <c r="H11" s="55">
        <f>Forecast_3Stmt!H15</f>
        <v>114964.38181818182</v>
      </c>
      <c r="I11" s="55">
        <f>Forecast_3Stmt!I15</f>
        <v>122805.29090909091</v>
      </c>
      <c r="J11" s="55">
        <f>Forecast_3Stmt!J15</f>
        <v>125459.83636363636</v>
      </c>
      <c r="K11" s="55">
        <f>Forecast_3Stmt!K15</f>
        <v>128073.47272727273</v>
      </c>
      <c r="L11" s="55">
        <f>Forecast_3Stmt!L15</f>
        <v>131696.20000000001</v>
      </c>
      <c r="M11" s="54"/>
      <c r="N11" s="54"/>
    </row>
    <row r="12" spans="1:14" x14ac:dyDescent="0.2">
      <c r="A12" s="58" t="s">
        <v>1041</v>
      </c>
      <c r="B12" s="54"/>
      <c r="C12" s="55">
        <f>Interim_Bridge!C28</f>
        <v>54176</v>
      </c>
      <c r="D12" s="55">
        <f>Schedules!D7</f>
        <v>199000</v>
      </c>
      <c r="E12" s="55">
        <f>Schedules!E7</f>
        <v>205000</v>
      </c>
      <c r="F12" s="55">
        <f>Schedules!F7</f>
        <v>200000</v>
      </c>
      <c r="G12" s="55">
        <f>Schedules!G7</f>
        <v>190000</v>
      </c>
      <c r="H12" s="55">
        <f>Schedules!H7</f>
        <v>185000</v>
      </c>
      <c r="I12" s="55">
        <f>Schedules!I7</f>
        <v>185000</v>
      </c>
      <c r="J12" s="55">
        <f>Schedules!J7</f>
        <v>190000</v>
      </c>
      <c r="K12" s="55">
        <f>Schedules!K7</f>
        <v>195000</v>
      </c>
      <c r="L12" s="55">
        <f>Schedules!L7</f>
        <v>200000</v>
      </c>
      <c r="M12" s="54"/>
      <c r="N12" s="54"/>
    </row>
    <row r="13" spans="1:14" x14ac:dyDescent="0.2">
      <c r="A13" s="58" t="s">
        <v>1042</v>
      </c>
      <c r="B13" s="54"/>
      <c r="C13" s="55">
        <v>0</v>
      </c>
      <c r="D13" s="55">
        <f>Schedules!D43</f>
        <v>3031.4377701999256</v>
      </c>
      <c r="E13" s="55">
        <f>Schedules!E43</f>
        <v>3185.5617068132415</v>
      </c>
      <c r="F13" s="55">
        <f>Schedules!F43</f>
        <v>3242.794049888158</v>
      </c>
      <c r="G13" s="55">
        <f>Schedules!G43</f>
        <v>3169.6768515031072</v>
      </c>
      <c r="H13" s="55">
        <f>Schedules!H43</f>
        <v>2949.8548856499838</v>
      </c>
      <c r="I13" s="55">
        <f>Schedules!I43</f>
        <v>2914.497831374385</v>
      </c>
      <c r="J13" s="55">
        <f>Schedules!J43</f>
        <v>2646.8831462017624</v>
      </c>
      <c r="K13" s="55">
        <f>Schedules!K43</f>
        <v>2459.5255752680678</v>
      </c>
      <c r="L13" s="55">
        <f>Schedules!L43</f>
        <v>2207.1938988955881</v>
      </c>
      <c r="M13" s="54"/>
      <c r="N13" s="54" t="s">
        <v>1043</v>
      </c>
    </row>
    <row r="14" spans="1:14" x14ac:dyDescent="0.2">
      <c r="A14" s="72" t="s">
        <v>1037</v>
      </c>
      <c r="B14" s="73"/>
      <c r="C14" s="76">
        <f t="shared" si="1" ref="C14:L14">C10+C11-C12+C13</f>
        <v>-25331.32</v>
      </c>
      <c r="D14" s="76">
        <f t="shared" si="1"/>
        <v>-72103.008313109167</v>
      </c>
      <c r="E14" s="76">
        <f t="shared" si="1"/>
        <v>-52523.780337911405</v>
      </c>
      <c r="F14" s="76">
        <f t="shared" si="1"/>
        <v>-21070.178189336722</v>
      </c>
      <c r="G14" s="76">
        <f t="shared" si="1"/>
        <v>15570.946989875483</v>
      </c>
      <c r="H14" s="76">
        <f t="shared" si="1"/>
        <v>45723.063886152755</v>
      </c>
      <c r="I14" s="76">
        <f t="shared" si="1"/>
        <v>70418.933816755394</v>
      </c>
      <c r="J14" s="76">
        <f t="shared" si="1"/>
        <v>87373.389595100627</v>
      </c>
      <c r="K14" s="76">
        <f t="shared" si="1"/>
        <v>104193.55401098011</v>
      </c>
      <c r="L14" s="76">
        <f t="shared" si="1"/>
        <v>119925.79612533387</v>
      </c>
      <c r="M14" s="54"/>
      <c r="N14" s="54"/>
    </row>
    <row r="15" spans="1:14" x14ac:dyDescent="0.2">
      <c r="A15" s="58" t="s">
        <v>1044</v>
      </c>
      <c r="B15" s="54"/>
      <c r="C15" s="57">
        <f>(DATE(2026,12,31)-Market_Package!B7)/365/2</f>
        <v>9.0410958904109592E-2</v>
      </c>
      <c r="D15" s="57">
        <f>(DATE(2026,12,31)-Market_Package!B7)/365+0.5</f>
        <v>0.68082191780821921</v>
      </c>
      <c r="E15" s="57">
        <f t="shared" si="2" ref="E15:L15">D15+1</f>
        <v>1.6808219178082191</v>
      </c>
      <c r="F15" s="57">
        <f t="shared" si="2"/>
        <v>2.6808219178082191</v>
      </c>
      <c r="G15" s="57">
        <f t="shared" si="2"/>
        <v>3.6808219178082191</v>
      </c>
      <c r="H15" s="57">
        <f t="shared" si="2"/>
        <v>4.6808219178082187</v>
      </c>
      <c r="I15" s="57">
        <f t="shared" si="2"/>
        <v>5.6808219178082187</v>
      </c>
      <c r="J15" s="57">
        <f t="shared" si="2"/>
        <v>6.6808219178082187</v>
      </c>
      <c r="K15" s="57">
        <f t="shared" si="2"/>
        <v>7.6808219178082187</v>
      </c>
      <c r="L15" s="57">
        <f t="shared" si="2"/>
        <v>8.6808219178082187</v>
      </c>
      <c r="M15" s="54"/>
      <c r="N15" s="54"/>
    </row>
    <row r="16" spans="1:14" x14ac:dyDescent="0.2">
      <c r="A16" s="58" t="s">
        <v>1045</v>
      </c>
      <c r="B16" s="54"/>
      <c r="C16" s="82">
        <f t="shared" si="3" ref="C16:L16">1/(1+$B$20)^C15</f>
        <v>0.99210202617293164</v>
      </c>
      <c r="D16" s="82">
        <f t="shared" si="3"/>
        <v>0.9420374561524546</v>
      </c>
      <c r="E16" s="82">
        <f t="shared" si="3"/>
        <v>0.86293715129694737</v>
      </c>
      <c r="F16" s="82">
        <f t="shared" si="3"/>
        <v>0.7904786823762755</v>
      </c>
      <c r="G16" s="82">
        <f t="shared" si="3"/>
        <v>0.7241043526196634</v>
      </c>
      <c r="H16" s="82">
        <f t="shared" si="3"/>
        <v>0.66330329352658879</v>
      </c>
      <c r="I16" s="82">
        <f t="shared" si="3"/>
        <v>0.60760753282519686</v>
      </c>
      <c r="J16" s="82">
        <f t="shared" si="3"/>
        <v>0.55658839259347592</v>
      </c>
      <c r="K16" s="82">
        <f t="shared" si="3"/>
        <v>0.50985318982033312</v>
      </c>
      <c r="L16" s="82">
        <f t="shared" si="3"/>
        <v>0.46704221401151724</v>
      </c>
      <c r="M16" s="54"/>
      <c r="N16" s="54"/>
    </row>
    <row r="17" spans="1:14" x14ac:dyDescent="0.2">
      <c r="A17" s="58" t="s">
        <v>1046</v>
      </c>
      <c r="B17" s="54"/>
      <c r="C17" s="68">
        <f t="shared" si="4" ref="C17:L17">C14*C16</f>
        <v>-25131.253897634906</v>
      </c>
      <c r="D17" s="68">
        <f t="shared" si="4"/>
        <v>-67923.734532220653</v>
      </c>
      <c r="E17" s="68">
        <f t="shared" si="4"/>
        <v>-45324.721380143885</v>
      </c>
      <c r="F17" s="68">
        <f t="shared" si="4"/>
        <v>-16655.526692540232</v>
      </c>
      <c r="G17" s="68">
        <f t="shared" si="4"/>
        <v>11274.990489778884</v>
      </c>
      <c r="H17" s="68">
        <f t="shared" si="4"/>
        <v>30328.258865811753</v>
      </c>
      <c r="I17" s="68">
        <f t="shared" si="4"/>
        <v>42787.074640579565</v>
      </c>
      <c r="J17" s="68">
        <f t="shared" si="4"/>
        <v>48631.014470180591</v>
      </c>
      <c r="K17" s="68">
        <f t="shared" si="4"/>
        <v>53123.415871215373</v>
      </c>
      <c r="L17" s="68">
        <f t="shared" si="4"/>
        <v>56010.40933946977</v>
      </c>
      <c r="M17" s="54"/>
      <c r="N17" s="54"/>
    </row>
    <row r="18" spans="1:14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</row>
    <row r="19" spans="1:14" x14ac:dyDescent="0.2">
      <c r="A19" s="72" t="s">
        <v>1047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</row>
    <row r="20" spans="1:14" x14ac:dyDescent="0.2">
      <c r="A20" s="58" t="s">
        <v>1000</v>
      </c>
      <c r="B20" s="86">
        <f>Market_Package!B42</f>
        <v>9.1664039190598914E-2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</row>
    <row r="21" spans="1:14" x14ac:dyDescent="0.2">
      <c r="A21" s="58" t="s">
        <v>1048</v>
      </c>
      <c r="B21" s="86">
        <f>Assumptions!$I$16</f>
        <v>0.03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spans="1:14" x14ac:dyDescent="0.2">
      <c r="A22" s="58" t="s">
        <v>1049</v>
      </c>
      <c r="B22" s="86">
        <f>Assumptions!$I$17</f>
        <v>0.2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3" spans="1:14" x14ac:dyDescent="0.2">
      <c r="A23" s="58" t="s">
        <v>1050</v>
      </c>
      <c r="B23" s="68">
        <f>SUM(C17:L17)</f>
        <v>87119.92717449626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spans="1:14" x14ac:dyDescent="0.2">
      <c r="A24" s="58" t="s">
        <v>1051</v>
      </c>
      <c r="B24" s="68">
        <f>L10*(1+B21)</f>
        <v>191603.07429323145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spans="1:14" x14ac:dyDescent="0.2">
      <c r="A25" s="58" t="s">
        <v>1052</v>
      </c>
      <c r="B25" s="56">
        <f>B21/B22</f>
        <v>0.15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1:14" x14ac:dyDescent="0.2">
      <c r="A26" s="58" t="s">
        <v>1053</v>
      </c>
      <c r="B26" s="68">
        <f>B24*(1-B25)</f>
        <v>162862.61314924672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1:14" x14ac:dyDescent="0.2">
      <c r="A27" s="58" t="s">
        <v>1054</v>
      </c>
      <c r="B27" s="68">
        <f>B26/(B20-B21)</f>
        <v>2641127.8808034388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spans="1:14" x14ac:dyDescent="0.2">
      <c r="A28" s="58" t="s">
        <v>1055</v>
      </c>
      <c r="B28" s="57">
        <f>(DATE(2026,12,31)-Market_Package!B7)/365+9</f>
        <v>9.1808219178082187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</row>
    <row r="29" spans="1:14" x14ac:dyDescent="0.2">
      <c r="A29" s="58" t="s">
        <v>1056</v>
      </c>
      <c r="B29" s="68">
        <f>B27/(1+B20)^B28</f>
        <v>1180595.3384355758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</row>
    <row r="30" spans="1:14" x14ac:dyDescent="0.2">
      <c r="A30" s="91" t="s">
        <v>1057</v>
      </c>
      <c r="B30" s="95">
        <f>B23+B29</f>
        <v>1267715.2656100721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</row>
    <row r="31" spans="1:14" x14ac:dyDescent="0.2">
      <c r="A31" s="58" t="s">
        <v>1058</v>
      </c>
      <c r="B31" s="56">
        <f>B29/B30</f>
        <v>0.93127800103237623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</row>
    <row r="32" spans="1:14" x14ac:dyDescent="0.2">
      <c r="A32" s="58" t="s">
        <v>1059</v>
      </c>
      <c r="B32" s="64">
        <f>B27/Forecast_3Stmt!L21</f>
        <v>7.4226604089198469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</row>
    <row r="33" spans="1:14" x14ac:dyDescent="0.2">
      <c r="A33" s="58" t="s">
        <v>1060</v>
      </c>
      <c r="B33" s="55">
        <f>Market_Package!B27</f>
        <v>10008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 t="s">
        <v>1061</v>
      </c>
    </row>
    <row r="34" spans="1:14" x14ac:dyDescent="0.2">
      <c r="A34" s="58" t="s">
        <v>1062</v>
      </c>
      <c r="B34" s="68">
        <f>B30+B33</f>
        <v>1277723.2656100721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 spans="1:14" x14ac:dyDescent="0.2">
      <c r="A35" s="58" t="s">
        <v>1063</v>
      </c>
      <c r="B35" s="59">
        <f>Market_Package!B13</f>
        <v>2577.2412529999997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</row>
    <row r="36" spans="1:14" x14ac:dyDescent="0.2">
      <c r="A36" s="91" t="s">
        <v>1064</v>
      </c>
      <c r="B36" s="75">
        <f>B34/B35</f>
        <v>495.77169546031331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</row>
    <row r="37" spans="1:14" x14ac:dyDescent="0.2">
      <c r="A37" s="58" t="s">
        <v>1065</v>
      </c>
      <c r="B37" s="66">
        <f>Market_Package!B8</f>
        <v>630.55999999999995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</row>
    <row r="38" spans="1:14" x14ac:dyDescent="0.2">
      <c r="A38" s="58" t="s">
        <v>127</v>
      </c>
      <c r="B38" s="56">
        <f>B36/B37-1</f>
        <v>-0.21375968114007649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</row>
    <row r="39" spans="1:14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14" x14ac:dyDescent="0.2">
      <c r="A40" s="72" t="s">
        <v>1066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spans="1:14" x14ac:dyDescent="0.2">
      <c r="A41" s="58" t="s">
        <v>1067</v>
      </c>
      <c r="B41" s="55">
        <f>Forecast_3Stmt!L21</f>
        <v>355819.57617643167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</row>
    <row r="42" spans="1:14" x14ac:dyDescent="0.2">
      <c r="A42" s="58" t="s">
        <v>1068</v>
      </c>
      <c r="B42" s="78">
        <f>Assumptions!$I$18</f>
        <v>10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</row>
    <row r="43" spans="1:14" x14ac:dyDescent="0.2">
      <c r="A43" s="58" t="s">
        <v>1054</v>
      </c>
      <c r="B43" s="68">
        <f>B41*B42</f>
        <v>3558195.7617643168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</row>
    <row r="44" spans="1:14" x14ac:dyDescent="0.2">
      <c r="A44" s="58" t="s">
        <v>1057</v>
      </c>
      <c r="B44" s="68">
        <f>B23+B43/(1+B20)^B28</f>
        <v>1677648.4888972563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spans="1:14" x14ac:dyDescent="0.2">
      <c r="A45" s="91" t="s">
        <v>1064</v>
      </c>
      <c r="B45" s="75">
        <f>(B44+B33)/B35</f>
        <v>654.83062050662295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spans="1:14" x14ac:dyDescent="0.2">
      <c r="A46" s="58" t="s">
        <v>1069</v>
      </c>
      <c r="B46" s="56">
        <f>(-(-(L10*(1-1/B22)+B43))-SQRT((-(L10*(1-1/B22)+B43))^2-4*(L10/B22)*(B43*B20-L10)))/(2*(L10/B22))</f>
        <v>5.0645531865689992E-2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</row>
    <row r="47" spans="1:14" x14ac:dyDescent="0.2">
      <c r="A47" s="58" t="s">
        <v>1070</v>
      </c>
      <c r="B47" s="56">
        <f>(-(-(L10*(1-1/B22)+B27))-SQRT((-(L10*(1-1/B22)+B27))^2-4*(L10/B22)*(B27*B20-L10)))/(2*(L10/B22))</f>
        <v>0.03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</row>
    <row r="48" spans="1:14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</row>
    <row r="49" spans="1:14" x14ac:dyDescent="0.2">
      <c r="A49" s="72" t="s">
        <v>189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</row>
    <row r="50" spans="1:14" x14ac:dyDescent="0.2">
      <c r="A50" s="58" t="s">
        <v>1071</v>
      </c>
      <c r="B50" s="71">
        <f>ROUND(B47-B21,6)</f>
        <v>0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</row>
    <row r="51" spans="1:14" x14ac:dyDescent="0.2">
      <c r="A51" s="58" t="s">
        <v>1072</v>
      </c>
      <c r="B51" s="71">
        <f>ROUND(B36*B35-B34,2)</f>
        <v>0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BA14-86BB-0B41-86BF-EBDA7677F868}">
  <sheetPr>
    <tabColor rgb="FFC0873A"/>
  </sheetPr>
  <dimension ref="A1:N81"/>
  <sheetViews>
    <sheetView showGridLines="0" workbookViewId="0"/>
  </sheetViews>
  <sheetFormatPr baseColWidth="10" defaultColWidth="8.33203125" defaultRowHeight="15" x14ac:dyDescent="0.2"/>
  <cols>
    <col min="1" max="1" width="72.6640625" customWidth="1"/>
    <col min="2" max="2" width="17.6640625" customWidth="1"/>
    <col min="3" max="12" width="12.6640625" customWidth="1"/>
    <col min="13" max="13" width="17.6640625" customWidth="1"/>
    <col min="14" max="14" width="76" customWidth="1"/>
  </cols>
  <sheetData>
    <row r="1" spans="1:14" x14ac:dyDescent="0.2">
      <c r="A1" s="122" t="s">
        <v>1073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x14ac:dyDescent="0.2">
      <c r="A2" s="54" t="s">
        <v>1074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x14ac:dyDescent="0.2">
      <c r="A4" s="72" t="s">
        <v>1075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1:14" x14ac:dyDescent="0.2">
      <c r="A5" s="58" t="s">
        <v>1076</v>
      </c>
      <c r="B5" s="55">
        <f>Market_Package!B28</f>
        <v>1601855.4844916796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1:14" x14ac:dyDescent="0.2">
      <c r="A6" s="58" t="s">
        <v>1077</v>
      </c>
      <c r="B6" s="55">
        <f>DCF!B23</f>
        <v>87119.92717449626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x14ac:dyDescent="0.2">
      <c r="A7" s="58" t="s">
        <v>1078</v>
      </c>
      <c r="B7" s="68">
        <f>B5-B6</f>
        <v>1514735.5573171834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</row>
    <row r="8" spans="1:14" x14ac:dyDescent="0.2">
      <c r="A8" s="58" t="s">
        <v>1079</v>
      </c>
      <c r="B8" s="68">
        <f>B7*(1+DCF!B20)^DCF!B28</f>
        <v>3388638.0728692487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4" x14ac:dyDescent="0.2">
      <c r="A9" s="58" t="s">
        <v>1080</v>
      </c>
      <c r="B9" s="56">
        <f>(-(-(DCF!L10*(1-1/DCF!B22)+B8))-SQRT((-(DCF!L10*(1-1/DCF!B22)+B8))^2-4*(DCF!L10/DCF!B22)*(B8*DCF!B20-DCF!L10)))/(2*(DCF!L10/DCF!B22))</f>
        <v>4.7921146299808898E-2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 t="s">
        <v>1081</v>
      </c>
    </row>
    <row r="10" spans="1:14" x14ac:dyDescent="0.2">
      <c r="A10" s="58" t="s">
        <v>1082</v>
      </c>
      <c r="B10" s="64">
        <f>B8/Forecast_3Stmt!L21</f>
        <v>9.5234728490289875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 spans="1:14" x14ac:dyDescent="0.2">
      <c r="A12" s="72" t="s">
        <v>1083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 spans="1:14" x14ac:dyDescent="0.2">
      <c r="A13" s="54"/>
      <c r="B13" s="54"/>
      <c r="C13" s="87" t="s">
        <v>669</v>
      </c>
      <c r="D13" s="87" t="s">
        <v>701</v>
      </c>
      <c r="E13" s="87" t="s">
        <v>702</v>
      </c>
      <c r="F13" s="87" t="s">
        <v>703</v>
      </c>
      <c r="G13" s="87" t="s">
        <v>704</v>
      </c>
      <c r="H13" s="87" t="s">
        <v>705</v>
      </c>
      <c r="I13" s="87" t="s">
        <v>706</v>
      </c>
      <c r="J13" s="87" t="s">
        <v>707</v>
      </c>
      <c r="K13" s="87" t="s">
        <v>708</v>
      </c>
      <c r="L13" s="87" t="s">
        <v>709</v>
      </c>
      <c r="M13" s="54"/>
      <c r="N13" s="54"/>
    </row>
    <row r="14" spans="1:14" x14ac:dyDescent="0.2">
      <c r="A14" s="58" t="s">
        <v>170</v>
      </c>
      <c r="B14" s="54"/>
      <c r="C14" s="55">
        <f>Interim_Bridge!C23</f>
        <v>20476.68</v>
      </c>
      <c r="D14" s="55">
        <f>Forecast_3Stmt!D28</f>
        <v>79067.530610602698</v>
      </c>
      <c r="E14" s="55">
        <f>Forecast_3Stmt!E28</f>
        <v>82849.78191786463</v>
      </c>
      <c r="F14" s="55">
        <f>Forecast_3Stmt!F28</f>
        <v>87116.712468994709</v>
      </c>
      <c r="G14" s="55">
        <f>Forecast_3Stmt!G28</f>
        <v>94564.141501788719</v>
      </c>
      <c r="H14" s="55">
        <f>Forecast_3Stmt!H28</f>
        <v>105553.03279526254</v>
      </c>
      <c r="I14" s="55">
        <f>Forecast_3Stmt!I28</f>
        <v>122758.90860311512</v>
      </c>
      <c r="J14" s="55">
        <f>Forecast_3Stmt!J28</f>
        <v>142837.78248217813</v>
      </c>
      <c r="K14" s="55">
        <f>Forecast_3Stmt!K28</f>
        <v>162875.539088382</v>
      </c>
      <c r="L14" s="55">
        <f>Forecast_3Stmt!L28</f>
        <v>181013.28728287137</v>
      </c>
      <c r="M14" s="54"/>
      <c r="N14" s="54"/>
    </row>
    <row r="15" spans="1:14" x14ac:dyDescent="0.2">
      <c r="A15" s="58" t="s">
        <v>1084</v>
      </c>
      <c r="B15" s="54"/>
      <c r="C15" s="68">
        <v>0</v>
      </c>
      <c r="D15" s="68">
        <f>-Forecast_3Stmt!D22*(1-Assumptions!J101)</f>
        <v>-2214.1338720936078</v>
      </c>
      <c r="E15" s="68">
        <f>-Forecast_3Stmt!E22*(1-Assumptions!K101)</f>
        <v>-2214.8924267749999</v>
      </c>
      <c r="F15" s="68">
        <f>-Forecast_3Stmt!F22*(1-Assumptions!L101)</f>
        <v>-2587.0509896676208</v>
      </c>
      <c r="G15" s="68">
        <f>-Forecast_3Stmt!G22*(1-Assumptions!M101)</f>
        <v>-2965.8958165570057</v>
      </c>
      <c r="H15" s="68">
        <f>-Forecast_3Stmt!H22*(1-Assumptions!N101)</f>
        <v>-3336.1986047172354</v>
      </c>
      <c r="I15" s="68">
        <f>-Forecast_3Stmt!I22*(1-Assumptions!O101)</f>
        <v>-3680.820324848191</v>
      </c>
      <c r="J15" s="68">
        <f>-Forecast_3Stmt!J22*(1-Assumptions!P101)</f>
        <v>-4192.169194938834</v>
      </c>
      <c r="K15" s="68">
        <f>-Forecast_3Stmt!K22*(1-Assumptions!Q101)</f>
        <v>-4836.040177965888</v>
      </c>
      <c r="L15" s="68">
        <f>-Forecast_3Stmt!L22*(1-Assumptions!R101)</f>
        <v>-5611.941854456308</v>
      </c>
      <c r="M15" s="54"/>
      <c r="N15" s="54"/>
    </row>
    <row r="16" spans="1:14" x14ac:dyDescent="0.2">
      <c r="A16" s="58" t="s">
        <v>1040</v>
      </c>
      <c r="B16" s="54"/>
      <c r="C16" s="55">
        <f>DCF!C11</f>
        <v>8200</v>
      </c>
      <c r="D16" s="55">
        <f>DCF!D11</f>
        <v>43679.38181818182</v>
      </c>
      <c r="E16" s="55">
        <f>DCF!E11</f>
        <v>62498.38181818182</v>
      </c>
      <c r="F16" s="55">
        <f>DCF!F11</f>
        <v>82372.563636363629</v>
      </c>
      <c r="G16" s="55">
        <f>DCF!G11</f>
        <v>100583.92727272728</v>
      </c>
      <c r="H16" s="55">
        <f>DCF!H11</f>
        <v>114964.38181818182</v>
      </c>
      <c r="I16" s="55">
        <f>DCF!I11</f>
        <v>122805.29090909091</v>
      </c>
      <c r="J16" s="55">
        <f>DCF!J11</f>
        <v>125459.83636363636</v>
      </c>
      <c r="K16" s="55">
        <f>DCF!K11</f>
        <v>128073.47272727273</v>
      </c>
      <c r="L16" s="55">
        <f>DCF!L11</f>
        <v>131696.20000000001</v>
      </c>
      <c r="M16" s="54"/>
      <c r="N16" s="54"/>
    </row>
    <row r="17" spans="1:14" x14ac:dyDescent="0.2">
      <c r="A17" s="58" t="s">
        <v>1085</v>
      </c>
      <c r="B17" s="54"/>
      <c r="C17" s="55">
        <f>-DCF!C12</f>
        <v>-54176</v>
      </c>
      <c r="D17" s="55">
        <f>-DCF!D12</f>
        <v>-199000</v>
      </c>
      <c r="E17" s="55">
        <f>-DCF!E12</f>
        <v>-205000</v>
      </c>
      <c r="F17" s="55">
        <f>-DCF!F12</f>
        <v>-200000</v>
      </c>
      <c r="G17" s="55">
        <f>-DCF!G12</f>
        <v>-190000</v>
      </c>
      <c r="H17" s="55">
        <f>-DCF!H12</f>
        <v>-185000</v>
      </c>
      <c r="I17" s="55">
        <f>-DCF!I12</f>
        <v>-185000</v>
      </c>
      <c r="J17" s="55">
        <f>-DCF!J12</f>
        <v>-190000</v>
      </c>
      <c r="K17" s="55">
        <f>-DCF!K12</f>
        <v>-195000</v>
      </c>
      <c r="L17" s="55">
        <f>-DCF!L12</f>
        <v>-200000</v>
      </c>
      <c r="M17" s="54"/>
      <c r="N17" s="54"/>
    </row>
    <row r="18" spans="1:14" x14ac:dyDescent="0.2">
      <c r="A18" s="58" t="s">
        <v>1086</v>
      </c>
      <c r="B18" s="54"/>
      <c r="C18" s="55">
        <f>DCF!C13</f>
        <v>0</v>
      </c>
      <c r="D18" s="55">
        <f>DCF!D13</f>
        <v>3031.4377701999256</v>
      </c>
      <c r="E18" s="55">
        <f>DCF!E13</f>
        <v>3185.5617068132415</v>
      </c>
      <c r="F18" s="55">
        <f>DCF!F13</f>
        <v>3242.794049888158</v>
      </c>
      <c r="G18" s="55">
        <f>DCF!G13</f>
        <v>3169.6768515031072</v>
      </c>
      <c r="H18" s="55">
        <f>DCF!H13</f>
        <v>2949.8548856499838</v>
      </c>
      <c r="I18" s="55">
        <f>DCF!I13</f>
        <v>2914.497831374385</v>
      </c>
      <c r="J18" s="55">
        <f>DCF!J13</f>
        <v>2646.8831462017624</v>
      </c>
      <c r="K18" s="55">
        <f>DCF!K13</f>
        <v>2459.5255752680678</v>
      </c>
      <c r="L18" s="55">
        <f>DCF!L13</f>
        <v>2207.1938988955881</v>
      </c>
      <c r="M18" s="54"/>
      <c r="N18" s="54"/>
    </row>
    <row r="19" spans="1:14" x14ac:dyDescent="0.2">
      <c r="A19" s="58" t="s">
        <v>1087</v>
      </c>
      <c r="B19" s="54"/>
      <c r="C19" s="55">
        <f>Interim_Bridge!C32</f>
        <v>0</v>
      </c>
      <c r="D19" s="55">
        <f>Schedules!D47-Schedules!D48</f>
        <v>70898.877660740778</v>
      </c>
      <c r="E19" s="55">
        <f>Schedules!E47-Schedules!E48</f>
        <v>65949.19676406833</v>
      </c>
      <c r="F19" s="55">
        <f>Schedules!F47-Schedules!F48</f>
        <v>36001.36885866025</v>
      </c>
      <c r="G19" s="55">
        <f>Schedules!G47-Schedules!G48</f>
        <v>9359.834622546332</v>
      </c>
      <c r="H19" s="55">
        <f>Schedules!H47-Schedules!H48</f>
        <v>729.5132090246334</v>
      </c>
      <c r="I19" s="55">
        <f>Schedules!I47-Schedules!I48</f>
        <v>0</v>
      </c>
      <c r="J19" s="55">
        <f>Schedules!J47-Schedules!J48</f>
        <v>0</v>
      </c>
      <c r="K19" s="55">
        <f>Schedules!K47-Schedules!K48</f>
        <v>0</v>
      </c>
      <c r="L19" s="55">
        <f>Schedules!L47-Schedules!L48</f>
        <v>0</v>
      </c>
      <c r="M19" s="54"/>
      <c r="N19" s="54"/>
    </row>
    <row r="20" spans="1:14" x14ac:dyDescent="0.2">
      <c r="A20" s="72" t="s">
        <v>1088</v>
      </c>
      <c r="B20" s="73"/>
      <c r="C20" s="76">
        <f t="shared" si="0" ref="C20:L20">SUM(C14:C19)</f>
        <v>-25499.32</v>
      </c>
      <c r="D20" s="76">
        <f t="shared" si="0"/>
        <v>-4536.9060123683885</v>
      </c>
      <c r="E20" s="76">
        <f t="shared" si="0"/>
        <v>7268.029780153025</v>
      </c>
      <c r="F20" s="76">
        <f t="shared" si="0"/>
        <v>6146.388024239139</v>
      </c>
      <c r="G20" s="76">
        <f t="shared" si="0"/>
        <v>14711.684432008442</v>
      </c>
      <c r="H20" s="76">
        <f t="shared" si="0"/>
        <v>35860.584103401736</v>
      </c>
      <c r="I20" s="76">
        <f t="shared" si="0"/>
        <v>59797.87701873223</v>
      </c>
      <c r="J20" s="76">
        <f t="shared" si="0"/>
        <v>76752.332797077397</v>
      </c>
      <c r="K20" s="76">
        <f t="shared" si="0"/>
        <v>93572.49721295694</v>
      </c>
      <c r="L20" s="76">
        <f t="shared" si="0"/>
        <v>109304.73932731067</v>
      </c>
      <c r="M20" s="54"/>
      <c r="N20" s="54"/>
    </row>
    <row r="21" spans="1:14" x14ac:dyDescent="0.2">
      <c r="A21" s="58" t="s">
        <v>1089</v>
      </c>
      <c r="B21" s="54"/>
      <c r="C21" s="82">
        <f>1/(1+Market_Package!$B$34)^DCF!C15</f>
        <v>0.99190785567099549</v>
      </c>
      <c r="D21" s="82">
        <f>1/(1+Market_Package!$B$34)^DCF!D15</f>
        <v>0.94064996564873937</v>
      </c>
      <c r="E21" s="82">
        <f>1/(1+Market_Package!$B$34)^DCF!E15</f>
        <v>0.85980271624063254</v>
      </c>
      <c r="F21" s="82">
        <f>1/(1+Market_Package!$B$34)^DCF!F15</f>
        <v>0.78590414910069428</v>
      </c>
      <c r="G21" s="82">
        <f>1/(1+Market_Package!$B$34)^DCF!G15</f>
        <v>0.7183570369191834</v>
      </c>
      <c r="H21" s="82">
        <f>1/(1+Market_Package!$B$34)^DCF!H15</f>
        <v>0.65661548304816453</v>
      </c>
      <c r="I21" s="82">
        <f>1/(1+Market_Package!$B$34)^DCF!I15</f>
        <v>0.60018050971926229</v>
      </c>
      <c r="J21" s="82">
        <f>1/(1+Market_Package!$B$34)^DCF!J15</f>
        <v>0.54859602544652541</v>
      </c>
      <c r="K21" s="82">
        <f>1/(1+Market_Package!$B$34)^DCF!K15</f>
        <v>0.50144513902409016</v>
      </c>
      <c r="L21" s="82">
        <f>1/(1+Market_Package!$B$34)^DCF!L15</f>
        <v>0.45834679032941522</v>
      </c>
      <c r="M21" s="54"/>
      <c r="N21" s="54"/>
    </row>
    <row r="22" spans="1:14" x14ac:dyDescent="0.2">
      <c r="A22" s="58" t="s">
        <v>1046</v>
      </c>
      <c r="B22" s="54"/>
      <c r="C22" s="68">
        <f t="shared" si="1" ref="C22:L22">C20*C21</f>
        <v>-25292.975822268527</v>
      </c>
      <c r="D22" s="68">
        <f t="shared" si="1"/>
        <v>-4267.6404846858841</v>
      </c>
      <c r="E22" s="68">
        <f t="shared" si="1"/>
        <v>6249.071746693378</v>
      </c>
      <c r="F22" s="68">
        <f t="shared" si="1"/>
        <v>4830.471850232358</v>
      </c>
      <c r="G22" s="68">
        <f t="shared" si="1"/>
        <v>10568.242036667663</v>
      </c>
      <c r="H22" s="68">
        <f t="shared" si="1"/>
        <v>23546.61475344446</v>
      </c>
      <c r="I22" s="68">
        <f t="shared" si="1"/>
        <v>35889.520309232474</v>
      </c>
      <c r="J22" s="68">
        <f t="shared" si="1"/>
        <v>42106.024716225656</v>
      </c>
      <c r="K22" s="68">
        <f t="shared" si="1"/>
        <v>46921.47387378248</v>
      </c>
      <c r="L22" s="68">
        <f t="shared" si="1"/>
        <v>50099.47643846625</v>
      </c>
      <c r="M22" s="54"/>
      <c r="N22" s="54"/>
    </row>
    <row r="23" spans="1:14" x14ac:dyDescent="0.2">
      <c r="A23" s="58" t="s">
        <v>1090</v>
      </c>
      <c r="B23" s="86">
        <f>Market_Package!B34</f>
        <v>9.4030000000000002E-2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spans="1:14" x14ac:dyDescent="0.2">
      <c r="A24" s="58" t="s">
        <v>1091</v>
      </c>
      <c r="B24" s="86">
        <f>Assumptions!$I$19</f>
        <v>0.25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spans="1:14" x14ac:dyDescent="0.2">
      <c r="A25" s="58" t="s">
        <v>1092</v>
      </c>
      <c r="B25" s="68">
        <f>SUM(C22:L22)</f>
        <v>190650.2794177903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1:14" x14ac:dyDescent="0.2">
      <c r="A26" s="58" t="s">
        <v>1093</v>
      </c>
      <c r="B26" s="68">
        <f>(L14+L15)*(1+DCF!B21)</f>
        <v>180663.38579126753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1:14" x14ac:dyDescent="0.2">
      <c r="A27" s="58" t="s">
        <v>1054</v>
      </c>
      <c r="B27" s="68">
        <f>B26*(1-DCF!B21/B24)/(B23-DCF!B21)</f>
        <v>2482957.6682229489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spans="1:14" x14ac:dyDescent="0.2">
      <c r="A28" s="58" t="s">
        <v>1056</v>
      </c>
      <c r="B28" s="68">
        <f>B27/(1+B23)^DCF!B28</f>
        <v>1088050.1025524649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</row>
    <row r="29" spans="1:14" x14ac:dyDescent="0.2">
      <c r="A29" s="58" t="s">
        <v>1094</v>
      </c>
      <c r="B29" s="68">
        <f>B25+B28+Market_Package!B20+Market_Package!B21-Market_Package!B26</f>
        <v>1373892.3819702552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 t="s">
        <v>1095</v>
      </c>
    </row>
    <row r="30" spans="1:14" x14ac:dyDescent="0.2">
      <c r="A30" s="91" t="s">
        <v>1064</v>
      </c>
      <c r="B30" s="75">
        <f>B29/Market_Package!B13</f>
        <v>533.08644674649531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</row>
    <row r="31" spans="1:14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</row>
    <row r="32" spans="1:14" x14ac:dyDescent="0.2">
      <c r="A32" s="72" t="s">
        <v>1096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 t="s">
        <v>1097</v>
      </c>
    </row>
    <row r="33" spans="1:14" x14ac:dyDescent="0.2">
      <c r="A33" s="125" t="s">
        <v>1098</v>
      </c>
      <c r="B33" s="125" t="s">
        <v>1099</v>
      </c>
      <c r="C33" s="123" t="s">
        <v>1100</v>
      </c>
      <c r="D33" s="123" t="s">
        <v>1101</v>
      </c>
      <c r="E33" s="123" t="s">
        <v>147</v>
      </c>
      <c r="F33" s="123" t="s">
        <v>900</v>
      </c>
      <c r="G33" s="123" t="s">
        <v>1102</v>
      </c>
      <c r="H33" s="123" t="s">
        <v>170</v>
      </c>
      <c r="I33" s="123" t="s">
        <v>1103</v>
      </c>
      <c r="J33" s="123" t="s">
        <v>1104</v>
      </c>
      <c r="K33" s="123" t="s">
        <v>1105</v>
      </c>
      <c r="L33" s="123" t="s">
        <v>1106</v>
      </c>
      <c r="M33" s="54"/>
      <c r="N33" s="54"/>
    </row>
    <row r="34" spans="1:14" x14ac:dyDescent="0.2">
      <c r="A34" s="58" t="s">
        <v>1107</v>
      </c>
      <c r="B34" s="54" t="s">
        <v>1108</v>
      </c>
      <c r="C34" s="53">
        <v>3870000</v>
      </c>
      <c r="D34" s="53">
        <v>3750000</v>
      </c>
      <c r="E34" s="53">
        <v>445870</v>
      </c>
      <c r="F34" s="53">
        <v>173160</v>
      </c>
      <c r="G34" s="53">
        <v>147630</v>
      </c>
      <c r="H34" s="53">
        <v>244120</v>
      </c>
      <c r="I34" s="80">
        <v>23.68</v>
      </c>
      <c r="J34" s="64">
        <f t="shared" si="2" ref="J34:J44">D34/E34</f>
        <v>8.4105232466862532</v>
      </c>
      <c r="K34" s="64">
        <f t="shared" si="3" ref="K34:K43">IF(F34&gt;0,D34/F34,"n/m")</f>
        <v>21.656271656271656</v>
      </c>
      <c r="L34" s="64">
        <f t="shared" si="4" ref="L34:L43">IF(G34&gt;0,D34/G34,"n/m")</f>
        <v>25.401341190814875</v>
      </c>
      <c r="M34" s="54"/>
      <c r="N34" s="54"/>
    </row>
    <row r="35" spans="1:14" x14ac:dyDescent="0.2">
      <c r="A35" s="58" t="s">
        <v>1109</v>
      </c>
      <c r="B35" s="54" t="s">
        <v>1108</v>
      </c>
      <c r="C35" s="53">
        <v>10720</v>
      </c>
      <c r="D35" s="53">
        <v>12290</v>
      </c>
      <c r="E35" s="53">
        <v>6350</v>
      </c>
      <c r="F35" s="53">
        <v>-146.28</v>
      </c>
      <c r="G35" s="53">
        <v>-323.82</v>
      </c>
      <c r="H35" s="53">
        <v>-311.24</v>
      </c>
      <c r="I35" s="80">
        <v>8.77</v>
      </c>
      <c r="J35" s="64">
        <f t="shared" si="2"/>
        <v>1.9354330708661418</v>
      </c>
      <c r="K35" s="64" t="str">
        <f t="shared" si="3"/>
        <v>n/m</v>
      </c>
      <c r="L35" s="64" t="str">
        <f t="shared" si="4"/>
        <v>n/m</v>
      </c>
      <c r="M35" s="54"/>
      <c r="N35" s="54"/>
    </row>
    <row r="36" spans="1:14" x14ac:dyDescent="0.2">
      <c r="A36" s="58" t="s">
        <v>1110</v>
      </c>
      <c r="B36" s="54" t="s">
        <v>1108</v>
      </c>
      <c r="C36" s="53">
        <v>12020</v>
      </c>
      <c r="D36" s="53">
        <v>11940</v>
      </c>
      <c r="E36" s="53">
        <v>4560</v>
      </c>
      <c r="F36" s="53">
        <v>316.56</v>
      </c>
      <c r="G36" s="53">
        <v>285.63</v>
      </c>
      <c r="H36" s="53">
        <v>248.92</v>
      </c>
      <c r="I36" s="80">
        <v>9.74</v>
      </c>
      <c r="J36" s="64">
        <f t="shared" si="2"/>
        <v>2.6184210526315788</v>
      </c>
      <c r="K36" s="64">
        <f t="shared" si="3"/>
        <v>37.717968157695225</v>
      </c>
      <c r="L36" s="64">
        <f t="shared" si="4"/>
        <v>41.802331687847918</v>
      </c>
      <c r="M36" s="54"/>
      <c r="N36" s="54"/>
    </row>
    <row r="37" spans="1:14" x14ac:dyDescent="0.2">
      <c r="A37" s="58" t="s">
        <v>1111</v>
      </c>
      <c r="B37" s="54" t="s">
        <v>1108</v>
      </c>
      <c r="C37" s="53">
        <v>26640</v>
      </c>
      <c r="D37" s="53">
        <v>23870</v>
      </c>
      <c r="E37" s="53">
        <v>2780</v>
      </c>
      <c r="F37" s="53">
        <v>801.52</v>
      </c>
      <c r="G37" s="53">
        <v>785</v>
      </c>
      <c r="H37" s="53">
        <v>871.1</v>
      </c>
      <c r="I37" s="80">
        <v>22.86</v>
      </c>
      <c r="J37" s="64">
        <f t="shared" si="2"/>
        <v>8.586330935251798</v>
      </c>
      <c r="K37" s="64">
        <f t="shared" si="3"/>
        <v>29.780916259107695</v>
      </c>
      <c r="L37" s="64">
        <f t="shared" si="4"/>
        <v>30.407643312101911</v>
      </c>
      <c r="M37" s="54"/>
      <c r="N37" s="54"/>
    </row>
    <row r="38" spans="1:14" x14ac:dyDescent="0.2">
      <c r="A38" s="58" t="s">
        <v>1112</v>
      </c>
      <c r="B38" s="54" t="s">
        <v>1108</v>
      </c>
      <c r="C38" s="53">
        <v>6040</v>
      </c>
      <c r="D38" s="53">
        <v>4990</v>
      </c>
      <c r="E38" s="53">
        <v>2990</v>
      </c>
      <c r="F38" s="53">
        <v>697.98</v>
      </c>
      <c r="G38" s="53">
        <v>586.32000000000005</v>
      </c>
      <c r="H38" s="53">
        <v>406.89</v>
      </c>
      <c r="I38" s="80">
        <v>13.85</v>
      </c>
      <c r="J38" s="64">
        <f t="shared" si="2"/>
        <v>1.6688963210702341</v>
      </c>
      <c r="K38" s="64">
        <f t="shared" si="3"/>
        <v>7.1492019828648381</v>
      </c>
      <c r="L38" s="64">
        <f t="shared" si="4"/>
        <v>8.5107108746077227</v>
      </c>
      <c r="M38" s="54"/>
      <c r="N38" s="54"/>
    </row>
    <row r="39" spans="1:14" x14ac:dyDescent="0.2">
      <c r="A39" s="58" t="s">
        <v>1107</v>
      </c>
      <c r="B39" s="54" t="s">
        <v>1113</v>
      </c>
      <c r="C39" s="53">
        <v>3870000</v>
      </c>
      <c r="D39" s="53">
        <v>3750000</v>
      </c>
      <c r="E39" s="53">
        <v>445870</v>
      </c>
      <c r="F39" s="53">
        <v>173160</v>
      </c>
      <c r="G39" s="53">
        <v>147630</v>
      </c>
      <c r="H39" s="53">
        <v>244120</v>
      </c>
      <c r="I39" s="80">
        <v>23.68</v>
      </c>
      <c r="J39" s="64">
        <f t="shared" si="2"/>
        <v>8.4105232466862532</v>
      </c>
      <c r="K39" s="64">
        <f t="shared" si="3"/>
        <v>21.656271656271656</v>
      </c>
      <c r="L39" s="64">
        <f t="shared" si="4"/>
        <v>25.401341190814875</v>
      </c>
      <c r="M39" s="54"/>
      <c r="N39" s="54"/>
    </row>
    <row r="40" spans="1:14" x14ac:dyDescent="0.2">
      <c r="A40" s="58" t="s">
        <v>1114</v>
      </c>
      <c r="B40" s="54" t="s">
        <v>1113</v>
      </c>
      <c r="C40" s="53">
        <v>3960000</v>
      </c>
      <c r="D40" s="53">
        <v>4010000</v>
      </c>
      <c r="E40" s="53">
        <v>331840</v>
      </c>
      <c r="F40" s="53">
        <v>194240</v>
      </c>
      <c r="G40" s="53">
        <v>155240</v>
      </c>
      <c r="H40" s="53">
        <v>133750</v>
      </c>
      <c r="I40" s="80">
        <v>26.95</v>
      </c>
      <c r="J40" s="64">
        <f t="shared" si="2"/>
        <v>12.08413693346191</v>
      </c>
      <c r="K40" s="64">
        <f t="shared" si="3"/>
        <v>20.644563426688631</v>
      </c>
      <c r="L40" s="64">
        <f t="shared" si="4"/>
        <v>25.830971399123936</v>
      </c>
      <c r="M40" s="54"/>
      <c r="N40" s="54"/>
    </row>
    <row r="41" spans="1:14" x14ac:dyDescent="0.2">
      <c r="A41" s="58" t="s">
        <v>1115</v>
      </c>
      <c r="B41" s="54" t="s">
        <v>1113</v>
      </c>
      <c r="C41" s="53">
        <v>2690000</v>
      </c>
      <c r="D41" s="53">
        <v>2820000</v>
      </c>
      <c r="E41" s="53">
        <v>775680</v>
      </c>
      <c r="F41" s="53">
        <v>168910</v>
      </c>
      <c r="G41" s="53">
        <v>93710</v>
      </c>
      <c r="H41" s="53">
        <v>135280</v>
      </c>
      <c r="I41" s="80">
        <v>26.81</v>
      </c>
      <c r="J41" s="64">
        <f t="shared" si="2"/>
        <v>3.6355198019801982</v>
      </c>
      <c r="K41" s="64">
        <f t="shared" si="3"/>
        <v>16.695281510863772</v>
      </c>
      <c r="L41" s="64">
        <f t="shared" si="4"/>
        <v>30.092839611567602</v>
      </c>
      <c r="M41" s="54"/>
      <c r="N41" s="54"/>
    </row>
    <row r="42" spans="1:14" x14ac:dyDescent="0.2">
      <c r="A42" s="58" t="s">
        <v>1116</v>
      </c>
      <c r="B42" s="54" t="s">
        <v>1113</v>
      </c>
      <c r="C42" s="53">
        <v>5020000</v>
      </c>
      <c r="D42" s="53">
        <v>4960000</v>
      </c>
      <c r="E42" s="53">
        <v>466820</v>
      </c>
      <c r="F42" s="53">
        <v>167960</v>
      </c>
      <c r="G42" s="53">
        <v>154860</v>
      </c>
      <c r="H42" s="53">
        <v>128930</v>
      </c>
      <c r="I42" s="80">
        <v>37.520000000000003</v>
      </c>
      <c r="J42" s="64">
        <f t="shared" si="2"/>
        <v>10.625080330748469</v>
      </c>
      <c r="K42" s="64">
        <f t="shared" si="3"/>
        <v>29.530840676351513</v>
      </c>
      <c r="L42" s="64">
        <f t="shared" si="4"/>
        <v>32.028929355546943</v>
      </c>
      <c r="M42" s="54"/>
      <c r="N42" s="54"/>
    </row>
    <row r="43" spans="1:14" x14ac:dyDescent="0.2">
      <c r="A43" s="58" t="s">
        <v>1117</v>
      </c>
      <c r="B43" s="54" t="s">
        <v>1113</v>
      </c>
      <c r="C43" s="53">
        <v>5220000</v>
      </c>
      <c r="D43" s="53">
        <v>5190000</v>
      </c>
      <c r="E43" s="53">
        <v>302970</v>
      </c>
      <c r="F43" s="53">
        <v>201270</v>
      </c>
      <c r="G43" s="53">
        <v>197580</v>
      </c>
      <c r="H43" s="53">
        <v>192880</v>
      </c>
      <c r="I43" s="80">
        <v>17.86</v>
      </c>
      <c r="J43" s="64">
        <f t="shared" si="2"/>
        <v>17.130408951381323</v>
      </c>
      <c r="K43" s="64">
        <f t="shared" si="3"/>
        <v>25.786257266358621</v>
      </c>
      <c r="L43" s="64">
        <f t="shared" si="4"/>
        <v>26.267840874582447</v>
      </c>
      <c r="M43" s="54"/>
      <c r="N43" s="54"/>
    </row>
    <row r="44" spans="1:14" x14ac:dyDescent="0.2">
      <c r="A44" s="73" t="s">
        <v>1118</v>
      </c>
      <c r="B44" s="73" t="s">
        <v>1119</v>
      </c>
      <c r="C44" s="96">
        <f>Market_Package!B14</f>
        <v>1611863.4844916796</v>
      </c>
      <c r="D44" s="96">
        <f>Market_Package!B28</f>
        <v>1601855.4844916796</v>
      </c>
      <c r="E44" s="96">
        <f>Market_Package!B48</f>
        <v>241605</v>
      </c>
      <c r="F44" s="96">
        <f>Market_Package!B54</f>
        <v>116190</v>
      </c>
      <c r="G44" s="96">
        <f>Market_Package!B51</f>
        <v>91270</v>
      </c>
      <c r="H44" s="96">
        <f>Market_Package!B55</f>
        <v>75249</v>
      </c>
      <c r="I44" s="101">
        <f>Market_Package!B66</f>
        <v>19.170000000000002</v>
      </c>
      <c r="J44" s="93">
        <f t="shared" si="2"/>
        <v>6.6300593302774349</v>
      </c>
      <c r="K44" s="93">
        <f>D44/F44</f>
        <v>13.786517639140026</v>
      </c>
      <c r="L44" s="93">
        <f>D44/G44</f>
        <v>17.550733915762898</v>
      </c>
      <c r="M44" s="54"/>
      <c r="N44" s="54"/>
    </row>
    <row r="45" spans="1:14" x14ac:dyDescent="0.2">
      <c r="A45" s="58" t="s">
        <v>1120</v>
      </c>
      <c r="B45" s="54"/>
      <c r="C45" s="54"/>
      <c r="D45" s="54"/>
      <c r="E45" s="54"/>
      <c r="F45" s="54"/>
      <c r="G45" s="54"/>
      <c r="H45" s="54"/>
      <c r="I45" s="64">
        <f>_xlfn.QUARTILE.INC(I34:I38,1)</f>
        <v>9.74</v>
      </c>
      <c r="J45" s="64">
        <f>_xlfn.QUARTILE.INC(J34:J38,1)</f>
        <v>1.9354330708661418</v>
      </c>
      <c r="K45" s="64">
        <f>_xlfn.QUARTILE.INC(K34:K38,1)</f>
        <v>18.029504237919951</v>
      </c>
      <c r="L45" s="64">
        <f>_xlfn.QUARTILE.INC(L34:L38,1)</f>
        <v>21.178683611763084</v>
      </c>
      <c r="M45" s="54"/>
      <c r="N45" s="54"/>
    </row>
    <row r="46" spans="1:14" x14ac:dyDescent="0.2">
      <c r="A46" s="91" t="s">
        <v>1121</v>
      </c>
      <c r="B46" s="73"/>
      <c r="C46" s="73"/>
      <c r="D46" s="73"/>
      <c r="E46" s="73"/>
      <c r="F46" s="73"/>
      <c r="G46" s="73"/>
      <c r="H46" s="73"/>
      <c r="I46" s="93">
        <f>MEDIAN(I34:I38)</f>
        <v>13.85</v>
      </c>
      <c r="J46" s="93">
        <f>MEDIAN(J34:J38)</f>
        <v>2.6184210526315788</v>
      </c>
      <c r="K46" s="93">
        <f>MEDIAN(K34:K38)</f>
        <v>25.718593957689677</v>
      </c>
      <c r="L46" s="93">
        <f>MEDIAN(L34:L38)</f>
        <v>27.904492251458393</v>
      </c>
      <c r="M46" s="54"/>
      <c r="N46" s="54"/>
    </row>
    <row r="47" spans="1:14" x14ac:dyDescent="0.2">
      <c r="A47" s="58" t="s">
        <v>1122</v>
      </c>
      <c r="B47" s="54"/>
      <c r="C47" s="54"/>
      <c r="D47" s="54"/>
      <c r="E47" s="54"/>
      <c r="F47" s="54"/>
      <c r="G47" s="54"/>
      <c r="H47" s="54"/>
      <c r="I47" s="64">
        <f>_xlfn.QUARTILE.INC(I34:I38,3)</f>
        <v>22.86</v>
      </c>
      <c r="J47" s="64">
        <f>_xlfn.QUARTILE.INC(J34:J38,3)</f>
        <v>8.4105232466862532</v>
      </c>
      <c r="K47" s="64">
        <f>_xlfn.QUARTILE.INC(K34:K38,3)</f>
        <v>31.765179233754576</v>
      </c>
      <c r="L47" s="64">
        <f>_xlfn.QUARTILE.INC(L34:L38,3)</f>
        <v>33.256315406038411</v>
      </c>
      <c r="M47" s="54"/>
      <c r="N47" s="54"/>
    </row>
    <row r="48" spans="1:14" x14ac:dyDescent="0.2">
      <c r="A48" s="58" t="s">
        <v>1123</v>
      </c>
      <c r="B48" s="54"/>
      <c r="C48" s="54"/>
      <c r="D48" s="54"/>
      <c r="E48" s="54"/>
      <c r="F48" s="54"/>
      <c r="G48" s="54"/>
      <c r="H48" s="54"/>
      <c r="I48" s="64">
        <f>_xlfn.QUARTILE.INC(I39:I43,1)</f>
        <v>23.68</v>
      </c>
      <c r="J48" s="64">
        <f>_xlfn.QUARTILE.INC(J39:J43,1)</f>
        <v>8.4105232466862532</v>
      </c>
      <c r="K48" s="64">
        <f>_xlfn.QUARTILE.INC(K39:K43,1)</f>
        <v>20.644563426688631</v>
      </c>
      <c r="L48" s="64">
        <f>_xlfn.QUARTILE.INC(L39:L43,1)</f>
        <v>25.830971399123936</v>
      </c>
      <c r="M48" s="54"/>
      <c r="N48" s="54"/>
    </row>
    <row r="49" spans="1:14" x14ac:dyDescent="0.2">
      <c r="A49" s="91" t="s">
        <v>1124</v>
      </c>
      <c r="B49" s="73"/>
      <c r="C49" s="73"/>
      <c r="D49" s="73"/>
      <c r="E49" s="73"/>
      <c r="F49" s="73"/>
      <c r="G49" s="73"/>
      <c r="H49" s="73"/>
      <c r="I49" s="93">
        <f>MEDIAN(I39:I43)</f>
        <v>26.81</v>
      </c>
      <c r="J49" s="93">
        <f>MEDIAN(J39:J43)</f>
        <v>10.625080330748469</v>
      </c>
      <c r="K49" s="93">
        <f>MEDIAN(K39:K43)</f>
        <v>21.656271656271656</v>
      </c>
      <c r="L49" s="93">
        <f>MEDIAN(L39:L43)</f>
        <v>26.267840874582447</v>
      </c>
      <c r="M49" s="54"/>
      <c r="N49" s="54"/>
    </row>
    <row r="50" spans="1:14" x14ac:dyDescent="0.2">
      <c r="A50" s="58" t="s">
        <v>1125</v>
      </c>
      <c r="B50" s="54"/>
      <c r="C50" s="54"/>
      <c r="D50" s="54"/>
      <c r="E50" s="54"/>
      <c r="F50" s="54"/>
      <c r="G50" s="54"/>
      <c r="H50" s="54"/>
      <c r="I50" s="64">
        <f>_xlfn.QUARTILE.INC(I39:I43,3)</f>
        <v>26.95</v>
      </c>
      <c r="J50" s="64">
        <f>_xlfn.QUARTILE.INC(J39:J43,3)</f>
        <v>12.08413693346191</v>
      </c>
      <c r="K50" s="64">
        <f>_xlfn.QUARTILE.INC(K39:K43,3)</f>
        <v>25.786257266358621</v>
      </c>
      <c r="L50" s="64">
        <f>_xlfn.QUARTILE.INC(L39:L43,3)</f>
        <v>30.092839611567602</v>
      </c>
      <c r="M50" s="54"/>
      <c r="N50" s="54"/>
    </row>
    <row r="51" spans="1:14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14" x14ac:dyDescent="0.2">
      <c r="A52" s="72" t="s">
        <v>1126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spans="1:14" x14ac:dyDescent="0.2">
      <c r="A53" s="54"/>
      <c r="B53" s="87" t="s">
        <v>1127</v>
      </c>
      <c r="C53" s="87" t="s">
        <v>1128</v>
      </c>
      <c r="D53" s="87" t="s">
        <v>1129</v>
      </c>
      <c r="E53" s="87" t="s">
        <v>1130</v>
      </c>
      <c r="F53" s="87" t="s">
        <v>1131</v>
      </c>
      <c r="G53" s="54"/>
      <c r="H53" s="54"/>
      <c r="I53" s="54"/>
      <c r="J53" s="54"/>
      <c r="K53" s="54"/>
      <c r="L53" s="54"/>
      <c r="M53" s="54"/>
      <c r="N53" s="54"/>
    </row>
    <row r="54" spans="1:14" x14ac:dyDescent="0.2">
      <c r="A54" s="58" t="s">
        <v>1132</v>
      </c>
      <c r="B54" s="54" t="s">
        <v>1133</v>
      </c>
      <c r="C54" s="55">
        <f>Market_Package!B54</f>
        <v>116190</v>
      </c>
      <c r="D54" s="57">
        <f>(K48*C54+Market_Package!B27)/Market_Package!B13</f>
        <v>934.60393812303766</v>
      </c>
      <c r="E54" s="57">
        <f>(K49*C54+Market_Package!B27)/Market_Package!B13</f>
        <v>980.21487154202555</v>
      </c>
      <c r="F54" s="57">
        <f>(K50*C54+Market_Package!B27)/Market_Package!B13</f>
        <v>1166.4073855247298</v>
      </c>
      <c r="G54" s="54"/>
      <c r="H54" s="54"/>
      <c r="I54" s="54"/>
      <c r="J54" s="54"/>
      <c r="K54" s="54"/>
      <c r="L54" s="54"/>
      <c r="M54" s="54"/>
      <c r="N54" s="54"/>
    </row>
    <row r="55" spans="1:14" x14ac:dyDescent="0.2">
      <c r="A55" s="58" t="s">
        <v>1134</v>
      </c>
      <c r="B55" s="54" t="s">
        <v>1133</v>
      </c>
      <c r="C55" s="55">
        <f>Market_Package!B54</f>
        <v>116190</v>
      </c>
      <c r="D55" s="57">
        <f>(K45*C55+Market_Package!B27)/Market_Package!B13</f>
        <v>816.70898871178338</v>
      </c>
      <c r="E55" s="57">
        <f>(K46*C55+Market_Package!B27)/Market_Package!B13</f>
        <v>1163.3569144735261</v>
      </c>
      <c r="F55" s="57">
        <f>(K47*C55+Market_Package!B27)/Market_Package!B13</f>
        <v>1435.9556641668985</v>
      </c>
      <c r="G55" s="54"/>
      <c r="H55" s="54"/>
      <c r="I55" s="54"/>
      <c r="J55" s="54"/>
      <c r="K55" s="54"/>
      <c r="L55" s="54"/>
      <c r="M55" s="54"/>
      <c r="N55" s="54"/>
    </row>
    <row r="56" spans="1:14" x14ac:dyDescent="0.2">
      <c r="A56" s="58" t="s">
        <v>1135</v>
      </c>
      <c r="B56" s="54" t="s">
        <v>1008</v>
      </c>
      <c r="C56" s="55">
        <f>Market_Package!B48</f>
        <v>241605</v>
      </c>
      <c r="D56" s="57">
        <f>(J48*C56+Market_Package!B27)/Market_Package!B13</f>
        <v>792.33268000759904</v>
      </c>
      <c r="E56" s="57">
        <f>(J49*C56+Market_Package!B27)/Market_Package!B13</f>
        <v>999.93763886507372</v>
      </c>
      <c r="F56" s="57">
        <f>(J50*C56+Market_Package!B27)/Market_Package!B13</f>
        <v>1136.7177598910896</v>
      </c>
      <c r="G56" s="54"/>
      <c r="H56" s="54"/>
      <c r="I56" s="54"/>
      <c r="J56" s="54"/>
      <c r="K56" s="54"/>
      <c r="L56" s="54"/>
      <c r="M56" s="54"/>
      <c r="N56" s="54"/>
    </row>
    <row r="57" spans="1:14" x14ac:dyDescent="0.2">
      <c r="A57" s="58" t="s">
        <v>1136</v>
      </c>
      <c r="B57" s="54" t="s">
        <v>1008</v>
      </c>
      <c r="C57" s="55">
        <f>Market_Package!B48</f>
        <v>241605</v>
      </c>
      <c r="D57" s="57">
        <f>(J45*C57+Market_Package!B27)/Market_Package!B13</f>
        <v>185.32153578197216</v>
      </c>
      <c r="E57" s="57">
        <f>(J46*C57+Market_Package!B27)/Market_Package!B13</f>
        <v>249.34864660924029</v>
      </c>
      <c r="F57" s="57">
        <f>(J47*C57+Market_Package!B27)/Market_Package!B13</f>
        <v>792.33268000759904</v>
      </c>
      <c r="G57" s="54"/>
      <c r="H57" s="54"/>
      <c r="I57" s="54"/>
      <c r="J57" s="54"/>
      <c r="K57" s="54"/>
      <c r="L57" s="54"/>
      <c r="M57" s="54"/>
      <c r="N57" s="54"/>
    </row>
    <row r="58" spans="1:14" x14ac:dyDescent="0.2">
      <c r="A58" s="58" t="s">
        <v>1137</v>
      </c>
      <c r="B58" s="54" t="s">
        <v>1138</v>
      </c>
      <c r="C58" s="66">
        <f>Forecast_3Stmt!D30</f>
        <v>30.359468722347835</v>
      </c>
      <c r="D58" s="57">
        <f>I48*C58</f>
        <v>718.91221934519672</v>
      </c>
      <c r="E58" s="57">
        <f>I49*C58</f>
        <v>813.93735644614537</v>
      </c>
      <c r="F58" s="57">
        <f>I50*C58</f>
        <v>818.18768206727407</v>
      </c>
      <c r="G58" s="54"/>
      <c r="H58" s="54"/>
      <c r="I58" s="54"/>
      <c r="J58" s="54"/>
      <c r="K58" s="54"/>
      <c r="L58" s="54"/>
      <c r="M58" s="54"/>
      <c r="N58" s="54"/>
    </row>
    <row r="59" spans="1:14" x14ac:dyDescent="0.2">
      <c r="A59" s="58" t="s">
        <v>1139</v>
      </c>
      <c r="B59" s="54" t="s">
        <v>1138</v>
      </c>
      <c r="C59" s="66">
        <f>Forecast_3Stmt!D30</f>
        <v>30.359468722347835</v>
      </c>
      <c r="D59" s="57">
        <f>I45*C59</f>
        <v>295.70122535566793</v>
      </c>
      <c r="E59" s="57">
        <f>I46*C59</f>
        <v>420.47864180451751</v>
      </c>
      <c r="F59" s="57">
        <f>I47*C59</f>
        <v>694.01745499287154</v>
      </c>
      <c r="G59" s="54"/>
      <c r="H59" s="54"/>
      <c r="I59" s="54"/>
      <c r="J59" s="54"/>
      <c r="K59" s="54"/>
      <c r="L59" s="54"/>
      <c r="M59" s="54"/>
      <c r="N59" s="54"/>
    </row>
    <row r="60" spans="1:14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spans="1:14" x14ac:dyDescent="0.2">
      <c r="A61" s="72" t="s">
        <v>1140</v>
      </c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spans="1:14" x14ac:dyDescent="0.2">
      <c r="A62" s="58" t="s">
        <v>1141</v>
      </c>
      <c r="B62" s="55">
        <f>Interim_Bridge!G16-Interim_Bridge!E16+Interim_Bridge!B16+Interim_Bridge!B13</f>
        <v>110067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x14ac:dyDescent="0.2">
      <c r="A63" s="54"/>
      <c r="B63" s="87" t="s">
        <v>936</v>
      </c>
      <c r="C63" s="87" t="s">
        <v>1129</v>
      </c>
      <c r="D63" s="87" t="s">
        <v>1130</v>
      </c>
      <c r="E63" s="87" t="s">
        <v>1131</v>
      </c>
      <c r="F63" s="54"/>
      <c r="G63" s="54"/>
      <c r="H63" s="54"/>
      <c r="I63" s="54"/>
      <c r="J63" s="54"/>
      <c r="K63" s="54"/>
      <c r="L63" s="54"/>
      <c r="M63" s="54"/>
      <c r="N63" s="54"/>
    </row>
    <row r="64" spans="1:14" x14ac:dyDescent="0.2">
      <c r="A64" s="58" t="s">
        <v>1142</v>
      </c>
      <c r="B64" s="54"/>
      <c r="C64" s="68">
        <f>B62*L48</f>
        <v>2843137.5289873742</v>
      </c>
      <c r="D64" s="68">
        <f>B62*L49</f>
        <v>2891222.4415426664</v>
      </c>
      <c r="E64" s="68">
        <f>B62*L50</f>
        <v>3312228.577526411</v>
      </c>
      <c r="F64" s="54"/>
      <c r="G64" s="54"/>
      <c r="H64" s="54"/>
      <c r="I64" s="54"/>
      <c r="J64" s="54"/>
      <c r="K64" s="54"/>
      <c r="L64" s="54"/>
      <c r="M64" s="54"/>
      <c r="N64" s="54"/>
    </row>
    <row r="65" spans="1:14" x14ac:dyDescent="0.2">
      <c r="A65" s="58" t="s">
        <v>1143</v>
      </c>
      <c r="B65" s="68">
        <f>Forecast_3Stmt!D19*(1-Assumptions!J101)*DCF!D16+Forecast_3Stmt!E19*(1-Assumptions!K101)*DCF!E16+Forecast_3Stmt!F19*(1-Assumptions!L101)*DCF!F16+Forecast_3Stmt!G19*(1-Assumptions!M101)*DCF!G16+Forecast_3Stmt!H19*(1-Assumptions!N101)*DCF!H16+Forecast_3Stmt!I19*(1-Assumptions!O101)*DCF!I16+Forecast_3Stmt!J19*(1-Assumptions!P101)*DCF!J16+Forecast_3Stmt!K19*(1-Assumptions!Q101)*DCF!K16+Forecast_3Stmt!L19*(1-Assumptions!R101)*DCF!L16+Interim_Bridge!C15*(1-Assumptions!$I$12)*DCF!C16</f>
        <v>-55527.846440662652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 t="s">
        <v>1144</v>
      </c>
    </row>
    <row r="66" spans="1:14" x14ac:dyDescent="0.2">
      <c r="A66" s="58" t="s">
        <v>1145</v>
      </c>
      <c r="B66" s="57">
        <f>B65/Market_Package!B13</f>
        <v>-21.545459268132653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</row>
    <row r="67" spans="1:14" x14ac:dyDescent="0.2">
      <c r="A67" s="91" t="s">
        <v>1146</v>
      </c>
      <c r="B67" s="73"/>
      <c r="C67" s="75">
        <f>(C64+B65+Market_Package!B27)/Market_Package!B13</f>
        <v>1085.5086536001184</v>
      </c>
      <c r="D67" s="75">
        <f>(D64+B65+Market_Package!B27)/Market_Package!B13</f>
        <v>1104.1661667449664</v>
      </c>
      <c r="E67" s="75">
        <f>(E64+B65+Market_Package!B27)/Market_Package!B13</f>
        <v>1267.521512502248</v>
      </c>
      <c r="F67" s="54"/>
      <c r="G67" s="54"/>
      <c r="H67" s="54"/>
      <c r="I67" s="54"/>
      <c r="J67" s="54"/>
      <c r="K67" s="54"/>
      <c r="L67" s="54"/>
      <c r="M67" s="54"/>
      <c r="N67" s="54"/>
    </row>
    <row r="68" spans="1:14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</row>
    <row r="69" spans="1:14" x14ac:dyDescent="0.2">
      <c r="A69" s="72" t="s">
        <v>1147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</row>
    <row r="70" spans="1:14" x14ac:dyDescent="0.2">
      <c r="A70" s="125" t="s">
        <v>1148</v>
      </c>
      <c r="B70" s="125" t="s">
        <v>1149</v>
      </c>
      <c r="C70" s="125" t="s">
        <v>1150</v>
      </c>
      <c r="D70" s="125" t="s">
        <v>1151</v>
      </c>
      <c r="E70" s="125" t="s">
        <v>1152</v>
      </c>
      <c r="F70" s="54"/>
      <c r="G70" s="54"/>
      <c r="H70" s="54"/>
      <c r="I70" s="54"/>
      <c r="J70" s="54"/>
      <c r="K70" s="54"/>
      <c r="L70" s="54"/>
      <c r="M70" s="54"/>
      <c r="N70" s="54" t="s">
        <v>1153</v>
      </c>
    </row>
    <row r="71" spans="1:14" x14ac:dyDescent="0.2">
      <c r="A71" s="58" t="s">
        <v>1154</v>
      </c>
      <c r="B71" s="66">
        <f>Scenario_Summary!E19</f>
        <v>76.337782680300592</v>
      </c>
      <c r="C71" s="66">
        <f>Scenario_Summary!C19</f>
        <v>495.77169546031331</v>
      </c>
      <c r="D71" s="66">
        <f>Scenario_Summary!D19</f>
        <v>953.5489808349264</v>
      </c>
      <c r="E71" s="54" t="str">
        <f t="shared" si="5" ref="E71:E78">IF(ISNUMBER(C71),REPT("|",MAX(0,ROUND(C71/20,0))),"")</f>
        <v>|||||||||||||||||||||||||</v>
      </c>
      <c r="F71" s="54"/>
      <c r="G71" s="54"/>
      <c r="H71" s="54"/>
      <c r="I71" s="54"/>
      <c r="J71" s="54"/>
      <c r="K71" s="54"/>
      <c r="L71" s="54"/>
      <c r="M71" s="54"/>
      <c r="N71" s="54" t="s">
        <v>1155</v>
      </c>
    </row>
    <row r="72" spans="1:14" x14ac:dyDescent="0.2">
      <c r="A72" s="58" t="s">
        <v>1156</v>
      </c>
      <c r="B72" s="66">
        <f>Scenario_Summary!E20</f>
        <v>172.92003037783132</v>
      </c>
      <c r="C72" s="66">
        <f>Scenario_Summary!C20</f>
        <v>654.83062050662295</v>
      </c>
      <c r="D72" s="66">
        <f>Scenario_Summary!D20</f>
        <v>1181.0664550855636</v>
      </c>
      <c r="E72" s="54" t="str">
        <f t="shared" si="5"/>
        <v>|||||||||||||||||||||||||||||||||</v>
      </c>
      <c r="F72" s="54"/>
      <c r="G72" s="54"/>
      <c r="H72" s="54"/>
      <c r="I72" s="54"/>
      <c r="J72" s="54"/>
      <c r="K72" s="54"/>
      <c r="L72" s="54"/>
      <c r="M72" s="54"/>
      <c r="N72" s="54" t="s">
        <v>1157</v>
      </c>
    </row>
    <row r="73" spans="1:14" x14ac:dyDescent="0.2">
      <c r="A73" s="58" t="s">
        <v>1088</v>
      </c>
      <c r="B73" s="66">
        <f>Scenario_Summary!E21</f>
        <v>163.0693254560295</v>
      </c>
      <c r="C73" s="66">
        <f>Scenario_Summary!C21</f>
        <v>533.08644674649531</v>
      </c>
      <c r="D73" s="66">
        <f>Scenario_Summary!D21</f>
        <v>955.81277089647278</v>
      </c>
      <c r="E73" s="54" t="str">
        <f t="shared" si="5"/>
        <v>|||||||||||||||||||||||||||</v>
      </c>
      <c r="F73" s="54"/>
      <c r="G73" s="54"/>
      <c r="H73" s="54"/>
      <c r="I73" s="54"/>
      <c r="J73" s="54"/>
      <c r="K73" s="54"/>
      <c r="L73" s="54"/>
      <c r="M73" s="54"/>
      <c r="N73" s="54" t="s">
        <v>1157</v>
      </c>
    </row>
    <row r="74" spans="1:14" x14ac:dyDescent="0.2">
      <c r="A74" s="58" t="s">
        <v>1158</v>
      </c>
      <c r="B74" s="57">
        <f t="shared" si="6" ref="B74:D75">D54</f>
        <v>934.60393812303766</v>
      </c>
      <c r="C74" s="57">
        <f t="shared" si="6"/>
        <v>980.21487154202555</v>
      </c>
      <c r="D74" s="57">
        <f t="shared" si="6"/>
        <v>1166.4073855247298</v>
      </c>
      <c r="E74" s="54" t="str">
        <f t="shared" si="5"/>
        <v>|||||||||||||||||||||||||||||||||||||||||||||||||</v>
      </c>
      <c r="F74" s="54"/>
      <c r="G74" s="54"/>
      <c r="H74" s="54"/>
      <c r="I74" s="54"/>
      <c r="J74" s="54"/>
      <c r="K74" s="54"/>
      <c r="L74" s="54"/>
      <c r="M74" s="54"/>
      <c r="N74" s="54" t="s">
        <v>1159</v>
      </c>
    </row>
    <row r="75" spans="1:14" x14ac:dyDescent="0.2">
      <c r="A75" s="58" t="s">
        <v>1160</v>
      </c>
      <c r="B75" s="57">
        <f t="shared" si="6"/>
        <v>816.70898871178338</v>
      </c>
      <c r="C75" s="57">
        <f t="shared" si="6"/>
        <v>1163.3569144735261</v>
      </c>
      <c r="D75" s="57">
        <f t="shared" si="6"/>
        <v>1435.9556641668985</v>
      </c>
      <c r="E75" s="54" t="str">
        <f t="shared" si="5"/>
        <v>||||||||||||||||||||||||||||||||||||||||||||||||||||||||||</v>
      </c>
      <c r="F75" s="54"/>
      <c r="G75" s="54"/>
      <c r="H75" s="54"/>
      <c r="I75" s="54"/>
      <c r="J75" s="54"/>
      <c r="K75" s="54"/>
      <c r="L75" s="54"/>
      <c r="M75" s="54"/>
      <c r="N75" s="54" t="s">
        <v>1159</v>
      </c>
    </row>
    <row r="76" spans="1:14" x14ac:dyDescent="0.2">
      <c r="A76" s="58" t="s">
        <v>1161</v>
      </c>
      <c r="B76" s="57">
        <f>D58</f>
        <v>718.91221934519672</v>
      </c>
      <c r="C76" s="57">
        <f>E58</f>
        <v>813.93735644614537</v>
      </c>
      <c r="D76" s="57">
        <f>F58</f>
        <v>818.18768206727407</v>
      </c>
      <c r="E76" s="57" t="str">
        <f t="shared" si="5"/>
        <v>|||||||||||||||||||||||||||||||||||||||||</v>
      </c>
      <c r="F76" s="54"/>
      <c r="G76" s="54"/>
      <c r="H76" s="54"/>
      <c r="I76" s="54"/>
      <c r="J76" s="54"/>
      <c r="K76" s="54"/>
      <c r="L76" s="54"/>
      <c r="M76" s="54"/>
      <c r="N76" s="54" t="s">
        <v>1159</v>
      </c>
    </row>
    <row r="77" spans="1:14" x14ac:dyDescent="0.2">
      <c r="A77" s="58" t="s">
        <v>1162</v>
      </c>
      <c r="B77" s="57">
        <f>C67</f>
        <v>1085.5086536001184</v>
      </c>
      <c r="C77" s="57">
        <f>D67</f>
        <v>1104.1661667449664</v>
      </c>
      <c r="D77" s="57">
        <f>E67</f>
        <v>1267.521512502248</v>
      </c>
      <c r="E77" s="54" t="str">
        <f t="shared" si="5"/>
        <v>|||||||||||||||||||||||||||||||||||||||||||||||||||||||</v>
      </c>
      <c r="F77" s="54"/>
      <c r="G77" s="54"/>
      <c r="H77" s="54"/>
      <c r="I77" s="54"/>
      <c r="J77" s="54"/>
      <c r="K77" s="54"/>
      <c r="L77" s="54"/>
      <c r="M77" s="54"/>
      <c r="N77" s="54" t="s">
        <v>1163</v>
      </c>
    </row>
    <row r="78" spans="1:14" x14ac:dyDescent="0.2">
      <c r="A78" s="91" t="s">
        <v>1164</v>
      </c>
      <c r="B78" s="103">
        <f>Market_Package!B8</f>
        <v>630.55999999999995</v>
      </c>
      <c r="C78" s="103">
        <f>Market_Package!B8</f>
        <v>630.55999999999995</v>
      </c>
      <c r="D78" s="103">
        <f>Market_Package!B8</f>
        <v>630.55999999999995</v>
      </c>
      <c r="E78" s="57" t="str">
        <f t="shared" si="5"/>
        <v>||||||||||||||||||||||||||||||||</v>
      </c>
      <c r="F78" s="54"/>
      <c r="G78" s="54"/>
      <c r="H78" s="54"/>
      <c r="I78" s="54"/>
      <c r="J78" s="54"/>
      <c r="K78" s="54"/>
      <c r="L78" s="54"/>
      <c r="M78" s="54"/>
      <c r="N78" s="54"/>
    </row>
    <row r="79" spans="1:14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</row>
    <row r="80" spans="1:14" x14ac:dyDescent="0.2">
      <c r="A80" s="72" t="s">
        <v>189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</row>
    <row r="81" spans="1:14" x14ac:dyDescent="0.2">
      <c r="A81" s="58" t="s">
        <v>1165</v>
      </c>
      <c r="B81" s="71">
        <f>ROUND(COUNTA(A34,A35,A36,A37,A38)-5,0)+ROUND(COUNTA(A39,A40,A41,A42,A43)-5,0)</f>
        <v>0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BC90-41C7-9E45-A836-679A95CC1945}">
  <sheetPr>
    <tabColor rgb="FFC0873A"/>
  </sheetPr>
  <dimension ref="A1:N36"/>
  <sheetViews>
    <sheetView showGridLines="0" workbookViewId="0"/>
  </sheetViews>
  <sheetFormatPr baseColWidth="10" defaultColWidth="8.33203125" defaultRowHeight="15" x14ac:dyDescent="0.2"/>
  <cols>
    <col min="1" max="1" width="72.6640625" customWidth="1"/>
    <col min="2" max="2" width="12.6640625" customWidth="1"/>
    <col min="3" max="7" width="13.5" customWidth="1"/>
    <col min="13" max="13" width="17.6640625" customWidth="1"/>
    <col min="14" max="14" width="49.33203125" customWidth="1"/>
  </cols>
  <sheetData>
    <row r="1" spans="1:14" x14ac:dyDescent="0.2">
      <c r="A1" s="122" t="s">
        <v>1166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x14ac:dyDescent="0.2">
      <c r="A2" s="54" t="s">
        <v>1167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x14ac:dyDescent="0.2">
      <c r="A4" s="72" t="s">
        <v>1168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1:14" x14ac:dyDescent="0.2">
      <c r="A5" s="73" t="s">
        <v>1169</v>
      </c>
      <c r="B5" s="54"/>
      <c r="C5" s="67">
        <v>0.02</v>
      </c>
      <c r="D5" s="67">
        <v>2.5000000000000001E-2</v>
      </c>
      <c r="E5" s="67">
        <v>0.03</v>
      </c>
      <c r="F5" s="67">
        <v>3.5000000000000003E-2</v>
      </c>
      <c r="G5" s="67">
        <v>0.04</v>
      </c>
      <c r="H5" s="54"/>
      <c r="I5" s="54"/>
      <c r="J5" s="54"/>
      <c r="K5" s="54"/>
      <c r="L5" s="54"/>
      <c r="M5" s="54"/>
      <c r="N5" s="54"/>
    </row>
    <row r="6" spans="1:14" x14ac:dyDescent="0.2">
      <c r="A6" s="54"/>
      <c r="B6" s="67">
        <v>7.4999999999999997E-2</v>
      </c>
      <c r="C6" s="57">
        <f>(DCF!$C$14/(1+$B6)^DCF!$C$15+DCF!$D$14/(1+$B6)^DCF!$D$15+DCF!$E$14/(1+$B6)^DCF!$E$15+DCF!$F$14/(1+$B6)^DCF!$F$15+DCF!$G$14/(1+$B6)^DCF!$G$15+DCF!$H$14/(1+$B6)^DCF!$H$15+DCF!$I$14/(1+$B6)^DCF!$I$15+DCF!$J$14/(1+$B6)^DCF!$J$15+DCF!$K$14/(1+$B6)^DCF!$K$15+DCF!$L$14/(1+$B6)^DCF!$L$15+DCF!$L$10*(1+C$5)*(1-C$5/DCF!$B$22)/($B6-C$5)/(1+$B6)^DCF!$B$28+DCF!$B$33)/DCF!$B$35</f>
        <v>667.24871449395675</v>
      </c>
      <c r="D6" s="57">
        <f>(DCF!$C$14/(1+$B6)^DCF!$C$15+DCF!$D$14/(1+$B6)^DCF!$D$15+DCF!$E$14/(1+$B6)^DCF!$E$15+DCF!$F$14/(1+$B6)^DCF!$F$15+DCF!$G$14/(1+$B6)^DCF!$G$15+DCF!$H$14/(1+$B6)^DCF!$H$15+DCF!$I$14/(1+$B6)^DCF!$I$15+DCF!$J$14/(1+$B6)^DCF!$J$15+DCF!$K$14/(1+$B6)^DCF!$K$15+DCF!$L$14/(1+$B6)^DCF!$L$15+DCF!$L$10*(1+D$5)*(1-D$5/DCF!$B$22)/($B6-D$5)/(1+$B6)^DCF!$B$28+DCF!$B$33)/DCF!$B$35</f>
        <v>713.56978765161796</v>
      </c>
      <c r="E6" s="57">
        <f>(DCF!$C$14/(1+$B6)^DCF!$C$15+DCF!$D$14/(1+$B6)^DCF!$D$15+DCF!$E$14/(1+$B6)^DCF!$E$15+DCF!$F$14/(1+$B6)^DCF!$F$15+DCF!$G$14/(1+$B6)^DCF!$G$15+DCF!$H$14/(1+$B6)^DCF!$H$15+DCF!$I$14/(1+$B6)^DCF!$I$15+DCF!$J$14/(1+$B6)^DCF!$J$15+DCF!$K$14/(1+$B6)^DCF!$K$15+DCF!$L$14/(1+$B6)^DCF!$L$15+DCF!$L$10*(1+E$5)*(1-E$5/DCF!$B$22)/($B6-E$5)/(1+$B6)^DCF!$B$28+DCF!$B$33)/DCF!$B$35</f>
        <v>769.977998182821</v>
      </c>
      <c r="F6" s="57">
        <f>(DCF!$C$14/(1+$B6)^DCF!$C$15+DCF!$D$14/(1+$B6)^DCF!$D$15+DCF!$E$14/(1+$B6)^DCF!$E$15+DCF!$F$14/(1+$B6)^DCF!$F$15+DCF!$G$14/(1+$B6)^DCF!$G$15+DCF!$H$14/(1+$B6)^DCF!$H$15+DCF!$I$14/(1+$B6)^DCF!$I$15+DCF!$J$14/(1+$B6)^DCF!$J$15+DCF!$K$14/(1+$B6)^DCF!$K$15+DCF!$L$14/(1+$B6)^DCF!$L$15+DCF!$L$10*(1+F$5)*(1-F$5/DCF!$B$22)/($B6-F$5)/(1+$B6)^DCF!$B$28+DCF!$B$33)/DCF!$B$35</f>
        <v>840.25602260264282</v>
      </c>
      <c r="G6" s="57">
        <f>(DCF!$C$14/(1+$B6)^DCF!$C$15+DCF!$D$14/(1+$B6)^DCF!$D$15+DCF!$E$14/(1+$B6)^DCF!$E$15+DCF!$F$14/(1+$B6)^DCF!$F$15+DCF!$G$14/(1+$B6)^DCF!$G$15+DCF!$H$14/(1+$B6)^DCF!$H$15+DCF!$I$14/(1+$B6)^DCF!$I$15+DCF!$J$14/(1+$B6)^DCF!$J$15+DCF!$K$14/(1+$B6)^DCF!$K$15+DCF!$L$14/(1+$B6)^DCF!$L$15+DCF!$L$10*(1+G$5)*(1-G$5/DCF!$B$22)/($B6-G$5)/(1+$B6)^DCF!$B$28+DCF!$B$33)/DCF!$B$35</f>
        <v>930.34806686334946</v>
      </c>
      <c r="H6" s="54"/>
      <c r="I6" s="54"/>
      <c r="J6" s="54"/>
      <c r="K6" s="54"/>
      <c r="L6" s="54"/>
      <c r="M6" s="54"/>
      <c r="N6" s="54"/>
    </row>
    <row r="7" spans="1:14" x14ac:dyDescent="0.2">
      <c r="A7" s="54"/>
      <c r="B7" s="67">
        <v>0.08</v>
      </c>
      <c r="C7" s="57">
        <f>(DCF!$C$14/(1+$B7)^DCF!$C$15+DCF!$D$14/(1+$B7)^DCF!$D$15+DCF!$E$14/(1+$B7)^DCF!$E$15+DCF!$F$14/(1+$B7)^DCF!$F$15+DCF!$G$14/(1+$B7)^DCF!$G$15+DCF!$H$14/(1+$B7)^DCF!$H$15+DCF!$I$14/(1+$B7)^DCF!$I$15+DCF!$J$14/(1+$B7)^DCF!$J$15+DCF!$K$14/(1+$B7)^DCF!$K$15+DCF!$L$14/(1+$B7)^DCF!$L$15+DCF!$L$10*(1+C$5)*(1-C$5/DCF!$B$22)/($B7-C$5)/(1+$B7)^DCF!$B$28+DCF!$B$33)/DCF!$B$35</f>
        <v>588.9121779000368</v>
      </c>
      <c r="D7" s="57">
        <f>(DCF!$C$14/(1+$B7)^DCF!$C$15+DCF!$D$14/(1+$B7)^DCF!$D$15+DCF!$E$14/(1+$B7)^DCF!$E$15+DCF!$F$14/(1+$B7)^DCF!$F$15+DCF!$G$14/(1+$B7)^DCF!$G$15+DCF!$H$14/(1+$B7)^DCF!$H$15+DCF!$I$14/(1+$B7)^DCF!$I$15+DCF!$J$14/(1+$B7)^DCF!$J$15+DCF!$K$14/(1+$B7)^DCF!$K$15+DCF!$L$14/(1+$B7)^DCF!$L$15+DCF!$L$10*(1+D$5)*(1-D$5/DCF!$B$22)/($B7-D$5)/(1+$B7)^DCF!$B$28+DCF!$B$33)/DCF!$B$35</f>
        <v>624.76337625236738</v>
      </c>
      <c r="E7" s="57">
        <f>(DCF!$C$14/(1+$B7)^DCF!$C$15+DCF!$D$14/(1+$B7)^DCF!$D$15+DCF!$E$14/(1+$B7)^DCF!$E$15+DCF!$F$14/(1+$B7)^DCF!$F$15+DCF!$G$14/(1+$B7)^DCF!$G$15+DCF!$H$14/(1+$B7)^DCF!$H$15+DCF!$I$14/(1+$B7)^DCF!$I$15+DCF!$J$14/(1+$B7)^DCF!$J$15+DCF!$K$14/(1+$B7)^DCF!$K$15+DCF!$L$14/(1+$B7)^DCF!$L$15+DCF!$L$10*(1+E$5)*(1-E$5/DCF!$B$22)/($B7-E$5)/(1+$B7)^DCF!$B$28+DCF!$B$33)/DCF!$B$35</f>
        <v>667.6067722065975</v>
      </c>
      <c r="F7" s="57">
        <f>(DCF!$C$14/(1+$B7)^DCF!$C$15+DCF!$D$14/(1+$B7)^DCF!$D$15+DCF!$E$14/(1+$B7)^DCF!$E$15+DCF!$F$14/(1+$B7)^DCF!$F$15+DCF!$G$14/(1+$B7)^DCF!$G$15+DCF!$H$14/(1+$B7)^DCF!$H$15+DCF!$I$14/(1+$B7)^DCF!$I$15+DCF!$J$14/(1+$B7)^DCF!$J$15+DCF!$K$14/(1+$B7)^DCF!$K$15+DCF!$L$14/(1+$B7)^DCF!$L$15+DCF!$L$10*(1+F$5)*(1-F$5/DCF!$B$22)/($B7-F$5)/(1+$B7)^DCF!$B$28+DCF!$B$33)/DCF!$B$35</f>
        <v>719.77309829669309</v>
      </c>
      <c r="G7" s="57">
        <f>(DCF!$C$14/(1+$B7)^DCF!$C$15+DCF!$D$14/(1+$B7)^DCF!$D$15+DCF!$E$14/(1+$B7)^DCF!$E$15+DCF!$F$14/(1+$B7)^DCF!$F$15+DCF!$G$14/(1+$B7)^DCF!$G$15+DCF!$H$14/(1+$B7)^DCF!$H$15+DCF!$I$14/(1+$B7)^DCF!$I$15+DCF!$J$14/(1+$B7)^DCF!$J$15+DCF!$K$14/(1+$B7)^DCF!$K$15+DCF!$L$14/(1+$B7)^DCF!$L$15+DCF!$L$10*(1+G$5)*(1-G$5/DCF!$B$22)/($B7-G$5)/(1+$B7)^DCF!$B$28+DCF!$B$33)/DCF!$B$35</f>
        <v>784.75845332360427</v>
      </c>
      <c r="H7" s="54"/>
      <c r="I7" s="54"/>
      <c r="J7" s="54"/>
      <c r="K7" s="54"/>
      <c r="L7" s="54"/>
      <c r="M7" s="54"/>
      <c r="N7" s="54"/>
    </row>
    <row r="8" spans="1:14" x14ac:dyDescent="0.2">
      <c r="A8" s="54"/>
      <c r="B8" s="67">
        <v>8.5000000000000006E-2</v>
      </c>
      <c r="C8" s="57">
        <f>(DCF!$C$14/(1+$B8)^DCF!$C$15+DCF!$D$14/(1+$B8)^DCF!$D$15+DCF!$E$14/(1+$B8)^DCF!$E$15+DCF!$F$14/(1+$B8)^DCF!$F$15+DCF!$G$14/(1+$B8)^DCF!$G$15+DCF!$H$14/(1+$B8)^DCF!$H$15+DCF!$I$14/(1+$B8)^DCF!$I$15+DCF!$J$14/(1+$B8)^DCF!$J$15+DCF!$K$14/(1+$B8)^DCF!$K$15+DCF!$L$14/(1+$B8)^DCF!$L$15+DCF!$L$10*(1+C$5)*(1-C$5/DCF!$B$22)/($B8-C$5)/(1+$B8)^DCF!$B$28+DCF!$B$33)/DCF!$B$35</f>
        <v>523.29922400249711</v>
      </c>
      <c r="D8" s="57">
        <f>(DCF!$C$14/(1+$B8)^DCF!$C$15+DCF!$D$14/(1+$B8)^DCF!$D$15+DCF!$E$14/(1+$B8)^DCF!$E$15+DCF!$F$14/(1+$B8)^DCF!$F$15+DCF!$G$14/(1+$B8)^DCF!$G$15+DCF!$H$14/(1+$B8)^DCF!$H$15+DCF!$I$14/(1+$B8)^DCF!$I$15+DCF!$J$14/(1+$B8)^DCF!$J$15+DCF!$K$14/(1+$B8)^DCF!$K$15+DCF!$L$14/(1+$B8)^DCF!$L$15+DCF!$L$10*(1+D$5)*(1-D$5/DCF!$B$22)/($B8-D$5)/(1+$B8)^DCF!$B$28+DCF!$B$33)/DCF!$B$35</f>
        <v>551.450989472336</v>
      </c>
      <c r="E8" s="57">
        <f>(DCF!$C$14/(1+$B8)^DCF!$C$15+DCF!$D$14/(1+$B8)^DCF!$D$15+DCF!$E$14/(1+$B8)^DCF!$E$15+DCF!$F$14/(1+$B8)^DCF!$F$15+DCF!$G$14/(1+$B8)^DCF!$G$15+DCF!$H$14/(1+$B8)^DCF!$H$15+DCF!$I$14/(1+$B8)^DCF!$I$15+DCF!$J$14/(1+$B8)^DCF!$J$15+DCF!$K$14/(1+$B8)^DCF!$K$15+DCF!$L$14/(1+$B8)^DCF!$L$15+DCF!$L$10*(1+E$5)*(1-E$5/DCF!$B$22)/($B8-E$5)/(1+$B8)^DCF!$B$28+DCF!$B$33)/DCF!$B$35</f>
        <v>584.56612147378121</v>
      </c>
      <c r="F8" s="57">
        <f>(DCF!$C$14/(1+$B8)^DCF!$C$15+DCF!$D$14/(1+$B8)^DCF!$D$15+DCF!$E$14/(1+$B8)^DCF!$E$15+DCF!$F$14/(1+$B8)^DCF!$F$15+DCF!$G$14/(1+$B8)^DCF!$G$15+DCF!$H$14/(1+$B8)^DCF!$H$15+DCF!$I$14/(1+$B8)^DCF!$I$15+DCF!$J$14/(1+$B8)^DCF!$J$15+DCF!$K$14/(1+$B8)^DCF!$K$15+DCF!$L$14/(1+$B8)^DCF!$L$15+DCF!$L$10*(1+F$5)*(1-F$5/DCF!$B$22)/($B8-F$5)/(1+$B8)^DCF!$B$28+DCF!$B$33)/DCF!$B$35</f>
        <v>624.13362996631383</v>
      </c>
      <c r="G8" s="57">
        <f>(DCF!$C$14/(1+$B8)^DCF!$C$15+DCF!$D$14/(1+$B8)^DCF!$D$15+DCF!$E$14/(1+$B8)^DCF!$E$15+DCF!$F$14/(1+$B8)^DCF!$F$15+DCF!$G$14/(1+$B8)^DCF!$G$15+DCF!$H$14/(1+$B8)^DCF!$H$15+DCF!$I$14/(1+$B8)^DCF!$I$15+DCF!$J$14/(1+$B8)^DCF!$J$15+DCF!$K$14/(1+$B8)^DCF!$K$15+DCF!$L$14/(1+$B8)^DCF!$L$15+DCF!$L$10*(1+G$5)*(1-G$5/DCF!$B$22)/($B8-G$5)/(1+$B8)^DCF!$B$28+DCF!$B$33)/DCF!$B$35</f>
        <v>672.30430711363044</v>
      </c>
      <c r="H8" s="54"/>
      <c r="I8" s="54"/>
      <c r="J8" s="54"/>
      <c r="K8" s="54"/>
      <c r="L8" s="54"/>
      <c r="M8" s="54"/>
      <c r="N8" s="54"/>
    </row>
    <row r="9" spans="1:14" x14ac:dyDescent="0.2">
      <c r="A9" s="54"/>
      <c r="B9" s="67">
        <v>0.09</v>
      </c>
      <c r="C9" s="57">
        <f>(DCF!$C$14/(1+$B9)^DCF!$C$15+DCF!$D$14/(1+$B9)^DCF!$D$15+DCF!$E$14/(1+$B9)^DCF!$E$15+DCF!$F$14/(1+$B9)^DCF!$F$15+DCF!$G$14/(1+$B9)^DCF!$G$15+DCF!$H$14/(1+$B9)^DCF!$H$15+DCF!$I$14/(1+$B9)^DCF!$I$15+DCF!$J$14/(1+$B9)^DCF!$J$15+DCF!$K$14/(1+$B9)^DCF!$K$15+DCF!$L$14/(1+$B9)^DCF!$L$15+DCF!$L$10*(1+C$5)*(1-C$5/DCF!$B$22)/($B9-C$5)/(1+$B9)^DCF!$B$28+DCF!$B$33)/DCF!$B$35</f>
        <v>467.6562115884995</v>
      </c>
      <c r="D9" s="57">
        <f>(DCF!$C$14/(1+$B9)^DCF!$C$15+DCF!$D$14/(1+$B9)^DCF!$D$15+DCF!$E$14/(1+$B9)^DCF!$E$15+DCF!$F$14/(1+$B9)^DCF!$F$15+DCF!$G$14/(1+$B9)^DCF!$G$15+DCF!$H$14/(1+$B9)^DCF!$H$15+DCF!$I$14/(1+$B9)^DCF!$I$15+DCF!$J$14/(1+$B9)^DCF!$J$15+DCF!$K$14/(1+$B9)^DCF!$K$15+DCF!$L$14/(1+$B9)^DCF!$L$15+DCF!$L$10*(1+D$5)*(1-D$5/DCF!$B$22)/($B9-D$5)/(1+$B9)^DCF!$B$28+DCF!$B$33)/DCF!$B$35</f>
        <v>490.02938941086359</v>
      </c>
      <c r="E9" s="57">
        <f>(DCF!$C$14/(1+$B9)^DCF!$C$15+DCF!$D$14/(1+$B9)^DCF!$D$15+DCF!$E$14/(1+$B9)^DCF!$E$15+DCF!$F$14/(1+$B9)^DCF!$F$15+DCF!$G$14/(1+$B9)^DCF!$G$15+DCF!$H$14/(1+$B9)^DCF!$H$15+DCF!$I$14/(1+$B9)^DCF!$I$15+DCF!$J$14/(1+$B9)^DCF!$J$15+DCF!$K$14/(1+$B9)^DCF!$K$15+DCF!$L$14/(1+$B9)^DCF!$L$15+DCF!$L$10*(1+E$5)*(1-E$5/DCF!$B$22)/($B9-E$5)/(1+$B9)^DCF!$B$28+DCF!$B$33)/DCF!$B$35</f>
        <v>515.99509973744864</v>
      </c>
      <c r="F9" s="57">
        <f>(DCF!$C$14/(1+$B9)^DCF!$C$15+DCF!$D$14/(1+$B9)^DCF!$D$15+DCF!$E$14/(1+$B9)^DCF!$E$15+DCF!$F$14/(1+$B9)^DCF!$F$15+DCF!$G$14/(1+$B9)^DCF!$G$15+DCF!$H$14/(1+$B9)^DCF!$H$15+DCF!$I$14/(1+$B9)^DCF!$I$15+DCF!$J$14/(1+$B9)^DCF!$J$15+DCF!$K$14/(1+$B9)^DCF!$K$15+DCF!$L$14/(1+$B9)^DCF!$L$15+DCF!$L$10*(1+F$5)*(1-F$5/DCF!$B$22)/($B9-F$5)/(1+$B9)^DCF!$B$28+DCF!$B$33)/DCF!$B$35</f>
        <v>546.53312416031406</v>
      </c>
      <c r="G9" s="57">
        <f>(DCF!$C$14/(1+$B9)^DCF!$C$15+DCF!$D$14/(1+$B9)^DCF!$D$15+DCF!$E$14/(1+$B9)^DCF!$E$15+DCF!$F$14/(1+$B9)^DCF!$F$15+DCF!$G$14/(1+$B9)^DCF!$G$15+DCF!$H$14/(1+$B9)^DCF!$H$15+DCF!$I$14/(1+$B9)^DCF!$I$15+DCF!$J$14/(1+$B9)^DCF!$J$15+DCF!$K$14/(1+$B9)^DCF!$K$15+DCF!$L$14/(1+$B9)^DCF!$L$15+DCF!$L$10*(1+G$5)*(1-G$5/DCF!$B$22)/($B9-G$5)/(1+$B9)^DCF!$B$28+DCF!$B$33)/DCF!$B$35</f>
        <v>583.0151569083445</v>
      </c>
      <c r="H9" s="54"/>
      <c r="I9" s="54"/>
      <c r="J9" s="54"/>
      <c r="K9" s="54"/>
      <c r="L9" s="54"/>
      <c r="M9" s="54"/>
      <c r="N9" s="54"/>
    </row>
    <row r="10" spans="1:14" x14ac:dyDescent="0.2">
      <c r="A10" s="54"/>
      <c r="B10" s="67">
        <v>9.5000000000000001E-2</v>
      </c>
      <c r="C10" s="57">
        <f>(DCF!$C$14/(1+$B10)^DCF!$C$15+DCF!$D$14/(1+$B10)^DCF!$D$15+DCF!$E$14/(1+$B10)^DCF!$E$15+DCF!$F$14/(1+$B10)^DCF!$F$15+DCF!$G$14/(1+$B10)^DCF!$G$15+DCF!$H$14/(1+$B10)^DCF!$H$15+DCF!$I$14/(1+$B10)^DCF!$I$15+DCF!$J$14/(1+$B10)^DCF!$J$15+DCF!$K$14/(1+$B10)^DCF!$K$15+DCF!$L$14/(1+$B10)^DCF!$L$15+DCF!$L$10*(1+C$5)*(1-C$5/DCF!$B$22)/($B10-C$5)/(1+$B10)^DCF!$B$28+DCF!$B$33)/DCF!$B$35</f>
        <v>419.96510150896279</v>
      </c>
      <c r="D10" s="57">
        <f>(DCF!$C$14/(1+$B10)^DCF!$C$15+DCF!$D$14/(1+$B10)^DCF!$D$15+DCF!$E$14/(1+$B10)^DCF!$E$15+DCF!$F$14/(1+$B10)^DCF!$F$15+DCF!$G$14/(1+$B10)^DCF!$G$15+DCF!$H$14/(1+$B10)^DCF!$H$15+DCF!$I$14/(1+$B10)^DCF!$I$15+DCF!$J$14/(1+$B10)^DCF!$J$15+DCF!$K$14/(1+$B10)^DCF!$K$15+DCF!$L$14/(1+$B10)^DCF!$L$15+DCF!$L$10*(1+D$5)*(1-D$5/DCF!$B$22)/($B10-D$5)/(1+$B10)^DCF!$B$28+DCF!$B$33)/DCF!$B$35</f>
        <v>437.9261487802284</v>
      </c>
      <c r="E10" s="57">
        <f>(DCF!$C$14/(1+$B10)^DCF!$C$15+DCF!$D$14/(1+$B10)^DCF!$D$15+DCF!$E$14/(1+$B10)^DCF!$E$15+DCF!$F$14/(1+$B10)^DCF!$F$15+DCF!$G$14/(1+$B10)^DCF!$G$15+DCF!$H$14/(1+$B10)^DCF!$H$15+DCF!$I$14/(1+$B10)^DCF!$I$15+DCF!$J$14/(1+$B10)^DCF!$J$15+DCF!$K$14/(1+$B10)^DCF!$K$15+DCF!$L$14/(1+$B10)^DCF!$L$15+DCF!$L$10*(1+E$5)*(1-E$5/DCF!$B$22)/($B10-E$5)/(1+$B10)^DCF!$B$28+DCF!$B$33)/DCF!$B$35</f>
        <v>458.529768676558</v>
      </c>
      <c r="F10" s="57">
        <f>(DCF!$C$14/(1+$B10)^DCF!$C$15+DCF!$D$14/(1+$B10)^DCF!$D$15+DCF!$E$14/(1+$B10)^DCF!$E$15+DCF!$F$14/(1+$B10)^DCF!$F$15+DCF!$G$14/(1+$B10)^DCF!$G$15+DCF!$H$14/(1+$B10)^DCF!$H$15+DCF!$I$14/(1+$B10)^DCF!$I$15+DCF!$J$14/(1+$B10)^DCF!$J$15+DCF!$K$14/(1+$B10)^DCF!$K$15+DCF!$L$14/(1+$B10)^DCF!$L$15+DCF!$L$10*(1+F$5)*(1-F$5/DCF!$B$22)/($B10-F$5)/(1+$B10)^DCF!$B$28+DCF!$B$33)/DCF!$B$35</f>
        <v>482.43660435421697</v>
      </c>
      <c r="G10" s="57">
        <f>(DCF!$C$14/(1+$B10)^DCF!$C$15+DCF!$D$14/(1+$B10)^DCF!$D$15+DCF!$E$14/(1+$B10)^DCF!$E$15+DCF!$F$14/(1+$B10)^DCF!$F$15+DCF!$G$14/(1+$B10)^DCF!$G$15+DCF!$H$14/(1+$B10)^DCF!$H$15+DCF!$I$14/(1+$B10)^DCF!$I$15+DCF!$J$14/(1+$B10)^DCF!$J$15+DCF!$K$14/(1+$B10)^DCF!$K$15+DCF!$L$14/(1+$B10)^DCF!$L$15+DCF!$L$10*(1+G$5)*(1-G$5/DCF!$B$22)/($B10-G$5)/(1+$B10)^DCF!$B$28+DCF!$B$33)/DCF!$B$35</f>
        <v>510.54753284447736</v>
      </c>
      <c r="H10" s="54"/>
      <c r="I10" s="54"/>
      <c r="J10" s="54"/>
      <c r="K10" s="54"/>
      <c r="L10" s="54"/>
      <c r="M10" s="54"/>
      <c r="N10" s="54"/>
    </row>
    <row r="11" spans="1:14" x14ac:dyDescent="0.2">
      <c r="A11" s="54"/>
      <c r="B11" s="67">
        <v>0.1</v>
      </c>
      <c r="C11" s="57">
        <f>(DCF!$C$14/(1+$B11)^DCF!$C$15+DCF!$D$14/(1+$B11)^DCF!$D$15+DCF!$E$14/(1+$B11)^DCF!$E$15+DCF!$F$14/(1+$B11)^DCF!$F$15+DCF!$G$14/(1+$B11)^DCF!$G$15+DCF!$H$14/(1+$B11)^DCF!$H$15+DCF!$I$14/(1+$B11)^DCF!$I$15+DCF!$J$14/(1+$B11)^DCF!$J$15+DCF!$K$14/(1+$B11)^DCF!$K$15+DCF!$L$14/(1+$B11)^DCF!$L$15+DCF!$L$10*(1+C$5)*(1-C$5/DCF!$B$22)/($B11-C$5)/(1+$B11)^DCF!$B$28+DCF!$B$33)/DCF!$B$35</f>
        <v>378.713511322612</v>
      </c>
      <c r="D11" s="57">
        <f>(DCF!$C$14/(1+$B11)^DCF!$C$15+DCF!$D$14/(1+$B11)^DCF!$D$15+DCF!$E$14/(1+$B11)^DCF!$E$15+DCF!$F$14/(1+$B11)^DCF!$F$15+DCF!$G$14/(1+$B11)^DCF!$G$15+DCF!$H$14/(1+$B11)^DCF!$H$15+DCF!$I$14/(1+$B11)^DCF!$I$15+DCF!$J$14/(1+$B11)^DCF!$J$15+DCF!$K$14/(1+$B11)^DCF!$K$15+DCF!$L$14/(1+$B11)^DCF!$L$15+DCF!$L$10*(1+D$5)*(1-D$5/DCF!$B$22)/($B11-D$5)/(1+$B11)^DCF!$B$28+DCF!$B$33)/DCF!$B$35</f>
        <v>393.25597709980303</v>
      </c>
      <c r="E11" s="57">
        <f>(DCF!$C$14/(1+$B11)^DCF!$C$15+DCF!$D$14/(1+$B11)^DCF!$D$15+DCF!$E$14/(1+$B11)^DCF!$E$15+DCF!$F$14/(1+$B11)^DCF!$F$15+DCF!$G$14/(1+$B11)^DCF!$G$15+DCF!$H$14/(1+$B11)^DCF!$H$15+DCF!$I$14/(1+$B11)^DCF!$I$15+DCF!$J$14/(1+$B11)^DCF!$J$15+DCF!$K$14/(1+$B11)^DCF!$K$15+DCF!$L$14/(1+$B11)^DCF!$L$15+DCF!$L$10*(1+E$5)*(1-E$5/DCF!$B$22)/($B11-E$5)/(1+$B11)^DCF!$B$28+DCF!$B$33)/DCF!$B$35</f>
        <v>409.76848134434766</v>
      </c>
      <c r="F11" s="57">
        <f>(DCF!$C$14/(1+$B11)^DCF!$C$15+DCF!$D$14/(1+$B11)^DCF!$D$15+DCF!$E$14/(1+$B11)^DCF!$E$15+DCF!$F$14/(1+$B11)^DCF!$F$15+DCF!$G$14/(1+$B11)^DCF!$G$15+DCF!$H$14/(1+$B11)^DCF!$H$15+DCF!$I$14/(1+$B11)^DCF!$I$15+DCF!$J$14/(1+$B11)^DCF!$J$15+DCF!$K$14/(1+$B11)^DCF!$K$15+DCF!$L$14/(1+$B11)^DCF!$L$15+DCF!$L$10*(1+F$5)*(1-F$5/DCF!$B$22)/($B11-F$5)/(1+$B11)^DCF!$B$28+DCF!$B$33)/DCF!$B$35</f>
        <v>428.7056483179426</v>
      </c>
      <c r="G11" s="57">
        <f>(DCF!$C$14/(1+$B11)^DCF!$C$15+DCF!$D$14/(1+$B11)^DCF!$D$15+DCF!$E$14/(1+$B11)^DCF!$E$15+DCF!$F$14/(1+$B11)^DCF!$F$15+DCF!$G$14/(1+$B11)^DCF!$G$15+DCF!$H$14/(1+$B11)^DCF!$H$15+DCF!$I$14/(1+$B11)^DCF!$I$15+DCF!$J$14/(1+$B11)^DCF!$J$15+DCF!$K$14/(1+$B11)^DCF!$K$15+DCF!$L$14/(1+$B11)^DCF!$L$15+DCF!$L$10*(1+G$5)*(1-G$5/DCF!$B$22)/($B11-G$5)/(1+$B11)^DCF!$B$28+DCF!$B$33)/DCF!$B$35</f>
        <v>450.67364370285065</v>
      </c>
      <c r="H11" s="54"/>
      <c r="I11" s="54"/>
      <c r="J11" s="54"/>
      <c r="K11" s="54"/>
      <c r="L11" s="54"/>
      <c r="M11" s="54"/>
      <c r="N11" s="54"/>
    </row>
    <row r="12" spans="1:14" x14ac:dyDescent="0.2">
      <c r="A12" s="54"/>
      <c r="B12" s="67">
        <v>0.105</v>
      </c>
      <c r="C12" s="57">
        <f>(DCF!$C$14/(1+$B12)^DCF!$C$15+DCF!$D$14/(1+$B12)^DCF!$D$15+DCF!$E$14/(1+$B12)^DCF!$E$15+DCF!$F$14/(1+$B12)^DCF!$F$15+DCF!$G$14/(1+$B12)^DCF!$G$15+DCF!$H$14/(1+$B12)^DCF!$H$15+DCF!$I$14/(1+$B12)^DCF!$I$15+DCF!$J$14/(1+$B12)^DCF!$J$15+DCF!$K$14/(1+$B12)^DCF!$K$15+DCF!$L$14/(1+$B12)^DCF!$L$15+DCF!$L$10*(1+C$5)*(1-C$5/DCF!$B$22)/($B12-C$5)/(1+$B12)^DCF!$B$28+DCF!$B$33)/DCF!$B$35</f>
        <v>342.74593122905407</v>
      </c>
      <c r="D12" s="57">
        <f>(DCF!$C$14/(1+$B12)^DCF!$C$15+DCF!$D$14/(1+$B12)^DCF!$D$15+DCF!$E$14/(1+$B12)^DCF!$E$15+DCF!$F$14/(1+$B12)^DCF!$F$15+DCF!$G$14/(1+$B12)^DCF!$G$15+DCF!$H$14/(1+$B12)^DCF!$H$15+DCF!$I$14/(1+$B12)^DCF!$I$15+DCF!$J$14/(1+$B12)^DCF!$J$15+DCF!$K$14/(1+$B12)^DCF!$K$15+DCF!$L$14/(1+$B12)^DCF!$L$15+DCF!$L$10*(1+D$5)*(1-D$5/DCF!$B$22)/($B12-D$5)/(1+$B12)^DCF!$B$28+DCF!$B$33)/DCF!$B$35</f>
        <v>354.6059286916178</v>
      </c>
      <c r="E12" s="57">
        <f>(DCF!$C$14/(1+$B12)^DCF!$C$15+DCF!$D$14/(1+$B12)^DCF!$D$15+DCF!$E$14/(1+$B12)^DCF!$E$15+DCF!$F$14/(1+$B12)^DCF!$F$15+DCF!$G$14/(1+$B12)^DCF!$G$15+DCF!$H$14/(1+$B12)^DCF!$H$15+DCF!$I$14/(1+$B12)^DCF!$I$15+DCF!$J$14/(1+$B12)^DCF!$J$15+DCF!$K$14/(1+$B12)^DCF!$K$15+DCF!$L$14/(1+$B12)^DCF!$L$15+DCF!$L$10*(1+E$5)*(1-E$5/DCF!$B$22)/($B12-E$5)/(1+$B12)^DCF!$B$28+DCF!$B$33)/DCF!$B$35</f>
        <v>367.95105638143315</v>
      </c>
      <c r="F12" s="57">
        <f>(DCF!$C$14/(1+$B12)^DCF!$C$15+DCF!$D$14/(1+$B12)^DCF!$D$15+DCF!$E$14/(1+$B12)^DCF!$E$15+DCF!$F$14/(1+$B12)^DCF!$F$15+DCF!$G$14/(1+$B12)^DCF!$G$15+DCF!$H$14/(1+$B12)^DCF!$H$15+DCF!$I$14/(1+$B12)^DCF!$I$15+DCF!$J$14/(1+$B12)^DCF!$J$15+DCF!$K$14/(1+$B12)^DCF!$K$15+DCF!$L$14/(1+$B12)^DCF!$L$15+DCF!$L$10*(1+F$5)*(1-F$5/DCF!$B$22)/($B12-F$5)/(1+$B12)^DCF!$B$28+DCF!$B$33)/DCF!$B$35</f>
        <v>383.09955649005343</v>
      </c>
      <c r="G12" s="57">
        <f>(DCF!$C$14/(1+$B12)^DCF!$C$15+DCF!$D$14/(1+$B12)^DCF!$D$15+DCF!$E$14/(1+$B12)^DCF!$E$15+DCF!$F$14/(1+$B12)^DCF!$F$15+DCF!$G$14/(1+$B12)^DCF!$G$15+DCF!$H$14/(1+$B12)^DCF!$H$15+DCF!$I$14/(1+$B12)^DCF!$I$15+DCF!$J$14/(1+$B12)^DCF!$J$15+DCF!$K$14/(1+$B12)^DCF!$K$15+DCF!$L$14/(1+$B12)^DCF!$L$15+DCF!$L$10*(1+G$5)*(1-G$5/DCF!$B$22)/($B12-G$5)/(1+$B12)^DCF!$B$28+DCF!$B$33)/DCF!$B$35</f>
        <v>400.4675918833572</v>
      </c>
      <c r="H12" s="54"/>
      <c r="I12" s="54"/>
      <c r="J12" s="54"/>
      <c r="K12" s="54"/>
      <c r="L12" s="54"/>
      <c r="M12" s="54"/>
      <c r="N12" s="54"/>
    </row>
    <row r="13" spans="1:14" x14ac:dyDescent="0.2">
      <c r="A13" s="58" t="s">
        <v>1170</v>
      </c>
      <c r="B13" s="57">
        <f>(DCF!$C$14/(1+DCF!$B$20)^DCF!$C$15+DCF!$D$14/(1+DCF!$B$20)^DCF!$D$15+DCF!$E$14/(1+DCF!$B$20)^DCF!$E$15+DCF!$F$14/(1+DCF!$B$20)^DCF!$F$15+DCF!$G$14/(1+DCF!$B$20)^DCF!$G$15+DCF!$H$14/(1+DCF!$B$20)^DCF!$H$15+DCF!$I$14/(1+DCF!$B$20)^DCF!$I$15+DCF!$J$14/(1+DCF!$B$20)^DCF!$J$15+DCF!$K$14/(1+DCF!$B$20)^DCF!$K$15+DCF!$L$14/(1+DCF!$B$20)^DCF!$L$15+DCF!$L$10*(1+DCF!$B$21)*(1-DCF!$B$21/DCF!$B$22)/(DCF!$B$20-DCF!$B$21)/(1+DCF!$B$20)^DCF!$B$28+DCF!$B$33)/DCF!$B$35</f>
        <v>495.7716954603133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</row>
    <row r="14" spans="1:14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</row>
    <row r="15" spans="1:14" x14ac:dyDescent="0.2">
      <c r="A15" s="72" t="s">
        <v>1171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</row>
    <row r="16" spans="1:14" x14ac:dyDescent="0.2">
      <c r="A16" s="73" t="s">
        <v>1172</v>
      </c>
      <c r="B16" s="54"/>
      <c r="C16" s="90">
        <v>7</v>
      </c>
      <c r="D16" s="90">
        <v>8.5</v>
      </c>
      <c r="E16" s="90">
        <v>10</v>
      </c>
      <c r="F16" s="90">
        <v>11.5</v>
      </c>
      <c r="G16" s="90">
        <v>13</v>
      </c>
      <c r="H16" s="54"/>
      <c r="I16" s="54"/>
      <c r="J16" s="54"/>
      <c r="K16" s="54"/>
      <c r="L16" s="54"/>
      <c r="M16" s="54"/>
      <c r="N16" s="54"/>
    </row>
    <row r="17" spans="1:14" x14ac:dyDescent="0.2">
      <c r="A17" s="54"/>
      <c r="B17" s="67">
        <v>7.4999999999999997E-2</v>
      </c>
      <c r="C17" s="57">
        <f>(DCF!$C$14/(1+$B17)^DCF!$C$15+DCF!$D$14/(1+$B17)^DCF!$D$15+DCF!$E$14/(1+$B17)^DCF!$E$15+DCF!$F$14/(1+$B17)^DCF!$F$15+DCF!$G$14/(1+$B17)^DCF!$G$15+DCF!$H$14/(1+$B17)^DCF!$H$15+DCF!$I$14/(1+$B17)^DCF!$I$15+DCF!$J$14/(1+$B17)^DCF!$J$15+DCF!$K$14/(1+$B17)^DCF!$K$15+DCF!$L$14/(1+$B17)^DCF!$L$15+DCF!$B$41*C$16/(1+$B17)^DCF!$B$28+DCF!$B$33)/DCF!$B$35</f>
        <v>544.57231647881258</v>
      </c>
      <c r="D17" s="57">
        <f>(DCF!$C$14/(1+$B17)^DCF!$C$15+DCF!$D$14/(1+$B17)^DCF!$D$15+DCF!$E$14/(1+$B17)^DCF!$E$15+DCF!$F$14/(1+$B17)^DCF!$F$15+DCF!$G$14/(1+$B17)^DCF!$G$15+DCF!$H$14/(1+$B17)^DCF!$H$15+DCF!$I$14/(1+$B17)^DCF!$I$15+DCF!$J$14/(1+$B17)^DCF!$J$15+DCF!$K$14/(1+$B17)^DCF!$K$15+DCF!$L$14/(1+$B17)^DCF!$L$15+DCF!$B$41*D$16/(1+$B17)^DCF!$B$28+DCF!$B$33)/DCF!$B$35</f>
        <v>651.18540032770966</v>
      </c>
      <c r="E17" s="57">
        <f>(DCF!$C$14/(1+$B17)^DCF!$C$15+DCF!$D$14/(1+$B17)^DCF!$D$15+DCF!$E$14/(1+$B17)^DCF!$E$15+DCF!$F$14/(1+$B17)^DCF!$F$15+DCF!$G$14/(1+$B17)^DCF!$G$15+DCF!$H$14/(1+$B17)^DCF!$H$15+DCF!$I$14/(1+$B17)^DCF!$I$15+DCF!$J$14/(1+$B17)^DCF!$J$15+DCF!$K$14/(1+$B17)^DCF!$K$15+DCF!$L$14/(1+$B17)^DCF!$L$15+DCF!$B$41*E$16/(1+$B17)^DCF!$B$28+DCF!$B$33)/DCF!$B$35</f>
        <v>757.79848417660673</v>
      </c>
      <c r="F17" s="57">
        <f>(DCF!$C$14/(1+$B17)^DCF!$C$15+DCF!$D$14/(1+$B17)^DCF!$D$15+DCF!$E$14/(1+$B17)^DCF!$E$15+DCF!$F$14/(1+$B17)^DCF!$F$15+DCF!$G$14/(1+$B17)^DCF!$G$15+DCF!$H$14/(1+$B17)^DCF!$H$15+DCF!$I$14/(1+$B17)^DCF!$I$15+DCF!$J$14/(1+$B17)^DCF!$J$15+DCF!$K$14/(1+$B17)^DCF!$K$15+DCF!$L$14/(1+$B17)^DCF!$L$15+DCF!$B$41*F$16/(1+$B17)^DCF!$B$28+DCF!$B$33)/DCF!$B$35</f>
        <v>864.4115680255037</v>
      </c>
      <c r="G17" s="57">
        <f>(DCF!$C$14/(1+$B17)^DCF!$C$15+DCF!$D$14/(1+$B17)^DCF!$D$15+DCF!$E$14/(1+$B17)^DCF!$E$15+DCF!$F$14/(1+$B17)^DCF!$F$15+DCF!$G$14/(1+$B17)^DCF!$G$15+DCF!$H$14/(1+$B17)^DCF!$H$15+DCF!$I$14/(1+$B17)^DCF!$I$15+DCF!$J$14/(1+$B17)^DCF!$J$15+DCF!$K$14/(1+$B17)^DCF!$K$15+DCF!$L$14/(1+$B17)^DCF!$L$15+DCF!$B$41*G$16/(1+$B17)^DCF!$B$28+DCF!$B$33)/DCF!$B$35</f>
        <v>971.02465187440077</v>
      </c>
      <c r="H17" s="54"/>
      <c r="I17" s="54"/>
      <c r="J17" s="54"/>
      <c r="K17" s="54"/>
      <c r="L17" s="54"/>
      <c r="M17" s="54"/>
      <c r="N17" s="54"/>
    </row>
    <row r="18" spans="1:14" x14ac:dyDescent="0.2">
      <c r="A18" s="54"/>
      <c r="B18" s="67">
        <v>0.08</v>
      </c>
      <c r="C18" s="57">
        <f>(DCF!$C$14/(1+$B18)^DCF!$C$15+DCF!$D$14/(1+$B18)^DCF!$D$15+DCF!$E$14/(1+$B18)^DCF!$E$15+DCF!$F$14/(1+$B18)^DCF!$F$15+DCF!$G$14/(1+$B18)^DCF!$G$15+DCF!$H$14/(1+$B18)^DCF!$H$15+DCF!$I$14/(1+$B18)^DCF!$I$15+DCF!$J$14/(1+$B18)^DCF!$J$15+DCF!$K$14/(1+$B18)^DCF!$K$15+DCF!$L$14/(1+$B18)^DCF!$L$15+DCF!$B$41*C$16/(1+$B18)^DCF!$B$28+DCF!$B$33)/DCF!$B$35</f>
        <v>520.88040435057007</v>
      </c>
      <c r="D18" s="57">
        <f>(DCF!$C$14/(1+$B18)^DCF!$C$15+DCF!$D$14/(1+$B18)^DCF!$D$15+DCF!$E$14/(1+$B18)^DCF!$E$15+DCF!$F$14/(1+$B18)^DCF!$F$15+DCF!$G$14/(1+$B18)^DCF!$G$15+DCF!$H$14/(1+$B18)^DCF!$H$15+DCF!$I$14/(1+$B18)^DCF!$I$15+DCF!$J$14/(1+$B18)^DCF!$J$15+DCF!$K$14/(1+$B18)^DCF!$K$15+DCF!$L$14/(1+$B18)^DCF!$L$15+DCF!$B$41*D$16/(1+$B18)^DCF!$B$28+DCF!$B$33)/DCF!$B$35</f>
        <v>623.04689497882396</v>
      </c>
      <c r="E18" s="57">
        <f>(DCF!$C$14/(1+$B18)^DCF!$C$15+DCF!$D$14/(1+$B18)^DCF!$D$15+DCF!$E$14/(1+$B18)^DCF!$E$15+DCF!$F$14/(1+$B18)^DCF!$F$15+DCF!$G$14/(1+$B18)^DCF!$G$15+DCF!$H$14/(1+$B18)^DCF!$H$15+DCF!$I$14/(1+$B18)^DCF!$I$15+DCF!$J$14/(1+$B18)^DCF!$J$15+DCF!$K$14/(1+$B18)^DCF!$K$15+DCF!$L$14/(1+$B18)^DCF!$L$15+DCF!$B$41*E$16/(1+$B18)^DCF!$B$28+DCF!$B$33)/DCF!$B$35</f>
        <v>725.21338560707795</v>
      </c>
      <c r="F18" s="57">
        <f>(DCF!$C$14/(1+$B18)^DCF!$C$15+DCF!$D$14/(1+$B18)^DCF!$D$15+DCF!$E$14/(1+$B18)^DCF!$E$15+DCF!$F$14/(1+$B18)^DCF!$F$15+DCF!$G$14/(1+$B18)^DCF!$G$15+DCF!$H$14/(1+$B18)^DCF!$H$15+DCF!$I$14/(1+$B18)^DCF!$I$15+DCF!$J$14/(1+$B18)^DCF!$J$15+DCF!$K$14/(1+$B18)^DCF!$K$15+DCF!$L$14/(1+$B18)^DCF!$L$15+DCF!$B$41*F$16/(1+$B18)^DCF!$B$28+DCF!$B$33)/DCF!$B$35</f>
        <v>827.37987623533172</v>
      </c>
      <c r="G18" s="57">
        <f>(DCF!$C$14/(1+$B18)^DCF!$C$15+DCF!$D$14/(1+$B18)^DCF!$D$15+DCF!$E$14/(1+$B18)^DCF!$E$15+DCF!$F$14/(1+$B18)^DCF!$F$15+DCF!$G$14/(1+$B18)^DCF!$G$15+DCF!$H$14/(1+$B18)^DCF!$H$15+DCF!$I$14/(1+$B18)^DCF!$I$15+DCF!$J$14/(1+$B18)^DCF!$J$15+DCF!$K$14/(1+$B18)^DCF!$K$15+DCF!$L$14/(1+$B18)^DCF!$L$15+DCF!$B$41*G$16/(1+$B18)^DCF!$B$28+DCF!$B$33)/DCF!$B$35</f>
        <v>929.5463668635856</v>
      </c>
      <c r="H18" s="54"/>
      <c r="I18" s="54"/>
      <c r="J18" s="54"/>
      <c r="K18" s="54"/>
      <c r="L18" s="54"/>
      <c r="M18" s="54"/>
      <c r="N18" s="54"/>
    </row>
    <row r="19" spans="1:14" x14ac:dyDescent="0.2">
      <c r="A19" s="54"/>
      <c r="B19" s="67">
        <v>8.5000000000000006E-2</v>
      </c>
      <c r="C19" s="57">
        <f>(DCF!$C$14/(1+$B19)^DCF!$C$15+DCF!$D$14/(1+$B19)^DCF!$D$15+DCF!$E$14/(1+$B19)^DCF!$E$15+DCF!$F$14/(1+$B19)^DCF!$F$15+DCF!$G$14/(1+$B19)^DCF!$G$15+DCF!$H$14/(1+$B19)^DCF!$H$15+DCF!$I$14/(1+$B19)^DCF!$I$15+DCF!$J$14/(1+$B19)^DCF!$J$15+DCF!$K$14/(1+$B19)^DCF!$K$15+DCF!$L$14/(1+$B19)^DCF!$L$15+DCF!$B$41*C$16/(1+$B19)^DCF!$B$28+DCF!$B$33)/DCF!$B$35</f>
        <v>498.26043664052821</v>
      </c>
      <c r="D19" s="57">
        <f>(DCF!$C$14/(1+$B19)^DCF!$C$15+DCF!$D$14/(1+$B19)^DCF!$D$15+DCF!$E$14/(1+$B19)^DCF!$E$15+DCF!$F$14/(1+$B19)^DCF!$F$15+DCF!$G$14/(1+$B19)^DCF!$G$15+DCF!$H$14/(1+$B19)^DCF!$H$15+DCF!$I$14/(1+$B19)^DCF!$I$15+DCF!$J$14/(1+$B19)^DCF!$J$15+DCF!$K$14/(1+$B19)^DCF!$K$15+DCF!$L$14/(1+$B19)^DCF!$L$15+DCF!$B$41*D$16/(1+$B19)^DCF!$B$28+DCF!$B$33)/DCF!$B$35</f>
        <v>596.1850591157812</v>
      </c>
      <c r="E19" s="57">
        <f>(DCF!$C$14/(1+$B19)^DCF!$C$15+DCF!$D$14/(1+$B19)^DCF!$D$15+DCF!$E$14/(1+$B19)^DCF!$E$15+DCF!$F$14/(1+$B19)^DCF!$F$15+DCF!$G$14/(1+$B19)^DCF!$G$15+DCF!$H$14/(1+$B19)^DCF!$H$15+DCF!$I$14/(1+$B19)^DCF!$I$15+DCF!$J$14/(1+$B19)^DCF!$J$15+DCF!$K$14/(1+$B19)^DCF!$K$15+DCF!$L$14/(1+$B19)^DCF!$L$15+DCF!$B$41*E$16/(1+$B19)^DCF!$B$28+DCF!$B$33)/DCF!$B$35</f>
        <v>694.10968159103436</v>
      </c>
      <c r="F19" s="57">
        <f>(DCF!$C$14/(1+$B19)^DCF!$C$15+DCF!$D$14/(1+$B19)^DCF!$D$15+DCF!$E$14/(1+$B19)^DCF!$E$15+DCF!$F$14/(1+$B19)^DCF!$F$15+DCF!$G$14/(1+$B19)^DCF!$G$15+DCF!$H$14/(1+$B19)^DCF!$H$15+DCF!$I$14/(1+$B19)^DCF!$I$15+DCF!$J$14/(1+$B19)^DCF!$J$15+DCF!$K$14/(1+$B19)^DCF!$K$15+DCF!$L$14/(1+$B19)^DCF!$L$15+DCF!$B$41*F$16/(1+$B19)^DCF!$B$28+DCF!$B$33)/DCF!$B$35</f>
        <v>792.03430406628729</v>
      </c>
      <c r="G19" s="57">
        <f>(DCF!$C$14/(1+$B19)^DCF!$C$15+DCF!$D$14/(1+$B19)^DCF!$D$15+DCF!$E$14/(1+$B19)^DCF!$E$15+DCF!$F$14/(1+$B19)^DCF!$F$15+DCF!$G$14/(1+$B19)^DCF!$G$15+DCF!$H$14/(1+$B19)^DCF!$H$15+DCF!$I$14/(1+$B19)^DCF!$I$15+DCF!$J$14/(1+$B19)^DCF!$J$15+DCF!$K$14/(1+$B19)^DCF!$K$15+DCF!$L$14/(1+$B19)^DCF!$L$15+DCF!$B$41*G$16/(1+$B19)^DCF!$B$28+DCF!$B$33)/DCF!$B$35</f>
        <v>889.95892654154045</v>
      </c>
      <c r="H19" s="54"/>
      <c r="I19" s="54"/>
      <c r="J19" s="54"/>
      <c r="K19" s="54"/>
      <c r="L19" s="54"/>
      <c r="M19" s="54"/>
      <c r="N19" s="54"/>
    </row>
    <row r="20" spans="1:14" x14ac:dyDescent="0.2">
      <c r="A20" s="54"/>
      <c r="B20" s="67">
        <v>0.09</v>
      </c>
      <c r="C20" s="57">
        <f>(DCF!$C$14/(1+$B20)^DCF!$C$15+DCF!$D$14/(1+$B20)^DCF!$D$15+DCF!$E$14/(1+$B20)^DCF!$E$15+DCF!$F$14/(1+$B20)^DCF!$F$15+DCF!$G$14/(1+$B20)^DCF!$G$15+DCF!$H$14/(1+$B20)^DCF!$H$15+DCF!$I$14/(1+$B20)^DCF!$I$15+DCF!$J$14/(1+$B20)^DCF!$J$15+DCF!$K$14/(1+$B20)^DCF!$K$15+DCF!$L$14/(1+$B20)^DCF!$L$15+DCF!$B$41*C$16/(1+$B20)^DCF!$B$28+DCF!$B$33)/DCF!$B$35</f>
        <v>476.65928857524983</v>
      </c>
      <c r="D20" s="57">
        <f>(DCF!$C$14/(1+$B20)^DCF!$C$15+DCF!$D$14/(1+$B20)^DCF!$D$15+DCF!$E$14/(1+$B20)^DCF!$E$15+DCF!$F$14/(1+$B20)^DCF!$F$15+DCF!$G$14/(1+$B20)^DCF!$G$15+DCF!$H$14/(1+$B20)^DCF!$H$15+DCF!$I$14/(1+$B20)^DCF!$I$15+DCF!$J$14/(1+$B20)^DCF!$J$15+DCF!$K$14/(1+$B20)^DCF!$K$15+DCF!$L$14/(1+$B20)^DCF!$L$15+DCF!$B$41*D$16/(1+$B20)^DCF!$B$28+DCF!$B$33)/DCF!$B$35</f>
        <v>570.536463156126</v>
      </c>
      <c r="E20" s="57">
        <f>(DCF!$C$14/(1+$B20)^DCF!$C$15+DCF!$D$14/(1+$B20)^DCF!$D$15+DCF!$E$14/(1+$B20)^DCF!$E$15+DCF!$F$14/(1+$B20)^DCF!$F$15+DCF!$G$14/(1+$B20)^DCF!$G$15+DCF!$H$14/(1+$B20)^DCF!$H$15+DCF!$I$14/(1+$B20)^DCF!$I$15+DCF!$J$14/(1+$B20)^DCF!$J$15+DCF!$K$14/(1+$B20)^DCF!$K$15+DCF!$L$14/(1+$B20)^DCF!$L$15+DCF!$B$41*E$16/(1+$B20)^DCF!$B$28+DCF!$B$33)/DCF!$B$35</f>
        <v>664.4136377370022</v>
      </c>
      <c r="F20" s="57">
        <f>(DCF!$C$14/(1+$B20)^DCF!$C$15+DCF!$D$14/(1+$B20)^DCF!$D$15+DCF!$E$14/(1+$B20)^DCF!$E$15+DCF!$F$14/(1+$B20)^DCF!$F$15+DCF!$G$14/(1+$B20)^DCF!$G$15+DCF!$H$14/(1+$B20)^DCF!$H$15+DCF!$I$14/(1+$B20)^DCF!$I$15+DCF!$J$14/(1+$B20)^DCF!$J$15+DCF!$K$14/(1+$B20)^DCF!$K$15+DCF!$L$14/(1+$B20)^DCF!$L$15+DCF!$B$41*F$16/(1+$B20)^DCF!$B$28+DCF!$B$33)/DCF!$B$35</f>
        <v>758.2908123178784</v>
      </c>
      <c r="G20" s="57">
        <f>(DCF!$C$14/(1+$B20)^DCF!$C$15+DCF!$D$14/(1+$B20)^DCF!$D$15+DCF!$E$14/(1+$B20)^DCF!$E$15+DCF!$F$14/(1+$B20)^DCF!$F$15+DCF!$G$14/(1+$B20)^DCF!$G$15+DCF!$H$14/(1+$B20)^DCF!$H$15+DCF!$I$14/(1+$B20)^DCF!$I$15+DCF!$J$14/(1+$B20)^DCF!$J$15+DCF!$K$14/(1+$B20)^DCF!$K$15+DCF!$L$14/(1+$B20)^DCF!$L$15+DCF!$B$41*G$16/(1+$B20)^DCF!$B$28+DCF!$B$33)/DCF!$B$35</f>
        <v>852.16798689875475</v>
      </c>
      <c r="H20" s="54"/>
      <c r="I20" s="54"/>
      <c r="J20" s="54"/>
      <c r="K20" s="54"/>
      <c r="L20" s="54"/>
      <c r="M20" s="54"/>
      <c r="N20" s="54"/>
    </row>
    <row r="21" spans="1:14" x14ac:dyDescent="0.2">
      <c r="A21" s="54"/>
      <c r="B21" s="67">
        <v>9.5000000000000001E-2</v>
      </c>
      <c r="C21" s="57">
        <f>(DCF!$C$14/(1+$B21)^DCF!$C$15+DCF!$D$14/(1+$B21)^DCF!$D$15+DCF!$E$14/(1+$B21)^DCF!$E$15+DCF!$F$14/(1+$B21)^DCF!$F$15+DCF!$G$14/(1+$B21)^DCF!$G$15+DCF!$H$14/(1+$B21)^DCF!$H$15+DCF!$I$14/(1+$B21)^DCF!$I$15+DCF!$J$14/(1+$B21)^DCF!$J$15+DCF!$K$14/(1+$B21)^DCF!$K$15+DCF!$L$14/(1+$B21)^DCF!$L$15+DCF!$B$41*C$16/(1+$B21)^DCF!$B$28+DCF!$B$33)/DCF!$B$35</f>
        <v>456.02670133134575</v>
      </c>
      <c r="D21" s="57">
        <f>(DCF!$C$14/(1+$B21)^DCF!$C$15+DCF!$D$14/(1+$B21)^DCF!$D$15+DCF!$E$14/(1+$B21)^DCF!$E$15+DCF!$F$14/(1+$B21)^DCF!$F$15+DCF!$G$14/(1+$B21)^DCF!$G$15+DCF!$H$14/(1+$B21)^DCF!$H$15+DCF!$I$14/(1+$B21)^DCF!$I$15+DCF!$J$14/(1+$B21)^DCF!$J$15+DCF!$K$14/(1+$B21)^DCF!$K$15+DCF!$L$14/(1+$B21)^DCF!$L$15+DCF!$B$41*D$16/(1+$B21)^DCF!$B$28+DCF!$B$33)/DCF!$B$35</f>
        <v>546.04110600955244</v>
      </c>
      <c r="E21" s="57">
        <f>(DCF!$C$14/(1+$B21)^DCF!$C$15+DCF!$D$14/(1+$B21)^DCF!$D$15+DCF!$E$14/(1+$B21)^DCF!$E$15+DCF!$F$14/(1+$B21)^DCF!$F$15+DCF!$G$14/(1+$B21)^DCF!$G$15+DCF!$H$14/(1+$B21)^DCF!$H$15+DCF!$I$14/(1+$B21)^DCF!$I$15+DCF!$J$14/(1+$B21)^DCF!$J$15+DCF!$K$14/(1+$B21)^DCF!$K$15+DCF!$L$14/(1+$B21)^DCF!$L$15+DCF!$B$41*E$16/(1+$B21)^DCF!$B$28+DCF!$B$33)/DCF!$B$35</f>
        <v>636.0555106877589</v>
      </c>
      <c r="F21" s="57">
        <f>(DCF!$C$14/(1+$B21)^DCF!$C$15+DCF!$D$14/(1+$B21)^DCF!$D$15+DCF!$E$14/(1+$B21)^DCF!$E$15+DCF!$F$14/(1+$B21)^DCF!$F$15+DCF!$G$14/(1+$B21)^DCF!$G$15+DCF!$H$14/(1+$B21)^DCF!$H$15+DCF!$I$14/(1+$B21)^DCF!$I$15+DCF!$J$14/(1+$B21)^DCF!$J$15+DCF!$K$14/(1+$B21)^DCF!$K$15+DCF!$L$14/(1+$B21)^DCF!$L$15+DCF!$B$41*F$16/(1+$B21)^DCF!$B$28+DCF!$B$33)/DCF!$B$35</f>
        <v>726.06991536596558</v>
      </c>
      <c r="G21" s="57">
        <f>(DCF!$C$14/(1+$B21)^DCF!$C$15+DCF!$D$14/(1+$B21)^DCF!$D$15+DCF!$E$14/(1+$B21)^DCF!$E$15+DCF!$F$14/(1+$B21)^DCF!$F$15+DCF!$G$14/(1+$B21)^DCF!$G$15+DCF!$H$14/(1+$B21)^DCF!$H$15+DCF!$I$14/(1+$B21)^DCF!$I$15+DCF!$J$14/(1+$B21)^DCF!$J$15+DCF!$K$14/(1+$B21)^DCF!$K$15+DCF!$L$14/(1+$B21)^DCF!$L$15+DCF!$B$41*G$16/(1+$B21)^DCF!$B$28+DCF!$B$33)/DCF!$B$35</f>
        <v>816.0843200441719</v>
      </c>
      <c r="H21" s="54"/>
      <c r="I21" s="54"/>
      <c r="J21" s="54"/>
      <c r="K21" s="54"/>
      <c r="L21" s="54"/>
      <c r="M21" s="54"/>
      <c r="N21" s="54"/>
    </row>
    <row r="22" spans="1:14" x14ac:dyDescent="0.2">
      <c r="A22" s="54"/>
      <c r="B22" s="67">
        <v>0.1</v>
      </c>
      <c r="C22" s="57">
        <f>(DCF!$C$14/(1+$B22)^DCF!$C$15+DCF!$D$14/(1+$B22)^DCF!$D$15+DCF!$E$14/(1+$B22)^DCF!$E$15+DCF!$F$14/(1+$B22)^DCF!$F$15+DCF!$G$14/(1+$B22)^DCF!$G$15+DCF!$H$14/(1+$B22)^DCF!$H$15+DCF!$I$14/(1+$B22)^DCF!$I$15+DCF!$J$14/(1+$B22)^DCF!$J$15+DCF!$K$14/(1+$B22)^DCF!$K$15+DCF!$L$14/(1+$B22)^DCF!$L$15+DCF!$B$41*C$16/(1+$B22)^DCF!$B$28+DCF!$B$33)/DCF!$B$35</f>
        <v>436.31511501523454</v>
      </c>
      <c r="D22" s="57">
        <f>(DCF!$C$14/(1+$B22)^DCF!$C$15+DCF!$D$14/(1+$B22)^DCF!$D$15+DCF!$E$14/(1+$B22)^DCF!$E$15+DCF!$F$14/(1+$B22)^DCF!$F$15+DCF!$G$14/(1+$B22)^DCF!$G$15+DCF!$H$14/(1+$B22)^DCF!$H$15+DCF!$I$14/(1+$B22)^DCF!$I$15+DCF!$J$14/(1+$B22)^DCF!$J$15+DCF!$K$14/(1+$B22)^DCF!$K$15+DCF!$L$14/(1+$B22)^DCF!$L$15+DCF!$B$41*D$16/(1+$B22)^DCF!$B$28+DCF!$B$33)/DCF!$B$35</f>
        <v>522.64221497593974</v>
      </c>
      <c r="E22" s="57">
        <f>(DCF!$C$14/(1+$B22)^DCF!$C$15+DCF!$D$14/(1+$B22)^DCF!$D$15+DCF!$E$14/(1+$B22)^DCF!$E$15+DCF!$F$14/(1+$B22)^DCF!$F$15+DCF!$G$14/(1+$B22)^DCF!$G$15+DCF!$H$14/(1+$B22)^DCF!$H$15+DCF!$I$14/(1+$B22)^DCF!$I$15+DCF!$J$14/(1+$B22)^DCF!$J$15+DCF!$K$14/(1+$B22)^DCF!$K$15+DCF!$L$14/(1+$B22)^DCF!$L$15+DCF!$B$41*E$16/(1+$B22)^DCF!$B$28+DCF!$B$33)/DCF!$B$35</f>
        <v>608.96931493664511</v>
      </c>
      <c r="F22" s="57">
        <f>(DCF!$C$14/(1+$B22)^DCF!$C$15+DCF!$D$14/(1+$B22)^DCF!$D$15+DCF!$E$14/(1+$B22)^DCF!$E$15+DCF!$F$14/(1+$B22)^DCF!$F$15+DCF!$G$14/(1+$B22)^DCF!$G$15+DCF!$H$14/(1+$B22)^DCF!$H$15+DCF!$I$14/(1+$B22)^DCF!$I$15+DCF!$J$14/(1+$B22)^DCF!$J$15+DCF!$K$14/(1+$B22)^DCF!$K$15+DCF!$L$14/(1+$B22)^DCF!$L$15+DCF!$B$41*F$16/(1+$B22)^DCF!$B$28+DCF!$B$33)/DCF!$B$35</f>
        <v>695.29641489735036</v>
      </c>
      <c r="G22" s="57">
        <f>(DCF!$C$14/(1+$B22)^DCF!$C$15+DCF!$D$14/(1+$B22)^DCF!$D$15+DCF!$E$14/(1+$B22)^DCF!$E$15+DCF!$F$14/(1+$B22)^DCF!$F$15+DCF!$G$14/(1+$B22)^DCF!$G$15+DCF!$H$14/(1+$B22)^DCF!$H$15+DCF!$I$14/(1+$B22)^DCF!$I$15+DCF!$J$14/(1+$B22)^DCF!$J$15+DCF!$K$14/(1+$B22)^DCF!$K$15+DCF!$L$14/(1+$B22)^DCF!$L$15+DCF!$B$41*G$16/(1+$B22)^DCF!$B$28+DCF!$B$33)/DCF!$B$35</f>
        <v>781.62351485805573</v>
      </c>
      <c r="H22" s="54"/>
      <c r="I22" s="54"/>
      <c r="J22" s="54"/>
      <c r="K22" s="54"/>
      <c r="L22" s="54"/>
      <c r="M22" s="54"/>
      <c r="N22" s="54"/>
    </row>
    <row r="23" spans="1:14" x14ac:dyDescent="0.2">
      <c r="A23" s="54"/>
      <c r="B23" s="67">
        <v>0.105</v>
      </c>
      <c r="C23" s="57">
        <f>(DCF!$C$14/(1+$B23)^DCF!$C$15+DCF!$D$14/(1+$B23)^DCF!$D$15+DCF!$E$14/(1+$B23)^DCF!$E$15+DCF!$F$14/(1+$B23)^DCF!$F$15+DCF!$G$14/(1+$B23)^DCF!$G$15+DCF!$H$14/(1+$B23)^DCF!$H$15+DCF!$I$14/(1+$B23)^DCF!$I$15+DCF!$J$14/(1+$B23)^DCF!$J$15+DCF!$K$14/(1+$B23)^DCF!$K$15+DCF!$L$14/(1+$B23)^DCF!$L$15+DCF!$B$41*C$16/(1+$B23)^DCF!$B$28+DCF!$B$33)/DCF!$B$35</f>
        <v>417.47951208883376</v>
      </c>
      <c r="D23" s="57">
        <f>(DCF!$C$14/(1+$B23)^DCF!$C$15+DCF!$D$14/(1+$B23)^DCF!$D$15+DCF!$E$14/(1+$B23)^DCF!$E$15+DCF!$F$14/(1+$B23)^DCF!$F$15+DCF!$G$14/(1+$B23)^DCF!$G$15+DCF!$H$14/(1+$B23)^DCF!$H$15+DCF!$I$14/(1+$B23)^DCF!$I$15+DCF!$J$14/(1+$B23)^DCF!$J$15+DCF!$K$14/(1+$B23)^DCF!$K$15+DCF!$L$14/(1+$B23)^DCF!$L$15+DCF!$B$41*D$16/(1+$B23)^DCF!$B$28+DCF!$B$33)/DCF!$B$35</f>
        <v>500.2860581730518</v>
      </c>
      <c r="E23" s="57">
        <f>(DCF!$C$14/(1+$B23)^DCF!$C$15+DCF!$D$14/(1+$B23)^DCF!$D$15+DCF!$E$14/(1+$B23)^DCF!$E$15+DCF!$F$14/(1+$B23)^DCF!$F$15+DCF!$G$14/(1+$B23)^DCF!$G$15+DCF!$H$14/(1+$B23)^DCF!$H$15+DCF!$I$14/(1+$B23)^DCF!$I$15+DCF!$J$14/(1+$B23)^DCF!$J$15+DCF!$K$14/(1+$B23)^DCF!$K$15+DCF!$L$14/(1+$B23)^DCF!$L$15+DCF!$B$41*E$16/(1+$B23)^DCF!$B$28+DCF!$B$33)/DCF!$B$35</f>
        <v>583.0926042572698</v>
      </c>
      <c r="F23" s="57">
        <f>(DCF!$C$14/(1+$B23)^DCF!$C$15+DCF!$D$14/(1+$B23)^DCF!$D$15+DCF!$E$14/(1+$B23)^DCF!$E$15+DCF!$F$14/(1+$B23)^DCF!$F$15+DCF!$G$14/(1+$B23)^DCF!$G$15+DCF!$H$14/(1+$B23)^DCF!$H$15+DCF!$I$14/(1+$B23)^DCF!$I$15+DCF!$J$14/(1+$B23)^DCF!$J$15+DCF!$K$14/(1+$B23)^DCF!$K$15+DCF!$L$14/(1+$B23)^DCF!$L$15+DCF!$B$41*F$16/(1+$B23)^DCF!$B$28+DCF!$B$33)/DCF!$B$35</f>
        <v>665.89915034148794</v>
      </c>
      <c r="G23" s="57">
        <f>(DCF!$C$14/(1+$B23)^DCF!$C$15+DCF!$D$14/(1+$B23)^DCF!$D$15+DCF!$E$14/(1+$B23)^DCF!$E$15+DCF!$F$14/(1+$B23)^DCF!$F$15+DCF!$G$14/(1+$B23)^DCF!$G$15+DCF!$H$14/(1+$B23)^DCF!$H$15+DCF!$I$14/(1+$B23)^DCF!$I$15+DCF!$J$14/(1+$B23)^DCF!$J$15+DCF!$K$14/(1+$B23)^DCF!$K$15+DCF!$L$14/(1+$B23)^DCF!$L$15+DCF!$B$41*G$16/(1+$B23)^DCF!$B$28+DCF!$B$33)/DCF!$B$35</f>
        <v>748.7056964257059</v>
      </c>
      <c r="H23" s="54"/>
      <c r="I23" s="54"/>
      <c r="J23" s="54"/>
      <c r="K23" s="54"/>
      <c r="L23" s="54"/>
      <c r="M23" s="54"/>
      <c r="N23" s="54"/>
    </row>
    <row r="24" spans="1:14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spans="1:14" x14ac:dyDescent="0.2">
      <c r="A25" s="72" t="s">
        <v>1173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1:14" x14ac:dyDescent="0.2">
      <c r="A26" s="73" t="s">
        <v>1174</v>
      </c>
      <c r="B26" s="54"/>
      <c r="C26" s="67">
        <v>-0.2</v>
      </c>
      <c r="D26" s="67">
        <v>-0.1</v>
      </c>
      <c r="E26" s="67">
        <v>0</v>
      </c>
      <c r="F26" s="67">
        <v>0.1</v>
      </c>
      <c r="G26" s="67">
        <v>0.2</v>
      </c>
      <c r="H26" s="54"/>
      <c r="I26" s="54"/>
      <c r="J26" s="54"/>
      <c r="K26" s="54"/>
      <c r="L26" s="54"/>
      <c r="M26" s="54"/>
      <c r="N26" s="54"/>
    </row>
    <row r="27" spans="1:14" x14ac:dyDescent="0.2">
      <c r="A27" s="54"/>
      <c r="B27" s="67">
        <v>-0.04</v>
      </c>
      <c r="C27" s="60">
        <v>343.36138646049625</v>
      </c>
      <c r="D27" s="60">
        <v>274.6325958288935</v>
      </c>
      <c r="E27" s="60">
        <v>205.90380519729089</v>
      </c>
      <c r="F27" s="60">
        <v>137.17501456568817</v>
      </c>
      <c r="G27" s="60">
        <v>68.446223934085594</v>
      </c>
      <c r="H27" s="54"/>
      <c r="I27" s="54"/>
      <c r="J27" s="54"/>
      <c r="K27" s="54"/>
      <c r="L27" s="54"/>
      <c r="M27" s="54"/>
      <c r="N27" s="54"/>
    </row>
    <row r="28" spans="1:14" x14ac:dyDescent="0.2">
      <c r="A28" s="54"/>
      <c r="B28" s="67">
        <v>-0.02</v>
      </c>
      <c r="C28" s="60">
        <v>478.08094495662488</v>
      </c>
      <c r="D28" s="60">
        <v>409.35215432502224</v>
      </c>
      <c r="E28" s="60">
        <v>340.62336369341955</v>
      </c>
      <c r="F28" s="60">
        <v>271.89457306181686</v>
      </c>
      <c r="G28" s="60">
        <v>203.16578243021431</v>
      </c>
      <c r="H28" s="54"/>
      <c r="I28" s="54"/>
      <c r="J28" s="54"/>
      <c r="K28" s="54"/>
      <c r="L28" s="54"/>
      <c r="M28" s="54"/>
      <c r="N28" s="54"/>
    </row>
    <row r="29" spans="1:14" x14ac:dyDescent="0.2">
      <c r="A29" s="54"/>
      <c r="B29" s="67">
        <v>0</v>
      </c>
      <c r="C29" s="60">
        <v>633.22927672351864</v>
      </c>
      <c r="D29" s="60">
        <v>564.50048609191583</v>
      </c>
      <c r="E29" s="60">
        <v>495.77169546031331</v>
      </c>
      <c r="F29" s="60">
        <v>427.04290482871062</v>
      </c>
      <c r="G29" s="60">
        <v>358.31411419710798</v>
      </c>
      <c r="H29" s="54"/>
      <c r="I29" s="54"/>
      <c r="J29" s="54"/>
      <c r="K29" s="54"/>
      <c r="L29" s="54"/>
      <c r="M29" s="54"/>
      <c r="N29" s="54"/>
    </row>
    <row r="30" spans="1:14" x14ac:dyDescent="0.2">
      <c r="A30" s="54"/>
      <c r="B30" s="67">
        <v>0.02</v>
      </c>
      <c r="C30" s="60">
        <v>811.59867497992184</v>
      </c>
      <c r="D30" s="60">
        <v>742.86988434831926</v>
      </c>
      <c r="E30" s="60">
        <v>674.14109371671657</v>
      </c>
      <c r="F30" s="60">
        <v>605.41230308511388</v>
      </c>
      <c r="G30" s="60">
        <v>536.68351245351118</v>
      </c>
      <c r="H30" s="54"/>
      <c r="I30" s="54"/>
      <c r="J30" s="54"/>
      <c r="K30" s="54"/>
      <c r="L30" s="54"/>
      <c r="M30" s="54"/>
      <c r="N30" s="54"/>
    </row>
    <row r="31" spans="1:14" x14ac:dyDescent="0.2">
      <c r="A31" s="54"/>
      <c r="B31" s="67">
        <v>0.04</v>
      </c>
      <c r="C31" s="60">
        <v>1016.3090564520644</v>
      </c>
      <c r="D31" s="60">
        <v>947.58026582046159</v>
      </c>
      <c r="E31" s="60">
        <v>878.85147518885913</v>
      </c>
      <c r="F31" s="60">
        <v>810.12268455725643</v>
      </c>
      <c r="G31" s="60">
        <v>741.39389392565386</v>
      </c>
      <c r="H31" s="54"/>
      <c r="I31" s="54"/>
      <c r="J31" s="54"/>
      <c r="K31" s="54"/>
      <c r="L31" s="54"/>
      <c r="M31" s="54"/>
      <c r="N31" s="54"/>
    </row>
    <row r="32" spans="1:14" x14ac:dyDescent="0.2">
      <c r="A32" s="58" t="s">
        <v>1175</v>
      </c>
      <c r="B32" s="54" t="s">
        <v>1176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</row>
    <row r="33" spans="1:14" x14ac:dyDescent="0.2">
      <c r="A33" s="58" t="s">
        <v>1177</v>
      </c>
      <c r="B33" s="54" t="str">
        <f>IF(AND(Assumptions!$B$5=1,Assumptions!$I$44=0,Assumptions!$I$45=0),IF(ABS(E29-DCF!$B$36)&lt;0.01,"current","STALE: re-run the capture"),"other inputs active: compare with care")</f>
        <v>current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</row>
    <row r="34" spans="1:14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 spans="1:14" x14ac:dyDescent="0.2">
      <c r="A35" s="72" t="s">
        <v>189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</row>
    <row r="36" spans="1:14" x14ac:dyDescent="0.2">
      <c r="A36" s="58" t="s">
        <v>1178</v>
      </c>
      <c r="B36" s="71">
        <f>ROUND(B13-DCF!$B$36,2)</f>
        <v>0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D03F-F362-DE45-9710-B7D692DA09AA}">
  <sheetPr>
    <tabColor rgb="FFC0873A"/>
  </sheetPr>
  <dimension ref="A1:H27"/>
  <sheetViews>
    <sheetView showGridLines="0" workbookViewId="0"/>
  </sheetViews>
  <sheetFormatPr baseColWidth="10" defaultColWidth="8.33203125" defaultRowHeight="15" x14ac:dyDescent="0.2"/>
  <cols>
    <col min="1" max="1" width="62.6640625" customWidth="1"/>
    <col min="2" max="5" width="15.1640625" customWidth="1"/>
    <col min="6" max="6" width="17.6640625" customWidth="1"/>
    <col min="7" max="7" width="2.6640625" customWidth="1"/>
    <col min="8" max="8" width="49.33203125" customWidth="1"/>
  </cols>
  <sheetData>
    <row r="1" spans="1:8" x14ac:dyDescent="0.2">
      <c r="A1" s="122" t="s">
        <v>1179</v>
      </c>
      <c r="B1" s="54"/>
      <c r="C1" s="54"/>
      <c r="D1" s="54"/>
      <c r="E1" s="54"/>
      <c r="F1" s="54"/>
      <c r="G1" s="54"/>
      <c r="H1" s="54"/>
    </row>
    <row r="2" spans="1:8" x14ac:dyDescent="0.2">
      <c r="A2" s="54" t="s">
        <v>1180</v>
      </c>
      <c r="B2" s="54"/>
      <c r="C2" s="54"/>
      <c r="D2" s="54"/>
      <c r="E2" s="54"/>
      <c r="F2" s="54"/>
      <c r="G2" s="54"/>
      <c r="H2" s="54"/>
    </row>
    <row r="3" spans="1:8" x14ac:dyDescent="0.2">
      <c r="A3" s="54"/>
      <c r="B3" s="54"/>
      <c r="C3" s="54"/>
      <c r="D3" s="54"/>
      <c r="E3" s="54"/>
      <c r="F3" s="54"/>
      <c r="G3" s="54"/>
      <c r="H3" s="54"/>
    </row>
    <row r="4" spans="1:8" x14ac:dyDescent="0.2">
      <c r="A4" s="125" t="s">
        <v>1181</v>
      </c>
      <c r="B4" s="123" t="s">
        <v>1182</v>
      </c>
      <c r="C4" s="123" t="s">
        <v>565</v>
      </c>
      <c r="D4" s="123" t="s">
        <v>566</v>
      </c>
      <c r="E4" s="123" t="s">
        <v>567</v>
      </c>
      <c r="F4" s="123" t="s">
        <v>1183</v>
      </c>
      <c r="G4" s="54"/>
      <c r="H4" s="54" t="s">
        <v>476</v>
      </c>
    </row>
    <row r="5" spans="1:8" x14ac:dyDescent="0.2">
      <c r="A5" s="58" t="s">
        <v>132</v>
      </c>
      <c r="B5" s="55">
        <f>Forecast_3Stmt!D10</f>
        <v>304976.58199999999</v>
      </c>
      <c r="C5" s="69">
        <v>304976.58199999999</v>
      </c>
      <c r="D5" s="69">
        <v>321287.08480000007</v>
      </c>
      <c r="E5" s="69">
        <v>288938.17640000005</v>
      </c>
      <c r="F5" s="84">
        <f>IF(ISNUMBER(B5),ABS(B5-INDEX(C5:E5,1,Assumptions!B5))/MAX(1,ABS(B5)),0)</f>
        <v>0</v>
      </c>
      <c r="G5" s="54"/>
      <c r="H5" s="54"/>
    </row>
    <row r="6" spans="1:8" x14ac:dyDescent="0.2">
      <c r="A6" s="58" t="s">
        <v>1184</v>
      </c>
      <c r="B6" s="55">
        <f>Forecast_3Stmt!G10</f>
        <v>459373.30185435258</v>
      </c>
      <c r="C6" s="69">
        <v>459373.30185435258</v>
      </c>
      <c r="D6" s="69">
        <v>551547.04836609017</v>
      </c>
      <c r="E6" s="69">
        <v>365389.73701723601</v>
      </c>
      <c r="F6" s="84">
        <f>IF(ISNUMBER(B6),ABS(B6-INDEX(C6:E6,1,Assumptions!B5))/MAX(1,ABS(B6)),0)</f>
        <v>0</v>
      </c>
      <c r="G6" s="54"/>
      <c r="H6" s="54"/>
    </row>
    <row r="7" spans="1:8" x14ac:dyDescent="0.2">
      <c r="A7" s="58" t="s">
        <v>1185</v>
      </c>
      <c r="B7" s="55">
        <f>Forecast_3Stmt!L10</f>
        <v>671357.69089892763</v>
      </c>
      <c r="C7" s="69">
        <v>671357.69089892763</v>
      </c>
      <c r="D7" s="69">
        <v>908430.67691425199</v>
      </c>
      <c r="E7" s="69">
        <v>440548.50844689389</v>
      </c>
      <c r="F7" s="84">
        <f>IF(ISNUMBER(B7),ABS(B7-INDEX(C7:E7,1,Assumptions!B5))/MAX(1,ABS(B7)),0)</f>
        <v>0</v>
      </c>
      <c r="G7" s="54"/>
      <c r="H7" s="54"/>
    </row>
    <row r="8" spans="1:8" x14ac:dyDescent="0.2">
      <c r="A8" s="58" t="s">
        <v>1186</v>
      </c>
      <c r="B8" s="86">
        <f>(Forecast_3Stmt!L10/Forecast_3Stmt!B10)^(1/10)-1</f>
        <v>0.12819231738631398</v>
      </c>
      <c r="C8" s="74">
        <v>0.12819231738631398</v>
      </c>
      <c r="D8" s="74">
        <v>0.16283185457305538</v>
      </c>
      <c r="E8" s="74">
        <v>8.1650896757038405E-2</v>
      </c>
      <c r="F8" s="84">
        <f>IF(ISNUMBER(B8),ABS(B8-INDEX(C8:E8,1,Assumptions!B5))/MAX(1,ABS(B8)),0)</f>
        <v>0</v>
      </c>
      <c r="G8" s="54"/>
      <c r="H8" s="54"/>
    </row>
    <row r="9" spans="1:8" x14ac:dyDescent="0.2">
      <c r="A9" s="58" t="s">
        <v>133</v>
      </c>
      <c r="B9" s="86">
        <f>Forecast_3Stmt!D18</f>
        <v>0.31677791543292394</v>
      </c>
      <c r="C9" s="74">
        <v>0.31677791543292394</v>
      </c>
      <c r="D9" s="74">
        <v>0.33021473590213857</v>
      </c>
      <c r="E9" s="74">
        <v>0.20804097308617192</v>
      </c>
      <c r="F9" s="84">
        <f>IF(ISNUMBER(B9),ABS(B9-INDEX(C9:E9,1,Assumptions!B5))/MAX(1,ABS(B9)),0)</f>
        <v>0</v>
      </c>
      <c r="G9" s="54"/>
      <c r="H9" s="54"/>
    </row>
    <row r="10" spans="1:8" x14ac:dyDescent="0.2">
      <c r="A10" s="58" t="s">
        <v>1187</v>
      </c>
      <c r="B10" s="86">
        <f>Forecast_3Stmt!G18</f>
        <v>0.26704098155748268</v>
      </c>
      <c r="C10" s="74">
        <v>0.26704098155748268</v>
      </c>
      <c r="D10" s="74">
        <v>0.30385081100759498</v>
      </c>
      <c r="E10" s="74">
        <v>0.17210149123356272</v>
      </c>
      <c r="F10" s="84">
        <f>IF(ISNUMBER(B10),ABS(B10-INDEX(C10:E10,1,Assumptions!B5))/MAX(1,ABS(B10)),0)</f>
        <v>0</v>
      </c>
      <c r="G10" s="54"/>
      <c r="H10" s="54"/>
    </row>
    <row r="11" spans="1:8" x14ac:dyDescent="0.2">
      <c r="A11" s="58" t="s">
        <v>1188</v>
      </c>
      <c r="B11" s="86">
        <f>Forecast_3Stmt!L18</f>
        <v>0.3338360150106231</v>
      </c>
      <c r="C11" s="74">
        <v>0.3338360150106231</v>
      </c>
      <c r="D11" s="74">
        <v>0.39379921322812289</v>
      </c>
      <c r="E11" s="74">
        <v>0.22223912399268897</v>
      </c>
      <c r="F11" s="84">
        <f>IF(ISNUMBER(B11),ABS(B11-INDEX(C11:E11,1,Assumptions!B5))/MAX(1,ABS(B11)),0)</f>
        <v>0</v>
      </c>
      <c r="G11" s="54"/>
      <c r="H11" s="54"/>
    </row>
    <row r="12" spans="1:8" x14ac:dyDescent="0.2">
      <c r="A12" s="58" t="s">
        <v>1189</v>
      </c>
      <c r="B12" s="55">
        <f>Schedules!D7</f>
        <v>199000</v>
      </c>
      <c r="C12" s="69">
        <v>199000</v>
      </c>
      <c r="D12" s="69">
        <v>215000</v>
      </c>
      <c r="E12" s="69">
        <v>215000</v>
      </c>
      <c r="F12" s="84">
        <f>IF(ISNUMBER(B12),ABS(B12-INDEX(C12:E12,1,Assumptions!B5))/MAX(1,ABS(B12)),0)</f>
        <v>0</v>
      </c>
      <c r="G12" s="54"/>
      <c r="H12" s="54"/>
    </row>
    <row r="13" spans="1:8" x14ac:dyDescent="0.2">
      <c r="A13" s="58" t="s">
        <v>1190</v>
      </c>
      <c r="B13" s="55">
        <f>SUM(Schedules!C7:L7)</f>
        <v>1889000</v>
      </c>
      <c r="C13" s="69">
        <v>1889000</v>
      </c>
      <c r="D13" s="69">
        <v>2250000</v>
      </c>
      <c r="E13" s="69">
        <v>1785000</v>
      </c>
      <c r="F13" s="84">
        <f>IF(ISNUMBER(B13),ABS(B13-INDEX(C13:E13,1,Assumptions!B5))/MAX(1,ABS(B13)),0)</f>
        <v>0</v>
      </c>
      <c r="G13" s="54"/>
      <c r="H13" s="54"/>
    </row>
    <row r="14" spans="1:8" x14ac:dyDescent="0.2">
      <c r="A14" s="58" t="s">
        <v>134</v>
      </c>
      <c r="B14" s="55">
        <f>Forecast_3Stmt!D69</f>
        <v>-41199.108691015572</v>
      </c>
      <c r="C14" s="69">
        <v>-41199.108691015572</v>
      </c>
      <c r="D14" s="69">
        <v>-43417.671024172974</v>
      </c>
      <c r="E14" s="69">
        <v>-90842.831612539434</v>
      </c>
      <c r="F14" s="84">
        <f>IF(ISNUMBER(B14),ABS(B14-INDEX(C14:E14,1,Assumptions!B5))/MAX(1,ABS(B14)),0)</f>
        <v>0</v>
      </c>
      <c r="G14" s="54"/>
      <c r="H14" s="54"/>
    </row>
    <row r="15" spans="1:8" x14ac:dyDescent="0.2">
      <c r="A15" s="58" t="s">
        <v>1191</v>
      </c>
      <c r="B15" s="55">
        <f>SUM(Forecast_3Stmt!C69:L69)</f>
        <v>711495.25830594986</v>
      </c>
      <c r="C15" s="69">
        <v>711495.25830594986</v>
      </c>
      <c r="D15" s="69">
        <v>1147004.8348194617</v>
      </c>
      <c r="E15" s="69">
        <v>48246.89232070178</v>
      </c>
      <c r="F15" s="84">
        <f>IF(ISNUMBER(B15),ABS(B15-INDEX(C15:E15,1,Assumptions!B5))/MAX(1,ABS(B15)),0)</f>
        <v>0</v>
      </c>
      <c r="G15" s="54"/>
      <c r="H15" s="54"/>
    </row>
    <row r="16" spans="1:8" x14ac:dyDescent="0.2">
      <c r="A16" s="58" t="s">
        <v>1192</v>
      </c>
      <c r="B16" s="55">
        <f>MAX(Forecast_3Stmt!C47:L47)</f>
        <v>266592.79111504031</v>
      </c>
      <c r="C16" s="69">
        <v>266592.79111504031</v>
      </c>
      <c r="D16" s="69">
        <v>326173.22705352551</v>
      </c>
      <c r="E16" s="69">
        <v>453815.03920906072</v>
      </c>
      <c r="F16" s="84">
        <f>IF(ISNUMBER(B16),ABS(B16-INDEX(C16:E16,1,Assumptions!B5))/MAX(1,ABS(B16)),0)</f>
        <v>0</v>
      </c>
      <c r="G16" s="54"/>
      <c r="H16" s="54"/>
    </row>
    <row r="17" spans="1:8" x14ac:dyDescent="0.2">
      <c r="A17" s="58" t="s">
        <v>1193</v>
      </c>
      <c r="B17" s="78">
        <f>MAX(Debt_Credit!J69:S69)</f>
        <v>0.79264628307550933</v>
      </c>
      <c r="C17" s="65">
        <v>0.79264628307550933</v>
      </c>
      <c r="D17" s="65">
        <v>0.75541711944906276</v>
      </c>
      <c r="E17" s="65">
        <v>2.0453017015189889</v>
      </c>
      <c r="F17" s="84">
        <f>IF(ISNUMBER(B17),ABS(B17-INDEX(C17:E17,1,Assumptions!B5))/MAX(1,ABS(B17)),0)</f>
        <v>0</v>
      </c>
      <c r="G17" s="54"/>
      <c r="H17" s="54"/>
    </row>
    <row r="18" spans="1:8" x14ac:dyDescent="0.2">
      <c r="A18" s="58" t="s">
        <v>1194</v>
      </c>
      <c r="B18" s="66">
        <f>Forecast_3Stmt!D30</f>
        <v>30.359468722347835</v>
      </c>
      <c r="C18" s="60">
        <v>30.359468722347835</v>
      </c>
      <c r="D18" s="60">
        <v>34.167028838499256</v>
      </c>
      <c r="E18" s="60">
        <v>17.961985333702266</v>
      </c>
      <c r="F18" s="84">
        <f>IF(ISNUMBER(B18),ABS(B18-INDEX(C18:E18,1,Assumptions!B5))/MAX(1,ABS(B18)),0)</f>
        <v>0</v>
      </c>
      <c r="G18" s="54"/>
      <c r="H18" s="54"/>
    </row>
    <row r="19" spans="1:8" x14ac:dyDescent="0.2">
      <c r="A19" s="58" t="s">
        <v>126</v>
      </c>
      <c r="B19" s="66">
        <f>DCF!B36</f>
        <v>495.77169546031331</v>
      </c>
      <c r="C19" s="60">
        <v>495.77169546031331</v>
      </c>
      <c r="D19" s="60">
        <v>953.5489808349264</v>
      </c>
      <c r="E19" s="60">
        <v>76.337782680300592</v>
      </c>
      <c r="F19" s="84">
        <f>IF(ISNUMBER(B19),ABS(B19-INDEX(C19:E19,1,Assumptions!B5))/MAX(1,ABS(B19)),0)</f>
        <v>0</v>
      </c>
      <c r="G19" s="54"/>
      <c r="H19" s="54"/>
    </row>
    <row r="20" spans="1:8" x14ac:dyDescent="0.2">
      <c r="A20" s="58" t="s">
        <v>128</v>
      </c>
      <c r="B20" s="66">
        <f>DCF!B45</f>
        <v>654.83062050662295</v>
      </c>
      <c r="C20" s="60">
        <v>654.83062050662295</v>
      </c>
      <c r="D20" s="60">
        <v>1181.0664550855636</v>
      </c>
      <c r="E20" s="60">
        <v>172.92003037783132</v>
      </c>
      <c r="F20" s="84">
        <f>IF(ISNUMBER(B20),ABS(B20-INDEX(C20:E20,1,Assumptions!B5))/MAX(1,ABS(B20)),0)</f>
        <v>0</v>
      </c>
      <c r="G20" s="54"/>
      <c r="H20" s="54"/>
    </row>
    <row r="21" spans="1:8" x14ac:dyDescent="0.2">
      <c r="A21" s="58" t="s">
        <v>129</v>
      </c>
      <c r="B21" s="66">
        <f>Valuation!B30</f>
        <v>533.08644674649531</v>
      </c>
      <c r="C21" s="60">
        <v>533.08644674649531</v>
      </c>
      <c r="D21" s="60">
        <v>955.81277089647278</v>
      </c>
      <c r="E21" s="60">
        <v>163.0693254560295</v>
      </c>
      <c r="F21" s="84">
        <f>IF(ISNUMBER(B21),ABS(B21-INDEX(C21:E21,1,Assumptions!B5))/MAX(1,ABS(B21)),0)</f>
        <v>0</v>
      </c>
      <c r="G21" s="54"/>
      <c r="H21" s="54"/>
    </row>
    <row r="22" spans="1:8" x14ac:dyDescent="0.2">
      <c r="A22" s="58" t="s">
        <v>1195</v>
      </c>
      <c r="B22" s="66">
        <f>Valuation!D67</f>
        <v>1104.1661667449664</v>
      </c>
      <c r="C22" s="60">
        <v>1104.1661667449664</v>
      </c>
      <c r="D22" s="60">
        <v>1112.8623707101201</v>
      </c>
      <c r="E22" s="60">
        <v>1096.1315620119274</v>
      </c>
      <c r="F22" s="84">
        <f>IF(ISNUMBER(B22),ABS(B22-INDEX(C22:E22,1,Assumptions!B5))/MAX(1,ABS(B22)),0)</f>
        <v>0</v>
      </c>
      <c r="G22" s="54"/>
      <c r="H22" s="54"/>
    </row>
    <row r="23" spans="1:8" x14ac:dyDescent="0.2">
      <c r="A23" s="58" t="s">
        <v>1196</v>
      </c>
      <c r="B23" s="86">
        <f>DCF!B38</f>
        <v>-0.21375968114007649</v>
      </c>
      <c r="C23" s="74">
        <v>-0.21375968114007649</v>
      </c>
      <c r="D23" s="74">
        <v>0.51222561030659497</v>
      </c>
      <c r="E23" s="74">
        <v>-0.87893652835527059</v>
      </c>
      <c r="F23" s="84">
        <f>IF(ISNUMBER(B23),ABS(B23-INDEX(C23:E23,1,Assumptions!B5))/MAX(1,ABS(B23)),0)</f>
        <v>0</v>
      </c>
      <c r="G23" s="54"/>
      <c r="H23" s="54"/>
    </row>
    <row r="24" spans="1:8" x14ac:dyDescent="0.2">
      <c r="A24" s="58" t="s">
        <v>131</v>
      </c>
      <c r="B24" s="86">
        <f>Valuation!B9</f>
        <v>4.7921146299808898E-2</v>
      </c>
      <c r="C24" s="74">
        <v>4.7921146299808898E-2</v>
      </c>
      <c r="D24" s="74">
        <v>-1.2172353943031945E-2</v>
      </c>
      <c r="E24" s="74">
        <v>8.5671940792667559E-2</v>
      </c>
      <c r="F24" s="84">
        <f>IF(ISNUMBER(B24),ABS(B24-INDEX(C24:E24,1,Assumptions!B5))/MAX(1,ABS(B24)),0)</f>
        <v>0</v>
      </c>
      <c r="G24" s="54"/>
      <c r="H24" s="54"/>
    </row>
    <row r="25" spans="1:8" x14ac:dyDescent="0.2">
      <c r="A25" s="54"/>
      <c r="B25" s="54"/>
      <c r="C25" s="54"/>
      <c r="D25" s="54"/>
      <c r="E25" s="54"/>
      <c r="F25" s="54"/>
      <c r="G25" s="54"/>
      <c r="H25" s="54"/>
    </row>
    <row r="26" spans="1:8" x14ac:dyDescent="0.2">
      <c r="A26" s="58" t="s">
        <v>1175</v>
      </c>
      <c r="B26" s="54" t="s">
        <v>1197</v>
      </c>
      <c r="C26" s="54"/>
      <c r="D26" s="54"/>
      <c r="E26" s="54"/>
      <c r="F26" s="54"/>
      <c r="G26" s="54"/>
      <c r="H26" s="54"/>
    </row>
    <row r="27" spans="1:8" x14ac:dyDescent="0.2">
      <c r="A27" s="58" t="s">
        <v>1198</v>
      </c>
      <c r="B27" s="54" t="str">
        <f>IF(MAX(F5:F24)&lt;0.000001,"current","STALE: re-run the capture")</f>
        <v>current</v>
      </c>
      <c r="C27" s="54"/>
      <c r="D27" s="54"/>
      <c r="E27" s="54"/>
      <c r="F27" s="54"/>
      <c r="G27" s="54"/>
      <c r="H27" s="5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8D55-D656-314D-9C58-392BA6313F51}">
  <sheetPr>
    <tabColor rgb="FF6A7689"/>
  </sheetPr>
  <dimension ref="A1:E16"/>
  <sheetViews>
    <sheetView showGridLines="0" workbookViewId="0"/>
  </sheetViews>
  <sheetFormatPr baseColWidth="10" defaultColWidth="8.33203125" defaultRowHeight="15" x14ac:dyDescent="0.2"/>
  <cols>
    <col min="1" max="1" width="6" customWidth="1"/>
    <col min="2" max="2" width="24.33203125" customWidth="1"/>
    <col min="3" max="3" width="92.6640625" customWidth="1"/>
    <col min="4" max="4" width="66" customWidth="1"/>
    <col min="5" max="5" width="49.33203125" customWidth="1"/>
  </cols>
  <sheetData>
    <row r="1" spans="1:5" x14ac:dyDescent="0.2">
      <c r="A1" s="122" t="s">
        <v>1199</v>
      </c>
      <c r="B1" s="54"/>
      <c r="C1" s="54"/>
      <c r="D1" s="54"/>
      <c r="E1" s="54"/>
    </row>
    <row r="2" spans="1:5" x14ac:dyDescent="0.2">
      <c r="A2" s="54" t="s">
        <v>1200</v>
      </c>
      <c r="B2" s="54"/>
      <c r="C2" s="54"/>
      <c r="D2" s="54"/>
      <c r="E2" s="54"/>
    </row>
    <row r="3" spans="1:5" x14ac:dyDescent="0.2">
      <c r="A3" s="54"/>
      <c r="B3" s="54"/>
      <c r="C3" s="54"/>
      <c r="D3" s="54"/>
      <c r="E3" s="54"/>
    </row>
    <row r="4" spans="1:5" x14ac:dyDescent="0.2">
      <c r="A4" s="125" t="s">
        <v>1201</v>
      </c>
      <c r="B4" s="125" t="s">
        <v>1202</v>
      </c>
      <c r="C4" s="125" t="s">
        <v>1203</v>
      </c>
      <c r="D4" s="125" t="s">
        <v>1204</v>
      </c>
      <c r="E4" s="125" t="s">
        <v>1205</v>
      </c>
    </row>
    <row r="5" spans="1:5" x14ac:dyDescent="0.2">
      <c r="A5" s="54" t="s">
        <v>1206</v>
      </c>
      <c r="B5" s="54" t="s">
        <v>1207</v>
      </c>
      <c r="C5" s="54" t="s">
        <v>1208</v>
      </c>
      <c r="D5" s="54" t="s">
        <v>1209</v>
      </c>
      <c r="E5" s="54" t="s">
        <v>1210</v>
      </c>
    </row>
    <row r="6" spans="1:5" x14ac:dyDescent="0.2">
      <c r="A6" s="54" t="s">
        <v>1211</v>
      </c>
      <c r="B6" s="54" t="s">
        <v>1212</v>
      </c>
      <c r="C6" s="54" t="s">
        <v>1213</v>
      </c>
      <c r="D6" s="54" t="s">
        <v>1214</v>
      </c>
      <c r="E6" s="54" t="s">
        <v>1215</v>
      </c>
    </row>
    <row r="7" spans="1:5" x14ac:dyDescent="0.2">
      <c r="A7" s="54" t="s">
        <v>1216</v>
      </c>
      <c r="B7" s="54" t="s">
        <v>1217</v>
      </c>
      <c r="C7" s="54" t="s">
        <v>1218</v>
      </c>
      <c r="D7" s="54" t="s">
        <v>1219</v>
      </c>
      <c r="E7" s="54" t="s">
        <v>1220</v>
      </c>
    </row>
    <row r="8" spans="1:5" x14ac:dyDescent="0.2">
      <c r="A8" s="54" t="s">
        <v>1221</v>
      </c>
      <c r="B8" s="54" t="s">
        <v>1222</v>
      </c>
      <c r="C8" s="54" t="s">
        <v>1223</v>
      </c>
      <c r="D8" s="54" t="s">
        <v>1224</v>
      </c>
      <c r="E8" s="54" t="s">
        <v>1225</v>
      </c>
    </row>
    <row r="9" spans="1:5" x14ac:dyDescent="0.2">
      <c r="A9" s="54" t="s">
        <v>1226</v>
      </c>
      <c r="B9" s="54" t="s">
        <v>1227</v>
      </c>
      <c r="C9" s="54" t="s">
        <v>1228</v>
      </c>
      <c r="D9" s="54" t="s">
        <v>1229</v>
      </c>
      <c r="E9" s="54" t="s">
        <v>1230</v>
      </c>
    </row>
    <row r="10" spans="1:5" x14ac:dyDescent="0.2">
      <c r="A10" s="54" t="s">
        <v>1231</v>
      </c>
      <c r="B10" s="54" t="s">
        <v>1232</v>
      </c>
      <c r="C10" s="54" t="s">
        <v>1233</v>
      </c>
      <c r="D10" s="54" t="s">
        <v>1234</v>
      </c>
      <c r="E10" s="54" t="s">
        <v>1235</v>
      </c>
    </row>
    <row r="11" spans="1:5" x14ac:dyDescent="0.2">
      <c r="A11" s="54" t="s">
        <v>1236</v>
      </c>
      <c r="B11" s="54" t="s">
        <v>1237</v>
      </c>
      <c r="C11" s="54" t="s">
        <v>1238</v>
      </c>
      <c r="D11" s="54" t="s">
        <v>1239</v>
      </c>
      <c r="E11" s="54" t="s">
        <v>1240</v>
      </c>
    </row>
    <row r="12" spans="1:5" x14ac:dyDescent="0.2">
      <c r="A12" s="54" t="s">
        <v>1241</v>
      </c>
      <c r="B12" s="54" t="s">
        <v>1242</v>
      </c>
      <c r="C12" s="54" t="s">
        <v>1243</v>
      </c>
      <c r="D12" s="54" t="s">
        <v>1244</v>
      </c>
      <c r="E12" s="54" t="s">
        <v>1245</v>
      </c>
    </row>
    <row r="13" spans="1:5" x14ac:dyDescent="0.2">
      <c r="A13" s="54" t="s">
        <v>1246</v>
      </c>
      <c r="B13" s="54" t="s">
        <v>1247</v>
      </c>
      <c r="C13" s="54" t="s">
        <v>1248</v>
      </c>
      <c r="D13" s="54" t="s">
        <v>1249</v>
      </c>
      <c r="E13" s="54" t="s">
        <v>1250</v>
      </c>
    </row>
    <row r="14" spans="1:5" x14ac:dyDescent="0.2">
      <c r="A14" s="54" t="s">
        <v>1251</v>
      </c>
      <c r="B14" s="54" t="s">
        <v>1252</v>
      </c>
      <c r="C14" s="54" t="s">
        <v>1253</v>
      </c>
      <c r="D14" s="54" t="s">
        <v>1254</v>
      </c>
      <c r="E14" s="54" t="s">
        <v>1255</v>
      </c>
    </row>
    <row r="15" spans="1:5" x14ac:dyDescent="0.2">
      <c r="A15" s="54" t="s">
        <v>1256</v>
      </c>
      <c r="B15" s="54" t="s">
        <v>1257</v>
      </c>
      <c r="C15" s="54" t="s">
        <v>1258</v>
      </c>
      <c r="D15" s="54" t="s">
        <v>1259</v>
      </c>
      <c r="E15" s="54" t="s">
        <v>1260</v>
      </c>
    </row>
    <row r="16" spans="1:5" x14ac:dyDescent="0.2">
      <c r="A16" s="54" t="s">
        <v>1261</v>
      </c>
      <c r="B16" s="54" t="s">
        <v>1262</v>
      </c>
      <c r="C16" s="54" t="s">
        <v>1263</v>
      </c>
      <c r="D16" s="54" t="s">
        <v>1264</v>
      </c>
      <c r="E16" s="54" t="s">
        <v>1265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9C9D-43CD-DE44-B4A4-6B76FE5F84D2}">
  <sheetPr>
    <tabColor rgb="FF0E1A2B"/>
  </sheetPr>
  <dimension ref="A1:O81"/>
  <sheetViews>
    <sheetView showGridLines="0" workbookViewId="0"/>
  </sheetViews>
  <sheetFormatPr baseColWidth="10" defaultColWidth="8.33203125" defaultRowHeight="15" x14ac:dyDescent="0.2"/>
  <cols>
    <col min="1" max="1" width="62.6640625" customWidth="1"/>
    <col min="2" max="2" width="11" customWidth="1"/>
    <col min="3" max="3" width="24.33203125" customWidth="1"/>
  </cols>
  <sheetData>
    <row r="1" spans="1:15" x14ac:dyDescent="0.2">
      <c r="A1" s="122" t="s">
        <v>1266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1267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7" t="s">
        <v>1268</v>
      </c>
      <c r="B4" s="1"/>
      <c r="C4" s="7" t="str">
        <f>IF(SUM(C7:C77)=0,"OK","ERROR")</f>
        <v>OK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25" t="s">
        <v>1269</v>
      </c>
      <c r="B6" s="125" t="s">
        <v>1270</v>
      </c>
      <c r="C6" s="125" t="s">
        <v>1271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5" t="s">
        <v>190</v>
      </c>
      <c r="B7" s="1" t="s">
        <v>79</v>
      </c>
      <c r="C7" s="13">
        <f>SUMIF(IS_Hist!B42:J42,"&gt;0")-SUMIF(IS_Hist!B42:J42,"&lt;0")</f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">
      <c r="A8" s="5" t="s">
        <v>191</v>
      </c>
      <c r="B8" s="1" t="s">
        <v>79</v>
      </c>
      <c r="C8" s="13">
        <f>SUMIF(IS_Hist!B43:J43,"&gt;0")-SUMIF(IS_Hist!B43:J43,"&lt;0")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A9" s="5" t="s">
        <v>192</v>
      </c>
      <c r="B9" s="1" t="s">
        <v>79</v>
      </c>
      <c r="C9" s="13">
        <f>SUMIF(IS_Hist!B44:J44,"&gt;0")-SUMIF(IS_Hist!B44:J44,"&lt;0")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">
      <c r="A10" s="5" t="s">
        <v>193</v>
      </c>
      <c r="B10" s="1" t="s">
        <v>79</v>
      </c>
      <c r="C10" s="13">
        <f>SUMIF(IS_Hist!B45:J45,"&gt;0")-SUMIF(IS_Hist!B45:J45,"&lt;0")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5" t="s">
        <v>194</v>
      </c>
      <c r="B11" s="1" t="s">
        <v>79</v>
      </c>
      <c r="C11" s="13">
        <f>SUMIF(IS_Hist!B46:J46,"&gt;0")-SUMIF(IS_Hist!B46:J46,"&lt;0")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5" t="s">
        <v>195</v>
      </c>
      <c r="B12" s="1" t="s">
        <v>79</v>
      </c>
      <c r="C12" s="13">
        <f>SUMIF(IS_Hist!B47:J47,"&gt;0")-SUMIF(IS_Hist!B47:J47,"&lt;0")</f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">
      <c r="A13" s="5" t="s">
        <v>196</v>
      </c>
      <c r="B13" s="1" t="s">
        <v>79</v>
      </c>
      <c r="C13" s="13">
        <f>SUMIF(IS_Hist!B48:J48,"&gt;0")-SUMIF(IS_Hist!B48:J48,"&lt;0")</f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5" t="s">
        <v>197</v>
      </c>
      <c r="B14" s="1" t="s">
        <v>79</v>
      </c>
      <c r="C14" s="13">
        <f>SUMIF(IS_Hist!B49:J49,"&gt;0")-SUMIF(IS_Hist!B49:J49,"&lt;0")</f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">
      <c r="A15" s="5" t="s">
        <v>198</v>
      </c>
      <c r="B15" s="1" t="s">
        <v>79</v>
      </c>
      <c r="C15" s="13">
        <f>SUMIF(IS_Hist!B50:J50,"&gt;0")-SUMIF(IS_Hist!B50:J50,"&lt;0")</f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">
      <c r="A16" s="5" t="s">
        <v>208</v>
      </c>
      <c r="B16" s="1" t="s">
        <v>81</v>
      </c>
      <c r="C16" s="13">
        <f>SUMIF(CI_Hist!B14:J14,"&gt;0")-SUMIF(CI_Hist!B14:J14,"&lt;0")</f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5" t="s">
        <v>209</v>
      </c>
      <c r="B17" s="1" t="s">
        <v>81</v>
      </c>
      <c r="C17" s="13">
        <f>SUMIF(CI_Hist!B15:J15,"&gt;0")-SUMIF(CI_Hist!B15:J15,"&lt;0")</f>
        <v>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5" t="s">
        <v>292</v>
      </c>
      <c r="B18" s="1" t="s">
        <v>83</v>
      </c>
      <c r="C18" s="13">
        <f>SUMIF(BS_Hist!B62:J62,"&gt;0")-SUMIF(BS_Hist!B62:J62,"&lt;0")</f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">
      <c r="A19" s="5" t="s">
        <v>293</v>
      </c>
      <c r="B19" s="1" t="s">
        <v>83</v>
      </c>
      <c r="C19" s="13">
        <f>SUMIF(BS_Hist!B63:J63,"&gt;0")-SUMIF(BS_Hist!B63:J63,"&lt;0")</f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5" t="s">
        <v>294</v>
      </c>
      <c r="B20" s="1" t="s">
        <v>83</v>
      </c>
      <c r="C20" s="13">
        <f>SUMIF(BS_Hist!B64:J64,"&gt;0")-SUMIF(BS_Hist!B64:J64,"&lt;0")</f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">
      <c r="A21" s="5" t="s">
        <v>295</v>
      </c>
      <c r="B21" s="1" t="s">
        <v>83</v>
      </c>
      <c r="C21" s="13">
        <f>SUMIF(BS_Hist!B65:J65,"&gt;0")-SUMIF(BS_Hist!B65:J65,"&lt;0")</f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5" t="s">
        <v>296</v>
      </c>
      <c r="B22" s="1" t="s">
        <v>83</v>
      </c>
      <c r="C22" s="13">
        <f>SUMIF(BS_Hist!B66:J66,"&gt;0")-SUMIF(BS_Hist!B66:J66,"&lt;0")</f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5" t="s">
        <v>297</v>
      </c>
      <c r="B23" s="1" t="s">
        <v>83</v>
      </c>
      <c r="C23" s="13">
        <f>SUMIF(BS_Hist!B67:J67,"&gt;0")-SUMIF(BS_Hist!B67:J67,"&lt;0")</f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">
      <c r="A24" s="5" t="s">
        <v>298</v>
      </c>
      <c r="B24" s="1" t="s">
        <v>83</v>
      </c>
      <c r="C24" s="13">
        <f>SUMIF(BS_Hist!B68:J68,"&gt;0")-SUMIF(BS_Hist!B68:J68,"&lt;0")</f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">
      <c r="A25" s="5" t="s">
        <v>299</v>
      </c>
      <c r="B25" s="1" t="s">
        <v>83</v>
      </c>
      <c r="C25" s="13">
        <f>SUMIF(BS_Hist!B69:J69,"&gt;0")-SUMIF(BS_Hist!B69:J69,"&lt;0")</f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5" t="s">
        <v>300</v>
      </c>
      <c r="B26" s="1" t="s">
        <v>83</v>
      </c>
      <c r="C26" s="13">
        <f>SUMIF(BS_Hist!B70:J70,"&gt;0")-SUMIF(BS_Hist!B70:J70,"&lt;0")</f>
        <v>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5" t="s">
        <v>301</v>
      </c>
      <c r="B27" s="1" t="s">
        <v>83</v>
      </c>
      <c r="C27" s="13">
        <f>SUMIF(BS_Hist!B71:J71,"&gt;0")-SUMIF(BS_Hist!B71:J71,"&lt;0")</f>
        <v>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5" t="s">
        <v>302</v>
      </c>
      <c r="B28" s="1" t="s">
        <v>83</v>
      </c>
      <c r="C28" s="13">
        <f>SUMIF(BS_Hist!B72:J72,"&gt;0")-SUMIF(BS_Hist!B72:J72,"&lt;0")</f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5" t="s">
        <v>303</v>
      </c>
      <c r="B29" s="1" t="s">
        <v>83</v>
      </c>
      <c r="C29" s="13">
        <f>SUMIF(BS_Hist!B73:J73,"&gt;0")-SUMIF(BS_Hist!B73:J73,"&lt;0")</f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5" t="s">
        <v>304</v>
      </c>
      <c r="B30" s="1" t="s">
        <v>83</v>
      </c>
      <c r="C30" s="13">
        <f>SUMIF(BS_Hist!B74:J74,"&gt;0")-SUMIF(BS_Hist!B74:J74,"&lt;0")</f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5" t="s">
        <v>436</v>
      </c>
      <c r="B31" s="1" t="s">
        <v>85</v>
      </c>
      <c r="C31" s="13">
        <f>SUMIF(CF_Hist!B79:J79,"&gt;0")-SUMIF(CF_Hist!B79:J79,"&lt;0")</f>
        <v>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5" t="s">
        <v>437</v>
      </c>
      <c r="B32" s="1" t="s">
        <v>85</v>
      </c>
      <c r="C32" s="13">
        <f>SUMIF(CF_Hist!B80:J80,"&gt;0")-SUMIF(CF_Hist!B80:J80,"&lt;0")</f>
        <v>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5" t="s">
        <v>438</v>
      </c>
      <c r="B33" s="1" t="s">
        <v>85</v>
      </c>
      <c r="C33" s="13">
        <f>SUMIF(CF_Hist!B81:J81,"&gt;0")-SUMIF(CF_Hist!B81:J81,"&lt;0")</f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5" t="s">
        <v>439</v>
      </c>
      <c r="B34" s="1" t="s">
        <v>85</v>
      </c>
      <c r="C34" s="13">
        <f>SUMIF(CF_Hist!B82:J82,"&gt;0")-SUMIF(CF_Hist!B82:J82,"&lt;0")</f>
        <v>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5" t="s">
        <v>440</v>
      </c>
      <c r="B35" s="1" t="s">
        <v>85</v>
      </c>
      <c r="C35" s="13">
        <f>SUMIF(CF_Hist!B83:J83,"&gt;0")-SUMIF(CF_Hist!B83:J83,"&lt;0")</f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5" t="s">
        <v>441</v>
      </c>
      <c r="B36" s="1" t="s">
        <v>85</v>
      </c>
      <c r="C36" s="13">
        <f>SUMIF(CF_Hist!B84:J84,"&gt;0")-SUMIF(CF_Hist!B84:J84,"&lt;0")</f>
        <v>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5" t="s">
        <v>442</v>
      </c>
      <c r="B37" s="1" t="s">
        <v>85</v>
      </c>
      <c r="C37" s="13">
        <f>SUMIF(CF_Hist!B85:J85,"&gt;0")-SUMIF(CF_Hist!B85:J85,"&lt;0")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5" t="s">
        <v>443</v>
      </c>
      <c r="B38" s="1" t="s">
        <v>85</v>
      </c>
      <c r="C38" s="13">
        <f>SUMIF(CF_Hist!B86:J86,"&gt;0")-SUMIF(CF_Hist!B86:J86,"&lt;0")</f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5" t="s">
        <v>462</v>
      </c>
      <c r="B39" s="1" t="s">
        <v>87</v>
      </c>
      <c r="C39" s="13">
        <f>SUMIF(SCE_Hist!B59:J59,"&gt;0")-SUMIF(SCE_Hist!B59:J59,"&lt;0")</f>
        <v>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5" t="s">
        <v>463</v>
      </c>
      <c r="B40" s="1" t="s">
        <v>87</v>
      </c>
      <c r="C40" s="13">
        <f>SUMIF(SCE_Hist!B60:J60,"&gt;0")-SUMIF(SCE_Hist!B60:J60,"&lt;0")</f>
        <v>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5" t="s">
        <v>464</v>
      </c>
      <c r="B41" s="1" t="s">
        <v>87</v>
      </c>
      <c r="C41" s="13">
        <f>SUMIF(SCE_Hist!B61:J61,"&gt;0")-SUMIF(SCE_Hist!B61:J61,"&lt;0")</f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5" t="s">
        <v>465</v>
      </c>
      <c r="B42" s="1" t="s">
        <v>87</v>
      </c>
      <c r="C42" s="13">
        <f>SUMIF(SCE_Hist!B62:J62,"&gt;0")-SUMIF(SCE_Hist!B62:J62,"&lt;0")</f>
        <v>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5" t="s">
        <v>466</v>
      </c>
      <c r="B43" s="1" t="s">
        <v>87</v>
      </c>
      <c r="C43" s="13">
        <f>SUMIF(SCE_Hist!B63:J63,"&gt;0")-SUMIF(SCE_Hist!B63:J63,"&lt;0")</f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5" t="s">
        <v>467</v>
      </c>
      <c r="B44" s="1" t="s">
        <v>87</v>
      </c>
      <c r="C44" s="13">
        <f>SUMIF(SCE_Hist!B64:J64,"&gt;0")-SUMIF(SCE_Hist!B64:J64,"&lt;0")</f>
        <v>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5" t="s">
        <v>468</v>
      </c>
      <c r="B45" s="1" t="s">
        <v>87</v>
      </c>
      <c r="C45" s="13">
        <f>SUMIF(SCE_Hist!B65:J65,"&gt;0")-SUMIF(SCE_Hist!B65:J65,"&lt;0")</f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">
      <c r="A46" s="5" t="s">
        <v>469</v>
      </c>
      <c r="B46" s="1" t="s">
        <v>87</v>
      </c>
      <c r="C46" s="13">
        <f>SUMIF(SCE_Hist!B66:J66,"&gt;0")-SUMIF(SCE_Hist!B66:J66,"&lt;0")</f>
        <v>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">
      <c r="A47" s="5" t="s">
        <v>470</v>
      </c>
      <c r="B47" s="1" t="s">
        <v>87</v>
      </c>
      <c r="C47" s="13">
        <f>SUMIF(SCE_Hist!B67:J67,"&gt;0")-SUMIF(SCE_Hist!B67:J67,"&lt;0")</f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">
      <c r="A48" s="30" t="s">
        <v>549</v>
      </c>
      <c r="B48" s="25" t="s">
        <v>89</v>
      </c>
      <c r="C48" s="29">
        <f>SUMIF(Revenue_Hist!B62:J62,"&gt;0")-SUMIF(Revenue_Hist!B62:J62,"&lt;0")</f>
        <v>0</v>
      </c>
    </row>
    <row r="49" spans="1:3" x14ac:dyDescent="0.2">
      <c r="A49" s="30" t="s">
        <v>550</v>
      </c>
      <c r="B49" s="25" t="s">
        <v>89</v>
      </c>
      <c r="C49" s="29">
        <f>SUMIF(Revenue_Hist!B63:J63,"&gt;0")-SUMIF(Revenue_Hist!B63:J63,"&lt;0")</f>
        <v>0</v>
      </c>
    </row>
    <row r="50" spans="1:3" x14ac:dyDescent="0.2">
      <c r="A50" s="30" t="s">
        <v>551</v>
      </c>
      <c r="B50" s="25" t="s">
        <v>89</v>
      </c>
      <c r="C50" s="29">
        <f>SUMIF(Revenue_Hist!B64:J64,"&gt;0")-SUMIF(Revenue_Hist!B64:J64,"&lt;0")</f>
        <v>0</v>
      </c>
    </row>
    <row r="51" spans="1:3" x14ac:dyDescent="0.2">
      <c r="A51" s="30" t="s">
        <v>552</v>
      </c>
      <c r="B51" s="25" t="s">
        <v>89</v>
      </c>
      <c r="C51" s="29">
        <f>SUMIF(Revenue_Hist!B65:J65,"&gt;0")-SUMIF(Revenue_Hist!B65:J65,"&lt;0")</f>
        <v>0</v>
      </c>
    </row>
    <row r="52" spans="1:3" x14ac:dyDescent="0.2">
      <c r="A52" s="30" t="s">
        <v>553</v>
      </c>
      <c r="B52" s="25" t="s">
        <v>89</v>
      </c>
      <c r="C52" s="29">
        <f>SUMIF(Revenue_Hist!B66:J66,"&gt;0")-SUMIF(Revenue_Hist!B66:J66,"&lt;0")</f>
        <v>0</v>
      </c>
    </row>
    <row r="53" spans="1:3" x14ac:dyDescent="0.2">
      <c r="A53" s="30" t="s">
        <v>554</v>
      </c>
      <c r="B53" s="25" t="s">
        <v>89</v>
      </c>
      <c r="C53" s="29">
        <f>SUMIF(Revenue_Hist!B67:J67,"&gt;0")-SUMIF(Revenue_Hist!B67:J67,"&lt;0")</f>
        <v>0</v>
      </c>
    </row>
    <row r="54" spans="1:3" x14ac:dyDescent="0.2">
      <c r="A54" s="30" t="s">
        <v>555</v>
      </c>
      <c r="B54" s="25" t="s">
        <v>89</v>
      </c>
      <c r="C54" s="29">
        <f>SUMIF(Revenue_Hist!B68:J68,"&gt;0")-SUMIF(Revenue_Hist!B68:J68,"&lt;0")</f>
        <v>0</v>
      </c>
    </row>
    <row r="55" spans="1:3" x14ac:dyDescent="0.2">
      <c r="A55" s="58" t="s">
        <v>694</v>
      </c>
      <c r="B55" s="54" t="s">
        <v>93</v>
      </c>
      <c r="C55" s="61">
        <f>SUMIF(Interim_Bridge!B37:G37,"&gt;0")-SUMIF(Interim_Bridge!B37:G37,"&lt;0")</f>
        <v>0</v>
      </c>
    </row>
    <row r="56" spans="1:3" x14ac:dyDescent="0.2">
      <c r="A56" s="58" t="s">
        <v>695</v>
      </c>
      <c r="B56" s="54" t="s">
        <v>93</v>
      </c>
      <c r="C56" s="61">
        <f>SUMIF(Interim_Bridge!B38:G38,"&gt;0")-SUMIF(Interim_Bridge!B38:G38,"&lt;0")</f>
        <v>0</v>
      </c>
    </row>
    <row r="57" spans="1:3" x14ac:dyDescent="0.2">
      <c r="A57" s="58" t="s">
        <v>696</v>
      </c>
      <c r="B57" s="54" t="s">
        <v>93</v>
      </c>
      <c r="C57" s="61">
        <f>SUMIF(Interim_Bridge!B39:G39,"&gt;0")-SUMIF(Interim_Bridge!B39:G39,"&lt;0")</f>
        <v>0</v>
      </c>
    </row>
    <row r="58" spans="1:3" x14ac:dyDescent="0.2">
      <c r="A58" s="58" t="s">
        <v>697</v>
      </c>
      <c r="B58" s="54" t="s">
        <v>93</v>
      </c>
      <c r="C58" s="61">
        <f>SUMIF(Interim_Bridge!B40:G40,"&gt;0")-SUMIF(Interim_Bridge!B40:G40,"&lt;0")</f>
        <v>0</v>
      </c>
    </row>
    <row r="59" spans="1:3" x14ac:dyDescent="0.2">
      <c r="A59" s="58" t="s">
        <v>722</v>
      </c>
      <c r="B59" s="54" t="s">
        <v>95</v>
      </c>
      <c r="C59" s="61">
        <f>SUMIF(Revenue_Build!B27:L27,"&gt;0")-SUMIF(Revenue_Build!B27:L27,"&lt;0")</f>
        <v>0</v>
      </c>
    </row>
    <row r="60" spans="1:3" x14ac:dyDescent="0.2">
      <c r="A60" s="58" t="s">
        <v>723</v>
      </c>
      <c r="B60" s="54" t="s">
        <v>95</v>
      </c>
      <c r="C60" s="61">
        <f>SUMIF(Revenue_Build!B28:L28,"&gt;0")-SUMIF(Revenue_Build!B28:L28,"&lt;0")</f>
        <v>0</v>
      </c>
    </row>
    <row r="61" spans="1:3" x14ac:dyDescent="0.2">
      <c r="A61" s="58" t="s">
        <v>787</v>
      </c>
      <c r="B61" s="54" t="s">
        <v>97</v>
      </c>
      <c r="C61" s="61">
        <f>SUMIF(Schedules!B77:L77,"&gt;0")-SUMIF(Schedules!B77:L77,"&lt;0")</f>
        <v>0</v>
      </c>
    </row>
    <row r="62" spans="1:3" x14ac:dyDescent="0.2">
      <c r="A62" s="58" t="s">
        <v>788</v>
      </c>
      <c r="B62" s="54" t="s">
        <v>97</v>
      </c>
      <c r="C62" s="61">
        <f>SUMIF(Schedules!B78:L78,"&gt;0")-SUMIF(Schedules!B78:L78,"&lt;0")</f>
        <v>0</v>
      </c>
    </row>
    <row r="63" spans="1:3" x14ac:dyDescent="0.2">
      <c r="A63" s="58" t="s">
        <v>789</v>
      </c>
      <c r="B63" s="54" t="s">
        <v>97</v>
      </c>
      <c r="C63" s="61">
        <f>SUMIF(Schedules!B79:L79,"&gt;0")-SUMIF(Schedules!B79:L79,"&lt;0")</f>
        <v>0</v>
      </c>
    </row>
    <row r="64" spans="1:3" x14ac:dyDescent="0.2">
      <c r="A64" s="58" t="s">
        <v>819</v>
      </c>
      <c r="B64" s="54" t="s">
        <v>99</v>
      </c>
      <c r="C64" s="61">
        <f>SUMIF(Forecast_3Stmt!B73:L73,"&gt;0")-SUMIF(Forecast_3Stmt!B73:L73,"&lt;0")</f>
        <v>0</v>
      </c>
    </row>
    <row r="65" spans="1:3" x14ac:dyDescent="0.2">
      <c r="A65" s="58" t="s">
        <v>820</v>
      </c>
      <c r="B65" s="54" t="s">
        <v>99</v>
      </c>
      <c r="C65" s="61">
        <f>SUMIF(Forecast_3Stmt!B74:L74,"&gt;0")-SUMIF(Forecast_3Stmt!B74:L74,"&lt;0")</f>
        <v>0</v>
      </c>
    </row>
    <row r="66" spans="1:3" x14ac:dyDescent="0.2">
      <c r="A66" s="58" t="s">
        <v>821</v>
      </c>
      <c r="B66" s="54" t="s">
        <v>99</v>
      </c>
      <c r="C66" s="61">
        <f>SUMIF(Forecast_3Stmt!B75:L75,"&gt;0")-SUMIF(Forecast_3Stmt!B75:L75,"&lt;0")</f>
        <v>0</v>
      </c>
    </row>
    <row r="67" spans="1:3" x14ac:dyDescent="0.2">
      <c r="A67" s="58" t="s">
        <v>822</v>
      </c>
      <c r="B67" s="54" t="s">
        <v>99</v>
      </c>
      <c r="C67" s="61">
        <f>SUMIF(Forecast_3Stmt!B76:L76,"&gt;0")-SUMIF(Forecast_3Stmt!B76:L76,"&lt;0")</f>
        <v>0</v>
      </c>
    </row>
    <row r="68" spans="1:3" x14ac:dyDescent="0.2">
      <c r="A68" s="58" t="s">
        <v>823</v>
      </c>
      <c r="B68" s="54" t="s">
        <v>99</v>
      </c>
      <c r="C68" s="61">
        <f>SUMIF(Forecast_3Stmt!B77:L77,"&gt;0")-SUMIF(Forecast_3Stmt!B77:L77,"&lt;0")</f>
        <v>0</v>
      </c>
    </row>
    <row r="69" spans="1:3" x14ac:dyDescent="0.2">
      <c r="A69" s="58" t="s">
        <v>824</v>
      </c>
      <c r="B69" s="54" t="s">
        <v>99</v>
      </c>
      <c r="C69" s="61">
        <f>SUMIF(Forecast_3Stmt!B78:L78,"&gt;0")-SUMIF(Forecast_3Stmt!B78:L78,"&lt;0")</f>
        <v>0</v>
      </c>
    </row>
    <row r="70" spans="1:3" x14ac:dyDescent="0.2">
      <c r="A70" s="58" t="s">
        <v>929</v>
      </c>
      <c r="B70" s="54" t="s">
        <v>101</v>
      </c>
      <c r="C70" s="61">
        <f>SUMIF(Debt_Credit!B83:B83,"&gt;0")-SUMIF(Debt_Credit!B83:B83,"&lt;0")</f>
        <v>0</v>
      </c>
    </row>
    <row r="71" spans="1:3" x14ac:dyDescent="0.2">
      <c r="A71" s="58" t="s">
        <v>930</v>
      </c>
      <c r="B71" s="54" t="s">
        <v>101</v>
      </c>
      <c r="C71" s="61">
        <f>SUMIF(Debt_Credit!B84:B84,"&gt;0")-SUMIF(Debt_Credit!B84:B84,"&lt;0")</f>
        <v>0</v>
      </c>
    </row>
    <row r="72" spans="1:3" x14ac:dyDescent="0.2">
      <c r="A72" s="58" t="s">
        <v>931</v>
      </c>
      <c r="B72" s="54" t="s">
        <v>101</v>
      </c>
      <c r="C72" s="61">
        <f>SUMIF(Debt_Credit!B85:B85,"&gt;0")-SUMIF(Debt_Credit!B85:B85,"&lt;0")</f>
        <v>0</v>
      </c>
    </row>
    <row r="73" spans="1:3" x14ac:dyDescent="0.2">
      <c r="A73" s="58" t="s">
        <v>932</v>
      </c>
      <c r="B73" s="54" t="s">
        <v>101</v>
      </c>
      <c r="C73" s="61">
        <f>SUMIF(Debt_Credit!B86:B86,"&gt;0")-SUMIF(Debt_Credit!B86:B86,"&lt;0")</f>
        <v>0</v>
      </c>
    </row>
    <row r="74" spans="1:3" x14ac:dyDescent="0.2">
      <c r="A74" s="58" t="s">
        <v>1071</v>
      </c>
      <c r="B74" s="54" t="s">
        <v>105</v>
      </c>
      <c r="C74" s="61">
        <f>SUMIF(DCF!B50:B50,"&gt;0")-SUMIF(DCF!B50:B50,"&lt;0")</f>
        <v>0</v>
      </c>
    </row>
    <row r="75" spans="1:3" x14ac:dyDescent="0.2">
      <c r="A75" s="58" t="s">
        <v>1072</v>
      </c>
      <c r="B75" s="54" t="s">
        <v>105</v>
      </c>
      <c r="C75" s="61">
        <f>SUMIF(DCF!B51:B51,"&gt;0")-SUMIF(DCF!B51:B51,"&lt;0")</f>
        <v>0</v>
      </c>
    </row>
    <row r="76" spans="1:3" x14ac:dyDescent="0.2">
      <c r="A76" s="58" t="s">
        <v>1165</v>
      </c>
      <c r="B76" s="54" t="s">
        <v>107</v>
      </c>
      <c r="C76" s="61">
        <f>SUMIF(Valuation!B81:B81,"&gt;0")-SUMIF(Valuation!B81:B81,"&lt;0")</f>
        <v>0</v>
      </c>
    </row>
    <row r="77" spans="1:3" x14ac:dyDescent="0.2">
      <c r="A77" s="58" t="s">
        <v>1178</v>
      </c>
      <c r="B77" s="54" t="s">
        <v>109</v>
      </c>
      <c r="C77" s="61">
        <f>SUMIF(Sensitivity!B36:B36,"&gt;0")-SUMIF(Sensitivity!B36:B36,"&lt;0")</f>
        <v>0</v>
      </c>
    </row>
    <row r="79" spans="1:3" x14ac:dyDescent="0.2">
      <c r="A79" s="85" t="s">
        <v>1272</v>
      </c>
      <c r="B79" s="77"/>
      <c r="C79" s="77"/>
    </row>
    <row r="80" spans="1:3" x14ac:dyDescent="0.2">
      <c r="A80" s="77" t="s">
        <v>1273</v>
      </c>
      <c r="B80" s="77" t="s">
        <v>111</v>
      </c>
      <c r="C80" s="62" t="str">
        <f>Scenario_Summary!B27</f>
        <v>current</v>
      </c>
    </row>
    <row r="81" spans="1:3" x14ac:dyDescent="0.2">
      <c r="A81" s="77" t="s">
        <v>1274</v>
      </c>
      <c r="B81" s="77" t="s">
        <v>109</v>
      </c>
      <c r="C81" s="62" t="str">
        <f>Sensitivity!B33</f>
        <v>current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B5F7-A74E-3C45-AB50-8BDF1AEF060C}">
  <sheetPr>
    <tabColor rgb="FF6A7689"/>
  </sheetPr>
  <dimension ref="A1:O40"/>
  <sheetViews>
    <sheetView showGridLines="0" workbookViewId="0"/>
  </sheetViews>
  <sheetFormatPr baseColWidth="10" defaultColWidth="8.33203125" defaultRowHeight="15" x14ac:dyDescent="0.2"/>
  <cols>
    <col min="1" max="1" width="54.33203125" customWidth="1"/>
    <col min="2" max="3" width="11" customWidth="1"/>
    <col min="4" max="5" width="15.1640625" customWidth="1"/>
    <col min="6" max="6" width="12.6640625" customWidth="1"/>
    <col min="7" max="7" width="54.33203125" customWidth="1"/>
  </cols>
  <sheetData>
    <row r="1" spans="1:15" x14ac:dyDescent="0.2">
      <c r="A1" s="122" t="s">
        <v>1275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 t="s">
        <v>1276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A4" s="125" t="s">
        <v>668</v>
      </c>
      <c r="B4" s="125" t="s">
        <v>1277</v>
      </c>
      <c r="C4" s="125" t="s">
        <v>1278</v>
      </c>
      <c r="D4" s="125" t="s">
        <v>1279</v>
      </c>
      <c r="E4" s="125" t="s">
        <v>1280</v>
      </c>
      <c r="F4" s="125" t="s">
        <v>1281</v>
      </c>
      <c r="G4" s="125" t="s">
        <v>1282</v>
      </c>
      <c r="H4" s="1"/>
      <c r="I4" s="1"/>
      <c r="J4" s="1"/>
      <c r="K4" s="1"/>
      <c r="L4" s="1"/>
      <c r="M4" s="1"/>
      <c r="N4" s="1"/>
      <c r="O4" s="1"/>
    </row>
    <row r="5" spans="1:15" x14ac:dyDescent="0.2">
      <c r="A5" s="1" t="s">
        <v>237</v>
      </c>
      <c r="B5" s="1" t="s">
        <v>83</v>
      </c>
      <c r="C5" s="1" t="s">
        <v>42</v>
      </c>
      <c r="D5" s="3">
        <v>2759</v>
      </c>
      <c r="E5" s="3">
        <v>2673</v>
      </c>
      <c r="F5" s="17">
        <f t="shared" si="0" ref="F5:F38">E5-D5</f>
        <v>-86</v>
      </c>
      <c r="G5" s="1" t="s">
        <v>1283</v>
      </c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237</v>
      </c>
      <c r="B6" s="1" t="s">
        <v>83</v>
      </c>
      <c r="C6" s="1" t="s">
        <v>58</v>
      </c>
      <c r="D6" s="3">
        <v>6794</v>
      </c>
      <c r="E6" s="3">
        <v>7582</v>
      </c>
      <c r="F6" s="17">
        <f t="shared" si="0"/>
        <v>788</v>
      </c>
      <c r="G6" s="1" t="s">
        <v>1284</v>
      </c>
      <c r="H6" s="1"/>
      <c r="I6" s="1"/>
      <c r="J6" s="1"/>
      <c r="K6" s="1"/>
      <c r="L6" s="1"/>
      <c r="M6" s="1"/>
      <c r="N6" s="1"/>
      <c r="O6" s="1"/>
    </row>
    <row r="7" spans="1:15" x14ac:dyDescent="0.2">
      <c r="A7" s="1" t="s">
        <v>248</v>
      </c>
      <c r="B7" s="1" t="s">
        <v>83</v>
      </c>
      <c r="C7" s="1" t="s">
        <v>50</v>
      </c>
      <c r="D7" s="3">
        <v>14312</v>
      </c>
      <c r="E7" s="3">
        <v>14873</v>
      </c>
      <c r="F7" s="17">
        <f t="shared" si="0"/>
        <v>561</v>
      </c>
      <c r="G7" s="1" t="s">
        <v>1285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1" t="s">
        <v>248</v>
      </c>
      <c r="B8" s="1" t="s">
        <v>83</v>
      </c>
      <c r="C8" s="1" t="s">
        <v>58</v>
      </c>
      <c r="D8" s="3">
        <v>24625</v>
      </c>
      <c r="E8" s="3">
        <v>25488</v>
      </c>
      <c r="F8" s="17">
        <f t="shared" si="0"/>
        <v>863</v>
      </c>
      <c r="G8" s="1" t="s">
        <v>1284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1" t="s">
        <v>260</v>
      </c>
      <c r="B9" s="1" t="s">
        <v>83</v>
      </c>
      <c r="C9" s="1" t="s">
        <v>58</v>
      </c>
      <c r="D9" s="3">
        <v>8884</v>
      </c>
      <c r="E9" s="3">
        <v>1370</v>
      </c>
      <c r="F9" s="17">
        <f t="shared" si="0"/>
        <v>-7514</v>
      </c>
      <c r="G9" s="1" t="s">
        <v>1284</v>
      </c>
      <c r="H9" s="1"/>
      <c r="I9" s="1"/>
      <c r="J9" s="1"/>
      <c r="K9" s="1"/>
      <c r="L9" s="1"/>
      <c r="M9" s="1"/>
      <c r="N9" s="1"/>
      <c r="O9" s="1"/>
    </row>
    <row r="10" spans="1:15" x14ac:dyDescent="0.2">
      <c r="A10" s="1" t="s">
        <v>327</v>
      </c>
      <c r="B10" s="1" t="s">
        <v>85</v>
      </c>
      <c r="C10" s="1" t="s">
        <v>46</v>
      </c>
      <c r="D10" s="3">
        <v>118</v>
      </c>
      <c r="E10" s="3">
        <v>85</v>
      </c>
      <c r="F10" s="17">
        <f t="shared" si="0"/>
        <v>-33</v>
      </c>
      <c r="G10" s="1" t="s">
        <v>1285</v>
      </c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 t="s">
        <v>327</v>
      </c>
      <c r="B11" s="1" t="s">
        <v>85</v>
      </c>
      <c r="C11" s="1" t="s">
        <v>50</v>
      </c>
      <c r="D11" s="3">
        <v>-127</v>
      </c>
      <c r="E11" s="3">
        <v>105</v>
      </c>
      <c r="F11" s="17">
        <f t="shared" si="0"/>
        <v>232</v>
      </c>
      <c r="G11" s="1" t="s">
        <v>1285</v>
      </c>
      <c r="H11" s="1"/>
      <c r="I11" s="1"/>
      <c r="J11" s="1"/>
      <c r="K11" s="1"/>
      <c r="L11" s="1"/>
      <c r="M11" s="1"/>
      <c r="N11" s="1"/>
      <c r="O11" s="1"/>
    </row>
    <row r="12" spans="1:15" x14ac:dyDescent="0.2">
      <c r="A12" s="1" t="s">
        <v>327</v>
      </c>
      <c r="B12" s="1" t="s">
        <v>85</v>
      </c>
      <c r="C12" s="1" t="s">
        <v>54</v>
      </c>
      <c r="D12" s="3">
        <v>178</v>
      </c>
      <c r="E12" s="3">
        <v>641</v>
      </c>
      <c r="F12" s="17">
        <f t="shared" si="0"/>
        <v>463</v>
      </c>
      <c r="G12" s="1" t="s">
        <v>1284</v>
      </c>
      <c r="H12" s="1"/>
      <c r="I12" s="1"/>
      <c r="J12" s="1"/>
      <c r="K12" s="1"/>
      <c r="L12" s="1"/>
      <c r="M12" s="1"/>
      <c r="N12" s="1"/>
      <c r="O12" s="1"/>
    </row>
    <row r="13" spans="1:15" x14ac:dyDescent="0.2">
      <c r="A13" s="1" t="s">
        <v>327</v>
      </c>
      <c r="B13" s="1" t="s">
        <v>85</v>
      </c>
      <c r="C13" s="1" t="s">
        <v>54</v>
      </c>
      <c r="D13" s="3">
        <v>178</v>
      </c>
      <c r="E13" s="3">
        <v>641</v>
      </c>
      <c r="F13" s="17">
        <f t="shared" si="0"/>
        <v>463</v>
      </c>
      <c r="G13" s="1" t="s">
        <v>1286</v>
      </c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1" t="s">
        <v>327</v>
      </c>
      <c r="B14" s="1" t="s">
        <v>85</v>
      </c>
      <c r="C14" s="1" t="s">
        <v>58</v>
      </c>
      <c r="D14" s="3">
        <v>635</v>
      </c>
      <c r="E14" s="3">
        <v>309</v>
      </c>
      <c r="F14" s="17">
        <f t="shared" si="0"/>
        <v>-326</v>
      </c>
      <c r="G14" s="1" t="s">
        <v>1287</v>
      </c>
      <c r="H14" s="1"/>
      <c r="I14" s="1"/>
      <c r="J14" s="1"/>
      <c r="K14" s="1"/>
      <c r="L14" s="1"/>
      <c r="M14" s="1"/>
      <c r="N14" s="1"/>
      <c r="O14" s="1"/>
    </row>
    <row r="15" spans="1:15" x14ac:dyDescent="0.2">
      <c r="A15" s="1" t="s">
        <v>327</v>
      </c>
      <c r="B15" s="1" t="s">
        <v>85</v>
      </c>
      <c r="C15" s="1" t="s">
        <v>62</v>
      </c>
      <c r="D15" s="3">
        <v>87</v>
      </c>
      <c r="E15" s="3">
        <v>140</v>
      </c>
      <c r="F15" s="17">
        <f t="shared" si="0"/>
        <v>53</v>
      </c>
      <c r="G15" s="1" t="s">
        <v>1287</v>
      </c>
      <c r="H15" s="1"/>
      <c r="I15" s="1"/>
      <c r="J15" s="1"/>
      <c r="K15" s="1"/>
      <c r="L15" s="1"/>
      <c r="M15" s="1"/>
      <c r="N15" s="1"/>
      <c r="O15" s="1"/>
    </row>
    <row r="16" spans="1:15" x14ac:dyDescent="0.2">
      <c r="A16" s="1" t="s">
        <v>327</v>
      </c>
      <c r="B16" s="1" t="s">
        <v>85</v>
      </c>
      <c r="C16" s="1" t="s">
        <v>142</v>
      </c>
      <c r="D16" s="3">
        <v>-453</v>
      </c>
      <c r="E16" s="3">
        <v>-359</v>
      </c>
      <c r="F16" s="17">
        <f t="shared" si="0"/>
        <v>94</v>
      </c>
      <c r="G16" s="1" t="s">
        <v>1288</v>
      </c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" t="s">
        <v>248</v>
      </c>
      <c r="B17" s="1" t="s">
        <v>85</v>
      </c>
      <c r="C17" s="1" t="s">
        <v>46</v>
      </c>
      <c r="D17" s="3">
        <v>-1054</v>
      </c>
      <c r="E17" s="3">
        <v>-946</v>
      </c>
      <c r="F17" s="17">
        <f t="shared" si="0"/>
        <v>108</v>
      </c>
      <c r="G17" s="1" t="s">
        <v>1285</v>
      </c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1" t="s">
        <v>248</v>
      </c>
      <c r="B18" s="1" t="s">
        <v>85</v>
      </c>
      <c r="C18" s="1" t="s">
        <v>50</v>
      </c>
      <c r="D18" s="3">
        <v>3357</v>
      </c>
      <c r="E18" s="3">
        <v>3544</v>
      </c>
      <c r="F18" s="17">
        <f t="shared" si="0"/>
        <v>187</v>
      </c>
      <c r="G18" s="1" t="s">
        <v>1286</v>
      </c>
      <c r="H18" s="1"/>
      <c r="I18" s="1"/>
      <c r="J18" s="1"/>
      <c r="K18" s="1"/>
      <c r="L18" s="1"/>
      <c r="M18" s="1"/>
      <c r="N18" s="1"/>
      <c r="O18" s="1"/>
    </row>
    <row r="19" spans="1:15" x14ac:dyDescent="0.2">
      <c r="A19" s="1" t="s">
        <v>248</v>
      </c>
      <c r="B19" s="1" t="s">
        <v>85</v>
      </c>
      <c r="C19" s="1" t="s">
        <v>50</v>
      </c>
      <c r="D19" s="3">
        <v>3357</v>
      </c>
      <c r="E19" s="3">
        <v>3544</v>
      </c>
      <c r="F19" s="17">
        <f t="shared" si="0"/>
        <v>187</v>
      </c>
      <c r="G19" s="1" t="s">
        <v>1285</v>
      </c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1" t="s">
        <v>248</v>
      </c>
      <c r="B20" s="1" t="s">
        <v>85</v>
      </c>
      <c r="C20" s="1" t="s">
        <v>54</v>
      </c>
      <c r="D20" s="3">
        <v>4210</v>
      </c>
      <c r="E20" s="3">
        <v>4300</v>
      </c>
      <c r="F20" s="17">
        <f t="shared" si="0"/>
        <v>90</v>
      </c>
      <c r="G20" s="1" t="s">
        <v>1284</v>
      </c>
      <c r="H20" s="1"/>
      <c r="I20" s="1"/>
      <c r="J20" s="1"/>
      <c r="K20" s="1"/>
      <c r="L20" s="1"/>
      <c r="M20" s="1"/>
      <c r="N20" s="1"/>
      <c r="O20" s="1"/>
    </row>
    <row r="21" spans="1:15" x14ac:dyDescent="0.2">
      <c r="A21" s="1" t="s">
        <v>248</v>
      </c>
      <c r="B21" s="1" t="s">
        <v>85</v>
      </c>
      <c r="C21" s="1" t="s">
        <v>58</v>
      </c>
      <c r="D21" s="3">
        <v>5352</v>
      </c>
      <c r="E21" s="3">
        <v>5081</v>
      </c>
      <c r="F21" s="17">
        <f t="shared" si="0"/>
        <v>-271</v>
      </c>
      <c r="G21" s="1" t="s">
        <v>1287</v>
      </c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1" t="s">
        <v>248</v>
      </c>
      <c r="B22" s="1" t="s">
        <v>85</v>
      </c>
      <c r="C22" s="1" t="s">
        <v>58</v>
      </c>
      <c r="D22" s="3">
        <v>5352</v>
      </c>
      <c r="E22" s="3">
        <v>5081</v>
      </c>
      <c r="F22" s="17">
        <f t="shared" si="0"/>
        <v>-271</v>
      </c>
      <c r="G22" s="1" t="s">
        <v>1284</v>
      </c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1" t="s">
        <v>342</v>
      </c>
      <c r="B23" s="1" t="s">
        <v>85</v>
      </c>
      <c r="C23" s="1" t="s">
        <v>46</v>
      </c>
      <c r="D23" s="3">
        <v>-15115</v>
      </c>
      <c r="E23" s="3">
        <v>-15163</v>
      </c>
      <c r="F23" s="17">
        <f t="shared" si="0"/>
        <v>-48</v>
      </c>
      <c r="G23" s="1" t="s">
        <v>1285</v>
      </c>
      <c r="H23" s="1"/>
      <c r="I23" s="1"/>
      <c r="J23" s="1"/>
      <c r="K23" s="1"/>
      <c r="L23" s="1"/>
      <c r="M23" s="1"/>
      <c r="N23" s="1"/>
      <c r="O23" s="1"/>
    </row>
    <row r="24" spans="1:15" x14ac:dyDescent="0.2">
      <c r="A24" s="1" t="s">
        <v>342</v>
      </c>
      <c r="B24" s="1" t="s">
        <v>85</v>
      </c>
      <c r="C24" s="1" t="s">
        <v>50</v>
      </c>
      <c r="D24" s="3">
        <v>-18567</v>
      </c>
      <c r="E24" s="3">
        <v>-18690</v>
      </c>
      <c r="F24" s="17">
        <f t="shared" si="0"/>
        <v>-123</v>
      </c>
      <c r="G24" s="1" t="s">
        <v>1286</v>
      </c>
      <c r="H24" s="1"/>
      <c r="I24" s="1"/>
      <c r="J24" s="1"/>
      <c r="K24" s="1"/>
      <c r="L24" s="1"/>
      <c r="M24" s="1"/>
      <c r="N24" s="1"/>
      <c r="O24" s="1"/>
    </row>
    <row r="25" spans="1:15" x14ac:dyDescent="0.2">
      <c r="A25" s="1" t="s">
        <v>342</v>
      </c>
      <c r="B25" s="1" t="s">
        <v>85</v>
      </c>
      <c r="C25" s="1" t="s">
        <v>50</v>
      </c>
      <c r="D25" s="3">
        <v>-18567</v>
      </c>
      <c r="E25" s="3">
        <v>-18690</v>
      </c>
      <c r="F25" s="17">
        <f t="shared" si="0"/>
        <v>-123</v>
      </c>
      <c r="G25" s="1" t="s">
        <v>1285</v>
      </c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1" t="s">
        <v>342</v>
      </c>
      <c r="B26" s="1" t="s">
        <v>85</v>
      </c>
      <c r="C26" s="1" t="s">
        <v>54</v>
      </c>
      <c r="D26" s="3">
        <v>-31431</v>
      </c>
      <c r="E26" s="3">
        <v>-31186</v>
      </c>
      <c r="F26" s="17">
        <f t="shared" si="0"/>
        <v>245</v>
      </c>
      <c r="G26" s="1" t="s">
        <v>1284</v>
      </c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 t="s">
        <v>342</v>
      </c>
      <c r="B27" s="1" t="s">
        <v>85</v>
      </c>
      <c r="C27" s="1" t="s">
        <v>58</v>
      </c>
      <c r="D27" s="3">
        <v>-27266</v>
      </c>
      <c r="E27" s="3">
        <v>-27045</v>
      </c>
      <c r="F27" s="17">
        <f t="shared" si="0"/>
        <v>221</v>
      </c>
      <c r="G27" s="1" t="s">
        <v>1287</v>
      </c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1" t="s">
        <v>342</v>
      </c>
      <c r="B28" s="1" t="s">
        <v>85</v>
      </c>
      <c r="C28" s="1" t="s">
        <v>58</v>
      </c>
      <c r="D28" s="3">
        <v>-27266</v>
      </c>
      <c r="E28" s="3">
        <v>-27045</v>
      </c>
      <c r="F28" s="17">
        <f t="shared" si="0"/>
        <v>221</v>
      </c>
      <c r="G28" s="1" t="s">
        <v>1284</v>
      </c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 t="s">
        <v>370</v>
      </c>
      <c r="B29" s="1" t="s">
        <v>85</v>
      </c>
      <c r="C29" s="1" t="s">
        <v>42</v>
      </c>
      <c r="D29" s="3">
        <v>-61</v>
      </c>
      <c r="E29" s="3">
        <v>0</v>
      </c>
      <c r="F29" s="17">
        <f t="shared" si="0"/>
        <v>61</v>
      </c>
      <c r="G29" s="1" t="s">
        <v>1289</v>
      </c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 t="s">
        <v>370</v>
      </c>
      <c r="B30" s="1" t="s">
        <v>85</v>
      </c>
      <c r="C30" s="1" t="s">
        <v>42</v>
      </c>
      <c r="D30" s="3">
        <v>-61</v>
      </c>
      <c r="E30" s="3">
        <v>0</v>
      </c>
      <c r="F30" s="17">
        <f t="shared" si="0"/>
        <v>61</v>
      </c>
      <c r="G30" s="1" t="s">
        <v>1283</v>
      </c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1" t="s">
        <v>370</v>
      </c>
      <c r="B31" s="1" t="s">
        <v>85</v>
      </c>
      <c r="C31" s="1" t="s">
        <v>50</v>
      </c>
      <c r="D31" s="3">
        <v>-284</v>
      </c>
      <c r="E31" s="3">
        <v>-331</v>
      </c>
      <c r="F31" s="17">
        <f t="shared" si="0"/>
        <v>-47</v>
      </c>
      <c r="G31" s="1" t="s">
        <v>1286</v>
      </c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1" t="s">
        <v>370</v>
      </c>
      <c r="B32" s="1" t="s">
        <v>85</v>
      </c>
      <c r="C32" s="1" t="s">
        <v>54</v>
      </c>
      <c r="D32" s="3">
        <v>1</v>
      </c>
      <c r="E32" s="3">
        <v>-4</v>
      </c>
      <c r="F32" s="17">
        <f t="shared" si="0"/>
        <v>-5</v>
      </c>
      <c r="G32" s="1" t="s">
        <v>1284</v>
      </c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1" t="s">
        <v>370</v>
      </c>
      <c r="B33" s="1" t="s">
        <v>85</v>
      </c>
      <c r="C33" s="1" t="s">
        <v>54</v>
      </c>
      <c r="D33" s="3">
        <v>1</v>
      </c>
      <c r="E33" s="3">
        <v>-4</v>
      </c>
      <c r="F33" s="17">
        <f t="shared" si="0"/>
        <v>-5</v>
      </c>
      <c r="G33" s="1" t="s">
        <v>1286</v>
      </c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 t="s">
        <v>370</v>
      </c>
      <c r="B34" s="1" t="s">
        <v>85</v>
      </c>
      <c r="C34" s="1" t="s">
        <v>58</v>
      </c>
      <c r="D34" s="3">
        <v>-23</v>
      </c>
      <c r="E34" s="3">
        <v>-22</v>
      </c>
      <c r="F34" s="17">
        <f t="shared" si="0"/>
        <v>1</v>
      </c>
      <c r="G34" s="1" t="s">
        <v>1287</v>
      </c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 t="s">
        <v>370</v>
      </c>
      <c r="B35" s="1" t="s">
        <v>85</v>
      </c>
      <c r="C35" s="1" t="s">
        <v>62</v>
      </c>
      <c r="D35" s="3">
        <v>129</v>
      </c>
      <c r="E35" s="3">
        <v>140</v>
      </c>
      <c r="F35" s="17">
        <f t="shared" si="0"/>
        <v>11</v>
      </c>
      <c r="G35" s="1" t="s">
        <v>1287</v>
      </c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1" t="s">
        <v>388</v>
      </c>
      <c r="B36" s="1" t="s">
        <v>85</v>
      </c>
      <c r="C36" s="1" t="s">
        <v>46</v>
      </c>
      <c r="D36" s="3">
        <v>124</v>
      </c>
      <c r="E36" s="3">
        <v>148</v>
      </c>
      <c r="F36" s="17">
        <f t="shared" si="0"/>
        <v>24</v>
      </c>
      <c r="G36" s="1" t="s">
        <v>1285</v>
      </c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 t="s">
        <v>388</v>
      </c>
      <c r="B37" s="1" t="s">
        <v>85</v>
      </c>
      <c r="C37" s="1" t="s">
        <v>50</v>
      </c>
      <c r="D37" s="3">
        <v>-13</v>
      </c>
      <c r="E37" s="3">
        <v>1</v>
      </c>
      <c r="F37" s="17">
        <f t="shared" si="0"/>
        <v>14</v>
      </c>
      <c r="G37" s="1" t="s">
        <v>1286</v>
      </c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 t="s">
        <v>388</v>
      </c>
      <c r="B38" s="1" t="s">
        <v>85</v>
      </c>
      <c r="C38" s="1" t="s">
        <v>50</v>
      </c>
      <c r="D38" s="3">
        <v>-13</v>
      </c>
      <c r="E38" s="3">
        <v>1</v>
      </c>
      <c r="F38" s="17">
        <f t="shared" si="0"/>
        <v>14</v>
      </c>
      <c r="G38" s="1" t="s">
        <v>1285</v>
      </c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25" t="s">
        <v>1290</v>
      </c>
      <c r="B39" s="25" t="s">
        <v>89</v>
      </c>
      <c r="C39" s="25" t="s">
        <v>42</v>
      </c>
      <c r="D39" s="26">
        <v>1042</v>
      </c>
      <c r="E39" s="26">
        <v>541</v>
      </c>
      <c r="F39" s="35">
        <f>E39-D39</f>
        <v>-501</v>
      </c>
      <c r="G39" s="25" t="s">
        <v>1289</v>
      </c>
    </row>
    <row r="40" spans="1:15" x14ac:dyDescent="0.2">
      <c r="A40" s="25" t="s">
        <v>1290</v>
      </c>
      <c r="B40" s="25" t="s">
        <v>89</v>
      </c>
      <c r="C40" s="25" t="s">
        <v>46</v>
      </c>
      <c r="D40" s="26">
        <v>1796</v>
      </c>
      <c r="E40" s="26">
        <v>657</v>
      </c>
      <c r="F40" s="35">
        <f>E40-D40</f>
        <v>-1139</v>
      </c>
      <c r="G40" s="25" t="s">
        <v>1289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4CEA-F243-E447-9E5D-407E85735EAE}">
  <sheetPr>
    <tabColor rgb="FF0E1A2B"/>
  </sheetPr>
  <dimension ref="A1:F20"/>
  <sheetViews>
    <sheetView showGridLines="0" workbookViewId="0"/>
  </sheetViews>
  <sheetFormatPr baseColWidth="10" defaultColWidth="8.33203125" defaultRowHeight="15" x14ac:dyDescent="0.2"/>
  <cols>
    <col min="1" max="1" width="37.6640625" customWidth="1"/>
    <col min="2" max="2" width="62.6640625" customWidth="1"/>
    <col min="3" max="3" width="11" customWidth="1"/>
    <col min="4" max="4" width="27.6640625" customWidth="1"/>
    <col min="5" max="5" width="42.6640625" customWidth="1"/>
    <col min="6" max="6" width="9.33203125" customWidth="1"/>
  </cols>
  <sheetData>
    <row r="1" spans="1:6" x14ac:dyDescent="0.2">
      <c r="A1" s="122" t="s">
        <v>1291</v>
      </c>
      <c r="B1" s="105"/>
      <c r="C1" s="105"/>
      <c r="D1" s="105"/>
      <c r="E1" s="105"/>
      <c r="F1" s="105"/>
    </row>
    <row r="2" spans="1:6" x14ac:dyDescent="0.2">
      <c r="A2" s="105" t="s">
        <v>1292</v>
      </c>
      <c r="B2" s="105"/>
      <c r="C2" s="105"/>
      <c r="D2" s="105"/>
      <c r="E2" s="105"/>
      <c r="F2" s="105"/>
    </row>
    <row r="3" spans="1:6" x14ac:dyDescent="0.2">
      <c r="A3" s="105"/>
      <c r="B3" s="105"/>
      <c r="C3" s="105"/>
      <c r="D3" s="105"/>
      <c r="E3" s="105"/>
      <c r="F3" s="105"/>
    </row>
    <row r="4" spans="1:6" x14ac:dyDescent="0.2">
      <c r="A4" s="125" t="s">
        <v>1293</v>
      </c>
      <c r="B4" s="125" t="s">
        <v>1294</v>
      </c>
      <c r="C4" s="125" t="s">
        <v>1295</v>
      </c>
      <c r="D4" s="125" t="s">
        <v>1296</v>
      </c>
      <c r="E4" s="125" t="s">
        <v>476</v>
      </c>
      <c r="F4" s="125" t="s">
        <v>1297</v>
      </c>
    </row>
    <row r="5" spans="1:6" x14ac:dyDescent="0.2">
      <c r="A5" s="105" t="s">
        <v>1298</v>
      </c>
      <c r="B5" s="105" t="s">
        <v>1299</v>
      </c>
      <c r="C5" s="105" t="s">
        <v>1300</v>
      </c>
      <c r="D5" s="105" t="s">
        <v>1301</v>
      </c>
      <c r="E5" s="105" t="s">
        <v>1302</v>
      </c>
      <c r="F5" s="119"/>
    </row>
    <row r="6" spans="1:6" x14ac:dyDescent="0.2">
      <c r="A6" s="105" t="s">
        <v>1303</v>
      </c>
      <c r="B6" s="105" t="s">
        <v>1304</v>
      </c>
      <c r="C6" s="105" t="s">
        <v>1305</v>
      </c>
      <c r="D6" s="105" t="s">
        <v>1306</v>
      </c>
      <c r="E6" s="105" t="s">
        <v>1307</v>
      </c>
      <c r="F6" s="117"/>
    </row>
    <row r="7" spans="1:6" x14ac:dyDescent="0.2">
      <c r="A7" s="105" t="s">
        <v>1308</v>
      </c>
      <c r="B7" s="105" t="s">
        <v>1309</v>
      </c>
      <c r="C7" s="105" t="s">
        <v>1310</v>
      </c>
      <c r="D7" s="105" t="s">
        <v>1311</v>
      </c>
      <c r="E7" s="105" t="s">
        <v>1312</v>
      </c>
      <c r="F7" s="115"/>
    </row>
    <row r="8" spans="1:6" x14ac:dyDescent="0.2">
      <c r="A8" s="105" t="s">
        <v>1313</v>
      </c>
      <c r="B8" s="105" t="s">
        <v>1314</v>
      </c>
      <c r="C8" s="105" t="s">
        <v>1315</v>
      </c>
      <c r="D8" s="105" t="s">
        <v>1316</v>
      </c>
      <c r="E8" s="105" t="s">
        <v>1317</v>
      </c>
      <c r="F8" s="113"/>
    </row>
    <row r="9" spans="1:6" x14ac:dyDescent="0.2">
      <c r="A9" s="105" t="s">
        <v>1318</v>
      </c>
      <c r="B9" s="105" t="s">
        <v>1319</v>
      </c>
      <c r="C9" s="105" t="s">
        <v>1320</v>
      </c>
      <c r="D9" s="105" t="s">
        <v>1321</v>
      </c>
      <c r="E9" s="105" t="s">
        <v>1322</v>
      </c>
      <c r="F9" s="111"/>
    </row>
    <row r="10" spans="1:6" x14ac:dyDescent="0.2">
      <c r="A10" s="105" t="s">
        <v>1323</v>
      </c>
      <c r="B10" s="105" t="s">
        <v>1324</v>
      </c>
      <c r="C10" s="105" t="s">
        <v>1325</v>
      </c>
      <c r="D10" s="105" t="s">
        <v>1326</v>
      </c>
      <c r="E10" s="105" t="s">
        <v>1307</v>
      </c>
      <c r="F10" s="109"/>
    </row>
    <row r="11" spans="1:6" x14ac:dyDescent="0.2">
      <c r="A11" s="105" t="s">
        <v>1327</v>
      </c>
      <c r="B11" s="105" t="s">
        <v>1324</v>
      </c>
      <c r="C11" s="105" t="s">
        <v>1328</v>
      </c>
      <c r="D11" s="105" t="s">
        <v>1329</v>
      </c>
      <c r="E11" s="105" t="s">
        <v>1330</v>
      </c>
      <c r="F11" s="106"/>
    </row>
    <row r="12" spans="1:6" x14ac:dyDescent="0.2">
      <c r="A12" s="105" t="s">
        <v>1331</v>
      </c>
      <c r="B12" s="105" t="s">
        <v>1332</v>
      </c>
      <c r="C12" s="105" t="s">
        <v>1333</v>
      </c>
      <c r="D12" s="105" t="s">
        <v>1334</v>
      </c>
      <c r="E12" s="105"/>
      <c r="F12" s="107"/>
    </row>
    <row r="13" spans="1:6" x14ac:dyDescent="0.2">
      <c r="A13" s="105" t="s">
        <v>1335</v>
      </c>
      <c r="B13" s="105" t="s">
        <v>1336</v>
      </c>
      <c r="C13" s="105" t="s">
        <v>1328</v>
      </c>
      <c r="D13" s="105" t="s">
        <v>1329</v>
      </c>
      <c r="E13" s="105"/>
      <c r="F13" s="106"/>
    </row>
    <row r="14" spans="1:6" x14ac:dyDescent="0.2">
      <c r="A14" s="105" t="s">
        <v>1337</v>
      </c>
      <c r="B14" s="105" t="s">
        <v>1338</v>
      </c>
      <c r="C14" s="105" t="s">
        <v>1300</v>
      </c>
      <c r="D14" s="105" t="s">
        <v>1301</v>
      </c>
      <c r="E14" s="105"/>
      <c r="F14" s="119"/>
    </row>
    <row r="15" spans="1:6" x14ac:dyDescent="0.2">
      <c r="A15" s="105" t="s">
        <v>1339</v>
      </c>
      <c r="B15" s="105" t="s">
        <v>1340</v>
      </c>
      <c r="C15" s="105" t="s">
        <v>1341</v>
      </c>
      <c r="D15" s="105" t="s">
        <v>1342</v>
      </c>
      <c r="E15" s="105"/>
      <c r="F15" s="118"/>
    </row>
    <row r="16" spans="1:6" x14ac:dyDescent="0.2">
      <c r="A16" s="105" t="s">
        <v>1343</v>
      </c>
      <c r="B16" s="105" t="s">
        <v>1344</v>
      </c>
      <c r="C16" s="105" t="s">
        <v>1345</v>
      </c>
      <c r="D16" s="105" t="s">
        <v>1346</v>
      </c>
      <c r="E16" s="105" t="s">
        <v>1347</v>
      </c>
      <c r="F16" s="116"/>
    </row>
    <row r="17" spans="1:6" x14ac:dyDescent="0.2">
      <c r="A17" s="105" t="s">
        <v>1348</v>
      </c>
      <c r="B17" s="105" t="s">
        <v>1349</v>
      </c>
      <c r="C17" s="105" t="s">
        <v>1350</v>
      </c>
      <c r="D17" s="105" t="s">
        <v>1346</v>
      </c>
      <c r="E17" s="105" t="s">
        <v>1351</v>
      </c>
      <c r="F17" s="114"/>
    </row>
    <row r="18" spans="1:6" x14ac:dyDescent="0.2">
      <c r="A18" s="105" t="s">
        <v>1352</v>
      </c>
      <c r="B18" s="105" t="s">
        <v>1353</v>
      </c>
      <c r="C18" s="105" t="s">
        <v>1354</v>
      </c>
      <c r="D18" s="105" t="s">
        <v>1346</v>
      </c>
      <c r="E18" s="105" t="s">
        <v>1355</v>
      </c>
      <c r="F18" s="112"/>
    </row>
    <row r="19" spans="1:6" x14ac:dyDescent="0.2">
      <c r="A19" s="105" t="s">
        <v>1356</v>
      </c>
      <c r="B19" s="105" t="s">
        <v>1357</v>
      </c>
      <c r="C19" s="105" t="s">
        <v>1358</v>
      </c>
      <c r="D19" s="105" t="s">
        <v>1346</v>
      </c>
      <c r="E19" s="105" t="s">
        <v>1359</v>
      </c>
      <c r="F19" s="110"/>
    </row>
    <row r="20" spans="1:6" x14ac:dyDescent="0.2">
      <c r="A20" s="105" t="s">
        <v>1360</v>
      </c>
      <c r="B20" s="105" t="s">
        <v>1361</v>
      </c>
      <c r="C20" s="105" t="s">
        <v>1362</v>
      </c>
      <c r="D20" s="105" t="s">
        <v>1346</v>
      </c>
      <c r="E20" s="105" t="s">
        <v>1363</v>
      </c>
      <c r="F20" s="10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FEFC-5AAF-664A-8EAE-3E0E9F29BB76}">
  <dimension ref="A1:F6"/>
  <sheetViews>
    <sheetView showGridLines="0" workbookViewId="0"/>
  </sheetViews>
  <sheetFormatPr baseColWidth="10" defaultColWidth="8.33203125" defaultRowHeight="15" x14ac:dyDescent="0.2"/>
  <cols>
    <col min="1" max="1" width="8.6640625" customWidth="1"/>
    <col min="2" max="2" width="18" customWidth="1"/>
    <col min="3" max="4" width="57.6640625" customWidth="1"/>
    <col min="5" max="5" width="81" customWidth="1"/>
    <col min="6" max="6" width="46" customWidth="1"/>
  </cols>
  <sheetData>
    <row r="1" spans="1: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">
      <c r="A2" s="148">
        <v>1</v>
      </c>
      <c r="B2" s="149">
        <v>46324.35933140047</v>
      </c>
      <c r="C2" s="148" t="s">
        <v>1364</v>
      </c>
      <c r="D2" s="148" t="s">
        <v>1365</v>
      </c>
      <c r="E2" s="148" t="s">
        <v>1366</v>
      </c>
      <c r="F2" s="148" t="s">
        <v>1367</v>
      </c>
    </row>
    <row r="3" spans="1:6" x14ac:dyDescent="0.2">
      <c r="A3" s="27"/>
      <c r="B3" s="32"/>
      <c r="C3" s="27"/>
      <c r="D3" s="27"/>
      <c r="E3" s="27"/>
      <c r="F3" s="27"/>
    </row>
    <row r="4" spans="1:6" x14ac:dyDescent="0.2">
      <c r="A4" s="88"/>
      <c r="B4" s="89"/>
      <c r="C4" s="88"/>
      <c r="D4" s="88"/>
      <c r="E4" s="88"/>
      <c r="F4" s="88"/>
    </row>
    <row r="5" spans="1:6" x14ac:dyDescent="0.2">
      <c r="A5" s="120"/>
      <c r="B5" s="121"/>
      <c r="C5" s="120"/>
      <c r="D5" s="120"/>
      <c r="E5" s="120"/>
      <c r="F5" s="120"/>
    </row>
    <row r="6" spans="1:6" x14ac:dyDescent="0.2">
      <c r="A6" s="128"/>
      <c r="B6" s="129"/>
      <c r="C6" s="128"/>
      <c r="D6" s="128"/>
      <c r="E6" s="128"/>
      <c r="F6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Claude Log</vt:lpstr>
      <vt:lpstr>00_Cover</vt:lpstr>
      <vt:lpstr>IS_Hist</vt:lpstr>
      <vt:lpstr>CI_Hist</vt:lpstr>
      <vt:lpstr>BS_Hist</vt:lpstr>
      <vt:lpstr>CF_Hist</vt:lpstr>
      <vt:lpstr>SCE_Hist</vt:lpstr>
      <vt:lpstr>Revenue_Hist</vt:lpstr>
      <vt:lpstr>Assumptions</vt:lpstr>
      <vt:lpstr>Interim_Bridge</vt:lpstr>
      <vt:lpstr>Revenue_Build</vt:lpstr>
      <vt:lpstr>Schedules</vt:lpstr>
      <vt:lpstr>Forecast_3Stmt</vt:lpstr>
      <vt:lpstr>Debt_Credit</vt:lpstr>
      <vt:lpstr>Market_Package</vt:lpstr>
      <vt:lpstr>DCF</vt:lpstr>
      <vt:lpstr>Valuation</vt:lpstr>
      <vt:lpstr>Sensitivity</vt:lpstr>
      <vt:lpstr>Scenario_Summary</vt:lpstr>
      <vt:lpstr>Limitations</vt:lpstr>
      <vt:lpstr>Checks</vt:lpstr>
      <vt:lpstr>Recasts</vt:lpstr>
      <vt:lpstr>FormatRules</vt:lpstr>
      <vt:lpstr>Claude Code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OpenFinmods</ns0:lastModifiedBy>
  <ns1:modified xsi:type="dcterms:W3CDTF">2026-10-27T19:51:00Z</ns1:modified>
</ns0:coreProperties>
</file>