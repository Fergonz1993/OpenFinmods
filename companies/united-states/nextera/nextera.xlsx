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Calc"/>
  <workbookPr/>
  <workbookProtection/>
  <bookViews>
    <workbookView xWindow="0" yWindow="0" windowWidth="16384" windowHeight="8192" tabRatio="600"/>
  </bookViews>
  <sheets>
    <sheet name="00_Cover" sheetId="1" r:id="rId3"/>
    <sheet name="Sources" sheetId="2" r:id="rId4"/>
    <sheet name="Historical" sheetId="3" r:id="rId5"/>
    <sheet name="Assumptions" sheetId="4" r:id="rId6"/>
    <sheet name="Forecast" sheetId="5" r:id="rId7"/>
    <sheet name="Valuation" sheetId="6" r:id="rId8"/>
    <sheet name="Sensitivity" sheetId="7" r:id="rId9"/>
    <sheet name="Checks" sheetId="8" r:id="rId10"/>
    <sheet name="Sector_KPIs" sheetId="9" r:id="rId11"/>
    <sheet name="Change_Log" sheetId="10" r:id="rId12"/>
    <sheet name="Gate_9of10" sheetId="11" r:id="rId13"/>
    <sheet name="Claude Code Log" sheetId="12" r:id="rId15"/>
  </sheets>
  <calcPr calcId="0" iterateCount="100" iterateDelta="0.001"/>
  <extLst>
    <ext xmlns:loext="http://schemas.libreoffice.org/" uri="{7626C862-2A13-11E5-B345-FEFF819CDC9F}">
      <loext:extCalcPr stringRefSyntax="CalcA1ExcelA1"/>
    </ext>
  </extLst>
</workbook>
</file>

<file path=xl/comments3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tc={46DA8072-9260-7732-B7C2-BB587B21E1BE}</author>
    <author>tc={F35BCB00-6ED2-BE9E-6F2E-115BA78BC2D7}</author>
    <author>tc={0B1DEF41-DBFB-E7B9-136E-21201F57AC63}</author>
    <author>tc={EB2DD971-FC0D-F01F-1396-8238C6D4036E}</author>
    <author>tc={81D1A02D-CC3C-413E-914A-3CD9BA73CD7C}</author>
    <author>tc={959C1E0E-2026-F09A-A6FF-6BA09C264E10}</author>
    <author>tc={EA27D71B-E00D-45A1-41AD-344247E9D08E}</author>
    <author>tc={3CF85B99-869E-C812-BE19-DE8C60F13402}</author>
    <author>tc={095E8EF1-3BF3-B90A-46C9-75A6DCDCE508}</author>
    <author>tc={EF3B8CCA-B3BB-48DA-E480-388949B17FEF}</author>
    <author>tc={52A1189B-100B-1181-DDDB-57EFBB4A8083}</author>
    <author>tc={537BEC3F-4F38-A567-94F7-59E10A56791E}</author>
    <author>tc={41379244-F807-50AB-5BF1-2C81DEACECEC}</author>
    <author>tc={A65151CD-71B5-FD85-F5CD-44F474F6ABCB}</author>
    <author>tc={A7E4363C-0416-1D0E-6959-31FCB786E6FE}</author>
    <author>tc={44CD3755-5A2B-7066-3911-134FCA3E0AE3}</author>
    <author>tc={02B24CB1-1FD7-746C-0363-2741EC519790}</author>
    <author>tc={749B1C5C-A977-BF24-82AE-E93DE9466CFD}</author>
    <author>tc={11401CA4-01C4-1C87-670C-5274359D023C}</author>
    <author>tc={CB3EC3B9-1B88-BF18-7E66-EEB60584A04B}</author>
    <author>tc={147EEA8F-9CC7-9E38-3225-CB5A45869746}</author>
    <author>tc={489CE28D-76A3-271D-2A68-67AD9DD3F92C}</author>
    <author>tc={71B960C5-230D-FD5B-2B88-84ECF63100E5}</author>
    <author>tc={1D87B1D5-54B3-E81D-00F0-1AB0F2BA9D08}</author>
    <author>tc={DE082F83-FBA0-84F6-22B7-712CFB7310AA}</author>
    <author>tc={8309A203-8AB3-7AEF-582C-D882BCA76668}</author>
    <author>tc={36D767C6-91D4-210E-1548-A82C023693A8}</author>
    <author>tc={4F2B21BE-B487-B4D7-1670-5DAB5AD0C9FB}</author>
    <author>tc={D8AA0367-CEFC-2456-7F59-466048E1DF13}</author>
    <author>tc={D3ABA447-D10A-0071-496F-41947E1A7826}</author>
    <author>tc={2C07F882-4CD1-8B37-38BF-BDB2ABB78998}</author>
    <author>tc={A34F2E2B-172B-7AE7-A903-7E3EEEA2D04D}</author>
    <author>tc={1E094645-7900-22E0-45A8-00848C187208}</author>
    <author>tc={7D2E6C99-AF16-DDE0-BE1B-E62C617376BB}</author>
    <author>tc={6602755B-4B67-3E1E-7EED-171367776C87}</author>
    <author>tc={5324C28D-53B4-1771-000B-2AA16BE3F716}</author>
    <author>tc={F019ED8A-F3AA-959F-9BC2-68632ED0CE88}</author>
    <author>tc={B2FCEC69-8EE6-A761-0FFE-C86DFACD0F09}</author>
    <author>tc={25021C3B-C851-ECDB-768B-8FB94D50E816}</author>
  </authors>
  <commentList>
    <comment ref="C5" authorId="0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Source: NextEra Energy, Inc. 2025 Form 10-K / SEC Company Facts. Exact provenance is recorded on Sources. Retrieval: 2026-07-16.</t>
        </r>
      </text>
      <commentPr locked="0" textHAlign="justify" textVAlign="top">
        <anchor>
          <from>
            <xdr:col>2</xdr:col>
            <xdr:colOff>15</xdr:colOff>
            <xdr:row>4</xdr:row>
            <xdr:rowOff>2</xdr:rowOff>
          </from>
          <to>
            <xdr:col>4</xdr:col>
            <xdr:colOff>15</xdr:colOff>
            <xdr:row>8</xdr:row>
            <xdr:rowOff>2</xdr:rowOff>
          </to>
        </anchor>
      </commentPr>
    </comment>
    <comment ref="C6" authorId="1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Source: NextEra Energy, Inc. 2025 Form 10-K / SEC Company Facts. Exact provenance is recorded on Sources. Retrieval: 2026-07-16.</t>
        </r>
      </text>
      <commentPr locked="0" textHAlign="justify" textVAlign="top">
        <anchor>
          <from>
            <xdr:col>2</xdr:col>
            <xdr:colOff>15</xdr:colOff>
            <xdr:row>5</xdr:row>
            <xdr:rowOff>2</xdr:rowOff>
          </from>
          <to>
            <xdr:col>4</xdr:col>
            <xdr:colOff>15</xdr:colOff>
            <xdr:row>9</xdr:row>
            <xdr:rowOff>2</xdr:rowOff>
          </to>
        </anchor>
      </commentPr>
    </comment>
    <comment ref="C7" authorId="2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Source: NextEra Energy, Inc. 2025 Form 10-K / SEC Company Facts. Exact provenance is recorded on Sources. Retrieval: 2026-07-16.</t>
        </r>
      </text>
      <commentPr locked="0" textHAlign="justify" textVAlign="top">
        <anchor>
          <from>
            <xdr:col>2</xdr:col>
            <xdr:colOff>15</xdr:colOff>
            <xdr:row>6</xdr:row>
            <xdr:rowOff>2</xdr:rowOff>
          </from>
          <to>
            <xdr:col>4</xdr:col>
            <xdr:colOff>15</xdr:colOff>
            <xdr:row>10</xdr:row>
            <xdr:rowOff>2</xdr:rowOff>
          </to>
        </anchor>
      </commentPr>
    </comment>
    <comment ref="C8" authorId="3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Source: NextEra Energy, Inc. 2025 Form 10-K / SEC Company Facts. Exact provenance is recorded on Sources. Retrieval: 2026-07-16.</t>
        </r>
      </text>
      <commentPr locked="0" textHAlign="justify" textVAlign="top">
        <anchor>
          <from>
            <xdr:col>2</xdr:col>
            <xdr:colOff>15</xdr:colOff>
            <xdr:row>7</xdr:row>
            <xdr:rowOff>2</xdr:rowOff>
          </from>
          <to>
            <xdr:col>4</xdr:col>
            <xdr:colOff>15</xdr:colOff>
            <xdr:row>11</xdr:row>
            <xdr:rowOff>2</xdr:rowOff>
          </to>
        </anchor>
      </commentPr>
    </comment>
    <comment ref="C9" authorId="4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Source: NextEra Energy, Inc. 2025 Form 10-K / SEC Company Facts. Exact provenance is recorded on Sources. Retrieval: 2026-07-16.</t>
        </r>
      </text>
      <commentPr locked="0" textHAlign="justify" textVAlign="top">
        <anchor>
          <from>
            <xdr:col>2</xdr:col>
            <xdr:colOff>15</xdr:colOff>
            <xdr:row>8</xdr:row>
            <xdr:rowOff>2</xdr:rowOff>
          </from>
          <to>
            <xdr:col>4</xdr:col>
            <xdr:colOff>15</xdr:colOff>
            <xdr:row>12</xdr:row>
            <xdr:rowOff>2</xdr:rowOff>
          </to>
        </anchor>
      </commentPr>
    </comment>
    <comment ref="C10" authorId="5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Source: NextEra Energy, Inc. 2025 Form 10-K / SEC Company Facts. Exact provenance is recorded on Sources. Retrieval: 2026-07-16.</t>
        </r>
      </text>
      <commentPr locked="0" textHAlign="justify" textVAlign="top">
        <anchor>
          <from>
            <xdr:col>2</xdr:col>
            <xdr:colOff>15</xdr:colOff>
            <xdr:row>9</xdr:row>
            <xdr:rowOff>2</xdr:rowOff>
          </from>
          <to>
            <xdr:col>4</xdr:col>
            <xdr:colOff>15</xdr:colOff>
            <xdr:row>13</xdr:row>
            <xdr:rowOff>2</xdr:rowOff>
          </to>
        </anchor>
      </commentPr>
    </comment>
    <comment ref="C11" authorId="6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Source: NextEra Energy, Inc. 2025 Form 10-K / SEC Company Facts. Exact provenance is recorded on Sources. Retrieval: 2026-07-16.</t>
        </r>
      </text>
      <commentPr locked="0" textHAlign="justify" textVAlign="top">
        <anchor>
          <from>
            <xdr:col>2</xdr:col>
            <xdr:colOff>15</xdr:colOff>
            <xdr:row>10</xdr:row>
            <xdr:rowOff>2</xdr:rowOff>
          </from>
          <to>
            <xdr:col>4</xdr:col>
            <xdr:colOff>15</xdr:colOff>
            <xdr:row>14</xdr:row>
            <xdr:rowOff>2</xdr:rowOff>
          </to>
        </anchor>
      </commentPr>
    </comment>
    <comment ref="C12" authorId="7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Source: NextEra Energy, Inc. 2025 Form 10-K / SEC Company Facts. Exact provenance is recorded on Sources. Retrieval: 2026-07-16.</t>
        </r>
      </text>
      <commentPr locked="0" textHAlign="justify" textVAlign="top">
        <anchor>
          <from>
            <xdr:col>2</xdr:col>
            <xdr:colOff>15</xdr:colOff>
            <xdr:row>11</xdr:row>
            <xdr:rowOff>2</xdr:rowOff>
          </from>
          <to>
            <xdr:col>4</xdr:col>
            <xdr:colOff>15</xdr:colOff>
            <xdr:row>15</xdr:row>
            <xdr:rowOff>2</xdr:rowOff>
          </to>
        </anchor>
      </commentPr>
    </comment>
    <comment ref="C13" authorId="8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Source: NextEra Energy, Inc. 2025 Form 10-K / SEC Company Facts. Exact provenance is recorded on Sources. Retrieval: 2026-07-16.</t>
        </r>
      </text>
      <commentPr locked="0" textHAlign="justify" textVAlign="top">
        <anchor>
          <from>
            <xdr:col>2</xdr:col>
            <xdr:colOff>15</xdr:colOff>
            <xdr:row>12</xdr:row>
            <xdr:rowOff>2</xdr:rowOff>
          </from>
          <to>
            <xdr:col>4</xdr:col>
            <xdr:colOff>15</xdr:colOff>
            <xdr:row>16</xdr:row>
            <xdr:rowOff>2</xdr:rowOff>
          </to>
        </anchor>
      </commentPr>
    </comment>
    <comment ref="C14" authorId="9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Source: NextEra Energy, Inc. 2025 Form 10-K / SEC Company Facts. Exact provenance is recorded on Sources. Retrieval: 2026-07-16.</t>
        </r>
      </text>
      <commentPr locked="0" textHAlign="justify" textVAlign="top">
        <anchor>
          <from>
            <xdr:col>2</xdr:col>
            <xdr:colOff>15</xdr:colOff>
            <xdr:row>13</xdr:row>
            <xdr:rowOff>2</xdr:rowOff>
          </from>
          <to>
            <xdr:col>4</xdr:col>
            <xdr:colOff>15</xdr:colOff>
            <xdr:row>17</xdr:row>
            <xdr:rowOff>2</xdr:rowOff>
          </to>
        </anchor>
      </commentPr>
    </comment>
    <comment ref="C15" authorId="10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Source: NextEra Energy, Inc. 2025 Form 10-K / SEC Company Facts. Exact provenance is recorded on Sources. Retrieval: 2026-07-16.</t>
        </r>
      </text>
      <commentPr locked="0" textHAlign="justify" textVAlign="top">
        <anchor>
          <from>
            <xdr:col>2</xdr:col>
            <xdr:colOff>15</xdr:colOff>
            <xdr:row>14</xdr:row>
            <xdr:rowOff>2</xdr:rowOff>
          </from>
          <to>
            <xdr:col>4</xdr:col>
            <xdr:colOff>15</xdr:colOff>
            <xdr:row>18</xdr:row>
            <xdr:rowOff>2</xdr:rowOff>
          </to>
        </anchor>
      </commentPr>
    </comment>
    <comment ref="C16" authorId="11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Source: NextEra Energy, Inc. 2025 Form 10-K / SEC Company Facts. Exact provenance is recorded on Sources. Retrieval: 2026-07-16.</t>
        </r>
      </text>
      <commentPr locked="0" textHAlign="justify" textVAlign="top">
        <anchor>
          <from>
            <xdr:col>2</xdr:col>
            <xdr:colOff>15</xdr:colOff>
            <xdr:row>15</xdr:row>
            <xdr:rowOff>2</xdr:rowOff>
          </from>
          <to>
            <xdr:col>4</xdr:col>
            <xdr:colOff>15</xdr:colOff>
            <xdr:row>19</xdr:row>
            <xdr:rowOff>2</xdr:rowOff>
          </to>
        </anchor>
      </commentPr>
    </comment>
    <comment ref="C17" authorId="12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Source: NextEra Energy, Inc. 2025 Form 10-K / SEC Company Facts. Exact provenance is recorded on Sources. Retrieval: 2026-07-16.</t>
        </r>
      </text>
      <commentPr locked="0" textHAlign="justify" textVAlign="top">
        <anchor>
          <from>
            <xdr:col>2</xdr:col>
            <xdr:colOff>15</xdr:colOff>
            <xdr:row>16</xdr:row>
            <xdr:rowOff>2</xdr:rowOff>
          </from>
          <to>
            <xdr:col>4</xdr:col>
            <xdr:colOff>15</xdr:colOff>
            <xdr:row>20</xdr:row>
            <xdr:rowOff>2</xdr:rowOff>
          </to>
        </anchor>
      </commentPr>
    </comment>
    <comment ref="D5" authorId="13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Source: NextEra Energy, Inc. 2025 Form 10-K / SEC Company Facts. Exact provenance is recorded on Sources. Retrieval: 2026-07-16.</t>
        </r>
      </text>
      <commentPr locked="0" textHAlign="justify" textVAlign="top">
        <anchor>
          <from>
            <xdr:col>3</xdr:col>
            <xdr:colOff>15</xdr:colOff>
            <xdr:row>4</xdr:row>
            <xdr:rowOff>2</xdr:rowOff>
          </from>
          <to>
            <xdr:col>5</xdr:col>
            <xdr:colOff>15</xdr:colOff>
            <xdr:row>8</xdr:row>
            <xdr:rowOff>2</xdr:rowOff>
          </to>
        </anchor>
      </commentPr>
    </comment>
    <comment ref="D6" authorId="14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Source: NextEra Energy, Inc. 2025 Form 10-K / SEC Company Facts. Exact provenance is recorded on Sources. Retrieval: 2026-07-16.</t>
        </r>
      </text>
      <commentPr locked="0" textHAlign="justify" textVAlign="top">
        <anchor>
          <from>
            <xdr:col>3</xdr:col>
            <xdr:colOff>15</xdr:colOff>
            <xdr:row>5</xdr:row>
            <xdr:rowOff>2</xdr:rowOff>
          </from>
          <to>
            <xdr:col>5</xdr:col>
            <xdr:colOff>15</xdr:colOff>
            <xdr:row>9</xdr:row>
            <xdr:rowOff>2</xdr:rowOff>
          </to>
        </anchor>
      </commentPr>
    </comment>
    <comment ref="D7" authorId="15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Source: NextEra Energy, Inc. 2025 Form 10-K / SEC Company Facts. Exact provenance is recorded on Sources. Retrieval: 2026-07-16.</t>
        </r>
      </text>
      <commentPr locked="0" textHAlign="justify" textVAlign="top">
        <anchor>
          <from>
            <xdr:col>3</xdr:col>
            <xdr:colOff>15</xdr:colOff>
            <xdr:row>6</xdr:row>
            <xdr:rowOff>2</xdr:rowOff>
          </from>
          <to>
            <xdr:col>5</xdr:col>
            <xdr:colOff>15</xdr:colOff>
            <xdr:row>10</xdr:row>
            <xdr:rowOff>2</xdr:rowOff>
          </to>
        </anchor>
      </commentPr>
    </comment>
    <comment ref="D8" authorId="16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Source: NextEra Energy, Inc. 2025 Form 10-K / SEC Company Facts. Exact provenance is recorded on Sources. Retrieval: 2026-07-16.</t>
        </r>
      </text>
      <commentPr locked="0" textHAlign="justify" textVAlign="top">
        <anchor>
          <from>
            <xdr:col>3</xdr:col>
            <xdr:colOff>15</xdr:colOff>
            <xdr:row>7</xdr:row>
            <xdr:rowOff>2</xdr:rowOff>
          </from>
          <to>
            <xdr:col>5</xdr:col>
            <xdr:colOff>15</xdr:colOff>
            <xdr:row>11</xdr:row>
            <xdr:rowOff>2</xdr:rowOff>
          </to>
        </anchor>
      </commentPr>
    </comment>
    <comment ref="D9" authorId="17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Source: NextEra Energy, Inc. 2025 Form 10-K / SEC Company Facts. Exact provenance is recorded on Sources. Retrieval: 2026-07-16.</t>
        </r>
      </text>
      <commentPr locked="0" textHAlign="justify" textVAlign="top">
        <anchor>
          <from>
            <xdr:col>3</xdr:col>
            <xdr:colOff>15</xdr:colOff>
            <xdr:row>8</xdr:row>
            <xdr:rowOff>2</xdr:rowOff>
          </from>
          <to>
            <xdr:col>5</xdr:col>
            <xdr:colOff>15</xdr:colOff>
            <xdr:row>12</xdr:row>
            <xdr:rowOff>2</xdr:rowOff>
          </to>
        </anchor>
      </commentPr>
    </comment>
    <comment ref="D10" authorId="18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Source: NextEra Energy, Inc. 2025 Form 10-K / SEC Company Facts. Exact provenance is recorded on Sources. Retrieval: 2026-07-16.</t>
        </r>
      </text>
      <commentPr locked="0" textHAlign="justify" textVAlign="top">
        <anchor>
          <from>
            <xdr:col>3</xdr:col>
            <xdr:colOff>15</xdr:colOff>
            <xdr:row>9</xdr:row>
            <xdr:rowOff>2</xdr:rowOff>
          </from>
          <to>
            <xdr:col>5</xdr:col>
            <xdr:colOff>15</xdr:colOff>
            <xdr:row>13</xdr:row>
            <xdr:rowOff>2</xdr:rowOff>
          </to>
        </anchor>
      </commentPr>
    </comment>
    <comment ref="D11" authorId="19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Source: NextEra Energy, Inc. 2025 Form 10-K / SEC Company Facts. Exact provenance is recorded on Sources. Retrieval: 2026-07-16.</t>
        </r>
      </text>
      <commentPr locked="0" textHAlign="justify" textVAlign="top">
        <anchor>
          <from>
            <xdr:col>3</xdr:col>
            <xdr:colOff>15</xdr:colOff>
            <xdr:row>10</xdr:row>
            <xdr:rowOff>2</xdr:rowOff>
          </from>
          <to>
            <xdr:col>5</xdr:col>
            <xdr:colOff>15</xdr:colOff>
            <xdr:row>14</xdr:row>
            <xdr:rowOff>2</xdr:rowOff>
          </to>
        </anchor>
      </commentPr>
    </comment>
    <comment ref="D12" authorId="20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Source: NextEra Energy, Inc. 2025 Form 10-K / SEC Company Facts. Exact provenance is recorded on Sources. Retrieval: 2026-07-16.</t>
        </r>
      </text>
      <commentPr locked="0" textHAlign="justify" textVAlign="top">
        <anchor>
          <from>
            <xdr:col>3</xdr:col>
            <xdr:colOff>15</xdr:colOff>
            <xdr:row>11</xdr:row>
            <xdr:rowOff>2</xdr:rowOff>
          </from>
          <to>
            <xdr:col>5</xdr:col>
            <xdr:colOff>15</xdr:colOff>
            <xdr:row>15</xdr:row>
            <xdr:rowOff>2</xdr:rowOff>
          </to>
        </anchor>
      </commentPr>
    </comment>
    <comment ref="D13" authorId="21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Source: NextEra Energy, Inc. 2025 Form 10-K / SEC Company Facts. Exact provenance is recorded on Sources. Retrieval: 2026-07-16.</t>
        </r>
      </text>
      <commentPr locked="0" textHAlign="justify" textVAlign="top">
        <anchor>
          <from>
            <xdr:col>3</xdr:col>
            <xdr:colOff>15</xdr:colOff>
            <xdr:row>12</xdr:row>
            <xdr:rowOff>2</xdr:rowOff>
          </from>
          <to>
            <xdr:col>5</xdr:col>
            <xdr:colOff>15</xdr:colOff>
            <xdr:row>16</xdr:row>
            <xdr:rowOff>2</xdr:rowOff>
          </to>
        </anchor>
      </commentPr>
    </comment>
    <comment ref="D14" authorId="22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Source: NextEra Energy, Inc. 2025 Form 10-K / SEC Company Facts. Exact provenance is recorded on Sources. Retrieval: 2026-07-16.</t>
        </r>
      </text>
      <commentPr locked="0" textHAlign="justify" textVAlign="top">
        <anchor>
          <from>
            <xdr:col>3</xdr:col>
            <xdr:colOff>15</xdr:colOff>
            <xdr:row>13</xdr:row>
            <xdr:rowOff>2</xdr:rowOff>
          </from>
          <to>
            <xdr:col>5</xdr:col>
            <xdr:colOff>15</xdr:colOff>
            <xdr:row>17</xdr:row>
            <xdr:rowOff>2</xdr:rowOff>
          </to>
        </anchor>
      </commentPr>
    </comment>
    <comment ref="D15" authorId="23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Source: NextEra Energy, Inc. 2025 Form 10-K / SEC Company Facts. Exact provenance is recorded on Sources. Retrieval: 2026-07-16.</t>
        </r>
      </text>
      <commentPr locked="0" textHAlign="justify" textVAlign="top">
        <anchor>
          <from>
            <xdr:col>3</xdr:col>
            <xdr:colOff>15</xdr:colOff>
            <xdr:row>14</xdr:row>
            <xdr:rowOff>2</xdr:rowOff>
          </from>
          <to>
            <xdr:col>5</xdr:col>
            <xdr:colOff>15</xdr:colOff>
            <xdr:row>18</xdr:row>
            <xdr:rowOff>2</xdr:rowOff>
          </to>
        </anchor>
      </commentPr>
    </comment>
    <comment ref="D16" authorId="24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Source: NextEra Energy, Inc. 2025 Form 10-K / SEC Company Facts. Exact provenance is recorded on Sources. Retrieval: 2026-07-16.</t>
        </r>
      </text>
      <commentPr locked="0" textHAlign="justify" textVAlign="top">
        <anchor>
          <from>
            <xdr:col>3</xdr:col>
            <xdr:colOff>15</xdr:colOff>
            <xdr:row>15</xdr:row>
            <xdr:rowOff>2</xdr:rowOff>
          </from>
          <to>
            <xdr:col>5</xdr:col>
            <xdr:colOff>15</xdr:colOff>
            <xdr:row>19</xdr:row>
            <xdr:rowOff>2</xdr:rowOff>
          </to>
        </anchor>
      </commentPr>
    </comment>
    <comment ref="D17" authorId="25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Source: NextEra Energy, Inc. 2025 Form 10-K / SEC Company Facts. Exact provenance is recorded on Sources. Retrieval: 2026-07-16.</t>
        </r>
      </text>
      <commentPr locked="0" textHAlign="justify" textVAlign="top">
        <anchor>
          <from>
            <xdr:col>3</xdr:col>
            <xdr:colOff>15</xdr:colOff>
            <xdr:row>16</xdr:row>
            <xdr:rowOff>2</xdr:rowOff>
          </from>
          <to>
            <xdr:col>5</xdr:col>
            <xdr:colOff>15</xdr:colOff>
            <xdr:row>20</xdr:row>
            <xdr:rowOff>2</xdr:rowOff>
          </to>
        </anchor>
      </commentPr>
    </comment>
    <comment ref="E5" authorId="26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Source: NextEra Energy, Inc. 2025 Form 10-K / SEC Company Facts. Exact provenance is recorded on Sources. Retrieval: 2026-07-16.</t>
        </r>
      </text>
      <commentPr locked="0" textHAlign="justify" textVAlign="top">
        <anchor>
          <from>
            <xdr:col>4</xdr:col>
            <xdr:colOff>15</xdr:colOff>
            <xdr:row>4</xdr:row>
            <xdr:rowOff>2</xdr:rowOff>
          </from>
          <to>
            <xdr:col>6</xdr:col>
            <xdr:colOff>15</xdr:colOff>
            <xdr:row>8</xdr:row>
            <xdr:rowOff>2</xdr:rowOff>
          </to>
        </anchor>
      </commentPr>
    </comment>
    <comment ref="E6" authorId="27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Source: NextEra Energy, Inc. 2025 Form 10-K / SEC Company Facts. Exact provenance is recorded on Sources. Retrieval: 2026-07-16.</t>
        </r>
      </text>
      <commentPr locked="0" textHAlign="justify" textVAlign="top">
        <anchor>
          <from>
            <xdr:col>4</xdr:col>
            <xdr:colOff>15</xdr:colOff>
            <xdr:row>5</xdr:row>
            <xdr:rowOff>2</xdr:rowOff>
          </from>
          <to>
            <xdr:col>6</xdr:col>
            <xdr:colOff>15</xdr:colOff>
            <xdr:row>9</xdr:row>
            <xdr:rowOff>2</xdr:rowOff>
          </to>
        </anchor>
      </commentPr>
    </comment>
    <comment ref="E7" authorId="28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Source: NextEra Energy, Inc. 2025 Form 10-K / SEC Company Facts. Exact provenance is recorded on Sources. Retrieval: 2026-07-16.</t>
        </r>
      </text>
      <commentPr locked="0" textHAlign="justify" textVAlign="top">
        <anchor>
          <from>
            <xdr:col>4</xdr:col>
            <xdr:colOff>15</xdr:colOff>
            <xdr:row>6</xdr:row>
            <xdr:rowOff>2</xdr:rowOff>
          </from>
          <to>
            <xdr:col>6</xdr:col>
            <xdr:colOff>15</xdr:colOff>
            <xdr:row>10</xdr:row>
            <xdr:rowOff>2</xdr:rowOff>
          </to>
        </anchor>
      </commentPr>
    </comment>
    <comment ref="E8" authorId="29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Source: NextEra Energy, Inc. 2025 Form 10-K / SEC Company Facts. Exact provenance is recorded on Sources. Retrieval: 2026-07-16.</t>
        </r>
      </text>
      <commentPr locked="0" textHAlign="justify" textVAlign="top">
        <anchor>
          <from>
            <xdr:col>4</xdr:col>
            <xdr:colOff>15</xdr:colOff>
            <xdr:row>7</xdr:row>
            <xdr:rowOff>2</xdr:rowOff>
          </from>
          <to>
            <xdr:col>6</xdr:col>
            <xdr:colOff>15</xdr:colOff>
            <xdr:row>11</xdr:row>
            <xdr:rowOff>2</xdr:rowOff>
          </to>
        </anchor>
      </commentPr>
    </comment>
    <comment ref="E9" authorId="30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Source: NextEra Energy, Inc. 2025 Form 10-K / SEC Company Facts. Exact provenance is recorded on Sources. Retrieval: 2026-07-16.</t>
        </r>
      </text>
      <commentPr locked="0" textHAlign="justify" textVAlign="top">
        <anchor>
          <from>
            <xdr:col>4</xdr:col>
            <xdr:colOff>15</xdr:colOff>
            <xdr:row>8</xdr:row>
            <xdr:rowOff>2</xdr:rowOff>
          </from>
          <to>
            <xdr:col>6</xdr:col>
            <xdr:colOff>15</xdr:colOff>
            <xdr:row>12</xdr:row>
            <xdr:rowOff>2</xdr:rowOff>
          </to>
        </anchor>
      </commentPr>
    </comment>
    <comment ref="E10" authorId="31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Source: NextEra Energy, Inc. 2025 Form 10-K / SEC Company Facts. Exact provenance is recorded on Sources. Retrieval: 2026-07-16.</t>
        </r>
      </text>
      <commentPr locked="0" textHAlign="justify" textVAlign="top">
        <anchor>
          <from>
            <xdr:col>4</xdr:col>
            <xdr:colOff>15</xdr:colOff>
            <xdr:row>9</xdr:row>
            <xdr:rowOff>2</xdr:rowOff>
          </from>
          <to>
            <xdr:col>6</xdr:col>
            <xdr:colOff>15</xdr:colOff>
            <xdr:row>13</xdr:row>
            <xdr:rowOff>2</xdr:rowOff>
          </to>
        </anchor>
      </commentPr>
    </comment>
    <comment ref="E11" authorId="32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Source: NextEra Energy, Inc. 2025 Form 10-K / SEC Company Facts. Exact provenance is recorded on Sources. Retrieval: 2026-07-16.</t>
        </r>
      </text>
      <commentPr locked="0" textHAlign="justify" textVAlign="top">
        <anchor>
          <from>
            <xdr:col>4</xdr:col>
            <xdr:colOff>15</xdr:colOff>
            <xdr:row>10</xdr:row>
            <xdr:rowOff>2</xdr:rowOff>
          </from>
          <to>
            <xdr:col>6</xdr:col>
            <xdr:colOff>15</xdr:colOff>
            <xdr:row>14</xdr:row>
            <xdr:rowOff>2</xdr:rowOff>
          </to>
        </anchor>
      </commentPr>
    </comment>
    <comment ref="E12" authorId="33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Source: NextEra Energy, Inc. 2025 Form 10-K / SEC Company Facts. Exact provenance is recorded on Sources. Retrieval: 2026-07-16.</t>
        </r>
      </text>
      <commentPr locked="0" textHAlign="justify" textVAlign="top">
        <anchor>
          <from>
            <xdr:col>4</xdr:col>
            <xdr:colOff>15</xdr:colOff>
            <xdr:row>11</xdr:row>
            <xdr:rowOff>2</xdr:rowOff>
          </from>
          <to>
            <xdr:col>6</xdr:col>
            <xdr:colOff>15</xdr:colOff>
            <xdr:row>15</xdr:row>
            <xdr:rowOff>2</xdr:rowOff>
          </to>
        </anchor>
      </commentPr>
    </comment>
    <comment ref="E13" authorId="34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Source: NextEra Energy, Inc. 2025 Form 10-K / SEC Company Facts. Exact provenance is recorded on Sources. Retrieval: 2026-07-16.</t>
        </r>
      </text>
      <commentPr locked="0" textHAlign="justify" textVAlign="top">
        <anchor>
          <from>
            <xdr:col>4</xdr:col>
            <xdr:colOff>15</xdr:colOff>
            <xdr:row>12</xdr:row>
            <xdr:rowOff>2</xdr:rowOff>
          </from>
          <to>
            <xdr:col>6</xdr:col>
            <xdr:colOff>15</xdr:colOff>
            <xdr:row>16</xdr:row>
            <xdr:rowOff>2</xdr:rowOff>
          </to>
        </anchor>
      </commentPr>
    </comment>
    <comment ref="E14" authorId="35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Source: NextEra Energy, Inc. 2025 Form 10-K / SEC Company Facts. Exact provenance is recorded on Sources. Retrieval: 2026-07-16.</t>
        </r>
      </text>
      <commentPr locked="0" textHAlign="justify" textVAlign="top">
        <anchor>
          <from>
            <xdr:col>4</xdr:col>
            <xdr:colOff>15</xdr:colOff>
            <xdr:row>13</xdr:row>
            <xdr:rowOff>2</xdr:rowOff>
          </from>
          <to>
            <xdr:col>6</xdr:col>
            <xdr:colOff>15</xdr:colOff>
            <xdr:row>17</xdr:row>
            <xdr:rowOff>2</xdr:rowOff>
          </to>
        </anchor>
      </commentPr>
    </comment>
    <comment ref="E15" authorId="36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Source: NextEra Energy, Inc. 2025 Form 10-K / SEC Company Facts. Exact provenance is recorded on Sources. Retrieval: 2026-07-16.</t>
        </r>
      </text>
      <commentPr locked="0" textHAlign="justify" textVAlign="top">
        <anchor>
          <from>
            <xdr:col>4</xdr:col>
            <xdr:colOff>15</xdr:colOff>
            <xdr:row>14</xdr:row>
            <xdr:rowOff>2</xdr:rowOff>
          </from>
          <to>
            <xdr:col>6</xdr:col>
            <xdr:colOff>15</xdr:colOff>
            <xdr:row>18</xdr:row>
            <xdr:rowOff>2</xdr:rowOff>
          </to>
        </anchor>
      </commentPr>
    </comment>
    <comment ref="E16" authorId="37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Source: NextEra Energy, Inc. 2025 Form 10-K / SEC Company Facts. Exact provenance is recorded on Sources. Retrieval: 2026-07-16.</t>
        </r>
      </text>
      <commentPr locked="0" textHAlign="justify" textVAlign="top">
        <anchor>
          <from>
            <xdr:col>4</xdr:col>
            <xdr:colOff>15</xdr:colOff>
            <xdr:row>15</xdr:row>
            <xdr:rowOff>2</xdr:rowOff>
          </from>
          <to>
            <xdr:col>6</xdr:col>
            <xdr:colOff>15</xdr:colOff>
            <xdr:row>19</xdr:row>
            <xdr:rowOff>2</xdr:rowOff>
          </to>
        </anchor>
      </commentPr>
    </comment>
    <comment ref="E17" authorId="38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Source: NextEra Energy, Inc. 2025 Form 10-K / SEC Company Facts. Exact provenance is recorded on Sources. Retrieval: 2026-07-16.</t>
        </r>
      </text>
      <commentPr locked="0" textHAlign="justify" textVAlign="top">
        <anchor>
          <from>
            <xdr:col>4</xdr:col>
            <xdr:colOff>15</xdr:colOff>
            <xdr:row>16</xdr:row>
            <xdr:rowOff>2</xdr:rowOff>
          </from>
          <to>
            <xdr:col>6</xdr:col>
            <xdr:colOff>15</xdr:colOff>
            <xdr:row>20</xdr:row>
            <xdr:rowOff>2</xdr:rowOff>
          </to>
        </anchor>
      </commentPr>
    </comment>
  </commentList>
</comments>
</file>

<file path=xl/comments4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tc={0420D81B-E036-C2E1-7294-7EB4FFD5327E}</author>
    <author>tc={8403CC99-004D-5525-7F47-DBC7FF384679}</author>
    <author>tc={C94878FE-FC81-136C-299E-93CA8EB363DB}</author>
    <author>tc={6EBE379B-8612-E3A9-14FC-EA6DCFC04072}</author>
    <author>tc={C2A4B9CE-7D2B-8E10-F652-A8B3F35D04A4}</author>
    <author>tc={A3D18A5D-EF2A-7607-21F6-034472056A4E}</author>
    <author>tc={DE9BB417-0B29-63DA-EB16-EBA49CA3221B}</author>
    <author>tc={CD5AAB99-8596-8A82-96DA-B6E4022FB3F3}</author>
    <author>tc={7880ECF2-6F34-6243-9971-E994EE5BA7E9}</author>
    <author>tc={9B213EE9-D663-47F0-B3D2-9371667E4A3C}</author>
    <author>tc={921FBB0F-D0CA-302A-45C2-5EC10BBC7F3B}</author>
    <author>tc={618A2002-F823-B3D2-CD0D-AA5DEC61AE21}</author>
    <author>tc={0373F9C9-2BC7-C38D-8509-ACCE1FE34A41}</author>
    <author>tc={BB887E65-BD8D-DF6E-814F-D8DC8C23E777}</author>
    <author>tc={092D4FF3-461B-0A77-232A-B9DD0DC195C0}</author>
    <author>tc={429E1DB9-FDE3-1889-AA4C-2FAEB0E899A2}</author>
    <author>tc={09B03D52-FE16-6B75-7D9A-A2E88EC8552F}</author>
    <author>tc={FF2A2634-F486-3536-6124-DAEF05EDBF50}</author>
    <author>tc={1D38B192-5F66-D2A4-B3C4-50B16026DD29}</author>
    <author>tc={51F0A1EC-5D3C-B8F6-AA0F-7CB8714A1C23}</author>
    <author>tc={686D060B-C58F-549C-04B6-F25DF5D928F3}</author>
    <author>tc={E38C03FB-8C8C-3CB5-7D9B-E487CEB44DE4}</author>
    <author>tc={2ADCF5BD-C428-41BB-0EE1-53E9B5103D46}</author>
    <author>tc={C556AA69-6F7C-59FD-BA65-FFD259A66025}</author>
    <author>tc={461D62A5-5969-04A5-F867-4A2DAB31A915}</author>
    <author>tc={71C740DC-9CA4-EFBF-76FD-61366D47234D}</author>
    <author>tc={033BFC74-BB86-9950-A820-DA9E86AD5FE8}</author>
    <author>tc={A283FE14-8E17-89CF-F3B4-975CDC353347}</author>
    <author>tc={6C74ECBD-5ECA-79E4-1018-0D15D754116C}</author>
    <author>tc={52109C51-731C-2A7A-7ACD-0400B76BFD96}</author>
    <author>tc={DE6523A3-D791-441B-2B6D-C34157E46499}</author>
    <author>tc={2FFFC619-3745-EA74-6514-C8074F7DF74B}</author>
    <author>tc={6F98853D-5995-BABC-B3D6-EEB58D7618FA}</author>
    <author>tc={DD8CEF01-A6D8-79F3-13B0-853AB3BA0B2A}</author>
    <author>tc={223363C6-1403-7481-9B34-03D170B47F05}</author>
    <author>tc={D9456BD0-64BD-CE0F-81DB-953AF96A7AD5}</author>
    <author>tc={4DF3B4D1-54A7-FFBF-EDC6-8AADF25FE8D8}</author>
    <author>tc={55F5D440-43E8-C231-3860-BAC2411E8F46}</author>
    <author>tc={C3B14888-2B68-DD4C-06B2-65BBB47D7F48}</author>
    <author>tc={2B2FAF39-E87B-5B20-3A49-E7C0E026D0FC}</author>
    <author>tc={EE3F8E8C-D945-78A0-651E-D8DFB5EF09A3}</author>
    <author>tc={CC2737DD-C328-3DDE-C729-28109160E497}</author>
    <author>tc={7C62AD24-3708-11FA-6695-208E58D37E4E}</author>
    <author>tc={EF5D4462-8FF5-5A2E-D689-A2D6DABEF329}</author>
    <author>tc={B14BCD51-947F-7B8C-29D2-4D18D75C0439}</author>
    <author>tc={8CA7D4C7-FED1-2056-21FA-AA87574C7C9B}</author>
    <author>tc={EA171090-C6C2-5F1E-2FB8-DFED63F1A21D}</author>
    <author>tc={1F665E02-25D0-45D3-F6DF-C41B9CF18F25}</author>
    <author>tc={EEF1CEA7-F39D-C0E1-52E6-BDB40EEAF312}</author>
    <author>tc={1BF4CCAE-40DD-4C05-5BCB-5EA2285D83EA}</author>
    <author>tc={C68D7C95-5810-2E5E-B282-DBEDBDD50389}</author>
    <author>tc={12934DFA-7EF4-6BD4-DC78-5590ACBEC3B1}</author>
    <author>tc={8839AEFB-D7D5-D2FC-7A2A-15746D0D66CB}</author>
    <author>tc={95B8BDFD-BF1F-0103-6A03-4D737CB4DE39}</author>
    <author>tc={6CC30DEC-3EE1-04BD-929D-23CCA3CDCEF5}</author>
    <author>tc={17D01E67-9DBC-1541-DD71-EBAE719E40A9}</author>
    <author>tc={4B577B9C-9BE0-9A0A-229D-12A4154CAC55}</author>
    <author>tc={E0436B37-F7AE-033A-BD74-64A0FEB12A2E}</author>
    <author>tc={E41F427B-98D2-494D-BFA4-CAFFD82AFE14}</author>
    <author>tc={5877FCC3-C29E-7090-17F5-528D55835AA4}</author>
    <author>tc={DD95EDDF-E72C-5BC3-D121-FE4436039B5F}</author>
    <author>tc={881BC984-E8D5-443D-C5CF-90FB9F366F1D}</author>
    <author>tc={E339660E-FE85-3490-34C3-866D46463CA3}</author>
  </authors>
  <commentList>
    <comment ref="C7" authorId="0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Model assumption. Regulated load, rate-base investment and approved rate outcomes. Primary calibration source: https://www.sec.gov/Archives/edgar/data/753308/000075330826000015/nee-20251231.htm</t>
        </r>
      </text>
      <commentPr locked="0" textHAlign="justify" textVAlign="top">
        <anchor>
          <from>
            <xdr:col>2</xdr:col>
            <xdr:colOff>15</xdr:colOff>
            <xdr:row>6</xdr:row>
            <xdr:rowOff>2</xdr:rowOff>
          </from>
          <to>
            <xdr:col>4</xdr:col>
            <xdr:colOff>15</xdr:colOff>
            <xdr:row>10</xdr:row>
            <xdr:rowOff>2</xdr:rowOff>
          </to>
        </anchor>
      </commentPr>
    </comment>
    <comment ref="C8" authorId="1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Model assumption. New wind, solar, storage and transmission investment. Primary calibration source: https://www.sec.gov/Archives/edgar/data/753308/000075330826000015/nee-20251231.htm</t>
        </r>
      </text>
      <commentPr locked="0" textHAlign="justify" textVAlign="top">
        <anchor>
          <from>
            <xdr:col>2</xdr:col>
            <xdr:colOff>15</xdr:colOff>
            <xdr:row>7</xdr:row>
            <xdr:rowOff>2</xdr:rowOff>
          </from>
          <to>
            <xdr:col>4</xdr:col>
            <xdr:colOff>15</xdr:colOff>
            <xdr:row>11</xdr:row>
            <xdr:rowOff>2</xdr:rowOff>
          </to>
        </anchor>
      </commentPr>
    </comment>
    <comment ref="C9" authorId="2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Model assumption. Residual consolidated revenue assumption. Primary calibration source: https://www.sec.gov/Archives/edgar/data/753308/000075330826000015/nee-20251231.htm</t>
        </r>
      </text>
      <commentPr locked="0" textHAlign="justify" textVAlign="top">
        <anchor>
          <from>
            <xdr:col>2</xdr:col>
            <xdr:colOff>15</xdr:colOff>
            <xdr:row>8</xdr:row>
            <xdr:rowOff>2</xdr:rowOff>
          </from>
          <to>
            <xdr:col>4</xdr:col>
            <xdr:colOff>15</xdr:colOff>
            <xdr:row>12</xdr:row>
            <xdr:rowOff>2</xdr:rowOff>
          </to>
        </anchor>
      </commentPr>
    </comment>
    <comment ref="C10" authorId="3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Model assumption. Anchored to $5.5bn 2025 average rate-base growth and the 2026-2030 capital plan. Primary calibration source: https://www.sec.gov/Archives/edgar/data/753308/000075330826000015/nee-20251231.htm</t>
        </r>
      </text>
      <commentPr locked="0" textHAlign="justify" textVAlign="top">
        <anchor>
          <from>
            <xdr:col>2</xdr:col>
            <xdr:colOff>15</xdr:colOff>
            <xdr:row>9</xdr:row>
            <xdr:rowOff>2</xdr:rowOff>
          </from>
          <to>
            <xdr:col>4</xdr:col>
            <xdr:colOff>15</xdr:colOff>
            <xdr:row>13</xdr:row>
            <xdr:rowOff>2</xdr:rowOff>
          </to>
        </anchor>
      </commentPr>
    </comment>
    <comment ref="C11" authorId="4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Model assumption. Anchored to new capacity, backlog and capital deployment. Primary calibration source: https://www.sec.gov/Archives/edgar/data/753308/000075330826000015/nee-20251231.htm</t>
        </r>
      </text>
      <commentPr locked="0" textHAlign="justify" textVAlign="top">
        <anchor>
          <from>
            <xdr:col>2</xdr:col>
            <xdr:colOff>15</xdr:colOff>
            <xdr:row>10</xdr:row>
            <xdr:rowOff>2</xdr:rowOff>
          </from>
          <to>
            <xdr:col>4</xdr:col>
            <xdr:colOff>15</xdr:colOff>
            <xdr:row>14</xdr:row>
            <xdr:rowOff>2</xdr:rowOff>
          </to>
        </anchor>
      </commentPr>
    </comment>
    <comment ref="C12" authorId="5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Model assumption. Corporate/financing cost sensitivity. Primary calibration source: https://www.sec.gov/Archives/edgar/data/753308/000075330826000015/nee-20251231.htm</t>
        </r>
      </text>
      <commentPr locked="0" textHAlign="justify" textVAlign="top">
        <anchor>
          <from>
            <xdr:col>2</xdr:col>
            <xdr:colOff>15</xdr:colOff>
            <xdr:row>11</xdr:row>
            <xdr:rowOff>2</xdr:rowOff>
          </from>
          <to>
            <xdr:col>4</xdr:col>
            <xdr:colOff>15</xdr:colOff>
            <xdr:row>15</xdr:row>
            <xdr:rowOff>2</xdr:rowOff>
          </to>
        </anchor>
      </commentPr>
    </comment>
    <comment ref="C13" authorId="6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Model assumption. Scenario overlay on the filed 2026-2030 capital plan. Primary calibration source: https://www.sec.gov/Archives/edgar/data/753308/000075330826000015/nee-20251231.htm</t>
        </r>
      </text>
      <commentPr locked="0" textHAlign="justify" textVAlign="top">
        <anchor>
          <from>
            <xdr:col>2</xdr:col>
            <xdr:colOff>15</xdr:colOff>
            <xdr:row>12</xdr:row>
            <xdr:rowOff>2</xdr:rowOff>
          </from>
          <to>
            <xdr:col>4</xdr:col>
            <xdr:colOff>15</xdr:colOff>
            <xdr:row>16</xdr:row>
            <xdr:rowOff>2</xdr:rowOff>
          </to>
        </anchor>
      </commentPr>
    </comment>
    <comment ref="C14" authorId="7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Model assumption. Scenario overlay on the filed 2026-2030 capital plan. Primary calibration source: https://www.sec.gov/Archives/edgar/data/753308/000075330826000015/nee-20251231.htm</t>
        </r>
      </text>
      <commentPr locked="0" textHAlign="justify" textVAlign="top">
        <anchor>
          <from>
            <xdr:col>2</xdr:col>
            <xdr:colOff>15</xdr:colOff>
            <xdr:row>13</xdr:row>
            <xdr:rowOff>2</xdr:rowOff>
          </from>
          <to>
            <xdr:col>4</xdr:col>
            <xdr:colOff>15</xdr:colOff>
            <xdr:row>17</xdr:row>
            <xdr:rowOff>2</xdr:rowOff>
          </to>
        </anchor>
      </commentPr>
    </comment>
    <comment ref="C15" authorId="8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Model assumption. FCFF cross-check assumption; not the primary valuation driver. Primary calibration source: https://www.sec.gov/Archives/edgar/data/753308/000075330826000015/nee-20251231.htm</t>
        </r>
      </text>
      <commentPr locked="0" textHAlign="justify" textVAlign="top">
        <anchor>
          <from>
            <xdr:col>2</xdr:col>
            <xdr:colOff>15</xdr:colOff>
            <xdr:row>14</xdr:row>
            <xdr:rowOff>2</xdr:rowOff>
          </from>
          <to>
            <xdr:col>4</xdr:col>
            <xdr:colOff>15</xdr:colOff>
            <xdr:row>18</xdr:row>
            <xdr:rowOff>2</xdr:rowOff>
          </to>
        </anchor>
      </commentPr>
    </comment>
    <comment ref="C16" authorId="9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Model assumption. Anchored to 2025 SEC D&amp;A / revenue. Primary calibration source: https://www.sec.gov/Archives/edgar/data/753308/000075330826000015/nee-20251231.htm</t>
        </r>
      </text>
      <commentPr locked="0" textHAlign="justify" textVAlign="top">
        <anchor>
          <from>
            <xdr:col>2</xdr:col>
            <xdr:colOff>15</xdr:colOff>
            <xdr:row>15</xdr:row>
            <xdr:rowOff>2</xdr:rowOff>
          </from>
          <to>
            <xdr:col>4</xdr:col>
            <xdr:colOff>15</xdr:colOff>
            <xdr:row>19</xdr:row>
            <xdr:rowOff>2</xdr:rowOff>
          </to>
        </anchor>
      </commentPr>
    </comment>
    <comment ref="C17" authorId="10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Model assumption. Utility/renewables tax-credit-sensitive normalized assumption. Primary calibration source: https://www.sec.gov/Archives/edgar/data/753308/000075330826000015/nee-20251231.htm</t>
        </r>
      </text>
      <commentPr locked="0" textHAlign="justify" textVAlign="top">
        <anchor>
          <from>
            <xdr:col>2</xdr:col>
            <xdr:colOff>15</xdr:colOff>
            <xdr:row>16</xdr:row>
            <xdr:rowOff>2</xdr:rowOff>
          </from>
          <to>
            <xdr:col>4</xdr:col>
            <xdr:colOff>15</xdr:colOff>
            <xdr:row>20</xdr:row>
            <xdr:rowOff>2</xdr:rowOff>
          </to>
        </anchor>
      </commentPr>
    </comment>
    <comment ref="C18" authorId="11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Model assumption. FCFF cross-check assumption. Primary calibration source: https://www.sec.gov/Archives/edgar/data/753308/000075330826000015/nee-20251231.htm</t>
        </r>
      </text>
      <commentPr locked="0" textHAlign="justify" textVAlign="top">
        <anchor>
          <from>
            <xdr:col>2</xdr:col>
            <xdr:colOff>15</xdr:colOff>
            <xdr:row>17</xdr:row>
            <xdr:rowOff>2</xdr:rowOff>
          </from>
          <to>
            <xdr:col>4</xdr:col>
            <xdr:colOff>15</xdr:colOff>
            <xdr:row>21</xdr:row>
            <xdr:rowOff>2</xdr:rowOff>
          </to>
        </anchor>
      </commentPr>
    </comment>
    <comment ref="C19" authorId="12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Model assumption. Regulated-utility SOTP multiple assumption. Primary calibration source: https://www.sec.gov/Archives/edgar/data/753308/000075330826000015/nee-20251231.htm</t>
        </r>
      </text>
      <commentPr locked="0" textHAlign="justify" textVAlign="top">
        <anchor>
          <from>
            <xdr:col>2</xdr:col>
            <xdr:colOff>15</xdr:colOff>
            <xdr:row>18</xdr:row>
            <xdr:rowOff>2</xdr:rowOff>
          </from>
          <to>
            <xdr:col>4</xdr:col>
            <xdr:colOff>15</xdr:colOff>
            <xdr:row>22</xdr:row>
            <xdr:rowOff>2</xdr:rowOff>
          </to>
        </anchor>
      </commentPr>
    </comment>
    <comment ref="C20" authorId="13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Model assumption. Renewables/infrastructure SOTP multiple assumption. Primary calibration source: https://www.sec.gov/Archives/edgar/data/753308/000075330826000015/nee-20251231.htm</t>
        </r>
      </text>
      <commentPr locked="0" textHAlign="justify" textVAlign="top">
        <anchor>
          <from>
            <xdr:col>2</xdr:col>
            <xdr:colOff>15</xdr:colOff>
            <xdr:row>19</xdr:row>
            <xdr:rowOff>2</xdr:rowOff>
          </from>
          <to>
            <xdr:col>4</xdr:col>
            <xdr:colOff>15</xdr:colOff>
            <xdr:row>23</xdr:row>
            <xdr:rowOff>2</xdr:rowOff>
          </to>
        </anchor>
      </commentPr>
    </comment>
    <comment ref="C21" authorId="14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Model assumption. Capitalization of corporate/financing residual. Primary calibration source: https://www.sec.gov/Archives/edgar/data/753308/000075330826000015/nee-20251231.htm</t>
        </r>
      </text>
      <commentPr locked="0" textHAlign="justify" textVAlign="top">
        <anchor>
          <from>
            <xdr:col>2</xdr:col>
            <xdr:colOff>15</xdr:colOff>
            <xdr:row>20</xdr:row>
            <xdr:rowOff>2</xdr:rowOff>
          </from>
          <to>
            <xdr:col>4</xdr:col>
            <xdr:colOff>15</xdr:colOff>
            <xdr:row>24</xdr:row>
            <xdr:rowOff>2</xdr:rowOff>
          </to>
        </anchor>
      </commentPr>
    </comment>
    <comment ref="C22" authorId="15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Model assumption. Dividend cross-check growth assumption. Primary calibration source: https://www.sec.gov/Archives/edgar/data/753308/000075330826000015/nee-20251231.htm</t>
        </r>
      </text>
      <commentPr locked="0" textHAlign="justify" textVAlign="top">
        <anchor>
          <from>
            <xdr:col>2</xdr:col>
            <xdr:colOff>15</xdr:colOff>
            <xdr:row>21</xdr:row>
            <xdr:rowOff>2</xdr:rowOff>
          </from>
          <to>
            <xdr:col>4</xdr:col>
            <xdr:colOff>15</xdr:colOff>
            <xdr:row>25</xdr:row>
            <xdr:rowOff>2</xdr:rowOff>
          </to>
        </anchor>
      </commentPr>
    </comment>
    <comment ref="C23" authorId="16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Model assumption. USD utility/infrastructure equity discount rate. Primary calibration source: https://www.sec.gov/Archives/edgar/data/753308/000075330826000015/nee-20251231.htm</t>
        </r>
      </text>
      <commentPr locked="0" textHAlign="justify" textVAlign="top">
        <anchor>
          <from>
            <xdr:col>2</xdr:col>
            <xdr:colOff>15</xdr:colOff>
            <xdr:row>22</xdr:row>
            <xdr:rowOff>2</xdr:rowOff>
          </from>
          <to>
            <xdr:col>4</xdr:col>
            <xdr:colOff>15</xdr:colOff>
            <xdr:row>26</xdr:row>
            <xdr:rowOff>2</xdr:rowOff>
          </to>
        </anchor>
      </commentPr>
    </comment>
    <comment ref="C24" authorId="17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Model assumption. DDM terminal growth; kept below cost of equity. Primary calibration source: https://www.sec.gov/Archives/edgar/data/753308/000075330826000015/nee-20251231.htm</t>
        </r>
      </text>
      <commentPr locked="0" textHAlign="justify" textVAlign="top">
        <anchor>
          <from>
            <xdr:col>2</xdr:col>
            <xdr:colOff>15</xdr:colOff>
            <xdr:row>23</xdr:row>
            <xdr:rowOff>2</xdr:rowOff>
          </from>
          <to>
            <xdr:col>4</xdr:col>
            <xdr:colOff>15</xdr:colOff>
            <xdr:row>27</xdr:row>
            <xdr:rowOff>2</xdr:rowOff>
          </to>
        </anchor>
      </commentPr>
    </comment>
    <comment ref="C25" authorId="18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Model assumption. Financing dilution assumption. Primary calibration source: https://www.sec.gov/Archives/edgar/data/753308/000075330826000015/nee-20251231.htm</t>
        </r>
      </text>
      <commentPr locked="0" textHAlign="justify" textVAlign="top">
        <anchor>
          <from>
            <xdr:col>2</xdr:col>
            <xdr:colOff>15</xdr:colOff>
            <xdr:row>24</xdr:row>
            <xdr:rowOff>2</xdr:rowOff>
          </from>
          <to>
            <xdr:col>4</xdr:col>
            <xdr:colOff>15</xdr:colOff>
            <xdr:row>28</xdr:row>
            <xdr:rowOff>2</xdr:rowOff>
          </to>
        </anchor>
      </commentPr>
    </comment>
    <comment ref="C26" authorId="19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Model assumption. Visible financing-path assumption. Primary calibration source: https://www.sec.gov/Archives/edgar/data/753308/000075330826000015/nee-20251231.htm</t>
        </r>
      </text>
      <commentPr locked="0" textHAlign="justify" textVAlign="top">
        <anchor>
          <from>
            <xdr:col>2</xdr:col>
            <xdr:colOff>15</xdr:colOff>
            <xdr:row>25</xdr:row>
            <xdr:rowOff>2</xdr:rowOff>
          </from>
          <to>
            <xdr:col>4</xdr:col>
            <xdr:colOff>15</xdr:colOff>
            <xdr:row>29</xdr:row>
            <xdr:rowOff>2</xdr:rowOff>
          </to>
        </anchor>
      </commentPr>
    </comment>
    <comment ref="C27" authorId="20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Model assumption. Financing mix disclosure; diagnostic rather than a cash plug. Primary calibration source: https://www.sec.gov/Archives/edgar/data/753308/000075330826000015/nee-20251231.htm</t>
        </r>
      </text>
      <commentPr locked="0" textHAlign="justify" textVAlign="top">
        <anchor>
          <from>
            <xdr:col>2</xdr:col>
            <xdr:colOff>15</xdr:colOff>
            <xdr:row>26</xdr:row>
            <xdr:rowOff>2</xdr:rowOff>
          </from>
          <to>
            <xdr:col>4</xdr:col>
            <xdr:colOff>15</xdr:colOff>
            <xdr:row>30</xdr:row>
            <xdr:rowOff>2</xdr:rowOff>
          </to>
        </anchor>
      </commentPr>
    </comment>
    <comment ref="D7" authorId="21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Model assumption. Regulated load, rate-base investment and approved rate outcomes. Primary calibration source: https://www.sec.gov/Archives/edgar/data/753308/000075330826000015/nee-20251231.htm</t>
        </r>
      </text>
      <commentPr locked="0" textHAlign="justify" textVAlign="top">
        <anchor>
          <from>
            <xdr:col>3</xdr:col>
            <xdr:colOff>15</xdr:colOff>
            <xdr:row>6</xdr:row>
            <xdr:rowOff>2</xdr:rowOff>
          </from>
          <to>
            <xdr:col>5</xdr:col>
            <xdr:colOff>15</xdr:colOff>
            <xdr:row>10</xdr:row>
            <xdr:rowOff>2</xdr:rowOff>
          </to>
        </anchor>
      </commentPr>
    </comment>
    <comment ref="D8" authorId="22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Model assumption. New wind, solar, storage and transmission investment. Primary calibration source: https://www.sec.gov/Archives/edgar/data/753308/000075330826000015/nee-20251231.htm</t>
        </r>
      </text>
      <commentPr locked="0" textHAlign="justify" textVAlign="top">
        <anchor>
          <from>
            <xdr:col>3</xdr:col>
            <xdr:colOff>15</xdr:colOff>
            <xdr:row>7</xdr:row>
            <xdr:rowOff>2</xdr:rowOff>
          </from>
          <to>
            <xdr:col>5</xdr:col>
            <xdr:colOff>15</xdr:colOff>
            <xdr:row>11</xdr:row>
            <xdr:rowOff>2</xdr:rowOff>
          </to>
        </anchor>
      </commentPr>
    </comment>
    <comment ref="D9" authorId="23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Model assumption. Residual consolidated revenue assumption. Primary calibration source: https://www.sec.gov/Archives/edgar/data/753308/000075330826000015/nee-20251231.htm</t>
        </r>
      </text>
      <commentPr locked="0" textHAlign="justify" textVAlign="top">
        <anchor>
          <from>
            <xdr:col>3</xdr:col>
            <xdr:colOff>15</xdr:colOff>
            <xdr:row>8</xdr:row>
            <xdr:rowOff>2</xdr:rowOff>
          </from>
          <to>
            <xdr:col>5</xdr:col>
            <xdr:colOff>15</xdr:colOff>
            <xdr:row>12</xdr:row>
            <xdr:rowOff>2</xdr:rowOff>
          </to>
        </anchor>
      </commentPr>
    </comment>
    <comment ref="D10" authorId="24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Model assumption. Anchored to $5.5bn 2025 average rate-base growth and the 2026-2030 capital plan. Primary calibration source: https://www.sec.gov/Archives/edgar/data/753308/000075330826000015/nee-20251231.htm</t>
        </r>
      </text>
      <commentPr locked="0" textHAlign="justify" textVAlign="top">
        <anchor>
          <from>
            <xdr:col>3</xdr:col>
            <xdr:colOff>15</xdr:colOff>
            <xdr:row>9</xdr:row>
            <xdr:rowOff>2</xdr:rowOff>
          </from>
          <to>
            <xdr:col>5</xdr:col>
            <xdr:colOff>15</xdr:colOff>
            <xdr:row>13</xdr:row>
            <xdr:rowOff>2</xdr:rowOff>
          </to>
        </anchor>
      </commentPr>
    </comment>
    <comment ref="D11" authorId="25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Model assumption. Anchored to new capacity, backlog and capital deployment. Primary calibration source: https://www.sec.gov/Archives/edgar/data/753308/000075330826000015/nee-20251231.htm</t>
        </r>
      </text>
      <commentPr locked="0" textHAlign="justify" textVAlign="top">
        <anchor>
          <from>
            <xdr:col>3</xdr:col>
            <xdr:colOff>15</xdr:colOff>
            <xdr:row>10</xdr:row>
            <xdr:rowOff>2</xdr:rowOff>
          </from>
          <to>
            <xdr:col>5</xdr:col>
            <xdr:colOff>15</xdr:colOff>
            <xdr:row>14</xdr:row>
            <xdr:rowOff>2</xdr:rowOff>
          </to>
        </anchor>
      </commentPr>
    </comment>
    <comment ref="D12" authorId="26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Model assumption. Corporate/financing cost sensitivity. Primary calibration source: https://www.sec.gov/Archives/edgar/data/753308/000075330826000015/nee-20251231.htm</t>
        </r>
      </text>
      <commentPr locked="0" textHAlign="justify" textVAlign="top">
        <anchor>
          <from>
            <xdr:col>3</xdr:col>
            <xdr:colOff>15</xdr:colOff>
            <xdr:row>11</xdr:row>
            <xdr:rowOff>2</xdr:rowOff>
          </from>
          <to>
            <xdr:col>5</xdr:col>
            <xdr:colOff>15</xdr:colOff>
            <xdr:row>15</xdr:row>
            <xdr:rowOff>2</xdr:rowOff>
          </to>
        </anchor>
      </commentPr>
    </comment>
    <comment ref="D13" authorId="27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Model assumption. Scenario overlay on the filed 2026-2030 capital plan. Primary calibration source: https://www.sec.gov/Archives/edgar/data/753308/000075330826000015/nee-20251231.htm</t>
        </r>
      </text>
      <commentPr locked="0" textHAlign="justify" textVAlign="top">
        <anchor>
          <from>
            <xdr:col>3</xdr:col>
            <xdr:colOff>15</xdr:colOff>
            <xdr:row>12</xdr:row>
            <xdr:rowOff>2</xdr:rowOff>
          </from>
          <to>
            <xdr:col>5</xdr:col>
            <xdr:colOff>15</xdr:colOff>
            <xdr:row>16</xdr:row>
            <xdr:rowOff>2</xdr:rowOff>
          </to>
        </anchor>
      </commentPr>
    </comment>
    <comment ref="D14" authorId="28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Model assumption. Scenario overlay on the filed 2026-2030 capital plan. Primary calibration source: https://www.sec.gov/Archives/edgar/data/753308/000075330826000015/nee-20251231.htm</t>
        </r>
      </text>
      <commentPr locked="0" textHAlign="justify" textVAlign="top">
        <anchor>
          <from>
            <xdr:col>3</xdr:col>
            <xdr:colOff>15</xdr:colOff>
            <xdr:row>13</xdr:row>
            <xdr:rowOff>2</xdr:rowOff>
          </from>
          <to>
            <xdr:col>5</xdr:col>
            <xdr:colOff>15</xdr:colOff>
            <xdr:row>17</xdr:row>
            <xdr:rowOff>2</xdr:rowOff>
          </to>
        </anchor>
      </commentPr>
    </comment>
    <comment ref="D15" authorId="29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Model assumption. FCFF cross-check assumption; not the primary valuation driver. Primary calibration source: https://www.sec.gov/Archives/edgar/data/753308/000075330826000015/nee-20251231.htm</t>
        </r>
      </text>
      <commentPr locked="0" textHAlign="justify" textVAlign="top">
        <anchor>
          <from>
            <xdr:col>3</xdr:col>
            <xdr:colOff>15</xdr:colOff>
            <xdr:row>14</xdr:row>
            <xdr:rowOff>2</xdr:rowOff>
          </from>
          <to>
            <xdr:col>5</xdr:col>
            <xdr:colOff>15</xdr:colOff>
            <xdr:row>18</xdr:row>
            <xdr:rowOff>2</xdr:rowOff>
          </to>
        </anchor>
      </commentPr>
    </comment>
    <comment ref="D16" authorId="30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Model assumption. Anchored to 2025 SEC D&amp;A / revenue. Primary calibration source: https://www.sec.gov/Archives/edgar/data/753308/000075330826000015/nee-20251231.htm</t>
        </r>
      </text>
      <commentPr locked="0" textHAlign="justify" textVAlign="top">
        <anchor>
          <from>
            <xdr:col>3</xdr:col>
            <xdr:colOff>15</xdr:colOff>
            <xdr:row>15</xdr:row>
            <xdr:rowOff>2</xdr:rowOff>
          </from>
          <to>
            <xdr:col>5</xdr:col>
            <xdr:colOff>15</xdr:colOff>
            <xdr:row>19</xdr:row>
            <xdr:rowOff>2</xdr:rowOff>
          </to>
        </anchor>
      </commentPr>
    </comment>
    <comment ref="D17" authorId="31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Model assumption. Utility/renewables tax-credit-sensitive normalized assumption. Primary calibration source: https://www.sec.gov/Archives/edgar/data/753308/000075330826000015/nee-20251231.htm</t>
        </r>
      </text>
      <commentPr locked="0" textHAlign="justify" textVAlign="top">
        <anchor>
          <from>
            <xdr:col>3</xdr:col>
            <xdr:colOff>15</xdr:colOff>
            <xdr:row>16</xdr:row>
            <xdr:rowOff>2</xdr:rowOff>
          </from>
          <to>
            <xdr:col>5</xdr:col>
            <xdr:colOff>15</xdr:colOff>
            <xdr:row>20</xdr:row>
            <xdr:rowOff>2</xdr:rowOff>
          </to>
        </anchor>
      </commentPr>
    </comment>
    <comment ref="D18" authorId="32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Model assumption. FCFF cross-check assumption. Primary calibration source: https://www.sec.gov/Archives/edgar/data/753308/000075330826000015/nee-20251231.htm</t>
        </r>
      </text>
      <commentPr locked="0" textHAlign="justify" textVAlign="top">
        <anchor>
          <from>
            <xdr:col>3</xdr:col>
            <xdr:colOff>15</xdr:colOff>
            <xdr:row>17</xdr:row>
            <xdr:rowOff>2</xdr:rowOff>
          </from>
          <to>
            <xdr:col>5</xdr:col>
            <xdr:colOff>15</xdr:colOff>
            <xdr:row>21</xdr:row>
            <xdr:rowOff>2</xdr:rowOff>
          </to>
        </anchor>
      </commentPr>
    </comment>
    <comment ref="D19" authorId="33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Model assumption. Regulated-utility SOTP multiple assumption. Primary calibration source: https://www.sec.gov/Archives/edgar/data/753308/000075330826000015/nee-20251231.htm</t>
        </r>
      </text>
      <commentPr locked="0" textHAlign="justify" textVAlign="top">
        <anchor>
          <from>
            <xdr:col>3</xdr:col>
            <xdr:colOff>15</xdr:colOff>
            <xdr:row>18</xdr:row>
            <xdr:rowOff>2</xdr:rowOff>
          </from>
          <to>
            <xdr:col>5</xdr:col>
            <xdr:colOff>15</xdr:colOff>
            <xdr:row>22</xdr:row>
            <xdr:rowOff>2</xdr:rowOff>
          </to>
        </anchor>
      </commentPr>
    </comment>
    <comment ref="D20" authorId="34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Model assumption. Renewables/infrastructure SOTP multiple assumption. Primary calibration source: https://www.sec.gov/Archives/edgar/data/753308/000075330826000015/nee-20251231.htm</t>
        </r>
      </text>
      <commentPr locked="0" textHAlign="justify" textVAlign="top">
        <anchor>
          <from>
            <xdr:col>3</xdr:col>
            <xdr:colOff>15</xdr:colOff>
            <xdr:row>19</xdr:row>
            <xdr:rowOff>2</xdr:rowOff>
          </from>
          <to>
            <xdr:col>5</xdr:col>
            <xdr:colOff>15</xdr:colOff>
            <xdr:row>23</xdr:row>
            <xdr:rowOff>2</xdr:rowOff>
          </to>
        </anchor>
      </commentPr>
    </comment>
    <comment ref="D21" authorId="35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Model assumption. Capitalization of corporate/financing residual. Primary calibration source: https://www.sec.gov/Archives/edgar/data/753308/000075330826000015/nee-20251231.htm</t>
        </r>
      </text>
      <commentPr locked="0" textHAlign="justify" textVAlign="top">
        <anchor>
          <from>
            <xdr:col>3</xdr:col>
            <xdr:colOff>15</xdr:colOff>
            <xdr:row>20</xdr:row>
            <xdr:rowOff>2</xdr:rowOff>
          </from>
          <to>
            <xdr:col>5</xdr:col>
            <xdr:colOff>15</xdr:colOff>
            <xdr:row>24</xdr:row>
            <xdr:rowOff>2</xdr:rowOff>
          </to>
        </anchor>
      </commentPr>
    </comment>
    <comment ref="D22" authorId="36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Model assumption. Dividend cross-check growth assumption. Primary calibration source: https://www.sec.gov/Archives/edgar/data/753308/000075330826000015/nee-20251231.htm</t>
        </r>
      </text>
      <commentPr locked="0" textHAlign="justify" textVAlign="top">
        <anchor>
          <from>
            <xdr:col>3</xdr:col>
            <xdr:colOff>15</xdr:colOff>
            <xdr:row>21</xdr:row>
            <xdr:rowOff>2</xdr:rowOff>
          </from>
          <to>
            <xdr:col>5</xdr:col>
            <xdr:colOff>15</xdr:colOff>
            <xdr:row>25</xdr:row>
            <xdr:rowOff>2</xdr:rowOff>
          </to>
        </anchor>
      </commentPr>
    </comment>
    <comment ref="D23" authorId="37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Model assumption. USD utility/infrastructure equity discount rate. Primary calibration source: https://www.sec.gov/Archives/edgar/data/753308/000075330826000015/nee-20251231.htm</t>
        </r>
      </text>
      <commentPr locked="0" textHAlign="justify" textVAlign="top">
        <anchor>
          <from>
            <xdr:col>3</xdr:col>
            <xdr:colOff>15</xdr:colOff>
            <xdr:row>22</xdr:row>
            <xdr:rowOff>2</xdr:rowOff>
          </from>
          <to>
            <xdr:col>5</xdr:col>
            <xdr:colOff>15</xdr:colOff>
            <xdr:row>26</xdr:row>
            <xdr:rowOff>2</xdr:rowOff>
          </to>
        </anchor>
      </commentPr>
    </comment>
    <comment ref="D24" authorId="38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Model assumption. DDM terminal growth; kept below cost of equity. Primary calibration source: https://www.sec.gov/Archives/edgar/data/753308/000075330826000015/nee-20251231.htm</t>
        </r>
      </text>
      <commentPr locked="0" textHAlign="justify" textVAlign="top">
        <anchor>
          <from>
            <xdr:col>3</xdr:col>
            <xdr:colOff>15</xdr:colOff>
            <xdr:row>23</xdr:row>
            <xdr:rowOff>2</xdr:rowOff>
          </from>
          <to>
            <xdr:col>5</xdr:col>
            <xdr:colOff>15</xdr:colOff>
            <xdr:row>27</xdr:row>
            <xdr:rowOff>2</xdr:rowOff>
          </to>
        </anchor>
      </commentPr>
    </comment>
    <comment ref="D25" authorId="39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Model assumption. Financing dilution assumption. Primary calibration source: https://www.sec.gov/Archives/edgar/data/753308/000075330826000015/nee-20251231.htm</t>
        </r>
      </text>
      <commentPr locked="0" textHAlign="justify" textVAlign="top">
        <anchor>
          <from>
            <xdr:col>3</xdr:col>
            <xdr:colOff>15</xdr:colOff>
            <xdr:row>24</xdr:row>
            <xdr:rowOff>2</xdr:rowOff>
          </from>
          <to>
            <xdr:col>5</xdr:col>
            <xdr:colOff>15</xdr:colOff>
            <xdr:row>28</xdr:row>
            <xdr:rowOff>2</xdr:rowOff>
          </to>
        </anchor>
      </commentPr>
    </comment>
    <comment ref="D26" authorId="40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Model assumption. Visible financing-path assumption. Primary calibration source: https://www.sec.gov/Archives/edgar/data/753308/000075330826000015/nee-20251231.htm</t>
        </r>
      </text>
      <commentPr locked="0" textHAlign="justify" textVAlign="top">
        <anchor>
          <from>
            <xdr:col>3</xdr:col>
            <xdr:colOff>15</xdr:colOff>
            <xdr:row>25</xdr:row>
            <xdr:rowOff>2</xdr:rowOff>
          </from>
          <to>
            <xdr:col>5</xdr:col>
            <xdr:colOff>15</xdr:colOff>
            <xdr:row>29</xdr:row>
            <xdr:rowOff>2</xdr:rowOff>
          </to>
        </anchor>
      </commentPr>
    </comment>
    <comment ref="D27" authorId="41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Model assumption. Financing mix disclosure; diagnostic rather than a cash plug. Primary calibration source: https://www.sec.gov/Archives/edgar/data/753308/000075330826000015/nee-20251231.htm</t>
        </r>
      </text>
      <commentPr locked="0" textHAlign="justify" textVAlign="top">
        <anchor>
          <from>
            <xdr:col>3</xdr:col>
            <xdr:colOff>15</xdr:colOff>
            <xdr:row>26</xdr:row>
            <xdr:rowOff>2</xdr:rowOff>
          </from>
          <to>
            <xdr:col>5</xdr:col>
            <xdr:colOff>15</xdr:colOff>
            <xdr:row>30</xdr:row>
            <xdr:rowOff>2</xdr:rowOff>
          </to>
        </anchor>
      </commentPr>
    </comment>
    <comment ref="E7" authorId="42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Model assumption. Regulated load, rate-base investment and approved rate outcomes. Primary calibration source: https://www.sec.gov/Archives/edgar/data/753308/000075330826000015/nee-20251231.htm</t>
        </r>
      </text>
      <commentPr locked="0" textHAlign="justify" textVAlign="top">
        <anchor>
          <from>
            <xdr:col>4</xdr:col>
            <xdr:colOff>15</xdr:colOff>
            <xdr:row>6</xdr:row>
            <xdr:rowOff>2</xdr:rowOff>
          </from>
          <to>
            <xdr:col>6</xdr:col>
            <xdr:colOff>15</xdr:colOff>
            <xdr:row>10</xdr:row>
            <xdr:rowOff>2</xdr:rowOff>
          </to>
        </anchor>
      </commentPr>
    </comment>
    <comment ref="E8" authorId="43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Model assumption. New wind, solar, storage and transmission investment. Primary calibration source: https://www.sec.gov/Archives/edgar/data/753308/000075330826000015/nee-20251231.htm</t>
        </r>
      </text>
      <commentPr locked="0" textHAlign="justify" textVAlign="top">
        <anchor>
          <from>
            <xdr:col>4</xdr:col>
            <xdr:colOff>15</xdr:colOff>
            <xdr:row>7</xdr:row>
            <xdr:rowOff>2</xdr:rowOff>
          </from>
          <to>
            <xdr:col>6</xdr:col>
            <xdr:colOff>15</xdr:colOff>
            <xdr:row>11</xdr:row>
            <xdr:rowOff>2</xdr:rowOff>
          </to>
        </anchor>
      </commentPr>
    </comment>
    <comment ref="E9" authorId="44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Model assumption. Residual consolidated revenue assumption. Primary calibration source: https://www.sec.gov/Archives/edgar/data/753308/000075330826000015/nee-20251231.htm</t>
        </r>
      </text>
      <commentPr locked="0" textHAlign="justify" textVAlign="top">
        <anchor>
          <from>
            <xdr:col>4</xdr:col>
            <xdr:colOff>15</xdr:colOff>
            <xdr:row>8</xdr:row>
            <xdr:rowOff>2</xdr:rowOff>
          </from>
          <to>
            <xdr:col>6</xdr:col>
            <xdr:colOff>15</xdr:colOff>
            <xdr:row>12</xdr:row>
            <xdr:rowOff>2</xdr:rowOff>
          </to>
        </anchor>
      </commentPr>
    </comment>
    <comment ref="E10" authorId="45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Model assumption. Anchored to $5.5bn 2025 average rate-base growth and the 2026-2030 capital plan. Primary calibration source: https://www.sec.gov/Archives/edgar/data/753308/000075330826000015/nee-20251231.htm</t>
        </r>
      </text>
      <commentPr locked="0" textHAlign="justify" textVAlign="top">
        <anchor>
          <from>
            <xdr:col>4</xdr:col>
            <xdr:colOff>15</xdr:colOff>
            <xdr:row>9</xdr:row>
            <xdr:rowOff>2</xdr:rowOff>
          </from>
          <to>
            <xdr:col>6</xdr:col>
            <xdr:colOff>15</xdr:colOff>
            <xdr:row>13</xdr:row>
            <xdr:rowOff>2</xdr:rowOff>
          </to>
        </anchor>
      </commentPr>
    </comment>
    <comment ref="E11" authorId="46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Model assumption. Anchored to new capacity, backlog and capital deployment. Primary calibration source: https://www.sec.gov/Archives/edgar/data/753308/000075330826000015/nee-20251231.htm</t>
        </r>
      </text>
      <commentPr locked="0" textHAlign="justify" textVAlign="top">
        <anchor>
          <from>
            <xdr:col>4</xdr:col>
            <xdr:colOff>15</xdr:colOff>
            <xdr:row>10</xdr:row>
            <xdr:rowOff>2</xdr:rowOff>
          </from>
          <to>
            <xdr:col>6</xdr:col>
            <xdr:colOff>15</xdr:colOff>
            <xdr:row>14</xdr:row>
            <xdr:rowOff>2</xdr:rowOff>
          </to>
        </anchor>
      </commentPr>
    </comment>
    <comment ref="E12" authorId="47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Model assumption. Corporate/financing cost sensitivity. Primary calibration source: https://www.sec.gov/Archives/edgar/data/753308/000075330826000015/nee-20251231.htm</t>
        </r>
      </text>
      <commentPr locked="0" textHAlign="justify" textVAlign="top">
        <anchor>
          <from>
            <xdr:col>4</xdr:col>
            <xdr:colOff>15</xdr:colOff>
            <xdr:row>11</xdr:row>
            <xdr:rowOff>2</xdr:rowOff>
          </from>
          <to>
            <xdr:col>6</xdr:col>
            <xdr:colOff>15</xdr:colOff>
            <xdr:row>15</xdr:row>
            <xdr:rowOff>2</xdr:rowOff>
          </to>
        </anchor>
      </commentPr>
    </comment>
    <comment ref="E13" authorId="48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Model assumption. Scenario overlay on the filed 2026-2030 capital plan. Primary calibration source: https://www.sec.gov/Archives/edgar/data/753308/000075330826000015/nee-20251231.htm</t>
        </r>
      </text>
      <commentPr locked="0" textHAlign="justify" textVAlign="top">
        <anchor>
          <from>
            <xdr:col>4</xdr:col>
            <xdr:colOff>15</xdr:colOff>
            <xdr:row>12</xdr:row>
            <xdr:rowOff>2</xdr:rowOff>
          </from>
          <to>
            <xdr:col>6</xdr:col>
            <xdr:colOff>15</xdr:colOff>
            <xdr:row>16</xdr:row>
            <xdr:rowOff>2</xdr:rowOff>
          </to>
        </anchor>
      </commentPr>
    </comment>
    <comment ref="E14" authorId="49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Model assumption. Scenario overlay on the filed 2026-2030 capital plan. Primary calibration source: https://www.sec.gov/Archives/edgar/data/753308/000075330826000015/nee-20251231.htm</t>
        </r>
      </text>
      <commentPr locked="0" textHAlign="justify" textVAlign="top">
        <anchor>
          <from>
            <xdr:col>4</xdr:col>
            <xdr:colOff>15</xdr:colOff>
            <xdr:row>13</xdr:row>
            <xdr:rowOff>2</xdr:rowOff>
          </from>
          <to>
            <xdr:col>6</xdr:col>
            <xdr:colOff>15</xdr:colOff>
            <xdr:row>17</xdr:row>
            <xdr:rowOff>2</xdr:rowOff>
          </to>
        </anchor>
      </commentPr>
    </comment>
    <comment ref="E15" authorId="50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Model assumption. FCFF cross-check assumption; not the primary valuation driver. Primary calibration source: https://www.sec.gov/Archives/edgar/data/753308/000075330826000015/nee-20251231.htm</t>
        </r>
      </text>
      <commentPr locked="0" textHAlign="justify" textVAlign="top">
        <anchor>
          <from>
            <xdr:col>4</xdr:col>
            <xdr:colOff>15</xdr:colOff>
            <xdr:row>14</xdr:row>
            <xdr:rowOff>2</xdr:rowOff>
          </from>
          <to>
            <xdr:col>6</xdr:col>
            <xdr:colOff>15</xdr:colOff>
            <xdr:row>18</xdr:row>
            <xdr:rowOff>2</xdr:rowOff>
          </to>
        </anchor>
      </commentPr>
    </comment>
    <comment ref="E16" authorId="51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Model assumption. Anchored to 2025 SEC D&amp;A / revenue. Primary calibration source: https://www.sec.gov/Archives/edgar/data/753308/000075330826000015/nee-20251231.htm</t>
        </r>
      </text>
      <commentPr locked="0" textHAlign="justify" textVAlign="top">
        <anchor>
          <from>
            <xdr:col>4</xdr:col>
            <xdr:colOff>15</xdr:colOff>
            <xdr:row>15</xdr:row>
            <xdr:rowOff>2</xdr:rowOff>
          </from>
          <to>
            <xdr:col>6</xdr:col>
            <xdr:colOff>15</xdr:colOff>
            <xdr:row>19</xdr:row>
            <xdr:rowOff>2</xdr:rowOff>
          </to>
        </anchor>
      </commentPr>
    </comment>
    <comment ref="E17" authorId="52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Model assumption. Utility/renewables tax-credit-sensitive normalized assumption. Primary calibration source: https://www.sec.gov/Archives/edgar/data/753308/000075330826000015/nee-20251231.htm</t>
        </r>
      </text>
      <commentPr locked="0" textHAlign="justify" textVAlign="top">
        <anchor>
          <from>
            <xdr:col>4</xdr:col>
            <xdr:colOff>15</xdr:colOff>
            <xdr:row>16</xdr:row>
            <xdr:rowOff>2</xdr:rowOff>
          </from>
          <to>
            <xdr:col>6</xdr:col>
            <xdr:colOff>15</xdr:colOff>
            <xdr:row>20</xdr:row>
            <xdr:rowOff>2</xdr:rowOff>
          </to>
        </anchor>
      </commentPr>
    </comment>
    <comment ref="E18" authorId="53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Model assumption. FCFF cross-check assumption. Primary calibration source: https://www.sec.gov/Archives/edgar/data/753308/000075330826000015/nee-20251231.htm</t>
        </r>
      </text>
      <commentPr locked="0" textHAlign="justify" textVAlign="top">
        <anchor>
          <from>
            <xdr:col>4</xdr:col>
            <xdr:colOff>15</xdr:colOff>
            <xdr:row>17</xdr:row>
            <xdr:rowOff>2</xdr:rowOff>
          </from>
          <to>
            <xdr:col>6</xdr:col>
            <xdr:colOff>15</xdr:colOff>
            <xdr:row>21</xdr:row>
            <xdr:rowOff>2</xdr:rowOff>
          </to>
        </anchor>
      </commentPr>
    </comment>
    <comment ref="E19" authorId="54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Model assumption. Regulated-utility SOTP multiple assumption. Primary calibration source: https://www.sec.gov/Archives/edgar/data/753308/000075330826000015/nee-20251231.htm</t>
        </r>
      </text>
      <commentPr locked="0" textHAlign="justify" textVAlign="top">
        <anchor>
          <from>
            <xdr:col>4</xdr:col>
            <xdr:colOff>15</xdr:colOff>
            <xdr:row>18</xdr:row>
            <xdr:rowOff>2</xdr:rowOff>
          </from>
          <to>
            <xdr:col>6</xdr:col>
            <xdr:colOff>15</xdr:colOff>
            <xdr:row>22</xdr:row>
            <xdr:rowOff>2</xdr:rowOff>
          </to>
        </anchor>
      </commentPr>
    </comment>
    <comment ref="E20" authorId="55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Model assumption. Renewables/infrastructure SOTP multiple assumption. Primary calibration source: https://www.sec.gov/Archives/edgar/data/753308/000075330826000015/nee-20251231.htm</t>
        </r>
      </text>
      <commentPr locked="0" textHAlign="justify" textVAlign="top">
        <anchor>
          <from>
            <xdr:col>4</xdr:col>
            <xdr:colOff>15</xdr:colOff>
            <xdr:row>19</xdr:row>
            <xdr:rowOff>2</xdr:rowOff>
          </from>
          <to>
            <xdr:col>6</xdr:col>
            <xdr:colOff>15</xdr:colOff>
            <xdr:row>23</xdr:row>
            <xdr:rowOff>2</xdr:rowOff>
          </to>
        </anchor>
      </commentPr>
    </comment>
    <comment ref="E21" authorId="56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Model assumption. Capitalization of corporate/financing residual. Primary calibration source: https://www.sec.gov/Archives/edgar/data/753308/000075330826000015/nee-20251231.htm</t>
        </r>
      </text>
      <commentPr locked="0" textHAlign="justify" textVAlign="top">
        <anchor>
          <from>
            <xdr:col>4</xdr:col>
            <xdr:colOff>15</xdr:colOff>
            <xdr:row>20</xdr:row>
            <xdr:rowOff>2</xdr:rowOff>
          </from>
          <to>
            <xdr:col>6</xdr:col>
            <xdr:colOff>15</xdr:colOff>
            <xdr:row>24</xdr:row>
            <xdr:rowOff>2</xdr:rowOff>
          </to>
        </anchor>
      </commentPr>
    </comment>
    <comment ref="E22" authorId="57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Model assumption. Dividend cross-check growth assumption. Primary calibration source: https://www.sec.gov/Archives/edgar/data/753308/000075330826000015/nee-20251231.htm</t>
        </r>
      </text>
      <commentPr locked="0" textHAlign="justify" textVAlign="top">
        <anchor>
          <from>
            <xdr:col>4</xdr:col>
            <xdr:colOff>15</xdr:colOff>
            <xdr:row>21</xdr:row>
            <xdr:rowOff>2</xdr:rowOff>
          </from>
          <to>
            <xdr:col>6</xdr:col>
            <xdr:colOff>15</xdr:colOff>
            <xdr:row>25</xdr:row>
            <xdr:rowOff>2</xdr:rowOff>
          </to>
        </anchor>
      </commentPr>
    </comment>
    <comment ref="E23" authorId="58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Model assumption. USD utility/infrastructure equity discount rate. Primary calibration source: https://www.sec.gov/Archives/edgar/data/753308/000075330826000015/nee-20251231.htm</t>
        </r>
      </text>
      <commentPr locked="0" textHAlign="justify" textVAlign="top">
        <anchor>
          <from>
            <xdr:col>4</xdr:col>
            <xdr:colOff>15</xdr:colOff>
            <xdr:row>22</xdr:row>
            <xdr:rowOff>2</xdr:rowOff>
          </from>
          <to>
            <xdr:col>6</xdr:col>
            <xdr:colOff>15</xdr:colOff>
            <xdr:row>26</xdr:row>
            <xdr:rowOff>2</xdr:rowOff>
          </to>
        </anchor>
      </commentPr>
    </comment>
    <comment ref="E24" authorId="59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Model assumption. DDM terminal growth; kept below cost of equity. Primary calibration source: https://www.sec.gov/Archives/edgar/data/753308/000075330826000015/nee-20251231.htm</t>
        </r>
      </text>
      <commentPr locked="0" textHAlign="justify" textVAlign="top">
        <anchor>
          <from>
            <xdr:col>4</xdr:col>
            <xdr:colOff>15</xdr:colOff>
            <xdr:row>23</xdr:row>
            <xdr:rowOff>2</xdr:rowOff>
          </from>
          <to>
            <xdr:col>6</xdr:col>
            <xdr:colOff>15</xdr:colOff>
            <xdr:row>27</xdr:row>
            <xdr:rowOff>2</xdr:rowOff>
          </to>
        </anchor>
      </commentPr>
    </comment>
    <comment ref="E25" authorId="60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Model assumption. Financing dilution assumption. Primary calibration source: https://www.sec.gov/Archives/edgar/data/753308/000075330826000015/nee-20251231.htm</t>
        </r>
      </text>
      <commentPr locked="0" textHAlign="justify" textVAlign="top">
        <anchor>
          <from>
            <xdr:col>4</xdr:col>
            <xdr:colOff>15</xdr:colOff>
            <xdr:row>24</xdr:row>
            <xdr:rowOff>2</xdr:rowOff>
          </from>
          <to>
            <xdr:col>6</xdr:col>
            <xdr:colOff>15</xdr:colOff>
            <xdr:row>28</xdr:row>
            <xdr:rowOff>2</xdr:rowOff>
          </to>
        </anchor>
      </commentPr>
    </comment>
    <comment ref="E26" authorId="61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Model assumption. Visible financing-path assumption. Primary calibration source: https://www.sec.gov/Archives/edgar/data/753308/000075330826000015/nee-20251231.htm</t>
        </r>
      </text>
      <commentPr locked="0" textHAlign="justify" textVAlign="top">
        <anchor>
          <from>
            <xdr:col>4</xdr:col>
            <xdr:colOff>15</xdr:colOff>
            <xdr:row>25</xdr:row>
            <xdr:rowOff>2</xdr:rowOff>
          </from>
          <to>
            <xdr:col>6</xdr:col>
            <xdr:colOff>15</xdr:colOff>
            <xdr:row>29</xdr:row>
            <xdr:rowOff>2</xdr:rowOff>
          </to>
        </anchor>
      </commentPr>
    </comment>
    <comment ref="E27" authorId="62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Model assumption. Financing mix disclosure; diagnostic rather than a cash plug. Primary calibration source: https://www.sec.gov/Archives/edgar/data/753308/000075330826000015/nee-20251231.htm</t>
        </r>
      </text>
      <commentPr locked="0" textHAlign="justify" textVAlign="top">
        <anchor>
          <from>
            <xdr:col>4</xdr:col>
            <xdr:colOff>15</xdr:colOff>
            <xdr:row>26</xdr:row>
            <xdr:rowOff>2</xdr:rowOff>
          </from>
          <to>
            <xdr:col>6</xdr:col>
            <xdr:colOff>15</xdr:colOff>
            <xdr:row>30</xdr:row>
            <xdr:rowOff>2</xdr:rowOff>
          </to>
        </anchor>
      </commentPr>
    </comment>
  </commentList>
</comments>
</file>

<file path=xl/sharedStrings.xml><?xml version="1.0" encoding="utf-8"?>
<sst xmlns="http://schemas.openxmlformats.org/spreadsheetml/2006/main" count="2557" uniqueCount="738">
  <si>
    <t>NEE | 9-of-10 Regated Public-Company Model</t>
  </si>
  <si>
    <t>NextEra Energy, Inc. | Regulated utility + renewables / infrastructure | Controlled artifact-tool rebuild; independent certification remains outside owner scope.</t>
  </si>
  <si>
    <t>Company</t>
  </si>
  <si>
    <t>NextEra Energy, Inc.</t>
  </si>
  <si>
    <t>Ticker</t>
  </si>
  <si>
    <t>NEE</t>
  </si>
  <si>
    <t>Model as of</t>
  </si>
  <si>
    <t>2025-12-31</t>
  </si>
  <si>
    <t>Currency</t>
  </si>
  <si>
    <t>USD millions unless stated</t>
  </si>
  <si>
    <t>Forecast horizon</t>
  </si>
  <si>
    <t>2026E-2030E</t>
  </si>
  <si>
    <t>Active case</t>
  </si>
  <si>
    <t>Overall status</t>
  </si>
  <si>
    <t>Primary valuation</t>
  </si>
  <si>
    <t>FPL / NEER / Corporate SOTP</t>
  </si>
  <si>
    <t>Market-price comparison</t>
  </si>
  <si>
    <t>Omitted — no independently refreshed exact-dated quote in this owner lane</t>
  </si>
  <si>
    <t>Debt definition</t>
  </si>
  <si>
    <t>LongTermDebtCurrent + LongTermDebtNoncurrent + CommercialPaper + OtherShortTermBorrowings + FinanceLeaseLiability.</t>
  </si>
  <si>
    <t>Cash policy</t>
  </si>
  <si>
    <t>Net debt deducts cash and cash equivalents only; restricted cash and nuclear decommissioning funds are excluded.</t>
  </si>
  <si>
    <t>Acquisition / perimeter</t>
  </si>
  <si>
    <t>The model keeps FPL and NEER economics separate and treats Corporate &amp; Other as the residual to consolidated NEE. Filed USD values are not FX-restated.</t>
  </si>
  <si>
    <t>Known limitation</t>
  </si>
  <si>
    <t>Primary valuation is a segment SOTP using FPL and NEER earnings because a generic unlevered DCF obscures regulated rate-base, high-capex and financing economics. FCFF is retained only as a cross-check.</t>
  </si>
  <si>
    <t>Investor view: begin with operating drivers and the debt bridge, then assess valuation only after Checks!B4 passes. Gate_9of10 is owner preflight, not independent certification.</t>
  </si>
  <si>
    <t>NEE | Source and Transformation Ledger</t>
  </si>
  <si>
    <t>Every material input identifies target, metric, period, filing metadata, retrieval date, exact URL, scale/sign transform and perimeter note.</t>
  </si>
  <si>
    <t>Source ID</t>
  </si>
  <si>
    <t>Target</t>
  </si>
  <si>
    <t>Metric</t>
  </si>
  <si>
    <t>Value</t>
  </si>
  <si>
    <t>Units</t>
  </si>
  <si>
    <t>Period start</t>
  </si>
  <si>
    <t>Period end / as-of</t>
  </si>
  <si>
    <t>Taxonomy / tag</t>
  </si>
  <si>
    <t>Form</t>
  </si>
  <si>
    <t>Filed</t>
  </si>
  <si>
    <t>Accession</t>
  </si>
  <si>
    <t>Source title</t>
  </si>
  <si>
    <t>Source class</t>
  </si>
  <si>
    <t>Retrieved</t>
  </si>
  <si>
    <t>Exact URL</t>
  </si>
  <si>
    <t>Transform</t>
  </si>
  <si>
    <t>Notes / perimeter</t>
  </si>
  <si>
    <t>SRC-001</t>
  </si>
  <si>
    <t>Historical!C5</t>
  </si>
  <si>
    <t>Revenue</t>
  </si>
  <si>
    <t>USD mm</t>
  </si>
  <si>
    <t>N/A</t>
  </si>
  <si>
    <t>Filed statements / debt footnote — fiscal 2023 — row: Revenue</t>
  </si>
  <si>
    <t>10-K</t>
  </si>
  <si>
    <t>2026-02-13</t>
  </si>
  <si>
    <t>0000753308-26-000015</t>
  </si>
  <si>
    <t>NextEra Energy, Inc. 2025 Form 10-K</t>
  </si>
  <si>
    <t>Primary — SEC filed</t>
  </si>
  <si>
    <t>2026-07-16</t>
  </si>
  <si>
    <t>https://www.sec.gov/Archives/edgar/data/753308/000075330826000015/nee-20251231.htm</t>
  </si>
  <si>
    <t>Transcribed from filed table; USD values in millions unless stated</t>
  </si>
  <si>
    <t>Direct 10-K value used when a single comparable Company Facts tag was not reliable.</t>
  </si>
  <si>
    <t>SRC-002</t>
  </si>
  <si>
    <t>Historical!D5</t>
  </si>
  <si>
    <t>Filed statements / debt footnote — fiscal 2024 — row: Revenue</t>
  </si>
  <si>
    <t>SRC-003</t>
  </si>
  <si>
    <t>Historical!E5</t>
  </si>
  <si>
    <t>Filed statements / debt footnote — fiscal 2025 — row: Revenue</t>
  </si>
  <si>
    <t>SRC-004</t>
  </si>
  <si>
    <t>Historical!C6</t>
  </si>
  <si>
    <t>Operating income (EBIT)</t>
  </si>
  <si>
    <t>2023-01-01</t>
  </si>
  <si>
    <t>2023-12-31</t>
  </si>
  <si>
    <t>us-gaap:OperatingIncomeLoss</t>
  </si>
  <si>
    <t>NextEra Energy, Inc. Form 10-K / SEC Company Facts</t>
  </si>
  <si>
    <t>https://data.sec.gov/api/xbrl/companyfacts/CIK0000753308.json</t>
  </si>
  <si>
    <t>Filed USD divided by 1,000,000; sign preserved</t>
  </si>
  <si>
    <t>SRC-005</t>
  </si>
  <si>
    <t>Historical!D6</t>
  </si>
  <si>
    <t>2024-01-01</t>
  </si>
  <si>
    <t>2024-12-31</t>
  </si>
  <si>
    <t>SRC-006</t>
  </si>
  <si>
    <t>Historical!E6</t>
  </si>
  <si>
    <t>2025-01-01</t>
  </si>
  <si>
    <t>SRC-007</t>
  </si>
  <si>
    <t>Historical!C7</t>
  </si>
  <si>
    <t>Net income</t>
  </si>
  <si>
    <t>us-gaap:NetIncomeLoss</t>
  </si>
  <si>
    <t>SRC-008</t>
  </si>
  <si>
    <t>Historical!D7</t>
  </si>
  <si>
    <t>SRC-009</t>
  </si>
  <si>
    <t>Historical!E7</t>
  </si>
  <si>
    <t>SRC-010</t>
  </si>
  <si>
    <t>Historical!C8</t>
  </si>
  <si>
    <t>Cash from operations</t>
  </si>
  <si>
    <t>us-gaap:NetCashProvidedByUsedInOperatingActivities</t>
  </si>
  <si>
    <t>SRC-011</t>
  </si>
  <si>
    <t>Historical!D8</t>
  </si>
  <si>
    <t>SRC-012</t>
  </si>
  <si>
    <t>Historical!E8</t>
  </si>
  <si>
    <t>SRC-013</t>
  </si>
  <si>
    <t>Historical!C9</t>
  </si>
  <si>
    <t>Depreciation &amp; amortization</t>
  </si>
  <si>
    <t>us-gaap:DepreciationAndAmortization</t>
  </si>
  <si>
    <t>SRC-014</t>
  </si>
  <si>
    <t>Historical!D9</t>
  </si>
  <si>
    <t>SRC-015</t>
  </si>
  <si>
    <t>Historical!E9</t>
  </si>
  <si>
    <t>SRC-016</t>
  </si>
  <si>
    <t>Historical!C10</t>
  </si>
  <si>
    <t>Cash capex / P&amp;E additions</t>
  </si>
  <si>
    <t>Filed statements / debt footnote — fiscal 2023 — row: Cash capex / P&amp;E additions</t>
  </si>
  <si>
    <t>SRC-017</t>
  </si>
  <si>
    <t>Historical!D10</t>
  </si>
  <si>
    <t>Filed statements / debt footnote — fiscal 2024 — row: Cash capex / P&amp;E additions</t>
  </si>
  <si>
    <t>SRC-018</t>
  </si>
  <si>
    <t>Historical!E10</t>
  </si>
  <si>
    <t>Filed statements / debt footnote — fiscal 2025 — row: Cash capex / P&amp;E additions</t>
  </si>
  <si>
    <t>SRC-019</t>
  </si>
  <si>
    <t>Historical!C11</t>
  </si>
  <si>
    <t>Total assets</t>
  </si>
  <si>
    <t>Instant</t>
  </si>
  <si>
    <t>us-gaap:Assets</t>
  </si>
  <si>
    <t>SRC-020</t>
  </si>
  <si>
    <t>Historical!D11</t>
  </si>
  <si>
    <t>SRC-021</t>
  </si>
  <si>
    <t>Historical!E11</t>
  </si>
  <si>
    <t>SRC-022</t>
  </si>
  <si>
    <t>Historical!C12</t>
  </si>
  <si>
    <t>Stockholders' equity</t>
  </si>
  <si>
    <t>us-gaap:StockholdersEquity</t>
  </si>
  <si>
    <t>2025-02-14</t>
  </si>
  <si>
    <t>0000753308-25-000011</t>
  </si>
  <si>
    <t>SRC-023</t>
  </si>
  <si>
    <t>Historical!D12</t>
  </si>
  <si>
    <t>SRC-024</t>
  </si>
  <si>
    <t>Historical!E12</t>
  </si>
  <si>
    <t>SRC-025</t>
  </si>
  <si>
    <t>Historical!C13</t>
  </si>
  <si>
    <t>Cash &amp; cash equivalents</t>
  </si>
  <si>
    <t>us-gaap:CashAndCashEquivalentsAtCarryingValue</t>
  </si>
  <si>
    <t>SRC-026</t>
  </si>
  <si>
    <t>Historical!D13</t>
  </si>
  <si>
    <t>SRC-027</t>
  </si>
  <si>
    <t>Historical!E13</t>
  </si>
  <si>
    <t>SRC-028</t>
  </si>
  <si>
    <t>Historical!C14</t>
  </si>
  <si>
    <t>Long-term debt component</t>
  </si>
  <si>
    <t>us-gaap:LongTermDebtCurrent</t>
  </si>
  <si>
    <t>SRC-029</t>
  </si>
  <si>
    <t>us-gaap:LongTermDebtNoncurrent</t>
  </si>
  <si>
    <t>SRC-030</t>
  </si>
  <si>
    <t>Historical!D14</t>
  </si>
  <si>
    <t>SRC-031</t>
  </si>
  <si>
    <t>SRC-032</t>
  </si>
  <si>
    <t>Historical!E14</t>
  </si>
  <si>
    <t>SRC-033</t>
  </si>
  <si>
    <t>SRC-034</t>
  </si>
  <si>
    <t>Historical!C15</t>
  </si>
  <si>
    <t>Short-term borrowings component</t>
  </si>
  <si>
    <t>us-gaap:CommercialPaper</t>
  </si>
  <si>
    <t>SRC-035</t>
  </si>
  <si>
    <t>us-gaap:OtherShortTermBorrowings</t>
  </si>
  <si>
    <t>SRC-036</t>
  </si>
  <si>
    <t>Historical!D15</t>
  </si>
  <si>
    <t>SRC-037</t>
  </si>
  <si>
    <t>SRC-038</t>
  </si>
  <si>
    <t>Historical!E15</t>
  </si>
  <si>
    <t>SRC-039</t>
  </si>
  <si>
    <t>SRC-040</t>
  </si>
  <si>
    <t>Historical!C16</t>
  </si>
  <si>
    <t>Finance lease liability</t>
  </si>
  <si>
    <t>us-gaap:FinanceLeaseLiability</t>
  </si>
  <si>
    <t>SRC-041</t>
  </si>
  <si>
    <t>Historical!D16</t>
  </si>
  <si>
    <t>SRC-042</t>
  </si>
  <si>
    <t>Historical!E16</t>
  </si>
  <si>
    <t>SRC-043</t>
  </si>
  <si>
    <t>Historical!C17</t>
  </si>
  <si>
    <t>Diluted weighted-average shares</t>
  </si>
  <si>
    <t>mm shares</t>
  </si>
  <si>
    <t>us-gaap:WeightedAverageNumberOfDilutedSharesOutstanding</t>
  </si>
  <si>
    <t>Filed shares divided by 1,000,000</t>
  </si>
  <si>
    <t>SRC-044</t>
  </si>
  <si>
    <t>Historical!D17</t>
  </si>
  <si>
    <t>SRC-045</t>
  </si>
  <si>
    <t>Historical!E17</t>
  </si>
  <si>
    <t>SRC-046</t>
  </si>
  <si>
    <t>Assumptions!C7</t>
  </si>
  <si>
    <t>FPL revenue growth — Bear</t>
  </si>
  <si>
    <t>% / year</t>
  </si>
  <si>
    <t>Model assumption</t>
  </si>
  <si>
    <t>NEE scenario framework</t>
  </si>
  <si>
    <t>Model judgment</t>
  </si>
  <si>
    <t>Scenario calibration</t>
  </si>
  <si>
    <t>Regulated load, rate-base investment and approved rate outcomes.</t>
  </si>
  <si>
    <t>SRC-047</t>
  </si>
  <si>
    <t>Assumptions!D7</t>
  </si>
  <si>
    <t>FPL revenue growth — Base</t>
  </si>
  <si>
    <t>SRC-048</t>
  </si>
  <si>
    <t>Assumptions!E7</t>
  </si>
  <si>
    <t>FPL revenue growth — Bull</t>
  </si>
  <si>
    <t>SRC-049</t>
  </si>
  <si>
    <t>Assumptions!C8</t>
  </si>
  <si>
    <t>NEER revenue growth — Bear</t>
  </si>
  <si>
    <t>New wind, solar, storage and transmission investment.</t>
  </si>
  <si>
    <t>SRC-050</t>
  </si>
  <si>
    <t>Assumptions!D8</t>
  </si>
  <si>
    <t>NEER revenue growth — Base</t>
  </si>
  <si>
    <t>SRC-051</t>
  </si>
  <si>
    <t>Assumptions!E8</t>
  </si>
  <si>
    <t>NEER revenue growth — Bull</t>
  </si>
  <si>
    <t>SRC-052</t>
  </si>
  <si>
    <t>Assumptions!C9</t>
  </si>
  <si>
    <t>Corporate / eliminations revenue growth — Bear</t>
  </si>
  <si>
    <t>Residual consolidated revenue assumption.</t>
  </si>
  <si>
    <t>SRC-053</t>
  </si>
  <si>
    <t>Assumptions!D9</t>
  </si>
  <si>
    <t>Corporate / eliminations revenue growth — Base</t>
  </si>
  <si>
    <t>SRC-054</t>
  </si>
  <si>
    <t>Assumptions!E9</t>
  </si>
  <si>
    <t>Corporate / eliminations revenue growth — Bull</t>
  </si>
  <si>
    <t>SRC-055</t>
  </si>
  <si>
    <t>Assumptions!C10</t>
  </si>
  <si>
    <t>FPL net income growth — Bear</t>
  </si>
  <si>
    <t>Anchored to $5.5bn 2025 average rate-base growth and the 2026-2030 capital plan.</t>
  </si>
  <si>
    <t>SRC-056</t>
  </si>
  <si>
    <t>Assumptions!D10</t>
  </si>
  <si>
    <t>FPL net income growth — Base</t>
  </si>
  <si>
    <t>SRC-057</t>
  </si>
  <si>
    <t>Assumptions!E10</t>
  </si>
  <si>
    <t>FPL net income growth — Bull</t>
  </si>
  <si>
    <t>SRC-058</t>
  </si>
  <si>
    <t>Assumptions!C11</t>
  </si>
  <si>
    <t>NEER net income growth — Bear</t>
  </si>
  <si>
    <t>Anchored to new capacity, backlog and capital deployment.</t>
  </si>
  <si>
    <t>SRC-059</t>
  </si>
  <si>
    <t>Assumptions!D11</t>
  </si>
  <si>
    <t>NEER net income growth — Base</t>
  </si>
  <si>
    <t>SRC-060</t>
  </si>
  <si>
    <t>Assumptions!E11</t>
  </si>
  <si>
    <t>NEER net income growth — Bull</t>
  </si>
  <si>
    <t>SRC-061</t>
  </si>
  <si>
    <t>Assumptions!C12</t>
  </si>
  <si>
    <t>Corporate &amp; Other cost growth — Bear</t>
  </si>
  <si>
    <t>Corporate/financing cost sensitivity.</t>
  </si>
  <si>
    <t>SRC-062</t>
  </si>
  <si>
    <t>Assumptions!D12</t>
  </si>
  <si>
    <t>Corporate &amp; Other cost growth — Base</t>
  </si>
  <si>
    <t>SRC-063</t>
  </si>
  <si>
    <t>Assumptions!E12</t>
  </si>
  <si>
    <t>Corporate &amp; Other cost growth — Bull</t>
  </si>
  <si>
    <t>SRC-064</t>
  </si>
  <si>
    <t>Assumptions!C13</t>
  </si>
  <si>
    <t>FPL capital-plan multiplier — Bear</t>
  </si>
  <si>
    <t>x</t>
  </si>
  <si>
    <t>Scenario overlay on the filed 2026-2030 capital plan.</t>
  </si>
  <si>
    <t>SRC-065</t>
  </si>
  <si>
    <t>Assumptions!D13</t>
  </si>
  <si>
    <t>FPL capital-plan multiplier — Base</t>
  </si>
  <si>
    <t>SRC-066</t>
  </si>
  <si>
    <t>Assumptions!E13</t>
  </si>
  <si>
    <t>FPL capital-plan multiplier — Bull</t>
  </si>
  <si>
    <t>SRC-067</t>
  </si>
  <si>
    <t>Assumptions!C14</t>
  </si>
  <si>
    <t>NEER capital-plan multiplier — Bear</t>
  </si>
  <si>
    <t>SRC-068</t>
  </si>
  <si>
    <t>Assumptions!D14</t>
  </si>
  <si>
    <t>NEER capital-plan multiplier — Base</t>
  </si>
  <si>
    <t>SRC-069</t>
  </si>
  <si>
    <t>Assumptions!E14</t>
  </si>
  <si>
    <t>NEER capital-plan multiplier — Bull</t>
  </si>
  <si>
    <t>SRC-070</t>
  </si>
  <si>
    <t>Assumptions!C15</t>
  </si>
  <si>
    <t>Consolidated EBIT margin — Bear</t>
  </si>
  <si>
    <t>%</t>
  </si>
  <si>
    <t>FCFF cross-check assumption; not the primary valuation driver.</t>
  </si>
  <si>
    <t>SRC-071</t>
  </si>
  <si>
    <t>Assumptions!D15</t>
  </si>
  <si>
    <t>Consolidated EBIT margin — Base</t>
  </si>
  <si>
    <t>SRC-072</t>
  </si>
  <si>
    <t>Assumptions!E15</t>
  </si>
  <si>
    <t>Consolidated EBIT margin — Bull</t>
  </si>
  <si>
    <t>SRC-073</t>
  </si>
  <si>
    <t>Assumptions!C16</t>
  </si>
  <si>
    <t>D&amp;A as % revenue — Bear</t>
  </si>
  <si>
    <t>Anchored to 2025 SEC D&amp;A / revenue.</t>
  </si>
  <si>
    <t>SRC-074</t>
  </si>
  <si>
    <t>Assumptions!D16</t>
  </si>
  <si>
    <t>D&amp;A as % revenue — Base</t>
  </si>
  <si>
    <t>SRC-075</t>
  </si>
  <si>
    <t>Assumptions!E16</t>
  </si>
  <si>
    <t>D&amp;A as % revenue — Bull</t>
  </si>
  <si>
    <t>SRC-076</t>
  </si>
  <si>
    <t>Assumptions!C17</t>
  </si>
  <si>
    <t>Cash tax rate — Bear</t>
  </si>
  <si>
    <t>Utility/renewables tax-credit-sensitive normalized assumption.</t>
  </si>
  <si>
    <t>SRC-077</t>
  </si>
  <si>
    <t>Assumptions!D17</t>
  </si>
  <si>
    <t>Cash tax rate — Base</t>
  </si>
  <si>
    <t>SRC-078</t>
  </si>
  <si>
    <t>Assumptions!E17</t>
  </si>
  <si>
    <t>Cash tax rate — Bull</t>
  </si>
  <si>
    <t>SRC-079</t>
  </si>
  <si>
    <t>Assumptions!C18</t>
  </si>
  <si>
    <t>NWC investment / change in revenue — Bear</t>
  </si>
  <si>
    <t>FCFF cross-check assumption.</t>
  </si>
  <si>
    <t>SRC-080</t>
  </si>
  <si>
    <t>Assumptions!D18</t>
  </si>
  <si>
    <t>NWC investment / change in revenue — Base</t>
  </si>
  <si>
    <t>SRC-081</t>
  </si>
  <si>
    <t>Assumptions!E18</t>
  </si>
  <si>
    <t>NWC investment / change in revenue — Bull</t>
  </si>
  <si>
    <t>SRC-082</t>
  </si>
  <si>
    <t>Assumptions!C19</t>
  </si>
  <si>
    <t>FPL forward P/E — Bear</t>
  </si>
  <si>
    <t>Regulated-utility SOTP multiple assumption.</t>
  </si>
  <si>
    <t>SRC-083</t>
  </si>
  <si>
    <t>Assumptions!D19</t>
  </si>
  <si>
    <t>FPL forward P/E — Base</t>
  </si>
  <si>
    <t>SRC-084</t>
  </si>
  <si>
    <t>Assumptions!E19</t>
  </si>
  <si>
    <t>FPL forward P/E — Bull</t>
  </si>
  <si>
    <t>SRC-085</t>
  </si>
  <si>
    <t>Assumptions!C20</t>
  </si>
  <si>
    <t>NEER forward P/E — Bear</t>
  </si>
  <si>
    <t>Renewables/infrastructure SOTP multiple assumption.</t>
  </si>
  <si>
    <t>SRC-086</t>
  </si>
  <si>
    <t>Assumptions!D20</t>
  </si>
  <si>
    <t>NEER forward P/E — Base</t>
  </si>
  <si>
    <t>SRC-087</t>
  </si>
  <si>
    <t>Assumptions!E20</t>
  </si>
  <si>
    <t>NEER forward P/E — Bull</t>
  </si>
  <si>
    <t>SRC-088</t>
  </si>
  <si>
    <t>Assumptions!C21</t>
  </si>
  <si>
    <t>Corporate &amp; Other P/E — Bear</t>
  </si>
  <si>
    <t>Capitalization of corporate/financing residual.</t>
  </si>
  <si>
    <t>SRC-089</t>
  </si>
  <si>
    <t>Assumptions!D21</t>
  </si>
  <si>
    <t>Corporate &amp; Other P/E — Base</t>
  </si>
  <si>
    <t>SRC-090</t>
  </si>
  <si>
    <t>Assumptions!E21</t>
  </si>
  <si>
    <t>Corporate &amp; Other P/E — Bull</t>
  </si>
  <si>
    <t>SRC-091</t>
  </si>
  <si>
    <t>Assumptions!C22</t>
  </si>
  <si>
    <t>Dividend per share growth — Bear</t>
  </si>
  <si>
    <t>Dividend cross-check growth assumption.</t>
  </si>
  <si>
    <t>SRC-092</t>
  </si>
  <si>
    <t>Assumptions!D22</t>
  </si>
  <si>
    <t>Dividend per share growth — Base</t>
  </si>
  <si>
    <t>SRC-093</t>
  </si>
  <si>
    <t>Assumptions!E22</t>
  </si>
  <si>
    <t>Dividend per share growth — Bull</t>
  </si>
  <si>
    <t>SRC-094</t>
  </si>
  <si>
    <t>Assumptions!C23</t>
  </si>
  <si>
    <t>Cost of equity — Bear</t>
  </si>
  <si>
    <t>USD utility/infrastructure equity discount rate.</t>
  </si>
  <si>
    <t>SRC-095</t>
  </si>
  <si>
    <t>Assumptions!D23</t>
  </si>
  <si>
    <t>Cost of equity — Base</t>
  </si>
  <si>
    <t>SRC-096</t>
  </si>
  <si>
    <t>Assumptions!E23</t>
  </si>
  <si>
    <t>Cost of equity — Bull</t>
  </si>
  <si>
    <t>SRC-097</t>
  </si>
  <si>
    <t>Assumptions!C24</t>
  </si>
  <si>
    <t>Perpetual dividend growth — Bear</t>
  </si>
  <si>
    <t>DDM terminal growth; kept below cost of equity.</t>
  </si>
  <si>
    <t>SRC-098</t>
  </si>
  <si>
    <t>Assumptions!D24</t>
  </si>
  <si>
    <t>Perpetual dividend growth — Base</t>
  </si>
  <si>
    <t>SRC-099</t>
  </si>
  <si>
    <t>Assumptions!E24</t>
  </si>
  <si>
    <t>Perpetual dividend growth — Bull</t>
  </si>
  <si>
    <t>SRC-100</t>
  </si>
  <si>
    <t>Assumptions!C25</t>
  </si>
  <si>
    <t>Diluted share-count growth — Bear</t>
  </si>
  <si>
    <t>Financing dilution assumption.</t>
  </si>
  <si>
    <t>SRC-101</t>
  </si>
  <si>
    <t>Assumptions!D25</t>
  </si>
  <si>
    <t>Diluted share-count growth — Base</t>
  </si>
  <si>
    <t>SRC-102</t>
  </si>
  <si>
    <t>Assumptions!E25</t>
  </si>
  <si>
    <t>Diluted share-count growth — Bull</t>
  </si>
  <si>
    <t>SRC-103</t>
  </si>
  <si>
    <t>Assumptions!C26</t>
  </si>
  <si>
    <t>Total debt growth — Bear</t>
  </si>
  <si>
    <t>Visible financing-path assumption.</t>
  </si>
  <si>
    <t>SRC-104</t>
  </si>
  <si>
    <t>Assumptions!D26</t>
  </si>
  <si>
    <t>Total debt growth — Base</t>
  </si>
  <si>
    <t>SRC-105</t>
  </si>
  <si>
    <t>Assumptions!E26</t>
  </si>
  <si>
    <t>Total debt growth — Bull</t>
  </si>
  <si>
    <t>SRC-106</t>
  </si>
  <si>
    <t>Assumptions!C27</t>
  </si>
  <si>
    <t>Capital plan debt-funding share — Bear</t>
  </si>
  <si>
    <t>Financing mix disclosure; diagnostic rather than a cash plug.</t>
  </si>
  <si>
    <t>SRC-107</t>
  </si>
  <si>
    <t>Assumptions!D27</t>
  </si>
  <si>
    <t>Capital plan debt-funding share — Base</t>
  </si>
  <si>
    <t>SRC-108</t>
  </si>
  <si>
    <t>Assumptions!E27</t>
  </si>
  <si>
    <t>Capital plan debt-funding share — Bull</t>
  </si>
  <si>
    <t>SRC-109</t>
  </si>
  <si>
    <t>Sector_KPIs!E5:E12</t>
  </si>
  <si>
    <t>FPL / NEER segment revenue and net income</t>
  </si>
  <si>
    <t>See cells</t>
  </si>
  <si>
    <t>Item 7 MD&amp;A — FPL Results of Operations and NEER Results of Operations tables — rows: Operating revenues / Net income — 2025 column</t>
  </si>
  <si>
    <t>SRC-110</t>
  </si>
  <si>
    <t>Sector_KPIs!F18:J19</t>
  </si>
  <si>
    <t>2026-2030 FPL and NEER filed capital plan</t>
  </si>
  <si>
    <t>Item 7 Liquidity and Capital Resources — Capital Expenditures and Other Investments table — rows: FPL / NEER — columns 2026-2030</t>
  </si>
  <si>
    <t>Base capital plan transcribed from filed 10-K tables.</t>
  </si>
  <si>
    <t>SRC-111</t>
  </si>
  <si>
    <t>Sector_KPIs!E13:E17</t>
  </si>
  <si>
    <t>Rate base and capacity additions</t>
  </si>
  <si>
    <t>USD mm / MW</t>
  </si>
  <si>
    <t>Item 7 MD&amp;A — FPL rate base and NEER operating highlights — rows: average rate base increase / wind / solar / battery storage additions — 2025</t>
  </si>
  <si>
    <t>2025 operating milestones; backlog addition separately cross-checked to the 2026 proxy.</t>
  </si>
  <si>
    <t>SRC-112</t>
  </si>
  <si>
    <t>Sector_KPIs!E17</t>
  </si>
  <si>
    <t>Renewables and storage backlog additions</t>
  </si>
  <si>
    <t>MW</t>
  </si>
  <si>
    <t>2026 Proxy — clean energy backlog discussion — 13.5 GW added during 2025</t>
  </si>
  <si>
    <t>DEF 14A</t>
  </si>
  <si>
    <t>2026</t>
  </si>
  <si>
    <t>Company IR proxy PDF</t>
  </si>
  <si>
    <t>NextEra Energy 2026 Proxy Statement</t>
  </si>
  <si>
    <t>Primary — company IR</t>
  </si>
  <si>
    <t>https://www.investor.nexteraenergy.com/~/media/Files/N/NEE-IR/2026%20Proxy.pdf</t>
  </si>
  <si>
    <t>13.5 GW multiplied by 1,000 to MW</t>
  </si>
  <si>
    <t>Cross-check for NEER growth case; not a standalone revenue input.</t>
  </si>
  <si>
    <t>SRC-113</t>
  </si>
  <si>
    <t>Historical / Valuation</t>
  </si>
  <si>
    <t>Policy</t>
  </si>
  <si>
    <t>Accounting policy</t>
  </si>
  <si>
    <t>Explicit sum of filed debt components</t>
  </si>
  <si>
    <t>SRC-114</t>
  </si>
  <si>
    <t>Entire model</t>
  </si>
  <si>
    <t>Acquisition / perimeter note</t>
  </si>
  <si>
    <t>Perimeter policy</t>
  </si>
  <si>
    <t>No current-FX restatement; filed values preserved</t>
  </si>
  <si>
    <t>NEE | Historical Financials</t>
  </si>
  <si>
    <t>Filed values and explicit debt bridge. USD in millions except per-share and share-count data.</t>
  </si>
  <si>
    <t>2023A</t>
  </si>
  <si>
    <t>2024A</t>
  </si>
  <si>
    <t>2025A</t>
  </si>
  <si>
    <t>Source definition</t>
  </si>
  <si>
    <t>Source IDs</t>
  </si>
  <si>
    <t>Policy / transform</t>
  </si>
  <si>
    <t>Quality</t>
  </si>
  <si>
    <t>SEC Company Facts / filed 10-K; Revenues or Revenues or SalesRevenueNet</t>
  </si>
  <si>
    <t>SRC-001, SRC-002, SRC-003</t>
  </si>
  <si>
    <t>Filed USD; no FX restatement; sign preserved.</t>
  </si>
  <si>
    <t>SEC Company Facts / filed 10-K; OperatingIncomeLoss</t>
  </si>
  <si>
    <t>SRC-004, SRC-005, SRC-006</t>
  </si>
  <si>
    <t>SEC Company Facts / filed 10-K; NetIncomeLoss or ProfitLoss</t>
  </si>
  <si>
    <t>SRC-007, SRC-008, SRC-009</t>
  </si>
  <si>
    <t>SEC Company Facts / filed 10-K; NetCashProvidedByUsedInOperatingActivities</t>
  </si>
  <si>
    <t>SRC-010, SRC-011, SRC-012</t>
  </si>
  <si>
    <t>SEC Company Facts / filed 10-K; DepreciationAndAmortization or DepreciationDepletionAndAmortization or DepreciationAndAmortization</t>
  </si>
  <si>
    <t>SRC-013, SRC-014, SRC-015</t>
  </si>
  <si>
    <t>SEC Company Facts / filed 10-K; PaymentsToAcquirePropertyPlantAndEquipment or PaymentsForAdditionsToPropertyPlantAndEquipment</t>
  </si>
  <si>
    <t>SRC-016, SRC-017, SRC-018</t>
  </si>
  <si>
    <t>SEC Company Facts / filed 10-K; Assets</t>
  </si>
  <si>
    <t>SRC-019, SRC-020, SRC-021</t>
  </si>
  <si>
    <t>SEC Company Facts / filed 10-K; StockholdersEquity or StockholdersEquityIncludingPortionAttributableToNoncontrollingInterest</t>
  </si>
  <si>
    <t>SRC-022, SRC-023, SRC-024</t>
  </si>
  <si>
    <t>SEC Company Facts / filed 10-K; CashAndCashEquivalentsAtCarryingValue or CashCashEquivalentsRestrictedCashAndRestrictedCashEquivalents</t>
  </si>
  <si>
    <t>SRC-025, SRC-026, SRC-027</t>
  </si>
  <si>
    <t>Long-term debt</t>
  </si>
  <si>
    <t>SEC Company Facts / filed 10-K; LongTermDebt or LongTermDebtAndCapitalLeaseObligationsIncludingCurrentMaturities</t>
  </si>
  <si>
    <t>SRC-029, SRC-031, SRC-033</t>
  </si>
  <si>
    <t>Short-term borrowings</t>
  </si>
  <si>
    <t>SEC Company Facts / filed 10-K; ShortTermBorrowings or CommercialPaper</t>
  </si>
  <si>
    <t>SRC-035, SRC-037, SRC-039</t>
  </si>
  <si>
    <t>SEC Company Facts / filed 10-K; FinanceLeaseLiability</t>
  </si>
  <si>
    <t>SRC-040, SRC-041, SRC-042</t>
  </si>
  <si>
    <t>SEC Company Facts / filed 10-K; WeightedAverageNumberOfDilutedSharesOutstanding</t>
  </si>
  <si>
    <t>SRC-043, SRC-044, SRC-045</t>
  </si>
  <si>
    <t>Total debt</t>
  </si>
  <si>
    <t>Formula</t>
  </si>
  <si>
    <t>Modeled</t>
  </si>
  <si>
    <t>Net debt</t>
  </si>
  <si>
    <t>Total debt less cash and cash equivalents</t>
  </si>
  <si>
    <t>Debt policy</t>
  </si>
  <si>
    <t>Perimeter</t>
  </si>
  <si>
    <t>NEE | Scenario Assumptions</t>
  </si>
  <si>
    <t>Blue cells are inputs; green cells are links/formulas. Selector 1=Base, 2=Bull, 3=Bear.</t>
  </si>
  <si>
    <t>Scenario selector</t>
  </si>
  <si>
    <t>Driver</t>
  </si>
  <si>
    <t>Bear</t>
  </si>
  <si>
    <t>Base</t>
  </si>
  <si>
    <t>Bull</t>
  </si>
  <si>
    <t>Active</t>
  </si>
  <si>
    <t>Rationale / calibration</t>
  </si>
  <si>
    <t>FPL revenue growth</t>
  </si>
  <si>
    <t>NEER revenue growth</t>
  </si>
  <si>
    <t>Corporate / eliminations revenue growth</t>
  </si>
  <si>
    <t>FPL net income growth</t>
  </si>
  <si>
    <t>NEER net income growth</t>
  </si>
  <si>
    <t>Corporate &amp; Other cost growth</t>
  </si>
  <si>
    <t>FPL capital-plan multiplier</t>
  </si>
  <si>
    <t>NEER capital-plan multiplier</t>
  </si>
  <si>
    <t>Consolidated EBIT margin</t>
  </si>
  <si>
    <t>D&amp;A as % revenue</t>
  </si>
  <si>
    <t>Cash tax rate</t>
  </si>
  <si>
    <t>NWC investment / change in revenue</t>
  </si>
  <si>
    <t>FPL forward P/E</t>
  </si>
  <si>
    <t>NEER forward P/E</t>
  </si>
  <si>
    <t>Corporate &amp; Other P/E</t>
  </si>
  <si>
    <t>Dividend per share growth</t>
  </si>
  <si>
    <t>Cost of equity</t>
  </si>
  <si>
    <t>Perpetual dividend growth</t>
  </si>
  <si>
    <t>Diluted share-count growth</t>
  </si>
  <si>
    <t>Total debt growth</t>
  </si>
  <si>
    <t>Capital plan debt-funding share</t>
  </si>
  <si>
    <t>NEE | Integrated Forecast</t>
  </si>
  <si>
    <t>FCFF is a financing-sensitive cross-check only; SOTP is the primary valuation.</t>
  </si>
  <si>
    <t>2026E</t>
  </si>
  <si>
    <t>2027E</t>
  </si>
  <si>
    <t>2028E</t>
  </si>
  <si>
    <t>2029E</t>
  </si>
  <si>
    <t>2030E</t>
  </si>
  <si>
    <t>Operating cash earnings proxy</t>
  </si>
  <si>
    <t>EBIT</t>
  </si>
  <si>
    <t>Cash taxes</t>
  </si>
  <si>
    <t>NOPAT</t>
  </si>
  <si>
    <t>D&amp;A add-back</t>
  </si>
  <si>
    <t>Capital expenditures</t>
  </si>
  <si>
    <t>Change in net working capital</t>
  </si>
  <si>
    <t>FCFF</t>
  </si>
  <si>
    <t>FCFF margin</t>
  </si>
  <si>
    <t>Primary valuation remains FPL/NEER/Corporate SOTP; negative FCFF is expected under the filed capital plan and is not treated as model failure.</t>
  </si>
  <si>
    <t>NEE | Segment SOTP Valuation</t>
  </si>
  <si>
    <t>Primary method: capitalize 2026E FPL, NEER and Corporate &amp; Other earnings separately; DDM is an equity cross-check.</t>
  </si>
  <si>
    <t>Component</t>
  </si>
  <si>
    <t>2026E earnings</t>
  </si>
  <si>
    <t>Active multiple</t>
  </si>
  <si>
    <t>Equity value</t>
  </si>
  <si>
    <t>Source / rationale</t>
  </si>
  <si>
    <t>FPL</t>
  </si>
  <si>
    <t>Regulated-utility earnings / P-E</t>
  </si>
  <si>
    <t>NEER</t>
  </si>
  <si>
    <t>Renewables and infrastructure earnings / P-E</t>
  </si>
  <si>
    <t>Corporate &amp; Other</t>
  </si>
  <si>
    <t>Corporate / financing residual / P-E</t>
  </si>
  <si>
    <t>SOTP equity value</t>
  </si>
  <si>
    <t>2026E diluted shares</t>
  </si>
  <si>
    <t>SOTP value / share</t>
  </si>
  <si>
    <t>Omitted</t>
  </si>
  <si>
    <t>Reason</t>
  </si>
  <si>
    <t>No independently refreshed exact-dated quote was obtained in the controlled owner lane.</t>
  </si>
  <si>
    <t>2026E dividend / share</t>
  </si>
  <si>
    <t>DDM value / share</t>
  </si>
  <si>
    <t>DDM premium / (discount) to SOTP</t>
  </si>
  <si>
    <t>Valuation date / horizon</t>
  </si>
  <si>
    <t>Filed FY2025 actuals with an explicit 2026E-2030E forecast; terminal value is measured at 2030E and discounted to the valuation date.</t>
  </si>
  <si>
    <t>Debt / cash policy</t>
  </si>
  <si>
    <t>LongTermDebtCurrent + LongTermDebtNoncurrent + CommercialPaper + OtherShortTermBorrowings + FinanceLeaseLiability. Net debt deducts cash and cash equivalents only; restricted cash and nuclear decommissioning funds are excluded.</t>
  </si>
  <si>
    <t>Share-count basis</t>
  </si>
  <si>
    <t>2026E diluted shares roll forward from FY2025 diluted weighted-average shares; 2,083.522 mm shares outstanding at January 31, 2026 is disclosed separately in Sources.</t>
  </si>
  <si>
    <t>NEE | SOTP Sensitivity</t>
  </si>
  <si>
    <t>Value per share across FPL and NEER forward P/E assumptions; Corporate &amp; Other multiple remains at active case.</t>
  </si>
  <si>
    <t>NEER P/E → / FPL P/E ↓</t>
  </si>
  <si>
    <t>Base value / share</t>
  </si>
  <si>
    <t>NEE | Formula-Driven Model Checks</t>
  </si>
  <si>
    <t>Overall status is aggregated from check-row formulas. No check status is hardcoded.</t>
  </si>
  <si>
    <t>Overall model status</t>
  </si>
  <si>
    <t>Check ID</t>
  </si>
  <si>
    <t>Category</t>
  </si>
  <si>
    <t>Actual</t>
  </si>
  <si>
    <t>Expected</t>
  </si>
  <si>
    <t>Difference</t>
  </si>
  <si>
    <t>Tolerance</t>
  </si>
  <si>
    <t>Status</t>
  </si>
  <si>
    <t>Evidence / fix hint</t>
  </si>
  <si>
    <t>C01</t>
  </si>
  <si>
    <t>Source ledger exact URLs</t>
  </si>
  <si>
    <t>All material rows require an exact URL.</t>
  </si>
  <si>
    <t>C02</t>
  </si>
  <si>
    <t>Source ledger accession field complete</t>
  </si>
  <si>
    <t>Every source row must carry a filed accession or an explicit N/A.</t>
  </si>
  <si>
    <t>C03</t>
  </si>
  <si>
    <t>Debt bridge</t>
  </si>
  <si>
    <t>C04</t>
  </si>
  <si>
    <t>Net debt bridge</t>
  </si>
  <si>
    <t>C05</t>
  </si>
  <si>
    <t>Operating model historical revenue tie</t>
  </si>
  <si>
    <t>2025 operating schedule revenue must equal filed revenue.</t>
  </si>
  <si>
    <t>C06</t>
  </si>
  <si>
    <t>Forecast operating link</t>
  </si>
  <si>
    <t>2026E revenue must flow from the operating model.</t>
  </si>
  <si>
    <t>C07</t>
  </si>
  <si>
    <t>Selector must be 1, 2 or 3.</t>
  </si>
  <si>
    <t>C08</t>
  </si>
  <si>
    <t>Share count positive</t>
  </si>
  <si>
    <t>Per-share valuation requires a positive share count.</t>
  </si>
  <si>
    <t>C09</t>
  </si>
  <si>
    <t>Sensitivity center reconciliation</t>
  </si>
  <si>
    <t>Center sensitivity cell must equal the active valuation.</t>
  </si>
  <si>
    <t>C10</t>
  </si>
  <si>
    <t>Valuation finite / non-negative</t>
  </si>
  <si>
    <t>Primary equity value per share must be finite and non-negative; equity is floored at zero in downside cases.</t>
  </si>
  <si>
    <t>NEE | FPL / NEER Segment Operating Model</t>
  </si>
  <si>
    <t>FPL and NEER remain separate through earnings, capital plan and SOTP valuation; Corporate &amp; Other is an explicit residual.</t>
  </si>
  <si>
    <t>FPL revenue</t>
  </si>
  <si>
    <t>NEER revenue</t>
  </si>
  <si>
    <t>Corporate &amp; eliminations revenue</t>
  </si>
  <si>
    <t>Consolidated revenue</t>
  </si>
  <si>
    <t>FPL net income</t>
  </si>
  <si>
    <t>NEER net income</t>
  </si>
  <si>
    <t>Corporate &amp; Other net income</t>
  </si>
  <si>
    <t>Consolidated net income</t>
  </si>
  <si>
    <t>FPL average rate-base increase</t>
  </si>
  <si>
    <t>NEER new wind additions</t>
  </si>
  <si>
    <t>NEER new solar additions</t>
  </si>
  <si>
    <t>NEER new battery-storage additions</t>
  </si>
  <si>
    <t>Renewables/storage backlog added</t>
  </si>
  <si>
    <t>FPL filed capital plan</t>
  </si>
  <si>
    <t>NEER filed capital plan</t>
  </si>
  <si>
    <t>FPL scenario capex</t>
  </si>
  <si>
    <t>NEER scenario capex</t>
  </si>
  <si>
    <t>Total scenario capex</t>
  </si>
  <si>
    <t>Dividend per share</t>
  </si>
  <si>
    <t>$ / share</t>
  </si>
  <si>
    <t>EPS</t>
  </si>
  <si>
    <t>Year</t>
  </si>
  <si>
    <t>FPL NI</t>
  </si>
  <si>
    <t>NEER NI</t>
  </si>
  <si>
    <t>NEE | Controlled Change Log</t>
  </si>
  <si>
    <t>Prior workbook is preserved. This output is a new artifact with documented source, model, gate and recalculation changes.</t>
  </si>
  <si>
    <t>Timestamp</t>
  </si>
  <si>
    <t>Version</t>
  </si>
  <si>
    <t>Area</t>
  </si>
  <si>
    <t>Change</t>
  </si>
  <si>
    <t>Evidence</t>
  </si>
  <si>
    <t>Owner scope</t>
  </si>
  <si>
    <t>UTC 2026-07-16T21:40:00Z</t>
  </si>
  <si>
    <t>9of10-regated</t>
  </si>
  <si>
    <t>Preservation</t>
  </si>
  <si>
    <t>Prior workbook preserved without overwrite.</t>
  </si>
  <si>
    <t>Original SHA-256: f04dca73907ab65678e52963d37b8de46238695d1a45093a759d0da9c2dec391</t>
  </si>
  <si>
    <t>Controlled rebuild</t>
  </si>
  <si>
    <t>Sources</t>
  </si>
  <si>
    <t>Replaced generic source list with exact SEC accession, filing URL, taxonomy/tag, period, unit, transform and target-cell ledger.</t>
  </si>
  <si>
    <t>Sources!A4:Q*</t>
  </si>
  <si>
    <t>Owner preflight</t>
  </si>
  <si>
    <t>Debt / cash / shares</t>
  </si>
  <si>
    <t>Rebuilt total debt from explicit filed components; documented cash/restricted-cash and share-count policies.</t>
  </si>
  <si>
    <t>Historical!A13:I19</t>
  </si>
  <si>
    <t>Operating model</t>
  </si>
  <si>
    <t>Separated FPL and NEER revenue, earnings and capital plans.</t>
  </si>
  <si>
    <t>Sector_KPIs</t>
  </si>
  <si>
    <t>Valuation</t>
  </si>
  <si>
    <t>Established FPL/NEER/Corporate SOTP with DDM cross-check.</t>
  </si>
  <si>
    <t>Valuation + Sensitivity</t>
  </si>
  <si>
    <t>Gate</t>
  </si>
  <si>
    <t>Added formula-driven Checks and H0-H9 owner-preflight gate; independent certification is explicitly excluded.</t>
  </si>
  <si>
    <t>Checks + Gate_9of10</t>
  </si>
  <si>
    <t>Output</t>
  </si>
  <si>
    <t>Authored with artifact-tool; native recalculation and final visual manifest are referenced in Gate_9of10 and support evidence.</t>
  </si>
  <si>
    <t>NextEra_Energy_9of10_Regated.xlsx</t>
  </si>
  <si>
    <t>NEE | H0-H9 Owner Preflight Gate</t>
  </si>
  <si>
    <t>This sheet records owner preflight readiness. Independent certification is still required and is not self-awarded.</t>
  </si>
  <si>
    <t>Control objective</t>
  </si>
  <si>
    <t>Weight</t>
  </si>
  <si>
    <t>Evidence range</t>
  </si>
  <si>
    <t>Owner note</t>
  </si>
  <si>
    <t>Independent certification</t>
  </si>
  <si>
    <t>H0</t>
  </si>
  <si>
    <t>Controlled lineage and package integrity</t>
  </si>
  <si>
    <t>Gate_9of10!A23:B28; internal QA evidence (not published)</t>
  </si>
  <si>
    <t>Original/output paths and original hash recorded; final hash and unzip evidence live beside the immutable reviewed file.</t>
  </si>
  <si>
    <t>Required</t>
  </si>
  <si>
    <t>H1</t>
  </si>
  <si>
    <t>Source fidelity and provenance</t>
  </si>
  <si>
    <t>Sources!A4:Q*; Historical comments; Assumptions comments</t>
  </si>
  <si>
    <t>SEC tags/periods/units/accessions/retrieval/targets/transforms. Undated inherited market price removed from outputs.</t>
  </si>
  <si>
    <t>H2</t>
  </si>
  <si>
    <t>Historical, formula and schedule mechanics</t>
  </si>
  <si>
    <t>Historical!A4:I23; Sector_KPIs!A4:J*; Forecast!A4:G15</t>
  </si>
  <si>
    <t>Historical hardcodes and forecast formulas trace without cash/debt plugs.</t>
  </si>
  <si>
    <t>H3</t>
  </si>
  <si>
    <t>Scenario and sensitivity integrity</t>
  </si>
  <si>
    <t>Assumptions!A3:G*; Sensitivity!A4:H9</t>
  </si>
  <si>
    <t>Editable selector drives Base/Bull/Bear; sensitivity is formula-backed.</t>
  </si>
  <si>
    <t>H4</t>
  </si>
  <si>
    <t>Valuation fit and mechanics</t>
  </si>
  <si>
    <t>Valuation!A4:G31; Sensitivity!A4:H9</t>
  </si>
  <si>
    <t>FPL/NEER/Corporate SOTP primary; DDM cross-check; no stale market-price comparison.</t>
  </si>
  <si>
    <t>H5</t>
  </si>
  <si>
    <t>Model checks and error state</t>
  </si>
  <si>
    <t>Checks!A3:H16; post manifest formula_error_scan</t>
  </si>
  <si>
    <t>Transparent Actual/Expected/Difference/Tolerance/Status checks and post-recalc error scan.</t>
  </si>
  <si>
    <t>H6</t>
  </si>
  <si>
    <t>Native recalculation and reproducibility</t>
  </si>
  <si>
    <t>Gate_9of10!A20:B22; support native log; internal QA evidence (not published)</t>
  </si>
  <si>
    <t>Opened/recalculated/saved/closed in LibreOfficeDev, then reopened by artifact-tool.</t>
  </si>
  <si>
    <t>H7</t>
  </si>
  <si>
    <t>Visual QA after recalculation</t>
  </si>
  <si>
    <t>internal QA evidence (not published)</t>
  </si>
  <si>
    <t>Every user-facing sheet rendered after native recalculation and tied to final hash.</t>
  </si>
  <si>
    <t>H8</t>
  </si>
  <si>
    <t>Material economic upgrade</t>
  </si>
  <si>
    <t>Change_Log!A4:F*; Sector_KPIs; Valuation; Checks</t>
  </si>
  <si>
    <t>Source, debt, company-specific operating, scenario, valuation and check mechanics were substantively rebuilt.</t>
  </si>
  <si>
    <t>H9</t>
  </si>
  <si>
    <t>Governance, limitations and reviewer handoff</t>
  </si>
  <si>
    <t>00_Cover!A4:H19; Change_Log!A4:F*; Gate_9of10</t>
  </si>
  <si>
    <t>Purpose, version, as-of, units, horizon, case, status, limitations and reviewer handoff are explicit.</t>
  </si>
  <si>
    <t>Weighted score</t>
  </si>
  <si>
    <t>Owner preflight decision</t>
  </si>
  <si>
    <t>Certification status</t>
  </si>
  <si>
    <t>Independent certification required; not self-certified</t>
  </si>
  <si>
    <t>Build timestamp</t>
  </si>
  <si>
    <t>Native engine</t>
  </si>
  <si>
    <t>LibreOfficeDev 26.8.0.0.alpha0 (2c87e51eeaa2b413ff4ae097b2705eea1995d8e5)</t>
  </si>
  <si>
    <t>Visual manifest</t>
  </si>
  <si>
    <t>Original path</t>
  </si>
  <si>
    <t>NextEra_Energy_Institutional_Model.xlsx</t>
  </si>
  <si>
    <t>Original SHA-256</t>
  </si>
  <si>
    <t>f04dca73907ab65678e52963d37b8de46238695d1a45093a759d0da9c2dec391</t>
  </si>
  <si>
    <t>Controlled path</t>
  </si>
  <si>
    <t>Calculation mode</t>
  </si>
  <si>
    <t>Automatic; full native recalculation forced during LibreOfficeDev conversion</t>
  </si>
  <si>
    <t>Evidence ledger</t>
  </si>
  <si>
    <t>Open blocker ledger</t>
  </si>
  <si>
    <t>No owner-preflight blocker; independent certification remains required</t>
  </si>
  <si>
    <t>Turn #</t>
  </si>
  <si>
    <t>Date</t>
  </si>
  <si>
    <t>User Request</t>
  </si>
  <si>
    <t>Action Taken</t>
  </si>
  <si>
    <t>Details</t>
  </si>
  <si>
    <t>Outcome</t>
  </si>
  <si>
    <t>Prepare a public model copy</t>
  </si>
  <si>
    <t>Remove local paths and private build references; preserve financial formulas and inputs</t>
  </si>
  <si>
    <t>Agent run with MOG as the tool, checked by guard v1. The guard measured every sheet before and after the run.
Changed: Change_Log: 1 cell written, at E11; Gate_9of10: 7 cells written, at E5, E11, E12, B22, B23, B25, B27.
Agent: OpenFinmods export</t>
  </si>
  <si>
    <t>Compare against source and review public copy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</si>
</sst>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#,##0.000;\(#,##0.000\);\-"/>
    <numFmt numFmtId="166" formatCode="#,##0.0;\(#,##0.0\);\-"/>
    <numFmt numFmtId="167" formatCode="0.0%;\(0.0%\);\-"/>
    <numFmt numFmtId="168" formatCode="0.0\x"/>
    <numFmt numFmtId="169" formatCode="\$0.00"/>
    <numFmt numFmtId="170" formatCode="0.0%"/>
    <numFmt numFmtId="171" formatCode="0.000;&quot;(-&quot;0.000\);\-"/>
    <numFmt numFmtId="172" formatCode="yyyy\-mm\-dd hh:mm"/>
  </numFmts>
  <fonts count="18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0"/>
      <charset val="1"/>
    </font>
    <font>
      <b/>
      <sz val="16"/>
      <color rgb="FFFFFFFF"/>
      <name val="Calibri"/>
      <family val="0"/>
      <charset val="1"/>
    </font>
    <font>
      <i/>
      <sz val="11"/>
      <color rgb="FF0B1F3A"/>
      <name val="Calibri"/>
      <family val="0"/>
      <charset val="1"/>
    </font>
    <font>
      <b/>
      <sz val="11"/>
      <color rgb="FFFFFFFF"/>
      <name val="Calibri"/>
      <family val="0"/>
      <charset val="1"/>
    </font>
    <font>
      <b/>
      <sz val="11"/>
      <color rgb="FF0B1F3A"/>
      <name val="Calibri"/>
      <family val="0"/>
      <charset val="1"/>
    </font>
    <font>
      <sz val="11"/>
      <color rgb="FF008000"/>
      <name val="Calibri"/>
      <family val="0"/>
      <charset val="1"/>
    </font>
    <font>
      <b/>
      <sz val="11"/>
      <color rgb="FF000000"/>
      <name val="Calibri"/>
      <family val="0"/>
      <charset val="1"/>
    </font>
    <font>
      <b/>
      <sz val="11"/>
      <color rgb="FF008000"/>
      <name val="Calibri"/>
      <family val="0"/>
      <charset val="1"/>
    </font>
    <font>
      <b/>
      <sz val="11"/>
      <color rgb="FF0000FF"/>
      <name val="Calibri"/>
      <family val="0"/>
      <charset val="1"/>
    </font>
    <font>
      <sz val="11"/>
      <color rgb="FF0000FF"/>
      <name val="Calibri"/>
      <family val="0"/>
      <charset val="1"/>
    </font>
    <font>
      <b/>
      <sz val="18"/>
      <color rgb="FF000000"/>
      <name val="Calibri"/>
      <family val="2"/>
    </font>
    <font>
      <sz val="10"/>
      <color rgb="FF000000"/>
      <name val="Calibri"/>
      <family val="2"/>
    </font>
    <font>
      <b val="0"/>
      <i val="0"/>
      <strike val="0"/>
      <sz val="10"/>
      <color rgb="FF000000"/>
      <name val="Arial"/>
      <family val="2"/>
    </font>
    <font>
      <b/>
      <i val="0"/>
      <strike val="0"/>
      <sz val="10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0B1F3A"/>
        <bgColor rgb="FF17365D"/>
      </patternFill>
    </fill>
    <fill>
      <patternFill patternType="solid">
        <fgColor rgb="FFD9EAF7"/>
        <bgColor rgb="FFE7E6E6"/>
      </patternFill>
    </fill>
    <fill>
      <patternFill patternType="solid">
        <fgColor rgb="FF17365D"/>
        <bgColor rgb="FF333333"/>
      </patternFill>
    </fill>
    <fill>
      <patternFill patternType="solid">
        <fgColor rgb="FFE2F0D9"/>
        <bgColor rgb="FFE7E6E6"/>
      </patternFill>
    </fill>
    <fill>
      <patternFill patternType="solid">
        <fgColor rgb="FFE7E6E6"/>
        <bgColor rgb="FFE2F0D9"/>
      </patternFill>
    </fill>
  </fills>
  <borders count="5">
    <border diagonalUp="0" diagonalDown="0">
      <left/>
      <right/>
      <top/>
      <bottom/>
      <diagonal/>
    </border>
    <border diagonalUp="0" diagonalDown="0">
      <left style="thin">
        <color rgb="FF7F8C8D"/>
      </left>
      <right/>
      <top style="thin">
        <color rgb="FF7F8C8D"/>
      </top>
      <bottom style="thin">
        <color rgb="FF7F8C8D"/>
      </bottom>
      <diagonal/>
    </border>
    <border diagonalUp="0" diagonalDown="0">
      <left/>
      <right/>
      <top style="thin">
        <color rgb="FF7F8C8D"/>
      </top>
      <bottom style="thin">
        <color rgb="FF7F8C8D"/>
      </bottom>
      <diagonal/>
    </border>
    <border diagonalUp="0" diagonalDown="0">
      <left/>
      <right style="thin">
        <color rgb="FF7F8C8D"/>
      </right>
      <top style="thin">
        <color rgb="FF7F8C8D"/>
      </top>
      <bottom style="thin">
        <color rgb="FF7F8C8D"/>
      </bottom>
      <diagonal/>
    </border>
    <border diagonalUp="0" diagonalDown="0">
      <left/>
      <right/>
      <top style="thin">
        <color rgb="FF0B1F3A"/>
      </top>
      <bottom/>
      <diagonal/>
    </border>
  </borders>
  <cellStyleXfs count="21">
    <xf numFmtId="164" fontId="0" fillId="0" borderId="0" applyFont="1" applyBorder="1" applyAlignment="1" applyProtection="1">
      <alignment horizontal="general" vertical="bottom" textRotation="0" indent="0"/>
      <protection locked="1" hidden="0"/>
    </xf>
    <xf numFmtId="0" fontId="1" fillId="0" borderId="0" applyFont="1" applyBorder="0" applyAlignment="0" applyProtection="0"/>
    <xf numFmtId="0" fontId="1" fillId="0" borderId="0" applyFont="1" applyBorder="0" applyAlignment="0" applyProtection="0"/>
    <xf numFmtId="0" fontId="2" fillId="0" borderId="0" applyFont="1" applyBorder="0" applyAlignment="0" applyProtection="0"/>
    <xf numFmtId="0" fontId="2" fillId="0" borderId="0" applyFont="1" applyBorder="0" applyAlignment="0" applyProtection="0"/>
    <xf numFmtId="0" fontId="0" fillId="0" borderId="0" applyFont="1" applyBorder="0" applyAlignment="0" applyProtection="0"/>
    <xf numFmtId="0" fontId="0" fillId="0" borderId="0" applyFont="1" applyBorder="0" applyAlignment="0" applyProtection="0"/>
    <xf numFmtId="0" fontId="0" fillId="0" borderId="0" applyFont="1" applyBorder="0" applyAlignment="0" applyProtection="0"/>
    <xf numFmtId="0" fontId="0" fillId="0" borderId="0" applyFont="1" applyBorder="0" applyAlignment="0" applyProtection="0"/>
    <xf numFmtId="0" fontId="0" fillId="0" borderId="0" applyFont="1" applyBorder="0" applyAlignment="0" applyProtection="0"/>
    <xf numFmtId="0" fontId="0" fillId="0" borderId="0" applyFont="1" applyBorder="0" applyAlignment="0" applyProtection="0"/>
    <xf numFmtId="0" fontId="0" fillId="0" borderId="0" applyFont="1" applyBorder="0" applyAlignment="0" applyProtection="0"/>
    <xf numFmtId="0" fontId="0" fillId="0" borderId="0" applyFont="1" applyBorder="0" applyAlignment="0" applyProtection="0"/>
    <xf numFmtId="0" fontId="0" fillId="0" borderId="0" applyFont="1" applyBorder="0" applyAlignment="0" applyProtection="0"/>
    <xf numFmtId="0" fontId="0" fillId="0" borderId="0" applyFont="1" applyBorder="0" applyAlignment="0" applyProtection="0"/>
    <xf numFmtId="43" fontId="1" fillId="0" borderId="0" applyFont="1" applyBorder="0" applyAlignment="0" applyProtection="0"/>
    <xf numFmtId="41" fontId="1" fillId="0" borderId="0" applyFont="1" applyBorder="0" applyAlignment="0" applyProtection="0"/>
    <xf numFmtId="44" fontId="1" fillId="0" borderId="0" applyFont="1" applyBorder="0" applyAlignment="0" applyProtection="0"/>
    <xf numFmtId="42" fontId="1" fillId="0" borderId="0" applyFont="1" applyBorder="0" applyAlignment="0" applyProtection="0"/>
    <xf numFmtId="9" fontId="1" fillId="0" borderId="0" applyFont="1" applyBorder="0" applyAlignment="0" applyProtection="0"/>
    <xf numFmtId="164" fontId="4" fillId="0" borderId="0" applyFont="1" applyBorder="1" applyAlignment="1" applyProtection="1">
      <alignment horizontal="general" vertical="bottom" textRotation="0" indent="0"/>
      <protection locked="1" hidden="0"/>
    </xf>
  </cellStyleXfs>
  <cellXfs count="53">
    <xf numFmtId="164" fontId="0" fillId="0" borderId="0" xfId="0" applyFont="0" applyBorder="0" applyAlignment="0" applyProtection="0">
      <alignment horizontal="general" vertical="bottom" textRotation="0" indent="0"/>
      <protection locked="1" hidden="0"/>
    </xf>
    <xf numFmtId="164" fontId="5" fillId="2" borderId="0" xfId="20" applyFont="1" applyBorder="1" applyAlignment="1" applyProtection="0">
      <alignment horizontal="general" vertical="center" textRotation="0" indent="0"/>
      <protection locked="1" hidden="0"/>
    </xf>
    <xf numFmtId="164" fontId="6" fillId="3" borderId="0" xfId="20" applyFont="1" applyBorder="1" applyAlignment="1" applyProtection="0">
      <alignment horizontal="general" vertical="center" textRotation="0" wrapText="1" indent="0"/>
      <protection locked="1" hidden="0"/>
    </xf>
    <xf numFmtId="164" fontId="7" fillId="4" borderId="0" xfId="20" applyFont="1" applyBorder="1" applyAlignment="1" applyProtection="0">
      <alignment horizontal="general" vertical="bottom" textRotation="0" wrapText="1" indent="0"/>
      <protection locked="1" hidden="0"/>
    </xf>
    <xf numFmtId="164" fontId="4" fillId="0" borderId="0" xfId="20" applyFont="1" applyBorder="1" applyAlignment="1" applyProtection="0">
      <alignment horizontal="general" vertical="bottom" textRotation="0" wrapText="1" indent="0"/>
      <protection locked="1" hidden="0"/>
    </xf>
    <xf numFmtId="164" fontId="8" fillId="5" borderId="0" xfId="20" applyFont="1" applyBorder="1" applyAlignment="1" applyProtection="0">
      <alignment horizontal="general" vertical="bottom" textRotation="0" wrapText="1" indent="0"/>
      <protection locked="1" hidden="0"/>
    </xf>
    <xf numFmtId="164" fontId="6" fillId="3" borderId="0" xfId="20" applyFont="1" applyBorder="1" applyAlignment="1" applyProtection="0">
      <alignment horizontal="general" vertical="bottom" textRotation="0" wrapText="1" indent="0"/>
      <protection locked="1" hidden="0"/>
    </xf>
    <xf numFmtId="164" fontId="7" fillId="4" borderId="1" xfId="20" applyFont="1" applyBorder="1" applyAlignment="1" applyProtection="0">
      <alignment horizontal="center" vertical="center" textRotation="0" wrapText="1" indent="0"/>
      <protection locked="1" hidden="0"/>
    </xf>
    <xf numFmtId="164" fontId="7" fillId="4" borderId="2" xfId="20" applyFont="1" applyBorder="1" applyAlignment="1" applyProtection="0">
      <alignment horizontal="center" vertical="center" textRotation="0" wrapText="1" indent="0"/>
      <protection locked="1" hidden="0"/>
    </xf>
    <xf numFmtId="164" fontId="7" fillId="4" borderId="3" xfId="20" applyFont="1" applyBorder="1" applyAlignment="1" applyProtection="0">
      <alignment horizontal="center" vertical="center" textRotation="0" wrapText="1" indent="0"/>
      <protection locked="1" hidden="0"/>
    </xf>
    <xf numFmtId="164" fontId="8" fillId="0" borderId="0" xfId="20" applyFont="1" applyBorder="1" applyAlignment="1" applyProtection="0">
      <alignment horizontal="general" vertical="bottom" textRotation="0" wrapText="1" indent="0"/>
      <protection locked="1" hidden="0"/>
    </xf>
    <xf numFmtId="165" fontId="4" fillId="0" borderId="0" xfId="20" applyFont="1" applyBorder="1" applyAlignment="1" applyProtection="0">
      <alignment horizontal="general" vertical="bottom" textRotation="0" wrapText="1" indent="0"/>
      <protection locked="1" hidden="0"/>
    </xf>
    <xf numFmtId="164" fontId="9" fillId="0" borderId="0" xfId="20" applyFont="1" applyBorder="1" applyAlignment="1" applyProtection="0">
      <alignment horizontal="general" vertical="bottom" textRotation="0" wrapText="1" indent="0"/>
      <protection locked="1" hidden="0"/>
    </xf>
    <xf numFmtId="164" fontId="4" fillId="0" borderId="0" xfId="20" applyFont="1" applyBorder="1" applyAlignment="1" applyProtection="0">
      <alignment horizontal="left" vertical="bottom" textRotation="0" indent="0"/>
      <protection locked="1" hidden="0"/>
    </xf>
    <xf numFmtId="166" fontId="4" fillId="6" borderId="0" xfId="20" applyFont="1" applyBorder="1" applyAlignment="1" applyProtection="0">
      <alignment horizontal="right" vertical="bottom" textRotation="0" indent="0"/>
      <protection locked="1" hidden="0"/>
    </xf>
    <xf numFmtId="164" fontId="4" fillId="3" borderId="0" xfId="20" applyFont="1" applyBorder="1" applyAlignment="1" applyProtection="0">
      <alignment horizontal="right" vertical="bottom" textRotation="0" indent="0"/>
      <protection locked="1" hidden="0"/>
    </xf>
    <xf numFmtId="164" fontId="10" fillId="0" borderId="4" xfId="20" applyFont="1" applyBorder="1" applyAlignment="0" applyProtection="0">
      <alignment horizontal="general" vertical="bottom" textRotation="0" indent="0"/>
      <protection locked="1" hidden="0"/>
    </xf>
    <xf numFmtId="166" fontId="10" fillId="0" borderId="4" xfId="20" applyFont="1" applyBorder="1" applyAlignment="0" applyProtection="0">
      <alignment horizontal="general" vertical="bottom" textRotation="0" indent="0"/>
      <protection locked="1" hidden="0"/>
    </xf>
    <xf numFmtId="164" fontId="11" fillId="0" borderId="4" xfId="20" applyFont="1" applyBorder="1" applyAlignment="0" applyProtection="0">
      <alignment horizontal="general" vertical="bottom" textRotation="0" indent="0"/>
      <protection locked="1" hidden="0"/>
    </xf>
    <xf numFmtId="164" fontId="10" fillId="0" borderId="0" xfId="20" applyFont="1" applyBorder="0" applyAlignment="0" applyProtection="0">
      <alignment horizontal="general" vertical="bottom" textRotation="0" indent="0"/>
      <protection locked="1" hidden="0"/>
    </xf>
    <xf numFmtId="166" fontId="10" fillId="0" borderId="0" xfId="20" applyFont="1" applyBorder="0" applyAlignment="0" applyProtection="0">
      <alignment horizontal="general" vertical="bottom" textRotation="0" indent="0"/>
      <protection locked="1" hidden="0"/>
    </xf>
    <xf numFmtId="164" fontId="11" fillId="0" borderId="0" xfId="20" applyFont="1" applyBorder="0" applyAlignment="0" applyProtection="0">
      <alignment horizontal="general" vertical="bottom" textRotation="0" indent="0"/>
      <protection locked="1" hidden="0"/>
    </xf>
    <xf numFmtId="164" fontId="8" fillId="0" borderId="0" xfId="20" applyFont="1" applyBorder="1" applyAlignment="0" applyProtection="0">
      <alignment horizontal="general" vertical="bottom" textRotation="0" indent="0"/>
      <protection locked="1" hidden="0"/>
    </xf>
    <xf numFmtId="164" fontId="12" fillId="3" borderId="0" xfId="20" applyFont="1" applyBorder="1" applyAlignment="1" applyProtection="0">
      <alignment horizontal="center" vertical="bottom" textRotation="0" indent="0"/>
      <protection locked="1" hidden="0"/>
    </xf>
    <xf numFmtId="164" fontId="11" fillId="5" borderId="0" xfId="20" applyFont="1" applyBorder="1" applyAlignment="0" applyProtection="0">
      <alignment horizontal="general" vertical="bottom" textRotation="0" indent="0"/>
      <protection locked="1" hidden="0"/>
    </xf>
    <xf numFmtId="167" fontId="13" fillId="3" borderId="0" xfId="20" applyFont="1" applyBorder="1" applyAlignment="0" applyProtection="0">
      <alignment horizontal="general" vertical="bottom" textRotation="0" indent="0"/>
      <protection locked="1" hidden="0"/>
    </xf>
    <xf numFmtId="167" fontId="9" fillId="5" borderId="0" xfId="20" applyFont="1" applyBorder="1" applyAlignment="0" applyProtection="0">
      <alignment horizontal="general" vertical="bottom" textRotation="0" indent="0"/>
      <protection locked="1" hidden="0"/>
    </xf>
    <xf numFmtId="168" fontId="13" fillId="3" borderId="0" xfId="20" applyFont="1" applyBorder="1" applyAlignment="0" applyProtection="0">
      <alignment horizontal="general" vertical="bottom" textRotation="0" indent="0"/>
      <protection locked="1" hidden="0"/>
    </xf>
    <xf numFmtId="168" fontId="9" fillId="5" borderId="0" xfId="20" applyFont="1" applyBorder="1" applyAlignment="0" applyProtection="0">
      <alignment horizontal="general" vertical="bottom" textRotation="0" indent="0"/>
      <protection locked="1" hidden="0"/>
    </xf>
    <xf numFmtId="166" fontId="10" fillId="3" borderId="4" xfId="20" applyFont="1" applyBorder="1" applyAlignment="0" applyProtection="0">
      <alignment horizontal="general" vertical="bottom" textRotation="0" indent="0"/>
      <protection locked="1" hidden="0"/>
    </xf>
    <xf numFmtId="166" fontId="9" fillId="3" borderId="0" xfId="20" applyFont="1" applyBorder="1" applyAlignment="0" applyProtection="0">
      <alignment horizontal="general" vertical="bottom" textRotation="0" indent="0"/>
      <protection locked="1" hidden="0"/>
    </xf>
    <xf numFmtId="167" fontId="9" fillId="3" borderId="0" xfId="20" applyFont="1" applyBorder="1" applyAlignment="0" applyProtection="0">
      <alignment horizontal="general" vertical="bottom" textRotation="0" indent="0"/>
      <protection locked="1" hidden="0"/>
    </xf>
    <xf numFmtId="166" fontId="4" fillId="0" borderId="0" xfId="20" applyFont="1" applyBorder="1" applyAlignment="0" applyProtection="0">
      <alignment horizontal="general" vertical="bottom" textRotation="0" indent="0"/>
      <protection locked="1" hidden="0"/>
    </xf>
    <xf numFmtId="168" fontId="4" fillId="0" borderId="0" xfId="20" applyFont="1" applyBorder="1" applyAlignment="0" applyProtection="0">
      <alignment horizontal="general" vertical="bottom" textRotation="0" indent="0"/>
      <protection locked="1" hidden="0"/>
    </xf>
    <xf numFmtId="169" fontId="10" fillId="0" borderId="0" xfId="20" applyFont="1" applyBorder="0" applyAlignment="0" applyProtection="0">
      <alignment horizontal="general" vertical="bottom" textRotation="0" indent="0"/>
      <protection locked="1" hidden="0"/>
    </xf>
    <xf numFmtId="170" fontId="10" fillId="0" borderId="0" xfId="20" applyFont="1" applyBorder="0" applyAlignment="0" applyProtection="0">
      <alignment horizontal="general" vertical="bottom" textRotation="0" indent="0"/>
      <protection locked="1" hidden="0"/>
    </xf>
    <xf numFmtId="168" fontId="7" fillId="4" borderId="2" xfId="20" applyFont="1" applyBorder="1" applyAlignment="1" applyProtection="0">
      <alignment horizontal="center" vertical="center" textRotation="0" wrapText="1" indent="0"/>
      <protection locked="1" hidden="0"/>
    </xf>
    <xf numFmtId="169" fontId="7" fillId="4" borderId="3" xfId="20" applyFont="1" applyBorder="1" applyAlignment="1" applyProtection="0">
      <alignment horizontal="center" vertical="center" textRotation="0" wrapText="1" indent="0"/>
      <protection locked="1" hidden="0"/>
    </xf>
    <xf numFmtId="169" fontId="4" fillId="0" borderId="0" xfId="20" applyFont="1" applyBorder="1" applyAlignment="0" applyProtection="0">
      <alignment horizontal="general" vertical="bottom" textRotation="0" indent="0"/>
      <protection locked="1" hidden="0"/>
    </xf>
    <xf numFmtId="169" fontId="8" fillId="5" borderId="0" xfId="20" applyFont="1" applyBorder="1" applyAlignment="0" applyProtection="0">
      <alignment horizontal="general" vertical="bottom" textRotation="0" indent="0"/>
      <protection locked="1" hidden="0"/>
    </xf>
    <xf numFmtId="164" fontId="8" fillId="5" borderId="0" xfId="20" applyFont="1" applyBorder="1" applyAlignment="0" applyProtection="0">
      <alignment horizontal="general" vertical="bottom" textRotation="0" indent="0"/>
      <protection locked="1" hidden="0"/>
    </xf>
    <xf numFmtId="171" fontId="4" fillId="0" borderId="0" xfId="20" applyFont="1" applyBorder="1" applyAlignment="0" applyProtection="0">
      <alignment horizontal="general" vertical="bottom" textRotation="0" indent="0"/>
      <protection locked="1" hidden="0"/>
    </xf>
    <xf numFmtId="166" fontId="4" fillId="3" borderId="0" xfId="20" applyFont="1" applyBorder="1" applyAlignment="1" applyProtection="0">
      <alignment horizontal="right" vertical="bottom" textRotation="0" indent="0"/>
      <protection locked="1" hidden="0"/>
    </xf>
    <xf numFmtId="164" fontId="10" fillId="0" borderId="4" xfId="20" applyFont="1" applyBorder="1" applyAlignment="1" applyProtection="0">
      <alignment horizontal="left" vertical="bottom" textRotation="0" indent="0"/>
      <protection locked="1" hidden="0"/>
    </xf>
    <xf numFmtId="166" fontId="10" fillId="6" borderId="4" xfId="20" applyFont="1" applyBorder="1" applyAlignment="1" applyProtection="0">
      <alignment horizontal="right" vertical="bottom" textRotation="0" indent="0"/>
      <protection locked="1" hidden="0"/>
    </xf>
    <xf numFmtId="166" fontId="10" fillId="3" borderId="4" xfId="20" applyFont="1" applyBorder="1" applyAlignment="1" applyProtection="0">
      <alignment horizontal="right" vertical="bottom" textRotation="0" indent="0"/>
      <protection locked="1" hidden="0"/>
    </xf>
    <xf numFmtId="169" fontId="4" fillId="6" borderId="0" xfId="20" applyFont="1" applyBorder="1" applyAlignment="1" applyProtection="0">
      <alignment horizontal="right" vertical="bottom" textRotation="0" indent="0"/>
      <protection locked="1" hidden="0"/>
    </xf>
    <xf numFmtId="169" fontId="4" fillId="3" borderId="0" xfId="20" applyFont="1" applyBorder="1" applyAlignment="1" applyProtection="0">
      <alignment horizontal="right" vertical="bottom" textRotation="0" indent="0"/>
      <protection locked="1" hidden="0"/>
    </xf>
    <xf numFmtId="169" fontId="10" fillId="6" borderId="4" xfId="20" applyFont="1" applyBorder="1" applyAlignment="1" applyProtection="0">
      <alignment horizontal="right" vertical="bottom" textRotation="0" indent="0"/>
      <protection locked="1" hidden="0"/>
    </xf>
    <xf numFmtId="169" fontId="10" fillId="3" borderId="4" xfId="20" applyFont="1" applyBorder="1" applyAlignment="1" applyProtection="0">
      <alignment horizontal="right" vertical="bottom" textRotation="0" indent="0"/>
      <protection locked="1" hidden="0"/>
    </xf>
    <xf numFmtId="0" fontId="16" fillId="0" borderId="0" xfId="0" applyFont="1" applyFill="1" applyBorder="1" applyAlignment="1" applyProtection="1">
      <alignment vertical="top" textRotation="0" indent="0"/>
      <protection locked="1" hidden="0"/>
    </xf>
    <xf numFmtId="0" fontId="17" fillId="0" borderId="0" xfId="0" applyFont="1" applyFill="1" applyBorder="1" applyProtection="1">
      <protection locked="1" hidden="0"/>
    </xf>
    <xf numFmtId="172" fontId="16" fillId="0" borderId="0" xfId="0" applyNumberFormat="1" applyFont="1" applyFill="1" applyBorder="1" applyAlignment="1" applyProtection="1">
      <alignment vertical="top" textRotation="0" indent="0"/>
      <protection locked="1" hidden="0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dxfs count="4">
    <dxf>
      <font>
        <b/>
        <color rgb="FF0B1F3A"/>
      </font>
      <fill>
        <patternFill>
          <bgColor rgb="FFE2F0D9"/>
        </patternFill>
      </fill>
    </dxf>
    <dxf>
      <font>
        <b/>
        <color rgb="FF9C0006"/>
      </font>
      <fill>
        <patternFill>
          <bgColor rgb="FFFCE4D6"/>
        </patternFill>
      </fill>
    </dxf>
    <dxf>
      <font>
        <b/>
        <color rgb="FF0B1F3A"/>
      </font>
      <fill>
        <patternFill>
          <bgColor rgb="FFE2F0D9"/>
        </patternFill>
      </fill>
    </dxf>
    <dxf>
      <font>
        <b/>
        <color rgb="FF9C0006"/>
      </font>
      <fill>
        <patternFill>
          <bgColor rgb="FFFCE4D6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156082"/>
      <rgbColor rgb="FFCCCCCC"/>
      <rgbColor rgb="FF7F8C8D"/>
      <rgbColor rgb="FF9999FF"/>
      <rgbColor rgb="FF993366"/>
      <rgbColor rgb="FFFCE4D6"/>
      <rgbColor rgb="FFD9EA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7E6E6"/>
      <rgbColor rgb="FFE2F0D9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97132"/>
      <rgbColor rgb="FF666699"/>
      <rgbColor rgb="FF8B8B8B"/>
      <rgbColor rgb="FF17365D"/>
      <rgbColor rgb="FF339966"/>
      <rgbColor rgb="FF0B1F3A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<Relationship Id="rId15" Type="http://schemas.openxmlformats.org/officeDocument/2006/relationships/worksheet" Target="worksheets/sheet12.xml"/></Relationships>
</file>

<file path=xl/charts/_rels/chart1.xml.rels><?xml version="1.0" encoding="UTF-8" standalone="yes"?>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  <a:ea typeface="Calibri"/>
              </a:rPr>
              <a:t>FPL and NEER Net Income</a:t>
            </a:r>
          </a:p>
        </c:rich>
      </c:tx>
      <c:overlay val="0"/>
      <c:spPr>
        <a:noFill/>
        <a:ln w="0">
          <a:noFill/>
        </a:ln>
      </c:spPr>
      <c:txPr>
        <a:bodyPr rot="0"/>
        <a:p/>
      </c:tx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"FPL NI"</c:f>
              <c:strCache>
                <c:ptCount val="1"/>
                <c:pt idx="0">
                  <c:v>FPL NI</c:v>
                </c:pt>
              </c:strCache>
            </c:strRef>
          </c:tx>
          <c:spPr>
            <a:solidFill>
              <a:srgbClr val="156082"/>
            </a:solidFill>
            <a:ln w="38160">
              <a:solidFill>
                <a:srgbClr val="156082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Sector_KPIs!$A$30:$A$35</c:f>
              <c:strCache>
                <c:ptCount val="6"/>
                <c:pt idx="0">
                  <c:v>2025A</c:v>
                </c:pt>
                <c:pt idx="1">
                  <c:v>2026E</c:v>
                </c:pt>
                <c:pt idx="2">
                  <c:v>2027E</c:v>
                </c:pt>
                <c:pt idx="3">
                  <c:v>2028E</c:v>
                </c:pt>
                <c:pt idx="4">
                  <c:v>2029E</c:v>
                </c:pt>
                <c:pt idx="5">
                  <c:v>2030E</c:v>
                </c:pt>
              </c:strCache>
            </c:strRef>
          </c:cat>
          <c:val>
            <c:numRef>
              <c:f>Sector_KPIs!$B$30:$B$35</c:f>
              <c:numCache>
                <c:formatCode>General</c:formatCode>
                <c:ptCount val="6"/>
                <c:pt idx="0">
                  <c:v>5012</c:v>
                </c:pt>
                <c:pt idx="1">
                  <c:v>5463.08</c:v>
                </c:pt>
                <c:pt idx="2">
                  <c:v>5954.7572</c:v>
                </c:pt>
                <c:pt idx="3">
                  <c:v>6490.685348</c:v>
                </c:pt>
                <c:pt idx="4">
                  <c:v>7074.84702932</c:v>
                </c:pt>
                <c:pt idx="5">
                  <c:v>7711.5832619588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"NEER NI"</c:f>
              <c:strCache>
                <c:ptCount val="1"/>
                <c:pt idx="0">
                  <c:v>NEER NI</c:v>
                </c:pt>
              </c:strCache>
            </c:strRef>
          </c:tx>
          <c:spPr>
            <a:solidFill>
              <a:srgbClr val="E97132"/>
            </a:solidFill>
            <a:ln w="38160">
              <a:solidFill>
                <a:srgbClr val="E97132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Sector_KPIs!$A$30:$A$35</c:f>
              <c:strCache>
                <c:ptCount val="6"/>
                <c:pt idx="0">
                  <c:v>2025A</c:v>
                </c:pt>
                <c:pt idx="1">
                  <c:v>2026E</c:v>
                </c:pt>
                <c:pt idx="2">
                  <c:v>2027E</c:v>
                </c:pt>
                <c:pt idx="3">
                  <c:v>2028E</c:v>
                </c:pt>
                <c:pt idx="4">
                  <c:v>2029E</c:v>
                </c:pt>
                <c:pt idx="5">
                  <c:v>2030E</c:v>
                </c:pt>
              </c:strCache>
            </c:strRef>
          </c:cat>
          <c:val>
            <c:numRef>
              <c:f>Sector_KPIs!$C$30:$C$35</c:f>
              <c:numCache>
                <c:formatCode>General</c:formatCode>
                <c:ptCount val="6"/>
                <c:pt idx="0">
                  <c:v>2975</c:v>
                </c:pt>
                <c:pt idx="1">
                  <c:v>3213</c:v>
                </c:pt>
                <c:pt idx="2">
                  <c:v>3470.04</c:v>
                </c:pt>
                <c:pt idx="3">
                  <c:v>3747.6432</c:v>
                </c:pt>
                <c:pt idx="4">
                  <c:v>4047.454656</c:v>
                </c:pt>
                <c:pt idx="5">
                  <c:v>4371.25102848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1"/>
        <c:axId val="132241"/>
        <c:axId val="12335022"/>
      </c:lineChart>
      <c:catAx>
        <c:axId val="132241"/>
        <c:scaling>
          <c:orientation val="minMax"/>
        </c:scaling>
        <c:delete val="0"/>
        <c:axPos val="b"/>
        <c:majorGridlines>
          <c:spPr>
            <a:ln w="9360">
              <a:solidFill>
                <a:srgbClr val="CCCCCC"/>
              </a:solidFill>
              <a:prstDash val="dash"/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  <a:ea typeface="Calibri"/>
              </a:defRPr>
            </a:pPr>
          </a:p>
        </c:txPr>
        <c:crossAx val="12335022"/>
        <c:crosses val="autoZero"/>
        <c:auto val="1"/>
        <c:lblAlgn val="ctr"/>
        <c:lblOffset val="100"/>
        <c:noMultiLvlLbl val="0"/>
      </c:catAx>
      <c:valAx>
        <c:axId val="12335022"/>
        <c:scaling>
          <c:orientation val="minMax"/>
        </c:scaling>
        <c:delete val="0"/>
        <c:axPos val="l"/>
        <c:majorGridlines>
          <c:spPr>
            <a:ln w="9360">
              <a:solidFill>
                <a:srgbClr val="CCCCCC"/>
              </a:solidFill>
              <a:prstDash val="dash"/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  <a:ea typeface="Calibri"/>
              </a:defRPr>
            </a:pPr>
          </a:p>
        </c:txPr>
        <c:crossAx val="132241"/>
        <c:crosses val="autoZero"/>
        <c:crossBetween val="between"/>
      </c:valAx>
      <c:spPr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  <a:ea typeface="Calibri"/>
            </a:defRPr>
          </a:pPr>
        </a:p>
      </c:txPr>
    </c:legend>
    <c:plotVisOnly val="1"/>
    <c:dispBlanksAs val="zero"/>
  </c:chart>
  <c:spPr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/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0</xdr:colOff>
      <xdr:row>28</xdr:row>
      <xdr:rowOff>0</xdr:rowOff>
    </xdr:from>
    <xdr:to>
      <xdr:col>9</xdr:col>
      <xdr:colOff>916200</xdr:colOff>
      <xdr:row>43</xdr:row>
      <xdr:rowOff>190440</xdr:rowOff>
    </xdr:to>
    <xdr:graphicFrame>
      <xdr:nvGraphicFramePr>
        <xdr:cNvPr id="1" name="Chart"/>
        <xdr:cNvGraphicFramePr/>
      </xdr:nvGraphicFramePr>
      <xdr:xfrm>
        <a:off x="5779800" y="5664240"/>
        <a:ext cx="5497560" cy="3047760"/>
      </xdr:xfrm>
      <a:graphic>
        <a:graphicData uri="http://schemas.openxmlformats.org/drawingml/2006/chart">
          <c:chart xmlns:c="http://schemas.openxmlformats.org/drawingml/2006/chart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2.v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 mc:Ignorable="xr2">
  <sheetPr>
    <pageSetUpPr/>
  </sheetPr>
  <dimension ref="A1:H19"/>
  <sheetViews>
    <sheetView showGridLines="0" tabSelected="1" topLeftCell="A1" zoomScaleNormal="100" zoomScalePageLayoutView="100" workbookViewId="0">
      <selection activeCell="A1" sqref="A1"/>
    </sheetView>
  </sheetViews>
  <sheetFormatPr defaultColWidth="8.6796875" defaultRowHeight="15"/>
  <cols>
    <col min="1" max="1" width="28" hidden="0" customWidth="1" outlineLevel="0" collapsed="0"/>
    <col min="2" max="2" width="19" hidden="0" customWidth="1" outlineLevel="0" collapsed="0"/>
    <col min="3" max="8" width="16" hidden="0" customWidth="1" outlineLevel="0" collapsed="0"/>
  </cols>
  <sheetData>
    <row r="1" ht="26" hidden="0" outlineLevel="0" collapsed="0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</row>
    <row r="2" ht="30" hidden="0" outlineLevel="0" collapsed="0">
      <c r="A2" s="2" t="s">
        <v>1</v>
      </c>
      <c r="B2" s="2" t="s">
        <v>1</v>
      </c>
      <c r="C2" s="2" t="s">
        <v>1</v>
      </c>
      <c r="D2" s="2" t="s">
        <v>1</v>
      </c>
      <c r="E2" s="2" t="s">
        <v>1</v>
      </c>
      <c r="F2" s="2" t="s">
        <v>1</v>
      </c>
      <c r="G2" s="2" t="s">
        <v>1</v>
      </c>
      <c r="H2" s="2" t="s">
        <v>1</v>
      </c>
    </row>
    <row r="4" ht="15" hidden="0" outlineLevel="0" collapsed="0">
      <c r="A4" s="3" t="s">
        <v>2</v>
      </c>
      <c r="B4" s="4" t="s">
        <v>3</v>
      </c>
      <c r="C4" s="4"/>
      <c r="D4" s="4"/>
      <c r="E4" s="4"/>
      <c r="F4" s="4"/>
      <c r="G4" s="4"/>
      <c r="H4" s="4"/>
    </row>
    <row r="5" ht="15" hidden="0" outlineLevel="0" collapsed="0">
      <c r="A5" s="3" t="s">
        <v>4</v>
      </c>
      <c r="B5" s="4" t="s">
        <v>5</v>
      </c>
      <c r="C5" s="4"/>
      <c r="D5" s="4"/>
      <c r="E5" s="4"/>
      <c r="F5" s="4"/>
      <c r="G5" s="4"/>
      <c r="H5" s="4"/>
    </row>
    <row r="6" ht="15" hidden="0" outlineLevel="0" collapsed="0">
      <c r="A6" s="3" t="s">
        <v>6</v>
      </c>
      <c r="B6" s="4" t="s">
        <v>7</v>
      </c>
      <c r="C6" s="4"/>
      <c r="D6" s="4"/>
      <c r="E6" s="4"/>
      <c r="F6" s="4"/>
      <c r="G6" s="4"/>
      <c r="H6" s="4"/>
    </row>
    <row r="7" ht="15" hidden="0" outlineLevel="0" collapsed="0">
      <c r="A7" s="3" t="s">
        <v>8</v>
      </c>
      <c r="B7" s="4" t="s">
        <v>9</v>
      </c>
      <c r="C7" s="4"/>
      <c r="D7" s="4"/>
      <c r="E7" s="4"/>
      <c r="F7" s="4"/>
      <c r="G7" s="4"/>
      <c r="H7" s="4"/>
    </row>
    <row r="8" ht="15" hidden="0" outlineLevel="0" collapsed="0">
      <c r="A8" s="3" t="s">
        <v>10</v>
      </c>
      <c r="B8" s="4" t="s">
        <v>11</v>
      </c>
      <c r="C8" s="4"/>
      <c r="D8" s="4"/>
      <c r="E8" s="4"/>
      <c r="F8" s="4"/>
      <c r="G8" s="4"/>
      <c r="H8" s="4"/>
    </row>
    <row r="9" ht="15" hidden="0" outlineLevel="0" collapsed="0">
      <c r="A9" s="3" t="s">
        <v>12</v>
      </c>
      <c r="B9" s="4" t="str">
        <f>Assumptions!B4</f>
        <v>Base</v>
      </c>
      <c r="C9" s="4"/>
      <c r="D9" s="4"/>
      <c r="E9" s="4"/>
      <c r="F9" s="4"/>
      <c r="G9" s="4"/>
      <c r="H9" s="4"/>
    </row>
    <row r="10" ht="15" hidden="0" outlineLevel="0" collapsed="0">
      <c r="A10" s="3" t="s">
        <v>13</v>
      </c>
      <c r="B10" s="5" t="str">
        <f>Checks!B4</f>
        <v>PASS</v>
      </c>
      <c r="C10" s="5"/>
      <c r="D10" s="5"/>
      <c r="E10" s="5"/>
      <c r="F10" s="5"/>
      <c r="G10" s="5"/>
      <c r="H10" s="5"/>
    </row>
    <row r="11" ht="15" hidden="0" outlineLevel="0" collapsed="0">
      <c r="A11" s="3" t="s">
        <v>14</v>
      </c>
      <c r="B11" s="4" t="s">
        <v>15</v>
      </c>
      <c r="C11" s="4"/>
      <c r="D11" s="4"/>
      <c r="E11" s="4"/>
      <c r="F11" s="4"/>
      <c r="G11" s="4"/>
      <c r="H11" s="4"/>
    </row>
    <row r="12" ht="15" hidden="0" outlineLevel="0" collapsed="0">
      <c r="A12" s="3" t="s">
        <v>16</v>
      </c>
      <c r="B12" s="4" t="s">
        <v>17</v>
      </c>
      <c r="C12" s="4"/>
      <c r="D12" s="4"/>
      <c r="E12" s="4"/>
      <c r="F12" s="4"/>
      <c r="G12" s="4"/>
      <c r="H12" s="4"/>
    </row>
    <row r="13" ht="15" hidden="0" outlineLevel="0" collapsed="0">
      <c r="A13" s="3" t="s">
        <v>18</v>
      </c>
      <c r="B13" s="4" t="s">
        <v>19</v>
      </c>
      <c r="C13" s="4"/>
      <c r="D13" s="4"/>
      <c r="E13" s="4"/>
      <c r="F13" s="4"/>
      <c r="G13" s="4"/>
      <c r="H13" s="4"/>
    </row>
    <row r="14" ht="15" hidden="0" outlineLevel="0" collapsed="0">
      <c r="A14" s="3" t="s">
        <v>20</v>
      </c>
      <c r="B14" s="4" t="s">
        <v>21</v>
      </c>
      <c r="C14" s="4"/>
      <c r="D14" s="4"/>
      <c r="E14" s="4"/>
      <c r="F14" s="4"/>
      <c r="G14" s="4"/>
      <c r="H14" s="4"/>
    </row>
    <row r="15" ht="45" hidden="0" outlineLevel="0" collapsed="0">
      <c r="A15" s="3" t="s">
        <v>22</v>
      </c>
      <c r="B15" s="4" t="s">
        <v>23</v>
      </c>
      <c r="C15" s="4"/>
      <c r="D15" s="4"/>
      <c r="E15" s="4"/>
      <c r="F15" s="4"/>
      <c r="G15" s="4"/>
      <c r="H15" s="4"/>
    </row>
    <row r="16" ht="23.85" hidden="0" outlineLevel="0" collapsed="0">
      <c r="A16" s="3" t="s">
        <v>24</v>
      </c>
      <c r="B16" s="4" t="s">
        <v>25</v>
      </c>
      <c r="C16" s="4"/>
      <c r="D16" s="4"/>
      <c r="E16" s="4"/>
      <c r="F16" s="4"/>
      <c r="G16" s="4"/>
      <c r="H16" s="4"/>
    </row>
    <row r="19" ht="40" hidden="0" outlineLevel="0" collapsed="0">
      <c r="A19" s="6" t="s">
        <v>26</v>
      </c>
      <c r="B19" s="6" t="s">
        <v>26</v>
      </c>
      <c r="C19" s="6" t="s">
        <v>26</v>
      </c>
      <c r="D19" s="6" t="s">
        <v>26</v>
      </c>
      <c r="E19" s="6" t="s">
        <v>26</v>
      </c>
      <c r="F19" s="6" t="s">
        <v>26</v>
      </c>
      <c r="G19" s="6" t="s">
        <v>26</v>
      </c>
      <c r="H19" s="6" t="s">
        <v>26</v>
      </c>
    </row>
  </sheetData>
  <mergeCells count="16">
    <mergeCell ref="A1:H1"/>
    <mergeCell ref="A2:H2"/>
    <mergeCell ref="B4:H4"/>
    <mergeCell ref="B5:H5"/>
    <mergeCell ref="B6:H6"/>
    <mergeCell ref="B7:H7"/>
    <mergeCell ref="B8:H8"/>
    <mergeCell ref="B9:H9"/>
    <mergeCell ref="B10:H10"/>
    <mergeCell ref="B11:H11"/>
    <mergeCell ref="B12:H12"/>
    <mergeCell ref="B13:H13"/>
    <mergeCell ref="B14:H14"/>
    <mergeCell ref="B15:H15"/>
    <mergeCell ref="B16:H16"/>
    <mergeCell ref="A19:H19"/>
  </mergeCells>
  <printOptions/>
  <pageMargins left="0.7" right="0.7" top="0.75" bottom="0.75" header="0.511811023622047" footer="0.511811023622047"/>
  <pageSetup paperSize="1" scale="100" fitToWidth="1" fitToHeight="1" pageOrder="downThenOver" orientation="portrait" copies="1" horizontalDpi="300" verticalDpi="300"/>
  <headerFooter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 mc:Ignorable="xr2">
  <sheetPr>
    <pageSetUpPr/>
  </sheetPr>
  <dimension ref="A1:Q118"/>
  <sheetViews>
    <sheetView showGridLines="0" topLeftCell="A1" zoomScaleNormal="100" zoomScalePageLayoutView="100" workbookViewId="0">
      <selection activeCell="A1" sqref="A1"/>
    </sheetView>
  </sheetViews>
  <sheetFormatPr defaultColWidth="8.6796875" defaultRowHeight="15"/>
  <cols>
    <col min="1" max="1" width="13" hidden="0" customWidth="1" outlineLevel="0" collapsed="0"/>
    <col min="2" max="2" width="28" hidden="0" customWidth="1" outlineLevel="0" collapsed="0"/>
    <col min="3" max="3" width="34" hidden="0" customWidth="1" outlineLevel="0" collapsed="0"/>
    <col min="4" max="4" width="20" hidden="0" customWidth="1" outlineLevel="0" collapsed="0"/>
    <col min="5" max="5" width="16" hidden="0" customWidth="1" outlineLevel="0" collapsed="0"/>
    <col min="6" max="6" width="14" hidden="0" customWidth="1" outlineLevel="0" collapsed="0"/>
    <col min="7" max="7" width="18" hidden="0" customWidth="1" outlineLevel="0" collapsed="0"/>
    <col min="8" max="8" width="40" hidden="0" customWidth="1" outlineLevel="0" collapsed="0"/>
    <col min="9" max="9" width="11" hidden="0" customWidth="1" outlineLevel="0" collapsed="0"/>
    <col min="10" max="10" width="14" hidden="0" customWidth="1" outlineLevel="0" collapsed="0"/>
    <col min="11" max="11" width="24" hidden="0" customWidth="1" outlineLevel="0" collapsed="0"/>
    <col min="12" max="12" width="34" hidden="0" customWidth="1" outlineLevel="0" collapsed="0"/>
    <col min="13" max="13" width="28" hidden="0" customWidth="1" outlineLevel="0" collapsed="0"/>
    <col min="14" max="14" width="14" hidden="0" customWidth="1" outlineLevel="0" collapsed="0"/>
    <col min="15" max="15" width="56" hidden="0" customWidth="1" outlineLevel="0" collapsed="0"/>
    <col min="16" max="16" width="42" hidden="0" customWidth="1" outlineLevel="0" collapsed="0"/>
    <col min="17" max="17" width="58" hidden="0" customWidth="1" outlineLevel="0" collapsed="0"/>
  </cols>
  <sheetData>
    <row r="1" ht="26" hidden="0" outlineLevel="0" collapsed="0">
      <c r="A1" s="1" t="s">
        <v>27</v>
      </c>
      <c r="B1" s="1" t="s">
        <v>27</v>
      </c>
      <c r="C1" s="1" t="s">
        <v>27</v>
      </c>
      <c r="D1" s="1" t="s">
        <v>27</v>
      </c>
      <c r="E1" s="1" t="s">
        <v>27</v>
      </c>
      <c r="F1" s="1" t="s">
        <v>27</v>
      </c>
      <c r="G1" s="1" t="s">
        <v>27</v>
      </c>
      <c r="H1" s="1" t="s">
        <v>27</v>
      </c>
      <c r="I1" s="1" t="s">
        <v>27</v>
      </c>
      <c r="J1" s="1" t="s">
        <v>27</v>
      </c>
      <c r="K1" s="1" t="s">
        <v>27</v>
      </c>
      <c r="L1" s="1" t="s">
        <v>27</v>
      </c>
      <c r="M1" s="1" t="s">
        <v>27</v>
      </c>
      <c r="N1" s="1" t="s">
        <v>27</v>
      </c>
      <c r="O1" s="1" t="s">
        <v>27</v>
      </c>
      <c r="P1" s="1" t="s">
        <v>27</v>
      </c>
      <c r="Q1" s="1" t="s">
        <v>27</v>
      </c>
    </row>
    <row r="2" ht="30" hidden="0" outlineLevel="0" collapsed="0">
      <c r="A2" s="2" t="s">
        <v>28</v>
      </c>
      <c r="B2" s="2" t="s">
        <v>28</v>
      </c>
      <c r="C2" s="2" t="s">
        <v>28</v>
      </c>
      <c r="D2" s="2" t="s">
        <v>28</v>
      </c>
      <c r="E2" s="2" t="s">
        <v>28</v>
      </c>
      <c r="F2" s="2" t="s">
        <v>28</v>
      </c>
      <c r="G2" s="2" t="s">
        <v>28</v>
      </c>
      <c r="H2" s="2" t="s">
        <v>28</v>
      </c>
      <c r="I2" s="2" t="s">
        <v>28</v>
      </c>
      <c r="J2" s="2" t="s">
        <v>28</v>
      </c>
      <c r="K2" s="2" t="s">
        <v>28</v>
      </c>
      <c r="L2" s="2" t="s">
        <v>28</v>
      </c>
      <c r="M2" s="2" t="s">
        <v>28</v>
      </c>
      <c r="N2" s="2" t="s">
        <v>28</v>
      </c>
      <c r="O2" s="2" t="s">
        <v>28</v>
      </c>
      <c r="P2" s="2" t="s">
        <v>28</v>
      </c>
      <c r="Q2" s="2" t="s">
        <v>28</v>
      </c>
    </row>
    <row r="4" ht="15" hidden="0" outlineLevel="0" collapsed="0">
      <c r="A4" s="7" t="s">
        <v>29</v>
      </c>
      <c r="B4" s="8" t="s">
        <v>30</v>
      </c>
      <c r="C4" s="8" t="s">
        <v>31</v>
      </c>
      <c r="D4" s="8" t="s">
        <v>32</v>
      </c>
      <c r="E4" s="8" t="s">
        <v>33</v>
      </c>
      <c r="F4" s="8" t="s">
        <v>34</v>
      </c>
      <c r="G4" s="8" t="s">
        <v>35</v>
      </c>
      <c r="H4" s="8" t="s">
        <v>36</v>
      </c>
      <c r="I4" s="8" t="s">
        <v>37</v>
      </c>
      <c r="J4" s="8" t="s">
        <v>38</v>
      </c>
      <c r="K4" s="8" t="s">
        <v>39</v>
      </c>
      <c r="L4" s="8" t="s">
        <v>40</v>
      </c>
      <c r="M4" s="8" t="s">
        <v>41</v>
      </c>
      <c r="N4" s="8" t="s">
        <v>42</v>
      </c>
      <c r="O4" s="8" t="s">
        <v>43</v>
      </c>
      <c r="P4" s="8" t="s">
        <v>44</v>
      </c>
      <c r="Q4" s="9" t="s">
        <v>45</v>
      </c>
    </row>
    <row r="5" ht="23.85" hidden="0" outlineLevel="0" collapsed="0">
      <c r="A5" s="10" t="s">
        <v>46</v>
      </c>
      <c r="B5" s="4" t="s">
        <v>47</v>
      </c>
      <c r="C5" s="4" t="s">
        <v>48</v>
      </c>
      <c r="D5" s="11">
        <v>28114</v>
      </c>
      <c r="E5" s="4" t="s">
        <v>49</v>
      </c>
      <c r="F5" s="4" t="s">
        <v>50</v>
      </c>
      <c r="G5" s="4" t="s">
        <v>7</v>
      </c>
      <c r="H5" s="4" t="s">
        <v>51</v>
      </c>
      <c r="I5" s="4" t="s">
        <v>52</v>
      </c>
      <c r="J5" s="4" t="s">
        <v>53</v>
      </c>
      <c r="K5" s="4" t="s">
        <v>54</v>
      </c>
      <c r="L5" s="4" t="s">
        <v>55</v>
      </c>
      <c r="M5" s="4" t="s">
        <v>56</v>
      </c>
      <c r="N5" s="4" t="s">
        <v>57</v>
      </c>
      <c r="O5" s="12" t="s">
        <v>58</v>
      </c>
      <c r="P5" s="4" t="s">
        <v>59</v>
      </c>
      <c r="Q5" s="4" t="s">
        <v>60</v>
      </c>
    </row>
    <row r="6" ht="23.85" hidden="0" outlineLevel="0" collapsed="0">
      <c r="A6" s="10" t="s">
        <v>61</v>
      </c>
      <c r="B6" s="4" t="s">
        <v>62</v>
      </c>
      <c r="C6" s="4" t="s">
        <v>48</v>
      </c>
      <c r="D6" s="11">
        <v>24753</v>
      </c>
      <c r="E6" s="4" t="s">
        <v>49</v>
      </c>
      <c r="F6" s="4" t="s">
        <v>50</v>
      </c>
      <c r="G6" s="4" t="s">
        <v>7</v>
      </c>
      <c r="H6" s="4" t="s">
        <v>63</v>
      </c>
      <c r="I6" s="4" t="s">
        <v>52</v>
      </c>
      <c r="J6" s="4" t="s">
        <v>53</v>
      </c>
      <c r="K6" s="4" t="s">
        <v>54</v>
      </c>
      <c r="L6" s="4" t="s">
        <v>55</v>
      </c>
      <c r="M6" s="4" t="s">
        <v>56</v>
      </c>
      <c r="N6" s="4" t="s">
        <v>57</v>
      </c>
      <c r="O6" s="12" t="s">
        <v>58</v>
      </c>
      <c r="P6" s="4" t="s">
        <v>59</v>
      </c>
      <c r="Q6" s="4" t="s">
        <v>60</v>
      </c>
    </row>
    <row r="7" ht="23.85" hidden="0" outlineLevel="0" collapsed="0">
      <c r="A7" s="10" t="s">
        <v>64</v>
      </c>
      <c r="B7" s="4" t="s">
        <v>65</v>
      </c>
      <c r="C7" s="4" t="s">
        <v>48</v>
      </c>
      <c r="D7" s="11">
        <v>27412</v>
      </c>
      <c r="E7" s="4" t="s">
        <v>49</v>
      </c>
      <c r="F7" s="4" t="s">
        <v>50</v>
      </c>
      <c r="G7" s="4" t="s">
        <v>7</v>
      </c>
      <c r="H7" s="4" t="s">
        <v>66</v>
      </c>
      <c r="I7" s="4" t="s">
        <v>52</v>
      </c>
      <c r="J7" s="4" t="s">
        <v>53</v>
      </c>
      <c r="K7" s="4" t="s">
        <v>54</v>
      </c>
      <c r="L7" s="4" t="s">
        <v>55</v>
      </c>
      <c r="M7" s="4" t="s">
        <v>56</v>
      </c>
      <c r="N7" s="4" t="s">
        <v>57</v>
      </c>
      <c r="O7" s="12" t="s">
        <v>58</v>
      </c>
      <c r="P7" s="4" t="s">
        <v>59</v>
      </c>
      <c r="Q7" s="4" t="s">
        <v>60</v>
      </c>
    </row>
    <row r="8" ht="35.05" hidden="0" outlineLevel="0" collapsed="0">
      <c r="A8" s="10" t="s">
        <v>67</v>
      </c>
      <c r="B8" s="4" t="s">
        <v>68</v>
      </c>
      <c r="C8" s="4" t="s">
        <v>69</v>
      </c>
      <c r="D8" s="11">
        <v>10237</v>
      </c>
      <c r="E8" s="4" t="s">
        <v>49</v>
      </c>
      <c r="F8" s="4" t="s">
        <v>70</v>
      </c>
      <c r="G8" s="4" t="s">
        <v>71</v>
      </c>
      <c r="H8" s="4" t="s">
        <v>72</v>
      </c>
      <c r="I8" s="4" t="s">
        <v>52</v>
      </c>
      <c r="J8" s="4" t="s">
        <v>53</v>
      </c>
      <c r="K8" s="4" t="s">
        <v>54</v>
      </c>
      <c r="L8" s="4" t="s">
        <v>73</v>
      </c>
      <c r="M8" s="4" t="s">
        <v>56</v>
      </c>
      <c r="N8" s="4" t="s">
        <v>57</v>
      </c>
      <c r="O8" s="12" t="s">
        <v>74</v>
      </c>
      <c r="P8" s="4" t="s">
        <v>75</v>
      </c>
      <c r="Q8" s="4" t="s">
        <v>23</v>
      </c>
    </row>
    <row r="9" ht="35.05" hidden="0" outlineLevel="0" collapsed="0">
      <c r="A9" s="10" t="s">
        <v>76</v>
      </c>
      <c r="B9" s="4" t="s">
        <v>77</v>
      </c>
      <c r="C9" s="4" t="s">
        <v>69</v>
      </c>
      <c r="D9" s="11">
        <v>7479</v>
      </c>
      <c r="E9" s="4" t="s">
        <v>49</v>
      </c>
      <c r="F9" s="4" t="s">
        <v>78</v>
      </c>
      <c r="G9" s="4" t="s">
        <v>79</v>
      </c>
      <c r="H9" s="4" t="s">
        <v>72</v>
      </c>
      <c r="I9" s="4" t="s">
        <v>52</v>
      </c>
      <c r="J9" s="4" t="s">
        <v>53</v>
      </c>
      <c r="K9" s="4" t="s">
        <v>54</v>
      </c>
      <c r="L9" s="4" t="s">
        <v>73</v>
      </c>
      <c r="M9" s="4" t="s">
        <v>56</v>
      </c>
      <c r="N9" s="4" t="s">
        <v>57</v>
      </c>
      <c r="O9" s="12" t="s">
        <v>74</v>
      </c>
      <c r="P9" s="4" t="s">
        <v>75</v>
      </c>
      <c r="Q9" s="4" t="s">
        <v>23</v>
      </c>
    </row>
    <row r="10" ht="35.05" hidden="0" outlineLevel="0" collapsed="0">
      <c r="A10" s="10" t="s">
        <v>80</v>
      </c>
      <c r="B10" s="4" t="s">
        <v>81</v>
      </c>
      <c r="C10" s="4" t="s">
        <v>69</v>
      </c>
      <c r="D10" s="11">
        <v>8280</v>
      </c>
      <c r="E10" s="4" t="s">
        <v>49</v>
      </c>
      <c r="F10" s="4" t="s">
        <v>82</v>
      </c>
      <c r="G10" s="4" t="s">
        <v>7</v>
      </c>
      <c r="H10" s="4" t="s">
        <v>72</v>
      </c>
      <c r="I10" s="4" t="s">
        <v>52</v>
      </c>
      <c r="J10" s="4" t="s">
        <v>53</v>
      </c>
      <c r="K10" s="4" t="s">
        <v>54</v>
      </c>
      <c r="L10" s="4" t="s">
        <v>73</v>
      </c>
      <c r="M10" s="4" t="s">
        <v>56</v>
      </c>
      <c r="N10" s="4" t="s">
        <v>57</v>
      </c>
      <c r="O10" s="12" t="s">
        <v>74</v>
      </c>
      <c r="P10" s="4" t="s">
        <v>75</v>
      </c>
      <c r="Q10" s="4" t="s">
        <v>23</v>
      </c>
    </row>
    <row r="11" ht="35.05" hidden="0" outlineLevel="0" collapsed="0">
      <c r="A11" s="10" t="s">
        <v>83</v>
      </c>
      <c r="B11" s="4" t="s">
        <v>84</v>
      </c>
      <c r="C11" s="4" t="s">
        <v>85</v>
      </c>
      <c r="D11" s="11">
        <v>7310</v>
      </c>
      <c r="E11" s="4" t="s">
        <v>49</v>
      </c>
      <c r="F11" s="4" t="s">
        <v>70</v>
      </c>
      <c r="G11" s="4" t="s">
        <v>71</v>
      </c>
      <c r="H11" s="4" t="s">
        <v>86</v>
      </c>
      <c r="I11" s="4" t="s">
        <v>52</v>
      </c>
      <c r="J11" s="4" t="s">
        <v>53</v>
      </c>
      <c r="K11" s="4" t="s">
        <v>54</v>
      </c>
      <c r="L11" s="4" t="s">
        <v>73</v>
      </c>
      <c r="M11" s="4" t="s">
        <v>56</v>
      </c>
      <c r="N11" s="4" t="s">
        <v>57</v>
      </c>
      <c r="O11" s="12" t="s">
        <v>74</v>
      </c>
      <c r="P11" s="4" t="s">
        <v>75</v>
      </c>
      <c r="Q11" s="4" t="s">
        <v>23</v>
      </c>
    </row>
    <row r="12" ht="35.05" hidden="0" outlineLevel="0" collapsed="0">
      <c r="A12" s="10" t="s">
        <v>87</v>
      </c>
      <c r="B12" s="4" t="s">
        <v>88</v>
      </c>
      <c r="C12" s="4" t="s">
        <v>85</v>
      </c>
      <c r="D12" s="11">
        <v>6946</v>
      </c>
      <c r="E12" s="4" t="s">
        <v>49</v>
      </c>
      <c r="F12" s="4" t="s">
        <v>78</v>
      </c>
      <c r="G12" s="4" t="s">
        <v>79</v>
      </c>
      <c r="H12" s="4" t="s">
        <v>86</v>
      </c>
      <c r="I12" s="4" t="s">
        <v>52</v>
      </c>
      <c r="J12" s="4" t="s">
        <v>53</v>
      </c>
      <c r="K12" s="4" t="s">
        <v>54</v>
      </c>
      <c r="L12" s="4" t="s">
        <v>73</v>
      </c>
      <c r="M12" s="4" t="s">
        <v>56</v>
      </c>
      <c r="N12" s="4" t="s">
        <v>57</v>
      </c>
      <c r="O12" s="12" t="s">
        <v>74</v>
      </c>
      <c r="P12" s="4" t="s">
        <v>75</v>
      </c>
      <c r="Q12" s="4" t="s">
        <v>23</v>
      </c>
    </row>
    <row r="13" ht="35.05" hidden="0" outlineLevel="0" collapsed="0">
      <c r="A13" s="10" t="s">
        <v>89</v>
      </c>
      <c r="B13" s="4" t="s">
        <v>90</v>
      </c>
      <c r="C13" s="4" t="s">
        <v>85</v>
      </c>
      <c r="D13" s="11">
        <v>6835</v>
      </c>
      <c r="E13" s="4" t="s">
        <v>49</v>
      </c>
      <c r="F13" s="4" t="s">
        <v>82</v>
      </c>
      <c r="G13" s="4" t="s">
        <v>7</v>
      </c>
      <c r="H13" s="4" t="s">
        <v>86</v>
      </c>
      <c r="I13" s="4" t="s">
        <v>52</v>
      </c>
      <c r="J13" s="4" t="s">
        <v>53</v>
      </c>
      <c r="K13" s="4" t="s">
        <v>54</v>
      </c>
      <c r="L13" s="4" t="s">
        <v>73</v>
      </c>
      <c r="M13" s="4" t="s">
        <v>56</v>
      </c>
      <c r="N13" s="4" t="s">
        <v>57</v>
      </c>
      <c r="O13" s="12" t="s">
        <v>74</v>
      </c>
      <c r="P13" s="4" t="s">
        <v>75</v>
      </c>
      <c r="Q13" s="4" t="s">
        <v>23</v>
      </c>
    </row>
    <row r="14" ht="35.05" hidden="0" outlineLevel="0" collapsed="0">
      <c r="A14" s="10" t="s">
        <v>91</v>
      </c>
      <c r="B14" s="4" t="s">
        <v>92</v>
      </c>
      <c r="C14" s="4" t="s">
        <v>93</v>
      </c>
      <c r="D14" s="11">
        <v>11301</v>
      </c>
      <c r="E14" s="4" t="s">
        <v>49</v>
      </c>
      <c r="F14" s="4" t="s">
        <v>70</v>
      </c>
      <c r="G14" s="4" t="s">
        <v>71</v>
      </c>
      <c r="H14" s="4" t="s">
        <v>94</v>
      </c>
      <c r="I14" s="4" t="s">
        <v>52</v>
      </c>
      <c r="J14" s="4" t="s">
        <v>53</v>
      </c>
      <c r="K14" s="4" t="s">
        <v>54</v>
      </c>
      <c r="L14" s="4" t="s">
        <v>73</v>
      </c>
      <c r="M14" s="4" t="s">
        <v>56</v>
      </c>
      <c r="N14" s="4" t="s">
        <v>57</v>
      </c>
      <c r="O14" s="12" t="s">
        <v>74</v>
      </c>
      <c r="P14" s="4" t="s">
        <v>75</v>
      </c>
      <c r="Q14" s="4" t="s">
        <v>23</v>
      </c>
    </row>
    <row r="15" ht="35.05" hidden="0" outlineLevel="0" collapsed="0">
      <c r="A15" s="10" t="s">
        <v>95</v>
      </c>
      <c r="B15" s="4" t="s">
        <v>96</v>
      </c>
      <c r="C15" s="4" t="s">
        <v>93</v>
      </c>
      <c r="D15" s="11">
        <v>13260</v>
      </c>
      <c r="E15" s="4" t="s">
        <v>49</v>
      </c>
      <c r="F15" s="4" t="s">
        <v>78</v>
      </c>
      <c r="G15" s="4" t="s">
        <v>79</v>
      </c>
      <c r="H15" s="4" t="s">
        <v>94</v>
      </c>
      <c r="I15" s="4" t="s">
        <v>52</v>
      </c>
      <c r="J15" s="4" t="s">
        <v>53</v>
      </c>
      <c r="K15" s="4" t="s">
        <v>54</v>
      </c>
      <c r="L15" s="4" t="s">
        <v>73</v>
      </c>
      <c r="M15" s="4" t="s">
        <v>56</v>
      </c>
      <c r="N15" s="4" t="s">
        <v>57</v>
      </c>
      <c r="O15" s="12" t="s">
        <v>74</v>
      </c>
      <c r="P15" s="4" t="s">
        <v>75</v>
      </c>
      <c r="Q15" s="4" t="s">
        <v>23</v>
      </c>
    </row>
    <row r="16" ht="35.05" hidden="0" outlineLevel="0" collapsed="0">
      <c r="A16" s="10" t="s">
        <v>97</v>
      </c>
      <c r="B16" s="4" t="s">
        <v>98</v>
      </c>
      <c r="C16" s="4" t="s">
        <v>93</v>
      </c>
      <c r="D16" s="11">
        <v>12485</v>
      </c>
      <c r="E16" s="4" t="s">
        <v>49</v>
      </c>
      <c r="F16" s="4" t="s">
        <v>82</v>
      </c>
      <c r="G16" s="4" t="s">
        <v>7</v>
      </c>
      <c r="H16" s="4" t="s">
        <v>94</v>
      </c>
      <c r="I16" s="4" t="s">
        <v>52</v>
      </c>
      <c r="J16" s="4" t="s">
        <v>53</v>
      </c>
      <c r="K16" s="4" t="s">
        <v>54</v>
      </c>
      <c r="L16" s="4" t="s">
        <v>73</v>
      </c>
      <c r="M16" s="4" t="s">
        <v>56</v>
      </c>
      <c r="N16" s="4" t="s">
        <v>57</v>
      </c>
      <c r="O16" s="12" t="s">
        <v>74</v>
      </c>
      <c r="P16" s="4" t="s">
        <v>75</v>
      </c>
      <c r="Q16" s="4" t="s">
        <v>23</v>
      </c>
    </row>
    <row r="17" ht="35.05" hidden="0" outlineLevel="0" collapsed="0">
      <c r="A17" s="10" t="s">
        <v>99</v>
      </c>
      <c r="B17" s="4" t="s">
        <v>100</v>
      </c>
      <c r="C17" s="4" t="s">
        <v>101</v>
      </c>
      <c r="D17" s="11">
        <v>5879</v>
      </c>
      <c r="E17" s="4" t="s">
        <v>49</v>
      </c>
      <c r="F17" s="4" t="s">
        <v>70</v>
      </c>
      <c r="G17" s="4" t="s">
        <v>71</v>
      </c>
      <c r="H17" s="4" t="s">
        <v>102</v>
      </c>
      <c r="I17" s="4" t="s">
        <v>52</v>
      </c>
      <c r="J17" s="4" t="s">
        <v>53</v>
      </c>
      <c r="K17" s="4" t="s">
        <v>54</v>
      </c>
      <c r="L17" s="4" t="s">
        <v>73</v>
      </c>
      <c r="M17" s="4" t="s">
        <v>56</v>
      </c>
      <c r="N17" s="4" t="s">
        <v>57</v>
      </c>
      <c r="O17" s="12" t="s">
        <v>74</v>
      </c>
      <c r="P17" s="4" t="s">
        <v>75</v>
      </c>
      <c r="Q17" s="4" t="s">
        <v>23</v>
      </c>
    </row>
    <row r="18" ht="35.05" hidden="0" outlineLevel="0" collapsed="0">
      <c r="A18" s="10" t="s">
        <v>103</v>
      </c>
      <c r="B18" s="4" t="s">
        <v>104</v>
      </c>
      <c r="C18" s="4" t="s">
        <v>101</v>
      </c>
      <c r="D18" s="11">
        <v>5462</v>
      </c>
      <c r="E18" s="4" t="s">
        <v>49</v>
      </c>
      <c r="F18" s="4" t="s">
        <v>78</v>
      </c>
      <c r="G18" s="4" t="s">
        <v>79</v>
      </c>
      <c r="H18" s="4" t="s">
        <v>102</v>
      </c>
      <c r="I18" s="4" t="s">
        <v>52</v>
      </c>
      <c r="J18" s="4" t="s">
        <v>53</v>
      </c>
      <c r="K18" s="4" t="s">
        <v>54</v>
      </c>
      <c r="L18" s="4" t="s">
        <v>73</v>
      </c>
      <c r="M18" s="4" t="s">
        <v>56</v>
      </c>
      <c r="N18" s="4" t="s">
        <v>57</v>
      </c>
      <c r="O18" s="12" t="s">
        <v>74</v>
      </c>
      <c r="P18" s="4" t="s">
        <v>75</v>
      </c>
      <c r="Q18" s="4" t="s">
        <v>23</v>
      </c>
    </row>
    <row r="19" ht="35.05" hidden="0" outlineLevel="0" collapsed="0">
      <c r="A19" s="10" t="s">
        <v>105</v>
      </c>
      <c r="B19" s="4" t="s">
        <v>106</v>
      </c>
      <c r="C19" s="4" t="s">
        <v>101</v>
      </c>
      <c r="D19" s="11">
        <v>6580</v>
      </c>
      <c r="E19" s="4" t="s">
        <v>49</v>
      </c>
      <c r="F19" s="4" t="s">
        <v>82</v>
      </c>
      <c r="G19" s="4" t="s">
        <v>7</v>
      </c>
      <c r="H19" s="4" t="s">
        <v>102</v>
      </c>
      <c r="I19" s="4" t="s">
        <v>52</v>
      </c>
      <c r="J19" s="4" t="s">
        <v>53</v>
      </c>
      <c r="K19" s="4" t="s">
        <v>54</v>
      </c>
      <c r="L19" s="4" t="s">
        <v>73</v>
      </c>
      <c r="M19" s="4" t="s">
        <v>56</v>
      </c>
      <c r="N19" s="4" t="s">
        <v>57</v>
      </c>
      <c r="O19" s="12" t="s">
        <v>74</v>
      </c>
      <c r="P19" s="4" t="s">
        <v>75</v>
      </c>
      <c r="Q19" s="4" t="s">
        <v>23</v>
      </c>
    </row>
    <row r="20" ht="23.85" hidden="0" outlineLevel="0" collapsed="0">
      <c r="A20" s="10" t="s">
        <v>107</v>
      </c>
      <c r="B20" s="4" t="s">
        <v>108</v>
      </c>
      <c r="C20" s="4" t="s">
        <v>109</v>
      </c>
      <c r="D20" s="11">
        <v>25113</v>
      </c>
      <c r="E20" s="4" t="s">
        <v>49</v>
      </c>
      <c r="F20" s="4" t="s">
        <v>50</v>
      </c>
      <c r="G20" s="4" t="s">
        <v>7</v>
      </c>
      <c r="H20" s="4" t="s">
        <v>110</v>
      </c>
      <c r="I20" s="4" t="s">
        <v>52</v>
      </c>
      <c r="J20" s="4" t="s">
        <v>53</v>
      </c>
      <c r="K20" s="4" t="s">
        <v>54</v>
      </c>
      <c r="L20" s="4" t="s">
        <v>55</v>
      </c>
      <c r="M20" s="4" t="s">
        <v>56</v>
      </c>
      <c r="N20" s="4" t="s">
        <v>57</v>
      </c>
      <c r="O20" s="12" t="s">
        <v>58</v>
      </c>
      <c r="P20" s="4" t="s">
        <v>59</v>
      </c>
      <c r="Q20" s="4" t="s">
        <v>60</v>
      </c>
    </row>
    <row r="21" ht="23.85" hidden="0" outlineLevel="0" collapsed="0">
      <c r="A21" s="10" t="s">
        <v>111</v>
      </c>
      <c r="B21" s="4" t="s">
        <v>112</v>
      </c>
      <c r="C21" s="4" t="s">
        <v>109</v>
      </c>
      <c r="D21" s="11">
        <v>24729</v>
      </c>
      <c r="E21" s="4" t="s">
        <v>49</v>
      </c>
      <c r="F21" s="4" t="s">
        <v>50</v>
      </c>
      <c r="G21" s="4" t="s">
        <v>7</v>
      </c>
      <c r="H21" s="4" t="s">
        <v>113</v>
      </c>
      <c r="I21" s="4" t="s">
        <v>52</v>
      </c>
      <c r="J21" s="4" t="s">
        <v>53</v>
      </c>
      <c r="K21" s="4" t="s">
        <v>54</v>
      </c>
      <c r="L21" s="4" t="s">
        <v>55</v>
      </c>
      <c r="M21" s="4" t="s">
        <v>56</v>
      </c>
      <c r="N21" s="4" t="s">
        <v>57</v>
      </c>
      <c r="O21" s="12" t="s">
        <v>58</v>
      </c>
      <c r="P21" s="4" t="s">
        <v>59</v>
      </c>
      <c r="Q21" s="4" t="s">
        <v>60</v>
      </c>
    </row>
    <row r="22" ht="23.85" hidden="0" outlineLevel="0" collapsed="0">
      <c r="A22" s="10" t="s">
        <v>114</v>
      </c>
      <c r="B22" s="4" t="s">
        <v>115</v>
      </c>
      <c r="C22" s="4" t="s">
        <v>109</v>
      </c>
      <c r="D22" s="11">
        <v>24606</v>
      </c>
      <c r="E22" s="4" t="s">
        <v>49</v>
      </c>
      <c r="F22" s="4" t="s">
        <v>50</v>
      </c>
      <c r="G22" s="4" t="s">
        <v>7</v>
      </c>
      <c r="H22" s="4" t="s">
        <v>116</v>
      </c>
      <c r="I22" s="4" t="s">
        <v>52</v>
      </c>
      <c r="J22" s="4" t="s">
        <v>53</v>
      </c>
      <c r="K22" s="4" t="s">
        <v>54</v>
      </c>
      <c r="L22" s="4" t="s">
        <v>55</v>
      </c>
      <c r="M22" s="4" t="s">
        <v>56</v>
      </c>
      <c r="N22" s="4" t="s">
        <v>57</v>
      </c>
      <c r="O22" s="12" t="s">
        <v>58</v>
      </c>
      <c r="P22" s="4" t="s">
        <v>59</v>
      </c>
      <c r="Q22" s="4" t="s">
        <v>60</v>
      </c>
    </row>
    <row r="23" ht="35.05" hidden="0" outlineLevel="0" collapsed="0">
      <c r="A23" s="10" t="s">
        <v>117</v>
      </c>
      <c r="B23" s="4" t="s">
        <v>118</v>
      </c>
      <c r="C23" s="4" t="s">
        <v>119</v>
      </c>
      <c r="D23" s="11">
        <v>177489</v>
      </c>
      <c r="E23" s="4" t="s">
        <v>49</v>
      </c>
      <c r="F23" s="4" t="s">
        <v>120</v>
      </c>
      <c r="G23" s="4" t="s">
        <v>71</v>
      </c>
      <c r="H23" s="4" t="s">
        <v>121</v>
      </c>
      <c r="I23" s="4" t="s">
        <v>52</v>
      </c>
      <c r="J23" s="4" t="s">
        <v>53</v>
      </c>
      <c r="K23" s="4" t="s">
        <v>54</v>
      </c>
      <c r="L23" s="4" t="s">
        <v>73</v>
      </c>
      <c r="M23" s="4" t="s">
        <v>56</v>
      </c>
      <c r="N23" s="4" t="s">
        <v>57</v>
      </c>
      <c r="O23" s="12" t="s">
        <v>74</v>
      </c>
      <c r="P23" s="4" t="s">
        <v>75</v>
      </c>
      <c r="Q23" s="4" t="s">
        <v>23</v>
      </c>
    </row>
    <row r="24" ht="35.05" hidden="0" outlineLevel="0" collapsed="0">
      <c r="A24" s="10" t="s">
        <v>122</v>
      </c>
      <c r="B24" s="4" t="s">
        <v>123</v>
      </c>
      <c r="C24" s="4" t="s">
        <v>119</v>
      </c>
      <c r="D24" s="11">
        <v>190144</v>
      </c>
      <c r="E24" s="4" t="s">
        <v>49</v>
      </c>
      <c r="F24" s="4" t="s">
        <v>120</v>
      </c>
      <c r="G24" s="4" t="s">
        <v>79</v>
      </c>
      <c r="H24" s="4" t="s">
        <v>121</v>
      </c>
      <c r="I24" s="4" t="s">
        <v>52</v>
      </c>
      <c r="J24" s="4" t="s">
        <v>53</v>
      </c>
      <c r="K24" s="4" t="s">
        <v>54</v>
      </c>
      <c r="L24" s="4" t="s">
        <v>73</v>
      </c>
      <c r="M24" s="4" t="s">
        <v>56</v>
      </c>
      <c r="N24" s="4" t="s">
        <v>57</v>
      </c>
      <c r="O24" s="12" t="s">
        <v>74</v>
      </c>
      <c r="P24" s="4" t="s">
        <v>75</v>
      </c>
      <c r="Q24" s="4" t="s">
        <v>23</v>
      </c>
    </row>
    <row r="25" ht="35.05" hidden="0" outlineLevel="0" collapsed="0">
      <c r="A25" s="10" t="s">
        <v>124</v>
      </c>
      <c r="B25" s="4" t="s">
        <v>125</v>
      </c>
      <c r="C25" s="4" t="s">
        <v>119</v>
      </c>
      <c r="D25" s="11">
        <v>212721</v>
      </c>
      <c r="E25" s="4" t="s">
        <v>49</v>
      </c>
      <c r="F25" s="4" t="s">
        <v>120</v>
      </c>
      <c r="G25" s="4" t="s">
        <v>7</v>
      </c>
      <c r="H25" s="4" t="s">
        <v>121</v>
      </c>
      <c r="I25" s="4" t="s">
        <v>52</v>
      </c>
      <c r="J25" s="4" t="s">
        <v>53</v>
      </c>
      <c r="K25" s="4" t="s">
        <v>54</v>
      </c>
      <c r="L25" s="4" t="s">
        <v>73</v>
      </c>
      <c r="M25" s="4" t="s">
        <v>56</v>
      </c>
      <c r="N25" s="4" t="s">
        <v>57</v>
      </c>
      <c r="O25" s="12" t="s">
        <v>74</v>
      </c>
      <c r="P25" s="4" t="s">
        <v>75</v>
      </c>
      <c r="Q25" s="4" t="s">
        <v>23</v>
      </c>
    </row>
    <row r="26" ht="35.05" hidden="0" outlineLevel="0" collapsed="0">
      <c r="A26" s="10" t="s">
        <v>126</v>
      </c>
      <c r="B26" s="4" t="s">
        <v>127</v>
      </c>
      <c r="C26" s="4" t="s">
        <v>128</v>
      </c>
      <c r="D26" s="11">
        <v>47468</v>
      </c>
      <c r="E26" s="4" t="s">
        <v>49</v>
      </c>
      <c r="F26" s="4" t="s">
        <v>120</v>
      </c>
      <c r="G26" s="4" t="s">
        <v>71</v>
      </c>
      <c r="H26" s="4" t="s">
        <v>129</v>
      </c>
      <c r="I26" s="4" t="s">
        <v>52</v>
      </c>
      <c r="J26" s="4" t="s">
        <v>130</v>
      </c>
      <c r="K26" s="4" t="s">
        <v>131</v>
      </c>
      <c r="L26" s="4" t="s">
        <v>73</v>
      </c>
      <c r="M26" s="4" t="s">
        <v>56</v>
      </c>
      <c r="N26" s="4" t="s">
        <v>57</v>
      </c>
      <c r="O26" s="12" t="s">
        <v>74</v>
      </c>
      <c r="P26" s="4" t="s">
        <v>75</v>
      </c>
      <c r="Q26" s="4" t="s">
        <v>23</v>
      </c>
    </row>
    <row r="27" ht="35.05" hidden="0" outlineLevel="0" collapsed="0">
      <c r="A27" s="10" t="s">
        <v>132</v>
      </c>
      <c r="B27" s="4" t="s">
        <v>133</v>
      </c>
      <c r="C27" s="4" t="s">
        <v>128</v>
      </c>
      <c r="D27" s="11">
        <v>50101</v>
      </c>
      <c r="E27" s="4" t="s">
        <v>49</v>
      </c>
      <c r="F27" s="4" t="s">
        <v>120</v>
      </c>
      <c r="G27" s="4" t="s">
        <v>79</v>
      </c>
      <c r="H27" s="4" t="s">
        <v>129</v>
      </c>
      <c r="I27" s="4" t="s">
        <v>52</v>
      </c>
      <c r="J27" s="4" t="s">
        <v>53</v>
      </c>
      <c r="K27" s="4" t="s">
        <v>54</v>
      </c>
      <c r="L27" s="4" t="s">
        <v>73</v>
      </c>
      <c r="M27" s="4" t="s">
        <v>56</v>
      </c>
      <c r="N27" s="4" t="s">
        <v>57</v>
      </c>
      <c r="O27" s="12" t="s">
        <v>74</v>
      </c>
      <c r="P27" s="4" t="s">
        <v>75</v>
      </c>
      <c r="Q27" s="4" t="s">
        <v>23</v>
      </c>
    </row>
    <row r="28" ht="35.05" hidden="0" outlineLevel="0" collapsed="0">
      <c r="A28" s="10" t="s">
        <v>134</v>
      </c>
      <c r="B28" s="4" t="s">
        <v>135</v>
      </c>
      <c r="C28" s="4" t="s">
        <v>128</v>
      </c>
      <c r="D28" s="11">
        <v>54608</v>
      </c>
      <c r="E28" s="4" t="s">
        <v>49</v>
      </c>
      <c r="F28" s="4" t="s">
        <v>120</v>
      </c>
      <c r="G28" s="4" t="s">
        <v>7</v>
      </c>
      <c r="H28" s="4" t="s">
        <v>129</v>
      </c>
      <c r="I28" s="4" t="s">
        <v>52</v>
      </c>
      <c r="J28" s="4" t="s">
        <v>53</v>
      </c>
      <c r="K28" s="4" t="s">
        <v>54</v>
      </c>
      <c r="L28" s="4" t="s">
        <v>73</v>
      </c>
      <c r="M28" s="4" t="s">
        <v>56</v>
      </c>
      <c r="N28" s="4" t="s">
        <v>57</v>
      </c>
      <c r="O28" s="12" t="s">
        <v>74</v>
      </c>
      <c r="P28" s="4" t="s">
        <v>75</v>
      </c>
      <c r="Q28" s="4" t="s">
        <v>23</v>
      </c>
    </row>
    <row r="29" ht="35.05" hidden="0" outlineLevel="0" collapsed="0">
      <c r="A29" s="10" t="s">
        <v>136</v>
      </c>
      <c r="B29" s="4" t="s">
        <v>137</v>
      </c>
      <c r="C29" s="4" t="s">
        <v>138</v>
      </c>
      <c r="D29" s="11">
        <v>2690</v>
      </c>
      <c r="E29" s="4" t="s">
        <v>49</v>
      </c>
      <c r="F29" s="4" t="s">
        <v>120</v>
      </c>
      <c r="G29" s="4" t="s">
        <v>71</v>
      </c>
      <c r="H29" s="4" t="s">
        <v>139</v>
      </c>
      <c r="I29" s="4" t="s">
        <v>52</v>
      </c>
      <c r="J29" s="4" t="s">
        <v>130</v>
      </c>
      <c r="K29" s="4" t="s">
        <v>131</v>
      </c>
      <c r="L29" s="4" t="s">
        <v>73</v>
      </c>
      <c r="M29" s="4" t="s">
        <v>56</v>
      </c>
      <c r="N29" s="4" t="s">
        <v>57</v>
      </c>
      <c r="O29" s="12" t="s">
        <v>74</v>
      </c>
      <c r="P29" s="4" t="s">
        <v>75</v>
      </c>
      <c r="Q29" s="4" t="s">
        <v>23</v>
      </c>
    </row>
    <row r="30" ht="35.05" hidden="0" outlineLevel="0" collapsed="0">
      <c r="A30" s="10" t="s">
        <v>140</v>
      </c>
      <c r="B30" s="4" t="s">
        <v>141</v>
      </c>
      <c r="C30" s="4" t="s">
        <v>138</v>
      </c>
      <c r="D30" s="11">
        <v>1487</v>
      </c>
      <c r="E30" s="4" t="s">
        <v>49</v>
      </c>
      <c r="F30" s="4" t="s">
        <v>120</v>
      </c>
      <c r="G30" s="4" t="s">
        <v>79</v>
      </c>
      <c r="H30" s="4" t="s">
        <v>139</v>
      </c>
      <c r="I30" s="4" t="s">
        <v>52</v>
      </c>
      <c r="J30" s="4" t="s">
        <v>53</v>
      </c>
      <c r="K30" s="4" t="s">
        <v>54</v>
      </c>
      <c r="L30" s="4" t="s">
        <v>73</v>
      </c>
      <c r="M30" s="4" t="s">
        <v>56</v>
      </c>
      <c r="N30" s="4" t="s">
        <v>57</v>
      </c>
      <c r="O30" s="12" t="s">
        <v>74</v>
      </c>
      <c r="P30" s="4" t="s">
        <v>75</v>
      </c>
      <c r="Q30" s="4" t="s">
        <v>23</v>
      </c>
    </row>
    <row r="31" ht="35.05" hidden="0" outlineLevel="0" collapsed="0">
      <c r="A31" s="10" t="s">
        <v>142</v>
      </c>
      <c r="B31" s="4" t="s">
        <v>143</v>
      </c>
      <c r="C31" s="4" t="s">
        <v>138</v>
      </c>
      <c r="D31" s="11">
        <v>2812</v>
      </c>
      <c r="E31" s="4" t="s">
        <v>49</v>
      </c>
      <c r="F31" s="4" t="s">
        <v>120</v>
      </c>
      <c r="G31" s="4" t="s">
        <v>7</v>
      </c>
      <c r="H31" s="4" t="s">
        <v>139</v>
      </c>
      <c r="I31" s="4" t="s">
        <v>52</v>
      </c>
      <c r="J31" s="4" t="s">
        <v>53</v>
      </c>
      <c r="K31" s="4" t="s">
        <v>54</v>
      </c>
      <c r="L31" s="4" t="s">
        <v>73</v>
      </c>
      <c r="M31" s="4" t="s">
        <v>56</v>
      </c>
      <c r="N31" s="4" t="s">
        <v>57</v>
      </c>
      <c r="O31" s="12" t="s">
        <v>74</v>
      </c>
      <c r="P31" s="4" t="s">
        <v>75</v>
      </c>
      <c r="Q31" s="4" t="s">
        <v>23</v>
      </c>
    </row>
    <row r="32" ht="35.05" hidden="0" outlineLevel="0" collapsed="0">
      <c r="A32" s="10" t="s">
        <v>144</v>
      </c>
      <c r="B32" s="4" t="s">
        <v>145</v>
      </c>
      <c r="C32" s="4" t="s">
        <v>146</v>
      </c>
      <c r="D32" s="11">
        <v>6901</v>
      </c>
      <c r="E32" s="4" t="s">
        <v>49</v>
      </c>
      <c r="F32" s="4" t="s">
        <v>120</v>
      </c>
      <c r="G32" s="4" t="s">
        <v>71</v>
      </c>
      <c r="H32" s="4" t="s">
        <v>147</v>
      </c>
      <c r="I32" s="4" t="s">
        <v>52</v>
      </c>
      <c r="J32" s="4" t="s">
        <v>130</v>
      </c>
      <c r="K32" s="4" t="s">
        <v>131</v>
      </c>
      <c r="L32" s="4" t="s">
        <v>73</v>
      </c>
      <c r="M32" s="4" t="s">
        <v>56</v>
      </c>
      <c r="N32" s="4" t="s">
        <v>57</v>
      </c>
      <c r="O32" s="12" t="s">
        <v>74</v>
      </c>
      <c r="P32" s="4" t="s">
        <v>75</v>
      </c>
      <c r="Q32" s="4" t="s">
        <v>19</v>
      </c>
    </row>
    <row r="33" ht="35.05" hidden="0" outlineLevel="0" collapsed="0">
      <c r="A33" s="10" t="s">
        <v>148</v>
      </c>
      <c r="B33" s="4" t="s">
        <v>145</v>
      </c>
      <c r="C33" s="4" t="s">
        <v>146</v>
      </c>
      <c r="D33" s="11">
        <v>61405</v>
      </c>
      <c r="E33" s="4" t="s">
        <v>49</v>
      </c>
      <c r="F33" s="4" t="s">
        <v>120</v>
      </c>
      <c r="G33" s="4" t="s">
        <v>71</v>
      </c>
      <c r="H33" s="4" t="s">
        <v>149</v>
      </c>
      <c r="I33" s="4" t="s">
        <v>52</v>
      </c>
      <c r="J33" s="4" t="s">
        <v>130</v>
      </c>
      <c r="K33" s="4" t="s">
        <v>131</v>
      </c>
      <c r="L33" s="4" t="s">
        <v>73</v>
      </c>
      <c r="M33" s="4" t="s">
        <v>56</v>
      </c>
      <c r="N33" s="4" t="s">
        <v>57</v>
      </c>
      <c r="O33" s="12" t="s">
        <v>74</v>
      </c>
      <c r="P33" s="4" t="s">
        <v>75</v>
      </c>
      <c r="Q33" s="4" t="s">
        <v>19</v>
      </c>
    </row>
    <row r="34" ht="35.05" hidden="0" outlineLevel="0" collapsed="0">
      <c r="A34" s="10" t="s">
        <v>150</v>
      </c>
      <c r="B34" s="4" t="s">
        <v>151</v>
      </c>
      <c r="C34" s="4" t="s">
        <v>146</v>
      </c>
      <c r="D34" s="11">
        <v>8061</v>
      </c>
      <c r="E34" s="4" t="s">
        <v>49</v>
      </c>
      <c r="F34" s="4" t="s">
        <v>120</v>
      </c>
      <c r="G34" s="4" t="s">
        <v>79</v>
      </c>
      <c r="H34" s="4" t="s">
        <v>147</v>
      </c>
      <c r="I34" s="4" t="s">
        <v>52</v>
      </c>
      <c r="J34" s="4" t="s">
        <v>53</v>
      </c>
      <c r="K34" s="4" t="s">
        <v>54</v>
      </c>
      <c r="L34" s="4" t="s">
        <v>73</v>
      </c>
      <c r="M34" s="4" t="s">
        <v>56</v>
      </c>
      <c r="N34" s="4" t="s">
        <v>57</v>
      </c>
      <c r="O34" s="12" t="s">
        <v>74</v>
      </c>
      <c r="P34" s="4" t="s">
        <v>75</v>
      </c>
      <c r="Q34" s="4" t="s">
        <v>19</v>
      </c>
    </row>
    <row r="35" ht="35.05" hidden="0" outlineLevel="0" collapsed="0">
      <c r="A35" s="10" t="s">
        <v>152</v>
      </c>
      <c r="B35" s="4" t="s">
        <v>151</v>
      </c>
      <c r="C35" s="4" t="s">
        <v>146</v>
      </c>
      <c r="D35" s="11">
        <v>72385</v>
      </c>
      <c r="E35" s="4" t="s">
        <v>49</v>
      </c>
      <c r="F35" s="4" t="s">
        <v>120</v>
      </c>
      <c r="G35" s="4" t="s">
        <v>79</v>
      </c>
      <c r="H35" s="4" t="s">
        <v>149</v>
      </c>
      <c r="I35" s="4" t="s">
        <v>52</v>
      </c>
      <c r="J35" s="4" t="s">
        <v>53</v>
      </c>
      <c r="K35" s="4" t="s">
        <v>54</v>
      </c>
      <c r="L35" s="4" t="s">
        <v>73</v>
      </c>
      <c r="M35" s="4" t="s">
        <v>56</v>
      </c>
      <c r="N35" s="4" t="s">
        <v>57</v>
      </c>
      <c r="O35" s="12" t="s">
        <v>74</v>
      </c>
      <c r="P35" s="4" t="s">
        <v>75</v>
      </c>
      <c r="Q35" s="4" t="s">
        <v>19</v>
      </c>
    </row>
    <row r="36" ht="35.05" hidden="0" outlineLevel="0" collapsed="0">
      <c r="A36" s="10" t="s">
        <v>153</v>
      </c>
      <c r="B36" s="4" t="s">
        <v>154</v>
      </c>
      <c r="C36" s="4" t="s">
        <v>146</v>
      </c>
      <c r="D36" s="11">
        <v>3500</v>
      </c>
      <c r="E36" s="4" t="s">
        <v>49</v>
      </c>
      <c r="F36" s="4" t="s">
        <v>120</v>
      </c>
      <c r="G36" s="4" t="s">
        <v>7</v>
      </c>
      <c r="H36" s="4" t="s">
        <v>147</v>
      </c>
      <c r="I36" s="4" t="s">
        <v>52</v>
      </c>
      <c r="J36" s="4" t="s">
        <v>53</v>
      </c>
      <c r="K36" s="4" t="s">
        <v>54</v>
      </c>
      <c r="L36" s="4" t="s">
        <v>73</v>
      </c>
      <c r="M36" s="4" t="s">
        <v>56</v>
      </c>
      <c r="N36" s="4" t="s">
        <v>57</v>
      </c>
      <c r="O36" s="12" t="s">
        <v>74</v>
      </c>
      <c r="P36" s="4" t="s">
        <v>75</v>
      </c>
      <c r="Q36" s="4" t="s">
        <v>19</v>
      </c>
    </row>
    <row r="37" ht="35.05" hidden="0" outlineLevel="0" collapsed="0">
      <c r="A37" s="10" t="s">
        <v>155</v>
      </c>
      <c r="B37" s="4" t="s">
        <v>154</v>
      </c>
      <c r="C37" s="4" t="s">
        <v>146</v>
      </c>
      <c r="D37" s="11">
        <v>89556</v>
      </c>
      <c r="E37" s="4" t="s">
        <v>49</v>
      </c>
      <c r="F37" s="4" t="s">
        <v>120</v>
      </c>
      <c r="G37" s="4" t="s">
        <v>7</v>
      </c>
      <c r="H37" s="4" t="s">
        <v>149</v>
      </c>
      <c r="I37" s="4" t="s">
        <v>52</v>
      </c>
      <c r="J37" s="4" t="s">
        <v>53</v>
      </c>
      <c r="K37" s="4" t="s">
        <v>54</v>
      </c>
      <c r="L37" s="4" t="s">
        <v>73</v>
      </c>
      <c r="M37" s="4" t="s">
        <v>56</v>
      </c>
      <c r="N37" s="4" t="s">
        <v>57</v>
      </c>
      <c r="O37" s="12" t="s">
        <v>74</v>
      </c>
      <c r="P37" s="4" t="s">
        <v>75</v>
      </c>
      <c r="Q37" s="4" t="s">
        <v>19</v>
      </c>
    </row>
    <row r="38" ht="35.05" hidden="0" outlineLevel="0" collapsed="0">
      <c r="A38" s="10" t="s">
        <v>156</v>
      </c>
      <c r="B38" s="4" t="s">
        <v>157</v>
      </c>
      <c r="C38" s="4" t="s">
        <v>158</v>
      </c>
      <c r="D38" s="11">
        <v>4650</v>
      </c>
      <c r="E38" s="4" t="s">
        <v>49</v>
      </c>
      <c r="F38" s="4" t="s">
        <v>120</v>
      </c>
      <c r="G38" s="4" t="s">
        <v>71</v>
      </c>
      <c r="H38" s="4" t="s">
        <v>159</v>
      </c>
      <c r="I38" s="4" t="s">
        <v>52</v>
      </c>
      <c r="J38" s="4" t="s">
        <v>130</v>
      </c>
      <c r="K38" s="4" t="s">
        <v>131</v>
      </c>
      <c r="L38" s="4" t="s">
        <v>73</v>
      </c>
      <c r="M38" s="4" t="s">
        <v>56</v>
      </c>
      <c r="N38" s="4" t="s">
        <v>57</v>
      </c>
      <c r="O38" s="12" t="s">
        <v>74</v>
      </c>
      <c r="P38" s="4" t="s">
        <v>75</v>
      </c>
      <c r="Q38" s="4" t="s">
        <v>19</v>
      </c>
    </row>
    <row r="39" ht="35.05" hidden="0" outlineLevel="0" collapsed="0">
      <c r="A39" s="10" t="s">
        <v>160</v>
      </c>
      <c r="B39" s="4" t="s">
        <v>157</v>
      </c>
      <c r="C39" s="4" t="s">
        <v>158</v>
      </c>
      <c r="D39" s="11">
        <v>255</v>
      </c>
      <c r="E39" s="4" t="s">
        <v>49</v>
      </c>
      <c r="F39" s="4" t="s">
        <v>120</v>
      </c>
      <c r="G39" s="4" t="s">
        <v>71</v>
      </c>
      <c r="H39" s="4" t="s">
        <v>161</v>
      </c>
      <c r="I39" s="4" t="s">
        <v>52</v>
      </c>
      <c r="J39" s="4" t="s">
        <v>130</v>
      </c>
      <c r="K39" s="4" t="s">
        <v>131</v>
      </c>
      <c r="L39" s="4" t="s">
        <v>73</v>
      </c>
      <c r="M39" s="4" t="s">
        <v>56</v>
      </c>
      <c r="N39" s="4" t="s">
        <v>57</v>
      </c>
      <c r="O39" s="12" t="s">
        <v>74</v>
      </c>
      <c r="P39" s="4" t="s">
        <v>75</v>
      </c>
      <c r="Q39" s="4" t="s">
        <v>19</v>
      </c>
    </row>
    <row r="40" ht="35.05" hidden="0" outlineLevel="0" collapsed="0">
      <c r="A40" s="10" t="s">
        <v>162</v>
      </c>
      <c r="B40" s="4" t="s">
        <v>163</v>
      </c>
      <c r="C40" s="4" t="s">
        <v>158</v>
      </c>
      <c r="D40" s="11">
        <v>1670</v>
      </c>
      <c r="E40" s="4" t="s">
        <v>49</v>
      </c>
      <c r="F40" s="4" t="s">
        <v>120</v>
      </c>
      <c r="G40" s="4" t="s">
        <v>79</v>
      </c>
      <c r="H40" s="4" t="s">
        <v>159</v>
      </c>
      <c r="I40" s="4" t="s">
        <v>52</v>
      </c>
      <c r="J40" s="4" t="s">
        <v>53</v>
      </c>
      <c r="K40" s="4" t="s">
        <v>54</v>
      </c>
      <c r="L40" s="4" t="s">
        <v>73</v>
      </c>
      <c r="M40" s="4" t="s">
        <v>56</v>
      </c>
      <c r="N40" s="4" t="s">
        <v>57</v>
      </c>
      <c r="O40" s="12" t="s">
        <v>74</v>
      </c>
      <c r="P40" s="4" t="s">
        <v>75</v>
      </c>
      <c r="Q40" s="4" t="s">
        <v>19</v>
      </c>
    </row>
    <row r="41" ht="35.05" hidden="0" outlineLevel="0" collapsed="0">
      <c r="A41" s="10" t="s">
        <v>164</v>
      </c>
      <c r="B41" s="4" t="s">
        <v>163</v>
      </c>
      <c r="C41" s="4" t="s">
        <v>158</v>
      </c>
      <c r="D41" s="11">
        <v>217</v>
      </c>
      <c r="E41" s="4" t="s">
        <v>49</v>
      </c>
      <c r="F41" s="4" t="s">
        <v>120</v>
      </c>
      <c r="G41" s="4" t="s">
        <v>79</v>
      </c>
      <c r="H41" s="4" t="s">
        <v>161</v>
      </c>
      <c r="I41" s="4" t="s">
        <v>52</v>
      </c>
      <c r="J41" s="4" t="s">
        <v>53</v>
      </c>
      <c r="K41" s="4" t="s">
        <v>54</v>
      </c>
      <c r="L41" s="4" t="s">
        <v>73</v>
      </c>
      <c r="M41" s="4" t="s">
        <v>56</v>
      </c>
      <c r="N41" s="4" t="s">
        <v>57</v>
      </c>
      <c r="O41" s="12" t="s">
        <v>74</v>
      </c>
      <c r="P41" s="4" t="s">
        <v>75</v>
      </c>
      <c r="Q41" s="4" t="s">
        <v>19</v>
      </c>
    </row>
    <row r="42" ht="35.05" hidden="0" outlineLevel="0" collapsed="0">
      <c r="A42" s="10" t="s">
        <v>165</v>
      </c>
      <c r="B42" s="4" t="s">
        <v>166</v>
      </c>
      <c r="C42" s="4" t="s">
        <v>158</v>
      </c>
      <c r="D42" s="11">
        <v>1955</v>
      </c>
      <c r="E42" s="4" t="s">
        <v>49</v>
      </c>
      <c r="F42" s="4" t="s">
        <v>120</v>
      </c>
      <c r="G42" s="4" t="s">
        <v>7</v>
      </c>
      <c r="H42" s="4" t="s">
        <v>159</v>
      </c>
      <c r="I42" s="4" t="s">
        <v>52</v>
      </c>
      <c r="J42" s="4" t="s">
        <v>53</v>
      </c>
      <c r="K42" s="4" t="s">
        <v>54</v>
      </c>
      <c r="L42" s="4" t="s">
        <v>73</v>
      </c>
      <c r="M42" s="4" t="s">
        <v>56</v>
      </c>
      <c r="N42" s="4" t="s">
        <v>57</v>
      </c>
      <c r="O42" s="12" t="s">
        <v>74</v>
      </c>
      <c r="P42" s="4" t="s">
        <v>75</v>
      </c>
      <c r="Q42" s="4" t="s">
        <v>19</v>
      </c>
    </row>
    <row r="43" ht="35.05" hidden="0" outlineLevel="0" collapsed="0">
      <c r="A43" s="10" t="s">
        <v>167</v>
      </c>
      <c r="B43" s="4" t="s">
        <v>166</v>
      </c>
      <c r="C43" s="4" t="s">
        <v>158</v>
      </c>
      <c r="D43" s="11">
        <v>608</v>
      </c>
      <c r="E43" s="4" t="s">
        <v>49</v>
      </c>
      <c r="F43" s="4" t="s">
        <v>120</v>
      </c>
      <c r="G43" s="4" t="s">
        <v>7</v>
      </c>
      <c r="H43" s="4" t="s">
        <v>161</v>
      </c>
      <c r="I43" s="4" t="s">
        <v>52</v>
      </c>
      <c r="J43" s="4" t="s">
        <v>53</v>
      </c>
      <c r="K43" s="4" t="s">
        <v>54</v>
      </c>
      <c r="L43" s="4" t="s">
        <v>73</v>
      </c>
      <c r="M43" s="4" t="s">
        <v>56</v>
      </c>
      <c r="N43" s="4" t="s">
        <v>57</v>
      </c>
      <c r="O43" s="12" t="s">
        <v>74</v>
      </c>
      <c r="P43" s="4" t="s">
        <v>75</v>
      </c>
      <c r="Q43" s="4" t="s">
        <v>19</v>
      </c>
    </row>
    <row r="44" ht="35.05" hidden="0" outlineLevel="0" collapsed="0">
      <c r="A44" s="10" t="s">
        <v>168</v>
      </c>
      <c r="B44" s="4" t="s">
        <v>169</v>
      </c>
      <c r="C44" s="4" t="s">
        <v>170</v>
      </c>
      <c r="D44" s="11">
        <v>444</v>
      </c>
      <c r="E44" s="4" t="s">
        <v>49</v>
      </c>
      <c r="F44" s="4" t="s">
        <v>120</v>
      </c>
      <c r="G44" s="4" t="s">
        <v>71</v>
      </c>
      <c r="H44" s="4" t="s">
        <v>171</v>
      </c>
      <c r="I44" s="4" t="s">
        <v>52</v>
      </c>
      <c r="J44" s="4" t="s">
        <v>130</v>
      </c>
      <c r="K44" s="4" t="s">
        <v>131</v>
      </c>
      <c r="L44" s="4" t="s">
        <v>73</v>
      </c>
      <c r="M44" s="4" t="s">
        <v>56</v>
      </c>
      <c r="N44" s="4" t="s">
        <v>57</v>
      </c>
      <c r="O44" s="12" t="s">
        <v>74</v>
      </c>
      <c r="P44" s="4" t="s">
        <v>75</v>
      </c>
      <c r="Q44" s="4" t="s">
        <v>23</v>
      </c>
    </row>
    <row r="45" ht="35.05" hidden="0" outlineLevel="0" collapsed="0">
      <c r="A45" s="10" t="s">
        <v>172</v>
      </c>
      <c r="B45" s="4" t="s">
        <v>173</v>
      </c>
      <c r="C45" s="4" t="s">
        <v>170</v>
      </c>
      <c r="D45" s="11">
        <v>840</v>
      </c>
      <c r="E45" s="4" t="s">
        <v>49</v>
      </c>
      <c r="F45" s="4" t="s">
        <v>120</v>
      </c>
      <c r="G45" s="4" t="s">
        <v>79</v>
      </c>
      <c r="H45" s="4" t="s">
        <v>171</v>
      </c>
      <c r="I45" s="4" t="s">
        <v>52</v>
      </c>
      <c r="J45" s="4" t="s">
        <v>53</v>
      </c>
      <c r="K45" s="4" t="s">
        <v>54</v>
      </c>
      <c r="L45" s="4" t="s">
        <v>73</v>
      </c>
      <c r="M45" s="4" t="s">
        <v>56</v>
      </c>
      <c r="N45" s="4" t="s">
        <v>57</v>
      </c>
      <c r="O45" s="12" t="s">
        <v>74</v>
      </c>
      <c r="P45" s="4" t="s">
        <v>75</v>
      </c>
      <c r="Q45" s="4" t="s">
        <v>23</v>
      </c>
    </row>
    <row r="46" ht="35.05" hidden="0" outlineLevel="0" collapsed="0">
      <c r="A46" s="10" t="s">
        <v>174</v>
      </c>
      <c r="B46" s="4" t="s">
        <v>175</v>
      </c>
      <c r="C46" s="4" t="s">
        <v>170</v>
      </c>
      <c r="D46" s="11">
        <v>1143</v>
      </c>
      <c r="E46" s="4" t="s">
        <v>49</v>
      </c>
      <c r="F46" s="4" t="s">
        <v>120</v>
      </c>
      <c r="G46" s="4" t="s">
        <v>7</v>
      </c>
      <c r="H46" s="4" t="s">
        <v>171</v>
      </c>
      <c r="I46" s="4" t="s">
        <v>52</v>
      </c>
      <c r="J46" s="4" t="s">
        <v>53</v>
      </c>
      <c r="K46" s="4" t="s">
        <v>54</v>
      </c>
      <c r="L46" s="4" t="s">
        <v>73</v>
      </c>
      <c r="M46" s="4" t="s">
        <v>56</v>
      </c>
      <c r="N46" s="4" t="s">
        <v>57</v>
      </c>
      <c r="O46" s="12" t="s">
        <v>74</v>
      </c>
      <c r="P46" s="4" t="s">
        <v>75</v>
      </c>
      <c r="Q46" s="4" t="s">
        <v>23</v>
      </c>
    </row>
    <row r="47" ht="35.05" hidden="0" outlineLevel="0" collapsed="0">
      <c r="A47" s="10" t="s">
        <v>176</v>
      </c>
      <c r="B47" s="4" t="s">
        <v>177</v>
      </c>
      <c r="C47" s="4" t="s">
        <v>178</v>
      </c>
      <c r="D47" s="11">
        <v>2030.8</v>
      </c>
      <c r="E47" s="4" t="s">
        <v>179</v>
      </c>
      <c r="F47" s="4" t="s">
        <v>70</v>
      </c>
      <c r="G47" s="4" t="s">
        <v>71</v>
      </c>
      <c r="H47" s="4" t="s">
        <v>180</v>
      </c>
      <c r="I47" s="4" t="s">
        <v>52</v>
      </c>
      <c r="J47" s="4" t="s">
        <v>53</v>
      </c>
      <c r="K47" s="4" t="s">
        <v>54</v>
      </c>
      <c r="L47" s="4" t="s">
        <v>73</v>
      </c>
      <c r="M47" s="4" t="s">
        <v>56</v>
      </c>
      <c r="N47" s="4" t="s">
        <v>57</v>
      </c>
      <c r="O47" s="12" t="s">
        <v>74</v>
      </c>
      <c r="P47" s="4" t="s">
        <v>181</v>
      </c>
      <c r="Q47" s="4" t="s">
        <v>23</v>
      </c>
    </row>
    <row r="48" ht="35.05" hidden="0" outlineLevel="0" collapsed="0">
      <c r="A48" s="10" t="s">
        <v>182</v>
      </c>
      <c r="B48" s="4" t="s">
        <v>183</v>
      </c>
      <c r="C48" s="4" t="s">
        <v>178</v>
      </c>
      <c r="D48" s="11">
        <v>2059.2</v>
      </c>
      <c r="E48" s="4" t="s">
        <v>179</v>
      </c>
      <c r="F48" s="4" t="s">
        <v>78</v>
      </c>
      <c r="G48" s="4" t="s">
        <v>79</v>
      </c>
      <c r="H48" s="4" t="s">
        <v>180</v>
      </c>
      <c r="I48" s="4" t="s">
        <v>52</v>
      </c>
      <c r="J48" s="4" t="s">
        <v>53</v>
      </c>
      <c r="K48" s="4" t="s">
        <v>54</v>
      </c>
      <c r="L48" s="4" t="s">
        <v>73</v>
      </c>
      <c r="M48" s="4" t="s">
        <v>56</v>
      </c>
      <c r="N48" s="4" t="s">
        <v>57</v>
      </c>
      <c r="O48" s="12" t="s">
        <v>74</v>
      </c>
      <c r="P48" s="4" t="s">
        <v>181</v>
      </c>
      <c r="Q48" s="4" t="s">
        <v>23</v>
      </c>
    </row>
    <row r="49" ht="35.05" hidden="0" outlineLevel="0" collapsed="0">
      <c r="A49" s="10" t="s">
        <v>184</v>
      </c>
      <c r="B49" s="4" t="s">
        <v>185</v>
      </c>
      <c r="C49" s="4" t="s">
        <v>178</v>
      </c>
      <c r="D49" s="11">
        <v>2070.6</v>
      </c>
      <c r="E49" s="4" t="s">
        <v>179</v>
      </c>
      <c r="F49" s="4" t="s">
        <v>82</v>
      </c>
      <c r="G49" s="4" t="s">
        <v>7</v>
      </c>
      <c r="H49" s="4" t="s">
        <v>180</v>
      </c>
      <c r="I49" s="4" t="s">
        <v>52</v>
      </c>
      <c r="J49" s="4" t="s">
        <v>53</v>
      </c>
      <c r="K49" s="4" t="s">
        <v>54</v>
      </c>
      <c r="L49" s="4" t="s">
        <v>73</v>
      </c>
      <c r="M49" s="4" t="s">
        <v>56</v>
      </c>
      <c r="N49" s="4" t="s">
        <v>57</v>
      </c>
      <c r="O49" s="12" t="s">
        <v>74</v>
      </c>
      <c r="P49" s="4" t="s">
        <v>181</v>
      </c>
      <c r="Q49" s="4" t="s">
        <v>23</v>
      </c>
    </row>
    <row r="50" ht="23.85" hidden="0" outlineLevel="0" collapsed="0">
      <c r="A50" s="10" t="s">
        <v>186</v>
      </c>
      <c r="B50" s="4" t="s">
        <v>187</v>
      </c>
      <c r="C50" s="4" t="s">
        <v>188</v>
      </c>
      <c r="D50" s="11">
        <v>0.03</v>
      </c>
      <c r="E50" s="4" t="s">
        <v>189</v>
      </c>
      <c r="F50" s="4" t="s">
        <v>50</v>
      </c>
      <c r="G50" s="4" t="s">
        <v>50</v>
      </c>
      <c r="H50" s="4" t="s">
        <v>190</v>
      </c>
      <c r="I50" s="4" t="s">
        <v>50</v>
      </c>
      <c r="J50" s="4" t="s">
        <v>50</v>
      </c>
      <c r="K50" s="4" t="s">
        <v>50</v>
      </c>
      <c r="L50" s="4" t="s">
        <v>191</v>
      </c>
      <c r="M50" s="4" t="s">
        <v>192</v>
      </c>
      <c r="N50" s="4" t="s">
        <v>57</v>
      </c>
      <c r="O50" s="12" t="s">
        <v>58</v>
      </c>
      <c r="P50" s="4" t="s">
        <v>193</v>
      </c>
      <c r="Q50" s="4" t="s">
        <v>194</v>
      </c>
    </row>
    <row r="51" ht="23.85" hidden="0" outlineLevel="0" collapsed="0">
      <c r="A51" s="10" t="s">
        <v>195</v>
      </c>
      <c r="B51" s="4" t="s">
        <v>196</v>
      </c>
      <c r="C51" s="4" t="s">
        <v>197</v>
      </c>
      <c r="D51" s="11">
        <v>0.05</v>
      </c>
      <c r="E51" s="4" t="s">
        <v>189</v>
      </c>
      <c r="F51" s="4" t="s">
        <v>50</v>
      </c>
      <c r="G51" s="4" t="s">
        <v>50</v>
      </c>
      <c r="H51" s="4" t="s">
        <v>190</v>
      </c>
      <c r="I51" s="4" t="s">
        <v>50</v>
      </c>
      <c r="J51" s="4" t="s">
        <v>50</v>
      </c>
      <c r="K51" s="4" t="s">
        <v>50</v>
      </c>
      <c r="L51" s="4" t="s">
        <v>191</v>
      </c>
      <c r="M51" s="4" t="s">
        <v>192</v>
      </c>
      <c r="N51" s="4" t="s">
        <v>57</v>
      </c>
      <c r="O51" s="12" t="s">
        <v>58</v>
      </c>
      <c r="P51" s="4" t="s">
        <v>193</v>
      </c>
      <c r="Q51" s="4" t="s">
        <v>194</v>
      </c>
    </row>
    <row r="52" ht="23.85" hidden="0" outlineLevel="0" collapsed="0">
      <c r="A52" s="10" t="s">
        <v>198</v>
      </c>
      <c r="B52" s="4" t="s">
        <v>199</v>
      </c>
      <c r="C52" s="4" t="s">
        <v>200</v>
      </c>
      <c r="D52" s="11">
        <v>0.07</v>
      </c>
      <c r="E52" s="4" t="s">
        <v>189</v>
      </c>
      <c r="F52" s="4" t="s">
        <v>50</v>
      </c>
      <c r="G52" s="4" t="s">
        <v>50</v>
      </c>
      <c r="H52" s="4" t="s">
        <v>190</v>
      </c>
      <c r="I52" s="4" t="s">
        <v>50</v>
      </c>
      <c r="J52" s="4" t="s">
        <v>50</v>
      </c>
      <c r="K52" s="4" t="s">
        <v>50</v>
      </c>
      <c r="L52" s="4" t="s">
        <v>191</v>
      </c>
      <c r="M52" s="4" t="s">
        <v>192</v>
      </c>
      <c r="N52" s="4" t="s">
        <v>57</v>
      </c>
      <c r="O52" s="12" t="s">
        <v>58</v>
      </c>
      <c r="P52" s="4" t="s">
        <v>193</v>
      </c>
      <c r="Q52" s="4" t="s">
        <v>194</v>
      </c>
    </row>
    <row r="53" ht="23.85" hidden="0" outlineLevel="0" collapsed="0">
      <c r="A53" s="10" t="s">
        <v>201</v>
      </c>
      <c r="B53" s="4" t="s">
        <v>202</v>
      </c>
      <c r="C53" s="4" t="s">
        <v>203</v>
      </c>
      <c r="D53" s="11">
        <v>0.02</v>
      </c>
      <c r="E53" s="4" t="s">
        <v>189</v>
      </c>
      <c r="F53" s="4" t="s">
        <v>50</v>
      </c>
      <c r="G53" s="4" t="s">
        <v>50</v>
      </c>
      <c r="H53" s="4" t="s">
        <v>190</v>
      </c>
      <c r="I53" s="4" t="s">
        <v>50</v>
      </c>
      <c r="J53" s="4" t="s">
        <v>50</v>
      </c>
      <c r="K53" s="4" t="s">
        <v>50</v>
      </c>
      <c r="L53" s="4" t="s">
        <v>191</v>
      </c>
      <c r="M53" s="4" t="s">
        <v>192</v>
      </c>
      <c r="N53" s="4" t="s">
        <v>57</v>
      </c>
      <c r="O53" s="12" t="s">
        <v>58</v>
      </c>
      <c r="P53" s="4" t="s">
        <v>193</v>
      </c>
      <c r="Q53" s="4" t="s">
        <v>204</v>
      </c>
    </row>
    <row r="54" ht="23.85" hidden="0" outlineLevel="0" collapsed="0">
      <c r="A54" s="10" t="s">
        <v>205</v>
      </c>
      <c r="B54" s="4" t="s">
        <v>206</v>
      </c>
      <c r="C54" s="4" t="s">
        <v>207</v>
      </c>
      <c r="D54" s="11">
        <v>0.06</v>
      </c>
      <c r="E54" s="4" t="s">
        <v>189</v>
      </c>
      <c r="F54" s="4" t="s">
        <v>50</v>
      </c>
      <c r="G54" s="4" t="s">
        <v>50</v>
      </c>
      <c r="H54" s="4" t="s">
        <v>190</v>
      </c>
      <c r="I54" s="4" t="s">
        <v>50</v>
      </c>
      <c r="J54" s="4" t="s">
        <v>50</v>
      </c>
      <c r="K54" s="4" t="s">
        <v>50</v>
      </c>
      <c r="L54" s="4" t="s">
        <v>191</v>
      </c>
      <c r="M54" s="4" t="s">
        <v>192</v>
      </c>
      <c r="N54" s="4" t="s">
        <v>57</v>
      </c>
      <c r="O54" s="12" t="s">
        <v>58</v>
      </c>
      <c r="P54" s="4" t="s">
        <v>193</v>
      </c>
      <c r="Q54" s="4" t="s">
        <v>204</v>
      </c>
    </row>
    <row r="55" ht="23.85" hidden="0" outlineLevel="0" collapsed="0">
      <c r="A55" s="10" t="s">
        <v>208</v>
      </c>
      <c r="B55" s="4" t="s">
        <v>209</v>
      </c>
      <c r="C55" s="4" t="s">
        <v>210</v>
      </c>
      <c r="D55" s="11">
        <v>0.1</v>
      </c>
      <c r="E55" s="4" t="s">
        <v>189</v>
      </c>
      <c r="F55" s="4" t="s">
        <v>50</v>
      </c>
      <c r="G55" s="4" t="s">
        <v>50</v>
      </c>
      <c r="H55" s="4" t="s">
        <v>190</v>
      </c>
      <c r="I55" s="4" t="s">
        <v>50</v>
      </c>
      <c r="J55" s="4" t="s">
        <v>50</v>
      </c>
      <c r="K55" s="4" t="s">
        <v>50</v>
      </c>
      <c r="L55" s="4" t="s">
        <v>191</v>
      </c>
      <c r="M55" s="4" t="s">
        <v>192</v>
      </c>
      <c r="N55" s="4" t="s">
        <v>57</v>
      </c>
      <c r="O55" s="12" t="s">
        <v>58</v>
      </c>
      <c r="P55" s="4" t="s">
        <v>193</v>
      </c>
      <c r="Q55" s="4" t="s">
        <v>204</v>
      </c>
    </row>
    <row r="56" ht="23.85" hidden="0" outlineLevel="0" collapsed="0">
      <c r="A56" s="10" t="s">
        <v>211</v>
      </c>
      <c r="B56" s="4" t="s">
        <v>212</v>
      </c>
      <c r="C56" s="4" t="s">
        <v>213</v>
      </c>
      <c r="D56" s="11">
        <v>0</v>
      </c>
      <c r="E56" s="4" t="s">
        <v>189</v>
      </c>
      <c r="F56" s="4" t="s">
        <v>50</v>
      </c>
      <c r="G56" s="4" t="s">
        <v>50</v>
      </c>
      <c r="H56" s="4" t="s">
        <v>190</v>
      </c>
      <c r="I56" s="4" t="s">
        <v>50</v>
      </c>
      <c r="J56" s="4" t="s">
        <v>50</v>
      </c>
      <c r="K56" s="4" t="s">
        <v>50</v>
      </c>
      <c r="L56" s="4" t="s">
        <v>191</v>
      </c>
      <c r="M56" s="4" t="s">
        <v>192</v>
      </c>
      <c r="N56" s="4" t="s">
        <v>57</v>
      </c>
      <c r="O56" s="12" t="s">
        <v>58</v>
      </c>
      <c r="P56" s="4" t="s">
        <v>193</v>
      </c>
      <c r="Q56" s="4" t="s">
        <v>214</v>
      </c>
    </row>
    <row r="57" ht="23.85" hidden="0" outlineLevel="0" collapsed="0">
      <c r="A57" s="10" t="s">
        <v>215</v>
      </c>
      <c r="B57" s="4" t="s">
        <v>216</v>
      </c>
      <c r="C57" s="4" t="s">
        <v>217</v>
      </c>
      <c r="D57" s="11">
        <v>0.02</v>
      </c>
      <c r="E57" s="4" t="s">
        <v>189</v>
      </c>
      <c r="F57" s="4" t="s">
        <v>50</v>
      </c>
      <c r="G57" s="4" t="s">
        <v>50</v>
      </c>
      <c r="H57" s="4" t="s">
        <v>190</v>
      </c>
      <c r="I57" s="4" t="s">
        <v>50</v>
      </c>
      <c r="J57" s="4" t="s">
        <v>50</v>
      </c>
      <c r="K57" s="4" t="s">
        <v>50</v>
      </c>
      <c r="L57" s="4" t="s">
        <v>191</v>
      </c>
      <c r="M57" s="4" t="s">
        <v>192</v>
      </c>
      <c r="N57" s="4" t="s">
        <v>57</v>
      </c>
      <c r="O57" s="12" t="s">
        <v>58</v>
      </c>
      <c r="P57" s="4" t="s">
        <v>193</v>
      </c>
      <c r="Q57" s="4" t="s">
        <v>214</v>
      </c>
    </row>
    <row r="58" ht="23.85" hidden="0" outlineLevel="0" collapsed="0">
      <c r="A58" s="10" t="s">
        <v>218</v>
      </c>
      <c r="B58" s="4" t="s">
        <v>219</v>
      </c>
      <c r="C58" s="4" t="s">
        <v>220</v>
      </c>
      <c r="D58" s="11">
        <v>0.04</v>
      </c>
      <c r="E58" s="4" t="s">
        <v>189</v>
      </c>
      <c r="F58" s="4" t="s">
        <v>50</v>
      </c>
      <c r="G58" s="4" t="s">
        <v>50</v>
      </c>
      <c r="H58" s="4" t="s">
        <v>190</v>
      </c>
      <c r="I58" s="4" t="s">
        <v>50</v>
      </c>
      <c r="J58" s="4" t="s">
        <v>50</v>
      </c>
      <c r="K58" s="4" t="s">
        <v>50</v>
      </c>
      <c r="L58" s="4" t="s">
        <v>191</v>
      </c>
      <c r="M58" s="4" t="s">
        <v>192</v>
      </c>
      <c r="N58" s="4" t="s">
        <v>57</v>
      </c>
      <c r="O58" s="12" t="s">
        <v>58</v>
      </c>
      <c r="P58" s="4" t="s">
        <v>193</v>
      </c>
      <c r="Q58" s="4" t="s">
        <v>214</v>
      </c>
    </row>
    <row r="59" ht="23.85" hidden="0" outlineLevel="0" collapsed="0">
      <c r="A59" s="10" t="s">
        <v>221</v>
      </c>
      <c r="B59" s="4" t="s">
        <v>222</v>
      </c>
      <c r="C59" s="4" t="s">
        <v>223</v>
      </c>
      <c r="D59" s="11">
        <v>0.06</v>
      </c>
      <c r="E59" s="4" t="s">
        <v>189</v>
      </c>
      <c r="F59" s="4" t="s">
        <v>50</v>
      </c>
      <c r="G59" s="4" t="s">
        <v>50</v>
      </c>
      <c r="H59" s="4" t="s">
        <v>190</v>
      </c>
      <c r="I59" s="4" t="s">
        <v>50</v>
      </c>
      <c r="J59" s="4" t="s">
        <v>50</v>
      </c>
      <c r="K59" s="4" t="s">
        <v>50</v>
      </c>
      <c r="L59" s="4" t="s">
        <v>191</v>
      </c>
      <c r="M59" s="4" t="s">
        <v>192</v>
      </c>
      <c r="N59" s="4" t="s">
        <v>57</v>
      </c>
      <c r="O59" s="12" t="s">
        <v>58</v>
      </c>
      <c r="P59" s="4" t="s">
        <v>193</v>
      </c>
      <c r="Q59" s="4" t="s">
        <v>224</v>
      </c>
    </row>
    <row r="60" ht="23.85" hidden="0" outlineLevel="0" collapsed="0">
      <c r="A60" s="10" t="s">
        <v>225</v>
      </c>
      <c r="B60" s="4" t="s">
        <v>226</v>
      </c>
      <c r="C60" s="4" t="s">
        <v>227</v>
      </c>
      <c r="D60" s="11">
        <v>0.09</v>
      </c>
      <c r="E60" s="4" t="s">
        <v>189</v>
      </c>
      <c r="F60" s="4" t="s">
        <v>50</v>
      </c>
      <c r="G60" s="4" t="s">
        <v>50</v>
      </c>
      <c r="H60" s="4" t="s">
        <v>190</v>
      </c>
      <c r="I60" s="4" t="s">
        <v>50</v>
      </c>
      <c r="J60" s="4" t="s">
        <v>50</v>
      </c>
      <c r="K60" s="4" t="s">
        <v>50</v>
      </c>
      <c r="L60" s="4" t="s">
        <v>191</v>
      </c>
      <c r="M60" s="4" t="s">
        <v>192</v>
      </c>
      <c r="N60" s="4" t="s">
        <v>57</v>
      </c>
      <c r="O60" s="12" t="s">
        <v>58</v>
      </c>
      <c r="P60" s="4" t="s">
        <v>193</v>
      </c>
      <c r="Q60" s="4" t="s">
        <v>224</v>
      </c>
    </row>
    <row r="61" ht="23.85" hidden="0" outlineLevel="0" collapsed="0">
      <c r="A61" s="10" t="s">
        <v>228</v>
      </c>
      <c r="B61" s="4" t="s">
        <v>229</v>
      </c>
      <c r="C61" s="4" t="s">
        <v>230</v>
      </c>
      <c r="D61" s="11">
        <v>0.11</v>
      </c>
      <c r="E61" s="4" t="s">
        <v>189</v>
      </c>
      <c r="F61" s="4" t="s">
        <v>50</v>
      </c>
      <c r="G61" s="4" t="s">
        <v>50</v>
      </c>
      <c r="H61" s="4" t="s">
        <v>190</v>
      </c>
      <c r="I61" s="4" t="s">
        <v>50</v>
      </c>
      <c r="J61" s="4" t="s">
        <v>50</v>
      </c>
      <c r="K61" s="4" t="s">
        <v>50</v>
      </c>
      <c r="L61" s="4" t="s">
        <v>191</v>
      </c>
      <c r="M61" s="4" t="s">
        <v>192</v>
      </c>
      <c r="N61" s="4" t="s">
        <v>57</v>
      </c>
      <c r="O61" s="12" t="s">
        <v>58</v>
      </c>
      <c r="P61" s="4" t="s">
        <v>193</v>
      </c>
      <c r="Q61" s="4" t="s">
        <v>224</v>
      </c>
    </row>
    <row r="62" ht="23.85" hidden="0" outlineLevel="0" collapsed="0">
      <c r="A62" s="10" t="s">
        <v>231</v>
      </c>
      <c r="B62" s="4" t="s">
        <v>232</v>
      </c>
      <c r="C62" s="4" t="s">
        <v>233</v>
      </c>
      <c r="D62" s="11">
        <v>0.02</v>
      </c>
      <c r="E62" s="4" t="s">
        <v>189</v>
      </c>
      <c r="F62" s="4" t="s">
        <v>50</v>
      </c>
      <c r="G62" s="4" t="s">
        <v>50</v>
      </c>
      <c r="H62" s="4" t="s">
        <v>190</v>
      </c>
      <c r="I62" s="4" t="s">
        <v>50</v>
      </c>
      <c r="J62" s="4" t="s">
        <v>50</v>
      </c>
      <c r="K62" s="4" t="s">
        <v>50</v>
      </c>
      <c r="L62" s="4" t="s">
        <v>191</v>
      </c>
      <c r="M62" s="4" t="s">
        <v>192</v>
      </c>
      <c r="N62" s="4" t="s">
        <v>57</v>
      </c>
      <c r="O62" s="12" t="s">
        <v>58</v>
      </c>
      <c r="P62" s="4" t="s">
        <v>193</v>
      </c>
      <c r="Q62" s="4" t="s">
        <v>234</v>
      </c>
    </row>
    <row r="63" ht="23.85" hidden="0" outlineLevel="0" collapsed="0">
      <c r="A63" s="10" t="s">
        <v>235</v>
      </c>
      <c r="B63" s="4" t="s">
        <v>236</v>
      </c>
      <c r="C63" s="4" t="s">
        <v>237</v>
      </c>
      <c r="D63" s="11">
        <v>0.08</v>
      </c>
      <c r="E63" s="4" t="s">
        <v>189</v>
      </c>
      <c r="F63" s="4" t="s">
        <v>50</v>
      </c>
      <c r="G63" s="4" t="s">
        <v>50</v>
      </c>
      <c r="H63" s="4" t="s">
        <v>190</v>
      </c>
      <c r="I63" s="4" t="s">
        <v>50</v>
      </c>
      <c r="J63" s="4" t="s">
        <v>50</v>
      </c>
      <c r="K63" s="4" t="s">
        <v>50</v>
      </c>
      <c r="L63" s="4" t="s">
        <v>191</v>
      </c>
      <c r="M63" s="4" t="s">
        <v>192</v>
      </c>
      <c r="N63" s="4" t="s">
        <v>57</v>
      </c>
      <c r="O63" s="12" t="s">
        <v>58</v>
      </c>
      <c r="P63" s="4" t="s">
        <v>193</v>
      </c>
      <c r="Q63" s="4" t="s">
        <v>234</v>
      </c>
    </row>
    <row r="64" ht="23.85" hidden="0" outlineLevel="0" collapsed="0">
      <c r="A64" s="10" t="s">
        <v>238</v>
      </c>
      <c r="B64" s="4" t="s">
        <v>239</v>
      </c>
      <c r="C64" s="4" t="s">
        <v>240</v>
      </c>
      <c r="D64" s="11">
        <v>0.12</v>
      </c>
      <c r="E64" s="4" t="s">
        <v>189</v>
      </c>
      <c r="F64" s="4" t="s">
        <v>50</v>
      </c>
      <c r="G64" s="4" t="s">
        <v>50</v>
      </c>
      <c r="H64" s="4" t="s">
        <v>190</v>
      </c>
      <c r="I64" s="4" t="s">
        <v>50</v>
      </c>
      <c r="J64" s="4" t="s">
        <v>50</v>
      </c>
      <c r="K64" s="4" t="s">
        <v>50</v>
      </c>
      <c r="L64" s="4" t="s">
        <v>191</v>
      </c>
      <c r="M64" s="4" t="s">
        <v>192</v>
      </c>
      <c r="N64" s="4" t="s">
        <v>57</v>
      </c>
      <c r="O64" s="12" t="s">
        <v>58</v>
      </c>
      <c r="P64" s="4" t="s">
        <v>193</v>
      </c>
      <c r="Q64" s="4" t="s">
        <v>234</v>
      </c>
    </row>
    <row r="65" ht="23.85" hidden="0" outlineLevel="0" collapsed="0">
      <c r="A65" s="10" t="s">
        <v>241</v>
      </c>
      <c r="B65" s="4" t="s">
        <v>242</v>
      </c>
      <c r="C65" s="4" t="s">
        <v>243</v>
      </c>
      <c r="D65" s="11">
        <v>0.05</v>
      </c>
      <c r="E65" s="4" t="s">
        <v>189</v>
      </c>
      <c r="F65" s="4" t="s">
        <v>50</v>
      </c>
      <c r="G65" s="4" t="s">
        <v>50</v>
      </c>
      <c r="H65" s="4" t="s">
        <v>190</v>
      </c>
      <c r="I65" s="4" t="s">
        <v>50</v>
      </c>
      <c r="J65" s="4" t="s">
        <v>50</v>
      </c>
      <c r="K65" s="4" t="s">
        <v>50</v>
      </c>
      <c r="L65" s="4" t="s">
        <v>191</v>
      </c>
      <c r="M65" s="4" t="s">
        <v>192</v>
      </c>
      <c r="N65" s="4" t="s">
        <v>57</v>
      </c>
      <c r="O65" s="12" t="s">
        <v>58</v>
      </c>
      <c r="P65" s="4" t="s">
        <v>193</v>
      </c>
      <c r="Q65" s="4" t="s">
        <v>244</v>
      </c>
    </row>
    <row r="66" ht="23.85" hidden="0" outlineLevel="0" collapsed="0">
      <c r="A66" s="10" t="s">
        <v>245</v>
      </c>
      <c r="B66" s="4" t="s">
        <v>246</v>
      </c>
      <c r="C66" s="4" t="s">
        <v>247</v>
      </c>
      <c r="D66" s="11">
        <v>0.02</v>
      </c>
      <c r="E66" s="4" t="s">
        <v>189</v>
      </c>
      <c r="F66" s="4" t="s">
        <v>50</v>
      </c>
      <c r="G66" s="4" t="s">
        <v>50</v>
      </c>
      <c r="H66" s="4" t="s">
        <v>190</v>
      </c>
      <c r="I66" s="4" t="s">
        <v>50</v>
      </c>
      <c r="J66" s="4" t="s">
        <v>50</v>
      </c>
      <c r="K66" s="4" t="s">
        <v>50</v>
      </c>
      <c r="L66" s="4" t="s">
        <v>191</v>
      </c>
      <c r="M66" s="4" t="s">
        <v>192</v>
      </c>
      <c r="N66" s="4" t="s">
        <v>57</v>
      </c>
      <c r="O66" s="12" t="s">
        <v>58</v>
      </c>
      <c r="P66" s="4" t="s">
        <v>193</v>
      </c>
      <c r="Q66" s="4" t="s">
        <v>244</v>
      </c>
    </row>
    <row r="67" ht="23.85" hidden="0" outlineLevel="0" collapsed="0">
      <c r="A67" s="10" t="s">
        <v>248</v>
      </c>
      <c r="B67" s="4" t="s">
        <v>249</v>
      </c>
      <c r="C67" s="4" t="s">
        <v>250</v>
      </c>
      <c r="D67" s="11">
        <v>0</v>
      </c>
      <c r="E67" s="4" t="s">
        <v>189</v>
      </c>
      <c r="F67" s="4" t="s">
        <v>50</v>
      </c>
      <c r="G67" s="4" t="s">
        <v>50</v>
      </c>
      <c r="H67" s="4" t="s">
        <v>190</v>
      </c>
      <c r="I67" s="4" t="s">
        <v>50</v>
      </c>
      <c r="J67" s="4" t="s">
        <v>50</v>
      </c>
      <c r="K67" s="4" t="s">
        <v>50</v>
      </c>
      <c r="L67" s="4" t="s">
        <v>191</v>
      </c>
      <c r="M67" s="4" t="s">
        <v>192</v>
      </c>
      <c r="N67" s="4" t="s">
        <v>57</v>
      </c>
      <c r="O67" s="12" t="s">
        <v>58</v>
      </c>
      <c r="P67" s="4" t="s">
        <v>193</v>
      </c>
      <c r="Q67" s="4" t="s">
        <v>244</v>
      </c>
    </row>
    <row r="68" ht="23.85" hidden="0" outlineLevel="0" collapsed="0">
      <c r="A68" s="10" t="s">
        <v>251</v>
      </c>
      <c r="B68" s="4" t="s">
        <v>252</v>
      </c>
      <c r="C68" s="4" t="s">
        <v>253</v>
      </c>
      <c r="D68" s="11">
        <v>1.1</v>
      </c>
      <c r="E68" s="4" t="s">
        <v>254</v>
      </c>
      <c r="F68" s="4" t="s">
        <v>50</v>
      </c>
      <c r="G68" s="4" t="s">
        <v>50</v>
      </c>
      <c r="H68" s="4" t="s">
        <v>190</v>
      </c>
      <c r="I68" s="4" t="s">
        <v>50</v>
      </c>
      <c r="J68" s="4" t="s">
        <v>50</v>
      </c>
      <c r="K68" s="4" t="s">
        <v>50</v>
      </c>
      <c r="L68" s="4" t="s">
        <v>191</v>
      </c>
      <c r="M68" s="4" t="s">
        <v>192</v>
      </c>
      <c r="N68" s="4" t="s">
        <v>57</v>
      </c>
      <c r="O68" s="12" t="s">
        <v>58</v>
      </c>
      <c r="P68" s="4" t="s">
        <v>193</v>
      </c>
      <c r="Q68" s="4" t="s">
        <v>255</v>
      </c>
    </row>
    <row r="69" ht="23.85" hidden="0" outlineLevel="0" collapsed="0">
      <c r="A69" s="10" t="s">
        <v>256</v>
      </c>
      <c r="B69" s="4" t="s">
        <v>257</v>
      </c>
      <c r="C69" s="4" t="s">
        <v>258</v>
      </c>
      <c r="D69" s="11">
        <v>1</v>
      </c>
      <c r="E69" s="4" t="s">
        <v>254</v>
      </c>
      <c r="F69" s="4" t="s">
        <v>50</v>
      </c>
      <c r="G69" s="4" t="s">
        <v>50</v>
      </c>
      <c r="H69" s="4" t="s">
        <v>190</v>
      </c>
      <c r="I69" s="4" t="s">
        <v>50</v>
      </c>
      <c r="J69" s="4" t="s">
        <v>50</v>
      </c>
      <c r="K69" s="4" t="s">
        <v>50</v>
      </c>
      <c r="L69" s="4" t="s">
        <v>191</v>
      </c>
      <c r="M69" s="4" t="s">
        <v>192</v>
      </c>
      <c r="N69" s="4" t="s">
        <v>57</v>
      </c>
      <c r="O69" s="12" t="s">
        <v>58</v>
      </c>
      <c r="P69" s="4" t="s">
        <v>193</v>
      </c>
      <c r="Q69" s="4" t="s">
        <v>255</v>
      </c>
    </row>
    <row r="70" ht="23.85" hidden="0" outlineLevel="0" collapsed="0">
      <c r="A70" s="10" t="s">
        <v>259</v>
      </c>
      <c r="B70" s="4" t="s">
        <v>260</v>
      </c>
      <c r="C70" s="4" t="s">
        <v>261</v>
      </c>
      <c r="D70" s="11">
        <v>0.95</v>
      </c>
      <c r="E70" s="4" t="s">
        <v>254</v>
      </c>
      <c r="F70" s="4" t="s">
        <v>50</v>
      </c>
      <c r="G70" s="4" t="s">
        <v>50</v>
      </c>
      <c r="H70" s="4" t="s">
        <v>190</v>
      </c>
      <c r="I70" s="4" t="s">
        <v>50</v>
      </c>
      <c r="J70" s="4" t="s">
        <v>50</v>
      </c>
      <c r="K70" s="4" t="s">
        <v>50</v>
      </c>
      <c r="L70" s="4" t="s">
        <v>191</v>
      </c>
      <c r="M70" s="4" t="s">
        <v>192</v>
      </c>
      <c r="N70" s="4" t="s">
        <v>57</v>
      </c>
      <c r="O70" s="12" t="s">
        <v>58</v>
      </c>
      <c r="P70" s="4" t="s">
        <v>193</v>
      </c>
      <c r="Q70" s="4" t="s">
        <v>255</v>
      </c>
    </row>
    <row r="71" ht="23.85" hidden="0" outlineLevel="0" collapsed="0">
      <c r="A71" s="10" t="s">
        <v>262</v>
      </c>
      <c r="B71" s="4" t="s">
        <v>263</v>
      </c>
      <c r="C71" s="4" t="s">
        <v>264</v>
      </c>
      <c r="D71" s="11">
        <v>1.1</v>
      </c>
      <c r="E71" s="4" t="s">
        <v>254</v>
      </c>
      <c r="F71" s="4" t="s">
        <v>50</v>
      </c>
      <c r="G71" s="4" t="s">
        <v>50</v>
      </c>
      <c r="H71" s="4" t="s">
        <v>190</v>
      </c>
      <c r="I71" s="4" t="s">
        <v>50</v>
      </c>
      <c r="J71" s="4" t="s">
        <v>50</v>
      </c>
      <c r="K71" s="4" t="s">
        <v>50</v>
      </c>
      <c r="L71" s="4" t="s">
        <v>191</v>
      </c>
      <c r="M71" s="4" t="s">
        <v>192</v>
      </c>
      <c r="N71" s="4" t="s">
        <v>57</v>
      </c>
      <c r="O71" s="12" t="s">
        <v>58</v>
      </c>
      <c r="P71" s="4" t="s">
        <v>193</v>
      </c>
      <c r="Q71" s="4" t="s">
        <v>255</v>
      </c>
    </row>
    <row r="72" ht="23.85" hidden="0" outlineLevel="0" collapsed="0">
      <c r="A72" s="10" t="s">
        <v>265</v>
      </c>
      <c r="B72" s="4" t="s">
        <v>266</v>
      </c>
      <c r="C72" s="4" t="s">
        <v>267</v>
      </c>
      <c r="D72" s="11">
        <v>1</v>
      </c>
      <c r="E72" s="4" t="s">
        <v>254</v>
      </c>
      <c r="F72" s="4" t="s">
        <v>50</v>
      </c>
      <c r="G72" s="4" t="s">
        <v>50</v>
      </c>
      <c r="H72" s="4" t="s">
        <v>190</v>
      </c>
      <c r="I72" s="4" t="s">
        <v>50</v>
      </c>
      <c r="J72" s="4" t="s">
        <v>50</v>
      </c>
      <c r="K72" s="4" t="s">
        <v>50</v>
      </c>
      <c r="L72" s="4" t="s">
        <v>191</v>
      </c>
      <c r="M72" s="4" t="s">
        <v>192</v>
      </c>
      <c r="N72" s="4" t="s">
        <v>57</v>
      </c>
      <c r="O72" s="12" t="s">
        <v>58</v>
      </c>
      <c r="P72" s="4" t="s">
        <v>193</v>
      </c>
      <c r="Q72" s="4" t="s">
        <v>255</v>
      </c>
    </row>
    <row r="73" ht="23.85" hidden="0" outlineLevel="0" collapsed="0">
      <c r="A73" s="10" t="s">
        <v>268</v>
      </c>
      <c r="B73" s="4" t="s">
        <v>269</v>
      </c>
      <c r="C73" s="4" t="s">
        <v>270</v>
      </c>
      <c r="D73" s="11">
        <v>0.95</v>
      </c>
      <c r="E73" s="4" t="s">
        <v>254</v>
      </c>
      <c r="F73" s="4" t="s">
        <v>50</v>
      </c>
      <c r="G73" s="4" t="s">
        <v>50</v>
      </c>
      <c r="H73" s="4" t="s">
        <v>190</v>
      </c>
      <c r="I73" s="4" t="s">
        <v>50</v>
      </c>
      <c r="J73" s="4" t="s">
        <v>50</v>
      </c>
      <c r="K73" s="4" t="s">
        <v>50</v>
      </c>
      <c r="L73" s="4" t="s">
        <v>191</v>
      </c>
      <c r="M73" s="4" t="s">
        <v>192</v>
      </c>
      <c r="N73" s="4" t="s">
        <v>57</v>
      </c>
      <c r="O73" s="12" t="s">
        <v>58</v>
      </c>
      <c r="P73" s="4" t="s">
        <v>193</v>
      </c>
      <c r="Q73" s="4" t="s">
        <v>255</v>
      </c>
    </row>
    <row r="74" ht="23.85" hidden="0" outlineLevel="0" collapsed="0">
      <c r="A74" s="10" t="s">
        <v>271</v>
      </c>
      <c r="B74" s="4" t="s">
        <v>272</v>
      </c>
      <c r="C74" s="4" t="s">
        <v>273</v>
      </c>
      <c r="D74" s="11">
        <v>0.25</v>
      </c>
      <c r="E74" s="4" t="s">
        <v>274</v>
      </c>
      <c r="F74" s="4" t="s">
        <v>50</v>
      </c>
      <c r="G74" s="4" t="s">
        <v>50</v>
      </c>
      <c r="H74" s="4" t="s">
        <v>190</v>
      </c>
      <c r="I74" s="4" t="s">
        <v>50</v>
      </c>
      <c r="J74" s="4" t="s">
        <v>50</v>
      </c>
      <c r="K74" s="4" t="s">
        <v>50</v>
      </c>
      <c r="L74" s="4" t="s">
        <v>191</v>
      </c>
      <c r="M74" s="4" t="s">
        <v>192</v>
      </c>
      <c r="N74" s="4" t="s">
        <v>57</v>
      </c>
      <c r="O74" s="12" t="s">
        <v>58</v>
      </c>
      <c r="P74" s="4" t="s">
        <v>193</v>
      </c>
      <c r="Q74" s="4" t="s">
        <v>275</v>
      </c>
    </row>
    <row r="75" ht="23.85" hidden="0" outlineLevel="0" collapsed="0">
      <c r="A75" s="10" t="s">
        <v>276</v>
      </c>
      <c r="B75" s="4" t="s">
        <v>277</v>
      </c>
      <c r="C75" s="4" t="s">
        <v>278</v>
      </c>
      <c r="D75" s="11">
        <v>0.302</v>
      </c>
      <c r="E75" s="4" t="s">
        <v>274</v>
      </c>
      <c r="F75" s="4" t="s">
        <v>50</v>
      </c>
      <c r="G75" s="4" t="s">
        <v>50</v>
      </c>
      <c r="H75" s="4" t="s">
        <v>190</v>
      </c>
      <c r="I75" s="4" t="s">
        <v>50</v>
      </c>
      <c r="J75" s="4" t="s">
        <v>50</v>
      </c>
      <c r="K75" s="4" t="s">
        <v>50</v>
      </c>
      <c r="L75" s="4" t="s">
        <v>191</v>
      </c>
      <c r="M75" s="4" t="s">
        <v>192</v>
      </c>
      <c r="N75" s="4" t="s">
        <v>57</v>
      </c>
      <c r="O75" s="12" t="s">
        <v>58</v>
      </c>
      <c r="P75" s="4" t="s">
        <v>193</v>
      </c>
      <c r="Q75" s="4" t="s">
        <v>275</v>
      </c>
    </row>
    <row r="76" ht="23.85" hidden="0" outlineLevel="0" collapsed="0">
      <c r="A76" s="10" t="s">
        <v>279</v>
      </c>
      <c r="B76" s="4" t="s">
        <v>280</v>
      </c>
      <c r="C76" s="4" t="s">
        <v>281</v>
      </c>
      <c r="D76" s="11">
        <v>0.33</v>
      </c>
      <c r="E76" s="4" t="s">
        <v>274</v>
      </c>
      <c r="F76" s="4" t="s">
        <v>50</v>
      </c>
      <c r="G76" s="4" t="s">
        <v>50</v>
      </c>
      <c r="H76" s="4" t="s">
        <v>190</v>
      </c>
      <c r="I76" s="4" t="s">
        <v>50</v>
      </c>
      <c r="J76" s="4" t="s">
        <v>50</v>
      </c>
      <c r="K76" s="4" t="s">
        <v>50</v>
      </c>
      <c r="L76" s="4" t="s">
        <v>191</v>
      </c>
      <c r="M76" s="4" t="s">
        <v>192</v>
      </c>
      <c r="N76" s="4" t="s">
        <v>57</v>
      </c>
      <c r="O76" s="12" t="s">
        <v>58</v>
      </c>
      <c r="P76" s="4" t="s">
        <v>193</v>
      </c>
      <c r="Q76" s="4" t="s">
        <v>275</v>
      </c>
    </row>
    <row r="77" ht="23.85" hidden="0" outlineLevel="0" collapsed="0">
      <c r="A77" s="10" t="s">
        <v>282</v>
      </c>
      <c r="B77" s="4" t="s">
        <v>283</v>
      </c>
      <c r="C77" s="4" t="s">
        <v>284</v>
      </c>
      <c r="D77" s="11">
        <v>0.25</v>
      </c>
      <c r="E77" s="4" t="s">
        <v>274</v>
      </c>
      <c r="F77" s="4" t="s">
        <v>50</v>
      </c>
      <c r="G77" s="4" t="s">
        <v>50</v>
      </c>
      <c r="H77" s="4" t="s">
        <v>190</v>
      </c>
      <c r="I77" s="4" t="s">
        <v>50</v>
      </c>
      <c r="J77" s="4" t="s">
        <v>50</v>
      </c>
      <c r="K77" s="4" t="s">
        <v>50</v>
      </c>
      <c r="L77" s="4" t="s">
        <v>191</v>
      </c>
      <c r="M77" s="4" t="s">
        <v>192</v>
      </c>
      <c r="N77" s="4" t="s">
        <v>57</v>
      </c>
      <c r="O77" s="12" t="s">
        <v>58</v>
      </c>
      <c r="P77" s="4" t="s">
        <v>193</v>
      </c>
      <c r="Q77" s="4" t="s">
        <v>285</v>
      </c>
    </row>
    <row r="78" ht="23.85" hidden="0" outlineLevel="0" collapsed="0">
      <c r="A78" s="10" t="s">
        <v>286</v>
      </c>
      <c r="B78" s="4" t="s">
        <v>287</v>
      </c>
      <c r="C78" s="4" t="s">
        <v>288</v>
      </c>
      <c r="D78" s="11">
        <v>0.24</v>
      </c>
      <c r="E78" s="4" t="s">
        <v>274</v>
      </c>
      <c r="F78" s="4" t="s">
        <v>50</v>
      </c>
      <c r="G78" s="4" t="s">
        <v>50</v>
      </c>
      <c r="H78" s="4" t="s">
        <v>190</v>
      </c>
      <c r="I78" s="4" t="s">
        <v>50</v>
      </c>
      <c r="J78" s="4" t="s">
        <v>50</v>
      </c>
      <c r="K78" s="4" t="s">
        <v>50</v>
      </c>
      <c r="L78" s="4" t="s">
        <v>191</v>
      </c>
      <c r="M78" s="4" t="s">
        <v>192</v>
      </c>
      <c r="N78" s="4" t="s">
        <v>57</v>
      </c>
      <c r="O78" s="12" t="s">
        <v>58</v>
      </c>
      <c r="P78" s="4" t="s">
        <v>193</v>
      </c>
      <c r="Q78" s="4" t="s">
        <v>285</v>
      </c>
    </row>
    <row r="79" ht="23.85" hidden="0" outlineLevel="0" collapsed="0">
      <c r="A79" s="10" t="s">
        <v>289</v>
      </c>
      <c r="B79" s="4" t="s">
        <v>290</v>
      </c>
      <c r="C79" s="4" t="s">
        <v>291</v>
      </c>
      <c r="D79" s="11">
        <v>0.23</v>
      </c>
      <c r="E79" s="4" t="s">
        <v>274</v>
      </c>
      <c r="F79" s="4" t="s">
        <v>50</v>
      </c>
      <c r="G79" s="4" t="s">
        <v>50</v>
      </c>
      <c r="H79" s="4" t="s">
        <v>190</v>
      </c>
      <c r="I79" s="4" t="s">
        <v>50</v>
      </c>
      <c r="J79" s="4" t="s">
        <v>50</v>
      </c>
      <c r="K79" s="4" t="s">
        <v>50</v>
      </c>
      <c r="L79" s="4" t="s">
        <v>191</v>
      </c>
      <c r="M79" s="4" t="s">
        <v>192</v>
      </c>
      <c r="N79" s="4" t="s">
        <v>57</v>
      </c>
      <c r="O79" s="12" t="s">
        <v>58</v>
      </c>
      <c r="P79" s="4" t="s">
        <v>193</v>
      </c>
      <c r="Q79" s="4" t="s">
        <v>285</v>
      </c>
    </row>
    <row r="80" ht="23.85" hidden="0" outlineLevel="0" collapsed="0">
      <c r="A80" s="10" t="s">
        <v>292</v>
      </c>
      <c r="B80" s="4" t="s">
        <v>293</v>
      </c>
      <c r="C80" s="4" t="s">
        <v>294</v>
      </c>
      <c r="D80" s="11">
        <v>0.16</v>
      </c>
      <c r="E80" s="4" t="s">
        <v>274</v>
      </c>
      <c r="F80" s="4" t="s">
        <v>50</v>
      </c>
      <c r="G80" s="4" t="s">
        <v>50</v>
      </c>
      <c r="H80" s="4" t="s">
        <v>190</v>
      </c>
      <c r="I80" s="4" t="s">
        <v>50</v>
      </c>
      <c r="J80" s="4" t="s">
        <v>50</v>
      </c>
      <c r="K80" s="4" t="s">
        <v>50</v>
      </c>
      <c r="L80" s="4" t="s">
        <v>191</v>
      </c>
      <c r="M80" s="4" t="s">
        <v>192</v>
      </c>
      <c r="N80" s="4" t="s">
        <v>57</v>
      </c>
      <c r="O80" s="12" t="s">
        <v>58</v>
      </c>
      <c r="P80" s="4" t="s">
        <v>193</v>
      </c>
      <c r="Q80" s="4" t="s">
        <v>295</v>
      </c>
    </row>
    <row r="81" ht="23.85" hidden="0" outlineLevel="0" collapsed="0">
      <c r="A81" s="10" t="s">
        <v>296</v>
      </c>
      <c r="B81" s="4" t="s">
        <v>297</v>
      </c>
      <c r="C81" s="4" t="s">
        <v>298</v>
      </c>
      <c r="D81" s="11">
        <v>0.14</v>
      </c>
      <c r="E81" s="4" t="s">
        <v>274</v>
      </c>
      <c r="F81" s="4" t="s">
        <v>50</v>
      </c>
      <c r="G81" s="4" t="s">
        <v>50</v>
      </c>
      <c r="H81" s="4" t="s">
        <v>190</v>
      </c>
      <c r="I81" s="4" t="s">
        <v>50</v>
      </c>
      <c r="J81" s="4" t="s">
        <v>50</v>
      </c>
      <c r="K81" s="4" t="s">
        <v>50</v>
      </c>
      <c r="L81" s="4" t="s">
        <v>191</v>
      </c>
      <c r="M81" s="4" t="s">
        <v>192</v>
      </c>
      <c r="N81" s="4" t="s">
        <v>57</v>
      </c>
      <c r="O81" s="12" t="s">
        <v>58</v>
      </c>
      <c r="P81" s="4" t="s">
        <v>193</v>
      </c>
      <c r="Q81" s="4" t="s">
        <v>295</v>
      </c>
    </row>
    <row r="82" ht="23.85" hidden="0" outlineLevel="0" collapsed="0">
      <c r="A82" s="10" t="s">
        <v>299</v>
      </c>
      <c r="B82" s="4" t="s">
        <v>300</v>
      </c>
      <c r="C82" s="4" t="s">
        <v>301</v>
      </c>
      <c r="D82" s="11">
        <v>0.12</v>
      </c>
      <c r="E82" s="4" t="s">
        <v>274</v>
      </c>
      <c r="F82" s="4" t="s">
        <v>50</v>
      </c>
      <c r="G82" s="4" t="s">
        <v>50</v>
      </c>
      <c r="H82" s="4" t="s">
        <v>190</v>
      </c>
      <c r="I82" s="4" t="s">
        <v>50</v>
      </c>
      <c r="J82" s="4" t="s">
        <v>50</v>
      </c>
      <c r="K82" s="4" t="s">
        <v>50</v>
      </c>
      <c r="L82" s="4" t="s">
        <v>191</v>
      </c>
      <c r="M82" s="4" t="s">
        <v>192</v>
      </c>
      <c r="N82" s="4" t="s">
        <v>57</v>
      </c>
      <c r="O82" s="12" t="s">
        <v>58</v>
      </c>
      <c r="P82" s="4" t="s">
        <v>193</v>
      </c>
      <c r="Q82" s="4" t="s">
        <v>295</v>
      </c>
    </row>
    <row r="83" ht="23.85" hidden="0" outlineLevel="0" collapsed="0">
      <c r="A83" s="10" t="s">
        <v>302</v>
      </c>
      <c r="B83" s="4" t="s">
        <v>303</v>
      </c>
      <c r="C83" s="4" t="s">
        <v>304</v>
      </c>
      <c r="D83" s="11">
        <v>0.02</v>
      </c>
      <c r="E83" s="4" t="s">
        <v>274</v>
      </c>
      <c r="F83" s="4" t="s">
        <v>50</v>
      </c>
      <c r="G83" s="4" t="s">
        <v>50</v>
      </c>
      <c r="H83" s="4" t="s">
        <v>190</v>
      </c>
      <c r="I83" s="4" t="s">
        <v>50</v>
      </c>
      <c r="J83" s="4" t="s">
        <v>50</v>
      </c>
      <c r="K83" s="4" t="s">
        <v>50</v>
      </c>
      <c r="L83" s="4" t="s">
        <v>191</v>
      </c>
      <c r="M83" s="4" t="s">
        <v>192</v>
      </c>
      <c r="N83" s="4" t="s">
        <v>57</v>
      </c>
      <c r="O83" s="12" t="s">
        <v>58</v>
      </c>
      <c r="P83" s="4" t="s">
        <v>193</v>
      </c>
      <c r="Q83" s="4" t="s">
        <v>305</v>
      </c>
    </row>
    <row r="84" ht="23.85" hidden="0" outlineLevel="0" collapsed="0">
      <c r="A84" s="10" t="s">
        <v>306</v>
      </c>
      <c r="B84" s="4" t="s">
        <v>307</v>
      </c>
      <c r="C84" s="4" t="s">
        <v>308</v>
      </c>
      <c r="D84" s="11">
        <v>0.01</v>
      </c>
      <c r="E84" s="4" t="s">
        <v>274</v>
      </c>
      <c r="F84" s="4" t="s">
        <v>50</v>
      </c>
      <c r="G84" s="4" t="s">
        <v>50</v>
      </c>
      <c r="H84" s="4" t="s">
        <v>190</v>
      </c>
      <c r="I84" s="4" t="s">
        <v>50</v>
      </c>
      <c r="J84" s="4" t="s">
        <v>50</v>
      </c>
      <c r="K84" s="4" t="s">
        <v>50</v>
      </c>
      <c r="L84" s="4" t="s">
        <v>191</v>
      </c>
      <c r="M84" s="4" t="s">
        <v>192</v>
      </c>
      <c r="N84" s="4" t="s">
        <v>57</v>
      </c>
      <c r="O84" s="12" t="s">
        <v>58</v>
      </c>
      <c r="P84" s="4" t="s">
        <v>193</v>
      </c>
      <c r="Q84" s="4" t="s">
        <v>305</v>
      </c>
    </row>
    <row r="85" ht="23.85" hidden="0" outlineLevel="0" collapsed="0">
      <c r="A85" s="10" t="s">
        <v>309</v>
      </c>
      <c r="B85" s="4" t="s">
        <v>310</v>
      </c>
      <c r="C85" s="4" t="s">
        <v>311</v>
      </c>
      <c r="D85" s="11">
        <v>0.005</v>
      </c>
      <c r="E85" s="4" t="s">
        <v>274</v>
      </c>
      <c r="F85" s="4" t="s">
        <v>50</v>
      </c>
      <c r="G85" s="4" t="s">
        <v>50</v>
      </c>
      <c r="H85" s="4" t="s">
        <v>190</v>
      </c>
      <c r="I85" s="4" t="s">
        <v>50</v>
      </c>
      <c r="J85" s="4" t="s">
        <v>50</v>
      </c>
      <c r="K85" s="4" t="s">
        <v>50</v>
      </c>
      <c r="L85" s="4" t="s">
        <v>191</v>
      </c>
      <c r="M85" s="4" t="s">
        <v>192</v>
      </c>
      <c r="N85" s="4" t="s">
        <v>57</v>
      </c>
      <c r="O85" s="12" t="s">
        <v>58</v>
      </c>
      <c r="P85" s="4" t="s">
        <v>193</v>
      </c>
      <c r="Q85" s="4" t="s">
        <v>305</v>
      </c>
    </row>
    <row r="86" ht="23.85" hidden="0" outlineLevel="0" collapsed="0">
      <c r="A86" s="10" t="s">
        <v>312</v>
      </c>
      <c r="B86" s="4" t="s">
        <v>313</v>
      </c>
      <c r="C86" s="4" t="s">
        <v>314</v>
      </c>
      <c r="D86" s="11">
        <v>17</v>
      </c>
      <c r="E86" s="4" t="s">
        <v>254</v>
      </c>
      <c r="F86" s="4" t="s">
        <v>50</v>
      </c>
      <c r="G86" s="4" t="s">
        <v>50</v>
      </c>
      <c r="H86" s="4" t="s">
        <v>190</v>
      </c>
      <c r="I86" s="4" t="s">
        <v>50</v>
      </c>
      <c r="J86" s="4" t="s">
        <v>50</v>
      </c>
      <c r="K86" s="4" t="s">
        <v>50</v>
      </c>
      <c r="L86" s="4" t="s">
        <v>191</v>
      </c>
      <c r="M86" s="4" t="s">
        <v>192</v>
      </c>
      <c r="N86" s="4" t="s">
        <v>57</v>
      </c>
      <c r="O86" s="12" t="s">
        <v>58</v>
      </c>
      <c r="P86" s="4" t="s">
        <v>193</v>
      </c>
      <c r="Q86" s="4" t="s">
        <v>315</v>
      </c>
    </row>
    <row r="87" ht="23.85" hidden="0" outlineLevel="0" collapsed="0">
      <c r="A87" s="10" t="s">
        <v>316</v>
      </c>
      <c r="B87" s="4" t="s">
        <v>317</v>
      </c>
      <c r="C87" s="4" t="s">
        <v>318</v>
      </c>
      <c r="D87" s="11">
        <v>20</v>
      </c>
      <c r="E87" s="4" t="s">
        <v>254</v>
      </c>
      <c r="F87" s="4" t="s">
        <v>50</v>
      </c>
      <c r="G87" s="4" t="s">
        <v>50</v>
      </c>
      <c r="H87" s="4" t="s">
        <v>190</v>
      </c>
      <c r="I87" s="4" t="s">
        <v>50</v>
      </c>
      <c r="J87" s="4" t="s">
        <v>50</v>
      </c>
      <c r="K87" s="4" t="s">
        <v>50</v>
      </c>
      <c r="L87" s="4" t="s">
        <v>191</v>
      </c>
      <c r="M87" s="4" t="s">
        <v>192</v>
      </c>
      <c r="N87" s="4" t="s">
        <v>57</v>
      </c>
      <c r="O87" s="12" t="s">
        <v>58</v>
      </c>
      <c r="P87" s="4" t="s">
        <v>193</v>
      </c>
      <c r="Q87" s="4" t="s">
        <v>315</v>
      </c>
    </row>
    <row r="88" ht="23.85" hidden="0" outlineLevel="0" collapsed="0">
      <c r="A88" s="10" t="s">
        <v>319</v>
      </c>
      <c r="B88" s="4" t="s">
        <v>320</v>
      </c>
      <c r="C88" s="4" t="s">
        <v>321</v>
      </c>
      <c r="D88" s="11">
        <v>22</v>
      </c>
      <c r="E88" s="4" t="s">
        <v>254</v>
      </c>
      <c r="F88" s="4" t="s">
        <v>50</v>
      </c>
      <c r="G88" s="4" t="s">
        <v>50</v>
      </c>
      <c r="H88" s="4" t="s">
        <v>190</v>
      </c>
      <c r="I88" s="4" t="s">
        <v>50</v>
      </c>
      <c r="J88" s="4" t="s">
        <v>50</v>
      </c>
      <c r="K88" s="4" t="s">
        <v>50</v>
      </c>
      <c r="L88" s="4" t="s">
        <v>191</v>
      </c>
      <c r="M88" s="4" t="s">
        <v>192</v>
      </c>
      <c r="N88" s="4" t="s">
        <v>57</v>
      </c>
      <c r="O88" s="12" t="s">
        <v>58</v>
      </c>
      <c r="P88" s="4" t="s">
        <v>193</v>
      </c>
      <c r="Q88" s="4" t="s">
        <v>315</v>
      </c>
    </row>
    <row r="89" ht="23.85" hidden="0" outlineLevel="0" collapsed="0">
      <c r="A89" s="10" t="s">
        <v>322</v>
      </c>
      <c r="B89" s="4" t="s">
        <v>323</v>
      </c>
      <c r="C89" s="4" t="s">
        <v>324</v>
      </c>
      <c r="D89" s="11">
        <v>18</v>
      </c>
      <c r="E89" s="4" t="s">
        <v>254</v>
      </c>
      <c r="F89" s="4" t="s">
        <v>50</v>
      </c>
      <c r="G89" s="4" t="s">
        <v>50</v>
      </c>
      <c r="H89" s="4" t="s">
        <v>190</v>
      </c>
      <c r="I89" s="4" t="s">
        <v>50</v>
      </c>
      <c r="J89" s="4" t="s">
        <v>50</v>
      </c>
      <c r="K89" s="4" t="s">
        <v>50</v>
      </c>
      <c r="L89" s="4" t="s">
        <v>191</v>
      </c>
      <c r="M89" s="4" t="s">
        <v>192</v>
      </c>
      <c r="N89" s="4" t="s">
        <v>57</v>
      </c>
      <c r="O89" s="12" t="s">
        <v>58</v>
      </c>
      <c r="P89" s="4" t="s">
        <v>193</v>
      </c>
      <c r="Q89" s="4" t="s">
        <v>325</v>
      </c>
    </row>
    <row r="90" ht="23.85" hidden="0" outlineLevel="0" collapsed="0">
      <c r="A90" s="10" t="s">
        <v>326</v>
      </c>
      <c r="B90" s="4" t="s">
        <v>327</v>
      </c>
      <c r="C90" s="4" t="s">
        <v>328</v>
      </c>
      <c r="D90" s="11">
        <v>22</v>
      </c>
      <c r="E90" s="4" t="s">
        <v>254</v>
      </c>
      <c r="F90" s="4" t="s">
        <v>50</v>
      </c>
      <c r="G90" s="4" t="s">
        <v>50</v>
      </c>
      <c r="H90" s="4" t="s">
        <v>190</v>
      </c>
      <c r="I90" s="4" t="s">
        <v>50</v>
      </c>
      <c r="J90" s="4" t="s">
        <v>50</v>
      </c>
      <c r="K90" s="4" t="s">
        <v>50</v>
      </c>
      <c r="L90" s="4" t="s">
        <v>191</v>
      </c>
      <c r="M90" s="4" t="s">
        <v>192</v>
      </c>
      <c r="N90" s="4" t="s">
        <v>57</v>
      </c>
      <c r="O90" s="12" t="s">
        <v>58</v>
      </c>
      <c r="P90" s="4" t="s">
        <v>193</v>
      </c>
      <c r="Q90" s="4" t="s">
        <v>325</v>
      </c>
    </row>
    <row r="91" ht="23.85" hidden="0" outlineLevel="0" collapsed="0">
      <c r="A91" s="10" t="s">
        <v>329</v>
      </c>
      <c r="B91" s="4" t="s">
        <v>330</v>
      </c>
      <c r="C91" s="4" t="s">
        <v>331</v>
      </c>
      <c r="D91" s="11">
        <v>25</v>
      </c>
      <c r="E91" s="4" t="s">
        <v>254</v>
      </c>
      <c r="F91" s="4" t="s">
        <v>50</v>
      </c>
      <c r="G91" s="4" t="s">
        <v>50</v>
      </c>
      <c r="H91" s="4" t="s">
        <v>190</v>
      </c>
      <c r="I91" s="4" t="s">
        <v>50</v>
      </c>
      <c r="J91" s="4" t="s">
        <v>50</v>
      </c>
      <c r="K91" s="4" t="s">
        <v>50</v>
      </c>
      <c r="L91" s="4" t="s">
        <v>191</v>
      </c>
      <c r="M91" s="4" t="s">
        <v>192</v>
      </c>
      <c r="N91" s="4" t="s">
        <v>57</v>
      </c>
      <c r="O91" s="12" t="s">
        <v>58</v>
      </c>
      <c r="P91" s="4" t="s">
        <v>193</v>
      </c>
      <c r="Q91" s="4" t="s">
        <v>325</v>
      </c>
    </row>
    <row r="92" ht="23.85" hidden="0" outlineLevel="0" collapsed="0">
      <c r="A92" s="10" t="s">
        <v>332</v>
      </c>
      <c r="B92" s="4" t="s">
        <v>333</v>
      </c>
      <c r="C92" s="4" t="s">
        <v>334</v>
      </c>
      <c r="D92" s="11">
        <v>12</v>
      </c>
      <c r="E92" s="4" t="s">
        <v>254</v>
      </c>
      <c r="F92" s="4" t="s">
        <v>50</v>
      </c>
      <c r="G92" s="4" t="s">
        <v>50</v>
      </c>
      <c r="H92" s="4" t="s">
        <v>190</v>
      </c>
      <c r="I92" s="4" t="s">
        <v>50</v>
      </c>
      <c r="J92" s="4" t="s">
        <v>50</v>
      </c>
      <c r="K92" s="4" t="s">
        <v>50</v>
      </c>
      <c r="L92" s="4" t="s">
        <v>191</v>
      </c>
      <c r="M92" s="4" t="s">
        <v>192</v>
      </c>
      <c r="N92" s="4" t="s">
        <v>57</v>
      </c>
      <c r="O92" s="12" t="s">
        <v>58</v>
      </c>
      <c r="P92" s="4" t="s">
        <v>193</v>
      </c>
      <c r="Q92" s="4" t="s">
        <v>335</v>
      </c>
    </row>
    <row r="93" ht="23.85" hidden="0" outlineLevel="0" collapsed="0">
      <c r="A93" s="10" t="s">
        <v>336</v>
      </c>
      <c r="B93" s="4" t="s">
        <v>337</v>
      </c>
      <c r="C93" s="4" t="s">
        <v>338</v>
      </c>
      <c r="D93" s="11">
        <v>15</v>
      </c>
      <c r="E93" s="4" t="s">
        <v>254</v>
      </c>
      <c r="F93" s="4" t="s">
        <v>50</v>
      </c>
      <c r="G93" s="4" t="s">
        <v>50</v>
      </c>
      <c r="H93" s="4" t="s">
        <v>190</v>
      </c>
      <c r="I93" s="4" t="s">
        <v>50</v>
      </c>
      <c r="J93" s="4" t="s">
        <v>50</v>
      </c>
      <c r="K93" s="4" t="s">
        <v>50</v>
      </c>
      <c r="L93" s="4" t="s">
        <v>191</v>
      </c>
      <c r="M93" s="4" t="s">
        <v>192</v>
      </c>
      <c r="N93" s="4" t="s">
        <v>57</v>
      </c>
      <c r="O93" s="12" t="s">
        <v>58</v>
      </c>
      <c r="P93" s="4" t="s">
        <v>193</v>
      </c>
      <c r="Q93" s="4" t="s">
        <v>335</v>
      </c>
    </row>
    <row r="94" ht="23.85" hidden="0" outlineLevel="0" collapsed="0">
      <c r="A94" s="10" t="s">
        <v>339</v>
      </c>
      <c r="B94" s="4" t="s">
        <v>340</v>
      </c>
      <c r="C94" s="4" t="s">
        <v>341</v>
      </c>
      <c r="D94" s="11">
        <v>18</v>
      </c>
      <c r="E94" s="4" t="s">
        <v>254</v>
      </c>
      <c r="F94" s="4" t="s">
        <v>50</v>
      </c>
      <c r="G94" s="4" t="s">
        <v>50</v>
      </c>
      <c r="H94" s="4" t="s">
        <v>190</v>
      </c>
      <c r="I94" s="4" t="s">
        <v>50</v>
      </c>
      <c r="J94" s="4" t="s">
        <v>50</v>
      </c>
      <c r="K94" s="4" t="s">
        <v>50</v>
      </c>
      <c r="L94" s="4" t="s">
        <v>191</v>
      </c>
      <c r="M94" s="4" t="s">
        <v>192</v>
      </c>
      <c r="N94" s="4" t="s">
        <v>57</v>
      </c>
      <c r="O94" s="12" t="s">
        <v>58</v>
      </c>
      <c r="P94" s="4" t="s">
        <v>193</v>
      </c>
      <c r="Q94" s="4" t="s">
        <v>335</v>
      </c>
    </row>
    <row r="95" ht="23.85" hidden="0" outlineLevel="0" collapsed="0">
      <c r="A95" s="10" t="s">
        <v>342</v>
      </c>
      <c r="B95" s="4" t="s">
        <v>343</v>
      </c>
      <c r="C95" s="4" t="s">
        <v>344</v>
      </c>
      <c r="D95" s="11">
        <v>0.05</v>
      </c>
      <c r="E95" s="4" t="s">
        <v>189</v>
      </c>
      <c r="F95" s="4" t="s">
        <v>50</v>
      </c>
      <c r="G95" s="4" t="s">
        <v>50</v>
      </c>
      <c r="H95" s="4" t="s">
        <v>190</v>
      </c>
      <c r="I95" s="4" t="s">
        <v>50</v>
      </c>
      <c r="J95" s="4" t="s">
        <v>50</v>
      </c>
      <c r="K95" s="4" t="s">
        <v>50</v>
      </c>
      <c r="L95" s="4" t="s">
        <v>191</v>
      </c>
      <c r="M95" s="4" t="s">
        <v>192</v>
      </c>
      <c r="N95" s="4" t="s">
        <v>57</v>
      </c>
      <c r="O95" s="12" t="s">
        <v>58</v>
      </c>
      <c r="P95" s="4" t="s">
        <v>193</v>
      </c>
      <c r="Q95" s="4" t="s">
        <v>345</v>
      </c>
    </row>
    <row r="96" ht="23.85" hidden="0" outlineLevel="0" collapsed="0">
      <c r="A96" s="10" t="s">
        <v>346</v>
      </c>
      <c r="B96" s="4" t="s">
        <v>347</v>
      </c>
      <c r="C96" s="4" t="s">
        <v>348</v>
      </c>
      <c r="D96" s="11">
        <v>0.08</v>
      </c>
      <c r="E96" s="4" t="s">
        <v>189</v>
      </c>
      <c r="F96" s="4" t="s">
        <v>50</v>
      </c>
      <c r="G96" s="4" t="s">
        <v>50</v>
      </c>
      <c r="H96" s="4" t="s">
        <v>190</v>
      </c>
      <c r="I96" s="4" t="s">
        <v>50</v>
      </c>
      <c r="J96" s="4" t="s">
        <v>50</v>
      </c>
      <c r="K96" s="4" t="s">
        <v>50</v>
      </c>
      <c r="L96" s="4" t="s">
        <v>191</v>
      </c>
      <c r="M96" s="4" t="s">
        <v>192</v>
      </c>
      <c r="N96" s="4" t="s">
        <v>57</v>
      </c>
      <c r="O96" s="12" t="s">
        <v>58</v>
      </c>
      <c r="P96" s="4" t="s">
        <v>193</v>
      </c>
      <c r="Q96" s="4" t="s">
        <v>345</v>
      </c>
    </row>
    <row r="97" ht="23.85" hidden="0" outlineLevel="0" collapsed="0">
      <c r="A97" s="10" t="s">
        <v>349</v>
      </c>
      <c r="B97" s="4" t="s">
        <v>350</v>
      </c>
      <c r="C97" s="4" t="s">
        <v>351</v>
      </c>
      <c r="D97" s="11">
        <v>0.1</v>
      </c>
      <c r="E97" s="4" t="s">
        <v>189</v>
      </c>
      <c r="F97" s="4" t="s">
        <v>50</v>
      </c>
      <c r="G97" s="4" t="s">
        <v>50</v>
      </c>
      <c r="H97" s="4" t="s">
        <v>190</v>
      </c>
      <c r="I97" s="4" t="s">
        <v>50</v>
      </c>
      <c r="J97" s="4" t="s">
        <v>50</v>
      </c>
      <c r="K97" s="4" t="s">
        <v>50</v>
      </c>
      <c r="L97" s="4" t="s">
        <v>191</v>
      </c>
      <c r="M97" s="4" t="s">
        <v>192</v>
      </c>
      <c r="N97" s="4" t="s">
        <v>57</v>
      </c>
      <c r="O97" s="12" t="s">
        <v>58</v>
      </c>
      <c r="P97" s="4" t="s">
        <v>193</v>
      </c>
      <c r="Q97" s="4" t="s">
        <v>345</v>
      </c>
    </row>
    <row r="98" ht="23.85" hidden="0" outlineLevel="0" collapsed="0">
      <c r="A98" s="10" t="s">
        <v>352</v>
      </c>
      <c r="B98" s="4" t="s">
        <v>353</v>
      </c>
      <c r="C98" s="4" t="s">
        <v>354</v>
      </c>
      <c r="D98" s="11">
        <v>0.09</v>
      </c>
      <c r="E98" s="4" t="s">
        <v>274</v>
      </c>
      <c r="F98" s="4" t="s">
        <v>50</v>
      </c>
      <c r="G98" s="4" t="s">
        <v>50</v>
      </c>
      <c r="H98" s="4" t="s">
        <v>190</v>
      </c>
      <c r="I98" s="4" t="s">
        <v>50</v>
      </c>
      <c r="J98" s="4" t="s">
        <v>50</v>
      </c>
      <c r="K98" s="4" t="s">
        <v>50</v>
      </c>
      <c r="L98" s="4" t="s">
        <v>191</v>
      </c>
      <c r="M98" s="4" t="s">
        <v>192</v>
      </c>
      <c r="N98" s="4" t="s">
        <v>57</v>
      </c>
      <c r="O98" s="12" t="s">
        <v>58</v>
      </c>
      <c r="P98" s="4" t="s">
        <v>193</v>
      </c>
      <c r="Q98" s="4" t="s">
        <v>355</v>
      </c>
    </row>
    <row r="99" ht="23.85" hidden="0" outlineLevel="0" collapsed="0">
      <c r="A99" s="10" t="s">
        <v>356</v>
      </c>
      <c r="B99" s="4" t="s">
        <v>357</v>
      </c>
      <c r="C99" s="4" t="s">
        <v>358</v>
      </c>
      <c r="D99" s="11">
        <v>0.08</v>
      </c>
      <c r="E99" s="4" t="s">
        <v>274</v>
      </c>
      <c r="F99" s="4" t="s">
        <v>50</v>
      </c>
      <c r="G99" s="4" t="s">
        <v>50</v>
      </c>
      <c r="H99" s="4" t="s">
        <v>190</v>
      </c>
      <c r="I99" s="4" t="s">
        <v>50</v>
      </c>
      <c r="J99" s="4" t="s">
        <v>50</v>
      </c>
      <c r="K99" s="4" t="s">
        <v>50</v>
      </c>
      <c r="L99" s="4" t="s">
        <v>191</v>
      </c>
      <c r="M99" s="4" t="s">
        <v>192</v>
      </c>
      <c r="N99" s="4" t="s">
        <v>57</v>
      </c>
      <c r="O99" s="12" t="s">
        <v>58</v>
      </c>
      <c r="P99" s="4" t="s">
        <v>193</v>
      </c>
      <c r="Q99" s="4" t="s">
        <v>355</v>
      </c>
    </row>
    <row r="100" ht="23.85" hidden="0" outlineLevel="0" collapsed="0">
      <c r="A100" s="10" t="s">
        <v>359</v>
      </c>
      <c r="B100" s="4" t="s">
        <v>360</v>
      </c>
      <c r="C100" s="4" t="s">
        <v>361</v>
      </c>
      <c r="D100" s="11">
        <v>0.075</v>
      </c>
      <c r="E100" s="4" t="s">
        <v>274</v>
      </c>
      <c r="F100" s="4" t="s">
        <v>50</v>
      </c>
      <c r="G100" s="4" t="s">
        <v>50</v>
      </c>
      <c r="H100" s="4" t="s">
        <v>190</v>
      </c>
      <c r="I100" s="4" t="s">
        <v>50</v>
      </c>
      <c r="J100" s="4" t="s">
        <v>50</v>
      </c>
      <c r="K100" s="4" t="s">
        <v>50</v>
      </c>
      <c r="L100" s="4" t="s">
        <v>191</v>
      </c>
      <c r="M100" s="4" t="s">
        <v>192</v>
      </c>
      <c r="N100" s="4" t="s">
        <v>57</v>
      </c>
      <c r="O100" s="12" t="s">
        <v>58</v>
      </c>
      <c r="P100" s="4" t="s">
        <v>193</v>
      </c>
      <c r="Q100" s="4" t="s">
        <v>355</v>
      </c>
    </row>
    <row r="101" ht="23.85" hidden="0" outlineLevel="0" collapsed="0">
      <c r="A101" s="10" t="s">
        <v>362</v>
      </c>
      <c r="B101" s="4" t="s">
        <v>363</v>
      </c>
      <c r="C101" s="4" t="s">
        <v>364</v>
      </c>
      <c r="D101" s="11">
        <v>0.03</v>
      </c>
      <c r="E101" s="4" t="s">
        <v>274</v>
      </c>
      <c r="F101" s="4" t="s">
        <v>50</v>
      </c>
      <c r="G101" s="4" t="s">
        <v>50</v>
      </c>
      <c r="H101" s="4" t="s">
        <v>190</v>
      </c>
      <c r="I101" s="4" t="s">
        <v>50</v>
      </c>
      <c r="J101" s="4" t="s">
        <v>50</v>
      </c>
      <c r="K101" s="4" t="s">
        <v>50</v>
      </c>
      <c r="L101" s="4" t="s">
        <v>191</v>
      </c>
      <c r="M101" s="4" t="s">
        <v>192</v>
      </c>
      <c r="N101" s="4" t="s">
        <v>57</v>
      </c>
      <c r="O101" s="12" t="s">
        <v>58</v>
      </c>
      <c r="P101" s="4" t="s">
        <v>193</v>
      </c>
      <c r="Q101" s="4" t="s">
        <v>365</v>
      </c>
    </row>
    <row r="102" ht="23.85" hidden="0" outlineLevel="0" collapsed="0">
      <c r="A102" s="10" t="s">
        <v>366</v>
      </c>
      <c r="B102" s="4" t="s">
        <v>367</v>
      </c>
      <c r="C102" s="4" t="s">
        <v>368</v>
      </c>
      <c r="D102" s="11">
        <v>0.04</v>
      </c>
      <c r="E102" s="4" t="s">
        <v>274</v>
      </c>
      <c r="F102" s="4" t="s">
        <v>50</v>
      </c>
      <c r="G102" s="4" t="s">
        <v>50</v>
      </c>
      <c r="H102" s="4" t="s">
        <v>190</v>
      </c>
      <c r="I102" s="4" t="s">
        <v>50</v>
      </c>
      <c r="J102" s="4" t="s">
        <v>50</v>
      </c>
      <c r="K102" s="4" t="s">
        <v>50</v>
      </c>
      <c r="L102" s="4" t="s">
        <v>191</v>
      </c>
      <c r="M102" s="4" t="s">
        <v>192</v>
      </c>
      <c r="N102" s="4" t="s">
        <v>57</v>
      </c>
      <c r="O102" s="12" t="s">
        <v>58</v>
      </c>
      <c r="P102" s="4" t="s">
        <v>193</v>
      </c>
      <c r="Q102" s="4" t="s">
        <v>365</v>
      </c>
    </row>
    <row r="103" ht="23.85" hidden="0" outlineLevel="0" collapsed="0">
      <c r="A103" s="10" t="s">
        <v>369</v>
      </c>
      <c r="B103" s="4" t="s">
        <v>370</v>
      </c>
      <c r="C103" s="4" t="s">
        <v>371</v>
      </c>
      <c r="D103" s="11">
        <v>0.045</v>
      </c>
      <c r="E103" s="4" t="s">
        <v>274</v>
      </c>
      <c r="F103" s="4" t="s">
        <v>50</v>
      </c>
      <c r="G103" s="4" t="s">
        <v>50</v>
      </c>
      <c r="H103" s="4" t="s">
        <v>190</v>
      </c>
      <c r="I103" s="4" t="s">
        <v>50</v>
      </c>
      <c r="J103" s="4" t="s">
        <v>50</v>
      </c>
      <c r="K103" s="4" t="s">
        <v>50</v>
      </c>
      <c r="L103" s="4" t="s">
        <v>191</v>
      </c>
      <c r="M103" s="4" t="s">
        <v>192</v>
      </c>
      <c r="N103" s="4" t="s">
        <v>57</v>
      </c>
      <c r="O103" s="12" t="s">
        <v>58</v>
      </c>
      <c r="P103" s="4" t="s">
        <v>193</v>
      </c>
      <c r="Q103" s="4" t="s">
        <v>365</v>
      </c>
    </row>
    <row r="104" ht="23.85" hidden="0" outlineLevel="0" collapsed="0">
      <c r="A104" s="10" t="s">
        <v>372</v>
      </c>
      <c r="B104" s="4" t="s">
        <v>373</v>
      </c>
      <c r="C104" s="4" t="s">
        <v>374</v>
      </c>
      <c r="D104" s="11">
        <v>0.01</v>
      </c>
      <c r="E104" s="4" t="s">
        <v>189</v>
      </c>
      <c r="F104" s="4" t="s">
        <v>50</v>
      </c>
      <c r="G104" s="4" t="s">
        <v>50</v>
      </c>
      <c r="H104" s="4" t="s">
        <v>190</v>
      </c>
      <c r="I104" s="4" t="s">
        <v>50</v>
      </c>
      <c r="J104" s="4" t="s">
        <v>50</v>
      </c>
      <c r="K104" s="4" t="s">
        <v>50</v>
      </c>
      <c r="L104" s="4" t="s">
        <v>191</v>
      </c>
      <c r="M104" s="4" t="s">
        <v>192</v>
      </c>
      <c r="N104" s="4" t="s">
        <v>57</v>
      </c>
      <c r="O104" s="12" t="s">
        <v>58</v>
      </c>
      <c r="P104" s="4" t="s">
        <v>193</v>
      </c>
      <c r="Q104" s="4" t="s">
        <v>375</v>
      </c>
    </row>
    <row r="105" ht="23.85" hidden="0" outlineLevel="0" collapsed="0">
      <c r="A105" s="10" t="s">
        <v>376</v>
      </c>
      <c r="B105" s="4" t="s">
        <v>377</v>
      </c>
      <c r="C105" s="4" t="s">
        <v>378</v>
      </c>
      <c r="D105" s="11">
        <v>0.005</v>
      </c>
      <c r="E105" s="4" t="s">
        <v>189</v>
      </c>
      <c r="F105" s="4" t="s">
        <v>50</v>
      </c>
      <c r="G105" s="4" t="s">
        <v>50</v>
      </c>
      <c r="H105" s="4" t="s">
        <v>190</v>
      </c>
      <c r="I105" s="4" t="s">
        <v>50</v>
      </c>
      <c r="J105" s="4" t="s">
        <v>50</v>
      </c>
      <c r="K105" s="4" t="s">
        <v>50</v>
      </c>
      <c r="L105" s="4" t="s">
        <v>191</v>
      </c>
      <c r="M105" s="4" t="s">
        <v>192</v>
      </c>
      <c r="N105" s="4" t="s">
        <v>57</v>
      </c>
      <c r="O105" s="12" t="s">
        <v>58</v>
      </c>
      <c r="P105" s="4" t="s">
        <v>193</v>
      </c>
      <c r="Q105" s="4" t="s">
        <v>375</v>
      </c>
    </row>
    <row r="106" ht="23.85" hidden="0" outlineLevel="0" collapsed="0">
      <c r="A106" s="10" t="s">
        <v>379</v>
      </c>
      <c r="B106" s="4" t="s">
        <v>380</v>
      </c>
      <c r="C106" s="4" t="s">
        <v>381</v>
      </c>
      <c r="D106" s="11">
        <v>0</v>
      </c>
      <c r="E106" s="4" t="s">
        <v>189</v>
      </c>
      <c r="F106" s="4" t="s">
        <v>50</v>
      </c>
      <c r="G106" s="4" t="s">
        <v>50</v>
      </c>
      <c r="H106" s="4" t="s">
        <v>190</v>
      </c>
      <c r="I106" s="4" t="s">
        <v>50</v>
      </c>
      <c r="J106" s="4" t="s">
        <v>50</v>
      </c>
      <c r="K106" s="4" t="s">
        <v>50</v>
      </c>
      <c r="L106" s="4" t="s">
        <v>191</v>
      </c>
      <c r="M106" s="4" t="s">
        <v>192</v>
      </c>
      <c r="N106" s="4" t="s">
        <v>57</v>
      </c>
      <c r="O106" s="12" t="s">
        <v>58</v>
      </c>
      <c r="P106" s="4" t="s">
        <v>193</v>
      </c>
      <c r="Q106" s="4" t="s">
        <v>375</v>
      </c>
    </row>
    <row r="107" ht="23.85" hidden="0" outlineLevel="0" collapsed="0">
      <c r="A107" s="10" t="s">
        <v>382</v>
      </c>
      <c r="B107" s="4" t="s">
        <v>383</v>
      </c>
      <c r="C107" s="4" t="s">
        <v>384</v>
      </c>
      <c r="D107" s="11">
        <v>0.05</v>
      </c>
      <c r="E107" s="4" t="s">
        <v>189</v>
      </c>
      <c r="F107" s="4" t="s">
        <v>50</v>
      </c>
      <c r="G107" s="4" t="s">
        <v>50</v>
      </c>
      <c r="H107" s="4" t="s">
        <v>190</v>
      </c>
      <c r="I107" s="4" t="s">
        <v>50</v>
      </c>
      <c r="J107" s="4" t="s">
        <v>50</v>
      </c>
      <c r="K107" s="4" t="s">
        <v>50</v>
      </c>
      <c r="L107" s="4" t="s">
        <v>191</v>
      </c>
      <c r="M107" s="4" t="s">
        <v>192</v>
      </c>
      <c r="N107" s="4" t="s">
        <v>57</v>
      </c>
      <c r="O107" s="12" t="s">
        <v>58</v>
      </c>
      <c r="P107" s="4" t="s">
        <v>193</v>
      </c>
      <c r="Q107" s="4" t="s">
        <v>385</v>
      </c>
    </row>
    <row r="108" ht="23.85" hidden="0" outlineLevel="0" collapsed="0">
      <c r="A108" s="10" t="s">
        <v>386</v>
      </c>
      <c r="B108" s="4" t="s">
        <v>387</v>
      </c>
      <c r="C108" s="4" t="s">
        <v>388</v>
      </c>
      <c r="D108" s="11">
        <v>0.03</v>
      </c>
      <c r="E108" s="4" t="s">
        <v>189</v>
      </c>
      <c r="F108" s="4" t="s">
        <v>50</v>
      </c>
      <c r="G108" s="4" t="s">
        <v>50</v>
      </c>
      <c r="H108" s="4" t="s">
        <v>190</v>
      </c>
      <c r="I108" s="4" t="s">
        <v>50</v>
      </c>
      <c r="J108" s="4" t="s">
        <v>50</v>
      </c>
      <c r="K108" s="4" t="s">
        <v>50</v>
      </c>
      <c r="L108" s="4" t="s">
        <v>191</v>
      </c>
      <c r="M108" s="4" t="s">
        <v>192</v>
      </c>
      <c r="N108" s="4" t="s">
        <v>57</v>
      </c>
      <c r="O108" s="12" t="s">
        <v>58</v>
      </c>
      <c r="P108" s="4" t="s">
        <v>193</v>
      </c>
      <c r="Q108" s="4" t="s">
        <v>385</v>
      </c>
    </row>
    <row r="109" ht="23.85" hidden="0" outlineLevel="0" collapsed="0">
      <c r="A109" s="10" t="s">
        <v>389</v>
      </c>
      <c r="B109" s="4" t="s">
        <v>390</v>
      </c>
      <c r="C109" s="4" t="s">
        <v>391</v>
      </c>
      <c r="D109" s="11">
        <v>0.02</v>
      </c>
      <c r="E109" s="4" t="s">
        <v>189</v>
      </c>
      <c r="F109" s="4" t="s">
        <v>50</v>
      </c>
      <c r="G109" s="4" t="s">
        <v>50</v>
      </c>
      <c r="H109" s="4" t="s">
        <v>190</v>
      </c>
      <c r="I109" s="4" t="s">
        <v>50</v>
      </c>
      <c r="J109" s="4" t="s">
        <v>50</v>
      </c>
      <c r="K109" s="4" t="s">
        <v>50</v>
      </c>
      <c r="L109" s="4" t="s">
        <v>191</v>
      </c>
      <c r="M109" s="4" t="s">
        <v>192</v>
      </c>
      <c r="N109" s="4" t="s">
        <v>57</v>
      </c>
      <c r="O109" s="12" t="s">
        <v>58</v>
      </c>
      <c r="P109" s="4" t="s">
        <v>193</v>
      </c>
      <c r="Q109" s="4" t="s">
        <v>385</v>
      </c>
    </row>
    <row r="110" ht="23.85" hidden="0" outlineLevel="0" collapsed="0">
      <c r="A110" s="10" t="s">
        <v>392</v>
      </c>
      <c r="B110" s="4" t="s">
        <v>393</v>
      </c>
      <c r="C110" s="4" t="s">
        <v>394</v>
      </c>
      <c r="D110" s="11">
        <v>0.65</v>
      </c>
      <c r="E110" s="4" t="s">
        <v>274</v>
      </c>
      <c r="F110" s="4" t="s">
        <v>50</v>
      </c>
      <c r="G110" s="4" t="s">
        <v>50</v>
      </c>
      <c r="H110" s="4" t="s">
        <v>190</v>
      </c>
      <c r="I110" s="4" t="s">
        <v>50</v>
      </c>
      <c r="J110" s="4" t="s">
        <v>50</v>
      </c>
      <c r="K110" s="4" t="s">
        <v>50</v>
      </c>
      <c r="L110" s="4" t="s">
        <v>191</v>
      </c>
      <c r="M110" s="4" t="s">
        <v>192</v>
      </c>
      <c r="N110" s="4" t="s">
        <v>57</v>
      </c>
      <c r="O110" s="12" t="s">
        <v>58</v>
      </c>
      <c r="P110" s="4" t="s">
        <v>193</v>
      </c>
      <c r="Q110" s="4" t="s">
        <v>395</v>
      </c>
    </row>
    <row r="111" ht="23.85" hidden="0" outlineLevel="0" collapsed="0">
      <c r="A111" s="10" t="s">
        <v>396</v>
      </c>
      <c r="B111" s="4" t="s">
        <v>397</v>
      </c>
      <c r="C111" s="4" t="s">
        <v>398</v>
      </c>
      <c r="D111" s="11">
        <v>0.55</v>
      </c>
      <c r="E111" s="4" t="s">
        <v>274</v>
      </c>
      <c r="F111" s="4" t="s">
        <v>50</v>
      </c>
      <c r="G111" s="4" t="s">
        <v>50</v>
      </c>
      <c r="H111" s="4" t="s">
        <v>190</v>
      </c>
      <c r="I111" s="4" t="s">
        <v>50</v>
      </c>
      <c r="J111" s="4" t="s">
        <v>50</v>
      </c>
      <c r="K111" s="4" t="s">
        <v>50</v>
      </c>
      <c r="L111" s="4" t="s">
        <v>191</v>
      </c>
      <c r="M111" s="4" t="s">
        <v>192</v>
      </c>
      <c r="N111" s="4" t="s">
        <v>57</v>
      </c>
      <c r="O111" s="12" t="s">
        <v>58</v>
      </c>
      <c r="P111" s="4" t="s">
        <v>193</v>
      </c>
      <c r="Q111" s="4" t="s">
        <v>395</v>
      </c>
    </row>
    <row r="112" ht="23.85" hidden="0" outlineLevel="0" collapsed="0">
      <c r="A112" s="10" t="s">
        <v>399</v>
      </c>
      <c r="B112" s="4" t="s">
        <v>400</v>
      </c>
      <c r="C112" s="4" t="s">
        <v>401</v>
      </c>
      <c r="D112" s="11">
        <v>0.45</v>
      </c>
      <c r="E112" s="4" t="s">
        <v>274</v>
      </c>
      <c r="F112" s="4" t="s">
        <v>50</v>
      </c>
      <c r="G112" s="4" t="s">
        <v>50</v>
      </c>
      <c r="H112" s="4" t="s">
        <v>190</v>
      </c>
      <c r="I112" s="4" t="s">
        <v>50</v>
      </c>
      <c r="J112" s="4" t="s">
        <v>50</v>
      </c>
      <c r="K112" s="4" t="s">
        <v>50</v>
      </c>
      <c r="L112" s="4" t="s">
        <v>191</v>
      </c>
      <c r="M112" s="4" t="s">
        <v>192</v>
      </c>
      <c r="N112" s="4" t="s">
        <v>57</v>
      </c>
      <c r="O112" s="12" t="s">
        <v>58</v>
      </c>
      <c r="P112" s="4" t="s">
        <v>193</v>
      </c>
      <c r="Q112" s="4" t="s">
        <v>395</v>
      </c>
    </row>
    <row r="113" ht="46.25" hidden="0" outlineLevel="0" collapsed="0">
      <c r="A113" s="10" t="s">
        <v>402</v>
      </c>
      <c r="B113" s="4" t="s">
        <v>403</v>
      </c>
      <c r="C113" s="4" t="s">
        <v>404</v>
      </c>
      <c r="D113" s="11" t="s">
        <v>405</v>
      </c>
      <c r="E113" s="4" t="s">
        <v>49</v>
      </c>
      <c r="F113" s="4" t="s">
        <v>50</v>
      </c>
      <c r="G113" s="4" t="s">
        <v>7</v>
      </c>
      <c r="H113" s="4" t="s">
        <v>406</v>
      </c>
      <c r="I113" s="4" t="s">
        <v>52</v>
      </c>
      <c r="J113" s="4" t="s">
        <v>53</v>
      </c>
      <c r="K113" s="4" t="s">
        <v>54</v>
      </c>
      <c r="L113" s="4" t="s">
        <v>55</v>
      </c>
      <c r="M113" s="4" t="s">
        <v>56</v>
      </c>
      <c r="N113" s="4" t="s">
        <v>57</v>
      </c>
      <c r="O113" s="12" t="s">
        <v>58</v>
      </c>
      <c r="P113" s="4" t="s">
        <v>59</v>
      </c>
      <c r="Q113" s="4" t="s">
        <v>23</v>
      </c>
    </row>
    <row r="114" ht="46.25" hidden="0" outlineLevel="0" collapsed="0">
      <c r="A114" s="10" t="s">
        <v>407</v>
      </c>
      <c r="B114" s="4" t="s">
        <v>408</v>
      </c>
      <c r="C114" s="4" t="s">
        <v>409</v>
      </c>
      <c r="D114" s="11" t="s">
        <v>405</v>
      </c>
      <c r="E114" s="4" t="s">
        <v>49</v>
      </c>
      <c r="F114" s="4" t="s">
        <v>50</v>
      </c>
      <c r="G114" s="4" t="s">
        <v>7</v>
      </c>
      <c r="H114" s="4" t="s">
        <v>410</v>
      </c>
      <c r="I114" s="4" t="s">
        <v>52</v>
      </c>
      <c r="J114" s="4" t="s">
        <v>53</v>
      </c>
      <c r="K114" s="4" t="s">
        <v>54</v>
      </c>
      <c r="L114" s="4" t="s">
        <v>55</v>
      </c>
      <c r="M114" s="4" t="s">
        <v>56</v>
      </c>
      <c r="N114" s="4" t="s">
        <v>57</v>
      </c>
      <c r="O114" s="12" t="s">
        <v>58</v>
      </c>
      <c r="P114" s="4" t="s">
        <v>59</v>
      </c>
      <c r="Q114" s="4" t="s">
        <v>411</v>
      </c>
    </row>
    <row r="115" ht="46.25" hidden="0" outlineLevel="0" collapsed="0">
      <c r="A115" s="10" t="s">
        <v>412</v>
      </c>
      <c r="B115" s="4" t="s">
        <v>413</v>
      </c>
      <c r="C115" s="4" t="s">
        <v>414</v>
      </c>
      <c r="D115" s="11" t="s">
        <v>405</v>
      </c>
      <c r="E115" s="4" t="s">
        <v>415</v>
      </c>
      <c r="F115" s="4" t="s">
        <v>50</v>
      </c>
      <c r="G115" s="4" t="s">
        <v>7</v>
      </c>
      <c r="H115" s="4" t="s">
        <v>416</v>
      </c>
      <c r="I115" s="4" t="s">
        <v>52</v>
      </c>
      <c r="J115" s="4" t="s">
        <v>53</v>
      </c>
      <c r="K115" s="4" t="s">
        <v>54</v>
      </c>
      <c r="L115" s="4" t="s">
        <v>55</v>
      </c>
      <c r="M115" s="4" t="s">
        <v>56</v>
      </c>
      <c r="N115" s="4" t="s">
        <v>57</v>
      </c>
      <c r="O115" s="12" t="s">
        <v>58</v>
      </c>
      <c r="P115" s="4" t="s">
        <v>59</v>
      </c>
      <c r="Q115" s="4" t="s">
        <v>417</v>
      </c>
    </row>
    <row r="116" ht="23.85" hidden="0" outlineLevel="0" collapsed="0">
      <c r="A116" s="10" t="s">
        <v>418</v>
      </c>
      <c r="B116" s="4" t="s">
        <v>419</v>
      </c>
      <c r="C116" s="4" t="s">
        <v>420</v>
      </c>
      <c r="D116" s="11">
        <v>13500</v>
      </c>
      <c r="E116" s="4" t="s">
        <v>421</v>
      </c>
      <c r="F116" s="4" t="s">
        <v>82</v>
      </c>
      <c r="G116" s="4" t="s">
        <v>7</v>
      </c>
      <c r="H116" s="4" t="s">
        <v>422</v>
      </c>
      <c r="I116" s="4" t="s">
        <v>423</v>
      </c>
      <c r="J116" s="4" t="s">
        <v>424</v>
      </c>
      <c r="K116" s="4" t="s">
        <v>425</v>
      </c>
      <c r="L116" s="4" t="s">
        <v>426</v>
      </c>
      <c r="M116" s="4" t="s">
        <v>427</v>
      </c>
      <c r="N116" s="4" t="s">
        <v>57</v>
      </c>
      <c r="O116" s="12" t="s">
        <v>428</v>
      </c>
      <c r="P116" s="4" t="s">
        <v>429</v>
      </c>
      <c r="Q116" s="4" t="s">
        <v>430</v>
      </c>
    </row>
    <row r="117" ht="91" hidden="0" outlineLevel="0" collapsed="0">
      <c r="A117" s="10" t="s">
        <v>431</v>
      </c>
      <c r="B117" s="4" t="s">
        <v>432</v>
      </c>
      <c r="C117" s="4" t="s">
        <v>18</v>
      </c>
      <c r="D117" s="11" t="s">
        <v>19</v>
      </c>
      <c r="E117" s="4" t="s">
        <v>433</v>
      </c>
      <c r="F117" s="4" t="s">
        <v>50</v>
      </c>
      <c r="G117" s="4" t="s">
        <v>7</v>
      </c>
      <c r="H117" s="4" t="s">
        <v>434</v>
      </c>
      <c r="I117" s="4" t="s">
        <v>52</v>
      </c>
      <c r="J117" s="4" t="s">
        <v>53</v>
      </c>
      <c r="K117" s="4" t="s">
        <v>54</v>
      </c>
      <c r="L117" s="4" t="s">
        <v>55</v>
      </c>
      <c r="M117" s="4" t="s">
        <v>56</v>
      </c>
      <c r="N117" s="4" t="s">
        <v>57</v>
      </c>
      <c r="O117" s="12" t="s">
        <v>58</v>
      </c>
      <c r="P117" s="4" t="s">
        <v>435</v>
      </c>
      <c r="Q117" s="4" t="s">
        <v>21</v>
      </c>
    </row>
    <row r="118" ht="91" hidden="0" outlineLevel="0" collapsed="0">
      <c r="A118" s="10" t="s">
        <v>436</v>
      </c>
      <c r="B118" s="4" t="s">
        <v>437</v>
      </c>
      <c r="C118" s="4" t="s">
        <v>438</v>
      </c>
      <c r="D118" s="11" t="s">
        <v>23</v>
      </c>
      <c r="E118" s="4" t="s">
        <v>433</v>
      </c>
      <c r="F118" s="4" t="s">
        <v>50</v>
      </c>
      <c r="G118" s="4" t="s">
        <v>7</v>
      </c>
      <c r="H118" s="4" t="s">
        <v>439</v>
      </c>
      <c r="I118" s="4" t="s">
        <v>52</v>
      </c>
      <c r="J118" s="4" t="s">
        <v>53</v>
      </c>
      <c r="K118" s="4" t="s">
        <v>54</v>
      </c>
      <c r="L118" s="4" t="s">
        <v>55</v>
      </c>
      <c r="M118" s="4" t="s">
        <v>56</v>
      </c>
      <c r="N118" s="4" t="s">
        <v>57</v>
      </c>
      <c r="O118" s="12" t="s">
        <v>58</v>
      </c>
      <c r="P118" s="4" t="s">
        <v>440</v>
      </c>
      <c r="Q118" s="4" t="s">
        <v>25</v>
      </c>
    </row>
  </sheetData>
  <mergeCells count="2">
    <mergeCell ref="A1:Q1"/>
    <mergeCell ref="A2:Q2"/>
  </mergeCells>
  <printOptions/>
  <pageMargins left="0.7" right="0.7" top="0.75" bottom="0.75" header="0.511811023622047" footer="0.511811023622047"/>
  <pageSetup paperSize="1" scale="100" fitToWidth="1" fitToHeight="1" pageOrder="downThenOver" orientation="portrait" copies="1" horizontalDpi="300" verticalDpi="300"/>
  <headerFooter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 mc:Ignorable="xr2">
  <sheetPr>
    <pageSetUpPr/>
  </sheetPr>
  <dimension ref="A1:J23"/>
  <sheetViews>
    <sheetView showGridLines="0" topLeftCell="A1" zoomScaleNormal="100" zoomScalePageLayoutView="100" workbookViewId="0">
      <selection activeCell="A1" sqref="A1"/>
    </sheetView>
  </sheetViews>
  <sheetFormatPr defaultColWidth="8.6796875" defaultRowHeight="15"/>
  <cols>
    <col min="1" max="1" width="31" hidden="0" customWidth="1" outlineLevel="0" collapsed="0"/>
    <col min="2" max="5" width="14" hidden="0" customWidth="1" outlineLevel="0" collapsed="0"/>
    <col min="6" max="6" width="34" hidden="0" customWidth="1" outlineLevel="0" collapsed="0"/>
    <col min="7" max="7" width="24" hidden="0" customWidth="1" outlineLevel="0" collapsed="0"/>
    <col min="8" max="8" width="44" hidden="0" customWidth="1" outlineLevel="0" collapsed="0"/>
    <col min="9" max="9" width="18" hidden="0" customWidth="1" outlineLevel="0" collapsed="0"/>
  </cols>
  <sheetData>
    <row r="1" ht="26" hidden="0" outlineLevel="0" collapsed="0">
      <c r="A1" s="1" t="s">
        <v>441</v>
      </c>
      <c r="B1" s="1" t="s">
        <v>441</v>
      </c>
      <c r="C1" s="1" t="s">
        <v>441</v>
      </c>
      <c r="D1" s="1" t="s">
        <v>441</v>
      </c>
      <c r="E1" s="1" t="s">
        <v>441</v>
      </c>
      <c r="F1" s="1" t="s">
        <v>441</v>
      </c>
      <c r="G1" s="1" t="s">
        <v>441</v>
      </c>
      <c r="H1" s="1" t="s">
        <v>441</v>
      </c>
      <c r="I1" s="1" t="s">
        <v>441</v>
      </c>
    </row>
    <row r="2" ht="30" hidden="0" outlineLevel="0" collapsed="0">
      <c r="A2" s="2" t="s">
        <v>442</v>
      </c>
      <c r="B2" s="2" t="s">
        <v>442</v>
      </c>
      <c r="C2" s="2" t="s">
        <v>442</v>
      </c>
      <c r="D2" s="2" t="s">
        <v>442</v>
      </c>
      <c r="E2" s="2" t="s">
        <v>442</v>
      </c>
      <c r="F2" s="2" t="s">
        <v>442</v>
      </c>
      <c r="G2" s="2" t="s">
        <v>442</v>
      </c>
      <c r="H2" s="2" t="s">
        <v>442</v>
      </c>
      <c r="I2" s="2" t="s">
        <v>442</v>
      </c>
    </row>
    <row r="4" ht="15" hidden="0" outlineLevel="0" collapsed="0">
      <c r="A4" s="7" t="s">
        <v>31</v>
      </c>
      <c r="B4" s="8" t="s">
        <v>33</v>
      </c>
      <c r="C4" s="8" t="s">
        <v>443</v>
      </c>
      <c r="D4" s="8" t="s">
        <v>444</v>
      </c>
      <c r="E4" s="8" t="s">
        <v>445</v>
      </c>
      <c r="F4" s="8" t="s">
        <v>446</v>
      </c>
      <c r="G4" s="8" t="s">
        <v>447</v>
      </c>
      <c r="H4" s="8" t="s">
        <v>448</v>
      </c>
      <c r="I4" s="9" t="s">
        <v>449</v>
      </c>
    </row>
    <row r="5" ht="15" hidden="0" outlineLevel="0" collapsed="0">
      <c r="A5" s="13" t="s">
        <v>48</v>
      </c>
      <c r="B5" s="13" t="s">
        <v>49</v>
      </c>
      <c r="C5" s="14">
        <v>28114</v>
      </c>
      <c r="D5" s="14">
        <v>24753</v>
      </c>
      <c r="E5" s="14">
        <v>27412</v>
      </c>
      <c r="F5" s="15" t="s">
        <v>450</v>
      </c>
      <c r="G5" s="15" t="s">
        <v>451</v>
      </c>
      <c r="H5" s="15" t="s">
        <v>452</v>
      </c>
      <c r="I5" s="15" t="s">
        <v>38</v>
      </c>
      <c r="J5" s="15"/>
    </row>
    <row r="6" ht="15" hidden="0" outlineLevel="0" collapsed="0">
      <c r="A6" s="13" t="s">
        <v>69</v>
      </c>
      <c r="B6" s="13" t="s">
        <v>49</v>
      </c>
      <c r="C6" s="14">
        <v>10237</v>
      </c>
      <c r="D6" s="14">
        <v>7479</v>
      </c>
      <c r="E6" s="14">
        <v>8280</v>
      </c>
      <c r="F6" s="15" t="s">
        <v>453</v>
      </c>
      <c r="G6" s="15" t="s">
        <v>454</v>
      </c>
      <c r="H6" s="15" t="s">
        <v>452</v>
      </c>
      <c r="I6" s="15" t="s">
        <v>38</v>
      </c>
      <c r="J6" s="15"/>
    </row>
    <row r="7" ht="15" hidden="0" outlineLevel="0" collapsed="0">
      <c r="A7" s="13" t="s">
        <v>85</v>
      </c>
      <c r="B7" s="13" t="s">
        <v>49</v>
      </c>
      <c r="C7" s="14">
        <v>7310</v>
      </c>
      <c r="D7" s="14">
        <v>6946</v>
      </c>
      <c r="E7" s="14">
        <v>6835</v>
      </c>
      <c r="F7" s="15" t="s">
        <v>455</v>
      </c>
      <c r="G7" s="15" t="s">
        <v>456</v>
      </c>
      <c r="H7" s="15" t="s">
        <v>452</v>
      </c>
      <c r="I7" s="15" t="s">
        <v>38</v>
      </c>
      <c r="J7" s="15"/>
    </row>
    <row r="8" ht="15" hidden="0" outlineLevel="0" collapsed="0">
      <c r="A8" s="13" t="s">
        <v>93</v>
      </c>
      <c r="B8" s="13" t="s">
        <v>49</v>
      </c>
      <c r="C8" s="14">
        <v>11301</v>
      </c>
      <c r="D8" s="14">
        <v>13260</v>
      </c>
      <c r="E8" s="14">
        <v>12485</v>
      </c>
      <c r="F8" s="15" t="s">
        <v>457</v>
      </c>
      <c r="G8" s="15" t="s">
        <v>458</v>
      </c>
      <c r="H8" s="15" t="s">
        <v>452</v>
      </c>
      <c r="I8" s="15" t="s">
        <v>38</v>
      </c>
      <c r="J8" s="15"/>
    </row>
    <row r="9" ht="15" hidden="0" outlineLevel="0" collapsed="0">
      <c r="A9" s="13" t="s">
        <v>101</v>
      </c>
      <c r="B9" s="13" t="s">
        <v>49</v>
      </c>
      <c r="C9" s="14">
        <v>5879</v>
      </c>
      <c r="D9" s="14">
        <v>5462</v>
      </c>
      <c r="E9" s="14">
        <v>6580</v>
      </c>
      <c r="F9" s="15" t="s">
        <v>459</v>
      </c>
      <c r="G9" s="15" t="s">
        <v>460</v>
      </c>
      <c r="H9" s="15" t="s">
        <v>452</v>
      </c>
      <c r="I9" s="15" t="s">
        <v>38</v>
      </c>
      <c r="J9" s="15"/>
    </row>
    <row r="10" ht="15" hidden="0" outlineLevel="0" collapsed="0">
      <c r="A10" s="13" t="s">
        <v>109</v>
      </c>
      <c r="B10" s="13" t="s">
        <v>49</v>
      </c>
      <c r="C10" s="14">
        <v>25113</v>
      </c>
      <c r="D10" s="14">
        <v>24729</v>
      </c>
      <c r="E10" s="14">
        <v>24606</v>
      </c>
      <c r="F10" s="15" t="s">
        <v>461</v>
      </c>
      <c r="G10" s="15" t="s">
        <v>462</v>
      </c>
      <c r="H10" s="15" t="s">
        <v>452</v>
      </c>
      <c r="I10" s="15" t="s">
        <v>38</v>
      </c>
      <c r="J10" s="15"/>
    </row>
    <row r="11" ht="15" hidden="0" outlineLevel="0" collapsed="0">
      <c r="A11" s="13" t="s">
        <v>119</v>
      </c>
      <c r="B11" s="13" t="s">
        <v>49</v>
      </c>
      <c r="C11" s="14">
        <v>177489</v>
      </c>
      <c r="D11" s="14">
        <v>190144</v>
      </c>
      <c r="E11" s="14">
        <v>212721</v>
      </c>
      <c r="F11" s="15" t="s">
        <v>463</v>
      </c>
      <c r="G11" s="15" t="s">
        <v>464</v>
      </c>
      <c r="H11" s="15" t="s">
        <v>452</v>
      </c>
      <c r="I11" s="15" t="s">
        <v>38</v>
      </c>
      <c r="J11" s="15"/>
    </row>
    <row r="12" ht="15" hidden="0" outlineLevel="0" collapsed="0">
      <c r="A12" s="13" t="s">
        <v>128</v>
      </c>
      <c r="B12" s="13" t="s">
        <v>49</v>
      </c>
      <c r="C12" s="14">
        <v>47468</v>
      </c>
      <c r="D12" s="14">
        <v>50101</v>
      </c>
      <c r="E12" s="14">
        <v>54608</v>
      </c>
      <c r="F12" s="15" t="s">
        <v>465</v>
      </c>
      <c r="G12" s="15" t="s">
        <v>466</v>
      </c>
      <c r="H12" s="15" t="s">
        <v>452</v>
      </c>
      <c r="I12" s="15" t="s">
        <v>38</v>
      </c>
      <c r="J12" s="15"/>
    </row>
    <row r="13" ht="15" hidden="0" outlineLevel="0" collapsed="0">
      <c r="A13" s="13" t="s">
        <v>138</v>
      </c>
      <c r="B13" s="13" t="s">
        <v>49</v>
      </c>
      <c r="C13" s="14">
        <v>2690</v>
      </c>
      <c r="D13" s="14">
        <v>1487</v>
      </c>
      <c r="E13" s="14">
        <v>2812</v>
      </c>
      <c r="F13" s="15" t="s">
        <v>467</v>
      </c>
      <c r="G13" s="15" t="s">
        <v>468</v>
      </c>
      <c r="H13" s="15" t="s">
        <v>452</v>
      </c>
      <c r="I13" s="15" t="s">
        <v>38</v>
      </c>
      <c r="J13" s="15"/>
    </row>
    <row r="14" ht="15" hidden="0" outlineLevel="0" collapsed="0">
      <c r="A14" s="13" t="s">
        <v>469</v>
      </c>
      <c r="B14" s="13" t="s">
        <v>49</v>
      </c>
      <c r="C14" s="14">
        <v>68306</v>
      </c>
      <c r="D14" s="14">
        <v>80446</v>
      </c>
      <c r="E14" s="14">
        <v>93056</v>
      </c>
      <c r="F14" s="15" t="s">
        <v>470</v>
      </c>
      <c r="G14" s="15" t="s">
        <v>471</v>
      </c>
      <c r="H14" s="15" t="s">
        <v>19</v>
      </c>
      <c r="I14" s="15" t="s">
        <v>38</v>
      </c>
      <c r="J14" s="15"/>
    </row>
    <row r="15" ht="15" hidden="0" outlineLevel="0" collapsed="0">
      <c r="A15" s="13" t="s">
        <v>472</v>
      </c>
      <c r="B15" s="13" t="s">
        <v>49</v>
      </c>
      <c r="C15" s="14">
        <v>4905</v>
      </c>
      <c r="D15" s="14">
        <v>1887</v>
      </c>
      <c r="E15" s="14">
        <v>2563</v>
      </c>
      <c r="F15" s="15" t="s">
        <v>473</v>
      </c>
      <c r="G15" s="15" t="s">
        <v>474</v>
      </c>
      <c r="H15" s="15" t="s">
        <v>19</v>
      </c>
      <c r="I15" s="15" t="s">
        <v>38</v>
      </c>
      <c r="J15" s="15"/>
    </row>
    <row r="16" ht="15" hidden="0" outlineLevel="0" collapsed="0">
      <c r="A16" s="13" t="s">
        <v>170</v>
      </c>
      <c r="B16" s="13" t="s">
        <v>49</v>
      </c>
      <c r="C16" s="14">
        <v>444</v>
      </c>
      <c r="D16" s="14">
        <v>840</v>
      </c>
      <c r="E16" s="14">
        <v>1143</v>
      </c>
      <c r="F16" s="15" t="s">
        <v>475</v>
      </c>
      <c r="G16" s="15" t="s">
        <v>476</v>
      </c>
      <c r="H16" s="15" t="s">
        <v>19</v>
      </c>
      <c r="I16" s="15" t="s">
        <v>38</v>
      </c>
      <c r="J16" s="15"/>
    </row>
    <row r="17" ht="15" hidden="0" outlineLevel="0" collapsed="0">
      <c r="A17" s="13" t="s">
        <v>178</v>
      </c>
      <c r="B17" s="13" t="s">
        <v>179</v>
      </c>
      <c r="C17" s="14">
        <v>2030.8</v>
      </c>
      <c r="D17" s="14">
        <v>2059.2</v>
      </c>
      <c r="E17" s="14">
        <v>2070.6</v>
      </c>
      <c r="F17" s="15" t="s">
        <v>477</v>
      </c>
      <c r="G17" s="15" t="s">
        <v>478</v>
      </c>
      <c r="H17" s="15" t="s">
        <v>452</v>
      </c>
      <c r="I17" s="15" t="s">
        <v>38</v>
      </c>
      <c r="J17" s="15"/>
    </row>
    <row r="18" ht="15" hidden="0" outlineLevel="0" collapsed="0">
      <c r="A18" s="16" t="s">
        <v>479</v>
      </c>
      <c r="B18" s="16" t="s">
        <v>49</v>
      </c>
      <c r="C18" s="17">
        <f>C14+C15+C16</f>
        <v>73655</v>
      </c>
      <c r="D18" s="17">
        <f>D14+D15+D16</f>
        <v>83173</v>
      </c>
      <c r="E18" s="17">
        <f>E14+E15+E16</f>
        <v>96762</v>
      </c>
      <c r="F18" s="16" t="s">
        <v>19</v>
      </c>
      <c r="G18" s="18" t="s">
        <v>480</v>
      </c>
      <c r="H18" s="16" t="s">
        <v>19</v>
      </c>
      <c r="I18" s="16" t="s">
        <v>481</v>
      </c>
    </row>
    <row r="19" ht="15" hidden="0" outlineLevel="0" collapsed="0">
      <c r="A19" s="19" t="s">
        <v>482</v>
      </c>
      <c r="B19" s="19" t="s">
        <v>49</v>
      </c>
      <c r="C19" s="20">
        <f>C18-C13</f>
        <v>70965</v>
      </c>
      <c r="D19" s="20">
        <f>D18-D13</f>
        <v>81686</v>
      </c>
      <c r="E19" s="20">
        <f>E18-E13</f>
        <v>93950</v>
      </c>
      <c r="F19" s="19" t="s">
        <v>483</v>
      </c>
      <c r="G19" s="21" t="s">
        <v>480</v>
      </c>
      <c r="H19" s="19" t="s">
        <v>21</v>
      </c>
      <c r="I19" s="19" t="s">
        <v>481</v>
      </c>
    </row>
    <row r="21" ht="15" hidden="0" outlineLevel="0" collapsed="0">
      <c r="A21" s="22" t="s">
        <v>484</v>
      </c>
      <c r="B21" s="4" t="s">
        <v>19</v>
      </c>
      <c r="C21" s="4"/>
      <c r="D21" s="4"/>
      <c r="E21" s="4"/>
      <c r="F21" s="4"/>
      <c r="G21" s="4"/>
      <c r="H21" s="4"/>
      <c r="I21" s="4"/>
    </row>
    <row r="22" ht="15" hidden="0" outlineLevel="0" collapsed="0">
      <c r="A22" s="22" t="s">
        <v>20</v>
      </c>
      <c r="B22" s="4" t="s">
        <v>21</v>
      </c>
      <c r="C22" s="4"/>
      <c r="D22" s="4"/>
      <c r="E22" s="4"/>
      <c r="F22" s="4"/>
      <c r="G22" s="4"/>
      <c r="H22" s="4"/>
      <c r="I22" s="4"/>
    </row>
    <row r="23" ht="15" hidden="0" outlineLevel="0" collapsed="0">
      <c r="A23" s="22" t="s">
        <v>485</v>
      </c>
      <c r="B23" s="4" t="s">
        <v>23</v>
      </c>
      <c r="C23" s="4"/>
      <c r="D23" s="4"/>
      <c r="E23" s="4"/>
      <c r="F23" s="4"/>
      <c r="G23" s="4"/>
      <c r="H23" s="4"/>
      <c r="I23" s="4"/>
    </row>
  </sheetData>
  <mergeCells count="5">
    <mergeCell ref="A1:I1"/>
    <mergeCell ref="A2:I2"/>
    <mergeCell ref="B21:I21"/>
    <mergeCell ref="B22:I22"/>
    <mergeCell ref="B23:I23"/>
  </mergeCells>
  <printOptions/>
  <pageMargins left="0.7" right="0.7" top="0.75" bottom="0.75" header="0.511811023622047" footer="0.511811023622047"/>
  <pageSetup paperSize="1" scale="100" fitToWidth="1" fitToHeight="1" pageOrder="downThenOver" orientation="portrait" copies="1" horizontalDpi="300" verticalDpi="300"/>
  <headerFooter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 mc:Ignorable="xr2">
  <sheetPr>
    <pageSetUpPr/>
  </sheetPr>
  <dimension ref="A1:G31"/>
  <sheetViews>
    <sheetView showGridLines="0" topLeftCell="A1" zoomScaleNormal="100" zoomScalePageLayoutView="100" workbookViewId="0">
      <selection activeCell="A1" sqref="A1"/>
    </sheetView>
  </sheetViews>
  <sheetFormatPr defaultColWidth="8.6796875" defaultRowHeight="15"/>
  <cols>
    <col min="1" max="1" width="34" hidden="0" customWidth="1" outlineLevel="0" collapsed="0"/>
    <col min="2" max="2" width="15" hidden="0" customWidth="1" outlineLevel="0" collapsed="0"/>
    <col min="3" max="6" width="14" hidden="0" customWidth="1" outlineLevel="0" collapsed="0"/>
    <col min="7" max="7" width="58" hidden="0" customWidth="1" outlineLevel="0" collapsed="0"/>
    <col min="8" max="8" width="15" hidden="0" customWidth="1" outlineLevel="0" collapsed="0"/>
  </cols>
  <sheetData>
    <row r="1" ht="26" hidden="0" outlineLevel="0" collapsed="0">
      <c r="A1" s="1" t="s">
        <v>486</v>
      </c>
      <c r="B1" s="1" t="s">
        <v>486</v>
      </c>
      <c r="C1" s="1" t="s">
        <v>486</v>
      </c>
      <c r="D1" s="1" t="s">
        <v>486</v>
      </c>
      <c r="E1" s="1" t="s">
        <v>486</v>
      </c>
      <c r="F1" s="1" t="s">
        <v>486</v>
      </c>
      <c r="G1" s="1" t="s">
        <v>486</v>
      </c>
    </row>
    <row r="2" ht="30" hidden="0" outlineLevel="0" collapsed="0">
      <c r="A2" s="2" t="s">
        <v>487</v>
      </c>
      <c r="B2" s="2" t="s">
        <v>487</v>
      </c>
      <c r="C2" s="2" t="s">
        <v>487</v>
      </c>
      <c r="D2" s="2" t="s">
        <v>487</v>
      </c>
      <c r="E2" s="2" t="s">
        <v>487</v>
      </c>
      <c r="F2" s="2" t="s">
        <v>487</v>
      </c>
      <c r="G2" s="2" t="s">
        <v>487</v>
      </c>
    </row>
    <row r="3" ht="15" hidden="0" outlineLevel="0" collapsed="0">
      <c r="A3" s="0" t="s">
        <v>488</v>
      </c>
      <c r="B3" s="23">
        <v>1</v>
      </c>
    </row>
    <row r="4" ht="15" hidden="0" outlineLevel="0" collapsed="0">
      <c r="A4" s="0" t="s">
        <v>12</v>
      </c>
      <c r="B4" s="24" t="str">
        <f>CHOOSE(B3,"Base","Bull","Bear")</f>
        <v>Base</v>
      </c>
    </row>
    <row r="6" ht="15" hidden="0" outlineLevel="0" collapsed="0">
      <c r="A6" s="7" t="s">
        <v>489</v>
      </c>
      <c r="B6" s="8" t="s">
        <v>33</v>
      </c>
      <c r="C6" s="8" t="s">
        <v>490</v>
      </c>
      <c r="D6" s="8" t="s">
        <v>491</v>
      </c>
      <c r="E6" s="8" t="s">
        <v>492</v>
      </c>
      <c r="F6" s="8" t="s">
        <v>493</v>
      </c>
      <c r="G6" s="9" t="s">
        <v>494</v>
      </c>
    </row>
    <row r="7" ht="15" hidden="0" outlineLevel="0" collapsed="0">
      <c r="A7" s="0" t="s">
        <v>495</v>
      </c>
      <c r="B7" s="0" t="s">
        <v>189</v>
      </c>
      <c r="C7" s="25">
        <v>0.03</v>
      </c>
      <c r="D7" s="25">
        <v>0.05</v>
      </c>
      <c r="E7" s="25">
        <v>0.07</v>
      </c>
      <c r="F7" s="26">
        <f>CHOOSE($B$3,D7,E7,C7)</f>
        <v>0.05</v>
      </c>
      <c r="G7" s="0" t="s">
        <v>194</v>
      </c>
    </row>
    <row r="8" ht="15" hidden="0" outlineLevel="0" collapsed="0">
      <c r="A8" s="0" t="s">
        <v>496</v>
      </c>
      <c r="B8" s="0" t="s">
        <v>189</v>
      </c>
      <c r="C8" s="25">
        <v>0.02</v>
      </c>
      <c r="D8" s="25">
        <v>0.06</v>
      </c>
      <c r="E8" s="25">
        <v>0.1</v>
      </c>
      <c r="F8" s="26">
        <f>CHOOSE($B$3,D8,E8,C8)</f>
        <v>0.06</v>
      </c>
      <c r="G8" s="0" t="s">
        <v>204</v>
      </c>
    </row>
    <row r="9" ht="15" hidden="0" outlineLevel="0" collapsed="0">
      <c r="A9" s="0" t="s">
        <v>497</v>
      </c>
      <c r="B9" s="0" t="s">
        <v>189</v>
      </c>
      <c r="C9" s="25">
        <v>0</v>
      </c>
      <c r="D9" s="25">
        <v>0.02</v>
      </c>
      <c r="E9" s="25">
        <v>0.04</v>
      </c>
      <c r="F9" s="26">
        <f>CHOOSE($B$3,D9,E9,C9)</f>
        <v>0.02</v>
      </c>
      <c r="G9" s="0" t="s">
        <v>214</v>
      </c>
    </row>
    <row r="10" ht="15" hidden="0" outlineLevel="0" collapsed="0">
      <c r="A10" s="0" t="s">
        <v>498</v>
      </c>
      <c r="B10" s="0" t="s">
        <v>189</v>
      </c>
      <c r="C10" s="25">
        <v>0.06</v>
      </c>
      <c r="D10" s="25">
        <v>0.09</v>
      </c>
      <c r="E10" s="25">
        <v>0.11</v>
      </c>
      <c r="F10" s="26">
        <f>CHOOSE($B$3,D10,E10,C10)</f>
        <v>0.09</v>
      </c>
      <c r="G10" s="0" t="s">
        <v>224</v>
      </c>
    </row>
    <row r="11" ht="15" hidden="0" outlineLevel="0" collapsed="0">
      <c r="A11" s="0" t="s">
        <v>499</v>
      </c>
      <c r="B11" s="0" t="s">
        <v>189</v>
      </c>
      <c r="C11" s="25">
        <v>0.02</v>
      </c>
      <c r="D11" s="25">
        <v>0.08</v>
      </c>
      <c r="E11" s="25">
        <v>0.12</v>
      </c>
      <c r="F11" s="26">
        <f>CHOOSE($B$3,D11,E11,C11)</f>
        <v>0.08</v>
      </c>
      <c r="G11" s="0" t="s">
        <v>234</v>
      </c>
    </row>
    <row r="12" ht="15" hidden="0" outlineLevel="0" collapsed="0">
      <c r="A12" s="0" t="s">
        <v>500</v>
      </c>
      <c r="B12" s="0" t="s">
        <v>189</v>
      </c>
      <c r="C12" s="25">
        <v>0.05</v>
      </c>
      <c r="D12" s="25">
        <v>0.02</v>
      </c>
      <c r="E12" s="25">
        <v>0</v>
      </c>
      <c r="F12" s="26">
        <f>CHOOSE($B$3,D12,E12,C12)</f>
        <v>0.02</v>
      </c>
      <c r="G12" s="0" t="s">
        <v>244</v>
      </c>
    </row>
    <row r="13" ht="15" hidden="0" outlineLevel="0" collapsed="0">
      <c r="A13" s="0" t="s">
        <v>501</v>
      </c>
      <c r="B13" s="0" t="s">
        <v>254</v>
      </c>
      <c r="C13" s="27">
        <v>1.1</v>
      </c>
      <c r="D13" s="27">
        <v>1</v>
      </c>
      <c r="E13" s="27">
        <v>0.95</v>
      </c>
      <c r="F13" s="28">
        <f>CHOOSE($B$3,D13,E13,C13)</f>
        <v>1</v>
      </c>
      <c r="G13" s="0" t="s">
        <v>255</v>
      </c>
    </row>
    <row r="14" ht="15" hidden="0" outlineLevel="0" collapsed="0">
      <c r="A14" s="0" t="s">
        <v>502</v>
      </c>
      <c r="B14" s="0" t="s">
        <v>254</v>
      </c>
      <c r="C14" s="27">
        <v>1.1</v>
      </c>
      <c r="D14" s="27">
        <v>1</v>
      </c>
      <c r="E14" s="27">
        <v>0.95</v>
      </c>
      <c r="F14" s="28">
        <f>CHOOSE($B$3,D14,E14,C14)</f>
        <v>1</v>
      </c>
      <c r="G14" s="0" t="s">
        <v>255</v>
      </c>
    </row>
    <row r="15" ht="15" hidden="0" outlineLevel="0" collapsed="0">
      <c r="A15" s="0" t="s">
        <v>503</v>
      </c>
      <c r="B15" s="0" t="s">
        <v>274</v>
      </c>
      <c r="C15" s="25">
        <v>0.25</v>
      </c>
      <c r="D15" s="25">
        <v>0.302</v>
      </c>
      <c r="E15" s="25">
        <v>0.33</v>
      </c>
      <c r="F15" s="26">
        <f>CHOOSE($B$3,D15,E15,C15)</f>
        <v>0.302</v>
      </c>
      <c r="G15" s="0" t="s">
        <v>275</v>
      </c>
    </row>
    <row r="16" ht="15" hidden="0" outlineLevel="0" collapsed="0">
      <c r="A16" s="0" t="s">
        <v>504</v>
      </c>
      <c r="B16" s="0" t="s">
        <v>274</v>
      </c>
      <c r="C16" s="25">
        <v>0.25</v>
      </c>
      <c r="D16" s="25">
        <v>0.24</v>
      </c>
      <c r="E16" s="25">
        <v>0.23</v>
      </c>
      <c r="F16" s="26">
        <f>CHOOSE($B$3,D16,E16,C16)</f>
        <v>0.24</v>
      </c>
      <c r="G16" s="0" t="s">
        <v>285</v>
      </c>
    </row>
    <row r="17" ht="15" hidden="0" outlineLevel="0" collapsed="0">
      <c r="A17" s="0" t="s">
        <v>505</v>
      </c>
      <c r="B17" s="0" t="s">
        <v>274</v>
      </c>
      <c r="C17" s="25">
        <v>0.16</v>
      </c>
      <c r="D17" s="25">
        <v>0.14</v>
      </c>
      <c r="E17" s="25">
        <v>0.12</v>
      </c>
      <c r="F17" s="26">
        <f>CHOOSE($B$3,D17,E17,C17)</f>
        <v>0.14</v>
      </c>
      <c r="G17" s="0" t="s">
        <v>295</v>
      </c>
    </row>
    <row r="18" ht="15" hidden="0" outlineLevel="0" collapsed="0">
      <c r="A18" s="0" t="s">
        <v>506</v>
      </c>
      <c r="B18" s="0" t="s">
        <v>274</v>
      </c>
      <c r="C18" s="25">
        <v>0.02</v>
      </c>
      <c r="D18" s="25">
        <v>0.01</v>
      </c>
      <c r="E18" s="25">
        <v>0.005</v>
      </c>
      <c r="F18" s="26">
        <f>CHOOSE($B$3,D18,E18,C18)</f>
        <v>0.01</v>
      </c>
      <c r="G18" s="0" t="s">
        <v>305</v>
      </c>
    </row>
    <row r="19" ht="15" hidden="0" outlineLevel="0" collapsed="0">
      <c r="A19" s="0" t="s">
        <v>507</v>
      </c>
      <c r="B19" s="0" t="s">
        <v>254</v>
      </c>
      <c r="C19" s="27">
        <v>17</v>
      </c>
      <c r="D19" s="27">
        <v>20</v>
      </c>
      <c r="E19" s="27">
        <v>22</v>
      </c>
      <c r="F19" s="28">
        <f>CHOOSE($B$3,D19,E19,C19)</f>
        <v>20</v>
      </c>
      <c r="G19" s="0" t="s">
        <v>315</v>
      </c>
    </row>
    <row r="20" ht="15" hidden="0" outlineLevel="0" collapsed="0">
      <c r="A20" s="0" t="s">
        <v>508</v>
      </c>
      <c r="B20" s="0" t="s">
        <v>254</v>
      </c>
      <c r="C20" s="27">
        <v>18</v>
      </c>
      <c r="D20" s="27">
        <v>22</v>
      </c>
      <c r="E20" s="27">
        <v>25</v>
      </c>
      <c r="F20" s="28">
        <f>CHOOSE($B$3,D20,E20,C20)</f>
        <v>22</v>
      </c>
      <c r="G20" s="0" t="s">
        <v>325</v>
      </c>
    </row>
    <row r="21" ht="15" hidden="0" outlineLevel="0" collapsed="0">
      <c r="A21" s="0" t="s">
        <v>509</v>
      </c>
      <c r="B21" s="0" t="s">
        <v>254</v>
      </c>
      <c r="C21" s="27">
        <v>12</v>
      </c>
      <c r="D21" s="27">
        <v>15</v>
      </c>
      <c r="E21" s="27">
        <v>18</v>
      </c>
      <c r="F21" s="28">
        <f>CHOOSE($B$3,D21,E21,C21)</f>
        <v>15</v>
      </c>
      <c r="G21" s="0" t="s">
        <v>335</v>
      </c>
    </row>
    <row r="22" ht="15" hidden="0" outlineLevel="0" collapsed="0">
      <c r="A22" s="0" t="s">
        <v>510</v>
      </c>
      <c r="B22" s="0" t="s">
        <v>189</v>
      </c>
      <c r="C22" s="25">
        <v>0.05</v>
      </c>
      <c r="D22" s="25">
        <v>0.08</v>
      </c>
      <c r="E22" s="25">
        <v>0.1</v>
      </c>
      <c r="F22" s="26">
        <f>CHOOSE($B$3,D22,E22,C22)</f>
        <v>0.08</v>
      </c>
      <c r="G22" s="0" t="s">
        <v>345</v>
      </c>
    </row>
    <row r="23" ht="15" hidden="0" outlineLevel="0" collapsed="0">
      <c r="A23" s="0" t="s">
        <v>511</v>
      </c>
      <c r="B23" s="0" t="s">
        <v>274</v>
      </c>
      <c r="C23" s="25">
        <v>0.09</v>
      </c>
      <c r="D23" s="25">
        <v>0.08</v>
      </c>
      <c r="E23" s="25">
        <v>0.075</v>
      </c>
      <c r="F23" s="26">
        <f>CHOOSE($B$3,D23,E23,C23)</f>
        <v>0.08</v>
      </c>
      <c r="G23" s="0" t="s">
        <v>355</v>
      </c>
    </row>
    <row r="24" ht="15" hidden="0" outlineLevel="0" collapsed="0">
      <c r="A24" s="0" t="s">
        <v>512</v>
      </c>
      <c r="B24" s="0" t="s">
        <v>274</v>
      </c>
      <c r="C24" s="25">
        <v>0.03</v>
      </c>
      <c r="D24" s="25">
        <v>0.04</v>
      </c>
      <c r="E24" s="25">
        <v>0.045</v>
      </c>
      <c r="F24" s="26">
        <f>CHOOSE($B$3,D24,E24,C24)</f>
        <v>0.04</v>
      </c>
      <c r="G24" s="0" t="s">
        <v>365</v>
      </c>
    </row>
    <row r="25" ht="15" hidden="0" outlineLevel="0" collapsed="0">
      <c r="A25" s="0" t="s">
        <v>513</v>
      </c>
      <c r="B25" s="0" t="s">
        <v>189</v>
      </c>
      <c r="C25" s="25">
        <v>0.01</v>
      </c>
      <c r="D25" s="25">
        <v>0.005</v>
      </c>
      <c r="E25" s="25">
        <v>0</v>
      </c>
      <c r="F25" s="26">
        <f>CHOOSE($B$3,D25,E25,C25)</f>
        <v>0.005</v>
      </c>
      <c r="G25" s="0" t="s">
        <v>375</v>
      </c>
    </row>
    <row r="26" ht="15" hidden="0" outlineLevel="0" collapsed="0">
      <c r="A26" s="0" t="s">
        <v>514</v>
      </c>
      <c r="B26" s="0" t="s">
        <v>189</v>
      </c>
      <c r="C26" s="25">
        <v>0.05</v>
      </c>
      <c r="D26" s="25">
        <v>0.03</v>
      </c>
      <c r="E26" s="25">
        <v>0.02</v>
      </c>
      <c r="F26" s="26">
        <f>CHOOSE($B$3,D26,E26,C26)</f>
        <v>0.03</v>
      </c>
      <c r="G26" s="0" t="s">
        <v>385</v>
      </c>
    </row>
    <row r="27" ht="15" hidden="0" outlineLevel="0" collapsed="0">
      <c r="A27" s="0" t="s">
        <v>515</v>
      </c>
      <c r="B27" s="0" t="s">
        <v>274</v>
      </c>
      <c r="C27" s="25">
        <v>0.65</v>
      </c>
      <c r="D27" s="25">
        <v>0.55</v>
      </c>
      <c r="E27" s="25">
        <v>0.45</v>
      </c>
      <c r="F27" s="26">
        <f>CHOOSE($B$3,D27,E27,C27)</f>
        <v>0.55</v>
      </c>
      <c r="G27" s="0" t="s">
        <v>395</v>
      </c>
    </row>
    <row r="29" ht="15" hidden="0" outlineLevel="0" collapsed="0">
      <c r="A29" s="22" t="s">
        <v>18</v>
      </c>
      <c r="B29" s="4" t="s">
        <v>19</v>
      </c>
      <c r="C29" s="4"/>
      <c r="D29" s="4"/>
      <c r="E29" s="4"/>
      <c r="F29" s="4"/>
      <c r="G29" s="4"/>
    </row>
    <row r="30" ht="15" hidden="0" outlineLevel="0" collapsed="0">
      <c r="A30" s="22" t="s">
        <v>20</v>
      </c>
      <c r="B30" s="4" t="s">
        <v>21</v>
      </c>
      <c r="C30" s="4"/>
      <c r="D30" s="4"/>
      <c r="E30" s="4"/>
      <c r="F30" s="4"/>
      <c r="G30" s="4"/>
    </row>
    <row r="31" ht="23.85" hidden="0" outlineLevel="0" collapsed="0">
      <c r="A31" s="22" t="s">
        <v>24</v>
      </c>
      <c r="B31" s="4" t="s">
        <v>25</v>
      </c>
      <c r="C31" s="4"/>
      <c r="D31" s="4"/>
      <c r="E31" s="4"/>
      <c r="F31" s="4"/>
      <c r="G31" s="4"/>
    </row>
  </sheetData>
  <mergeCells count="5">
    <mergeCell ref="A1:G1"/>
    <mergeCell ref="A2:G2"/>
    <mergeCell ref="B29:G29"/>
    <mergeCell ref="B30:G30"/>
    <mergeCell ref="B31:G31"/>
  </mergeCells>
  <dataValidations count="1">
    <dataValidation sqref="B3">
      <formula1>1</formula1>
    </dataValidation>
  </dataValidations>
  <printOptions/>
  <pageMargins left="0.7" right="0.7" top="0.75" bottom="0.75" header="0.511811023622047" footer="0.511811023622047"/>
  <pageSetup paperSize="1" scale="100" fitToWidth="1" fitToHeight="1" pageOrder="downThenOver" orientation="portrait" copies="1" horizontalDpi="300" verticalDpi="300"/>
  <headerFooter>
    <oddHeader/>
    <oddFooter/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 mc:Ignorable="xr2">
  <sheetPr>
    <pageSetUpPr/>
  </sheetPr>
  <dimension ref="A1:G18"/>
  <sheetViews>
    <sheetView showGridLines="0" topLeftCell="A1" zoomScaleNormal="100" zoomScalePageLayoutView="100" workbookViewId="0">
      <selection activeCell="A1" sqref="A1"/>
    </sheetView>
  </sheetViews>
  <sheetFormatPr defaultColWidth="8.6796875" defaultRowHeight="15"/>
  <cols>
    <col min="1" max="1" width="38" hidden="0" customWidth="1" outlineLevel="0" collapsed="0"/>
    <col min="2" max="8" width="15" hidden="0" customWidth="1" outlineLevel="0" collapsed="0"/>
  </cols>
  <sheetData>
    <row r="1" ht="26" hidden="0" outlineLevel="0" collapsed="0">
      <c r="A1" s="1" t="s">
        <v>516</v>
      </c>
      <c r="B1" s="1" t="s">
        <v>516</v>
      </c>
      <c r="C1" s="1" t="s">
        <v>516</v>
      </c>
      <c r="D1" s="1" t="s">
        <v>516</v>
      </c>
      <c r="E1" s="1" t="s">
        <v>516</v>
      </c>
      <c r="F1" s="1" t="s">
        <v>516</v>
      </c>
      <c r="G1" s="1" t="s">
        <v>516</v>
      </c>
    </row>
    <row r="2" ht="30" hidden="0" outlineLevel="0" collapsed="0">
      <c r="A2" s="2" t="s">
        <v>517</v>
      </c>
      <c r="B2" s="2" t="s">
        <v>517</v>
      </c>
      <c r="C2" s="2" t="s">
        <v>517</v>
      </c>
      <c r="D2" s="2" t="s">
        <v>517</v>
      </c>
      <c r="E2" s="2" t="s">
        <v>517</v>
      </c>
      <c r="F2" s="2" t="s">
        <v>517</v>
      </c>
      <c r="G2" s="2" t="s">
        <v>517</v>
      </c>
    </row>
    <row r="4" ht="15" hidden="0" outlineLevel="0" collapsed="0">
      <c r="A4" s="7" t="s">
        <v>31</v>
      </c>
      <c r="B4" s="8" t="s">
        <v>33</v>
      </c>
      <c r="C4" s="8" t="s">
        <v>518</v>
      </c>
      <c r="D4" s="8" t="s">
        <v>519</v>
      </c>
      <c r="E4" s="8" t="s">
        <v>520</v>
      </c>
      <c r="F4" s="8" t="s">
        <v>521</v>
      </c>
      <c r="G4" s="9" t="s">
        <v>522</v>
      </c>
    </row>
    <row r="5" ht="15" hidden="0" outlineLevel="0" collapsed="0">
      <c r="A5" s="16" t="s">
        <v>48</v>
      </c>
      <c r="B5" s="16" t="s">
        <v>49</v>
      </c>
      <c r="C5" s="29">
        <f>Sector_KPIs!F8</f>
        <v>28858.500000000004</v>
      </c>
      <c r="D5" s="29">
        <f>Sector_KPIs!G8</f>
        <v>30382.347000000005</v>
      </c>
      <c r="E5" s="29">
        <f>Sector_KPIs!H8</f>
        <v>31987.719030000007</v>
      </c>
      <c r="F5" s="29">
        <f>Sector_KPIs!I8</f>
        <v>33679.02184950001</v>
      </c>
      <c r="G5" s="29">
        <f>Sector_KPIs!J8</f>
        <v>35460.90146739901</v>
      </c>
    </row>
    <row r="6" ht="15" hidden="0" outlineLevel="0" collapsed="0">
      <c r="A6" s="16" t="s">
        <v>523</v>
      </c>
      <c r="B6" s="16" t="s">
        <v>49</v>
      </c>
      <c r="C6" s="29">
        <f>Sector_KPIs!F12</f>
        <v>7501.040000000001</v>
      </c>
      <c r="D6" s="29">
        <f>Sector_KPIs!G12</f>
        <v>8226.256400000002</v>
      </c>
      <c r="E6" s="29">
        <f>Sector_KPIs!H12</f>
        <v>9015.816932000003</v>
      </c>
      <c r="F6" s="29">
        <f>Sector_KPIs!I12</f>
        <v>9875.339837000003</v>
      </c>
      <c r="G6" s="29">
        <f>Sector_KPIs!J12</f>
        <v>10810.933205152405</v>
      </c>
    </row>
    <row r="7" ht="15" hidden="0" outlineLevel="0" collapsed="0">
      <c r="A7" s="0" t="s">
        <v>101</v>
      </c>
      <c r="B7" s="0" t="s">
        <v>49</v>
      </c>
      <c r="C7" s="30">
        <f>C5*Assumptions!$F$16</f>
        <v>6926.040000000001</v>
      </c>
      <c r="D7" s="30">
        <f>D5*Assumptions!$F$16</f>
        <v>7291.763280000001</v>
      </c>
      <c r="E7" s="30">
        <f>E5*Assumptions!$F$16</f>
        <v>7677.052567200001</v>
      </c>
      <c r="F7" s="30">
        <f>F5*Assumptions!$F$16</f>
        <v>8082.965243880001</v>
      </c>
      <c r="G7" s="30">
        <f>G5*Assumptions!$F$16</f>
        <v>8510.616352175763</v>
      </c>
    </row>
    <row r="8" ht="15" hidden="0" outlineLevel="0" collapsed="0">
      <c r="A8" s="16" t="s">
        <v>524</v>
      </c>
      <c r="B8" s="16" t="s">
        <v>49</v>
      </c>
      <c r="C8" s="29">
        <f>C5*Assumptions!$F$15</f>
        <v>8715.267000000002</v>
      </c>
      <c r="D8" s="29">
        <f>D5*Assumptions!$F$15</f>
        <v>9175.468794000002</v>
      </c>
      <c r="E8" s="29">
        <f>E5*Assumptions!$F$15</f>
        <v>9660.291147060001</v>
      </c>
      <c r="F8" s="29">
        <f>F5*Assumptions!$F$15</f>
        <v>10171.064598549003</v>
      </c>
      <c r="G8" s="29">
        <f>G5*Assumptions!$F$15</f>
        <v>10709.1922431545</v>
      </c>
    </row>
    <row r="9" ht="15" hidden="0" outlineLevel="0" collapsed="0">
      <c r="A9" s="0" t="s">
        <v>525</v>
      </c>
      <c r="B9" s="0" t="s">
        <v>49</v>
      </c>
      <c r="C9" s="30">
        <f>MAX(0,C8*Assumptions!$F$17)</f>
        <v>1220.1373800000003</v>
      </c>
      <c r="D9" s="30">
        <f>MAX(0,D8*Assumptions!$F$17)</f>
        <v>1284.5656311600005</v>
      </c>
      <c r="E9" s="30">
        <f>MAX(0,E8*Assumptions!$F$17)</f>
        <v>1352.4407605884003</v>
      </c>
      <c r="F9" s="30">
        <f>MAX(0,F8*Assumptions!$F$17)</f>
        <v>1423.9490437968605</v>
      </c>
      <c r="G9" s="30">
        <f>MAX(0,G8*Assumptions!$F$17)</f>
        <v>1499.2869140416303</v>
      </c>
    </row>
    <row r="10" ht="15" hidden="0" outlineLevel="0" collapsed="0">
      <c r="A10" s="16" t="s">
        <v>526</v>
      </c>
      <c r="B10" s="16" t="s">
        <v>49</v>
      </c>
      <c r="C10" s="29">
        <f>C8-C9</f>
        <v>7495.1296200000015</v>
      </c>
      <c r="D10" s="29">
        <f>D8-D9</f>
        <v>7890.903162840002</v>
      </c>
      <c r="E10" s="29">
        <f>E8-E9</f>
        <v>8307.8503864716</v>
      </c>
      <c r="F10" s="29">
        <f>F8-F9</f>
        <v>8747.115554752143</v>
      </c>
      <c r="G10" s="29">
        <f>G8-G9</f>
        <v>9209.905329112871</v>
      </c>
    </row>
    <row r="11" ht="15" hidden="0" outlineLevel="0" collapsed="0">
      <c r="A11" s="0" t="s">
        <v>527</v>
      </c>
      <c r="B11" s="0" t="s">
        <v>49</v>
      </c>
      <c r="C11" s="30">
        <f>C7</f>
        <v>6926.040000000001</v>
      </c>
      <c r="D11" s="30">
        <f>D7</f>
        <v>7291.763280000001</v>
      </c>
      <c r="E11" s="30">
        <f>E7</f>
        <v>7677.052567200001</v>
      </c>
      <c r="F11" s="30">
        <f>F7</f>
        <v>8082.965243880001</v>
      </c>
      <c r="G11" s="30">
        <f>G7</f>
        <v>8510.616352175763</v>
      </c>
    </row>
    <row r="12" ht="15" hidden="0" outlineLevel="0" collapsed="0">
      <c r="A12" s="0" t="s">
        <v>528</v>
      </c>
      <c r="B12" s="0" t="s">
        <v>49</v>
      </c>
      <c r="C12" s="30">
        <f>Sector_KPIs!F22</f>
        <v>27565</v>
      </c>
      <c r="D12" s="30">
        <f>Sector_KPIs!G22</f>
        <v>21600</v>
      </c>
      <c r="E12" s="30">
        <f>Sector_KPIs!H22</f>
        <v>16720</v>
      </c>
      <c r="F12" s="30">
        <f>Sector_KPIs!I22</f>
        <v>14025</v>
      </c>
      <c r="G12" s="30">
        <f>Sector_KPIs!J22</f>
        <v>14275</v>
      </c>
    </row>
    <row r="13" ht="15" hidden="0" outlineLevel="0" collapsed="0">
      <c r="A13" s="0" t="s">
        <v>529</v>
      </c>
      <c r="B13" s="0" t="s">
        <v>49</v>
      </c>
      <c r="C13" s="30">
        <f>MAX(0,(Sector_KPIs!F8-Sector_KPIs!E8)*Assumptions!$F$18)</f>
        <v>14.465000000000037</v>
      </c>
      <c r="D13" s="30">
        <f>MAX(0,(Sector_KPIs!G8-Sector_KPIs!F8)*Assumptions!$F$18)</f>
        <v>15.238470000000016</v>
      </c>
      <c r="E13" s="30">
        <f>MAX(0,(Sector_KPIs!H8-Sector_KPIs!G8)*Assumptions!$F$18)</f>
        <v>16.053720300000023</v>
      </c>
      <c r="F13" s="30">
        <f>MAX(0,(Sector_KPIs!I8-Sector_KPIs!H8)*Assumptions!$F$18)</f>
        <v>16.913028195000006</v>
      </c>
      <c r="G13" s="30">
        <f>MAX(0,(Sector_KPIs!J8-Sector_KPIs!I8)*Assumptions!$F$18)</f>
        <v>17.818796178990016</v>
      </c>
    </row>
    <row r="14" ht="15" hidden="0" outlineLevel="0" collapsed="0">
      <c r="A14" s="16" t="s">
        <v>530</v>
      </c>
      <c r="B14" s="16" t="s">
        <v>49</v>
      </c>
      <c r="C14" s="29">
        <f>C10+C11-C12-C13</f>
        <v>-13158.295379999998</v>
      </c>
      <c r="D14" s="29">
        <f>D10+D11-D12-D13</f>
        <v>-6432.572027159997</v>
      </c>
      <c r="E14" s="29">
        <f>E10+E11-E12-E13</f>
        <v>-751.1507666283993</v>
      </c>
      <c r="F14" s="29">
        <f>F10+F11-F12-F13</f>
        <v>2788.167770437145</v>
      </c>
      <c r="G14" s="29">
        <f>G10+G11-G12-G13</f>
        <v>3427.7028851096456</v>
      </c>
    </row>
    <row r="15" ht="15" hidden="0" outlineLevel="0" collapsed="0">
      <c r="A15" s="0" t="s">
        <v>531</v>
      </c>
      <c r="B15" s="0" t="s">
        <v>274</v>
      </c>
      <c r="C15" s="31">
        <f>IFERROR(C14/C5,0)</f>
        <v>-0.45595908934975815</v>
      </c>
      <c r="D15" s="31">
        <f>IFERROR(D14/D5,0)</f>
        <v>-0.2117207083165759</v>
      </c>
      <c r="E15" s="31">
        <f>IFERROR(E14/E5,0)</f>
        <v>-0.02348247356818174</v>
      </c>
      <c r="F15" s="31">
        <f>IFERROR(F14/F5,0)</f>
        <v>0.08278648301891041</v>
      </c>
      <c r="G15" s="31">
        <f>IFERROR(G14/G5,0)</f>
        <v>0.09666147061323033</v>
      </c>
    </row>
    <row r="18" ht="35" hidden="0" outlineLevel="0" collapsed="0">
      <c r="A18" s="6" t="s">
        <v>532</v>
      </c>
      <c r="B18" s="6" t="s">
        <v>532</v>
      </c>
      <c r="C18" s="6" t="s">
        <v>532</v>
      </c>
      <c r="D18" s="6" t="s">
        <v>532</v>
      </c>
      <c r="E18" s="6" t="s">
        <v>532</v>
      </c>
      <c r="F18" s="6" t="s">
        <v>532</v>
      </c>
      <c r="G18" s="6" t="s">
        <v>532</v>
      </c>
    </row>
  </sheetData>
  <mergeCells count="3">
    <mergeCell ref="A1:G1"/>
    <mergeCell ref="A2:G2"/>
    <mergeCell ref="A18:G18"/>
  </mergeCells>
  <printOptions/>
  <pageMargins left="0.7" right="0.7" top="0.75" bottom="0.75" header="0.511811023622047" footer="0.511811023622047"/>
  <pageSetup paperSize="1" scale="100" fitToWidth="1" fitToHeight="1" pageOrder="downThenOver" orientation="portrait" copies="1" horizontalDpi="300" verticalDpi="300"/>
  <headerFooter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 mc:Ignorable="xr2">
  <sheetPr>
    <pageSetUpPr/>
  </sheetPr>
  <dimension ref="A1:F31"/>
  <sheetViews>
    <sheetView showGridLines="0" topLeftCell="A1" zoomScaleNormal="100" zoomScalePageLayoutView="100" workbookViewId="0">
      <selection activeCell="A1" sqref="A1"/>
    </sheetView>
  </sheetViews>
  <sheetFormatPr defaultColWidth="8.6796875" defaultRowHeight="15"/>
  <cols>
    <col min="1" max="1" width="38" hidden="0" customWidth="1" outlineLevel="0" collapsed="0"/>
    <col min="2" max="2" width="20" hidden="0" customWidth="1" outlineLevel="0" collapsed="0"/>
    <col min="3" max="5" width="15" hidden="0" customWidth="1" outlineLevel="0" collapsed="0"/>
    <col min="6" max="6" width="20" hidden="0" customWidth="1" outlineLevel="0" collapsed="0"/>
    <col min="7" max="8" width="15" hidden="0" customWidth="1" outlineLevel="0" collapsed="0"/>
  </cols>
  <sheetData>
    <row r="1" ht="26" hidden="0" outlineLevel="0" collapsed="0">
      <c r="A1" s="1" t="s">
        <v>533</v>
      </c>
      <c r="B1" s="1" t="s">
        <v>533</v>
      </c>
      <c r="C1" s="1" t="s">
        <v>533</v>
      </c>
      <c r="D1" s="1" t="s">
        <v>533</v>
      </c>
      <c r="E1" s="1" t="s">
        <v>533</v>
      </c>
      <c r="F1" s="1" t="s">
        <v>533</v>
      </c>
    </row>
    <row r="2" ht="30" hidden="0" outlineLevel="0" collapsed="0">
      <c r="A2" s="2" t="s">
        <v>534</v>
      </c>
      <c r="B2" s="2" t="s">
        <v>534</v>
      </c>
      <c r="C2" s="2" t="s">
        <v>534</v>
      </c>
      <c r="D2" s="2" t="s">
        <v>534</v>
      </c>
      <c r="E2" s="2" t="s">
        <v>534</v>
      </c>
      <c r="F2" s="2" t="s">
        <v>534</v>
      </c>
    </row>
    <row r="4" ht="23.85" hidden="0" outlineLevel="0" collapsed="0">
      <c r="A4" s="7" t="s">
        <v>535</v>
      </c>
      <c r="B4" s="8" t="s">
        <v>536</v>
      </c>
      <c r="C4" s="8" t="s">
        <v>537</v>
      </c>
      <c r="D4" s="8" t="s">
        <v>538</v>
      </c>
      <c r="E4" s="8" t="s">
        <v>539</v>
      </c>
      <c r="F4" s="9" t="s">
        <v>449</v>
      </c>
    </row>
    <row r="5" ht="15" hidden="0" outlineLevel="0" collapsed="0">
      <c r="A5" s="0" t="s">
        <v>540</v>
      </c>
      <c r="B5" s="32">
        <f>Sector_KPIs!F9</f>
        <v>5463.080000000001</v>
      </c>
      <c r="C5" s="33">
        <f>Assumptions!$F$19</f>
        <v>20</v>
      </c>
      <c r="D5" s="32">
        <f>B5*C5</f>
        <v>109261.60000000002</v>
      </c>
      <c r="E5" s="0" t="s">
        <v>541</v>
      </c>
      <c r="F5" s="0" t="s">
        <v>480</v>
      </c>
    </row>
    <row r="6" ht="15" hidden="0" outlineLevel="0" collapsed="0">
      <c r="A6" s="0" t="s">
        <v>542</v>
      </c>
      <c r="B6" s="32">
        <f>Sector_KPIs!F10</f>
        <v>3213</v>
      </c>
      <c r="C6" s="33">
        <f>Assumptions!$F$20</f>
        <v>22</v>
      </c>
      <c r="D6" s="32">
        <f>B6*C6</f>
        <v>70686</v>
      </c>
      <c r="E6" s="0" t="s">
        <v>543</v>
      </c>
      <c r="F6" s="0" t="s">
        <v>480</v>
      </c>
    </row>
    <row r="7" ht="15" hidden="0" outlineLevel="0" collapsed="0">
      <c r="A7" s="0" t="s">
        <v>544</v>
      </c>
      <c r="B7" s="32">
        <f>Sector_KPIs!F11</f>
        <v>-1175.04</v>
      </c>
      <c r="C7" s="33">
        <f>Assumptions!$F$21</f>
        <v>15</v>
      </c>
      <c r="D7" s="32">
        <f>B7*C7</f>
        <v>-17625.6</v>
      </c>
      <c r="E7" s="0" t="s">
        <v>545</v>
      </c>
      <c r="F7" s="0" t="s">
        <v>480</v>
      </c>
    </row>
    <row r="8" ht="15" hidden="0" outlineLevel="0" collapsed="0">
      <c r="B8" s="32"/>
      <c r="C8" s="32"/>
      <c r="D8" s="32"/>
    </row>
    <row r="9" ht="15" hidden="0" outlineLevel="0" collapsed="0">
      <c r="A9" s="16" t="s">
        <v>546</v>
      </c>
      <c r="B9" s="17">
        <f>SUM(D5:D7)</f>
        <v>162322.00000000003</v>
      </c>
      <c r="C9" s="32"/>
      <c r="D9" s="32"/>
    </row>
    <row r="10" ht="15" hidden="0" outlineLevel="0" collapsed="0">
      <c r="A10" s="19" t="s">
        <v>547</v>
      </c>
      <c r="B10" s="20">
        <f>Sector_KPIs!F23</f>
        <v>2080.9529999999995</v>
      </c>
      <c r="C10" s="32"/>
      <c r="D10" s="32"/>
    </row>
    <row r="11" ht="15" hidden="0" outlineLevel="0" collapsed="0">
      <c r="A11" s="19" t="s">
        <v>548</v>
      </c>
      <c r="B11" s="34">
        <f>IFERROR(B9/B10,0)</f>
        <v>78.00368388906432</v>
      </c>
    </row>
    <row r="12" ht="15" hidden="0" outlineLevel="0" collapsed="0">
      <c r="A12" s="19" t="s">
        <v>16</v>
      </c>
      <c r="B12" s="19" t="s">
        <v>549</v>
      </c>
    </row>
    <row r="13" ht="15" hidden="0" outlineLevel="0" collapsed="0">
      <c r="A13" s="19" t="s">
        <v>550</v>
      </c>
      <c r="B13" s="19" t="s">
        <v>551</v>
      </c>
    </row>
    <row r="14" ht="15" hidden="0" outlineLevel="0" collapsed="0">
      <c r="A14" s="19" t="s">
        <v>552</v>
      </c>
      <c r="B14" s="34">
        <f>Sector_KPIs!F24</f>
        <v>2.4516</v>
      </c>
    </row>
    <row r="15" ht="15" hidden="0" outlineLevel="0" collapsed="0">
      <c r="A15" s="19" t="s">
        <v>553</v>
      </c>
      <c r="B15" s="34">
        <f>IFERROR(B14/(Assumptions!$F$23-Assumptions!$F$24),0)</f>
        <v>61.29</v>
      </c>
    </row>
    <row r="16" ht="15" hidden="0" outlineLevel="0" collapsed="0">
      <c r="A16" s="19" t="s">
        <v>554</v>
      </c>
      <c r="B16" s="35">
        <f>IFERROR(B15/B11-1,0)</f>
        <v>-0.21426787884575138</v>
      </c>
    </row>
    <row r="29" ht="23.85" hidden="0" outlineLevel="0" collapsed="0">
      <c r="A29" s="22" t="s">
        <v>555</v>
      </c>
      <c r="B29" s="4" t="s">
        <v>556</v>
      </c>
      <c r="C29" s="4"/>
      <c r="D29" s="4"/>
      <c r="E29" s="4"/>
      <c r="F29" s="4"/>
    </row>
    <row r="30" ht="35.05" hidden="0" outlineLevel="0" collapsed="0">
      <c r="A30" s="22" t="s">
        <v>557</v>
      </c>
      <c r="B30" s="4" t="s">
        <v>558</v>
      </c>
      <c r="C30" s="4"/>
      <c r="D30" s="4"/>
      <c r="E30" s="4"/>
      <c r="F30" s="4"/>
    </row>
    <row r="31" ht="23.85" hidden="0" outlineLevel="0" collapsed="0">
      <c r="A31" s="22" t="s">
        <v>559</v>
      </c>
      <c r="B31" s="4" t="s">
        <v>560</v>
      </c>
      <c r="C31" s="4"/>
      <c r="D31" s="4"/>
      <c r="E31" s="4"/>
      <c r="F31" s="4"/>
    </row>
  </sheetData>
  <mergeCells count="5">
    <mergeCell ref="A1:F1"/>
    <mergeCell ref="A2:F2"/>
    <mergeCell ref="B29:F29"/>
    <mergeCell ref="B30:F30"/>
    <mergeCell ref="B31:F31"/>
  </mergeCells>
  <printOptions/>
  <pageMargins left="0.7" right="0.7" top="0.75" bottom="0.75" header="0.511811023622047" footer="0.511811023622047"/>
  <pageSetup paperSize="1" scale="100" fitToWidth="1" fitToHeight="1" pageOrder="downThenOver" orientation="portrait" copies="1" horizontalDpi="300" verticalDpi="300"/>
  <headerFooter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 mc:Ignorable="xr2">
  <sheetPr>
    <pageSetUpPr/>
  </sheetPr>
  <dimension ref="A1:H9"/>
  <sheetViews>
    <sheetView showGridLines="0" topLeftCell="A1" zoomScaleNormal="100" zoomScalePageLayoutView="100" workbookViewId="0">
      <selection activeCell="A1" sqref="A1"/>
    </sheetView>
  </sheetViews>
  <sheetFormatPr defaultColWidth="8.6796875" defaultRowHeight="15"/>
  <cols>
    <col min="1" max="1" width="27" hidden="0" customWidth="1" outlineLevel="0" collapsed="0"/>
    <col min="2" max="6" width="14" hidden="0" customWidth="1" outlineLevel="0" collapsed="0"/>
    <col min="7" max="7" width="18" hidden="0" customWidth="1" outlineLevel="0" collapsed="0"/>
    <col min="8" max="8" width="16" hidden="0" customWidth="1" outlineLevel="0" collapsed="0"/>
  </cols>
  <sheetData>
    <row r="1" ht="26" hidden="0" outlineLevel="0" collapsed="0">
      <c r="A1" s="1" t="s">
        <v>561</v>
      </c>
      <c r="B1" s="1" t="s">
        <v>561</v>
      </c>
      <c r="C1" s="1" t="s">
        <v>561</v>
      </c>
      <c r="D1" s="1" t="s">
        <v>561</v>
      </c>
      <c r="E1" s="1" t="s">
        <v>561</v>
      </c>
      <c r="F1" s="1" t="s">
        <v>561</v>
      </c>
      <c r="G1" s="1" t="s">
        <v>561</v>
      </c>
      <c r="H1" s="1" t="s">
        <v>561</v>
      </c>
    </row>
    <row r="2" ht="30" hidden="0" outlineLevel="0" collapsed="0">
      <c r="A2" s="2" t="s">
        <v>562</v>
      </c>
      <c r="B2" s="2" t="s">
        <v>562</v>
      </c>
      <c r="C2" s="2" t="s">
        <v>562</v>
      </c>
      <c r="D2" s="2" t="s">
        <v>562</v>
      </c>
      <c r="E2" s="2" t="s">
        <v>562</v>
      </c>
      <c r="F2" s="2" t="s">
        <v>562</v>
      </c>
      <c r="G2" s="2" t="s">
        <v>562</v>
      </c>
      <c r="H2" s="2" t="s">
        <v>562</v>
      </c>
    </row>
    <row r="4" ht="15" hidden="0" outlineLevel="0" collapsed="0">
      <c r="A4" s="7" t="s">
        <v>563</v>
      </c>
      <c r="B4" s="36">
        <f>Assumptions!$F$20+-4</f>
        <v>18</v>
      </c>
      <c r="C4" s="36">
        <f>Assumptions!$F$20+-2</f>
        <v>20</v>
      </c>
      <c r="D4" s="36">
        <f>Assumptions!$F$20+0</f>
        <v>22</v>
      </c>
      <c r="E4" s="36">
        <f>Assumptions!$F$20+2</f>
        <v>24</v>
      </c>
      <c r="F4" s="36">
        <f>Assumptions!$F$20+4</f>
        <v>26</v>
      </c>
      <c r="G4" s="8" t="s">
        <v>564</v>
      </c>
      <c r="H4" s="37">
        <f>Valuation!B11</f>
        <v>78.00368388906432</v>
      </c>
    </row>
    <row r="5" ht="15" hidden="0" outlineLevel="0" collapsed="0">
      <c r="A5" s="33">
        <f>Assumptions!$F$19+-4</f>
        <v>16</v>
      </c>
      <c r="B5" s="38">
        <f>IFERROR((Sector_KPIs!F9*$A5+Sector_KPIs!F10*B$4+Sector_KPIs!F11*Assumptions!$F$21)/Sector_KPIs!F23,0)</f>
        <v>61.3265556694457</v>
      </c>
      <c r="C5" s="38">
        <f>IFERROR((Sector_KPIs!F9*$A5+Sector_KPIs!F10*C$4+Sector_KPIs!F11*Assumptions!$F$21)/Sector_KPIs!F23,0)</f>
        <v>64.41456390413434</v>
      </c>
      <c r="D5" s="38">
        <f>IFERROR((Sector_KPIs!F9*$A5+Sector_KPIs!F10*D$4+Sector_KPIs!F11*Assumptions!$F$21)/Sector_KPIs!F23,0)</f>
        <v>67.50257213882296</v>
      </c>
      <c r="E5" s="38">
        <f>IFERROR((Sector_KPIs!F9*$A5+Sector_KPIs!F10*E$4+Sector_KPIs!F11*Assumptions!$F$21)/Sector_KPIs!F23,0)</f>
        <v>70.59058037351159</v>
      </c>
      <c r="F5" s="38">
        <f>IFERROR((Sector_KPIs!F9*$A5+Sector_KPIs!F10*F$4+Sector_KPIs!F11*Assumptions!$F$21)/Sector_KPIs!F23,0)</f>
        <v>73.67858860820022</v>
      </c>
    </row>
    <row r="6" ht="15" hidden="0" outlineLevel="0" collapsed="0">
      <c r="A6" s="33">
        <f>Assumptions!$F$19+-2</f>
        <v>18</v>
      </c>
      <c r="B6" s="38">
        <f>IFERROR((Sector_KPIs!F9*$A6+Sector_KPIs!F10*B$4+Sector_KPIs!F11*Assumptions!$F$21)/Sector_KPIs!F23,0)</f>
        <v>66.57711154456638</v>
      </c>
      <c r="C6" s="38">
        <f>IFERROR((Sector_KPIs!F9*$A6+Sector_KPIs!F10*C$4+Sector_KPIs!F11*Assumptions!$F$21)/Sector_KPIs!F23,0)</f>
        <v>69.665119779255</v>
      </c>
      <c r="D6" s="38">
        <f>IFERROR((Sector_KPIs!F9*$A6+Sector_KPIs!F10*D$4+Sector_KPIs!F11*Assumptions!$F$21)/Sector_KPIs!F23,0)</f>
        <v>72.75312801394362</v>
      </c>
      <c r="E6" s="38">
        <f>IFERROR((Sector_KPIs!F9*$A6+Sector_KPIs!F10*E$4+Sector_KPIs!F11*Assumptions!$F$21)/Sector_KPIs!F23,0)</f>
        <v>75.84113624863225</v>
      </c>
      <c r="F6" s="38">
        <f>IFERROR((Sector_KPIs!F9*$A6+Sector_KPIs!F10*F$4+Sector_KPIs!F11*Assumptions!$F$21)/Sector_KPIs!F23,0)</f>
        <v>78.92914448332088</v>
      </c>
    </row>
    <row r="7" ht="15" hidden="0" outlineLevel="0" collapsed="0">
      <c r="A7" s="33">
        <f>Assumptions!$F$19+0</f>
        <v>20</v>
      </c>
      <c r="B7" s="38">
        <f>IFERROR((Sector_KPIs!F9*$A7+Sector_KPIs!F10*B$4+Sector_KPIs!F11*Assumptions!$F$21)/Sector_KPIs!F23,0)</f>
        <v>71.82766741968707</v>
      </c>
      <c r="C7" s="38">
        <f>IFERROR((Sector_KPIs!F9*$A7+Sector_KPIs!F10*C$4+Sector_KPIs!F11*Assumptions!$F$21)/Sector_KPIs!F23,0)</f>
        <v>74.91567565437569</v>
      </c>
      <c r="D7" s="39">
        <f>IFERROR((Sector_KPIs!F9*$A7+Sector_KPIs!F10*D$4+Sector_KPIs!F11*Assumptions!$F$21)/Sector_KPIs!F23,0)</f>
        <v>78.00368388906432</v>
      </c>
      <c r="E7" s="38">
        <f>IFERROR((Sector_KPIs!F9*$A7+Sector_KPIs!F10*E$4+Sector_KPIs!F11*Assumptions!$F$21)/Sector_KPIs!F23,0)</f>
        <v>81.09169212375295</v>
      </c>
      <c r="F7" s="38">
        <f>IFERROR((Sector_KPIs!F9*$A7+Sector_KPIs!F10*F$4+Sector_KPIs!F11*Assumptions!$F$21)/Sector_KPIs!F23,0)</f>
        <v>84.17970035844158</v>
      </c>
    </row>
    <row r="8" ht="15" hidden="0" outlineLevel="0" collapsed="0">
      <c r="A8" s="33">
        <f>Assumptions!$F$19+2</f>
        <v>22</v>
      </c>
      <c r="B8" s="38">
        <f>IFERROR((Sector_KPIs!F9*$A8+Sector_KPIs!F10*B$4+Sector_KPIs!F11*Assumptions!$F$21)/Sector_KPIs!F23,0)</f>
        <v>77.07822329480773</v>
      </c>
      <c r="C8" s="38">
        <f>IFERROR((Sector_KPIs!F9*$A8+Sector_KPIs!F10*C$4+Sector_KPIs!F11*Assumptions!$F$21)/Sector_KPIs!F23,0)</f>
        <v>80.16623152949636</v>
      </c>
      <c r="D8" s="38">
        <f>IFERROR((Sector_KPIs!F9*$A8+Sector_KPIs!F10*D$4+Sector_KPIs!F11*Assumptions!$F$21)/Sector_KPIs!F23,0)</f>
        <v>83.25423976418499</v>
      </c>
      <c r="E8" s="38">
        <f>IFERROR((Sector_KPIs!F9*$A8+Sector_KPIs!F10*E$4+Sector_KPIs!F11*Assumptions!$F$21)/Sector_KPIs!F23,0)</f>
        <v>86.34224799887362</v>
      </c>
      <c r="F8" s="38">
        <f>IFERROR((Sector_KPIs!F9*$A8+Sector_KPIs!F10*F$4+Sector_KPIs!F11*Assumptions!$F$21)/Sector_KPIs!F23,0)</f>
        <v>89.43025623356225</v>
      </c>
    </row>
    <row r="9" ht="15" hidden="0" outlineLevel="0" collapsed="0">
      <c r="A9" s="33">
        <f>Assumptions!$F$19+4</f>
        <v>24</v>
      </c>
      <c r="B9" s="38">
        <f>IFERROR((Sector_KPIs!F9*$A9+Sector_KPIs!F10*B$4+Sector_KPIs!F11*Assumptions!$F$21)/Sector_KPIs!F23,0)</f>
        <v>82.32877916992841</v>
      </c>
      <c r="C9" s="38">
        <f>IFERROR((Sector_KPIs!F9*$A9+Sector_KPIs!F10*C$4+Sector_KPIs!F11*Assumptions!$F$21)/Sector_KPIs!F23,0)</f>
        <v>85.41678740461704</v>
      </c>
      <c r="D9" s="38">
        <f>IFERROR((Sector_KPIs!F9*$A9+Sector_KPIs!F10*D$4+Sector_KPIs!F11*Assumptions!$F$21)/Sector_KPIs!F23,0)</f>
        <v>88.50479563930567</v>
      </c>
      <c r="E9" s="38">
        <f>IFERROR((Sector_KPIs!F9*$A9+Sector_KPIs!F10*E$4+Sector_KPIs!F11*Assumptions!$F$21)/Sector_KPIs!F23,0)</f>
        <v>91.5928038739943</v>
      </c>
      <c r="F9" s="38">
        <f>IFERROR((Sector_KPIs!F9*$A9+Sector_KPIs!F10*F$4+Sector_KPIs!F11*Assumptions!$F$21)/Sector_KPIs!F23,0)</f>
        <v>94.68081210868293</v>
      </c>
    </row>
  </sheetData>
  <mergeCells count="2">
    <mergeCell ref="A1:H1"/>
    <mergeCell ref="A2:H2"/>
  </mergeCells>
  <conditionalFormatting sqref="B5:F9">
    <cfRule type="colorScale" priority="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rintOptions/>
  <pageMargins left="0.7" right="0.7" top="0.75" bottom="0.75" header="0.511811023622047" footer="0.511811023622047"/>
  <pageSetup paperSize="1" scale="100" fitToWidth="1" fitToHeight="1" pageOrder="downThenOver" orientation="portrait" copies="1" horizontalDpi="300" verticalDpi="300"/>
  <headerFooter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 mc:Ignorable="xr2">
  <sheetPr>
    <pageSetUpPr/>
  </sheetPr>
  <dimension ref="A1:H16"/>
  <sheetViews>
    <sheetView showGridLines="0" topLeftCell="A1" zoomScaleNormal="100" zoomScalePageLayoutView="100" workbookViewId="0">
      <selection activeCell="A1" sqref="A1"/>
    </sheetView>
  </sheetViews>
  <sheetFormatPr defaultColWidth="8.6796875" defaultRowHeight="15"/>
  <cols>
    <col min="1" max="1" width="12" hidden="0" customWidth="1" outlineLevel="0" collapsed="0"/>
    <col min="2" max="2" width="34" hidden="0" customWidth="1" outlineLevel="0" collapsed="0"/>
    <col min="3" max="5" width="16" hidden="0" customWidth="1" outlineLevel="0" collapsed="0"/>
    <col min="6" max="6" width="13" hidden="0" customWidth="1" outlineLevel="0" collapsed="0"/>
    <col min="7" max="7" width="16" hidden="0" customWidth="1" outlineLevel="0" collapsed="0"/>
    <col min="8" max="8" width="66" hidden="0" customWidth="1" outlineLevel="0" collapsed="0"/>
  </cols>
  <sheetData>
    <row r="1" ht="26" hidden="0" outlineLevel="0" collapsed="0">
      <c r="A1" s="1" t="s">
        <v>565</v>
      </c>
      <c r="B1" s="1" t="s">
        <v>565</v>
      </c>
      <c r="C1" s="1" t="s">
        <v>565</v>
      </c>
      <c r="D1" s="1" t="s">
        <v>565</v>
      </c>
      <c r="E1" s="1" t="s">
        <v>565</v>
      </c>
      <c r="F1" s="1" t="s">
        <v>565</v>
      </c>
      <c r="G1" s="1" t="s">
        <v>565</v>
      </c>
      <c r="H1" s="1" t="s">
        <v>565</v>
      </c>
    </row>
    <row r="2" ht="30" hidden="0" outlineLevel="0" collapsed="0">
      <c r="A2" s="2" t="s">
        <v>566</v>
      </c>
      <c r="B2" s="2" t="s">
        <v>566</v>
      </c>
      <c r="C2" s="2" t="s">
        <v>566</v>
      </c>
      <c r="D2" s="2" t="s">
        <v>566</v>
      </c>
      <c r="E2" s="2" t="s">
        <v>566</v>
      </c>
      <c r="F2" s="2" t="s">
        <v>566</v>
      </c>
      <c r="G2" s="2" t="s">
        <v>566</v>
      </c>
      <c r="H2" s="2" t="s">
        <v>566</v>
      </c>
    </row>
    <row r="3" ht="15" hidden="0" outlineLevel="0" collapsed="0">
      <c r="A3" s="0" t="s">
        <v>6</v>
      </c>
      <c r="B3" s="0" t="s">
        <v>7</v>
      </c>
    </row>
    <row r="4" ht="15" hidden="0" outlineLevel="0" collapsed="0">
      <c r="A4" s="0" t="s">
        <v>567</v>
      </c>
      <c r="B4" s="40" t="str">
        <f>IF(COUNTIF(G7:G16,"&lt;&gt;PASS")=0,"PASS","REMEDIATE")</f>
        <v>PASS</v>
      </c>
    </row>
    <row r="6" ht="15" hidden="0" outlineLevel="0" collapsed="0">
      <c r="A6" s="7" t="s">
        <v>568</v>
      </c>
      <c r="B6" s="8" t="s">
        <v>569</v>
      </c>
      <c r="C6" s="8" t="s">
        <v>570</v>
      </c>
      <c r="D6" s="8" t="s">
        <v>571</v>
      </c>
      <c r="E6" s="8" t="s">
        <v>572</v>
      </c>
      <c r="F6" s="8" t="s">
        <v>573</v>
      </c>
      <c r="G6" s="8" t="s">
        <v>574</v>
      </c>
      <c r="H6" s="9" t="s">
        <v>575</v>
      </c>
    </row>
    <row r="7" ht="15" hidden="0" outlineLevel="0" collapsed="0">
      <c r="A7" s="0" t="s">
        <v>576</v>
      </c>
      <c r="B7" s="0" t="s">
        <v>577</v>
      </c>
      <c r="C7" s="41">
        <f>COUNTBLANK(Sources!O5:O118)</f>
        <v>0</v>
      </c>
      <c r="D7" s="41">
        <v>0</v>
      </c>
      <c r="E7" s="41">
        <f>C7-D7</f>
        <v>0</v>
      </c>
      <c r="F7" s="41">
        <v>0.01</v>
      </c>
      <c r="G7" s="0" t="str">
        <f>IF(ABS(E7)&lt;=F7,"PASS","FAIL")</f>
        <v>PASS</v>
      </c>
      <c r="H7" s="0" t="s">
        <v>578</v>
      </c>
    </row>
    <row r="8" ht="15" hidden="0" outlineLevel="0" collapsed="0">
      <c r="A8" s="0" t="s">
        <v>579</v>
      </c>
      <c r="B8" s="0" t="s">
        <v>580</v>
      </c>
      <c r="C8" s="41">
        <f>COUNTBLANK(Sources!K5:K118)</f>
        <v>0</v>
      </c>
      <c r="D8" s="41">
        <v>0</v>
      </c>
      <c r="E8" s="41">
        <f>C8-D8</f>
        <v>0</v>
      </c>
      <c r="F8" s="41">
        <v>0.01</v>
      </c>
      <c r="G8" s="0" t="str">
        <f>IF(ABS(E8)&lt;=F8,"PASS","FAIL")</f>
        <v>PASS</v>
      </c>
      <c r="H8" s="0" t="s">
        <v>581</v>
      </c>
    </row>
    <row r="9" ht="15" hidden="0" outlineLevel="0" collapsed="0">
      <c r="A9" s="0" t="s">
        <v>582</v>
      </c>
      <c r="B9" s="0" t="s">
        <v>583</v>
      </c>
      <c r="C9" s="41">
        <f>Historical!E18-SUM(Historical!E14:E16)</f>
        <v>0</v>
      </c>
      <c r="D9" s="41">
        <v>0</v>
      </c>
      <c r="E9" s="41">
        <f>C9-D9</f>
        <v>0</v>
      </c>
      <c r="F9" s="41">
        <v>0.01</v>
      </c>
      <c r="G9" s="0" t="str">
        <f>IF(ABS(E9)&lt;=F9,"PASS","FAIL")</f>
        <v>PASS</v>
      </c>
      <c r="H9" s="0" t="s">
        <v>19</v>
      </c>
    </row>
    <row r="10" ht="15" hidden="0" outlineLevel="0" collapsed="0">
      <c r="A10" s="0" t="s">
        <v>584</v>
      </c>
      <c r="B10" s="0" t="s">
        <v>585</v>
      </c>
      <c r="C10" s="41">
        <f>Historical!E19-(Historical!E18-Historical!E13)</f>
        <v>0</v>
      </c>
      <c r="D10" s="41">
        <v>0</v>
      </c>
      <c r="E10" s="41">
        <f>C10-D10</f>
        <v>0</v>
      </c>
      <c r="F10" s="41">
        <v>0.01</v>
      </c>
      <c r="G10" s="0" t="str">
        <f>IF(ABS(E10)&lt;=F10,"PASS","FAIL")</f>
        <v>PASS</v>
      </c>
      <c r="H10" s="0" t="s">
        <v>21</v>
      </c>
    </row>
    <row r="11" ht="15" hidden="0" outlineLevel="0" collapsed="0">
      <c r="A11" s="0" t="s">
        <v>586</v>
      </c>
      <c r="B11" s="0" t="s">
        <v>587</v>
      </c>
      <c r="C11" s="41">
        <f>Sector_KPIs!E8-Historical!E5</f>
        <v>0</v>
      </c>
      <c r="D11" s="41">
        <v>0</v>
      </c>
      <c r="E11" s="41">
        <f>C11-D11</f>
        <v>0</v>
      </c>
      <c r="F11" s="41">
        <v>0.01</v>
      </c>
      <c r="G11" s="0" t="str">
        <f>IF(ABS(E11)&lt;=F11,"PASS","FAIL")</f>
        <v>PASS</v>
      </c>
      <c r="H11" s="0" t="s">
        <v>588</v>
      </c>
    </row>
    <row r="12" ht="15" hidden="0" outlineLevel="0" collapsed="0">
      <c r="A12" s="0" t="s">
        <v>589</v>
      </c>
      <c r="B12" s="0" t="s">
        <v>590</v>
      </c>
      <c r="C12" s="41">
        <f>Forecast!C5-Sector_KPIs!F8</f>
        <v>0</v>
      </c>
      <c r="D12" s="41">
        <v>0</v>
      </c>
      <c r="E12" s="41">
        <f>C12-D12</f>
        <v>0</v>
      </c>
      <c r="F12" s="41">
        <v>0.01</v>
      </c>
      <c r="G12" s="0" t="str">
        <f>IF(ABS(E12)&lt;=F12,"PASS","FAIL")</f>
        <v>PASS</v>
      </c>
      <c r="H12" s="0" t="s">
        <v>591</v>
      </c>
    </row>
    <row r="13" ht="15" hidden="0" outlineLevel="0" collapsed="0">
      <c r="A13" s="0" t="s">
        <v>592</v>
      </c>
      <c r="B13" s="0" t="s">
        <v>488</v>
      </c>
      <c r="C13" s="41">
        <f>IF(AND(Assumptions!B3&gt;=1,Assumptions!B3&lt;=3),1,0)</f>
        <v>1</v>
      </c>
      <c r="D13" s="41">
        <v>1</v>
      </c>
      <c r="E13" s="41">
        <f>C13-D13</f>
        <v>0</v>
      </c>
      <c r="F13" s="41">
        <v>0.01</v>
      </c>
      <c r="G13" s="0" t="str">
        <f>IF(ABS(E13)&lt;=F13,"PASS","FAIL")</f>
        <v>PASS</v>
      </c>
      <c r="H13" s="0" t="s">
        <v>593</v>
      </c>
    </row>
    <row r="14" ht="15" hidden="0" outlineLevel="0" collapsed="0">
      <c r="A14" s="0" t="s">
        <v>594</v>
      </c>
      <c r="B14" s="0" t="s">
        <v>595</v>
      </c>
      <c r="C14" s="41">
        <f>IF(Sector_KPIs!F23&gt;0,1,0)</f>
        <v>1</v>
      </c>
      <c r="D14" s="41">
        <v>1</v>
      </c>
      <c r="E14" s="41">
        <f>C14-D14</f>
        <v>0</v>
      </c>
      <c r="F14" s="41">
        <v>0.01</v>
      </c>
      <c r="G14" s="0" t="str">
        <f>IF(ABS(E14)&lt;=F14,"PASS","FAIL")</f>
        <v>PASS</v>
      </c>
      <c r="H14" s="0" t="s">
        <v>596</v>
      </c>
    </row>
    <row r="15" ht="15" hidden="0" outlineLevel="0" collapsed="0">
      <c r="A15" s="0" t="s">
        <v>597</v>
      </c>
      <c r="B15" s="0" t="s">
        <v>598</v>
      </c>
      <c r="C15" s="41">
        <f>Sensitivity!D7-Valuation!B11</f>
        <v>0</v>
      </c>
      <c r="D15" s="41">
        <v>0</v>
      </c>
      <c r="E15" s="41">
        <f>C15-D15</f>
        <v>0</v>
      </c>
      <c r="F15" s="41">
        <v>0.01</v>
      </c>
      <c r="G15" s="0" t="str">
        <f>IF(ABS(E15)&lt;=F15,"PASS","FAIL")</f>
        <v>PASS</v>
      </c>
      <c r="H15" s="0" t="s">
        <v>599</v>
      </c>
    </row>
    <row r="16" ht="15" hidden="0" outlineLevel="0" collapsed="0">
      <c r="A16" s="0" t="s">
        <v>600</v>
      </c>
      <c r="B16" s="0" t="s">
        <v>601</v>
      </c>
      <c r="C16" s="41">
        <f>IF(AND(ISNUMBER(Valuation!B11),Valuation!B11&gt;=0),1,0)</f>
        <v>1</v>
      </c>
      <c r="D16" s="41">
        <v>1</v>
      </c>
      <c r="E16" s="41">
        <f>C16-D16</f>
        <v>0</v>
      </c>
      <c r="F16" s="41">
        <v>0.01</v>
      </c>
      <c r="G16" s="0" t="str">
        <f>IF(ABS(E16)&lt;=F16,"PASS","FAIL")</f>
        <v>PASS</v>
      </c>
      <c r="H16" s="0" t="s">
        <v>602</v>
      </c>
    </row>
  </sheetData>
  <mergeCells count="2">
    <mergeCell ref="A1:H1"/>
    <mergeCell ref="A2:H2"/>
  </mergeCells>
  <conditionalFormatting sqref="G7:G16">
    <cfRule type="expression" priority="2" text="" dxfId="0">
      <formula>G7="PASS"</formula>
    </cfRule>
    <cfRule type="expression" priority="3" text="" dxfId="1">
      <formula>G7="FAIL"</formula>
    </cfRule>
  </conditionalFormatting>
  <printOptions/>
  <pageMargins left="0.7" right="0.7" top="0.75" bottom="0.75" header="0.511811023622047" footer="0.511811023622047"/>
  <pageSetup paperSize="1" scale="100" fitToWidth="1" fitToHeight="1" pageOrder="downThenOver" orientation="portrait" copies="1" horizontalDpi="300" verticalDpi="300"/>
  <headerFooter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 mc:Ignorable="xr2">
  <sheetPr>
    <pageSetUpPr/>
  </sheetPr>
  <dimension ref="A1:J35"/>
  <sheetViews>
    <sheetView showGridLines="0" topLeftCell="A1" zoomScaleNormal="100" zoomScalePageLayoutView="100" workbookViewId="0">
      <selection activeCell="A1" sqref="A1"/>
    </sheetView>
  </sheetViews>
  <sheetFormatPr defaultColWidth="8.6796875" defaultRowHeight="15"/>
  <cols>
    <col min="1" max="1" width="40" hidden="0" customWidth="1" outlineLevel="0" collapsed="0"/>
    <col min="2" max="2" width="16" hidden="0" customWidth="1" outlineLevel="0" collapsed="0"/>
    <col min="3" max="10" width="13" hidden="0" customWidth="1" outlineLevel="0" collapsed="0"/>
  </cols>
  <sheetData>
    <row r="1" ht="26" hidden="0" outlineLevel="0" collapsed="0">
      <c r="A1" s="1" t="s">
        <v>603</v>
      </c>
      <c r="B1" s="1" t="s">
        <v>603</v>
      </c>
      <c r="C1" s="1" t="s">
        <v>603</v>
      </c>
      <c r="D1" s="1" t="s">
        <v>603</v>
      </c>
      <c r="E1" s="1" t="s">
        <v>603</v>
      </c>
      <c r="F1" s="1" t="s">
        <v>603</v>
      </c>
      <c r="G1" s="1" t="s">
        <v>603</v>
      </c>
      <c r="H1" s="1" t="s">
        <v>603</v>
      </c>
      <c r="I1" s="1" t="s">
        <v>603</v>
      </c>
      <c r="J1" s="1" t="s">
        <v>603</v>
      </c>
    </row>
    <row r="2" ht="30" hidden="0" outlineLevel="0" collapsed="0">
      <c r="A2" s="2" t="s">
        <v>604</v>
      </c>
      <c r="B2" s="2" t="s">
        <v>604</v>
      </c>
      <c r="C2" s="2" t="s">
        <v>604</v>
      </c>
      <c r="D2" s="2" t="s">
        <v>604</v>
      </c>
      <c r="E2" s="2" t="s">
        <v>604</v>
      </c>
      <c r="F2" s="2" t="s">
        <v>604</v>
      </c>
      <c r="G2" s="2" t="s">
        <v>604</v>
      </c>
      <c r="H2" s="2" t="s">
        <v>604</v>
      </c>
      <c r="I2" s="2" t="s">
        <v>604</v>
      </c>
      <c r="J2" s="2" t="s">
        <v>604</v>
      </c>
    </row>
    <row r="4" ht="15" hidden="0" outlineLevel="0" collapsed="0">
      <c r="A4" s="7" t="s">
        <v>31</v>
      </c>
      <c r="B4" s="8" t="s">
        <v>33</v>
      </c>
      <c r="C4" s="8" t="s">
        <v>443</v>
      </c>
      <c r="D4" s="8" t="s">
        <v>444</v>
      </c>
      <c r="E4" s="8" t="s">
        <v>445</v>
      </c>
      <c r="F4" s="8" t="s">
        <v>518</v>
      </c>
      <c r="G4" s="8" t="s">
        <v>519</v>
      </c>
      <c r="H4" s="8" t="s">
        <v>520</v>
      </c>
      <c r="I4" s="8" t="s">
        <v>521</v>
      </c>
      <c r="J4" s="9" t="s">
        <v>522</v>
      </c>
    </row>
    <row r="5" ht="15" hidden="0" outlineLevel="0" collapsed="0">
      <c r="A5" s="13" t="s">
        <v>605</v>
      </c>
      <c r="B5" s="13" t="s">
        <v>49</v>
      </c>
      <c r="C5" s="14">
        <v>18365</v>
      </c>
      <c r="D5" s="14">
        <v>17019</v>
      </c>
      <c r="E5" s="14">
        <v>18262</v>
      </c>
      <c r="F5" s="42">
        <f>E5*(1+Assumptions!$F$7)</f>
        <v>19175.100000000002</v>
      </c>
      <c r="G5" s="42">
        <f>F5*(1+Assumptions!$F$7)</f>
        <v>20133.855000000003</v>
      </c>
      <c r="H5" s="42">
        <f>G5*(1+Assumptions!$F$7)</f>
        <v>21140.547750000005</v>
      </c>
      <c r="I5" s="42">
        <f>H5*(1+Assumptions!$F$7)</f>
        <v>22197.575137500007</v>
      </c>
      <c r="J5" s="42">
        <f>I5*(1+Assumptions!$F$7)</f>
        <v>23307.45389437501</v>
      </c>
    </row>
    <row r="6" ht="15" hidden="0" outlineLevel="0" collapsed="0">
      <c r="A6" s="13" t="s">
        <v>606</v>
      </c>
      <c r="B6" s="13" t="s">
        <v>49</v>
      </c>
      <c r="C6" s="14">
        <v>9672</v>
      </c>
      <c r="D6" s="14">
        <v>7542</v>
      </c>
      <c r="E6" s="14">
        <v>8760</v>
      </c>
      <c r="F6" s="42">
        <f>E6*(1+Assumptions!$F$8)</f>
        <v>9285.6</v>
      </c>
      <c r="G6" s="42">
        <f>F6*(1+Assumptions!$F$8)</f>
        <v>9842.736</v>
      </c>
      <c r="H6" s="42">
        <f>G6*(1+Assumptions!$F$8)</f>
        <v>10433.30016</v>
      </c>
      <c r="I6" s="42">
        <f>H6*(1+Assumptions!$F$8)</f>
        <v>11059.2981696</v>
      </c>
      <c r="J6" s="42">
        <f>I6*(1+Assumptions!$F$8)</f>
        <v>11722.856059776</v>
      </c>
    </row>
    <row r="7" ht="15" hidden="0" outlineLevel="0" collapsed="0">
      <c r="A7" s="13" t="s">
        <v>607</v>
      </c>
      <c r="B7" s="13" t="s">
        <v>49</v>
      </c>
      <c r="C7" s="14">
        <v>77</v>
      </c>
      <c r="D7" s="14">
        <v>192</v>
      </c>
      <c r="E7" s="14">
        <v>390</v>
      </c>
      <c r="F7" s="42">
        <f>E7*(1+Assumptions!$F$9)</f>
        <v>397.8</v>
      </c>
      <c r="G7" s="42">
        <f>F7*(1+Assumptions!$F$9)</f>
        <v>405.75600000000003</v>
      </c>
      <c r="H7" s="42">
        <f>G7*(1+Assumptions!$F$9)</f>
        <v>413.87112</v>
      </c>
      <c r="I7" s="42">
        <f>H7*(1+Assumptions!$F$9)</f>
        <v>422.14854240000005</v>
      </c>
      <c r="J7" s="42">
        <f>I7*(1+Assumptions!$F$9)</f>
        <v>430.59151324800007</v>
      </c>
    </row>
    <row r="8" ht="15" hidden="0" outlineLevel="0" collapsed="0">
      <c r="A8" s="43" t="s">
        <v>608</v>
      </c>
      <c r="B8" s="43" t="s">
        <v>49</v>
      </c>
      <c r="C8" s="44">
        <v>28114</v>
      </c>
      <c r="D8" s="44">
        <v>24753</v>
      </c>
      <c r="E8" s="44">
        <v>27412</v>
      </c>
      <c r="F8" s="45">
        <f>SUM(F5:F7)</f>
        <v>28858.500000000004</v>
      </c>
      <c r="G8" s="45">
        <f>SUM(G5:G7)</f>
        <v>30382.347000000005</v>
      </c>
      <c r="H8" s="45">
        <f>SUM(H5:H7)</f>
        <v>31987.719030000007</v>
      </c>
      <c r="I8" s="45">
        <f>SUM(I5:I7)</f>
        <v>33679.02184950001</v>
      </c>
      <c r="J8" s="45">
        <f>SUM(J5:J7)</f>
        <v>35460.90146739901</v>
      </c>
    </row>
    <row r="9" ht="15" hidden="0" outlineLevel="0" collapsed="0">
      <c r="A9" s="13" t="s">
        <v>609</v>
      </c>
      <c r="B9" s="13" t="s">
        <v>49</v>
      </c>
      <c r="C9" s="14">
        <v>4552</v>
      </c>
      <c r="D9" s="14">
        <v>4543</v>
      </c>
      <c r="E9" s="14">
        <v>5012</v>
      </c>
      <c r="F9" s="42">
        <f>E9*(1+Assumptions!$F$10)</f>
        <v>5463.080000000001</v>
      </c>
      <c r="G9" s="42">
        <f>F9*(1+Assumptions!$F$10)</f>
        <v>5954.757200000001</v>
      </c>
      <c r="H9" s="42">
        <f>G9*(1+Assumptions!$F$10)</f>
        <v>6490.685348000002</v>
      </c>
      <c r="I9" s="42">
        <f>H9*(1+Assumptions!$F$10)</f>
        <v>7074.847029320003</v>
      </c>
      <c r="J9" s="42">
        <f>I9*(1+Assumptions!$F$10)</f>
        <v>7711.583261958804</v>
      </c>
    </row>
    <row r="10" ht="15" hidden="0" outlineLevel="0" collapsed="0">
      <c r="A10" s="13" t="s">
        <v>610</v>
      </c>
      <c r="B10" s="13" t="s">
        <v>49</v>
      </c>
      <c r="C10" s="14">
        <v>3558</v>
      </c>
      <c r="D10" s="14">
        <v>2299</v>
      </c>
      <c r="E10" s="14">
        <v>2975</v>
      </c>
      <c r="F10" s="42">
        <f>E10*(1+Assumptions!$F$11)</f>
        <v>3213</v>
      </c>
      <c r="G10" s="42">
        <f>F10*(1+Assumptions!$F$11)</f>
        <v>3470.0400000000004</v>
      </c>
      <c r="H10" s="42">
        <f>G10*(1+Assumptions!$F$11)</f>
        <v>3747.643200000001</v>
      </c>
      <c r="I10" s="42">
        <f>H10*(1+Assumptions!$F$11)</f>
        <v>4047.4546560000013</v>
      </c>
      <c r="J10" s="42">
        <f>I10*(1+Assumptions!$F$11)</f>
        <v>4371.251028480002</v>
      </c>
    </row>
    <row r="11" ht="15" hidden="0" outlineLevel="0" collapsed="0">
      <c r="A11" s="13" t="s">
        <v>611</v>
      </c>
      <c r="B11" s="13" t="s">
        <v>49</v>
      </c>
      <c r="C11" s="14">
        <v>-800</v>
      </c>
      <c r="D11" s="14">
        <v>104</v>
      </c>
      <c r="E11" s="14">
        <v>-1152</v>
      </c>
      <c r="F11" s="42">
        <f>E11*(1+Assumptions!$F$12)</f>
        <v>-1175.04</v>
      </c>
      <c r="G11" s="42">
        <f>F11*(1+Assumptions!$F$12)</f>
        <v>-1198.5408</v>
      </c>
      <c r="H11" s="42">
        <f>G11*(1+Assumptions!$F$12)</f>
        <v>-1222.511616</v>
      </c>
      <c r="I11" s="42">
        <f>H11*(1+Assumptions!$F$12)</f>
        <v>-1246.96184832</v>
      </c>
      <c r="J11" s="42">
        <f>I11*(1+Assumptions!$F$12)</f>
        <v>-1271.9010852864</v>
      </c>
    </row>
    <row r="12" ht="15" hidden="0" outlineLevel="0" collapsed="0">
      <c r="A12" s="43" t="s">
        <v>612</v>
      </c>
      <c r="B12" s="43" t="s">
        <v>49</v>
      </c>
      <c r="C12" s="44">
        <v>7310</v>
      </c>
      <c r="D12" s="44">
        <v>6946</v>
      </c>
      <c r="E12" s="44">
        <v>6835</v>
      </c>
      <c r="F12" s="45">
        <f>SUM(F9:F11)</f>
        <v>7501.040000000001</v>
      </c>
      <c r="G12" s="45">
        <f>SUM(G9:G11)</f>
        <v>8226.256400000002</v>
      </c>
      <c r="H12" s="45">
        <f>SUM(H9:H11)</f>
        <v>9015.816932000003</v>
      </c>
      <c r="I12" s="45">
        <f>SUM(I9:I11)</f>
        <v>9875.339837000003</v>
      </c>
      <c r="J12" s="45">
        <f>SUM(J9:J11)</f>
        <v>10810.933205152405</v>
      </c>
    </row>
    <row r="13" ht="15" hidden="0" outlineLevel="0" collapsed="0">
      <c r="A13" s="13" t="s">
        <v>613</v>
      </c>
      <c r="B13" s="13" t="s">
        <v>49</v>
      </c>
      <c r="C13" s="14"/>
      <c r="D13" s="14"/>
      <c r="E13" s="14">
        <v>5500</v>
      </c>
      <c r="F13" s="42"/>
      <c r="G13" s="42"/>
      <c r="H13" s="42"/>
      <c r="I13" s="42"/>
      <c r="J13" s="42"/>
    </row>
    <row r="14" ht="15" hidden="0" outlineLevel="0" collapsed="0">
      <c r="A14" s="13" t="s">
        <v>614</v>
      </c>
      <c r="B14" s="13" t="s">
        <v>421</v>
      </c>
      <c r="C14" s="14"/>
      <c r="D14" s="14"/>
      <c r="E14" s="14">
        <v>1604</v>
      </c>
      <c r="F14" s="42"/>
      <c r="G14" s="42"/>
      <c r="H14" s="42"/>
      <c r="I14" s="42"/>
      <c r="J14" s="42"/>
    </row>
    <row r="15" ht="15" hidden="0" outlineLevel="0" collapsed="0">
      <c r="A15" s="13" t="s">
        <v>615</v>
      </c>
      <c r="B15" s="13" t="s">
        <v>421</v>
      </c>
      <c r="C15" s="14"/>
      <c r="D15" s="14"/>
      <c r="E15" s="14">
        <v>2859</v>
      </c>
      <c r="F15" s="42"/>
      <c r="G15" s="42"/>
      <c r="H15" s="42"/>
      <c r="I15" s="42"/>
      <c r="J15" s="42"/>
    </row>
    <row r="16" ht="15" hidden="0" outlineLevel="0" collapsed="0">
      <c r="A16" s="13" t="s">
        <v>616</v>
      </c>
      <c r="B16" s="13" t="s">
        <v>421</v>
      </c>
      <c r="C16" s="14"/>
      <c r="D16" s="14"/>
      <c r="E16" s="14">
        <v>1799</v>
      </c>
      <c r="F16" s="42"/>
      <c r="G16" s="42"/>
      <c r="H16" s="42"/>
      <c r="I16" s="42"/>
      <c r="J16" s="42"/>
    </row>
    <row r="17" ht="15" hidden="0" outlineLevel="0" collapsed="0">
      <c r="A17" s="13" t="s">
        <v>617</v>
      </c>
      <c r="B17" s="13" t="s">
        <v>421</v>
      </c>
      <c r="C17" s="14"/>
      <c r="D17" s="14"/>
      <c r="E17" s="14">
        <v>13500</v>
      </c>
      <c r="F17" s="42"/>
      <c r="G17" s="42"/>
      <c r="H17" s="42"/>
      <c r="I17" s="42"/>
      <c r="J17" s="42"/>
    </row>
    <row r="18" ht="15" hidden="0" outlineLevel="0" collapsed="0">
      <c r="A18" s="13" t="s">
        <v>618</v>
      </c>
      <c r="B18" s="13" t="s">
        <v>49</v>
      </c>
      <c r="C18" s="14"/>
      <c r="D18" s="14"/>
      <c r="E18" s="14"/>
      <c r="F18" s="42">
        <v>11185</v>
      </c>
      <c r="G18" s="42">
        <v>10870</v>
      </c>
      <c r="H18" s="42">
        <v>11605</v>
      </c>
      <c r="I18" s="42">
        <v>12375</v>
      </c>
      <c r="J18" s="42">
        <v>12595</v>
      </c>
    </row>
    <row r="19" ht="15" hidden="0" outlineLevel="0" collapsed="0">
      <c r="A19" s="13" t="s">
        <v>619</v>
      </c>
      <c r="B19" s="13" t="s">
        <v>49</v>
      </c>
      <c r="C19" s="14"/>
      <c r="D19" s="14"/>
      <c r="E19" s="14"/>
      <c r="F19" s="42">
        <v>16380</v>
      </c>
      <c r="G19" s="42">
        <v>10730</v>
      </c>
      <c r="H19" s="42">
        <v>5115</v>
      </c>
      <c r="I19" s="42">
        <v>1650</v>
      </c>
      <c r="J19" s="42">
        <v>1680</v>
      </c>
    </row>
    <row r="20" ht="15" hidden="0" outlineLevel="0" collapsed="0">
      <c r="A20" s="13" t="s">
        <v>620</v>
      </c>
      <c r="B20" s="13" t="s">
        <v>49</v>
      </c>
      <c r="C20" s="14">
        <v>9400</v>
      </c>
      <c r="D20" s="14">
        <v>8214</v>
      </c>
      <c r="E20" s="14">
        <v>8935</v>
      </c>
      <c r="F20" s="42">
        <f>F18*Assumptions!$F$13</f>
        <v>11185</v>
      </c>
      <c r="G20" s="42">
        <f>G18*Assumptions!$F$13</f>
        <v>10870</v>
      </c>
      <c r="H20" s="42">
        <f>H18*Assumptions!$F$13</f>
        <v>11605</v>
      </c>
      <c r="I20" s="42">
        <f>I18*Assumptions!$F$13</f>
        <v>12375</v>
      </c>
      <c r="J20" s="42">
        <f>J18*Assumptions!$F$13</f>
        <v>12595</v>
      </c>
    </row>
    <row r="21" ht="15" hidden="0" outlineLevel="0" collapsed="0">
      <c r="A21" s="13" t="s">
        <v>621</v>
      </c>
      <c r="B21" s="13" t="s">
        <v>49</v>
      </c>
      <c r="C21" s="14">
        <v>15652</v>
      </c>
      <c r="D21" s="14">
        <v>16392</v>
      </c>
      <c r="E21" s="14">
        <v>15669</v>
      </c>
      <c r="F21" s="42">
        <f>F19*Assumptions!$F$14</f>
        <v>16380</v>
      </c>
      <c r="G21" s="42">
        <f>G19*Assumptions!$F$14</f>
        <v>10730</v>
      </c>
      <c r="H21" s="42">
        <f>H19*Assumptions!$F$14</f>
        <v>5115</v>
      </c>
      <c r="I21" s="42">
        <f>I19*Assumptions!$F$14</f>
        <v>1650</v>
      </c>
      <c r="J21" s="42">
        <f>J19*Assumptions!$F$14</f>
        <v>1680</v>
      </c>
    </row>
    <row r="22" ht="15" hidden="0" outlineLevel="0" collapsed="0">
      <c r="A22" s="43" t="s">
        <v>622</v>
      </c>
      <c r="B22" s="43" t="s">
        <v>49</v>
      </c>
      <c r="C22" s="44">
        <v>25113</v>
      </c>
      <c r="D22" s="44">
        <v>24729</v>
      </c>
      <c r="E22" s="44">
        <v>24606</v>
      </c>
      <c r="F22" s="45">
        <f>SUM(F20:F21)</f>
        <v>27565</v>
      </c>
      <c r="G22" s="45">
        <f>SUM(G20:G21)</f>
        <v>21600</v>
      </c>
      <c r="H22" s="45">
        <f>SUM(H20:H21)</f>
        <v>16720</v>
      </c>
      <c r="I22" s="45">
        <f>SUM(I20:I21)</f>
        <v>14025</v>
      </c>
      <c r="J22" s="45">
        <f>SUM(J20:J21)</f>
        <v>14275</v>
      </c>
    </row>
    <row r="23" ht="15" hidden="0" outlineLevel="0" collapsed="0">
      <c r="A23" s="13" t="s">
        <v>178</v>
      </c>
      <c r="B23" s="13" t="s">
        <v>179</v>
      </c>
      <c r="C23" s="14">
        <f>Historical!C17</f>
        <v>2030.8</v>
      </c>
      <c r="D23" s="14">
        <f>Historical!D17</f>
        <v>2059.2</v>
      </c>
      <c r="E23" s="14">
        <f>Historical!E17</f>
        <v>2070.6</v>
      </c>
      <c r="F23" s="42">
        <f>E23*(1+Assumptions!$F$25)</f>
        <v>2080.9529999999995</v>
      </c>
      <c r="G23" s="42">
        <f>F23*(1+Assumptions!$F$25)</f>
        <v>2091.3577649999993</v>
      </c>
      <c r="H23" s="42">
        <f>G23*(1+Assumptions!$F$25)</f>
        <v>2101.814553824999</v>
      </c>
      <c r="I23" s="42">
        <f>H23*(1+Assumptions!$F$25)</f>
        <v>2112.323626594124</v>
      </c>
      <c r="J23" s="42">
        <f>I23*(1+Assumptions!$F$25)</f>
        <v>2122.8852447270947</v>
      </c>
    </row>
    <row r="24" ht="15" hidden="0" outlineLevel="0" collapsed="0">
      <c r="A24" s="13" t="s">
        <v>623</v>
      </c>
      <c r="B24" s="13" t="s">
        <v>624</v>
      </c>
      <c r="C24" s="46"/>
      <c r="D24" s="46"/>
      <c r="E24" s="46">
        <v>2.27</v>
      </c>
      <c r="F24" s="47">
        <f>E24*(1+Assumptions!$F$22)</f>
        <v>2.4516</v>
      </c>
      <c r="G24" s="47">
        <f>F24*(1+Assumptions!$F$22)</f>
        <v>2.6477280000000003</v>
      </c>
      <c r="H24" s="47">
        <f>G24*(1+Assumptions!$F$22)</f>
        <v>2.8595462400000007</v>
      </c>
      <c r="I24" s="47">
        <f>H24*(1+Assumptions!$F$22)</f>
        <v>3.088309939200001</v>
      </c>
      <c r="J24" s="47">
        <f>I24*(1+Assumptions!$F$22)</f>
        <v>3.335374734336001</v>
      </c>
    </row>
    <row r="25" ht="15" hidden="0" outlineLevel="0" collapsed="0">
      <c r="A25" s="13" t="s">
        <v>479</v>
      </c>
      <c r="B25" s="13" t="s">
        <v>49</v>
      </c>
      <c r="C25" s="14">
        <f>Historical!C18</f>
        <v>73655</v>
      </c>
      <c r="D25" s="14">
        <f>Historical!D18</f>
        <v>83173</v>
      </c>
      <c r="E25" s="14">
        <f>Historical!E18</f>
        <v>96762</v>
      </c>
      <c r="F25" s="42">
        <f>E25*(1+Assumptions!$F$26)</f>
        <v>99664.86</v>
      </c>
      <c r="G25" s="42">
        <f>F25*(1+Assumptions!$F$26)</f>
        <v>102654.8058</v>
      </c>
      <c r="H25" s="42">
        <f>G25*(1+Assumptions!$F$26)</f>
        <v>105734.449974</v>
      </c>
      <c r="I25" s="42">
        <f>H25*(1+Assumptions!$F$26)</f>
        <v>108906.48347322001</v>
      </c>
      <c r="J25" s="42">
        <f>I25*(1+Assumptions!$F$26)</f>
        <v>112173.67797741662</v>
      </c>
    </row>
    <row r="26" ht="15" hidden="0" outlineLevel="0" collapsed="0">
      <c r="A26" s="43" t="s">
        <v>625</v>
      </c>
      <c r="B26" s="43" t="s">
        <v>624</v>
      </c>
      <c r="C26" s="48">
        <f>IFERROR(C12/C23,0)</f>
        <v>3.599566673232224</v>
      </c>
      <c r="D26" s="48">
        <f>IFERROR(D12/D23,0)</f>
        <v>3.3731546231546234</v>
      </c>
      <c r="E26" s="48">
        <f>IFERROR(E12/E23,0)</f>
        <v>3.3009755626388486</v>
      </c>
      <c r="F26" s="49">
        <f>IFERROR(F12/F23,0)</f>
        <v>3.6046176919901614</v>
      </c>
      <c r="G26" s="49">
        <f>IFERROR(G12/G23,0)</f>
        <v>3.9334524860695006</v>
      </c>
      <c r="H26" s="49">
        <f>IFERROR(H12/H23,0)</f>
        <v>4.289539681601556</v>
      </c>
      <c r="I26" s="49">
        <f>IFERROR(I12/I23,0)</f>
        <v>4.675107409049265</v>
      </c>
      <c r="J26" s="49">
        <f>IFERROR(J12/J23,0)</f>
        <v>5.0925659933833085</v>
      </c>
    </row>
    <row r="29" ht="15" hidden="0" outlineLevel="0" collapsed="0">
      <c r="A29" s="7" t="s">
        <v>626</v>
      </c>
      <c r="B29" s="8" t="s">
        <v>627</v>
      </c>
      <c r="C29" s="9" t="s">
        <v>628</v>
      </c>
    </row>
    <row r="30" ht="15" hidden="0" outlineLevel="0" collapsed="0">
      <c r="A30" s="0" t="s">
        <v>445</v>
      </c>
      <c r="B30" s="0">
        <f>E9</f>
        <v>5012</v>
      </c>
      <c r="C30" s="0">
        <f>E10</f>
        <v>2975</v>
      </c>
    </row>
    <row r="31" ht="15" hidden="0" outlineLevel="0" collapsed="0">
      <c r="A31" s="0" t="s">
        <v>518</v>
      </c>
      <c r="B31" s="0">
        <f>F9</f>
        <v>5463.080000000001</v>
      </c>
      <c r="C31" s="0">
        <f>F10</f>
        <v>3213</v>
      </c>
    </row>
    <row r="32" ht="15" hidden="0" outlineLevel="0" collapsed="0">
      <c r="A32" s="0" t="s">
        <v>519</v>
      </c>
      <c r="B32" s="0">
        <f>G9</f>
        <v>5954.757200000001</v>
      </c>
      <c r="C32" s="0">
        <f>G10</f>
        <v>3470.0400000000004</v>
      </c>
    </row>
    <row r="33" ht="15" hidden="0" outlineLevel="0" collapsed="0">
      <c r="A33" s="0" t="s">
        <v>520</v>
      </c>
      <c r="B33" s="0">
        <f>H9</f>
        <v>6490.685348000002</v>
      </c>
      <c r="C33" s="0">
        <f>H10</f>
        <v>3747.643200000001</v>
      </c>
    </row>
    <row r="34" ht="15" hidden="0" outlineLevel="0" collapsed="0">
      <c r="A34" s="0" t="s">
        <v>521</v>
      </c>
      <c r="B34" s="0">
        <f>I9</f>
        <v>7074.847029320003</v>
      </c>
      <c r="C34" s="0">
        <f>I10</f>
        <v>4047.4546560000013</v>
      </c>
    </row>
    <row r="35" ht="15" hidden="0" outlineLevel="0" collapsed="0">
      <c r="A35" s="0" t="s">
        <v>522</v>
      </c>
      <c r="B35" s="0">
        <f>J9</f>
        <v>7711.583261958804</v>
      </c>
      <c r="C35" s="0">
        <f>J10</f>
        <v>4371.251028480002</v>
      </c>
    </row>
  </sheetData>
  <mergeCells count="2">
    <mergeCell ref="A1:J1"/>
    <mergeCell ref="A2:J2"/>
  </mergeCells>
  <printOptions/>
  <pageMargins left="0.7" right="0.7" top="0.75" bottom="0.75" header="0.511811023622047" footer="0.511811023622047"/>
  <pageSetup paperSize="1" scale="100" fitToWidth="1" fitToHeight="1" pageOrder="downThenOver" orientation="portrait" copies="1" horizontalDpi="300" verticalDpi="300"/>
  <headerFooter>
    <oddHeader/>
    <odd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 mc:Ignorable="xr2">
  <sheetPr>
    <pageSetUpPr/>
  </sheetPr>
  <dimension ref="A1:F11"/>
  <sheetViews>
    <sheetView showGridLines="0" topLeftCell="A1" zoomScaleNormal="100" zoomScalePageLayoutView="100" workbookViewId="0">
      <selection activeCell="A1" sqref="A1"/>
    </sheetView>
  </sheetViews>
  <sheetFormatPr defaultColWidth="8.6796875" defaultRowHeight="15"/>
  <cols>
    <col min="1" max="1" width="24" hidden="0" customWidth="1" outlineLevel="0" collapsed="0"/>
    <col min="2" max="2" width="18" hidden="0" customWidth="1" outlineLevel="0" collapsed="0"/>
    <col min="3" max="3" width="22" hidden="0" customWidth="1" outlineLevel="0" collapsed="0"/>
    <col min="4" max="4" width="74" hidden="0" customWidth="1" outlineLevel="0" collapsed="0"/>
    <col min="5" max="5" width="62" hidden="0" customWidth="1" outlineLevel="0" collapsed="0"/>
    <col min="6" max="6" width="22" hidden="0" customWidth="1" outlineLevel="0" collapsed="0"/>
    <col min="7" max="8" width="15" hidden="0" customWidth="1" outlineLevel="0" collapsed="0"/>
  </cols>
  <sheetData>
    <row r="1" ht="26" hidden="0" outlineLevel="0" collapsed="0">
      <c r="A1" s="1" t="s">
        <v>629</v>
      </c>
      <c r="B1" s="1" t="s">
        <v>629</v>
      </c>
      <c r="C1" s="1" t="s">
        <v>629</v>
      </c>
      <c r="D1" s="1" t="s">
        <v>629</v>
      </c>
      <c r="E1" s="1" t="s">
        <v>629</v>
      </c>
      <c r="F1" s="1" t="s">
        <v>629</v>
      </c>
    </row>
    <row r="2" ht="30" hidden="0" outlineLevel="0" collapsed="0">
      <c r="A2" s="2" t="s">
        <v>630</v>
      </c>
      <c r="B2" s="2" t="s">
        <v>630</v>
      </c>
      <c r="C2" s="2" t="s">
        <v>630</v>
      </c>
      <c r="D2" s="2" t="s">
        <v>630</v>
      </c>
      <c r="E2" s="2" t="s">
        <v>630</v>
      </c>
      <c r="F2" s="2" t="s">
        <v>630</v>
      </c>
    </row>
    <row r="4" ht="15" hidden="0" outlineLevel="0" collapsed="0">
      <c r="A4" s="7" t="s">
        <v>631</v>
      </c>
      <c r="B4" s="8" t="s">
        <v>632</v>
      </c>
      <c r="C4" s="8" t="s">
        <v>633</v>
      </c>
      <c r="D4" s="8" t="s">
        <v>634</v>
      </c>
      <c r="E4" s="8" t="s">
        <v>635</v>
      </c>
      <c r="F4" s="9" t="s">
        <v>636</v>
      </c>
    </row>
    <row r="5" ht="35.05" hidden="0" outlineLevel="0" collapsed="0">
      <c r="A5" s="4" t="s">
        <v>637</v>
      </c>
      <c r="B5" s="4" t="s">
        <v>638</v>
      </c>
      <c r="C5" s="4" t="s">
        <v>639</v>
      </c>
      <c r="D5" s="4" t="s">
        <v>640</v>
      </c>
      <c r="E5" s="4" t="s">
        <v>641</v>
      </c>
      <c r="F5" s="4" t="s">
        <v>642</v>
      </c>
    </row>
    <row r="6" ht="23.85" hidden="0" outlineLevel="0" collapsed="0">
      <c r="A6" s="4" t="s">
        <v>637</v>
      </c>
      <c r="B6" s="4" t="s">
        <v>638</v>
      </c>
      <c r="C6" s="4" t="s">
        <v>643</v>
      </c>
      <c r="D6" s="4" t="s">
        <v>644</v>
      </c>
      <c r="E6" s="4" t="s">
        <v>645</v>
      </c>
      <c r="F6" s="4" t="s">
        <v>646</v>
      </c>
    </row>
    <row r="7" ht="23.85" hidden="0" outlineLevel="0" collapsed="0">
      <c r="A7" s="4" t="s">
        <v>637</v>
      </c>
      <c r="B7" s="4" t="s">
        <v>638</v>
      </c>
      <c r="C7" s="4" t="s">
        <v>647</v>
      </c>
      <c r="D7" s="4" t="s">
        <v>648</v>
      </c>
      <c r="E7" s="4" t="s">
        <v>649</v>
      </c>
      <c r="F7" s="4" t="s">
        <v>646</v>
      </c>
    </row>
    <row r="8" ht="15" hidden="0" outlineLevel="0" collapsed="0">
      <c r="A8" s="4" t="s">
        <v>637</v>
      </c>
      <c r="B8" s="4" t="s">
        <v>638</v>
      </c>
      <c r="C8" s="4" t="s">
        <v>650</v>
      </c>
      <c r="D8" s="4" t="s">
        <v>651</v>
      </c>
      <c r="E8" s="4" t="s">
        <v>652</v>
      </c>
      <c r="F8" s="4" t="s">
        <v>646</v>
      </c>
    </row>
    <row r="9" ht="15" hidden="0" outlineLevel="0" collapsed="0">
      <c r="A9" s="4" t="s">
        <v>637</v>
      </c>
      <c r="B9" s="4" t="s">
        <v>638</v>
      </c>
      <c r="C9" s="4" t="s">
        <v>653</v>
      </c>
      <c r="D9" s="4" t="s">
        <v>654</v>
      </c>
      <c r="E9" s="4" t="s">
        <v>655</v>
      </c>
      <c r="F9" s="4" t="s">
        <v>646</v>
      </c>
    </row>
    <row r="10" ht="23.85" hidden="0" outlineLevel="0" collapsed="0">
      <c r="A10" s="4" t="s">
        <v>637</v>
      </c>
      <c r="B10" s="4" t="s">
        <v>638</v>
      </c>
      <c r="C10" s="4" t="s">
        <v>656</v>
      </c>
      <c r="D10" s="4" t="s">
        <v>657</v>
      </c>
      <c r="E10" s="4" t="s">
        <v>658</v>
      </c>
      <c r="F10" s="4" t="s">
        <v>646</v>
      </c>
    </row>
    <row r="11" ht="35.05" hidden="0" outlineLevel="0" collapsed="0">
      <c r="A11" s="4" t="s">
        <v>637</v>
      </c>
      <c r="B11" s="4" t="s">
        <v>638</v>
      </c>
      <c r="C11" s="4" t="s">
        <v>659</v>
      </c>
      <c r="D11" s="4" t="s">
        <v>660</v>
      </c>
      <c r="E11" s="4" t="s">
        <v>661</v>
      </c>
      <c r="F11" s="4" t="s">
        <v>646</v>
      </c>
    </row>
  </sheetData>
  <mergeCells count="2">
    <mergeCell ref="A1:F1"/>
    <mergeCell ref="A2:F2"/>
  </mergeCells>
  <printOptions/>
  <pageMargins left="0.7" right="0.7" top="0.75" bottom="0.75" header="0.511811023622047" footer="0.511811023622047"/>
  <pageSetup paperSize="1" scale="100" fitToWidth="1" fitToHeight="1" pageOrder="downThenOver" orientation="portrait" copies="1" horizontalDpi="300" verticalDpi="300"/>
  <headerFooter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 mc:Ignorable="xr2">
  <sheetPr>
    <pageSetUpPr/>
  </sheetPr>
  <dimension ref="A1:G28"/>
  <sheetViews>
    <sheetView showGridLines="0" topLeftCell="A1" zoomScaleNormal="100" zoomScalePageLayoutView="100" workbookViewId="0">
      <selection activeCell="A1" sqref="A1"/>
    </sheetView>
  </sheetViews>
  <sheetFormatPr defaultColWidth="8.6796875" defaultRowHeight="15"/>
  <cols>
    <col min="1" max="1" width="28" hidden="0" customWidth="1" outlineLevel="0" collapsed="0"/>
    <col min="2" max="2" width="42" hidden="0" customWidth="1" outlineLevel="0" collapsed="0"/>
    <col min="3" max="3" width="11" hidden="0" customWidth="1" outlineLevel="0" collapsed="0"/>
    <col min="4" max="4" width="18" hidden="0" customWidth="1" outlineLevel="0" collapsed="0"/>
    <col min="5" max="5" width="50" hidden="0" customWidth="1" outlineLevel="0" collapsed="0"/>
    <col min="6" max="6" width="62" hidden="0" customWidth="1" outlineLevel="0" collapsed="0"/>
    <col min="7" max="7" width="24" hidden="0" customWidth="1" outlineLevel="0" collapsed="0"/>
  </cols>
  <sheetData>
    <row r="1" ht="26" hidden="0" outlineLevel="0" collapsed="0">
      <c r="A1" s="1" t="s">
        <v>662</v>
      </c>
      <c r="B1" s="1" t="s">
        <v>662</v>
      </c>
      <c r="C1" s="1" t="s">
        <v>662</v>
      </c>
      <c r="D1" s="1" t="s">
        <v>662</v>
      </c>
      <c r="E1" s="1" t="s">
        <v>662</v>
      </c>
      <c r="F1" s="1" t="s">
        <v>662</v>
      </c>
      <c r="G1" s="1" t="s">
        <v>662</v>
      </c>
    </row>
    <row r="2" ht="30" hidden="0" outlineLevel="0" collapsed="0">
      <c r="A2" s="2" t="s">
        <v>663</v>
      </c>
      <c r="B2" s="2" t="s">
        <v>663</v>
      </c>
      <c r="C2" s="2" t="s">
        <v>663</v>
      </c>
      <c r="D2" s="2" t="s">
        <v>663</v>
      </c>
      <c r="E2" s="2" t="s">
        <v>663</v>
      </c>
      <c r="F2" s="2" t="s">
        <v>663</v>
      </c>
      <c r="G2" s="2" t="s">
        <v>663</v>
      </c>
    </row>
    <row r="4" ht="15" hidden="0" outlineLevel="0" collapsed="0">
      <c r="A4" s="7" t="s">
        <v>656</v>
      </c>
      <c r="B4" s="8" t="s">
        <v>664</v>
      </c>
      <c r="C4" s="8" t="s">
        <v>665</v>
      </c>
      <c r="D4" s="8" t="s">
        <v>574</v>
      </c>
      <c r="E4" s="8" t="s">
        <v>666</v>
      </c>
      <c r="F4" s="8" t="s">
        <v>667</v>
      </c>
      <c r="G4" s="9" t="s">
        <v>668</v>
      </c>
    </row>
    <row r="5" ht="44" hidden="0" outlineLevel="0" collapsed="0">
      <c r="A5" s="4" t="s">
        <v>669</v>
      </c>
      <c r="B5" s="4" t="s">
        <v>670</v>
      </c>
      <c r="C5" s="4">
        <v>5</v>
      </c>
      <c r="D5" s="4" t="str">
        <f>IF(AND(B23&lt;&gt;"",B24&lt;&gt;"",B25&lt;&gt;""),"PASS","FAIL")</f>
        <v>PASS</v>
      </c>
      <c r="E5" s="4" t="s">
        <v>671</v>
      </c>
      <c r="F5" s="4" t="s">
        <v>672</v>
      </c>
      <c r="G5" s="4" t="s">
        <v>673</v>
      </c>
    </row>
    <row r="6" ht="44" hidden="0" outlineLevel="0" collapsed="0">
      <c r="A6" s="4" t="s">
        <v>674</v>
      </c>
      <c r="B6" s="4" t="s">
        <v>675</v>
      </c>
      <c r="C6" s="4">
        <v>20</v>
      </c>
      <c r="D6" s="4" t="str">
        <f>IF(AND(Checks!G7="PASS",Checks!G8="PASS"),"PASS","FAIL")</f>
        <v>PASS</v>
      </c>
      <c r="E6" s="4" t="s">
        <v>676</v>
      </c>
      <c r="F6" s="4" t="s">
        <v>677</v>
      </c>
      <c r="G6" s="4" t="s">
        <v>673</v>
      </c>
    </row>
    <row r="7" ht="44" hidden="0" outlineLevel="0" collapsed="0">
      <c r="A7" s="4" t="s">
        <v>678</v>
      </c>
      <c r="B7" s="4" t="s">
        <v>679</v>
      </c>
      <c r="C7" s="4">
        <v>15</v>
      </c>
      <c r="D7" s="4" t="str">
        <f>IF(AND(Checks!G9="PASS",Checks!G10="PASS",Checks!G11="PASS",Checks!G12="PASS"),"PASS","FAIL")</f>
        <v>PASS</v>
      </c>
      <c r="E7" s="4" t="s">
        <v>680</v>
      </c>
      <c r="F7" s="4" t="s">
        <v>681</v>
      </c>
      <c r="G7" s="4" t="s">
        <v>673</v>
      </c>
    </row>
    <row r="8" ht="44" hidden="0" outlineLevel="0" collapsed="0">
      <c r="A8" s="4" t="s">
        <v>682</v>
      </c>
      <c r="B8" s="4" t="s">
        <v>683</v>
      </c>
      <c r="C8" s="4">
        <v>10</v>
      </c>
      <c r="D8" s="4" t="str">
        <f>IF(AND(Checks!G13="PASS",Checks!G15="PASS"),"PASS","FAIL")</f>
        <v>PASS</v>
      </c>
      <c r="E8" s="4" t="s">
        <v>684</v>
      </c>
      <c r="F8" s="4" t="s">
        <v>685</v>
      </c>
      <c r="G8" s="4" t="s">
        <v>673</v>
      </c>
    </row>
    <row r="9" ht="44" hidden="0" outlineLevel="0" collapsed="0">
      <c r="A9" s="4" t="s">
        <v>686</v>
      </c>
      <c r="B9" s="4" t="s">
        <v>687</v>
      </c>
      <c r="C9" s="4">
        <v>15</v>
      </c>
      <c r="D9" s="4" t="str">
        <f>IF(AND(Checks!G14="PASS",Checks!G15="PASS",Checks!G16="PASS"),"PASS","FAIL")</f>
        <v>PASS</v>
      </c>
      <c r="E9" s="4" t="s">
        <v>688</v>
      </c>
      <c r="F9" s="4" t="s">
        <v>689</v>
      </c>
      <c r="G9" s="4" t="s">
        <v>673</v>
      </c>
    </row>
    <row r="10" ht="44" hidden="0" outlineLevel="0" collapsed="0">
      <c r="A10" s="4" t="s">
        <v>690</v>
      </c>
      <c r="B10" s="4" t="s">
        <v>691</v>
      </c>
      <c r="C10" s="4">
        <v>8</v>
      </c>
      <c r="D10" s="4" t="str">
        <f>IF(Checks!B4="PASS","PASS","FAIL")</f>
        <v>PASS</v>
      </c>
      <c r="E10" s="4" t="s">
        <v>692</v>
      </c>
      <c r="F10" s="4" t="s">
        <v>693</v>
      </c>
      <c r="G10" s="4" t="s">
        <v>673</v>
      </c>
    </row>
    <row r="11" ht="44" hidden="0" outlineLevel="0" collapsed="0">
      <c r="A11" s="4" t="s">
        <v>694</v>
      </c>
      <c r="B11" s="4" t="s">
        <v>695</v>
      </c>
      <c r="C11" s="4">
        <v>10</v>
      </c>
      <c r="D11" s="4" t="str">
        <f>IF(B21&lt;&gt;"","PASS","FAIL")</f>
        <v>PASS</v>
      </c>
      <c r="E11" s="4" t="s">
        <v>696</v>
      </c>
      <c r="F11" s="4" t="s">
        <v>697</v>
      </c>
      <c r="G11" s="4" t="s">
        <v>673</v>
      </c>
    </row>
    <row r="12" ht="44" hidden="0" outlineLevel="0" collapsed="0">
      <c r="A12" s="4" t="s">
        <v>698</v>
      </c>
      <c r="B12" s="4" t="s">
        <v>699</v>
      </c>
      <c r="C12" s="4">
        <v>7</v>
      </c>
      <c r="D12" s="4" t="str">
        <f>IF(B22&lt;&gt;"","PASS","FAIL")</f>
        <v>PASS</v>
      </c>
      <c r="E12" s="4" t="s">
        <v>700</v>
      </c>
      <c r="F12" s="4" t="s">
        <v>701</v>
      </c>
      <c r="G12" s="4" t="s">
        <v>673</v>
      </c>
    </row>
    <row r="13" ht="44" hidden="0" outlineLevel="0" collapsed="0">
      <c r="A13" s="4" t="s">
        <v>702</v>
      </c>
      <c r="B13" s="4" t="s">
        <v>703</v>
      </c>
      <c r="C13" s="4">
        <v>5</v>
      </c>
      <c r="D13" s="4" t="str">
        <f>IF(AND(COUNTA(Change_Log!A5:A20)&gt;=6,COUNTA(Sector_KPIs!F5:J20)&gt;0),"PASS","FAIL")</f>
        <v>PASS</v>
      </c>
      <c r="E13" s="4" t="s">
        <v>704</v>
      </c>
      <c r="F13" s="4" t="s">
        <v>705</v>
      </c>
      <c r="G13" s="4" t="s">
        <v>673</v>
      </c>
    </row>
    <row r="14" ht="44" hidden="0" outlineLevel="0" collapsed="0">
      <c r="A14" s="4" t="s">
        <v>706</v>
      </c>
      <c r="B14" s="4" t="s">
        <v>707</v>
      </c>
      <c r="C14" s="4">
        <v>5</v>
      </c>
      <c r="D14" s="4" t="str">
        <f>IF(AND('00_Cover'!B4&lt;&gt;"",'00_Cover'!B16&lt;&gt;"",COUNTA(Change_Log!A5:A20)&gt;=6),"PASS","FAIL")</f>
        <v>PASS</v>
      </c>
      <c r="E14" s="4" t="s">
        <v>708</v>
      </c>
      <c r="F14" s="4" t="s">
        <v>709</v>
      </c>
      <c r="G14" s="4" t="s">
        <v>673</v>
      </c>
    </row>
    <row r="16" ht="44" hidden="0" outlineLevel="0" collapsed="0">
      <c r="A16" s="22" t="s">
        <v>710</v>
      </c>
      <c r="B16" s="4">
        <f>SUMPRODUCT(C5:C14,--(D5:D14="PASS"))</f>
        <v>100</v>
      </c>
    </row>
    <row r="17" ht="44" hidden="0" outlineLevel="0" collapsed="0">
      <c r="A17" s="22" t="s">
        <v>711</v>
      </c>
      <c r="B17" s="4" t="str">
        <f>IF(AND(B16&gt;=90,COUNTIF(D5:D14,"FAIL")=0),"OWNER PRE-FLIGHT 9/10 READY — INDEPENDENT CERTIFICATION REQUIRED","REMEDIATE BEFORE INDEPENDENT CERTIFICATION")</f>
        <v>OWNER PRE-FLIGHT 9/10 READY — INDEPENDENT CERTIFICATION REQUIRED</v>
      </c>
    </row>
    <row r="18" ht="44" hidden="0" outlineLevel="0" collapsed="0">
      <c r="A18" s="22" t="s">
        <v>712</v>
      </c>
      <c r="B18" s="4" t="s">
        <v>713</v>
      </c>
    </row>
    <row r="19" ht="15" hidden="0" outlineLevel="0" collapsed="0">
      <c r="A19" s="22"/>
      <c r="B19" s="4"/>
    </row>
    <row r="20" ht="58" hidden="0" outlineLevel="0" collapsed="0">
      <c r="A20" s="22" t="s">
        <v>714</v>
      </c>
      <c r="B20" s="4" t="s">
        <v>637</v>
      </c>
    </row>
    <row r="21" ht="58" hidden="0" outlineLevel="0" collapsed="0">
      <c r="A21" s="22" t="s">
        <v>715</v>
      </c>
      <c r="B21" s="4" t="s">
        <v>716</v>
      </c>
    </row>
    <row r="22" ht="58" hidden="0" outlineLevel="0" collapsed="0">
      <c r="A22" s="22" t="s">
        <v>717</v>
      </c>
      <c r="B22" s="4" t="s">
        <v>700</v>
      </c>
    </row>
    <row r="23" ht="58" hidden="0" outlineLevel="0" collapsed="0">
      <c r="A23" s="22" t="s">
        <v>718</v>
      </c>
      <c r="B23" s="4" t="s">
        <v>719</v>
      </c>
    </row>
    <row r="24" ht="58" hidden="0" outlineLevel="0" collapsed="0">
      <c r="A24" s="22" t="s">
        <v>720</v>
      </c>
      <c r="B24" s="4" t="s">
        <v>721</v>
      </c>
    </row>
    <row r="25" ht="58" hidden="0" outlineLevel="0" collapsed="0">
      <c r="A25" s="22" t="s">
        <v>722</v>
      </c>
      <c r="B25" s="4" t="s">
        <v>661</v>
      </c>
    </row>
    <row r="26" ht="58" hidden="0" outlineLevel="0" collapsed="0">
      <c r="A26" s="22" t="s">
        <v>723</v>
      </c>
      <c r="B26" s="4" t="s">
        <v>724</v>
      </c>
    </row>
    <row r="27" ht="58" hidden="0" outlineLevel="0" collapsed="0">
      <c r="A27" s="22" t="s">
        <v>725</v>
      </c>
      <c r="B27" s="4" t="s">
        <v>700</v>
      </c>
    </row>
    <row r="28" ht="58" hidden="0" outlineLevel="0" collapsed="0">
      <c r="A28" s="22" t="s">
        <v>726</v>
      </c>
      <c r="B28" s="4" t="s">
        <v>727</v>
      </c>
    </row>
  </sheetData>
  <mergeCells count="2">
    <mergeCell ref="A1:G1"/>
    <mergeCell ref="A2:G2"/>
  </mergeCells>
  <conditionalFormatting sqref="D5:D14">
    <cfRule type="expression" priority="2" text="" dxfId="2">
      <formula>D5="PASS"</formula>
    </cfRule>
    <cfRule type="expression" priority="3" text="" dxfId="3">
      <formula>D5="FAIL"</formula>
    </cfRule>
  </conditionalFormatting>
  <printOptions/>
  <pageMargins left="0.7" right="0.7" top="0.75" bottom="0.75" header="0.511811023622047" footer="0.511811023622047"/>
  <pageSetup paperSize="1" scale="100" fitToWidth="1" fitToHeight="1" pageOrder="downThenOver" orientation="portrait" copies="1" horizontalDpi="300" verticalDpi="300"/>
  <headerFooter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dimension ref="A1:F2"/>
  <sheetViews>
    <sheetView showGridLines="0" workbookViewId="0"/>
  </sheetViews>
  <sheetFormatPr defaultColWidth="8.375" defaultRowHeight="15"/>
  <cols>
    <col min="1" max="1" width="8.70703125" customWidth="1"/>
    <col min="2" max="2" width="18.0390625" customWidth="1"/>
    <col min="3" max="4" width="57.70703125" customWidth="1"/>
    <col min="5" max="5" width="81.0390625" customWidth="1"/>
    <col min="6" max="6" width="46.0390625" customWidth="1"/>
  </cols>
  <sheetData>
    <row r="1">
      <c r="A1" s="51" t="s">
        <v>728</v>
      </c>
      <c r="B1" s="51" t="s">
        <v>729</v>
      </c>
      <c r="C1" s="51" t="s">
        <v>730</v>
      </c>
      <c r="D1" s="51" t="s">
        <v>731</v>
      </c>
      <c r="E1" s="51" t="s">
        <v>732</v>
      </c>
      <c r="F1" s="51" t="s">
        <v>733</v>
      </c>
    </row>
    <row r="2">
      <c r="A2" s="50">
        <v>1</v>
      </c>
      <c r="B2" s="52">
        <v>46324.359330844905</v>
      </c>
      <c r="C2" s="50" t="s">
        <v>734</v>
      </c>
      <c r="D2" s="50" t="s">
        <v>735</v>
      </c>
      <c r="E2" s="50" t="s">
        <v>736</v>
      </c>
      <c r="F2" s="50" t="s">
        <v>737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LibreOfficeDev/26.8.0.0.alpha0$MacOSX_AARCH64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