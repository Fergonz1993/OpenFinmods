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45a94c83d57546de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 xmlns:x="http://schemas.openxmlformats.org/spreadsheetml/2006/main">
  <bookViews>
    <workbookView/>
  </bookViews>
  <sheets>
    <sheet name="00_Cover" sheetId="1" r:id="Re0da76d6b8ee4c91"/>
    <sheet name="Sources" sheetId="2" r:id="R87bf902939034103"/>
    <sheet name="Historical" sheetId="3" r:id="R8487c337807a420c"/>
    <sheet name="Assumptions" sheetId="4" r:id="R62932f34885349e8"/>
    <sheet name="Forecast" sheetId="5" r:id="R4847306702da474b"/>
    <sheet name="Valuation" sheetId="6" r:id="Rb96bc45867624ff9"/>
    <sheet name="Sensitivity" sheetId="7" r:id="Rf2341d64169e485a"/>
    <sheet name="Checks" sheetId="8" r:id="Rf63bbad663db4004"/>
    <sheet name="Sector_KPIs" sheetId="9" r:id="Rc2d5d7d8c3b24f93"/>
    <sheet name="Change_Log" sheetId="10" r:id="R15d2c28fdfa649cd"/>
    <sheet name="IS_Hist" sheetId="11" r:id="rId1"/>
    <sheet name="CI_Hist" sheetId="12" r:id="rId2"/>
    <sheet name="BS_Hist" sheetId="13" r:id="rId3"/>
    <sheet name="CF_Hist" sheetId="14" r:id="rId4"/>
    <sheet name="Checks_TieOut" sheetId="15" r:id="rId5"/>
    <sheet name="Sources_Audited" sheetId="16" r:id="rId6"/>
    <sheet name="USD_Bridge" sheetId="17" r:id="rId7"/>
    <sheet name="Investment_Portfolio" sheetId="18" r:id="rId8"/>
    <sheet name="Equity_Method" sheetId="19" r:id="rId9"/>
    <sheet name="Segments" sheetId="20" r:id="rId10"/>
    <sheet name="Assumptions_IS" sheetId="21" r:id="rId11"/>
    <sheet name="Forecast_IS" sheetId="22" r:id="rId12"/>
    <sheet name="Claude Code Log" sheetId="23" r:id="rId13"/>
  </sheets>
  <calcPr calcId="0"/>
</workbook>
</file>

<file path=xl/sharedStrings.xml><?xml version="1.0" encoding="utf-8"?>
<sst xmlns="http://schemas.openxmlformats.org/spreadsheetml/2006/main" count="814" uniqueCount="584">
  <si>
    <t>Grupo de Inversiones Suramericana S.A. — Institutional Financial Model</t>
  </si>
  <si>
    <t>Insurance / financial holding company | USD millions | As of 2026-07-15</t>
  </si>
  <si>
    <t>Model field</t>
  </si>
  <si>
    <t>Value</t>
  </si>
  <si>
    <t>Ticker / identifier</t>
  </si>
  <si>
    <t>BVC: GRUPOSURA</t>
  </si>
  <si>
    <t>Model archetype</t>
  </si>
  <si>
    <t>Financial institution / residual income</t>
  </si>
  <si>
    <t>Decision readiness</t>
  </si>
  <si>
    <t>Source-backed summary / residual-income framework</t>
  </si>
  <si>
    <t>Reporting currency</t>
  </si>
  <si>
    <t>COP</t>
  </si>
  <si>
    <t>Model currency</t>
  </si>
  <si>
    <t>USD millions</t>
  </si>
  <si>
    <t>Market-data date</t>
  </si>
  <si>
    <t>Not applicable</t>
  </si>
  <si>
    <t>Current market price</t>
  </si>
  <si>
    <t>Not available</t>
  </si>
  <si>
    <t>Primary source</t>
  </si>
  <si>
    <t>https://gruposura.com/relacion-con-inversionistas/informes/informe-anual-2025/</t>
  </si>
  <si>
    <t>Key limitation</t>
  </si>
  <si>
    <t>2025 consolidated revenue and controlling net income from the annual report page; share-count and detailed balance inputs remain user-fillable.</t>
  </si>
  <si>
    <t>Institutional-grade means auditable sources, explicit assumptions, formula-driven forecasts, valuation, sensitivities, checks and governance. It does not mean that missing private-company disclosures have been invented.</t>
  </si>
  <si>
    <t>Sources and data lineage</t>
  </si>
  <si>
    <t>Every hardcode is mapped to a source, date, currency and transformation.</t>
  </si>
  <si>
    <t>Source ID</t>
  </si>
  <si>
    <t>Use</t>
  </si>
  <si>
    <t>URL / reference</t>
  </si>
  <si>
    <t>As of</t>
  </si>
  <si>
    <t>Source currency</t>
  </si>
  <si>
    <t>Transformation</t>
  </si>
  <si>
    <t>Limitation</t>
  </si>
  <si>
    <t>Status</t>
  </si>
  <si>
    <t>S1</t>
  </si>
  <si>
    <t>Historical financials</t>
  </si>
  <si>
    <t>Latest annual filing/results</t>
  </si>
  <si>
    <t>Converted at current snapshot FX (COP to USD = 0.00031032)</t>
  </si>
  <si>
    <t>S2</t>
  </si>
  <si>
    <t>Market price</t>
  </si>
  <si>
    <t>2026-07-15</t>
  </si>
  <si>
    <t>N/A</t>
  </si>
  <si>
    <t>Dated market input; not a historical financial source</t>
  </si>
  <si>
    <t>Market prices move after the as-of date</t>
  </si>
  <si>
    <t>Not loaded</t>
  </si>
  <si>
    <t>S3</t>
  </si>
  <si>
    <t>FX snapshot</t>
  </si>
  <si>
    <t>Yahoo Finance COP/USD chart snapshot</t>
  </si>
  <si>
    <t>COP per USD, inverted</t>
  </si>
  <si>
    <t>Current FX used across historical years for comparability; not historical spot</t>
  </si>
  <si>
    <t>Loaded</t>
  </si>
  <si>
    <t>S4</t>
  </si>
  <si>
    <t>Forecast assumptions</t>
  </si>
  <si>
    <t>Model Assumptions sheet</t>
  </si>
  <si>
    <t>USD</t>
  </si>
  <si>
    <t>User-editable scenario inputs</t>
  </si>
  <si>
    <t>Forecasts are estimates, not reported facts</t>
  </si>
  <si>
    <t>Model input</t>
  </si>
  <si>
    <t>USD millions; blanks are intentional when the cited source did not support a defensible value.</t>
  </si>
  <si>
    <t>Metric</t>
  </si>
  <si>
    <t>2021A</t>
  </si>
  <si>
    <t>2022A</t>
  </si>
  <si>
    <t>2023A</t>
  </si>
  <si>
    <t>2024A</t>
  </si>
  <si>
    <t>2025A</t>
  </si>
  <si>
    <t>Source tag / note</t>
  </si>
  <si>
    <t>Quality</t>
  </si>
  <si>
    <t>Assets</t>
  </si>
  <si>
    <t>Issuer results / manual source mapping</t>
  </si>
  <si>
    <t>Missing / not inferred</t>
  </si>
  <si>
    <t>Liabilities</t>
  </si>
  <si>
    <t>Equity</t>
  </si>
  <si>
    <t>Net income</t>
  </si>
  <si>
    <t>Source-backed / see note</t>
  </si>
  <si>
    <t>Loans</t>
  </si>
  <si>
    <t>Deposits</t>
  </si>
  <si>
    <t>Interest income</t>
  </si>
  <si>
    <t>Interest expense</t>
  </si>
  <si>
    <t>Cash</t>
  </si>
  <si>
    <t>Diluted shares (mm)</t>
  </si>
  <si>
    <t>Assumptions and scenarios</t>
  </si>
  <si>
    <t>Blue-font cells are user inputs. Scenario selector: 1 = Base, 2 = Bull, 3 = Bear.</t>
  </si>
  <si>
    <t>Scenario selector</t>
  </si>
  <si>
    <t>Bear</t>
  </si>
  <si>
    <t>Base</t>
  </si>
  <si>
    <t>Bull</t>
  </si>
  <si>
    <t>Active</t>
  </si>
  <si>
    <t>Rationale / source</t>
  </si>
  <si>
    <t>Asset growth</t>
  </si>
  <si>
    <t>Historical trend bounded to a reasonable range</t>
  </si>
  <si>
    <t>Target ROE</t>
  </si>
  <si>
    <t>Latest reported/inferred ROE with scenario spread</t>
  </si>
  <si>
    <t>Dividend payout</t>
  </si>
  <si>
    <t>Explicit capital-retention policy assumption</t>
  </si>
  <si>
    <t>Cost of equity</t>
  </si>
  <si>
    <t>USD investor required return</t>
  </si>
  <si>
    <t>Terminal growth</t>
  </si>
  <si>
    <t>Long-run nominal USD growth</t>
  </si>
  <si>
    <t>Forecast model</t>
  </si>
  <si>
    <t>Formula-driven five-year projection in USD millions.</t>
  </si>
  <si>
    <t>2026E</t>
  </si>
  <si>
    <t>2027E</t>
  </si>
  <si>
    <t>2028E</t>
  </si>
  <si>
    <t>2029E</t>
  </si>
  <si>
    <t>2030E</t>
  </si>
  <si>
    <t>Equity / assets</t>
  </si>
  <si>
    <t>ROE</t>
  </si>
  <si>
    <t>Dividends</t>
  </si>
  <si>
    <t>Ending book value</t>
  </si>
  <si>
    <t>Residual-income valuation</t>
  </si>
  <si>
    <t>Valuation is formula-driven and scenario-sensitive; private-company outputs are enterprise-value ranges only.</t>
  </si>
  <si>
    <t>Year 1</t>
  </si>
  <si>
    <t>Year 2</t>
  </si>
  <si>
    <t>Year 3</t>
  </si>
  <si>
    <t>Year 4</t>
  </si>
  <si>
    <t>Year 5</t>
  </si>
  <si>
    <t>Total / output</t>
  </si>
  <si>
    <t>Beginning book value</t>
  </si>
  <si>
    <t>Residual income</t>
  </si>
  <si>
    <t>Discount factor</t>
  </si>
  <si>
    <t>PV residual income</t>
  </si>
  <si>
    <t>Output</t>
  </si>
  <si>
    <t>Current book value</t>
  </si>
  <si>
    <t>PV explicit residual income</t>
  </si>
  <si>
    <t>Terminal residual income</t>
  </si>
  <si>
    <t>PV terminal value</t>
  </si>
  <si>
    <t>Implied equity value</t>
  </si>
  <si>
    <t>Implied value / share</t>
  </si>
  <si>
    <t>Valuation sensitivity</t>
  </si>
  <si>
    <t>Equity value sensitivity to cost of equity and terminal growth.</t>
  </si>
  <si>
    <t>CoE / g</t>
  </si>
  <si>
    <t>Model checks</t>
  </si>
  <si>
    <t>All critical checks should read PASS before decision use.</t>
  </si>
  <si>
    <t>Check</t>
  </si>
  <si>
    <t>Result</t>
  </si>
  <si>
    <t>Severity</t>
  </si>
  <si>
    <t>Interpretation</t>
  </si>
  <si>
    <t>Forecast assets non-negative</t>
  </si>
  <si>
    <t>Critical</t>
  </si>
  <si>
    <t>No negative asset balance</t>
  </si>
  <si>
    <t>Ending equity non-negative</t>
  </si>
  <si>
    <t>Capital remains positive</t>
  </si>
  <si>
    <t>ROE within model bounds</t>
  </si>
  <si>
    <t>Screens extreme profitability</t>
  </si>
  <si>
    <t>Discount rate exceeds terminal growth</t>
  </si>
  <si>
    <t>Required for convergent residual-income terminal value</t>
  </si>
  <si>
    <t>Historical source coverage</t>
  </si>
  <si>
    <t>LIMITED</t>
  </si>
  <si>
    <t>Readiness</t>
  </si>
  <si>
    <t>Manual/summary sources or missing standalone disclosures remain explicitly limited</t>
  </si>
  <si>
    <t>Overall gate</t>
  </si>
  <si>
    <t>Decision use</t>
  </si>
  <si>
    <t>Sector KPI framework</t>
  </si>
  <si>
    <t>A decision-useful model requires sector drivers beyond the three statements.</t>
  </si>
  <si>
    <t>KPI</t>
  </si>
  <si>
    <t>Historical</t>
  </si>
  <si>
    <t>Forecast</t>
  </si>
  <si>
    <t>Status / source requirement</t>
  </si>
  <si>
    <t>Loan growth</t>
  </si>
  <si>
    <t>Input-ready; populate from issuer operating disclosures</t>
  </si>
  <si>
    <t>Deposit growth</t>
  </si>
  <si>
    <t>Net interest margin</t>
  </si>
  <si>
    <t>Cost of risk</t>
  </si>
  <si>
    <t>NPL ratio</t>
  </si>
  <si>
    <t>Coverage ratio</t>
  </si>
  <si>
    <t>CET1 / capital ratio</t>
  </si>
  <si>
    <t>Liquidity ratio</t>
  </si>
  <si>
    <t>Tangible book value per share</t>
  </si>
  <si>
    <t>Change log and governance</t>
  </si>
  <si>
    <t>Version history and model-owner review record.</t>
  </si>
  <si>
    <t>Date</t>
  </si>
  <si>
    <t>Version</t>
  </si>
  <si>
    <t>Author</t>
  </si>
  <si>
    <t>Change</t>
  </si>
  <si>
    <t>Evidence</t>
  </si>
  <si>
    <t>Reviewer status</t>
  </si>
  <si>
    <t>1.0</t>
  </si>
  <si>
    <t>Codex</t>
  </si>
  <si>
    <t>Initial institutional model framework and source pack</t>
  </si>
  <si>
    <t>Builder-verified</t>
  </si>
  <si>
    <t>Formula, package and visual QA</t>
  </si>
  <si>
    <t>Checks sheet and preview artifacts</t>
  </si>
  <si>
    <t>Pending owner investment judgment</t>
  </si>
  <si>
    <t>Elevación statement-grade (patrón Samsung): IS_Hist/CI_Hist/BS_Hist/CF_Hist auditados FY2022A-FY2025A (COP mm, constantes publicadas; FY2021A no abastecido), Checks_TieOut (28 tie-outs + continuidad de caja, tolerancia COP 1,000mm por redondeo del emisor), Sources_Audited (jerarquía FY2023 documentada: dictamen=Informe Anual 2023, detalle=4T sin dictamen), USD_Bridge (FY2023 con tasas del emisor; FY2024-25 gap documentado — sin tasa fabricada), schedules sectoriales Investment_Portfolio/Equity_Method/Segments (Notas 6/10/24, FY2024-25), Assumptions_IS+Forecast_IS (sheets nuevos) IS-level driver-built 5yr Base/Bull/Bear (PARTIAL — BS/CF forecast pendiente). Legacy stubs 00_Cover/Sources/Historical/Assumptions/Forecast/Valuation/Sensitivity/Checks/Sector_KPIs dejados intactos (no se tocaron para no romper su wiring cruzado). Root model intacto; build en the maintainer's archive.</t>
  </si>
  <si>
    <t>Claude (run 41538014)</t>
  </si>
  <si>
    <t>Grupo de Inversiones Suramericana S.A. — Estado de Resultados Consolidado (auditado)</t>
  </si>
  <si>
    <t>COP millones. FY2022-23 por EEFF Consolidados FY2023 4T (pp.10-11) con dictamen en Informe Anual 2023 (pp.114-ss); FY2024-25 por EEFF Consolidados-Notas-Dictamen FY2025 4T (pp.8-9, comparativo FY2024 reexpresado por desconsolidación EPS Suramericana). FY2021 no sourced esta pasada.</t>
  </si>
  <si>
    <t>Line item</t>
  </si>
  <si>
    <t>FY2021A</t>
  </si>
  <si>
    <t>FY2022A</t>
  </si>
  <si>
    <t>FY2023A</t>
  </si>
  <si>
    <t>FY2024A</t>
  </si>
  <si>
    <t>FY2025A</t>
  </si>
  <si>
    <t>Note ref</t>
  </si>
  <si>
    <t>Ingresos</t>
  </si>
  <si>
    <t>Primas de seguros</t>
  </si>
  <si>
    <t>IS p.9(FY25)/p.11(FY23,img)</t>
  </si>
  <si>
    <t>Primas y servicios de salud</t>
  </si>
  <si>
    <t>IS p.11(FY23,img) — EPS Suramericana desconsolidada 2024</t>
  </si>
  <si>
    <t>Primas emitidas</t>
  </si>
  <si>
    <t>IS subtotal</t>
  </si>
  <si>
    <t>Primas cedidas en reaseguro</t>
  </si>
  <si>
    <t>IS</t>
  </si>
  <si>
    <t>Primas retenidas (netas)</t>
  </si>
  <si>
    <t>Reservas netas de producción</t>
  </si>
  <si>
    <t>Primas retenidas devengadas</t>
  </si>
  <si>
    <t>Rendimiento neto inversiones costo amortizado y otros</t>
  </si>
  <si>
    <t>IS Nota 5/6.1.2, 27</t>
  </si>
  <si>
    <t>Ganancia (pérdida) neta inversiones a valor razonable</t>
  </si>
  <si>
    <t>IS Nota 5/6.1.2</t>
  </si>
  <si>
    <t>Ingresos por comisiones</t>
  </si>
  <si>
    <t>IS Nota 24/25</t>
  </si>
  <si>
    <t>Prestación de servicios</t>
  </si>
  <si>
    <t>IS Nota 25/26</t>
  </si>
  <si>
    <t>Ganancia por método de participación</t>
  </si>
  <si>
    <t>IS Nota 9/10</t>
  </si>
  <si>
    <t>Ganancia en venta de inversiones</t>
  </si>
  <si>
    <t>IS Nota 5 (FY22-23 caption)</t>
  </si>
  <si>
    <t>Ganancia realización activos no corrientes mantenidos p/venta</t>
  </si>
  <si>
    <t>IS Nota 27 (FY24-25 caption)</t>
  </si>
  <si>
    <t>Ganancia realización inversiones a valor razonable</t>
  </si>
  <si>
    <t>IS Nota 6.1.2 (FY24-25 caption)</t>
  </si>
  <si>
    <t>Otros ingresos</t>
  </si>
  <si>
    <t>IS Nota 26/27</t>
  </si>
  <si>
    <t>Total ingresos</t>
  </si>
  <si>
    <t>IS subtotal (published)</t>
  </si>
  <si>
    <t>Costos y gastos</t>
  </si>
  <si>
    <t>Siniestros de seguros</t>
  </si>
  <si>
    <t>Siniestros y servicios de salud</t>
  </si>
  <si>
    <t>IS (FY22-23 caption)</t>
  </si>
  <si>
    <t>Siniestros totales</t>
  </si>
  <si>
    <t>IS subtotal Nota 6</t>
  </si>
  <si>
    <t>Reembolso de siniestros</t>
  </si>
  <si>
    <t>IS Nota 6</t>
  </si>
  <si>
    <t>Siniestros retenidos</t>
  </si>
  <si>
    <t>Gastos por comisiones a intermediarios</t>
  </si>
  <si>
    <t>Costos y gastos de seguros</t>
  </si>
  <si>
    <t>Costos por prestación de servicios</t>
  </si>
  <si>
    <t>Gastos administrativos</t>
  </si>
  <si>
    <t>IS Nota 27/28</t>
  </si>
  <si>
    <t>Beneficios a empleados</t>
  </si>
  <si>
    <t>IS Nota 15/16</t>
  </si>
  <si>
    <t>Honorarios</t>
  </si>
  <si>
    <t>IS Nota 28/29</t>
  </si>
  <si>
    <t>Depreciación y amortización</t>
  </si>
  <si>
    <t>IS Notas 11-13</t>
  </si>
  <si>
    <t>Otros gastos</t>
  </si>
  <si>
    <t>Total costos y gastos</t>
  </si>
  <si>
    <t>Ganancia operativa</t>
  </si>
  <si>
    <t>(Pérdida) ganancia instrumentos financieros derivados a VR</t>
  </si>
  <si>
    <t>IS Nota 5/30</t>
  </si>
  <si>
    <t>Diferencia en cambio (neta)</t>
  </si>
  <si>
    <t>IS Nota 29/30</t>
  </si>
  <si>
    <t>Intereses y otros</t>
  </si>
  <si>
    <t>Otros costos financieros</t>
  </si>
  <si>
    <t>IS (FY24 caption only)</t>
  </si>
  <si>
    <t>Resultado financiero</t>
  </si>
  <si>
    <t>Ganancia antes de impuestos (operaciones continuas)</t>
  </si>
  <si>
    <t>Impuesto a las ganancias</t>
  </si>
  <si>
    <t>IS Nota 7/8</t>
  </si>
  <si>
    <t>Ganancia neta operaciones continuadas</t>
  </si>
  <si>
    <t>Ganancia neta operaciones discontinuadas</t>
  </si>
  <si>
    <t>IS Nota 9/11</t>
  </si>
  <si>
    <t>Resultado neto activos no corrientes p/distribuir accionistas</t>
  </si>
  <si>
    <t>IS Nota 11 (FY24-25 only)</t>
  </si>
  <si>
    <t>Ganancia neta del período</t>
  </si>
  <si>
    <t>IS total (published)</t>
  </si>
  <si>
    <t>Ganancia neta atribuible a los propietarios de la controladora</t>
  </si>
  <si>
    <t>Ganancia neta atribuible a las participaciones no controladoras</t>
  </si>
  <si>
    <t>IS Nota 22/23</t>
  </si>
  <si>
    <t>Grupo de Inversiones Suramericana S.A. — Estado de Resultados Integrales Consolidado (auditado)</t>
  </si>
  <si>
    <t>COP millones. Misma base de fuentes que IS_Hist.</t>
  </si>
  <si>
    <t>CI</t>
  </si>
  <si>
    <t>Partidas que no se reclasificarán al resultado, neto de impuestos</t>
  </si>
  <si>
    <t>Ganancia (pérdida) inversiones en instrumentos de patrimonio</t>
  </si>
  <si>
    <t>CI Nota 21/22</t>
  </si>
  <si>
    <t>Ganancia (pérdida) por revaluación de propiedades y equipo</t>
  </si>
  <si>
    <t>Nuevas mediciones de planes de beneficios definidos</t>
  </si>
  <si>
    <t>Participación ORI asociadas/negocios conjuntos (no reclasificable)</t>
  </si>
  <si>
    <t>CI Nota 22 (FY24-25 caption only)</t>
  </si>
  <si>
    <t>Total no reclasificará al resultado, neto de impuestos</t>
  </si>
  <si>
    <t>CI subtotal</t>
  </si>
  <si>
    <t>Partidas que se reclasificarán al resultado, neto de impuestos</t>
  </si>
  <si>
    <t>(Pérdida) ganancia diferencias de cambio de conversión</t>
  </si>
  <si>
    <t>Ganancia (pérdida) por cobertura de flujo de efectivo</t>
  </si>
  <si>
    <t>(Pérdida) ganancia cobertura derivados inversiones netas extranjero</t>
  </si>
  <si>
    <t>Participación ORI asociadas/negocios conjuntos (reclasificable)</t>
  </si>
  <si>
    <t>Total se reclasificará al resultado, neto de impuestos</t>
  </si>
  <si>
    <t>Total otros resultados integrales</t>
  </si>
  <si>
    <t>Resultado integral total</t>
  </si>
  <si>
    <t>CI total</t>
  </si>
  <si>
    <t>Resultado integral total — propietarios de la controladora</t>
  </si>
  <si>
    <t>Resultado integral total — participaciones no controladoras</t>
  </si>
  <si>
    <t>Grupo de Inversiones Suramericana S.A. — Estado de Situación Financiera Consolidado (auditado)</t>
  </si>
  <si>
    <t>COP millones, al 31 de diciembre. FY2022-23 por EEFF Consolidados FY2023 4T (p.10, dictamen en Informe Anual 2023); FY2024-25 por EEFF FY2025 4T (p.8).</t>
  </si>
  <si>
    <t>Activos</t>
  </si>
  <si>
    <t>Efectivo y equivalentes de efectivo</t>
  </si>
  <si>
    <t>BS Nota 5/6</t>
  </si>
  <si>
    <t>Inversiones</t>
  </si>
  <si>
    <t>Instrumentos financieros derivados</t>
  </si>
  <si>
    <t>Cuentas por cobrar (a terceros)</t>
  </si>
  <si>
    <t>BS Nota 5</t>
  </si>
  <si>
    <t>Activos por contratos de seguros</t>
  </si>
  <si>
    <t>BS Nota 6/7</t>
  </si>
  <si>
    <t>Activos por contratos de reaseguro</t>
  </si>
  <si>
    <t>Cuentas por cobrar a partes relacionadas</t>
  </si>
  <si>
    <t>BS Nota 34/35</t>
  </si>
  <si>
    <t>Activos por impuestos corrientes</t>
  </si>
  <si>
    <t>BS Nota 7/8</t>
  </si>
  <si>
    <t>Costo de adquisición diferido - DAC</t>
  </si>
  <si>
    <t>BS Nota 8/9</t>
  </si>
  <si>
    <t>Inversiones en asociadas y negocios conjuntos</t>
  </si>
  <si>
    <t>BS Nota 9/10</t>
  </si>
  <si>
    <t>Activos no corrientes mant. venta / p. distribuir accionistas</t>
  </si>
  <si>
    <t>BS Nota 10/11</t>
  </si>
  <si>
    <t>Propiedades y equipo, neto</t>
  </si>
  <si>
    <t>BS Nota 11/12</t>
  </si>
  <si>
    <t>Activos por derecho de uso</t>
  </si>
  <si>
    <t>BS Nota 12/13</t>
  </si>
  <si>
    <t>Otros activos intangibles</t>
  </si>
  <si>
    <t>BS Nota 13/14</t>
  </si>
  <si>
    <t>Activo por impuesto diferido</t>
  </si>
  <si>
    <t>Plusvalía</t>
  </si>
  <si>
    <t>Otros activos</t>
  </si>
  <si>
    <t>BS Nota 14/15</t>
  </si>
  <si>
    <t>Total activos</t>
  </si>
  <si>
    <t>BS total (published)</t>
  </si>
  <si>
    <t>Pasivos</t>
  </si>
  <si>
    <t>Obligaciones financieras</t>
  </si>
  <si>
    <t>Cuentas por pagar</t>
  </si>
  <si>
    <t>Cuentas por pagar a partes relacionadas</t>
  </si>
  <si>
    <t>Pasivos por arrendamientos</t>
  </si>
  <si>
    <t>Pasivos por contratos de seguros</t>
  </si>
  <si>
    <t>Pasivos por contratos de reaseguro</t>
  </si>
  <si>
    <t>Pasivos por impuestos corrientes</t>
  </si>
  <si>
    <t>Pasivos no corrientes mant. para la venta</t>
  </si>
  <si>
    <t>BS Nota 15/16</t>
  </si>
  <si>
    <t>Provisiones y contingencias</t>
  </si>
  <si>
    <t>BS Nota 16/17</t>
  </si>
  <si>
    <t>Ingresos diferidos - DIL</t>
  </si>
  <si>
    <t>BS Nota 17/18</t>
  </si>
  <si>
    <t>Bonos emitidos</t>
  </si>
  <si>
    <t>Compromisos con participaciones no controladoras</t>
  </si>
  <si>
    <t>Pasivo por impuesto diferido</t>
  </si>
  <si>
    <t>Pasivo por acciones preferenciales</t>
  </si>
  <si>
    <t>BS Nota 18/19</t>
  </si>
  <si>
    <t>Total pasivos</t>
  </si>
  <si>
    <t>Patrimonio</t>
  </si>
  <si>
    <t>Capital emitido</t>
  </si>
  <si>
    <t>BS Nota 19/20</t>
  </si>
  <si>
    <t>Prima de emisión</t>
  </si>
  <si>
    <t>Acciones propias readquiridas</t>
  </si>
  <si>
    <t>BS Nota 20 (FY24-25 caption only)</t>
  </si>
  <si>
    <t>Reservas</t>
  </si>
  <si>
    <t>Reservas readquisición de acciones</t>
  </si>
  <si>
    <t>BS = IS_Hist net income to controlling</t>
  </si>
  <si>
    <t>Ganancias acumuladas</t>
  </si>
  <si>
    <t>Otros resultados integrales</t>
  </si>
  <si>
    <t>BS Nota 21/22</t>
  </si>
  <si>
    <t>Patrimonio atribuible a los accionistas de la controladora</t>
  </si>
  <si>
    <t>BS subtotal (published)</t>
  </si>
  <si>
    <t>Participaciones no controladoras</t>
  </si>
  <si>
    <t>BS Nota 22/23</t>
  </si>
  <si>
    <t>Total patrimonio</t>
  </si>
  <si>
    <t>Total pasivos y patrimonio</t>
  </si>
  <si>
    <t>Grupo de Inversiones Suramericana S.A. — Estado de Flujos de Efectivo Consolidado (auditado)</t>
  </si>
  <si>
    <t>COP millones. FY2022-23 por EEFF FY2023 4T (p.14, img); FY2024-25 por EEFF FY2025 4T (p.11-12). Signos como publicados.</t>
  </si>
  <si>
    <t>Actividades de operación</t>
  </si>
  <si>
    <t>Ganancia antes de impuestos operaciones continuas</t>
  </si>
  <si>
    <t>CF</t>
  </si>
  <si>
    <t>CF (FY24-25 caption)</t>
  </si>
  <si>
    <t>CF (FY24-25 only)</t>
  </si>
  <si>
    <t>Ganancia venta activos no corrientes mant. venta</t>
  </si>
  <si>
    <t>Ganancia (resultado) neto operaciones discontinuadas</t>
  </si>
  <si>
    <t>Ganancia antes de impuestos (subtotal, FY22-23)</t>
  </si>
  <si>
    <t>CF subtotal</t>
  </si>
  <si>
    <t>Impuestos a las ganancias (add-back)</t>
  </si>
  <si>
    <t>Intereses y otros (add-back)</t>
  </si>
  <si>
    <t>Gastos de depreciación y amortización</t>
  </si>
  <si>
    <t>Deterioro de valor reconocido en el resultado</t>
  </si>
  <si>
    <t>Recuperación (deterioro) de inversiones</t>
  </si>
  <si>
    <t>(Ganancia) pérdida moneda extranjera no realizada / variación TC</t>
  </si>
  <si>
    <t>(Ganancia) valor razonable inversiones/derivados negociación</t>
  </si>
  <si>
    <t>Valoración de inversiones a costo amortizado</t>
  </si>
  <si>
    <t>Resultados por método de participación</t>
  </si>
  <si>
    <t>Variación de los contratos de seguro neta (FY22-23) / Cambios en estimados (FY24-25)</t>
  </si>
  <si>
    <t>CF Notas 6/7</t>
  </si>
  <si>
    <t>Amortización costo adquisición negocios - DAC</t>
  </si>
  <si>
    <t>Ajuste costo de adquisición de negocios - DAC</t>
  </si>
  <si>
    <t>CF (FY22-23 caption)</t>
  </si>
  <si>
    <t>(Disminución) del ajuste del costo de adquisición de negocios - DAC</t>
  </si>
  <si>
    <t>CF (FY24-25 only, distinct 2nd DAC line)</t>
  </si>
  <si>
    <t>Variación de los contratos de seguro neta (FY24-25, 2nd distinct line)</t>
  </si>
  <si>
    <t>Impuesto diferido, neto</t>
  </si>
  <si>
    <t>CF (FY22-23 only)</t>
  </si>
  <si>
    <t>Otras entradas de efectivo</t>
  </si>
  <si>
    <t>Inventarios</t>
  </si>
  <si>
    <t>Cuentas por cobrar actividad aseguradora</t>
  </si>
  <si>
    <t>Otras cuentas por cobrar</t>
  </si>
  <si>
    <t>Cuentas por cobrar partes relacionadas</t>
  </si>
  <si>
    <t>Cuentas por pagar actividad aseguradora</t>
  </si>
  <si>
    <t>Provisiones</t>
  </si>
  <si>
    <t>Otros activos y pasivos no financieros</t>
  </si>
  <si>
    <t>Disposición de activos no corrientes</t>
  </si>
  <si>
    <t>Dividendos recibidos asociadas</t>
  </si>
  <si>
    <t>Impuesto de renta pagado</t>
  </si>
  <si>
    <t>Intereses recibidos</t>
  </si>
  <si>
    <t>Flujos de efectivo de actividades de operación</t>
  </si>
  <si>
    <t>CF total (published)</t>
  </si>
  <si>
    <t>Actividades de inversión</t>
  </si>
  <si>
    <t>Otros cobros por venta de patrimonio/instrumentos de deuda</t>
  </si>
  <si>
    <t>Otros pagos para adquirir patrimonio/instrumentos de deuda</t>
  </si>
  <si>
    <t>Pagos para adquirir patrimonio de asociadas</t>
  </si>
  <si>
    <t>CF (FY24 only)</t>
  </si>
  <si>
    <t>Flujos utilizados en capitalización de negocios conjuntos</t>
  </si>
  <si>
    <t>Flujos utilizados para adquirir participaciones no controlantes</t>
  </si>
  <si>
    <t>CF (FY25 only)</t>
  </si>
  <si>
    <t>Flujos procedentes de obtención de control de subsidiaria</t>
  </si>
  <si>
    <t>CF (FY22 only)</t>
  </si>
  <si>
    <t>Importes procedentes de venta de propiedades y equipo</t>
  </si>
  <si>
    <t>Compras de propiedades y equipo</t>
  </si>
  <si>
    <t>Importes procedentes de ventas de activos intangibles</t>
  </si>
  <si>
    <t>Compras de activos intangibles</t>
  </si>
  <si>
    <t>Recursos por ventas de otros activos a largo plazo</t>
  </si>
  <si>
    <t>Compras de otros activos a largo plazo</t>
  </si>
  <si>
    <t>Dividendos recibidos instrumentos financieros</t>
  </si>
  <si>
    <t>Flujos de efectivo de actividades de inversión</t>
  </si>
  <si>
    <t>Actividades de financiación</t>
  </si>
  <si>
    <t>Pagos/cobros de contratos futuro/opciones (swaps)</t>
  </si>
  <si>
    <t>Importes procedentes de préstamos</t>
  </si>
  <si>
    <t>Reembolsos de préstamos</t>
  </si>
  <si>
    <t>Pagos de pasivos por arrendamientos financieros</t>
  </si>
  <si>
    <t>Dividendos pagados a accionistas de la controlante</t>
  </si>
  <si>
    <t>Dividendos pagados a accionistas no controlante</t>
  </si>
  <si>
    <t>Intereses pagados</t>
  </si>
  <si>
    <t>Flujos de efectivo de actividades de financiación</t>
  </si>
  <si>
    <t>Incremento (disminución) neto efectivo antes de efecto TC</t>
  </si>
  <si>
    <t>Efectos de la variación en la tasa de cambio</t>
  </si>
  <si>
    <t>(Disminución) efectivo por desconsolidación de subsidiarias</t>
  </si>
  <si>
    <t>Incremento (disminución) neto de efectivo y equivalentes</t>
  </si>
  <si>
    <t>CF subtotal (published)</t>
  </si>
  <si>
    <t>Efectivo y equivalentes al principio del periodo</t>
  </si>
  <si>
    <t>Efectivo y equivalentes al final del año</t>
  </si>
  <si>
    <t>Tie-out checks — audited historical statements (COP millones). FY2021 not sourced this pass (col B blank). Tolerance = COP 1,000mm (~0.005% of a multi-trillion-COP consolidated total) to absorb the issuer's own subsidiary-level rounding when statements are presented in millions; each residual traces to verified issuer rounding, not a transcription gap — see per-check deltas below.</t>
  </si>
  <si>
    <t>MASTER</t>
  </si>
  <si>
    <t>IS: Primas emitidas = Primas de seguros + Primas y servicios de salud</t>
  </si>
  <si>
    <t>IS: Primas retenidas = Primas emitidas + cedidas reaseguro</t>
  </si>
  <si>
    <t>IS: Primas retenidas devengadas = retenidas + reservas netas prod.</t>
  </si>
  <si>
    <t>IS: Total ingresos = suma de componentes</t>
  </si>
  <si>
    <t>IS: Siniestros totales = seguros + salud</t>
  </si>
  <si>
    <t>IS: Siniestros retenidos = totales + reembolso</t>
  </si>
  <si>
    <t>IS: Total costos y gastos = suma de componentes</t>
  </si>
  <si>
    <t>IS: Ganancia operativa = ingresos + costos</t>
  </si>
  <si>
    <t>IS: Resultado financiero = suma de componentes</t>
  </si>
  <si>
    <t>IS: PBT = operativa + financiero</t>
  </si>
  <si>
    <t>IS: NI continuas = PBT - impuesto</t>
  </si>
  <si>
    <t>IS: NI total = continuas + discontinuadas + distribuir accionistas</t>
  </si>
  <si>
    <t>IS: NI = controladora + NCI</t>
  </si>
  <si>
    <t>CI: No reclasificará = suma de componentes</t>
  </si>
  <si>
    <t>CI: Se reclasificará = suma de componentes</t>
  </si>
  <si>
    <t>CI: Total ORI = no reclasificará + se reclasificará</t>
  </si>
  <si>
    <t>CI: Resultado integral total = NI + ORI</t>
  </si>
  <si>
    <t>CI: Resultado integral = controladora + NCI</t>
  </si>
  <si>
    <t>BS: Total activos = suma de líneas de activo</t>
  </si>
  <si>
    <t>BS: Total pasivos = suma de líneas de pasivo</t>
  </si>
  <si>
    <t>BS: Patrimonio atribuible a la controladora = suma de componentes</t>
  </si>
  <si>
    <t>BS: Total patrimonio = controladora + NCI</t>
  </si>
  <si>
    <t>BS: Total pasivos y patrimonio = pasivos + patrimonio</t>
  </si>
  <si>
    <t>BS: Balance (Total activos - Total pasivos y patrimonio)</t>
  </si>
  <si>
    <t>CF: Flujo operación = suma de partidas</t>
  </si>
  <si>
    <t>CF: Flujo inversión = suma de partidas</t>
  </si>
  <si>
    <t>CF: Flujo financiación = suma de partidas</t>
  </si>
  <si>
    <t>CF: Incremento neto = CFO+CFI+CFF+efecto TC (+desconsolid.)</t>
  </si>
  <si>
    <t>CF: Efectivo final = inicial + incremento neto</t>
  </si>
  <si>
    <t>X: CF efectivo final = BS efectivo</t>
  </si>
  <si>
    <t>X: CF NI (FY24-25 caption) = IS NI del período</t>
  </si>
  <si>
    <t>X: CI NI del período = IS NI del período</t>
  </si>
  <si>
    <t>X: BS Ganancia neta del período = IS atribuible controladora</t>
  </si>
  <si>
    <t>CF: Efectivo inicial = efectivo final año anterior (FY23-FY25)</t>
  </si>
  <si>
    <t>Audited source register — Grupo de Inversiones Suramericana S.A. (Grupo SURA) consolidated FS (gruposura.com IR PDFs)</t>
  </si>
  <si>
    <t>Model year</t>
  </si>
  <si>
    <t>Source report (jerarquía)</t>
  </si>
  <si>
    <t>File</t>
  </si>
  <si>
    <t>Página(s)</t>
  </si>
  <si>
    <t>Dictamen revisor fiscal</t>
  </si>
  <si>
    <t>EEFF Consolidados FY2023 4T (columna comparativa 2022); mismo auditor/dictamen que FY2023 (Nota: dictamen de EY del 29-feb-2024 cubre estado a dic-2023 con comparativo dic-2022)</t>
  </si>
  <si>
    <t>GrupoSura_EEFF-Consolidados-Notas_FY2023_4T_al-31-dic-2023_SIN-dictamen.pdf</t>
  </si>
  <si>
    <t>pp.10-14 (BS/IS/CI/SCE/CF)</t>
  </si>
  <si>
    <t>Referenciado en firma de estados ("Véase mi informe del 29 de febrero de 2024"); texto del dictamen consolidado en Informe Anual 2023</t>
  </si>
  <si>
    <t>PRIMARIA: Informe Anual 2023 (dictamen completo del revisor fiscal, consolidado, opinión sin salvedades, E&amp;Y Audit S.A.S. TR-530). CRUCE: EEFF Consolidados FY2023 4T sin dictamen, para el detalle línea-por-línea y notas completas (mismas cifras auditadas).</t>
  </si>
  <si>
    <t>GrupoSura_InformeAnual2023_con-dictamen-revisor-fiscal.pdf (dictamen) | GrupoSura_EEFF-Consolidados-Notas_FY2023_4T_al-31-dic-2023_SIN-dictamen.pdf (detalle línea-por-línea)</t>
  </si>
  <si>
    <t>Informe Anual: dictamen consolidado pp.~132 (texto "Informe del Revisor Fiscal"/"Opinión"); 4T: pp.10-14 (cifras)</t>
  </si>
  <si>
    <t>SI — opinión sin salvedades, Informe Anual 2023, designado E&amp;Y Audit S.A.S. TR-530</t>
  </si>
  <si>
    <t>EEFF Consolidados-Notas-Dictamen FY2025 4T (columna comparativa 2024, re-expresada por desconsolidación de EPS Suramericana S.A. — Notas 26.1/26.2/11.1/11.3)</t>
  </si>
  <si>
    <t>GrupoSura_EEFF-Consolidados-Notas-Dictamen_FY2025_4T_al-31-dic-2025.pdf</t>
  </si>
  <si>
    <t>pp.9-13 (BS/IS/CI/CF)</t>
  </si>
  <si>
    <t>SI — dictamen incluido en el mismo PDF (p.~251 según TOC), firma "Designado por PwC Contadores y Auditores S.A.S."</t>
  </si>
  <si>
    <t>EEFF Consolidados-Notas-Dictamen FY2025 4T (año corriente)</t>
  </si>
  <si>
    <t>pp.9-13 (BS/IS/CI/CF); Nota 6.1.2 (inversiones) p.83-84; Nota 10 (asociadas/neg.conjuntos) p.120-121; Nota 24 (segmentos) p.176-179</t>
  </si>
  <si>
    <t>SI — dictamen incluido, PwC Contadores y Auditores S.A.S.</t>
  </si>
  <si>
    <t>Nota jerarquía FY2023 (instrucción del mantenedor 2026-07-21): el paquete trimestral estándar "4T 2023" de gruposura.com NO incluye el Informe del Revisor Fiscal como sección propia (TOC verificado, 201 páginas) — solo referencia la firma con fecha del informe (29-feb-2024). El Informe Anual 2023 SÍ trae el dictamen completo (Opinión + Bases de la Opinión + Asuntos Clave de Auditoría), en formato condensado. Por eso: dictamen/aseguramiento = Informe Anual 2023; detalle de línea y notas = 4T sin dictamen (cifras idénticas, mismo período auditado, mismo revisor fiscal E&amp;Y). Ambas fuentes fueron cruzadas para BS/IS/CI/SCE/CF FY2023 y coinciden con las cifras entradas.</t>
  </si>
  <si>
    <t>FY2021A no fue abastecido en esta pasada (no había PDF FY2021/2022 con dictamen en la carpeta de research). Columna B (FY2021A) queda en blanco en IS_Hist/CI_Hist/BS_Hist/CF_Hist — no se rellenó con estimados.</t>
  </si>
  <si>
    <t>FX: FY2023 trae nota de conversión propia de la compañía (Informe Anual 2023, p. condensada Estado de Resultados) — tasa promedio 2023 COP 4,325.05/USD (Estado de Resultados/CI) y tasa de cierre 31-dic-2023 COP 3,822.05/USD (Estado de Situación Financiera). FY2024A y FY2025A: los EEFF consolidados 4T de Grupo SURA NO publican una nota de conversión a USD (a diferencia de Samsung); no se fabricó una tasa. Ver hoja USD_Bridge para el detalle y el gap documentado.</t>
  </si>
  <si>
    <t>USD presentation bridge — COP nativo a USD, tasas documentadas por reporte (política FX del mantenedor)</t>
  </si>
  <si>
    <t>Concepto</t>
  </si>
  <si>
    <t>FY2023A COP mm</t>
  </si>
  <si>
    <t>Tasa aplicada</t>
  </si>
  <si>
    <t>FY2023A USD mm</t>
  </si>
  <si>
    <t>Total ingresos (tasa promedio periodo)</t>
  </si>
  <si>
    <t>Ganancia neta del período (tasa promedio periodo)</t>
  </si>
  <si>
    <t>Total activos (tasa de cierre)</t>
  </si>
  <si>
    <t>Total patrimonio (tasa de cierre)</t>
  </si>
  <si>
    <t>Fuente tasas FY2023: Informe Anual 2023, nota de conversión a USD del Estado de Resultados/Situación Financiera condensados (tasa promedio y de cierre publicadas por el emisor).</t>
  </si>
  <si>
    <t>GAP FY2024A / FY2025A: los EEFF consolidados 4T no publican una nota de conversión a USD propia del emisor (a diferencia de FY2023 y del patrón Samsung). No se fabricó una tasa "de cierre de las notas" porque no existe en la fuente. Pendiente de decisión del mantenedor: (a) usar TRM de cierre de Banco de la República (fuente externa, no del emisor) explícitamente etiquetada como tal, o (b) buscar una nota de conversión en otro documento de SURA (ej. informe de gestión / presentación a inversionistas) que si publique una tasa propia del emisor.</t>
  </si>
  <si>
    <t>Portafolio de inversiones — Nota 6.1.2, EEFF Consolidados FY2025 4T (p.82-83). COP millones.</t>
  </si>
  <si>
    <t>Títulos de deuda</t>
  </si>
  <si>
    <t xml:space="preserve">  A valor razonable con cambios en resultados</t>
  </si>
  <si>
    <t xml:space="preserve">  A costo amortizado</t>
  </si>
  <si>
    <t xml:space="preserve">  A valor razonable con cambios en ORI</t>
  </si>
  <si>
    <t>Instrumentos de patrimonio</t>
  </si>
  <si>
    <t>Deterioro de valor</t>
  </si>
  <si>
    <t>Total inversiones</t>
  </si>
  <si>
    <t>Corriente</t>
  </si>
  <si>
    <t>No corriente</t>
  </si>
  <si>
    <t>Check: deuda+patrimonio+deterioro = total</t>
  </si>
  <si>
    <t>Check: corriente+no corriente = total</t>
  </si>
  <si>
    <t>FY2022-23 no incluido en esta pasada (gap documentado).</t>
  </si>
  <si>
    <t>Método de participación — inversiones en asociadas y negocios conjuntos — Nota 10, EEFF FY2025 4T (p.120-121). COP millones.</t>
  </si>
  <si>
    <t>Saldo — Asociadas</t>
  </si>
  <si>
    <t>Saldo — Negocios conjuntos</t>
  </si>
  <si>
    <t>Total inversiones en asociadas y negocios conjuntos</t>
  </si>
  <si>
    <t>Ganancia por método de participación — asociadas</t>
  </si>
  <si>
    <t>Pérdida por método de participación — negocios conjuntos</t>
  </si>
  <si>
    <t>Total resultado método de participación (= IS_Hist)</t>
  </si>
  <si>
    <t>Check: saldo = asociadas + neg. conjuntos</t>
  </si>
  <si>
    <t>Check: resultado = asociadas + neg. conjuntos</t>
  </si>
  <si>
    <t>Asociadas principales (Nota 10.1.1): Grupo Cibest S.A. (holding de Bancolombia, 24.71% part./46.27% voto dic-2025), Enka de Colombia S.A. (20.77%, reclasificada de instrumento financiero VR-ORI a asociada en 2T2025), Grupo Argos S.A. (34.06% dic-2024, reclasificada a activo no corriente p/distribuir accionistas en 2025 — "las Escisiones", Nota 11.1), más fondos/AFP en Chile (Inversiones DCV, SAFC Cesantías Chile II/III, Servicios Adm. Previsional).</t>
  </si>
  <si>
    <t>Negocios conjuntos: Subocol S.A. (50%). Internacional Ejecutiva de Aviación S.A.S. reclasificada de asociada (37.50%) a negocio conjunto (50%) en oct-2025.</t>
  </si>
  <si>
    <t>Segmentos de operación — Nota 24.2, EEFF FY2025 4T (p.177-179). COP millones.</t>
  </si>
  <si>
    <t>Holding</t>
  </si>
  <si>
    <t>Suramericana S.A. (Seguros)</t>
  </si>
  <si>
    <t>SURA Asset Mgmt S.A.</t>
  </si>
  <si>
    <t>Otros</t>
  </si>
  <si>
    <t>Eliminaciones y ajustes</t>
  </si>
  <si>
    <t>Total</t>
  </si>
  <si>
    <t>Ganancia antes de impuestos (continuas)</t>
  </si>
  <si>
    <t>Ganancia neta del periodo</t>
  </si>
  <si>
    <t>Check FY2025 ingresos: Holding+Suram.+SURA AM+Otros+Elim = Total</t>
  </si>
  <si>
    <t>Check FY2024 ingresos: Holding+Suram.+SURA AM+Otros+Elim = Total</t>
  </si>
  <si>
    <t>Segmentos reportables: (a) Holding (matriz, gestión de inversiones), (b) Suramericana S.A. (seguros vida/no-vida/salud), (c) SURA Asset Management S.A. (AFP/fondos), (d) Otros (servicios/comercialización). FY2022-23 no incluido en esta pasada (gap documentado).</t>
  </si>
  <si>
    <t>Assumptions_IS — forecast drivers (IS-level, ancladas a FY2025A base). Escenario: 1=Base, 2=Bull, 3=Bear. NOTA: sheet nuevo, independiente del stub legado "Assumptions" (que queda intacto, referenciado por Valuation/Sensitivity/Checks preexistentes).</t>
  </si>
  <si>
    <t>Escenario activo (1/2/3)</t>
  </si>
  <si>
    <t>Etiqueta escenario</t>
  </si>
  <si>
    <t>Driver</t>
  </si>
  <si>
    <t>Activo (según escenario)</t>
  </si>
  <si>
    <t>Crecimiento anual — primas retenidas devengadas</t>
  </si>
  <si>
    <t>Crecimiento anual — otros ingresos (comisiones+servicios+inversión+método part.)</t>
  </si>
  <si>
    <t>Ratio costos y gastos / total ingresos (constante)</t>
  </si>
  <si>
    <t>Resultado financiero / total ingresos (constante)</t>
  </si>
  <si>
    <t>Tasa impositiva efectiva</t>
  </si>
  <si>
    <t>% Ganancia neta atribuible a NCI</t>
  </si>
  <si>
    <t>Bases de los drivers: promedio observado FY2022A-FY2025A de la razón costos/ingresos y resultado financiero/ingresos (IS_Hist); crecimiento de primas ajustado por la volatilidad de reclasificaciones 2023-2025 (desconsolidación EPS Suramericana, Escisión Grupo Argos) — Bear castiga el crecimiento por nuevas escisiones/desconsolidaciones, Bull asume estabilización de perímetro.</t>
  </si>
  <si>
    <t>ALCANCE: forecast a nivel Estado de Resultados solamente (Total ingresos -&gt; Ganancia neta). BS/CF forecast NO construido en esta pasada — marcado PARTIAL (gap documentado en el reporte interno (no publicado)).</t>
  </si>
  <si>
    <t xml:space="preserve">Forecast_IS — IS-level (PARTIAL — ver Assumptions_IS!A15) — driver-built, escenario activo: </t>
  </si>
  <si>
    <t>Línea</t>
  </si>
  <si>
    <t>FY2026E</t>
  </si>
  <si>
    <t>FY2027E</t>
  </si>
  <si>
    <t>FY2028E</t>
  </si>
  <si>
    <t>FY2029E</t>
  </si>
  <si>
    <t>FY2030E</t>
  </si>
  <si>
    <t>Otros ingresos (resto de líneas de Total ingresos)</t>
  </si>
  <si>
    <t>Total costos y gastos (ratio sobre ingresos)</t>
  </si>
  <si>
    <t>Resultado financiero (ratio sobre ingresos)</t>
  </si>
  <si>
    <t>Ganancia antes de impuestos</t>
  </si>
  <si>
    <t>Atribuible a la controladora</t>
  </si>
  <si>
    <t>Atribuible a NCI</t>
  </si>
  <si>
    <t>Turn #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</si>
  <si>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</si>
  <si>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</si>
  <si>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</si>
  <si>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</si>
  <si>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</si>
  <si>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</si>
  <si>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Change_Log: 1 cell written, at B7; Sources_Audited: 5 cells written, at C4, C5, C6, C7, A9; USD_Bridge: 2 cells written, at A1, A10; Assumptions_IS: 1 cell written, at A15.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</si>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</sst>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[Red](#,##0.0);-"/>
    <numFmt numFmtId="166" formatCode="0.0%;[Red](0.0%);-"/>
    <numFmt numFmtId="167" formatCode="0.0%"/>
    <numFmt numFmtId="168" formatCode="yyyy\-mm\-dd hh:mm"/>
  </numFmts>
  <fonts count="15">
    <font>
      <sz val="11"/>
      <color theme="1"/>
      <name val="Calibri"/>
      <family val="2"/>
      <scheme val="minor"/>
    </font>
    <font>
      <sz val="11"/>
      <name val="Carlito"/>
    </font>
    <font>
      <b val="0"/>
      <i val="0"/>
      <strike val="0"/>
      <sz val="11"/>
      <name val="Carlito"/>
    </font>
    <font>
      <b val="0"/>
      <i val="0"/>
      <strike val="0"/>
      <sz val="16"/>
      <color rgb="FFFFFFFF"/>
      <name val="Carlito"/>
    </font>
    <font>
      <b val="0"/>
      <i val="0"/>
      <strike val="0"/>
      <sz val="10"/>
      <color rgb="FF595959"/>
      <name val="Carlito"/>
    </font>
    <font>
      <b val="0"/>
      <i val="0"/>
      <strike val="0"/>
      <sz val="11"/>
      <color rgb="FFFFFFFF"/>
      <name val="Carlito"/>
    </font>
    <font>
      <b val="0"/>
      <i val="0"/>
      <strike val="0"/>
      <sz val="10"/>
      <color rgb="FFFFFFFF"/>
      <name val="Aptos"/>
    </font>
    <font>
      <b val="0"/>
      <i val="0"/>
      <strike val="0"/>
      <sz val="10"/>
      <color rgb="FF595959"/>
      <name val="Aptos"/>
    </font>
    <font>
      <b val="0"/>
      <i val="0"/>
      <strike val="0"/>
      <sz val="10"/>
      <name val="Aptos"/>
    </font>
    <font>
      <b val="0"/>
      <i val="0"/>
      <strike val="0"/>
      <sz val="11"/>
      <color rgb="FF0000FF"/>
      <name val="Carlito"/>
    </font>
    <font>
      <b val="0"/>
      <i val="0"/>
      <strike val="0"/>
      <sz val="10"/>
      <color rgb="FF0000FF"/>
      <name val="Aptos"/>
    </font>
    <font>
      <b val="0"/>
      <i val="0"/>
      <strike val="0"/>
      <sz val="11"/>
      <color rgb="FF17365D"/>
      <name val="Carlito"/>
    </font>
    <font>
      <b val="0"/>
      <i val="0"/>
      <strike val="0"/>
      <sz val="10"/>
      <color rgb="FF17365D"/>
      <name val="Aptos"/>
    </font>
    <font>
      <b/>
      <i val="0"/>
      <strike val="0"/>
      <sz val="10"/>
      <color rgb="FF000000"/>
      <name val="Arial"/>
    </font>
    <font>
      <b val="0"/>
      <i val="0"/>
      <strike val="0"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AF3F8"/>
        <bgColor rgb="FFEAF3F8"/>
      </patternFill>
    </fill>
    <fill>
      <patternFill patternType="solid">
        <fgColor rgb="FFD9EAF7"/>
        <bgColor rgb="FFD9EAF7"/>
      </patternFill>
    </fill>
  </fills>
  <borders count="5">
    <border/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1F4E78"/>
      </left>
      <right style="thin">
        <color rgb="FF1F4E78"/>
      </right>
      <top style="thin">
        <color rgb="FF1F4E78"/>
      </top>
    </border>
    <border>
      <left style="thin">
        <color rgb="FF1F4E78"/>
      </left>
      <right style="thin">
        <color rgb="FF1F4E78"/>
      </right>
    </border>
    <border>
      <left style="thin">
        <color rgb="FF1F4E78"/>
      </left>
      <right style="thin">
        <color rgb="FF1F4E78"/>
      </right>
      <bottom style="thin">
        <color rgb="FF1F4E78"/>
      </bottom>
    </border>
  </borders>
  <cellStyleXfs count="1">
    <xf numFmtId="0" fontId="1" fillId="0" borderId="0"/>
  </cellStyleXfs>
  <cellXfs count="59">
    <xf numFmtId="0" fontId="1" fillId="0" borderId="0" xfId="0" applyFont="1"/>
    <xf numFmtId="164" fontId="2" fillId="2" borderId="0" xfId="0" applyNumberFormat="1" applyFont="1" applyFill="1"/>
    <xf numFmtId="164" fontId="3" fillId="2" borderId="0" xfId="0" applyNumberFormat="1" applyFont="1" applyFill="1"/>
    <xf numFmtId="164" fontId="4" fillId="0" borderId="0" xfId="0" applyNumberFormat="1" applyFont="1"/>
    <xf numFmtId="164" fontId="4" fillId="0" borderId="0" xfId="0" applyNumberFormat="1" applyFont="1" applyAlignment="1">
      <alignment horizontal="general" vertical="bottom" textRotation="0" wrapText="1" indent="0" readingOrder="0"/>
    </xf>
    <xf numFmtId="164" fontId="2" fillId="3" borderId="0" xfId="0" applyNumberFormat="1" applyFont="1" applyFill="1"/>
    <xf numFmtId="164" fontId="5" fillId="3" borderId="0" xfId="0" applyNumberFormat="1" applyFont="1" applyFill="1"/>
    <xf numFmtId="164" fontId="5" fillId="3" borderId="1" xfId="0" applyNumberFormat="1" applyFont="1" applyFill="1" applyBorder="1"/>
    <xf numFmtId="164" fontId="2" fillId="4" borderId="0" xfId="0" applyNumberFormat="1" applyFont="1" applyFill="1"/>
    <xf numFmtId="164" fontId="2" fillId="5" borderId="0" xfId="0" applyNumberFormat="1" applyFont="1" applyFill="1"/>
    <xf numFmtId="164" fontId="2" fillId="5" borderId="0" xfId="0" applyNumberFormat="1" applyFont="1" applyFill="1" applyAlignment="1">
      <alignment horizontal="general" vertical="bottom" textRotation="0" wrapText="1" indent="0" readingOrder="0"/>
    </xf>
    <xf numFmtId="164" fontId="6" fillId="2" borderId="0" xfId="0" applyNumberFormat="1" applyFont="1" applyFill="1"/>
    <xf numFmtId="164" fontId="7" fillId="0" borderId="0" xfId="0" applyNumberFormat="1" applyFont="1" applyAlignment="1">
      <alignment horizontal="general" vertical="bottom" textRotation="0" wrapText="1" indent="0" readingOrder="0"/>
    </xf>
    <xf numFmtId="164" fontId="8" fillId="0" borderId="0" xfId="0" applyNumberFormat="1" applyFont="1"/>
    <xf numFmtId="164" fontId="6" fillId="3" borderId="1" xfId="0" applyNumberFormat="1" applyFont="1" applyFill="1" applyBorder="1"/>
    <xf numFmtId="164" fontId="8" fillId="4" borderId="0" xfId="0" applyNumberFormat="1" applyFont="1" applyFill="1"/>
    <xf numFmtId="164" fontId="8" fillId="5" borderId="0" xfId="0" applyNumberFormat="1" applyFont="1" applyFill="1" applyAlignment="1">
      <alignment horizontal="general" vertical="bottom" textRotation="0" wrapText="1" indent="0" readingOrder="0"/>
    </xf>
    <xf numFmtId="164" fontId="6" fillId="2" borderId="0" xfId="0" applyNumberFormat="1" applyFont="1" applyFill="1" applyAlignment="1">
      <alignment horizontal="general" vertical="bottom" textRotation="0" wrapText="1" indent="0" readingOrder="0"/>
    </xf>
    <xf numFmtId="164" fontId="8" fillId="0" borderId="0" xfId="0" applyNumberFormat="1" applyFont="1" applyAlignment="1">
      <alignment horizontal="general" vertical="bottom" textRotation="0" wrapText="1" indent="0" readingOrder="0"/>
    </xf>
    <xf numFmtId="164" fontId="6" fillId="3" borderId="1" xfId="0" applyNumberFormat="1" applyFont="1" applyFill="1" applyBorder="1" applyAlignment="1">
      <alignment horizontal="general" vertical="bottom" textRotation="0" wrapText="1" indent="0" readingOrder="0"/>
    </xf>
    <xf numFmtId="164" fontId="8" fillId="4" borderId="0" xfId="0" applyNumberFormat="1" applyFont="1" applyFill="1" applyAlignment="1">
      <alignment horizontal="general" vertical="bottom" textRotation="0" wrapText="1" indent="0" readingOrder="0"/>
    </xf>
    <xf numFmtId="164" fontId="2" fillId="0" borderId="1" xfId="0" applyNumberFormat="1" applyFont="1" applyBorder="1"/>
    <xf numFmtId="164" fontId="8" fillId="0" borderId="1" xfId="0" applyNumberFormat="1" applyFont="1" applyBorder="1"/>
    <xf numFmtId="164" fontId="8" fillId="0" borderId="1" xfId="0" applyNumberFormat="1" applyFont="1" applyBorder="1" applyAlignment="1">
      <alignment horizontal="general" vertical="bottom" textRotation="0" wrapText="1" indent="0" readingOrder="0"/>
    </xf>
    <xf numFmtId="165" fontId="2" fillId="0" borderId="0" xfId="0" applyNumberFormat="1" applyFont="1"/>
    <xf numFmtId="165" fontId="2" fillId="0" borderId="1" xfId="0" applyNumberFormat="1" applyFont="1" applyBorder="1"/>
    <xf numFmtId="165" fontId="8" fillId="0" borderId="1" xfId="0" applyNumberFormat="1" applyFont="1" applyBorder="1"/>
    <xf numFmtId="165" fontId="8" fillId="0" borderId="1" xfId="0" applyNumberFormat="1" applyFont="1" applyBorder="1" applyAlignment="1">
      <alignment horizontal="general" vertical="bottom" textRotation="0" wrapText="1" indent="0" readingOrder="0"/>
    </xf>
    <xf numFmtId="164" fontId="9" fillId="0" borderId="0" xfId="0" applyNumberFormat="1" applyFont="1"/>
    <xf numFmtId="166" fontId="2" fillId="0" borderId="0" xfId="0" applyNumberFormat="1" applyFont="1"/>
    <xf numFmtId="166" fontId="9" fillId="0" borderId="0" xfId="0" applyNumberFormat="1" applyFont="1"/>
    <xf numFmtId="166" fontId="9" fillId="0" borderId="1" xfId="0" applyNumberFormat="1" applyFont="1" applyBorder="1"/>
    <xf numFmtId="166" fontId="2" fillId="0" borderId="1" xfId="0" applyNumberFormat="1" applyFont="1" applyBorder="1"/>
    <xf numFmtId="164" fontId="10" fillId="0" borderId="0" xfId="0" applyNumberFormat="1" applyFont="1"/>
    <xf numFmtId="166" fontId="10" fillId="0" borderId="1" xfId="0" applyNumberFormat="1" applyFont="1" applyBorder="1"/>
    <xf numFmtId="166" fontId="8" fillId="0" borderId="1" xfId="0" applyNumberFormat="1" applyFont="1" applyBorder="1"/>
    <xf numFmtId="164" fontId="10" fillId="0" borderId="0" xfId="0" applyNumberFormat="1" applyFont="1" applyAlignment="1">
      <alignment horizontal="general" vertical="bottom" textRotation="0" wrapText="1" indent="0" readingOrder="0"/>
    </xf>
    <xf numFmtId="166" fontId="10" fillId="0" borderId="1" xfId="0" applyNumberFormat="1" applyFont="1" applyBorder="1" applyAlignment="1">
      <alignment horizontal="general" vertical="bottom" textRotation="0" wrapText="1" indent="0" readingOrder="0"/>
    </xf>
    <xf numFmtId="166" fontId="8" fillId="0" borderId="1" xfId="0" applyNumberFormat="1" applyFont="1" applyBorder="1" applyAlignment="1">
      <alignment horizontal="general" vertical="bottom" textRotation="0" wrapText="1" indent="0" readingOrder="0"/>
    </xf>
    <xf numFmtId="164" fontId="2" fillId="6" borderId="0" xfId="0" applyNumberFormat="1" applyFont="1" applyFill="1"/>
    <xf numFmtId="164" fontId="11" fillId="6" borderId="0" xfId="0" applyNumberFormat="1" applyFont="1" applyFill="1"/>
    <xf numFmtId="164" fontId="11" fillId="6" borderId="2" xfId="0" applyNumberFormat="1" applyFont="1" applyFill="1" applyBorder="1"/>
    <xf numFmtId="164" fontId="11" fillId="6" borderId="3" xfId="0" applyNumberFormat="1" applyFont="1" applyFill="1" applyBorder="1"/>
    <xf numFmtId="164" fontId="11" fillId="6" borderId="4" xfId="0" applyNumberFormat="1" applyFont="1" applyFill="1" applyBorder="1"/>
    <xf numFmtId="164" fontId="11" fillId="6" borderId="1" xfId="0" applyNumberFormat="1" applyFont="1" applyFill="1" applyBorder="1"/>
    <xf numFmtId="164" fontId="12" fillId="6" borderId="1" xfId="0" applyNumberFormat="1" applyFont="1" applyFill="1" applyBorder="1"/>
    <xf numFmtId="164" fontId="12" fillId="6" borderId="1" xfId="0" applyNumberFormat="1" applyFont="1" applyFill="1" applyBorder="1" applyAlignment="1">
      <alignment horizontal="general" vertical="bottom" textRotation="0" wrapText="1" indent="0" readingOrder="0"/>
    </xf>
    <xf numFmtId="165" fontId="5" fillId="3" borderId="1" xfId="0" applyNumberFormat="1" applyFont="1" applyFill="1" applyBorder="1"/>
    <xf numFmtId="165" fontId="6" fillId="3" borderId="1" xfId="0" applyNumberFormat="1" applyFont="1" applyFill="1" applyBorder="1"/>
    <xf numFmtId="165" fontId="6" fillId="3" borderId="1" xfId="0" applyNumberFormat="1" applyFont="1" applyFill="1" applyBorder="1" applyAlignment="1">
      <alignment horizontal="general" vertical="bottom" textRotation="0" wrapText="1" indent="0" readingOrder="0"/>
    </xf>
    <xf numFmtId="167" fontId="5" fillId="3" borderId="1" xfId="0" applyNumberFormat="1" applyFont="1" applyFill="1" applyBorder="1"/>
    <xf numFmtId="167" fontId="6" fillId="3" borderId="1" xfId="0" applyNumberFormat="1" applyFont="1" applyFill="1" applyBorder="1"/>
    <xf numFmtId="167" fontId="6" fillId="3" borderId="1" xfId="0" applyNumberFormat="1" applyFont="1" applyFill="1" applyBorder="1" applyAlignment="1">
      <alignment horizontal="general" vertical="bottom" textRotation="0" wrapText="1" indent="0" readingOrder="0"/>
    </xf>
    <xf numFmtId="164" fontId="9" fillId="0" borderId="1" xfId="0" applyNumberFormat="1" applyFont="1" applyBorder="1"/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horizontal="general" vertical="bottom" textRotation="0" wrapText="1" indent="0" readingOrder="0"/>
    </xf>
    <xf numFmtId="0" fontId="13" fillId="0" borderId="0" xfId="0" applyFont="1" applyFill="1" applyProtection="1">
      <protection locked="1" hidden="0"/>
    </xf>
    <xf numFmtId="0" fontId="14" fillId="0" borderId="0" xfId="0" applyFont="1" applyFill="1" applyAlignment="1" applyProtection="1">
      <alignment vertical="top"/>
      <protection locked="1" hidden="0"/>
    </xf>
    <xf numFmtId="168" fontId="14" fillId="0" borderId="0" xfId="0" applyNumberFormat="1" applyFont="1" applyFill="1" applyAlignment="1" applyProtection="1">
      <alignment vertical="top"/>
      <protection locked="1" hidden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0f6d761dfd88419d" Type="http://schemas.openxmlformats.org/officeDocument/2006/relationships/styles" Target="/xl/styles.xml"/><Relationship Id="Rf28bedaede3948f7" Type="http://schemas.openxmlformats.org/officeDocument/2006/relationships/theme" Target="/xl/theme/theme1.xml"/><Relationship Id="R6b4cb08928b04acb" Type="http://schemas.openxmlformats.org/officeDocument/2006/relationships/sharedStrings" Target="/xl/sharedStrings.xml"/><Relationship Id="Re0da76d6b8ee4c91" Type="http://schemas.openxmlformats.org/officeDocument/2006/relationships/worksheet" Target="/xl/worksheets/sheet1.xml"/><Relationship Id="R87bf902939034103" Type="http://schemas.openxmlformats.org/officeDocument/2006/relationships/worksheet" Target="/xl/worksheets/sheet2.xml"/><Relationship Id="R8487c337807a420c" Type="http://schemas.openxmlformats.org/officeDocument/2006/relationships/worksheet" Target="/xl/worksheets/sheet3.xml"/><Relationship Id="R62932f34885349e8" Type="http://schemas.openxmlformats.org/officeDocument/2006/relationships/worksheet" Target="/xl/worksheets/sheet4.xml"/><Relationship Id="R4847306702da474b" Type="http://schemas.openxmlformats.org/officeDocument/2006/relationships/worksheet" Target="/xl/worksheets/sheet5.xml"/><Relationship Id="Rb96bc45867624ff9" Type="http://schemas.openxmlformats.org/officeDocument/2006/relationships/worksheet" Target="/xl/worksheets/sheet6.xml"/><Relationship Id="Rf2341d64169e485a" Type="http://schemas.openxmlformats.org/officeDocument/2006/relationships/worksheet" Target="/xl/worksheets/sheet7.xml"/><Relationship Id="Rf63bbad663db4004" Type="http://schemas.openxmlformats.org/officeDocument/2006/relationships/worksheet" Target="/xl/worksheets/sheet8.xml"/><Relationship Id="Rc2d5d7d8c3b24f93" Type="http://schemas.openxmlformats.org/officeDocument/2006/relationships/worksheet" Target="/xl/worksheets/sheet9.xml"/><Relationship Id="R15d2c28fdfa649cd" Type="http://schemas.openxmlformats.org/officeDocument/2006/relationships/worksheet" Target="/xl/worksheets/sheet10.xml"/><Relationship Id="rId1" Type="http://schemas.openxmlformats.org/officeDocument/2006/relationships/worksheet" Target="worksheets/sheet11.xml"/><Relationship Id="rId2" Type="http://schemas.openxmlformats.org/officeDocument/2006/relationships/worksheet" Target="worksheets/sheet12.xml"/><Relationship Id="rId3" Type="http://schemas.openxmlformats.org/officeDocument/2006/relationships/worksheet" Target="worksheets/sheet13.xml"/><Relationship Id="rId4" Type="http://schemas.openxmlformats.org/officeDocument/2006/relationships/worksheet" Target="worksheets/sheet14.xml"/><Relationship Id="rId5" Type="http://schemas.openxmlformats.org/officeDocument/2006/relationships/worksheet" Target="worksheets/sheet15.xml"/><Relationship Id="rId6" Type="http://schemas.openxmlformats.org/officeDocument/2006/relationships/worksheet" Target="worksheets/sheet16.xml"/><Relationship Id="rId7" Type="http://schemas.openxmlformats.org/officeDocument/2006/relationships/worksheet" Target="worksheets/sheet17.xml"/><Relationship Id="rId8" Type="http://schemas.openxmlformats.org/officeDocument/2006/relationships/worksheet" Target="worksheets/sheet18.xml"/><Relationship Id="rId9" Type="http://schemas.openxmlformats.org/officeDocument/2006/relationships/worksheet" Target="worksheets/sheet19.xml"/><Relationship Id="rId10" Type="http://schemas.openxmlformats.org/officeDocument/2006/relationships/worksheet" Target="worksheets/sheet20.xml"/><Relationship Id="rId11" Type="http://schemas.openxmlformats.org/officeDocument/2006/relationships/worksheet" Target="worksheets/sheet21.xml"/><Relationship Id="rId12" Type="http://schemas.openxmlformats.org/officeDocument/2006/relationships/worksheet" Target="worksheets/sheet22.xml"/><Relationship Id="rId13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7"/>
  <sheetViews>
    <sheetView showGridLines="0" tabSelected="1" workbookViewId="0"/>
  </sheetViews>
  <sheetFormatPr defaultRowHeight="15"/>
  <cols>
    <col min="1" max="1" width="28" customWidth="1"/>
    <col min="2" max="2" width="85" customWidth="1"/>
    <col min="3" max="8" width="15" customWidth="1"/>
  </cols>
  <sheetData>
    <row r="1" ht="28" customHeight="1">
      <c r="A1" s="17" t="s">
        <v>0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1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2</v>
      </c>
      <c r="B4" s="19" t="s">
        <v>3</v>
      </c>
      <c r="C4" s="18"/>
      <c r="D4" s="18"/>
      <c r="E4" s="18"/>
      <c r="F4" s="18"/>
      <c r="G4" s="18"/>
      <c r="H4" s="18"/>
    </row>
    <row r="5">
      <c r="A5" s="18" t="s">
        <v>4</v>
      </c>
      <c r="B5" s="18" t="s">
        <v>5</v>
      </c>
      <c r="C5" s="18"/>
      <c r="D5" s="18"/>
      <c r="E5" s="18"/>
      <c r="F5" s="18"/>
      <c r="G5" s="18"/>
      <c r="H5" s="18"/>
    </row>
    <row r="6">
      <c r="A6" s="18" t="s">
        <v>6</v>
      </c>
      <c r="B6" s="18" t="s">
        <v>7</v>
      </c>
      <c r="C6" s="18"/>
      <c r="D6" s="18"/>
      <c r="E6" s="18"/>
      <c r="F6" s="18"/>
      <c r="G6" s="18"/>
      <c r="H6" s="18"/>
    </row>
    <row r="7">
      <c r="A7" s="18" t="s">
        <v>8</v>
      </c>
      <c r="B7" s="18" t="s">
        <v>9</v>
      </c>
      <c r="C7" s="18"/>
      <c r="D7" s="18"/>
      <c r="E7" s="18"/>
      <c r="F7" s="18"/>
      <c r="G7" s="18"/>
      <c r="H7" s="18"/>
    </row>
    <row r="8">
      <c r="A8" s="18" t="s">
        <v>10</v>
      </c>
      <c r="B8" s="18" t="s">
        <v>11</v>
      </c>
      <c r="C8" s="18"/>
      <c r="D8" s="18"/>
      <c r="E8" s="18"/>
      <c r="F8" s="18"/>
      <c r="G8" s="18"/>
      <c r="H8" s="18"/>
    </row>
    <row r="9">
      <c r="A9" s="18" t="s">
        <v>12</v>
      </c>
      <c r="B9" s="18" t="s">
        <v>13</v>
      </c>
      <c r="C9" s="18"/>
      <c r="D9" s="18"/>
      <c r="E9" s="18"/>
      <c r="F9" s="18"/>
      <c r="G9" s="18"/>
      <c r="H9" s="18"/>
    </row>
    <row r="10">
      <c r="A10" s="18" t="s">
        <v>14</v>
      </c>
      <c r="B10" s="18" t="s">
        <v>15</v>
      </c>
      <c r="C10" s="18"/>
      <c r="D10" s="18"/>
      <c r="E10" s="18"/>
      <c r="F10" s="18"/>
      <c r="G10" s="18"/>
      <c r="H10" s="18"/>
    </row>
    <row r="11">
      <c r="A11" s="18" t="s">
        <v>16</v>
      </c>
      <c r="B11" s="18" t="s">
        <v>17</v>
      </c>
      <c r="C11" s="18"/>
      <c r="D11" s="18"/>
      <c r="E11" s="18"/>
      <c r="F11" s="18"/>
      <c r="G11" s="18"/>
      <c r="H11" s="18"/>
    </row>
    <row r="12">
      <c r="A12" s="18" t="s">
        <v>18</v>
      </c>
      <c r="B12" s="18" t="s">
        <v>19</v>
      </c>
      <c r="C12" s="18"/>
      <c r="D12" s="18"/>
      <c r="E12" s="18"/>
      <c r="F12" s="18"/>
      <c r="G12" s="18"/>
      <c r="H12" s="18"/>
    </row>
    <row r="13">
      <c r="A13" s="20" t="s">
        <v>20</v>
      </c>
      <c r="B13" s="20" t="s">
        <v>21</v>
      </c>
      <c r="C13" s="18"/>
      <c r="D13" s="18"/>
      <c r="E13" s="18"/>
      <c r="F13" s="18"/>
      <c r="G13" s="18"/>
      <c r="H13" s="18"/>
    </row>
    <row r="14">
      <c r="A14" s="18"/>
      <c r="B14" s="18"/>
      <c r="C14" s="18"/>
      <c r="D14" s="18"/>
      <c r="E14" s="18"/>
      <c r="F14" s="18"/>
      <c r="G14" s="18"/>
      <c r="H14" s="18"/>
    </row>
    <row r="15" ht="45" customHeight="1">
      <c r="A15" s="16" t="s">
        <v>22</v>
      </c>
      <c r="B15" s="16"/>
      <c r="C15" s="16"/>
      <c r="D15" s="16"/>
      <c r="E15" s="16"/>
      <c r="F15" s="16"/>
      <c r="G15" s="16"/>
      <c r="H15" s="16"/>
    </row>
    <row r="16">
      <c r="A16" s="18"/>
      <c r="B16" s="18"/>
      <c r="C16" s="18"/>
      <c r="D16" s="18"/>
      <c r="E16" s="18"/>
      <c r="F16" s="18"/>
      <c r="G16" s="18"/>
      <c r="H16" s="18"/>
    </row>
    <row r="17">
      <c r="A17" s="18"/>
      <c r="B17" s="18"/>
      <c r="C17" s="18"/>
      <c r="D17" s="18"/>
      <c r="E17" s="18"/>
      <c r="F17" s="18"/>
      <c r="G17" s="18"/>
      <c r="H17" s="18"/>
    </row>
  </sheetData>
  <mergeCells count="3">
    <mergeCell ref="A1:H1"/>
    <mergeCell ref="A2:H2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0"/>
  <sheetViews>
    <sheetView showGridLines="0" workbookViewId="0"/>
  </sheetViews>
  <sheetFormatPr defaultRowHeight="15"/>
  <cols>
    <col min="1" max="1" width="31" customWidth="1"/>
    <col min="2" max="2" width="15" customWidth="1"/>
    <col min="3" max="3" width="48" customWidth="1"/>
    <col min="4" max="6" width="15" customWidth="1"/>
    <col min="7" max="7" width="45" customWidth="1"/>
    <col min="8" max="8" width="15" customWidth="1"/>
  </cols>
  <sheetData>
    <row r="1" ht="28" customHeight="1">
      <c r="A1" s="17" t="s">
        <v>23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24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25</v>
      </c>
      <c r="B4" s="19" t="s">
        <v>26</v>
      </c>
      <c r="C4" s="19" t="s">
        <v>27</v>
      </c>
      <c r="D4" s="19" t="s">
        <v>28</v>
      </c>
      <c r="E4" s="19" t="s">
        <v>29</v>
      </c>
      <c r="F4" s="19" t="s">
        <v>30</v>
      </c>
      <c r="G4" s="19" t="s">
        <v>31</v>
      </c>
      <c r="H4" s="19" t="s">
        <v>32</v>
      </c>
    </row>
    <row r="5">
      <c r="A5" s="23" t="s">
        <v>33</v>
      </c>
      <c r="B5" s="23" t="s">
        <v>34</v>
      </c>
      <c r="C5" s="23" t="s">
        <v>19</v>
      </c>
      <c r="D5" s="23" t="s">
        <v>35</v>
      </c>
      <c r="E5" s="23" t="s">
        <v>11</v>
      </c>
      <c r="F5" s="23" t="s">
        <v>36</v>
      </c>
      <c r="G5" s="23" t="s">
        <v>21</v>
      </c>
      <c r="H5" s="23" t="s">
        <v>9</v>
      </c>
    </row>
    <row r="6">
      <c r="A6" s="23" t="s">
        <v>37</v>
      </c>
      <c r="B6" s="23" t="s">
        <v>38</v>
      </c>
      <c r="C6" s="23" t="s">
        <v>15</v>
      </c>
      <c r="D6" s="23" t="s">
        <v>39</v>
      </c>
      <c r="E6" s="23" t="s">
        <v>40</v>
      </c>
      <c r="F6" s="23" t="s">
        <v>41</v>
      </c>
      <c r="G6" s="23" t="s">
        <v>42</v>
      </c>
      <c r="H6" s="23" t="s">
        <v>43</v>
      </c>
    </row>
    <row r="7">
      <c r="A7" s="23" t="s">
        <v>44</v>
      </c>
      <c r="B7" s="23" t="s">
        <v>45</v>
      </c>
      <c r="C7" s="23" t="s">
        <v>46</v>
      </c>
      <c r="D7" s="23" t="s">
        <v>39</v>
      </c>
      <c r="E7" s="23" t="s">
        <v>11</v>
      </c>
      <c r="F7" s="23" t="s">
        <v>47</v>
      </c>
      <c r="G7" s="23" t="s">
        <v>48</v>
      </c>
      <c r="H7" s="23" t="s">
        <v>49</v>
      </c>
    </row>
    <row r="8">
      <c r="A8" s="23" t="s">
        <v>50</v>
      </c>
      <c r="B8" s="23" t="s">
        <v>51</v>
      </c>
      <c r="C8" s="23" t="s">
        <v>52</v>
      </c>
      <c r="D8" s="23" t="s">
        <v>39</v>
      </c>
      <c r="E8" s="23" t="s">
        <v>53</v>
      </c>
      <c r="F8" s="23" t="s">
        <v>54</v>
      </c>
      <c r="G8" s="23" t="s">
        <v>55</v>
      </c>
      <c r="H8" s="23" t="s">
        <v>56</v>
      </c>
    </row>
    <row r="9">
      <c r="A9" s="18"/>
      <c r="B9" s="18"/>
      <c r="C9" s="18"/>
      <c r="D9" s="18"/>
      <c r="E9" s="18"/>
      <c r="F9" s="18"/>
      <c r="G9" s="18"/>
      <c r="H9" s="18"/>
    </row>
    <row r="10">
      <c r="A10" s="18"/>
      <c r="B10" s="18"/>
      <c r="C10" s="18"/>
      <c r="D10" s="18"/>
      <c r="E10" s="18"/>
      <c r="F10" s="18"/>
      <c r="G10" s="18"/>
      <c r="H10" s="18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5"/>
  <sheetViews>
    <sheetView showGridLines="0" workbookViewId="0"/>
  </sheetViews>
  <sheetFormatPr defaultRowHeight="15"/>
  <cols>
    <col min="1" max="1" width="31" customWidth="1"/>
    <col min="2" max="6" width="15" customWidth="1"/>
    <col min="7" max="7" width="36" customWidth="1"/>
    <col min="8" max="8" width="22" customWidth="1"/>
  </cols>
  <sheetData>
    <row r="1" ht="28" customHeight="1">
      <c r="A1" s="17" t="s">
        <v>34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57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58</v>
      </c>
      <c r="B4" s="19" t="s">
        <v>59</v>
      </c>
      <c r="C4" s="19" t="s">
        <v>60</v>
      </c>
      <c r="D4" s="19" t="s">
        <v>61</v>
      </c>
      <c r="E4" s="19" t="s">
        <v>62</v>
      </c>
      <c r="F4" s="19" t="s">
        <v>63</v>
      </c>
      <c r="G4" s="19" t="s">
        <v>64</v>
      </c>
      <c r="H4" s="19" t="s">
        <v>65</v>
      </c>
    </row>
    <row r="5">
      <c r="A5" s="23" t="s">
        <v>66</v>
      </c>
      <c r="B5" s="27"/>
      <c r="C5" s="27"/>
      <c r="D5" s="27"/>
      <c r="E5" s="27"/>
      <c r="F5" s="27"/>
      <c r="G5" s="23" t="s">
        <v>67</v>
      </c>
      <c r="H5" s="23" t="s">
        <v>68</v>
      </c>
    </row>
    <row r="6">
      <c r="A6" s="23" t="s">
        <v>69</v>
      </c>
      <c r="B6" s="27"/>
      <c r="C6" s="27"/>
      <c r="D6" s="27"/>
      <c r="E6" s="27"/>
      <c r="F6" s="27"/>
      <c r="G6" s="23" t="s">
        <v>67</v>
      </c>
      <c r="H6" s="23" t="s">
        <v>68</v>
      </c>
    </row>
    <row r="7">
      <c r="A7" s="23" t="s">
        <v>70</v>
      </c>
      <c r="B7" s="27"/>
      <c r="C7" s="27"/>
      <c r="D7" s="27"/>
      <c r="E7" s="27"/>
      <c r="F7" s="27"/>
      <c r="G7" s="23" t="s">
        <v>67</v>
      </c>
      <c r="H7" s="23" t="s">
        <v>68</v>
      </c>
    </row>
    <row r="8">
      <c r="A8" s="23" t="s">
        <v>71</v>
      </c>
      <c r="B8" s="27"/>
      <c r="C8" s="27"/>
      <c r="D8" s="27"/>
      <c r="E8" s="27"/>
      <c r="F8" s="27">
        <v>558.5777369533308</v>
      </c>
      <c r="G8" s="23" t="s">
        <v>67</v>
      </c>
      <c r="H8" s="23" t="s">
        <v>72</v>
      </c>
    </row>
    <row r="9">
      <c r="A9" s="23" t="s">
        <v>73</v>
      </c>
      <c r="B9" s="27"/>
      <c r="C9" s="27"/>
      <c r="D9" s="27"/>
      <c r="E9" s="27"/>
      <c r="F9" s="27"/>
      <c r="G9" s="23" t="s">
        <v>67</v>
      </c>
      <c r="H9" s="23" t="s">
        <v>68</v>
      </c>
    </row>
    <row r="10">
      <c r="A10" s="23" t="s">
        <v>74</v>
      </c>
      <c r="B10" s="27"/>
      <c r="C10" s="27"/>
      <c r="D10" s="27"/>
      <c r="E10" s="27"/>
      <c r="F10" s="27"/>
      <c r="G10" s="23" t="s">
        <v>67</v>
      </c>
      <c r="H10" s="23" t="s">
        <v>68</v>
      </c>
    </row>
    <row r="11">
      <c r="A11" s="23" t="s">
        <v>75</v>
      </c>
      <c r="B11" s="27"/>
      <c r="C11" s="27"/>
      <c r="D11" s="27"/>
      <c r="E11" s="27"/>
      <c r="F11" s="27"/>
      <c r="G11" s="23" t="s">
        <v>67</v>
      </c>
      <c r="H11" s="23" t="s">
        <v>68</v>
      </c>
    </row>
    <row r="12">
      <c r="A12" s="23" t="s">
        <v>76</v>
      </c>
      <c r="B12" s="27"/>
      <c r="C12" s="27"/>
      <c r="D12" s="27"/>
      <c r="E12" s="27"/>
      <c r="F12" s="27"/>
      <c r="G12" s="23" t="s">
        <v>67</v>
      </c>
      <c r="H12" s="23" t="s">
        <v>68</v>
      </c>
    </row>
    <row r="13">
      <c r="A13" s="23" t="s">
        <v>77</v>
      </c>
      <c r="B13" s="27"/>
      <c r="C13" s="27"/>
      <c r="D13" s="27"/>
      <c r="E13" s="27"/>
      <c r="F13" s="27"/>
      <c r="G13" s="23" t="s">
        <v>67</v>
      </c>
      <c r="H13" s="23" t="s">
        <v>68</v>
      </c>
    </row>
    <row r="14">
      <c r="A14" s="23" t="s">
        <v>78</v>
      </c>
      <c r="B14" s="27"/>
      <c r="C14" s="27"/>
      <c r="D14" s="27"/>
      <c r="E14" s="27"/>
      <c r="F14" s="27"/>
      <c r="G14" s="23" t="s">
        <v>67</v>
      </c>
      <c r="H14" s="23" t="s">
        <v>68</v>
      </c>
    </row>
    <row r="15">
      <c r="A15" s="18"/>
      <c r="B15" s="18"/>
      <c r="C15" s="18"/>
      <c r="D15" s="18"/>
      <c r="E15" s="18"/>
      <c r="F15" s="18"/>
      <c r="G15" s="18"/>
      <c r="H15" s="18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5"/>
  <sheetViews>
    <sheetView showGridLines="0" workbookViewId="0"/>
  </sheetViews>
  <sheetFormatPr defaultRowHeight="15"/>
  <cols>
    <col min="1" max="1" width="31" customWidth="1"/>
    <col min="2" max="5" width="15" customWidth="1"/>
    <col min="6" max="6" width="55" customWidth="1"/>
    <col min="7" max="8" width="15" customWidth="1"/>
  </cols>
  <sheetData>
    <row r="1" ht="28" customHeight="1">
      <c r="A1" s="17" t="s">
        <v>79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80</v>
      </c>
      <c r="B2" s="12"/>
      <c r="C2" s="12"/>
      <c r="D2" s="12"/>
      <c r="E2" s="12"/>
      <c r="F2" s="12"/>
      <c r="G2" s="4"/>
      <c r="H2" s="4"/>
    </row>
    <row r="3">
      <c r="A3" s="18" t="s">
        <v>81</v>
      </c>
      <c r="B3" s="36">
        <v>1</v>
      </c>
      <c r="C3" s="18"/>
      <c r="D3" s="18"/>
      <c r="E3" s="18"/>
      <c r="F3" s="18"/>
    </row>
    <row r="4">
      <c r="A4" s="19" t="s">
        <v>58</v>
      </c>
      <c r="B4" s="19" t="s">
        <v>82</v>
      </c>
      <c r="C4" s="19" t="s">
        <v>83</v>
      </c>
      <c r="D4" s="19" t="s">
        <v>84</v>
      </c>
      <c r="E4" s="19" t="s">
        <v>85</v>
      </c>
      <c r="F4" s="19" t="s">
        <v>86</v>
      </c>
    </row>
    <row r="5">
      <c r="A5" s="23" t="s">
        <v>87</v>
      </c>
      <c r="B5" s="37">
        <v>0.03</v>
      </c>
      <c r="C5" s="37">
        <v>0.06</v>
      </c>
      <c r="D5" s="37">
        <v>0.09</v>
      </c>
      <c r="E5" s="38">
        <f>CHOOSE($B$3,C5,D5,B5)</f>
        <v>0.06</v>
      </c>
      <c r="F5" s="23" t="s">
        <v>88</v>
      </c>
    </row>
    <row r="6">
      <c r="A6" s="23" t="s">
        <v>89</v>
      </c>
      <c r="B6" s="37">
        <v>0.09</v>
      </c>
      <c r="C6" s="37">
        <v>0.12</v>
      </c>
      <c r="D6" s="37">
        <v>0.15</v>
      </c>
      <c r="E6" s="38">
        <f>CHOOSE($B$3,C6,D6,B6)</f>
        <v>0.12</v>
      </c>
      <c r="F6" s="23" t="s">
        <v>90</v>
      </c>
    </row>
    <row r="7">
      <c r="A7" s="23" t="s">
        <v>91</v>
      </c>
      <c r="B7" s="37">
        <v>0.45</v>
      </c>
      <c r="C7" s="37">
        <v>0.35</v>
      </c>
      <c r="D7" s="37">
        <v>0.25</v>
      </c>
      <c r="E7" s="38">
        <f>CHOOSE($B$3,C7,D7,B7)</f>
        <v>0.35</v>
      </c>
      <c r="F7" s="23" t="s">
        <v>92</v>
      </c>
    </row>
    <row r="8">
      <c r="A8" s="23" t="s">
        <v>93</v>
      </c>
      <c r="B8" s="37">
        <v>0.14</v>
      </c>
      <c r="C8" s="37">
        <v>0.12</v>
      </c>
      <c r="D8" s="37">
        <v>0.105</v>
      </c>
      <c r="E8" s="38">
        <f>CHOOSE($B$3,C8,D8,B8)</f>
        <v>0.12</v>
      </c>
      <c r="F8" s="23" t="s">
        <v>94</v>
      </c>
    </row>
    <row r="9">
      <c r="A9" s="23" t="s">
        <v>95</v>
      </c>
      <c r="B9" s="37">
        <v>0.02</v>
      </c>
      <c r="C9" s="37">
        <v>0.03</v>
      </c>
      <c r="D9" s="37">
        <v>0.04</v>
      </c>
      <c r="E9" s="38">
        <f>CHOOSE($B$3,C9,D9,B9)</f>
        <v>0.03</v>
      </c>
      <c r="F9" s="23" t="s">
        <v>96</v>
      </c>
    </row>
    <row r="10">
      <c r="A10" s="23"/>
      <c r="B10" s="23"/>
      <c r="C10" s="23"/>
      <c r="D10" s="23"/>
      <c r="E10" s="23"/>
      <c r="F10" s="23"/>
    </row>
    <row r="11">
      <c r="A11" s="23"/>
      <c r="B11" s="23"/>
      <c r="C11" s="23"/>
      <c r="D11" s="23"/>
      <c r="E11" s="23"/>
      <c r="F11" s="23"/>
    </row>
    <row r="12">
      <c r="A12" s="23"/>
      <c r="B12" s="23"/>
      <c r="C12" s="23"/>
      <c r="D12" s="23"/>
      <c r="E12" s="23"/>
      <c r="F12" s="23"/>
    </row>
    <row r="13">
      <c r="A13" s="23"/>
      <c r="B13" s="23"/>
      <c r="C13" s="23"/>
      <c r="D13" s="23"/>
      <c r="E13" s="23"/>
      <c r="F13" s="23"/>
    </row>
    <row r="14">
      <c r="A14" s="23"/>
      <c r="B14" s="23"/>
      <c r="C14" s="23"/>
      <c r="D14" s="23"/>
      <c r="E14" s="23"/>
      <c r="F14" s="23"/>
    </row>
    <row r="15">
      <c r="A15" s="23"/>
      <c r="B15" s="23"/>
      <c r="C15" s="23"/>
      <c r="D15" s="23"/>
      <c r="E15" s="23"/>
      <c r="F15" s="23"/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8"/>
  <sheetViews>
    <sheetView showGridLines="0" workbookViewId="0"/>
  </sheetViews>
  <sheetFormatPr defaultRowHeight="15"/>
  <cols>
    <col min="1" max="1" width="31" customWidth="1"/>
    <col min="2" max="8" width="15" customWidth="1"/>
  </cols>
  <sheetData>
    <row r="1" ht="28" customHeight="1">
      <c r="A1" s="17" t="s">
        <v>97</v>
      </c>
      <c r="B1" s="17"/>
      <c r="C1" s="17"/>
      <c r="D1" s="17"/>
      <c r="E1" s="17"/>
      <c r="F1" s="17"/>
      <c r="G1" s="17"/>
      <c r="H1" s="2"/>
    </row>
    <row r="2" ht="30" customHeight="1">
      <c r="A2" s="12" t="s">
        <v>98</v>
      </c>
      <c r="B2" s="12"/>
      <c r="C2" s="12"/>
      <c r="D2" s="12"/>
      <c r="E2" s="12"/>
      <c r="F2" s="12"/>
      <c r="G2" s="12"/>
      <c r="H2" s="4"/>
    </row>
    <row r="3">
      <c r="A3" s="18"/>
      <c r="B3" s="18"/>
      <c r="C3" s="18"/>
      <c r="D3" s="18"/>
      <c r="E3" s="18"/>
      <c r="F3" s="18"/>
      <c r="G3" s="18"/>
    </row>
    <row r="4">
      <c r="A4" s="19" t="s">
        <v>58</v>
      </c>
      <c r="B4" s="19" t="s">
        <v>63</v>
      </c>
      <c r="C4" s="19" t="s">
        <v>99</v>
      </c>
      <c r="D4" s="19" t="s">
        <v>100</v>
      </c>
      <c r="E4" s="19" t="s">
        <v>101</v>
      </c>
      <c r="F4" s="19" t="s">
        <v>102</v>
      </c>
      <c r="G4" s="19" t="s">
        <v>103</v>
      </c>
    </row>
    <row r="5">
      <c r="A5" s="46" t="s">
        <v>66</v>
      </c>
      <c r="B5" s="27">
        <v>0</v>
      </c>
      <c r="C5" s="27">
        <f>B5*(1+Assumptions!$E$5)</f>
        <v>0</v>
      </c>
      <c r="D5" s="27">
        <f>C5*(1+Assumptions!$E$5)</f>
        <v>0</v>
      </c>
      <c r="E5" s="27">
        <f>D5*(1+Assumptions!$E$5)</f>
        <v>0</v>
      </c>
      <c r="F5" s="27">
        <f>E5*(1+Assumptions!$E$5)</f>
        <v>0</v>
      </c>
      <c r="G5" s="27">
        <f>F5*(1+Assumptions!$E$5)</f>
        <v>0</v>
      </c>
    </row>
    <row r="6">
      <c r="A6" s="46" t="s">
        <v>87</v>
      </c>
      <c r="B6" s="38"/>
      <c r="C6" s="38">
        <f>IF(B5&lt;&gt;0,C5/B5-1,0)</f>
        <v>0</v>
      </c>
      <c r="D6" s="38">
        <f>IF(C5&lt;&gt;0,D5/C5-1,0)</f>
        <v>0</v>
      </c>
      <c r="E6" s="38">
        <f>IF(D5&lt;&gt;0,E5/D5-1,0)</f>
        <v>0</v>
      </c>
      <c r="F6" s="38">
        <f>IF(E5&lt;&gt;0,F5/E5-1,0)</f>
        <v>0</v>
      </c>
      <c r="G6" s="38">
        <f>IF(F5&lt;&gt;0,G5/F5-1,0)</f>
        <v>0</v>
      </c>
    </row>
    <row r="7">
      <c r="A7" s="46" t="s">
        <v>70</v>
      </c>
      <c r="B7" s="27">
        <v>0</v>
      </c>
      <c r="C7" s="27">
        <f>B12</f>
        <v>0</v>
      </c>
      <c r="D7" s="27">
        <f>C12</f>
        <v>0</v>
      </c>
      <c r="E7" s="27">
        <f>D12</f>
        <v>0</v>
      </c>
      <c r="F7" s="27">
        <f>E12</f>
        <v>0</v>
      </c>
      <c r="G7" s="27">
        <f>F12</f>
        <v>0</v>
      </c>
    </row>
    <row r="8">
      <c r="A8" s="46" t="s">
        <v>104</v>
      </c>
      <c r="B8" s="38"/>
      <c r="C8" s="38">
        <f>IF(C5&lt;&gt;0,C7/C5,0)</f>
        <v>0</v>
      </c>
      <c r="D8" s="38">
        <f>IF(D5&lt;&gt;0,D7/D5,0)</f>
        <v>0</v>
      </c>
      <c r="E8" s="38">
        <f>IF(E5&lt;&gt;0,E7/E5,0)</f>
        <v>0</v>
      </c>
      <c r="F8" s="38">
        <f>IF(F5&lt;&gt;0,F7/F5,0)</f>
        <v>0</v>
      </c>
      <c r="G8" s="38">
        <f>IF(G5&lt;&gt;0,G7/G5,0)</f>
        <v>0</v>
      </c>
    </row>
    <row r="9">
      <c r="A9" s="46" t="s">
        <v>71</v>
      </c>
      <c r="B9" s="38">
        <v>558.5777369533308</v>
      </c>
      <c r="C9" s="38">
        <f>C7*Assumptions!$E$6</f>
        <v>0</v>
      </c>
      <c r="D9" s="38">
        <f>D7*Assumptions!$E$6</f>
        <v>0</v>
      </c>
      <c r="E9" s="38">
        <f>E7*Assumptions!$E$6</f>
        <v>0</v>
      </c>
      <c r="F9" s="38">
        <f>F7*Assumptions!$E$6</f>
        <v>0</v>
      </c>
      <c r="G9" s="38">
        <f>G7*Assumptions!$E$6</f>
        <v>0</v>
      </c>
    </row>
    <row r="10">
      <c r="A10" s="46" t="s">
        <v>105</v>
      </c>
      <c r="B10" s="38"/>
      <c r="C10" s="38">
        <f>IF(C7&lt;&gt;0,C9/C7,0)</f>
        <v>0</v>
      </c>
      <c r="D10" s="38">
        <f>IF(D7&lt;&gt;0,D9/D7,0)</f>
        <v>0</v>
      </c>
      <c r="E10" s="38">
        <f>IF(E7&lt;&gt;0,E9/E7,0)</f>
        <v>0</v>
      </c>
      <c r="F10" s="38">
        <f>IF(F7&lt;&gt;0,F9/F7,0)</f>
        <v>0</v>
      </c>
      <c r="G10" s="38">
        <f>IF(G7&lt;&gt;0,G9/G7,0)</f>
        <v>0</v>
      </c>
    </row>
    <row r="11">
      <c r="A11" s="46" t="s">
        <v>106</v>
      </c>
      <c r="B11" s="27"/>
      <c r="C11" s="27">
        <f>C9*Assumptions!$E$7</f>
        <v>0</v>
      </c>
      <c r="D11" s="27">
        <f>D9*Assumptions!$E$7</f>
        <v>0</v>
      </c>
      <c r="E11" s="27">
        <f>E9*Assumptions!$E$7</f>
        <v>0</v>
      </c>
      <c r="F11" s="27">
        <f>F9*Assumptions!$E$7</f>
        <v>0</v>
      </c>
      <c r="G11" s="27">
        <f>G9*Assumptions!$E$7</f>
        <v>0</v>
      </c>
    </row>
    <row r="12">
      <c r="A12" s="46" t="s">
        <v>107</v>
      </c>
      <c r="B12" s="27">
        <v>0</v>
      </c>
      <c r="C12" s="27">
        <f>C7+C9-C11</f>
        <v>0</v>
      </c>
      <c r="D12" s="27">
        <f>D7+D9-D11</f>
        <v>0</v>
      </c>
      <c r="E12" s="27">
        <f>E7+E9-E11</f>
        <v>0</v>
      </c>
      <c r="F12" s="27">
        <f>F7+F9-F11</f>
        <v>0</v>
      </c>
      <c r="G12" s="27">
        <f>G7+G9-G11</f>
        <v>0</v>
      </c>
    </row>
    <row r="13">
      <c r="A13" s="46"/>
      <c r="B13" s="23"/>
      <c r="C13" s="23"/>
      <c r="D13" s="23"/>
      <c r="E13" s="23"/>
      <c r="F13" s="23"/>
      <c r="G13" s="23"/>
    </row>
    <row r="14">
      <c r="A14" s="46"/>
      <c r="B14" s="23"/>
      <c r="C14" s="23"/>
      <c r="D14" s="23"/>
      <c r="E14" s="23"/>
      <c r="F14" s="23"/>
      <c r="G14" s="23"/>
    </row>
    <row r="15">
      <c r="A15" s="46"/>
      <c r="B15" s="23"/>
      <c r="C15" s="23"/>
      <c r="D15" s="23"/>
      <c r="E15" s="23"/>
      <c r="F15" s="23"/>
      <c r="G15" s="23"/>
    </row>
    <row r="16">
      <c r="A16" s="46"/>
      <c r="B16" s="23"/>
      <c r="C16" s="23"/>
      <c r="D16" s="23"/>
      <c r="E16" s="23"/>
      <c r="F16" s="23"/>
      <c r="G16" s="23"/>
    </row>
    <row r="17">
      <c r="A17" s="18"/>
      <c r="B17" s="18"/>
      <c r="C17" s="18"/>
      <c r="D17" s="18"/>
      <c r="E17" s="18"/>
      <c r="F17" s="18"/>
      <c r="G17" s="18"/>
    </row>
    <row r="18">
      <c r="A18" s="18"/>
      <c r="B18" s="18"/>
      <c r="C18" s="18"/>
      <c r="D18" s="18"/>
      <c r="E18" s="18"/>
      <c r="F18" s="18"/>
      <c r="G18" s="18"/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22"/>
  <sheetViews>
    <sheetView showGridLines="0" workbookViewId="0"/>
  </sheetViews>
  <sheetFormatPr defaultRowHeight="15"/>
  <cols>
    <col min="1" max="1" width="31" customWidth="1"/>
    <col min="2" max="8" width="15" customWidth="1"/>
  </cols>
  <sheetData>
    <row r="1" ht="28" customHeight="1">
      <c r="A1" s="17" t="s">
        <v>108</v>
      </c>
      <c r="B1" s="17"/>
      <c r="C1" s="17"/>
      <c r="D1" s="17"/>
      <c r="E1" s="17"/>
      <c r="F1" s="17"/>
      <c r="G1" s="17"/>
      <c r="H1" s="2"/>
    </row>
    <row r="2" ht="30" customHeight="1">
      <c r="A2" s="12" t="s">
        <v>109</v>
      </c>
      <c r="B2" s="12"/>
      <c r="C2" s="12"/>
      <c r="D2" s="12"/>
      <c r="E2" s="12"/>
      <c r="F2" s="12"/>
      <c r="G2" s="12"/>
      <c r="H2" s="4"/>
    </row>
    <row r="3">
      <c r="A3" s="18"/>
      <c r="B3" s="18"/>
      <c r="C3" s="18"/>
      <c r="D3" s="18"/>
      <c r="E3" s="18"/>
      <c r="F3" s="18"/>
      <c r="G3" s="18"/>
    </row>
    <row r="4">
      <c r="A4" s="19" t="s">
        <v>58</v>
      </c>
      <c r="B4" s="19" t="s">
        <v>110</v>
      </c>
      <c r="C4" s="19" t="s">
        <v>111</v>
      </c>
      <c r="D4" s="19" t="s">
        <v>112</v>
      </c>
      <c r="E4" s="19" t="s">
        <v>113</v>
      </c>
      <c r="F4" s="19" t="s">
        <v>114</v>
      </c>
      <c r="G4" s="19" t="s">
        <v>115</v>
      </c>
    </row>
    <row r="5">
      <c r="A5" s="23" t="s">
        <v>116</v>
      </c>
      <c r="B5" s="27">
        <f>Forecast!C7</f>
        <v>0</v>
      </c>
      <c r="C5" s="27">
        <f>Forecast!D7</f>
        <v>0</v>
      </c>
      <c r="D5" s="27">
        <f>Forecast!E7</f>
        <v>0</v>
      </c>
      <c r="E5" s="27">
        <f>Forecast!F7</f>
        <v>0</v>
      </c>
      <c r="F5" s="27">
        <f>Forecast!G7</f>
        <v>0</v>
      </c>
      <c r="G5" s="27"/>
    </row>
    <row r="6">
      <c r="A6" s="23" t="s">
        <v>117</v>
      </c>
      <c r="B6" s="27">
        <f>B5*(Forecast!C10-Assumptions!$E$8)</f>
        <v>0</v>
      </c>
      <c r="C6" s="27">
        <f>C5*(Forecast!D10-Assumptions!$E$8)</f>
        <v>0</v>
      </c>
      <c r="D6" s="27">
        <f>D5*(Forecast!E10-Assumptions!$E$8)</f>
        <v>0</v>
      </c>
      <c r="E6" s="27">
        <f>E5*(Forecast!F10-Assumptions!$E$8)</f>
        <v>0</v>
      </c>
      <c r="F6" s="27">
        <f>F5*(Forecast!G10-Assumptions!$E$8)</f>
        <v>0</v>
      </c>
      <c r="G6" s="27"/>
    </row>
    <row r="7">
      <c r="A7" s="23" t="s">
        <v>118</v>
      </c>
      <c r="B7" s="27">
        <f>1/(1+Assumptions!$E$8)^1</f>
        <v>0.8928571428571428</v>
      </c>
      <c r="C7" s="27">
        <f>1/(1+Assumptions!$E$8)^2</f>
        <v>0.7971938775510203</v>
      </c>
      <c r="D7" s="27">
        <f>1/(1+Assumptions!$E$8)^3</f>
        <v>0.7117802478134109</v>
      </c>
      <c r="E7" s="27">
        <f>1/(1+Assumptions!$E$8)^4</f>
        <v>0.6355180784048311</v>
      </c>
      <c r="F7" s="27">
        <f>1/(1+Assumptions!$E$8)^5</f>
        <v>0.5674268557185992</v>
      </c>
      <c r="G7" s="27"/>
    </row>
    <row r="8">
      <c r="A8" s="23" t="s">
        <v>119</v>
      </c>
      <c r="B8" s="27">
        <f>B6*B7</f>
        <v>0</v>
      </c>
      <c r="C8" s="27">
        <f>C6*C7</f>
        <v>0</v>
      </c>
      <c r="D8" s="27">
        <f>D6*D7</f>
        <v>0</v>
      </c>
      <c r="E8" s="27">
        <f>E6*E7</f>
        <v>0</v>
      </c>
      <c r="F8" s="27">
        <f>F6*F7</f>
        <v>0</v>
      </c>
      <c r="G8" s="27"/>
    </row>
    <row r="9">
      <c r="A9" s="23"/>
      <c r="B9" s="27"/>
      <c r="C9" s="27"/>
      <c r="D9" s="27"/>
      <c r="E9" s="27"/>
      <c r="F9" s="27"/>
      <c r="G9" s="27"/>
    </row>
    <row r="10">
      <c r="A10" s="19" t="s">
        <v>120</v>
      </c>
      <c r="B10" s="49" t="s">
        <v>3</v>
      </c>
      <c r="C10" s="27"/>
      <c r="D10" s="27"/>
      <c r="E10" s="27"/>
      <c r="F10" s="27"/>
      <c r="G10" s="27"/>
    </row>
    <row r="11">
      <c r="A11" s="23" t="s">
        <v>121</v>
      </c>
      <c r="B11" s="27">
        <f>Forecast!B7</f>
        <v>0</v>
      </c>
      <c r="C11" s="27"/>
      <c r="D11" s="27"/>
      <c r="E11" s="27"/>
      <c r="F11" s="27"/>
      <c r="G11" s="27"/>
    </row>
    <row r="12">
      <c r="A12" s="23" t="s">
        <v>122</v>
      </c>
      <c r="B12" s="27">
        <f>SUM(B8:F8)</f>
        <v>0</v>
      </c>
      <c r="C12" s="27"/>
      <c r="D12" s="27"/>
      <c r="E12" s="27"/>
      <c r="F12" s="27"/>
      <c r="G12" s="27"/>
    </row>
    <row r="13">
      <c r="A13" s="23" t="s">
        <v>123</v>
      </c>
      <c r="B13" s="27">
        <f>F6*(1+Assumptions!$E$9)</f>
        <v>0</v>
      </c>
      <c r="C13" s="27"/>
      <c r="D13" s="27"/>
      <c r="E13" s="27"/>
      <c r="F13" s="27"/>
      <c r="G13" s="27"/>
    </row>
    <row r="14">
      <c r="A14" s="23" t="s">
        <v>124</v>
      </c>
      <c r="B14" s="27">
        <f>IF(Assumptions!$E$8&gt;Assumptions!$E$9,B13/(Assumptions!$E$8-Assumptions!$E$9)*F7,0)</f>
        <v>0</v>
      </c>
      <c r="C14" s="27"/>
      <c r="D14" s="27"/>
      <c r="E14" s="27"/>
      <c r="F14" s="27"/>
      <c r="G14" s="27"/>
    </row>
    <row r="15">
      <c r="A15" s="23" t="s">
        <v>125</v>
      </c>
      <c r="B15" s="27">
        <f>B11+B12+B14</f>
        <v>0</v>
      </c>
      <c r="C15" s="27"/>
      <c r="D15" s="27"/>
      <c r="E15" s="27"/>
      <c r="F15" s="27"/>
      <c r="G15" s="27"/>
    </row>
    <row r="16">
      <c r="A16" s="23" t="s">
        <v>78</v>
      </c>
      <c r="B16" s="27">
        <v>0</v>
      </c>
      <c r="C16" s="27"/>
      <c r="D16" s="27"/>
      <c r="E16" s="27"/>
      <c r="F16" s="27"/>
      <c r="G16" s="27"/>
    </row>
    <row r="17">
      <c r="A17" s="23" t="s">
        <v>126</v>
      </c>
      <c r="B17" s="27">
        <f>IF(B16&gt;0,B15/B16,0)</f>
        <v>0</v>
      </c>
      <c r="C17" s="27"/>
      <c r="D17" s="27"/>
      <c r="E17" s="27"/>
      <c r="F17" s="27"/>
      <c r="G17" s="27"/>
    </row>
    <row r="18">
      <c r="A18" s="23" t="s">
        <v>16</v>
      </c>
      <c r="B18" s="27"/>
      <c r="C18" s="27"/>
      <c r="D18" s="27"/>
      <c r="E18" s="27"/>
      <c r="F18" s="27"/>
      <c r="G18" s="27"/>
    </row>
    <row r="19">
      <c r="A19" s="23"/>
      <c r="B19" s="27"/>
      <c r="C19" s="27"/>
      <c r="D19" s="27"/>
      <c r="E19" s="27"/>
      <c r="F19" s="27"/>
      <c r="G19" s="27"/>
    </row>
    <row r="20">
      <c r="A20" s="23"/>
      <c r="B20" s="27"/>
      <c r="C20" s="27"/>
      <c r="D20" s="27"/>
      <c r="E20" s="27"/>
      <c r="F20" s="27"/>
      <c r="G20" s="27"/>
    </row>
    <row r="21">
      <c r="A21" s="18"/>
      <c r="B21" s="18"/>
      <c r="C21" s="18"/>
      <c r="D21" s="18"/>
      <c r="E21" s="18"/>
      <c r="F21" s="18"/>
      <c r="G21" s="18"/>
    </row>
    <row r="22">
      <c r="A22" s="18"/>
      <c r="B22" s="18"/>
      <c r="C22" s="18"/>
      <c r="D22" s="18"/>
      <c r="E22" s="18"/>
      <c r="F22" s="18"/>
      <c r="G22" s="18"/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1"/>
  <sheetViews>
    <sheetView showGridLines="0" workbookViewId="0"/>
  </sheetViews>
  <sheetFormatPr defaultRowHeight="15"/>
  <cols>
    <col min="1" max="1" width="31" customWidth="1"/>
    <col min="2" max="8" width="15" customWidth="1"/>
  </cols>
  <sheetData>
    <row r="1" ht="28" customHeight="1">
      <c r="A1" s="17" t="s">
        <v>127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128</v>
      </c>
      <c r="B2" s="12"/>
      <c r="C2" s="12"/>
      <c r="D2" s="12"/>
      <c r="E2" s="12"/>
      <c r="F2" s="12"/>
      <c r="G2" s="4"/>
      <c r="H2" s="4"/>
    </row>
    <row r="3">
      <c r="A3" s="18"/>
      <c r="B3" s="18"/>
      <c r="C3" s="18"/>
      <c r="D3" s="18"/>
      <c r="E3" s="18"/>
      <c r="F3" s="18"/>
    </row>
    <row r="4">
      <c r="A4" s="52" t="s">
        <v>129</v>
      </c>
      <c r="B4" s="52">
        <v>0.1</v>
      </c>
      <c r="C4" s="52">
        <v>0.11</v>
      </c>
      <c r="D4" s="52">
        <v>0.12</v>
      </c>
      <c r="E4" s="52">
        <v>0.13</v>
      </c>
      <c r="F4" s="52">
        <v>0.14</v>
      </c>
    </row>
    <row r="5">
      <c r="A5" s="52">
        <v>0.01</v>
      </c>
      <c r="B5" s="27">
        <f>Forecast!$B$7+SUMPRODUCT(Valuation!$B$6:$F$6,1/(1+B$4)^{1,2,3,4,5})+IF(B$4&gt;$A5,Valuation!$F$6*(1+$A5)/(B$4-$A5)/(1+B$4)^5,0)</f>
        <v>0</v>
      </c>
      <c r="C5" s="27">
        <f>Forecast!$B$7+SUMPRODUCT(Valuation!$B$6:$F$6,1/(1+C$4)^{1,2,3,4,5})+IF(C$4&gt;$A5,Valuation!$F$6*(1+$A5)/(C$4-$A5)/(1+C$4)^5,0)</f>
        <v>0</v>
      </c>
      <c r="D5" s="27">
        <f>Forecast!$B$7+SUMPRODUCT(Valuation!$B$6:$F$6,1/(1+D$4)^{1,2,3,4,5})+IF(D$4&gt;$A5,Valuation!$F$6*(1+$A5)/(D$4-$A5)/(1+D$4)^5,0)</f>
        <v>0</v>
      </c>
      <c r="E5" s="27">
        <f>Forecast!$B$7+SUMPRODUCT(Valuation!$B$6:$F$6,1/(1+E$4)^{1,2,3,4,5})+IF(E$4&gt;$A5,Valuation!$F$6*(1+$A5)/(E$4-$A5)/(1+E$4)^5,0)</f>
        <v>0</v>
      </c>
      <c r="F5" s="27">
        <f>Forecast!$B$7+SUMPRODUCT(Valuation!$B$6:$F$6,1/(1+F$4)^{1,2,3,4,5})+IF(F$4&gt;$A5,Valuation!$F$6*(1+$A5)/(F$4-$A5)/(1+F$4)^5,0)</f>
        <v>0</v>
      </c>
    </row>
    <row r="6">
      <c r="A6" s="52">
        <v>0.02</v>
      </c>
      <c r="B6" s="27">
        <f>Forecast!$B$7+SUMPRODUCT(Valuation!$B$6:$F$6,1/(1+B$4)^{1,2,3,4,5})+IF(B$4&gt;$A6,Valuation!$F$6*(1+$A6)/(B$4-$A6)/(1+B$4)^5,0)</f>
        <v>0</v>
      </c>
      <c r="C6" s="27">
        <f>Forecast!$B$7+SUMPRODUCT(Valuation!$B$6:$F$6,1/(1+C$4)^{1,2,3,4,5})+IF(C$4&gt;$A6,Valuation!$F$6*(1+$A6)/(C$4-$A6)/(1+C$4)^5,0)</f>
        <v>0</v>
      </c>
      <c r="D6" s="27">
        <f>Forecast!$B$7+SUMPRODUCT(Valuation!$B$6:$F$6,1/(1+D$4)^{1,2,3,4,5})+IF(D$4&gt;$A6,Valuation!$F$6*(1+$A6)/(D$4-$A6)/(1+D$4)^5,0)</f>
        <v>0</v>
      </c>
      <c r="E6" s="27">
        <f>Forecast!$B$7+SUMPRODUCT(Valuation!$B$6:$F$6,1/(1+E$4)^{1,2,3,4,5})+IF(E$4&gt;$A6,Valuation!$F$6*(1+$A6)/(E$4-$A6)/(1+E$4)^5,0)</f>
        <v>0</v>
      </c>
      <c r="F6" s="27">
        <f>Forecast!$B$7+SUMPRODUCT(Valuation!$B$6:$F$6,1/(1+F$4)^{1,2,3,4,5})+IF(F$4&gt;$A6,Valuation!$F$6*(1+$A6)/(F$4-$A6)/(1+F$4)^5,0)</f>
        <v>0</v>
      </c>
    </row>
    <row r="7">
      <c r="A7" s="52">
        <v>0.03</v>
      </c>
      <c r="B7" s="27">
        <f>Forecast!$B$7+SUMPRODUCT(Valuation!$B$6:$F$6,1/(1+B$4)^{1,2,3,4,5})+IF(B$4&gt;$A7,Valuation!$F$6*(1+$A7)/(B$4-$A7)/(1+B$4)^5,0)</f>
        <v>0</v>
      </c>
      <c r="C7" s="27">
        <f>Forecast!$B$7+SUMPRODUCT(Valuation!$B$6:$F$6,1/(1+C$4)^{1,2,3,4,5})+IF(C$4&gt;$A7,Valuation!$F$6*(1+$A7)/(C$4-$A7)/(1+C$4)^5,0)</f>
        <v>0</v>
      </c>
      <c r="D7" s="27">
        <f>Forecast!$B$7+SUMPRODUCT(Valuation!$B$6:$F$6,1/(1+D$4)^{1,2,3,4,5})+IF(D$4&gt;$A7,Valuation!$F$6*(1+$A7)/(D$4-$A7)/(1+D$4)^5,0)</f>
        <v>0</v>
      </c>
      <c r="E7" s="27">
        <f>Forecast!$B$7+SUMPRODUCT(Valuation!$B$6:$F$6,1/(1+E$4)^{1,2,3,4,5})+IF(E$4&gt;$A7,Valuation!$F$6*(1+$A7)/(E$4-$A7)/(1+E$4)^5,0)</f>
        <v>0</v>
      </c>
      <c r="F7" s="27">
        <f>Forecast!$B$7+SUMPRODUCT(Valuation!$B$6:$F$6,1/(1+F$4)^{1,2,3,4,5})+IF(F$4&gt;$A7,Valuation!$F$6*(1+$A7)/(F$4-$A7)/(1+F$4)^5,0)</f>
        <v>0</v>
      </c>
    </row>
    <row r="8">
      <c r="A8" s="52">
        <v>0.04</v>
      </c>
      <c r="B8" s="27">
        <f>Forecast!$B$7+SUMPRODUCT(Valuation!$B$6:$F$6,1/(1+B$4)^{1,2,3,4,5})+IF(B$4&gt;$A8,Valuation!$F$6*(1+$A8)/(B$4-$A8)/(1+B$4)^5,0)</f>
        <v>0</v>
      </c>
      <c r="C8" s="27">
        <f>Forecast!$B$7+SUMPRODUCT(Valuation!$B$6:$F$6,1/(1+C$4)^{1,2,3,4,5})+IF(C$4&gt;$A8,Valuation!$F$6*(1+$A8)/(C$4-$A8)/(1+C$4)^5,0)</f>
        <v>0</v>
      </c>
      <c r="D8" s="27">
        <f>Forecast!$B$7+SUMPRODUCT(Valuation!$B$6:$F$6,1/(1+D$4)^{1,2,3,4,5})+IF(D$4&gt;$A8,Valuation!$F$6*(1+$A8)/(D$4-$A8)/(1+D$4)^5,0)</f>
        <v>0</v>
      </c>
      <c r="E8" s="27">
        <f>Forecast!$B$7+SUMPRODUCT(Valuation!$B$6:$F$6,1/(1+E$4)^{1,2,3,4,5})+IF(E$4&gt;$A8,Valuation!$F$6*(1+$A8)/(E$4-$A8)/(1+E$4)^5,0)</f>
        <v>0</v>
      </c>
      <c r="F8" s="27">
        <f>Forecast!$B$7+SUMPRODUCT(Valuation!$B$6:$F$6,1/(1+F$4)^{1,2,3,4,5})+IF(F$4&gt;$A8,Valuation!$F$6*(1+$A8)/(F$4-$A8)/(1+F$4)^5,0)</f>
        <v>0</v>
      </c>
    </row>
    <row r="9">
      <c r="A9" s="52">
        <v>0.05</v>
      </c>
      <c r="B9" s="27">
        <f>Forecast!$B$7+SUMPRODUCT(Valuation!$B$6:$F$6,1/(1+B$4)^{1,2,3,4,5})+IF(B$4&gt;$A9,Valuation!$F$6*(1+$A9)/(B$4-$A9)/(1+B$4)^5,0)</f>
        <v>0</v>
      </c>
      <c r="C9" s="27">
        <f>Forecast!$B$7+SUMPRODUCT(Valuation!$B$6:$F$6,1/(1+C$4)^{1,2,3,4,5})+IF(C$4&gt;$A9,Valuation!$F$6*(1+$A9)/(C$4-$A9)/(1+C$4)^5,0)</f>
        <v>0</v>
      </c>
      <c r="D9" s="27">
        <f>Forecast!$B$7+SUMPRODUCT(Valuation!$B$6:$F$6,1/(1+D$4)^{1,2,3,4,5})+IF(D$4&gt;$A9,Valuation!$F$6*(1+$A9)/(D$4-$A9)/(1+D$4)^5,0)</f>
        <v>0</v>
      </c>
      <c r="E9" s="27">
        <f>Forecast!$B$7+SUMPRODUCT(Valuation!$B$6:$F$6,1/(1+E$4)^{1,2,3,4,5})+IF(E$4&gt;$A9,Valuation!$F$6*(1+$A9)/(E$4-$A9)/(1+E$4)^5,0)</f>
        <v>0</v>
      </c>
      <c r="F9" s="27">
        <f>Forecast!$B$7+SUMPRODUCT(Valuation!$B$6:$F$6,1/(1+F$4)^{1,2,3,4,5})+IF(F$4&gt;$A9,Valuation!$F$6*(1+$A9)/(F$4-$A9)/(1+F$4)^5,0)</f>
        <v>0</v>
      </c>
    </row>
    <row r="10">
      <c r="A10" s="18"/>
      <c r="B10" s="18"/>
      <c r="C10" s="18"/>
      <c r="D10" s="18"/>
      <c r="E10" s="18"/>
      <c r="F10" s="18"/>
    </row>
    <row r="11">
      <c r="A11" s="18"/>
      <c r="B11" s="18"/>
      <c r="C11" s="18"/>
      <c r="D11" s="18"/>
      <c r="E11" s="18"/>
      <c r="F11" s="18"/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4"/>
  <sheetViews>
    <sheetView showGridLines="0" workbookViewId="0"/>
  </sheetViews>
  <sheetFormatPr defaultRowHeight="15"/>
  <cols>
    <col min="1" max="1" width="31" customWidth="1"/>
    <col min="2" max="3" width="15" customWidth="1"/>
    <col min="4" max="4" width="50" customWidth="1"/>
    <col min="5" max="8" width="15" customWidth="1"/>
  </cols>
  <sheetData>
    <row r="1" ht="28" customHeight="1">
      <c r="A1" s="17" t="s">
        <v>130</v>
      </c>
      <c r="B1" s="17"/>
      <c r="C1" s="17"/>
      <c r="D1" s="17"/>
      <c r="E1" s="2"/>
      <c r="F1" s="2"/>
      <c r="G1" s="2"/>
      <c r="H1" s="2"/>
    </row>
    <row r="2" ht="30" customHeight="1">
      <c r="A2" s="12" t="s">
        <v>131</v>
      </c>
      <c r="B2" s="12"/>
      <c r="C2" s="12"/>
      <c r="D2" s="12"/>
      <c r="E2" s="4"/>
      <c r="F2" s="4"/>
      <c r="G2" s="4"/>
      <c r="H2" s="4"/>
    </row>
    <row r="3">
      <c r="A3" s="18"/>
      <c r="B3" s="18"/>
      <c r="C3" s="18"/>
      <c r="D3" s="18"/>
    </row>
    <row r="4">
      <c r="A4" s="19" t="s">
        <v>132</v>
      </c>
      <c r="B4" s="19" t="s">
        <v>133</v>
      </c>
      <c r="C4" s="19" t="s">
        <v>134</v>
      </c>
      <c r="D4" s="19" t="s">
        <v>135</v>
      </c>
    </row>
    <row r="5">
      <c r="A5" s="23" t="s">
        <v>136</v>
      </c>
      <c r="B5" s="23" t="str">
        <f>IF(MIN(Forecast!C5:G5)&gt;=0,"PASS","FAIL")</f>
        <v>PASS</v>
      </c>
      <c r="C5" s="23" t="s">
        <v>137</v>
      </c>
      <c r="D5" s="23" t="s">
        <v>138</v>
      </c>
    </row>
    <row r="6">
      <c r="A6" s="23" t="s">
        <v>139</v>
      </c>
      <c r="B6" s="23" t="str">
        <f>IF(MIN(Forecast!C12:G12)&gt;=0,"PASS","FAIL")</f>
        <v>PASS</v>
      </c>
      <c r="C6" s="23" t="s">
        <v>137</v>
      </c>
      <c r="D6" s="23" t="s">
        <v>140</v>
      </c>
    </row>
    <row r="7">
      <c r="A7" s="23" t="s">
        <v>141</v>
      </c>
      <c r="B7" s="23" t="str">
        <f>IF(AND(MIN(Forecast!C10:G10)&gt;-0.5,MAX(Forecast!C10:G10)&lt;0.5),"PASS","FAIL")</f>
        <v>PASS</v>
      </c>
      <c r="C7" s="23" t="s">
        <v>137</v>
      </c>
      <c r="D7" s="23" t="s">
        <v>142</v>
      </c>
    </row>
    <row r="8">
      <c r="A8" s="23" t="s">
        <v>143</v>
      </c>
      <c r="B8" s="23" t="str">
        <f>IF(Assumptions!E8&gt;Assumptions!E9,"PASS","FAIL")</f>
        <v>PASS</v>
      </c>
      <c r="C8" s="23" t="s">
        <v>137</v>
      </c>
      <c r="D8" s="23" t="s">
        <v>144</v>
      </c>
    </row>
    <row r="9">
      <c r="A9" s="23" t="s">
        <v>145</v>
      </c>
      <c r="B9" s="23" t="s">
        <v>146</v>
      </c>
      <c r="C9" s="23" t="s">
        <v>147</v>
      </c>
      <c r="D9" s="23" t="s">
        <v>148</v>
      </c>
    </row>
    <row r="10">
      <c r="A10" s="23"/>
      <c r="B10" s="23"/>
      <c r="C10" s="23"/>
      <c r="D10" s="23"/>
    </row>
    <row r="11">
      <c r="A11" s="19" t="s">
        <v>149</v>
      </c>
      <c r="B11" s="19" t="str">
        <f>IF(COUNTIF(B5:B9,"FAIL")=0,IF(COUNTIF(B5:B9,"LIMITED")=0,"PASS","PASS WITH LIMITATIONS"),"FAIL")</f>
        <v>PASS WITH LIMITATIONS</v>
      </c>
      <c r="C11" s="23"/>
      <c r="D11" s="23"/>
    </row>
    <row r="12">
      <c r="A12" s="23" t="s">
        <v>150</v>
      </c>
      <c r="B12" s="23" t="s">
        <v>9</v>
      </c>
      <c r="C12" s="23"/>
      <c r="D12" s="23"/>
    </row>
    <row r="13">
      <c r="A13" s="18"/>
      <c r="B13" s="18"/>
      <c r="C13" s="18"/>
      <c r="D13" s="18"/>
    </row>
    <row r="14">
      <c r="A14" s="18"/>
      <c r="B14" s="18"/>
      <c r="C14" s="18"/>
      <c r="D14" s="18"/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6"/>
  <sheetViews>
    <sheetView showGridLines="0" workbookViewId="0"/>
  </sheetViews>
  <sheetFormatPr defaultRowHeight="15"/>
  <cols>
    <col min="1" max="1" width="31" customWidth="1"/>
    <col min="2" max="3" width="15" customWidth="1"/>
    <col min="4" max="4" width="52" customWidth="1"/>
    <col min="5" max="8" width="15" customWidth="1"/>
  </cols>
  <sheetData>
    <row r="1" ht="28" customHeight="1">
      <c r="A1" s="17" t="s">
        <v>151</v>
      </c>
      <c r="B1" s="17"/>
      <c r="C1" s="17"/>
      <c r="D1" s="17"/>
      <c r="E1" s="2"/>
      <c r="F1" s="2"/>
      <c r="G1" s="2"/>
      <c r="H1" s="2"/>
    </row>
    <row r="2" ht="30" customHeight="1">
      <c r="A2" s="12" t="s">
        <v>152</v>
      </c>
      <c r="B2" s="12"/>
      <c r="C2" s="12"/>
      <c r="D2" s="12"/>
      <c r="E2" s="4"/>
      <c r="F2" s="4"/>
      <c r="G2" s="4"/>
      <c r="H2" s="4"/>
    </row>
    <row r="3">
      <c r="A3" s="18"/>
      <c r="B3" s="18"/>
      <c r="C3" s="18"/>
      <c r="D3" s="18"/>
    </row>
    <row r="4">
      <c r="A4" s="19" t="s">
        <v>153</v>
      </c>
      <c r="B4" s="19" t="s">
        <v>154</v>
      </c>
      <c r="C4" s="19" t="s">
        <v>155</v>
      </c>
      <c r="D4" s="19" t="s">
        <v>156</v>
      </c>
    </row>
    <row r="5">
      <c r="A5" s="23" t="s">
        <v>157</v>
      </c>
      <c r="B5" s="55"/>
      <c r="C5" s="55"/>
      <c r="D5" s="23" t="s">
        <v>158</v>
      </c>
    </row>
    <row r="6">
      <c r="A6" s="23" t="s">
        <v>159</v>
      </c>
      <c r="B6" s="55"/>
      <c r="C6" s="55"/>
      <c r="D6" s="23" t="s">
        <v>158</v>
      </c>
    </row>
    <row r="7">
      <c r="A7" s="23" t="s">
        <v>160</v>
      </c>
      <c r="B7" s="55"/>
      <c r="C7" s="55"/>
      <c r="D7" s="23" t="s">
        <v>158</v>
      </c>
    </row>
    <row r="8">
      <c r="A8" s="23" t="s">
        <v>161</v>
      </c>
      <c r="B8" s="55"/>
      <c r="C8" s="55"/>
      <c r="D8" s="23" t="s">
        <v>158</v>
      </c>
    </row>
    <row r="9">
      <c r="A9" s="23" t="s">
        <v>162</v>
      </c>
      <c r="B9" s="55"/>
      <c r="C9" s="55"/>
      <c r="D9" s="23" t="s">
        <v>158</v>
      </c>
    </row>
    <row r="10">
      <c r="A10" s="23" t="s">
        <v>163</v>
      </c>
      <c r="B10" s="55"/>
      <c r="C10" s="55"/>
      <c r="D10" s="23" t="s">
        <v>158</v>
      </c>
    </row>
    <row r="11">
      <c r="A11" s="23" t="s">
        <v>164</v>
      </c>
      <c r="B11" s="55"/>
      <c r="C11" s="55"/>
      <c r="D11" s="23" t="s">
        <v>158</v>
      </c>
    </row>
    <row r="12">
      <c r="A12" s="23" t="s">
        <v>165</v>
      </c>
      <c r="B12" s="55"/>
      <c r="C12" s="55"/>
      <c r="D12" s="23" t="s">
        <v>158</v>
      </c>
    </row>
    <row r="13">
      <c r="A13" s="23" t="s">
        <v>105</v>
      </c>
      <c r="B13" s="55"/>
      <c r="C13" s="55"/>
      <c r="D13" s="23" t="s">
        <v>158</v>
      </c>
    </row>
    <row r="14">
      <c r="A14" s="23" t="s">
        <v>166</v>
      </c>
      <c r="B14" s="55"/>
      <c r="C14" s="55"/>
      <c r="D14" s="23" t="s">
        <v>158</v>
      </c>
    </row>
    <row r="15">
      <c r="A15" s="18"/>
      <c r="B15" s="18"/>
      <c r="C15" s="18"/>
      <c r="D15" s="18"/>
    </row>
    <row r="16">
      <c r="A16" s="18"/>
      <c r="B16" s="18"/>
      <c r="C16" s="18"/>
      <c r="D16" s="18"/>
    </row>
  </sheetData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9"/>
  <sheetViews>
    <sheetView showGridLines="0" workbookViewId="0"/>
  </sheetViews>
  <sheetFormatPr defaultRowHeight="15"/>
  <cols>
    <col min="1" max="1" width="31" customWidth="1"/>
    <col min="2" max="3" width="15" customWidth="1"/>
    <col min="4" max="5" width="45" customWidth="1"/>
    <col min="6" max="8" width="15" customWidth="1"/>
  </cols>
  <sheetData>
    <row r="1" ht="28" customHeight="1">
      <c r="A1" s="17" t="s">
        <v>167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168</v>
      </c>
      <c r="B2" s="12"/>
      <c r="C2" s="12"/>
      <c r="D2" s="12"/>
      <c r="E2" s="12"/>
      <c r="F2" s="12"/>
      <c r="G2" s="4"/>
      <c r="H2" s="4"/>
    </row>
    <row r="3">
      <c r="A3" s="18"/>
      <c r="B3" s="18"/>
      <c r="C3" s="18"/>
      <c r="D3" s="18"/>
      <c r="E3" s="18"/>
      <c r="F3" s="18"/>
    </row>
    <row r="4">
      <c r="A4" s="19" t="s">
        <v>169</v>
      </c>
      <c r="B4" s="19" t="s">
        <v>170</v>
      </c>
      <c r="C4" s="19" t="s">
        <v>171</v>
      </c>
      <c r="D4" s="19" t="s">
        <v>172</v>
      </c>
      <c r="E4" s="19" t="s">
        <v>173</v>
      </c>
      <c r="F4" s="19" t="s">
        <v>174</v>
      </c>
    </row>
    <row r="5">
      <c r="A5" s="23" t="s">
        <v>39</v>
      </c>
      <c r="B5" s="23" t="s">
        <v>175</v>
      </c>
      <c r="C5" s="23" t="s">
        <v>176</v>
      </c>
      <c r="D5" s="23" t="s">
        <v>177</v>
      </c>
      <c r="E5" s="23" t="s">
        <v>19</v>
      </c>
      <c r="F5" s="23" t="s">
        <v>178</v>
      </c>
    </row>
    <row r="6">
      <c r="A6" s="23" t="s">
        <v>39</v>
      </c>
      <c r="B6" s="23" t="s">
        <v>175</v>
      </c>
      <c r="C6" s="23" t="s">
        <v>176</v>
      </c>
      <c r="D6" s="23" t="s">
        <v>179</v>
      </c>
      <c r="E6" s="23" t="s">
        <v>180</v>
      </c>
      <c r="F6" s="23" t="s">
        <v>181</v>
      </c>
    </row>
    <row r="7">
      <c r="A7" s="18">
        <v>46224</v>
      </c>
      <c r="B7" s="18" t="s">
        <v>182</v>
      </c>
      <c r="C7" s="18" t="s">
        <v>183</v>
      </c>
      <c r="D7" s="18"/>
      <c r="E7" s="18"/>
      <c r="F7" s="18"/>
    </row>
    <row r="8">
      <c r="A8" s="18"/>
      <c r="B8" s="18"/>
      <c r="C8" s="18"/>
      <c r="D8" s="18"/>
      <c r="E8" s="18"/>
      <c r="F8" s="18"/>
    </row>
    <row r="9">
      <c r="A9" s="18"/>
      <c r="B9" s="18"/>
      <c r="C9" s="18"/>
      <c r="D9" s="18"/>
      <c r="E9" s="18"/>
      <c r="F9" s="18"/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ColWidth="8.375" defaultRowHeight="15"/>
  <sheetData>
    <row r="1">
      <c r="A1" t="s">
        <v>184</v>
      </c>
    </row>
    <row r="2">
      <c r="A2" t="s">
        <v>185</v>
      </c>
    </row>
    <row r="4">
      <c r="A4" t="s">
        <v>186</v>
      </c>
      <c r="B4" t="s">
        <v>187</v>
      </c>
      <c r="C4" t="s">
        <v>188</v>
      </c>
      <c r="D4" t="s">
        <v>189</v>
      </c>
      <c r="E4" t="s">
        <v>190</v>
      </c>
      <c r="F4" t="s">
        <v>191</v>
      </c>
      <c r="G4" t="s">
        <v>192</v>
      </c>
    </row>
    <row r="5">
      <c r="A5" t="s">
        <v>193</v>
      </c>
    </row>
    <row r="6">
      <c r="A6" t="s">
        <v>194</v>
      </c>
      <c r="C6">
        <v>22133590</v>
      </c>
      <c r="D6">
        <v>22055173</v>
      </c>
      <c r="E6">
        <v>23916068</v>
      </c>
      <c r="F6">
        <v>24160789</v>
      </c>
      <c r="G6" t="s">
        <v>195</v>
      </c>
    </row>
    <row r="7">
      <c r="A7" t="s">
        <v>196</v>
      </c>
      <c r="C7">
        <v>7567570</v>
      </c>
      <c r="D7">
        <v>9466458</v>
      </c>
      <c r="G7" t="s">
        <v>197</v>
      </c>
    </row>
    <row r="8">
      <c r="A8" t="s">
        <v>198</v>
      </c>
      <c r="C8">
        <v>29701160</v>
      </c>
      <c r="D8">
        <v>31521631</v>
      </c>
      <c r="E8">
        <v>23916068</v>
      </c>
      <c r="F8">
        <v>24160789</v>
      </c>
      <c r="G8" t="s">
        <v>199</v>
      </c>
    </row>
    <row r="9">
      <c r="A9" t="s">
        <v>200</v>
      </c>
      <c r="C9">
        <v>-3956158</v>
      </c>
      <c r="D9">
        <v>-4736885</v>
      </c>
      <c r="E9">
        <v>-4180445</v>
      </c>
      <c r="F9">
        <v>-4502294</v>
      </c>
      <c r="G9" t="s">
        <v>201</v>
      </c>
    </row>
    <row r="10">
      <c r="A10" t="s">
        <v>202</v>
      </c>
      <c r="C10">
        <v>25745002</v>
      </c>
      <c r="D10">
        <v>26784746</v>
      </c>
      <c r="E10">
        <v>19735623</v>
      </c>
      <c r="F10">
        <v>19658495</v>
      </c>
      <c r="G10" t="s">
        <v>199</v>
      </c>
    </row>
    <row r="11">
      <c r="A11" t="s">
        <v>203</v>
      </c>
      <c r="C11">
        <v>-4949853</v>
      </c>
      <c r="D11">
        <v>-3603764</v>
      </c>
      <c r="E11">
        <v>-4208631</v>
      </c>
      <c r="F11">
        <v>-5045098</v>
      </c>
      <c r="G11" t="s">
        <v>201</v>
      </c>
    </row>
    <row r="12">
      <c r="A12" t="s">
        <v>204</v>
      </c>
      <c r="C12">
        <v>20795149</v>
      </c>
      <c r="D12">
        <v>23180982</v>
      </c>
      <c r="E12">
        <v>15526992</v>
      </c>
      <c r="F12">
        <v>14613397</v>
      </c>
      <c r="G12" t="s">
        <v>199</v>
      </c>
    </row>
    <row r="13">
      <c r="A13" t="s">
        <v>205</v>
      </c>
      <c r="C13">
        <v>1759441</v>
      </c>
      <c r="D13">
        <v>2879980</v>
      </c>
      <c r="E13">
        <v>3189611</v>
      </c>
      <c r="F13">
        <v>4550751</v>
      </c>
      <c r="G13" t="s">
        <v>206</v>
      </c>
    </row>
    <row r="14">
      <c r="A14" t="s">
        <v>207</v>
      </c>
      <c r="C14">
        <v>-160989</v>
      </c>
      <c r="D14">
        <v>1559616</v>
      </c>
      <c r="E14">
        <v>1180325</v>
      </c>
      <c r="F14">
        <v>1219546</v>
      </c>
      <c r="G14" t="s">
        <v>208</v>
      </c>
    </row>
    <row r="15">
      <c r="A15" t="s">
        <v>209</v>
      </c>
      <c r="C15">
        <v>3481253</v>
      </c>
      <c r="D15">
        <v>4809987</v>
      </c>
      <c r="E15">
        <v>4629762</v>
      </c>
      <c r="F15">
        <v>5059124</v>
      </c>
      <c r="G15" t="s">
        <v>210</v>
      </c>
    </row>
    <row r="16">
      <c r="A16" t="s">
        <v>211</v>
      </c>
      <c r="C16">
        <v>282828</v>
      </c>
      <c r="D16">
        <v>316251</v>
      </c>
      <c r="E16">
        <v>5326816</v>
      </c>
      <c r="F16">
        <v>1750772</v>
      </c>
      <c r="G16" t="s">
        <v>212</v>
      </c>
    </row>
    <row r="17">
      <c r="A17" t="s">
        <v>213</v>
      </c>
      <c r="C17">
        <v>2038764</v>
      </c>
      <c r="D17">
        <v>1792706</v>
      </c>
      <c r="E17">
        <v>1522597</v>
      </c>
      <c r="F17">
        <v>920191</v>
      </c>
      <c r="G17" t="s">
        <v>214</v>
      </c>
    </row>
    <row r="18">
      <c r="A18" t="s">
        <v>215</v>
      </c>
      <c r="C18">
        <v>101605</v>
      </c>
      <c r="D18">
        <v>234164</v>
      </c>
      <c r="G18" t="s">
        <v>216</v>
      </c>
    </row>
    <row r="19">
      <c r="A19" t="s">
        <v>217</v>
      </c>
      <c r="E19">
        <v>4017061</v>
      </c>
      <c r="F19">
        <v>804</v>
      </c>
      <c r="G19" t="s">
        <v>218</v>
      </c>
    </row>
    <row r="20">
      <c r="A20" t="s">
        <v>219</v>
      </c>
      <c r="E20">
        <v>306267</v>
      </c>
      <c r="F20">
        <v>107448</v>
      </c>
      <c r="G20" t="s">
        <v>220</v>
      </c>
    </row>
    <row r="21">
      <c r="A21" t="s">
        <v>221</v>
      </c>
      <c r="C21">
        <v>887743</v>
      </c>
      <c r="D21">
        <v>755521</v>
      </c>
      <c r="E21">
        <v>627233</v>
      </c>
      <c r="F21">
        <v>484686</v>
      </c>
      <c r="G21" t="s">
        <v>222</v>
      </c>
    </row>
    <row r="22">
      <c r="A22" t="s">
        <v>223</v>
      </c>
      <c r="C22">
        <v>29185794</v>
      </c>
      <c r="D22">
        <v>35529207</v>
      </c>
      <c r="E22">
        <v>36326664</v>
      </c>
      <c r="F22">
        <v>28706719</v>
      </c>
      <c r="G22" t="s">
        <v>224</v>
      </c>
    </row>
    <row r="24">
      <c r="A24" t="s">
        <v>225</v>
      </c>
    </row>
    <row r="25">
      <c r="A25" t="s">
        <v>226</v>
      </c>
      <c r="C25">
        <v>-11270463</v>
      </c>
      <c r="D25">
        <v>-11003254</v>
      </c>
      <c r="E25">
        <v>-12242736</v>
      </c>
      <c r="F25">
        <v>-12266254</v>
      </c>
      <c r="G25" t="s">
        <v>201</v>
      </c>
    </row>
    <row r="26">
      <c r="A26" t="s">
        <v>227</v>
      </c>
      <c r="C26">
        <v>-7438137</v>
      </c>
      <c r="D26">
        <v>-9289624</v>
      </c>
      <c r="G26" t="s">
        <v>228</v>
      </c>
    </row>
    <row r="27">
      <c r="A27" t="s">
        <v>229</v>
      </c>
      <c r="C27">
        <v>-18708600</v>
      </c>
      <c r="D27">
        <v>-20292878</v>
      </c>
      <c r="E27">
        <v>-12242736</v>
      </c>
      <c r="F27">
        <v>-12266254</v>
      </c>
      <c r="G27" t="s">
        <v>230</v>
      </c>
    </row>
    <row r="28">
      <c r="A28" t="s">
        <v>231</v>
      </c>
      <c r="C28">
        <v>3621040</v>
      </c>
      <c r="D28">
        <v>1898688</v>
      </c>
      <c r="E28">
        <v>1342412</v>
      </c>
      <c r="F28">
        <v>1532926</v>
      </c>
      <c r="G28" t="s">
        <v>232</v>
      </c>
    </row>
    <row r="29">
      <c r="A29" t="s">
        <v>233</v>
      </c>
      <c r="C29">
        <v>-15087560</v>
      </c>
      <c r="D29">
        <v>-18394190</v>
      </c>
      <c r="E29">
        <v>-10900324</v>
      </c>
      <c r="F29">
        <v>-10733328</v>
      </c>
      <c r="G29" t="s">
        <v>230</v>
      </c>
    </row>
    <row r="30">
      <c r="A30" t="s">
        <v>234</v>
      </c>
      <c r="C30">
        <v>-3217027</v>
      </c>
      <c r="D30">
        <v>-3749807</v>
      </c>
      <c r="E30">
        <v>-3674241</v>
      </c>
      <c r="F30">
        <v>-3859118</v>
      </c>
      <c r="G30" t="s">
        <v>210</v>
      </c>
    </row>
    <row r="31">
      <c r="A31" t="s">
        <v>235</v>
      </c>
      <c r="C31">
        <v>-1814645</v>
      </c>
      <c r="D31">
        <v>-2179354</v>
      </c>
      <c r="E31">
        <v>-1977250</v>
      </c>
      <c r="F31">
        <v>-1965832</v>
      </c>
      <c r="G31" t="s">
        <v>232</v>
      </c>
    </row>
    <row r="32">
      <c r="A32" t="s">
        <v>236</v>
      </c>
      <c r="C32">
        <v>-388900</v>
      </c>
      <c r="D32">
        <v>-433552</v>
      </c>
      <c r="E32">
        <v>-5174080</v>
      </c>
      <c r="F32">
        <v>-1743955</v>
      </c>
      <c r="G32" t="s">
        <v>212</v>
      </c>
    </row>
    <row r="33">
      <c r="A33" t="s">
        <v>237</v>
      </c>
      <c r="C33">
        <v>-2037521</v>
      </c>
      <c r="D33">
        <v>-2430275</v>
      </c>
      <c r="E33">
        <v>-2379268</v>
      </c>
      <c r="F33">
        <v>-2679514</v>
      </c>
      <c r="G33" t="s">
        <v>238</v>
      </c>
    </row>
    <row r="34">
      <c r="A34" t="s">
        <v>239</v>
      </c>
      <c r="C34">
        <v>-1963865</v>
      </c>
      <c r="D34">
        <v>-2429889</v>
      </c>
      <c r="E34">
        <v>-2355512</v>
      </c>
      <c r="F34">
        <v>-2245715</v>
      </c>
      <c r="G34" t="s">
        <v>240</v>
      </c>
    </row>
    <row r="35">
      <c r="A35" t="s">
        <v>241</v>
      </c>
      <c r="C35">
        <v>-397866</v>
      </c>
      <c r="D35">
        <v>-515467</v>
      </c>
      <c r="E35">
        <v>-816793</v>
      </c>
      <c r="F35">
        <v>-483479</v>
      </c>
      <c r="G35" t="s">
        <v>242</v>
      </c>
    </row>
    <row r="36">
      <c r="A36" t="s">
        <v>243</v>
      </c>
      <c r="C36">
        <v>-541133</v>
      </c>
      <c r="D36">
        <v>-625109</v>
      </c>
      <c r="E36">
        <v>-543834</v>
      </c>
      <c r="F36">
        <v>-570383</v>
      </c>
      <c r="G36" t="s">
        <v>244</v>
      </c>
    </row>
    <row r="37">
      <c r="A37" t="s">
        <v>245</v>
      </c>
      <c r="C37">
        <v>-33639</v>
      </c>
      <c r="D37">
        <v>-123356</v>
      </c>
      <c r="E37">
        <v>-61012</v>
      </c>
      <c r="F37">
        <v>-50128</v>
      </c>
      <c r="G37" t="s">
        <v>222</v>
      </c>
    </row>
    <row r="38">
      <c r="A38" t="s">
        <v>246</v>
      </c>
      <c r="C38">
        <v>-25482156</v>
      </c>
      <c r="D38">
        <v>-30881009</v>
      </c>
      <c r="E38">
        <v>-27882314</v>
      </c>
      <c r="F38">
        <v>-24331452</v>
      </c>
      <c r="G38" t="s">
        <v>224</v>
      </c>
    </row>
    <row r="39">
      <c r="A39" t="s">
        <v>247</v>
      </c>
      <c r="C39">
        <v>3703638</v>
      </c>
      <c r="D39">
        <v>4648198</v>
      </c>
      <c r="E39">
        <v>8444350</v>
      </c>
      <c r="F39">
        <v>4375267</v>
      </c>
      <c r="G39" t="s">
        <v>199</v>
      </c>
    </row>
    <row r="41">
      <c r="A41" t="s">
        <v>248</v>
      </c>
      <c r="C41">
        <v>37171</v>
      </c>
      <c r="D41">
        <v>-38283</v>
      </c>
      <c r="E41">
        <v>84631</v>
      </c>
      <c r="F41">
        <v>-100673</v>
      </c>
      <c r="G41" t="s">
        <v>249</v>
      </c>
    </row>
    <row r="42">
      <c r="A42" t="s">
        <v>250</v>
      </c>
      <c r="C42">
        <v>-33526</v>
      </c>
      <c r="D42">
        <v>119891</v>
      </c>
      <c r="E42">
        <v>-251329</v>
      </c>
      <c r="F42">
        <v>66423</v>
      </c>
      <c r="G42" t="s">
        <v>251</v>
      </c>
    </row>
    <row r="43">
      <c r="A43" t="s">
        <v>252</v>
      </c>
      <c r="C43">
        <v>-986102</v>
      </c>
      <c r="D43">
        <v>-1128275</v>
      </c>
      <c r="E43">
        <v>-1452007</v>
      </c>
      <c r="F43">
        <v>-1348764</v>
      </c>
      <c r="G43" t="s">
        <v>251</v>
      </c>
    </row>
    <row r="44">
      <c r="A44" t="s">
        <v>253</v>
      </c>
      <c r="E44">
        <v>-17577</v>
      </c>
      <c r="G44" t="s">
        <v>254</v>
      </c>
    </row>
    <row r="45">
      <c r="A45" t="s">
        <v>255</v>
      </c>
      <c r="C45">
        <v>-982457</v>
      </c>
      <c r="D45">
        <v>-1046667</v>
      </c>
      <c r="E45">
        <v>-1636282</v>
      </c>
      <c r="F45">
        <v>-1383014</v>
      </c>
      <c r="G45" t="s">
        <v>199</v>
      </c>
    </row>
    <row r="46">
      <c r="A46" t="s">
        <v>256</v>
      </c>
      <c r="C46">
        <v>2721181</v>
      </c>
      <c r="D46">
        <v>3601531</v>
      </c>
      <c r="E46">
        <v>6808068</v>
      </c>
      <c r="F46">
        <v>2992253</v>
      </c>
      <c r="G46" t="s">
        <v>199</v>
      </c>
    </row>
    <row r="47">
      <c r="A47" t="s">
        <v>257</v>
      </c>
      <c r="C47">
        <v>-392783</v>
      </c>
      <c r="D47">
        <v>-1569142</v>
      </c>
      <c r="E47">
        <v>-1178583</v>
      </c>
      <c r="F47">
        <v>-1174215</v>
      </c>
      <c r="G47" t="s">
        <v>258</v>
      </c>
    </row>
    <row r="48">
      <c r="A48" t="s">
        <v>259</v>
      </c>
      <c r="C48">
        <v>2328398</v>
      </c>
      <c r="D48">
        <v>2032389</v>
      </c>
      <c r="E48">
        <v>5629485</v>
      </c>
      <c r="F48">
        <v>1818038</v>
      </c>
      <c r="G48" t="s">
        <v>199</v>
      </c>
    </row>
    <row r="49">
      <c r="A49" t="s">
        <v>260</v>
      </c>
      <c r="C49">
        <v>16943</v>
      </c>
      <c r="D49">
        <v>-97412</v>
      </c>
      <c r="E49">
        <v>6249</v>
      </c>
      <c r="F49">
        <v>7749</v>
      </c>
      <c r="G49" t="s">
        <v>261</v>
      </c>
    </row>
    <row r="50">
      <c r="A50" t="s">
        <v>262</v>
      </c>
      <c r="E50">
        <v>766272</v>
      </c>
      <c r="F50">
        <v>430388</v>
      </c>
      <c r="G50" t="s">
        <v>263</v>
      </c>
    </row>
    <row r="51">
      <c r="A51" t="s">
        <v>264</v>
      </c>
      <c r="C51">
        <v>2345341</v>
      </c>
      <c r="D51">
        <v>1934977</v>
      </c>
      <c r="E51">
        <v>6402006</v>
      </c>
      <c r="F51">
        <v>2256175</v>
      </c>
      <c r="G51" t="s">
        <v>265</v>
      </c>
    </row>
    <row r="52">
      <c r="A52" t="s">
        <v>266</v>
      </c>
      <c r="C52">
        <v>2074996</v>
      </c>
      <c r="D52">
        <v>1539582</v>
      </c>
      <c r="E52">
        <v>6073978</v>
      </c>
      <c r="F52">
        <v>1841118</v>
      </c>
      <c r="G52" t="s">
        <v>201</v>
      </c>
    </row>
    <row r="53">
      <c r="A53" t="s">
        <v>267</v>
      </c>
      <c r="C53">
        <v>270345</v>
      </c>
      <c r="D53">
        <v>395395</v>
      </c>
      <c r="E53">
        <v>328028</v>
      </c>
      <c r="F53">
        <v>415057</v>
      </c>
      <c r="G53" t="s">
        <v>268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ColWidth="8.375" defaultRowHeight="15"/>
  <sheetData>
    <row r="1">
      <c r="A1" t="s">
        <v>269</v>
      </c>
    </row>
    <row r="2">
      <c r="A2" t="s">
        <v>270</v>
      </c>
    </row>
    <row r="4">
      <c r="A4" t="s">
        <v>186</v>
      </c>
      <c r="B4" t="s">
        <v>187</v>
      </c>
      <c r="C4" t="s">
        <v>188</v>
      </c>
      <c r="D4" t="s">
        <v>189</v>
      </c>
      <c r="E4" t="s">
        <v>190</v>
      </c>
      <c r="F4" t="s">
        <v>191</v>
      </c>
      <c r="G4" t="s">
        <v>192</v>
      </c>
    </row>
    <row r="5">
      <c r="A5" t="s">
        <v>264</v>
      </c>
      <c r="C5">
        <v>2345341</v>
      </c>
      <c r="D5">
        <v>1934977</v>
      </c>
      <c r="E5">
        <v>6402006</v>
      </c>
      <c r="F5">
        <v>2256175</v>
      </c>
      <c r="G5" t="s">
        <v>271</v>
      </c>
    </row>
    <row r="6">
      <c r="A6" t="s">
        <v>272</v>
      </c>
    </row>
    <row r="7">
      <c r="A7" t="s">
        <v>273</v>
      </c>
      <c r="C7">
        <v>-20595</v>
      </c>
      <c r="D7">
        <v>15784</v>
      </c>
      <c r="E7">
        <v>-18617</v>
      </c>
      <c r="F7">
        <v>1028</v>
      </c>
      <c r="G7" t="s">
        <v>274</v>
      </c>
    </row>
    <row r="8">
      <c r="A8" t="s">
        <v>275</v>
      </c>
      <c r="C8">
        <v>-46029</v>
      </c>
      <c r="D8">
        <v>88374</v>
      </c>
      <c r="E8">
        <v>-10008</v>
      </c>
      <c r="F8">
        <v>73745</v>
      </c>
      <c r="G8" t="s">
        <v>274</v>
      </c>
    </row>
    <row r="9">
      <c r="A9" t="s">
        <v>276</v>
      </c>
      <c r="C9">
        <v>6747</v>
      </c>
      <c r="D9">
        <v>-14256</v>
      </c>
      <c r="E9">
        <v>111</v>
      </c>
      <c r="F9">
        <v>2489</v>
      </c>
      <c r="G9" t="s">
        <v>274</v>
      </c>
    </row>
    <row r="10">
      <c r="A10" t="s">
        <v>277</v>
      </c>
      <c r="E10">
        <v>-212754</v>
      </c>
      <c r="F10">
        <v>132950</v>
      </c>
      <c r="G10" t="s">
        <v>278</v>
      </c>
    </row>
    <row r="11">
      <c r="A11" t="s">
        <v>279</v>
      </c>
      <c r="C11">
        <v>-59877</v>
      </c>
      <c r="D11">
        <v>89902</v>
      </c>
      <c r="E11">
        <v>-241268</v>
      </c>
      <c r="F11">
        <v>210212</v>
      </c>
      <c r="G11" t="s">
        <v>280</v>
      </c>
    </row>
    <row r="12">
      <c r="A12" t="s">
        <v>281</v>
      </c>
    </row>
    <row r="13">
      <c r="A13" t="s">
        <v>282</v>
      </c>
      <c r="C13">
        <v>3206935</v>
      </c>
      <c r="D13">
        <v>-3521646</v>
      </c>
      <c r="E13">
        <v>321526</v>
      </c>
      <c r="F13">
        <v>-678057</v>
      </c>
      <c r="G13" t="s">
        <v>274</v>
      </c>
    </row>
    <row r="14">
      <c r="A14" t="s">
        <v>283</v>
      </c>
      <c r="C14">
        <v>-108109</v>
      </c>
      <c r="D14">
        <v>-22667</v>
      </c>
      <c r="E14">
        <v>18140</v>
      </c>
      <c r="F14">
        <v>205294</v>
      </c>
      <c r="G14" t="s">
        <v>274</v>
      </c>
    </row>
    <row r="15">
      <c r="A15" t="s">
        <v>284</v>
      </c>
      <c r="C15">
        <v>-381571</v>
      </c>
      <c r="D15">
        <v>395035</v>
      </c>
      <c r="E15">
        <v>46127</v>
      </c>
      <c r="F15">
        <v>-84686</v>
      </c>
      <c r="G15" t="s">
        <v>274</v>
      </c>
    </row>
    <row r="16">
      <c r="A16" t="s">
        <v>285</v>
      </c>
      <c r="C16">
        <v>1688749</v>
      </c>
      <c r="D16">
        <v>-1430674</v>
      </c>
      <c r="E16">
        <v>-122545</v>
      </c>
      <c r="F16">
        <v>-1356040</v>
      </c>
      <c r="G16" t="s">
        <v>274</v>
      </c>
    </row>
    <row r="17">
      <c r="A17" t="s">
        <v>286</v>
      </c>
      <c r="C17">
        <v>4406004</v>
      </c>
      <c r="D17">
        <v>-4579952</v>
      </c>
      <c r="E17">
        <v>263248</v>
      </c>
      <c r="F17">
        <v>-1913489</v>
      </c>
      <c r="G17" t="s">
        <v>280</v>
      </c>
    </row>
    <row r="18">
      <c r="A18" t="s">
        <v>287</v>
      </c>
      <c r="C18">
        <v>4346127</v>
      </c>
      <c r="D18">
        <v>-4490050</v>
      </c>
      <c r="E18">
        <v>21980</v>
      </c>
      <c r="F18">
        <v>-1703277</v>
      </c>
      <c r="G18" t="s">
        <v>280</v>
      </c>
    </row>
    <row r="19">
      <c r="A19" t="s">
        <v>288</v>
      </c>
      <c r="C19">
        <v>6691468</v>
      </c>
      <c r="D19">
        <v>-2555073</v>
      </c>
      <c r="E19">
        <v>6423986</v>
      </c>
      <c r="F19">
        <v>552898</v>
      </c>
      <c r="G19" t="s">
        <v>289</v>
      </c>
    </row>
    <row r="20">
      <c r="A20" t="s">
        <v>290</v>
      </c>
      <c r="C20">
        <v>5916795</v>
      </c>
      <c r="D20">
        <v>-2194558</v>
      </c>
      <c r="E20">
        <v>6089807</v>
      </c>
      <c r="F20">
        <v>186176</v>
      </c>
      <c r="G20" t="s">
        <v>271</v>
      </c>
    </row>
    <row r="21">
      <c r="A21" t="s">
        <v>291</v>
      </c>
      <c r="C21">
        <v>774673</v>
      </c>
      <c r="D21">
        <v>-360515</v>
      </c>
      <c r="E21">
        <v>334179</v>
      </c>
      <c r="F21">
        <v>366722</v>
      </c>
      <c r="G21" t="s">
        <v>271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ColWidth="8.375" defaultRowHeight="15"/>
  <sheetData>
    <row r="1">
      <c r="A1" t="s">
        <v>292</v>
      </c>
    </row>
    <row r="2">
      <c r="A2" t="s">
        <v>293</v>
      </c>
    </row>
    <row r="4">
      <c r="A4" t="s">
        <v>186</v>
      </c>
      <c r="B4" t="s">
        <v>187</v>
      </c>
      <c r="C4" t="s">
        <v>188</v>
      </c>
      <c r="D4" t="s">
        <v>189</v>
      </c>
      <c r="E4" t="s">
        <v>190</v>
      </c>
      <c r="F4" t="s">
        <v>191</v>
      </c>
      <c r="G4" t="s">
        <v>192</v>
      </c>
    </row>
    <row r="5">
      <c r="A5" t="s">
        <v>294</v>
      </c>
    </row>
    <row r="6">
      <c r="A6" t="s">
        <v>295</v>
      </c>
      <c r="C6">
        <v>3569969</v>
      </c>
      <c r="D6">
        <v>3305577</v>
      </c>
      <c r="E6">
        <v>2975302</v>
      </c>
      <c r="F6">
        <v>2686482</v>
      </c>
      <c r="G6" t="s">
        <v>296</v>
      </c>
    </row>
    <row r="7">
      <c r="A7" t="s">
        <v>297</v>
      </c>
      <c r="C7">
        <v>35973060</v>
      </c>
      <c r="D7">
        <v>39039403</v>
      </c>
      <c r="E7">
        <v>45029564</v>
      </c>
      <c r="F7">
        <v>50544155</v>
      </c>
      <c r="G7" t="s">
        <v>296</v>
      </c>
    </row>
    <row r="8">
      <c r="A8" t="s">
        <v>298</v>
      </c>
      <c r="C8">
        <v>1955887</v>
      </c>
      <c r="D8">
        <v>1061904</v>
      </c>
      <c r="E8">
        <v>1228724</v>
      </c>
      <c r="F8">
        <v>284469</v>
      </c>
      <c r="G8" t="s">
        <v>296</v>
      </c>
    </row>
    <row r="9">
      <c r="A9" t="s">
        <v>299</v>
      </c>
      <c r="C9">
        <v>2139913</v>
      </c>
      <c r="D9">
        <v>2366030</v>
      </c>
      <c r="E9">
        <v>1990447</v>
      </c>
      <c r="F9">
        <v>3398715</v>
      </c>
      <c r="G9" t="s">
        <v>300</v>
      </c>
    </row>
    <row r="10">
      <c r="A10" t="s">
        <v>301</v>
      </c>
      <c r="C10">
        <v>6853292</v>
      </c>
      <c r="D10">
        <v>5168514</v>
      </c>
      <c r="E10">
        <v>5632617</v>
      </c>
      <c r="F10">
        <v>5420656</v>
      </c>
      <c r="G10" t="s">
        <v>302</v>
      </c>
    </row>
    <row r="11">
      <c r="A11" t="s">
        <v>303</v>
      </c>
      <c r="C11">
        <v>8026555</v>
      </c>
      <c r="D11">
        <v>6533192</v>
      </c>
      <c r="E11">
        <v>6179545</v>
      </c>
      <c r="F11">
        <v>5966957</v>
      </c>
      <c r="G11" t="s">
        <v>302</v>
      </c>
    </row>
    <row r="12">
      <c r="A12" t="s">
        <v>304</v>
      </c>
      <c r="C12">
        <v>252071</v>
      </c>
      <c r="D12">
        <v>297362</v>
      </c>
      <c r="E12">
        <v>253730</v>
      </c>
      <c r="F12">
        <v>31861</v>
      </c>
      <c r="G12" t="s">
        <v>305</v>
      </c>
    </row>
    <row r="13">
      <c r="A13" t="s">
        <v>306</v>
      </c>
      <c r="C13">
        <v>377056</v>
      </c>
      <c r="D13">
        <v>409586</v>
      </c>
      <c r="E13">
        <v>309070</v>
      </c>
      <c r="F13">
        <v>421344</v>
      </c>
      <c r="G13" t="s">
        <v>307</v>
      </c>
    </row>
    <row r="14">
      <c r="A14" t="s">
        <v>308</v>
      </c>
      <c r="C14">
        <v>2132816</v>
      </c>
      <c r="D14">
        <v>1597574</v>
      </c>
      <c r="E14">
        <v>1676105</v>
      </c>
      <c r="F14">
        <v>1774356</v>
      </c>
      <c r="G14" t="s">
        <v>309</v>
      </c>
    </row>
    <row r="15">
      <c r="A15" t="s">
        <v>310</v>
      </c>
      <c r="C15">
        <v>23224779</v>
      </c>
      <c r="D15">
        <v>18346056</v>
      </c>
      <c r="E15">
        <v>19661516</v>
      </c>
      <c r="F15">
        <v>12064168</v>
      </c>
      <c r="G15" t="s">
        <v>311</v>
      </c>
    </row>
    <row r="16">
      <c r="A16" t="s">
        <v>312</v>
      </c>
      <c r="C16">
        <v>6004</v>
      </c>
      <c r="D16">
        <v>4200993</v>
      </c>
      <c r="E16">
        <v>57961</v>
      </c>
      <c r="F16">
        <v>57042</v>
      </c>
      <c r="G16" t="s">
        <v>313</v>
      </c>
    </row>
    <row r="17">
      <c r="A17" t="s">
        <v>314</v>
      </c>
      <c r="C17">
        <v>1448786</v>
      </c>
      <c r="D17">
        <v>1416177</v>
      </c>
      <c r="E17">
        <v>1442806</v>
      </c>
      <c r="F17">
        <v>1473193</v>
      </c>
      <c r="G17" t="s">
        <v>315</v>
      </c>
    </row>
    <row r="18">
      <c r="A18" t="s">
        <v>316</v>
      </c>
      <c r="C18">
        <v>542537</v>
      </c>
      <c r="D18">
        <v>429957</v>
      </c>
      <c r="E18">
        <v>477305</v>
      </c>
      <c r="F18">
        <v>402798</v>
      </c>
      <c r="G18" t="s">
        <v>317</v>
      </c>
    </row>
    <row r="19">
      <c r="A19" t="s">
        <v>318</v>
      </c>
      <c r="C19">
        <v>4039898</v>
      </c>
      <c r="D19">
        <v>3308064</v>
      </c>
      <c r="E19">
        <v>3016876</v>
      </c>
      <c r="F19">
        <v>2749829</v>
      </c>
      <c r="G19" t="s">
        <v>319</v>
      </c>
    </row>
    <row r="20">
      <c r="A20" t="s">
        <v>320</v>
      </c>
      <c r="C20">
        <v>836232</v>
      </c>
      <c r="D20">
        <v>236588</v>
      </c>
      <c r="E20">
        <v>409646</v>
      </c>
      <c r="F20">
        <v>171068</v>
      </c>
      <c r="G20" t="s">
        <v>307</v>
      </c>
    </row>
    <row r="21">
      <c r="A21" t="s">
        <v>321</v>
      </c>
      <c r="C21">
        <v>6393147</v>
      </c>
      <c r="D21">
        <v>5238231</v>
      </c>
      <c r="E21">
        <v>5338691</v>
      </c>
      <c r="F21">
        <v>5095011</v>
      </c>
      <c r="G21" t="s">
        <v>319</v>
      </c>
    </row>
    <row r="22">
      <c r="A22" t="s">
        <v>322</v>
      </c>
      <c r="C22">
        <v>621463</v>
      </c>
      <c r="D22">
        <v>549609</v>
      </c>
      <c r="E22">
        <v>616002</v>
      </c>
      <c r="F22">
        <v>603406</v>
      </c>
      <c r="G22" t="s">
        <v>323</v>
      </c>
    </row>
    <row r="23">
      <c r="A23" t="s">
        <v>324</v>
      </c>
      <c r="C23">
        <v>98393465</v>
      </c>
      <c r="D23">
        <v>93504778</v>
      </c>
      <c r="E23">
        <v>96295907</v>
      </c>
      <c r="F23">
        <v>93145510</v>
      </c>
      <c r="G23" t="s">
        <v>325</v>
      </c>
    </row>
    <row r="25">
      <c r="A25" t="s">
        <v>326</v>
      </c>
    </row>
    <row r="26">
      <c r="A26" t="s">
        <v>327</v>
      </c>
      <c r="C26">
        <v>1115538</v>
      </c>
      <c r="D26">
        <v>2429280</v>
      </c>
      <c r="E26">
        <v>6345648</v>
      </c>
      <c r="F26">
        <v>5247172</v>
      </c>
      <c r="G26" t="s">
        <v>296</v>
      </c>
    </row>
    <row r="27">
      <c r="A27" t="s">
        <v>298</v>
      </c>
      <c r="C27">
        <v>491544</v>
      </c>
      <c r="D27">
        <v>208188</v>
      </c>
      <c r="E27">
        <v>163134</v>
      </c>
      <c r="F27">
        <v>163321</v>
      </c>
      <c r="G27" t="s">
        <v>296</v>
      </c>
    </row>
    <row r="28">
      <c r="A28" t="s">
        <v>328</v>
      </c>
      <c r="C28">
        <v>2609496</v>
      </c>
      <c r="D28">
        <v>2843396</v>
      </c>
      <c r="E28">
        <v>2420541</v>
      </c>
      <c r="F28">
        <v>2559755</v>
      </c>
      <c r="G28" t="s">
        <v>300</v>
      </c>
    </row>
    <row r="29">
      <c r="A29" t="s">
        <v>329</v>
      </c>
      <c r="C29">
        <v>117298</v>
      </c>
      <c r="D29">
        <v>184966</v>
      </c>
      <c r="E29">
        <v>143704</v>
      </c>
      <c r="F29">
        <v>131213</v>
      </c>
      <c r="G29" t="s">
        <v>305</v>
      </c>
    </row>
    <row r="30">
      <c r="A30" t="s">
        <v>330</v>
      </c>
      <c r="C30">
        <v>513419</v>
      </c>
      <c r="D30">
        <v>426412</v>
      </c>
      <c r="E30">
        <v>469442</v>
      </c>
      <c r="F30">
        <v>403959</v>
      </c>
      <c r="G30" t="s">
        <v>317</v>
      </c>
    </row>
    <row r="31">
      <c r="A31" t="s">
        <v>331</v>
      </c>
      <c r="C31">
        <v>38721291</v>
      </c>
      <c r="D31">
        <v>38374511</v>
      </c>
      <c r="E31">
        <v>43619486</v>
      </c>
      <c r="F31">
        <v>49089313</v>
      </c>
      <c r="G31" t="s">
        <v>302</v>
      </c>
    </row>
    <row r="32">
      <c r="A32" t="s">
        <v>332</v>
      </c>
      <c r="C32">
        <v>2051354</v>
      </c>
      <c r="D32">
        <v>1726044</v>
      </c>
      <c r="E32">
        <v>1820849</v>
      </c>
      <c r="F32">
        <v>1924712</v>
      </c>
      <c r="G32" t="s">
        <v>302</v>
      </c>
    </row>
    <row r="33">
      <c r="A33" t="s">
        <v>333</v>
      </c>
      <c r="C33">
        <v>122583</v>
      </c>
      <c r="D33">
        <v>212315</v>
      </c>
      <c r="E33">
        <v>889985</v>
      </c>
      <c r="F33">
        <v>123000</v>
      </c>
      <c r="G33" t="s">
        <v>307</v>
      </c>
    </row>
    <row r="34">
      <c r="A34" t="s">
        <v>334</v>
      </c>
      <c r="C34">
        <v>0</v>
      </c>
      <c r="D34">
        <v>41935</v>
      </c>
      <c r="E34">
        <v>6945</v>
      </c>
      <c r="F34">
        <v>0</v>
      </c>
      <c r="G34" t="s">
        <v>313</v>
      </c>
    </row>
    <row r="35">
      <c r="A35" t="s">
        <v>239</v>
      </c>
      <c r="C35">
        <v>835112</v>
      </c>
      <c r="D35">
        <v>821585</v>
      </c>
      <c r="E35">
        <v>882785</v>
      </c>
      <c r="F35">
        <v>860777</v>
      </c>
      <c r="G35" t="s">
        <v>335</v>
      </c>
    </row>
    <row r="36">
      <c r="A36" t="s">
        <v>336</v>
      </c>
      <c r="C36">
        <v>1084582</v>
      </c>
      <c r="D36">
        <v>1212158</v>
      </c>
      <c r="E36">
        <v>967051</v>
      </c>
      <c r="F36">
        <v>1019566</v>
      </c>
      <c r="G36" t="s">
        <v>337</v>
      </c>
    </row>
    <row r="37">
      <c r="A37" t="s">
        <v>338</v>
      </c>
      <c r="C37">
        <v>495664</v>
      </c>
      <c r="D37">
        <v>440675</v>
      </c>
      <c r="E37">
        <v>464183</v>
      </c>
      <c r="F37">
        <v>457019</v>
      </c>
      <c r="G37" t="s">
        <v>339</v>
      </c>
    </row>
    <row r="38">
      <c r="A38" t="s">
        <v>340</v>
      </c>
      <c r="C38">
        <v>9337919</v>
      </c>
      <c r="D38">
        <v>7354982</v>
      </c>
      <c r="E38">
        <v>6031237</v>
      </c>
      <c r="F38">
        <v>5802786</v>
      </c>
      <c r="G38" t="s">
        <v>296</v>
      </c>
    </row>
    <row r="39">
      <c r="A39" t="s">
        <v>341</v>
      </c>
      <c r="C39">
        <v>2810956</v>
      </c>
      <c r="D39">
        <v>2378630</v>
      </c>
      <c r="E39">
        <v>1572007</v>
      </c>
      <c r="F39">
        <v>1778575</v>
      </c>
      <c r="G39" t="s">
        <v>296</v>
      </c>
    </row>
    <row r="40">
      <c r="A40" t="s">
        <v>342</v>
      </c>
      <c r="C40">
        <v>1844922</v>
      </c>
      <c r="D40">
        <v>1954229</v>
      </c>
      <c r="E40">
        <v>1442903</v>
      </c>
      <c r="F40">
        <v>1493777</v>
      </c>
      <c r="G40" t="s">
        <v>307</v>
      </c>
    </row>
    <row r="41">
      <c r="A41" t="s">
        <v>343</v>
      </c>
      <c r="C41">
        <v>459955</v>
      </c>
      <c r="D41">
        <v>459834</v>
      </c>
      <c r="E41">
        <v>459821</v>
      </c>
      <c r="F41">
        <v>522504</v>
      </c>
      <c r="G41" t="s">
        <v>344</v>
      </c>
    </row>
    <row r="42">
      <c r="A42" t="s">
        <v>345</v>
      </c>
      <c r="C42">
        <v>62611643</v>
      </c>
      <c r="D42">
        <v>61069540</v>
      </c>
      <c r="E42">
        <v>67699721</v>
      </c>
      <c r="F42">
        <v>71577449</v>
      </c>
      <c r="G42" t="s">
        <v>325</v>
      </c>
    </row>
    <row r="44">
      <c r="A44" t="s">
        <v>346</v>
      </c>
    </row>
    <row r="45">
      <c r="A45" t="s">
        <v>347</v>
      </c>
      <c r="C45">
        <v>109121</v>
      </c>
      <c r="D45">
        <v>109121</v>
      </c>
      <c r="E45">
        <v>109121</v>
      </c>
      <c r="F45">
        <v>109121</v>
      </c>
      <c r="G45" t="s">
        <v>348</v>
      </c>
    </row>
    <row r="46">
      <c r="A46" t="s">
        <v>349</v>
      </c>
      <c r="C46">
        <v>3290767</v>
      </c>
      <c r="D46">
        <v>3290767</v>
      </c>
      <c r="E46">
        <v>3290767</v>
      </c>
      <c r="F46">
        <v>784688</v>
      </c>
      <c r="G46" t="s">
        <v>348</v>
      </c>
    </row>
    <row r="47">
      <c r="A47" t="s">
        <v>350</v>
      </c>
      <c r="E47">
        <v>-9537998</v>
      </c>
      <c r="F47">
        <v>-9537998</v>
      </c>
      <c r="G47" t="s">
        <v>351</v>
      </c>
    </row>
    <row r="48">
      <c r="A48" t="s">
        <v>352</v>
      </c>
      <c r="C48">
        <v>8137410</v>
      </c>
      <c r="D48">
        <v>1079698</v>
      </c>
      <c r="E48">
        <v>2007422</v>
      </c>
      <c r="F48">
        <v>7067808</v>
      </c>
      <c r="G48" t="s">
        <v>348</v>
      </c>
    </row>
    <row r="49">
      <c r="A49" t="s">
        <v>353</v>
      </c>
      <c r="C49">
        <v>244848</v>
      </c>
      <c r="D49">
        <v>7261206</v>
      </c>
      <c r="E49">
        <v>9674774</v>
      </c>
      <c r="F49">
        <v>9674774</v>
      </c>
      <c r="G49" t="s">
        <v>348</v>
      </c>
    </row>
    <row r="50">
      <c r="A50" t="s">
        <v>264</v>
      </c>
      <c r="C50">
        <v>2074996</v>
      </c>
      <c r="D50">
        <v>1539582</v>
      </c>
      <c r="E50">
        <v>6073978</v>
      </c>
      <c r="F50">
        <v>1841118</v>
      </c>
      <c r="G50" t="s">
        <v>354</v>
      </c>
    </row>
    <row r="51">
      <c r="A51" t="s">
        <v>355</v>
      </c>
      <c r="C51">
        <v>11670249</v>
      </c>
      <c r="D51">
        <v>12655691</v>
      </c>
      <c r="E51">
        <v>10441236</v>
      </c>
      <c r="F51">
        <v>6731189</v>
      </c>
      <c r="G51" t="s">
        <v>348</v>
      </c>
    </row>
    <row r="52">
      <c r="A52" t="s">
        <v>356</v>
      </c>
      <c r="C52">
        <v>8200324</v>
      </c>
      <c r="D52">
        <v>4466184</v>
      </c>
      <c r="E52">
        <v>4482013</v>
      </c>
      <c r="F52">
        <v>2827071</v>
      </c>
      <c r="G52" t="s">
        <v>357</v>
      </c>
    </row>
    <row r="53">
      <c r="A53" t="s">
        <v>358</v>
      </c>
      <c r="C53">
        <v>33727715</v>
      </c>
      <c r="D53">
        <v>30402249</v>
      </c>
      <c r="E53">
        <v>26541313</v>
      </c>
      <c r="F53">
        <v>19497771</v>
      </c>
      <c r="G53" t="s">
        <v>359</v>
      </c>
    </row>
    <row r="54">
      <c r="A54" t="s">
        <v>360</v>
      </c>
      <c r="C54">
        <v>2054107</v>
      </c>
      <c r="D54">
        <v>2032989</v>
      </c>
      <c r="E54">
        <v>2054873</v>
      </c>
      <c r="F54">
        <v>2070290</v>
      </c>
      <c r="G54" t="s">
        <v>361</v>
      </c>
    </row>
    <row r="55">
      <c r="A55" t="s">
        <v>362</v>
      </c>
      <c r="C55">
        <v>35781822</v>
      </c>
      <c r="D55">
        <v>32435238</v>
      </c>
      <c r="E55">
        <v>28596186</v>
      </c>
      <c r="F55">
        <v>21568061</v>
      </c>
      <c r="G55" t="s">
        <v>325</v>
      </c>
    </row>
    <row r="56">
      <c r="A56" t="s">
        <v>363</v>
      </c>
      <c r="C56">
        <v>98393465</v>
      </c>
      <c r="D56">
        <v>93504778</v>
      </c>
      <c r="E56">
        <v>96295907</v>
      </c>
      <c r="F56">
        <v>93145510</v>
      </c>
      <c r="G56" t="s">
        <v>325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ColWidth="8.375" defaultRowHeight="15"/>
  <sheetData>
    <row r="1">
      <c r="A1" t="s">
        <v>364</v>
      </c>
    </row>
    <row r="2">
      <c r="A2" t="s">
        <v>365</v>
      </c>
    </row>
    <row r="4">
      <c r="A4" t="s">
        <v>186</v>
      </c>
      <c r="B4" t="s">
        <v>187</v>
      </c>
      <c r="C4" t="s">
        <v>188</v>
      </c>
      <c r="D4" t="s">
        <v>189</v>
      </c>
      <c r="E4" t="s">
        <v>190</v>
      </c>
      <c r="F4" t="s">
        <v>191</v>
      </c>
      <c r="G4" t="s">
        <v>192</v>
      </c>
    </row>
    <row r="5">
      <c r="A5" t="s">
        <v>366</v>
      </c>
    </row>
    <row r="6">
      <c r="A6" t="s">
        <v>367</v>
      </c>
      <c r="C6">
        <v>2704238</v>
      </c>
      <c r="D6">
        <v>3698945</v>
      </c>
      <c r="G6" t="s">
        <v>368</v>
      </c>
    </row>
    <row r="7">
      <c r="A7" t="s">
        <v>264</v>
      </c>
      <c r="E7">
        <v>6402006</v>
      </c>
      <c r="F7">
        <v>2256175</v>
      </c>
      <c r="G7" t="s">
        <v>369</v>
      </c>
    </row>
    <row r="8">
      <c r="A8" t="s">
        <v>262</v>
      </c>
      <c r="E8">
        <v>-766272</v>
      </c>
      <c r="F8">
        <v>-430388</v>
      </c>
      <c r="G8" t="s">
        <v>370</v>
      </c>
    </row>
    <row r="9">
      <c r="A9" t="s">
        <v>371</v>
      </c>
      <c r="E9">
        <v>-4017061</v>
      </c>
      <c r="G9" t="s">
        <v>370</v>
      </c>
    </row>
    <row r="10">
      <c r="A10" t="s">
        <v>372</v>
      </c>
      <c r="C10">
        <v>16943</v>
      </c>
      <c r="D10">
        <v>-97412</v>
      </c>
      <c r="E10">
        <v>-6249</v>
      </c>
      <c r="F10">
        <v>-7749</v>
      </c>
      <c r="G10" t="s">
        <v>368</v>
      </c>
    </row>
    <row r="11">
      <c r="A11" t="s">
        <v>373</v>
      </c>
      <c r="C11">
        <v>2721181</v>
      </c>
      <c r="D11">
        <v>3601533</v>
      </c>
      <c r="G11" t="s">
        <v>374</v>
      </c>
    </row>
    <row r="12">
      <c r="A12" t="s">
        <v>375</v>
      </c>
      <c r="E12">
        <v>1178583</v>
      </c>
      <c r="F12">
        <v>1174215</v>
      </c>
      <c r="G12" t="s">
        <v>369</v>
      </c>
    </row>
    <row r="13">
      <c r="A13" t="s">
        <v>376</v>
      </c>
      <c r="C13">
        <v>971964</v>
      </c>
      <c r="D13">
        <v>1089926</v>
      </c>
      <c r="E13">
        <v>1452007</v>
      </c>
      <c r="F13">
        <v>1348764</v>
      </c>
      <c r="G13" t="s">
        <v>368</v>
      </c>
    </row>
    <row r="14">
      <c r="A14" t="s">
        <v>377</v>
      </c>
      <c r="C14">
        <v>541133</v>
      </c>
      <c r="D14">
        <v>625109</v>
      </c>
      <c r="E14">
        <v>543834</v>
      </c>
      <c r="F14">
        <v>570383</v>
      </c>
      <c r="G14" t="s">
        <v>368</v>
      </c>
    </row>
    <row r="15">
      <c r="A15" t="s">
        <v>378</v>
      </c>
      <c r="C15">
        <v>9426</v>
      </c>
      <c r="D15">
        <v>75548</v>
      </c>
      <c r="E15">
        <v>191939</v>
      </c>
      <c r="F15">
        <v>56208</v>
      </c>
      <c r="G15" t="s">
        <v>368</v>
      </c>
    </row>
    <row r="16">
      <c r="A16" t="s">
        <v>379</v>
      </c>
      <c r="C16">
        <v>16726</v>
      </c>
      <c r="D16">
        <v>48966</v>
      </c>
      <c r="E16">
        <v>-2610</v>
      </c>
      <c r="F16">
        <v>42339</v>
      </c>
      <c r="G16" t="s">
        <v>368</v>
      </c>
    </row>
    <row r="17">
      <c r="A17" t="s">
        <v>380</v>
      </c>
      <c r="C17">
        <v>-2185831</v>
      </c>
      <c r="D17">
        <v>-2179888</v>
      </c>
      <c r="E17">
        <v>114365</v>
      </c>
      <c r="F17">
        <v>-1501927</v>
      </c>
      <c r="G17" t="s">
        <v>368</v>
      </c>
    </row>
    <row r="18">
      <c r="A18" t="s">
        <v>381</v>
      </c>
      <c r="C18">
        <v>73884</v>
      </c>
      <c r="D18">
        <v>-1551809</v>
      </c>
      <c r="E18">
        <v>-1226548</v>
      </c>
      <c r="F18">
        <v>-1277092</v>
      </c>
      <c r="G18" t="s">
        <v>368</v>
      </c>
    </row>
    <row r="19">
      <c r="A19" t="s">
        <v>382</v>
      </c>
      <c r="C19">
        <v>-1701390</v>
      </c>
      <c r="D19">
        <v>-2748544</v>
      </c>
      <c r="E19">
        <v>-2878632</v>
      </c>
      <c r="F19">
        <v>-2886723</v>
      </c>
      <c r="G19" t="s">
        <v>368</v>
      </c>
    </row>
    <row r="20">
      <c r="A20" t="s">
        <v>383</v>
      </c>
      <c r="C20">
        <v>-2038764</v>
      </c>
      <c r="D20">
        <v>-1792706</v>
      </c>
      <c r="E20">
        <v>-1522597</v>
      </c>
      <c r="F20">
        <v>-920191</v>
      </c>
      <c r="G20" t="s">
        <v>368</v>
      </c>
    </row>
    <row r="21">
      <c r="A21" t="s">
        <v>384</v>
      </c>
      <c r="C21">
        <v>9389993</v>
      </c>
      <c r="D21">
        <v>1216964</v>
      </c>
      <c r="E21">
        <v>5136042</v>
      </c>
      <c r="F21">
        <v>6486340</v>
      </c>
      <c r="G21" t="s">
        <v>385</v>
      </c>
    </row>
    <row r="22">
      <c r="A22" t="s">
        <v>386</v>
      </c>
      <c r="E22">
        <v>149105</v>
      </c>
      <c r="F22">
        <v>362130</v>
      </c>
      <c r="G22" t="s">
        <v>370</v>
      </c>
    </row>
    <row r="23">
      <c r="A23" t="s">
        <v>387</v>
      </c>
      <c r="C23">
        <v>-160566</v>
      </c>
      <c r="D23">
        <v>237303</v>
      </c>
      <c r="G23" t="s">
        <v>388</v>
      </c>
    </row>
    <row r="24">
      <c r="A24" t="s">
        <v>389</v>
      </c>
      <c r="E24">
        <v>-246144</v>
      </c>
      <c r="F24">
        <v>-481145</v>
      </c>
      <c r="G24" t="s">
        <v>390</v>
      </c>
    </row>
    <row r="25">
      <c r="A25" t="s">
        <v>391</v>
      </c>
      <c r="E25">
        <v>372258</v>
      </c>
      <c r="F25">
        <v>48626</v>
      </c>
      <c r="G25" t="s">
        <v>370</v>
      </c>
    </row>
    <row r="26">
      <c r="A26" t="s">
        <v>392</v>
      </c>
      <c r="C26">
        <v>27079</v>
      </c>
      <c r="D26">
        <v>-201247</v>
      </c>
      <c r="G26" t="s">
        <v>393</v>
      </c>
    </row>
    <row r="27">
      <c r="A27" t="s">
        <v>394</v>
      </c>
      <c r="C27">
        <v>2422</v>
      </c>
      <c r="D27">
        <v>1565</v>
      </c>
      <c r="E27">
        <v>-1072</v>
      </c>
      <c r="F27">
        <v>7292</v>
      </c>
      <c r="G27" t="s">
        <v>368</v>
      </c>
    </row>
    <row r="28">
      <c r="A28" t="s">
        <v>395</v>
      </c>
      <c r="C28">
        <v>1021</v>
      </c>
      <c r="D28">
        <v>2994</v>
      </c>
      <c r="E28">
        <v>-1842</v>
      </c>
      <c r="F28">
        <v>-9723</v>
      </c>
      <c r="G28" t="s">
        <v>368</v>
      </c>
    </row>
    <row r="29">
      <c r="A29" t="s">
        <v>396</v>
      </c>
      <c r="C29">
        <v>-1850732</v>
      </c>
      <c r="D29">
        <v>1684778</v>
      </c>
      <c r="E29">
        <v>-526980</v>
      </c>
      <c r="F29">
        <v>153670</v>
      </c>
      <c r="G29" t="s">
        <v>368</v>
      </c>
    </row>
    <row r="30">
      <c r="A30" t="s">
        <v>397</v>
      </c>
      <c r="C30">
        <v>-106189</v>
      </c>
      <c r="D30">
        <v>-226142</v>
      </c>
      <c r="E30">
        <v>205714</v>
      </c>
      <c r="F30">
        <v>-1408269</v>
      </c>
      <c r="G30" t="s">
        <v>368</v>
      </c>
    </row>
    <row r="31">
      <c r="A31" t="s">
        <v>398</v>
      </c>
      <c r="C31">
        <v>97664</v>
      </c>
      <c r="D31">
        <v>61547</v>
      </c>
      <c r="E31">
        <v>64900</v>
      </c>
      <c r="F31">
        <v>131897</v>
      </c>
      <c r="G31" t="s">
        <v>368</v>
      </c>
    </row>
    <row r="32">
      <c r="A32" t="s">
        <v>328</v>
      </c>
      <c r="C32">
        <v>306626</v>
      </c>
      <c r="D32">
        <v>229403</v>
      </c>
      <c r="E32">
        <v>-417941</v>
      </c>
      <c r="F32">
        <v>139188</v>
      </c>
      <c r="G32" t="s">
        <v>368</v>
      </c>
    </row>
    <row r="33">
      <c r="A33" t="s">
        <v>399</v>
      </c>
      <c r="C33">
        <v>487063</v>
      </c>
      <c r="D33">
        <v>-395651</v>
      </c>
      <c r="E33">
        <v>108933</v>
      </c>
      <c r="F33">
        <v>-124414</v>
      </c>
      <c r="G33" t="s">
        <v>368</v>
      </c>
    </row>
    <row r="34">
      <c r="A34" t="s">
        <v>400</v>
      </c>
      <c r="C34">
        <v>778158</v>
      </c>
      <c r="D34">
        <v>96601</v>
      </c>
      <c r="E34">
        <v>-183864</v>
      </c>
      <c r="F34">
        <v>32363</v>
      </c>
      <c r="G34" t="s">
        <v>368</v>
      </c>
    </row>
    <row r="35">
      <c r="A35" t="s">
        <v>401</v>
      </c>
      <c r="C35">
        <v>192195</v>
      </c>
      <c r="D35">
        <v>-41256</v>
      </c>
      <c r="E35">
        <v>-9749</v>
      </c>
      <c r="F35">
        <v>5716</v>
      </c>
      <c r="G35" t="s">
        <v>368</v>
      </c>
    </row>
    <row r="36">
      <c r="A36" t="s">
        <v>402</v>
      </c>
      <c r="C36">
        <v>25213</v>
      </c>
      <c r="D36">
        <v>-42408</v>
      </c>
      <c r="E36">
        <v>30600</v>
      </c>
      <c r="F36">
        <v>-6026</v>
      </c>
      <c r="G36" t="s">
        <v>368</v>
      </c>
    </row>
    <row r="37">
      <c r="A37" t="s">
        <v>403</v>
      </c>
      <c r="C37">
        <v>741208</v>
      </c>
      <c r="D37">
        <v>1098520</v>
      </c>
      <c r="E37">
        <v>1016616</v>
      </c>
      <c r="F37">
        <v>1282287</v>
      </c>
      <c r="G37" t="s">
        <v>368</v>
      </c>
    </row>
    <row r="38">
      <c r="A38" t="s">
        <v>404</v>
      </c>
      <c r="C38">
        <v>-477732</v>
      </c>
      <c r="D38">
        <v>-842445</v>
      </c>
      <c r="E38">
        <v>-1095527</v>
      </c>
      <c r="F38">
        <v>-1848902</v>
      </c>
      <c r="G38" t="s">
        <v>368</v>
      </c>
    </row>
    <row r="39">
      <c r="A39" t="s">
        <v>405</v>
      </c>
      <c r="C39">
        <v>774559</v>
      </c>
      <c r="D39">
        <v>1110155</v>
      </c>
      <c r="E39">
        <v>827955</v>
      </c>
      <c r="F39">
        <v>870101</v>
      </c>
      <c r="G39" t="s">
        <v>368</v>
      </c>
    </row>
    <row r="40">
      <c r="A40" t="s">
        <v>406</v>
      </c>
      <c r="C40">
        <v>8636311</v>
      </c>
      <c r="D40">
        <v>1158816</v>
      </c>
      <c r="E40">
        <v>4891769</v>
      </c>
      <c r="F40">
        <v>4065145</v>
      </c>
      <c r="G40" t="s">
        <v>407</v>
      </c>
    </row>
    <row r="42">
      <c r="A42" t="s">
        <v>408</v>
      </c>
    </row>
    <row r="43">
      <c r="A43" t="s">
        <v>409</v>
      </c>
      <c r="C43">
        <v>17250816</v>
      </c>
      <c r="D43">
        <v>19843554</v>
      </c>
      <c r="E43">
        <v>13986255</v>
      </c>
      <c r="F43">
        <v>64718747</v>
      </c>
      <c r="G43" t="s">
        <v>368</v>
      </c>
    </row>
    <row r="44">
      <c r="A44" t="s">
        <v>410</v>
      </c>
      <c r="C44">
        <v>-22172219</v>
      </c>
      <c r="D44">
        <v>-20284282</v>
      </c>
      <c r="E44">
        <v>-15444382</v>
      </c>
      <c r="F44">
        <v>-66668244</v>
      </c>
      <c r="G44" t="s">
        <v>368</v>
      </c>
    </row>
    <row r="45">
      <c r="A45" t="s">
        <v>411</v>
      </c>
      <c r="E45">
        <v>-1557870</v>
      </c>
      <c r="G45" t="s">
        <v>412</v>
      </c>
    </row>
    <row r="46">
      <c r="A46" t="s">
        <v>413</v>
      </c>
      <c r="C46">
        <v>-76660</v>
      </c>
      <c r="D46">
        <v>-76500</v>
      </c>
      <c r="E46">
        <v>-1365301</v>
      </c>
      <c r="F46">
        <v>-2670</v>
      </c>
      <c r="G46" t="s">
        <v>368</v>
      </c>
    </row>
    <row r="47">
      <c r="A47" t="s">
        <v>414</v>
      </c>
      <c r="F47">
        <v>-92878</v>
      </c>
      <c r="G47" t="s">
        <v>415</v>
      </c>
    </row>
    <row r="48">
      <c r="A48" t="s">
        <v>416</v>
      </c>
      <c r="C48">
        <v>-311538</v>
      </c>
      <c r="G48" t="s">
        <v>417</v>
      </c>
    </row>
    <row r="49">
      <c r="A49" t="s">
        <v>418</v>
      </c>
      <c r="C49">
        <v>185494</v>
      </c>
      <c r="D49">
        <v>185333</v>
      </c>
      <c r="E49">
        <v>28435</v>
      </c>
      <c r="F49">
        <v>32535</v>
      </c>
      <c r="G49" t="s">
        <v>368</v>
      </c>
    </row>
    <row r="50">
      <c r="A50" t="s">
        <v>419</v>
      </c>
      <c r="C50">
        <v>-149000</v>
      </c>
      <c r="D50">
        <v>-161785</v>
      </c>
      <c r="E50">
        <v>-128862</v>
      </c>
      <c r="F50">
        <v>-119780</v>
      </c>
      <c r="G50" t="s">
        <v>368</v>
      </c>
    </row>
    <row r="51">
      <c r="A51" t="s">
        <v>420</v>
      </c>
      <c r="C51">
        <v>77634</v>
      </c>
      <c r="D51">
        <v>225601</v>
      </c>
      <c r="E51">
        <v>22332</v>
      </c>
      <c r="F51">
        <v>24746</v>
      </c>
      <c r="G51" t="s">
        <v>368</v>
      </c>
    </row>
    <row r="52">
      <c r="A52" t="s">
        <v>421</v>
      </c>
      <c r="C52">
        <v>-353849</v>
      </c>
      <c r="D52">
        <v>-947728</v>
      </c>
      <c r="E52">
        <v>-209014</v>
      </c>
      <c r="F52">
        <v>-213548</v>
      </c>
      <c r="G52" t="s">
        <v>368</v>
      </c>
    </row>
    <row r="53">
      <c r="A53" t="s">
        <v>422</v>
      </c>
      <c r="C53">
        <v>-32552</v>
      </c>
      <c r="D53">
        <v>-13752</v>
      </c>
      <c r="E53">
        <v>28250</v>
      </c>
      <c r="F53">
        <v>24389</v>
      </c>
      <c r="G53" t="s">
        <v>368</v>
      </c>
    </row>
    <row r="54">
      <c r="A54" t="s">
        <v>423</v>
      </c>
      <c r="C54">
        <v>-83572</v>
      </c>
      <c r="D54">
        <v>-55940</v>
      </c>
      <c r="E54">
        <v>-30711</v>
      </c>
      <c r="F54">
        <v>-120729</v>
      </c>
      <c r="G54" t="s">
        <v>368</v>
      </c>
    </row>
    <row r="55">
      <c r="A55" t="s">
        <v>424</v>
      </c>
      <c r="C55">
        <v>29200</v>
      </c>
      <c r="D55">
        <v>917</v>
      </c>
      <c r="F55">
        <v>723</v>
      </c>
      <c r="G55" t="s">
        <v>368</v>
      </c>
    </row>
    <row r="56">
      <c r="A56" t="s">
        <v>425</v>
      </c>
      <c r="C56">
        <v>-5636246</v>
      </c>
      <c r="D56">
        <v>-1284582</v>
      </c>
      <c r="E56">
        <v>-4670868</v>
      </c>
      <c r="F56">
        <v>-2416709</v>
      </c>
      <c r="G56" t="s">
        <v>407</v>
      </c>
    </row>
    <row r="58">
      <c r="A58" t="s">
        <v>426</v>
      </c>
    </row>
    <row r="59">
      <c r="A59" t="s">
        <v>427</v>
      </c>
      <c r="C59">
        <v>-147227</v>
      </c>
      <c r="D59">
        <v>-88474</v>
      </c>
      <c r="E59">
        <v>410453</v>
      </c>
      <c r="F59">
        <v>346853</v>
      </c>
      <c r="G59" t="s">
        <v>368</v>
      </c>
    </row>
    <row r="60">
      <c r="A60" t="s">
        <v>428</v>
      </c>
      <c r="C60">
        <v>1736041</v>
      </c>
      <c r="D60">
        <v>3617381</v>
      </c>
      <c r="E60">
        <v>4848145</v>
      </c>
      <c r="F60">
        <v>6619811</v>
      </c>
      <c r="G60" t="s">
        <v>368</v>
      </c>
    </row>
    <row r="61">
      <c r="A61" t="s">
        <v>429</v>
      </c>
      <c r="C61">
        <v>-2163430</v>
      </c>
      <c r="D61">
        <v>-1303828</v>
      </c>
      <c r="E61">
        <v>-3202889</v>
      </c>
      <c r="F61">
        <v>-7092001</v>
      </c>
      <c r="G61" t="s">
        <v>368</v>
      </c>
    </row>
    <row r="62">
      <c r="A62" t="s">
        <v>430</v>
      </c>
      <c r="C62">
        <v>-60300</v>
      </c>
      <c r="D62">
        <v>-63209</v>
      </c>
      <c r="E62">
        <v>-186076</v>
      </c>
      <c r="F62">
        <v>-27269</v>
      </c>
      <c r="G62" t="s">
        <v>368</v>
      </c>
    </row>
    <row r="63">
      <c r="A63" t="s">
        <v>431</v>
      </c>
      <c r="C63">
        <v>-427683</v>
      </c>
      <c r="D63">
        <v>-669174</v>
      </c>
      <c r="E63">
        <v>-675285</v>
      </c>
      <c r="F63">
        <v>-604761</v>
      </c>
      <c r="G63" t="s">
        <v>368</v>
      </c>
    </row>
    <row r="64">
      <c r="A64" t="s">
        <v>432</v>
      </c>
      <c r="C64">
        <v>-65795</v>
      </c>
      <c r="D64">
        <v>-167361</v>
      </c>
      <c r="E64">
        <v>-78077</v>
      </c>
      <c r="F64">
        <v>-135382</v>
      </c>
      <c r="G64" t="s">
        <v>368</v>
      </c>
    </row>
    <row r="65">
      <c r="A65" t="s">
        <v>433</v>
      </c>
      <c r="C65">
        <v>-605121</v>
      </c>
      <c r="D65">
        <v>-1438962</v>
      </c>
      <c r="E65">
        <v>-1139595</v>
      </c>
      <c r="F65">
        <v>-1010457</v>
      </c>
      <c r="G65" t="s">
        <v>368</v>
      </c>
    </row>
    <row r="66">
      <c r="A66" t="s">
        <v>434</v>
      </c>
      <c r="C66">
        <v>-1733515</v>
      </c>
      <c r="D66">
        <v>-113627</v>
      </c>
      <c r="E66">
        <v>-23324</v>
      </c>
      <c r="F66">
        <v>-1903206</v>
      </c>
      <c r="G66" t="s">
        <v>407</v>
      </c>
    </row>
    <row r="68">
      <c r="A68" t="s">
        <v>435</v>
      </c>
      <c r="C68">
        <v>1266550</v>
      </c>
      <c r="D68">
        <v>-239393</v>
      </c>
      <c r="E68">
        <v>197577</v>
      </c>
      <c r="F68">
        <v>-254770</v>
      </c>
      <c r="G68" t="s">
        <v>374</v>
      </c>
    </row>
    <row r="69">
      <c r="A69" t="s">
        <v>436</v>
      </c>
      <c r="C69">
        <v>20494</v>
      </c>
      <c r="D69">
        <v>-24999</v>
      </c>
      <c r="E69">
        <v>31333</v>
      </c>
      <c r="F69">
        <v>-34050</v>
      </c>
      <c r="G69" t="s">
        <v>368</v>
      </c>
    </row>
    <row r="70">
      <c r="A70" t="s">
        <v>437</v>
      </c>
      <c r="E70">
        <v>-559185</v>
      </c>
      <c r="G70" t="s">
        <v>412</v>
      </c>
    </row>
    <row r="71">
      <c r="A71" t="s">
        <v>438</v>
      </c>
      <c r="C71">
        <v>1287044</v>
      </c>
      <c r="D71">
        <v>-264392</v>
      </c>
      <c r="E71">
        <v>-330275</v>
      </c>
      <c r="F71">
        <v>-288820</v>
      </c>
      <c r="G71" t="s">
        <v>439</v>
      </c>
    </row>
    <row r="72">
      <c r="A72" t="s">
        <v>440</v>
      </c>
      <c r="C72">
        <v>2282924</v>
      </c>
      <c r="D72">
        <v>3569969</v>
      </c>
      <c r="E72">
        <v>3305577</v>
      </c>
      <c r="F72">
        <v>2975302</v>
      </c>
      <c r="G72" t="s">
        <v>368</v>
      </c>
    </row>
    <row r="73">
      <c r="A73" t="s">
        <v>441</v>
      </c>
      <c r="C73">
        <v>3569969</v>
      </c>
      <c r="D73">
        <v>3305577</v>
      </c>
      <c r="E73">
        <v>2975302</v>
      </c>
      <c r="F73">
        <v>2686482</v>
      </c>
      <c r="G73" t="s">
        <v>407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ColWidth="8.375" defaultRowHeight="15"/>
  <sheetData>
    <row r="1">
      <c r="A1" t="s">
        <v>442</v>
      </c>
    </row>
    <row r="2">
      <c r="A2" t="s">
        <v>443</v>
      </c>
      <c r="B2" t="str">
        <f>IF(COUNTIF(H5:H38,"FAIL")=0,"OK — ALL TIE-OUTS PASS","FAIL")</f>
        <v>OK — ALL TIE-OUTS PASS</v>
      </c>
    </row>
    <row r="4">
      <c r="A4" t="s">
        <v>132</v>
      </c>
      <c r="B4" t="s">
        <v>187</v>
      </c>
      <c r="C4" t="s">
        <v>188</v>
      </c>
      <c r="D4" t="s">
        <v>189</v>
      </c>
      <c r="E4" t="s">
        <v>190</v>
      </c>
      <c r="F4" t="s">
        <v>191</v>
      </c>
      <c r="H4" t="s">
        <v>32</v>
      </c>
    </row>
    <row r="5">
      <c r="A5" t="s">
        <v>444</v>
      </c>
      <c r="C5">
        <f>N(IS_Hist!C6)+N(IS_Hist!C7)-IS_Hist!C8</f>
        <v>0</v>
      </c>
      <c r="D5">
        <f>N(IS_Hist!D6)+N(IS_Hist!D7)-IS_Hist!D8</f>
        <v>0</v>
      </c>
      <c r="E5">
        <f>N(IS_Hist!E6)+N(IS_Hist!E7)-IS_Hist!E8</f>
        <v>0</v>
      </c>
      <c r="F5">
        <f>N(IS_Hist!F6)+N(IS_Hist!F7)-IS_Hist!F8</f>
        <v>0</v>
      </c>
      <c r="H5" t="str">
        <f>IF(AND(ABS(N(C5))&lt;=1000,ABS(N(D5))&lt;=1000,ABS(N(E5))&lt;=1000,ABS(N(F5))&lt;=1000),"PASS","FAIL")</f>
        <v>PASS</v>
      </c>
    </row>
    <row r="6">
      <c r="A6" t="s">
        <v>445</v>
      </c>
      <c r="C6">
        <f>IS_Hist!C8+IS_Hist!C9-IS_Hist!C10</f>
        <v>0</v>
      </c>
      <c r="D6">
        <f>IS_Hist!D8+IS_Hist!D9-IS_Hist!D10</f>
        <v>0</v>
      </c>
      <c r="E6">
        <f>IS_Hist!E8+IS_Hist!E9-IS_Hist!E10</f>
        <v>0</v>
      </c>
      <c r="F6">
        <f>IS_Hist!F8+IS_Hist!F9-IS_Hist!F10</f>
        <v>0</v>
      </c>
      <c r="H6" t="str">
        <f>IF(AND(ABS(N(C6))&lt;=1000,ABS(N(D6))&lt;=1000,ABS(N(E6))&lt;=1000,ABS(N(F6))&lt;=1000),"PASS","FAIL")</f>
        <v>PASS</v>
      </c>
    </row>
    <row r="7">
      <c r="A7" t="s">
        <v>446</v>
      </c>
      <c r="C7">
        <f>IS_Hist!C10+IS_Hist!C11-IS_Hist!C12</f>
        <v>0</v>
      </c>
      <c r="D7">
        <f>IS_Hist!D10+IS_Hist!D11-IS_Hist!D12</f>
        <v>0</v>
      </c>
      <c r="E7">
        <f>IS_Hist!E10+IS_Hist!E11-IS_Hist!E12</f>
        <v>0</v>
      </c>
      <c r="F7">
        <f>IS_Hist!F10+IS_Hist!F11-IS_Hist!F12</f>
        <v>0</v>
      </c>
      <c r="H7" t="str">
        <f>IF(AND(ABS(N(C7))&lt;=1000,ABS(N(D7))&lt;=1000,ABS(N(E7))&lt;=1000,ABS(N(F7))&lt;=1000),"PASS","FAIL")</f>
        <v>PASS</v>
      </c>
    </row>
    <row r="8">
      <c r="A8" t="s">
        <v>447</v>
      </c>
      <c r="C8">
        <f>IS_Hist!C12+IS_Hist!C13+IS_Hist!C14+IS_Hist!C15+IS_Hist!C16+IS_Hist!C17+N(IS_Hist!C18)+N(IS_Hist!C19)+N(IS_Hist!C20)+IS_Hist!C21-IS_Hist!C22</f>
        <v>0</v>
      </c>
      <c r="D8">
        <f>IS_Hist!D12+IS_Hist!D13+IS_Hist!D14+IS_Hist!D15+IS_Hist!D16+IS_Hist!D17+N(IS_Hist!D18)+N(IS_Hist!D19)+N(IS_Hist!D20)+IS_Hist!D21-IS_Hist!D22</f>
        <v>0</v>
      </c>
      <c r="E8">
        <f>IS_Hist!E12+IS_Hist!E13+IS_Hist!E14+IS_Hist!E15+IS_Hist!E16+IS_Hist!E17+N(IS_Hist!E18)+N(IS_Hist!E19)+N(IS_Hist!E20)+IS_Hist!E21-IS_Hist!E22</f>
        <v>0</v>
      </c>
      <c r="F8">
        <f>IS_Hist!F12+IS_Hist!F13+IS_Hist!F14+IS_Hist!F15+IS_Hist!F16+IS_Hist!F17+N(IS_Hist!F18)+N(IS_Hist!F19)+N(IS_Hist!F20)+IS_Hist!F21-IS_Hist!F22</f>
        <v>0</v>
      </c>
      <c r="H8" t="str">
        <f>IF(AND(ABS(N(C8))&lt;=1000,ABS(N(D8))&lt;=1000,ABS(N(E8))&lt;=1000,ABS(N(F8))&lt;=1000),"PASS","FAIL")</f>
        <v>PASS</v>
      </c>
    </row>
    <row r="9">
      <c r="A9" t="s">
        <v>448</v>
      </c>
      <c r="C9">
        <f>IS_Hist!C25+N(IS_Hist!C26)-IS_Hist!C27</f>
        <v>0</v>
      </c>
      <c r="D9">
        <f>IS_Hist!D25+N(IS_Hist!D26)-IS_Hist!D27</f>
        <v>0</v>
      </c>
      <c r="E9">
        <f>IS_Hist!E25+N(IS_Hist!E26)-IS_Hist!E27</f>
        <v>0</v>
      </c>
      <c r="F9">
        <f>IS_Hist!F25+N(IS_Hist!F26)-IS_Hist!F27</f>
        <v>0</v>
      </c>
      <c r="H9" t="str">
        <f>IF(AND(ABS(N(C9))&lt;=1000,ABS(N(D9))&lt;=1000,ABS(N(E9))&lt;=1000,ABS(N(F9))&lt;=1000),"PASS","FAIL")</f>
        <v>PASS</v>
      </c>
    </row>
    <row r="10">
      <c r="A10" t="s">
        <v>449</v>
      </c>
      <c r="C10">
        <f>IS_Hist!C27+IS_Hist!C28-IS_Hist!C29</f>
        <v>0</v>
      </c>
      <c r="D10">
        <f>IS_Hist!D27+IS_Hist!D28-IS_Hist!D29</f>
        <v>0</v>
      </c>
      <c r="E10">
        <f>IS_Hist!E27+IS_Hist!E28-IS_Hist!E29</f>
        <v>0</v>
      </c>
      <c r="F10">
        <f>IS_Hist!F27+IS_Hist!F28-IS_Hist!F29</f>
        <v>0</v>
      </c>
      <c r="H10" t="str">
        <f>IF(AND(ABS(N(C10))&lt;=1000,ABS(N(D10))&lt;=1000,ABS(N(E10))&lt;=1000,ABS(N(F10))&lt;=1000),"PASS","FAIL")</f>
        <v>PASS</v>
      </c>
    </row>
    <row r="11">
      <c r="A11" t="s">
        <v>450</v>
      </c>
      <c r="C11">
        <f>IS_Hist!C29+IS_Hist!C30+IS_Hist!C31+IS_Hist!C32+IS_Hist!C33+IS_Hist!C34+IS_Hist!C35+IS_Hist!C36+IS_Hist!C37-IS_Hist!C38</f>
        <v>0</v>
      </c>
      <c r="D11">
        <f>IS_Hist!D29+IS_Hist!D30+IS_Hist!D31+IS_Hist!D32+IS_Hist!D33+IS_Hist!D34+IS_Hist!D35+IS_Hist!D36+IS_Hist!D37-IS_Hist!D38</f>
        <v>10</v>
      </c>
      <c r="E11">
        <f>IS_Hist!E29+IS_Hist!E30+IS_Hist!E31+IS_Hist!E32+IS_Hist!E33+IS_Hist!E34+IS_Hist!E35+IS_Hist!E36+IS_Hist!E37-IS_Hist!E38</f>
        <v>0</v>
      </c>
      <c r="F11">
        <f>IS_Hist!F29+IS_Hist!F30+IS_Hist!F31+IS_Hist!F32+IS_Hist!F33+IS_Hist!F34+IS_Hist!F35+IS_Hist!F36+IS_Hist!F37-IS_Hist!F38</f>
        <v>0</v>
      </c>
      <c r="H11" t="str">
        <f>IF(AND(ABS(N(C11))&lt;=1000,ABS(N(D11))&lt;=1000,ABS(N(E11))&lt;=1000,ABS(N(F11))&lt;=1000),"PASS","FAIL")</f>
        <v>PASS</v>
      </c>
    </row>
    <row r="12">
      <c r="A12" t="s">
        <v>451</v>
      </c>
      <c r="C12">
        <f>IS_Hist!C22+IS_Hist!C38-IS_Hist!C39</f>
        <v>0</v>
      </c>
      <c r="D12">
        <f>IS_Hist!D22+IS_Hist!D38-IS_Hist!D39</f>
        <v>0</v>
      </c>
      <c r="E12">
        <f>IS_Hist!E22+IS_Hist!E38-IS_Hist!E39</f>
        <v>0</v>
      </c>
      <c r="F12">
        <f>IS_Hist!F22+IS_Hist!F38-IS_Hist!F39</f>
        <v>0</v>
      </c>
      <c r="H12" t="str">
        <f>IF(AND(ABS(N(C12))&lt;=1000,ABS(N(D12))&lt;=1000,ABS(N(E12))&lt;=1000,ABS(N(F12))&lt;=1000),"PASS","FAIL")</f>
        <v>PASS</v>
      </c>
    </row>
    <row r="13">
      <c r="A13" t="s">
        <v>452</v>
      </c>
      <c r="C13">
        <f>IS_Hist!C41+IS_Hist!C42+IS_Hist!C43+N(IS_Hist!C44)-IS_Hist!C45</f>
        <v>0</v>
      </c>
      <c r="D13">
        <f>IS_Hist!D41+IS_Hist!D42+IS_Hist!D43+N(IS_Hist!D44)-IS_Hist!D45</f>
        <v>0</v>
      </c>
      <c r="E13">
        <f>IS_Hist!E41+IS_Hist!E42+IS_Hist!E43+N(IS_Hist!E44)-IS_Hist!E45</f>
        <v>0</v>
      </c>
      <c r="F13">
        <f>IS_Hist!F41+IS_Hist!F42+IS_Hist!F43+N(IS_Hist!F44)-IS_Hist!F45</f>
        <v>0</v>
      </c>
      <c r="H13" t="str">
        <f>IF(AND(ABS(N(C13))&lt;=1000,ABS(N(D13))&lt;=1000,ABS(N(E13))&lt;=1000,ABS(N(F13))&lt;=1000),"PASS","FAIL")</f>
        <v>PASS</v>
      </c>
    </row>
    <row r="14">
      <c r="A14" t="s">
        <v>453</v>
      </c>
      <c r="C14">
        <f>IS_Hist!C39+IS_Hist!C45-IS_Hist!C46</f>
        <v>0</v>
      </c>
      <c r="D14">
        <f>IS_Hist!D39+IS_Hist!D45-IS_Hist!D46</f>
        <v>0</v>
      </c>
      <c r="E14">
        <f>IS_Hist!E39+IS_Hist!E45-IS_Hist!E46</f>
        <v>0</v>
      </c>
      <c r="F14">
        <f>IS_Hist!F39+IS_Hist!F45-IS_Hist!F46</f>
        <v>0</v>
      </c>
      <c r="H14" t="str">
        <f>IF(AND(ABS(N(C14))&lt;=1000,ABS(N(D14))&lt;=1000,ABS(N(E14))&lt;=1000,ABS(N(F14))&lt;=1000),"PASS","FAIL")</f>
        <v>PASS</v>
      </c>
    </row>
    <row r="15">
      <c r="A15" t="s">
        <v>454</v>
      </c>
      <c r="C15">
        <f>IS_Hist!C46+IS_Hist!C47-IS_Hist!C48</f>
        <v>0</v>
      </c>
      <c r="D15">
        <f>IS_Hist!D46+IS_Hist!D47-IS_Hist!D48</f>
        <v>0</v>
      </c>
      <c r="E15">
        <f>IS_Hist!E46+IS_Hist!E47-IS_Hist!E48</f>
        <v>0</v>
      </c>
      <c r="F15">
        <f>IS_Hist!F46+IS_Hist!F47-IS_Hist!F48</f>
        <v>0</v>
      </c>
      <c r="H15" t="str">
        <f>IF(AND(ABS(N(C15))&lt;=1000,ABS(N(D15))&lt;=1000,ABS(N(E15))&lt;=1000,ABS(N(F15))&lt;=1000),"PASS","FAIL")</f>
        <v>PASS</v>
      </c>
    </row>
    <row r="16">
      <c r="A16" t="s">
        <v>455</v>
      </c>
      <c r="C16">
        <f>IS_Hist!C48+IS_Hist!C49+N(IS_Hist!C50)-IS_Hist!C51</f>
        <v>0</v>
      </c>
      <c r="D16">
        <f>IS_Hist!D48+IS_Hist!D49+N(IS_Hist!D50)-IS_Hist!D51</f>
        <v>0</v>
      </c>
      <c r="E16">
        <f>IS_Hist!E48+IS_Hist!E49+N(IS_Hist!E50)-IS_Hist!E51</f>
        <v>0</v>
      </c>
      <c r="F16">
        <f>IS_Hist!F48+IS_Hist!F49+N(IS_Hist!F50)-IS_Hist!F51</f>
        <v>0</v>
      </c>
      <c r="H16" t="str">
        <f>IF(AND(ABS(N(C16))&lt;=1000,ABS(N(D16))&lt;=1000,ABS(N(E16))&lt;=1000,ABS(N(F16))&lt;=1000),"PASS","FAIL")</f>
        <v>PASS</v>
      </c>
    </row>
    <row r="17">
      <c r="A17" t="s">
        <v>456</v>
      </c>
      <c r="C17">
        <f>IS_Hist!C52+IS_Hist!C53-IS_Hist!C51</f>
        <v>0</v>
      </c>
      <c r="D17">
        <f>IS_Hist!D52+IS_Hist!D53-IS_Hist!D51</f>
        <v>0</v>
      </c>
      <c r="E17">
        <f>IS_Hist!E52+IS_Hist!E53-IS_Hist!E51</f>
        <v>0</v>
      </c>
      <c r="F17">
        <f>IS_Hist!F52+IS_Hist!F53-IS_Hist!F51</f>
        <v>0</v>
      </c>
      <c r="H17" t="str">
        <f>IF(AND(ABS(N(C17))&lt;=1000,ABS(N(D17))&lt;=1000,ABS(N(E17))&lt;=1000,ABS(N(F17))&lt;=1000),"PASS","FAIL")</f>
        <v>PASS</v>
      </c>
    </row>
    <row r="18">
      <c r="A18" t="s">
        <v>457</v>
      </c>
      <c r="C18">
        <f>CI_Hist!C7+CI_Hist!C8+CI_Hist!C9+N(CI_Hist!C10)-CI_Hist!C11</f>
        <v>0</v>
      </c>
      <c r="D18">
        <f>CI_Hist!D7+CI_Hist!D8+CI_Hist!D9+N(CI_Hist!D10)-CI_Hist!D11</f>
        <v>0</v>
      </c>
      <c r="E18">
        <f>CI_Hist!E7+CI_Hist!E8+CI_Hist!E9+N(CI_Hist!E10)-CI_Hist!E11</f>
        <v>0</v>
      </c>
      <c r="F18">
        <f>CI_Hist!F7+CI_Hist!F8+CI_Hist!F9+N(CI_Hist!F10)-CI_Hist!F11</f>
        <v>0</v>
      </c>
      <c r="H18" t="str">
        <f>IF(AND(ABS(N(C18))&lt;=1000,ABS(N(D18))&lt;=1000,ABS(N(E18))&lt;=1000,ABS(N(F18))&lt;=1000),"PASS","FAIL")</f>
        <v>PASS</v>
      </c>
    </row>
    <row r="19">
      <c r="A19" t="s">
        <v>458</v>
      </c>
      <c r="C19">
        <f>CI_Hist!C13+CI_Hist!C14+CI_Hist!C15+CI_Hist!C16-CI_Hist!C17</f>
        <v>0</v>
      </c>
      <c r="D19">
        <f>CI_Hist!D13+CI_Hist!D14+CI_Hist!D15+CI_Hist!D16-CI_Hist!D17</f>
        <v>0</v>
      </c>
      <c r="E19">
        <f>CI_Hist!E13+CI_Hist!E14+CI_Hist!E15+CI_Hist!E16-CI_Hist!E17</f>
        <v>0</v>
      </c>
      <c r="F19">
        <f>CI_Hist!F13+CI_Hist!F14+CI_Hist!F15+CI_Hist!F16-CI_Hist!F17</f>
        <v>0</v>
      </c>
      <c r="H19" t="str">
        <f>IF(AND(ABS(N(C19))&lt;=1000,ABS(N(D19))&lt;=1000,ABS(N(E19))&lt;=1000,ABS(N(F19))&lt;=1000),"PASS","FAIL")</f>
        <v>PASS</v>
      </c>
    </row>
    <row r="20">
      <c r="A20" t="s">
        <v>459</v>
      </c>
      <c r="C20">
        <f>CI_Hist!C11+CI_Hist!C17-CI_Hist!C18</f>
        <v>0</v>
      </c>
      <c r="D20">
        <f>CI_Hist!D11+CI_Hist!D17-CI_Hist!D18</f>
        <v>0</v>
      </c>
      <c r="E20">
        <f>CI_Hist!E11+CI_Hist!E17-CI_Hist!E18</f>
        <v>0</v>
      </c>
      <c r="F20">
        <f>CI_Hist!F11+CI_Hist!F17-CI_Hist!F18</f>
        <v>0</v>
      </c>
      <c r="H20" t="str">
        <f>IF(AND(ABS(N(C20))&lt;=1000,ABS(N(D20))&lt;=1000,ABS(N(E20))&lt;=1000,ABS(N(F20))&lt;=1000),"PASS","FAIL")</f>
        <v>PASS</v>
      </c>
    </row>
    <row r="21">
      <c r="A21" t="s">
        <v>460</v>
      </c>
      <c r="C21">
        <f>CI_Hist!C5+CI_Hist!C18-CI_Hist!C19</f>
        <v>0</v>
      </c>
      <c r="D21">
        <f>CI_Hist!D5+CI_Hist!D18-CI_Hist!D19</f>
        <v>0</v>
      </c>
      <c r="E21">
        <f>CI_Hist!E5+CI_Hist!E18-CI_Hist!E19</f>
        <v>0</v>
      </c>
      <c r="F21">
        <f>CI_Hist!F5+CI_Hist!F18-CI_Hist!F19</f>
        <v>0</v>
      </c>
      <c r="H21" t="str">
        <f>IF(AND(ABS(N(C21))&lt;=1000,ABS(N(D21))&lt;=1000,ABS(N(E21))&lt;=1000,ABS(N(F21))&lt;=1000),"PASS","FAIL")</f>
        <v>PASS</v>
      </c>
    </row>
    <row r="22">
      <c r="A22" t="s">
        <v>461</v>
      </c>
      <c r="C22">
        <f>CI_Hist!C20+CI_Hist!C21-CI_Hist!C19</f>
        <v>0</v>
      </c>
      <c r="D22">
        <f>CI_Hist!D20+CI_Hist!D21-CI_Hist!D19</f>
        <v>0</v>
      </c>
      <c r="E22">
        <f>CI_Hist!E20+CI_Hist!E21-CI_Hist!E19</f>
        <v>0</v>
      </c>
      <c r="F22">
        <f>CI_Hist!F20+CI_Hist!F21-CI_Hist!F19</f>
        <v>0</v>
      </c>
      <c r="H22" t="str">
        <f>IF(AND(ABS(N(C22))&lt;=1000,ABS(N(D22))&lt;=1000,ABS(N(E22))&lt;=1000,ABS(N(F22))&lt;=1000),"PASS","FAIL")</f>
        <v>PASS</v>
      </c>
    </row>
    <row r="23">
      <c r="A23" t="s">
        <v>462</v>
      </c>
      <c r="C23">
        <f>SUM(BS_Hist!C6:C22)-BS_Hist!C23</f>
        <v>0</v>
      </c>
      <c r="D23">
        <f>SUM(BS_Hist!D6:D22)-BS_Hist!D23</f>
        <v>39</v>
      </c>
      <c r="E23">
        <f>SUM(BS_Hist!E6:E22)-BS_Hist!E23</f>
        <v>0</v>
      </c>
      <c r="F23">
        <f>SUM(BS_Hist!F6:F22)-BS_Hist!F23</f>
        <v>0</v>
      </c>
      <c r="H23" t="str">
        <f>IF(AND(ABS(N(C23))&lt;=1000,ABS(N(D23))&lt;=1000,ABS(N(E23))&lt;=1000,ABS(N(F23))&lt;=1000),"PASS","FAIL")</f>
        <v>PASS</v>
      </c>
    </row>
    <row r="24">
      <c r="A24" t="s">
        <v>463</v>
      </c>
      <c r="C24">
        <f>SUM(BS_Hist!C26:C41)-BS_Hist!C42</f>
        <v>-10</v>
      </c>
      <c r="D24">
        <f>SUM(BS_Hist!D26:D41)-BS_Hist!D42</f>
        <v>-400</v>
      </c>
      <c r="E24">
        <f>SUM(BS_Hist!E26:E41)-BS_Hist!E42</f>
        <v>0</v>
      </c>
      <c r="F24">
        <f>SUM(BS_Hist!F26:F41)-BS_Hist!F42</f>
        <v>0</v>
      </c>
      <c r="H24" t="str">
        <f>IF(AND(ABS(N(C24))&lt;=1000,ABS(N(D24))&lt;=1000,ABS(N(E24))&lt;=1000,ABS(N(F24))&lt;=1000),"PASS","FAIL")</f>
        <v>PASS</v>
      </c>
    </row>
    <row r="25">
      <c r="A25" t="s">
        <v>464</v>
      </c>
      <c r="C25">
        <f>BS_Hist!C45+BS_Hist!C46+N(BS_Hist!C47)+BS_Hist!C48+BS_Hist!C49+BS_Hist!C50+BS_Hist!C51+BS_Hist!C52-BS_Hist!C53</f>
        <v>0</v>
      </c>
      <c r="D25">
        <f>BS_Hist!D45+BS_Hist!D46+N(BS_Hist!D47)+BS_Hist!D48+BS_Hist!D49+BS_Hist!D50+BS_Hist!D51+BS_Hist!D52-BS_Hist!D53</f>
        <v>0</v>
      </c>
      <c r="E25">
        <f>BS_Hist!E45+BS_Hist!E46+N(BS_Hist!E47)+BS_Hist!E48+BS_Hist!E49+BS_Hist!E50+BS_Hist!E51+BS_Hist!E52-BS_Hist!E53</f>
        <v>0</v>
      </c>
      <c r="F25">
        <f>BS_Hist!F45+BS_Hist!F46+N(BS_Hist!F47)+BS_Hist!F48+BS_Hist!F49+BS_Hist!F50+BS_Hist!F51+BS_Hist!F52-BS_Hist!F53</f>
        <v>0</v>
      </c>
      <c r="H25" t="str">
        <f>IF(AND(ABS(N(C25))&lt;=1000,ABS(N(D25))&lt;=1000,ABS(N(E25))&lt;=1000,ABS(N(F25))&lt;=1000),"PASS","FAIL")</f>
        <v>PASS</v>
      </c>
    </row>
    <row r="26">
      <c r="A26" t="s">
        <v>465</v>
      </c>
      <c r="C26">
        <f>BS_Hist!C53+BS_Hist!C54-BS_Hist!C55</f>
        <v>0</v>
      </c>
      <c r="D26">
        <f>BS_Hist!D53+BS_Hist!D54-BS_Hist!D55</f>
        <v>0</v>
      </c>
      <c r="E26">
        <f>BS_Hist!E53+BS_Hist!E54-BS_Hist!E55</f>
        <v>0</v>
      </c>
      <c r="F26">
        <f>BS_Hist!F53+BS_Hist!F54-BS_Hist!F55</f>
        <v>0</v>
      </c>
      <c r="H26" t="str">
        <f>IF(AND(ABS(N(C26))&lt;=1000,ABS(N(D26))&lt;=1000,ABS(N(E26))&lt;=1000,ABS(N(F26))&lt;=1000),"PASS","FAIL")</f>
        <v>PASS</v>
      </c>
    </row>
    <row r="27">
      <c r="A27" t="s">
        <v>466</v>
      </c>
      <c r="C27">
        <f>BS_Hist!C42+BS_Hist!C55-BS_Hist!C56</f>
        <v>0</v>
      </c>
      <c r="D27">
        <f>BS_Hist!D42+BS_Hist!D55-BS_Hist!D56</f>
        <v>0</v>
      </c>
      <c r="E27">
        <f>BS_Hist!E42+BS_Hist!E55-BS_Hist!E56</f>
        <v>0</v>
      </c>
      <c r="F27">
        <f>BS_Hist!F42+BS_Hist!F55-BS_Hist!F56</f>
        <v>0</v>
      </c>
      <c r="H27" t="str">
        <f>IF(AND(ABS(N(C27))&lt;=1000,ABS(N(D27))&lt;=1000,ABS(N(E27))&lt;=1000,ABS(N(F27))&lt;=1000),"PASS","FAIL")</f>
        <v>PASS</v>
      </c>
    </row>
    <row r="28">
      <c r="A28" t="s">
        <v>467</v>
      </c>
      <c r="C28">
        <f>BS_Hist!C23-BS_Hist!C56</f>
        <v>0</v>
      </c>
      <c r="D28">
        <f>BS_Hist!D23-BS_Hist!D56</f>
        <v>0</v>
      </c>
      <c r="E28">
        <f>BS_Hist!E23-BS_Hist!E56</f>
        <v>0</v>
      </c>
      <c r="F28">
        <f>BS_Hist!F23-BS_Hist!F56</f>
        <v>0</v>
      </c>
      <c r="H28" t="str">
        <f>IF(AND(ABS(N(C28))&lt;=1000,ABS(N(D28))&lt;=1000,ABS(N(E28))&lt;=1000,ABS(N(F28))&lt;=1000),"PASS","FAIL")</f>
        <v>PASS</v>
      </c>
    </row>
    <row r="29">
      <c r="A29" t="s">
        <v>468</v>
      </c>
      <c r="C29">
        <f>SUM(CF_Hist!C6:C39)-N(CF_Hist!C11)-CF_Hist!C40</f>
        <v>0</v>
      </c>
      <c r="D29">
        <f>SUM(CF_Hist!D6:D39)-N(CF_Hist!D11)-CF_Hist!D40</f>
        <v>0</v>
      </c>
      <c r="E29">
        <f>SUM(CF_Hist!E6:E39)-N(CF_Hist!E11)-CF_Hist!E40</f>
        <v>0</v>
      </c>
      <c r="F29">
        <f>SUM(CF_Hist!F6:F39)-N(CF_Hist!F11)-CF_Hist!F40</f>
        <v>0</v>
      </c>
      <c r="H29" t="str">
        <f>IF(AND(ABS(N(C29))&lt;=1000,ABS(N(D29))&lt;=1000,ABS(N(E29))&lt;=1000,ABS(N(F29))&lt;=1000),"PASS","FAIL")</f>
        <v>PASS</v>
      </c>
    </row>
    <row r="30">
      <c r="A30" t="s">
        <v>469</v>
      </c>
      <c r="C30">
        <f>SUM(CF_Hist!C43:C55)-CF_Hist!C56</f>
        <v>0</v>
      </c>
      <c r="D30">
        <f>SUM(CF_Hist!D43:D55)-CF_Hist!D56</f>
        <v>0</v>
      </c>
      <c r="E30">
        <f>SUM(CF_Hist!E43:E55)-CF_Hist!E56</f>
        <v>0</v>
      </c>
      <c r="F30">
        <f>SUM(CF_Hist!F43:F55)-CF_Hist!F56</f>
        <v>0</v>
      </c>
      <c r="H30" t="str">
        <f>IF(AND(ABS(N(C30))&lt;=1000,ABS(N(D30))&lt;=1000,ABS(N(E30))&lt;=1000,ABS(N(F30))&lt;=1000),"PASS","FAIL")</f>
        <v>PASS</v>
      </c>
    </row>
    <row r="31">
      <c r="A31" t="s">
        <v>470</v>
      </c>
      <c r="C31">
        <f>SUM(CF_Hist!C59:C65)-CF_Hist!C66</f>
        <v>0</v>
      </c>
      <c r="D31">
        <f>SUM(CF_Hist!D59:D65)-CF_Hist!D66</f>
        <v>0</v>
      </c>
      <c r="E31">
        <f>SUM(CF_Hist!E59:E65)-CF_Hist!E66</f>
        <v>0</v>
      </c>
      <c r="F31">
        <f>SUM(CF_Hist!F59:F65)-CF_Hist!F66</f>
        <v>0</v>
      </c>
      <c r="H31" t="str">
        <f>IF(AND(ABS(N(C31))&lt;=1000,ABS(N(D31))&lt;=1000,ABS(N(E31))&lt;=1000,ABS(N(F31))&lt;=1000),"PASS","FAIL")</f>
        <v>PASS</v>
      </c>
    </row>
    <row r="32">
      <c r="A32" t="s">
        <v>471</v>
      </c>
      <c r="C32">
        <f>CF_Hist!C40+CF_Hist!C56+CF_Hist!C66+CF_Hist!C69+N(CF_Hist!C70)-CF_Hist!C71</f>
        <v>0</v>
      </c>
      <c r="D32">
        <f>CF_Hist!D40+CF_Hist!D56+CF_Hist!D66+CF_Hist!D69+N(CF_Hist!D70)-CF_Hist!D71</f>
        <v>0</v>
      </c>
      <c r="E32">
        <f>CF_Hist!E40+CF_Hist!E56+CF_Hist!E66+CF_Hist!E69+N(CF_Hist!E70)-CF_Hist!E71</f>
        <v>0</v>
      </c>
      <c r="F32">
        <f>CF_Hist!F40+CF_Hist!F56+CF_Hist!F66+CF_Hist!F69+N(CF_Hist!F70)-CF_Hist!F71</f>
        <v>0</v>
      </c>
      <c r="H32" t="str">
        <f>IF(AND(ABS(N(C32))&lt;=1000,ABS(N(D32))&lt;=1000,ABS(N(E32))&lt;=1000,ABS(N(F32))&lt;=1000),"PASS","FAIL")</f>
        <v>PASS</v>
      </c>
    </row>
    <row r="33">
      <c r="A33" t="s">
        <v>472</v>
      </c>
      <c r="C33">
        <f>CF_Hist!C72+CF_Hist!C71-CF_Hist!C73</f>
        <v>-1</v>
      </c>
      <c r="D33">
        <f>CF_Hist!D72+CF_Hist!D71-CF_Hist!D73</f>
        <v>0</v>
      </c>
      <c r="E33">
        <f>CF_Hist!E72+CF_Hist!E71-CF_Hist!E73</f>
        <v>0</v>
      </c>
      <c r="F33">
        <f>CF_Hist!F72+CF_Hist!F71-CF_Hist!F73</f>
        <v>0</v>
      </c>
      <c r="H33" t="str">
        <f>IF(AND(ABS(N(C33))&lt;=1000,ABS(N(D33))&lt;=1000,ABS(N(E33))&lt;=1000,ABS(N(F33))&lt;=1000),"PASS","FAIL")</f>
        <v>PASS</v>
      </c>
    </row>
    <row r="34">
      <c r="A34" t="s">
        <v>473</v>
      </c>
      <c r="C34">
        <f>CF_Hist!C73-BS_Hist!C6</f>
        <v>0</v>
      </c>
      <c r="D34">
        <f>CF_Hist!D73-BS_Hist!D6</f>
        <v>0</v>
      </c>
      <c r="E34">
        <f>CF_Hist!E73-BS_Hist!E6</f>
        <v>0</v>
      </c>
      <c r="F34">
        <f>CF_Hist!F73-BS_Hist!F6</f>
        <v>0</v>
      </c>
      <c r="H34" t="str">
        <f>IF(AND(ABS(N(C34))&lt;=1000,ABS(N(D34))&lt;=1000,ABS(N(E34))&lt;=1000,ABS(N(F34))&lt;=1000),"PASS","FAIL")</f>
        <v>PASS</v>
      </c>
    </row>
    <row r="35">
      <c r="A35" t="s">
        <v>474</v>
      </c>
      <c r="C35">
        <f>0</f>
        <v>0</v>
      </c>
      <c r="D35">
        <f>0</f>
        <v>0</v>
      </c>
      <c r="E35">
        <f>CF_Hist!E7-IS_Hist!E51</f>
        <v>0</v>
      </c>
      <c r="F35">
        <f>CF_Hist!F7-IS_Hist!F51</f>
        <v>0</v>
      </c>
      <c r="H35" t="str">
        <f>IF(AND(ABS(N(C35))&lt;=1000,ABS(N(D35))&lt;=1000,ABS(N(E35))&lt;=1000,ABS(N(F35))&lt;=1000),"PASS","FAIL")</f>
        <v>PASS</v>
      </c>
    </row>
    <row r="36">
      <c r="A36" t="s">
        <v>475</v>
      </c>
      <c r="C36">
        <f>CI_Hist!C5-IS_Hist!C51</f>
        <v>0</v>
      </c>
      <c r="D36">
        <f>CI_Hist!D5-IS_Hist!D51</f>
        <v>0</v>
      </c>
      <c r="E36">
        <f>CI_Hist!E5-IS_Hist!E51</f>
        <v>0</v>
      </c>
      <c r="F36">
        <f>CI_Hist!F5-IS_Hist!F51</f>
        <v>0</v>
      </c>
      <c r="H36" t="str">
        <f>IF(AND(ABS(N(C36))&lt;=1000,ABS(N(D36))&lt;=1000,ABS(N(E36))&lt;=1000,ABS(N(F36))&lt;=1000),"PASS","FAIL")</f>
        <v>PASS</v>
      </c>
    </row>
    <row r="37">
      <c r="A37" t="s">
        <v>476</v>
      </c>
      <c r="C37">
        <f>BS_Hist!C50-IS_Hist!C52</f>
        <v>0</v>
      </c>
      <c r="D37">
        <f>BS_Hist!D50-IS_Hist!D52</f>
        <v>0</v>
      </c>
      <c r="E37">
        <f>BS_Hist!E50-IS_Hist!E52</f>
        <v>0</v>
      </c>
      <c r="F37">
        <f>BS_Hist!F50-IS_Hist!F52</f>
        <v>0</v>
      </c>
      <c r="H37" t="str">
        <f>IF(AND(ABS(N(C37))&lt;=1000,ABS(N(D37))&lt;=1000,ABS(N(E37))&lt;=1000,ABS(N(F37))&lt;=1000),"PASS","FAIL")</f>
        <v>PASS</v>
      </c>
    </row>
    <row r="38">
      <c r="A38" t="s">
        <v>477</v>
      </c>
      <c r="D38">
        <f>CF_Hist!D72-CF_Hist!C73</f>
        <v>0</v>
      </c>
      <c r="E38">
        <f>CF_Hist!E72-CF_Hist!D73</f>
        <v>0</v>
      </c>
      <c r="F38">
        <f>CF_Hist!F72-CF_Hist!E73</f>
        <v>0</v>
      </c>
      <c r="H38" t="str">
        <f>IF(AND(ABS(N(D38))&lt;=1000,ABS(N(E38))&lt;=1000,ABS(N(F38))&lt;=1000),"PASS","FAIL")</f>
        <v>PASS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ColWidth="8.375" defaultRowHeight="15"/>
  <sheetData>
    <row r="1">
      <c r="A1" t="s">
        <v>478</v>
      </c>
    </row>
    <row r="3">
      <c r="A3" t="s">
        <v>479</v>
      </c>
      <c r="B3" t="s">
        <v>480</v>
      </c>
      <c r="C3" t="s">
        <v>481</v>
      </c>
      <c r="D3" t="s">
        <v>482</v>
      </c>
      <c r="E3" t="s">
        <v>483</v>
      </c>
    </row>
    <row r="4">
      <c r="A4" t="s">
        <v>188</v>
      </c>
      <c r="B4" t="s">
        <v>484</v>
      </c>
      <c r="C4" t="s">
        <v>485</v>
      </c>
      <c r="D4" t="s">
        <v>486</v>
      </c>
      <c r="E4" t="s">
        <v>487</v>
      </c>
    </row>
    <row r="5">
      <c r="A5" t="s">
        <v>189</v>
      </c>
      <c r="B5" t="s">
        <v>488</v>
      </c>
      <c r="C5" t="s">
        <v>489</v>
      </c>
      <c r="D5" t="s">
        <v>490</v>
      </c>
      <c r="E5" t="s">
        <v>491</v>
      </c>
    </row>
    <row r="6">
      <c r="A6" t="s">
        <v>190</v>
      </c>
      <c r="B6" t="s">
        <v>492</v>
      </c>
      <c r="C6" t="s">
        <v>493</v>
      </c>
      <c r="D6" t="s">
        <v>494</v>
      </c>
      <c r="E6" t="s">
        <v>495</v>
      </c>
    </row>
    <row r="7">
      <c r="A7" t="s">
        <v>191</v>
      </c>
      <c r="B7" t="s">
        <v>496</v>
      </c>
      <c r="C7" t="s">
        <v>493</v>
      </c>
      <c r="D7" t="s">
        <v>497</v>
      </c>
      <c r="E7" t="s">
        <v>498</v>
      </c>
    </row>
    <row r="9">
      <c r="A9" t="s">
        <v>499</v>
      </c>
    </row>
    <row r="10">
      <c r="A10" t="s">
        <v>500</v>
      </c>
    </row>
    <row r="11">
      <c r="A11" t="s">
        <v>501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ColWidth="8.375" defaultRowHeight="15"/>
  <sheetData>
    <row r="1">
      <c r="A1" t="s">
        <v>502</v>
      </c>
    </row>
    <row r="3">
      <c r="A3" t="s">
        <v>503</v>
      </c>
      <c r="B3" t="s">
        <v>504</v>
      </c>
      <c r="C3" t="s">
        <v>505</v>
      </c>
      <c r="D3" t="s">
        <v>506</v>
      </c>
    </row>
    <row r="4">
      <c r="A4" t="s">
        <v>507</v>
      </c>
      <c r="B4">
        <f>IS_Hist!D22</f>
        <v>35529207</v>
      </c>
      <c r="C4">
        <v>4325.05</v>
      </c>
      <c r="D4">
        <f>B4/C4</f>
        <v>8214.750580918138</v>
      </c>
    </row>
    <row r="5">
      <c r="A5" t="s">
        <v>508</v>
      </c>
      <c r="B5">
        <f>IS_Hist!D51</f>
        <v>1934977</v>
      </c>
      <c r="C5">
        <v>4325.05</v>
      </c>
      <c r="D5">
        <f>B5/C5</f>
        <v>447.3883538918625</v>
      </c>
    </row>
    <row r="6">
      <c r="A6" t="s">
        <v>509</v>
      </c>
      <c r="B6">
        <f>BS_Hist!D23</f>
        <v>93504778</v>
      </c>
      <c r="C6">
        <v>3822.05</v>
      </c>
      <c r="D6">
        <f>B6/C6</f>
        <v>24464.56168809932</v>
      </c>
    </row>
    <row r="7">
      <c r="A7" t="s">
        <v>510</v>
      </c>
      <c r="B7">
        <f>BS_Hist!D55</f>
        <v>32435238</v>
      </c>
      <c r="C7">
        <v>3822.05</v>
      </c>
      <c r="D7">
        <f>B7/C7</f>
        <v>8486.345809186168</v>
      </c>
    </row>
    <row r="9">
      <c r="A9" t="s">
        <v>511</v>
      </c>
    </row>
    <row r="10">
      <c r="A10" t="s">
        <v>512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ColWidth="8.375" defaultRowHeight="15"/>
  <sheetData>
    <row r="1">
      <c r="A1" t="s">
        <v>513</v>
      </c>
    </row>
    <row r="3">
      <c r="A3" t="s">
        <v>503</v>
      </c>
      <c r="B3" t="s">
        <v>190</v>
      </c>
      <c r="C3" t="s">
        <v>191</v>
      </c>
    </row>
    <row r="4">
      <c r="A4" t="s">
        <v>514</v>
      </c>
      <c r="B4">
        <v>37644183</v>
      </c>
      <c r="C4">
        <v>42678425</v>
      </c>
    </row>
    <row r="5">
      <c r="A5" t="s">
        <v>515</v>
      </c>
      <c r="B5">
        <v>8989050</v>
      </c>
      <c r="C5">
        <v>10037326</v>
      </c>
    </row>
    <row r="6">
      <c r="A6" t="s">
        <v>516</v>
      </c>
      <c r="B6">
        <v>27863220</v>
      </c>
      <c r="C6">
        <v>31883331</v>
      </c>
    </row>
    <row r="7">
      <c r="A7" t="s">
        <v>517</v>
      </c>
      <c r="B7">
        <v>791913</v>
      </c>
      <c r="C7">
        <v>757768</v>
      </c>
    </row>
    <row r="8">
      <c r="A8" t="s">
        <v>518</v>
      </c>
      <c r="B8">
        <v>7531753</v>
      </c>
      <c r="C8">
        <v>7964917</v>
      </c>
    </row>
    <row r="9">
      <c r="A9" t="s">
        <v>515</v>
      </c>
      <c r="B9">
        <v>7483167</v>
      </c>
      <c r="C9">
        <v>7937730</v>
      </c>
    </row>
    <row r="10">
      <c r="A10" t="s">
        <v>517</v>
      </c>
      <c r="B10">
        <v>48586</v>
      </c>
      <c r="C10">
        <v>27187</v>
      </c>
    </row>
    <row r="11">
      <c r="A11" t="s">
        <v>519</v>
      </c>
      <c r="B11">
        <v>-146372</v>
      </c>
      <c r="C11">
        <v>-99187</v>
      </c>
    </row>
    <row r="12">
      <c r="A12" t="s">
        <v>520</v>
      </c>
      <c r="B12">
        <v>45029564</v>
      </c>
      <c r="C12">
        <v>50544155</v>
      </c>
    </row>
    <row r="13">
      <c r="A13" t="s">
        <v>521</v>
      </c>
      <c r="B13">
        <v>11619773</v>
      </c>
      <c r="C13">
        <v>12615789</v>
      </c>
    </row>
    <row r="14">
      <c r="A14" t="s">
        <v>522</v>
      </c>
      <c r="B14">
        <v>33409791</v>
      </c>
      <c r="C14">
        <v>37928366</v>
      </c>
    </row>
    <row r="16">
      <c r="A16" t="s">
        <v>523</v>
      </c>
      <c r="B16">
        <f>B4+B8+B11-B12</f>
        <v>0</v>
      </c>
      <c r="C16">
        <f>C4+C8+C11-C12</f>
        <v>0</v>
      </c>
    </row>
    <row r="17">
      <c r="A17" t="s">
        <v>524</v>
      </c>
      <c r="B17">
        <f>B13+B14-B12</f>
        <v>0</v>
      </c>
      <c r="C17">
        <f>C13+C14-C12</f>
        <v>0</v>
      </c>
    </row>
    <row r="19">
      <c r="A19" t="s">
        <v>525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ColWidth="8.375" defaultRowHeight="15"/>
  <sheetData>
    <row r="1">
      <c r="A1" t="s">
        <v>526</v>
      </c>
    </row>
    <row r="3">
      <c r="A3" t="s">
        <v>503</v>
      </c>
      <c r="B3" t="s">
        <v>190</v>
      </c>
      <c r="C3" t="s">
        <v>191</v>
      </c>
    </row>
    <row r="4">
      <c r="A4" t="s">
        <v>527</v>
      </c>
      <c r="B4">
        <v>19565080</v>
      </c>
      <c r="C4">
        <v>12010819</v>
      </c>
    </row>
    <row r="5">
      <c r="A5" t="s">
        <v>528</v>
      </c>
      <c r="B5">
        <v>96436</v>
      </c>
      <c r="C5">
        <v>53349</v>
      </c>
    </row>
    <row r="6">
      <c r="A6" t="s">
        <v>529</v>
      </c>
      <c r="B6">
        <v>19661516</v>
      </c>
      <c r="C6">
        <v>12064168</v>
      </c>
    </row>
    <row r="8">
      <c r="A8" t="s">
        <v>530</v>
      </c>
      <c r="B8">
        <v>1557556</v>
      </c>
      <c r="C8">
        <v>964847</v>
      </c>
    </row>
    <row r="9">
      <c r="A9" t="s">
        <v>531</v>
      </c>
      <c r="B9">
        <v>-34959</v>
      </c>
      <c r="C9">
        <v>-44656</v>
      </c>
    </row>
    <row r="10">
      <c r="A10" t="s">
        <v>532</v>
      </c>
      <c r="B10">
        <v>1522597</v>
      </c>
      <c r="C10">
        <v>920191</v>
      </c>
    </row>
    <row r="12">
      <c r="A12" t="s">
        <v>533</v>
      </c>
      <c r="B12">
        <f>B4+B5-B6</f>
        <v>0</v>
      </c>
      <c r="C12">
        <f>C4+C5-C6</f>
        <v>0</v>
      </c>
    </row>
    <row r="13">
      <c r="A13" t="s">
        <v>534</v>
      </c>
      <c r="B13">
        <f>B8+B9-B10</f>
        <v>0</v>
      </c>
      <c r="C13">
        <f>C8+C9-C10</f>
        <v>0</v>
      </c>
    </row>
    <row r="15">
      <c r="A15" t="s">
        <v>535</v>
      </c>
    </row>
    <row r="16">
      <c r="A16" t="s">
        <v>536</v>
      </c>
    </row>
    <row r="18">
      <c r="A18" t="s">
        <v>525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ColWidth="8.375" defaultRowHeight="15"/>
  <sheetData>
    <row r="1">
      <c r="A1" t="s">
        <v>537</v>
      </c>
    </row>
    <row r="3">
      <c r="A3" t="s">
        <v>191</v>
      </c>
      <c r="B3" t="s">
        <v>538</v>
      </c>
      <c r="C3" t="s">
        <v>539</v>
      </c>
      <c r="D3" t="s">
        <v>540</v>
      </c>
      <c r="E3" t="s">
        <v>541</v>
      </c>
      <c r="F3" t="s">
        <v>542</v>
      </c>
      <c r="G3" t="s">
        <v>543</v>
      </c>
    </row>
    <row r="4">
      <c r="A4" t="s">
        <v>223</v>
      </c>
      <c r="B4">
        <v>2750128</v>
      </c>
      <c r="C4">
        <v>19297632</v>
      </c>
      <c r="D4">
        <v>8355450</v>
      </c>
      <c r="E4">
        <v>124528</v>
      </c>
      <c r="F4">
        <v>-1821019</v>
      </c>
      <c r="G4">
        <v>28706719</v>
      </c>
    </row>
    <row r="5">
      <c r="A5" t="s">
        <v>246</v>
      </c>
      <c r="B5">
        <v>-1025703</v>
      </c>
      <c r="C5">
        <v>-18038660</v>
      </c>
      <c r="D5">
        <v>-6078133</v>
      </c>
      <c r="E5">
        <v>-92236</v>
      </c>
      <c r="F5">
        <v>903280</v>
      </c>
      <c r="G5">
        <v>-24331452</v>
      </c>
    </row>
    <row r="6">
      <c r="A6" t="s">
        <v>247</v>
      </c>
      <c r="B6">
        <v>1724426</v>
      </c>
      <c r="C6">
        <v>1258972</v>
      </c>
      <c r="D6">
        <v>2277317</v>
      </c>
      <c r="E6">
        <v>32292</v>
      </c>
      <c r="F6">
        <v>-917740</v>
      </c>
      <c r="G6">
        <v>4375267</v>
      </c>
    </row>
    <row r="7">
      <c r="A7" t="s">
        <v>544</v>
      </c>
      <c r="B7">
        <v>735169</v>
      </c>
      <c r="C7">
        <v>1100065</v>
      </c>
      <c r="D7">
        <v>2042309</v>
      </c>
      <c r="E7">
        <v>32194</v>
      </c>
      <c r="F7">
        <v>-917484</v>
      </c>
      <c r="G7">
        <v>2992253</v>
      </c>
    </row>
    <row r="8">
      <c r="A8" t="s">
        <v>545</v>
      </c>
      <c r="B8">
        <v>1641954</v>
      </c>
      <c r="C8">
        <v>776402</v>
      </c>
      <c r="D8">
        <v>1300257</v>
      </c>
      <c r="E8">
        <v>25302</v>
      </c>
      <c r="F8">
        <v>-1487740</v>
      </c>
      <c r="G8">
        <v>2256175</v>
      </c>
    </row>
    <row r="10">
      <c r="A10" t="s">
        <v>190</v>
      </c>
      <c r="B10" t="s">
        <v>538</v>
      </c>
      <c r="C10" t="s">
        <v>539</v>
      </c>
      <c r="D10" t="s">
        <v>540</v>
      </c>
      <c r="E10" t="s">
        <v>541</v>
      </c>
      <c r="F10" t="s">
        <v>542</v>
      </c>
      <c r="G10" t="s">
        <v>543</v>
      </c>
    </row>
    <row r="11">
      <c r="A11" t="s">
        <v>223</v>
      </c>
      <c r="B11">
        <v>6775054</v>
      </c>
      <c r="C11">
        <v>23081645</v>
      </c>
      <c r="D11">
        <v>7625113</v>
      </c>
      <c r="E11">
        <v>126980</v>
      </c>
      <c r="F11">
        <v>-1282128</v>
      </c>
      <c r="G11">
        <v>36326664</v>
      </c>
    </row>
    <row r="12">
      <c r="A12" t="s">
        <v>246</v>
      </c>
      <c r="B12">
        <v>-188126</v>
      </c>
      <c r="C12">
        <v>-21753284</v>
      </c>
      <c r="D12">
        <v>-5721539</v>
      </c>
      <c r="E12">
        <v>-120693</v>
      </c>
      <c r="F12">
        <v>-98672</v>
      </c>
      <c r="G12">
        <v>-27882314</v>
      </c>
    </row>
    <row r="13">
      <c r="A13" t="s">
        <v>247</v>
      </c>
      <c r="B13">
        <v>6586928</v>
      </c>
      <c r="C13">
        <v>1328361</v>
      </c>
      <c r="D13">
        <v>1903574</v>
      </c>
      <c r="E13">
        <v>6287</v>
      </c>
      <c r="F13">
        <v>-1380800</v>
      </c>
      <c r="G13">
        <v>8444350</v>
      </c>
    </row>
    <row r="14">
      <c r="A14" t="s">
        <v>544</v>
      </c>
      <c r="B14">
        <v>5607411</v>
      </c>
      <c r="C14">
        <v>1047375</v>
      </c>
      <c r="D14">
        <v>1637453</v>
      </c>
      <c r="E14">
        <v>5697</v>
      </c>
      <c r="F14">
        <v>-1489868</v>
      </c>
      <c r="G14">
        <v>6808068</v>
      </c>
    </row>
    <row r="15">
      <c r="A15" t="s">
        <v>545</v>
      </c>
      <c r="B15">
        <v>5331775</v>
      </c>
      <c r="C15">
        <v>751160</v>
      </c>
      <c r="D15">
        <v>1064221</v>
      </c>
      <c r="E15">
        <v>-2411</v>
      </c>
      <c r="F15">
        <v>-742739</v>
      </c>
      <c r="G15">
        <v>6402006</v>
      </c>
    </row>
    <row r="17">
      <c r="A17" t="s">
        <v>546</v>
      </c>
    </row>
    <row r="18">
      <c r="A18">
        <f>B4+C4+D4+E4+F4-G4</f>
        <v>0</v>
      </c>
    </row>
    <row r="19">
      <c r="A19" t="s">
        <v>547</v>
      </c>
    </row>
    <row r="20">
      <c r="A20">
        <f>B11+C11+D11+E11+F11-G11</f>
        <v>0</v>
      </c>
    </row>
    <row r="22">
      <c r="A22" t="s">
        <v>548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ColWidth="8.375" defaultRowHeight="15"/>
  <sheetData>
    <row r="1">
      <c r="A1" t="s">
        <v>549</v>
      </c>
    </row>
    <row r="3">
      <c r="A3" t="s">
        <v>550</v>
      </c>
      <c r="B3">
        <v>1</v>
      </c>
    </row>
    <row r="4">
      <c r="A4" t="s">
        <v>551</v>
      </c>
      <c r="B4" t="str">
        <f>CHOOSE(B3,"Base","Bull","Bear")</f>
        <v>Base</v>
      </c>
    </row>
    <row r="6">
      <c r="A6" t="s">
        <v>552</v>
      </c>
      <c r="B6" t="s">
        <v>83</v>
      </c>
      <c r="C6" t="s">
        <v>84</v>
      </c>
      <c r="D6" t="s">
        <v>82</v>
      </c>
      <c r="E6" t="s">
        <v>553</v>
      </c>
    </row>
    <row r="7">
      <c r="A7" t="s">
        <v>554</v>
      </c>
      <c r="B7">
        <v>0.06</v>
      </c>
      <c r="C7">
        <v>0.09</v>
      </c>
      <c r="D7">
        <v>0.02</v>
      </c>
      <c r="E7">
        <f>CHOOSE($B$3,B7,C7,D7)</f>
        <v>0.06</v>
      </c>
    </row>
    <row r="8">
      <c r="A8" t="s">
        <v>555</v>
      </c>
      <c r="B8">
        <v>0.05</v>
      </c>
      <c r="C8">
        <v>0.08</v>
      </c>
      <c r="D8">
        <v>0.01</v>
      </c>
      <c r="E8">
        <f>CHOOSE($B$3,B8,C8,D8)</f>
        <v>0.05</v>
      </c>
    </row>
    <row r="9">
      <c r="A9" t="s">
        <v>556</v>
      </c>
      <c r="B9">
        <v>0.848</v>
      </c>
      <c r="C9">
        <v>0.83</v>
      </c>
      <c r="D9">
        <v>0.875</v>
      </c>
      <c r="E9">
        <f>CHOOSE($B$3,B9,C9,D9)</f>
        <v>0.848</v>
      </c>
    </row>
    <row r="10">
      <c r="A10" t="s">
        <v>557</v>
      </c>
      <c r="B10">
        <v>-0.032</v>
      </c>
      <c r="C10">
        <v>-0.02</v>
      </c>
      <c r="D10">
        <v>-0.045</v>
      </c>
      <c r="E10">
        <f>CHOOSE($B$3,B10,C10,D10)</f>
        <v>-0.032</v>
      </c>
    </row>
    <row r="11">
      <c r="A11" t="s">
        <v>558</v>
      </c>
      <c r="B11">
        <v>0.35</v>
      </c>
      <c r="C11">
        <v>0.33</v>
      </c>
      <c r="D11">
        <v>0.38</v>
      </c>
      <c r="E11">
        <f>CHOOSE($B$3,B11,C11,D11)</f>
        <v>0.35</v>
      </c>
    </row>
    <row r="12">
      <c r="A12" t="s">
        <v>559</v>
      </c>
      <c r="B12">
        <v>0.18</v>
      </c>
      <c r="C12">
        <v>0.16</v>
      </c>
      <c r="D12">
        <v>0.2</v>
      </c>
      <c r="E12">
        <f>CHOOSE($B$3,B12,C12,D12)</f>
        <v>0.18</v>
      </c>
    </row>
    <row r="14">
      <c r="A14" t="s">
        <v>560</v>
      </c>
    </row>
    <row r="15">
      <c r="A15" t="s">
        <v>561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ColWidth="8.375" defaultRowHeight="15"/>
  <sheetData>
    <row r="1">
      <c r="A1" t="s">
        <v>562</v>
      </c>
      <c r="F1" t="str">
        <f>Assumptions_IS!B4</f>
        <v>Base</v>
      </c>
    </row>
    <row r="3">
      <c r="A3" t="s">
        <v>563</v>
      </c>
      <c r="B3" t="s">
        <v>564</v>
      </c>
      <c r="C3" t="s">
        <v>565</v>
      </c>
      <c r="D3" t="s">
        <v>566</v>
      </c>
      <c r="E3" t="s">
        <v>567</v>
      </c>
      <c r="F3" t="s">
        <v>568</v>
      </c>
    </row>
    <row r="5">
      <c r="A5" t="s">
        <v>204</v>
      </c>
      <c r="B5">
        <f>IS_Hist!F12*(1+Assumptions_IS!$E$7)</f>
        <v>15490200.82</v>
      </c>
      <c r="C5">
        <f>B5*(1+Assumptions_IS!$E$7)</f>
        <v>16419612.8692</v>
      </c>
      <c r="D5">
        <f>C5*(1+Assumptions_IS!$E$7)</f>
        <v>17404789.641352</v>
      </c>
      <c r="E5">
        <f>D5*(1+Assumptions_IS!$E$7)</f>
        <v>18449077.01983312</v>
      </c>
      <c r="F5">
        <f>E5*(1+Assumptions_IS!$E$7)</f>
        <v>19556021.64102311</v>
      </c>
    </row>
    <row r="6">
      <c r="A6" t="s">
        <v>569</v>
      </c>
      <c r="B6">
        <f>(IS_Hist!F22-IS_Hist!F12)*(1+Assumptions_IS!$E$8)</f>
        <v>14797988.100000001</v>
      </c>
      <c r="C6">
        <f>B6*(1+Assumptions_IS!$E$8)</f>
        <v>15537887.505000003</v>
      </c>
      <c r="D6">
        <f>C6*(1+Assumptions_IS!$E$8)</f>
        <v>16314781.880250003</v>
      </c>
      <c r="E6">
        <f>D6*(1+Assumptions_IS!$E$8)</f>
        <v>17130520.974262506</v>
      </c>
      <c r="F6">
        <f>E6*(1+Assumptions_IS!$E$8)</f>
        <v>17987047.02297563</v>
      </c>
    </row>
    <row r="7">
      <c r="A7" t="s">
        <v>223</v>
      </c>
      <c r="B7">
        <f>B5+B6</f>
        <v>30288188.92</v>
      </c>
      <c r="C7">
        <f>C5+C6</f>
        <v>31957500.3742</v>
      </c>
      <c r="D7">
        <f>D5+D6</f>
        <v>33719571.521602005</v>
      </c>
      <c r="E7">
        <f>E5+E6</f>
        <v>35579597.99409562</v>
      </c>
      <c r="F7">
        <f>F5+F6</f>
        <v>37543068.66399874</v>
      </c>
    </row>
    <row r="8">
      <c r="A8" t="s">
        <v>570</v>
      </c>
      <c r="B8">
        <f>-B7*Assumptions_IS!$E$9</f>
        <v>-25684384.20416</v>
      </c>
      <c r="C8">
        <f>-C7*Assumptions_IS!$E$9</f>
        <v>-27099960.3173216</v>
      </c>
      <c r="D8">
        <f>-D7*Assumptions_IS!$E$9</f>
        <v>-28594196.6503185</v>
      </c>
      <c r="E8">
        <f>-E7*Assumptions_IS!$E$9</f>
        <v>-30171499.09899309</v>
      </c>
      <c r="F8">
        <f>-F7*Assumptions_IS!$E$9</f>
        <v>-31836522.227070928</v>
      </c>
    </row>
    <row r="9">
      <c r="A9" t="s">
        <v>247</v>
      </c>
      <c r="B9">
        <f>B7+B8</f>
        <v>4603804.715840001</v>
      </c>
      <c r="C9">
        <f>C7+C8</f>
        <v>4857540.056878403</v>
      </c>
      <c r="D9">
        <f>D7+D8</f>
        <v>5125374.871283505</v>
      </c>
      <c r="E9">
        <f>E7+E8</f>
        <v>5408098.895102534</v>
      </c>
      <c r="F9">
        <f>F7+F8</f>
        <v>5706546.43692781</v>
      </c>
    </row>
    <row r="10">
      <c r="A10" t="s">
        <v>571</v>
      </c>
      <c r="B10">
        <f>B7*Assumptions_IS!$E$10</f>
        <v>-969222.0454400001</v>
      </c>
      <c r="C10">
        <f>C7*Assumptions_IS!$E$10</f>
        <v>-1022640.0119744</v>
      </c>
      <c r="D10">
        <f>D7*Assumptions_IS!$E$10</f>
        <v>-1079026.288691264</v>
      </c>
      <c r="E10">
        <f>E7*Assumptions_IS!$E$10</f>
        <v>-1138547.13581106</v>
      </c>
      <c r="F10">
        <f>F7*Assumptions_IS!$E$10</f>
        <v>-1201378.1972479597</v>
      </c>
    </row>
    <row r="11">
      <c r="A11" t="s">
        <v>572</v>
      </c>
      <c r="B11">
        <f>B9+B10</f>
        <v>3634582.6704000006</v>
      </c>
      <c r="C11">
        <f>C9+C10</f>
        <v>3834900.044904003</v>
      </c>
      <c r="D11">
        <f>D9+D10</f>
        <v>4046348.582592241</v>
      </c>
      <c r="E11">
        <f>E9+E10</f>
        <v>4269551.759291475</v>
      </c>
      <c r="F11">
        <f>F9+F10</f>
        <v>4505168.239679851</v>
      </c>
    </row>
    <row r="12">
      <c r="A12" t="s">
        <v>257</v>
      </c>
      <c r="B12">
        <f>-B11*Assumptions_IS!$E$11</f>
        <v>-1272103.93464</v>
      </c>
      <c r="C12">
        <f>-C11*Assumptions_IS!$E$11</f>
        <v>-1342215.015716401</v>
      </c>
      <c r="D12">
        <f>-D11*Assumptions_IS!$E$11</f>
        <v>-1416222.0039072842</v>
      </c>
      <c r="E12">
        <f>-E11*Assumptions_IS!$E$11</f>
        <v>-1494343.115752016</v>
      </c>
      <c r="F12">
        <f>-F11*Assumptions_IS!$E$11</f>
        <v>-1576808.8838879475</v>
      </c>
    </row>
    <row r="13">
      <c r="A13" t="s">
        <v>264</v>
      </c>
      <c r="B13">
        <f>B11+B12</f>
        <v>2362478.7357600005</v>
      </c>
      <c r="C13">
        <f>C11+C12</f>
        <v>2492685.029187602</v>
      </c>
      <c r="D13">
        <f>D11+D12</f>
        <v>2630126.5786849568</v>
      </c>
      <c r="E13">
        <f>E11+E12</f>
        <v>2775208.6435394585</v>
      </c>
      <c r="F13">
        <f>F11+F12</f>
        <v>2928359.355791903</v>
      </c>
    </row>
    <row r="14">
      <c r="A14" t="s">
        <v>573</v>
      </c>
      <c r="B14">
        <f>B13*(1-Assumptions_IS!$E$12)</f>
        <v>1937232.5633232007</v>
      </c>
      <c r="C14">
        <f>C13*(1-Assumptions_IS!$E$12)</f>
        <v>2044001.723933834</v>
      </c>
      <c r="D14">
        <f>D13*(1-Assumptions_IS!$E$12)</f>
        <v>2156703.7945216647</v>
      </c>
      <c r="E14">
        <f>E13*(1-Assumptions_IS!$E$12)</f>
        <v>2275671.0877023563</v>
      </c>
      <c r="F14">
        <f>F13*(1-Assumptions_IS!$E$12)</f>
        <v>2401254.671749361</v>
      </c>
    </row>
    <row r="15">
      <c r="A15" t="s">
        <v>574</v>
      </c>
      <c r="B15">
        <f>B13*Assumptions_IS!$E$12</f>
        <v>425246.1724368001</v>
      </c>
      <c r="C15">
        <f>C13*Assumptions_IS!$E$12</f>
        <v>448683.30525376834</v>
      </c>
      <c r="D15">
        <f>D13*Assumptions_IS!$E$12</f>
        <v>473422.7841632922</v>
      </c>
      <c r="E15">
        <f>E13*Assumptions_IS!$E$12</f>
        <v>499537.5558371025</v>
      </c>
      <c r="F15">
        <f>F13*Assumptions_IS!$E$12</f>
        <v>527104.6840425426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56" t="s">
        <v>575</v>
      </c>
      <c r="B1" s="56" t="s">
        <v>169</v>
      </c>
      <c r="C1" s="56" t="s">
        <v>576</v>
      </c>
      <c r="D1" s="56" t="s">
        <v>577</v>
      </c>
      <c r="E1" s="56" t="s">
        <v>578</v>
      </c>
      <c r="F1" s="56" t="s">
        <v>579</v>
      </c>
    </row>
    <row r="2">
      <c r="A2" s="57">
        <v>1</v>
      </c>
      <c r="B2" s="58">
        <v>46324.35932974537</v>
      </c>
      <c r="C2" s="57" t="s">
        <v>580</v>
      </c>
      <c r="D2" s="57" t="s">
        <v>581</v>
      </c>
      <c r="E2" s="57" t="s">
        <v>582</v>
      </c>
      <c r="F2" s="57" t="s">
        <v>583</v>
      </c>
    </row>
  </sheetData>
</worksheet>
</file>