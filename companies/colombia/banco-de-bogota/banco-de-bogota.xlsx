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57499a4704d04555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e5f4eca07c2e48b3"/>
    <sheet name="Change_Log" sheetId="10" r:id="Rce300f76e4784ec6"/>
    <sheet name="IS_Hist" sheetId="3" r:id="R5656ed11fd5342b3"/>
    <sheet name="CI_Hist" sheetId="4" r:id="Rcaf5c2920988451e"/>
    <sheet name="BS_Hist" sheetId="5" r:id="R8fc7e3522f7645a6"/>
    <sheet name="CF_Hist" sheetId="6" r:id="Reb388501c7db45d5"/>
    <sheet name="SCE_Hist" sheetId="7" r:id="Rae2586e2b1ab4f33"/>
    <sheet name="Checks_TieOut" sheetId="8" r:id="rId1"/>
    <sheet name="USD_Translation" sheetId="9" r:id="rId2"/>
    <sheet name="Loan_Book" sheetId="17" r:id="rId3"/>
    <sheet name="Deposits_Funding" sheetId="11" r:id="rId4"/>
    <sheet name="NIM_Build" sheetId="12" r:id="rId5"/>
    <sheet name="Credit_Quality" sheetId="13" r:id="rId6"/>
    <sheet name="Capital_Adequacy" sheetId="14" r:id="rId7"/>
    <sheet name="Sources_Audited" sheetId="15" r:id="rId8"/>
    <sheet name="Assumptions_Forecast" sheetId="16" r:id="rId9"/>
    <sheet name="Claude Code Log" sheetId="18" r:id="rId10"/>
  </sheets>
  <calcPr calcId="0"/>
</workbook>
</file>

<file path=xl/sharedStrings.xml><?xml version="1.0" encoding="utf-8"?>
<sst xmlns="http://schemas.openxmlformats.org/spreadsheetml/2006/main" count="564" uniqueCount="463">
  <si>
    <t>Banco de Bogotá S.A. y Subsidiarias — Institutional Financial Model (elevated to statement-grade)</t>
  </si>
  <si>
    <t>Banking (Colombia) | Native currency COP millions | USD memo overlay | As of 2026-07-21</t>
  </si>
  <si>
    <t>Model field</t>
  </si>
  <si>
    <t>Value</t>
  </si>
  <si>
    <t>Issuer</t>
  </si>
  <si>
    <t>Banco de Bogotá S.A. y Subsidiarias (consolidado)</t>
  </si>
  <si>
    <t>Parent group</t>
  </si>
  <si>
    <t>Grupo Aval Acciones y Valores S.A.</t>
  </si>
  <si>
    <t>Model archetype</t>
  </si>
  <si>
    <t>Banking institution — 3-statement audited history + sector schedules (cartera, fondeo, NIM, calidad de cartera, capital)</t>
  </si>
  <si>
    <t>Reporting/native currency</t>
  </si>
  <si>
    <t>COP millions (statements are COP-native; no USD convenience translation in the audited source)</t>
  </si>
  <si>
    <t>USD overlay</t>
  </si>
  <si>
    <t>Memo-only, implied closing TRM rates per notes (see USD_Translation, Sources_Audited)</t>
  </si>
  <si>
    <t>Historical coverage</t>
  </si>
  <si>
    <t>FY2023A-FY2025A, audited consolidated IS/CI/SCE/BS/CF, entered as published constants (FY2022 comparative not available as primary statements in the source set — see Sources_Audited gap note)</t>
  </si>
  <si>
    <t>Forecast coverage</t>
  </si>
  <si>
    <t>PARTIAL — FY2026E-FY2030E income-statement/ratio proxy only (Assumptions_Forecast), driver-built off explicit Base/Bull/Bear scenarios. No projected balance sheet, capital, funding or cash flow. Not decision-ready as a forecast.</t>
  </si>
  <si>
    <t>Tie-out status</t>
  </si>
  <si>
    <t>PASS — 36/36 hard tie-outs pass in Checks_TieOut (statement internal consistency, cross-statement, and schedule-to-statement reconciliations)</t>
  </si>
  <si>
    <t>Primary sources</t>
  </si>
  <si>
    <t>bancodebogota.com IR — FY2023/FY2024/FY2025 audited consolidated EEFF + notas + dictamen del revisor fiscal (KPMG). See Sources_Audited for exact citations.</t>
  </si>
  <si>
    <t>Known limitations</t>
  </si>
  <si>
    <t>FY2022 not incorporated (source PDF lacked primary statement pages); FY2023 loan-book/credit-quality stage-level detail not available; NIM computed on period-end (not average) balances; forecast is PARTIAL (P&amp;L/ratio proxy, not full 3-statement).</t>
  </si>
  <si>
    <t>Sheet map</t>
  </si>
  <si>
    <t>Sources_Audited, IS_Hist, CI_Hist, SCE_Hist, BS_Hist, CF_Hist, USD_Translation, Loan_Book, Deposits_Funding, NIM_Build, Credit_Quality, Capital_Adequacy, Checks_TieOut, Assumptions_Forecast (PARTIAL), Change_Log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</si>
  <si>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</si>
  <si>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</si>
  <si>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</si>
  <si>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</si>
  <si>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</si>
  <si>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</si>
  <si>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</si>
  <si>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</si>
  <si>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2026-07-15</t>
  </si>
  <si>
    <t>1.0</t>
  </si>
  <si>
    <t>Codex</t>
  </si>
  <si>
    <t>Initial institutional model framework and source pack</t>
  </si>
  <si>
    <t>https://www.grupoaval.com/inversionistas</t>
  </si>
  <si>
    <t>Builder-verified</t>
  </si>
  <si>
    <t>Claude (run 41538014)</t>
  </si>
  <si>
    <t>Elevation to statement-grade IG (Samsung pilot pattern, bank flavor): replaced placeholder framework (Sources/Historical/Assumptions/Forecast/Valuation/Sensitivity/Checks/Sector_KPIs — all-blank) with audited FY2023A-FY2025A consolidated IS_Hist/CI_Hist/SCE_Hist/BS_Hist/CF_Hist (COP mm, published constants), Loan_Book/Deposits_Funding/NIM_Build/Credit_Quality/Capital_Adequacy schedules, USD_Translation (implied closing-TRM memo overlay), Checks_TieOut (36 tie-outs incl. cross-statement + schedule reconciliation, all PASS), Sources_Audited (file/page citations + audit-signal notes on FY2024 re-presentation between vintages), Assumptions_Forecast (PARTIAL — P&amp;L/ratio proxy only, explicitly flagged, not full 3-statement forecast). Root model untouched; v2 saved under the maintainer's archive. Built via Mog SDK only (openpyxl/LibreOffice not used).</t>
  </si>
  <si>
    <t>bancodebogota.com IR — FY2023/FY2024/FY2025 audited consolidated EEFF + notas + dictamen</t>
  </si>
  <si>
    <t>Builder-verified (36/36 tie-outs PASS post wb.calculate())</t>
  </si>
  <si>
    <t>Claude Opus 5 (auditoria Ola 2)</t>
  </si>
  <si>
    <t>Verificacion del defecto /1000 en USD_Translation. Las formulas de la fila 6 (total activos), 7 (total patrimonio) y 10 (utilidad neta) ya dividen la fuente COP-millones unicamente por la TRM de la fila 5, sin el /1000 espurio; recomputo independiente confirma los tres anos (FY2023A/FY2024A/FY2025A). Se corrigio el puntero de evidencia de la nota A3, que citaba un archivo inexistente. Se anadieron 3 tie-outs vivos (Checks_TieOut 43-45) que recomputan cada cifra USD desde BS_Hist/IS_Hist y la TRM, para que una reintroduccion del /1000 falle el MASTER. Sin cambios a estados historicos ni a cifras publicadas.</t>
  </si>
  <si>
    <t>BS_Hist!B19:D19, BS_Hist!B48:D48, IS_Hist!B20:D20, USD_Translation!B5:D5</t>
  </si>
  <si>
    <t>Builder-verified (41/41 tie-outs PASS post wb.calculate())</t>
  </si>
  <si>
    <t>Banco de Bogotá y Subsidiarias — Estado Consolidado del Resultado (auditado)</t>
  </si>
  <si>
    <t>COP millones. FY2023A/FY2024A per FY2024 annual report (originally published, pre-discontinued-ops split); FY2025A per FY2025 annual report (continuing operations + discontinued ops shown separately, per IFRS 5).</t>
  </si>
  <si>
    <t>Line item</t>
  </si>
  <si>
    <t>FY2023A</t>
  </si>
  <si>
    <t>FY2024A</t>
  </si>
  <si>
    <t>FY2025A</t>
  </si>
  <si>
    <t>Note ref</t>
  </si>
  <si>
    <t>Total ingresos por intereses</t>
  </si>
  <si>
    <t>10/11</t>
  </si>
  <si>
    <t>Total gastos por intereses</t>
  </si>
  <si>
    <t>Ingresos por intereses, neto</t>
  </si>
  <si>
    <t>Provisión/deterioro de activos financieros, neto</t>
  </si>
  <si>
    <t>10.5/11</t>
  </si>
  <si>
    <t>Recuperación de castigos de activos financieros</t>
  </si>
  <si>
    <t>Ingresos por intereses después de deterioro, neto</t>
  </si>
  <si>
    <t>Ingresos por comisiones y honorarios, neto</t>
  </si>
  <si>
    <t>28/29</t>
  </si>
  <si>
    <t>(Gasto) ingreso de activos y pasivos financieros negociables, neto</t>
  </si>
  <si>
    <t>29/30</t>
  </si>
  <si>
    <t>Ingreso (gasto) por diferencia en cambio, neto</t>
  </si>
  <si>
    <t>30/31</t>
  </si>
  <si>
    <t>Otros ingresos, neto</t>
  </si>
  <si>
    <t>31/32</t>
  </si>
  <si>
    <t>Otros gastos</t>
  </si>
  <si>
    <t>32/33</t>
  </si>
  <si>
    <t>Utilidad antes de impuesto a las ganancias</t>
  </si>
  <si>
    <t>Gasto por impuesto a las ganancias</t>
  </si>
  <si>
    <t>19/18</t>
  </si>
  <si>
    <t>Utilidad neta del ejercicio de operaciones que continúan</t>
  </si>
  <si>
    <t>Ganancia procedente de operaciones discontinuadas, neta de impuestos</t>
  </si>
  <si>
    <t>Utilidad neta del ejercicio</t>
  </si>
  <si>
    <t>Utilidad neta del ejercicio atribuible a:</t>
  </si>
  <si>
    <t>Accionistas de la controladora</t>
  </si>
  <si>
    <t>Participaciones no controladoras</t>
  </si>
  <si>
    <t>Banco de Bogotá y Subsidiarias — Estado Consolidado del Resultado Integral (auditado)</t>
  </si>
  <si>
    <t>COP millones. Same source basis as IS_Hist.</t>
  </si>
  <si>
    <t>Partidas que pueden ser posteriormente reclasificadas a resultados</t>
  </si>
  <si>
    <t>Contabilidad de coberturas, neto</t>
  </si>
  <si>
    <t>9.4.3/10.4.3</t>
  </si>
  <si>
    <t>Diferencia en cambio en conversión de estados financieros de agencias/sucursal</t>
  </si>
  <si>
    <t>19.5,26/18.5,25</t>
  </si>
  <si>
    <t>(Pérdida) ganancia no realizada por medición de instrumentos de deuda a VR</t>
  </si>
  <si>
    <t>Reclasificación a resultados por deterioro de instrumentos de deuda a VR</t>
  </si>
  <si>
    <t>Participación en otro resultado integral de asociadas (reclasificable)</t>
  </si>
  <si>
    <t>13.1/13.2</t>
  </si>
  <si>
    <t>Impuesto a las ganancias (partidas reclasificables)</t>
  </si>
  <si>
    <t>Total partidas que pueden ser reclasificadas a resultados</t>
  </si>
  <si>
    <t>Partidas que no serán reclasificadas a resultados</t>
  </si>
  <si>
    <t>Cambios en supuestos actuariales en planes de beneficios definidos</t>
  </si>
  <si>
    <t>(Pérdida) ganancia no realizada por medición de inversiones a VR en patrimonio</t>
  </si>
  <si>
    <t>Participación en otro resultado integral de asociadas (no reclasificable)</t>
  </si>
  <si>
    <t>Impuesto a las ganancias (partidas no reclasificables)</t>
  </si>
  <si>
    <t>Total partidas que no serán reclasificadas a resultados</t>
  </si>
  <si>
    <t>Total otro resultado integral, neto de impuestos</t>
  </si>
  <si>
    <t>25/26</t>
  </si>
  <si>
    <t>Resultado integral total</t>
  </si>
  <si>
    <t>Resultado integral atribuible a:</t>
  </si>
  <si>
    <t>Banco de Bogotá y Subsidiarias — Estado Consolidado de Situación Financiera (auditado)</t>
  </si>
  <si>
    <t>COP millones, al 31 de diciembre. FY2023A/FY2024A per FY2024 annual report; FY2025A per FY2025 annual report. "M:" rows are memo detail (sub-components already included in their parent total; excluded from tie-out SUM ranges). Blank = line not presented that year (see Sources_Audited note on 2025 re-presentation).</t>
  </si>
  <si>
    <t>Activos</t>
  </si>
  <si>
    <t>Efectivo y equivalentes al efectivo</t>
  </si>
  <si>
    <t>8/9</t>
  </si>
  <si>
    <t>Activos financieros de inversión y derivados</t>
  </si>
  <si>
    <t>9/10</t>
  </si>
  <si>
    <t>Cartera de créditos y arrendamiento financiero, neta</t>
  </si>
  <si>
    <t>Otras cuentas por cobrar, neto</t>
  </si>
  <si>
    <t>11/12</t>
  </si>
  <si>
    <t>Activos no corrientes mantenidos para la venta (regular)</t>
  </si>
  <si>
    <t>Inversiones en asociadas y negocios conjuntos</t>
  </si>
  <si>
    <t>Propiedades, planta y equipo</t>
  </si>
  <si>
    <t>Activos por derecho de uso</t>
  </si>
  <si>
    <t>Propiedades de inversión</t>
  </si>
  <si>
    <t>16/19.2</t>
  </si>
  <si>
    <t>Intangibles</t>
  </si>
  <si>
    <t>17-18/16</t>
  </si>
  <si>
    <t>Activos no corrientes mantenidos para la venta — operación discontinua</t>
  </si>
  <si>
    <t>17/2.1</t>
  </si>
  <si>
    <t>Impuesto a las ganancias</t>
  </si>
  <si>
    <t>Otros activos</t>
  </si>
  <si>
    <t>Total activos</t>
  </si>
  <si>
    <t xml:space="preserve">  Cartera — repos/interbancarios/overnight (de los cuales)</t>
  </si>
  <si>
    <t xml:space="preserve">  Cartera — clientes y operaciones de leasing (de los cuales)</t>
  </si>
  <si>
    <t xml:space="preserve">  Intangibles — plusvalía (de los cuales)</t>
  </si>
  <si>
    <t xml:space="preserve">  Intangibles — otros intangibles (de los cuales)</t>
  </si>
  <si>
    <t>Pasivos</t>
  </si>
  <si>
    <t>Pasivos financieros derivados</t>
  </si>
  <si>
    <t>9.4/10</t>
  </si>
  <si>
    <t>Pasivos financieros a costo amortizado</t>
  </si>
  <si>
    <t>Beneficios a empleados</t>
  </si>
  <si>
    <t>22/-</t>
  </si>
  <si>
    <t>Provisiones (partida separada)</t>
  </si>
  <si>
    <t>23/-</t>
  </si>
  <si>
    <t>Pasivos no corrientes mantenidos para la venta — operación discontinua</t>
  </si>
  <si>
    <t>-/17</t>
  </si>
  <si>
    <t>Impuesto a las ganancias (pasivo)</t>
  </si>
  <si>
    <t>Cuentas por pagar y otros pasivos</t>
  </si>
  <si>
    <t>24/23</t>
  </si>
  <si>
    <t>Total pasivos</t>
  </si>
  <si>
    <t xml:space="preserve">  Costo amortizado — depósitos de clientes (de los cuales)</t>
  </si>
  <si>
    <t xml:space="preserve">  Costo amortizado — obligaciones financieras (de los cuales)</t>
  </si>
  <si>
    <t xml:space="preserve">  Costo amortizado — pasivo por arrendamiento (de los cuales)</t>
  </si>
  <si>
    <t>Patrimonio</t>
  </si>
  <si>
    <t>Capital suscrito y pagado</t>
  </si>
  <si>
    <t>25.1/24.1</t>
  </si>
  <si>
    <t>Prima en colocación de acciones</t>
  </si>
  <si>
    <t>Ganancias de ejercicios anteriores</t>
  </si>
  <si>
    <t>25.2/24.2</t>
  </si>
  <si>
    <t>Otro resultado integral</t>
  </si>
  <si>
    <t>26/25</t>
  </si>
  <si>
    <t>Patrimonio atribuible a los accionistas de la controladora</t>
  </si>
  <si>
    <t>Patrimonio atribuible a participaciones no controladoras</t>
  </si>
  <si>
    <t>27/-</t>
  </si>
  <si>
    <t>Total patrimonio</t>
  </si>
  <si>
    <t>Total pasivo y patrimonio</t>
  </si>
  <si>
    <t>Banco de Bogotá y Subsidiarias — Estado Consolidado de Flujos de Efectivo (auditado)</t>
  </si>
  <si>
    <t>COP millones. Same source-vintage basis as IS_Hist. Signs as published (outflows/decreases negative).</t>
  </si>
  <si>
    <t>Actividades de operación</t>
  </si>
  <si>
    <t>Deterioro cartera de crédito y otras cuentas por cobrar</t>
  </si>
  <si>
    <t>Provisión para deterioro de activos financieros, neto</t>
  </si>
  <si>
    <t>Depreciación y amortización</t>
  </si>
  <si>
    <t>14,15,18/14,15,16.2</t>
  </si>
  <si>
    <t>Ingresos por intereses</t>
  </si>
  <si>
    <t>Gastos por intereses</t>
  </si>
  <si>
    <t>(Ingreso) gasto por diferencia en cambio, neto</t>
  </si>
  <si>
    <t>30/28</t>
  </si>
  <si>
    <t>Dividendos causados</t>
  </si>
  <si>
    <t>Participación en el resultado de asociadas y negocios conjuntos</t>
  </si>
  <si>
    <t>31/30</t>
  </si>
  <si>
    <t>Cambios en el valor razonable sobre derivados</t>
  </si>
  <si>
    <t>Otros ajustes para conciliar la utilidad del ejercicio</t>
  </si>
  <si>
    <t>Aumento en instrumentos financieros derivados</t>
  </si>
  <si>
    <t>Aumento en activos financieros de inversión</t>
  </si>
  <si>
    <t>Aumento en cartera de crédito y arrendamiento financiero</t>
  </si>
  <si>
    <t>(Aumento) disminución en cuentas por cobrar</t>
  </si>
  <si>
    <t>Disminución en otros activos</t>
  </si>
  <si>
    <t>Aumento en depósitos de clientes</t>
  </si>
  <si>
    <t>Aumento (disminución) en préstamos interbancarios y overnight</t>
  </si>
  <si>
    <t>Aumento (disminución) en cuentas por pagar y otros pasivos</t>
  </si>
  <si>
    <t>Aumento (disminución) en beneficios a los empleados</t>
  </si>
  <si>
    <t>Intereses recibidos</t>
  </si>
  <si>
    <t>Intereses pagados</t>
  </si>
  <si>
    <t>Dividendos recibidos</t>
  </si>
  <si>
    <t>Impuesto a las ganancias pagado</t>
  </si>
  <si>
    <t>Efectivo neto provisto por las actividades de operación</t>
  </si>
  <si>
    <t>Actividades de inversión</t>
  </si>
  <si>
    <t>Aumento de inversiones a valor razonable</t>
  </si>
  <si>
    <t>Adquisición de inversiones a costo amortizado</t>
  </si>
  <si>
    <t>Adquisición de propiedades, planta y equipo</t>
  </si>
  <si>
    <t>Adquisición de propiedades de inversión</t>
  </si>
  <si>
    <t>Adquisición y/o desarrollo de activos intangibles</t>
  </si>
  <si>
    <t>18/16.2</t>
  </si>
  <si>
    <t>Redención de inversiones a costo amortizado</t>
  </si>
  <si>
    <t>Producto de la venta de activos no financieros</t>
  </si>
  <si>
    <t>Capitalización de compañías asociadas</t>
  </si>
  <si>
    <t>Aumento del efectivo por efecto de la operación discontinua</t>
  </si>
  <si>
    <t>Efectivo neto provisto por (utilizado en) las actividades de inversión</t>
  </si>
  <si>
    <t>Actividades de financiación</t>
  </si>
  <si>
    <t>Adquisición de obligaciones financieras</t>
  </si>
  <si>
    <t>Pago de obligaciones financieras</t>
  </si>
  <si>
    <t>Emisión de bonos en circulación</t>
  </si>
  <si>
    <t>Pago de bonos en circulación</t>
  </si>
  <si>
    <t>Pago de capital en cánones de arrendamientos</t>
  </si>
  <si>
    <t>Dividendos pagados</t>
  </si>
  <si>
    <t>Efectivo neto provisto por (utilizado en) las actividades de financiación</t>
  </si>
  <si>
    <t>Efecto por diferencia en cambio sobre el efectivo y equivalentes al efectivo</t>
  </si>
  <si>
    <t>Aumento (disminución) neto en efectivo y equivalentes al efectivo</t>
  </si>
  <si>
    <t>Efectivo y equivalentes al efectivo al comienzo del ejercicio</t>
  </si>
  <si>
    <t>Efectivo y equivalentes al efectivo al final del ejercicio</t>
  </si>
  <si>
    <t>Banco de Bogotá y Subsidiarias — Estado Consolidado de Cambios en el Patrimonio (auditado, condensado)</t>
  </si>
  <si>
    <t>COP millones. Condensed to total-equity roll-forward (controladora + NCI); ties to BS_Hist Total patrimonio. Full column-level (capital/prima/ganancias/ORI) detail available in source PDFs pp.9-11 (FY25) / pp.11 (FY24) but not reproduced line-by-line here.</t>
  </si>
  <si>
    <t>Patrimonio total — saldo inicial del año</t>
  </si>
  <si>
    <t>Traslado de resultado del ejercicio a ganancias de ejercicios anteriores</t>
  </si>
  <si>
    <t>Dividendos declarados</t>
  </si>
  <si>
    <t>25.3/24.3</t>
  </si>
  <si>
    <t>Otros</t>
  </si>
  <si>
    <t>Utilidad neta del ejercicio (resultado integral)</t>
  </si>
  <si>
    <t>Otro resultado integral (resultado integral)</t>
  </si>
  <si>
    <t>Realización de ORI a ganancias de ejercicios anteriores</t>
  </si>
  <si>
    <t>25/24.2</t>
  </si>
  <si>
    <t>Patrimonio total — saldo final del año</t>
  </si>
  <si>
    <t>Tie-out checks — audited historical statements (all deltas must be 0 within tolerance; COP millions)</t>
  </si>
  <si>
    <t>MASTER</t>
  </si>
  <si>
    <t>Check</t>
  </si>
  <si>
    <t>Tolerance</t>
  </si>
  <si>
    <t>Status</t>
  </si>
  <si>
    <t>IS: Ingresos por intereses neto = Total ingresos + Total gastos</t>
  </si>
  <si>
    <t>IS: Ingresos después de deterioro = neto + provisión + recuperación castigos</t>
  </si>
  <si>
    <t>IS: Utilidad antes de impuesto = cadena completa</t>
  </si>
  <si>
    <t>IS: Utilidad neta operaciones continuas = UAI + gasto impuesto</t>
  </si>
  <si>
    <t>IS: Utilidad neta ejercicio = continuas + discontinuadas</t>
  </si>
  <si>
    <t>IS: Utilidad neta = controladora + NCI</t>
  </si>
  <si>
    <t>CI: Total reclasificables = suma componentes</t>
  </si>
  <si>
    <t>CI: Total no reclasificables = suma componentes</t>
  </si>
  <si>
    <t>CI: Total ORI = reclasificables + no reclasificables</t>
  </si>
  <si>
    <t>CI: Resultado integral total = NI + ORI</t>
  </si>
  <si>
    <t>CI: Resultado integral = controladora + NCI</t>
  </si>
  <si>
    <t>BS: Total activos = suma de rubros</t>
  </si>
  <si>
    <t>BS: Total pasivos = suma de rubros</t>
  </si>
  <si>
    <t>BS: Patrimonio controladora = suma de componentes</t>
  </si>
  <si>
    <t>BS: Total patrimonio = controladora + NCI</t>
  </si>
  <si>
    <t>BS: Total pasivo y patrimonio = pasivos + patrimonio</t>
  </si>
  <si>
    <t>BS: Balance (Total activos − Total pasivo y patrimonio)</t>
  </si>
  <si>
    <t>CF: CFO = suma conciliación + capital de trabajo + intereses/dividendos/impuesto</t>
  </si>
  <si>
    <t>CF: CFI = suma de partidas de inversión</t>
  </si>
  <si>
    <t>CF: CFF = suma de partidas de financiación</t>
  </si>
  <si>
    <t>CF: Variación neta efectivo = CFO+CFI+CFF+efecto FX</t>
  </si>
  <si>
    <t>CF: Efectivo final = inicial + variación neta</t>
  </si>
  <si>
    <t>CF: Efectivo inicial[t] = Efectivo final[t-1] (FY24, FY25)</t>
  </si>
  <si>
    <t>SCE: Resultado integral total = NI + ORI</t>
  </si>
  <si>
    <t>SCE: Saldo final = inicial + traslado + dividendos + otros + resultado integral + realización ORI</t>
  </si>
  <si>
    <t>SCE: Saldo inicial[t] = Saldo final[t-1] (FY24, FY25)</t>
  </si>
  <si>
    <t>X: CF efectivo final = BS efectivo</t>
  </si>
  <si>
    <t>X: CF utilidad neta = IS utilidad neta</t>
  </si>
  <si>
    <t>X: BS utilidad neta ejercicio (patrimonio) = IS utilidad controladora</t>
  </si>
  <si>
    <t>X: BS total patrimonio = SCE saldo final</t>
  </si>
  <si>
    <t>X: CI utilidad neta = IS utilidad neta</t>
  </si>
  <si>
    <t>X: CI ORI = BS otro resultado integral, variación anual (FY24, FY25 only; informational, sign per policy differs)</t>
  </si>
  <si>
    <t>SCHED: Deposits_Funding total = BS_Hist memo depósitos (FY23/24/25)</t>
  </si>
  <si>
    <t>SCHED: Loan_Book etapas = cartera bruta revelaciones (FY24/25)</t>
  </si>
  <si>
    <t>SCHED: Credit_Quality deterioro roll-forward = Nota 11.5 saldo final (FY24/25)</t>
  </si>
  <si>
    <t>SCHED: Capital_Adequacy APNR recomputado = publicado (FY23/24/25, tolerancia redondeo)</t>
  </si>
  <si>
    <t>SCHED: Capital_Adequacy RSB recomputada = publicada (tolerancia 10bp)</t>
  </si>
  <si>
    <t>SCHED: Capital_Adequacy RST recomputada = publicada (tolerancia 10bp)</t>
  </si>
  <si>
    <t>USD: Total activos USD = BS_Hist total activos / TRM (detecta escalado espurio)</t>
  </si>
  <si>
    <t>USD: Total patrimonio USD = BS_Hist total patrimonio / TRM (detecta escalado espurio)</t>
  </si>
  <si>
    <t>USD: Utilidad neta USD = IS_Hist utilidad neta / TRM (detecta escalado espurio)</t>
  </si>
  <si>
    <t>USD translation layer — implied closing-rate presentation (policy: native-currency statements + USD memo at documented implied/closing rates)</t>
  </si>
  <si>
    <t>COP/USD closing (TRM) rates per Nota a los Estados Financieros (efecto de conversión de moneda extranjera). Statements remain COP-native; this sheet is memo-only, not a re-presentation currency.</t>
  </si>
  <si>
    <t>Scale convention: BS_Hist/IS_Hist source cells are stated in COP millions (per sheet convention). Dividing a COP-millions figure by the COP/USD closing rate (row 5) yields USD millions directly — no further /1000 scaling. All figures below are USD mm, consistent with their row labels. (Fix 2026-07-21: prior formulas carried a spurious extra /1000 that understated every USD figure here by 1000x — ver Change_Log fila 7. Verificacion independiente 2026-08-14: activos/patrimonio/utilidad recomputados desde BS_Hist/IS_Hist contra la TRM de la fila 5 — sin escalado residual; mecanizado en Checks_TieOut filas 43-45.)</t>
  </si>
  <si>
    <t>Metric</t>
  </si>
  <si>
    <t>COP/USD closing rate (TRM, 31-dic)</t>
  </si>
  <si>
    <t>FY2025 report, Nota sobre efecto de diferencia en cambio</t>
  </si>
  <si>
    <t>Total activos (USD mm)</t>
  </si>
  <si>
    <t>Total patrimonio (USD mm)</t>
  </si>
  <si>
    <t>Cartera de créditos, neta (USD mm)</t>
  </si>
  <si>
    <t>Depósitos de clientes (USD mm, memo, ver Deposits_Funding)</t>
  </si>
  <si>
    <t>Utilidad neta del ejercicio (USD mm)</t>
  </si>
  <si>
    <t>Loan_Book — Cartera de créditos y arrendamiento financiero (COP millones)</t>
  </si>
  <si>
    <t>Fuente: Nota 11, FY2025 annual report (pp.108-111), cifras "saldo según revelaciones" (incluye arrendamiento financiero). FY2023 no desglosado a este nivel en el set de fuentes disponible (gap).</t>
  </si>
  <si>
    <t>Por modalidad (saldo según revelaciones)</t>
  </si>
  <si>
    <t>Nota</t>
  </si>
  <si>
    <t>Comercial</t>
  </si>
  <si>
    <t>Consumo</t>
  </si>
  <si>
    <t>Vivienda</t>
  </si>
  <si>
    <t>Microcrédito</t>
  </si>
  <si>
    <t>Repos, interbancarios y otros</t>
  </si>
  <si>
    <t>Total cartera bruta (revelaciones)</t>
  </si>
  <si>
    <t>Deterioro total</t>
  </si>
  <si>
    <t>Total cartera neta (revelaciones)</t>
  </si>
  <si>
    <t>Debe ≈ BS_Hist Cartera de créditos y arrendamiento financiero, neta (diferencia = cartera a costo amortizado sin la reclasificación de nota — ver Checks_TieOut fila de reconciliación abajo)</t>
  </si>
  <si>
    <t>Por líneas de crédito principales (top items)</t>
  </si>
  <si>
    <t>Préstamos ordinarios</t>
  </si>
  <si>
    <t>Cartera hipotecaria para vivienda</t>
  </si>
  <si>
    <t>Libranzas</t>
  </si>
  <si>
    <t>Tarjetas de crédito</t>
  </si>
  <si>
    <t>Crédito constructor</t>
  </si>
  <si>
    <t>Por etapa NIIF 9 (cartera con arrendamiento financiero)</t>
  </si>
  <si>
    <t>Etapa 1</t>
  </si>
  <si>
    <t>Etapa 2</t>
  </si>
  <si>
    <t>Etapa 3</t>
  </si>
  <si>
    <t>Total por etapas</t>
  </si>
  <si>
    <t>Check: Total por etapas = Total cartera bruta (revelaciones)</t>
  </si>
  <si>
    <t>Por período de maduración (cartera con arrendamiento)</t>
  </si>
  <si>
    <t>Hasta 1 año</t>
  </si>
  <si>
    <t>Entre 1 y 3 años</t>
  </si>
  <si>
    <t>Entre 3 y 5 años</t>
  </si>
  <si>
    <t>Más de 5 años</t>
  </si>
  <si>
    <t>Total por maduración</t>
  </si>
  <si>
    <t>Deposits_Funding — Depósitos de clientes y fondeo mayorista (COP millones)</t>
  </si>
  <si>
    <t>Fondeo de dos lados: depósitos (Nota 20) y obligaciones financieras/bonos (BS memo, Nota 21) se presentan de forma independiente — nunca como plug residual de caja.</t>
  </si>
  <si>
    <t>Depósitos de clientes por tipo</t>
  </si>
  <si>
    <t>Cuentas corrientes</t>
  </si>
  <si>
    <t>Cuentas de ahorro</t>
  </si>
  <si>
    <t>Certificados de depósito a término (CDT)</t>
  </si>
  <si>
    <t>Total depósitos de clientes</t>
  </si>
  <si>
    <t>Debe = BS_Hist memo "Costo amortizado — depósitos de clientes"</t>
  </si>
  <si>
    <t>Check: vs BS_Hist memo depósitos</t>
  </si>
  <si>
    <t>Gasto por intereses de depósitos por tipo</t>
  </si>
  <si>
    <t>CDT</t>
  </si>
  <si>
    <t>Total gasto por intereses depósitos</t>
  </si>
  <si>
    <t>Debe = IS_Hist gastos por intereses (Depósitos de clientes), no capturado como fila separada en IS_Hist (ver NIM_Build)</t>
  </si>
  <si>
    <t>Fondeo mayorista (memo de BS, Nota 21) — obligaciones financieras y arrendamiento</t>
  </si>
  <si>
    <t>Obligaciones financieras</t>
  </si>
  <si>
    <t>Pasivo por arrendamiento</t>
  </si>
  <si>
    <t>Total fondeo mayorista</t>
  </si>
  <si>
    <t>Estructura de fondeo (memo)</t>
  </si>
  <si>
    <t>Depósitos / (Depósitos + fondeo mayorista)</t>
  </si>
  <si>
    <t>Gap financing: not modeled as a residual cash plug — deposits and wholesale funding both sourced independently from audited notes.</t>
  </si>
  <si>
    <t>NIM_Build — Margen neto de interés (COP millones)</t>
  </si>
  <si>
    <t>Limitación: el Banco no publica saldos promedio diarios en el paquete de fuentes; NIM se calcula sobre saldos de cierre de periodo (proxy), no promedios — etiquetado explícitamente.</t>
  </si>
  <si>
    <t>Métrica</t>
  </si>
  <si>
    <t>Fuente</t>
  </si>
  <si>
    <t>IS_Hist</t>
  </si>
  <si>
    <t>Ingresos por intereses, neto (spread bruto)</t>
  </si>
  <si>
    <t>Cartera de créditos, neta (cierre de periodo)</t>
  </si>
  <si>
    <t>BS_Hist</t>
  </si>
  <si>
    <t>Total activos (cierre de periodo)</t>
  </si>
  <si>
    <t>NIM sobre cartera (proxy, cierre) = ingresos netos / cartera neta</t>
  </si>
  <si>
    <t>NIM sobre activos totales (proxy, cierre)</t>
  </si>
  <si>
    <t>Rendimiento cartera (intereses cartera / cartera neta cierre)</t>
  </si>
  <si>
    <t>Nota 11 (FY2024/25 only)</t>
  </si>
  <si>
    <t>Costo de depósitos (gasto intereses depósitos / depósitos cierre)</t>
  </si>
  <si>
    <t>Credit_Quality — Calidad de cartera (COP millones)</t>
  </si>
  <si>
    <t>FY2024/FY2025 por etapa NIIF 9 (Nota 11.4). FY2023 stage split not available in source set (gap).</t>
  </si>
  <si>
    <t>Cartera bruta total (revelaciones)</t>
  </si>
  <si>
    <t>Etapa 3 (NPL, deteriorada)</t>
  </si>
  <si>
    <t>NPL ratio (Etapa 3 / cartera bruta)</t>
  </si>
  <si>
    <t>Deterioro total (provisión)</t>
  </si>
  <si>
    <t>Coverage ratio (deterioro total / Etapa 3)</t>
  </si>
  <si>
    <t>Cost of risk (provisión de deterioro del ejercicio, IS / cartera bruta cierre)</t>
  </si>
  <si>
    <t>IS_Hist row 8 / Loan_Book</t>
  </si>
  <si>
    <t>Movimiento del deterioro por modalidad (Nota 11.5)</t>
  </si>
  <si>
    <t>Saldo inicial</t>
  </si>
  <si>
    <t>Castigos del período</t>
  </si>
  <si>
    <t>Deterioro neto con efecto en resultado</t>
  </si>
  <si>
    <t>Reversión de intereses causados</t>
  </si>
  <si>
    <t>Diferencia en cambio</t>
  </si>
  <si>
    <t>Otros (garantía Finagro, venta cartera, op. discontinua, reclasificación ANCMV)</t>
  </si>
  <si>
    <t>Saldo final</t>
  </si>
  <si>
    <t>Check: saldo final = deterioro total (Nota 11)</t>
  </si>
  <si>
    <t>Capital_Adequacy — Indicadores de solvencia (Banco de Bogotá, base individual regulatoria; COP millones) — Nota 33 (FY25/FY24 reports)</t>
  </si>
  <si>
    <t>Regulación colombiana (Superintendencia Financiera). Mínimos: Solvencia Básica 4.50% (+2.50% colchón), Solvencia Total 9.00% (+2.50% colchón), Apalancamiento 3%.</t>
  </si>
  <si>
    <t>A. Patrimonio Básico Ordinario (PBO)</t>
  </si>
  <si>
    <t>33.1/33.2</t>
  </si>
  <si>
    <t>B. Patrimonio Básico Adicional (PBA)</t>
  </si>
  <si>
    <t>C. Total Patrimonio Básico (A+B)</t>
  </si>
  <si>
    <t>D. Patrimonio Adicional (PA)</t>
  </si>
  <si>
    <t>E. Deducciones del Patrimonio Técnico</t>
  </si>
  <si>
    <t>F. Patrimonio Técnico (C+D-E)</t>
  </si>
  <si>
    <t>G. APNR de Crédito</t>
  </si>
  <si>
    <t>H. Riesgo de mercado ponderado (VeR RM)</t>
  </si>
  <si>
    <t>I. Riesgo operacional ponderado (VeR RO)</t>
  </si>
  <si>
    <t>J. Activos Ponderados por Nivel de Riesgo (G+H+I)</t>
  </si>
  <si>
    <t>Check: J publicado (105,534,310 / 108,878,948 / 110,668,376)</t>
  </si>
  <si>
    <t>Relación de Solvencia Básica (RSB) — recomputada = C/J</t>
  </si>
  <si>
    <t>RSB publicada</t>
  </si>
  <si>
    <t>Check: RSB recomputada − publicada (tolerancia 0.001 = 10bp por redondeo)</t>
  </si>
  <si>
    <t>Relación de Solvencia Total (RST) — recomputada = F/J</t>
  </si>
  <si>
    <t>RST publicada</t>
  </si>
  <si>
    <t>Check: RST recomputada − publicada</t>
  </si>
  <si>
    <t>Valor de apalancamiento</t>
  </si>
  <si>
    <t>Relación de apalancamiento (min 3%) — recomputada = C/valor apalancamiento</t>
  </si>
  <si>
    <t>Relación de apalancamiento publicada</t>
  </si>
  <si>
    <t>Check: apalancamiento recomputado − publicado</t>
  </si>
  <si>
    <t>Sources_Audited — Banco de Bogotá consolidated audited financial statements (bancodebogota.com IR)</t>
  </si>
  <si>
    <t>All historical constants in IS_Hist/CI_Hist/BS_Hist/CF_Hist/SCE_Hist and the sector schedules are sourced from these audited PDFs. Statements entered as published constants (no recomputation in source sheets); all recomputation lives in Checks_TieOut.</t>
  </si>
  <si>
    <t>Model year</t>
  </si>
  <si>
    <t>Source report (file)</t>
  </si>
  <si>
    <t>Statement pages (printed page #)</t>
  </si>
  <si>
    <t>Note pages used for schedules</t>
  </si>
  <si>
    <t>FY2023A / FY2024A (as originally published)</t>
  </si>
  <si>
    <t>BancoDeBogota_EEFF-Consolidados-Notas-Dictamen_FY2024_al-31-dic-2024.pdf (Informe del Revisor Fiscal 25-feb-2025)</t>
  </si>
  <si>
    <t>BS pg.8, IS pg.9, CI pg.10, SCE pg.11, CF pg.12-13</t>
  </si>
  <si>
    <t>Nota 20 (Depósitos, pg~223 area); Nota 33 (Solvencia, pg.223-224 area)</t>
  </si>
  <si>
    <t>FY2025A (continuing + discontinued ops)</t>
  </si>
  <si>
    <t>BancoDeBogota_EEFF-Consolidados-Notas-Dictamen_FY2025_al-31-dic-2025.pdf (Informe del Revisor Fiscal 26-feb-2026)</t>
  </si>
  <si>
    <t>BS pg.6, IS pg.7, CI pg.8, SCE pg.9, CF pg.10-11</t>
  </si>
  <si>
    <t>Nota 11 (Cartera, pg.108-111); Nota 20 (Depósitos, pg.144-146); Nota 33 (Solvencia, pg.167-168)</t>
  </si>
  <si>
    <t>FY2022 comparative</t>
  </si>
  <si>
    <t>GAP: BancoDeBogota_EEFF-Consolidados-Notas-Dictamen_FY2023_al-31-dic-2023.pdf (the downloaded file with the dictamen, efs-y-notas-consolidados-bdb-dic23.pdf) contains the Informe del Revisor Fiscal and Notas 1-38 but NOT standalone primary statement pages (BS/IS/CI/SCE/CF) — it jumps directly from the audit opinion into Nota 1. FY2022 figures therefore not incorporated as a presented year; only used implicitly via the FY2024-report SCE opening balance (Nota 25.2, "Saldos al 31 de diciembre de 2022").</t>
  </si>
  <si>
    <t>N/A</t>
  </si>
  <si>
    <t>Presentation notes / audit signals</t>
  </si>
  <si>
    <t>1) BS: FY2024A comparative column differs between the FY2024 report and the FY2025 report (as-published FY2024 has separate "Propiedades de inversión" 215,988 and "Activos no corrientes mantenidos para la venta" 77,819 lines; FY2025 report folds both into "Otros activos" for its 2024 comparative, +293,807 net). Model uses the FY2024-report (as-originally-published) figures for FY2023A/FY2024A.</t>
  </si>
  <si>
    <t>2) IS: FY2024A total ingresos por intereses is 14,396,101 as originally published (FY2024 report) vs 13,186,071 in the FY2025 report's 2024 comparative — the FY2025 report restates 2024 to show continuing operations only (Multi Financial Group/Centroamérica discontinued per Nota 2.1). Net income ties (1,098,248) across both vintages; only the gross P&amp;L breakout differs. Model uses as-originally-published FY2024A figures.</t>
  </si>
  <si>
    <t>3) FY2025 has a material discontinued-operations event (sale process for Multi Financial Group, Nota 2.1/17): "Activos/Pasivos no corrientes mantenidos para la venta — operación discontinua" (18,199,621 / 16,459,367) and a P&amp;L line "Ganancia procedente de operaciones discontinuadas" (26,646). Shown as published, not netted.</t>
  </si>
  <si>
    <t>4) Loan_Book/Credit_Quality granular (by stage/product/maturity) detail available for FY2024A/FY2025A only (Nota 11 of the FY2025 report, which reports both years). FY2023A stage-level split not available in the source set — flagged as a gap, not inferred.</t>
  </si>
  <si>
    <t>5) Capital_Adequacy (Nota 33) is disclosed on a bank-standalone (Banco de Bogotá, individual) regulatory basis for all three years — the only basis on which Colombian solvency ratios are computed/reported, per Superintendencia Financiera rules. Recomputed ratios tie to published ratios within ~10bp (rounding).</t>
  </si>
  <si>
    <t>6) FX layer (USD_Translation): COP is the native/functional and sole presentation currency in the audited statements (no USD convenience translation, unlike Samsung/KRW). USD_Translation sheet applies documented year-end closing TRM rates disclosed in the notes (FY2023: 3,822.05; FY2024: 4,409.15; FY2025: 3,757.08 COP/USD) as a memo-only overlay — not a re-presentation currency, and not used for any income-statement average (limitation: no average-rate disclosure in the source set).</t>
  </si>
  <si>
    <t>7) NIM_Build uses period-end (not average) balances as the denominator — a stated proxy limitation; Banco de Bogotá does not disclose daily/monthly average balances in the audited-statement package.</t>
  </si>
  <si>
    <t>Assumptions_Forecast — FY2026E-FY2030E (PARTIAL — income-statement/ratio driver framework only, not a full driver-built 3-statement forecast)</t>
  </si>
  <si>
    <t>PARTIAL per build policy: source pack and time available support an impeccable 3-year audited historical base + schedules, but not a defensible full balance-sheet-driven 5-year forecast (loan-by-vintage repricing, deposit beta, RWA density paths not sourced). This sheet projects headline P&amp;L/ratio trajectories from FY2025A off explicit scenario drivers; it does NOT forecast the full balance sheet, cash flow, or capital stack. Do not treat as decision-ready.</t>
  </si>
  <si>
    <t>Scenario selector (1=Base,2=Bull,3=Bear)</t>
  </si>
  <si>
    <t>Driver</t>
  </si>
  <si>
    <t>Bear</t>
  </si>
  <si>
    <t>Base</t>
  </si>
  <si>
    <t>Bull</t>
  </si>
  <si>
    <t>Active</t>
  </si>
  <si>
    <t>Rationale</t>
  </si>
  <si>
    <t>Cartera bruta, crecimiento anual</t>
  </si>
  <si>
    <t>FY24→FY25 cartera bruta cayó -11.2% (venta cartera Centroamérica); Base asume normalización a crecimiento nominal COP moderado</t>
  </si>
  <si>
    <t>Depósitos de clientes, crecimiento anual</t>
  </si>
  <si>
    <t>Histórico FY23-25 muestra crecimiento de depósitos ~7-8% anual pese a caída de cartera</t>
  </si>
  <si>
    <t>NIM sobre cartera (proxy cierre)</t>
  </si>
  <si>
    <t>NIM_Build FY24=5.16%, FY25=5.22% (proxy cierre); rango scenario ±100-150bp por ciclo de tasas Banrep</t>
  </si>
  <si>
    <t>Costo de riesgo (deterioro / cartera bruta)</t>
  </si>
  <si>
    <t>Credit_Quality FY24=2.55%, FY25=2.50%</t>
  </si>
  <si>
    <t>Comisiones netas / cartera bruta</t>
  </si>
  <si>
    <t>FY25 comisiones netas 1,306,279 / cartera bruta 95,496,246 = 1.37%</t>
  </si>
  <si>
    <t>Tasa efectiva de impuesto</t>
  </si>
  <si>
    <t>FY25 gasto impuesto/utilidad antes impuesto = 11.7%; Bear asume normalización de beneficios fiscales</t>
  </si>
  <si>
    <t>Dividend payout (sobre utilidad neta atribuible)</t>
  </si>
  <si>
    <t>FY25 dividendos declarados 628,634 / utilidad neta atribuible FY24 1,090,198 = 57.7% (SCE); Base moderado</t>
  </si>
  <si>
    <t>Proyección (COP millones) — solo P&amp;L/ratios, NO balance completo</t>
  </si>
  <si>
    <t>FY2026E</t>
  </si>
  <si>
    <t>FY2027E</t>
  </si>
  <si>
    <t>FY2028E</t>
  </si>
  <si>
    <t>FY2029E</t>
  </si>
  <si>
    <t>FY2030E</t>
  </si>
  <si>
    <t>Cartera bruta (revelaciones)</t>
  </si>
  <si>
    <t>Ingresos por intereses neto (= NIM × cartera bruta)</t>
  </si>
  <si>
    <t>Provisión de deterioro (= costo de riesgo × cartera bruta)</t>
  </si>
  <si>
    <t>Comisiones netas (= % × cartera bruta)</t>
  </si>
  <si>
    <t>Utilidad antes de impuesto (proxy: NII+provisión+comisiones; excluye otros ingresos/gastos no proyectados)</t>
  </si>
  <si>
    <t>Utilidad neta (proxy, tras impuesto)</t>
  </si>
  <si>
    <t>Dividendos (proxy)</t>
  </si>
  <si>
    <t>PARTIAL — no incluye: balance de situación proyectado, RWA/capital proyectado, fondeo proyectado, CF proyectado, valuación. Gate de status = PARTIAL en Checks_TieOut y en la Cover.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</si>
  <si>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</si>
  <si>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</si>
  <si>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</si>
  <si>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</si>
  <si>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</si>
  <si>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</si>
  <si>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</si>
  <si>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D6.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</si>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</sst>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[Red](#,##0.0);-"/>
    <numFmt numFmtId="166" formatCode="0.0%;[Red](0.0%);-"/>
    <numFmt numFmtId="167" formatCode="0.0%"/>
    <numFmt numFmtId="168" formatCode="yyyy-mm-dd"/>
    <numFmt numFmtId="169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 val="0"/>
      <i val="0"/>
      <strike val="0"/>
      <sz val="10"/>
      <color rgb="FF000000"/>
      <name val="Arial"/>
    </font>
    <font>
      <b/>
      <i val="0"/>
      <strike val="0"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60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 applyAlignment="1">
      <alignment horizontal="general" vertical="bottom" textRotation="0" wrapText="1" indent="0" readingOrder="0"/>
    </xf>
    <xf numFmtId="164" fontId="2" fillId="3" borderId="0" xfId="0" applyNumberFormat="1" applyFont="1" applyFill="1"/>
    <xf numFmtId="164" fontId="5" fillId="3" borderId="0" xfId="0" applyNumberFormat="1" applyFont="1" applyFill="1"/>
    <xf numFmtId="164" fontId="5" fillId="3" borderId="1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0" borderId="0" xfId="0" applyNumberFormat="1" applyFont="1" applyAlignment="1">
      <alignment horizontal="general" vertical="bottom" textRotation="0" wrapText="1" indent="0" readingOrder="0"/>
    </xf>
    <xf numFmtId="164" fontId="8" fillId="0" borderId="0" xfId="0" applyNumberFormat="1" applyFont="1"/>
    <xf numFmtId="164" fontId="6" fillId="3" borderId="1" xfId="0" applyNumberFormat="1" applyFont="1" applyFill="1" applyBorder="1"/>
    <xf numFmtId="164" fontId="8" fillId="4" borderId="0" xfId="0" applyNumberFormat="1" applyFont="1" applyFill="1"/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0" borderId="0" xfId="0" applyNumberFormat="1" applyFont="1" applyAlignment="1">
      <alignment horizontal="general" vertical="bottom" textRotation="0" wrapText="1" indent="0" readingOrder="0"/>
    </xf>
    <xf numFmtId="164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8" fillId="4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/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0" xfId="0" applyNumberFormat="1" applyFont="1"/>
    <xf numFmtId="165" fontId="2" fillId="0" borderId="1" xfId="0" applyNumberFormat="1" applyFont="1" applyBorder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general" vertical="bottom" textRotation="0" wrapText="1" indent="0" readingOrder="0"/>
    </xf>
    <xf numFmtId="164" fontId="9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9" fillId="0" borderId="1" xfId="0" applyNumberFormat="1" applyFont="1" applyBorder="1"/>
    <xf numFmtId="166" fontId="2" fillId="0" borderId="1" xfId="0" applyNumberFormat="1" applyFont="1" applyBorder="1"/>
    <xf numFmtId="164" fontId="10" fillId="0" borderId="0" xfId="0" applyNumberFormat="1" applyFont="1"/>
    <xf numFmtId="166" fontId="10" fillId="0" borderId="1" xfId="0" applyNumberFormat="1" applyFont="1" applyBorder="1"/>
    <xf numFmtId="166" fontId="8" fillId="0" borderId="1" xfId="0" applyNumberFormat="1" applyFont="1" applyBorder="1"/>
    <xf numFmtId="164" fontId="10" fillId="0" borderId="0" xfId="0" applyNumberFormat="1" applyFont="1" applyAlignment="1">
      <alignment horizontal="general" vertical="bottom" textRotation="0" wrapText="1" indent="0" readingOrder="0"/>
    </xf>
    <xf numFmtId="166" fontId="10" fillId="0" borderId="1" xfId="0" applyNumberFormat="1" applyFont="1" applyBorder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4" fontId="2" fillId="6" borderId="0" xfId="0" applyNumberFormat="1" applyFont="1" applyFill="1"/>
    <xf numFmtId="164" fontId="11" fillId="6" borderId="0" xfId="0" applyNumberFormat="1" applyFont="1" applyFill="1"/>
    <xf numFmtId="164" fontId="11" fillId="6" borderId="2" xfId="0" applyNumberFormat="1" applyFont="1" applyFill="1" applyBorder="1"/>
    <xf numFmtId="164" fontId="11" fillId="6" borderId="3" xfId="0" applyNumberFormat="1" applyFont="1" applyFill="1" applyBorder="1"/>
    <xf numFmtId="164" fontId="11" fillId="6" borderId="4" xfId="0" applyNumberFormat="1" applyFont="1" applyFill="1" applyBorder="1"/>
    <xf numFmtId="164" fontId="11" fillId="6" borderId="1" xfId="0" applyNumberFormat="1" applyFont="1" applyFill="1" applyBorder="1"/>
    <xf numFmtId="164" fontId="12" fillId="6" borderId="1" xfId="0" applyNumberFormat="1" applyFont="1" applyFill="1" applyBorder="1"/>
    <xf numFmtId="164" fontId="12" fillId="6" borderId="1" xfId="0" applyNumberFormat="1" applyFont="1" applyFill="1" applyBorder="1" applyAlignment="1">
      <alignment horizontal="general" vertical="bottom" textRotation="0" wrapText="1" indent="0" readingOrder="0"/>
    </xf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general" vertical="bottom" textRotation="0" wrapText="1" indent="0" readingOrder="0"/>
    </xf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0" borderId="1" xfId="0" applyNumberFormat="1" applyFont="1" applyBorder="1"/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general" vertical="bottom" textRotation="0" wrapText="1" indent="0" readingOrder="0"/>
    </xf>
    <xf numFmtId="168" fontId="0" fillId="0" borderId="0" xfId="0" applyNumberFormat="1"/>
    <xf numFmtId="0" fontId="13" fillId="0" borderId="0" xfId="0" applyFont="1" applyFill="1" applyAlignment="1" applyProtection="1">
      <alignment vertical="top"/>
      <protection locked="1" hidden="0"/>
    </xf>
    <xf numFmtId="169" fontId="13" fillId="0" borderId="0" xfId="0" applyNumberFormat="1" applyFont="1" applyFill="1" applyAlignment="1" applyProtection="1">
      <alignment vertical="top"/>
      <protection locked="1" hidden="0"/>
    </xf>
    <xf numFmtId="0" fontId="14" fillId="0" borderId="0" xfId="0" applyFont="1" applyFill="1" applyProtection="1"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4797cbcc65b24aa1" Type="http://schemas.openxmlformats.org/officeDocument/2006/relationships/styles" Target="/xl/styles.xml"/><Relationship Id="Rf072028a1c1349c1" Type="http://schemas.openxmlformats.org/officeDocument/2006/relationships/theme" Target="/xl/theme/theme1.xml"/><Relationship Id="Rfebc346c12ab4c0c" Type="http://schemas.openxmlformats.org/officeDocument/2006/relationships/sharedStrings" Target="/xl/sharedStrings.xml"/><Relationship Id="Re5f4eca07c2e48b3" Type="http://schemas.openxmlformats.org/officeDocument/2006/relationships/worksheet" Target="/xl/worksheets/sheet1.xml"/><Relationship Id="Rce300f76e4784ec6" Type="http://schemas.openxmlformats.org/officeDocument/2006/relationships/worksheet" Target="/xl/worksheets/sheet2.xml"/><Relationship Id="R5656ed11fd5342b3" Type="http://schemas.openxmlformats.org/officeDocument/2006/relationships/worksheet" Target="/xl/worksheets/sheet3.xml"/><Relationship Id="Rcaf5c2920988451e" Type="http://schemas.openxmlformats.org/officeDocument/2006/relationships/worksheet" Target="/xl/worksheets/sheet4.xml"/><Relationship Id="R8fc7e3522f7645a6" Type="http://schemas.openxmlformats.org/officeDocument/2006/relationships/worksheet" Target="/xl/worksheets/sheet5.xml"/><Relationship Id="Reb388501c7db45d5" Type="http://schemas.openxmlformats.org/officeDocument/2006/relationships/worksheet" Target="/xl/worksheets/sheet6.xml"/><Relationship Id="Rae2586e2b1ab4f33" Type="http://schemas.openxmlformats.org/officeDocument/2006/relationships/worksheet" Target="/xl/worksheets/sheet7.xml"/><Relationship Id="rId1" Type="http://schemas.openxmlformats.org/officeDocument/2006/relationships/worksheet" Target="worksheets/sheet8.xml"/><Relationship Id="rId2" Type="http://schemas.openxmlformats.org/officeDocument/2006/relationships/worksheet" Target="worksheets/sheet9.xml"/><Relationship Id="rId3" Type="http://schemas.openxmlformats.org/officeDocument/2006/relationships/worksheet" Target="worksheets/sheet10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6.xml"/><Relationship Id="rId1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 t="s">
        <v>22</v>
      </c>
      <c r="B14" s="18" t="s">
        <v>23</v>
      </c>
      <c r="C14" s="18"/>
      <c r="D14" s="18"/>
      <c r="E14" s="18"/>
      <c r="F14" s="18"/>
      <c r="G14" s="18"/>
      <c r="H14" s="18"/>
    </row>
    <row r="15" ht="45" customHeight="1">
      <c r="A15" s="16" t="s">
        <v>24</v>
      </c>
      <c r="B15" s="16" t="s">
        <v>25</v>
      </c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26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27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28</v>
      </c>
      <c r="B4" s="19" t="s">
        <v>29</v>
      </c>
      <c r="C4" s="19" t="s">
        <v>30</v>
      </c>
      <c r="D4" s="19" t="s">
        <v>31</v>
      </c>
      <c r="E4" s="19" t="s">
        <v>32</v>
      </c>
      <c r="F4" s="19" t="s">
        <v>33</v>
      </c>
    </row>
    <row r="5">
      <c r="A5" s="23" t="s">
        <v>34</v>
      </c>
      <c r="B5" s="23" t="s">
        <v>35</v>
      </c>
      <c r="C5" s="23" t="s">
        <v>36</v>
      </c>
      <c r="D5" s="23" t="s">
        <v>37</v>
      </c>
      <c r="E5" s="23" t="s">
        <v>38</v>
      </c>
      <c r="F5" s="23" t="s">
        <v>39</v>
      </c>
    </row>
    <row r="6">
      <c r="A6" s="23">
        <v>46224</v>
      </c>
      <c r="B6" s="23">
        <v>2</v>
      </c>
      <c r="C6" s="23" t="s">
        <v>40</v>
      </c>
      <c r="D6" s="23" t="s">
        <v>41</v>
      </c>
      <c r="E6" s="23" t="s">
        <v>42</v>
      </c>
      <c r="F6" s="23" t="s">
        <v>43</v>
      </c>
    </row>
    <row r="7">
      <c r="A7" s="56">
        <v>46248</v>
      </c>
      <c r="B7" s="18">
        <v>2.1</v>
      </c>
      <c r="C7" s="18" t="s">
        <v>44</v>
      </c>
      <c r="D7" s="18" t="s">
        <v>45</v>
      </c>
      <c r="E7" s="18" t="s">
        <v>46</v>
      </c>
      <c r="F7" s="18" t="s">
        <v>47</v>
      </c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ColWidth="8.375" defaultRowHeight="15"/>
  <sheetData>
    <row r="1">
      <c r="A1" t="s">
        <v>48</v>
      </c>
    </row>
    <row r="2">
      <c r="A2" t="s">
        <v>49</v>
      </c>
    </row>
    <row r="4">
      <c r="A4" t="s">
        <v>50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55</v>
      </c>
      <c r="B5">
        <v>14381561</v>
      </c>
      <c r="C5">
        <v>14396101</v>
      </c>
      <c r="D5">
        <v>12215662</v>
      </c>
      <c r="F5" t="s">
        <v>56</v>
      </c>
    </row>
    <row r="6">
      <c r="A6" t="s">
        <v>57</v>
      </c>
      <c r="B6">
        <v>-9345442</v>
      </c>
      <c r="C6">
        <v>-9147250</v>
      </c>
      <c r="D6">
        <v>-7471702</v>
      </c>
      <c r="F6" t="s">
        <v>56</v>
      </c>
    </row>
    <row r="7">
      <c r="A7" t="s">
        <v>58</v>
      </c>
      <c r="B7">
        <v>5036119</v>
      </c>
      <c r="C7">
        <v>5248851</v>
      </c>
      <c r="D7">
        <v>4743960</v>
      </c>
    </row>
    <row r="8">
      <c r="A8" t="s">
        <v>59</v>
      </c>
      <c r="B8">
        <v>-2561892</v>
      </c>
      <c r="C8">
        <v>-2496951</v>
      </c>
      <c r="D8">
        <v>-2290075</v>
      </c>
      <c r="F8" t="s">
        <v>60</v>
      </c>
    </row>
    <row r="9">
      <c r="A9" t="s">
        <v>61</v>
      </c>
      <c r="B9">
        <v>265869</v>
      </c>
      <c r="C9">
        <v>280338</v>
      </c>
      <c r="D9">
        <v>416761</v>
      </c>
      <c r="F9">
        <v>10.6</v>
      </c>
    </row>
    <row r="10">
      <c r="A10" t="s">
        <v>62</v>
      </c>
      <c r="B10">
        <v>2740096</v>
      </c>
      <c r="C10">
        <v>3032238</v>
      </c>
      <c r="D10">
        <v>2870646</v>
      </c>
    </row>
    <row r="11">
      <c r="A11" t="s">
        <v>63</v>
      </c>
      <c r="B11">
        <v>1471621</v>
      </c>
      <c r="C11">
        <v>1463303</v>
      </c>
      <c r="D11">
        <v>1306279</v>
      </c>
      <c r="F11" t="s">
        <v>64</v>
      </c>
    </row>
    <row r="12">
      <c r="A12" t="s">
        <v>65</v>
      </c>
      <c r="B12">
        <v>-2050745</v>
      </c>
      <c r="C12">
        <v>20205</v>
      </c>
      <c r="D12">
        <v>-70488</v>
      </c>
      <c r="F12" t="s">
        <v>66</v>
      </c>
    </row>
    <row r="13">
      <c r="A13" t="s">
        <v>67</v>
      </c>
      <c r="B13">
        <v>1663552</v>
      </c>
      <c r="C13">
        <v>-304676</v>
      </c>
      <c r="D13">
        <v>393112</v>
      </c>
      <c r="F13" t="s">
        <v>68</v>
      </c>
    </row>
    <row r="14">
      <c r="A14" t="s">
        <v>69</v>
      </c>
      <c r="B14">
        <v>1193607</v>
      </c>
      <c r="C14">
        <v>904730</v>
      </c>
      <c r="D14">
        <v>611037</v>
      </c>
      <c r="F14" t="s">
        <v>70</v>
      </c>
    </row>
    <row r="15">
      <c r="A15" t="s">
        <v>71</v>
      </c>
      <c r="B15">
        <v>-3721567</v>
      </c>
      <c r="C15">
        <v>-3851708</v>
      </c>
      <c r="D15">
        <v>-3696808</v>
      </c>
      <c r="F15" t="s">
        <v>72</v>
      </c>
    </row>
    <row r="16">
      <c r="A16" t="s">
        <v>73</v>
      </c>
      <c r="B16">
        <v>1296564</v>
      </c>
      <c r="C16">
        <v>1264092</v>
      </c>
      <c r="D16">
        <v>1413778</v>
      </c>
    </row>
    <row r="17">
      <c r="A17" t="s">
        <v>74</v>
      </c>
      <c r="B17">
        <v>-327630</v>
      </c>
      <c r="C17">
        <v>-165844</v>
      </c>
      <c r="D17">
        <v>-164800</v>
      </c>
      <c r="F17" t="s">
        <v>75</v>
      </c>
    </row>
    <row r="18">
      <c r="A18" t="s">
        <v>76</v>
      </c>
      <c r="B18">
        <v>968934</v>
      </c>
      <c r="C18">
        <v>1098248</v>
      </c>
      <c r="D18">
        <v>1248978</v>
      </c>
    </row>
    <row r="19">
      <c r="A19" t="s">
        <v>77</v>
      </c>
      <c r="D19">
        <v>26646</v>
      </c>
      <c r="F19">
        <v>2.1</v>
      </c>
    </row>
    <row r="20">
      <c r="A20" t="s">
        <v>78</v>
      </c>
      <c r="B20">
        <v>968934</v>
      </c>
      <c r="C20">
        <v>1098248</v>
      </c>
      <c r="D20">
        <v>1275624</v>
      </c>
    </row>
    <row r="22">
      <c r="A22" t="s">
        <v>79</v>
      </c>
    </row>
    <row r="23">
      <c r="A23" t="s">
        <v>80</v>
      </c>
      <c r="B23">
        <v>954136</v>
      </c>
      <c r="C23">
        <v>1090198</v>
      </c>
      <c r="D23">
        <v>1270063</v>
      </c>
    </row>
    <row r="24">
      <c r="A24" t="s">
        <v>81</v>
      </c>
      <c r="B24">
        <v>14798</v>
      </c>
      <c r="C24">
        <v>8050</v>
      </c>
      <c r="D24">
        <v>5561</v>
      </c>
      <c r="F24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ColWidth="8.375" defaultRowHeight="15"/>
  <sheetData>
    <row r="1">
      <c r="A1" t="s">
        <v>82</v>
      </c>
    </row>
    <row r="2">
      <c r="A2" t="s">
        <v>83</v>
      </c>
    </row>
    <row r="4">
      <c r="A4" t="s">
        <v>50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78</v>
      </c>
      <c r="B5">
        <v>968934</v>
      </c>
      <c r="C5">
        <v>1098248</v>
      </c>
      <c r="D5">
        <v>1275624</v>
      </c>
    </row>
    <row r="6">
      <c r="A6" t="s">
        <v>84</v>
      </c>
    </row>
    <row r="7">
      <c r="A7" t="s">
        <v>85</v>
      </c>
      <c r="B7">
        <v>-49202</v>
      </c>
      <c r="C7">
        <v>53140</v>
      </c>
      <c r="D7">
        <v>63419</v>
      </c>
      <c r="F7" t="s">
        <v>86</v>
      </c>
    </row>
    <row r="8">
      <c r="A8" t="s">
        <v>87</v>
      </c>
      <c r="B8">
        <v>-152838</v>
      </c>
      <c r="C8">
        <v>64956</v>
      </c>
      <c r="D8">
        <v>-129556</v>
      </c>
      <c r="F8" t="s">
        <v>88</v>
      </c>
    </row>
    <row r="9">
      <c r="A9" t="s">
        <v>89</v>
      </c>
      <c r="B9">
        <v>677964</v>
      </c>
      <c r="C9">
        <v>26442</v>
      </c>
      <c r="D9">
        <v>-57676</v>
      </c>
      <c r="F9" t="s">
        <v>88</v>
      </c>
    </row>
    <row r="10">
      <c r="A10" t="s">
        <v>90</v>
      </c>
      <c r="B10">
        <v>1497</v>
      </c>
      <c r="C10">
        <v>3094</v>
      </c>
      <c r="D10">
        <v>4480</v>
      </c>
      <c r="F10" t="s">
        <v>88</v>
      </c>
    </row>
    <row r="11">
      <c r="A11" t="s">
        <v>91</v>
      </c>
      <c r="B11">
        <v>67609</v>
      </c>
      <c r="C11">
        <v>162344</v>
      </c>
      <c r="D11">
        <v>43137</v>
      </c>
      <c r="F11" t="s">
        <v>92</v>
      </c>
    </row>
    <row r="12">
      <c r="A12" t="s">
        <v>93</v>
      </c>
      <c r="B12">
        <v>-451316</v>
      </c>
      <c r="C12">
        <v>172732</v>
      </c>
      <c r="D12">
        <v>-122715</v>
      </c>
      <c r="F12" t="s">
        <v>88</v>
      </c>
    </row>
    <row r="13">
      <c r="A13" t="s">
        <v>94</v>
      </c>
      <c r="B13">
        <v>93714</v>
      </c>
      <c r="C13">
        <v>482708</v>
      </c>
      <c r="D13">
        <v>-198911</v>
      </c>
    </row>
    <row r="14">
      <c r="A14" t="s">
        <v>95</v>
      </c>
    </row>
    <row r="15">
      <c r="A15" t="s">
        <v>96</v>
      </c>
      <c r="B15">
        <v>-19897</v>
      </c>
      <c r="C15">
        <v>-1374</v>
      </c>
      <c r="D15">
        <v>1932</v>
      </c>
      <c r="F15" t="s">
        <v>88</v>
      </c>
    </row>
    <row r="16">
      <c r="A16" t="s">
        <v>97</v>
      </c>
      <c r="B16">
        <v>26602</v>
      </c>
      <c r="C16">
        <v>26818</v>
      </c>
      <c r="D16">
        <v>-399</v>
      </c>
      <c r="F16" t="s">
        <v>88</v>
      </c>
    </row>
    <row r="17">
      <c r="A17" t="s">
        <v>98</v>
      </c>
      <c r="B17">
        <v>10405</v>
      </c>
      <c r="C17">
        <v>-8956</v>
      </c>
      <c r="D17">
        <v>52</v>
      </c>
      <c r="F17" t="s">
        <v>92</v>
      </c>
    </row>
    <row r="18">
      <c r="A18" t="s">
        <v>99</v>
      </c>
      <c r="B18">
        <v>3752</v>
      </c>
      <c r="C18">
        <v>-4259</v>
      </c>
      <c r="D18">
        <v>-658</v>
      </c>
      <c r="F18" t="s">
        <v>88</v>
      </c>
    </row>
    <row r="19">
      <c r="A19" t="s">
        <v>100</v>
      </c>
      <c r="B19">
        <v>20862</v>
      </c>
      <c r="C19">
        <v>12229</v>
      </c>
      <c r="D19">
        <v>927</v>
      </c>
    </row>
    <row r="20">
      <c r="A20" t="s">
        <v>101</v>
      </c>
      <c r="B20">
        <v>114576</v>
      </c>
      <c r="C20">
        <v>494937</v>
      </c>
      <c r="D20">
        <v>-197984</v>
      </c>
      <c r="F20" t="s">
        <v>102</v>
      </c>
    </row>
    <row r="21">
      <c r="A21" t="s">
        <v>103</v>
      </c>
      <c r="B21">
        <v>1083510</v>
      </c>
      <c r="C21">
        <v>1593185</v>
      </c>
      <c r="D21">
        <v>1077640</v>
      </c>
    </row>
    <row r="22">
      <c r="A22" t="s">
        <v>104</v>
      </c>
    </row>
    <row r="23">
      <c r="A23" t="s">
        <v>80</v>
      </c>
      <c r="B23">
        <v>1070092</v>
      </c>
      <c r="C23">
        <v>1583685</v>
      </c>
      <c r="D23">
        <v>1072807</v>
      </c>
    </row>
    <row r="24">
      <c r="A24" t="s">
        <v>81</v>
      </c>
      <c r="B24">
        <v>13418</v>
      </c>
      <c r="C24">
        <v>9500</v>
      </c>
      <c r="D24">
        <v>4833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ColWidth="8.375" defaultRowHeight="15"/>
  <sheetData>
    <row r="1">
      <c r="A1" t="s">
        <v>105</v>
      </c>
    </row>
    <row r="2">
      <c r="A2" t="s">
        <v>106</v>
      </c>
    </row>
    <row r="4">
      <c r="A4" t="s">
        <v>50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107</v>
      </c>
    </row>
    <row r="6">
      <c r="A6" t="s">
        <v>108</v>
      </c>
      <c r="B6">
        <v>8133342</v>
      </c>
      <c r="C6">
        <v>7022388</v>
      </c>
      <c r="D6">
        <v>9226407</v>
      </c>
      <c r="F6" t="s">
        <v>109</v>
      </c>
    </row>
    <row r="7">
      <c r="A7" t="s">
        <v>110</v>
      </c>
      <c r="B7">
        <v>18031032</v>
      </c>
      <c r="C7">
        <v>22230623</v>
      </c>
      <c r="D7">
        <v>21053279</v>
      </c>
      <c r="F7" t="s">
        <v>111</v>
      </c>
    </row>
    <row r="8">
      <c r="A8" t="s">
        <v>112</v>
      </c>
      <c r="B8">
        <v>93586560</v>
      </c>
      <c r="C8">
        <v>102103120</v>
      </c>
      <c r="D8">
        <v>90910760</v>
      </c>
      <c r="F8" t="s">
        <v>56</v>
      </c>
    </row>
    <row r="9">
      <c r="A9" t="s">
        <v>113</v>
      </c>
      <c r="B9">
        <v>3580401</v>
      </c>
      <c r="C9">
        <v>3700933</v>
      </c>
      <c r="D9">
        <v>2785285</v>
      </c>
      <c r="F9" t="s">
        <v>114</v>
      </c>
    </row>
    <row r="10">
      <c r="A10" t="s">
        <v>115</v>
      </c>
      <c r="B10">
        <v>76024</v>
      </c>
      <c r="C10">
        <v>77819</v>
      </c>
      <c r="F10">
        <v>12</v>
      </c>
    </row>
    <row r="11">
      <c r="A11" t="s">
        <v>116</v>
      </c>
      <c r="B11">
        <v>9109180</v>
      </c>
      <c r="C11">
        <v>9516086</v>
      </c>
      <c r="D11">
        <v>9891486</v>
      </c>
      <c r="F11">
        <v>13</v>
      </c>
    </row>
    <row r="12">
      <c r="A12" t="s">
        <v>117</v>
      </c>
      <c r="B12">
        <v>946477</v>
      </c>
      <c r="C12">
        <v>960535</v>
      </c>
      <c r="D12">
        <v>568571</v>
      </c>
      <c r="F12">
        <v>14</v>
      </c>
    </row>
    <row r="13">
      <c r="A13" t="s">
        <v>118</v>
      </c>
      <c r="B13">
        <v>470319</v>
      </c>
      <c r="C13">
        <v>497269</v>
      </c>
      <c r="D13">
        <v>432061</v>
      </c>
      <c r="F13">
        <v>15</v>
      </c>
    </row>
    <row r="14">
      <c r="A14" t="s">
        <v>119</v>
      </c>
      <c r="B14">
        <v>209547</v>
      </c>
      <c r="C14">
        <v>215988</v>
      </c>
      <c r="F14" t="s">
        <v>120</v>
      </c>
    </row>
    <row r="15">
      <c r="A15" t="s">
        <v>121</v>
      </c>
      <c r="B15">
        <v>1504213</v>
      </c>
      <c r="C15">
        <v>1709708</v>
      </c>
      <c r="D15">
        <v>1507444</v>
      </c>
      <c r="F15" t="s">
        <v>122</v>
      </c>
    </row>
    <row r="16">
      <c r="A16" t="s">
        <v>123</v>
      </c>
      <c r="D16">
        <v>18199621</v>
      </c>
      <c r="F16" t="s">
        <v>124</v>
      </c>
    </row>
    <row r="17">
      <c r="A17" t="s">
        <v>125</v>
      </c>
      <c r="B17">
        <v>1686333</v>
      </c>
      <c r="C17">
        <v>2496470</v>
      </c>
      <c r="D17">
        <v>1402213</v>
      </c>
      <c r="F17" t="s">
        <v>75</v>
      </c>
    </row>
    <row r="18">
      <c r="A18" t="s">
        <v>126</v>
      </c>
      <c r="B18">
        <v>140608</v>
      </c>
      <c r="C18">
        <v>188688</v>
      </c>
      <c r="D18">
        <v>187232</v>
      </c>
    </row>
    <row r="19">
      <c r="A19" t="s">
        <v>127</v>
      </c>
      <c r="B19">
        <v>137474036</v>
      </c>
      <c r="C19">
        <v>150719627</v>
      </c>
      <c r="D19">
        <v>156164359</v>
      </c>
    </row>
    <row r="21">
      <c r="A21" t="s">
        <v>128</v>
      </c>
      <c r="B21">
        <v>237855</v>
      </c>
      <c r="C21">
        <v>227912</v>
      </c>
      <c r="D21">
        <v>13871</v>
      </c>
    </row>
    <row r="22">
      <c r="A22" t="s">
        <v>129</v>
      </c>
      <c r="B22">
        <v>93348705</v>
      </c>
      <c r="C22">
        <v>101875208</v>
      </c>
      <c r="D22">
        <v>90896889</v>
      </c>
    </row>
    <row r="23">
      <c r="A23" t="s">
        <v>130</v>
      </c>
      <c r="B23">
        <v>605129</v>
      </c>
      <c r="C23">
        <v>626515</v>
      </c>
      <c r="D23">
        <v>465905</v>
      </c>
    </row>
    <row r="24">
      <c r="A24" t="s">
        <v>131</v>
      </c>
      <c r="B24">
        <v>899084</v>
      </c>
      <c r="C24">
        <v>1083193</v>
      </c>
      <c r="D24">
        <v>1041539</v>
      </c>
    </row>
    <row r="26">
      <c r="A26" t="s">
        <v>132</v>
      </c>
    </row>
    <row r="27">
      <c r="A27" t="s">
        <v>133</v>
      </c>
      <c r="B27">
        <v>1033907</v>
      </c>
      <c r="C27">
        <v>394985</v>
      </c>
      <c r="D27">
        <v>399138</v>
      </c>
      <c r="F27" t="s">
        <v>134</v>
      </c>
    </row>
    <row r="28">
      <c r="A28" t="s">
        <v>135</v>
      </c>
      <c r="B28">
        <v>116661327</v>
      </c>
      <c r="C28">
        <v>130101835</v>
      </c>
      <c r="D28">
        <v>119016228</v>
      </c>
    </row>
    <row r="29">
      <c r="A29" t="s">
        <v>136</v>
      </c>
      <c r="B29">
        <v>255186</v>
      </c>
      <c r="C29">
        <v>282020</v>
      </c>
      <c r="D29">
        <v>267086</v>
      </c>
      <c r="F29" t="s">
        <v>137</v>
      </c>
    </row>
    <row r="30">
      <c r="A30" t="s">
        <v>138</v>
      </c>
      <c r="B30">
        <v>41728</v>
      </c>
      <c r="C30">
        <v>40327</v>
      </c>
      <c r="F30" t="s">
        <v>139</v>
      </c>
    </row>
    <row r="31">
      <c r="A31" t="s">
        <v>140</v>
      </c>
      <c r="D31">
        <v>16459367</v>
      </c>
      <c r="F31" t="s">
        <v>141</v>
      </c>
    </row>
    <row r="32">
      <c r="A32" t="s">
        <v>142</v>
      </c>
      <c r="B32">
        <v>89745</v>
      </c>
      <c r="C32">
        <v>74091</v>
      </c>
      <c r="D32">
        <v>7523</v>
      </c>
      <c r="F32" t="s">
        <v>75</v>
      </c>
    </row>
    <row r="33">
      <c r="A33" t="s">
        <v>143</v>
      </c>
      <c r="B33">
        <v>3623121</v>
      </c>
      <c r="C33">
        <v>2983991</v>
      </c>
      <c r="D33">
        <v>2721253</v>
      </c>
      <c r="F33" t="s">
        <v>144</v>
      </c>
    </row>
    <row r="34">
      <c r="A34" t="s">
        <v>145</v>
      </c>
      <c r="B34">
        <v>121705014</v>
      </c>
      <c r="C34">
        <v>133877249</v>
      </c>
      <c r="D34">
        <v>138870595</v>
      </c>
    </row>
    <row r="36">
      <c r="A36" t="s">
        <v>146</v>
      </c>
      <c r="B36">
        <v>91083792</v>
      </c>
      <c r="C36">
        <v>104258975</v>
      </c>
      <c r="D36">
        <v>98086011</v>
      </c>
      <c r="F36">
        <v>20</v>
      </c>
    </row>
    <row r="37">
      <c r="A37" t="s">
        <v>147</v>
      </c>
      <c r="B37">
        <v>24862230</v>
      </c>
      <c r="C37">
        <v>25083047</v>
      </c>
      <c r="D37">
        <v>20230822</v>
      </c>
      <c r="F37">
        <v>21</v>
      </c>
    </row>
    <row r="38">
      <c r="A38" t="s">
        <v>148</v>
      </c>
      <c r="B38">
        <v>715305</v>
      </c>
      <c r="C38">
        <v>759813</v>
      </c>
      <c r="D38">
        <v>699395</v>
      </c>
      <c r="F38">
        <v>21.5</v>
      </c>
    </row>
    <row r="40">
      <c r="A40" t="s">
        <v>149</v>
      </c>
    </row>
    <row r="41">
      <c r="A41" t="s">
        <v>150</v>
      </c>
      <c r="B41">
        <v>3553</v>
      </c>
      <c r="C41">
        <v>3553</v>
      </c>
      <c r="D41">
        <v>3553</v>
      </c>
      <c r="F41" t="s">
        <v>151</v>
      </c>
    </row>
    <row r="42">
      <c r="A42" t="s">
        <v>152</v>
      </c>
      <c r="B42">
        <v>6781641</v>
      </c>
      <c r="C42">
        <v>6781641</v>
      </c>
      <c r="D42">
        <v>6781641</v>
      </c>
      <c r="F42" t="s">
        <v>151</v>
      </c>
    </row>
    <row r="43">
      <c r="A43" t="s">
        <v>153</v>
      </c>
      <c r="B43">
        <v>8442095</v>
      </c>
      <c r="C43">
        <v>8880493</v>
      </c>
      <c r="D43">
        <v>9350671</v>
      </c>
      <c r="F43" t="s">
        <v>154</v>
      </c>
    </row>
    <row r="44">
      <c r="A44" t="s">
        <v>78</v>
      </c>
      <c r="B44">
        <v>954136</v>
      </c>
      <c r="C44">
        <v>1090198</v>
      </c>
      <c r="D44">
        <v>1270063</v>
      </c>
    </row>
    <row r="45">
      <c r="A45" t="s">
        <v>155</v>
      </c>
      <c r="B45">
        <v>-470967</v>
      </c>
      <c r="C45">
        <v>22520</v>
      </c>
      <c r="D45">
        <v>-174736</v>
      </c>
      <c r="F45" t="s">
        <v>156</v>
      </c>
    </row>
    <row r="46">
      <c r="A46" t="s">
        <v>157</v>
      </c>
      <c r="B46">
        <v>15710458</v>
      </c>
      <c r="C46">
        <v>16778405</v>
      </c>
      <c r="D46">
        <v>17231192</v>
      </c>
    </row>
    <row r="47">
      <c r="A47" t="s">
        <v>158</v>
      </c>
      <c r="B47">
        <v>58564</v>
      </c>
      <c r="C47">
        <v>63973</v>
      </c>
      <c r="D47">
        <v>62572</v>
      </c>
      <c r="F47" t="s">
        <v>159</v>
      </c>
    </row>
    <row r="48">
      <c r="A48" t="s">
        <v>160</v>
      </c>
      <c r="B48">
        <v>15769022</v>
      </c>
      <c r="C48">
        <v>16842378</v>
      </c>
      <c r="D48">
        <v>17293764</v>
      </c>
    </row>
    <row r="49">
      <c r="A49" t="s">
        <v>161</v>
      </c>
      <c r="B49">
        <v>137474036</v>
      </c>
      <c r="C49">
        <v>150719627</v>
      </c>
      <c r="D49">
        <v>156164359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ColWidth="8.375" defaultRowHeight="15"/>
  <sheetData>
    <row r="1">
      <c r="A1" t="s">
        <v>162</v>
      </c>
    </row>
    <row r="2">
      <c r="A2" t="s">
        <v>163</v>
      </c>
    </row>
    <row r="4">
      <c r="A4" t="s">
        <v>50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164</v>
      </c>
    </row>
    <row r="6">
      <c r="A6" t="s">
        <v>78</v>
      </c>
      <c r="B6">
        <v>968934</v>
      </c>
      <c r="C6">
        <v>1098248</v>
      </c>
      <c r="D6">
        <v>1275624</v>
      </c>
    </row>
    <row r="7">
      <c r="A7" t="s">
        <v>165</v>
      </c>
      <c r="B7">
        <v>2562522</v>
      </c>
      <c r="C7">
        <v>2493807</v>
      </c>
      <c r="F7" t="s">
        <v>56</v>
      </c>
    </row>
    <row r="8">
      <c r="A8" t="s">
        <v>166</v>
      </c>
      <c r="D8">
        <v>2284768</v>
      </c>
      <c r="F8" t="s">
        <v>114</v>
      </c>
    </row>
    <row r="9">
      <c r="A9" t="s">
        <v>167</v>
      </c>
      <c r="B9">
        <v>290072</v>
      </c>
      <c r="C9">
        <v>300447</v>
      </c>
      <c r="D9">
        <v>301437</v>
      </c>
      <c r="F9" t="s">
        <v>168</v>
      </c>
    </row>
    <row r="10">
      <c r="A10" t="s">
        <v>169</v>
      </c>
      <c r="B10">
        <v>-14381561</v>
      </c>
      <c r="C10">
        <v>-14396101</v>
      </c>
      <c r="D10">
        <v>-12215662</v>
      </c>
    </row>
    <row r="11">
      <c r="A11" t="s">
        <v>170</v>
      </c>
      <c r="B11">
        <v>9345442</v>
      </c>
      <c r="C11">
        <v>9147250</v>
      </c>
      <c r="D11">
        <v>7471702</v>
      </c>
      <c r="F11">
        <v>20.21</v>
      </c>
    </row>
    <row r="12">
      <c r="A12" t="s">
        <v>74</v>
      </c>
      <c r="B12">
        <v>327630</v>
      </c>
      <c r="C12">
        <v>165844</v>
      </c>
      <c r="D12">
        <v>164800</v>
      </c>
      <c r="F12" t="s">
        <v>75</v>
      </c>
    </row>
    <row r="13">
      <c r="A13" t="s">
        <v>171</v>
      </c>
      <c r="B13">
        <v>-1663552</v>
      </c>
      <c r="C13">
        <v>304676</v>
      </c>
      <c r="D13">
        <v>-393112</v>
      </c>
      <c r="F13" t="s">
        <v>172</v>
      </c>
    </row>
    <row r="14">
      <c r="A14" t="s">
        <v>173</v>
      </c>
      <c r="B14">
        <v>-20839</v>
      </c>
      <c r="C14">
        <v>-21711</v>
      </c>
      <c r="D14">
        <v>-13776</v>
      </c>
    </row>
    <row r="15">
      <c r="A15" t="s">
        <v>174</v>
      </c>
      <c r="B15">
        <v>-565042</v>
      </c>
      <c r="C15">
        <v>-382989</v>
      </c>
      <c r="D15">
        <v>-485358</v>
      </c>
      <c r="F15" t="s">
        <v>175</v>
      </c>
    </row>
    <row r="16">
      <c r="A16" t="s">
        <v>77</v>
      </c>
      <c r="D16">
        <v>-26646</v>
      </c>
      <c r="F16">
        <v>2.1</v>
      </c>
    </row>
    <row r="17">
      <c r="A17" t="s">
        <v>176</v>
      </c>
      <c r="B17">
        <v>2211571</v>
      </c>
      <c r="C17">
        <v>95546</v>
      </c>
      <c r="D17">
        <v>255288</v>
      </c>
    </row>
    <row r="18">
      <c r="A18" t="s">
        <v>177</v>
      </c>
      <c r="B18">
        <v>-231254</v>
      </c>
      <c r="C18">
        <v>-83356</v>
      </c>
      <c r="D18">
        <v>-45045</v>
      </c>
    </row>
    <row r="19">
      <c r="A19" t="s">
        <v>178</v>
      </c>
      <c r="B19">
        <v>-1712475</v>
      </c>
      <c r="C19">
        <v>-418457</v>
      </c>
      <c r="D19">
        <v>-186098</v>
      </c>
    </row>
    <row r="20">
      <c r="A20" t="s">
        <v>179</v>
      </c>
      <c r="B20">
        <v>-32318</v>
      </c>
      <c r="C20">
        <v>-81947</v>
      </c>
      <c r="D20">
        <v>-1121785</v>
      </c>
    </row>
    <row r="21">
      <c r="A21" t="s">
        <v>180</v>
      </c>
      <c r="B21">
        <v>-5768258</v>
      </c>
      <c r="C21">
        <v>-7655635</v>
      </c>
      <c r="D21">
        <v>-9494525</v>
      </c>
    </row>
    <row r="22">
      <c r="A22" t="s">
        <v>181</v>
      </c>
      <c r="B22">
        <v>-841670</v>
      </c>
      <c r="C22">
        <v>193858</v>
      </c>
      <c r="D22">
        <v>-327655</v>
      </c>
    </row>
    <row r="23">
      <c r="A23" t="s">
        <v>182</v>
      </c>
      <c r="B23">
        <v>80124</v>
      </c>
      <c r="C23">
        <v>11753</v>
      </c>
      <c r="D23">
        <v>47263</v>
      </c>
    </row>
    <row r="24">
      <c r="A24" t="s">
        <v>183</v>
      </c>
      <c r="B24">
        <v>9107131</v>
      </c>
      <c r="C24">
        <v>9026436</v>
      </c>
      <c r="D24">
        <v>10516123</v>
      </c>
    </row>
    <row r="25">
      <c r="A25" t="s">
        <v>184</v>
      </c>
      <c r="B25">
        <v>3203051</v>
      </c>
      <c r="C25">
        <v>-498777</v>
      </c>
      <c r="D25">
        <v>774803</v>
      </c>
    </row>
    <row r="26">
      <c r="A26" t="s">
        <v>185</v>
      </c>
      <c r="B26">
        <v>729243</v>
      </c>
      <c r="C26">
        <v>-645392</v>
      </c>
      <c r="D26">
        <v>916868</v>
      </c>
    </row>
    <row r="27">
      <c r="A27" t="s">
        <v>186</v>
      </c>
      <c r="B27">
        <v>4303</v>
      </c>
      <c r="C27">
        <v>7359</v>
      </c>
      <c r="D27">
        <v>-128481</v>
      </c>
    </row>
    <row r="28">
      <c r="A28" t="s">
        <v>187</v>
      </c>
      <c r="B28">
        <v>14021474</v>
      </c>
      <c r="C28">
        <v>15474455</v>
      </c>
      <c r="D28">
        <v>12577314</v>
      </c>
    </row>
    <row r="29">
      <c r="A29" t="s">
        <v>188</v>
      </c>
      <c r="B29">
        <v>-8530857</v>
      </c>
      <c r="C29">
        <v>-9095851</v>
      </c>
      <c r="D29">
        <v>-8195846</v>
      </c>
    </row>
    <row r="30">
      <c r="A30" t="s">
        <v>189</v>
      </c>
      <c r="B30">
        <v>306428</v>
      </c>
      <c r="C30">
        <v>153662</v>
      </c>
      <c r="D30">
        <v>188345</v>
      </c>
    </row>
    <row r="31">
      <c r="A31" t="s">
        <v>190</v>
      </c>
      <c r="B31">
        <v>-709290</v>
      </c>
      <c r="C31">
        <v>-743441</v>
      </c>
      <c r="D31">
        <v>-696144</v>
      </c>
    </row>
    <row r="32">
      <c r="A32" t="s">
        <v>191</v>
      </c>
      <c r="B32">
        <v>8700809</v>
      </c>
      <c r="C32">
        <v>4449684</v>
      </c>
      <c r="D32">
        <v>3444202</v>
      </c>
      <c r="F32">
        <v>2.1</v>
      </c>
    </row>
    <row r="34">
      <c r="A34" t="s">
        <v>192</v>
      </c>
    </row>
    <row r="35">
      <c r="A35" t="s">
        <v>193</v>
      </c>
      <c r="B35">
        <v>-453561</v>
      </c>
      <c r="C35">
        <v>-4614749</v>
      </c>
      <c r="D35">
        <v>-191767</v>
      </c>
    </row>
    <row r="36">
      <c r="A36" t="s">
        <v>194</v>
      </c>
      <c r="B36">
        <v>-3858050</v>
      </c>
      <c r="C36">
        <v>-3478489</v>
      </c>
      <c r="D36">
        <v>-3608091</v>
      </c>
    </row>
    <row r="37">
      <c r="A37" t="s">
        <v>195</v>
      </c>
      <c r="B37">
        <v>-127350</v>
      </c>
      <c r="C37">
        <v>-155467</v>
      </c>
      <c r="D37">
        <v>-77655</v>
      </c>
      <c r="F37">
        <v>14</v>
      </c>
    </row>
    <row r="38">
      <c r="A38" t="s">
        <v>196</v>
      </c>
      <c r="B38">
        <v>0</v>
      </c>
      <c r="C38">
        <v>-20</v>
      </c>
      <c r="D38">
        <v>-7989</v>
      </c>
      <c r="F38">
        <v>19.2</v>
      </c>
    </row>
    <row r="39">
      <c r="A39" t="s">
        <v>197</v>
      </c>
      <c r="B39">
        <v>-253614</v>
      </c>
      <c r="C39">
        <v>-268401</v>
      </c>
      <c r="D39">
        <v>-214219</v>
      </c>
      <c r="F39" t="s">
        <v>198</v>
      </c>
    </row>
    <row r="40">
      <c r="A40" t="s">
        <v>199</v>
      </c>
      <c r="B40">
        <v>3904374</v>
      </c>
      <c r="C40">
        <v>3647840</v>
      </c>
      <c r="D40">
        <v>3956812</v>
      </c>
    </row>
    <row r="41">
      <c r="A41" t="s">
        <v>200</v>
      </c>
      <c r="B41">
        <v>77147</v>
      </c>
      <c r="C41">
        <v>81563</v>
      </c>
      <c r="D41">
        <v>141925</v>
      </c>
    </row>
    <row r="42">
      <c r="A42" t="s">
        <v>201</v>
      </c>
      <c r="B42">
        <v>-2433</v>
      </c>
      <c r="C42">
        <v>-2487</v>
      </c>
      <c r="D42">
        <v>-100</v>
      </c>
      <c r="F42">
        <v>13</v>
      </c>
    </row>
    <row r="43">
      <c r="A43" t="s">
        <v>202</v>
      </c>
      <c r="D43">
        <v>401098</v>
      </c>
      <c r="F43">
        <v>17</v>
      </c>
    </row>
    <row r="44">
      <c r="A44" t="s">
        <v>203</v>
      </c>
      <c r="B44">
        <v>-713487</v>
      </c>
      <c r="C44">
        <v>-4790210</v>
      </c>
      <c r="D44">
        <v>400014</v>
      </c>
      <c r="F44">
        <v>2.1</v>
      </c>
    </row>
    <row r="46">
      <c r="A46" t="s">
        <v>204</v>
      </c>
    </row>
    <row r="47">
      <c r="A47" t="s">
        <v>205</v>
      </c>
      <c r="B47">
        <v>17106035</v>
      </c>
      <c r="C47">
        <v>15350799</v>
      </c>
      <c r="D47">
        <v>16222746</v>
      </c>
      <c r="F47">
        <v>21.6</v>
      </c>
    </row>
    <row r="48">
      <c r="A48" t="s">
        <v>206</v>
      </c>
      <c r="B48">
        <v>-20560715</v>
      </c>
      <c r="C48">
        <v>-17358388</v>
      </c>
      <c r="D48">
        <v>-15205053</v>
      </c>
      <c r="F48">
        <v>21.6</v>
      </c>
    </row>
    <row r="49">
      <c r="A49" t="s">
        <v>207</v>
      </c>
      <c r="B49">
        <v>2588994</v>
      </c>
      <c r="C49">
        <v>538114</v>
      </c>
      <c r="D49">
        <v>91975</v>
      </c>
      <c r="F49">
        <v>21.6</v>
      </c>
    </row>
    <row r="50">
      <c r="A50" t="s">
        <v>208</v>
      </c>
      <c r="B50">
        <v>-2783505</v>
      </c>
      <c r="C50">
        <v>-309753</v>
      </c>
      <c r="D50">
        <v>-231398</v>
      </c>
      <c r="F50">
        <v>21.6</v>
      </c>
    </row>
    <row r="51">
      <c r="A51" t="s">
        <v>209</v>
      </c>
      <c r="B51">
        <v>-100198</v>
      </c>
      <c r="C51">
        <v>-116413</v>
      </c>
      <c r="D51">
        <v>-106876</v>
      </c>
      <c r="F51">
        <v>21.6</v>
      </c>
    </row>
    <row r="52">
      <c r="A52" t="s">
        <v>210</v>
      </c>
      <c r="B52">
        <v>-831585</v>
      </c>
      <c r="C52">
        <v>-656126</v>
      </c>
      <c r="D52">
        <v>-596171</v>
      </c>
      <c r="F52">
        <v>21.6</v>
      </c>
    </row>
    <row r="53">
      <c r="A53" t="s">
        <v>211</v>
      </c>
      <c r="B53">
        <v>-4580974</v>
      </c>
      <c r="C53">
        <v>-2551767</v>
      </c>
      <c r="D53">
        <v>175223</v>
      </c>
      <c r="F53">
        <v>2.1</v>
      </c>
    </row>
    <row r="55">
      <c r="A55" t="s">
        <v>212</v>
      </c>
      <c r="B55">
        <v>-2547067</v>
      </c>
      <c r="C55">
        <v>1781339</v>
      </c>
      <c r="D55">
        <v>-1815420</v>
      </c>
    </row>
    <row r="56">
      <c r="A56" t="s">
        <v>213</v>
      </c>
      <c r="B56">
        <v>859281</v>
      </c>
      <c r="C56">
        <v>-1110954</v>
      </c>
      <c r="D56">
        <v>2204019</v>
      </c>
    </row>
    <row r="57">
      <c r="A57" t="s">
        <v>214</v>
      </c>
      <c r="B57">
        <v>7274061</v>
      </c>
      <c r="C57">
        <v>8133342</v>
      </c>
      <c r="D57">
        <v>7022388</v>
      </c>
      <c r="F57" t="s">
        <v>109</v>
      </c>
    </row>
    <row r="58">
      <c r="A58" t="s">
        <v>215</v>
      </c>
      <c r="B58">
        <v>8133342</v>
      </c>
      <c r="C58">
        <v>7022388</v>
      </c>
      <c r="D58">
        <v>9226407</v>
      </c>
      <c r="F58" t="s">
        <v>109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ColWidth="8.375" defaultRowHeight="15"/>
  <sheetData>
    <row r="1">
      <c r="A1" t="s">
        <v>216</v>
      </c>
    </row>
    <row r="2">
      <c r="A2" t="s">
        <v>217</v>
      </c>
    </row>
    <row r="4">
      <c r="A4" t="s">
        <v>50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218</v>
      </c>
      <c r="B5">
        <v>15810561</v>
      </c>
      <c r="C5">
        <v>15769022</v>
      </c>
      <c r="D5">
        <v>16842378</v>
      </c>
    </row>
    <row r="6">
      <c r="A6" t="s">
        <v>219</v>
      </c>
      <c r="B6">
        <v>0</v>
      </c>
      <c r="C6">
        <v>0</v>
      </c>
      <c r="D6">
        <v>0</v>
      </c>
    </row>
    <row r="7">
      <c r="A7" t="s">
        <v>220</v>
      </c>
      <c r="B7">
        <v>-1112646</v>
      </c>
      <c r="C7">
        <v>-519909</v>
      </c>
      <c r="D7">
        <v>-628634</v>
      </c>
      <c r="F7" t="s">
        <v>221</v>
      </c>
    </row>
    <row r="8">
      <c r="A8" t="s">
        <v>222</v>
      </c>
      <c r="B8">
        <v>-11556</v>
      </c>
      <c r="C8">
        <v>8609</v>
      </c>
      <c r="D8">
        <v>3233</v>
      </c>
    </row>
    <row r="9">
      <c r="A9" t="s">
        <v>223</v>
      </c>
      <c r="B9">
        <v>968934</v>
      </c>
      <c r="C9">
        <v>1098248</v>
      </c>
      <c r="D9">
        <v>1275624</v>
      </c>
    </row>
    <row r="10">
      <c r="A10" t="s">
        <v>224</v>
      </c>
      <c r="B10">
        <v>114576</v>
      </c>
      <c r="C10">
        <v>494937</v>
      </c>
      <c r="D10">
        <v>-197984</v>
      </c>
    </row>
    <row r="11">
      <c r="A11" t="s">
        <v>103</v>
      </c>
      <c r="B11">
        <v>1083510</v>
      </c>
      <c r="C11">
        <v>1593185</v>
      </c>
      <c r="D11">
        <v>1077640</v>
      </c>
    </row>
    <row r="12">
      <c r="A12" t="s">
        <v>225</v>
      </c>
      <c r="B12">
        <v>-847</v>
      </c>
      <c r="C12">
        <v>-8529</v>
      </c>
      <c r="D12">
        <v>-853</v>
      </c>
      <c r="F12" t="s">
        <v>226</v>
      </c>
    </row>
    <row r="13">
      <c r="A13" t="s">
        <v>227</v>
      </c>
      <c r="B13">
        <v>15769022</v>
      </c>
      <c r="C13">
        <v>16842378</v>
      </c>
      <c r="D13">
        <v>17293764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ColWidth="8.375" defaultRowHeight="15"/>
  <sheetData>
    <row r="1">
      <c r="A1" t="s">
        <v>228</v>
      </c>
    </row>
    <row r="2">
      <c r="A2" t="s">
        <v>229</v>
      </c>
      <c r="B2" t="str">
        <f>IF(COUNTIF(G5:G45,"FAIL")=0,"OK — ALL HARD TIE-OUTS PASS","FAIL")</f>
        <v>OK — ALL HARD TIE-OUTS PASS</v>
      </c>
    </row>
    <row r="4">
      <c r="A4" t="s">
        <v>230</v>
      </c>
      <c r="B4" t="s">
        <v>51</v>
      </c>
      <c r="C4" t="s">
        <v>52</v>
      </c>
      <c r="D4" t="s">
        <v>53</v>
      </c>
      <c r="F4" t="s">
        <v>231</v>
      </c>
      <c r="G4" t="s">
        <v>232</v>
      </c>
    </row>
    <row r="5">
      <c r="A5" t="s">
        <v>233</v>
      </c>
      <c r="B5">
        <f>IS_Hist!B5+IS_Hist!B6-IS_Hist!B7</f>
        <v>0</v>
      </c>
      <c r="C5">
        <f>IS_Hist!C5+IS_Hist!C6-IS_Hist!C7</f>
        <v>0</v>
      </c>
      <c r="D5">
        <f>IS_Hist!D5+IS_Hist!D6-IS_Hist!D7</f>
        <v>0</v>
      </c>
      <c r="F5">
        <v>1</v>
      </c>
      <c r="G5" t="str">
        <f>IF(AND(ABS(N(B5))&lt;=$F5,ABS(N(C5))&lt;=$F5,ABS(N(D5))&lt;=$F5),"PASS","FAIL")</f>
        <v>PASS</v>
      </c>
    </row>
    <row r="6">
      <c r="A6" t="s">
        <v>234</v>
      </c>
      <c r="B6">
        <f>IS_Hist!B7+IS_Hist!B8+IS_Hist!B9-IS_Hist!B10</f>
        <v>0</v>
      </c>
      <c r="C6">
        <f>IS_Hist!C7+IS_Hist!C8+IS_Hist!C9-IS_Hist!C10</f>
        <v>0</v>
      </c>
      <c r="D6">
        <f>IS_Hist!D7+IS_Hist!D8+IS_Hist!D9-IS_Hist!D10</f>
        <v>0</v>
      </c>
      <c r="F6">
        <v>1</v>
      </c>
      <c r="G6" t="str">
        <f>IF(AND(ABS(N(B6))&lt;=$F6,ABS(N(C6))&lt;=$F6,ABS(N(D6))&lt;=$F6),"PASS","FAIL")</f>
        <v>PASS</v>
      </c>
    </row>
    <row r="7">
      <c r="A7" t="s">
        <v>235</v>
      </c>
      <c r="B7">
        <f>IS_Hist!B10+IS_Hist!B11+IS_Hist!B12+IS_Hist!B13+IS_Hist!B14+IS_Hist!B15-IS_Hist!B16</f>
        <v>0</v>
      </c>
      <c r="C7">
        <f>IS_Hist!C10+IS_Hist!C11+IS_Hist!C12+IS_Hist!C13+IS_Hist!C14+IS_Hist!C15-IS_Hist!C16</f>
        <v>0</v>
      </c>
      <c r="D7">
        <f>IS_Hist!D10+IS_Hist!D11+IS_Hist!D12+IS_Hist!D13+IS_Hist!D14+IS_Hist!D15-IS_Hist!D16</f>
        <v>0</v>
      </c>
      <c r="F7">
        <v>1</v>
      </c>
      <c r="G7" t="str">
        <f>IF(AND(ABS(N(B7))&lt;=$F7,ABS(N(C7))&lt;=$F7,ABS(N(D7))&lt;=$F7),"PASS","FAIL")</f>
        <v>PASS</v>
      </c>
    </row>
    <row r="8">
      <c r="A8" t="s">
        <v>236</v>
      </c>
      <c r="B8">
        <f>IS_Hist!B16+IS_Hist!B17-IS_Hist!B18</f>
        <v>0</v>
      </c>
      <c r="C8">
        <f>IS_Hist!C16+IS_Hist!C17-IS_Hist!C18</f>
        <v>0</v>
      </c>
      <c r="D8">
        <f>IS_Hist!D16+IS_Hist!D17-IS_Hist!D18</f>
        <v>0</v>
      </c>
      <c r="F8">
        <v>1</v>
      </c>
      <c r="G8" t="str">
        <f>IF(AND(ABS(N(B8))&lt;=$F8,ABS(N(C8))&lt;=$F8,ABS(N(D8))&lt;=$F8),"PASS","FAIL")</f>
        <v>PASS</v>
      </c>
    </row>
    <row r="9">
      <c r="A9" t="s">
        <v>237</v>
      </c>
      <c r="B9">
        <f>IS_Hist!B18+N(IS_Hist!B19)-IS_Hist!B20</f>
        <v>0</v>
      </c>
      <c r="C9">
        <f>IS_Hist!C18+N(IS_Hist!C19)-IS_Hist!C20</f>
        <v>0</v>
      </c>
      <c r="D9">
        <f>IS_Hist!D18+N(IS_Hist!D19)-IS_Hist!D20</f>
        <v>0</v>
      </c>
      <c r="F9">
        <v>1</v>
      </c>
      <c r="G9" t="str">
        <f>IF(AND(ABS(N(B9))&lt;=$F9,ABS(N(C9))&lt;=$F9,ABS(N(D9))&lt;=$F9),"PASS","FAIL")</f>
        <v>PASS</v>
      </c>
    </row>
    <row r="10">
      <c r="A10" t="s">
        <v>238</v>
      </c>
      <c r="B10">
        <f>IS_Hist!B23+IS_Hist!B24-IS_Hist!B20</f>
        <v>0</v>
      </c>
      <c r="C10">
        <f>IS_Hist!C23+IS_Hist!C24-IS_Hist!C20</f>
        <v>0</v>
      </c>
      <c r="D10">
        <f>IS_Hist!D23+IS_Hist!D24-IS_Hist!D20</f>
        <v>0</v>
      </c>
      <c r="F10">
        <v>1</v>
      </c>
      <c r="G10" t="str">
        <f>IF(AND(ABS(N(B10))&lt;=$F10,ABS(N(C10))&lt;=$F10,ABS(N(D10))&lt;=$F10),"PASS","FAIL")</f>
        <v>PASS</v>
      </c>
    </row>
    <row r="11">
      <c r="A11" t="s">
        <v>239</v>
      </c>
      <c r="B11">
        <f>SUM(CI_Hist!B7:B12)-CI_Hist!B13</f>
        <v>0</v>
      </c>
      <c r="C11">
        <f>SUM(CI_Hist!C7:C12)-CI_Hist!C13</f>
        <v>0</v>
      </c>
      <c r="D11">
        <f>SUM(CI_Hist!D7:D12)-CI_Hist!D13</f>
        <v>0</v>
      </c>
      <c r="F11">
        <v>1</v>
      </c>
      <c r="G11" t="str">
        <f>IF(AND(ABS(N(B11))&lt;=$F11,ABS(N(C11))&lt;=$F11,ABS(N(D11))&lt;=$F11),"PASS","FAIL")</f>
        <v>PASS</v>
      </c>
    </row>
    <row r="12">
      <c r="A12" t="s">
        <v>240</v>
      </c>
      <c r="B12">
        <f>SUM(CI_Hist!B15:B18)-CI_Hist!B19</f>
        <v>0</v>
      </c>
      <c r="C12">
        <f>SUM(CI_Hist!C15:C18)-CI_Hist!C19</f>
        <v>0</v>
      </c>
      <c r="D12">
        <f>SUM(CI_Hist!D15:D18)-CI_Hist!D19</f>
        <v>0</v>
      </c>
      <c r="F12">
        <v>1</v>
      </c>
      <c r="G12" t="str">
        <f>IF(AND(ABS(N(B12))&lt;=$F12,ABS(N(C12))&lt;=$F12,ABS(N(D12))&lt;=$F12),"PASS","FAIL")</f>
        <v>PASS</v>
      </c>
    </row>
    <row r="13">
      <c r="A13" t="s">
        <v>241</v>
      </c>
      <c r="B13">
        <f>CI_Hist!B13+CI_Hist!B19-CI_Hist!B20</f>
        <v>0</v>
      </c>
      <c r="C13">
        <f>CI_Hist!C13+CI_Hist!C19-CI_Hist!C20</f>
        <v>0</v>
      </c>
      <c r="D13">
        <f>CI_Hist!D13+CI_Hist!D19-CI_Hist!D20</f>
        <v>0</v>
      </c>
      <c r="F13">
        <v>1</v>
      </c>
      <c r="G13" t="str">
        <f>IF(AND(ABS(N(B13))&lt;=$F13,ABS(N(C13))&lt;=$F13,ABS(N(D13))&lt;=$F13),"PASS","FAIL")</f>
        <v>PASS</v>
      </c>
    </row>
    <row r="14">
      <c r="A14" t="s">
        <v>242</v>
      </c>
      <c r="B14">
        <f>CI_Hist!B5+CI_Hist!B20-CI_Hist!B21</f>
        <v>0</v>
      </c>
      <c r="C14">
        <f>CI_Hist!C5+CI_Hist!C20-CI_Hist!C21</f>
        <v>0</v>
      </c>
      <c r="D14">
        <f>CI_Hist!D5+CI_Hist!D20-CI_Hist!D21</f>
        <v>0</v>
      </c>
      <c r="F14">
        <v>1</v>
      </c>
      <c r="G14" t="str">
        <f>IF(AND(ABS(N(B14))&lt;=$F14,ABS(N(C14))&lt;=$F14,ABS(N(D14))&lt;=$F14),"PASS","FAIL")</f>
        <v>PASS</v>
      </c>
    </row>
    <row r="15">
      <c r="A15" t="s">
        <v>243</v>
      </c>
      <c r="B15">
        <f>CI_Hist!B23+CI_Hist!B24-CI_Hist!B21</f>
        <v>0</v>
      </c>
      <c r="C15">
        <f>CI_Hist!C23+CI_Hist!C24-CI_Hist!C21</f>
        <v>0</v>
      </c>
      <c r="D15">
        <f>CI_Hist!D23+CI_Hist!D24-CI_Hist!D21</f>
        <v>0</v>
      </c>
      <c r="F15">
        <v>1</v>
      </c>
      <c r="G15" t="str">
        <f>IF(AND(ABS(N(B15))&lt;=$F15,ABS(N(C15))&lt;=$F15,ABS(N(D15))&lt;=$F15),"PASS","FAIL")</f>
        <v>PASS</v>
      </c>
    </row>
    <row r="16">
      <c r="A16" t="s">
        <v>244</v>
      </c>
      <c r="B16">
        <f>SUM(BS_Hist!B6:B18)-BS_Hist!B19</f>
        <v>0</v>
      </c>
      <c r="C16">
        <f>SUM(BS_Hist!C6:C18)-BS_Hist!C19</f>
        <v>0</v>
      </c>
      <c r="D16">
        <f>SUM(BS_Hist!D6:D18)-BS_Hist!D19</f>
        <v>0</v>
      </c>
      <c r="F16">
        <v>1</v>
      </c>
      <c r="G16" t="str">
        <f>IF(AND(ABS(N(B16))&lt;=$F16,ABS(N(C16))&lt;=$F16,ABS(N(D16))&lt;=$F16),"PASS","FAIL")</f>
        <v>PASS</v>
      </c>
    </row>
    <row r="17">
      <c r="A17" t="s">
        <v>245</v>
      </c>
      <c r="B17">
        <f>SUM(BS_Hist!B27:B33)-BS_Hist!B34</f>
        <v>0</v>
      </c>
      <c r="C17">
        <f>SUM(BS_Hist!C27:C33)-BS_Hist!C34</f>
        <v>0</v>
      </c>
      <c r="D17">
        <f>SUM(BS_Hist!D27:D33)-BS_Hist!D34</f>
        <v>0</v>
      </c>
      <c r="F17">
        <v>1</v>
      </c>
      <c r="G17" t="str">
        <f>IF(AND(ABS(N(B17))&lt;=$F17,ABS(N(C17))&lt;=$F17,ABS(N(D17))&lt;=$F17),"PASS","FAIL")</f>
        <v>PASS</v>
      </c>
    </row>
    <row r="18">
      <c r="A18" t="s">
        <v>246</v>
      </c>
      <c r="B18">
        <f>SUM(BS_Hist!B41:B45)-BS_Hist!B46</f>
        <v>0</v>
      </c>
      <c r="C18">
        <f>SUM(BS_Hist!C41:C45)-BS_Hist!C46</f>
        <v>0</v>
      </c>
      <c r="D18">
        <f>SUM(BS_Hist!D41:D45)-BS_Hist!D46</f>
        <v>0</v>
      </c>
      <c r="F18">
        <v>1</v>
      </c>
      <c r="G18" t="str">
        <f>IF(AND(ABS(N(B18))&lt;=$F18,ABS(N(C18))&lt;=$F18,ABS(N(D18))&lt;=$F18),"PASS","FAIL")</f>
        <v>PASS</v>
      </c>
    </row>
    <row r="19">
      <c r="A19" t="s">
        <v>247</v>
      </c>
      <c r="B19">
        <f>BS_Hist!B46+BS_Hist!B47-BS_Hist!B48</f>
        <v>0</v>
      </c>
      <c r="C19">
        <f>BS_Hist!C46+BS_Hist!C47-BS_Hist!C48</f>
        <v>0</v>
      </c>
      <c r="D19">
        <f>BS_Hist!D46+BS_Hist!D47-BS_Hist!D48</f>
        <v>0</v>
      </c>
      <c r="F19">
        <v>1</v>
      </c>
      <c r="G19" t="str">
        <f>IF(AND(ABS(N(B19))&lt;=$F19,ABS(N(C19))&lt;=$F19,ABS(N(D19))&lt;=$F19),"PASS","FAIL")</f>
        <v>PASS</v>
      </c>
    </row>
    <row r="20">
      <c r="A20" t="s">
        <v>248</v>
      </c>
      <c r="B20">
        <f>BS_Hist!B34+BS_Hist!B48-BS_Hist!B49</f>
        <v>0</v>
      </c>
      <c r="C20">
        <f>BS_Hist!C34+BS_Hist!C48-BS_Hist!C49</f>
        <v>0</v>
      </c>
      <c r="D20">
        <f>BS_Hist!D34+BS_Hist!D48-BS_Hist!D49</f>
        <v>0</v>
      </c>
      <c r="F20">
        <v>1</v>
      </c>
      <c r="G20" t="str">
        <f>IF(AND(ABS(N(B20))&lt;=$F20,ABS(N(C20))&lt;=$F20,ABS(N(D20))&lt;=$F20),"PASS","FAIL")</f>
        <v>PASS</v>
      </c>
    </row>
    <row r="21">
      <c r="A21" t="s">
        <v>249</v>
      </c>
      <c r="B21">
        <f>BS_Hist!B19-BS_Hist!B49</f>
        <v>0</v>
      </c>
      <c r="C21">
        <f>BS_Hist!C19-BS_Hist!C49</f>
        <v>0</v>
      </c>
      <c r="D21">
        <f>BS_Hist!D19-BS_Hist!D49</f>
        <v>0</v>
      </c>
      <c r="F21">
        <v>1</v>
      </c>
      <c r="G21" t="str">
        <f>IF(AND(ABS(N(B21))&lt;=$F21,ABS(N(C21))&lt;=$F21,ABS(N(D21))&lt;=$F21),"PASS","FAIL")</f>
        <v>PASS</v>
      </c>
    </row>
    <row r="22">
      <c r="A22" t="s">
        <v>250</v>
      </c>
      <c r="B22">
        <f>SUM(CF_Hist!B6:B31)-CF_Hist!B32</f>
        <v>0</v>
      </c>
      <c r="C22">
        <f>SUM(CF_Hist!C6:C31)-CF_Hist!C32</f>
        <v>0</v>
      </c>
      <c r="D22">
        <f>SUM(CF_Hist!D6:D31)-CF_Hist!D32</f>
        <v>0</v>
      </c>
      <c r="F22">
        <v>1</v>
      </c>
      <c r="G22" t="str">
        <f>IF(AND(ABS(N(B22))&lt;=$F22,ABS(N(C22))&lt;=$F22,ABS(N(D22))&lt;=$F22),"PASS","FAIL")</f>
        <v>PASS</v>
      </c>
    </row>
    <row r="23">
      <c r="A23" t="s">
        <v>251</v>
      </c>
      <c r="B23">
        <f>SUM(CF_Hist!B35:B43)-CF_Hist!B44</f>
        <v>0</v>
      </c>
      <c r="C23">
        <f>SUM(CF_Hist!C35:C43)-CF_Hist!C44</f>
        <v>0</v>
      </c>
      <c r="D23">
        <f>SUM(CF_Hist!D35:D43)-CF_Hist!D44</f>
        <v>0</v>
      </c>
      <c r="F23">
        <v>1</v>
      </c>
      <c r="G23" t="str">
        <f>IF(AND(ABS(N(B23))&lt;=$F23,ABS(N(C23))&lt;=$F23,ABS(N(D23))&lt;=$F23),"PASS","FAIL")</f>
        <v>PASS</v>
      </c>
    </row>
    <row r="24">
      <c r="A24" t="s">
        <v>252</v>
      </c>
      <c r="B24">
        <f>SUM(CF_Hist!B47:B52)-CF_Hist!B53</f>
        <v>0</v>
      </c>
      <c r="C24">
        <f>SUM(CF_Hist!C47:C52)-CF_Hist!C53</f>
        <v>0</v>
      </c>
      <c r="D24">
        <f>SUM(CF_Hist!D47:D52)-CF_Hist!D53</f>
        <v>0</v>
      </c>
      <c r="F24">
        <v>1</v>
      </c>
      <c r="G24" t="str">
        <f>IF(AND(ABS(N(B24))&lt;=$F24,ABS(N(C24))&lt;=$F24,ABS(N(D24))&lt;=$F24),"PASS","FAIL")</f>
        <v>PASS</v>
      </c>
    </row>
    <row r="25">
      <c r="A25" t="s">
        <v>253</v>
      </c>
      <c r="B25">
        <f>CF_Hist!B32+CF_Hist!B44+CF_Hist!B53+CF_Hist!B55-CF_Hist!B56</f>
        <v>0</v>
      </c>
      <c r="C25">
        <f>CF_Hist!C32+CF_Hist!C44+CF_Hist!C53+CF_Hist!C55-CF_Hist!C56</f>
        <v>0</v>
      </c>
      <c r="D25">
        <f>CF_Hist!D32+CF_Hist!D44+CF_Hist!D53+CF_Hist!D55-CF_Hist!D56</f>
        <v>0</v>
      </c>
      <c r="F25">
        <v>1</v>
      </c>
      <c r="G25" t="str">
        <f>IF(AND(ABS(N(B25))&lt;=$F25,ABS(N(C25))&lt;=$F25,ABS(N(D25))&lt;=$F25),"PASS","FAIL")</f>
        <v>PASS</v>
      </c>
    </row>
    <row r="26">
      <c r="A26" t="s">
        <v>254</v>
      </c>
      <c r="B26">
        <f>CF_Hist!B57+CF_Hist!B56-CF_Hist!B58</f>
        <v>0</v>
      </c>
      <c r="C26">
        <f>CF_Hist!C57+CF_Hist!C56-CF_Hist!C58</f>
        <v>0</v>
      </c>
      <c r="D26">
        <f>CF_Hist!D57+CF_Hist!D56-CF_Hist!D58</f>
        <v>0</v>
      </c>
      <c r="F26">
        <v>1</v>
      </c>
      <c r="G26" t="str">
        <f>IF(AND(ABS(N(B26))&lt;=$F26,ABS(N(C26))&lt;=$F26,ABS(N(D26))&lt;=$F26),"PASS","FAIL")</f>
        <v>PASS</v>
      </c>
    </row>
    <row r="27">
      <c r="A27" t="s">
        <v>255</v>
      </c>
      <c r="C27">
        <f>CF_Hist!C57-CF_Hist!B58</f>
        <v>0</v>
      </c>
      <c r="D27">
        <f>CF_Hist!D57-CF_Hist!C58</f>
        <v>0</v>
      </c>
      <c r="F27">
        <v>1</v>
      </c>
      <c r="G27" t="str">
        <f>IF(AND(ABS(N(C27))&lt;=$F27,ABS(N(D27))&lt;=$F27),"PASS","FAIL")</f>
        <v>PASS</v>
      </c>
    </row>
    <row r="28">
      <c r="A28" t="s">
        <v>256</v>
      </c>
      <c r="B28">
        <f>SCE_Hist!B9+SCE_Hist!B10-SCE_Hist!B11</f>
        <v>0</v>
      </c>
      <c r="C28">
        <f>SCE_Hist!C9+SCE_Hist!C10-SCE_Hist!C11</f>
        <v>0</v>
      </c>
      <c r="D28">
        <f>SCE_Hist!D9+SCE_Hist!D10-SCE_Hist!D11</f>
        <v>0</v>
      </c>
      <c r="F28">
        <v>1</v>
      </c>
      <c r="G28" t="str">
        <f>IF(AND(ABS(N(B28))&lt;=$F28,ABS(N(C28))&lt;=$F28,ABS(N(D28))&lt;=$F28),"PASS","FAIL")</f>
        <v>PASS</v>
      </c>
    </row>
    <row r="29">
      <c r="A29" t="s">
        <v>257</v>
      </c>
      <c r="B29">
        <f>SCE_Hist!B5+SCE_Hist!B6+SCE_Hist!B7+SCE_Hist!B8+SCE_Hist!B11+SCE_Hist!B12-SCE_Hist!B13</f>
        <v>0</v>
      </c>
      <c r="C29">
        <f>SCE_Hist!C5+SCE_Hist!C6+SCE_Hist!C7+SCE_Hist!C8+SCE_Hist!C11+SCE_Hist!C12-SCE_Hist!C13</f>
        <v>0</v>
      </c>
      <c r="D29">
        <f>SCE_Hist!D5+SCE_Hist!D6+SCE_Hist!D7+SCE_Hist!D8+SCE_Hist!D11+SCE_Hist!D12-SCE_Hist!D13</f>
        <v>0</v>
      </c>
      <c r="F29">
        <v>1</v>
      </c>
      <c r="G29" t="str">
        <f>IF(AND(ABS(N(B29))&lt;=$F29,ABS(N(C29))&lt;=$F29,ABS(N(D29))&lt;=$F29),"PASS","FAIL")</f>
        <v>PASS</v>
      </c>
    </row>
    <row r="30">
      <c r="A30" t="s">
        <v>258</v>
      </c>
      <c r="C30">
        <f>SCE_Hist!C5-SCE_Hist!B13</f>
        <v>0</v>
      </c>
      <c r="D30">
        <f>SCE_Hist!D5-SCE_Hist!C13</f>
        <v>0</v>
      </c>
      <c r="F30">
        <v>1</v>
      </c>
      <c r="G30" t="str">
        <f>IF(AND(ABS(N(C30))&lt;=$F30,ABS(N(D30))&lt;=$F30),"PASS","FAIL")</f>
        <v>PASS</v>
      </c>
    </row>
    <row r="31">
      <c r="A31" t="s">
        <v>259</v>
      </c>
      <c r="B31">
        <f>CF_Hist!B58-BS_Hist!B6</f>
        <v>0</v>
      </c>
      <c r="C31">
        <f>CF_Hist!C58-BS_Hist!C6</f>
        <v>0</v>
      </c>
      <c r="D31">
        <f>CF_Hist!D58-BS_Hist!D6</f>
        <v>0</v>
      </c>
      <c r="F31">
        <v>1</v>
      </c>
      <c r="G31" t="str">
        <f>IF(AND(ABS(N(B31))&lt;=$F31,ABS(N(C31))&lt;=$F31,ABS(N(D31))&lt;=$F31),"PASS","FAIL")</f>
        <v>PASS</v>
      </c>
    </row>
    <row r="32">
      <c r="A32" t="s">
        <v>260</v>
      </c>
      <c r="B32">
        <f>CF_Hist!B6-IS_Hist!B20</f>
        <v>0</v>
      </c>
      <c r="C32">
        <f>CF_Hist!C6-IS_Hist!C20</f>
        <v>0</v>
      </c>
      <c r="D32">
        <f>CF_Hist!D6-IS_Hist!D20</f>
        <v>0</v>
      </c>
      <c r="F32">
        <v>1</v>
      </c>
      <c r="G32" t="str">
        <f>IF(AND(ABS(N(B32))&lt;=$F32,ABS(N(C32))&lt;=$F32,ABS(N(D32))&lt;=$F32),"PASS","FAIL")</f>
        <v>PASS</v>
      </c>
    </row>
    <row r="33">
      <c r="A33" t="s">
        <v>261</v>
      </c>
      <c r="B33">
        <f>BS_Hist!B44-IS_Hist!B23</f>
        <v>0</v>
      </c>
      <c r="C33">
        <f>BS_Hist!C44-IS_Hist!C23</f>
        <v>0</v>
      </c>
      <c r="D33">
        <f>BS_Hist!D44-IS_Hist!D23</f>
        <v>0</v>
      </c>
      <c r="F33">
        <v>1</v>
      </c>
      <c r="G33" t="str">
        <f>IF(AND(ABS(N(B33))&lt;=$F33,ABS(N(C33))&lt;=$F33,ABS(N(D33))&lt;=$F33),"PASS","FAIL")</f>
        <v>PASS</v>
      </c>
    </row>
    <row r="34">
      <c r="A34" t="s">
        <v>262</v>
      </c>
      <c r="B34">
        <f>BS_Hist!B48-SCE_Hist!B13</f>
        <v>0</v>
      </c>
      <c r="C34">
        <f>BS_Hist!C48-SCE_Hist!C13</f>
        <v>0</v>
      </c>
      <c r="D34">
        <f>BS_Hist!D48-SCE_Hist!D13</f>
        <v>0</v>
      </c>
      <c r="F34">
        <v>1</v>
      </c>
      <c r="G34" t="str">
        <f>IF(AND(ABS(N(B34))&lt;=$F34,ABS(N(C34))&lt;=$F34,ABS(N(D34))&lt;=$F34),"PASS","FAIL")</f>
        <v>PASS</v>
      </c>
    </row>
    <row r="35">
      <c r="A35" t="s">
        <v>263</v>
      </c>
      <c r="B35">
        <f>CI_Hist!B5-IS_Hist!B20</f>
        <v>0</v>
      </c>
      <c r="C35">
        <f>CI_Hist!C5-IS_Hist!C20</f>
        <v>0</v>
      </c>
      <c r="D35">
        <f>CI_Hist!D5-IS_Hist!D20</f>
        <v>0</v>
      </c>
      <c r="F35">
        <v>1</v>
      </c>
      <c r="G35" t="str">
        <f>IF(AND(ABS(N(B35))&lt;=$F35,ABS(N(C35))&lt;=$F35,ABS(N(D35))&lt;=$F35),"PASS","FAIL")</f>
        <v>PASS</v>
      </c>
    </row>
    <row r="36">
      <c r="A36" t="s">
        <v>264</v>
      </c>
      <c r="F36">
        <v>999999999</v>
      </c>
      <c r="G36" t="str">
        <f>IF(AND(ABS(N(B36))&lt;=$F36,ABS(N(C36))&lt;=$F36,ABS(N(D36))&lt;=$F36),"PASS","FAIL")</f>
        <v>PASS</v>
      </c>
    </row>
    <row r="37">
      <c r="A37" t="s">
        <v>265</v>
      </c>
      <c r="B37">
        <f>Deposits_Funding!B10</f>
        <v>0</v>
      </c>
      <c r="C37">
        <f>Deposits_Funding!C10</f>
        <v>0</v>
      </c>
      <c r="D37">
        <f>Deposits_Funding!D10</f>
        <v>0</v>
      </c>
      <c r="F37">
        <v>1</v>
      </c>
      <c r="G37" t="str">
        <f>IF(AND(ABS(N(B37))&lt;=$F37,ABS(N(C37))&lt;=$F37,ABS(N(D37))&lt;=$F37),"PASS","FAIL")</f>
        <v>PASS</v>
      </c>
    </row>
    <row r="38">
      <c r="A38" t="s">
        <v>266</v>
      </c>
      <c r="C38">
        <f>Loan_Book!B27</f>
        <v>0</v>
      </c>
      <c r="D38">
        <f>Loan_Book!C27</f>
        <v>0</v>
      </c>
      <c r="F38">
        <v>1</v>
      </c>
      <c r="G38" t="str">
        <f>IF(AND(ABS(N(C38))&lt;=$F38,ABS(N(D38))&lt;=$F38),"PASS","FAIL")</f>
        <v>PASS</v>
      </c>
    </row>
    <row r="39">
      <c r="A39" t="s">
        <v>267</v>
      </c>
      <c r="C39">
        <f>Credit_Quality!B20</f>
        <v>0</v>
      </c>
      <c r="D39">
        <f>Credit_Quality!C20</f>
        <v>0</v>
      </c>
      <c r="F39">
        <v>1</v>
      </c>
      <c r="G39" t="str">
        <f>IF(AND(ABS(N(C39))&lt;=$F39,ABS(N(D39))&lt;=$F39),"PASS","FAIL")</f>
        <v>PASS</v>
      </c>
    </row>
    <row r="40">
      <c r="A40" t="s">
        <v>268</v>
      </c>
      <c r="B40">
        <f>Capital_Adequacy!B15</f>
        <v>1</v>
      </c>
      <c r="C40">
        <f>Capital_Adequacy!C15</f>
        <v>0</v>
      </c>
      <c r="D40">
        <f>Capital_Adequacy!D15</f>
        <v>0</v>
      </c>
      <c r="F40">
        <v>2</v>
      </c>
      <c r="G40" t="str">
        <f>IF(AND(ABS(N(B40))&lt;=$F40,ABS(N(C40))&lt;=$F40,ABS(N(D40))&lt;=$F40),"PASS","FAIL")</f>
        <v>PASS</v>
      </c>
    </row>
    <row r="41">
      <c r="A41" t="s">
        <v>269</v>
      </c>
      <c r="B41">
        <f>Capital_Adequacy!B18</f>
        <v>-0.000005850346623287317</v>
      </c>
      <c r="C41">
        <f>Capital_Adequacy!C18</f>
        <v>-0.000016624249528918167</v>
      </c>
      <c r="D41">
        <f>Capital_Adequacy!D18</f>
        <v>-0.00000020388118823766455</v>
      </c>
      <c r="F41">
        <v>0.001</v>
      </c>
      <c r="G41" t="str">
        <f>IF(AND(ABS(N(B41))&lt;=$F41,ABS(N(C41))&lt;=$F41,ABS(N(D41))&lt;=$F41),"PASS","FAIL")</f>
        <v>PASS</v>
      </c>
    </row>
    <row r="42">
      <c r="A42" t="s">
        <v>270</v>
      </c>
      <c r="B42">
        <f>Capital_Adequacy!B21</f>
        <v>-0.000018558899768622572</v>
      </c>
      <c r="C42">
        <f>Capital_Adequacy!C21</f>
        <v>-0.00003104599798300911</v>
      </c>
      <c r="D42">
        <f>Capital_Adequacy!D21</f>
        <v>-0.00004911715700969821</v>
      </c>
      <c r="F42">
        <v>0.001</v>
      </c>
      <c r="G42" t="str">
        <f>IF(AND(ABS(N(B42))&lt;=$F42,ABS(N(C42))&lt;=$F42,ABS(N(D42))&lt;=$F42),"PASS","FAIL")</f>
        <v>PASS</v>
      </c>
    </row>
    <row r="43">
      <c r="A43" t="s">
        <v>271</v>
      </c>
      <c r="B43">
        <f>USD_Translation!B6-BS_Hist!B19/USD_Translation!B5</f>
        <v>0</v>
      </c>
      <c r="C43">
        <f>USD_Translation!C6-BS_Hist!C19/USD_Translation!C5</f>
        <v>0</v>
      </c>
      <c r="D43">
        <f>USD_Translation!D6-BS_Hist!D19/USD_Translation!D5</f>
        <v>0</v>
      </c>
      <c r="F43">
        <v>0.01</v>
      </c>
      <c r="G43" t="str">
        <f>IF(AND(ABS(N(B43))&lt;=$F43,ABS(N(C43))&lt;=$F43,ABS(N(D43))&lt;=$F43),"PASS","FAIL")</f>
        <v>PASS</v>
      </c>
    </row>
    <row r="44">
      <c r="A44" t="s">
        <v>272</v>
      </c>
      <c r="B44">
        <f>USD_Translation!B7-BS_Hist!B48/USD_Translation!B5</f>
        <v>0</v>
      </c>
      <c r="C44">
        <f>USD_Translation!C7-BS_Hist!C48/USD_Translation!C5</f>
        <v>0</v>
      </c>
      <c r="D44">
        <f>USD_Translation!D7-BS_Hist!D48/USD_Translation!D5</f>
        <v>0</v>
      </c>
      <c r="F44">
        <v>0.01</v>
      </c>
      <c r="G44" t="str">
        <f>IF(AND(ABS(N(B44))&lt;=$F44,ABS(N(C44))&lt;=$F44,ABS(N(D44))&lt;=$F44),"PASS","FAIL")</f>
        <v>PASS</v>
      </c>
    </row>
    <row r="45">
      <c r="A45" t="s">
        <v>273</v>
      </c>
      <c r="B45">
        <f>USD_Translation!B10-IS_Hist!B20/USD_Translation!B5</f>
        <v>0</v>
      </c>
      <c r="C45">
        <f>USD_Translation!C10-IS_Hist!C20/USD_Translation!C5</f>
        <v>0</v>
      </c>
      <c r="D45">
        <f>USD_Translation!D10-IS_Hist!D20/USD_Translation!D5</f>
        <v>0</v>
      </c>
      <c r="F45">
        <v>0.01</v>
      </c>
      <c r="G45" t="str">
        <f>IF(AND(ABS(N(B45))&lt;=$F45,ABS(N(C45))&lt;=$F45,ABS(N(D45))&lt;=$F45),"PASS","FAIL")</f>
        <v>PASS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ColWidth="8.375" defaultRowHeight="15"/>
  <sheetData>
    <row r="1">
      <c r="A1" t="s">
        <v>274</v>
      </c>
    </row>
    <row r="2">
      <c r="A2" t="s">
        <v>275</v>
      </c>
    </row>
    <row r="3">
      <c r="A3" t="s">
        <v>276</v>
      </c>
    </row>
    <row r="4">
      <c r="A4" t="s">
        <v>277</v>
      </c>
      <c r="B4" t="s">
        <v>51</v>
      </c>
      <c r="C4" t="s">
        <v>52</v>
      </c>
      <c r="D4" t="s">
        <v>53</v>
      </c>
      <c r="F4" t="s">
        <v>54</v>
      </c>
    </row>
    <row r="5">
      <c r="A5" t="s">
        <v>278</v>
      </c>
      <c r="B5">
        <v>3822.05</v>
      </c>
      <c r="C5">
        <v>4409.15</v>
      </c>
      <c r="D5">
        <v>3757.08</v>
      </c>
      <c r="F5" t="s">
        <v>279</v>
      </c>
    </row>
    <row r="6">
      <c r="A6" t="s">
        <v>280</v>
      </c>
      <c r="B6">
        <f>BS_Hist!$B$19/$B$5</f>
        <v>35968.66498345129</v>
      </c>
      <c r="C6">
        <f>BS_Hist!$C$19/$C$5</f>
        <v>34183.37480013155</v>
      </c>
      <c r="D6">
        <f>BS_Hist!$D$19/$D$5</f>
        <v>41565.35367892087</v>
      </c>
    </row>
    <row r="7">
      <c r="A7" t="s">
        <v>281</v>
      </c>
      <c r="B7">
        <f>BS_Hist!$B$48/$B$5</f>
        <v>4125.802121897934</v>
      </c>
      <c r="C7">
        <f>BS_Hist!$C$48/$C$5</f>
        <v>3819.8695893766376</v>
      </c>
      <c r="D7">
        <f>BS_Hist!$D$48/$D$5</f>
        <v>4602.979973809448</v>
      </c>
    </row>
    <row r="8">
      <c r="A8" t="s">
        <v>282</v>
      </c>
      <c r="B8">
        <f>BS_Hist!$B$8/$B$5</f>
        <v>24485.95910571552</v>
      </c>
      <c r="C8">
        <f>BS_Hist!$C$8/$C$5</f>
        <v>23157.098306929907</v>
      </c>
      <c r="D8">
        <f>BS_Hist!$D$8/$D$5</f>
        <v>24197.18504796278</v>
      </c>
    </row>
    <row r="9">
      <c r="A9" t="s">
        <v>283</v>
      </c>
    </row>
    <row r="10">
      <c r="A10" t="s">
        <v>284</v>
      </c>
      <c r="B10">
        <f>IS_Hist!$B$20/$B$5</f>
        <v>253.51159717952407</v>
      </c>
      <c r="C10">
        <f>IS_Hist!$C$20/$C$5</f>
        <v>249.083837020741</v>
      </c>
      <c r="D10">
        <f>IS_Hist!$D$20/$D$5</f>
        <v>339.5253760899422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ColWidth="8.375" defaultRowHeight="15"/>
  <sheetData>
    <row r="1">
      <c r="A1" t="s">
        <v>285</v>
      </c>
    </row>
    <row r="2">
      <c r="A2" t="s">
        <v>286</v>
      </c>
    </row>
    <row r="4">
      <c r="A4" t="s">
        <v>287</v>
      </c>
      <c r="B4" t="s">
        <v>52</v>
      </c>
      <c r="C4" t="s">
        <v>53</v>
      </c>
      <c r="D4" t="s">
        <v>288</v>
      </c>
    </row>
    <row r="5">
      <c r="A5" t="s">
        <v>289</v>
      </c>
      <c r="B5">
        <v>68368844</v>
      </c>
      <c r="C5">
        <v>60567169</v>
      </c>
      <c r="D5">
        <v>11</v>
      </c>
    </row>
    <row r="6">
      <c r="A6" t="s">
        <v>290</v>
      </c>
      <c r="B6">
        <v>24443901</v>
      </c>
      <c r="C6">
        <v>21421175</v>
      </c>
    </row>
    <row r="7">
      <c r="A7" t="s">
        <v>291</v>
      </c>
      <c r="B7">
        <v>14607889</v>
      </c>
      <c r="C7">
        <v>13494031</v>
      </c>
    </row>
    <row r="8">
      <c r="A8" t="s">
        <v>292</v>
      </c>
      <c r="B8">
        <v>2328</v>
      </c>
      <c r="C8">
        <v>0</v>
      </c>
    </row>
    <row r="9">
      <c r="A9" t="s">
        <v>293</v>
      </c>
      <c r="B9">
        <v>227912</v>
      </c>
      <c r="C9">
        <v>13871</v>
      </c>
    </row>
    <row r="10">
      <c r="A10" t="s">
        <v>294</v>
      </c>
      <c r="B10">
        <f>SUM(B5:B9)</f>
        <v>107650874</v>
      </c>
      <c r="C10">
        <f>SUM(C5:C9)</f>
        <v>95496246</v>
      </c>
    </row>
    <row r="11">
      <c r="A11" t="s">
        <v>295</v>
      </c>
      <c r="B11">
        <v>-5547754</v>
      </c>
      <c r="C11">
        <v>-4585486</v>
      </c>
    </row>
    <row r="12">
      <c r="A12" t="s">
        <v>296</v>
      </c>
      <c r="B12">
        <f>B10+B11</f>
        <v>102103120</v>
      </c>
      <c r="C12">
        <f>C10+C11</f>
        <v>90910760</v>
      </c>
      <c r="D12" t="s">
        <v>297</v>
      </c>
    </row>
    <row r="15">
      <c r="A15" t="s">
        <v>298</v>
      </c>
      <c r="B15" t="s">
        <v>52</v>
      </c>
      <c r="C15" t="s">
        <v>53</v>
      </c>
      <c r="D15" t="s">
        <v>288</v>
      </c>
    </row>
    <row r="16">
      <c r="A16" t="s">
        <v>299</v>
      </c>
      <c r="B16">
        <v>69488181</v>
      </c>
      <c r="C16">
        <v>61149323</v>
      </c>
      <c r="D16">
        <v>11.1</v>
      </c>
    </row>
    <row r="17">
      <c r="A17" t="s">
        <v>300</v>
      </c>
      <c r="B17">
        <v>13210875</v>
      </c>
      <c r="C17">
        <v>11717444</v>
      </c>
    </row>
    <row r="18">
      <c r="A18" t="s">
        <v>301</v>
      </c>
      <c r="B18">
        <v>8710423</v>
      </c>
      <c r="C18">
        <v>6669861</v>
      </c>
    </row>
    <row r="19">
      <c r="A19" t="s">
        <v>302</v>
      </c>
      <c r="B19">
        <v>4316749</v>
      </c>
      <c r="C19">
        <v>3955027</v>
      </c>
    </row>
    <row r="20">
      <c r="A20" t="s">
        <v>303</v>
      </c>
      <c r="B20">
        <v>2786274</v>
      </c>
      <c r="C20">
        <v>3310375</v>
      </c>
    </row>
    <row r="22">
      <c r="A22" t="s">
        <v>304</v>
      </c>
      <c r="B22" t="s">
        <v>52</v>
      </c>
      <c r="C22" t="s">
        <v>53</v>
      </c>
      <c r="D22" t="s">
        <v>288</v>
      </c>
    </row>
    <row r="23">
      <c r="A23" t="s">
        <v>305</v>
      </c>
      <c r="B23">
        <v>95080275</v>
      </c>
      <c r="C23">
        <v>86353461</v>
      </c>
      <c r="D23">
        <v>11.4</v>
      </c>
    </row>
    <row r="24">
      <c r="A24" t="s">
        <v>306</v>
      </c>
      <c r="B24">
        <v>4939950</v>
      </c>
      <c r="C24">
        <v>3356376</v>
      </c>
    </row>
    <row r="25">
      <c r="A25" t="s">
        <v>307</v>
      </c>
      <c r="B25">
        <v>7630649</v>
      </c>
      <c r="C25">
        <v>5786409</v>
      </c>
    </row>
    <row r="26">
      <c r="A26" t="s">
        <v>308</v>
      </c>
      <c r="B26">
        <f>SUM(B23:B25)</f>
        <v>107650874</v>
      </c>
      <c r="C26">
        <f>SUM(C23:C25)</f>
        <v>95496246</v>
      </c>
    </row>
    <row r="27">
      <c r="A27" t="s">
        <v>309</v>
      </c>
      <c r="B27">
        <f>B26-B10</f>
        <v>0</v>
      </c>
      <c r="C27">
        <f>C26-C10</f>
        <v>0</v>
      </c>
    </row>
    <row r="29">
      <c r="A29" t="s">
        <v>310</v>
      </c>
      <c r="B29" t="s">
        <v>52</v>
      </c>
      <c r="C29" t="s">
        <v>53</v>
      </c>
      <c r="D29" t="s">
        <v>288</v>
      </c>
    </row>
    <row r="30">
      <c r="A30" t="s">
        <v>311</v>
      </c>
      <c r="B30">
        <v>43683496</v>
      </c>
      <c r="C30">
        <v>35220789</v>
      </c>
      <c r="D30">
        <v>11.2</v>
      </c>
    </row>
    <row r="31">
      <c r="A31" t="s">
        <v>312</v>
      </c>
      <c r="B31">
        <v>25457052</v>
      </c>
      <c r="C31">
        <v>25262265</v>
      </c>
    </row>
    <row r="32">
      <c r="A32" t="s">
        <v>313</v>
      </c>
      <c r="B32">
        <v>14847632</v>
      </c>
      <c r="C32">
        <v>14832651</v>
      </c>
    </row>
    <row r="33">
      <c r="A33" t="s">
        <v>314</v>
      </c>
      <c r="B33">
        <v>23662694</v>
      </c>
      <c r="C33">
        <v>20180541</v>
      </c>
    </row>
    <row r="34">
      <c r="A34" t="s">
        <v>315</v>
      </c>
      <c r="B34">
        <f>SUM(B30:B33)</f>
        <v>107650874</v>
      </c>
      <c r="C34">
        <f>SUM(C30:C33)</f>
        <v>95496246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ColWidth="8.375" defaultRowHeight="15"/>
  <sheetData>
    <row r="1">
      <c r="A1" t="s">
        <v>316</v>
      </c>
    </row>
    <row r="2">
      <c r="A2" t="s">
        <v>317</v>
      </c>
    </row>
    <row r="4">
      <c r="A4" t="s">
        <v>318</v>
      </c>
      <c r="B4" t="s">
        <v>51</v>
      </c>
      <c r="C4" t="s">
        <v>52</v>
      </c>
      <c r="D4" t="s">
        <v>53</v>
      </c>
      <c r="E4" t="s">
        <v>288</v>
      </c>
    </row>
    <row r="5">
      <c r="A5" t="s">
        <v>319</v>
      </c>
      <c r="B5">
        <v>14444536</v>
      </c>
      <c r="C5">
        <v>14983249</v>
      </c>
      <c r="D5">
        <v>13718228</v>
      </c>
      <c r="E5">
        <v>20</v>
      </c>
    </row>
    <row r="6">
      <c r="A6" t="s">
        <v>320</v>
      </c>
      <c r="B6">
        <v>30347871</v>
      </c>
      <c r="C6">
        <v>36018156</v>
      </c>
      <c r="D6">
        <v>36291209</v>
      </c>
    </row>
    <row r="7">
      <c r="A7" t="s">
        <v>321</v>
      </c>
      <c r="B7">
        <v>45993548</v>
      </c>
      <c r="C7">
        <v>53101167</v>
      </c>
      <c r="D7">
        <v>47732498</v>
      </c>
    </row>
    <row r="8">
      <c r="A8" t="s">
        <v>222</v>
      </c>
      <c r="B8">
        <v>297837</v>
      </c>
      <c r="C8">
        <v>156403</v>
      </c>
      <c r="D8">
        <v>344076</v>
      </c>
    </row>
    <row r="9">
      <c r="A9" t="s">
        <v>322</v>
      </c>
      <c r="B9">
        <f>SUM(B5:B8)</f>
        <v>91083792</v>
      </c>
      <c r="C9">
        <f>SUM(C5:C8)</f>
        <v>104258975</v>
      </c>
      <c r="D9">
        <f>SUM(D5:D8)</f>
        <v>98086011</v>
      </c>
      <c r="E9" t="s">
        <v>323</v>
      </c>
    </row>
    <row r="10">
      <c r="A10" t="s">
        <v>324</v>
      </c>
      <c r="B10">
        <f>B9-91083792</f>
        <v>0</v>
      </c>
      <c r="C10">
        <f>C9-104258975</f>
        <v>0</v>
      </c>
      <c r="D10">
        <f>D9-98086011</f>
        <v>0</v>
      </c>
    </row>
    <row r="12">
      <c r="A12" t="s">
        <v>325</v>
      </c>
      <c r="B12" t="s">
        <v>52</v>
      </c>
      <c r="C12" t="s">
        <v>53</v>
      </c>
      <c r="D12" t="s">
        <v>288</v>
      </c>
    </row>
    <row r="13">
      <c r="A13" t="s">
        <v>319</v>
      </c>
      <c r="B13">
        <v>-210746</v>
      </c>
      <c r="C13">
        <v>-182062</v>
      </c>
      <c r="D13">
        <v>20</v>
      </c>
    </row>
    <row r="14">
      <c r="A14" t="s">
        <v>320</v>
      </c>
      <c r="B14">
        <v>-2046310</v>
      </c>
      <c r="C14">
        <v>-1674558</v>
      </c>
    </row>
    <row r="15">
      <c r="A15" t="s">
        <v>326</v>
      </c>
      <c r="B15">
        <v>-4338567</v>
      </c>
      <c r="C15">
        <v>-4166446</v>
      </c>
    </row>
    <row r="16">
      <c r="A16" t="s">
        <v>327</v>
      </c>
      <c r="B16">
        <f>SUM(B13:B15)</f>
        <v>-6595623</v>
      </c>
      <c r="C16">
        <f>SUM(C13:C15)</f>
        <v>-6023066</v>
      </c>
      <c r="D16" t="s">
        <v>328</v>
      </c>
    </row>
    <row r="18">
      <c r="A18" t="s">
        <v>329</v>
      </c>
      <c r="B18" t="s">
        <v>51</v>
      </c>
      <c r="C18" t="s">
        <v>52</v>
      </c>
      <c r="D18" t="s">
        <v>53</v>
      </c>
      <c r="E18" t="s">
        <v>288</v>
      </c>
    </row>
    <row r="19">
      <c r="A19" t="s">
        <v>330</v>
      </c>
      <c r="B19">
        <v>24862230</v>
      </c>
      <c r="C19">
        <v>25083047</v>
      </c>
      <c r="D19">
        <v>20230822</v>
      </c>
      <c r="E19">
        <v>21</v>
      </c>
    </row>
    <row r="20">
      <c r="A20" t="s">
        <v>331</v>
      </c>
      <c r="B20">
        <v>715305</v>
      </c>
      <c r="C20">
        <v>759813</v>
      </c>
      <c r="D20">
        <v>699395</v>
      </c>
      <c r="E20">
        <v>21.5</v>
      </c>
    </row>
    <row r="21">
      <c r="A21" t="s">
        <v>332</v>
      </c>
      <c r="B21">
        <f>B19+B20</f>
        <v>25577535</v>
      </c>
      <c r="C21">
        <f>C19+C20</f>
        <v>25842860</v>
      </c>
      <c r="D21">
        <f>D19+D20</f>
        <v>20930217</v>
      </c>
    </row>
    <row r="23">
      <c r="A23" t="s">
        <v>333</v>
      </c>
      <c r="B23" t="s">
        <v>51</v>
      </c>
      <c r="C23" t="s">
        <v>52</v>
      </c>
      <c r="D23" t="s">
        <v>53</v>
      </c>
    </row>
    <row r="24">
      <c r="A24" t="s">
        <v>334</v>
      </c>
      <c r="B24">
        <f>B9/(B9+B21)</f>
        <v>0.7807539511358379</v>
      </c>
      <c r="C24">
        <f>C9/(C9+C21)</f>
        <v>0.8013643696877911</v>
      </c>
      <c r="D24">
        <f>D9/(D9+D21)</f>
        <v>0.8241398055397958</v>
      </c>
    </row>
    <row r="25">
      <c r="A25" t="s">
        <v>335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ColWidth="8.375" defaultRowHeight="15"/>
  <sheetData>
    <row r="1">
      <c r="A1" t="s">
        <v>336</v>
      </c>
    </row>
    <row r="2">
      <c r="A2" t="s">
        <v>337</v>
      </c>
    </row>
    <row r="4">
      <c r="A4" t="s">
        <v>338</v>
      </c>
      <c r="B4" t="s">
        <v>51</v>
      </c>
      <c r="C4" t="s">
        <v>52</v>
      </c>
      <c r="D4" t="s">
        <v>53</v>
      </c>
      <c r="E4" t="s">
        <v>339</v>
      </c>
    </row>
    <row r="5">
      <c r="A5" t="s">
        <v>55</v>
      </c>
      <c r="B5">
        <f>IS_Hist!B5</f>
        <v>14381561</v>
      </c>
      <c r="C5">
        <f>IS_Hist!C5</f>
        <v>14396101</v>
      </c>
      <c r="D5">
        <f>IS_Hist!D5</f>
        <v>12215662</v>
      </c>
      <c r="E5" t="s">
        <v>340</v>
      </c>
    </row>
    <row r="6">
      <c r="A6" t="s">
        <v>57</v>
      </c>
      <c r="B6">
        <f>IS_Hist!B6</f>
        <v>-9345442</v>
      </c>
      <c r="C6">
        <f>IS_Hist!C6</f>
        <v>-9147250</v>
      </c>
      <c r="D6">
        <f>IS_Hist!D6</f>
        <v>-7471702</v>
      </c>
    </row>
    <row r="7">
      <c r="A7" t="s">
        <v>341</v>
      </c>
      <c r="B7">
        <f>IS_Hist!B7</f>
        <v>5036119</v>
      </c>
      <c r="C7">
        <f>IS_Hist!C7</f>
        <v>5248851</v>
      </c>
      <c r="D7">
        <f>IS_Hist!D7</f>
        <v>4743960</v>
      </c>
    </row>
    <row r="8">
      <c r="A8" t="s">
        <v>342</v>
      </c>
      <c r="B8">
        <f>BS_Hist!B8</f>
        <v>93586560</v>
      </c>
      <c r="C8">
        <f>BS_Hist!C8</f>
        <v>102103120</v>
      </c>
      <c r="D8">
        <f>BS_Hist!D8</f>
        <v>90910760</v>
      </c>
      <c r="E8" t="s">
        <v>343</v>
      </c>
    </row>
    <row r="9">
      <c r="A9" t="s">
        <v>344</v>
      </c>
      <c r="B9">
        <f>BS_Hist!B19</f>
        <v>137474036</v>
      </c>
      <c r="C9">
        <f>BS_Hist!C19</f>
        <v>150719627</v>
      </c>
      <c r="D9">
        <f>BS_Hist!D19</f>
        <v>156164359</v>
      </c>
    </row>
    <row r="10">
      <c r="A10" t="s">
        <v>345</v>
      </c>
      <c r="B10">
        <f>B7/B8</f>
        <v>0.05381241708211094</v>
      </c>
      <c r="C10">
        <f>C7/C8</f>
        <v>0.05140735170482547</v>
      </c>
      <c r="D10">
        <f>D7/D8</f>
        <v>0.052182601927428615</v>
      </c>
    </row>
    <row r="11">
      <c r="A11" t="s">
        <v>346</v>
      </c>
      <c r="B11">
        <f>B7/B9</f>
        <v>0.03663323742091925</v>
      </c>
      <c r="C11">
        <f>C7/C9</f>
        <v>0.03482526532526517</v>
      </c>
      <c r="D11">
        <f>D7/D9</f>
        <v>0.030377994251556465</v>
      </c>
    </row>
    <row r="12">
      <c r="A12" t="s">
        <v>347</v>
      </c>
      <c r="C12">
        <f>11839161/C8</f>
        <v>0.11595297969347068</v>
      </c>
      <c r="D12">
        <f>11008514/D8</f>
        <v>0.12109143076133122</v>
      </c>
      <c r="E12" t="s">
        <v>348</v>
      </c>
    </row>
    <row r="13">
      <c r="A13" t="s">
        <v>349</v>
      </c>
      <c r="C13">
        <f>Deposits_Funding!B16/Deposits_Funding!C9</f>
        <v>-0.06326192061642655</v>
      </c>
      <c r="D13">
        <f>Deposits_Funding!C16/Deposits_Funding!D9</f>
        <v>-0.061405963384523816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ColWidth="8.375" defaultRowHeight="15"/>
  <sheetData>
    <row r="1">
      <c r="A1" t="s">
        <v>350</v>
      </c>
    </row>
    <row r="2">
      <c r="A2" t="s">
        <v>351</v>
      </c>
    </row>
    <row r="4">
      <c r="A4" t="s">
        <v>338</v>
      </c>
      <c r="B4" t="s">
        <v>51</v>
      </c>
      <c r="C4" t="s">
        <v>52</v>
      </c>
      <c r="D4" t="s">
        <v>53</v>
      </c>
      <c r="E4" t="s">
        <v>288</v>
      </c>
    </row>
    <row r="5">
      <c r="A5" t="s">
        <v>352</v>
      </c>
      <c r="C5">
        <f>Loan_Book!B10</f>
        <v>107650874</v>
      </c>
      <c r="D5">
        <f>Loan_Book!C10</f>
        <v>95496246</v>
      </c>
      <c r="E5">
        <v>11</v>
      </c>
    </row>
    <row r="6">
      <c r="A6" t="s">
        <v>353</v>
      </c>
      <c r="C6">
        <f>Loan_Book!B25</f>
        <v>7630649</v>
      </c>
      <c r="D6">
        <f>Loan_Book!C25</f>
        <v>5786409</v>
      </c>
    </row>
    <row r="7">
      <c r="A7" t="s">
        <v>354</v>
      </c>
      <c r="C7">
        <f>C6/C5</f>
        <v>0.0708832981699712</v>
      </c>
      <c r="D7">
        <f>D6/D5</f>
        <v>0.06059305200332168</v>
      </c>
    </row>
    <row r="8">
      <c r="A8" t="s">
        <v>355</v>
      </c>
      <c r="C8">
        <f>-Loan_Book!B11</f>
        <v>5547754</v>
      </c>
      <c r="D8">
        <f>-Loan_Book!C11</f>
        <v>4585486</v>
      </c>
    </row>
    <row r="9">
      <c r="A9" t="s">
        <v>356</v>
      </c>
      <c r="C9">
        <f>C8/C6</f>
        <v>0.7270356689188561</v>
      </c>
      <c r="D9">
        <f>D8/D6</f>
        <v>0.7924579821440206</v>
      </c>
    </row>
    <row r="10">
      <c r="A10" t="s">
        <v>357</v>
      </c>
      <c r="B10">
        <f>-IS_Hist!B8/93586560</f>
        <v>0.0273745717333771</v>
      </c>
      <c r="C10">
        <f>-IS_Hist!C8/Loan_Book!B10</f>
        <v>0.023194897609470407</v>
      </c>
      <c r="D10">
        <f>-IS_Hist!D8/Loan_Book!C10</f>
        <v>0.023980785590252417</v>
      </c>
      <c r="E10" t="s">
        <v>358</v>
      </c>
    </row>
    <row r="12">
      <c r="A12" t="s">
        <v>359</v>
      </c>
      <c r="B12" t="s">
        <v>52</v>
      </c>
      <c r="C12" t="s">
        <v>53</v>
      </c>
      <c r="D12" t="s">
        <v>288</v>
      </c>
    </row>
    <row r="13">
      <c r="A13" t="s">
        <v>360</v>
      </c>
      <c r="B13">
        <v>-5610653</v>
      </c>
      <c r="C13">
        <v>-5547754</v>
      </c>
      <c r="D13">
        <v>11.5</v>
      </c>
    </row>
    <row r="14">
      <c r="A14" t="s">
        <v>361</v>
      </c>
      <c r="B14">
        <v>2922444</v>
      </c>
      <c r="C14">
        <v>3103716</v>
      </c>
    </row>
    <row r="15">
      <c r="A15" t="s">
        <v>362</v>
      </c>
      <c r="B15">
        <v>-2349994</v>
      </c>
      <c r="C15">
        <v>-2189167</v>
      </c>
    </row>
    <row r="16">
      <c r="A16" t="s">
        <v>363</v>
      </c>
      <c r="B16">
        <v>-412175</v>
      </c>
      <c r="C16">
        <v>-166530</v>
      </c>
    </row>
    <row r="17">
      <c r="A17" t="s">
        <v>364</v>
      </c>
      <c r="B17">
        <v>-38125</v>
      </c>
      <c r="C17">
        <v>44035</v>
      </c>
    </row>
    <row r="18">
      <c r="A18" t="s">
        <v>365</v>
      </c>
      <c r="B18">
        <v>-59251</v>
      </c>
      <c r="C18">
        <v>170214</v>
      </c>
    </row>
    <row r="19">
      <c r="A19" t="s">
        <v>366</v>
      </c>
      <c r="B19">
        <f>SUM(B13:B18)</f>
        <v>-5547754</v>
      </c>
      <c r="C19">
        <f>SUM(C13:C18)</f>
        <v>-4585486</v>
      </c>
    </row>
    <row r="20">
      <c r="A20" t="s">
        <v>367</v>
      </c>
      <c r="B20">
        <f>B19-(-5547754)</f>
        <v>0</v>
      </c>
      <c r="C20">
        <f>C19-(-4585486)</f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ColWidth="8.375" defaultRowHeight="15"/>
  <sheetData>
    <row r="1">
      <c r="A1" t="s">
        <v>368</v>
      </c>
    </row>
    <row r="2">
      <c r="A2" t="s">
        <v>369</v>
      </c>
    </row>
    <row r="4">
      <c r="A4" t="s">
        <v>338</v>
      </c>
      <c r="B4" t="s">
        <v>51</v>
      </c>
      <c r="C4" t="s">
        <v>52</v>
      </c>
      <c r="D4" t="s">
        <v>53</v>
      </c>
      <c r="E4" t="s">
        <v>288</v>
      </c>
    </row>
    <row r="5">
      <c r="A5" t="s">
        <v>370</v>
      </c>
      <c r="B5">
        <v>13644969</v>
      </c>
      <c r="C5">
        <v>14381099</v>
      </c>
      <c r="D5">
        <v>15294347</v>
      </c>
      <c r="E5" t="s">
        <v>371</v>
      </c>
    </row>
    <row r="6">
      <c r="A6" t="s">
        <v>372</v>
      </c>
      <c r="B6">
        <v>0</v>
      </c>
      <c r="C6">
        <v>0</v>
      </c>
      <c r="D6">
        <v>0</v>
      </c>
    </row>
    <row r="7">
      <c r="A7" t="s">
        <v>373</v>
      </c>
      <c r="B7">
        <f>B5+B6</f>
        <v>13644969</v>
      </c>
      <c r="C7">
        <f>C5+C6</f>
        <v>14381099</v>
      </c>
      <c r="D7">
        <f>D5+D6</f>
        <v>15294347</v>
      </c>
    </row>
    <row r="8">
      <c r="A8" t="s">
        <v>374</v>
      </c>
      <c r="B8">
        <v>2573696</v>
      </c>
      <c r="C8">
        <v>2459094</v>
      </c>
      <c r="D8">
        <v>1687813</v>
      </c>
    </row>
    <row r="9">
      <c r="A9" t="s">
        <v>375</v>
      </c>
      <c r="B9">
        <v>0</v>
      </c>
      <c r="C9">
        <v>0</v>
      </c>
      <c r="D9">
        <v>0</v>
      </c>
    </row>
    <row r="10">
      <c r="A10" t="s">
        <v>376</v>
      </c>
      <c r="B10">
        <f>B7+B8-B9</f>
        <v>16218665</v>
      </c>
      <c r="C10">
        <f>C7+C8-C9</f>
        <v>16840193</v>
      </c>
      <c r="D10">
        <f>D7+D8-D9</f>
        <v>16982160</v>
      </c>
    </row>
    <row r="11">
      <c r="A11" t="s">
        <v>377</v>
      </c>
      <c r="B11">
        <v>91625712</v>
      </c>
      <c r="C11">
        <v>97961017</v>
      </c>
      <c r="D11">
        <v>98501784</v>
      </c>
    </row>
    <row r="12">
      <c r="A12" t="s">
        <v>378</v>
      </c>
      <c r="B12">
        <v>7102531</v>
      </c>
      <c r="C12">
        <v>3535594</v>
      </c>
      <c r="D12">
        <v>3460094</v>
      </c>
    </row>
    <row r="13">
      <c r="A13" t="s">
        <v>379</v>
      </c>
      <c r="B13">
        <v>6806068</v>
      </c>
      <c r="C13">
        <v>7382337</v>
      </c>
      <c r="D13">
        <v>8706498</v>
      </c>
    </row>
    <row r="14">
      <c r="A14" t="s">
        <v>380</v>
      </c>
      <c r="B14">
        <f>B11+B12+B13</f>
        <v>105534311</v>
      </c>
      <c r="C14">
        <f>C11+C12+C13</f>
        <v>108878948</v>
      </c>
      <c r="D14">
        <f>D11+D12+D13</f>
        <v>110668376</v>
      </c>
    </row>
    <row r="15">
      <c r="A15" t="s">
        <v>381</v>
      </c>
      <c r="B15">
        <f>B14-105534310</f>
        <v>1</v>
      </c>
      <c r="C15">
        <f>C14-108878948</f>
        <v>0</v>
      </c>
      <c r="D15">
        <f>D14-110668376</f>
        <v>0</v>
      </c>
    </row>
    <row r="16">
      <c r="A16" t="s">
        <v>382</v>
      </c>
      <c r="B16">
        <f>B7/B14</f>
        <v>0.1292941496533767</v>
      </c>
      <c r="C16">
        <f>C7/C14</f>
        <v>0.13208337575047108</v>
      </c>
      <c r="D16">
        <f>D7/D14</f>
        <v>0.13819979611881175</v>
      </c>
    </row>
    <row r="17">
      <c r="A17" t="s">
        <v>383</v>
      </c>
      <c r="B17">
        <v>0.1293</v>
      </c>
      <c r="C17">
        <v>0.1321</v>
      </c>
      <c r="D17">
        <v>0.1382</v>
      </c>
    </row>
    <row r="18">
      <c r="A18" t="s">
        <v>384</v>
      </c>
      <c r="B18">
        <f>B16-B17</f>
        <v>-0.000005850346623287317</v>
      </c>
      <c r="C18">
        <f>C16-C17</f>
        <v>-0.000016624249528918167</v>
      </c>
      <c r="D18">
        <f>D16-D17</f>
        <v>-0.00000020388118823766455</v>
      </c>
    </row>
    <row r="19">
      <c r="A19" t="s">
        <v>385</v>
      </c>
      <c r="B19">
        <f>B10/B14</f>
        <v>0.15368144110023138</v>
      </c>
      <c r="C19">
        <f>C10/C14</f>
        <v>0.154668954002017</v>
      </c>
      <c r="D19">
        <f>D10/D14</f>
        <v>0.1534508828429903</v>
      </c>
    </row>
    <row r="20">
      <c r="A20" t="s">
        <v>386</v>
      </c>
      <c r="B20">
        <v>0.1537</v>
      </c>
      <c r="C20">
        <v>0.1547</v>
      </c>
      <c r="D20">
        <v>0.1535</v>
      </c>
    </row>
    <row r="21">
      <c r="A21" t="s">
        <v>387</v>
      </c>
      <c r="B21">
        <f>B19-B20</f>
        <v>-0.000018558899768622572</v>
      </c>
      <c r="C21">
        <f>C19-C20</f>
        <v>-0.00003104599798300911</v>
      </c>
      <c r="D21">
        <f>D19-D20</f>
        <v>-0.00004911715700969821</v>
      </c>
    </row>
    <row r="22">
      <c r="A22" t="s">
        <v>388</v>
      </c>
      <c r="B22">
        <v>141766918</v>
      </c>
      <c r="C22">
        <v>154516917</v>
      </c>
      <c r="D22">
        <v>158485219</v>
      </c>
    </row>
    <row r="23">
      <c r="A23" t="s">
        <v>389</v>
      </c>
      <c r="B23">
        <f>B7/B22</f>
        <v>0.09624931678348259</v>
      </c>
      <c r="C23">
        <f>C7/C22</f>
        <v>0.09307135606388005</v>
      </c>
      <c r="D23">
        <f>D7/D22</f>
        <v>0.09650330230480358</v>
      </c>
    </row>
    <row r="24">
      <c r="A24" t="s">
        <v>390</v>
      </c>
      <c r="B24">
        <v>0.0962</v>
      </c>
      <c r="C24">
        <v>0.0931</v>
      </c>
      <c r="D24">
        <v>0.0965</v>
      </c>
    </row>
    <row r="25">
      <c r="A25" t="s">
        <v>391</v>
      </c>
      <c r="B25">
        <f>B23-B24</f>
        <v>0.00004931678348259194</v>
      </c>
      <c r="C25">
        <f>C23-C24</f>
        <v>-0.000028643936119954194</v>
      </c>
      <c r="D25">
        <f>D23-D24</f>
        <v>0.000003302304803581846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ColWidth="8.375" defaultRowHeight="15"/>
  <sheetData>
    <row r="1">
      <c r="A1" t="s">
        <v>392</v>
      </c>
    </row>
    <row r="2">
      <c r="A2" t="s">
        <v>393</v>
      </c>
    </row>
    <row r="4">
      <c r="A4" t="s">
        <v>394</v>
      </c>
      <c r="B4" t="s">
        <v>395</v>
      </c>
      <c r="C4" t="s">
        <v>396</v>
      </c>
      <c r="D4" t="s">
        <v>397</v>
      </c>
    </row>
    <row r="5">
      <c r="A5" t="s">
        <v>398</v>
      </c>
      <c r="B5" t="s">
        <v>399</v>
      </c>
      <c r="C5" t="s">
        <v>400</v>
      </c>
      <c r="D5" t="s">
        <v>401</v>
      </c>
    </row>
    <row r="6">
      <c r="A6" t="s">
        <v>402</v>
      </c>
      <c r="B6" t="s">
        <v>403</v>
      </c>
      <c r="C6" t="s">
        <v>404</v>
      </c>
      <c r="D6" t="s">
        <v>405</v>
      </c>
    </row>
    <row r="7">
      <c r="A7" t="s">
        <v>406</v>
      </c>
      <c r="B7" t="s">
        <v>407</v>
      </c>
      <c r="C7" t="s">
        <v>408</v>
      </c>
      <c r="D7" t="s">
        <v>408</v>
      </c>
    </row>
    <row r="9">
      <c r="A9" t="s">
        <v>409</v>
      </c>
    </row>
    <row r="10">
      <c r="A10" t="s">
        <v>410</v>
      </c>
    </row>
    <row r="11">
      <c r="A11" t="s">
        <v>411</v>
      </c>
    </row>
    <row r="12">
      <c r="A12" t="s">
        <v>412</v>
      </c>
    </row>
    <row r="13">
      <c r="A13" t="s">
        <v>413</v>
      </c>
    </row>
    <row r="14">
      <c r="A14" t="s">
        <v>414</v>
      </c>
    </row>
    <row r="15">
      <c r="A15" t="s">
        <v>415</v>
      </c>
    </row>
    <row r="16">
      <c r="A16" t="s">
        <v>416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ColWidth="8.375" defaultRowHeight="15"/>
  <sheetData>
    <row r="1">
      <c r="A1" t="s">
        <v>417</v>
      </c>
    </row>
    <row r="2">
      <c r="A2" t="s">
        <v>418</v>
      </c>
    </row>
    <row r="4">
      <c r="A4" t="s">
        <v>419</v>
      </c>
      <c r="B4">
        <v>1</v>
      </c>
    </row>
    <row r="6">
      <c r="A6" t="s">
        <v>420</v>
      </c>
      <c r="B6" t="s">
        <v>421</v>
      </c>
      <c r="C6" t="s">
        <v>422</v>
      </c>
      <c r="D6" t="s">
        <v>423</v>
      </c>
      <c r="E6" t="s">
        <v>424</v>
      </c>
      <c r="F6" t="s">
        <v>425</v>
      </c>
    </row>
    <row r="7">
      <c r="A7" t="s">
        <v>426</v>
      </c>
      <c r="B7">
        <v>0.02</v>
      </c>
      <c r="C7">
        <v>0.06</v>
      </c>
      <c r="D7">
        <v>0.1</v>
      </c>
      <c r="E7">
        <f>CHOOSE($B$4,C7,D7,B7)</f>
        <v>0.06</v>
      </c>
      <c r="F7" t="s">
        <v>427</v>
      </c>
    </row>
    <row r="8">
      <c r="A8" t="s">
        <v>428</v>
      </c>
      <c r="B8">
        <v>0.02</v>
      </c>
      <c r="C8">
        <v>0.05</v>
      </c>
      <c r="D8">
        <v>0.08</v>
      </c>
      <c r="E8">
        <f>CHOOSE($B$4,C8,D8,B8)</f>
        <v>0.05</v>
      </c>
      <c r="F8" t="s">
        <v>429</v>
      </c>
    </row>
    <row r="9">
      <c r="A9" t="s">
        <v>430</v>
      </c>
      <c r="B9">
        <v>0.045</v>
      </c>
      <c r="C9">
        <v>0.052</v>
      </c>
      <c r="D9">
        <v>0.058</v>
      </c>
      <c r="E9">
        <f>CHOOSE($B$4,C9,D9,B9)</f>
        <v>0.052</v>
      </c>
      <c r="F9" t="s">
        <v>431</v>
      </c>
    </row>
    <row r="10">
      <c r="A10" t="s">
        <v>432</v>
      </c>
      <c r="B10">
        <v>0.035</v>
      </c>
      <c r="C10">
        <v>0.025</v>
      </c>
      <c r="D10">
        <v>0.018</v>
      </c>
      <c r="E10">
        <f>CHOOSE($B$4,C10,D10,B10)</f>
        <v>0.025</v>
      </c>
      <c r="F10" t="s">
        <v>433</v>
      </c>
    </row>
    <row r="11">
      <c r="A11" t="s">
        <v>434</v>
      </c>
      <c r="B11">
        <v>0.012</v>
      </c>
      <c r="C11">
        <v>0.014</v>
      </c>
      <c r="D11">
        <v>0.016</v>
      </c>
      <c r="E11">
        <f>CHOOSE($B$4,C11,D11,B11)</f>
        <v>0.014</v>
      </c>
      <c r="F11" t="s">
        <v>435</v>
      </c>
    </row>
    <row r="12">
      <c r="A12" t="s">
        <v>436</v>
      </c>
      <c r="B12">
        <v>0.16</v>
      </c>
      <c r="C12">
        <v>0.12</v>
      </c>
      <c r="D12">
        <v>0.1</v>
      </c>
      <c r="E12">
        <f>CHOOSE($B$4,C12,D12,B12)</f>
        <v>0.12</v>
      </c>
      <c r="F12" t="s">
        <v>437</v>
      </c>
    </row>
    <row r="13">
      <c r="A13" t="s">
        <v>438</v>
      </c>
      <c r="B13">
        <v>0.55</v>
      </c>
      <c r="C13">
        <v>0.49</v>
      </c>
      <c r="D13">
        <v>0.4</v>
      </c>
      <c r="E13">
        <f>CHOOSE($B$4,C13,D13,B13)</f>
        <v>0.49</v>
      </c>
      <c r="F13" t="s">
        <v>439</v>
      </c>
    </row>
    <row r="16">
      <c r="A16" t="s">
        <v>440</v>
      </c>
      <c r="B16" t="s">
        <v>53</v>
      </c>
      <c r="C16" t="s">
        <v>441</v>
      </c>
      <c r="D16" t="s">
        <v>442</v>
      </c>
      <c r="E16" t="s">
        <v>443</v>
      </c>
      <c r="F16" t="s">
        <v>444</v>
      </c>
      <c r="G16" t="s">
        <v>445</v>
      </c>
    </row>
    <row r="17">
      <c r="A17" t="s">
        <v>446</v>
      </c>
      <c r="B17">
        <f>Loan_Book!C10</f>
        <v>95496246</v>
      </c>
      <c r="C17">
        <f>B17*(1+$E$7)</f>
        <v>101226020.76</v>
      </c>
      <c r="D17">
        <f>C17*(1+$E$7)</f>
        <v>107299582.0056</v>
      </c>
      <c r="E17">
        <f>D17*(1+$E$7)</f>
        <v>113737556.92593601</v>
      </c>
      <c r="F17">
        <f>E17*(1+$E$7)</f>
        <v>120561810.34149218</v>
      </c>
      <c r="G17">
        <f>F17*(1+$E$7)</f>
        <v>127795518.96198171</v>
      </c>
    </row>
    <row r="18">
      <c r="A18" t="s">
        <v>447</v>
      </c>
      <c r="B18">
        <f>IS_Hist!D7</f>
        <v>4743960</v>
      </c>
      <c r="C18">
        <f>C17*$E$9</f>
        <v>5263753.07952</v>
      </c>
      <c r="D18">
        <f>D17*$E$9</f>
        <v>5579578.2642912</v>
      </c>
      <c r="E18">
        <f>E17*$E$9</f>
        <v>5914352.960148673</v>
      </c>
      <c r="F18">
        <f>F17*$E$9</f>
        <v>6269214.137757593</v>
      </c>
      <c r="G18">
        <f>G17*$E$9</f>
        <v>6645366.986023049</v>
      </c>
    </row>
    <row r="19">
      <c r="A19" t="s">
        <v>448</v>
      </c>
      <c r="B19">
        <f>IS_Hist!D8</f>
        <v>-2290075</v>
      </c>
      <c r="C19">
        <f>-C17*$E$10</f>
        <v>-2530650.5190000003</v>
      </c>
      <c r="D19">
        <f>-D17*$E$10</f>
        <v>-2682489.5501400004</v>
      </c>
      <c r="E19">
        <f>-E17*$E$10</f>
        <v>-2843438.9231484006</v>
      </c>
      <c r="F19">
        <f>-F17*$E$10</f>
        <v>-3014045.2585373046</v>
      </c>
      <c r="G19">
        <f>-G17*$E$10</f>
        <v>-3194887.974049543</v>
      </c>
    </row>
    <row r="20">
      <c r="A20" t="s">
        <v>449</v>
      </c>
      <c r="B20">
        <f>IS_Hist!D11</f>
        <v>1306279</v>
      </c>
      <c r="C20">
        <f>C17*$E$11</f>
        <v>1417164.29064</v>
      </c>
      <c r="D20">
        <f>D17*$E$11</f>
        <v>1502194.1480784002</v>
      </c>
      <c r="E20">
        <f>E17*$E$11</f>
        <v>1592325.7969631043</v>
      </c>
      <c r="F20">
        <f>F17*$E$11</f>
        <v>1687865.3447808905</v>
      </c>
      <c r="G20">
        <f>G17*$E$11</f>
        <v>1789137.265467744</v>
      </c>
    </row>
    <row r="21">
      <c r="A21" t="s">
        <v>450</v>
      </c>
      <c r="B21">
        <f>B18+B19+B20</f>
        <v>3760164</v>
      </c>
      <c r="C21">
        <f>C18+C19+C20</f>
        <v>4150266.85116</v>
      </c>
      <c r="D21">
        <f>D18+D19+D20</f>
        <v>4399282.8622296</v>
      </c>
      <c r="E21">
        <f>E18+E19+E20</f>
        <v>4663239.8339633765</v>
      </c>
      <c r="F21">
        <f>F18+F19+F20</f>
        <v>4943034.2240011785</v>
      </c>
      <c r="G21">
        <f>G18+G19+G20</f>
        <v>5239616.27744125</v>
      </c>
    </row>
    <row r="22">
      <c r="A22" t="s">
        <v>451</v>
      </c>
      <c r="B22">
        <f>IS_Hist!D20</f>
        <v>1275624</v>
      </c>
      <c r="C22">
        <f>C21*(1-$E$12)</f>
        <v>3652234.8290208</v>
      </c>
      <c r="D22">
        <f>D21*(1-$E$12)</f>
        <v>3871368.918762048</v>
      </c>
      <c r="E22">
        <f>E21*(1-$E$12)</f>
        <v>4103651.0538877714</v>
      </c>
      <c r="F22">
        <f>F21*(1-$E$12)</f>
        <v>4349870.117121037</v>
      </c>
      <c r="G22">
        <f>G21*(1-$E$12)</f>
        <v>4610862.3241483</v>
      </c>
    </row>
    <row r="23">
      <c r="A23" t="s">
        <v>452</v>
      </c>
      <c r="C23">
        <f>C22*$E$13</f>
        <v>1789595.066220192</v>
      </c>
      <c r="D23">
        <f>D22*$E$13</f>
        <v>1896970.7701934034</v>
      </c>
      <c r="E23">
        <f>E22*$E$13</f>
        <v>2010789.016405008</v>
      </c>
      <c r="F23">
        <f>F22*$E$13</f>
        <v>2131436.357389308</v>
      </c>
      <c r="G23">
        <f>G22*$E$13</f>
        <v>2259322.538832667</v>
      </c>
    </row>
    <row r="26">
      <c r="A26" t="s">
        <v>453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9" t="s">
        <v>454</v>
      </c>
      <c r="B1" s="59" t="s">
        <v>28</v>
      </c>
      <c r="C1" s="59" t="s">
        <v>455</v>
      </c>
      <c r="D1" s="59" t="s">
        <v>456</v>
      </c>
      <c r="E1" s="59" t="s">
        <v>457</v>
      </c>
      <c r="F1" s="59" t="s">
        <v>458</v>
      </c>
    </row>
    <row r="2">
      <c r="A2" s="57">
        <v>1</v>
      </c>
      <c r="B2" s="58">
        <v>46324.35932226851</v>
      </c>
      <c r="C2" s="57" t="s">
        <v>459</v>
      </c>
      <c r="D2" s="57" t="s">
        <v>460</v>
      </c>
      <c r="E2" s="57" t="s">
        <v>461</v>
      </c>
      <c r="F2" s="57" t="s">
        <v>462</v>
      </c>
    </row>
  </sheetData>
</worksheet>
</file>