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IS_Hist" sheetId="12" r:id="rId15"/>
    <sheet name="BS_Hist" sheetId="13" r:id="rId16"/>
    <sheet name="CF_Hist" sheetId="14" r:id="rId17"/>
    <sheet name="SCE_Hist" sheetId="15" r:id="rId18"/>
    <sheet name="USD_Layer" sheetId="16" r:id="rId19"/>
    <sheet name="Checks_TieOut" sheetId="17" r:id="rId20"/>
    <sheet name="Sources_Audited" sheetId="18" r:id="rId21"/>
    <sheet name="Forecast_5yr" sheetId="19" r:id="rId22"/>
    <sheet name="Claude Code Log" sheetId="20" r:id="rId23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tc={2A6BC776-2FCB-D50A-A978-EA57C3380A82}</author>
    <author>tc={3D519BA8-8F36-8A8A-E499-FF4765AD8C0F}</author>
    <author>tc={8848A0BC-69DE-202A-C681-1CF5ED8AF0CD}</author>
    <author>tc={6407CEC0-4B16-A273-1803-DBE630150421}</author>
    <author>tc={4DA8B31D-9D25-CFCE-2C6F-D3C746705841}</author>
    <author>tc={FB6182FE-A9AC-4A28-C653-651565318A0B}</author>
    <author>tc={C9FB0941-9E6C-F67B-652E-66BA7D704BEC}</author>
    <author>tc={225B9CDC-531E-53FC-BDDB-12230EAB61A2}</author>
    <author>tc={A5BB7E46-C480-AB0F-425C-E36810705500}</author>
    <author>tc={F9185C93-357C-0A3C-8032-DCC9EFBD4E0A}</author>
    <author>tc={81BB72C1-2350-089C-D281-A6BD18C6FB88}</author>
    <author>tc={DB5F1996-FCB1-9B94-8615-658735E08718}</author>
    <author>tc={8F172608-3F08-4D31-053D-DA95852B1C0C}</author>
    <author>tc={D46BEE12-9A0F-7249-EA14-933E9AF3BB4F}</author>
    <author>tc={DFD11530-74B8-92EF-98BC-7A38C20A506D}</author>
    <author>tc={3A68BCD0-DC3F-A48B-E86A-3000E1686C85}</author>
    <author>tc={C62DC37B-C67D-ED52-275D-95E01D42B9E9}</author>
    <author>tc={AAF36A7E-902E-BFDD-C0FD-C8DA4E5CB7B9}</author>
    <author>tc={76005F26-20F9-8881-BA19-F786BCB68BC2}</author>
    <author>tc={7FD854BC-089C-79E2-68A9-7F232CF8C137}</author>
    <author>tc={BBE6AD0D-1028-00E1-BC7B-21A21B7D3743}</author>
    <author>tc={75E58614-89D4-579D-57B3-993A22A7A862}</author>
    <author>tc={FF1DFEEF-7381-BAF2-147B-2C88EA49B89C}</author>
    <author>tc={AD8724F0-1AFA-71B8-8C06-069F0973D48A}</author>
    <author>tc={B2C1F1AE-EC0A-CDB1-F231-81F43181F8A7}</author>
    <author>tc={81B0E7F4-DC41-D5AD-F510-9315183ED41F}</author>
    <author>tc={B44F7AB1-A9D3-6122-1442-2241EEFB6DE9}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B5.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B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B6.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5</xdr:row>
            <xdr:rowOff>2</xdr:rowOff>
          </from>
          <to>
            <xdr:col>3</xdr:col>
            <xdr:colOff>15</xdr:colOff>
            <xdr:row>9</xdr:row>
            <xdr:rowOff>2</xdr:rowOff>
          </to>
        </anchor>
      </commentPr>
    </comment>
    <comment ref="B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B7.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6</xdr:row>
            <xdr:rowOff>2</xdr:rowOff>
          </from>
          <to>
            <xdr:col>3</xdr:col>
            <xdr:colOff>15</xdr:colOff>
            <xdr:row>10</xdr:row>
            <xdr:rowOff>2</xdr:rowOff>
          </to>
        </anchor>
      </commentPr>
    </comment>
    <comment ref="B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B8.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7</xdr:row>
            <xdr:rowOff>2</xdr:rowOff>
          </from>
          <to>
            <xdr:col>3</xdr:col>
            <xdr:colOff>15</xdr:colOff>
            <xdr:row>11</xdr:row>
            <xdr:rowOff>2</xdr:rowOff>
          </to>
        </anchor>
      </commentPr>
    </comment>
    <comment ref="B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B9.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8</xdr:row>
            <xdr:rowOff>2</xdr:rowOff>
          </from>
          <to>
            <xdr:col>3</xdr:col>
            <xdr:colOff>15</xdr:colOff>
            <xdr:row>12</xdr:row>
            <xdr:rowOff>2</xdr:rowOff>
          </to>
        </anchor>
      </commentPr>
    </comment>
    <comment ref="B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B10.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9</xdr:row>
            <xdr:rowOff>2</xdr:rowOff>
          </from>
          <to>
            <xdr:col>3</xdr:col>
            <xdr:colOff>15</xdr:colOff>
            <xdr:row>13</xdr:row>
            <xdr:rowOff>2</xdr:rowOff>
          </to>
        </anchor>
      </commentPr>
    </comment>
    <comment ref="B1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B11.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10</xdr:row>
            <xdr:rowOff>2</xdr:rowOff>
          </from>
          <to>
            <xdr:col>3</xdr:col>
            <xdr:colOff>15</xdr:colOff>
            <xdr:row>14</xdr:row>
            <xdr:rowOff>2</xdr:rowOff>
          </to>
        </anchor>
      </commentPr>
    </comment>
    <comment ref="B13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B13.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  <comment ref="B14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B14.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13</xdr:row>
            <xdr:rowOff>2</xdr:rowOff>
          </from>
          <to>
            <xdr:col>3</xdr:col>
            <xdr:colOff>15</xdr:colOff>
            <xdr:row>17</xdr:row>
            <xdr:rowOff>2</xdr:rowOff>
          </to>
        </anchor>
      </commentPr>
    </comment>
    <comment ref="B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B15.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14</xdr:row>
            <xdr:rowOff>2</xdr:rowOff>
          </from>
          <to>
            <xdr:col>3</xdr:col>
            <xdr:colOff>15</xdr:colOff>
            <xdr:row>18</xdr:row>
            <xdr:rowOff>2</xdr:rowOff>
          </to>
        </anchor>
      </commentPr>
    </comment>
    <comment ref="B16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B16.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15</xdr:row>
            <xdr:rowOff>2</xdr:rowOff>
          </from>
          <to>
            <xdr:col>3</xdr:col>
            <xdr:colOff>15</xdr:colOff>
            <xdr:row>19</xdr:row>
            <xdr:rowOff>2</xdr:rowOff>
          </to>
        </anchor>
      </commentPr>
    </comment>
    <comment ref="B19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B19. Historical facts remain hardcoded; derived cells are explicitly labeled.</t>
        </r>
      </text>
      <commentPr locked="0" textHAlign="justify" textVAlign="top">
        <anchor>
          <from>
            <xdr:col>1</xdr:col>
            <xdr:colOff>15</xdr:colOff>
            <xdr:row>18</xdr:row>
            <xdr:rowOff>2</xdr:rowOff>
          </from>
          <to>
            <xdr:col>3</xdr:col>
            <xdr:colOff>15</xdr:colOff>
            <xdr:row>22</xdr:row>
            <xdr:rowOff>2</xdr:rowOff>
          </to>
        </anchor>
      </commentPr>
    </comment>
    <comment ref="C5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C5.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C6.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C7.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C8.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C9.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C10.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C11.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C12.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C13.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C14.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C15.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C16.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C17.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C18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C18.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17</xdr:row>
            <xdr:rowOff>2</xdr:rowOff>
          </from>
          <to>
            <xdr:col>4</xdr:col>
            <xdr:colOff>15</xdr:colOff>
            <xdr:row>21</xdr:row>
            <xdr:rowOff>2</xdr:rowOff>
          </to>
        </anchor>
      </commentPr>
    </comment>
    <comment ref="C19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mapping: see Sources ledger for C19. Historical facts remain hardcoded; derived cells are explicitly labeled.</t>
        </r>
      </text>
      <commentPr locked="0" textHAlign="justify" textVAlign="top">
        <anchor>
          <from>
            <xdr:col>2</xdr:col>
            <xdr:colOff>15</xdr:colOff>
            <xdr:row>18</xdr:row>
            <xdr:rowOff>2</xdr:rowOff>
          </from>
          <to>
            <xdr:col>4</xdr:col>
            <xdr:colOff>15</xdr:colOff>
            <xdr:row>22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tc={66123CCD-09AD-F077-058F-ECFCAB609D48}</author>
  </authors>
  <commentList>
    <comment ref="B1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anchor: 2025 Grupo Cibest Form 20-F, Item 8.A.3 Dividend Policy. This remains an editable model target and is not presented as an observed payout ratio.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<sst xmlns="http://schemas.openxmlformats.org/spreadsheetml/2006/main" count="1447" uniqueCount="761">
  <si>
    <t>Grupo Cibest / Bancolombia — Controlled Bank Model</t>
  </si>
  <si>
    <t>COP billions unless stated | 2025A base | 2026E–2030E forecast | Controlled 9/10 re-gate</t>
  </si>
  <si>
    <t>Model field</t>
  </si>
  <si>
    <t>Value</t>
  </si>
  <si>
    <t>Legal entity / perimeter</t>
  </si>
  <si>
    <t>Grupo Cibest S.A. consolidated; Bancolombia predecessor periods are not silently stitched</t>
  </si>
  <si>
    <t>Ticker / CIK</t>
  </si>
  <si>
    <t>CIB | current CIK 0002058897 | predecessor CIK 0001071371</t>
  </si>
  <si>
    <t>Archetype</t>
  </si>
  <si>
    <t>Bank / financial holding company; loan, funding, credit, capital and payout schedules</t>
  </si>
  <si>
    <t>Valuation</t>
  </si>
  <si>
    <t>Residual income primary; dividend discount cross-check; deposits are operating funding, not debt</t>
  </si>
  <si>
    <t>Currency / units</t>
  </si>
  <si>
    <t>COP billions; no current-FX restatement of historical periods</t>
  </si>
  <si>
    <t>Historical perimeter</t>
  </si>
  <si>
    <t>2024A and 2025A shown on 4Q25 pro-forma including Banistmo basis for comparability</t>
  </si>
  <si>
    <t>Forecast horizon</t>
  </si>
  <si>
    <t>2026E–2030E</t>
  </si>
  <si>
    <t>Active scenario</t>
  </si>
  <si>
    <t>Model status</t>
  </si>
  <si>
    <t>Valuation as-of</t>
  </si>
  <si>
    <t>2025-12-31; intrinsic value only, no unsourced market price</t>
  </si>
  <si>
    <t>Primary filing</t>
  </si>
  <si>
    <t>Grupo Cibest 2025 Form 20-F, accession 0002058897-26-000125</t>
  </si>
  <si>
    <t>Operating evidence</t>
  </si>
  <si>
    <t>Grupo Cibest 4Q25 Form 6-K, accession 0002058897-26-000013</t>
  </si>
  <si>
    <t>Main limitation</t>
  </si>
  <si>
    <t>Banistmo sale/perimeter transition and adjusted 2025 earnings require explicit pro-forma treatment</t>
  </si>
  <si>
    <t>Independent certification</t>
  </si>
  <si>
    <t>Pending independent-gate reproduction; owner evidence is not self-certification</t>
  </si>
  <si>
    <t>Controlled output</t>
  </si>
  <si>
    <t>Bancolombia_9of10_Regated.xlsx</t>
  </si>
  <si>
    <t>Original preserved</t>
  </si>
  <si>
    <t>Bancolombia_Institutional_Model.xlsx</t>
  </si>
  <si>
    <t>Use this controlled workbook only after the Checks sheet reads PASS. Historical values are hardcoded sourced facts. Blue-font cells are editable assumptions. Green-font formulas link across sheets. The active scenario must be returned to Base after testing.</t>
  </si>
  <si>
    <t>Claim-level source ledger</t>
  </si>
  <si>
    <t>Each material historical input maps metric, value, period, unit, exact filing, accession, target cell and transformation.</t>
  </si>
  <si>
    <t>Source ID</t>
  </si>
  <si>
    <t>Legal entity</t>
  </si>
  <si>
    <t>Metric</t>
  </si>
  <si>
    <t>Reported value</t>
  </si>
  <si>
    <t>Unit</t>
  </si>
  <si>
    <t>Period</t>
  </si>
  <si>
    <t>Basis</t>
  </si>
  <si>
    <t>Taxonomy / exact locator</t>
  </si>
  <si>
    <t>Form</t>
  </si>
  <si>
    <t>Filed / published</t>
  </si>
  <si>
    <t>Accession</t>
  </si>
  <si>
    <t>Exact official URL</t>
  </si>
  <si>
    <t>Workbook target</t>
  </si>
  <si>
    <t>Scale / FX / sign / perimeter transformation</t>
  </si>
  <si>
    <t>Class</t>
  </si>
  <si>
    <t>Status</t>
  </si>
  <si>
    <t>BC24-ASSETS</t>
  </si>
  <si>
    <t>Grupo Cibest / Bancolombia predecessor</t>
  </si>
  <si>
    <t>Total assets</t>
  </si>
  <si>
    <t>COP bn</t>
  </si>
  <si>
    <t>2024-12-31</t>
  </si>
  <si>
    <t>4Q25 pro-forma incl. Banistmo</t>
  </si>
  <si>
    <t>4Q25 6-K consolidated statement; ifrs-full:Assets</t>
  </si>
  <si>
    <t>6-K</t>
  </si>
  <si>
    <t>2026-02-23</t>
  </si>
  <si>
    <t>0002058897-26-000013</t>
  </si>
  <si>
    <t>https://www.sec.gov/Archives/edgar/data/2058897/000205889726000013/grupocibestsa6-kpr4q25.htm</t>
  </si>
  <si>
    <t>Historical!B5</t>
  </si>
  <si>
    <t>COP million / 1,000; no FX; comparative pro-forma perimeter</t>
  </si>
  <si>
    <t>BC25-ASSETS</t>
  </si>
  <si>
    <t>Grupo Cibest S.A.</t>
  </si>
  <si>
    <t>2025-12-31</t>
  </si>
  <si>
    <t>Historical!C5</t>
  </si>
  <si>
    <t>COP million / 1,000; no FX; pro-forma incl. Banistmo</t>
  </si>
  <si>
    <t>BC24-LOANS</t>
  </si>
  <si>
    <t>Gross loans</t>
  </si>
  <si>
    <t>4Q25 6-K loan portfolio table; ifrs-full:LoansAndAdvancesToCustomers</t>
  </si>
  <si>
    <t>Historical!B6</t>
  </si>
  <si>
    <t>COP million / 1,000; gross; no FX; comparative pro-forma perimeter</t>
  </si>
  <si>
    <t>BC25-LOANS</t>
  </si>
  <si>
    <t>4Q25 6-K total loan portfolio table; ifrs-full:LoansAndAdvancesToCustomers</t>
  </si>
  <si>
    <t>Historical!C6</t>
  </si>
  <si>
    <t>COP million / 1,000; gross; no FX; pro-forma incl. Banistmo</t>
  </si>
  <si>
    <t>BC24-DEPOSITS</t>
  </si>
  <si>
    <t>Customer deposits</t>
  </si>
  <si>
    <t>4Q25 6-K consolidated statement; ifrs-full:DepositsFromCustomers</t>
  </si>
  <si>
    <t>Historical!B7</t>
  </si>
  <si>
    <t>BC25-DEPOSITS</t>
  </si>
  <si>
    <t>Historical!C7</t>
  </si>
  <si>
    <t>BC24-EQUITY</t>
  </si>
  <si>
    <t>Equity attributable to parent</t>
  </si>
  <si>
    <t>4Q25 6-K consolidated statement; ifrs-full:EquityAttributableToOwnersOfParent</t>
  </si>
  <si>
    <t>Historical!B8</t>
  </si>
  <si>
    <t>BC25-EQUITY</t>
  </si>
  <si>
    <t>Historical!C8</t>
  </si>
  <si>
    <t>BC24-NI</t>
  </si>
  <si>
    <t>Bancolombia S.A. predecessor</t>
  </si>
  <si>
    <t>Net income attributable</t>
  </si>
  <si>
    <t>FY2024</t>
  </si>
  <si>
    <t>Reported</t>
  </si>
  <si>
    <t>2024 annual management report / 20-F discussion; ifrs-full:ProfitLossAttributableToOwnersOfParent</t>
  </si>
  <si>
    <t>20-F / 6-K</t>
  </si>
  <si>
    <t>2025-03-28 / 2025-04-07</t>
  </si>
  <si>
    <t>0001071371-25-000053 / 0001071371-25-000062</t>
  </si>
  <si>
    <t>https://www.sec.gov/Archives/edgar/data/1071371/000107137125000062/ex991-annualreportofbancol.htm</t>
  </si>
  <si>
    <t>Historical!B9</t>
  </si>
  <si>
    <t>COP million / 1,000; no FX; predecessor legal entity disclosed</t>
  </si>
  <si>
    <t>BC25-ADJNI</t>
  </si>
  <si>
    <t>Adjusted net income ex-Banistmo sale</t>
  </si>
  <si>
    <t>FY2025</t>
  </si>
  <si>
    <t>Management adjusted continuing basis</t>
  </si>
  <si>
    <t>4Q25 6-K income statement discussion; issuer non-GAAP, no taxonomy tag</t>
  </si>
  <si>
    <t>Historical!C9</t>
  </si>
  <si>
    <t>COP million / 1,000; excludes COP 3.4tn goodwill impairment from Banistmo sale</t>
  </si>
  <si>
    <t>Primary filing / adjusted</t>
  </si>
  <si>
    <t>BC25-REPNI</t>
  </si>
  <si>
    <t>Reported net income</t>
  </si>
  <si>
    <t>4Q25 6-K income statement discussion; ifrs-full:ProfitLossAttributableToOwnersOfParent</t>
  </si>
  <si>
    <t>Historical!C10</t>
  </si>
  <si>
    <t>COP million / 1,000; no FX; includes Banistmo goodwill impairment</t>
  </si>
  <si>
    <t>BC24-NIM</t>
  </si>
  <si>
    <t>Quarterly annualized consolidated NIM</t>
  </si>
  <si>
    <t>%</t>
  </si>
  <si>
    <t>4Q2024</t>
  </si>
  <si>
    <t>Comparable 4Q</t>
  </si>
  <si>
    <t>4Q25 6-K NIM table; issuer operating ratio</t>
  </si>
  <si>
    <t>Historical!B11</t>
  </si>
  <si>
    <t>Direct ratio; no FX; comparative pro-forma disclosure</t>
  </si>
  <si>
    <t>BC25-NIM</t>
  </si>
  <si>
    <t>4Q2025</t>
  </si>
  <si>
    <t>Reported perimeter</t>
  </si>
  <si>
    <t>4Q25 6-K NIM discussion; issuer operating ratio</t>
  </si>
  <si>
    <t>Historical!C11</t>
  </si>
  <si>
    <t>Direct ratio; no FX; Banistmo reclassification disclosed</t>
  </si>
  <si>
    <t>BC25-COR</t>
  </si>
  <si>
    <t>Cost of risk</t>
  </si>
  <si>
    <t>LTM 2025</t>
  </si>
  <si>
    <t>4Q25 6-K asset quality discussion; issuer operating ratio</t>
  </si>
  <si>
    <t>Historical!C12</t>
  </si>
  <si>
    <t>Direct ratio; provisions / average gross loans</t>
  </si>
  <si>
    <t>BC24-PDL</t>
  </si>
  <si>
    <t>30-day past-due loans / gross loans</t>
  </si>
  <si>
    <t>Derived from reported table</t>
  </si>
  <si>
    <t>4Q25 6-K asset quality table: 13,002,448 / 279,453,908</t>
  </si>
  <si>
    <t>Historical!B13</t>
  </si>
  <si>
    <t>Formula from two COP million reported amounts; no FX</t>
  </si>
  <si>
    <t>Primary filing / derived</t>
  </si>
  <si>
    <t>BC25-PDL</t>
  </si>
  <si>
    <t>4Q25 6-K asset quality discussion</t>
  </si>
  <si>
    <t>Historical!C13</t>
  </si>
  <si>
    <t>Direct ratio; no FX</t>
  </si>
  <si>
    <t>BC24-COVER</t>
  </si>
  <si>
    <t>30-day PDL coverage</t>
  </si>
  <si>
    <t>Comparative</t>
  </si>
  <si>
    <t>4Q25 6-K principal ratio / asset quality table</t>
  </si>
  <si>
    <t>Historical!B14</t>
  </si>
  <si>
    <t>BC25-COVER</t>
  </si>
  <si>
    <t>2025 20-F asset quality discussion and 4Q25 6-K</t>
  </si>
  <si>
    <t>2026-04-08 / 2026-02-23</t>
  </si>
  <si>
    <t>0002058897-26-000125 / 0002058897-26-000013</t>
  </si>
  <si>
    <t>https://www.sec.gov/Archives/edgar/data/2058897/000205889726000125/cib-20251231.htm</t>
  </si>
  <si>
    <t>Historical!C14</t>
  </si>
  <si>
    <t>BC24-CORE</t>
  </si>
  <si>
    <t>Basic/core solvency</t>
  </si>
  <si>
    <t>4Q25 pro-forma</t>
  </si>
  <si>
    <t>4Q25 6-K solvency table</t>
  </si>
  <si>
    <t>Historical!B15</t>
  </si>
  <si>
    <t>Direct ratio; comparative pro-forma perimeter</t>
  </si>
  <si>
    <t>BC25-CORE</t>
  </si>
  <si>
    <t>Historical!C15</t>
  </si>
  <si>
    <t>Direct ratio; reported perimeter</t>
  </si>
  <si>
    <t>BC25-CAP</t>
  </si>
  <si>
    <t>Technical equity</t>
  </si>
  <si>
    <t>Historical!C17</t>
  </si>
  <si>
    <t>COP million / 1,000; no FX</t>
  </si>
  <si>
    <t>BC25-PAYOUT</t>
  </si>
  <si>
    <t>Statutory dividend distribution minimum</t>
  </si>
  <si>
    <t>Policy current in 2025 20-F</t>
  </si>
  <si>
    <t>Policy</t>
  </si>
  <si>
    <t>2025 20-F Item 8.A.3 Dividend Policy</t>
  </si>
  <si>
    <t>20-F</t>
  </si>
  <si>
    <t>2026-04-08</t>
  </si>
  <si>
    <t>0002058897-26-000125</t>
  </si>
  <si>
    <t>Assumptions!B13</t>
  </si>
  <si>
    <t>Direct policy floor; model scenarios may retain more only if governance permits</t>
  </si>
  <si>
    <t>Primary filing / policy</t>
  </si>
  <si>
    <t>BC25-SHARES</t>
  </si>
  <si>
    <t>Reported EPS used to derive equivalent shares</t>
  </si>
  <si>
    <t>COP/share</t>
  </si>
  <si>
    <t>Reported EPS; derived share count</t>
  </si>
  <si>
    <t>2025 20-F Item 5: COP 3,821bn attributable net income and COP 4,045 EPS</t>
  </si>
  <si>
    <t>Historical!B19:C19; Assumptions!B18:E18; Valuation!G24:G25</t>
  </si>
  <si>
    <t>COP 3,821bn x 1,000 / COP 4,045 per share = 944.623mm equivalent shares; rounded only for display</t>
  </si>
  <si>
    <t>Completeness</t>
  </si>
  <si>
    <t>Historical bank economics</t>
  </si>
  <si>
    <t>COP billions except ratios and shares. 2024A/2025A use explicit pro-forma perimeter notes; no current FX across history.</t>
  </si>
  <si>
    <t>2024A</t>
  </si>
  <si>
    <t>2025A</t>
  </si>
  <si>
    <t>Exact locator / tag</t>
  </si>
  <si>
    <t>Perimeter / transformation</t>
  </si>
  <si>
    <t>Quality</t>
  </si>
  <si>
    <t>BC24/25-ASSETS</t>
  </si>
  <si>
    <t>4Q25 6-K statement / ifrs-full:Assets</t>
  </si>
  <si>
    <t>Pro-forma including Banistmo</t>
  </si>
  <si>
    <t>BC24/25-LOANS</t>
  </si>
  <si>
    <t>4Q25 6-K loan table</t>
  </si>
  <si>
    <t>Gross; pro-forma including Banistmo</t>
  </si>
  <si>
    <t>BC24/25-DEPOSITS</t>
  </si>
  <si>
    <t>4Q25 6-K statement</t>
  </si>
  <si>
    <t>Operating funding; not corporate debt</t>
  </si>
  <si>
    <t>BC24/25-EQUITY</t>
  </si>
  <si>
    <t>Parent attributable; no FX</t>
  </si>
  <si>
    <t>Adjusted net income</t>
  </si>
  <si>
    <t>BC24-NI / BC25-ADJNI</t>
  </si>
  <si>
    <t>20-F / 4Q25 6-K discussion</t>
  </si>
  <si>
    <t>2025 excludes Banistmo sale goodwill impairment</t>
  </si>
  <si>
    <t>Primary / adjusted</t>
  </si>
  <si>
    <t>BC24-NI / BC25-REPNI</t>
  </si>
  <si>
    <t>2025 includes Banistmo goodwill impairment</t>
  </si>
  <si>
    <t>BC24/25-NIM</t>
  </si>
  <si>
    <t>4Q25 6-K NIM table / discussion</t>
  </si>
  <si>
    <t>Comparable 4Q ratios; not full-year average</t>
  </si>
  <si>
    <t>BC24/25-PDL</t>
  </si>
  <si>
    <t>4Q25 6-K asset quality table</t>
  </si>
  <si>
    <t>2024 ratio derived from reported numerator/denominator</t>
  </si>
  <si>
    <t>Primary / derived</t>
  </si>
  <si>
    <t>BC24/25-COVER</t>
  </si>
  <si>
    <t>4Q25 6-K / 2025 20-F</t>
  </si>
  <si>
    <t>Direct ratios</t>
  </si>
  <si>
    <t>BC24/25-CORE</t>
  </si>
  <si>
    <t>2024 pro-forma; 2025 reported</t>
  </si>
  <si>
    <t>Total solvency</t>
  </si>
  <si>
    <t>Regulatory capital measure</t>
  </si>
  <si>
    <t>Implied capital requirement denominator</t>
  </si>
  <si>
    <t>Technical equity / core solvency</t>
  </si>
  <si>
    <t>Formula-derived denominator for forecast capital roll-forward</t>
  </si>
  <si>
    <t>Derived</t>
  </si>
  <si>
    <t>Diluted / equivalent shares</t>
  </si>
  <si>
    <t>mm shares</t>
  </si>
  <si>
    <t>2025 20-F Item 5: COP 3,821bn attributable NI / COP 4,045 EPS</t>
  </si>
  <si>
    <t>2025 equivalent share count derived from official NI and EPS; held constant for 2024 cross-check</t>
  </si>
  <si>
    <t>Assumptions and scenarios</t>
  </si>
  <si>
    <t>Blue-font cells are editable inputs. Selector: 1 = Base, 2 = Bull, 3 = Bear. Active results are formula cells, not drivers.</t>
  </si>
  <si>
    <t>Scenario selector</t>
  </si>
  <si>
    <t>Return to 1 after perturbation testing</t>
  </si>
  <si>
    <t>Base</t>
  </si>
  <si>
    <t>Bull</t>
  </si>
  <si>
    <t>Bear</t>
  </si>
  <si>
    <t>Active</t>
  </si>
  <si>
    <t>Rationale / source / ownership</t>
  </si>
  <si>
    <t>Loan growth</t>
  </si>
  <si>
    <t>Model input; anchored to 2025 pro-forma loan growth and 2026 recovery</t>
  </si>
  <si>
    <t>Deposit growth</t>
  </si>
  <si>
    <t>Model input; preserves deposits as operating funding</t>
  </si>
  <si>
    <t>Net interest margin</t>
  </si>
  <si>
    <t>Model input; anchored to 4Q25 consolidated NIM 6.16%</t>
  </si>
  <si>
    <t>Model input; anchored to 2025 LTM 1.59% with downside stress</t>
  </si>
  <si>
    <t>Fee + other income / avg assets</t>
  </si>
  <si>
    <t>Model input; bank non-interest income proxy</t>
  </si>
  <si>
    <t>Operating expense / avg assets</t>
  </si>
  <si>
    <t>Model input; explicit operating-efficiency driver</t>
  </si>
  <si>
    <t>Tax rate</t>
  </si>
  <si>
    <t>Model input; normalized effective tax</t>
  </si>
  <si>
    <t>Dividend payout target</t>
  </si>
  <si>
    <t>Policy-aware input; 2025 20-F states statutory minimum distribution framework</t>
  </si>
  <si>
    <t>Core capital eligible / parent equity</t>
  </si>
  <si>
    <t>Derived from 2025 technical equity / parent equity</t>
  </si>
  <si>
    <t>Minimum core solvency</t>
  </si>
  <si>
    <t>Model governance floor below 2025 reported 12.22%</t>
  </si>
  <si>
    <t>Cost of equity</t>
  </si>
  <si>
    <t>Valuation input; nominal COP required return</t>
  </si>
  <si>
    <t>Terminal growth</t>
  </si>
  <si>
    <t>Valuation input; nominal COP long-run growth</t>
  </si>
  <si>
    <t>Equivalent shares</t>
  </si>
  <si>
    <t>Derived from official 2025 attributable NI and EPS; see Sources BC25-SHARES</t>
  </si>
  <si>
    <t>Loan-growth weight in asset growth</t>
  </si>
  <si>
    <t>Model input; balances loan and funding expansion</t>
  </si>
  <si>
    <t>30-day PDL target</t>
  </si>
  <si>
    <t>Model input; anchored to 2025 reported 3.57%</t>
  </si>
  <si>
    <t>30-day coverage target</t>
  </si>
  <si>
    <t>Model input; anchored to 2025 reported 134.41%</t>
  </si>
  <si>
    <t>Scenario ownership: cases change operating drivers, capital/payout mechanics and residual-income valuation through formulas. No scenario changes only the headline valuation. The capital schedule can constrain dividends to protect the visible solvency floor.</t>
  </si>
  <si>
    <t>Forecast summary</t>
  </si>
  <si>
    <t>Formula-linked summary of bank driver, earnings, capital and payout schedules. The Sector_KPIs sheet contains the detailed mechanics.</t>
  </si>
  <si>
    <t>2026E</t>
  </si>
  <si>
    <t>2027E</t>
  </si>
  <si>
    <t>2028E</t>
  </si>
  <si>
    <t>2029E</t>
  </si>
  <si>
    <t>2030E</t>
  </si>
  <si>
    <t>Decision use</t>
  </si>
  <si>
    <t>Balance-sheet growth</t>
  </si>
  <si>
    <t>Scenario propagation</t>
  </si>
  <si>
    <t>Operating funding</t>
  </si>
  <si>
    <t>Funding growth</t>
  </si>
  <si>
    <t>Net interest income</t>
  </si>
  <si>
    <t>Core earnings</t>
  </si>
  <si>
    <t>Credit provisions</t>
  </si>
  <si>
    <t>Credit cycle</t>
  </si>
  <si>
    <t>Net income</t>
  </si>
  <si>
    <t>Equity return</t>
  </si>
  <si>
    <t>ROE</t>
  </si>
  <si>
    <t>Profitability</t>
  </si>
  <si>
    <t>Dividends</t>
  </si>
  <si>
    <t>Payout subject to capital</t>
  </si>
  <si>
    <t>Ending parent equity</t>
  </si>
  <si>
    <t>Book value / valuation</t>
  </si>
  <si>
    <t>Core solvency</t>
  </si>
  <si>
    <t>Capital guardrail</t>
  </si>
  <si>
    <t>30-day PDL ratio</t>
  </si>
  <si>
    <t>Asset quality</t>
  </si>
  <si>
    <t>Bank-appropriate equity valuation</t>
  </si>
  <si>
    <t>Residual income is primary; DDM is a cross-check. No enterprise-value bridge treats deposits as corporate debt.</t>
  </si>
  <si>
    <t>Residual income</t>
  </si>
  <si>
    <t>Output</t>
  </si>
  <si>
    <t>Beginning book value</t>
  </si>
  <si>
    <t>Equity charge</t>
  </si>
  <si>
    <t>Discount factor</t>
  </si>
  <si>
    <t>PV residual income</t>
  </si>
  <si>
    <t>Terminal mechanics</t>
  </si>
  <si>
    <t>Terminal residual income</t>
  </si>
  <si>
    <t>Terminal value / PV</t>
  </si>
  <si>
    <t>Residual-income output</t>
  </si>
  <si>
    <t>Current book value</t>
  </si>
  <si>
    <t>PV explicit residual income</t>
  </si>
  <si>
    <t>PV terminal residual income</t>
  </si>
  <si>
    <t>Implied equity value</t>
  </si>
  <si>
    <t>Equivalent shares (mm)</t>
  </si>
  <si>
    <t>Implied value per share (COP)</t>
  </si>
  <si>
    <t>Dividend discount cross-check</t>
  </si>
  <si>
    <t>PV dividends</t>
  </si>
  <si>
    <t>Terminal dividend value</t>
  </si>
  <si>
    <t>DDM equity value</t>
  </si>
  <si>
    <t>Residual-income sensitivity</t>
  </si>
  <si>
    <t>Dynamic equity-value sensitivity to cost of equity and terminal growth. Active-case reconstruction is used by Checks.</t>
  </si>
  <si>
    <t>g / CoE</t>
  </si>
  <si>
    <t>Active-case reconstruction</t>
  </si>
  <si>
    <t>Valuation output</t>
  </si>
  <si>
    <t>Difference</t>
  </si>
  <si>
    <t>Tolerance</t>
  </si>
  <si>
    <t>Dynamic RI sensitivity reconstruction</t>
  </si>
  <si>
    <t>Central Base case is CoE 13.0% / g 5.0%. Bull/Bear selector tests also change loans, NII, net income and the valuation output. The active-case reconstruction remains exact under all three cases.</t>
  </si>
  <si>
    <t>Formula-driven model checks</t>
  </si>
  <si>
    <t>Each assertion exposes Actual, Expected, Difference, Tolerance, Status and a fix location. Overall status aggregates component checks.</t>
  </si>
  <si>
    <t>Check</t>
  </si>
  <si>
    <t>Actual</t>
  </si>
  <si>
    <t>Expected</t>
  </si>
  <si>
    <t>Severity</t>
  </si>
  <si>
    <t>Location / fix hint</t>
  </si>
  <si>
    <t>Source ledger completeness</t>
  </si>
  <si>
    <t>Critical</t>
  </si>
  <si>
    <t>Sources!A4:P28; populate every mandatory field</t>
  </si>
  <si>
    <t>Gross loans do not exceed total assets</t>
  </si>
  <si>
    <t>Historical!C5:C6; verify source units and perimeter</t>
  </si>
  <si>
    <t>Loan growth formula</t>
  </si>
  <si>
    <t>Sector_KPIs!C5:C6 / Assumptions!E6</t>
  </si>
  <si>
    <t>Net interest income mechanics</t>
  </si>
  <si>
    <t>Sector_KPIs!C9:C11</t>
  </si>
  <si>
    <t>Equity roll-forward</t>
  </si>
  <si>
    <t>Sector_KPIs!B19:C26</t>
  </si>
  <si>
    <t>Core solvency above floor</t>
  </si>
  <si>
    <t>Sector_KPIs!C21:C28 / payout constraint</t>
  </si>
  <si>
    <t>CoE exceeds terminal growth</t>
  </si>
  <si>
    <t>Assumptions!E16:E17</t>
  </si>
  <si>
    <t>Dynamic sensitivity ties valuation</t>
  </si>
  <si>
    <t>Sensitivity!A11:F12 / Valuation!G23</t>
  </si>
  <si>
    <t>Scenario selector valid</t>
  </si>
  <si>
    <t>Assumptions!B3; return to Base = 1</t>
  </si>
  <si>
    <t>No capital-forced negative dividend</t>
  </si>
  <si>
    <t>Sector_KPIs!C24:G25</t>
  </si>
  <si>
    <t>Overall model status</t>
  </si>
  <si>
    <t>All critical checks must pass</t>
  </si>
  <si>
    <t>Bank drivers, credit, capital and payout schedule</t>
  </si>
  <si>
    <t>2025A sourced anchor; 2026E–2030E formula-driven. Deposits remain operating funding. Dividends are constrained by the visible capital floor.</t>
  </si>
  <si>
    <t>Unit / note</t>
  </si>
  <si>
    <t>Average loans</t>
  </si>
  <si>
    <t>Average assets</t>
  </si>
  <si>
    <t>Fee + other income</t>
  </si>
  <si>
    <t>Operating expense</t>
  </si>
  <si>
    <t>Pre-tax income</t>
  </si>
  <si>
    <t>Taxes</t>
  </si>
  <si>
    <t>Core capital eligible factor</t>
  </si>
  <si>
    <t>% of parent equity</t>
  </si>
  <si>
    <t>Capital requirement denominator</t>
  </si>
  <si>
    <t>Maximum dividends allowed</t>
  </si>
  <si>
    <t>Core eligible capital</t>
  </si>
  <si>
    <t>Change log and governance</t>
  </si>
  <si>
    <t>Controlled upgrade record. The original workbook remains untouched.</t>
  </si>
  <si>
    <t>Date</t>
  </si>
  <si>
    <t>Version</t>
  </si>
  <si>
    <t>Author / lane</t>
  </si>
  <si>
    <t>Change</t>
  </si>
  <si>
    <t>Evidence</t>
  </si>
  <si>
    <t>Reviewer status</t>
  </si>
  <si>
    <t>2026-07-16</t>
  </si>
  <si>
    <t>2.0</t>
  </si>
  <si>
    <t>Codex / financial cluster</t>
  </si>
  <si>
    <t>Replaced broad source anchors with claim-level SEC ledger</t>
  </si>
  <si>
    <t>Sources!A4:P28</t>
  </si>
  <si>
    <t>Owner verified; independent pending</t>
  </si>
  <si>
    <t>Removed current-FX normalization; retained COP historical facts</t>
  </si>
  <si>
    <t>Historical!A1:H19</t>
  </si>
  <si>
    <t>Owner verified</t>
  </si>
  <si>
    <t>Added bank-specific loans, deposits, NIM, CoR, credit, capital and payout mechanics</t>
  </si>
  <si>
    <t>Sector_KPIs!A1:H32</t>
  </si>
  <si>
    <t>Added residual-income and DDM valuation plus dynamic sensitivity</t>
  </si>
  <si>
    <t>Valuation!A1:G31; Sensitivity!A1:F15</t>
  </si>
  <si>
    <t>Replaced hardcoded PASS with formula-driven checks</t>
  </si>
  <si>
    <t>Checks!A4:H15</t>
  </si>
  <si>
    <t>Added 9/10 evidence gate and explicit predecessor/perimeter governance</t>
  </si>
  <si>
    <t>Gate_9of10!A1:H20</t>
  </si>
  <si>
    <t>Independent review pending</t>
  </si>
  <si>
    <t>Review-note disposition: the prior PASS label was rejected as non-evidentiary. Known prior defects (generic sources, hardcoded source coverage, blank bank KPI schedule, current-FX history, generic valuation mechanics) are explicitly replaced rather than hidden.</t>
  </si>
  <si>
    <t>v2 IG</t>
  </si>
  <si>
    <t>Ola 2 elevation: added IS_Hist/BS_Hist/CF_Hist/SCE_Hist (FY2021A-FY2025A, COP mm; full detail FY23-25 from 20-F FY2025 R-files, verified-safe companyfacts tags for FY21-22, gaps disclosed not fabricated), USD_Layer (documented Banrep/filer-tagged FX), Checks_TieOut (tie-outs + 1 disclosed reconciling item: Banistmo held-for-sale cash reclass), Sources_Audited, Forecast (5yr driver-built Base/Bull/Bear off FY2025A continuing ops). Gate_9of10 and legacy scaffold sheets left in place but superseded. Root untouched. Built via Mog SDK only.</t>
  </si>
  <si>
    <t>Claude (run 24e4a1f1)</t>
  </si>
  <si>
    <t>Owner 9/10 evidence gate</t>
  </si>
  <si>
    <t>Owner evidence submission only. Independent certification must reproduce every hard gate from the controlled workbook and QA artifacts.</t>
  </si>
  <si>
    <t>Gate</t>
  </si>
  <si>
    <t>Weight</t>
  </si>
  <si>
    <t>Owner status</t>
  </si>
  <si>
    <t>Blocker class</t>
  </si>
  <si>
    <t>Exact workbook evidence</t>
  </si>
  <si>
    <t>External evidence pointer</t>
  </si>
  <si>
    <t>Reviewer note</t>
  </si>
  <si>
    <t>Score</t>
  </si>
  <si>
    <t>H0 Controlled lineage / OOXML</t>
  </si>
  <si>
    <t>PASS</t>
  </si>
  <si>
    <t>None</t>
  </si>
  <si>
    <t>00_Cover!A18:B20; Change_Log!A4:F10</t>
  </si>
  <si>
    <t>internal QA evidence (not published)</t>
  </si>
  <si>
    <t>Original and controlled hashes recorded after export</t>
  </si>
  <si>
    <t>H1 Source fidelity / provenance</t>
  </si>
  <si>
    <t>Sources!A4:P28; Historical!A4:H19</t>
  </si>
  <si>
    <t>Official SEC URLs in Sources!L5:L27</t>
  </si>
  <si>
    <t>23 claim-level rows including explicit NI/EPS share-count derivation; no current-FX history</t>
  </si>
  <si>
    <t>H2 Formula and schedule mechanics</t>
  </si>
  <si>
    <t>Sector_KPIs!A4:H32; Forecast!A4:H16</t>
  </si>
  <si>
    <t>Bank drivers and capital/payout schedule</t>
  </si>
  <si>
    <t>H3 Scenarios / sensitivity</t>
  </si>
  <si>
    <t>Assumptions!A3:F21; Sensitivity!A4:F12</t>
  </si>
  <si>
    <t>Perturb-reset log in evidence JSON</t>
  </si>
  <si>
    <t>Base/Bull/Bear changes loans, NII, NI, valuation</t>
  </si>
  <si>
    <t>H4 Valuation fit / mechanics</t>
  </si>
  <si>
    <t>Valuation!A4:G31; Sensitivity!A4:F12</t>
  </si>
  <si>
    <t>Residual income primary; DDM cross-check</t>
  </si>
  <si>
    <t>H5 Checks / error state</t>
  </si>
  <si>
    <t>Checks!A4:H15; Sources!O28:P28</t>
  </si>
  <si>
    <t>Post-recalc error scan in evidence JSON</t>
  </si>
  <si>
    <t>Overall status formula-driven</t>
  </si>
  <si>
    <t>H6 Native recalculation</t>
  </si>
  <si>
    <t>Gate_9of10!A17:H20</t>
  </si>
  <si>
    <t>Native recalc log in evidence JSON</t>
  </si>
  <si>
    <t>LibreOffice native open/save/reopen completed after all source-lineage and visual repairs</t>
  </si>
  <si>
    <t>H7 Post-recalc visual QA</t>
  </si>
  <si>
    <t>All user-facing sheets</t>
  </si>
  <si>
    <t>All 11 user-facing sheets visually reviewed after native recalculation; final manifest regenerated after gate advancement</t>
  </si>
  <si>
    <t>H8 Material economic upgrade</t>
  </si>
  <si>
    <t>Sector_KPIs!A4:H32; Valuation!A4:G31</t>
  </si>
  <si>
    <t>Change_Log!A4:F10</t>
  </si>
  <si>
    <t>Substantive bank mechanics replaced generic shell</t>
  </si>
  <si>
    <t>H9 Governance / handoff</t>
  </si>
  <si>
    <t>00_Cover!A4:B20; Change_Log!A4:F13</t>
  </si>
  <si>
    <t>Independent certification pending</t>
  </si>
  <si>
    <t>Owner score</t>
  </si>
  <si>
    <t>Owner decision</t>
  </si>
  <si>
    <t>Native recalculation</t>
  </si>
  <si>
    <t>Engine</t>
  </si>
  <si>
    <t>Timestamp</t>
  </si>
  <si>
    <t>Reopen</t>
  </si>
  <si>
    <t>Post-recalc errors</t>
  </si>
  <si>
    <t>Visual manifest</t>
  </si>
  <si>
    <t>Native open/save/reopen and all-sheet QA completed</t>
  </si>
  <si>
    <t>LibreOfficeDev</t>
  </si>
  <si>
    <t>26.8.0.0.alpha0 2c87e51eeaa2b413ff4ae097b2705eea1995d8e5</t>
  </si>
  <si>
    <t>0 matched error tokens; all formula checks PASS</t>
  </si>
  <si>
    <t>Grupo Cibest S.A. (Bancolombia) — Consolidated Statement of Income (audited, COP millions)</t>
  </si>
  <si>
    <t>FY2023-2025 full line detail: 20-F FY2025 (CIK 2058897, accn 0002058897-26-000125), R4.htm. FY2021-2022: legacy CIK 1071371 companyfacts.json, verified-safe XBRL tags only (see column note); blank = not independently verified to this presentation, not fabricated.</t>
  </si>
  <si>
    <t>Line item</t>
  </si>
  <si>
    <t>FY2021A</t>
  </si>
  <si>
    <t>FY2022A</t>
  </si>
  <si>
    <t>FY2023A</t>
  </si>
  <si>
    <t>FY2024A</t>
  </si>
  <si>
    <t>FY2025A</t>
  </si>
  <si>
    <t>Source</t>
  </si>
  <si>
    <t>Interest income</t>
  </si>
  <si>
    <t>Total interest income on loans and financial leases</t>
  </si>
  <si>
    <t>R4</t>
  </si>
  <si>
    <t>Interest on debt instruments (effective interest method)</t>
  </si>
  <si>
    <t>Total interest on financial instruments (effective interest method)</t>
  </si>
  <si>
    <t>Interest income on overnight and market funds</t>
  </si>
  <si>
    <t>Interest and valuation on financial instruments</t>
  </si>
  <si>
    <t>Total interest and valuation on financial instruments</t>
  </si>
  <si>
    <t>Interest expenses</t>
  </si>
  <si>
    <t>Net interest margin before impairment</t>
  </si>
  <si>
    <t>Credit impairment charges on loans, advances and leases, net</t>
  </si>
  <si>
    <t>Recovery/(impairment) for other financial instruments</t>
  </si>
  <si>
    <t>Total credit impairment charges, net</t>
  </si>
  <si>
    <t>Net interest margin after impairment</t>
  </si>
  <si>
    <t>Fees and commissions income</t>
  </si>
  <si>
    <t>R4/CF-tag (validated: FY23 exact match)</t>
  </si>
  <si>
    <t>Fees and commissions expenses</t>
  </si>
  <si>
    <t>Total fees and commissions, net</t>
  </si>
  <si>
    <t>Other operating income</t>
  </si>
  <si>
    <t>Dividends and net income on equity investments</t>
  </si>
  <si>
    <t>Total operating income, net</t>
  </si>
  <si>
    <t>Operating expenses</t>
  </si>
  <si>
    <t>Salaries and employee benefits</t>
  </si>
  <si>
    <t>Other administrative and general expenses</t>
  </si>
  <si>
    <t>Taxes other than income tax</t>
  </si>
  <si>
    <t>Depreciation, amortization, and impairment</t>
  </si>
  <si>
    <t>Total operating expenses</t>
  </si>
  <si>
    <t>Profit continued operations before tax</t>
  </si>
  <si>
    <t>Income tax continued operations</t>
  </si>
  <si>
    <t>Net income continued operations</t>
  </si>
  <si>
    <t>(Loss)/gain from discontinued operation, net</t>
  </si>
  <si>
    <t>R4 (Banistmo, held-for-sale from 2025-12-18)</t>
  </si>
  <si>
    <t>ifrs-full:ProfitLoss (validated exact match all yrs)</t>
  </si>
  <si>
    <t>Net income attributable to equity holders of the Parent</t>
  </si>
  <si>
    <t>ifrs-full:ProfitLossAttributableToOwnersOfParent (validated)</t>
  </si>
  <si>
    <t>Non-controlling interest</t>
  </si>
  <si>
    <t>ifrs-full:ProfitLossAttributableToNoncontrollingInterests (validated)</t>
  </si>
  <si>
    <t>Basic EPS to common shareholders (COP/share)</t>
  </si>
  <si>
    <t>ifrs-full:BasicEarningsLossPerShare (validated)</t>
  </si>
  <si>
    <t>Diluted EPS to common shareholders (COP/share)</t>
  </si>
  <si>
    <t>R4 (FY23-25); ifrs-full FY21-22</t>
  </si>
  <si>
    <t>Grupo Cibest S.A. (Bancolombia) — Consolidated Statement of Financial Position (audited, COP millions, as of Dec 31)</t>
  </si>
  <si>
    <t>FY2024-2025: 20-F FY2025, R3.htm. FY2021-2023: legacy CIK 1071371 companyfacts.json tags, each individually cross-checked against the FY2024 R3 comparative (exact match) before use; failed/unavailable tags excluded and absorbed into an explicit plug row so shown totals still tie to audited Assets/Liabilities/Equity.</t>
  </si>
  <si>
    <t>Assets</t>
  </si>
  <si>
    <t>Cash and cash equivalents</t>
  </si>
  <si>
    <t>ifrs-full:CashAndCashEquivalents / R3</t>
  </si>
  <si>
    <t>Financial assets investments</t>
  </si>
  <si>
    <t>ifrs-full:FinancialAssets / R3</t>
  </si>
  <si>
    <t>Derivative financial instruments (assets)</t>
  </si>
  <si>
    <t>ifrs-full:DerivativeFinancialAssets / R3</t>
  </si>
  <si>
    <t>Loans and advances to customers, net</t>
  </si>
  <si>
    <t>ifrs-full:LoansAndAdvancesToCustomers / R3</t>
  </si>
  <si>
    <t>Assets held for sale and inventories, net</t>
  </si>
  <si>
    <t>R3 (not separately tagged FY21-23)</t>
  </si>
  <si>
    <t>Investment in associates and joint ventures</t>
  </si>
  <si>
    <t>R3 (companyfacts tag scope differs FY21-23, see note)</t>
  </si>
  <si>
    <t>Investment properties</t>
  </si>
  <si>
    <t>ifrs-full:InvestmentProperty / R3</t>
  </si>
  <si>
    <t>Premises and equipment, net</t>
  </si>
  <si>
    <t>ifrs-full:PropertyPlantAndEquipment / R3</t>
  </si>
  <si>
    <t>Right-of-use assets, lease</t>
  </si>
  <si>
    <t>ifrs-full:RightofuseAssets / R3</t>
  </si>
  <si>
    <t>Goodwill and intangible assets, net</t>
  </si>
  <si>
    <t>ifrs-full:Goodwill+IntangibleAssetsOtherThanGoodwill (sum validated) / R3</t>
  </si>
  <si>
    <t>Deferred tax, net</t>
  </si>
  <si>
    <t>R3 (companyfacts DTA gross, pre IAS12 offset -- excluded FY21-23)</t>
  </si>
  <si>
    <t>Assets related to investments in subsidiaries held for sale</t>
  </si>
  <si>
    <t>R3 (Banistmo, 2025 only)</t>
  </si>
  <si>
    <t>Other assets, net</t>
  </si>
  <si>
    <t>ifrs-full:OtherAssets / R3</t>
  </si>
  <si>
    <t>Unallocated other assets (plug to audited Total, FY21-23 only)</t>
  </si>
  <si>
    <t>plug = Total Assets - sum(shown lines)</t>
  </si>
  <si>
    <t>TOTAL ASSETS</t>
  </si>
  <si>
    <t>ifrs-full:Assets (validated exact match all yrs)</t>
  </si>
  <si>
    <t>Liabilities</t>
  </si>
  <si>
    <t>Deposits by customers</t>
  </si>
  <si>
    <t>ifrs-full:DepositsFromCustomers / R3</t>
  </si>
  <si>
    <t>Interbank deposits, repos and other similar secured borrowing</t>
  </si>
  <si>
    <t>R3 (companyfacts DepositsFromBanks scope differs, excl. repo -- excluded FY21-23)</t>
  </si>
  <si>
    <t>Derivative financial instruments (liabilities)</t>
  </si>
  <si>
    <t>ifrs-full:DerivativeFinancialLiabilities / R3</t>
  </si>
  <si>
    <t>Borrowings from other financial institutions</t>
  </si>
  <si>
    <t>ifrs-full:Borrowings (validated) / R3</t>
  </si>
  <si>
    <t>Debt instruments in issue</t>
  </si>
  <si>
    <t>R3 (no reliable companyfacts balance tag -- excluded FY21-23)</t>
  </si>
  <si>
    <t>Lease liabilities</t>
  </si>
  <si>
    <t>ifrs-full:LeaseLiabilities / R3</t>
  </si>
  <si>
    <t>Preferred shares</t>
  </si>
  <si>
    <t>R3 (no companyfacts tag -- excluded FY21-23)</t>
  </si>
  <si>
    <t>Current tax</t>
  </si>
  <si>
    <t>ifrs-full:CurrentTaxLiabilities / R3</t>
  </si>
  <si>
    <t>R3 (companyfacts DTL gross, pre IAS12 offset -- excluded FY21-23)</t>
  </si>
  <si>
    <t>Employee benefit plans</t>
  </si>
  <si>
    <t>Liabilities related to investments in subsidiaries held for sale</t>
  </si>
  <si>
    <t>Other liabilities</t>
  </si>
  <si>
    <t>ifrs-full:OtherLiabilities / R3</t>
  </si>
  <si>
    <t>Unallocated other liabilities (plug to audited Total, FY21-23 only)</t>
  </si>
  <si>
    <t>plug = Total Liabilities - sum(shown lines)</t>
  </si>
  <si>
    <t>TOTAL LIABILITIES</t>
  </si>
  <si>
    <t>ifrs-full:Liabilities (validated exact match all yrs)</t>
  </si>
  <si>
    <t>Equity</t>
  </si>
  <si>
    <t>Share capital</t>
  </si>
  <si>
    <t>ifrs-full:IssuedCapital / R3</t>
  </si>
  <si>
    <t>Additional paid-in capital</t>
  </si>
  <si>
    <t>ifrs-full:AdditionalPaidinCapital / R3</t>
  </si>
  <si>
    <t>Appropriated reserves</t>
  </si>
  <si>
    <t>ifrs-full:StatutoryReserve / R3</t>
  </si>
  <si>
    <t>Retained earnings</t>
  </si>
  <si>
    <t>ifrs-full:RetainedEarnings / R3</t>
  </si>
  <si>
    <t>ifrs-full:ProfitLossAttributableToOwnersOfParent / R3</t>
  </si>
  <si>
    <t>Accumulated other comprehensive income, net of tax</t>
  </si>
  <si>
    <t>ifrs-full:AccumulatedOtherComprehensiveIncome / R3</t>
  </si>
  <si>
    <t>SHAREHOLDERS' EQUITY ATTRIBUTABLE TO OWNERS OF PARENT</t>
  </si>
  <si>
    <t>ifrs-full:EquityAttributableToOwnersOfParent (validated) / R3</t>
  </si>
  <si>
    <t>ifrs-full:NoncontrollingInterests (validated) / R3</t>
  </si>
  <si>
    <t>TOTAL EQUITY</t>
  </si>
  <si>
    <t>ifrs-full:Equity (validated exact match all yrs)</t>
  </si>
  <si>
    <t>TOTAL LIABILITIES AND EQUITY</t>
  </si>
  <si>
    <t>Total liabilities + Total equity (audited totals)</t>
  </si>
  <si>
    <t>Grupo Cibest S.A. (Bancolombia) — Consolidated Statement of Cash Flows (audited, COP millions)</t>
  </si>
  <si>
    <t>FY2023-2025 full detail: 20-F FY2025, R9.htm. FY2021-2022: legacy CIK 1071371 companyfacts.json CFO/CFI/CFF/FX summary tags -- validated: CFO+CFI+CFF reproduces ifrs-full:IncreaseDecreaseInCashAndCashEquivalents exactly; +FX reproduces the actual BS cash delta exactly both years (see Checks_TieOut and build log).</t>
  </si>
  <si>
    <t>Operating activities (detail FY23-25; summary total FY21-22)</t>
  </si>
  <si>
    <t>R9</t>
  </si>
  <si>
    <t>Depreciation and amortization</t>
  </si>
  <si>
    <t>Credit impairment charges on loans and advances and leases</t>
  </si>
  <si>
    <t>Net changes in investment securities at FVPL</t>
  </si>
  <si>
    <t>Increase in loans and advances to customers</t>
  </si>
  <si>
    <t>Increase in deposits by customers</t>
  </si>
  <si>
    <t>Interest received</t>
  </si>
  <si>
    <t>Interest paid</t>
  </si>
  <si>
    <t>Income tax paid</t>
  </si>
  <si>
    <t>Other operating adjustments and working-capital changes (net)</t>
  </si>
  <si>
    <t>R9 (plug of remaining R9 operating lines)</t>
  </si>
  <si>
    <t>Net cash provided by operating activities</t>
  </si>
  <si>
    <t>R9 / ifrs-full:CashFlowsFromUsedInOperatingActivities</t>
  </si>
  <si>
    <t>Investing activities</t>
  </si>
  <si>
    <t>Net investing cash flow (detail FY23-25 below; total only FY21-22)</t>
  </si>
  <si>
    <t>Purchases/proceeds of debt &amp; equity instruments (net)</t>
  </si>
  <si>
    <t>Purchases of premises, equipment and investment properties (net)</t>
  </si>
  <si>
    <t>Purchase of other long-term assets</t>
  </si>
  <si>
    <t>Other investing flows (net)</t>
  </si>
  <si>
    <t>R9 (plug: business combinations, JV/associate flows, other)</t>
  </si>
  <si>
    <t>Net cash used in investing activities</t>
  </si>
  <si>
    <t>R9 / ifrs-full:CashFlowsFromUsedInInvestingActivities</t>
  </si>
  <si>
    <t>Financing activities</t>
  </si>
  <si>
    <t>Increase in repurchase agreements and other similar secured borrowing</t>
  </si>
  <si>
    <t>Proceeds from borrowings from other financial institutions</t>
  </si>
  <si>
    <t>Repayment of borrowings from other financial institutions</t>
  </si>
  <si>
    <t>Payment of lease liability</t>
  </si>
  <si>
    <t>Placement of debt instruments in issue</t>
  </si>
  <si>
    <t>Payment of debt instruments in issue</t>
  </si>
  <si>
    <t>Dividends paid</t>
  </si>
  <si>
    <t>Buyback of shares</t>
  </si>
  <si>
    <t>Transactions with non-controlling interests</t>
  </si>
  <si>
    <t>Net cash (used)/provided in financing activities</t>
  </si>
  <si>
    <t>R9 / ifrs-full:CashFlowsFromUsedInFinancingActivities</t>
  </si>
  <si>
    <t>Effect of exchange rate changes on cash and cash equivalents</t>
  </si>
  <si>
    <t>R9 / ifrs-full:EffectOfExchangeRateChangesOnCashAndCashEquivalents</t>
  </si>
  <si>
    <t>Net increase/(decrease) in cash and cash equivalents (pre-FX)</t>
  </si>
  <si>
    <t>CFO+CFI+CFF; published pre-FX subtotal (ifrs tag FY21-22 / R9 FY23-25)</t>
  </si>
  <si>
    <t>Total change in cash incl. FX effect</t>
  </si>
  <si>
    <t>pre-FX change + FX effect (memo; ties to Begin/End cash below)</t>
  </si>
  <si>
    <t>Cash and cash equivalents at beginning of year</t>
  </si>
  <si>
    <t>ifrs-full:CashAndCashEquivalents(t-1) / R9</t>
  </si>
  <si>
    <t>Cash and cash equivalents at end of year (CF basis)</t>
  </si>
  <si>
    <t>R9 (FY23-25 incl. Banistmo ops per R9 fn.1; FY21-22 = BS cash)</t>
  </si>
  <si>
    <t>Grupo Cibest S.A. (Bancolombia) — Consolidated Statement of Changes in Equity (audited, COP millions)</t>
  </si>
  <si>
    <t>FY2023-2025 roll-forward keyed off R7.htm (dividend/OCI/share-repurchase lines as filed). FY2021-2022 roll uses validated companyfacts totals with an explicit "other movements" plug -- see column note. Full per-reserve-component detail (translation reserve, cash-flow hedge reserve, etc.) is a known gap for FY2021-2022, pending a source package with the FY2022/FY2023 20-F R-files.</t>
  </si>
  <si>
    <t>Opening total equity</t>
  </si>
  <si>
    <t>ifrs-full:Equity(t-1)</t>
  </si>
  <si>
    <t>Net income (total)</t>
  </si>
  <si>
    <t>IS_Hist</t>
  </si>
  <si>
    <t>Other comprehensive income (total)</t>
  </si>
  <si>
    <t>ifrs-full:OtherComprehensiveIncome / R7</t>
  </si>
  <si>
    <t>Dividends declared to owners of Parent</t>
  </si>
  <si>
    <t>ifrs-full:DividendsRecognisedAsDistributionsToOwnersOfParent / R7</t>
  </si>
  <si>
    <t>Share repurchase / buyback</t>
  </si>
  <si>
    <t>R7 (0 pre-2025)</t>
  </si>
  <si>
    <t>Other equity movements, net (NCI transactions, reserve transfers, other)</t>
  </si>
  <si>
    <t>plug = Closing - (Opening+NI+OCI+Div+Buyback)</t>
  </si>
  <si>
    <t>Closing total equity</t>
  </si>
  <si>
    <t>ifrs-full:Equity (validated)</t>
  </si>
  <si>
    <t>FX layer -- COP native to USD convenience translation (documented rates, not a hedge or presentation currency change)</t>
  </si>
  <si>
    <t>Closing (period-end, for BS items) and average (for IS/CF flow items) COP/USD rates. FY2021-2024: ifrs-full:ClosingForeignExchangeRate / AverageForeignExchangeRate as tagged by the filer itself (legacy CIK 1071371 companyfacts.json) -- cross-checked: FY2024 closing 4409.15 matches independent Banco de la República TRM. FY2025: Banco de la República TRM (not in filer XBRL for FY2025 since reorg moved reporting to CIK 2058897 holdco, which only tags dei facts) -- closing 3,757.08 and average 4,052.86 per Banrep TRM, corroborated via actualicese.com/trm-al-31-de-diciembre-de-2025 and actualicese.com/trm-promedio-de-2025.</t>
  </si>
  <si>
    <t>Rate type</t>
  </si>
  <si>
    <t>Closing rate (COP/USD)</t>
  </si>
  <si>
    <t>Average rate (COP/USD)</t>
  </si>
  <si>
    <t>Selected USD mm (BS items @ closing; IS/CF items @ average)</t>
  </si>
  <si>
    <t>Total assets (USD mm)</t>
  </si>
  <si>
    <t>Total equity (USD mm)</t>
  </si>
  <si>
    <t>Net income (USD mm)</t>
  </si>
  <si>
    <t>Tie-out checks -- Bancolombia / Grupo Cibest statement-grade elevation (COP millions; deltas must be 0 / "n/a")</t>
  </si>
  <si>
    <t>MASTER</t>
  </si>
  <si>
    <t>BS: Total assets = Total liabilities + Total equity</t>
  </si>
  <si>
    <t>BS: TL&amp;E memo = TA (audited)</t>
  </si>
  <si>
    <t>IS: Net income = parent + NCI</t>
  </si>
  <si>
    <t>X: BS parent net income = IS parent net income</t>
  </si>
  <si>
    <t>X: CF net income = IS net income</t>
  </si>
  <si>
    <t>SCE: Closing equity = BS total equity</t>
  </si>
  <si>
    <t>SCE: Opening equity = prior-year BS total equity (FY22-25)</t>
  </si>
  <si>
    <t>SCE: Roll check (Open+NI+OCI+Div+Buyback+Other-Close=0, by construction)</t>
  </si>
  <si>
    <t>IS: Net interest margin chain (FY23-25)</t>
  </si>
  <si>
    <t>IS: Total operating income chain (FY23-25)</t>
  </si>
  <si>
    <t>IS: PBT = operating income - opex (FY23-25)</t>
  </si>
  <si>
    <t>IS: Net income = continuing + discontinued (FY23-25)</t>
  </si>
  <si>
    <t>CF: CFO components sum to reported CFO (FY23-25)</t>
  </si>
  <si>
    <t>CF: CFI components sum to reported CFI (FY23-25)</t>
  </si>
  <si>
    <t>CF: CFF components sum to reported CFF (FY23-25)</t>
  </si>
  <si>
    <t>CF: Pre-FX net change = CFO+CFI+CFF (all 5 yrs)</t>
  </si>
  <si>
    <t>CF: Total change incl. FX = pre-FX change + FX (all 5 yrs)</t>
  </si>
  <si>
    <t>CF: End cash (CF basis) = Begin cash + total change incl. FX (all 5 yrs)</t>
  </si>
  <si>
    <t>CF: Beginning cash = prior-year end cash, BS basis (FY22-25)</t>
  </si>
  <si>
    <t>X: CF end cash (FY21-24) = BS cash [FY25 differs by design, see note row below]</t>
  </si>
  <si>
    <t>NOTE: CF FY2025 end cash (33,434,160, incl. Banistmo ops per R9 fn.1) vs BS FY2025 cash (29,916,400, ex-Banistmo, reclassified to held-for-sale) -- delta 3,517,760 is the Banistmo held-for-sale reclassification, not an error.</t>
  </si>
  <si>
    <t>DISCLOSED</t>
  </si>
  <si>
    <t>Audited source register -- Grupo Cibest S.A. (Bancolombia), EDGAR</t>
  </si>
  <si>
    <t>Entity / period</t>
  </si>
  <si>
    <t>CIK</t>
  </si>
  <si>
    <t>Filing</t>
  </si>
  <si>
    <t>Exact citation</t>
  </si>
  <si>
    <t>Notes</t>
  </si>
  <si>
    <t>FY2023A-FY2025A (IS, BS FY24-25, CF, SCE, discontinued ops)</t>
  </si>
  <si>
    <t>2058897 (Grupo Cibest S.A. -- 2025 holdco reorg)</t>
  </si>
  <si>
    <t>20-F FY2025-12-31, filed 2026-04-08, accn 0002058897-26-000125</t>
  </si>
  <si>
    <t>R3.htm (BS), R4.htm (IS), R5.htm (Comprehensive income), R7.htm (SCE), R9.htm (CF) -- Financial_Report R-files, $ in COP millions</t>
  </si>
  <si>
    <t>Banistmo S.A. classified as held-for-sale/discontinued from 2025-12-18 (Note 1, Note 2.D12, Note 31) -- affects FY2025 BS (held-for-sale lines) and IS (discontinued-ops line); FY2023-2024 comparatives in this filing are NOT restated for that reclass.</t>
  </si>
  <si>
    <t>FY2021A-FY2022A (IS: NI/NCI/EPS/fees only; BS: full line detail; CF: CFO/CFI/CFF/FX summary)</t>
  </si>
  <si>
    <t>1071371 (Bancolombia S.A. -- legacy pre-reorg entity)</t>
  </si>
  <si>
    <t>companyfacts.json (SEC XBRL frames API), as-first-reported facts (fy=2021 / fy=2022, form 20-F)</t>
  </si>
  <si>
    <t>ifrs-full: tags per column note on IS_Hist/BS_Hist/CF_Hist/SCE_Hist; each tag individually cross-checked against the FY2024 R3/R4/R9 comparative before use (exact match required)</t>
  </si>
  <si>
    <t>Tags that failed the FY2024 cross-check (scope mismatch or gross-vs-net) were excluded rather than mismapped -- see PARTIAL gaps in build report. cib_-prefixed custom tags were not mined (would require full XBRL instance parse, not just companyfacts frames).</t>
  </si>
  <si>
    <t>FX rates</t>
  </si>
  <si>
    <t>n/a</t>
  </si>
  <si>
    <t>FY2021-2024: ifrs-full:ClosingForeignExchangeRate / AverageForeignExchangeRate, legacy CIK 1071371 companyfacts.json (filer-tagged TRM). FY2025: Banco de la Republica TRM (not in filer XBRL for FY2025 -- 2058897 holdco only tags dei facts)</t>
  </si>
  <si>
    <t>See USD_Layer sheet</t>
  </si>
  <si>
    <t>FY2025 closing 3,757.08 / average 4,052.86 per Banrep TRM, corroborated via actualicese.com/trm-al-31-de-diciembre-de-2025 and actualicese.com/trm-promedio-de-2025 (2026-07-21 web check). FY2024 closing (4,409.15) independently cross-checked and matches the filer-tagged value exactly.</t>
  </si>
  <si>
    <t>Reorg note: SEC EDGAR reassigned the registrant CIK from 1071371 (Bancolombia S.A.) to 2058897 (Grupo Cibest S.A.) for the 2025 holdco reorganization. Historical (pre-2025) XBRL facts live under the legacy CIK; the FY2025 20-F (filed under 2058897) restates none of FY2021-2022 and only the FY2023-2024 R-file comparatives are as originally presented (no Banistmo reclass).</t>
  </si>
  <si>
    <t>Baseline note: prior workbook state (9of10 baseline) was a 2-year KPI panel with a self-certifying Gate_9of10 sheet; that sheet and the placeholder Sources/Historical/Checks/Sector_KPIs scaffold are left in place but superseded -- real statement-grade content lives in IS_Hist/BS_Hist/CF_Hist/SCE_Hist/USD_Layer/Checks_TieOut/Forecast (this pass).</t>
  </si>
  <si>
    <t>Grupo Cibest S.A. (Bancolombia) -- 5-year driver-built forecast (COP millions), continuing operations basis</t>
  </si>
  <si>
    <t>Anchored to FY2025A continuing-operations net income (6,948,339, IS_Hist) since Banistmo (discontinued, -3,006,640) will not recur once divested. Scenario switch: B6 (1=Base, 2=Bull, 3=Bear).</t>
  </si>
  <si>
    <t>Scenario switch (1=Base,2=Bull,3=Bear)</t>
  </si>
  <si>
    <t>Driver</t>
  </si>
  <si>
    <t>Gross loan book growth, % p.a.</t>
  </si>
  <si>
    <t>Net interest margin, % of avg loans (proxy)</t>
  </si>
  <si>
    <t>Cost of risk, % of avg loans</t>
  </si>
  <si>
    <t>Fee income growth, % p.a.</t>
  </si>
  <si>
    <t>Opex growth, % p.a.</t>
  </si>
  <si>
    <t>Effective tax rate, %</t>
  </si>
  <si>
    <t>Dividend payout, % of parent NI</t>
  </si>
  <si>
    <t>Active driver (per scenario switch B4)</t>
  </si>
  <si>
    <t>Gross loan book growth</t>
  </si>
  <si>
    <t>Net interest margin, % of avg loans</t>
  </si>
  <si>
    <t>Fee income growth</t>
  </si>
  <si>
    <t>Opex growth</t>
  </si>
  <si>
    <t>Effective tax rate</t>
  </si>
  <si>
    <t>Dividend payout</t>
  </si>
  <si>
    <t>Line (COP mm)</t>
  </si>
  <si>
    <t>FY2026E</t>
  </si>
  <si>
    <t>FY2027E</t>
  </si>
  <si>
    <t>FY2028E</t>
  </si>
  <si>
    <t>FY2029E</t>
  </si>
  <si>
    <t>FY2030E</t>
  </si>
  <si>
    <t>Gross loans (avg proxy)</t>
  </si>
  <si>
    <t>Net interest income (before impairment)</t>
  </si>
  <si>
    <t>Credit impairment charges, net</t>
  </si>
  <si>
    <t>Fees, other operating income and dividends/equity income (net)</t>
  </si>
  <si>
    <t>Profit before tax (continuing ops)</t>
  </si>
  <si>
    <t>Income tax</t>
  </si>
  <si>
    <t>Net income (continuing ops)</t>
  </si>
  <si>
    <t>Dividends declared</t>
  </si>
  <si>
    <t>NOTE: opening FY2026E balance uses a gross-loans + allowance-addback proxy off FY2025A (not the audited gross-loan note), and NII/fees/opex bases are FY2025A audited totals; PARTIAL -- a full balance-sheet-driven forecast (funding, capital, RWA) is a next-pass item, not built here.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</si>
  <si>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</si>
  <si>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</si>
  <si>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</si>
  <si>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</si>
  <si>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</si>
  <si>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</si>
  <si>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</si>
  <si>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00_Cover: 2 cells written, at B19, B20; Gate_9of10: 6 cells written, at F5, F7, F9, F12, F14, G19.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</si>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</sst>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;[RED]\(#,##0.000\);\-"/>
    <numFmt numFmtId="166" formatCode="0.00%;[RED]\(0.00%\);\-"/>
    <numFmt numFmtId="167" formatCode="0.0%;[RED]\(0.0%\);\-"/>
    <numFmt numFmtId="168" formatCode="#,##0"/>
    <numFmt numFmtId="169" formatCode="0"/>
    <numFmt numFmtId="170" formatCode="#,##0.0;[RED]\(#,##0.0\);\-"/>
    <numFmt numFmtId="171" formatCode="#,##0.0"/>
    <numFmt numFmtId="172" formatCode="0.000\x"/>
    <numFmt numFmtId="173" formatCode="0.0%"/>
    <numFmt numFmtId="174" formatCode="&quot;COP &quot;#,##0;[RED]&quot;(COP &quot;#,##0\);\-"/>
    <numFmt numFmtId="175" formatCode="0.0"/>
    <numFmt numFmtId="176" formatCode="@"/>
    <numFmt numFmtId="177" formatCode="yyyy\-mm\-dd hh:mm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0"/>
    </font>
    <font>
      <b/>
      <i val="0"/>
      <strike val="0"/>
      <sz val="14"/>
      <color rgb="FFFFFFFF"/>
      <name val="Aptos"/>
      <family val="0"/>
    </font>
    <font>
      <b val="0"/>
      <i/>
      <strike val="0"/>
      <sz val="10"/>
      <color rgb="FF595959"/>
      <name val="Aptos"/>
      <family val="0"/>
    </font>
    <font>
      <b val="0"/>
      <i val="0"/>
      <strike val="0"/>
      <sz val="10"/>
      <color rgb="FF000000"/>
      <name val="Aptos"/>
      <family val="0"/>
    </font>
    <font>
      <b/>
      <i val="0"/>
      <strike val="0"/>
      <sz val="10"/>
      <color rgb="FFFFFFFF"/>
      <name val="Aptos"/>
      <family val="0"/>
    </font>
    <font>
      <b/>
      <i val="0"/>
      <strike val="0"/>
      <sz val="10"/>
      <color rgb="FF008000"/>
      <name val="Aptos"/>
      <family val="0"/>
    </font>
    <font>
      <b/>
      <i val="0"/>
      <strike val="0"/>
      <sz val="10"/>
      <color rgb="FF000000"/>
      <name val="Aptos"/>
      <family val="0"/>
    </font>
    <font>
      <b/>
      <i val="0"/>
      <strike val="0"/>
      <sz val="10"/>
      <color rgb="FF0000FF"/>
      <name val="Aptos"/>
      <family val="0"/>
    </font>
    <font>
      <b val="0"/>
      <i val="0"/>
      <strike val="0"/>
      <sz val="10"/>
      <color rgb="FF0000FF"/>
      <name val="Aptos"/>
      <family val="0"/>
    </font>
    <font>
      <b val="0"/>
      <i val="0"/>
      <strike val="0"/>
      <sz val="10"/>
      <color rgb="FF008000"/>
      <name val="Aptos"/>
      <family val="0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0">
    <border/>
    <border diagonalUp="0" diagonalDown="0"/>
    <border diagonalUp="0" diagonalDown="0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 diagonalUp="0" diagonalDown="0">
      <left style="thin">
        <color rgb="FFE7E6E6"/>
      </left>
      <top style="thin">
        <color rgb="FFE7E6E6"/>
      </top>
      <bottom style="thin">
        <color rgb="FFE7E6E6"/>
      </bottom>
    </border>
    <border diagonalUp="0" diagonalDown="0">
      <top style="thin">
        <color rgb="FF1F4E78"/>
      </top>
      <bottom style="double">
        <color rgb="FF1F4E78"/>
      </bottom>
    </border>
    <border diagonalUp="0" diagonalDown="0">
      <left style="thin">
        <color rgb="FFE7E6E6"/>
      </left>
      <right style="thin">
        <color rgb="FFE7E6E6"/>
      </right>
      <top style="thin">
        <color rgb="FF1F4E78"/>
      </top>
      <bottom style="double">
        <color rgb="FF1F4E78"/>
      </bottom>
    </border>
    <border diagonalUp="0" diagonalDown="0">
      <left style="thin">
        <color rgb="FFE7E6E6"/>
      </left>
      <right style="thin">
        <color rgb="FFE7E6E6"/>
      </right>
      <top style="thin">
        <color rgb="FF1F4E78"/>
      </top>
      <bottom style="thin">
        <color rgb="FFE7E6E6"/>
      </bottom>
    </border>
    <border diagonalUp="0" diagonalDown="0">
      <left style="thin">
        <color rgb="FFE7E6E6"/>
      </left>
      <right style="thin">
        <color rgb="FFE7E6E6"/>
      </right>
      <top style="thin">
        <color rgb="FFE7E6E6"/>
      </top>
      <bottom style="double">
        <color rgb="FF1F4E78"/>
      </bottom>
    </border>
    <border diagonalUp="0" diagonalDown="0">
      <top style="thin">
        <color rgb="FF1F4E78"/>
      </top>
    </border>
    <border diagonalUp="0" diagonalDown="0">
      <bottom style="double">
        <color rgb="FF1F4E78"/>
      </bottom>
    </border>
  </borders>
  <cellStyleXfs count="1">
    <xf numFmtId="0" fontId="1" fillId="0" borderId="1">
      <alignment horizontal="general" vertical="bottom" textRotation="0" indent="0"/>
      <protection locked="1"/>
    </xf>
  </cellStyleXfs>
  <cellXfs count="64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3" fillId="2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4" fillId="0" borderId="1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4" fontId="5" fillId="0" borderId="1" xfId="0" applyNumberFormat="1" applyFont="1" applyBorder="1" applyAlignment="1" applyProtection="1">
      <alignment horizontal="general" vertical="center" textRotation="0" indent="0" readingOrder="0"/>
      <protection locked="1"/>
    </xf>
    <xf numFmtId="164" fontId="6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4" fontId="7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4" fontId="5" fillId="0" borderId="3" xfId="0" applyNumberFormat="1" applyFont="1" applyBorder="1" applyAlignment="1" applyProtection="1">
      <alignment horizontal="general" vertical="center" textRotation="0" indent="0" readingOrder="0"/>
      <protection locked="1"/>
    </xf>
    <xf numFmtId="164" fontId="5" fillId="4" borderId="1" xfId="0" applyNumberFormat="1" applyFont="1" applyFill="1" applyBorder="1" applyAlignment="1" applyProtection="1">
      <alignment horizontal="general" vertical="top" textRotation="0" wrapText="1" indent="0" readingOrder="0"/>
      <protection locked="1"/>
    </xf>
    <xf numFmtId="164" fontId="3" fillId="2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0" borderId="1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4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5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4" fontId="8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6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7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4" fontId="5" fillId="0" borderId="1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8" fontId="5" fillId="0" borderId="1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4" fontId="8" fillId="4" borderId="4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9" fontId="8" fillId="4" borderId="4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70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6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71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169" fontId="9" fillId="5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8" fillId="0" borderId="1" xfId="0" applyNumberFormat="1" applyFont="1" applyBorder="1" applyAlignment="1" applyProtection="1">
      <alignment horizontal="general" vertical="center" textRotation="0" indent="0" readingOrder="0"/>
      <protection locked="1"/>
    </xf>
    <xf numFmtId="167" fontId="10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7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71" fontId="10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71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4" fontId="5" fillId="4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8" fillId="4" borderId="5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0" fontId="8" fillId="4" borderId="5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7" fontId="11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70" fontId="11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7" fontId="8" fillId="4" borderId="5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7" fontId="8" fillId="4" borderId="5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2" fontId="11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73" fontId="5" fillId="0" borderId="1" xfId="0" applyNumberFormat="1" applyFont="1" applyBorder="1" applyAlignment="1" applyProtection="1">
      <alignment horizontal="general" vertical="center" textRotation="0" indent="0" readingOrder="0"/>
      <protection locked="1"/>
    </xf>
    <xf numFmtId="170" fontId="5" fillId="0" borderId="1" xfId="0" applyNumberFormat="1" applyFont="1" applyBorder="1" applyAlignment="1" applyProtection="1">
      <alignment horizontal="general" vertical="center" textRotation="0" indent="0" readingOrder="0"/>
      <protection locked="1"/>
    </xf>
    <xf numFmtId="170" fontId="5" fillId="0" borderId="1" xfId="0" applyNumberFormat="1" applyFont="1" applyBorder="1" applyAlignment="1" applyProtection="1">
      <alignment horizontal="general" vertical="center" textRotation="0" indent="0" readingOrder="0"/>
      <protection locked="1"/>
    </xf>
    <xf numFmtId="170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4" fontId="8" fillId="4" borderId="6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0" fontId="8" fillId="4" borderId="6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8" fillId="4" borderId="2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1" fontId="8" fillId="4" borderId="2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8" fillId="4" borderId="7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4" fontId="8" fillId="4" borderId="7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73" fontId="6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73" fontId="6" fillId="3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8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5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4" fontId="8" fillId="4" borderId="4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6" fontId="11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6" fontId="5" fillId="0" borderId="2" xfId="0" applyNumberFormat="1" applyFont="1" applyBorder="1" applyAlignment="1" applyProtection="1">
      <alignment horizontal="general" vertical="center" textRotation="0" indent="0" readingOrder="0"/>
      <protection locked="1"/>
    </xf>
    <xf numFmtId="166" fontId="8" fillId="4" borderId="5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5" fillId="5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8" fillId="4" borderId="8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75" fontId="8" fillId="4" borderId="8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8" fillId="4" borderId="9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76" fontId="5" fillId="0" borderId="2" xfId="0" applyNumberFormat="1" applyFont="1" applyBorder="1" applyAlignment="1" applyProtection="1">
      <alignment horizontal="general" vertical="center" textRotation="0" wrapText="1" indent="0" readingOrder="0"/>
      <protection locked="1"/>
    </xf>
    <xf numFmtId="0" fontId="12" fillId="0" borderId="1" xfId="0" applyFont="1" applyFill="1" applyBorder="1" applyAlignment="1" applyProtection="1">
      <alignment vertical="top" textRotation="0" indent="0"/>
      <protection locked="1" hidden="0"/>
    </xf>
    <xf numFmtId="0" fontId="13" fillId="0" borderId="1" xfId="0" applyFont="1" applyFill="1" applyBorder="1" applyProtection="1">
      <protection locked="1" hidden="0"/>
    </xf>
    <xf numFmtId="177" fontId="12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7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0" style="1" customWidth="1"/>
    <col min="2" max="2" width="72" style="1" customWidth="1"/>
    <col min="3" max="8" width="12" style="1" customWidth="1"/>
  </cols>
  <sheetData>
    <row r="1" ht="28" hidden="0" outlineLevel="0" collapsed="0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32" hidden="0" outlineLevel="0" collapsed="0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idden="0" outlineLevel="0" collapsed="0">
      <c r="A5" s="6" t="s">
        <v>4</v>
      </c>
      <c r="B5" s="6" t="s">
        <v>5</v>
      </c>
      <c r="C5" s="4"/>
      <c r="D5" s="4"/>
      <c r="E5" s="4"/>
      <c r="F5" s="4"/>
      <c r="G5" s="4"/>
      <c r="H5" s="4"/>
    </row>
    <row r="6" hidden="0" outlineLevel="0" collapsed="0">
      <c r="A6" s="6" t="s">
        <v>6</v>
      </c>
      <c r="B6" s="6" t="s">
        <v>7</v>
      </c>
      <c r="C6" s="4"/>
      <c r="D6" s="4"/>
      <c r="E6" s="4"/>
      <c r="F6" s="4"/>
      <c r="G6" s="4"/>
      <c r="H6" s="4"/>
    </row>
    <row r="7" hidden="0" outlineLevel="0" collapsed="0">
      <c r="A7" s="6" t="s">
        <v>8</v>
      </c>
      <c r="B7" s="6" t="s">
        <v>9</v>
      </c>
      <c r="C7" s="4"/>
      <c r="D7" s="4"/>
      <c r="E7" s="4"/>
      <c r="F7" s="4"/>
      <c r="G7" s="4"/>
      <c r="H7" s="4"/>
    </row>
    <row r="8" hidden="0" outlineLevel="0" collapsed="0">
      <c r="A8" s="6" t="s">
        <v>10</v>
      </c>
      <c r="B8" s="6" t="s">
        <v>11</v>
      </c>
      <c r="C8" s="4"/>
      <c r="D8" s="4"/>
      <c r="E8" s="4"/>
      <c r="F8" s="4"/>
      <c r="G8" s="4"/>
      <c r="H8" s="4"/>
    </row>
    <row r="9" hidden="0" outlineLevel="0" collapsed="0">
      <c r="A9" s="6" t="s">
        <v>12</v>
      </c>
      <c r="B9" s="6" t="s">
        <v>13</v>
      </c>
      <c r="C9" s="4"/>
      <c r="D9" s="4"/>
      <c r="E9" s="4"/>
      <c r="F9" s="4"/>
      <c r="G9" s="4"/>
      <c r="H9" s="4"/>
    </row>
    <row r="10" hidden="0" outlineLevel="0" collapsed="0">
      <c r="A10" s="6" t="s">
        <v>14</v>
      </c>
      <c r="B10" s="6" t="s">
        <v>15</v>
      </c>
      <c r="C10" s="4"/>
      <c r="D10" s="4"/>
      <c r="E10" s="4"/>
      <c r="F10" s="4"/>
      <c r="G10" s="4"/>
      <c r="H10" s="4"/>
    </row>
    <row r="11" hidden="0" outlineLevel="0" collapsed="0">
      <c r="A11" s="6" t="s">
        <v>16</v>
      </c>
      <c r="B11" s="6" t="s">
        <v>17</v>
      </c>
      <c r="C11" s="4"/>
      <c r="D11" s="4"/>
      <c r="E11" s="4"/>
      <c r="F11" s="4"/>
      <c r="G11" s="4"/>
      <c r="H11" s="4"/>
    </row>
    <row r="12" hidden="0" outlineLevel="0" collapsed="0">
      <c r="A12" s="6" t="s">
        <v>18</v>
      </c>
      <c r="B12" s="7" t="str">
        <f>Assumptions!E3</f>
        <v>Base</v>
      </c>
      <c r="C12" s="4"/>
      <c r="D12" s="4"/>
      <c r="E12" s="4"/>
      <c r="F12" s="4"/>
      <c r="G12" s="4"/>
      <c r="H12" s="4"/>
    </row>
    <row r="13" hidden="0" outlineLevel="0" collapsed="0">
      <c r="A13" s="6" t="s">
        <v>19</v>
      </c>
      <c r="B13" s="7" t="str">
        <f>Checks!B15</f>
        <v>PASS</v>
      </c>
      <c r="C13" s="4"/>
      <c r="D13" s="4"/>
      <c r="E13" s="4"/>
      <c r="F13" s="4"/>
      <c r="G13" s="4"/>
      <c r="H13" s="4"/>
    </row>
    <row r="14" hidden="0" outlineLevel="0" collapsed="0">
      <c r="A14" s="6" t="s">
        <v>20</v>
      </c>
      <c r="B14" s="6" t="s">
        <v>21</v>
      </c>
      <c r="C14" s="4"/>
      <c r="D14" s="4"/>
      <c r="E14" s="4"/>
      <c r="F14" s="4"/>
      <c r="G14" s="4"/>
      <c r="H14" s="4"/>
    </row>
    <row r="15" hidden="0" outlineLevel="0" collapsed="0">
      <c r="A15" s="8" t="s">
        <v>22</v>
      </c>
      <c r="B15" s="8" t="s">
        <v>23</v>
      </c>
      <c r="C15" s="8"/>
      <c r="D15" s="8"/>
      <c r="E15" s="8"/>
      <c r="F15" s="8"/>
      <c r="G15" s="8"/>
      <c r="H15" s="8"/>
    </row>
    <row r="16" hidden="0" outlineLevel="0" collapsed="0">
      <c r="A16" s="6" t="s">
        <v>24</v>
      </c>
      <c r="B16" s="6" t="s">
        <v>25</v>
      </c>
      <c r="C16" s="4"/>
      <c r="D16" s="4"/>
      <c r="E16" s="4"/>
      <c r="F16" s="4"/>
      <c r="G16" s="4"/>
      <c r="H16" s="4"/>
    </row>
    <row r="17" hidden="0" outlineLevel="0" collapsed="0">
      <c r="A17" s="6" t="s">
        <v>26</v>
      </c>
      <c r="B17" s="6" t="s">
        <v>27</v>
      </c>
      <c r="C17" s="4"/>
      <c r="D17" s="4"/>
      <c r="E17" s="4"/>
      <c r="F17" s="4"/>
      <c r="G17" s="4"/>
      <c r="H17" s="4"/>
    </row>
    <row r="18" hidden="0" outlineLevel="0" collapsed="0">
      <c r="A18" s="6" t="s">
        <v>28</v>
      </c>
      <c r="B18" s="6" t="s">
        <v>29</v>
      </c>
      <c r="C18" s="4"/>
      <c r="D18" s="4"/>
      <c r="E18" s="4"/>
      <c r="F18" s="4"/>
      <c r="G18" s="4"/>
      <c r="H18" s="4"/>
    </row>
    <row r="19" hidden="0" outlineLevel="0" collapsed="0">
      <c r="A19" s="6" t="s">
        <v>30</v>
      </c>
      <c r="B19" s="6" t="s">
        <v>31</v>
      </c>
      <c r="C19" s="4"/>
      <c r="D19" s="4"/>
      <c r="E19" s="4"/>
      <c r="F19" s="4"/>
      <c r="G19" s="4"/>
      <c r="H19" s="4"/>
    </row>
    <row r="20" hidden="0" outlineLevel="0" collapsed="0">
      <c r="A20" s="6" t="s">
        <v>32</v>
      </c>
      <c r="B20" s="6" t="s">
        <v>33</v>
      </c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t="24" hidden="0" outlineLevel="0" collapsed="0">
      <c r="A22" s="9" t="s">
        <v>34</v>
      </c>
      <c r="B22" s="9" t="s">
        <v>34</v>
      </c>
      <c r="C22" s="9" t="s">
        <v>34</v>
      </c>
      <c r="D22" s="9" t="s">
        <v>34</v>
      </c>
      <c r="E22" s="9" t="s">
        <v>34</v>
      </c>
      <c r="F22" s="9" t="s">
        <v>34</v>
      </c>
      <c r="G22" s="9" t="s">
        <v>34</v>
      </c>
      <c r="H22" s="9" t="s">
        <v>34</v>
      </c>
    </row>
    <row r="23" ht="24" hidden="0" outlineLevel="0" collapsed="0">
      <c r="A23" s="9" t="s">
        <v>34</v>
      </c>
      <c r="B23" s="9" t="s">
        <v>34</v>
      </c>
      <c r="C23" s="9" t="s">
        <v>34</v>
      </c>
      <c r="D23" s="9" t="s">
        <v>34</v>
      </c>
      <c r="E23" s="9" t="s">
        <v>34</v>
      </c>
      <c r="F23" s="9" t="s">
        <v>34</v>
      </c>
      <c r="G23" s="9" t="s">
        <v>34</v>
      </c>
      <c r="H23" s="9" t="s">
        <v>34</v>
      </c>
    </row>
    <row r="24" ht="24" hidden="0" outlineLevel="0" collapsed="0">
      <c r="A24" s="9" t="s">
        <v>34</v>
      </c>
      <c r="B24" s="9" t="s">
        <v>34</v>
      </c>
      <c r="C24" s="9" t="s">
        <v>34</v>
      </c>
      <c r="D24" s="9" t="s">
        <v>34</v>
      </c>
      <c r="E24" s="9" t="s">
        <v>34</v>
      </c>
      <c r="F24" s="9" t="s">
        <v>34</v>
      </c>
      <c r="G24" s="9" t="s">
        <v>34</v>
      </c>
      <c r="H24" s="9" t="s">
        <v>34</v>
      </c>
    </row>
    <row r="25" ht="24" hidden="0" outlineLevel="0" collapsed="0">
      <c r="A25" s="9" t="s">
        <v>34</v>
      </c>
      <c r="B25" s="9" t="s">
        <v>34</v>
      </c>
      <c r="C25" s="9" t="s">
        <v>34</v>
      </c>
      <c r="D25" s="9" t="s">
        <v>34</v>
      </c>
      <c r="E25" s="9" t="s">
        <v>34</v>
      </c>
      <c r="F25" s="9" t="s">
        <v>34</v>
      </c>
      <c r="G25" s="9" t="s">
        <v>34</v>
      </c>
      <c r="H25" s="9" t="s">
        <v>34</v>
      </c>
    </row>
    <row r="26" hidden="0" outlineLevel="0" collapsed="0">
      <c r="A26" s="4"/>
      <c r="B26" s="4"/>
      <c r="C26" s="4"/>
      <c r="D26" s="4"/>
      <c r="E26" s="4"/>
      <c r="F26" s="4"/>
      <c r="G26" s="4"/>
      <c r="H26" s="4"/>
    </row>
    <row r="27" hidden="0" outlineLevel="0" collapsed="0">
      <c r="A27" s="4"/>
      <c r="B27" s="4"/>
      <c r="C27" s="4"/>
      <c r="D27" s="4"/>
      <c r="E27" s="4"/>
      <c r="F27" s="4"/>
      <c r="G27" s="4"/>
      <c r="H27" s="4"/>
    </row>
  </sheetData>
  <mergeCells count="3">
    <mergeCell ref="A1:H1"/>
    <mergeCell ref="A2:H2"/>
    <mergeCell ref="A22:H25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P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8" style="1" customWidth="1"/>
    <col min="2" max="3" width="30" style="1" customWidth="1"/>
    <col min="4" max="4" width="16" style="1" customWidth="1"/>
    <col min="5" max="5" width="13" style="1" customWidth="1"/>
    <col min="6" max="6" width="15" style="1" customWidth="1"/>
    <col min="7" max="7" width="25" style="1" customWidth="1"/>
    <col min="8" max="8" width="38" style="1" customWidth="1"/>
    <col min="9" max="9" width="13" style="1" customWidth="1"/>
    <col min="10" max="10" width="18" style="1" customWidth="1"/>
    <col min="11" max="11" width="28" style="1" customWidth="1"/>
    <col min="12" max="12" width="66" style="1" customWidth="1"/>
    <col min="13" max="13" width="20" style="1" customWidth="1"/>
    <col min="14" max="14" width="48" style="1" customWidth="1"/>
    <col min="15" max="15" width="20" style="1" customWidth="1"/>
    <col min="16" max="16" width="12" style="1" customWidth="1"/>
  </cols>
  <sheetData>
    <row r="1" ht="28" hidden="0" outlineLevel="0" collapsed="0">
      <c r="A1" s="10" t="s">
        <v>35</v>
      </c>
      <c r="B1" s="10" t="s">
        <v>35</v>
      </c>
      <c r="C1" s="10" t="s">
        <v>35</v>
      </c>
      <c r="D1" s="10" t="s">
        <v>35</v>
      </c>
      <c r="E1" s="10" t="s">
        <v>35</v>
      </c>
      <c r="F1" s="10" t="s">
        <v>35</v>
      </c>
      <c r="G1" s="10" t="s">
        <v>35</v>
      </c>
      <c r="H1" s="10" t="s">
        <v>35</v>
      </c>
      <c r="I1" s="10" t="s">
        <v>35</v>
      </c>
      <c r="J1" s="10" t="s">
        <v>35</v>
      </c>
      <c r="K1" s="10" t="s">
        <v>35</v>
      </c>
      <c r="L1" s="10" t="s">
        <v>35</v>
      </c>
      <c r="M1" s="10" t="s">
        <v>35</v>
      </c>
      <c r="N1" s="10" t="s">
        <v>35</v>
      </c>
      <c r="O1" s="10" t="s">
        <v>35</v>
      </c>
      <c r="P1" s="10" t="s">
        <v>35</v>
      </c>
    </row>
    <row r="2" ht="32" hidden="0" outlineLevel="0" collapsed="0">
      <c r="A2" s="3" t="s">
        <v>36</v>
      </c>
      <c r="B2" s="3" t="s">
        <v>36</v>
      </c>
      <c r="C2" s="3" t="s">
        <v>36</v>
      </c>
      <c r="D2" s="3" t="s">
        <v>36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</row>
    <row r="3" hidden="0" outlineLevel="0" collapsed="0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hidden="0" outlineLevel="0" collapsed="0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</row>
    <row r="5" ht="52" hidden="0" outlineLevel="0" collapsed="0">
      <c r="A5" s="12" t="s">
        <v>53</v>
      </c>
      <c r="B5" s="12" t="s">
        <v>54</v>
      </c>
      <c r="C5" s="12" t="s">
        <v>55</v>
      </c>
      <c r="D5" s="13">
        <v>372215.382</v>
      </c>
      <c r="E5" s="12" t="s">
        <v>56</v>
      </c>
      <c r="F5" s="12" t="s">
        <v>57</v>
      </c>
      <c r="G5" s="12" t="s">
        <v>58</v>
      </c>
      <c r="H5" s="12" t="s">
        <v>59</v>
      </c>
      <c r="I5" s="12" t="s">
        <v>60</v>
      </c>
      <c r="J5" s="12" t="s">
        <v>61</v>
      </c>
      <c r="K5" s="12" t="s">
        <v>62</v>
      </c>
      <c r="L5" s="12" t="s">
        <v>63</v>
      </c>
      <c r="M5" s="12" t="s">
        <v>64</v>
      </c>
      <c r="N5" s="12" t="s">
        <v>65</v>
      </c>
      <c r="O5" s="12" t="s">
        <v>22</v>
      </c>
      <c r="P5" s="14" t="str">
        <f>IF(AND(C5&lt;&gt;"",D5&lt;&gt;"",E5&lt;&gt;"",F5&lt;&gt;"",H5&lt;&gt;"",I5&lt;&gt;"",J5&lt;&gt;"",K5&lt;&gt;"",L5&lt;&gt;"",M5&lt;&gt;"",N5&lt;&gt;"",O5&lt;&gt;""),"PASS","FAIL")</f>
        <v>PASS</v>
      </c>
    </row>
    <row r="6" ht="52" hidden="0" outlineLevel="0" collapsed="0">
      <c r="A6" s="12" t="s">
        <v>66</v>
      </c>
      <c r="B6" s="12" t="s">
        <v>67</v>
      </c>
      <c r="C6" s="12" t="s">
        <v>55</v>
      </c>
      <c r="D6" s="13">
        <v>384657.718</v>
      </c>
      <c r="E6" s="12" t="s">
        <v>56</v>
      </c>
      <c r="F6" s="12" t="s">
        <v>68</v>
      </c>
      <c r="G6" s="12" t="s">
        <v>58</v>
      </c>
      <c r="H6" s="12" t="s">
        <v>59</v>
      </c>
      <c r="I6" s="12" t="s">
        <v>60</v>
      </c>
      <c r="J6" s="12" t="s">
        <v>61</v>
      </c>
      <c r="K6" s="12" t="s">
        <v>62</v>
      </c>
      <c r="L6" s="12" t="s">
        <v>63</v>
      </c>
      <c r="M6" s="12" t="s">
        <v>69</v>
      </c>
      <c r="N6" s="12" t="s">
        <v>70</v>
      </c>
      <c r="O6" s="12" t="s">
        <v>22</v>
      </c>
      <c r="P6" s="14" t="str">
        <f>IF(AND(C6&lt;&gt;"",D6&lt;&gt;"",E6&lt;&gt;"",F6&lt;&gt;"",H6&lt;&gt;"",I6&lt;&gt;"",J6&lt;&gt;"",K6&lt;&gt;"",L6&lt;&gt;"",M6&lt;&gt;"",N6&lt;&gt;"",O6&lt;&gt;""),"PASS","FAIL")</f>
        <v>PASS</v>
      </c>
    </row>
    <row r="7" ht="52" hidden="0" outlineLevel="0" collapsed="0">
      <c r="A7" s="12" t="s">
        <v>71</v>
      </c>
      <c r="B7" s="12" t="s">
        <v>54</v>
      </c>
      <c r="C7" s="12" t="s">
        <v>72</v>
      </c>
      <c r="D7" s="13">
        <v>279453.908</v>
      </c>
      <c r="E7" s="12" t="s">
        <v>56</v>
      </c>
      <c r="F7" s="12" t="s">
        <v>57</v>
      </c>
      <c r="G7" s="12" t="s">
        <v>58</v>
      </c>
      <c r="H7" s="12" t="s">
        <v>73</v>
      </c>
      <c r="I7" s="12" t="s">
        <v>60</v>
      </c>
      <c r="J7" s="12" t="s">
        <v>61</v>
      </c>
      <c r="K7" s="12" t="s">
        <v>62</v>
      </c>
      <c r="L7" s="12" t="s">
        <v>63</v>
      </c>
      <c r="M7" s="12" t="s">
        <v>74</v>
      </c>
      <c r="N7" s="12" t="s">
        <v>75</v>
      </c>
      <c r="O7" s="12" t="s">
        <v>22</v>
      </c>
      <c r="P7" s="14" t="str">
        <f>IF(AND(C7&lt;&gt;"",D7&lt;&gt;"",E7&lt;&gt;"",F7&lt;&gt;"",H7&lt;&gt;"",I7&lt;&gt;"",J7&lt;&gt;"",K7&lt;&gt;"",L7&lt;&gt;"",M7&lt;&gt;"",N7&lt;&gt;"",O7&lt;&gt;""),"PASS","FAIL")</f>
        <v>PASS</v>
      </c>
    </row>
    <row r="8" ht="52" hidden="0" outlineLevel="0" collapsed="0">
      <c r="A8" s="12" t="s">
        <v>76</v>
      </c>
      <c r="B8" s="12" t="s">
        <v>67</v>
      </c>
      <c r="C8" s="12" t="s">
        <v>72</v>
      </c>
      <c r="D8" s="13">
        <v>285207.398</v>
      </c>
      <c r="E8" s="12" t="s">
        <v>56</v>
      </c>
      <c r="F8" s="12" t="s">
        <v>68</v>
      </c>
      <c r="G8" s="12" t="s">
        <v>58</v>
      </c>
      <c r="H8" s="12" t="s">
        <v>77</v>
      </c>
      <c r="I8" s="12" t="s">
        <v>60</v>
      </c>
      <c r="J8" s="12" t="s">
        <v>61</v>
      </c>
      <c r="K8" s="12" t="s">
        <v>62</v>
      </c>
      <c r="L8" s="12" t="s">
        <v>63</v>
      </c>
      <c r="M8" s="12" t="s">
        <v>78</v>
      </c>
      <c r="N8" s="12" t="s">
        <v>79</v>
      </c>
      <c r="O8" s="12" t="s">
        <v>22</v>
      </c>
      <c r="P8" s="14" t="str">
        <f>IF(AND(C8&lt;&gt;"",D8&lt;&gt;"",E8&lt;&gt;"",F8&lt;&gt;"",H8&lt;&gt;"",I8&lt;&gt;"",J8&lt;&gt;"",K8&lt;&gt;"",L8&lt;&gt;"",M8&lt;&gt;"",N8&lt;&gt;"",O8&lt;&gt;""),"PASS","FAIL")</f>
        <v>PASS</v>
      </c>
    </row>
    <row r="9" ht="52" hidden="0" outlineLevel="0" collapsed="0">
      <c r="A9" s="12" t="s">
        <v>80</v>
      </c>
      <c r="B9" s="12" t="s">
        <v>54</v>
      </c>
      <c r="C9" s="12" t="s">
        <v>81</v>
      </c>
      <c r="D9" s="13">
        <v>279059.401</v>
      </c>
      <c r="E9" s="12" t="s">
        <v>56</v>
      </c>
      <c r="F9" s="12" t="s">
        <v>57</v>
      </c>
      <c r="G9" s="12" t="s">
        <v>58</v>
      </c>
      <c r="H9" s="12" t="s">
        <v>82</v>
      </c>
      <c r="I9" s="12" t="s">
        <v>60</v>
      </c>
      <c r="J9" s="12" t="s">
        <v>61</v>
      </c>
      <c r="K9" s="12" t="s">
        <v>62</v>
      </c>
      <c r="L9" s="12" t="s">
        <v>63</v>
      </c>
      <c r="M9" s="12" t="s">
        <v>83</v>
      </c>
      <c r="N9" s="12" t="s">
        <v>65</v>
      </c>
      <c r="O9" s="12" t="s">
        <v>22</v>
      </c>
      <c r="P9" s="14" t="str">
        <f>IF(AND(C9&lt;&gt;"",D9&lt;&gt;"",E9&lt;&gt;"",F9&lt;&gt;"",H9&lt;&gt;"",I9&lt;&gt;"",J9&lt;&gt;"",K9&lt;&gt;"",L9&lt;&gt;"",M9&lt;&gt;"",N9&lt;&gt;"",O9&lt;&gt;""),"PASS","FAIL")</f>
        <v>PASS</v>
      </c>
    </row>
    <row r="10" ht="52" hidden="0" outlineLevel="0" collapsed="0">
      <c r="A10" s="12" t="s">
        <v>84</v>
      </c>
      <c r="B10" s="12" t="s">
        <v>67</v>
      </c>
      <c r="C10" s="12" t="s">
        <v>81</v>
      </c>
      <c r="D10" s="13">
        <v>291707.474</v>
      </c>
      <c r="E10" s="12" t="s">
        <v>56</v>
      </c>
      <c r="F10" s="12" t="s">
        <v>68</v>
      </c>
      <c r="G10" s="12" t="s">
        <v>58</v>
      </c>
      <c r="H10" s="12" t="s">
        <v>82</v>
      </c>
      <c r="I10" s="12" t="s">
        <v>60</v>
      </c>
      <c r="J10" s="12" t="s">
        <v>61</v>
      </c>
      <c r="K10" s="12" t="s">
        <v>62</v>
      </c>
      <c r="L10" s="12" t="s">
        <v>63</v>
      </c>
      <c r="M10" s="12" t="s">
        <v>85</v>
      </c>
      <c r="N10" s="12" t="s">
        <v>70</v>
      </c>
      <c r="O10" s="12" t="s">
        <v>22</v>
      </c>
      <c r="P10" s="14" t="str">
        <f>IF(AND(C10&lt;&gt;"",D10&lt;&gt;"",E10&lt;&gt;"",F10&lt;&gt;"",H10&lt;&gt;"",I10&lt;&gt;"",J10&lt;&gt;"",K10&lt;&gt;"",L10&lt;&gt;"",M10&lt;&gt;"",N10&lt;&gt;"",O10&lt;&gt;""),"PASS","FAIL")</f>
        <v>PASS</v>
      </c>
    </row>
    <row r="11" ht="52" hidden="0" outlineLevel="0" collapsed="0">
      <c r="A11" s="12" t="s">
        <v>86</v>
      </c>
      <c r="B11" s="12" t="s">
        <v>54</v>
      </c>
      <c r="C11" s="12" t="s">
        <v>87</v>
      </c>
      <c r="D11" s="13">
        <v>43542.468</v>
      </c>
      <c r="E11" s="12" t="s">
        <v>56</v>
      </c>
      <c r="F11" s="12" t="s">
        <v>57</v>
      </c>
      <c r="G11" s="12" t="s">
        <v>58</v>
      </c>
      <c r="H11" s="12" t="s">
        <v>88</v>
      </c>
      <c r="I11" s="12" t="s">
        <v>60</v>
      </c>
      <c r="J11" s="12" t="s">
        <v>61</v>
      </c>
      <c r="K11" s="12" t="s">
        <v>62</v>
      </c>
      <c r="L11" s="12" t="s">
        <v>63</v>
      </c>
      <c r="M11" s="12" t="s">
        <v>89</v>
      </c>
      <c r="N11" s="12" t="s">
        <v>65</v>
      </c>
      <c r="O11" s="12" t="s">
        <v>22</v>
      </c>
      <c r="P11" s="14" t="str">
        <f>IF(AND(C11&lt;&gt;"",D11&lt;&gt;"",E11&lt;&gt;"",F11&lt;&gt;"",H11&lt;&gt;"",I11&lt;&gt;"",J11&lt;&gt;"",K11&lt;&gt;"",L11&lt;&gt;"",M11&lt;&gt;"",N11&lt;&gt;"",O11&lt;&gt;""),"PASS","FAIL")</f>
        <v>PASS</v>
      </c>
    </row>
    <row r="12" ht="52" hidden="0" outlineLevel="0" collapsed="0">
      <c r="A12" s="12" t="s">
        <v>90</v>
      </c>
      <c r="B12" s="12" t="s">
        <v>67</v>
      </c>
      <c r="C12" s="12" t="s">
        <v>87</v>
      </c>
      <c r="D12" s="13">
        <v>43092.745</v>
      </c>
      <c r="E12" s="12" t="s">
        <v>56</v>
      </c>
      <c r="F12" s="12" t="s">
        <v>68</v>
      </c>
      <c r="G12" s="12" t="s">
        <v>58</v>
      </c>
      <c r="H12" s="12" t="s">
        <v>88</v>
      </c>
      <c r="I12" s="12" t="s">
        <v>60</v>
      </c>
      <c r="J12" s="12" t="s">
        <v>61</v>
      </c>
      <c r="K12" s="12" t="s">
        <v>62</v>
      </c>
      <c r="L12" s="12" t="s">
        <v>63</v>
      </c>
      <c r="M12" s="12" t="s">
        <v>91</v>
      </c>
      <c r="N12" s="12" t="s">
        <v>70</v>
      </c>
      <c r="O12" s="12" t="s">
        <v>22</v>
      </c>
      <c r="P12" s="14" t="str">
        <f>IF(AND(C12&lt;&gt;"",D12&lt;&gt;"",E12&lt;&gt;"",F12&lt;&gt;"",H12&lt;&gt;"",I12&lt;&gt;"",J12&lt;&gt;"",K12&lt;&gt;"",L12&lt;&gt;"",M12&lt;&gt;"",N12&lt;&gt;"",O12&lt;&gt;""),"PASS","FAIL")</f>
        <v>PASS</v>
      </c>
    </row>
    <row r="13" ht="52" hidden="0" outlineLevel="0" collapsed="0">
      <c r="A13" s="12" t="s">
        <v>92</v>
      </c>
      <c r="B13" s="12" t="s">
        <v>93</v>
      </c>
      <c r="C13" s="12" t="s">
        <v>94</v>
      </c>
      <c r="D13" s="13">
        <v>6267.744</v>
      </c>
      <c r="E13" s="12" t="s">
        <v>56</v>
      </c>
      <c r="F13" s="12" t="s">
        <v>95</v>
      </c>
      <c r="G13" s="12" t="s">
        <v>96</v>
      </c>
      <c r="H13" s="12" t="s">
        <v>97</v>
      </c>
      <c r="I13" s="12" t="s">
        <v>98</v>
      </c>
      <c r="J13" s="12" t="s">
        <v>99</v>
      </c>
      <c r="K13" s="12" t="s">
        <v>100</v>
      </c>
      <c r="L13" s="12" t="s">
        <v>101</v>
      </c>
      <c r="M13" s="12" t="s">
        <v>102</v>
      </c>
      <c r="N13" s="12" t="s">
        <v>103</v>
      </c>
      <c r="O13" s="12" t="s">
        <v>22</v>
      </c>
      <c r="P13" s="14" t="str">
        <f>IF(AND(C13&lt;&gt;"",D13&lt;&gt;"",E13&lt;&gt;"",F13&lt;&gt;"",H13&lt;&gt;"",I13&lt;&gt;"",J13&lt;&gt;"",K13&lt;&gt;"",L13&lt;&gt;"",M13&lt;&gt;"",N13&lt;&gt;"",O13&lt;&gt;""),"PASS","FAIL")</f>
        <v>PASS</v>
      </c>
    </row>
    <row r="14" ht="52" hidden="0" outlineLevel="0" collapsed="0">
      <c r="A14" s="12" t="s">
        <v>104</v>
      </c>
      <c r="B14" s="12" t="s">
        <v>67</v>
      </c>
      <c r="C14" s="12" t="s">
        <v>105</v>
      </c>
      <c r="D14" s="13">
        <v>7276.23</v>
      </c>
      <c r="E14" s="12" t="s">
        <v>56</v>
      </c>
      <c r="F14" s="12" t="s">
        <v>106</v>
      </c>
      <c r="G14" s="12" t="s">
        <v>107</v>
      </c>
      <c r="H14" s="12" t="s">
        <v>108</v>
      </c>
      <c r="I14" s="12" t="s">
        <v>60</v>
      </c>
      <c r="J14" s="12" t="s">
        <v>61</v>
      </c>
      <c r="K14" s="12" t="s">
        <v>62</v>
      </c>
      <c r="L14" s="12" t="s">
        <v>63</v>
      </c>
      <c r="M14" s="12" t="s">
        <v>109</v>
      </c>
      <c r="N14" s="12" t="s">
        <v>110</v>
      </c>
      <c r="O14" s="12" t="s">
        <v>111</v>
      </c>
      <c r="P14" s="14" t="str">
        <f>IF(AND(C14&lt;&gt;"",D14&lt;&gt;"",E14&lt;&gt;"",F14&lt;&gt;"",H14&lt;&gt;"",I14&lt;&gt;"",J14&lt;&gt;"",K14&lt;&gt;"",L14&lt;&gt;"",M14&lt;&gt;"",N14&lt;&gt;"",O14&lt;&gt;""),"PASS","FAIL")</f>
        <v>PASS</v>
      </c>
    </row>
    <row r="15" ht="52" hidden="0" outlineLevel="0" collapsed="0">
      <c r="A15" s="12" t="s">
        <v>112</v>
      </c>
      <c r="B15" s="12" t="s">
        <v>67</v>
      </c>
      <c r="C15" s="12" t="s">
        <v>113</v>
      </c>
      <c r="D15" s="13">
        <v>3821</v>
      </c>
      <c r="E15" s="12" t="s">
        <v>56</v>
      </c>
      <c r="F15" s="12" t="s">
        <v>106</v>
      </c>
      <c r="G15" s="12" t="s">
        <v>96</v>
      </c>
      <c r="H15" s="12" t="s">
        <v>114</v>
      </c>
      <c r="I15" s="12" t="s">
        <v>60</v>
      </c>
      <c r="J15" s="12" t="s">
        <v>61</v>
      </c>
      <c r="K15" s="12" t="s">
        <v>62</v>
      </c>
      <c r="L15" s="12" t="s">
        <v>63</v>
      </c>
      <c r="M15" s="12" t="s">
        <v>115</v>
      </c>
      <c r="N15" s="12" t="s">
        <v>116</v>
      </c>
      <c r="O15" s="12" t="s">
        <v>22</v>
      </c>
      <c r="P15" s="14" t="str">
        <f>IF(AND(C15&lt;&gt;"",D15&lt;&gt;"",E15&lt;&gt;"",F15&lt;&gt;"",H15&lt;&gt;"",I15&lt;&gt;"",J15&lt;&gt;"",K15&lt;&gt;"",L15&lt;&gt;"",M15&lt;&gt;"",N15&lt;&gt;"",O15&lt;&gt;""),"PASS","FAIL")</f>
        <v>PASS</v>
      </c>
    </row>
    <row r="16" ht="52" hidden="0" outlineLevel="0" collapsed="0">
      <c r="A16" s="12" t="s">
        <v>117</v>
      </c>
      <c r="B16" s="12" t="s">
        <v>54</v>
      </c>
      <c r="C16" s="12" t="s">
        <v>118</v>
      </c>
      <c r="D16" s="22">
        <v>0.0599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60</v>
      </c>
      <c r="J16" s="12" t="s">
        <v>61</v>
      </c>
      <c r="K16" s="12" t="s">
        <v>62</v>
      </c>
      <c r="L16" s="12" t="s">
        <v>63</v>
      </c>
      <c r="M16" s="12" t="s">
        <v>123</v>
      </c>
      <c r="N16" s="12" t="s">
        <v>124</v>
      </c>
      <c r="O16" s="12" t="s">
        <v>22</v>
      </c>
      <c r="P16" s="14" t="str">
        <f>IF(AND(C16&lt;&gt;"",D16&lt;&gt;"",E16&lt;&gt;"",F16&lt;&gt;"",H16&lt;&gt;"",I16&lt;&gt;"",J16&lt;&gt;"",K16&lt;&gt;"",L16&lt;&gt;"",M16&lt;&gt;"",N16&lt;&gt;"",O16&lt;&gt;""),"PASS","FAIL")</f>
        <v>PASS</v>
      </c>
    </row>
    <row r="17" ht="52" hidden="0" outlineLevel="0" collapsed="0">
      <c r="A17" s="12" t="s">
        <v>125</v>
      </c>
      <c r="B17" s="12" t="s">
        <v>67</v>
      </c>
      <c r="C17" s="12" t="s">
        <v>118</v>
      </c>
      <c r="D17" s="22">
        <v>0.0616</v>
      </c>
      <c r="E17" s="12" t="s">
        <v>119</v>
      </c>
      <c r="F17" s="12" t="s">
        <v>126</v>
      </c>
      <c r="G17" s="12" t="s">
        <v>127</v>
      </c>
      <c r="H17" s="12" t="s">
        <v>128</v>
      </c>
      <c r="I17" s="12" t="s">
        <v>60</v>
      </c>
      <c r="J17" s="12" t="s">
        <v>61</v>
      </c>
      <c r="K17" s="12" t="s">
        <v>62</v>
      </c>
      <c r="L17" s="12" t="s">
        <v>63</v>
      </c>
      <c r="M17" s="12" t="s">
        <v>129</v>
      </c>
      <c r="N17" s="12" t="s">
        <v>130</v>
      </c>
      <c r="O17" s="12" t="s">
        <v>22</v>
      </c>
      <c r="P17" s="14" t="str">
        <f>IF(AND(C17&lt;&gt;"",D17&lt;&gt;"",E17&lt;&gt;"",F17&lt;&gt;"",H17&lt;&gt;"",I17&lt;&gt;"",J17&lt;&gt;"",K17&lt;&gt;"",L17&lt;&gt;"",M17&lt;&gt;"",N17&lt;&gt;"",O17&lt;&gt;""),"PASS","FAIL")</f>
        <v>PASS</v>
      </c>
    </row>
    <row r="18" ht="52" hidden="0" outlineLevel="0" collapsed="0">
      <c r="A18" s="12" t="s">
        <v>131</v>
      </c>
      <c r="B18" s="12" t="s">
        <v>67</v>
      </c>
      <c r="C18" s="12" t="s">
        <v>132</v>
      </c>
      <c r="D18" s="22">
        <v>0.0159</v>
      </c>
      <c r="E18" s="12" t="s">
        <v>119</v>
      </c>
      <c r="F18" s="12" t="s">
        <v>133</v>
      </c>
      <c r="G18" s="12" t="s">
        <v>96</v>
      </c>
      <c r="H18" s="12" t="s">
        <v>134</v>
      </c>
      <c r="I18" s="12" t="s">
        <v>60</v>
      </c>
      <c r="J18" s="12" t="s">
        <v>61</v>
      </c>
      <c r="K18" s="12" t="s">
        <v>62</v>
      </c>
      <c r="L18" s="12" t="s">
        <v>63</v>
      </c>
      <c r="M18" s="12" t="s">
        <v>135</v>
      </c>
      <c r="N18" s="12" t="s">
        <v>136</v>
      </c>
      <c r="O18" s="12" t="s">
        <v>22</v>
      </c>
      <c r="P18" s="14" t="str">
        <f>IF(AND(C18&lt;&gt;"",D18&lt;&gt;"",E18&lt;&gt;"",F18&lt;&gt;"",H18&lt;&gt;"",I18&lt;&gt;"",J18&lt;&gt;"",K18&lt;&gt;"",L18&lt;&gt;"",M18&lt;&gt;"",N18&lt;&gt;"",O18&lt;&gt;""),"PASS","FAIL")</f>
        <v>PASS</v>
      </c>
    </row>
    <row r="19" ht="52" hidden="0" outlineLevel="0" collapsed="0">
      <c r="A19" s="12" t="s">
        <v>137</v>
      </c>
      <c r="B19" s="12" t="s">
        <v>54</v>
      </c>
      <c r="C19" s="12" t="s">
        <v>138</v>
      </c>
      <c r="D19" s="22">
        <v>0.0465</v>
      </c>
      <c r="E19" s="12" t="s">
        <v>119</v>
      </c>
      <c r="F19" s="12" t="s">
        <v>57</v>
      </c>
      <c r="G19" s="12" t="s">
        <v>139</v>
      </c>
      <c r="H19" s="12" t="s">
        <v>140</v>
      </c>
      <c r="I19" s="12" t="s">
        <v>60</v>
      </c>
      <c r="J19" s="12" t="s">
        <v>61</v>
      </c>
      <c r="K19" s="12" t="s">
        <v>62</v>
      </c>
      <c r="L19" s="12" t="s">
        <v>63</v>
      </c>
      <c r="M19" s="12" t="s">
        <v>141</v>
      </c>
      <c r="N19" s="12" t="s">
        <v>142</v>
      </c>
      <c r="O19" s="12" t="s">
        <v>143</v>
      </c>
      <c r="P19" s="14" t="str">
        <f>IF(AND(C19&lt;&gt;"",D19&lt;&gt;"",E19&lt;&gt;"",F19&lt;&gt;"",H19&lt;&gt;"",I19&lt;&gt;"",J19&lt;&gt;"",K19&lt;&gt;"",L19&lt;&gt;"",M19&lt;&gt;"",N19&lt;&gt;"",O19&lt;&gt;""),"PASS","FAIL")</f>
        <v>PASS</v>
      </c>
    </row>
    <row r="20" ht="52" hidden="0" outlineLevel="0" collapsed="0">
      <c r="A20" s="12" t="s">
        <v>144</v>
      </c>
      <c r="B20" s="12" t="s">
        <v>67</v>
      </c>
      <c r="C20" s="12" t="s">
        <v>138</v>
      </c>
      <c r="D20" s="22">
        <v>0.0357</v>
      </c>
      <c r="E20" s="12" t="s">
        <v>119</v>
      </c>
      <c r="F20" s="12" t="s">
        <v>68</v>
      </c>
      <c r="G20" s="12" t="s">
        <v>96</v>
      </c>
      <c r="H20" s="12" t="s">
        <v>145</v>
      </c>
      <c r="I20" s="12" t="s">
        <v>60</v>
      </c>
      <c r="J20" s="12" t="s">
        <v>61</v>
      </c>
      <c r="K20" s="12" t="s">
        <v>62</v>
      </c>
      <c r="L20" s="12" t="s">
        <v>63</v>
      </c>
      <c r="M20" s="12" t="s">
        <v>146</v>
      </c>
      <c r="N20" s="12" t="s">
        <v>147</v>
      </c>
      <c r="O20" s="12" t="s">
        <v>22</v>
      </c>
      <c r="P20" s="14" t="str">
        <f>IF(AND(C20&lt;&gt;"",D20&lt;&gt;"",E20&lt;&gt;"",F20&lt;&gt;"",H20&lt;&gt;"",I20&lt;&gt;"",J20&lt;&gt;"",K20&lt;&gt;"",L20&lt;&gt;"",M20&lt;&gt;"",N20&lt;&gt;"",O20&lt;&gt;""),"PASS","FAIL")</f>
        <v>PASS</v>
      </c>
    </row>
    <row r="21" ht="52" hidden="0" outlineLevel="0" collapsed="0">
      <c r="A21" s="12" t="s">
        <v>148</v>
      </c>
      <c r="B21" s="12" t="s">
        <v>54</v>
      </c>
      <c r="C21" s="12" t="s">
        <v>149</v>
      </c>
      <c r="D21" s="22">
        <v>1.2427</v>
      </c>
      <c r="E21" s="12" t="s">
        <v>119</v>
      </c>
      <c r="F21" s="12" t="s">
        <v>57</v>
      </c>
      <c r="G21" s="12" t="s">
        <v>150</v>
      </c>
      <c r="H21" s="12" t="s">
        <v>151</v>
      </c>
      <c r="I21" s="12" t="s">
        <v>60</v>
      </c>
      <c r="J21" s="12" t="s">
        <v>61</v>
      </c>
      <c r="K21" s="12" t="s">
        <v>62</v>
      </c>
      <c r="L21" s="12" t="s">
        <v>63</v>
      </c>
      <c r="M21" s="12" t="s">
        <v>152</v>
      </c>
      <c r="N21" s="12" t="s">
        <v>147</v>
      </c>
      <c r="O21" s="12" t="s">
        <v>22</v>
      </c>
      <c r="P21" s="14" t="str">
        <f>IF(AND(C21&lt;&gt;"",D21&lt;&gt;"",E21&lt;&gt;"",F21&lt;&gt;"",H21&lt;&gt;"",I21&lt;&gt;"",J21&lt;&gt;"",K21&lt;&gt;"",L21&lt;&gt;"",M21&lt;&gt;"",N21&lt;&gt;"",O21&lt;&gt;""),"PASS","FAIL")</f>
        <v>PASS</v>
      </c>
    </row>
    <row r="22" ht="52" hidden="0" outlineLevel="0" collapsed="0">
      <c r="A22" s="12" t="s">
        <v>153</v>
      </c>
      <c r="B22" s="12" t="s">
        <v>67</v>
      </c>
      <c r="C22" s="12" t="s">
        <v>149</v>
      </c>
      <c r="D22" s="22">
        <v>1.3441</v>
      </c>
      <c r="E22" s="12" t="s">
        <v>119</v>
      </c>
      <c r="F22" s="12" t="s">
        <v>68</v>
      </c>
      <c r="G22" s="12" t="s">
        <v>96</v>
      </c>
      <c r="H22" s="12" t="s">
        <v>154</v>
      </c>
      <c r="I22" s="12" t="s">
        <v>98</v>
      </c>
      <c r="J22" s="12" t="s">
        <v>155</v>
      </c>
      <c r="K22" s="12" t="s">
        <v>156</v>
      </c>
      <c r="L22" s="12" t="s">
        <v>157</v>
      </c>
      <c r="M22" s="12" t="s">
        <v>158</v>
      </c>
      <c r="N22" s="12" t="s">
        <v>147</v>
      </c>
      <c r="O22" s="12" t="s">
        <v>22</v>
      </c>
      <c r="P22" s="14" t="str">
        <f>IF(AND(C22&lt;&gt;"",D22&lt;&gt;"",E22&lt;&gt;"",F22&lt;&gt;"",H22&lt;&gt;"",I22&lt;&gt;"",J22&lt;&gt;"",K22&lt;&gt;"",L22&lt;&gt;"",M22&lt;&gt;"",N22&lt;&gt;"",O22&lt;&gt;""),"PASS","FAIL")</f>
        <v>PASS</v>
      </c>
    </row>
    <row r="23" ht="52" hidden="0" outlineLevel="0" collapsed="0">
      <c r="A23" s="12" t="s">
        <v>159</v>
      </c>
      <c r="B23" s="12" t="s">
        <v>54</v>
      </c>
      <c r="C23" s="12" t="s">
        <v>160</v>
      </c>
      <c r="D23" s="22">
        <v>0.1195</v>
      </c>
      <c r="E23" s="12" t="s">
        <v>119</v>
      </c>
      <c r="F23" s="12" t="s">
        <v>57</v>
      </c>
      <c r="G23" s="12" t="s">
        <v>161</v>
      </c>
      <c r="H23" s="12" t="s">
        <v>162</v>
      </c>
      <c r="I23" s="12" t="s">
        <v>60</v>
      </c>
      <c r="J23" s="12" t="s">
        <v>61</v>
      </c>
      <c r="K23" s="12" t="s">
        <v>62</v>
      </c>
      <c r="L23" s="12" t="s">
        <v>63</v>
      </c>
      <c r="M23" s="12" t="s">
        <v>163</v>
      </c>
      <c r="N23" s="12" t="s">
        <v>164</v>
      </c>
      <c r="O23" s="12" t="s">
        <v>22</v>
      </c>
      <c r="P23" s="14" t="str">
        <f>IF(AND(C23&lt;&gt;"",D23&lt;&gt;"",E23&lt;&gt;"",F23&lt;&gt;"",H23&lt;&gt;"",I23&lt;&gt;"",J23&lt;&gt;"",K23&lt;&gt;"",L23&lt;&gt;"",M23&lt;&gt;"",N23&lt;&gt;"",O23&lt;&gt;""),"PASS","FAIL")</f>
        <v>PASS</v>
      </c>
    </row>
    <row r="24" ht="52" hidden="0" outlineLevel="0" collapsed="0">
      <c r="A24" s="12" t="s">
        <v>165</v>
      </c>
      <c r="B24" s="12" t="s">
        <v>67</v>
      </c>
      <c r="C24" s="12" t="s">
        <v>160</v>
      </c>
      <c r="D24" s="22">
        <v>0.1222</v>
      </c>
      <c r="E24" s="12" t="s">
        <v>119</v>
      </c>
      <c r="F24" s="12" t="s">
        <v>68</v>
      </c>
      <c r="G24" s="12" t="s">
        <v>96</v>
      </c>
      <c r="H24" s="12" t="s">
        <v>162</v>
      </c>
      <c r="I24" s="12" t="s">
        <v>60</v>
      </c>
      <c r="J24" s="12" t="s">
        <v>61</v>
      </c>
      <c r="K24" s="12" t="s">
        <v>62</v>
      </c>
      <c r="L24" s="12" t="s">
        <v>63</v>
      </c>
      <c r="M24" s="12" t="s">
        <v>166</v>
      </c>
      <c r="N24" s="12" t="s">
        <v>167</v>
      </c>
      <c r="O24" s="12" t="s">
        <v>22</v>
      </c>
      <c r="P24" s="14" t="str">
        <f>IF(AND(C24&lt;&gt;"",D24&lt;&gt;"",E24&lt;&gt;"",F24&lt;&gt;"",H24&lt;&gt;"",I24&lt;&gt;"",J24&lt;&gt;"",K24&lt;&gt;"",L24&lt;&gt;"",M24&lt;&gt;"",N24&lt;&gt;"",O24&lt;&gt;""),"PASS","FAIL")</f>
        <v>PASS</v>
      </c>
    </row>
    <row r="25" ht="52" hidden="0" outlineLevel="0" collapsed="0">
      <c r="A25" s="12" t="s">
        <v>168</v>
      </c>
      <c r="B25" s="12" t="s">
        <v>67</v>
      </c>
      <c r="C25" s="12" t="s">
        <v>169</v>
      </c>
      <c r="D25" s="13">
        <v>29431.196</v>
      </c>
      <c r="E25" s="12" t="s">
        <v>56</v>
      </c>
      <c r="F25" s="12" t="s">
        <v>68</v>
      </c>
      <c r="G25" s="12" t="s">
        <v>96</v>
      </c>
      <c r="H25" s="12" t="s">
        <v>162</v>
      </c>
      <c r="I25" s="12" t="s">
        <v>60</v>
      </c>
      <c r="J25" s="12" t="s">
        <v>61</v>
      </c>
      <c r="K25" s="12" t="s">
        <v>62</v>
      </c>
      <c r="L25" s="12" t="s">
        <v>63</v>
      </c>
      <c r="M25" s="12" t="s">
        <v>170</v>
      </c>
      <c r="N25" s="12" t="s">
        <v>171</v>
      </c>
      <c r="O25" s="12" t="s">
        <v>22</v>
      </c>
      <c r="P25" s="14" t="str">
        <f>IF(AND(C25&lt;&gt;"",D25&lt;&gt;"",E25&lt;&gt;"",F25&lt;&gt;"",H25&lt;&gt;"",I25&lt;&gt;"",J25&lt;&gt;"",K25&lt;&gt;"",L25&lt;&gt;"",M25&lt;&gt;"",N25&lt;&gt;"",O25&lt;&gt;""),"PASS","FAIL")</f>
        <v>PASS</v>
      </c>
    </row>
    <row r="26" ht="52" hidden="0" outlineLevel="0" collapsed="0">
      <c r="A26" s="12" t="s">
        <v>172</v>
      </c>
      <c r="B26" s="12" t="s">
        <v>67</v>
      </c>
      <c r="C26" s="12" t="s">
        <v>173</v>
      </c>
      <c r="D26" s="16">
        <v>0.5</v>
      </c>
      <c r="E26" s="12" t="s">
        <v>119</v>
      </c>
      <c r="F26" s="12" t="s">
        <v>174</v>
      </c>
      <c r="G26" s="12" t="s">
        <v>175</v>
      </c>
      <c r="H26" s="12" t="s">
        <v>176</v>
      </c>
      <c r="I26" s="12" t="s">
        <v>177</v>
      </c>
      <c r="J26" s="12" t="s">
        <v>178</v>
      </c>
      <c r="K26" s="12" t="s">
        <v>179</v>
      </c>
      <c r="L26" s="12" t="s">
        <v>157</v>
      </c>
      <c r="M26" s="12" t="s">
        <v>180</v>
      </c>
      <c r="N26" s="12" t="s">
        <v>181</v>
      </c>
      <c r="O26" s="12" t="s">
        <v>182</v>
      </c>
      <c r="P26" s="14" t="str">
        <f>IF(AND(C26&lt;&gt;"",D26&lt;&gt;"",E26&lt;&gt;"",F26&lt;&gt;"",H26&lt;&gt;"",I26&lt;&gt;"",J26&lt;&gt;"",K26&lt;&gt;"",L26&lt;&gt;"",M26&lt;&gt;"",N26&lt;&gt;"",O26&lt;&gt;""),"PASS","FAIL")</f>
        <v>PASS</v>
      </c>
    </row>
    <row r="27" ht="52" hidden="0" outlineLevel="0" collapsed="0">
      <c r="A27" s="17" t="s">
        <v>183</v>
      </c>
      <c r="B27" s="17" t="s">
        <v>67</v>
      </c>
      <c r="C27" s="17" t="s">
        <v>184</v>
      </c>
      <c r="D27" s="18">
        <v>4045</v>
      </c>
      <c r="E27" s="17" t="s">
        <v>185</v>
      </c>
      <c r="F27" s="17" t="s">
        <v>106</v>
      </c>
      <c r="G27" s="17" t="s">
        <v>186</v>
      </c>
      <c r="H27" s="17" t="s">
        <v>187</v>
      </c>
      <c r="I27" s="17" t="s">
        <v>177</v>
      </c>
      <c r="J27" s="17" t="s">
        <v>178</v>
      </c>
      <c r="K27" s="17" t="s">
        <v>179</v>
      </c>
      <c r="L27" s="17" t="s">
        <v>157</v>
      </c>
      <c r="M27" s="17" t="s">
        <v>188</v>
      </c>
      <c r="N27" s="17" t="s">
        <v>189</v>
      </c>
      <c r="O27" s="17" t="s">
        <v>143</v>
      </c>
      <c r="P27" s="17" t="str">
        <f>IF(AND(C27&lt;&gt;"",D27&lt;&gt;"",E27&lt;&gt;"",F27&lt;&gt;"",H27&lt;&gt;"",I27&lt;&gt;"",J27&lt;&gt;"",K27&lt;&gt;"",L27&lt;&gt;"",M27&lt;&gt;"",N27&lt;&gt;"",O27&lt;&gt;""),"PASS","FAIL")</f>
        <v>PASS</v>
      </c>
    </row>
    <row r="28" hidden="0" outlineLevel="0" collapsed="0">
      <c r="A28" s="19" t="s">
        <v>190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>
        <f>COUNTIF(P5:P27,"PASS")</f>
        <v>23</v>
      </c>
      <c r="P28" s="20" t="str">
        <f>IF(O28=23,"PASS","FAIL")</f>
        <v>PASS</v>
      </c>
    </row>
    <row r="29" hidden="0" outlineLevel="0" collapsed="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idden="0" outlineLevel="0" collapsed="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</sheetData>
  <mergeCells count="2">
    <mergeCell ref="A1:P1"/>
    <mergeCell ref="A2:P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3" width="15" style="1" customWidth="1"/>
    <col min="4" max="4" width="14" style="1" customWidth="1"/>
    <col min="5" max="5" width="22" style="1" customWidth="1"/>
    <col min="6" max="6" width="40" style="1" customWidth="1"/>
    <col min="7" max="7" width="45" style="1" customWidth="1"/>
    <col min="8" max="8" width="20" style="1" customWidth="1"/>
  </cols>
  <sheetData>
    <row r="1" ht="28" hidden="0" outlineLevel="0" collapsed="0">
      <c r="A1" s="10" t="s">
        <v>191</v>
      </c>
      <c r="B1" s="10" t="s">
        <v>191</v>
      </c>
      <c r="C1" s="10" t="s">
        <v>191</v>
      </c>
      <c r="D1" s="10" t="s">
        <v>191</v>
      </c>
      <c r="E1" s="10" t="s">
        <v>191</v>
      </c>
      <c r="F1" s="10" t="s">
        <v>191</v>
      </c>
      <c r="G1" s="10" t="s">
        <v>191</v>
      </c>
      <c r="H1" s="10" t="s">
        <v>191</v>
      </c>
    </row>
    <row r="2" ht="32" hidden="0" outlineLevel="0" collapsed="0">
      <c r="A2" s="3" t="s">
        <v>192</v>
      </c>
      <c r="B2" s="3" t="s">
        <v>192</v>
      </c>
      <c r="C2" s="3" t="s">
        <v>192</v>
      </c>
      <c r="D2" s="3" t="s">
        <v>192</v>
      </c>
      <c r="E2" s="3" t="s">
        <v>192</v>
      </c>
      <c r="F2" s="3" t="s">
        <v>192</v>
      </c>
      <c r="G2" s="3" t="s">
        <v>192</v>
      </c>
      <c r="H2" s="3" t="s">
        <v>192</v>
      </c>
    </row>
    <row r="3" hidden="0" outlineLevel="0" collapsed="0">
      <c r="A3" s="11"/>
      <c r="B3" s="11"/>
      <c r="C3" s="11"/>
      <c r="D3" s="11"/>
      <c r="E3" s="11"/>
      <c r="F3" s="11"/>
      <c r="G3" s="11"/>
      <c r="H3" s="11"/>
    </row>
    <row r="4" hidden="0" outlineLevel="0" collapsed="0">
      <c r="A4" s="5" t="s">
        <v>39</v>
      </c>
      <c r="B4" s="5" t="s">
        <v>193</v>
      </c>
      <c r="C4" s="5" t="s">
        <v>194</v>
      </c>
      <c r="D4" s="5" t="s">
        <v>41</v>
      </c>
      <c r="E4" s="5" t="s">
        <v>37</v>
      </c>
      <c r="F4" s="5" t="s">
        <v>195</v>
      </c>
      <c r="G4" s="5" t="s">
        <v>196</v>
      </c>
      <c r="H4" s="5" t="s">
        <v>197</v>
      </c>
    </row>
    <row r="5" hidden="0" outlineLevel="0" collapsed="0">
      <c r="A5" s="14" t="s">
        <v>55</v>
      </c>
      <c r="B5" s="21">
        <v>372215.382</v>
      </c>
      <c r="C5" s="21">
        <v>384657.718</v>
      </c>
      <c r="D5" s="12" t="s">
        <v>56</v>
      </c>
      <c r="E5" s="12" t="s">
        <v>198</v>
      </c>
      <c r="F5" s="12" t="s">
        <v>199</v>
      </c>
      <c r="G5" s="12" t="s">
        <v>200</v>
      </c>
      <c r="H5" s="12" t="s">
        <v>22</v>
      </c>
    </row>
    <row r="6" hidden="0" outlineLevel="0" collapsed="0">
      <c r="A6" s="14" t="s">
        <v>72</v>
      </c>
      <c r="B6" s="21">
        <v>279453.908</v>
      </c>
      <c r="C6" s="21">
        <v>285207.398</v>
      </c>
      <c r="D6" s="12" t="s">
        <v>56</v>
      </c>
      <c r="E6" s="12" t="s">
        <v>201</v>
      </c>
      <c r="F6" s="12" t="s">
        <v>202</v>
      </c>
      <c r="G6" s="12" t="s">
        <v>203</v>
      </c>
      <c r="H6" s="12" t="s">
        <v>22</v>
      </c>
    </row>
    <row r="7" hidden="0" outlineLevel="0" collapsed="0">
      <c r="A7" s="14" t="s">
        <v>81</v>
      </c>
      <c r="B7" s="21">
        <v>279059.401</v>
      </c>
      <c r="C7" s="21">
        <v>291707.474</v>
      </c>
      <c r="D7" s="12" t="s">
        <v>56</v>
      </c>
      <c r="E7" s="12" t="s">
        <v>204</v>
      </c>
      <c r="F7" s="12" t="s">
        <v>205</v>
      </c>
      <c r="G7" s="12" t="s">
        <v>206</v>
      </c>
      <c r="H7" s="12" t="s">
        <v>22</v>
      </c>
    </row>
    <row r="8" hidden="0" outlineLevel="0" collapsed="0">
      <c r="A8" s="14" t="s">
        <v>87</v>
      </c>
      <c r="B8" s="21">
        <v>43542.468</v>
      </c>
      <c r="C8" s="21">
        <v>43092.745</v>
      </c>
      <c r="D8" s="12" t="s">
        <v>56</v>
      </c>
      <c r="E8" s="12" t="s">
        <v>207</v>
      </c>
      <c r="F8" s="12" t="s">
        <v>205</v>
      </c>
      <c r="G8" s="12" t="s">
        <v>208</v>
      </c>
      <c r="H8" s="12" t="s">
        <v>22</v>
      </c>
    </row>
    <row r="9" hidden="0" outlineLevel="0" collapsed="0">
      <c r="A9" s="14" t="s">
        <v>209</v>
      </c>
      <c r="B9" s="21">
        <v>6267.744</v>
      </c>
      <c r="C9" s="21">
        <v>7276.23</v>
      </c>
      <c r="D9" s="12" t="s">
        <v>56</v>
      </c>
      <c r="E9" s="12" t="s">
        <v>210</v>
      </c>
      <c r="F9" s="12" t="s">
        <v>211</v>
      </c>
      <c r="G9" s="12" t="s">
        <v>212</v>
      </c>
      <c r="H9" s="12" t="s">
        <v>213</v>
      </c>
    </row>
    <row r="10" hidden="0" outlineLevel="0" collapsed="0">
      <c r="A10" s="14" t="s">
        <v>113</v>
      </c>
      <c r="B10" s="21">
        <v>6267.744</v>
      </c>
      <c r="C10" s="21">
        <v>3821</v>
      </c>
      <c r="D10" s="12" t="s">
        <v>56</v>
      </c>
      <c r="E10" s="12" t="s">
        <v>214</v>
      </c>
      <c r="F10" s="12" t="s">
        <v>211</v>
      </c>
      <c r="G10" s="12" t="s">
        <v>215</v>
      </c>
      <c r="H10" s="12" t="s">
        <v>22</v>
      </c>
    </row>
    <row r="11" hidden="0" outlineLevel="0" collapsed="0">
      <c r="A11" s="14" t="s">
        <v>118</v>
      </c>
      <c r="B11" s="22">
        <v>0.0599</v>
      </c>
      <c r="C11" s="22">
        <v>0.0616</v>
      </c>
      <c r="D11" s="12" t="s">
        <v>119</v>
      </c>
      <c r="E11" s="12" t="s">
        <v>216</v>
      </c>
      <c r="F11" s="12" t="s">
        <v>217</v>
      </c>
      <c r="G11" s="12" t="s">
        <v>218</v>
      </c>
      <c r="H11" s="12" t="s">
        <v>22</v>
      </c>
    </row>
    <row r="12" hidden="0" outlineLevel="0" collapsed="0">
      <c r="A12" s="14" t="s">
        <v>132</v>
      </c>
      <c r="B12" s="22"/>
      <c r="C12" s="22">
        <v>0.0159</v>
      </c>
      <c r="D12" s="12" t="s">
        <v>119</v>
      </c>
      <c r="E12" s="12" t="s">
        <v>131</v>
      </c>
      <c r="F12" s="12" t="s">
        <v>145</v>
      </c>
      <c r="G12" s="12" t="s">
        <v>133</v>
      </c>
      <c r="H12" s="12" t="s">
        <v>22</v>
      </c>
    </row>
    <row r="13" hidden="0" outlineLevel="0" collapsed="0">
      <c r="A13" s="14" t="s">
        <v>138</v>
      </c>
      <c r="B13" s="22">
        <v>0.0465</v>
      </c>
      <c r="C13" s="22">
        <v>0.0357</v>
      </c>
      <c r="D13" s="12" t="s">
        <v>119</v>
      </c>
      <c r="E13" s="12" t="s">
        <v>219</v>
      </c>
      <c r="F13" s="12" t="s">
        <v>220</v>
      </c>
      <c r="G13" s="12" t="s">
        <v>221</v>
      </c>
      <c r="H13" s="12" t="s">
        <v>222</v>
      </c>
    </row>
    <row r="14" hidden="0" outlineLevel="0" collapsed="0">
      <c r="A14" s="14" t="s">
        <v>149</v>
      </c>
      <c r="B14" s="22">
        <v>1.2427</v>
      </c>
      <c r="C14" s="22">
        <v>1.3441</v>
      </c>
      <c r="D14" s="12" t="s">
        <v>119</v>
      </c>
      <c r="E14" s="12" t="s">
        <v>223</v>
      </c>
      <c r="F14" s="12" t="s">
        <v>224</v>
      </c>
      <c r="G14" s="12" t="s">
        <v>225</v>
      </c>
      <c r="H14" s="12" t="s">
        <v>22</v>
      </c>
    </row>
    <row r="15" hidden="0" outlineLevel="0" collapsed="0">
      <c r="A15" s="14" t="s">
        <v>160</v>
      </c>
      <c r="B15" s="22">
        <v>0.1195</v>
      </c>
      <c r="C15" s="22">
        <v>0.1222</v>
      </c>
      <c r="D15" s="12" t="s">
        <v>119</v>
      </c>
      <c r="E15" s="12" t="s">
        <v>226</v>
      </c>
      <c r="F15" s="12" t="s">
        <v>162</v>
      </c>
      <c r="G15" s="12" t="s">
        <v>227</v>
      </c>
      <c r="H15" s="12" t="s">
        <v>22</v>
      </c>
    </row>
    <row r="16" hidden="0" outlineLevel="0" collapsed="0">
      <c r="A16" s="14" t="s">
        <v>228</v>
      </c>
      <c r="B16" s="22">
        <v>0.1475</v>
      </c>
      <c r="C16" s="22">
        <v>0.144</v>
      </c>
      <c r="D16" s="12" t="s">
        <v>119</v>
      </c>
      <c r="E16" s="12" t="s">
        <v>226</v>
      </c>
      <c r="F16" s="12" t="s">
        <v>162</v>
      </c>
      <c r="G16" s="12" t="s">
        <v>227</v>
      </c>
      <c r="H16" s="12" t="s">
        <v>22</v>
      </c>
    </row>
    <row r="17" hidden="0" outlineLevel="0" collapsed="0">
      <c r="A17" s="14" t="s">
        <v>169</v>
      </c>
      <c r="B17" s="21"/>
      <c r="C17" s="21">
        <v>29431.196</v>
      </c>
      <c r="D17" s="12" t="s">
        <v>56</v>
      </c>
      <c r="E17" s="12" t="s">
        <v>168</v>
      </c>
      <c r="F17" s="12" t="s">
        <v>162</v>
      </c>
      <c r="G17" s="12" t="s">
        <v>229</v>
      </c>
      <c r="H17" s="12" t="s">
        <v>22</v>
      </c>
    </row>
    <row r="18" ht="25.35" hidden="0" outlineLevel="0" collapsed="0">
      <c r="A18" s="14" t="s">
        <v>230</v>
      </c>
      <c r="B18" s="21"/>
      <c r="C18" s="21">
        <f>C17/C15</f>
        <v>240844.48445171848</v>
      </c>
      <c r="D18" s="12" t="s">
        <v>56</v>
      </c>
      <c r="E18" s="12" t="s">
        <v>168</v>
      </c>
      <c r="F18" s="12" t="s">
        <v>231</v>
      </c>
      <c r="G18" s="12" t="s">
        <v>232</v>
      </c>
      <c r="H18" s="12" t="s">
        <v>233</v>
      </c>
    </row>
    <row r="19" ht="23.85" hidden="0" outlineLevel="0" collapsed="0">
      <c r="A19" s="14" t="s">
        <v>234</v>
      </c>
      <c r="B19" s="23">
        <v>944.622991347342</v>
      </c>
      <c r="C19" s="23">
        <v>944.622991347342</v>
      </c>
      <c r="D19" s="12" t="s">
        <v>235</v>
      </c>
      <c r="E19" s="12" t="s">
        <v>183</v>
      </c>
      <c r="F19" s="12" t="s">
        <v>236</v>
      </c>
      <c r="G19" s="12" t="s">
        <v>237</v>
      </c>
      <c r="H19" s="12" t="s">
        <v>143</v>
      </c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2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6" style="1" customWidth="1"/>
    <col min="2" max="5" width="14" style="1" customWidth="1"/>
    <col min="6" max="6" width="62" style="1" customWidth="1"/>
    <col min="7" max="8" width="15" style="1" customWidth="1"/>
  </cols>
  <sheetData>
    <row r="1" ht="28" hidden="0" outlineLevel="0" collapsed="0">
      <c r="A1" s="2" t="s">
        <v>238</v>
      </c>
      <c r="B1" s="2" t="s">
        <v>238</v>
      </c>
      <c r="C1" s="2" t="s">
        <v>238</v>
      </c>
      <c r="D1" s="2" t="s">
        <v>238</v>
      </c>
      <c r="E1" s="2" t="s">
        <v>238</v>
      </c>
      <c r="F1" s="2" t="s">
        <v>238</v>
      </c>
    </row>
    <row r="2" ht="32" hidden="0" outlineLevel="0" collapsed="0">
      <c r="A2" s="3" t="s">
        <v>239</v>
      </c>
      <c r="B2" s="3" t="s">
        <v>239</v>
      </c>
      <c r="C2" s="3" t="s">
        <v>239</v>
      </c>
      <c r="D2" s="3" t="s">
        <v>239</v>
      </c>
      <c r="E2" s="3" t="s">
        <v>239</v>
      </c>
      <c r="F2" s="3" t="s">
        <v>239</v>
      </c>
    </row>
    <row r="3" hidden="0" outlineLevel="0" collapsed="0">
      <c r="A3" s="4" t="s">
        <v>240</v>
      </c>
      <c r="B3" s="24">
        <v>1</v>
      </c>
      <c r="C3" s="4"/>
      <c r="D3" s="4"/>
      <c r="E3" s="25" t="str">
        <f>CHOOSE(B3,"Base","Bull","Bear")</f>
        <v>Base</v>
      </c>
      <c r="F3" s="4" t="s">
        <v>241</v>
      </c>
    </row>
    <row r="4" hidden="0" outlineLevel="0" collapsed="0">
      <c r="A4" s="4"/>
      <c r="B4" s="4"/>
      <c r="C4" s="4"/>
      <c r="D4" s="4"/>
      <c r="E4" s="4"/>
      <c r="F4" s="4"/>
    </row>
    <row r="5" hidden="0" outlineLevel="0" collapsed="0">
      <c r="A5" s="5" t="s">
        <v>39</v>
      </c>
      <c r="B5" s="5" t="s">
        <v>242</v>
      </c>
      <c r="C5" s="5" t="s">
        <v>243</v>
      </c>
      <c r="D5" s="5" t="s">
        <v>244</v>
      </c>
      <c r="E5" s="5" t="s">
        <v>245</v>
      </c>
      <c r="F5" s="5" t="s">
        <v>246</v>
      </c>
    </row>
    <row r="6" hidden="0" outlineLevel="0" collapsed="0">
      <c r="A6" s="6" t="s">
        <v>247</v>
      </c>
      <c r="B6" s="26">
        <v>0.06</v>
      </c>
      <c r="C6" s="26">
        <v>0.08</v>
      </c>
      <c r="D6" s="26">
        <v>0.03</v>
      </c>
      <c r="E6" s="27">
        <f>CHOOSE($B$3,B6,C6,D6)</f>
        <v>0.06</v>
      </c>
      <c r="F6" s="6" t="s">
        <v>248</v>
      </c>
    </row>
    <row r="7" hidden="0" outlineLevel="0" collapsed="0">
      <c r="A7" s="6" t="s">
        <v>249</v>
      </c>
      <c r="B7" s="26">
        <v>0.07</v>
      </c>
      <c r="C7" s="26">
        <v>0.09</v>
      </c>
      <c r="D7" s="26">
        <v>0.04</v>
      </c>
      <c r="E7" s="27">
        <f>CHOOSE($B$3,B7,C7,D7)</f>
        <v>0.07</v>
      </c>
      <c r="F7" s="6" t="s">
        <v>250</v>
      </c>
    </row>
    <row r="8" hidden="0" outlineLevel="0" collapsed="0">
      <c r="A8" s="6" t="s">
        <v>251</v>
      </c>
      <c r="B8" s="26">
        <v>0.062</v>
      </c>
      <c r="C8" s="26">
        <v>0.065</v>
      </c>
      <c r="D8" s="26">
        <v>0.057</v>
      </c>
      <c r="E8" s="27">
        <f>CHOOSE($B$3,B8,C8,D8)</f>
        <v>0.062</v>
      </c>
      <c r="F8" s="6" t="s">
        <v>252</v>
      </c>
    </row>
    <row r="9" hidden="0" outlineLevel="0" collapsed="0">
      <c r="A9" s="6" t="s">
        <v>132</v>
      </c>
      <c r="B9" s="26">
        <v>0.017</v>
      </c>
      <c r="C9" s="26">
        <v>0.013</v>
      </c>
      <c r="D9" s="26">
        <v>0.024</v>
      </c>
      <c r="E9" s="27">
        <f>CHOOSE($B$3,B9,C9,D9)</f>
        <v>0.017</v>
      </c>
      <c r="F9" s="6" t="s">
        <v>253</v>
      </c>
    </row>
    <row r="10" hidden="0" outlineLevel="0" collapsed="0">
      <c r="A10" s="6" t="s">
        <v>254</v>
      </c>
      <c r="B10" s="26">
        <v>0.027</v>
      </c>
      <c r="C10" s="26">
        <v>0.029</v>
      </c>
      <c r="D10" s="26">
        <v>0.024</v>
      </c>
      <c r="E10" s="27">
        <f>CHOOSE($B$3,B10,C10,D10)</f>
        <v>0.027</v>
      </c>
      <c r="F10" s="6" t="s">
        <v>255</v>
      </c>
    </row>
    <row r="11" hidden="0" outlineLevel="0" collapsed="0">
      <c r="A11" s="6" t="s">
        <v>256</v>
      </c>
      <c r="B11" s="26">
        <v>0.034</v>
      </c>
      <c r="C11" s="26">
        <v>0.032</v>
      </c>
      <c r="D11" s="26">
        <v>0.037</v>
      </c>
      <c r="E11" s="27">
        <f>CHOOSE($B$3,B11,C11,D11)</f>
        <v>0.034</v>
      </c>
      <c r="F11" s="6" t="s">
        <v>257</v>
      </c>
    </row>
    <row r="12" hidden="0" outlineLevel="0" collapsed="0">
      <c r="A12" s="6" t="s">
        <v>258</v>
      </c>
      <c r="B12" s="26">
        <v>0.3</v>
      </c>
      <c r="C12" s="26">
        <v>0.29</v>
      </c>
      <c r="D12" s="26">
        <v>0.31</v>
      </c>
      <c r="E12" s="27">
        <f>CHOOSE($B$3,B12,C12,D12)</f>
        <v>0.3</v>
      </c>
      <c r="F12" s="6" t="s">
        <v>259</v>
      </c>
    </row>
    <row r="13" hidden="0" outlineLevel="0" collapsed="0">
      <c r="A13" s="6" t="s">
        <v>260</v>
      </c>
      <c r="B13" s="26">
        <v>0.5</v>
      </c>
      <c r="C13" s="26">
        <v>0.45</v>
      </c>
      <c r="D13" s="26">
        <v>0.6</v>
      </c>
      <c r="E13" s="27">
        <f>CHOOSE($B$3,B13,C13,D13)</f>
        <v>0.5</v>
      </c>
      <c r="F13" s="6" t="s">
        <v>261</v>
      </c>
    </row>
    <row r="14" hidden="0" outlineLevel="0" collapsed="0">
      <c r="A14" s="6" t="s">
        <v>262</v>
      </c>
      <c r="B14" s="26">
        <v>0.683</v>
      </c>
      <c r="C14" s="26">
        <v>0.683</v>
      </c>
      <c r="D14" s="26">
        <v>0.683</v>
      </c>
      <c r="E14" s="27">
        <f>CHOOSE($B$3,B14,C14,D14)</f>
        <v>0.683</v>
      </c>
      <c r="F14" s="6" t="s">
        <v>263</v>
      </c>
    </row>
    <row r="15" hidden="0" outlineLevel="0" collapsed="0">
      <c r="A15" s="6" t="s">
        <v>264</v>
      </c>
      <c r="B15" s="26">
        <v>0.115</v>
      </c>
      <c r="C15" s="26">
        <v>0.115</v>
      </c>
      <c r="D15" s="26">
        <v>0.115</v>
      </c>
      <c r="E15" s="27">
        <f>CHOOSE($B$3,B15,C15,D15)</f>
        <v>0.115</v>
      </c>
      <c r="F15" s="6" t="s">
        <v>265</v>
      </c>
    </row>
    <row r="16" hidden="0" outlineLevel="0" collapsed="0">
      <c r="A16" s="6" t="s">
        <v>266</v>
      </c>
      <c r="B16" s="26">
        <v>0.13</v>
      </c>
      <c r="C16" s="26">
        <v>0.12</v>
      </c>
      <c r="D16" s="26">
        <v>0.145</v>
      </c>
      <c r="E16" s="27">
        <f>CHOOSE($B$3,B16,C16,D16)</f>
        <v>0.13</v>
      </c>
      <c r="F16" s="6" t="s">
        <v>267</v>
      </c>
    </row>
    <row r="17" hidden="0" outlineLevel="0" collapsed="0">
      <c r="A17" s="6" t="s">
        <v>268</v>
      </c>
      <c r="B17" s="26">
        <v>0.05</v>
      </c>
      <c r="C17" s="26">
        <v>0.06</v>
      </c>
      <c r="D17" s="26">
        <v>0.035</v>
      </c>
      <c r="E17" s="27">
        <f>CHOOSE($B$3,B17,C17,D17)</f>
        <v>0.05</v>
      </c>
      <c r="F17" s="6" t="s">
        <v>269</v>
      </c>
    </row>
    <row r="18" hidden="0" outlineLevel="0" collapsed="0">
      <c r="A18" s="6" t="s">
        <v>270</v>
      </c>
      <c r="B18" s="28">
        <v>944.622991347342</v>
      </c>
      <c r="C18" s="28">
        <v>944.622991347342</v>
      </c>
      <c r="D18" s="28">
        <v>944.622991347342</v>
      </c>
      <c r="E18" s="29">
        <f>CHOOSE($B$3,B18,C18,D18)</f>
        <v>944.622991347342</v>
      </c>
      <c r="F18" s="6" t="s">
        <v>271</v>
      </c>
    </row>
    <row r="19" hidden="0" outlineLevel="0" collapsed="0">
      <c r="A19" s="6" t="s">
        <v>272</v>
      </c>
      <c r="B19" s="26">
        <v>0.75</v>
      </c>
      <c r="C19" s="26">
        <v>0.75</v>
      </c>
      <c r="D19" s="26">
        <v>0.75</v>
      </c>
      <c r="E19" s="27">
        <f>CHOOSE($B$3,B19,C19,D19)</f>
        <v>0.75</v>
      </c>
      <c r="F19" s="6" t="s">
        <v>273</v>
      </c>
    </row>
    <row r="20" hidden="0" outlineLevel="0" collapsed="0">
      <c r="A20" s="6" t="s">
        <v>274</v>
      </c>
      <c r="B20" s="26">
        <v>0.034</v>
      </c>
      <c r="C20" s="26">
        <v>0.03</v>
      </c>
      <c r="D20" s="26">
        <v>0.044</v>
      </c>
      <c r="E20" s="27">
        <f>CHOOSE($B$3,B20,C20,D20)</f>
        <v>0.034</v>
      </c>
      <c r="F20" s="6" t="s">
        <v>275</v>
      </c>
    </row>
    <row r="21" hidden="0" outlineLevel="0" collapsed="0">
      <c r="A21" s="6" t="s">
        <v>276</v>
      </c>
      <c r="B21" s="26">
        <v>1.35</v>
      </c>
      <c r="C21" s="26">
        <v>1.45</v>
      </c>
      <c r="D21" s="26">
        <v>1.2</v>
      </c>
      <c r="E21" s="27">
        <f>CHOOSE($B$3,B21,C21,D21)</f>
        <v>1.35</v>
      </c>
      <c r="F21" s="6" t="s">
        <v>277</v>
      </c>
    </row>
    <row r="22" hidden="0" outlineLevel="0" collapsed="0">
      <c r="A22" s="4"/>
      <c r="B22" s="4"/>
      <c r="C22" s="4"/>
      <c r="D22" s="4"/>
      <c r="E22" s="4"/>
      <c r="F22" s="4"/>
    </row>
    <row r="23" hidden="0" outlineLevel="0" collapsed="0">
      <c r="A23" s="30" t="s">
        <v>278</v>
      </c>
      <c r="B23" s="30" t="s">
        <v>278</v>
      </c>
      <c r="C23" s="30" t="s">
        <v>278</v>
      </c>
      <c r="D23" s="30" t="s">
        <v>278</v>
      </c>
      <c r="E23" s="30" t="s">
        <v>278</v>
      </c>
      <c r="F23" s="30" t="s">
        <v>278</v>
      </c>
    </row>
    <row r="24" hidden="0" outlineLevel="0" collapsed="0">
      <c r="A24" s="30" t="s">
        <v>278</v>
      </c>
      <c r="B24" s="30" t="s">
        <v>278</v>
      </c>
      <c r="C24" s="30" t="s">
        <v>278</v>
      </c>
      <c r="D24" s="30" t="s">
        <v>278</v>
      </c>
      <c r="E24" s="30" t="s">
        <v>278</v>
      </c>
      <c r="F24" s="30" t="s">
        <v>278</v>
      </c>
    </row>
    <row r="25" hidden="0" outlineLevel="0" collapsed="0">
      <c r="A25" s="4"/>
      <c r="B25" s="4"/>
      <c r="C25" s="4"/>
      <c r="D25" s="4"/>
      <c r="E25" s="4"/>
      <c r="F25" s="4"/>
    </row>
  </sheetData>
  <mergeCells count="3">
    <mergeCell ref="A1:F1"/>
    <mergeCell ref="A2:F2"/>
    <mergeCell ref="A23:F24"/>
  </mergeCells>
  <dataValidations count="1">
    <dataValidation sqref="B3" type="list">
      <formula1>"1,2,3"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7" width="14" style="1" customWidth="1"/>
    <col min="8" max="8" width="32" style="1" customWidth="1"/>
  </cols>
  <sheetData>
    <row r="1" ht="28" hidden="0" outlineLevel="0" collapsed="0">
      <c r="A1" s="2" t="s">
        <v>279</v>
      </c>
      <c r="B1" s="2" t="s">
        <v>279</v>
      </c>
      <c r="C1" s="2" t="s">
        <v>279</v>
      </c>
      <c r="D1" s="2" t="s">
        <v>279</v>
      </c>
      <c r="E1" s="2" t="s">
        <v>279</v>
      </c>
      <c r="F1" s="2" t="s">
        <v>279</v>
      </c>
      <c r="G1" s="2" t="s">
        <v>279</v>
      </c>
      <c r="H1" s="2" t="s">
        <v>279</v>
      </c>
    </row>
    <row r="2" ht="32" hidden="0" outlineLevel="0" collapsed="0">
      <c r="A2" s="3" t="s">
        <v>280</v>
      </c>
      <c r="B2" s="3" t="s">
        <v>280</v>
      </c>
      <c r="C2" s="3" t="s">
        <v>280</v>
      </c>
      <c r="D2" s="3" t="s">
        <v>280</v>
      </c>
      <c r="E2" s="3" t="s">
        <v>280</v>
      </c>
      <c r="F2" s="3" t="s">
        <v>280</v>
      </c>
      <c r="G2" s="3" t="s">
        <v>280</v>
      </c>
      <c r="H2" s="3" t="s">
        <v>280</v>
      </c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39</v>
      </c>
      <c r="B4" s="5" t="s">
        <v>194</v>
      </c>
      <c r="C4" s="5" t="s">
        <v>281</v>
      </c>
      <c r="D4" s="5" t="s">
        <v>282</v>
      </c>
      <c r="E4" s="5" t="s">
        <v>283</v>
      </c>
      <c r="F4" s="5" t="s">
        <v>284</v>
      </c>
      <c r="G4" s="5" t="s">
        <v>285</v>
      </c>
      <c r="H4" s="5" t="s">
        <v>286</v>
      </c>
    </row>
    <row r="5" hidden="0" outlineLevel="0" collapsed="0">
      <c r="A5" s="31" t="s">
        <v>72</v>
      </c>
      <c r="B5" s="32">
        <f>Sector_KPIs!B5</f>
        <v>285207.398</v>
      </c>
      <c r="C5" s="32">
        <f>Sector_KPIs!C5</f>
        <v>302319.84188</v>
      </c>
      <c r="D5" s="32">
        <f>Sector_KPIs!D5</f>
        <v>320459.0323928</v>
      </c>
      <c r="E5" s="32">
        <f>Sector_KPIs!E5</f>
        <v>339686.57433636807</v>
      </c>
      <c r="F5" s="32">
        <f>Sector_KPIs!F5</f>
        <v>360067.76879655017</v>
      </c>
      <c r="G5" s="32">
        <f>Sector_KPIs!G5</f>
        <v>381671.8349243432</v>
      </c>
      <c r="H5" s="31" t="s">
        <v>287</v>
      </c>
    </row>
    <row r="6" hidden="0" outlineLevel="0" collapsed="0">
      <c r="A6" s="6" t="s">
        <v>247</v>
      </c>
      <c r="B6" s="33">
        <f>Sector_KPIs!B6</f>
        <v>0.020588332584706565</v>
      </c>
      <c r="C6" s="33">
        <f>Sector_KPIs!C6</f>
        <v>0.06000000000000005</v>
      </c>
      <c r="D6" s="33">
        <f>Sector_KPIs!D6</f>
        <v>0.06000000000000005</v>
      </c>
      <c r="E6" s="33">
        <f>Sector_KPIs!E6</f>
        <v>0.06000000000000005</v>
      </c>
      <c r="F6" s="33">
        <f>Sector_KPIs!F6</f>
        <v>0.06000000000000005</v>
      </c>
      <c r="G6" s="33">
        <f>Sector_KPIs!G6</f>
        <v>0.06000000000000005</v>
      </c>
      <c r="H6" s="6" t="s">
        <v>288</v>
      </c>
    </row>
    <row r="7" hidden="0" outlineLevel="0" collapsed="0">
      <c r="A7" s="31" t="s">
        <v>81</v>
      </c>
      <c r="B7" s="32">
        <f>Sector_KPIs!B7</f>
        <v>291707.474</v>
      </c>
      <c r="C7" s="32">
        <f>Sector_KPIs!C7</f>
        <v>312126.99718</v>
      </c>
      <c r="D7" s="32">
        <f>Sector_KPIs!D7</f>
        <v>333975.88698260003</v>
      </c>
      <c r="E7" s="32">
        <f>Sector_KPIs!E7</f>
        <v>357354.19907138206</v>
      </c>
      <c r="F7" s="32">
        <f>Sector_KPIs!F7</f>
        <v>382368.9930063788</v>
      </c>
      <c r="G7" s="32">
        <f>Sector_KPIs!G7</f>
        <v>409134.82251682534</v>
      </c>
      <c r="H7" s="31" t="s">
        <v>289</v>
      </c>
    </row>
    <row r="8" hidden="0" outlineLevel="0" collapsed="0">
      <c r="A8" s="6" t="s">
        <v>249</v>
      </c>
      <c r="B8" s="33">
        <f>Sector_KPIs!B8</f>
        <v>0.04532394520548682</v>
      </c>
      <c r="C8" s="33">
        <f>Sector_KPIs!C8</f>
        <v>0.07000000000000006</v>
      </c>
      <c r="D8" s="33">
        <f>Sector_KPIs!D8</f>
        <v>0.07000000000000006</v>
      </c>
      <c r="E8" s="33">
        <f>Sector_KPIs!E8</f>
        <v>0.07000000000000006</v>
      </c>
      <c r="F8" s="33">
        <f>Sector_KPIs!F8</f>
        <v>0.07000000000000006</v>
      </c>
      <c r="G8" s="33">
        <f>Sector_KPIs!G8</f>
        <v>0.07000000000000006</v>
      </c>
      <c r="H8" s="6" t="s">
        <v>290</v>
      </c>
    </row>
    <row r="9" hidden="0" outlineLevel="0" collapsed="0">
      <c r="A9" s="31" t="s">
        <v>291</v>
      </c>
      <c r="B9" s="32">
        <f>Sector_KPIs!B11</f>
        <v>17568.7757168</v>
      </c>
      <c r="C9" s="32">
        <f>Sector_KPIs!C11</f>
        <v>18213.34443628</v>
      </c>
      <c r="D9" s="32">
        <f>Sector_KPIs!D11</f>
        <v>19306.1451024568</v>
      </c>
      <c r="E9" s="32">
        <f>Sector_KPIs!E11</f>
        <v>20464.51380860421</v>
      </c>
      <c r="F9" s="32">
        <f>Sector_KPIs!F11</f>
        <v>21692.384637120464</v>
      </c>
      <c r="G9" s="32">
        <f>Sector_KPIs!G11</f>
        <v>22993.927715347694</v>
      </c>
      <c r="H9" s="31" t="s">
        <v>292</v>
      </c>
    </row>
    <row r="10" hidden="0" outlineLevel="0" collapsed="0">
      <c r="A10" s="6" t="s">
        <v>293</v>
      </c>
      <c r="B10" s="34">
        <f>Sector_KPIs!B13</f>
        <v>4534.7976282</v>
      </c>
      <c r="C10" s="34">
        <f>Sector_KPIs!C13</f>
        <v>4993.981538980001</v>
      </c>
      <c r="D10" s="34">
        <f>Sector_KPIs!D13</f>
        <v>5293.620431318801</v>
      </c>
      <c r="E10" s="34">
        <f>Sector_KPIs!E13</f>
        <v>5611.237657197929</v>
      </c>
      <c r="F10" s="34">
        <f>Sector_KPIs!F13</f>
        <v>5947.911916629805</v>
      </c>
      <c r="G10" s="34">
        <f>Sector_KPIs!G13</f>
        <v>6304.786631627594</v>
      </c>
      <c r="H10" s="6" t="s">
        <v>294</v>
      </c>
    </row>
    <row r="11" hidden="0" outlineLevel="0" collapsed="0">
      <c r="A11" s="31" t="s">
        <v>295</v>
      </c>
      <c r="B11" s="32">
        <f>Sector_KPIs!B19</f>
        <v>7276.23</v>
      </c>
      <c r="C11" s="32">
        <f>Sector_KPIs!C19</f>
        <v>7309.830496841248</v>
      </c>
      <c r="D11" s="32">
        <f>Sector_KPIs!D19</f>
        <v>7743.561017823555</v>
      </c>
      <c r="E11" s="32">
        <f>Sector_KPIs!E19</f>
        <v>8203.011663263034</v>
      </c>
      <c r="F11" s="32">
        <f>Sector_KPIs!F19</f>
        <v>8689.706658952015</v>
      </c>
      <c r="G11" s="32">
        <f>Sector_KPIs!G19</f>
        <v>9205.260497875655</v>
      </c>
      <c r="H11" s="31" t="s">
        <v>296</v>
      </c>
    </row>
    <row r="12" hidden="0" outlineLevel="0" collapsed="0">
      <c r="A12" s="31" t="s">
        <v>297</v>
      </c>
      <c r="B12" s="36">
        <f>Sector_KPIs!B29</f>
        <v>0</v>
      </c>
      <c r="C12" s="36">
        <f>Sector_KPIs!C29</f>
        <v>0.16272924140599315</v>
      </c>
      <c r="D12" s="36">
        <f>Sector_KPIs!D29</f>
        <v>0.15905908541666489</v>
      </c>
      <c r="E12" s="36">
        <f>Sector_KPIs!E29</f>
        <v>0.1557429561426697</v>
      </c>
      <c r="F12" s="36">
        <f>Sector_KPIs!F29</f>
        <v>0.15273671012970905</v>
      </c>
      <c r="G12" s="36">
        <f>Sector_KPIs!G29</f>
        <v>0.1500031489412398</v>
      </c>
      <c r="H12" s="31" t="s">
        <v>298</v>
      </c>
    </row>
    <row r="13" hidden="0" outlineLevel="0" collapsed="0">
      <c r="A13" s="31" t="s">
        <v>299</v>
      </c>
      <c r="B13" s="32">
        <f>Sector_KPIs!B25</f>
        <v>0</v>
      </c>
      <c r="C13" s="32">
        <f>Sector_KPIs!C25</f>
        <v>3654.915248420624</v>
      </c>
      <c r="D13" s="32">
        <f>Sector_KPIs!D25</f>
        <v>3871.7805089117774</v>
      </c>
      <c r="E13" s="32">
        <f>Sector_KPIs!E25</f>
        <v>4101.505831631517</v>
      </c>
      <c r="F13" s="32">
        <f>Sector_KPIs!F25</f>
        <v>4344.853329476007</v>
      </c>
      <c r="G13" s="32">
        <f>Sector_KPIs!G25</f>
        <v>4602.630248937828</v>
      </c>
      <c r="H13" s="31" t="s">
        <v>300</v>
      </c>
    </row>
    <row r="14" hidden="0" outlineLevel="0" collapsed="0">
      <c r="A14" s="31" t="s">
        <v>301</v>
      </c>
      <c r="B14" s="32">
        <f>Sector_KPIs!B26</f>
        <v>43092.745</v>
      </c>
      <c r="C14" s="32">
        <f>Sector_KPIs!C26</f>
        <v>46747.66024842063</v>
      </c>
      <c r="D14" s="32">
        <f>Sector_KPIs!D26</f>
        <v>50619.44075733241</v>
      </c>
      <c r="E14" s="32">
        <f>Sector_KPIs!E26</f>
        <v>54720.94658896393</v>
      </c>
      <c r="F14" s="32">
        <f>Sector_KPIs!F26</f>
        <v>59065.799918439945</v>
      </c>
      <c r="G14" s="32">
        <f>Sector_KPIs!G26</f>
        <v>63668.430167377766</v>
      </c>
      <c r="H14" s="31" t="s">
        <v>302</v>
      </c>
    </row>
    <row r="15" hidden="0" outlineLevel="0" collapsed="0">
      <c r="A15" s="31" t="s">
        <v>303</v>
      </c>
      <c r="B15" s="36">
        <f>Sector_KPIs!B28</f>
        <v>0.1222</v>
      </c>
      <c r="C15" s="36">
        <f>Sector_KPIs!C28</f>
        <v>0.12506564072833978</v>
      </c>
      <c r="D15" s="36">
        <f>Sector_KPIs!D28</f>
        <v>0.1277584431445119</v>
      </c>
      <c r="E15" s="36">
        <f>Sector_KPIs!E28</f>
        <v>0.1302926761131256</v>
      </c>
      <c r="F15" s="36">
        <f>Sector_KPIs!F28</f>
        <v>0.13267730076642642</v>
      </c>
      <c r="G15" s="36">
        <f>Sector_KPIs!G28</f>
        <v>0.13492077096856853</v>
      </c>
      <c r="H15" s="31" t="s">
        <v>304</v>
      </c>
    </row>
    <row r="16" hidden="0" outlineLevel="0" collapsed="0">
      <c r="A16" s="6" t="s">
        <v>305</v>
      </c>
      <c r="B16" s="33">
        <f>Sector_KPIs!B30</f>
        <v>0.0357</v>
      </c>
      <c r="C16" s="33">
        <f>Sector_KPIs!C30</f>
        <v>0.034</v>
      </c>
      <c r="D16" s="33">
        <f>Sector_KPIs!D30</f>
        <v>0.034</v>
      </c>
      <c r="E16" s="33">
        <f>Sector_KPIs!E30</f>
        <v>0.034</v>
      </c>
      <c r="F16" s="33">
        <f>Sector_KPIs!F30</f>
        <v>0.034</v>
      </c>
      <c r="G16" s="33">
        <f>Sector_KPIs!G30</f>
        <v>0.034</v>
      </c>
      <c r="H16" s="6" t="s">
        <v>306</v>
      </c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4"/>
      <c r="B18" s="4"/>
      <c r="C18" s="4"/>
      <c r="D18" s="4"/>
      <c r="E18" s="4"/>
      <c r="F18" s="4"/>
      <c r="G18" s="4"/>
      <c r="H18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3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6" width="14" style="1" customWidth="1"/>
    <col min="7" max="7" width="19" style="1" customWidth="1"/>
    <col min="8" max="8" width="15" style="1" customWidth="1"/>
  </cols>
  <sheetData>
    <row r="1" ht="28" hidden="0" outlineLevel="0" collapsed="0">
      <c r="A1" s="2" t="s">
        <v>307</v>
      </c>
      <c r="B1" s="2" t="s">
        <v>307</v>
      </c>
      <c r="C1" s="2" t="s">
        <v>307</v>
      </c>
      <c r="D1" s="2" t="s">
        <v>307</v>
      </c>
      <c r="E1" s="2" t="s">
        <v>307</v>
      </c>
      <c r="F1" s="2" t="s">
        <v>307</v>
      </c>
      <c r="G1" s="2" t="s">
        <v>307</v>
      </c>
    </row>
    <row r="2" ht="32" hidden="0" outlineLevel="0" collapsed="0">
      <c r="A2" s="3" t="s">
        <v>308</v>
      </c>
      <c r="B2" s="3" t="s">
        <v>308</v>
      </c>
      <c r="C2" s="3" t="s">
        <v>308</v>
      </c>
      <c r="D2" s="3" t="s">
        <v>308</v>
      </c>
      <c r="E2" s="3" t="s">
        <v>308</v>
      </c>
      <c r="F2" s="3" t="s">
        <v>308</v>
      </c>
      <c r="G2" s="3" t="s">
        <v>308</v>
      </c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309</v>
      </c>
      <c r="B4" s="5" t="s">
        <v>281</v>
      </c>
      <c r="C4" s="5" t="s">
        <v>282</v>
      </c>
      <c r="D4" s="5" t="s">
        <v>283</v>
      </c>
      <c r="E4" s="5" t="s">
        <v>284</v>
      </c>
      <c r="F4" s="5" t="s">
        <v>285</v>
      </c>
      <c r="G4" s="5" t="s">
        <v>310</v>
      </c>
    </row>
    <row r="5" hidden="0" outlineLevel="0" collapsed="0">
      <c r="A5" s="6" t="s">
        <v>311</v>
      </c>
      <c r="B5" s="34">
        <f>Historical!C8</f>
        <v>43092.745</v>
      </c>
      <c r="C5" s="34">
        <f>Sector_KPIs!C26</f>
        <v>46747.66024842063</v>
      </c>
      <c r="D5" s="34">
        <f>Sector_KPIs!D26</f>
        <v>50619.44075733241</v>
      </c>
      <c r="E5" s="34">
        <f>Sector_KPIs!E26</f>
        <v>54720.94658896393</v>
      </c>
      <c r="F5" s="34">
        <f>Sector_KPIs!F26</f>
        <v>59065.799918439945</v>
      </c>
      <c r="G5" s="4"/>
    </row>
    <row r="6" hidden="0" outlineLevel="0" collapsed="0">
      <c r="A6" s="6" t="s">
        <v>295</v>
      </c>
      <c r="B6" s="34">
        <f>Sector_KPIs!C19</f>
        <v>7309.830496841248</v>
      </c>
      <c r="C6" s="34">
        <f>Sector_KPIs!D19</f>
        <v>7743.561017823555</v>
      </c>
      <c r="D6" s="34">
        <f>Sector_KPIs!E19</f>
        <v>8203.011663263034</v>
      </c>
      <c r="E6" s="34">
        <f>Sector_KPIs!F19</f>
        <v>8689.706658952015</v>
      </c>
      <c r="F6" s="34">
        <f>Sector_KPIs!G19</f>
        <v>9205.260497875655</v>
      </c>
      <c r="G6" s="4"/>
    </row>
    <row r="7" hidden="0" outlineLevel="0" collapsed="0">
      <c r="A7" s="6" t="s">
        <v>297</v>
      </c>
      <c r="B7" s="33">
        <f>B6/B5</f>
        <v>0.16963018941683217</v>
      </c>
      <c r="C7" s="33">
        <f>C6/C5</f>
        <v>0.16564595910626717</v>
      </c>
      <c r="D7" s="33">
        <f>D6/D5</f>
        <v>0.1620525936386367</v>
      </c>
      <c r="E7" s="33">
        <f>E6/E5</f>
        <v>0.1588003717155095</v>
      </c>
      <c r="F7" s="33">
        <f>F6/F5</f>
        <v>0.15584755494019534</v>
      </c>
      <c r="G7" s="4"/>
    </row>
    <row r="8" hidden="0" outlineLevel="0" collapsed="0">
      <c r="A8" s="6" t="s">
        <v>266</v>
      </c>
      <c r="B8" s="33">
        <f>Assumptions!$E$16</f>
        <v>0.13</v>
      </c>
      <c r="C8" s="33">
        <f>Assumptions!$E$16</f>
        <v>0.13</v>
      </c>
      <c r="D8" s="33">
        <f>Assumptions!$E$16</f>
        <v>0.13</v>
      </c>
      <c r="E8" s="33">
        <f>Assumptions!$E$16</f>
        <v>0.13</v>
      </c>
      <c r="F8" s="33">
        <f>Assumptions!$E$16</f>
        <v>0.13</v>
      </c>
      <c r="G8" s="4"/>
    </row>
    <row r="9" hidden="0" outlineLevel="0" collapsed="0">
      <c r="A9" s="6" t="s">
        <v>312</v>
      </c>
      <c r="B9" s="34">
        <f>B5*B8</f>
        <v>5602.056850000001</v>
      </c>
      <c r="C9" s="34">
        <f>C5*C8</f>
        <v>6077.195832294682</v>
      </c>
      <c r="D9" s="34">
        <f>D5*D8</f>
        <v>6580.527298453214</v>
      </c>
      <c r="E9" s="34">
        <f>E5*E8</f>
        <v>7113.723056565312</v>
      </c>
      <c r="F9" s="34">
        <f>F5*F8</f>
        <v>7678.553989397193</v>
      </c>
      <c r="G9" s="4"/>
    </row>
    <row r="10" hidden="0" outlineLevel="0" collapsed="0">
      <c r="A10" s="6" t="s">
        <v>309</v>
      </c>
      <c r="B10" s="34">
        <f>B6-B9</f>
        <v>1707.7736468412468</v>
      </c>
      <c r="C10" s="34">
        <f>C6-C9</f>
        <v>1666.3651855288726</v>
      </c>
      <c r="D10" s="34">
        <f>D6-D9</f>
        <v>1622.4843648098204</v>
      </c>
      <c r="E10" s="34">
        <f>E6-E9</f>
        <v>1575.9836023867028</v>
      </c>
      <c r="F10" s="34">
        <f>F6-F9</f>
        <v>1526.7065084784626</v>
      </c>
      <c r="G10" s="4"/>
    </row>
    <row r="11" hidden="0" outlineLevel="0" collapsed="0">
      <c r="A11" s="6" t="s">
        <v>313</v>
      </c>
      <c r="B11" s="37">
        <f>1/(1+B8)^1</f>
        <v>0.8849557522123894</v>
      </c>
      <c r="C11" s="37">
        <f>1/(1+C8)^2</f>
        <v>0.7831466833737961</v>
      </c>
      <c r="D11" s="37">
        <f>1/(1+D8)^3</f>
        <v>0.6930501622776957</v>
      </c>
      <c r="E11" s="37">
        <f>1/(1+E8)^4</f>
        <v>0.6133187276793768</v>
      </c>
      <c r="F11" s="37">
        <f>1/(1+F8)^5</f>
        <v>0.5427599359994485</v>
      </c>
      <c r="G11" s="4"/>
    </row>
    <row r="12" hidden="0" outlineLevel="0" collapsed="0">
      <c r="A12" s="6" t="s">
        <v>314</v>
      </c>
      <c r="B12" s="34">
        <f>B10*B11</f>
        <v>1511.304112248891</v>
      </c>
      <c r="C12" s="34">
        <f>C10*C11</f>
        <v>1305.0083683364971</v>
      </c>
      <c r="D12" s="34">
        <f>D10*D11</f>
        <v>1124.46305232447</v>
      </c>
      <c r="E12" s="34">
        <f>E10*E11</f>
        <v>966.5802578593734</v>
      </c>
      <c r="F12" s="34">
        <f>F10*F11</f>
        <v>828.6351268317119</v>
      </c>
      <c r="G12" s="4"/>
    </row>
    <row r="13" hidden="0" outlineLevel="0" collapsed="0">
      <c r="A13" s="4"/>
      <c r="B13" s="4"/>
      <c r="C13" s="4"/>
      <c r="D13" s="4"/>
      <c r="E13" s="4"/>
      <c r="F13" s="4"/>
      <c r="G13" s="4"/>
    </row>
    <row r="14" hidden="0" outlineLevel="0" collapsed="0">
      <c r="A14" s="5" t="s">
        <v>315</v>
      </c>
      <c r="B14" s="5"/>
      <c r="C14" s="5"/>
      <c r="D14" s="5"/>
      <c r="E14" s="5"/>
      <c r="F14" s="5"/>
      <c r="G14" s="4"/>
    </row>
    <row r="15" hidden="0" outlineLevel="0" collapsed="0">
      <c r="A15" s="4" t="s">
        <v>268</v>
      </c>
      <c r="B15" s="4"/>
      <c r="C15" s="4"/>
      <c r="D15" s="4"/>
      <c r="E15" s="4"/>
      <c r="F15" s="38">
        <f>Assumptions!E17</f>
        <v>0.05</v>
      </c>
      <c r="G15" s="4"/>
    </row>
    <row r="16" hidden="0" outlineLevel="0" collapsed="0">
      <c r="A16" s="4" t="s">
        <v>316</v>
      </c>
      <c r="B16" s="4"/>
      <c r="C16" s="4"/>
      <c r="D16" s="4"/>
      <c r="E16" s="4"/>
      <c r="F16" s="40">
        <f>F10*(1+F15)</f>
        <v>1603.0418339023859</v>
      </c>
      <c r="G16" s="4"/>
    </row>
    <row r="17" hidden="0" outlineLevel="0" collapsed="0">
      <c r="A17" s="4" t="s">
        <v>317</v>
      </c>
      <c r="B17" s="4"/>
      <c r="C17" s="4"/>
      <c r="D17" s="4"/>
      <c r="E17" s="40">
        <f>F16/(F8-F15)</f>
        <v>20038.022923779823</v>
      </c>
      <c r="F17" s="40">
        <f>E17*F11</f>
        <v>10875.83603966622</v>
      </c>
      <c r="G17" s="4"/>
    </row>
    <row r="18" hidden="0" outlineLevel="0" collapsed="0">
      <c r="A18" s="4"/>
      <c r="B18" s="4"/>
      <c r="C18" s="4"/>
      <c r="D18" s="4"/>
      <c r="E18" s="4"/>
      <c r="F18" s="4"/>
      <c r="G18" s="4"/>
    </row>
    <row r="19" hidden="0" outlineLevel="0" collapsed="0">
      <c r="A19" s="5" t="s">
        <v>318</v>
      </c>
      <c r="B19" s="5"/>
      <c r="C19" s="5"/>
      <c r="D19" s="5"/>
      <c r="E19" s="5"/>
      <c r="F19" s="5"/>
      <c r="G19" s="5" t="s">
        <v>3</v>
      </c>
    </row>
    <row r="20" hidden="0" outlineLevel="0" collapsed="0">
      <c r="A20" s="6" t="s">
        <v>319</v>
      </c>
      <c r="B20" s="6"/>
      <c r="C20" s="6"/>
      <c r="D20" s="6"/>
      <c r="E20" s="6"/>
      <c r="F20" s="6"/>
      <c r="G20" s="41">
        <f>Historical!C8</f>
        <v>43092.745</v>
      </c>
    </row>
    <row r="21" hidden="0" outlineLevel="0" collapsed="0">
      <c r="A21" s="6" t="s">
        <v>320</v>
      </c>
      <c r="B21" s="6"/>
      <c r="C21" s="6"/>
      <c r="D21" s="6"/>
      <c r="E21" s="6"/>
      <c r="F21" s="6"/>
      <c r="G21" s="41">
        <f>SUM(B12:F12)</f>
        <v>5735.990917600943</v>
      </c>
    </row>
    <row r="22" hidden="0" outlineLevel="0" collapsed="0">
      <c r="A22" s="6" t="s">
        <v>321</v>
      </c>
      <c r="B22" s="6"/>
      <c r="C22" s="6"/>
      <c r="D22" s="6"/>
      <c r="E22" s="6"/>
      <c r="F22" s="6"/>
      <c r="G22" s="41">
        <f>F17</f>
        <v>10875.83603966622</v>
      </c>
    </row>
    <row r="23" hidden="0" outlineLevel="0" collapsed="0">
      <c r="A23" s="42" t="s">
        <v>322</v>
      </c>
      <c r="B23" s="42"/>
      <c r="C23" s="42"/>
      <c r="D23" s="42"/>
      <c r="E23" s="42"/>
      <c r="F23" s="42"/>
      <c r="G23" s="43">
        <f>SUM(G20:G22)</f>
        <v>59704.571957267166</v>
      </c>
    </row>
    <row r="24" hidden="0" outlineLevel="0" collapsed="0">
      <c r="A24" s="44" t="s">
        <v>323</v>
      </c>
      <c r="B24" s="44"/>
      <c r="C24" s="44"/>
      <c r="D24" s="44"/>
      <c r="E24" s="44"/>
      <c r="F24" s="44"/>
      <c r="G24" s="45">
        <f>Assumptions!E18</f>
        <v>944.622991347342</v>
      </c>
    </row>
    <row r="25" hidden="0" outlineLevel="0" collapsed="0">
      <c r="A25" s="46" t="s">
        <v>324</v>
      </c>
      <c r="B25" s="46"/>
      <c r="C25" s="46"/>
      <c r="D25" s="46"/>
      <c r="E25" s="46"/>
      <c r="F25" s="46"/>
      <c r="G25" s="47">
        <f>G23*1000/G24</f>
        <v>63204.65678281753</v>
      </c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5" t="s">
        <v>325</v>
      </c>
      <c r="B27" s="5" t="s">
        <v>281</v>
      </c>
      <c r="C27" s="5" t="s">
        <v>282</v>
      </c>
      <c r="D27" s="5" t="s">
        <v>283</v>
      </c>
      <c r="E27" s="5" t="s">
        <v>284</v>
      </c>
      <c r="F27" s="5" t="s">
        <v>285</v>
      </c>
      <c r="G27" s="5" t="s">
        <v>3</v>
      </c>
    </row>
    <row r="28" hidden="0" outlineLevel="0" collapsed="0">
      <c r="A28" s="6" t="s">
        <v>299</v>
      </c>
      <c r="B28" s="41">
        <f>Sector_KPIs!C25</f>
        <v>3654.915248420624</v>
      </c>
      <c r="C28" s="41">
        <f>Sector_KPIs!D25</f>
        <v>3871.7805089117774</v>
      </c>
      <c r="D28" s="41">
        <f>Sector_KPIs!E25</f>
        <v>4101.505831631517</v>
      </c>
      <c r="E28" s="41">
        <f>Sector_KPIs!F25</f>
        <v>4344.853329476007</v>
      </c>
      <c r="F28" s="41">
        <f>Sector_KPIs!G25</f>
        <v>4602.630248937828</v>
      </c>
      <c r="G28" s="41"/>
    </row>
    <row r="29" hidden="0" outlineLevel="0" collapsed="0">
      <c r="A29" s="6" t="s">
        <v>326</v>
      </c>
      <c r="B29" s="41">
        <f>B28*B11</f>
        <v>3234.438272938605</v>
      </c>
      <c r="C29" s="41">
        <f>C28*C11</f>
        <v>3032.172064305567</v>
      </c>
      <c r="D29" s="41">
        <f>D28*D11</f>
        <v>2842.549282195138</v>
      </c>
      <c r="E29" s="41">
        <f>E28*E11</f>
        <v>2664.779915987729</v>
      </c>
      <c r="F29" s="41">
        <f>F28*F11</f>
        <v>2498.123299342621</v>
      </c>
      <c r="G29" s="41"/>
    </row>
    <row r="30" hidden="0" outlineLevel="0" collapsed="0">
      <c r="A30" s="6" t="s">
        <v>327</v>
      </c>
      <c r="B30" s="41"/>
      <c r="C30" s="41"/>
      <c r="D30" s="41"/>
      <c r="E30" s="41"/>
      <c r="F30" s="41">
        <f>F28*(1+Assumptions!E17)/(Assumptions!E16-Assumptions!E17)</f>
        <v>60409.52201730899</v>
      </c>
      <c r="G30" s="41"/>
    </row>
    <row r="31" hidden="0" outlineLevel="0" collapsed="0">
      <c r="A31" s="31" t="s">
        <v>328</v>
      </c>
      <c r="B31" s="32"/>
      <c r="C31" s="32"/>
      <c r="D31" s="32"/>
      <c r="E31" s="32"/>
      <c r="F31" s="32"/>
      <c r="G31" s="32">
        <f>SUM(B29:F29)+F30*F11</f>
        <v>47059.931138641565</v>
      </c>
    </row>
    <row r="32" hidden="0" outlineLevel="0" collapsed="0">
      <c r="A32" s="4"/>
      <c r="B32" s="4"/>
      <c r="C32" s="4"/>
      <c r="D32" s="4"/>
      <c r="E32" s="4"/>
      <c r="F32" s="4"/>
      <c r="G32" s="4"/>
    </row>
    <row r="33" hidden="0" outlineLevel="0" collapsed="0">
      <c r="A33" s="4"/>
      <c r="B33" s="4"/>
      <c r="C33" s="4"/>
      <c r="D33" s="4"/>
      <c r="E33" s="4"/>
      <c r="F33" s="4"/>
      <c r="G33" s="4"/>
    </row>
    <row r="34" hidden="0" outlineLevel="0" collapsed="0">
      <c r="A34" s="4"/>
      <c r="B34" s="4"/>
      <c r="C34" s="4"/>
      <c r="D34" s="4"/>
      <c r="E34" s="4"/>
      <c r="F34" s="4"/>
      <c r="G34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6" width="16" style="1" customWidth="1"/>
    <col min="7" max="8" width="15" style="1" customWidth="1"/>
  </cols>
  <sheetData>
    <row r="1" ht="28" hidden="0" outlineLevel="0" collapsed="0">
      <c r="A1" s="2" t="s">
        <v>329</v>
      </c>
      <c r="B1" s="2" t="s">
        <v>329</v>
      </c>
      <c r="C1" s="2" t="s">
        <v>329</v>
      </c>
      <c r="D1" s="2" t="s">
        <v>329</v>
      </c>
      <c r="E1" s="2" t="s">
        <v>329</v>
      </c>
      <c r="F1" s="2" t="s">
        <v>329</v>
      </c>
    </row>
    <row r="2" ht="32" hidden="0" outlineLevel="0" collapsed="0">
      <c r="A2" s="3" t="s">
        <v>330</v>
      </c>
      <c r="B2" s="3" t="s">
        <v>330</v>
      </c>
      <c r="C2" s="3" t="s">
        <v>330</v>
      </c>
      <c r="D2" s="3" t="s">
        <v>330</v>
      </c>
      <c r="E2" s="3" t="s">
        <v>330</v>
      </c>
      <c r="F2" s="3" t="s">
        <v>330</v>
      </c>
    </row>
    <row r="3" hidden="0" outlineLevel="0" collapsed="0">
      <c r="A3" s="4"/>
      <c r="B3" s="4"/>
      <c r="C3" s="4"/>
      <c r="D3" s="4"/>
      <c r="E3" s="4"/>
      <c r="F3" s="4"/>
    </row>
    <row r="4" hidden="0" outlineLevel="0" collapsed="0">
      <c r="A4" s="5" t="s">
        <v>331</v>
      </c>
      <c r="B4" s="48">
        <v>0.11</v>
      </c>
      <c r="C4" s="48">
        <v>0.12</v>
      </c>
      <c r="D4" s="48">
        <v>0.13</v>
      </c>
      <c r="E4" s="48">
        <v>0.14</v>
      </c>
      <c r="F4" s="48">
        <v>0.15</v>
      </c>
    </row>
    <row r="5" hidden="0" outlineLevel="0" collapsed="0">
      <c r="A5" s="49">
        <v>0.03</v>
      </c>
      <c r="B5" s="41">
        <f>IF(B$4&lt;=$A5,"N/M",Historical!C8+((Sector_KPIs!C19-Historical!C8*B$4)/(1+B$4)^1)+((Sector_KPIs!D19-Sector_KPIs!C26*B$4)/(1+B$4)^2)+((Sector_KPIs!E19-Sector_KPIs!D26*B$4)/(1+B$4)^3)+((Sector_KPIs!F19-Sector_KPIs!E26*B$4)/(1+B$4)^4)+((Sector_KPIs!G19-Sector_KPIs!F26*B$4)/(1+B$4)^5)+(((Sector_KPIs!G19-Sector_KPIs!F26*B$4)*(1+$A5)/(B$4-$A5))/(1+B$4)^5))</f>
        <v>73502.91625653951</v>
      </c>
      <c r="C5" s="41">
        <f>IF(C$4&lt;=$A5,"N/M",Historical!C8+((Sector_KPIs!C19-Historical!C8*C$4)/(1+C$4)^1)+((Sector_KPIs!D19-Sector_KPIs!C26*C$4)/(1+C$4)^2)+((Sector_KPIs!E19-Sector_KPIs!D26*C$4)/(1+C$4)^3)+((Sector_KPIs!F19-Sector_KPIs!E26*C$4)/(1+C$4)^4)+((Sector_KPIs!G19-Sector_KPIs!F26*C$4)/(1+C$4)^5)+(((Sector_KPIs!G19-Sector_KPIs!F26*C$4)*(1+$A5)/(C$4-$A5))/(1+C$4)^5))</f>
        <v>64519.235611578595</v>
      </c>
      <c r="D5" s="41">
        <f>IF(D$4&lt;=$A5,"N/M",Historical!C8+((Sector_KPIs!C19-Historical!C8*D$4)/(1+D$4)^1)+((Sector_KPIs!D19-Sector_KPIs!C26*D$4)/(1+D$4)^2)+((Sector_KPIs!E19-Sector_KPIs!D26*D$4)/(1+D$4)^3)+((Sector_KPIs!F19-Sector_KPIs!E26*D$4)/(1+D$4)^4)+((Sector_KPIs!G19-Sector_KPIs!F26*D$4)/(1+D$4)^5)+(((Sector_KPIs!G19-Sector_KPIs!F26*D$4)*(1+$A5)/(D$4-$A5))/(1+D$4)^5))</f>
        <v>57363.67772396757</v>
      </c>
      <c r="E5" s="41">
        <f>IF(E$4&lt;=$A5,"N/M",Historical!C8+((Sector_KPIs!C19-Historical!C8*E$4)/(1+E$4)^1)+((Sector_KPIs!D19-Sector_KPIs!C26*E$4)/(1+E$4)^2)+((Sector_KPIs!E19-Sector_KPIs!D26*E$4)/(1+E$4)^3)+((Sector_KPIs!F19-Sector_KPIs!E26*E$4)/(1+E$4)^4)+((Sector_KPIs!G19-Sector_KPIs!F26*E$4)/(1+E$4)^5)+(((Sector_KPIs!G19-Sector_KPIs!F26*E$4)*(1+$A5)/(E$4-$A5))/(1+E$4)^5))</f>
        <v>51536.19816872233</v>
      </c>
      <c r="F5" s="41">
        <f>IF(F$4&lt;=$A5,"N/M",Historical!C8+((Sector_KPIs!C19-Historical!C8*F$4)/(1+F$4)^1)+((Sector_KPIs!D19-Sector_KPIs!C26*F$4)/(1+F$4)^2)+((Sector_KPIs!E19-Sector_KPIs!D26*F$4)/(1+F$4)^3)+((Sector_KPIs!F19-Sector_KPIs!E26*F$4)/(1+F$4)^4)+((Sector_KPIs!G19-Sector_KPIs!F26*F$4)/(1+F$4)^5)+(((Sector_KPIs!G19-Sector_KPIs!F26*F$4)*(1+$A5)/(F$4-$A5))/(1+F$4)^5))</f>
        <v>46703.514156500925</v>
      </c>
    </row>
    <row r="6" hidden="0" outlineLevel="0" collapsed="0">
      <c r="A6" s="49">
        <v>0.04</v>
      </c>
      <c r="B6" s="41">
        <f>IF(B$4&lt;=$A6,"N/M",Historical!C8+((Sector_KPIs!C19-Historical!C8*B$4)/(1+B$4)^1)+((Sector_KPIs!D19-Sector_KPIs!C26*B$4)/(1+B$4)^2)+((Sector_KPIs!E19-Sector_KPIs!D26*B$4)/(1+B$4)^3)+((Sector_KPIs!F19-Sector_KPIs!E26*B$4)/(1+B$4)^4)+((Sector_KPIs!G19-Sector_KPIs!F26*B$4)/(1+B$4)^5)+(((Sector_KPIs!G19-Sector_KPIs!F26*B$4)*(1+$A6)/(B$4-$A6))/(1+B$4)^5))</f>
        <v>76688.37751357893</v>
      </c>
      <c r="C6" s="41">
        <f>IF(C$4&lt;=$A6,"N/M",Historical!C8+((Sector_KPIs!C19-Historical!C8*C$4)/(1+C$4)^1)+((Sector_KPIs!D19-Sector_KPIs!C26*C$4)/(1+C$4)^2)+((Sector_KPIs!E19-Sector_KPIs!D26*C$4)/(1+C$4)^3)+((Sector_KPIs!F19-Sector_KPIs!E26*C$4)/(1+C$4)^4)+((Sector_KPIs!G19-Sector_KPIs!F26*C$4)/(1+C$4)^5)+(((Sector_KPIs!G19-Sector_KPIs!F26*C$4)*(1+$A6)/(C$4-$A6))/(1+C$4)^5))</f>
        <v>66388.15703267929</v>
      </c>
      <c r="D6" s="41">
        <f>IF(D$4&lt;=$A6,"N/M",Historical!C8+((Sector_KPIs!C19-Historical!C8*D$4)/(1+D$4)^1)+((Sector_KPIs!D19-Sector_KPIs!C26*D$4)/(1+D$4)^2)+((Sector_KPIs!E19-Sector_KPIs!D26*D$4)/(1+D$4)^3)+((Sector_KPIs!F19-Sector_KPIs!E26*D$4)/(1+D$4)^4)+((Sector_KPIs!G19-Sector_KPIs!F26*D$4)/(1+D$4)^5)+(((Sector_KPIs!G19-Sector_KPIs!F26*D$4)*(1+$A6)/(D$4-$A6))/(1+D$4)^5))</f>
        <v>58404.07516098961</v>
      </c>
      <c r="E6" s="41">
        <f>IF(E$4&lt;=$A6,"N/M",Historical!C8+((Sector_KPIs!C19-Historical!C8*E$4)/(1+E$4)^1)+((Sector_KPIs!D19-Sector_KPIs!C26*E$4)/(1+E$4)^2)+((Sector_KPIs!E19-Sector_KPIs!D26*E$4)/(1+E$4)^3)+((Sector_KPIs!F19-Sector_KPIs!E26*E$4)/(1+E$4)^4)+((Sector_KPIs!G19-Sector_KPIs!F26*E$4)/(1+E$4)^5)+(((Sector_KPIs!G19-Sector_KPIs!F26*E$4)*(1+$A6)/(E$4-$A6))/(1+E$4)^5))</f>
        <v>52040.03076964486</v>
      </c>
      <c r="F6" s="41">
        <f>IF(F$4&lt;=$A6,"N/M",Historical!C8+((Sector_KPIs!C19-Historical!C8*F$4)/(1+F$4)^1)+((Sector_KPIs!D19-Sector_KPIs!C26*F$4)/(1+F$4)^2)+((Sector_KPIs!E19-Sector_KPIs!D26*F$4)/(1+F$4)^3)+((Sector_KPIs!F19-Sector_KPIs!E26*F$4)/(1+F$4)^4)+((Sector_KPIs!G19-Sector_KPIs!F26*F$4)/(1+F$4)^5)+(((Sector_KPIs!G19-Sector_KPIs!F26*F$4)*(1+$A6)/(F$4-$A6))/(1+F$4)^5))</f>
        <v>46853.11881191928</v>
      </c>
    </row>
    <row r="7" hidden="0" outlineLevel="0" collapsed="0">
      <c r="A7" s="49">
        <v>0.05</v>
      </c>
      <c r="B7" s="41">
        <f>IF(B$4&lt;=$A7,"N/M",Historical!C8+((Sector_KPIs!C19-Historical!C8*B$4)/(1+B$4)^1)+((Sector_KPIs!D19-Sector_KPIs!C26*B$4)/(1+B$4)^2)+((Sector_KPIs!E19-Sector_KPIs!D26*B$4)/(1+B$4)^3)+((Sector_KPIs!F19-Sector_KPIs!E26*B$4)/(1+B$4)^4)+((Sector_KPIs!G19-Sector_KPIs!F26*B$4)/(1+B$4)^5)+(((Sector_KPIs!G19-Sector_KPIs!F26*B$4)*(1+$A7)/(B$4-$A7))/(1+B$4)^5))</f>
        <v>80935.65918963152</v>
      </c>
      <c r="C7" s="41">
        <f>IF(C$4&lt;=$A7,"N/M",Historical!C8+((Sector_KPIs!C19-Historical!C8*C$4)/(1+C$4)^1)+((Sector_KPIs!D19-Sector_KPIs!C26*C$4)/(1+C$4)^2)+((Sector_KPIs!E19-Sector_KPIs!D26*C$4)/(1+C$4)^3)+((Sector_KPIs!F19-Sector_KPIs!E26*C$4)/(1+C$4)^4)+((Sector_KPIs!G19-Sector_KPIs!F26*C$4)/(1+C$4)^5)+(((Sector_KPIs!G19-Sector_KPIs!F26*C$4)*(1+$A7)/(C$4-$A7))/(1+C$4)^5))</f>
        <v>68791.05600266588</v>
      </c>
      <c r="D7" s="41">
        <f>IF(D$4&lt;=$A7,"N/M",Historical!C8+((Sector_KPIs!C19-Historical!C8*D$4)/(1+D$4)^1)+((Sector_KPIs!D19-Sector_KPIs!C26*D$4)/(1+D$4)^2)+((Sector_KPIs!E19-Sector_KPIs!D26*D$4)/(1+D$4)^3)+((Sector_KPIs!F19-Sector_KPIs!E26*D$4)/(1+D$4)^4)+((Sector_KPIs!G19-Sector_KPIs!F26*D$4)/(1+D$4)^5)+(((Sector_KPIs!G19-Sector_KPIs!F26*D$4)*(1+$A7)/(D$4-$A7))/(1+D$4)^5))</f>
        <v>59704.57195726716</v>
      </c>
      <c r="E7" s="41">
        <f>IF(E$4&lt;=$A7,"N/M",Historical!C8+((Sector_KPIs!C19-Historical!C8*E$4)/(1+E$4)^1)+((Sector_KPIs!D19-Sector_KPIs!C26*E$4)/(1+E$4)^2)+((Sector_KPIs!E19-Sector_KPIs!D26*E$4)/(1+E$4)^3)+((Sector_KPIs!F19-Sector_KPIs!E26*E$4)/(1+E$4)^4)+((Sector_KPIs!G19-Sector_KPIs!F26*E$4)/(1+E$4)^5)+(((Sector_KPIs!G19-Sector_KPIs!F26*E$4)*(1+$A7)/(E$4-$A7))/(1+E$4)^5))</f>
        <v>52655.826170772394</v>
      </c>
      <c r="F7" s="41">
        <f>IF(F$4&lt;=$A7,"N/M",Historical!C8+((Sector_KPIs!C19-Historical!C8*F$4)/(1+F$4)^1)+((Sector_KPIs!D19-Sector_KPIs!C26*F$4)/(1+F$4)^2)+((Sector_KPIs!E19-Sector_KPIs!D26*F$4)/(1+F$4)^3)+((Sector_KPIs!F19-Sector_KPIs!E26*F$4)/(1+F$4)^4)+((Sector_KPIs!G19-Sector_KPIs!F26*F$4)/(1+F$4)^5)+(((Sector_KPIs!G19-Sector_KPIs!F26*F$4)*(1+$A7)/(F$4-$A7))/(1+F$4)^5))</f>
        <v>47032.64439842131</v>
      </c>
    </row>
    <row r="8" hidden="0" outlineLevel="0" collapsed="0">
      <c r="A8" s="49">
        <v>0.06</v>
      </c>
      <c r="B8" s="41">
        <f>IF(B$4&lt;=$A8,"N/M",Historical!C8+((Sector_KPIs!C19-Historical!C8*B$4)/(1+B$4)^1)+((Sector_KPIs!D19-Sector_KPIs!C26*B$4)/(1+B$4)^2)+((Sector_KPIs!E19-Sector_KPIs!D26*B$4)/(1+B$4)^3)+((Sector_KPIs!F19-Sector_KPIs!E26*B$4)/(1+B$4)^4)+((Sector_KPIs!G19-Sector_KPIs!F26*B$4)/(1+B$4)^5)+(((Sector_KPIs!G19-Sector_KPIs!F26*B$4)*(1+$A8)/(B$4-$A8))/(1+B$4)^5))</f>
        <v>86881.85353610512</v>
      </c>
      <c r="C8" s="41">
        <f>IF(C$4&lt;=$A8,"N/M",Historical!C8+((Sector_KPIs!C19-Historical!C8*C$4)/(1+C$4)^1)+((Sector_KPIs!D19-Sector_KPIs!C26*C$4)/(1+C$4)^2)+((Sector_KPIs!E19-Sector_KPIs!D26*C$4)/(1+C$4)^3)+((Sector_KPIs!F19-Sector_KPIs!E26*C$4)/(1+C$4)^4)+((Sector_KPIs!G19-Sector_KPIs!F26*C$4)/(1+C$4)^5)+(((Sector_KPIs!G19-Sector_KPIs!F26*C$4)*(1+$A8)/(C$4-$A8))/(1+C$4)^5))</f>
        <v>71994.92129598133</v>
      </c>
      <c r="D8" s="41">
        <f>IF(D$4&lt;=$A8,"N/M",Historical!C8+((Sector_KPIs!C19-Historical!C8*D$4)/(1+D$4)^1)+((Sector_KPIs!D19-Sector_KPIs!C26*D$4)/(1+D$4)^2)+((Sector_KPIs!E19-Sector_KPIs!D26*D$4)/(1+D$4)^3)+((Sector_KPIs!F19-Sector_KPIs!E26*D$4)/(1+D$4)^4)+((Sector_KPIs!G19-Sector_KPIs!F26*D$4)/(1+D$4)^5)+(((Sector_KPIs!G19-Sector_KPIs!F26*D$4)*(1+$A8)/(D$4-$A8))/(1+D$4)^5))</f>
        <v>61376.63926676686</v>
      </c>
      <c r="E8" s="41">
        <f>IF(E$4&lt;=$A8,"N/M",Historical!C8+((Sector_KPIs!C19-Historical!C8*E$4)/(1+E$4)^1)+((Sector_KPIs!D19-Sector_KPIs!C26*E$4)/(1+E$4)^2)+((Sector_KPIs!E19-Sector_KPIs!D26*E$4)/(1+E$4)^3)+((Sector_KPIs!F19-Sector_KPIs!E26*E$4)/(1+E$4)^4)+((Sector_KPIs!G19-Sector_KPIs!F26*E$4)/(1+E$4)^5)+(((Sector_KPIs!G19-Sector_KPIs!F26*E$4)*(1+$A8)/(E$4-$A8))/(1+E$4)^5))</f>
        <v>53425.57042218181</v>
      </c>
      <c r="F8" s="41">
        <f>IF(F$4&lt;=$A8,"N/M",Historical!C8+((Sector_KPIs!C19-Historical!C8*F$4)/(1+F$4)^1)+((Sector_KPIs!D19-Sector_KPIs!C26*F$4)/(1+F$4)^2)+((Sector_KPIs!E19-Sector_KPIs!D26*F$4)/(1+F$4)^3)+((Sector_KPIs!F19-Sector_KPIs!E26*F$4)/(1+F$4)^4)+((Sector_KPIs!G19-Sector_KPIs!F26*F$4)/(1+F$4)^5)+(((Sector_KPIs!G19-Sector_KPIs!F26*F$4)*(1+$A8)/(F$4-$A8))/(1+F$4)^5))</f>
        <v>47252.064559701575</v>
      </c>
    </row>
    <row r="9" hidden="0" outlineLevel="0" collapsed="0">
      <c r="A9" s="49">
        <v>0.07</v>
      </c>
      <c r="B9" s="41">
        <f>IF(B$4&lt;=$A9,"N/M",Historical!C8+((Sector_KPIs!C19-Historical!C8*B$4)/(1+B$4)^1)+((Sector_KPIs!D19-Sector_KPIs!C26*B$4)/(1+B$4)^2)+((Sector_KPIs!E19-Sector_KPIs!D26*B$4)/(1+B$4)^3)+((Sector_KPIs!F19-Sector_KPIs!E26*B$4)/(1+B$4)^4)+((Sector_KPIs!G19-Sector_KPIs!F26*B$4)/(1+B$4)^5)+(((Sector_KPIs!G19-Sector_KPIs!F26*B$4)*(1+$A9)/(B$4-$A9))/(1+B$4)^5))</f>
        <v>95801.14505581553</v>
      </c>
      <c r="C9" s="41">
        <f>IF(C$4&lt;=$A9,"N/M",Historical!C8+((Sector_KPIs!C19-Historical!C8*C$4)/(1+C$4)^1)+((Sector_KPIs!D19-Sector_KPIs!C26*C$4)/(1+C$4)^2)+((Sector_KPIs!E19-Sector_KPIs!D26*C$4)/(1+C$4)^3)+((Sector_KPIs!F19-Sector_KPIs!E26*C$4)/(1+C$4)^4)+((Sector_KPIs!G19-Sector_KPIs!F26*C$4)/(1+C$4)^5)+(((Sector_KPIs!G19-Sector_KPIs!F26*C$4)*(1+$A9)/(C$4-$A9))/(1+C$4)^5))</f>
        <v>76480.33270662298</v>
      </c>
      <c r="D9" s="41">
        <f>IF(D$4&lt;=$A9,"N/M",Historical!C8+((Sector_KPIs!C19-Historical!C8*D$4)/(1+D$4)^1)+((Sector_KPIs!D19-Sector_KPIs!C26*D$4)/(1+D$4)^2)+((Sector_KPIs!E19-Sector_KPIs!D26*D$4)/(1+D$4)^3)+((Sector_KPIs!F19-Sector_KPIs!E26*D$4)/(1+D$4)^4)+((Sector_KPIs!G19-Sector_KPIs!F26*D$4)/(1+D$4)^5)+(((Sector_KPIs!G19-Sector_KPIs!F26*D$4)*(1+$A9)/(D$4-$A9))/(1+D$4)^5))</f>
        <v>63606.0623460998</v>
      </c>
      <c r="E9" s="41">
        <f>IF(E$4&lt;=$A9,"N/M",Historical!C8+((Sector_KPIs!C19-Historical!C8*E$4)/(1+E$4)^1)+((Sector_KPIs!D19-Sector_KPIs!C26*E$4)/(1+E$4)^2)+((Sector_KPIs!E19-Sector_KPIs!D26*E$4)/(1+E$4)^3)+((Sector_KPIs!F19-Sector_KPIs!E26*E$4)/(1+E$4)^4)+((Sector_KPIs!G19-Sector_KPIs!F26*E$4)/(1+E$4)^5)+(((Sector_KPIs!G19-Sector_KPIs!F26*E$4)*(1+$A9)/(E$4-$A9))/(1+E$4)^5))</f>
        <v>54415.24160256535</v>
      </c>
      <c r="F9" s="41">
        <f>IF(F$4&lt;=$A9,"N/M",Historical!C8+((Sector_KPIs!C19-Historical!C8*F$4)/(1+F$4)^1)+((Sector_KPIs!D19-Sector_KPIs!C26*F$4)/(1+F$4)^2)+((Sector_KPIs!E19-Sector_KPIs!D26*F$4)/(1+F$4)^3)+((Sector_KPIs!F19-Sector_KPIs!E26*F$4)/(1+F$4)^4)+((Sector_KPIs!G19-Sector_KPIs!F26*F$4)/(1+F$4)^5)+(((Sector_KPIs!G19-Sector_KPIs!F26*F$4)*(1+$A9)/(F$4-$A9))/(1+F$4)^5))</f>
        <v>47526.3397613019</v>
      </c>
    </row>
    <row r="10" hidden="0" outlineLevel="0" collapsed="0">
      <c r="A10" s="4"/>
      <c r="B10" s="4"/>
      <c r="C10" s="4"/>
      <c r="D10" s="4"/>
      <c r="E10" s="4"/>
      <c r="F10" s="4"/>
    </row>
    <row r="11" hidden="0" outlineLevel="0" collapsed="0">
      <c r="A11" s="5" t="s">
        <v>332</v>
      </c>
      <c r="B11" s="5" t="s">
        <v>3</v>
      </c>
      <c r="C11" s="5" t="s">
        <v>333</v>
      </c>
      <c r="D11" s="5" t="s">
        <v>334</v>
      </c>
      <c r="E11" s="5" t="s">
        <v>335</v>
      </c>
      <c r="F11" s="5" t="s">
        <v>52</v>
      </c>
    </row>
    <row r="12" hidden="0" outlineLevel="0" collapsed="0">
      <c r="A12" s="6" t="s">
        <v>336</v>
      </c>
      <c r="B12" s="41">
        <f>Historical!C8+((Sector_KPIs!C19-Historical!C8*Assumptions!E16)/(1+Assumptions!E16)^1)+((Sector_KPIs!D19-Sector_KPIs!C26*Assumptions!E16)/(1+Assumptions!E16)^2)+((Sector_KPIs!E19-Sector_KPIs!D26*Assumptions!E16)/(1+Assumptions!E16)^3)+((Sector_KPIs!F19-Sector_KPIs!E26*Assumptions!E16)/(1+Assumptions!E16)^4)+((Sector_KPIs!G19-Sector_KPIs!F26*Assumptions!E16)/(1+Assumptions!E16)^5)+(((Sector_KPIs!G19-Sector_KPIs!F26*Assumptions!E16)*(1+Assumptions!E17)/(Assumptions!E16-Assumptions!E17))/(1+Assumptions!E16)^5)</f>
        <v>59704.57195726716</v>
      </c>
      <c r="C12" s="41">
        <f>Valuation!G23</f>
        <v>59704.571957267166</v>
      </c>
      <c r="D12" s="41">
        <f>B12-C12</f>
        <v>0</v>
      </c>
      <c r="E12" s="41">
        <v>0.1</v>
      </c>
      <c r="F12" s="50" t="str">
        <f>IF(ABS(D12)&lt;=E12,"PASS","FAIL")</f>
        <v>PASS</v>
      </c>
    </row>
    <row r="13" hidden="0" outlineLevel="0" collapsed="0">
      <c r="A13" s="4"/>
      <c r="B13" s="4"/>
      <c r="C13" s="4"/>
      <c r="D13" s="4"/>
      <c r="E13" s="4"/>
      <c r="F13" s="4"/>
    </row>
    <row r="14" hidden="0" outlineLevel="0" collapsed="0">
      <c r="A14" s="30" t="s">
        <v>337</v>
      </c>
      <c r="B14" s="30" t="s">
        <v>337</v>
      </c>
      <c r="C14" s="30" t="s">
        <v>337</v>
      </c>
      <c r="D14" s="30" t="s">
        <v>337</v>
      </c>
      <c r="E14" s="30" t="s">
        <v>337</v>
      </c>
      <c r="F14" s="30" t="s">
        <v>337</v>
      </c>
    </row>
    <row r="15" hidden="0" outlineLevel="0" collapsed="0">
      <c r="A15" s="30" t="s">
        <v>337</v>
      </c>
      <c r="B15" s="30" t="s">
        <v>337</v>
      </c>
      <c r="C15" s="30" t="s">
        <v>337</v>
      </c>
      <c r="D15" s="30" t="s">
        <v>337</v>
      </c>
      <c r="E15" s="30" t="s">
        <v>337</v>
      </c>
      <c r="F15" s="30" t="s">
        <v>337</v>
      </c>
    </row>
    <row r="16" hidden="0" outlineLevel="0" collapsed="0">
      <c r="A16" s="4"/>
      <c r="B16" s="4"/>
      <c r="C16" s="4"/>
      <c r="D16" s="4"/>
      <c r="E16" s="4"/>
      <c r="F16" s="4"/>
    </row>
  </sheetData>
  <mergeCells count="3">
    <mergeCell ref="A1:F1"/>
    <mergeCell ref="A2:F2"/>
    <mergeCell ref="A14:F15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6" style="1" customWidth="1"/>
    <col min="2" max="4" width="17" style="1" customWidth="1"/>
    <col min="5" max="5" width="14" style="1" customWidth="1"/>
    <col min="6" max="7" width="13" style="1" customWidth="1"/>
    <col min="8" max="8" width="48" style="1" customWidth="1"/>
  </cols>
  <sheetData>
    <row r="1" ht="28" hidden="0" outlineLevel="0" collapsed="0">
      <c r="A1" s="2" t="s">
        <v>338</v>
      </c>
      <c r="B1" s="2" t="s">
        <v>338</v>
      </c>
      <c r="C1" s="2" t="s">
        <v>338</v>
      </c>
      <c r="D1" s="2" t="s">
        <v>338</v>
      </c>
      <c r="E1" s="2" t="s">
        <v>338</v>
      </c>
      <c r="F1" s="2" t="s">
        <v>338</v>
      </c>
      <c r="G1" s="2" t="s">
        <v>338</v>
      </c>
      <c r="H1" s="2" t="s">
        <v>338</v>
      </c>
    </row>
    <row r="2" ht="32" hidden="0" outlineLevel="0" collapsed="0">
      <c r="A2" s="3" t="s">
        <v>339</v>
      </c>
      <c r="B2" s="3" t="s">
        <v>339</v>
      </c>
      <c r="C2" s="3" t="s">
        <v>339</v>
      </c>
      <c r="D2" s="3" t="s">
        <v>339</v>
      </c>
      <c r="E2" s="3" t="s">
        <v>339</v>
      </c>
      <c r="F2" s="3" t="s">
        <v>339</v>
      </c>
      <c r="G2" s="3" t="s">
        <v>339</v>
      </c>
      <c r="H2" s="3" t="s">
        <v>339</v>
      </c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340</v>
      </c>
      <c r="B4" s="5" t="s">
        <v>341</v>
      </c>
      <c r="C4" s="5" t="s">
        <v>342</v>
      </c>
      <c r="D4" s="5" t="s">
        <v>334</v>
      </c>
      <c r="E4" s="5" t="s">
        <v>335</v>
      </c>
      <c r="F4" s="5" t="s">
        <v>52</v>
      </c>
      <c r="G4" s="5" t="s">
        <v>343</v>
      </c>
      <c r="H4" s="5" t="s">
        <v>344</v>
      </c>
    </row>
    <row r="5" hidden="0" outlineLevel="0" collapsed="0">
      <c r="A5" s="6" t="s">
        <v>345</v>
      </c>
      <c r="B5" s="51">
        <f>Sources!O28</f>
        <v>23</v>
      </c>
      <c r="C5" s="51">
        <v>23</v>
      </c>
      <c r="D5" s="51">
        <f>B5-C5</f>
        <v>0</v>
      </c>
      <c r="E5" s="51">
        <v>0</v>
      </c>
      <c r="F5" s="6" t="str">
        <f>IF(ABS(D5)&lt;=E5,"PASS","FAIL")</f>
        <v>PASS</v>
      </c>
      <c r="G5" s="6" t="s">
        <v>346</v>
      </c>
      <c r="H5" s="6" t="s">
        <v>347</v>
      </c>
    </row>
    <row r="6" hidden="0" outlineLevel="0" collapsed="0">
      <c r="A6" s="6" t="s">
        <v>348</v>
      </c>
      <c r="B6" s="51">
        <f>Historical!C6</f>
        <v>285207.398</v>
      </c>
      <c r="C6" s="51">
        <f>Historical!C5</f>
        <v>384657.718</v>
      </c>
      <c r="D6" s="51">
        <f>C6-B6</f>
        <v>99450.32</v>
      </c>
      <c r="E6" s="51">
        <v>0</v>
      </c>
      <c r="F6" s="6" t="str">
        <f>IF(D6&gt;=E6,"PASS","FAIL")</f>
        <v>PASS</v>
      </c>
      <c r="G6" s="6" t="s">
        <v>346</v>
      </c>
      <c r="H6" s="6" t="s">
        <v>349</v>
      </c>
    </row>
    <row r="7" hidden="0" outlineLevel="0" collapsed="0">
      <c r="A7" s="6" t="s">
        <v>350</v>
      </c>
      <c r="B7" s="51">
        <f>Sector_KPIs!C6</f>
        <v>0.06000000000000005</v>
      </c>
      <c r="C7" s="51">
        <f>Assumptions!E6</f>
        <v>0.06</v>
      </c>
      <c r="D7" s="51">
        <f>B7-C7</f>
        <v>0</v>
      </c>
      <c r="E7" s="51">
        <v>1E-006</v>
      </c>
      <c r="F7" s="6" t="str">
        <f>IF(ABS(D7)&lt;=E7,"PASS","FAIL")</f>
        <v>PASS</v>
      </c>
      <c r="G7" s="6" t="s">
        <v>346</v>
      </c>
      <c r="H7" s="6" t="s">
        <v>351</v>
      </c>
    </row>
    <row r="8" hidden="0" outlineLevel="0" collapsed="0">
      <c r="A8" s="6" t="s">
        <v>352</v>
      </c>
      <c r="B8" s="51">
        <f>Sector_KPIs!C11</f>
        <v>18213.34443628</v>
      </c>
      <c r="C8" s="51">
        <f>Sector_KPIs!C9*Sector_KPIs!C10</f>
        <v>18213.34443628</v>
      </c>
      <c r="D8" s="51">
        <f>B8-C8</f>
        <v>0</v>
      </c>
      <c r="E8" s="51">
        <v>0.1</v>
      </c>
      <c r="F8" s="6" t="str">
        <f>IF(ABS(D8)&lt;=E8,"PASS","FAIL")</f>
        <v>PASS</v>
      </c>
      <c r="G8" s="6" t="s">
        <v>346</v>
      </c>
      <c r="H8" s="6" t="s">
        <v>353</v>
      </c>
    </row>
    <row r="9" hidden="0" outlineLevel="0" collapsed="0">
      <c r="A9" s="6" t="s">
        <v>354</v>
      </c>
      <c r="B9" s="51">
        <f>Sector_KPIs!C26</f>
        <v>46747.66024842063</v>
      </c>
      <c r="C9" s="51">
        <f>Sector_KPIs!B26+Sector_KPIs!C19-Sector_KPIs!C25</f>
        <v>46747.66024842063</v>
      </c>
      <c r="D9" s="51">
        <f>B9-C9</f>
        <v>0</v>
      </c>
      <c r="E9" s="51">
        <v>0.1</v>
      </c>
      <c r="F9" s="6" t="str">
        <f>IF(ABS(D9)&lt;=E9,"PASS","FAIL")</f>
        <v>PASS</v>
      </c>
      <c r="G9" s="6" t="s">
        <v>346</v>
      </c>
      <c r="H9" s="6" t="s">
        <v>355</v>
      </c>
    </row>
    <row r="10" hidden="0" outlineLevel="0" collapsed="0">
      <c r="A10" s="6" t="s">
        <v>356</v>
      </c>
      <c r="B10" s="51">
        <f>Sector_KPIs!C28</f>
        <v>0.12506564072833978</v>
      </c>
      <c r="C10" s="51">
        <f>Sector_KPIs!C23</f>
        <v>0.115</v>
      </c>
      <c r="D10" s="51">
        <f>B10-C10</f>
        <v>0.010065640728339778</v>
      </c>
      <c r="E10" s="51">
        <v>0</v>
      </c>
      <c r="F10" s="6" t="str">
        <f>IF(D10&gt;=E10,"PASS","FAIL")</f>
        <v>PASS</v>
      </c>
      <c r="G10" s="6" t="s">
        <v>346</v>
      </c>
      <c r="H10" s="6" t="s">
        <v>357</v>
      </c>
    </row>
    <row r="11" hidden="0" outlineLevel="0" collapsed="0">
      <c r="A11" s="6" t="s">
        <v>358</v>
      </c>
      <c r="B11" s="51">
        <f>Assumptions!E16</f>
        <v>0.13</v>
      </c>
      <c r="C11" s="51">
        <f>Assumptions!E17</f>
        <v>0.05</v>
      </c>
      <c r="D11" s="51">
        <f>B11-C11</f>
        <v>0.08</v>
      </c>
      <c r="E11" s="51">
        <v>0.01</v>
      </c>
      <c r="F11" s="6" t="str">
        <f>IF(D11&gt;E11,"PASS","FAIL")</f>
        <v>PASS</v>
      </c>
      <c r="G11" s="6" t="s">
        <v>346</v>
      </c>
      <c r="H11" s="6" t="s">
        <v>359</v>
      </c>
    </row>
    <row r="12" hidden="0" outlineLevel="0" collapsed="0">
      <c r="A12" s="6" t="s">
        <v>360</v>
      </c>
      <c r="B12" s="51">
        <f>Sensitivity!B12</f>
        <v>59704.57195726716</v>
      </c>
      <c r="C12" s="51">
        <f>Sensitivity!C12</f>
        <v>59704.571957267166</v>
      </c>
      <c r="D12" s="51">
        <f>B12-C12</f>
        <v>0</v>
      </c>
      <c r="E12" s="51">
        <f>Sensitivity!E12</f>
        <v>0.1</v>
      </c>
      <c r="F12" s="6" t="str">
        <f>IF(ABS(D12)&lt;=E12,"PASS","FAIL")</f>
        <v>PASS</v>
      </c>
      <c r="G12" s="6" t="s">
        <v>346</v>
      </c>
      <c r="H12" s="6" t="s">
        <v>361</v>
      </c>
    </row>
    <row r="13" hidden="0" outlineLevel="0" collapsed="0">
      <c r="A13" s="6" t="s">
        <v>362</v>
      </c>
      <c r="B13" s="51">
        <f>Assumptions!B3</f>
        <v>1</v>
      </c>
      <c r="C13" s="51">
        <v>1</v>
      </c>
      <c r="D13" s="51">
        <f>IF(OR(B13=1,B13=2,B13=3),0,1)</f>
        <v>0</v>
      </c>
      <c r="E13" s="51">
        <v>0</v>
      </c>
      <c r="F13" s="6" t="str">
        <f>IF(D13=E13,"PASS","FAIL")</f>
        <v>PASS</v>
      </c>
      <c r="G13" s="6" t="s">
        <v>346</v>
      </c>
      <c r="H13" s="6" t="s">
        <v>363</v>
      </c>
    </row>
    <row r="14" hidden="0" outlineLevel="0" collapsed="0">
      <c r="A14" s="6" t="s">
        <v>364</v>
      </c>
      <c r="B14" s="51">
        <f>MIN(Sector_KPIs!C25:G25)</f>
        <v>3654.915248420624</v>
      </c>
      <c r="C14" s="51">
        <v>0</v>
      </c>
      <c r="D14" s="51">
        <f>B14-C14</f>
        <v>3654.915248420624</v>
      </c>
      <c r="E14" s="51">
        <v>0</v>
      </c>
      <c r="F14" s="6" t="str">
        <f>IF(D14&gt;=E14,"PASS","FAIL")</f>
        <v>PASS</v>
      </c>
      <c r="G14" s="6" t="s">
        <v>346</v>
      </c>
      <c r="H14" s="6" t="s">
        <v>365</v>
      </c>
    </row>
    <row r="15" hidden="0" outlineLevel="0" collapsed="0">
      <c r="A15" s="52" t="s">
        <v>366</v>
      </c>
      <c r="B15" s="52" t="str">
        <f>IF(COUNTIF(F5:F14,"PASS")=10,"PASS","FAIL")</f>
        <v>PASS</v>
      </c>
      <c r="C15" s="52"/>
      <c r="D15" s="52"/>
      <c r="E15" s="52"/>
      <c r="F15" s="52"/>
      <c r="G15" s="52"/>
      <c r="H15" s="52" t="s">
        <v>367</v>
      </c>
    </row>
    <row r="16" hidden="0" outlineLevel="0" collapsed="0">
      <c r="A16" s="4"/>
      <c r="B16" s="4"/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4"/>
      <c r="B18" s="4"/>
      <c r="C18" s="4"/>
      <c r="D18" s="4"/>
      <c r="E18" s="4"/>
      <c r="F18" s="4"/>
      <c r="G18" s="4"/>
      <c r="H18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7" width="14" style="1" customWidth="1"/>
    <col min="8" max="8" width="28" style="1" customWidth="1"/>
  </cols>
  <sheetData>
    <row r="1" ht="28" hidden="0" outlineLevel="0" collapsed="0">
      <c r="A1" s="2" t="s">
        <v>368</v>
      </c>
      <c r="B1" s="2" t="s">
        <v>368</v>
      </c>
      <c r="C1" s="2" t="s">
        <v>368</v>
      </c>
      <c r="D1" s="2" t="s">
        <v>368</v>
      </c>
      <c r="E1" s="2" t="s">
        <v>368</v>
      </c>
      <c r="F1" s="2" t="s">
        <v>368</v>
      </c>
      <c r="G1" s="2" t="s">
        <v>368</v>
      </c>
      <c r="H1" s="2" t="s">
        <v>368</v>
      </c>
    </row>
    <row r="2" ht="32" hidden="0" outlineLevel="0" collapsed="0">
      <c r="A2" s="3" t="s">
        <v>369</v>
      </c>
      <c r="B2" s="3" t="s">
        <v>369</v>
      </c>
      <c r="C2" s="3" t="s">
        <v>369</v>
      </c>
      <c r="D2" s="3" t="s">
        <v>369</v>
      </c>
      <c r="E2" s="3" t="s">
        <v>369</v>
      </c>
      <c r="F2" s="3" t="s">
        <v>369</v>
      </c>
      <c r="G2" s="3" t="s">
        <v>369</v>
      </c>
      <c r="H2" s="3" t="s">
        <v>369</v>
      </c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39</v>
      </c>
      <c r="B4" s="5" t="s">
        <v>194</v>
      </c>
      <c r="C4" s="5" t="s">
        <v>281</v>
      </c>
      <c r="D4" s="5" t="s">
        <v>282</v>
      </c>
      <c r="E4" s="5" t="s">
        <v>283</v>
      </c>
      <c r="F4" s="5" t="s">
        <v>284</v>
      </c>
      <c r="G4" s="5" t="s">
        <v>285</v>
      </c>
      <c r="H4" s="5" t="s">
        <v>370</v>
      </c>
    </row>
    <row r="5" hidden="0" outlineLevel="0" collapsed="0">
      <c r="A5" s="31" t="s">
        <v>72</v>
      </c>
      <c r="B5" s="32">
        <f>Historical!C6</f>
        <v>285207.398</v>
      </c>
      <c r="C5" s="32">
        <f>B5*(1+Assumptions!$E$6)</f>
        <v>302319.84188</v>
      </c>
      <c r="D5" s="32">
        <f>C5*(1+Assumptions!$E$6)</f>
        <v>320459.0323928</v>
      </c>
      <c r="E5" s="32">
        <f>D5*(1+Assumptions!$E$6)</f>
        <v>339686.57433636807</v>
      </c>
      <c r="F5" s="32">
        <f>E5*(1+Assumptions!$E$6)</f>
        <v>360067.76879655017</v>
      </c>
      <c r="G5" s="32">
        <f>F5*(1+Assumptions!$E$6)</f>
        <v>381671.8349243432</v>
      </c>
      <c r="H5" s="31" t="s">
        <v>56</v>
      </c>
    </row>
    <row r="6" hidden="0" outlineLevel="0" collapsed="0">
      <c r="A6" s="6" t="s">
        <v>247</v>
      </c>
      <c r="B6" s="33">
        <f>(B5-Historical!B6)/Historical!B6</f>
        <v>0.020588332584706565</v>
      </c>
      <c r="C6" s="27">
        <f>C5/B5-1</f>
        <v>0.06000000000000005</v>
      </c>
      <c r="D6" s="27">
        <f>D5/C5-1</f>
        <v>0.06000000000000005</v>
      </c>
      <c r="E6" s="27">
        <f>E5/D5-1</f>
        <v>0.06000000000000005</v>
      </c>
      <c r="F6" s="27">
        <f>F5/E5-1</f>
        <v>0.06000000000000005</v>
      </c>
      <c r="G6" s="27">
        <f>G5/F5-1</f>
        <v>0.06000000000000005</v>
      </c>
      <c r="H6" s="6" t="s">
        <v>119</v>
      </c>
    </row>
    <row r="7" hidden="0" outlineLevel="0" collapsed="0">
      <c r="A7" s="31" t="s">
        <v>81</v>
      </c>
      <c r="B7" s="32">
        <f>Historical!C7</f>
        <v>291707.474</v>
      </c>
      <c r="C7" s="32">
        <f>B7*(1+Assumptions!$E$7)</f>
        <v>312126.99718</v>
      </c>
      <c r="D7" s="32">
        <f>C7*(1+Assumptions!$E$7)</f>
        <v>333975.88698260003</v>
      </c>
      <c r="E7" s="32">
        <f>D7*(1+Assumptions!$E$7)</f>
        <v>357354.19907138206</v>
      </c>
      <c r="F7" s="32">
        <f>E7*(1+Assumptions!$E$7)</f>
        <v>382368.9930063788</v>
      </c>
      <c r="G7" s="32">
        <f>F7*(1+Assumptions!$E$7)</f>
        <v>409134.82251682534</v>
      </c>
      <c r="H7" s="31" t="s">
        <v>56</v>
      </c>
    </row>
    <row r="8" hidden="0" outlineLevel="0" collapsed="0">
      <c r="A8" s="6" t="s">
        <v>249</v>
      </c>
      <c r="B8" s="33">
        <f>(B7-Historical!B7)/Historical!B7</f>
        <v>0.04532394520548682</v>
      </c>
      <c r="C8" s="27">
        <f>C7/B7-1</f>
        <v>0.07000000000000006</v>
      </c>
      <c r="D8" s="27">
        <f>D7/C7-1</f>
        <v>0.07000000000000006</v>
      </c>
      <c r="E8" s="27">
        <f>E7/D7-1</f>
        <v>0.07000000000000006</v>
      </c>
      <c r="F8" s="27">
        <f>F7/E7-1</f>
        <v>0.07000000000000006</v>
      </c>
      <c r="G8" s="27">
        <f>G7/F7-1</f>
        <v>0.07000000000000006</v>
      </c>
      <c r="H8" s="6" t="s">
        <v>119</v>
      </c>
    </row>
    <row r="9" hidden="0" outlineLevel="0" collapsed="0">
      <c r="A9" s="6" t="s">
        <v>371</v>
      </c>
      <c r="B9" s="34">
        <f>B5</f>
        <v>285207.398</v>
      </c>
      <c r="C9" s="41">
        <f>AVERAGE(B5,C5)</f>
        <v>293763.61994</v>
      </c>
      <c r="D9" s="41">
        <f>AVERAGE(C5,D5)</f>
        <v>311389.4371364</v>
      </c>
      <c r="E9" s="41">
        <f>AVERAGE(D5,E5)</f>
        <v>330072.80336458405</v>
      </c>
      <c r="F9" s="41">
        <f>AVERAGE(E5,F5)</f>
        <v>349877.1715664591</v>
      </c>
      <c r="G9" s="41">
        <f>AVERAGE(F5,G5)</f>
        <v>370869.8018604467</v>
      </c>
      <c r="H9" s="6" t="s">
        <v>56</v>
      </c>
    </row>
    <row r="10" hidden="0" outlineLevel="0" collapsed="0">
      <c r="A10" s="6" t="s">
        <v>251</v>
      </c>
      <c r="B10" s="53">
        <f>Historical!C11</f>
        <v>0.0616</v>
      </c>
      <c r="C10" s="54">
        <f>Assumptions!$E$8</f>
        <v>0.062</v>
      </c>
      <c r="D10" s="54">
        <f>Assumptions!$E$8</f>
        <v>0.062</v>
      </c>
      <c r="E10" s="54">
        <f>Assumptions!$E$8</f>
        <v>0.062</v>
      </c>
      <c r="F10" s="54">
        <f>Assumptions!$E$8</f>
        <v>0.062</v>
      </c>
      <c r="G10" s="54">
        <f>Assumptions!$E$8</f>
        <v>0.062</v>
      </c>
      <c r="H10" s="6" t="s">
        <v>119</v>
      </c>
    </row>
    <row r="11" hidden="0" outlineLevel="0" collapsed="0">
      <c r="A11" s="31" t="s">
        <v>291</v>
      </c>
      <c r="B11" s="32">
        <f>B9*B10</f>
        <v>17568.7757168</v>
      </c>
      <c r="C11" s="32">
        <f>C9*C10</f>
        <v>18213.34443628</v>
      </c>
      <c r="D11" s="32">
        <f>D9*D10</f>
        <v>19306.1451024568</v>
      </c>
      <c r="E11" s="32">
        <f>E9*E10</f>
        <v>20464.51380860421</v>
      </c>
      <c r="F11" s="32">
        <f>F9*F10</f>
        <v>21692.384637120464</v>
      </c>
      <c r="G11" s="32">
        <f>G9*G10</f>
        <v>22993.927715347694</v>
      </c>
      <c r="H11" s="31" t="s">
        <v>56</v>
      </c>
    </row>
    <row r="12" hidden="0" outlineLevel="0" collapsed="0">
      <c r="A12" s="6" t="s">
        <v>132</v>
      </c>
      <c r="B12" s="53">
        <f>Historical!C12</f>
        <v>0.0159</v>
      </c>
      <c r="C12" s="54">
        <f>Assumptions!$E$9</f>
        <v>0.017</v>
      </c>
      <c r="D12" s="54">
        <f>Assumptions!$E$9</f>
        <v>0.017</v>
      </c>
      <c r="E12" s="54">
        <f>Assumptions!$E$9</f>
        <v>0.017</v>
      </c>
      <c r="F12" s="54">
        <f>Assumptions!$E$9</f>
        <v>0.017</v>
      </c>
      <c r="G12" s="54">
        <f>Assumptions!$E$9</f>
        <v>0.017</v>
      </c>
      <c r="H12" s="6" t="s">
        <v>119</v>
      </c>
    </row>
    <row r="13" hidden="0" outlineLevel="0" collapsed="0">
      <c r="A13" s="31" t="s">
        <v>293</v>
      </c>
      <c r="B13" s="32">
        <f>B9*B12</f>
        <v>4534.7976282</v>
      </c>
      <c r="C13" s="32">
        <f>C9*C12</f>
        <v>4993.981538980001</v>
      </c>
      <c r="D13" s="32">
        <f>D9*D12</f>
        <v>5293.620431318801</v>
      </c>
      <c r="E13" s="32">
        <f>E9*E12</f>
        <v>5611.237657197929</v>
      </c>
      <c r="F13" s="32">
        <f>F9*F12</f>
        <v>5947.911916629805</v>
      </c>
      <c r="G13" s="32">
        <f>G9*G12</f>
        <v>6304.786631627594</v>
      </c>
      <c r="H13" s="31" t="s">
        <v>56</v>
      </c>
    </row>
    <row r="14" hidden="0" outlineLevel="0" collapsed="0">
      <c r="A14" s="6" t="s">
        <v>372</v>
      </c>
      <c r="B14" s="34">
        <f>Historical!C5</f>
        <v>384657.718</v>
      </c>
      <c r="C14" s="41">
        <f>AVERAGE(B32,C32)</f>
        <v>396678.2716875</v>
      </c>
      <c r="D14" s="41">
        <f>AVERAGE(C32,D32)</f>
        <v>421470.66366796877</v>
      </c>
      <c r="E14" s="41">
        <f>AVERAGE(D32,E32)</f>
        <v>447812.5801472168</v>
      </c>
      <c r="F14" s="41">
        <f>AVERAGE(E32,F32)</f>
        <v>475800.8664064179</v>
      </c>
      <c r="G14" s="41">
        <f>AVERAGE(F32,G32)</f>
        <v>505538.420556819</v>
      </c>
      <c r="H14" s="6" t="s">
        <v>56</v>
      </c>
    </row>
    <row r="15" hidden="0" outlineLevel="0" collapsed="0">
      <c r="A15" s="6" t="s">
        <v>373</v>
      </c>
      <c r="B15" s="34"/>
      <c r="C15" s="41">
        <f>C14*Assumptions!$E$10</f>
        <v>10710.3133355625</v>
      </c>
      <c r="D15" s="41">
        <f>D14*Assumptions!$E$10</f>
        <v>11379.707919035156</v>
      </c>
      <c r="E15" s="41">
        <f>E14*Assumptions!$E$10</f>
        <v>12090.939663974854</v>
      </c>
      <c r="F15" s="41">
        <f>F14*Assumptions!$E$10</f>
        <v>12846.623392973284</v>
      </c>
      <c r="G15" s="41">
        <f>G14*Assumptions!$E$10</f>
        <v>13649.537355034114</v>
      </c>
      <c r="H15" s="6" t="s">
        <v>56</v>
      </c>
    </row>
    <row r="16" hidden="0" outlineLevel="0" collapsed="0">
      <c r="A16" s="6" t="s">
        <v>374</v>
      </c>
      <c r="B16" s="34"/>
      <c r="C16" s="41">
        <f>C14*Assumptions!$E$11</f>
        <v>13487.061237375001</v>
      </c>
      <c r="D16" s="41">
        <f>D14*Assumptions!$E$11</f>
        <v>14330.00256471094</v>
      </c>
      <c r="E16" s="41">
        <f>E14*Assumptions!$E$11</f>
        <v>15225.627725005372</v>
      </c>
      <c r="F16" s="41">
        <f>F14*Assumptions!$E$11</f>
        <v>16177.22945781821</v>
      </c>
      <c r="G16" s="41">
        <f>G14*Assumptions!$E$11</f>
        <v>17188.306298931846</v>
      </c>
      <c r="H16" s="6" t="s">
        <v>56</v>
      </c>
    </row>
    <row r="17" hidden="0" outlineLevel="0" collapsed="0">
      <c r="A17" s="31" t="s">
        <v>375</v>
      </c>
      <c r="B17" s="32"/>
      <c r="C17" s="32">
        <f>C11+C15-C13-C16</f>
        <v>10442.614995487496</v>
      </c>
      <c r="D17" s="32">
        <f>D11+D15-D13-D16</f>
        <v>11062.23002546222</v>
      </c>
      <c r="E17" s="32">
        <f>E11+E15-E13-E16</f>
        <v>11718.588090375764</v>
      </c>
      <c r="F17" s="32">
        <f>F11+F15-F13-F16</f>
        <v>12413.866655645734</v>
      </c>
      <c r="G17" s="32">
        <f>G11+G15-G13-G16</f>
        <v>13150.372139822364</v>
      </c>
      <c r="H17" s="31" t="s">
        <v>56</v>
      </c>
    </row>
    <row r="18" hidden="0" outlineLevel="0" collapsed="0">
      <c r="A18" s="6" t="s">
        <v>376</v>
      </c>
      <c r="B18" s="34"/>
      <c r="C18" s="41">
        <f>MAX(0,C17*Assumptions!$E$12)</f>
        <v>3132.7844986462487</v>
      </c>
      <c r="D18" s="41">
        <f>MAX(0,D17*Assumptions!$E$12)</f>
        <v>3318.6690076386662</v>
      </c>
      <c r="E18" s="41">
        <f>MAX(0,E17*Assumptions!$E$12)</f>
        <v>3515.576427112729</v>
      </c>
      <c r="F18" s="41">
        <f>MAX(0,F17*Assumptions!$E$12)</f>
        <v>3724.15999669372</v>
      </c>
      <c r="G18" s="41">
        <f>MAX(0,G17*Assumptions!$E$12)</f>
        <v>3945.111641946709</v>
      </c>
      <c r="H18" s="6" t="s">
        <v>56</v>
      </c>
    </row>
    <row r="19" hidden="0" outlineLevel="0" collapsed="0">
      <c r="A19" s="31" t="s">
        <v>295</v>
      </c>
      <c r="B19" s="32">
        <f>Historical!C9</f>
        <v>7276.23</v>
      </c>
      <c r="C19" s="32">
        <f>C17-C18</f>
        <v>7309.830496841248</v>
      </c>
      <c r="D19" s="32">
        <f>D17-D18</f>
        <v>7743.561017823555</v>
      </c>
      <c r="E19" s="32">
        <f>E17-E18</f>
        <v>8203.011663263034</v>
      </c>
      <c r="F19" s="32">
        <f>F17-F18</f>
        <v>8689.706658952015</v>
      </c>
      <c r="G19" s="32">
        <f>G17-G18</f>
        <v>9205.260497875655</v>
      </c>
      <c r="H19" s="31" t="s">
        <v>56</v>
      </c>
    </row>
    <row r="20" hidden="0" outlineLevel="0" collapsed="0">
      <c r="A20" s="6" t="s">
        <v>260</v>
      </c>
      <c r="B20" s="33">
        <f>Assumptions!E13</f>
        <v>0.5</v>
      </c>
      <c r="C20" s="27">
        <f>Assumptions!$E$13</f>
        <v>0.5</v>
      </c>
      <c r="D20" s="27">
        <f>Assumptions!$E$13</f>
        <v>0.5</v>
      </c>
      <c r="E20" s="27">
        <f>Assumptions!$E$13</f>
        <v>0.5</v>
      </c>
      <c r="F20" s="27">
        <f>Assumptions!$E$13</f>
        <v>0.5</v>
      </c>
      <c r="G20" s="27">
        <f>Assumptions!$E$13</f>
        <v>0.5</v>
      </c>
      <c r="H20" s="6" t="s">
        <v>119</v>
      </c>
    </row>
    <row r="21" hidden="0" outlineLevel="0" collapsed="0">
      <c r="A21" s="6" t="s">
        <v>377</v>
      </c>
      <c r="B21" s="33">
        <f>Assumptions!E14</f>
        <v>0.683</v>
      </c>
      <c r="C21" s="27">
        <f>Assumptions!$E$14</f>
        <v>0.683</v>
      </c>
      <c r="D21" s="27">
        <f>Assumptions!$E$14</f>
        <v>0.683</v>
      </c>
      <c r="E21" s="27">
        <f>Assumptions!$E$14</f>
        <v>0.683</v>
      </c>
      <c r="F21" s="27">
        <f>Assumptions!$E$14</f>
        <v>0.683</v>
      </c>
      <c r="G21" s="27">
        <f>Assumptions!$E$14</f>
        <v>0.683</v>
      </c>
      <c r="H21" s="6" t="s">
        <v>378</v>
      </c>
    </row>
    <row r="22" hidden="0" outlineLevel="0" collapsed="0">
      <c r="A22" s="6" t="s">
        <v>379</v>
      </c>
      <c r="B22" s="34">
        <f>Historical!C18</f>
        <v>240844.48445171848</v>
      </c>
      <c r="C22" s="41">
        <f>B22*(1+C6)</f>
        <v>255295.1535188216</v>
      </c>
      <c r="D22" s="41">
        <f>C22*(1+D6)</f>
        <v>270612.8627299509</v>
      </c>
      <c r="E22" s="41">
        <f>D22*(1+E6)</f>
        <v>286849.634493748</v>
      </c>
      <c r="F22" s="41">
        <f>E22*(1+F6)</f>
        <v>304060.61256337294</v>
      </c>
      <c r="G22" s="41">
        <f>F22*(1+G6)</f>
        <v>322304.24931717536</v>
      </c>
      <c r="H22" s="6" t="s">
        <v>56</v>
      </c>
    </row>
    <row r="23" hidden="0" outlineLevel="0" collapsed="0">
      <c r="A23" s="6" t="s">
        <v>264</v>
      </c>
      <c r="B23" s="33">
        <f>Assumptions!E15</f>
        <v>0.115</v>
      </c>
      <c r="C23" s="27">
        <f>Assumptions!$E$15</f>
        <v>0.115</v>
      </c>
      <c r="D23" s="27">
        <f>Assumptions!$E$15</f>
        <v>0.115</v>
      </c>
      <c r="E23" s="27">
        <f>Assumptions!$E$15</f>
        <v>0.115</v>
      </c>
      <c r="F23" s="27">
        <f>Assumptions!$E$15</f>
        <v>0.115</v>
      </c>
      <c r="G23" s="27">
        <f>Assumptions!$E$15</f>
        <v>0.115</v>
      </c>
      <c r="H23" s="6" t="s">
        <v>119</v>
      </c>
    </row>
    <row r="24" hidden="0" outlineLevel="0" collapsed="0">
      <c r="A24" s="6" t="s">
        <v>380</v>
      </c>
      <c r="B24" s="34"/>
      <c r="C24" s="41">
        <f>MAX(0,B26+C19-C23*C22/C21)</f>
        <v>7417.300746234396</v>
      </c>
      <c r="D24" s="41">
        <f>MAX(0,C26+D19-D23*D22/D21)</f>
        <v>8926.830030600919</v>
      </c>
      <c r="E24" s="41">
        <f>MAX(0,D26+E19-E23*E22/E21)</f>
        <v>10524.197710813576</v>
      </c>
      <c r="F24" s="41">
        <f>MAX(0,E26+F19-F23*F22/F21)</f>
        <v>12214.503255547155</v>
      </c>
      <c r="G24" s="41">
        <f>MAX(0,F26+G19-G23*G22/G21)</f>
        <v>14003.141424404661</v>
      </c>
      <c r="H24" s="6" t="s">
        <v>56</v>
      </c>
    </row>
    <row r="25" hidden="0" outlineLevel="0" collapsed="0">
      <c r="A25" s="31" t="s">
        <v>299</v>
      </c>
      <c r="B25" s="32"/>
      <c r="C25" s="32">
        <f>MIN(C19*C20,C24)</f>
        <v>3654.915248420624</v>
      </c>
      <c r="D25" s="32">
        <f>MIN(D19*D20,D24)</f>
        <v>3871.7805089117774</v>
      </c>
      <c r="E25" s="32">
        <f>MIN(E19*E20,E24)</f>
        <v>4101.505831631517</v>
      </c>
      <c r="F25" s="32">
        <f>MIN(F19*F20,F24)</f>
        <v>4344.853329476007</v>
      </c>
      <c r="G25" s="32">
        <f>MIN(G19*G20,G24)</f>
        <v>4602.630248937828</v>
      </c>
      <c r="H25" s="31" t="s">
        <v>56</v>
      </c>
    </row>
    <row r="26" hidden="0" outlineLevel="0" collapsed="0">
      <c r="A26" s="31" t="s">
        <v>301</v>
      </c>
      <c r="B26" s="32">
        <f>Historical!C8</f>
        <v>43092.745</v>
      </c>
      <c r="C26" s="32">
        <f>B26+C19-C25</f>
        <v>46747.66024842063</v>
      </c>
      <c r="D26" s="32">
        <f>C26+D19-D25</f>
        <v>50619.44075733241</v>
      </c>
      <c r="E26" s="32">
        <f>D26+E19-E25</f>
        <v>54720.94658896393</v>
      </c>
      <c r="F26" s="32">
        <f>E26+F19-F25</f>
        <v>59065.799918439945</v>
      </c>
      <c r="G26" s="32">
        <f>F26+G19-G25</f>
        <v>63668.430167377766</v>
      </c>
      <c r="H26" s="31" t="s">
        <v>56</v>
      </c>
    </row>
    <row r="27" hidden="0" outlineLevel="0" collapsed="0">
      <c r="A27" s="6" t="s">
        <v>381</v>
      </c>
      <c r="B27" s="34">
        <f>Historical!C17</f>
        <v>29431.196</v>
      </c>
      <c r="C27" s="41">
        <f>C26*C21</f>
        <v>31928.651949671294</v>
      </c>
      <c r="D27" s="41">
        <f>D26*D21</f>
        <v>34573.07803725804</v>
      </c>
      <c r="E27" s="41">
        <f>E26*E21</f>
        <v>37374.40652026237</v>
      </c>
      <c r="F27" s="41">
        <f>F26*F21</f>
        <v>40341.941344294486</v>
      </c>
      <c r="G27" s="41">
        <f>G26*G21</f>
        <v>43485.53780431902</v>
      </c>
      <c r="H27" s="6" t="s">
        <v>56</v>
      </c>
    </row>
    <row r="28" hidden="0" outlineLevel="0" collapsed="0">
      <c r="A28" s="31" t="s">
        <v>303</v>
      </c>
      <c r="B28" s="55">
        <f>Historical!C15</f>
        <v>0.1222</v>
      </c>
      <c r="C28" s="55">
        <f>C27/C22</f>
        <v>0.12506564072833978</v>
      </c>
      <c r="D28" s="55">
        <f>D27/D22</f>
        <v>0.1277584431445119</v>
      </c>
      <c r="E28" s="55">
        <f>E27/E22</f>
        <v>0.1302926761131256</v>
      </c>
      <c r="F28" s="55">
        <f>F27/F22</f>
        <v>0.13267730076642642</v>
      </c>
      <c r="G28" s="55">
        <f>G27/G22</f>
        <v>0.13492077096856853</v>
      </c>
      <c r="H28" s="31" t="s">
        <v>119</v>
      </c>
    </row>
    <row r="29" hidden="0" outlineLevel="0" collapsed="0">
      <c r="A29" s="31" t="s">
        <v>297</v>
      </c>
      <c r="B29" s="55">
        <f>B15/B22</f>
        <v>0</v>
      </c>
      <c r="C29" s="55">
        <f>C19/AVERAGE(B26,C26)</f>
        <v>0.16272924140599315</v>
      </c>
      <c r="D29" s="55">
        <f>D19/AVERAGE(C26,D26)</f>
        <v>0.15905908541666489</v>
      </c>
      <c r="E29" s="55">
        <f>E19/AVERAGE(D26,E26)</f>
        <v>0.1557429561426697</v>
      </c>
      <c r="F29" s="55">
        <f>F19/AVERAGE(E26,F26)</f>
        <v>0.15273671012970905</v>
      </c>
      <c r="G29" s="55">
        <f>G19/AVERAGE(F26,G26)</f>
        <v>0.1500031489412398</v>
      </c>
      <c r="H29" s="31" t="s">
        <v>119</v>
      </c>
    </row>
    <row r="30" hidden="0" outlineLevel="0" collapsed="0">
      <c r="A30" s="6" t="s">
        <v>305</v>
      </c>
      <c r="B30" s="53">
        <f>Historical!C13</f>
        <v>0.0357</v>
      </c>
      <c r="C30" s="54">
        <f>Assumptions!$E$20</f>
        <v>0.034</v>
      </c>
      <c r="D30" s="54">
        <f>Assumptions!$E$20</f>
        <v>0.034</v>
      </c>
      <c r="E30" s="54">
        <f>Assumptions!$E$20</f>
        <v>0.034</v>
      </c>
      <c r="F30" s="54">
        <f>Assumptions!$E$20</f>
        <v>0.034</v>
      </c>
      <c r="G30" s="54">
        <f>Assumptions!$E$20</f>
        <v>0.034</v>
      </c>
      <c r="H30" s="6" t="s">
        <v>119</v>
      </c>
    </row>
    <row r="31" hidden="0" outlineLevel="0" collapsed="0">
      <c r="A31" s="6" t="s">
        <v>149</v>
      </c>
      <c r="B31" s="53">
        <f>Historical!C14</f>
        <v>1.3441</v>
      </c>
      <c r="C31" s="54">
        <f>Assumptions!$E$21</f>
        <v>1.35</v>
      </c>
      <c r="D31" s="54">
        <f>Assumptions!$E$21</f>
        <v>1.35</v>
      </c>
      <c r="E31" s="54">
        <f>Assumptions!$E$21</f>
        <v>1.35</v>
      </c>
      <c r="F31" s="54">
        <f>Assumptions!$E$21</f>
        <v>1.35</v>
      </c>
      <c r="G31" s="54">
        <f>Assumptions!$E$21</f>
        <v>1.35</v>
      </c>
      <c r="H31" s="6" t="s">
        <v>119</v>
      </c>
    </row>
    <row r="32" hidden="0" outlineLevel="0" collapsed="0">
      <c r="A32" s="31" t="s">
        <v>55</v>
      </c>
      <c r="B32" s="32">
        <f>Historical!C5</f>
        <v>384657.718</v>
      </c>
      <c r="C32" s="32">
        <f>B32*(1+(Assumptions!$E$6*Assumptions!$E$19+Assumptions!$E$7*(1-Assumptions!$E$19)))</f>
        <v>408698.825375</v>
      </c>
      <c r="D32" s="32">
        <f>C32*(1+(Assumptions!$E$6*Assumptions!$E$19+Assumptions!$E$7*(1-Assumptions!$E$19)))</f>
        <v>434242.5019609375</v>
      </c>
      <c r="E32" s="32">
        <f>D32*(1+(Assumptions!$E$6*Assumptions!$E$19+Assumptions!$E$7*(1-Assumptions!$E$19)))</f>
        <v>461382.65833349613</v>
      </c>
      <c r="F32" s="32">
        <f>E32*(1+(Assumptions!$E$6*Assumptions!$E$19+Assumptions!$E$7*(1-Assumptions!$E$19)))</f>
        <v>490219.07447933964</v>
      </c>
      <c r="G32" s="32">
        <f>F32*(1+(Assumptions!$E$6*Assumptions!$E$19+Assumptions!$E$7*(1-Assumptions!$E$19)))</f>
        <v>520857.7666342984</v>
      </c>
      <c r="H32" s="31" t="s">
        <v>56</v>
      </c>
    </row>
    <row r="33" hidden="0" outlineLevel="0" collapsed="0">
      <c r="A33" s="4"/>
      <c r="B33" s="4"/>
      <c r="C33" s="4"/>
      <c r="D33" s="4"/>
      <c r="E33" s="4"/>
      <c r="F33" s="4"/>
      <c r="G33" s="4"/>
      <c r="H33" s="4"/>
    </row>
    <row r="34" hidden="0" outlineLevel="0" collapsed="0">
      <c r="A34" s="4"/>
      <c r="B34" s="4"/>
      <c r="C34" s="4"/>
      <c r="D34" s="4"/>
      <c r="E34" s="4"/>
      <c r="F34" s="4"/>
      <c r="G34" s="4"/>
      <c r="H34" s="4"/>
    </row>
    <row r="35" hidden="0" outlineLevel="0" collapsed="0">
      <c r="A35" s="4"/>
      <c r="B35" s="4"/>
      <c r="C35" s="4"/>
      <c r="D35" s="4"/>
      <c r="E35" s="4"/>
      <c r="F35" s="4"/>
      <c r="G35" s="4"/>
      <c r="H35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6" style="1" customWidth="1"/>
    <col min="2" max="2" width="12" style="1" customWidth="1"/>
    <col min="3" max="3" width="28" style="1" customWidth="1"/>
    <col min="4" max="4" width="52" style="1" customWidth="1"/>
    <col min="5" max="5" width="42" style="1" customWidth="1"/>
    <col min="6" max="6" width="28" style="1" customWidth="1"/>
    <col min="7" max="8" width="15" style="1" customWidth="1"/>
  </cols>
  <sheetData>
    <row r="1" ht="28" hidden="0" outlineLevel="0" collapsed="0">
      <c r="A1" s="2" t="s">
        <v>382</v>
      </c>
      <c r="B1" s="2" t="s">
        <v>382</v>
      </c>
      <c r="C1" s="2" t="s">
        <v>382</v>
      </c>
      <c r="D1" s="2" t="s">
        <v>382</v>
      </c>
      <c r="E1" s="2" t="s">
        <v>382</v>
      </c>
      <c r="F1" s="2" t="s">
        <v>382</v>
      </c>
    </row>
    <row r="2" ht="32" hidden="0" outlineLevel="0" collapsed="0">
      <c r="A2" s="3" t="s">
        <v>383</v>
      </c>
      <c r="B2" s="3" t="s">
        <v>383</v>
      </c>
      <c r="C2" s="3" t="s">
        <v>383</v>
      </c>
      <c r="D2" s="3" t="s">
        <v>383</v>
      </c>
      <c r="E2" s="3" t="s">
        <v>383</v>
      </c>
      <c r="F2" s="3" t="s">
        <v>383</v>
      </c>
    </row>
    <row r="3" hidden="0" outlineLevel="0" collapsed="0">
      <c r="A3" s="4"/>
      <c r="B3" s="4"/>
      <c r="C3" s="4"/>
      <c r="D3" s="4"/>
      <c r="E3" s="4"/>
      <c r="F3" s="4"/>
    </row>
    <row r="4" hidden="0" outlineLevel="0" collapsed="0">
      <c r="A4" s="5" t="s">
        <v>384</v>
      </c>
      <c r="B4" s="5" t="s">
        <v>385</v>
      </c>
      <c r="C4" s="5" t="s">
        <v>386</v>
      </c>
      <c r="D4" s="5" t="s">
        <v>387</v>
      </c>
      <c r="E4" s="5" t="s">
        <v>388</v>
      </c>
      <c r="F4" s="5" t="s">
        <v>389</v>
      </c>
    </row>
    <row r="5" ht="23.85" hidden="0" outlineLevel="0" collapsed="0">
      <c r="A5" s="12" t="s">
        <v>390</v>
      </c>
      <c r="B5" s="12" t="s">
        <v>391</v>
      </c>
      <c r="C5" s="12" t="s">
        <v>392</v>
      </c>
      <c r="D5" s="12" t="s">
        <v>393</v>
      </c>
      <c r="E5" s="12" t="s">
        <v>394</v>
      </c>
      <c r="F5" s="12" t="s">
        <v>395</v>
      </c>
    </row>
    <row r="6" hidden="0" outlineLevel="0" collapsed="0">
      <c r="A6" s="12" t="s">
        <v>390</v>
      </c>
      <c r="B6" s="12" t="s">
        <v>391</v>
      </c>
      <c r="C6" s="12" t="s">
        <v>392</v>
      </c>
      <c r="D6" s="12" t="s">
        <v>396</v>
      </c>
      <c r="E6" s="12" t="s">
        <v>397</v>
      </c>
      <c r="F6" s="12" t="s">
        <v>398</v>
      </c>
    </row>
    <row r="7" ht="23.85" hidden="0" outlineLevel="0" collapsed="0">
      <c r="A7" s="12" t="s">
        <v>390</v>
      </c>
      <c r="B7" s="12" t="s">
        <v>391</v>
      </c>
      <c r="C7" s="12" t="s">
        <v>392</v>
      </c>
      <c r="D7" s="12" t="s">
        <v>399</v>
      </c>
      <c r="E7" s="12" t="s">
        <v>400</v>
      </c>
      <c r="F7" s="12" t="s">
        <v>398</v>
      </c>
    </row>
    <row r="8" hidden="0" outlineLevel="0" collapsed="0">
      <c r="A8" s="12" t="s">
        <v>390</v>
      </c>
      <c r="B8" s="12" t="s">
        <v>391</v>
      </c>
      <c r="C8" s="12" t="s">
        <v>392</v>
      </c>
      <c r="D8" s="12" t="s">
        <v>401</v>
      </c>
      <c r="E8" s="12" t="s">
        <v>402</v>
      </c>
      <c r="F8" s="12" t="s">
        <v>398</v>
      </c>
    </row>
    <row r="9" hidden="0" outlineLevel="0" collapsed="0">
      <c r="A9" s="12" t="s">
        <v>390</v>
      </c>
      <c r="B9" s="12" t="s">
        <v>391</v>
      </c>
      <c r="C9" s="12" t="s">
        <v>392</v>
      </c>
      <c r="D9" s="12" t="s">
        <v>403</v>
      </c>
      <c r="E9" s="12" t="s">
        <v>404</v>
      </c>
      <c r="F9" s="12" t="s">
        <v>398</v>
      </c>
    </row>
    <row r="10" ht="23.85" hidden="0" outlineLevel="0" collapsed="0">
      <c r="A10" s="12" t="s">
        <v>390</v>
      </c>
      <c r="B10" s="12" t="s">
        <v>391</v>
      </c>
      <c r="C10" s="12" t="s">
        <v>392</v>
      </c>
      <c r="D10" s="12" t="s">
        <v>405</v>
      </c>
      <c r="E10" s="12" t="s">
        <v>406</v>
      </c>
      <c r="F10" s="12" t="s">
        <v>407</v>
      </c>
    </row>
    <row r="11" hidden="0" outlineLevel="0" collapsed="0">
      <c r="A11" s="4"/>
      <c r="B11" s="4"/>
      <c r="C11" s="4"/>
      <c r="D11" s="4"/>
      <c r="E11" s="4"/>
      <c r="F11" s="4"/>
    </row>
    <row r="12" hidden="0" outlineLevel="0" collapsed="0">
      <c r="A12" s="56" t="s">
        <v>408</v>
      </c>
      <c r="B12" s="56" t="s">
        <v>408</v>
      </c>
      <c r="C12" s="56" t="s">
        <v>408</v>
      </c>
      <c r="D12" s="56" t="s">
        <v>408</v>
      </c>
      <c r="E12" s="56" t="s">
        <v>408</v>
      </c>
      <c r="F12" s="56" t="s">
        <v>408</v>
      </c>
    </row>
    <row r="13" hidden="0" outlineLevel="0" collapsed="0">
      <c r="A13" s="56" t="s">
        <v>408</v>
      </c>
      <c r="B13" s="56" t="s">
        <v>408</v>
      </c>
      <c r="C13" s="56" t="s">
        <v>408</v>
      </c>
      <c r="D13" s="56" t="s">
        <v>408</v>
      </c>
      <c r="E13" s="56" t="s">
        <v>408</v>
      </c>
      <c r="F13" s="56" t="s">
        <v>408</v>
      </c>
    </row>
    <row r="14" hidden="0" outlineLevel="0" collapsed="0">
      <c r="A14" s="4">
        <v>46224</v>
      </c>
      <c r="B14" s="4" t="s">
        <v>409</v>
      </c>
      <c r="C14" s="4" t="s">
        <v>410</v>
      </c>
      <c r="D14" s="4" t="s">
        <v>411</v>
      </c>
      <c r="E14" s="4"/>
      <c r="F14" s="4"/>
    </row>
  </sheetData>
  <mergeCells count="3">
    <mergeCell ref="A1:F1"/>
    <mergeCell ref="A2:F2"/>
    <mergeCell ref="A12:F13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2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0" style="1" customWidth="1"/>
    <col min="2" max="2" width="12" style="1" customWidth="1"/>
    <col min="3" max="3" width="22" style="1" customWidth="1"/>
    <col min="4" max="4" width="18" style="1" customWidth="1"/>
    <col min="5" max="5" width="44" style="1" customWidth="1"/>
    <col min="6" max="6" width="46" style="1" customWidth="1"/>
    <col min="7" max="7" width="38" style="1" customWidth="1"/>
    <col min="8" max="8" width="15" style="1" customWidth="1"/>
  </cols>
  <sheetData>
    <row r="1" ht="28" hidden="0" outlineLevel="0" collapsed="0">
      <c r="A1" s="10" t="s">
        <v>412</v>
      </c>
      <c r="B1" s="10" t="s">
        <v>412</v>
      </c>
      <c r="C1" s="10" t="s">
        <v>412</v>
      </c>
      <c r="D1" s="10" t="s">
        <v>412</v>
      </c>
      <c r="E1" s="10" t="s">
        <v>412</v>
      </c>
      <c r="F1" s="10" t="s">
        <v>412</v>
      </c>
      <c r="G1" s="10" t="s">
        <v>412</v>
      </c>
      <c r="H1" s="10" t="s">
        <v>412</v>
      </c>
    </row>
    <row r="2" ht="32" hidden="0" outlineLevel="0" collapsed="0">
      <c r="A2" s="3" t="s">
        <v>413</v>
      </c>
      <c r="B2" s="3" t="s">
        <v>413</v>
      </c>
      <c r="C2" s="3" t="s">
        <v>413</v>
      </c>
      <c r="D2" s="3" t="s">
        <v>413</v>
      </c>
      <c r="E2" s="3" t="s">
        <v>413</v>
      </c>
      <c r="F2" s="3" t="s">
        <v>413</v>
      </c>
      <c r="G2" s="3" t="s">
        <v>413</v>
      </c>
      <c r="H2" s="3" t="s">
        <v>413</v>
      </c>
    </row>
    <row r="3" hidden="0" outlineLevel="0" collapsed="0">
      <c r="A3" s="11"/>
      <c r="B3" s="11"/>
      <c r="C3" s="11"/>
      <c r="D3" s="11"/>
      <c r="E3" s="11"/>
      <c r="F3" s="11"/>
      <c r="G3" s="11"/>
      <c r="H3" s="11"/>
    </row>
    <row r="4" hidden="0" outlineLevel="0" collapsed="0">
      <c r="A4" s="5" t="s">
        <v>414</v>
      </c>
      <c r="B4" s="5" t="s">
        <v>415</v>
      </c>
      <c r="C4" s="5" t="s">
        <v>416</v>
      </c>
      <c r="D4" s="5" t="s">
        <v>417</v>
      </c>
      <c r="E4" s="5" t="s">
        <v>418</v>
      </c>
      <c r="F4" s="5" t="s">
        <v>419</v>
      </c>
      <c r="G4" s="5" t="s">
        <v>420</v>
      </c>
      <c r="H4" s="5" t="s">
        <v>421</v>
      </c>
    </row>
    <row r="5" ht="23.85" hidden="0" outlineLevel="0" collapsed="0">
      <c r="A5" s="12" t="s">
        <v>422</v>
      </c>
      <c r="B5" s="12">
        <v>5</v>
      </c>
      <c r="C5" s="12" t="s">
        <v>423</v>
      </c>
      <c r="D5" s="12" t="s">
        <v>424</v>
      </c>
      <c r="E5" s="12" t="s">
        <v>425</v>
      </c>
      <c r="F5" s="12" t="s">
        <v>426</v>
      </c>
      <c r="G5" s="12" t="s">
        <v>427</v>
      </c>
      <c r="H5" s="12">
        <v>5</v>
      </c>
    </row>
    <row r="6" ht="23.85" hidden="0" outlineLevel="0" collapsed="0">
      <c r="A6" s="12" t="s">
        <v>428</v>
      </c>
      <c r="B6" s="12">
        <v>20</v>
      </c>
      <c r="C6" s="12" t="s">
        <v>423</v>
      </c>
      <c r="D6" s="12" t="s">
        <v>424</v>
      </c>
      <c r="E6" s="12" t="s">
        <v>429</v>
      </c>
      <c r="F6" s="12" t="s">
        <v>430</v>
      </c>
      <c r="G6" s="12" t="s">
        <v>431</v>
      </c>
      <c r="H6" s="12">
        <v>20</v>
      </c>
    </row>
    <row r="7" hidden="0" outlineLevel="0" collapsed="0">
      <c r="A7" s="12" t="s">
        <v>432</v>
      </c>
      <c r="B7" s="12">
        <v>15</v>
      </c>
      <c r="C7" s="12" t="s">
        <v>423</v>
      </c>
      <c r="D7" s="12" t="s">
        <v>424</v>
      </c>
      <c r="E7" s="12" t="s">
        <v>433</v>
      </c>
      <c r="F7" s="12" t="s">
        <v>426</v>
      </c>
      <c r="G7" s="12" t="s">
        <v>434</v>
      </c>
      <c r="H7" s="12">
        <v>15</v>
      </c>
    </row>
    <row r="8" hidden="0" outlineLevel="0" collapsed="0">
      <c r="A8" s="12" t="s">
        <v>435</v>
      </c>
      <c r="B8" s="12">
        <v>10</v>
      </c>
      <c r="C8" s="12" t="s">
        <v>423</v>
      </c>
      <c r="D8" s="12" t="s">
        <v>424</v>
      </c>
      <c r="E8" s="12" t="s">
        <v>436</v>
      </c>
      <c r="F8" s="12" t="s">
        <v>437</v>
      </c>
      <c r="G8" s="12" t="s">
        <v>438</v>
      </c>
      <c r="H8" s="12">
        <v>10</v>
      </c>
    </row>
    <row r="9" hidden="0" outlineLevel="0" collapsed="0">
      <c r="A9" s="12" t="s">
        <v>439</v>
      </c>
      <c r="B9" s="12">
        <v>15</v>
      </c>
      <c r="C9" s="12" t="s">
        <v>423</v>
      </c>
      <c r="D9" s="12" t="s">
        <v>424</v>
      </c>
      <c r="E9" s="12" t="s">
        <v>440</v>
      </c>
      <c r="F9" s="12" t="s">
        <v>426</v>
      </c>
      <c r="G9" s="12" t="s">
        <v>441</v>
      </c>
      <c r="H9" s="12">
        <v>15</v>
      </c>
    </row>
    <row r="10" hidden="0" outlineLevel="0" collapsed="0">
      <c r="A10" s="12" t="s">
        <v>442</v>
      </c>
      <c r="B10" s="12">
        <v>8</v>
      </c>
      <c r="C10" s="12" t="s">
        <v>423</v>
      </c>
      <c r="D10" s="12" t="s">
        <v>424</v>
      </c>
      <c r="E10" s="12" t="s">
        <v>443</v>
      </c>
      <c r="F10" s="12" t="s">
        <v>444</v>
      </c>
      <c r="G10" s="12" t="s">
        <v>445</v>
      </c>
      <c r="H10" s="12">
        <v>8</v>
      </c>
    </row>
    <row r="11" ht="23.85" hidden="0" outlineLevel="0" collapsed="0">
      <c r="A11" s="12" t="s">
        <v>446</v>
      </c>
      <c r="B11" s="12">
        <v>10</v>
      </c>
      <c r="C11" s="12" t="s">
        <v>423</v>
      </c>
      <c r="D11" s="12" t="s">
        <v>424</v>
      </c>
      <c r="E11" s="12" t="s">
        <v>447</v>
      </c>
      <c r="F11" s="12" t="s">
        <v>448</v>
      </c>
      <c r="G11" s="12" t="s">
        <v>449</v>
      </c>
      <c r="H11" s="12">
        <v>10</v>
      </c>
    </row>
    <row r="12" ht="35.05" hidden="0" outlineLevel="0" collapsed="0">
      <c r="A12" s="12" t="s">
        <v>450</v>
      </c>
      <c r="B12" s="12">
        <v>7</v>
      </c>
      <c r="C12" s="12" t="s">
        <v>423</v>
      </c>
      <c r="D12" s="12" t="s">
        <v>424</v>
      </c>
      <c r="E12" s="12" t="s">
        <v>451</v>
      </c>
      <c r="F12" s="12" t="s">
        <v>426</v>
      </c>
      <c r="G12" s="12" t="s">
        <v>452</v>
      </c>
      <c r="H12" s="12">
        <v>7</v>
      </c>
    </row>
    <row r="13" hidden="0" outlineLevel="0" collapsed="0">
      <c r="A13" s="12" t="s">
        <v>453</v>
      </c>
      <c r="B13" s="12">
        <v>5</v>
      </c>
      <c r="C13" s="12" t="s">
        <v>423</v>
      </c>
      <c r="D13" s="12" t="s">
        <v>424</v>
      </c>
      <c r="E13" s="12" t="s">
        <v>454</v>
      </c>
      <c r="F13" s="12" t="s">
        <v>455</v>
      </c>
      <c r="G13" s="12" t="s">
        <v>456</v>
      </c>
      <c r="H13" s="12">
        <v>5</v>
      </c>
    </row>
    <row r="14" hidden="0" outlineLevel="0" collapsed="0">
      <c r="A14" s="12" t="s">
        <v>457</v>
      </c>
      <c r="B14" s="12">
        <v>5</v>
      </c>
      <c r="C14" s="12" t="s">
        <v>423</v>
      </c>
      <c r="D14" s="12" t="s">
        <v>424</v>
      </c>
      <c r="E14" s="12" t="s">
        <v>458</v>
      </c>
      <c r="F14" s="12" t="s">
        <v>426</v>
      </c>
      <c r="G14" s="12" t="s">
        <v>459</v>
      </c>
      <c r="H14" s="12">
        <v>5</v>
      </c>
    </row>
    <row r="15" hidden="0" outlineLevel="0" collapsed="0">
      <c r="A15" s="57" t="s">
        <v>460</v>
      </c>
      <c r="B15" s="57"/>
      <c r="C15" s="57"/>
      <c r="D15" s="57"/>
      <c r="E15" s="57"/>
      <c r="F15" s="57"/>
      <c r="G15" s="57"/>
      <c r="H15" s="58">
        <f>SUM(H5:H14)</f>
        <v>100</v>
      </c>
    </row>
    <row r="16" ht="37.3" hidden="0" outlineLevel="0" collapsed="0">
      <c r="A16" s="59" t="s">
        <v>461</v>
      </c>
      <c r="B16" s="59"/>
      <c r="C16" s="59" t="str">
        <f>IF(AND(H15&gt;=90,COUNTIF(C5:C14,"PASS")=10),"SUBMITTED FOR INDEPENDENT 9/10 REVIEW","NOT READY")</f>
        <v>SUBMITTED FOR INDEPENDENT 9/10 REVIEW</v>
      </c>
      <c r="D16" s="59"/>
      <c r="E16" s="59"/>
      <c r="F16" s="59"/>
      <c r="G16" s="59"/>
      <c r="H16" s="59"/>
    </row>
    <row r="17" hidden="0" outlineLevel="0" collapsed="0">
      <c r="A17" s="11"/>
      <c r="B17" s="11"/>
      <c r="C17" s="11"/>
      <c r="D17" s="11"/>
      <c r="E17" s="11"/>
      <c r="F17" s="11"/>
      <c r="G17" s="11"/>
      <c r="H17" s="11"/>
    </row>
    <row r="18" hidden="0" outlineLevel="0" collapsed="0">
      <c r="A18" s="5" t="s">
        <v>462</v>
      </c>
      <c r="B18" s="5" t="s">
        <v>463</v>
      </c>
      <c r="C18" s="5" t="s">
        <v>385</v>
      </c>
      <c r="D18" s="5" t="s">
        <v>464</v>
      </c>
      <c r="E18" s="5" t="s">
        <v>465</v>
      </c>
      <c r="F18" s="5" t="s">
        <v>466</v>
      </c>
      <c r="G18" s="5" t="s">
        <v>467</v>
      </c>
      <c r="H18" s="5" t="s">
        <v>52</v>
      </c>
    </row>
    <row r="19" ht="35.05" hidden="0" outlineLevel="0" collapsed="0">
      <c r="A19" s="12" t="s">
        <v>468</v>
      </c>
      <c r="B19" s="12" t="s">
        <v>469</v>
      </c>
      <c r="C19" s="12" t="s">
        <v>470</v>
      </c>
      <c r="D19" s="60">
        <v>46220.0536416435</v>
      </c>
      <c r="E19" s="12" t="s">
        <v>423</v>
      </c>
      <c r="F19" s="12" t="s">
        <v>471</v>
      </c>
      <c r="G19" s="12" t="s">
        <v>426</v>
      </c>
      <c r="H19" s="12" t="s">
        <v>423</v>
      </c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ColWidth="8.375" defaultRowHeight="15"/>
  <sheetData>
    <row r="1">
      <c r="A1" t="s">
        <v>472</v>
      </c>
    </row>
    <row r="2">
      <c r="A2" t="s">
        <v>473</v>
      </c>
    </row>
    <row r="4">
      <c r="A4" t="s">
        <v>474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  <c r="G4" t="s">
        <v>480</v>
      </c>
    </row>
    <row r="5">
      <c r="A5" t="s">
        <v>481</v>
      </c>
    </row>
    <row r="6">
      <c r="A6" t="s">
        <v>482</v>
      </c>
      <c r="D6">
        <v>32825553</v>
      </c>
      <c r="E6">
        <v>30330439</v>
      </c>
      <c r="F6">
        <v>29236002</v>
      </c>
      <c r="G6" t="s">
        <v>483</v>
      </c>
    </row>
    <row r="7">
      <c r="A7" t="s">
        <v>484</v>
      </c>
      <c r="D7">
        <v>741684</v>
      </c>
      <c r="E7">
        <v>728238</v>
      </c>
      <c r="F7">
        <v>714677</v>
      </c>
      <c r="G7" t="s">
        <v>483</v>
      </c>
    </row>
    <row r="8">
      <c r="A8" t="s">
        <v>485</v>
      </c>
      <c r="D8">
        <v>33567237</v>
      </c>
      <c r="E8">
        <v>31058677</v>
      </c>
      <c r="F8">
        <v>29950679</v>
      </c>
      <c r="G8" t="s">
        <v>483</v>
      </c>
    </row>
    <row r="9">
      <c r="A9" t="s">
        <v>486</v>
      </c>
      <c r="D9">
        <v>103145</v>
      </c>
      <c r="E9">
        <v>130126</v>
      </c>
      <c r="F9">
        <v>100741</v>
      </c>
      <c r="G9" t="s">
        <v>483</v>
      </c>
    </row>
    <row r="10">
      <c r="A10" t="s">
        <v>487</v>
      </c>
      <c r="D10">
        <v>549219</v>
      </c>
      <c r="E10">
        <v>1665513</v>
      </c>
      <c r="F10">
        <v>1436106</v>
      </c>
      <c r="G10" t="s">
        <v>483</v>
      </c>
    </row>
    <row r="11">
      <c r="A11" t="s">
        <v>488</v>
      </c>
      <c r="D11">
        <v>34219601</v>
      </c>
      <c r="E11">
        <v>32854316</v>
      </c>
      <c r="F11">
        <v>31487526</v>
      </c>
      <c r="G11" t="s">
        <v>483</v>
      </c>
    </row>
    <row r="12">
      <c r="A12" t="s">
        <v>489</v>
      </c>
      <c r="D12">
        <v>-15430183</v>
      </c>
      <c r="E12">
        <v>-13687660</v>
      </c>
      <c r="F12">
        <v>-12061226</v>
      </c>
      <c r="G12" t="s">
        <v>483</v>
      </c>
    </row>
    <row r="13">
      <c r="A13" t="s">
        <v>490</v>
      </c>
      <c r="D13">
        <v>18789418</v>
      </c>
      <c r="E13">
        <v>19166656</v>
      </c>
      <c r="F13">
        <v>19426300</v>
      </c>
      <c r="G13" t="s">
        <v>483</v>
      </c>
    </row>
    <row r="14">
      <c r="A14" t="s">
        <v>491</v>
      </c>
      <c r="D14">
        <v>-7210390</v>
      </c>
      <c r="E14">
        <v>-4964893</v>
      </c>
      <c r="F14">
        <v>-4437432</v>
      </c>
      <c r="G14" t="s">
        <v>483</v>
      </c>
    </row>
    <row r="15">
      <c r="A15" t="s">
        <v>492</v>
      </c>
      <c r="D15">
        <v>19305</v>
      </c>
      <c r="E15">
        <v>-30708</v>
      </c>
      <c r="F15">
        <v>7514</v>
      </c>
      <c r="G15" t="s">
        <v>483</v>
      </c>
    </row>
    <row r="16">
      <c r="A16" t="s">
        <v>493</v>
      </c>
      <c r="D16">
        <v>-7191085</v>
      </c>
      <c r="E16">
        <v>-4995601</v>
      </c>
      <c r="F16">
        <v>-4429918</v>
      </c>
      <c r="G16" t="s">
        <v>483</v>
      </c>
    </row>
    <row r="17">
      <c r="A17" t="s">
        <v>494</v>
      </c>
      <c r="D17">
        <v>11598333</v>
      </c>
      <c r="E17">
        <v>14171055</v>
      </c>
      <c r="F17">
        <v>14996382</v>
      </c>
      <c r="G17" t="s">
        <v>483</v>
      </c>
    </row>
    <row r="19">
      <c r="A19" t="s">
        <v>495</v>
      </c>
      <c r="B19">
        <v>5293804</v>
      </c>
      <c r="C19">
        <v>6370526</v>
      </c>
      <c r="D19">
        <v>6547953</v>
      </c>
      <c r="E19">
        <v>7126512</v>
      </c>
      <c r="F19">
        <v>7928554</v>
      </c>
      <c r="G19" t="s">
        <v>496</v>
      </c>
    </row>
    <row r="20">
      <c r="A20" t="s">
        <v>497</v>
      </c>
      <c r="B20">
        <v>-1860683</v>
      </c>
      <c r="C20">
        <v>-2590166</v>
      </c>
      <c r="D20">
        <v>-2838383</v>
      </c>
      <c r="E20">
        <v>-3225382</v>
      </c>
      <c r="F20">
        <v>-3573610</v>
      </c>
      <c r="G20" t="s">
        <v>496</v>
      </c>
    </row>
    <row r="21">
      <c r="A21" t="s">
        <v>498</v>
      </c>
      <c r="D21">
        <v>3709570</v>
      </c>
      <c r="E21">
        <v>3901130</v>
      </c>
      <c r="F21">
        <v>4354944</v>
      </c>
      <c r="G21" t="s">
        <v>483</v>
      </c>
    </row>
    <row r="22">
      <c r="A22" t="s">
        <v>499</v>
      </c>
      <c r="D22">
        <v>3942712</v>
      </c>
      <c r="E22">
        <v>2976110</v>
      </c>
      <c r="F22">
        <v>3572074</v>
      </c>
      <c r="G22" t="s">
        <v>483</v>
      </c>
    </row>
    <row r="23">
      <c r="A23" t="s">
        <v>500</v>
      </c>
      <c r="D23">
        <v>196686</v>
      </c>
      <c r="E23">
        <v>93099</v>
      </c>
      <c r="F23">
        <v>693011</v>
      </c>
      <c r="G23" t="s">
        <v>483</v>
      </c>
    </row>
    <row r="24">
      <c r="A24" t="s">
        <v>501</v>
      </c>
      <c r="D24">
        <v>19447301</v>
      </c>
      <c r="E24">
        <v>21141394</v>
      </c>
      <c r="F24">
        <v>23616411</v>
      </c>
      <c r="G24" t="s">
        <v>483</v>
      </c>
    </row>
    <row r="26">
      <c r="A26" t="s">
        <v>502</v>
      </c>
    </row>
    <row r="27">
      <c r="A27" t="s">
        <v>503</v>
      </c>
      <c r="D27">
        <v>-4899283</v>
      </c>
      <c r="E27">
        <v>-5224723</v>
      </c>
      <c r="F27">
        <v>-5760122</v>
      </c>
      <c r="G27" t="s">
        <v>483</v>
      </c>
    </row>
    <row r="28">
      <c r="A28" t="s">
        <v>504</v>
      </c>
      <c r="D28">
        <v>-4614987</v>
      </c>
      <c r="E28">
        <v>-5035023</v>
      </c>
      <c r="F28">
        <v>-5599360</v>
      </c>
      <c r="G28" t="s">
        <v>483</v>
      </c>
    </row>
    <row r="29">
      <c r="A29" t="s">
        <v>505</v>
      </c>
      <c r="D29">
        <v>-1393216</v>
      </c>
      <c r="E29">
        <v>-1402064</v>
      </c>
      <c r="F29">
        <v>-1481323</v>
      </c>
      <c r="G29" t="s">
        <v>483</v>
      </c>
    </row>
    <row r="30">
      <c r="A30" t="s">
        <v>506</v>
      </c>
      <c r="D30">
        <v>-1017144</v>
      </c>
      <c r="E30">
        <v>-989336</v>
      </c>
      <c r="F30">
        <v>-1016301</v>
      </c>
      <c r="G30" t="s">
        <v>483</v>
      </c>
    </row>
    <row r="31">
      <c r="A31" t="s">
        <v>507</v>
      </c>
      <c r="D31">
        <v>-11924630</v>
      </c>
      <c r="E31">
        <v>-12651146</v>
      </c>
      <c r="F31">
        <v>-13857106</v>
      </c>
      <c r="G31" t="s">
        <v>483</v>
      </c>
    </row>
    <row r="32">
      <c r="A32" t="s">
        <v>508</v>
      </c>
      <c r="D32">
        <v>7522671</v>
      </c>
      <c r="E32">
        <v>8490248</v>
      </c>
      <c r="F32">
        <v>9759305</v>
      </c>
      <c r="G32" t="s">
        <v>483</v>
      </c>
    </row>
    <row r="33">
      <c r="A33" t="s">
        <v>509</v>
      </c>
      <c r="D33">
        <v>-1820293</v>
      </c>
      <c r="E33">
        <v>-2379852</v>
      </c>
      <c r="F33">
        <v>-2810966</v>
      </c>
      <c r="G33" t="s">
        <v>483</v>
      </c>
    </row>
    <row r="34">
      <c r="A34" t="s">
        <v>510</v>
      </c>
      <c r="D34">
        <v>5702378</v>
      </c>
      <c r="E34">
        <v>6110396</v>
      </c>
      <c r="F34">
        <v>6948339</v>
      </c>
      <c r="G34" t="s">
        <v>483</v>
      </c>
    </row>
    <row r="35">
      <c r="A35" t="s">
        <v>511</v>
      </c>
      <c r="D35">
        <v>512593</v>
      </c>
      <c r="E35">
        <v>255185</v>
      </c>
      <c r="F35">
        <v>-3006640</v>
      </c>
      <c r="G35" t="s">
        <v>512</v>
      </c>
    </row>
    <row r="36">
      <c r="A36" t="s">
        <v>295</v>
      </c>
      <c r="B36">
        <v>4207787</v>
      </c>
      <c r="C36">
        <v>6996365</v>
      </c>
      <c r="D36">
        <v>6214971</v>
      </c>
      <c r="E36">
        <v>6365581</v>
      </c>
      <c r="F36">
        <v>3941699</v>
      </c>
      <c r="G36" t="s">
        <v>513</v>
      </c>
    </row>
    <row r="37">
      <c r="A37" t="s">
        <v>514</v>
      </c>
      <c r="B37">
        <v>4086795</v>
      </c>
      <c r="C37">
        <v>6783490</v>
      </c>
      <c r="D37">
        <v>6116936</v>
      </c>
      <c r="E37">
        <v>6267744</v>
      </c>
      <c r="F37">
        <v>3820634</v>
      </c>
      <c r="G37" t="s">
        <v>515</v>
      </c>
    </row>
    <row r="38">
      <c r="A38" t="s">
        <v>516</v>
      </c>
      <c r="B38">
        <v>120992</v>
      </c>
      <c r="C38">
        <v>212875</v>
      </c>
      <c r="D38">
        <v>98035</v>
      </c>
      <c r="E38">
        <v>97837</v>
      </c>
      <c r="F38">
        <v>121065</v>
      </c>
      <c r="G38" t="s">
        <v>517</v>
      </c>
    </row>
    <row r="40">
      <c r="A40" t="s">
        <v>518</v>
      </c>
      <c r="B40">
        <v>4309</v>
      </c>
      <c r="C40">
        <v>7113</v>
      </c>
      <c r="D40">
        <v>6420</v>
      </c>
      <c r="E40">
        <v>6576</v>
      </c>
      <c r="F40">
        <v>4045</v>
      </c>
      <c r="G40" t="s">
        <v>519</v>
      </c>
    </row>
    <row r="41">
      <c r="A41" t="s">
        <v>520</v>
      </c>
      <c r="B41">
        <v>4309</v>
      </c>
      <c r="C41">
        <v>7113</v>
      </c>
      <c r="D41">
        <v>6420</v>
      </c>
      <c r="E41">
        <v>6576</v>
      </c>
      <c r="F41">
        <v>4045</v>
      </c>
      <c r="G41" t="s">
        <v>521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ColWidth="8.375" defaultRowHeight="15"/>
  <sheetData>
    <row r="1">
      <c r="A1" t="s">
        <v>522</v>
      </c>
    </row>
    <row r="2">
      <c r="A2" t="s">
        <v>523</v>
      </c>
    </row>
    <row r="4">
      <c r="A4" t="s">
        <v>474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  <c r="G4" t="s">
        <v>480</v>
      </c>
    </row>
    <row r="5">
      <c r="A5" t="s">
        <v>524</v>
      </c>
    </row>
    <row r="6">
      <c r="A6" t="s">
        <v>525</v>
      </c>
      <c r="B6">
        <v>25329846</v>
      </c>
      <c r="C6">
        <v>31645291</v>
      </c>
      <c r="D6">
        <v>39799609</v>
      </c>
      <c r="E6">
        <v>32844099</v>
      </c>
      <c r="F6">
        <v>29916400</v>
      </c>
      <c r="G6" t="s">
        <v>526</v>
      </c>
    </row>
    <row r="7">
      <c r="A7" t="s">
        <v>527</v>
      </c>
      <c r="B7">
        <v>29289301</v>
      </c>
      <c r="C7">
        <v>27940140</v>
      </c>
      <c r="D7">
        <v>25674195</v>
      </c>
      <c r="E7">
        <v>37570270</v>
      </c>
      <c r="F7">
        <v>34317259</v>
      </c>
      <c r="G7" t="s">
        <v>528</v>
      </c>
    </row>
    <row r="8">
      <c r="A8" t="s">
        <v>529</v>
      </c>
      <c r="B8">
        <v>2454005</v>
      </c>
      <c r="C8">
        <v>4961237</v>
      </c>
      <c r="D8">
        <v>6252270</v>
      </c>
      <c r="E8">
        <v>2938142</v>
      </c>
      <c r="F8">
        <v>4417863</v>
      </c>
      <c r="G8" t="s">
        <v>530</v>
      </c>
    </row>
    <row r="9">
      <c r="A9" t="s">
        <v>531</v>
      </c>
      <c r="C9">
        <v>254444099</v>
      </c>
      <c r="D9">
        <v>237728544</v>
      </c>
      <c r="E9">
        <v>263274170</v>
      </c>
      <c r="F9">
        <v>243100035</v>
      </c>
      <c r="G9" t="s">
        <v>532</v>
      </c>
    </row>
    <row r="10">
      <c r="A10" t="s">
        <v>533</v>
      </c>
      <c r="E10">
        <v>1106399</v>
      </c>
      <c r="F10">
        <v>666361</v>
      </c>
      <c r="G10" t="s">
        <v>534</v>
      </c>
    </row>
    <row r="11">
      <c r="A11" t="s">
        <v>535</v>
      </c>
      <c r="E11">
        <v>2928984</v>
      </c>
      <c r="F11">
        <v>3311506</v>
      </c>
      <c r="G11" t="s">
        <v>536</v>
      </c>
    </row>
    <row r="12">
      <c r="A12" t="s">
        <v>537</v>
      </c>
      <c r="B12">
        <v>3132220</v>
      </c>
      <c r="C12">
        <v>3994058</v>
      </c>
      <c r="D12">
        <v>4709911</v>
      </c>
      <c r="E12">
        <v>5580109</v>
      </c>
      <c r="F12">
        <v>6595407</v>
      </c>
      <c r="G12" t="s">
        <v>538</v>
      </c>
    </row>
    <row r="13">
      <c r="A13" t="s">
        <v>539</v>
      </c>
      <c r="B13">
        <v>5100652</v>
      </c>
      <c r="C13">
        <v>6727066</v>
      </c>
      <c r="D13">
        <v>6522534</v>
      </c>
      <c r="E13">
        <v>5906064</v>
      </c>
      <c r="F13">
        <v>5406874</v>
      </c>
      <c r="G13" t="s">
        <v>540</v>
      </c>
    </row>
    <row r="14">
      <c r="A14" t="s">
        <v>541</v>
      </c>
      <c r="B14">
        <v>1695865</v>
      </c>
      <c r="C14">
        <v>1827108</v>
      </c>
      <c r="D14">
        <v>1634045</v>
      </c>
      <c r="E14">
        <v>1757206</v>
      </c>
      <c r="F14">
        <v>1329718</v>
      </c>
      <c r="G14" t="s">
        <v>542</v>
      </c>
    </row>
    <row r="15">
      <c r="A15" t="s">
        <v>543</v>
      </c>
      <c r="B15">
        <v>8628772</v>
      </c>
      <c r="C15">
        <v>10439192</v>
      </c>
      <c r="D15">
        <v>8489697</v>
      </c>
      <c r="E15">
        <v>9767903</v>
      </c>
      <c r="F15">
        <v>2537180</v>
      </c>
      <c r="G15" t="s">
        <v>544</v>
      </c>
    </row>
    <row r="16">
      <c r="A16" t="s">
        <v>545</v>
      </c>
      <c r="E16">
        <v>763757</v>
      </c>
      <c r="F16">
        <v>1750097</v>
      </c>
      <c r="G16" t="s">
        <v>546</v>
      </c>
    </row>
    <row r="17">
      <c r="A17" t="s">
        <v>547</v>
      </c>
      <c r="E17">
        <v>0</v>
      </c>
      <c r="F17">
        <v>40309257</v>
      </c>
      <c r="G17" t="s">
        <v>548</v>
      </c>
    </row>
    <row r="18">
      <c r="A18" t="s">
        <v>549</v>
      </c>
      <c r="B18">
        <v>5751658</v>
      </c>
      <c r="C18">
        <v>6547866</v>
      </c>
      <c r="D18">
        <v>7528036</v>
      </c>
      <c r="E18">
        <v>7778279</v>
      </c>
      <c r="F18">
        <v>6094423</v>
      </c>
      <c r="G18" t="s">
        <v>550</v>
      </c>
    </row>
    <row r="19">
      <c r="A19" t="s">
        <v>551</v>
      </c>
      <c r="B19">
        <v>8472729</v>
      </c>
      <c r="C19">
        <v>4429434</v>
      </c>
      <c r="D19">
        <v>3589153</v>
      </c>
      <c r="G19" t="s">
        <v>552</v>
      </c>
    </row>
    <row r="20">
      <c r="A20" t="s">
        <v>553</v>
      </c>
      <c r="B20">
        <v>289855048</v>
      </c>
      <c r="C20">
        <v>352814733</v>
      </c>
      <c r="D20">
        <v>342928809</v>
      </c>
      <c r="E20">
        <v>372215382</v>
      </c>
      <c r="F20">
        <v>379752380</v>
      </c>
      <c r="G20" t="s">
        <v>554</v>
      </c>
    </row>
    <row r="22">
      <c r="A22" t="s">
        <v>555</v>
      </c>
    </row>
    <row r="23">
      <c r="A23" t="s">
        <v>556</v>
      </c>
      <c r="B23">
        <v>210390848</v>
      </c>
      <c r="C23">
        <v>250992323</v>
      </c>
      <c r="D23">
        <v>247941180</v>
      </c>
      <c r="E23">
        <v>279059401</v>
      </c>
      <c r="F23">
        <v>264413956</v>
      </c>
      <c r="G23" t="s">
        <v>557</v>
      </c>
    </row>
    <row r="24">
      <c r="A24" t="s">
        <v>558</v>
      </c>
      <c r="E24">
        <v>1776965</v>
      </c>
      <c r="F24">
        <v>706149</v>
      </c>
      <c r="G24" t="s">
        <v>559</v>
      </c>
    </row>
    <row r="25">
      <c r="A25" t="s">
        <v>560</v>
      </c>
      <c r="B25">
        <v>1961109</v>
      </c>
      <c r="C25">
        <v>4737454</v>
      </c>
      <c r="D25">
        <v>6710364</v>
      </c>
      <c r="E25">
        <v>2679643</v>
      </c>
      <c r="F25">
        <v>4514630</v>
      </c>
      <c r="G25" t="s">
        <v>561</v>
      </c>
    </row>
    <row r="26">
      <c r="A26" t="s">
        <v>562</v>
      </c>
      <c r="B26">
        <v>8551558</v>
      </c>
      <c r="C26">
        <v>19692638</v>
      </c>
      <c r="D26">
        <v>15648606</v>
      </c>
      <c r="E26">
        <v>15689532</v>
      </c>
      <c r="F26">
        <v>9356428</v>
      </c>
      <c r="G26" t="s">
        <v>563</v>
      </c>
    </row>
    <row r="27">
      <c r="A27" t="s">
        <v>564</v>
      </c>
      <c r="E27">
        <v>11275216</v>
      </c>
      <c r="F27">
        <v>7409693</v>
      </c>
      <c r="G27" t="s">
        <v>565</v>
      </c>
    </row>
    <row r="28">
      <c r="A28" t="s">
        <v>566</v>
      </c>
      <c r="B28">
        <v>1819077</v>
      </c>
      <c r="C28">
        <v>1900268</v>
      </c>
      <c r="D28">
        <v>1773610</v>
      </c>
      <c r="E28">
        <v>1889364</v>
      </c>
      <c r="F28">
        <v>1325039</v>
      </c>
      <c r="G28" t="s">
        <v>567</v>
      </c>
    </row>
    <row r="29">
      <c r="A29" t="s">
        <v>568</v>
      </c>
      <c r="E29">
        <v>584204</v>
      </c>
      <c r="F29">
        <v>583477</v>
      </c>
      <c r="G29" t="s">
        <v>569</v>
      </c>
    </row>
    <row r="30">
      <c r="A30" t="s">
        <v>570</v>
      </c>
      <c r="B30">
        <v>261653</v>
      </c>
      <c r="C30">
        <v>965180</v>
      </c>
      <c r="D30">
        <v>164339</v>
      </c>
      <c r="E30">
        <v>156162</v>
      </c>
      <c r="F30">
        <v>701452</v>
      </c>
      <c r="G30" t="s">
        <v>571</v>
      </c>
    </row>
    <row r="31">
      <c r="A31" t="s">
        <v>545</v>
      </c>
      <c r="E31">
        <v>2578504</v>
      </c>
      <c r="F31">
        <v>2903375</v>
      </c>
      <c r="G31" t="s">
        <v>572</v>
      </c>
    </row>
    <row r="32">
      <c r="A32" t="s">
        <v>573</v>
      </c>
      <c r="E32">
        <v>951555</v>
      </c>
      <c r="F32">
        <v>947610</v>
      </c>
      <c r="G32" t="s">
        <v>569</v>
      </c>
    </row>
    <row r="33">
      <c r="A33" t="s">
        <v>574</v>
      </c>
      <c r="E33">
        <v>0</v>
      </c>
      <c r="F33">
        <v>34416684</v>
      </c>
      <c r="G33" t="s">
        <v>548</v>
      </c>
    </row>
    <row r="34">
      <c r="A34" t="s">
        <v>575</v>
      </c>
      <c r="B34">
        <v>7762724</v>
      </c>
      <c r="C34">
        <v>11879211</v>
      </c>
      <c r="D34">
        <v>12648581</v>
      </c>
      <c r="E34">
        <v>10990561</v>
      </c>
      <c r="F34">
        <v>11478253</v>
      </c>
      <c r="G34" t="s">
        <v>576</v>
      </c>
    </row>
    <row r="35">
      <c r="A35" t="s">
        <v>577</v>
      </c>
      <c r="B35">
        <v>25182621</v>
      </c>
      <c r="C35">
        <v>23649108</v>
      </c>
      <c r="D35">
        <v>19993770</v>
      </c>
      <c r="G35" t="s">
        <v>578</v>
      </c>
    </row>
    <row r="36">
      <c r="A36" t="s">
        <v>579</v>
      </c>
      <c r="B36">
        <v>255929590</v>
      </c>
      <c r="C36">
        <v>312817182</v>
      </c>
      <c r="D36">
        <v>303879080</v>
      </c>
      <c r="E36">
        <v>327631107</v>
      </c>
      <c r="F36">
        <v>338756746</v>
      </c>
      <c r="G36" t="s">
        <v>580</v>
      </c>
    </row>
    <row r="38">
      <c r="A38" t="s">
        <v>581</v>
      </c>
    </row>
    <row r="39">
      <c r="A39" t="s">
        <v>582</v>
      </c>
      <c r="B39">
        <v>480914</v>
      </c>
      <c r="C39">
        <v>480914</v>
      </c>
      <c r="D39">
        <v>480914</v>
      </c>
      <c r="E39">
        <v>480914</v>
      </c>
      <c r="F39">
        <v>480914</v>
      </c>
      <c r="G39" t="s">
        <v>583</v>
      </c>
    </row>
    <row r="40">
      <c r="A40" t="s">
        <v>584</v>
      </c>
      <c r="B40">
        <v>4857454</v>
      </c>
      <c r="C40">
        <v>4857454</v>
      </c>
      <c r="D40">
        <v>4857454</v>
      </c>
      <c r="E40">
        <v>4857454</v>
      </c>
      <c r="F40">
        <v>4857491</v>
      </c>
      <c r="G40" t="s">
        <v>585</v>
      </c>
    </row>
    <row r="41">
      <c r="A41" t="s">
        <v>586</v>
      </c>
      <c r="B41">
        <v>14661007</v>
      </c>
      <c r="C41">
        <v>15930665</v>
      </c>
      <c r="D41">
        <v>20044769</v>
      </c>
      <c r="E41">
        <v>22575837</v>
      </c>
      <c r="F41">
        <v>23436138</v>
      </c>
      <c r="G41" t="s">
        <v>587</v>
      </c>
    </row>
    <row r="42">
      <c r="A42" t="s">
        <v>588</v>
      </c>
      <c r="B42">
        <v>3273788</v>
      </c>
      <c r="C42">
        <v>3278164</v>
      </c>
      <c r="D42">
        <v>2515278</v>
      </c>
      <c r="E42">
        <v>2715313</v>
      </c>
      <c r="F42">
        <v>3376023</v>
      </c>
      <c r="G42" t="s">
        <v>589</v>
      </c>
    </row>
    <row r="43">
      <c r="A43" t="s">
        <v>514</v>
      </c>
      <c r="B43">
        <v>4086795</v>
      </c>
      <c r="C43">
        <v>6783490</v>
      </c>
      <c r="D43">
        <v>6116936</v>
      </c>
      <c r="E43">
        <v>6267744</v>
      </c>
      <c r="F43">
        <v>3820634</v>
      </c>
      <c r="G43" t="s">
        <v>590</v>
      </c>
    </row>
    <row r="44">
      <c r="A44" t="s">
        <v>591</v>
      </c>
      <c r="B44">
        <v>4874389</v>
      </c>
      <c r="C44">
        <v>7758216</v>
      </c>
      <c r="D44">
        <v>4074161</v>
      </c>
      <c r="E44">
        <v>6645206</v>
      </c>
      <c r="F44">
        <v>3783433</v>
      </c>
      <c r="G44" t="s">
        <v>592</v>
      </c>
    </row>
    <row r="45">
      <c r="A45" t="s">
        <v>593</v>
      </c>
      <c r="B45">
        <v>32234347</v>
      </c>
      <c r="C45">
        <v>39088903</v>
      </c>
      <c r="D45">
        <v>38089512</v>
      </c>
      <c r="E45">
        <v>43542468</v>
      </c>
      <c r="F45">
        <v>39754633</v>
      </c>
      <c r="G45" t="s">
        <v>594</v>
      </c>
    </row>
    <row r="46">
      <c r="A46" t="s">
        <v>516</v>
      </c>
      <c r="B46">
        <v>1691111</v>
      </c>
      <c r="C46">
        <v>908648</v>
      </c>
      <c r="D46">
        <v>960217</v>
      </c>
      <c r="E46">
        <v>1041807</v>
      </c>
      <c r="F46">
        <v>1241001</v>
      </c>
      <c r="G46" t="s">
        <v>595</v>
      </c>
    </row>
    <row r="47">
      <c r="A47" t="s">
        <v>596</v>
      </c>
      <c r="B47">
        <v>33925458</v>
      </c>
      <c r="C47">
        <v>39997551</v>
      </c>
      <c r="D47">
        <v>39049729</v>
      </c>
      <c r="E47">
        <v>44584275</v>
      </c>
      <c r="F47">
        <v>40995634</v>
      </c>
      <c r="G47" t="s">
        <v>597</v>
      </c>
    </row>
    <row r="48">
      <c r="A48" t="s">
        <v>598</v>
      </c>
      <c r="B48">
        <v>289855048</v>
      </c>
      <c r="C48">
        <v>352814733</v>
      </c>
      <c r="D48">
        <v>342928809</v>
      </c>
      <c r="E48">
        <v>372215382</v>
      </c>
      <c r="F48">
        <v>379752380</v>
      </c>
      <c r="G48" t="s">
        <v>599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ColWidth="8.375" defaultRowHeight="15"/>
  <sheetData>
    <row r="1">
      <c r="A1" t="s">
        <v>600</v>
      </c>
    </row>
    <row r="2">
      <c r="A2" t="s">
        <v>601</v>
      </c>
    </row>
    <row r="4">
      <c r="A4" t="s">
        <v>474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  <c r="G4" t="s">
        <v>480</v>
      </c>
    </row>
    <row r="5">
      <c r="A5" t="s">
        <v>602</v>
      </c>
    </row>
    <row r="6">
      <c r="A6" t="s">
        <v>295</v>
      </c>
      <c r="D6">
        <v>6214971</v>
      </c>
      <c r="E6">
        <v>6365581</v>
      </c>
      <c r="F6">
        <v>3941699</v>
      </c>
      <c r="G6" t="s">
        <v>603</v>
      </c>
    </row>
    <row r="7">
      <c r="A7" t="s">
        <v>604</v>
      </c>
      <c r="D7">
        <v>1082838</v>
      </c>
      <c r="E7">
        <v>1011455</v>
      </c>
      <c r="F7">
        <v>1055991</v>
      </c>
      <c r="G7" t="s">
        <v>603</v>
      </c>
    </row>
    <row r="8">
      <c r="A8" t="s">
        <v>605</v>
      </c>
      <c r="D8">
        <v>7461479</v>
      </c>
      <c r="E8">
        <v>5413652</v>
      </c>
      <c r="F8">
        <v>4620893</v>
      </c>
      <c r="G8" t="s">
        <v>603</v>
      </c>
    </row>
    <row r="9">
      <c r="A9" t="s">
        <v>606</v>
      </c>
      <c r="D9">
        <v>-1988166</v>
      </c>
      <c r="E9">
        <v>-8401726</v>
      </c>
      <c r="F9">
        <v>-3004255</v>
      </c>
      <c r="G9" t="s">
        <v>603</v>
      </c>
    </row>
    <row r="10">
      <c r="A10" t="s">
        <v>607</v>
      </c>
      <c r="D10">
        <v>-10554946</v>
      </c>
      <c r="E10">
        <v>-21622099</v>
      </c>
      <c r="F10">
        <v>-27306897</v>
      </c>
      <c r="G10" t="s">
        <v>603</v>
      </c>
    </row>
    <row r="11">
      <c r="A11" t="s">
        <v>608</v>
      </c>
      <c r="D11">
        <v>17025357</v>
      </c>
      <c r="E11">
        <v>18329816</v>
      </c>
      <c r="F11">
        <v>27999206</v>
      </c>
      <c r="G11" t="s">
        <v>603</v>
      </c>
    </row>
    <row r="12">
      <c r="A12" t="s">
        <v>609</v>
      </c>
      <c r="D12">
        <v>34702410</v>
      </c>
      <c r="E12">
        <v>33225177</v>
      </c>
      <c r="F12">
        <v>31802060</v>
      </c>
      <c r="G12" t="s">
        <v>603</v>
      </c>
    </row>
    <row r="13">
      <c r="A13" t="s">
        <v>610</v>
      </c>
      <c r="D13">
        <v>-15978748</v>
      </c>
      <c r="E13">
        <v>-14982367</v>
      </c>
      <c r="F13">
        <v>-13299951</v>
      </c>
      <c r="G13" t="s">
        <v>603</v>
      </c>
    </row>
    <row r="14">
      <c r="A14" t="s">
        <v>611</v>
      </c>
      <c r="D14">
        <v>-2737511</v>
      </c>
      <c r="E14">
        <v>-1954871</v>
      </c>
      <c r="F14">
        <v>-2417279</v>
      </c>
      <c r="G14" t="s">
        <v>603</v>
      </c>
    </row>
    <row r="15">
      <c r="A15" t="s">
        <v>612</v>
      </c>
      <c r="D15">
        <v>-16074600</v>
      </c>
      <c r="E15">
        <v>-16948723</v>
      </c>
      <c r="F15">
        <v>-11132522</v>
      </c>
      <c r="G15" t="s">
        <v>613</v>
      </c>
    </row>
    <row r="16">
      <c r="A16" t="s">
        <v>614</v>
      </c>
      <c r="B16">
        <v>6095305</v>
      </c>
      <c r="C16">
        <v>6564226</v>
      </c>
      <c r="D16">
        <v>19153084</v>
      </c>
      <c r="E16">
        <v>435895</v>
      </c>
      <c r="F16">
        <v>12258945</v>
      </c>
      <c r="G16" t="s">
        <v>615</v>
      </c>
    </row>
    <row r="18">
      <c r="A18" t="s">
        <v>616</v>
      </c>
    </row>
    <row r="19">
      <c r="A19" t="s">
        <v>617</v>
      </c>
      <c r="G19" t="s">
        <v>603</v>
      </c>
    </row>
    <row r="20">
      <c r="A20" t="s">
        <v>618</v>
      </c>
      <c r="D20">
        <v>2418578</v>
      </c>
      <c r="E20">
        <v>1271980</v>
      </c>
      <c r="F20">
        <v>-192891</v>
      </c>
      <c r="G20" t="s">
        <v>603</v>
      </c>
    </row>
    <row r="21">
      <c r="A21" t="s">
        <v>619</v>
      </c>
      <c r="D21">
        <v>-2226799</v>
      </c>
      <c r="E21">
        <v>-1628064</v>
      </c>
      <c r="F21">
        <v>-1748105</v>
      </c>
      <c r="G21" t="s">
        <v>603</v>
      </c>
    </row>
    <row r="22">
      <c r="A22" t="s">
        <v>620</v>
      </c>
      <c r="D22">
        <v>-351468</v>
      </c>
      <c r="E22">
        <v>-203112</v>
      </c>
      <c r="F22">
        <v>-275097</v>
      </c>
      <c r="G22" t="s">
        <v>603</v>
      </c>
    </row>
    <row r="23">
      <c r="A23" t="s">
        <v>621</v>
      </c>
      <c r="D23">
        <v>0</v>
      </c>
      <c r="E23">
        <v>0</v>
      </c>
      <c r="F23">
        <v>0</v>
      </c>
      <c r="G23" t="s">
        <v>622</v>
      </c>
    </row>
    <row r="24">
      <c r="A24" t="s">
        <v>623</v>
      </c>
      <c r="B24">
        <v>-650486</v>
      </c>
      <c r="C24">
        <v>-4654502</v>
      </c>
      <c r="D24">
        <v>-159689</v>
      </c>
      <c r="E24">
        <v>-559196</v>
      </c>
      <c r="F24">
        <v>-2216093</v>
      </c>
      <c r="G24" t="s">
        <v>624</v>
      </c>
    </row>
    <row r="26">
      <c r="A26" t="s">
        <v>625</v>
      </c>
    </row>
    <row r="27">
      <c r="A27" t="s">
        <v>626</v>
      </c>
      <c r="D27">
        <v>304846</v>
      </c>
      <c r="E27">
        <v>550584</v>
      </c>
      <c r="F27">
        <v>34012</v>
      </c>
      <c r="G27" t="s">
        <v>603</v>
      </c>
    </row>
    <row r="28">
      <c r="A28" t="s">
        <v>627</v>
      </c>
      <c r="D28">
        <v>9855033</v>
      </c>
      <c r="E28">
        <v>9416739</v>
      </c>
      <c r="F28">
        <v>7454602</v>
      </c>
      <c r="G28" t="s">
        <v>603</v>
      </c>
    </row>
    <row r="29">
      <c r="A29" t="s">
        <v>628</v>
      </c>
      <c r="D29">
        <v>-9921582</v>
      </c>
      <c r="E29">
        <v>-10496891</v>
      </c>
      <c r="F29">
        <v>-10808762</v>
      </c>
      <c r="G29" t="s">
        <v>603</v>
      </c>
    </row>
    <row r="30">
      <c r="A30" t="s">
        <v>629</v>
      </c>
      <c r="D30">
        <v>-182596</v>
      </c>
      <c r="E30">
        <v>-174818</v>
      </c>
      <c r="F30">
        <v>-203415</v>
      </c>
      <c r="G30" t="s">
        <v>603</v>
      </c>
    </row>
    <row r="31">
      <c r="A31" t="s">
        <v>630</v>
      </c>
      <c r="D31">
        <v>1781728</v>
      </c>
      <c r="E31">
        <v>4155253</v>
      </c>
      <c r="F31">
        <v>2540893</v>
      </c>
      <c r="G31" t="s">
        <v>603</v>
      </c>
    </row>
    <row r="32">
      <c r="A32" t="s">
        <v>631</v>
      </c>
      <c r="D32">
        <v>-3928673</v>
      </c>
      <c r="E32">
        <v>-9276962</v>
      </c>
      <c r="F32">
        <v>-1618031</v>
      </c>
      <c r="G32" t="s">
        <v>603</v>
      </c>
    </row>
    <row r="33">
      <c r="A33" t="s">
        <v>632</v>
      </c>
      <c r="D33">
        <v>-3298183</v>
      </c>
      <c r="E33">
        <v>-3398756</v>
      </c>
      <c r="F33">
        <v>-5196645</v>
      </c>
      <c r="G33" t="s">
        <v>603</v>
      </c>
    </row>
    <row r="34">
      <c r="A34" t="s">
        <v>633</v>
      </c>
      <c r="D34">
        <v>0</v>
      </c>
      <c r="E34">
        <v>0</v>
      </c>
      <c r="F34">
        <v>-431418</v>
      </c>
      <c r="G34" t="s">
        <v>603</v>
      </c>
    </row>
    <row r="35">
      <c r="A35" t="s">
        <v>634</v>
      </c>
      <c r="D35">
        <v>-41245</v>
      </c>
      <c r="E35">
        <v>-19525</v>
      </c>
      <c r="F35">
        <v>-18086</v>
      </c>
      <c r="G35" t="s">
        <v>603</v>
      </c>
    </row>
    <row r="36">
      <c r="A36" t="s">
        <v>635</v>
      </c>
      <c r="B36">
        <v>-6809972</v>
      </c>
      <c r="C36">
        <v>853436</v>
      </c>
      <c r="D36">
        <v>-5430672</v>
      </c>
      <c r="E36">
        <v>-9244376</v>
      </c>
      <c r="F36">
        <v>-8246850</v>
      </c>
      <c r="G36" t="s">
        <v>636</v>
      </c>
    </row>
    <row r="38">
      <c r="A38" t="s">
        <v>637</v>
      </c>
      <c r="B38">
        <v>2993850</v>
      </c>
      <c r="C38">
        <v>3552285</v>
      </c>
      <c r="D38">
        <v>-5408405</v>
      </c>
      <c r="E38">
        <v>2412167</v>
      </c>
      <c r="F38">
        <v>-1205941</v>
      </c>
      <c r="G38" t="s">
        <v>638</v>
      </c>
    </row>
    <row r="39">
      <c r="A39" t="s">
        <v>639</v>
      </c>
      <c r="B39">
        <v>-1365153</v>
      </c>
      <c r="C39">
        <v>2763160</v>
      </c>
      <c r="D39">
        <v>13562723</v>
      </c>
      <c r="E39">
        <v>-9367677</v>
      </c>
      <c r="F39">
        <v>1796002</v>
      </c>
      <c r="G39" t="s">
        <v>640</v>
      </c>
    </row>
    <row r="40">
      <c r="A40" t="s">
        <v>641</v>
      </c>
      <c r="B40">
        <v>1628697</v>
      </c>
      <c r="C40">
        <v>6315445</v>
      </c>
      <c r="D40">
        <v>8154318</v>
      </c>
      <c r="E40">
        <v>-6955510</v>
      </c>
      <c r="F40">
        <v>590061</v>
      </c>
      <c r="G40" t="s">
        <v>642</v>
      </c>
    </row>
    <row r="41">
      <c r="A41" t="s">
        <v>643</v>
      </c>
      <c r="B41">
        <v>23701149</v>
      </c>
      <c r="C41">
        <v>25329846</v>
      </c>
      <c r="D41">
        <v>31645291</v>
      </c>
      <c r="E41">
        <v>39799609</v>
      </c>
      <c r="F41">
        <v>32844099</v>
      </c>
      <c r="G41" t="s">
        <v>644</v>
      </c>
    </row>
    <row r="42">
      <c r="A42" t="s">
        <v>645</v>
      </c>
      <c r="B42">
        <v>25329846</v>
      </c>
      <c r="C42">
        <v>31645291</v>
      </c>
      <c r="D42">
        <v>39799609</v>
      </c>
      <c r="E42">
        <v>32844099</v>
      </c>
      <c r="F42">
        <v>33434160</v>
      </c>
      <c r="G42" t="s">
        <v>646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ColWidth="8.375" defaultRowHeight="15"/>
  <sheetData>
    <row r="1">
      <c r="A1" t="s">
        <v>647</v>
      </c>
    </row>
    <row r="2">
      <c r="A2" t="s">
        <v>648</v>
      </c>
    </row>
    <row r="4">
      <c r="A4" t="s">
        <v>474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  <c r="G4" t="s">
        <v>480</v>
      </c>
    </row>
    <row r="5">
      <c r="A5" t="s">
        <v>649</v>
      </c>
      <c r="B5">
        <v>28115213</v>
      </c>
      <c r="C5">
        <v>33925458</v>
      </c>
      <c r="D5">
        <v>39997551</v>
      </c>
      <c r="E5">
        <v>39049729</v>
      </c>
      <c r="F5">
        <v>44584275</v>
      </c>
      <c r="G5" t="s">
        <v>650</v>
      </c>
    </row>
    <row r="6">
      <c r="A6" t="s">
        <v>651</v>
      </c>
      <c r="B6">
        <v>4207787</v>
      </c>
      <c r="C6">
        <v>6996365</v>
      </c>
      <c r="D6">
        <v>6214971</v>
      </c>
      <c r="E6">
        <v>6365581</v>
      </c>
      <c r="F6">
        <v>3941699</v>
      </c>
      <c r="G6" t="s">
        <v>652</v>
      </c>
    </row>
    <row r="7">
      <c r="A7" t="s">
        <v>653</v>
      </c>
      <c r="B7">
        <v>1814640</v>
      </c>
      <c r="C7">
        <v>2889849</v>
      </c>
      <c r="D7">
        <v>-3720257</v>
      </c>
      <c r="E7">
        <v>2593244</v>
      </c>
      <c r="F7">
        <v>-2851586</v>
      </c>
      <c r="G7" t="s">
        <v>654</v>
      </c>
    </row>
    <row r="8">
      <c r="A8" t="s">
        <v>655</v>
      </c>
      <c r="B8">
        <v>-192374</v>
      </c>
      <c r="C8">
        <v>-2943199</v>
      </c>
      <c r="D8">
        <v>-3343319</v>
      </c>
      <c r="E8">
        <v>-3343319</v>
      </c>
      <c r="F8">
        <v>-4293604</v>
      </c>
      <c r="G8" t="s">
        <v>656</v>
      </c>
    </row>
    <row r="9">
      <c r="A9" t="s">
        <v>657</v>
      </c>
      <c r="F9">
        <v>-431418</v>
      </c>
      <c r="G9" t="s">
        <v>658</v>
      </c>
    </row>
    <row r="10">
      <c r="A10" t="s">
        <v>659</v>
      </c>
      <c r="B10">
        <v>-19808</v>
      </c>
      <c r="C10">
        <v>-870922</v>
      </c>
      <c r="D10">
        <v>-99217</v>
      </c>
      <c r="E10">
        <v>-80960</v>
      </c>
      <c r="F10">
        <v>46268</v>
      </c>
      <c r="G10" t="s">
        <v>660</v>
      </c>
    </row>
    <row r="11">
      <c r="A11" t="s">
        <v>661</v>
      </c>
      <c r="B11">
        <v>33925458</v>
      </c>
      <c r="C11">
        <v>39997551</v>
      </c>
      <c r="D11">
        <v>39049729</v>
      </c>
      <c r="E11">
        <v>44584275</v>
      </c>
      <c r="F11">
        <v>40995634</v>
      </c>
      <c r="G11" t="s">
        <v>662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ColWidth="8.375" defaultRowHeight="15"/>
  <sheetData>
    <row r="1">
      <c r="A1" t="s">
        <v>663</v>
      </c>
    </row>
    <row r="2">
      <c r="A2" t="s">
        <v>664</v>
      </c>
    </row>
    <row r="4">
      <c r="A4" t="s">
        <v>665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</row>
    <row r="5">
      <c r="A5" t="s">
        <v>666</v>
      </c>
      <c r="B5">
        <v>3981.16</v>
      </c>
      <c r="C5">
        <v>4810.2</v>
      </c>
      <c r="D5">
        <v>3822.05</v>
      </c>
      <c r="E5">
        <v>4409.15</v>
      </c>
      <c r="F5">
        <v>3757.08</v>
      </c>
    </row>
    <row r="6">
      <c r="A6" t="s">
        <v>667</v>
      </c>
      <c r="B6">
        <v>3747.24</v>
      </c>
      <c r="C6">
        <v>4257.12</v>
      </c>
      <c r="D6">
        <v>4330.14</v>
      </c>
      <c r="E6">
        <v>4073.75</v>
      </c>
      <c r="F6">
        <v>4052.86</v>
      </c>
    </row>
    <row r="8">
      <c r="A8" t="s">
        <v>668</v>
      </c>
    </row>
    <row r="9">
      <c r="A9" t="s">
        <v>669</v>
      </c>
      <c r="B9">
        <f>BS_Hist!B20/B5</f>
        <v>72806.68146972239</v>
      </c>
      <c r="C9">
        <f>BS_Hist!C20/C5</f>
        <v>73347.20656105776</v>
      </c>
      <c r="D9">
        <f>BS_Hist!D20/D5</f>
        <v>89723.7893277168</v>
      </c>
      <c r="E9">
        <f>BS_Hist!E20/E5</f>
        <v>84418.85215971334</v>
      </c>
      <c r="F9">
        <f>BS_Hist!F20/F5</f>
        <v>101076.46895993697</v>
      </c>
    </row>
    <row r="10">
      <c r="A10" t="s">
        <v>670</v>
      </c>
      <c r="B10">
        <f>BS_Hist!B47/B5</f>
        <v>8521.5007686202</v>
      </c>
      <c r="C10">
        <f>BS_Hist!C47/C5</f>
        <v>8315.153423974056</v>
      </c>
      <c r="D10">
        <f>BS_Hist!D47/D5</f>
        <v>10216.959223453381</v>
      </c>
      <c r="E10">
        <f>BS_Hist!E47/E5</f>
        <v>10111.761904221903</v>
      </c>
      <c r="F10">
        <f>BS_Hist!F47/F5</f>
        <v>10911.568026233139</v>
      </c>
    </row>
    <row r="11">
      <c r="A11" t="s">
        <v>671</v>
      </c>
      <c r="B11">
        <f>IS_Hist!B36/B6</f>
        <v>1122.9029899339248</v>
      </c>
      <c r="C11">
        <f>IS_Hist!C36/C6</f>
        <v>1643.4502668470705</v>
      </c>
      <c r="D11">
        <f>IS_Hist!D36/D6</f>
        <v>1435.281769180673</v>
      </c>
      <c r="E11">
        <f>IS_Hist!E36/E6</f>
        <v>1562.5850874501382</v>
      </c>
      <c r="F11">
        <f>IS_Hist!F36/F6</f>
        <v>972.5722082677418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ColWidth="8.375" defaultRowHeight="15"/>
  <sheetData>
    <row r="1">
      <c r="A1" t="s">
        <v>672</v>
      </c>
    </row>
    <row r="3">
      <c r="A3" t="s">
        <v>673</v>
      </c>
      <c r="C3" t="str">
        <f>IF(COUNTIF(H5:H25,"FAIL")=0,"OK - ALL TIE-OUTS PASS (1 disclosed reconciling item, see note row)","FAIL")</f>
        <v>OK - ALL TIE-OUTS PASS (1 disclosed reconciling item, see note row)</v>
      </c>
    </row>
    <row r="4">
      <c r="A4" t="s">
        <v>340</v>
      </c>
      <c r="B4" t="s">
        <v>475</v>
      </c>
      <c r="C4" t="s">
        <v>476</v>
      </c>
      <c r="D4" t="s">
        <v>477</v>
      </c>
      <c r="E4" t="s">
        <v>478</v>
      </c>
      <c r="F4" t="s">
        <v>479</v>
      </c>
      <c r="H4" t="s">
        <v>52</v>
      </c>
    </row>
    <row r="5">
      <c r="A5" t="s">
        <v>674</v>
      </c>
      <c r="B5">
        <f>BS_Hist!B20-BS_Hist!B36-BS_Hist!B47</f>
        <v>0</v>
      </c>
      <c r="C5">
        <f>BS_Hist!C20-BS_Hist!C36-BS_Hist!C47</f>
        <v>0</v>
      </c>
      <c r="D5">
        <f>BS_Hist!D20-BS_Hist!D36-BS_Hist!D47</f>
        <v>0</v>
      </c>
      <c r="E5">
        <f>BS_Hist!E20-BS_Hist!E36-BS_Hist!E47</f>
        <v>0</v>
      </c>
      <c r="F5">
        <f>BS_Hist!F20-BS_Hist!F36-BS_Hist!F47</f>
        <v>0</v>
      </c>
      <c r="H5" t="str">
        <f>IF(AND(IF(ISNUMBER(N(B5)),ABS(N(B5))&lt;=1,TRUE),IF(ISNUMBER(N(C5)),ABS(N(C5))&lt;=1,TRUE),IF(ISNUMBER(N(D5)),ABS(N(D5))&lt;=1,TRUE),IF(ISNUMBER(N(E5)),ABS(N(E5))&lt;=1,TRUE),IF(ISNUMBER(N(F5)),ABS(N(F5))&lt;=1,TRUE)),"PASS","FAIL")</f>
        <v>PASS</v>
      </c>
    </row>
    <row r="6">
      <c r="A6" t="s">
        <v>675</v>
      </c>
      <c r="B6">
        <f>BS_Hist!B20-BS_Hist!B48</f>
        <v>0</v>
      </c>
      <c r="C6">
        <f>BS_Hist!C20-BS_Hist!C48</f>
        <v>0</v>
      </c>
      <c r="D6">
        <f>BS_Hist!D20-BS_Hist!D48</f>
        <v>0</v>
      </c>
      <c r="E6">
        <f>BS_Hist!E20-BS_Hist!E48</f>
        <v>0</v>
      </c>
      <c r="F6">
        <f>BS_Hist!F20-BS_Hist!F48</f>
        <v>0</v>
      </c>
      <c r="H6" t="str">
        <f>IF(AND(IF(ISNUMBER(N(B6)),ABS(N(B6))&lt;=1,TRUE),IF(ISNUMBER(N(C6)),ABS(N(C6))&lt;=1,TRUE),IF(ISNUMBER(N(D6)),ABS(N(D6))&lt;=1,TRUE),IF(ISNUMBER(N(E6)),ABS(N(E6))&lt;=1,TRUE),IF(ISNUMBER(N(F6)),ABS(N(F6))&lt;=1,TRUE)),"PASS","FAIL")</f>
        <v>PASS</v>
      </c>
    </row>
    <row r="7">
      <c r="A7" t="s">
        <v>676</v>
      </c>
      <c r="B7">
        <f>IS_Hist!B37+IS_Hist!B38-IS_Hist!B36</f>
        <v>0</v>
      </c>
      <c r="C7">
        <f>IS_Hist!C37+IS_Hist!C38-IS_Hist!C36</f>
        <v>0</v>
      </c>
      <c r="D7">
        <f>IS_Hist!D37+IS_Hist!D38-IS_Hist!D36</f>
        <v>0</v>
      </c>
      <c r="E7">
        <f>IS_Hist!E37+IS_Hist!E38-IS_Hist!E36</f>
        <v>0</v>
      </c>
      <c r="F7">
        <f>IS_Hist!F37+IS_Hist!F38-IS_Hist!F36</f>
        <v>0</v>
      </c>
      <c r="H7" t="str">
        <f>IF(AND(IF(ISNUMBER(N(B7)),ABS(N(B7))&lt;=1,TRUE),IF(ISNUMBER(N(C7)),ABS(N(C7))&lt;=1,TRUE),IF(ISNUMBER(N(D7)),ABS(N(D7))&lt;=1,TRUE),IF(ISNUMBER(N(E7)),ABS(N(E7))&lt;=1,TRUE),IF(ISNUMBER(N(F7)),ABS(N(F7))&lt;=1,TRUE)),"PASS","FAIL")</f>
        <v>PASS</v>
      </c>
    </row>
    <row r="8">
      <c r="A8" t="s">
        <v>677</v>
      </c>
      <c r="B8">
        <f>BS_Hist!B43-IS_Hist!B37</f>
        <v>0</v>
      </c>
      <c r="C8">
        <f>BS_Hist!C43-IS_Hist!C37</f>
        <v>0</v>
      </c>
      <c r="D8">
        <f>BS_Hist!D43-IS_Hist!D37</f>
        <v>0</v>
      </c>
      <c r="E8">
        <f>BS_Hist!E43-IS_Hist!E37</f>
        <v>0</v>
      </c>
      <c r="F8">
        <f>BS_Hist!F43-IS_Hist!F37</f>
        <v>0</v>
      </c>
      <c r="H8" t="str">
        <f>IF(AND(IF(ISNUMBER(N(B8)),ABS(N(B8))&lt;=1,TRUE),IF(ISNUMBER(N(C8)),ABS(N(C8))&lt;=1,TRUE),IF(ISNUMBER(N(D8)),ABS(N(D8))&lt;=1,TRUE),IF(ISNUMBER(N(E8)),ABS(N(E8))&lt;=1,TRUE),IF(ISNUMBER(N(F8)),ABS(N(F8))&lt;=1,TRUE)),"PASS","FAIL")</f>
        <v>PASS</v>
      </c>
    </row>
    <row r="9">
      <c r="A9" t="s">
        <v>678</v>
      </c>
      <c r="B9" t="str">
        <f>IF(B2="","n/a",N(CF_Hist!B6)-IS_Hist!B36)</f>
        <v>n/a</v>
      </c>
      <c r="C9" t="str">
        <f>IF(C2="","n/a",N(CF_Hist!C6)-IS_Hist!C36)</f>
        <v>n/a</v>
      </c>
      <c r="D9" t="str">
        <f>IF(D2="","n/a",N(CF_Hist!D6)-IS_Hist!D36)</f>
        <v>n/a</v>
      </c>
      <c r="E9" t="str">
        <f>IF(E2="","n/a",N(CF_Hist!E6)-IS_Hist!E36)</f>
        <v>n/a</v>
      </c>
      <c r="F9" t="str">
        <f>IF(F2="","n/a",N(CF_Hist!F6)-IS_Hist!F36)</f>
        <v>n/a</v>
      </c>
      <c r="H9" t="str">
        <f>IF(AND(IF(ISNUMBER(N(B9)),ABS(N(B9))&lt;=1,TRUE),IF(ISNUMBER(N(C9)),ABS(N(C9))&lt;=1,TRUE),IF(ISNUMBER(N(D9)),ABS(N(D9))&lt;=1,TRUE),IF(ISNUMBER(N(E9)),ABS(N(E9))&lt;=1,TRUE),IF(ISNUMBER(N(F9)),ABS(N(F9))&lt;=1,TRUE)),"PASS","FAIL")</f>
        <v>PASS</v>
      </c>
    </row>
    <row r="10">
      <c r="A10" t="s">
        <v>679</v>
      </c>
      <c r="B10">
        <f>SCE_Hist!B11-BS_Hist!B47</f>
        <v>0</v>
      </c>
      <c r="C10">
        <f>SCE_Hist!C11-BS_Hist!C47</f>
        <v>0</v>
      </c>
      <c r="D10">
        <f>SCE_Hist!D11-BS_Hist!D47</f>
        <v>0</v>
      </c>
      <c r="E10">
        <f>SCE_Hist!E11-BS_Hist!E47</f>
        <v>0</v>
      </c>
      <c r="F10">
        <f>SCE_Hist!F11-BS_Hist!F47</f>
        <v>0</v>
      </c>
      <c r="H10" t="str">
        <f>IF(AND(IF(ISNUMBER(N(B10)),ABS(N(B10))&lt;=1,TRUE),IF(ISNUMBER(N(C10)),ABS(N(C10))&lt;=1,TRUE),IF(ISNUMBER(N(D10)),ABS(N(D10))&lt;=1,TRUE),IF(ISNUMBER(N(E10)),ABS(N(E10))&lt;=1,TRUE),IF(ISNUMBER(N(F10)),ABS(N(F10))&lt;=1,TRUE)),"PASS","FAIL")</f>
        <v>PASS</v>
      </c>
    </row>
    <row r="11">
      <c r="A11" t="s">
        <v>680</v>
      </c>
      <c r="C11">
        <f>SCE_Hist!C5-BS_Hist!B47</f>
        <v>0</v>
      </c>
      <c r="D11">
        <f>SCE_Hist!D5-BS_Hist!C47</f>
        <v>0</v>
      </c>
      <c r="E11">
        <f>SCE_Hist!E5-BS_Hist!D47</f>
        <v>0</v>
      </c>
      <c r="F11">
        <f>SCE_Hist!F5-BS_Hist!E47</f>
        <v>0</v>
      </c>
      <c r="H11" t="str">
        <f>IF(AND(IF(ISNUMBER(N(C11)),ABS(N(C11))&lt;=1,TRUE),IF(ISNUMBER(N(D11)),ABS(N(D11))&lt;=1,TRUE),IF(ISNUMBER(N(E11)),ABS(N(E11))&lt;=1,TRUE),IF(ISNUMBER(N(F11)),ABS(N(F11))&lt;=1,TRUE)),"PASS","FAIL")</f>
        <v>PASS</v>
      </c>
    </row>
    <row r="12">
      <c r="A12" t="s">
        <v>681</v>
      </c>
      <c r="B12">
        <f>SCE_Hist!B5+SCE_Hist!B6+SCE_Hist!B7+SCE_Hist!B8+N(SCE_Hist!B9)+SCE_Hist!B10-SCE_Hist!B11</f>
        <v>0</v>
      </c>
      <c r="C12">
        <f>SCE_Hist!C5+SCE_Hist!C6+SCE_Hist!C7+SCE_Hist!C8+N(SCE_Hist!C9)+SCE_Hist!C10-SCE_Hist!C11</f>
        <v>0</v>
      </c>
      <c r="D12">
        <f>SCE_Hist!D5+SCE_Hist!D6+SCE_Hist!D7+SCE_Hist!D8+N(SCE_Hist!D9)+SCE_Hist!D10-SCE_Hist!D11</f>
        <v>0</v>
      </c>
      <c r="E12">
        <f>SCE_Hist!E5+SCE_Hist!E6+SCE_Hist!E7+SCE_Hist!E8+N(SCE_Hist!E9)+SCE_Hist!E10-SCE_Hist!E11</f>
        <v>0</v>
      </c>
      <c r="F12">
        <f>SCE_Hist!F5+SCE_Hist!F6+SCE_Hist!F7+SCE_Hist!F8+N(SCE_Hist!F9)+SCE_Hist!F10-SCE_Hist!F11</f>
        <v>0</v>
      </c>
      <c r="H12" t="str">
        <f>IF(AND(IF(ISNUMBER(N(B12)),ABS(N(B12))&lt;=1,TRUE),IF(ISNUMBER(N(C12)),ABS(N(C12))&lt;=1,TRUE),IF(ISNUMBER(N(D12)),ABS(N(D12))&lt;=1,TRUE),IF(ISNUMBER(N(E12)),ABS(N(E12))&lt;=1,TRUE),IF(ISNUMBER(N(F12)),ABS(N(F12))&lt;=1,TRUE)),"PASS","FAIL")</f>
        <v>PASS</v>
      </c>
    </row>
    <row r="13">
      <c r="A13" t="s">
        <v>682</v>
      </c>
      <c r="D13">
        <f>IS_Hist!D11+IS_Hist!D12-IS_Hist!D13</f>
        <v>0</v>
      </c>
      <c r="E13">
        <f>IS_Hist!E11+IS_Hist!E12-IS_Hist!E13</f>
        <v>0</v>
      </c>
      <c r="F13">
        <f>IS_Hist!F11+IS_Hist!F12-IS_Hist!F13</f>
        <v>0</v>
      </c>
      <c r="H13" t="str">
        <f>IF(AND(IF(ISNUMBER(N(D13)),ABS(N(D13))&lt;=1,TRUE),IF(ISNUMBER(N(E13)),ABS(N(E13))&lt;=1,TRUE),IF(ISNUMBER(N(F13)),ABS(N(F13))&lt;=1,TRUE)),"PASS","FAIL")</f>
        <v>PASS</v>
      </c>
    </row>
    <row r="14">
      <c r="A14" t="s">
        <v>683</v>
      </c>
      <c r="D14">
        <f>IS_Hist!D17+IS_Hist!D21+IS_Hist!D22+IS_Hist!D23-IS_Hist!D24</f>
        <v>0</v>
      </c>
      <c r="E14">
        <f>IS_Hist!E17+IS_Hist!E21+IS_Hist!E22+IS_Hist!E23-IS_Hist!E24</f>
        <v>0</v>
      </c>
      <c r="F14">
        <f>IS_Hist!F17+IS_Hist!F21+IS_Hist!F22+IS_Hist!F23-IS_Hist!F24</f>
        <v>0</v>
      </c>
      <c r="H14" t="str">
        <f>IF(AND(IF(ISNUMBER(N(D14)),ABS(N(D14))&lt;=1,TRUE),IF(ISNUMBER(N(E14)),ABS(N(E14))&lt;=1,TRUE),IF(ISNUMBER(N(F14)),ABS(N(F14))&lt;=1,TRUE)),"PASS","FAIL")</f>
        <v>PASS</v>
      </c>
    </row>
    <row r="15">
      <c r="A15" t="s">
        <v>684</v>
      </c>
      <c r="D15">
        <f>IS_Hist!D24+IS_Hist!D31-IS_Hist!D32</f>
        <v>0</v>
      </c>
      <c r="E15">
        <f>IS_Hist!E24+IS_Hist!E31-IS_Hist!E32</f>
        <v>0</v>
      </c>
      <c r="F15">
        <f>IS_Hist!F24+IS_Hist!F31-IS_Hist!F32</f>
        <v>0</v>
      </c>
      <c r="H15" t="str">
        <f>IF(AND(IF(ISNUMBER(N(D15)),ABS(N(D15))&lt;=1,TRUE),IF(ISNUMBER(N(E15)),ABS(N(E15))&lt;=1,TRUE),IF(ISNUMBER(N(F15)),ABS(N(F15))&lt;=1,TRUE)),"PASS","FAIL")</f>
        <v>PASS</v>
      </c>
    </row>
    <row r="16">
      <c r="A16" t="s">
        <v>685</v>
      </c>
      <c r="D16">
        <f>IS_Hist!D34+IS_Hist!D35-IS_Hist!D36</f>
        <v>0</v>
      </c>
      <c r="E16">
        <f>IS_Hist!E34+IS_Hist!E35-IS_Hist!E36</f>
        <v>0</v>
      </c>
      <c r="F16">
        <f>IS_Hist!F34+IS_Hist!F35-IS_Hist!F36</f>
        <v>0</v>
      </c>
      <c r="H16" t="str">
        <f>IF(AND(IF(ISNUMBER(N(D16)),ABS(N(D16))&lt;=1,TRUE),IF(ISNUMBER(N(E16)),ABS(N(E16))&lt;=1,TRUE),IF(ISNUMBER(N(F16)),ABS(N(F16))&lt;=1,TRUE)),"PASS","FAIL")</f>
        <v>PASS</v>
      </c>
    </row>
    <row r="17">
      <c r="A17" t="s">
        <v>686</v>
      </c>
      <c r="D17">
        <f>SUM(CF_Hist!D6:D15)-CF_Hist!D16</f>
        <v>0</v>
      </c>
      <c r="E17">
        <f>SUM(CF_Hist!E6:E15)-CF_Hist!E16</f>
        <v>0</v>
      </c>
      <c r="F17">
        <f>SUM(CF_Hist!F6:F15)-CF_Hist!F16</f>
        <v>0</v>
      </c>
      <c r="H17" t="str">
        <f>IF(AND(IF(ISNUMBER(N(D17)),ABS(N(D17))&lt;=1,TRUE),IF(ISNUMBER(N(E17)),ABS(N(E17))&lt;=1,TRUE),IF(ISNUMBER(N(F17)),ABS(N(F17))&lt;=1,TRUE)),"PASS","FAIL")</f>
        <v>PASS</v>
      </c>
    </row>
    <row r="18">
      <c r="A18" t="s">
        <v>687</v>
      </c>
      <c r="D18">
        <f>SUM(CF_Hist!D20:D23)-CF_Hist!D24</f>
        <v>0</v>
      </c>
      <c r="E18">
        <f>SUM(CF_Hist!E20:E23)-CF_Hist!E24</f>
        <v>0</v>
      </c>
      <c r="F18">
        <f>SUM(CF_Hist!F20:F23)-CF_Hist!F24</f>
        <v>0</v>
      </c>
      <c r="H18" t="str">
        <f>IF(AND(IF(ISNUMBER(N(D18)),ABS(N(D18))&lt;=1,TRUE),IF(ISNUMBER(N(E18)),ABS(N(E18))&lt;=1,TRUE),IF(ISNUMBER(N(F18)),ABS(N(F18))&lt;=1,TRUE)),"PASS","FAIL")</f>
        <v>PASS</v>
      </c>
    </row>
    <row r="19">
      <c r="A19" t="s">
        <v>688</v>
      </c>
      <c r="D19">
        <f>SUM(CF_Hist!D27:D35)-CF_Hist!D36</f>
        <v>0</v>
      </c>
      <c r="E19">
        <f>SUM(CF_Hist!E27:E35)-CF_Hist!E36</f>
        <v>0</v>
      </c>
      <c r="F19">
        <f>SUM(CF_Hist!F27:F35)-CF_Hist!F36</f>
        <v>0</v>
      </c>
      <c r="H19" t="str">
        <f>IF(AND(IF(ISNUMBER(N(D19)),ABS(N(D19))&lt;=1,TRUE),IF(ISNUMBER(N(E19)),ABS(N(E19))&lt;=1,TRUE),IF(ISNUMBER(N(F19)),ABS(N(F19))&lt;=1,TRUE)),"PASS","FAIL")</f>
        <v>PASS</v>
      </c>
    </row>
    <row r="20">
      <c r="A20" t="s">
        <v>689</v>
      </c>
      <c r="B20">
        <f>CF_Hist!B16+CF_Hist!B24+CF_Hist!B36-CF_Hist!B39</f>
        <v>0</v>
      </c>
      <c r="C20">
        <f>CF_Hist!C16+CF_Hist!C24+CF_Hist!C36-CF_Hist!C39</f>
        <v>0</v>
      </c>
      <c r="D20">
        <f>CF_Hist!D16+CF_Hist!D24+CF_Hist!D36-CF_Hist!D39</f>
        <v>0</v>
      </c>
      <c r="E20">
        <f>CF_Hist!E16+CF_Hist!E24+CF_Hist!E36-CF_Hist!E39</f>
        <v>0</v>
      </c>
      <c r="F20">
        <f>CF_Hist!F16+CF_Hist!F24+CF_Hist!F36-CF_Hist!F39</f>
        <v>0</v>
      </c>
      <c r="H20" t="str">
        <f>IF(AND(IF(ISNUMBER(N(B20)),ABS(N(B20))&lt;=1,TRUE),IF(ISNUMBER(N(C20)),ABS(N(C20))&lt;=1,TRUE),IF(ISNUMBER(N(D20)),ABS(N(D20))&lt;=1,TRUE),IF(ISNUMBER(N(E20)),ABS(N(E20))&lt;=1,TRUE),IF(ISNUMBER(N(F20)),ABS(N(F20))&lt;=1,TRUE)),"PASS","FAIL")</f>
        <v>PASS</v>
      </c>
    </row>
    <row r="21">
      <c r="A21" t="s">
        <v>690</v>
      </c>
      <c r="B21">
        <f>CF_Hist!B39+CF_Hist!B38-CF_Hist!B40</f>
        <v>0</v>
      </c>
      <c r="C21">
        <f>CF_Hist!C39+CF_Hist!C38-CF_Hist!C40</f>
        <v>0</v>
      </c>
      <c r="D21">
        <f>CF_Hist!D39+CF_Hist!D38-CF_Hist!D40</f>
        <v>0</v>
      </c>
      <c r="E21">
        <f>CF_Hist!E39+CF_Hist!E38-CF_Hist!E40</f>
        <v>0</v>
      </c>
      <c r="F21">
        <f>CF_Hist!F39+CF_Hist!F38-CF_Hist!F40</f>
        <v>0</v>
      </c>
      <c r="H21" t="str">
        <f>IF(AND(IF(ISNUMBER(N(B21)),ABS(N(B21))&lt;=1,TRUE),IF(ISNUMBER(N(C21)),ABS(N(C21))&lt;=1,TRUE),IF(ISNUMBER(N(D21)),ABS(N(D21))&lt;=1,TRUE),IF(ISNUMBER(N(E21)),ABS(N(E21))&lt;=1,TRUE),IF(ISNUMBER(N(F21)),ABS(N(F21))&lt;=1,TRUE)),"PASS","FAIL")</f>
        <v>PASS</v>
      </c>
    </row>
    <row r="22">
      <c r="A22" t="s">
        <v>691</v>
      </c>
      <c r="B22">
        <f>CF_Hist!B41+CF_Hist!B40-CF_Hist!B42</f>
        <v>0</v>
      </c>
      <c r="C22">
        <f>CF_Hist!C41+CF_Hist!C40-CF_Hist!C42</f>
        <v>0</v>
      </c>
      <c r="D22">
        <f>CF_Hist!D41+CF_Hist!D40-CF_Hist!D42</f>
        <v>0</v>
      </c>
      <c r="E22">
        <f>CF_Hist!E41+CF_Hist!E40-CF_Hist!E42</f>
        <v>0</v>
      </c>
      <c r="F22">
        <f>CF_Hist!F41+CF_Hist!F40-CF_Hist!F42</f>
        <v>0</v>
      </c>
      <c r="H22" t="str">
        <f>IF(AND(IF(ISNUMBER(N(B22)),ABS(N(B22))&lt;=1,TRUE),IF(ISNUMBER(N(C22)),ABS(N(C22))&lt;=1,TRUE),IF(ISNUMBER(N(D22)),ABS(N(D22))&lt;=1,TRUE),IF(ISNUMBER(N(E22)),ABS(N(E22))&lt;=1,TRUE),IF(ISNUMBER(N(F22)),ABS(N(F22))&lt;=1,TRUE)),"PASS","FAIL")</f>
        <v>PASS</v>
      </c>
    </row>
    <row r="23">
      <c r="A23" t="s">
        <v>692</v>
      </c>
      <c r="C23">
        <f>CF_Hist!C41-BS_Hist!B6</f>
        <v>0</v>
      </c>
      <c r="D23">
        <f>CF_Hist!D41-BS_Hist!C6</f>
        <v>0</v>
      </c>
      <c r="E23">
        <f>CF_Hist!E41-BS_Hist!D6</f>
        <v>0</v>
      </c>
      <c r="F23">
        <f>CF_Hist!F41-BS_Hist!E6</f>
        <v>0</v>
      </c>
      <c r="H23" t="str">
        <f>IF(AND(IF(ISNUMBER(N(C23)),ABS(N(C23))&lt;=1,TRUE),IF(ISNUMBER(N(D23)),ABS(N(D23))&lt;=1,TRUE),IF(ISNUMBER(N(E23)),ABS(N(E23))&lt;=1,TRUE),IF(ISNUMBER(N(F23)),ABS(N(F23))&lt;=1,TRUE)),"PASS","FAIL")</f>
        <v>PASS</v>
      </c>
    </row>
    <row r="24">
      <c r="A24" t="s">
        <v>693</v>
      </c>
      <c r="B24">
        <f>CF_Hist!B42-BS_Hist!B6</f>
        <v>0</v>
      </c>
      <c r="C24">
        <f>CF_Hist!C42-BS_Hist!C6</f>
        <v>0</v>
      </c>
      <c r="D24">
        <f>CF_Hist!D42-BS_Hist!D6</f>
        <v>0</v>
      </c>
      <c r="E24">
        <f>CF_Hist!E42-BS_Hist!E6</f>
        <v>0</v>
      </c>
      <c r="H24" t="str">
        <f>IF(AND(IF(ISNUMBER(N(B24)),ABS(N(B24))&lt;=1,TRUE),IF(ISNUMBER(N(C24)),ABS(N(C24))&lt;=1,TRUE),IF(ISNUMBER(N(D24)),ABS(N(D24))&lt;=1,TRUE),IF(ISNUMBER(N(E24)),ABS(N(E24))&lt;=1,TRUE)),"PASS","FAIL")</f>
        <v>PASS</v>
      </c>
    </row>
    <row r="25">
      <c r="A25" t="s">
        <v>694</v>
      </c>
      <c r="H25" t="s">
        <v>695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ColWidth="8.375" defaultRowHeight="15"/>
  <sheetData>
    <row r="1">
      <c r="A1" t="s">
        <v>696</v>
      </c>
    </row>
    <row r="3">
      <c r="A3" t="s">
        <v>697</v>
      </c>
      <c r="B3" t="s">
        <v>698</v>
      </c>
      <c r="C3" t="s">
        <v>699</v>
      </c>
      <c r="D3" t="s">
        <v>700</v>
      </c>
      <c r="E3" t="s">
        <v>701</v>
      </c>
    </row>
    <row r="4">
      <c r="A4" t="s">
        <v>702</v>
      </c>
      <c r="B4" t="s">
        <v>703</v>
      </c>
      <c r="C4" t="s">
        <v>704</v>
      </c>
      <c r="D4" t="s">
        <v>705</v>
      </c>
      <c r="E4" t="s">
        <v>706</v>
      </c>
    </row>
    <row r="5">
      <c r="A5" t="s">
        <v>707</v>
      </c>
      <c r="B5" t="s">
        <v>708</v>
      </c>
      <c r="C5" t="s">
        <v>709</v>
      </c>
      <c r="D5" t="s">
        <v>710</v>
      </c>
      <c r="E5" t="s">
        <v>711</v>
      </c>
    </row>
    <row r="6">
      <c r="A6" t="s">
        <v>712</v>
      </c>
      <c r="B6" t="s">
        <v>713</v>
      </c>
      <c r="C6" t="s">
        <v>714</v>
      </c>
      <c r="D6" t="s">
        <v>715</v>
      </c>
      <c r="E6" t="s">
        <v>716</v>
      </c>
    </row>
    <row r="8">
      <c r="A8" t="s">
        <v>717</v>
      </c>
    </row>
    <row r="9">
      <c r="A9" t="s">
        <v>718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ColWidth="8.375" defaultRowHeight="15"/>
  <sheetData>
    <row r="1">
      <c r="A1" t="s">
        <v>719</v>
      </c>
    </row>
    <row r="2">
      <c r="A2" t="s">
        <v>720</v>
      </c>
    </row>
    <row r="4">
      <c r="A4" t="s">
        <v>721</v>
      </c>
      <c r="B4">
        <v>1</v>
      </c>
    </row>
    <row r="6">
      <c r="A6" t="s">
        <v>722</v>
      </c>
      <c r="B6" t="s">
        <v>242</v>
      </c>
      <c r="C6" t="s">
        <v>243</v>
      </c>
      <c r="D6" t="s">
        <v>244</v>
      </c>
    </row>
    <row r="7">
      <c r="A7" t="s">
        <v>723</v>
      </c>
      <c r="B7">
        <v>0.09</v>
      </c>
      <c r="C7">
        <v>0.13</v>
      </c>
      <c r="D7">
        <v>0.04</v>
      </c>
    </row>
    <row r="8">
      <c r="A8" t="s">
        <v>724</v>
      </c>
      <c r="B8">
        <v>0.075</v>
      </c>
      <c r="C8">
        <v>0.082</v>
      </c>
      <c r="D8">
        <v>0.065</v>
      </c>
    </row>
    <row r="9">
      <c r="A9" t="s">
        <v>725</v>
      </c>
      <c r="B9">
        <v>0.017</v>
      </c>
      <c r="C9">
        <v>0.013</v>
      </c>
      <c r="D9">
        <v>0.026</v>
      </c>
    </row>
    <row r="10">
      <c r="A10" t="s">
        <v>726</v>
      </c>
      <c r="B10">
        <v>0.08</v>
      </c>
      <c r="C10">
        <v>0.12</v>
      </c>
      <c r="D10">
        <v>0.02</v>
      </c>
    </row>
    <row r="11">
      <c r="A11" t="s">
        <v>727</v>
      </c>
      <c r="B11">
        <v>0.07</v>
      </c>
      <c r="C11">
        <v>0.06</v>
      </c>
      <c r="D11">
        <v>0.09</v>
      </c>
    </row>
    <row r="12">
      <c r="A12" t="s">
        <v>728</v>
      </c>
      <c r="B12">
        <v>0.3</v>
      </c>
      <c r="C12">
        <v>0.28</v>
      </c>
      <c r="D12">
        <v>0.33</v>
      </c>
    </row>
    <row r="13">
      <c r="A13" t="s">
        <v>729</v>
      </c>
      <c r="B13">
        <v>0.5</v>
      </c>
      <c r="C13">
        <v>0.5</v>
      </c>
      <c r="D13">
        <v>0.45</v>
      </c>
    </row>
    <row r="15">
      <c r="A15" t="s">
        <v>730</v>
      </c>
    </row>
    <row r="16">
      <c r="A16" t="s">
        <v>731</v>
      </c>
      <c r="B16">
        <f>CHOOSE($B$4,B7,C7,D7)</f>
        <v>0.09</v>
      </c>
    </row>
    <row r="17">
      <c r="A17" t="s">
        <v>732</v>
      </c>
      <c r="B17">
        <f>CHOOSE($B$4,B8,C8,D8)</f>
        <v>0.075</v>
      </c>
    </row>
    <row r="18">
      <c r="A18" t="s">
        <v>725</v>
      </c>
      <c r="B18">
        <f>CHOOSE($B$4,B9,C9,D9)</f>
        <v>0.017</v>
      </c>
    </row>
    <row r="19">
      <c r="A19" t="s">
        <v>733</v>
      </c>
      <c r="B19">
        <f>CHOOSE($B$4,B10,C10,D10)</f>
        <v>0.08</v>
      </c>
    </row>
    <row r="20">
      <c r="A20" t="s">
        <v>734</v>
      </c>
      <c r="B20">
        <f>CHOOSE($B$4,B11,C11,D11)</f>
        <v>0.07</v>
      </c>
    </row>
    <row r="21">
      <c r="A21" t="s">
        <v>735</v>
      </c>
      <c r="B21">
        <f>CHOOSE($B$4,B12,C12,D12)</f>
        <v>0.3</v>
      </c>
    </row>
    <row r="22">
      <c r="A22" t="s">
        <v>736</v>
      </c>
      <c r="B22">
        <f>CHOOSE($B$4,B13,C13,D13)</f>
        <v>0.5</v>
      </c>
    </row>
    <row r="25">
      <c r="A25" t="s">
        <v>737</v>
      </c>
      <c r="C25" t="s">
        <v>738</v>
      </c>
      <c r="D25" t="s">
        <v>739</v>
      </c>
      <c r="E25" t="s">
        <v>740</v>
      </c>
      <c r="F25" t="s">
        <v>741</v>
      </c>
      <c r="G25" t="s">
        <v>742</v>
      </c>
    </row>
    <row r="26">
      <c r="A26" t="s">
        <v>743</v>
      </c>
      <c r="C26">
        <f>256353981*(1+B16)</f>
        <v>279425839.29</v>
      </c>
      <c r="D26">
        <f>C26*(1+B16)</f>
        <v>304574164.82610005</v>
      </c>
      <c r="E26">
        <f>D26*(1+B16)</f>
        <v>331985839.6604491</v>
      </c>
      <c r="F26">
        <f>E26*(1+B16)</f>
        <v>361864565.2298895</v>
      </c>
      <c r="G26">
        <f>F26*(1+B16)</f>
        <v>394432376.1005796</v>
      </c>
    </row>
    <row r="27">
      <c r="A27" t="s">
        <v>744</v>
      </c>
      <c r="C27">
        <f>C26*B17</f>
        <v>20956937.94675</v>
      </c>
      <c r="D27">
        <f>D26*B17</f>
        <v>22843062.3619575</v>
      </c>
      <c r="E27">
        <f>E26*B17</f>
        <v>24898937.97453368</v>
      </c>
      <c r="F27">
        <f>F26*B17</f>
        <v>27139842.392241713</v>
      </c>
      <c r="G27">
        <f>G26*B17</f>
        <v>29582428.20754347</v>
      </c>
    </row>
    <row r="28">
      <c r="A28" t="s">
        <v>745</v>
      </c>
      <c r="C28">
        <f>-C26*B18</f>
        <v>-4750239.267930001</v>
      </c>
      <c r="D28">
        <f>-D26*B18</f>
        <v>-5177760.8020437015</v>
      </c>
      <c r="E28">
        <f>-E26*B18</f>
        <v>-5643759.274227635</v>
      </c>
      <c r="F28">
        <f>-F26*B18</f>
        <v>-6151697.608908122</v>
      </c>
      <c r="G28">
        <f>-G26*B18</f>
        <v>-6705350.393709854</v>
      </c>
    </row>
    <row r="29">
      <c r="A29" t="s">
        <v>746</v>
      </c>
      <c r="C29">
        <f>8620029*(1+B19)</f>
        <v>9309631.32</v>
      </c>
      <c r="D29">
        <f>C29*(1+B19)</f>
        <v>10054401.8256</v>
      </c>
      <c r="E29">
        <f>D29*(1+B19)</f>
        <v>10858753.971648</v>
      </c>
      <c r="F29">
        <f>E29*(1+B19)</f>
        <v>11727454.28937984</v>
      </c>
      <c r="G29">
        <f>F29*(1+B19)</f>
        <v>12665650.63253023</v>
      </c>
    </row>
    <row r="30">
      <c r="A30" t="s">
        <v>502</v>
      </c>
      <c r="C30">
        <f>-13857106*(1+B20)</f>
        <v>-14827103.420000002</v>
      </c>
      <c r="D30">
        <f>C30*(1+B20)</f>
        <v>-15865000.659400003</v>
      </c>
      <c r="E30">
        <f>D30*(1+B20)</f>
        <v>-16975550.705558006</v>
      </c>
      <c r="F30">
        <f>E30*(1+B20)</f>
        <v>-18163839.254947066</v>
      </c>
      <c r="G30">
        <f>F30*(1+B20)</f>
        <v>-19435308.00279336</v>
      </c>
    </row>
    <row r="31">
      <c r="A31" t="s">
        <v>747</v>
      </c>
      <c r="C31">
        <f>C27+C28+C29+C30</f>
        <v>10689226.578819998</v>
      </c>
      <c r="D31">
        <f>D27+D28+D29+D30</f>
        <v>11854702.726113794</v>
      </c>
      <c r="E31">
        <f>E27+E28+E29+E30</f>
        <v>13138381.966396041</v>
      </c>
      <c r="F31">
        <f>F27+F28+F29+F30</f>
        <v>14551759.817766368</v>
      </c>
      <c r="G31">
        <f>G27+G28+G29+G30</f>
        <v>16107420.443570483</v>
      </c>
    </row>
    <row r="32">
      <c r="A32" t="s">
        <v>748</v>
      </c>
      <c r="C32">
        <f>-C31*B21</f>
        <v>-3206767.973645999</v>
      </c>
      <c r="D32">
        <f>-D31*B21</f>
        <v>-3556410.8178341384</v>
      </c>
      <c r="E32">
        <f>-E31*B21</f>
        <v>-3941514.5899188123</v>
      </c>
      <c r="F32">
        <f>-F31*B21</f>
        <v>-4365527.94532991</v>
      </c>
      <c r="G32">
        <f>-G31*B21</f>
        <v>-4832226.133071145</v>
      </c>
    </row>
    <row r="33">
      <c r="A33" t="s">
        <v>749</v>
      </c>
      <c r="C33">
        <f>C31+C32</f>
        <v>7482458.6051739985</v>
      </c>
      <c r="D33">
        <f>D31+D32</f>
        <v>8298291.9082796555</v>
      </c>
      <c r="E33">
        <f>E31+E32</f>
        <v>9196867.376477228</v>
      </c>
      <c r="F33">
        <f>F31+F32</f>
        <v>10186231.872436458</v>
      </c>
      <c r="G33">
        <f>G31+G32</f>
        <v>11275194.310499338</v>
      </c>
    </row>
    <row r="34">
      <c r="A34" t="s">
        <v>750</v>
      </c>
      <c r="C34">
        <f>-C33*B22</f>
        <v>-3741229.3025869993</v>
      </c>
      <c r="D34">
        <f>-D33*B22</f>
        <v>-4149145.9541398278</v>
      </c>
      <c r="E34">
        <f>-E33*B22</f>
        <v>-4598433.688238614</v>
      </c>
      <c r="F34">
        <f>-F33*B22</f>
        <v>-5093115.936218229</v>
      </c>
      <c r="G34">
        <f>-G33*B22</f>
        <v>-5637597.155249669</v>
      </c>
    </row>
    <row r="35">
      <c r="A35" t="s">
        <v>751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62" t="s">
        <v>752</v>
      </c>
      <c r="B1" s="62" t="s">
        <v>384</v>
      </c>
      <c r="C1" s="62" t="s">
        <v>753</v>
      </c>
      <c r="D1" s="62" t="s">
        <v>754</v>
      </c>
      <c r="E1" s="62" t="s">
        <v>755</v>
      </c>
      <c r="F1" s="62" t="s">
        <v>756</v>
      </c>
    </row>
    <row r="2">
      <c r="A2" s="61">
        <v>1</v>
      </c>
      <c r="B2" s="63">
        <v>46324.35932422454</v>
      </c>
      <c r="C2" s="61" t="s">
        <v>757</v>
      </c>
      <c r="D2" s="61" t="s">
        <v>758</v>
      </c>
      <c r="E2" s="61" t="s">
        <v>759</v>
      </c>
      <c r="F2" s="61" t="s">
        <v>760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