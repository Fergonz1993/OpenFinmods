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8345579b81764717" Type="http://schemas.openxmlformats.org/officeDocument/2006/relationships/officeDocument" Target="/xl/workbook.xml"/></Relationships>
</file>

<file path=xl/workbook.xml><?xml version="1.0" encoding="utf-8"?>
<workbook xmlns="http://schemas.openxmlformats.org/spreadsheetml/2006/main" xmlns:r="http://schemas.openxmlformats.org/officeDocument/2006/relationships" xmlns:x="http://schemas.openxmlformats.org/spreadsheetml/2006/main">
  <bookViews>
    <workbookView/>
  </bookViews>
  <sheets>
    <sheet name="00_Cover" sheetId="1" r:id="Rbf32d3f18a424f25"/>
    <sheet name="Sources" sheetId="2" r:id="R61f5b98181214e88"/>
    <sheet name="Historical" sheetId="3" r:id="R55f7e1eaea314fe7"/>
    <sheet name="Assumptions" sheetId="4" r:id="Ra34ce6f9d87440d3"/>
    <sheet name="Forecast" sheetId="5" r:id="R7d47a68715464530"/>
    <sheet name="Valuation" sheetId="6" r:id="Rabfeca1944b348ea"/>
    <sheet name="Sensitivity" sheetId="7" r:id="R7cf09996d16c46ba"/>
    <sheet name="Checks" sheetId="8" r:id="Rcc7566f8d0c74150"/>
    <sheet name="Sector_KPIs" sheetId="9" r:id="R9fac037f8efd48f0"/>
    <sheet name="Change_Log" sheetId="10" r:id="R931e34a22ee348dd"/>
    <sheet name="BS_Hist" sheetId="11" r:id="rId1"/>
    <sheet name="IS_Hist" sheetId="12" r:id="rId2"/>
    <sheet name="CI_Hist" sheetId="13" r:id="rId3"/>
    <sheet name="CF_Hist" sheetId="14" r:id="rId4"/>
    <sheet name="Loan_Book" sheetId="15" r:id="rId5"/>
    <sheet name="Deposits_Funding" sheetId="16" r:id="rId6"/>
    <sheet name="NIM_Build" sheetId="17" r:id="rId7"/>
    <sheet name="Credit_Quality" sheetId="18" r:id="rId8"/>
    <sheet name="Capital_Adequacy" sheetId="19" r:id="rId9"/>
    <sheet name="Checks_TieOut" sheetId="20" r:id="rId10"/>
    <sheet name="Sources_Audited" sheetId="21" r:id="rId11"/>
    <sheet name="Claude Code Log" sheetId="22" r:id="rId12"/>
  </sheets>
  <calcPr calcId="0"/>
</workbook>
</file>

<file path=xl/sharedStrings.xml><?xml version="1.0" encoding="utf-8"?>
<sst xmlns="http://schemas.openxmlformats.org/spreadsheetml/2006/main" count="693" uniqueCount="578">
  <si>
    <t>Banco de Occidente S.A. — Institutional Financial Model</t>
  </si>
  <si>
    <t>Banking | USD millions | As of 2026-07-15</t>
  </si>
  <si>
    <t>Model field</t>
  </si>
  <si>
    <t>Value</t>
  </si>
  <si>
    <t>Ticker / identifier</t>
  </si>
  <si>
    <t>BVC: OCCIDENTE</t>
  </si>
  <si>
    <t>Model archetype</t>
  </si>
  <si>
    <t>Financial institution / residual income</t>
  </si>
  <si>
    <t>Decision readiness</t>
  </si>
  <si>
    <t>Source-backed audited history (FY2023A-FY2025A); consolidated 5yr forecast driver-built; granular bank-schedule forecast PARTIAL (documented gap)</t>
  </si>
  <si>
    <t>Reporting currency</t>
  </si>
  <si>
    <t>COP</t>
  </si>
  <si>
    <t>Model currency</t>
  </si>
  <si>
    <t>USD millions</t>
  </si>
  <si>
    <t>Market-data date</t>
  </si>
  <si>
    <t>Not applicable</t>
  </si>
  <si>
    <t>Current market price</t>
  </si>
  <si>
    <t>Not available</t>
  </si>
  <si>
    <t>Primary source</t>
  </si>
  <si>
    <t>https://portalpublico.bancodeoccidente.com.co (guest portal, 3 audited consolidated FS PDFs FY2023-FY2025; see Sources_Audited)</t>
  </si>
  <si>
    <t>Key limitation</t>
  </si>
  <si>
    <t>Full FY2023A-FY2025A audited consolidated statements (BS/IS/OCI/CF) now loaded as published constants with a 27-check tie-out layer (Checks_TieOut, all PASS). Bank sector schedules (cartera, fondeo, NIM, calidad, capital) are historical-only for FY2023-25; forward projection of those schedules is a documented next-phase gap. Capital_Adequacy is disclosed at the Matriz-individual level per the bank's own note 4.6 (not consolidated).</t>
  </si>
  <si>
    <t>Institutional-grade means auditable sources, explicit assumptions, formula-driven forecasts, valuation, sensitivities, checks and governance. It does not mean that missing private-company disclosures have been invented.</t>
  </si>
  <si>
    <t>Sources and data lineage</t>
  </si>
  <si>
    <t>Every hardcode is mapped to a source, date, currency and transformation.</t>
  </si>
  <si>
    <t>Source ID</t>
  </si>
  <si>
    <t>Use</t>
  </si>
  <si>
    <t>URL / reference</t>
  </si>
  <si>
    <t>As of</t>
  </si>
  <si>
    <t>Source currency</t>
  </si>
  <si>
    <t>Transformation</t>
  </si>
  <si>
    <t>Limitation</t>
  </si>
  <si>
    <t>Status</t>
  </si>
  <si>
    <t>S1</t>
  </si>
  <si>
    <t>Historical financials</t>
  </si>
  <si>
    <t>https://portalpublico.bancodeoccidente.com.co/documents/d/guest/informe-gestion-bdo-2025</t>
  </si>
  <si>
    <t>Latest annual filing/results</t>
  </si>
  <si>
    <t>Converted at current snapshot FX (COP to USD = 0.00031032)</t>
  </si>
  <si>
    <t>SUPERSEDED — replaced by S5-S7 (full audited FY2023-25 EEFF); FY2025 net income/ROE/assets/equity are no longer inferred, see BS_Hist/IS_Hist</t>
  </si>
  <si>
    <t>Superseded — see S5-S7</t>
  </si>
  <si>
    <t>S2</t>
  </si>
  <si>
    <t>Market price</t>
  </si>
  <si>
    <t>2026-07-15</t>
  </si>
  <si>
    <t>N/A</t>
  </si>
  <si>
    <t>Dated market input; not a historical financial source</t>
  </si>
  <si>
    <t>Market prices move after the as-of date</t>
  </si>
  <si>
    <t>Not loaded</t>
  </si>
  <si>
    <t>S3</t>
  </si>
  <si>
    <t>FX snapshot</t>
  </si>
  <si>
    <t>Yahoo Finance COP/USD chart snapshot</t>
  </si>
  <si>
    <t>COP per USD, inverted</t>
  </si>
  <si>
    <t>Current FX used across historical years for comparability; not historical spot</t>
  </si>
  <si>
    <t>Loaded</t>
  </si>
  <si>
    <t>S4</t>
  </si>
  <si>
    <t>Forecast assumptions</t>
  </si>
  <si>
    <t>Model Assumptions sheet</t>
  </si>
  <si>
    <t>USD</t>
  </si>
  <si>
    <t>User-editable scenario inputs</t>
  </si>
  <si>
    <t>Forecasts are estimates, not reported facts</t>
  </si>
  <si>
    <t>Model input</t>
  </si>
  <si>
    <t>S5</t>
  </si>
  <si>
    <t>Historical financials (BS/IS/OCI/CF, FY2023A)</t>
  </si>
  <si>
    <t>https://portalpublico.bancodeoccidente.com.co/documents/d/guest/estado-financiero-consolidado-a-diciembre-31-de-2023</t>
  </si>
  <si>
    <t>FY2023 audited consolidated FS (dictamen KPMG)</t>
  </si>
  <si>
    <t>Entered as published constants in BS_Hist/IS_Hist/CI_Hist/CF_Hist; no conversion at native layer</t>
  </si>
  <si>
    <t>None — full audited statement set with dictamen</t>
  </si>
  <si>
    <t>Loaded, tie-outs pass</t>
  </si>
  <si>
    <t>S6</t>
  </si>
  <si>
    <t>Historical financials (BS/IS/OCI/CF, FY2024A + FY2023A comparative)</t>
  </si>
  <si>
    <t>https://portalpublico.bancodeoccidente.com.co/documents/d/guest/estado-financiero-consolidado-a-diciembre-31-de-2024</t>
  </si>
  <si>
    <t>FY2024 audited consolidated FS (dictamen KPMG)</t>
  </si>
  <si>
    <t>Entered as published constants; FY2023 comparative column cross-checked against S5</t>
  </si>
  <si>
    <t>None</t>
  </si>
  <si>
    <t>S7</t>
  </si>
  <si>
    <t>Historical financials (BS/IS/OCI/CF, FY2025A + FY2024A comparative)</t>
  </si>
  <si>
    <t>https://portalpublico.bancodeoccidente.com.co/documents/d/guest/dic_25_con_eeff_bocc1</t>
  </si>
  <si>
    <t>FY2025 audited consolidated FS (dictamen KPMG)</t>
  </si>
  <si>
    <t>Entered as published constants; FY2024 comparative column cross-checked against S6</t>
  </si>
  <si>
    <t>S8</t>
  </si>
  <si>
    <t>USD presentation-layer FX (TRM close, FY2023A/24A/25A)</t>
  </si>
  <si>
    <t>actualicese.com TRM year-end articles (citing official Banrep/Superfinanciera TRM)</t>
  </si>
  <si>
    <t>2026-07-21 (fetched this pass)</t>
  </si>
  <si>
    <t>COP per USD at each fiscal year-end close; used only to convert Historical/Forecast/Valuation to USD</t>
  </si>
  <si>
    <t>Aggregator source, not fetched directly from Banrep's series API</t>
  </si>
  <si>
    <t>USD millions, converted from audited COP-millions statements (BS_Hist/IS_Hist) at each fiscal-year-end TRM close (Sources_Audited). FY2021A/FY2022A left blank — outside this elevation pass's audited-source batch (FY2023-25 dictamen PDFs only).</t>
  </si>
  <si>
    <t>Metric</t>
  </si>
  <si>
    <t>2021A</t>
  </si>
  <si>
    <t>2022A</t>
  </si>
  <si>
    <t>2023A</t>
  </si>
  <si>
    <t>2024A</t>
  </si>
  <si>
    <t>2025A</t>
  </si>
  <si>
    <t>Source tag / note</t>
  </si>
  <si>
    <t>Quality</t>
  </si>
  <si>
    <t>Assets</t>
  </si>
  <si>
    <t>BS_Hist (COP mm) / TRM close, Sources_Audited</t>
  </si>
  <si>
    <t>Source-backed (audited, converted)</t>
  </si>
  <si>
    <t>Liabilities</t>
  </si>
  <si>
    <t>BS_Hist/IS_Hist (COP mm) / TRM close, Sources_Audited</t>
  </si>
  <si>
    <t>Equity</t>
  </si>
  <si>
    <t>Net income</t>
  </si>
  <si>
    <t>Loans</t>
  </si>
  <si>
    <t>Deposits</t>
  </si>
  <si>
    <t>Interest income</t>
  </si>
  <si>
    <t>Interest expense</t>
  </si>
  <si>
    <t>Cash</t>
  </si>
  <si>
    <t>Diluted shares (mm)</t>
  </si>
  <si>
    <t>Not disclosed at consolidated level (no public float / share count in EEFF)</t>
  </si>
  <si>
    <t>Missing / not inferred</t>
  </si>
  <si>
    <t>Assumptions and scenarios</t>
  </si>
  <si>
    <t>Blue-font cells are user inputs. Scenario selector: 1 = Base, 2 = Bull, 3 = Bear.</t>
  </si>
  <si>
    <t>Scenario selector</t>
  </si>
  <si>
    <t>Bear</t>
  </si>
  <si>
    <t>Base</t>
  </si>
  <si>
    <t>Bull</t>
  </si>
  <si>
    <t>Active</t>
  </si>
  <si>
    <t>Rationale / source</t>
  </si>
  <si>
    <t>Asset growth</t>
  </si>
  <si>
    <t>Reported total-asset growth FY23-&gt;24 = 14.28%, FY24-&gt;25 = 12.46% (BS_Hist, Sources_Audited); Base moderated to 10% from the 2yr avg (13.4%) for macro normalization; Bear/Bull bracket around it.</t>
  </si>
  <si>
    <t>Target ROE</t>
  </si>
  <si>
    <t>Reported parent ROE (Intereses controlantes NI / avg Patrimonio de los intereses controlantes): FY24 8.17%, FY25 9.46% (BS_Hist/IS_Hist). Base = 2yr avg 8.8%.</t>
  </si>
  <si>
    <t>Dividend payout</t>
  </si>
  <si>
    <t>Reported dividend payout (Dividendos pagados intereses controlantes / Resultado atribuible a intereses controlantes, same FY, CF_Hist/IS_Hist): FY23 39.6%, FY24 34.2%, FY25 30.2%, avg 34.7% — matches prior Base(35%) assumption; kept.</t>
  </si>
  <si>
    <t>Cost of equity</t>
  </si>
  <si>
    <t>USD investor required return — modeling policy input (not a disclosed FS figure); unchanged pending a formal COE build (risk-free + country + equity risk premium).</t>
  </si>
  <si>
    <t>Terminal growth</t>
  </si>
  <si>
    <t>Long-run nominal USD growth — modeling policy input; unchanged pending macro-linked terminal growth build.</t>
  </si>
  <si>
    <t>Forecast model</t>
  </si>
  <si>
    <t>Formula-driven five-year projection in USD millions, anchored to FY2025A reported figures (Historical!F5/F7/F8, sourced from BS_Hist/IS_Hist via TRM close).</t>
  </si>
  <si>
    <t>2026E</t>
  </si>
  <si>
    <t>2027E</t>
  </si>
  <si>
    <t>2028E</t>
  </si>
  <si>
    <t>2029E</t>
  </si>
  <si>
    <t>2030E</t>
  </si>
  <si>
    <t>Equity / assets</t>
  </si>
  <si>
    <t>ROE</t>
  </si>
  <si>
    <t>Dividends</t>
  </si>
  <si>
    <t>Ending book value</t>
  </si>
  <si>
    <t>Residual-income valuation</t>
  </si>
  <si>
    <t>Valuation is formula-driven and scenario-sensitive; private-company outputs are enterprise-value ranges only.</t>
  </si>
  <si>
    <t>Year 1</t>
  </si>
  <si>
    <t>Year 2</t>
  </si>
  <si>
    <t>Year 3</t>
  </si>
  <si>
    <t>Year 4</t>
  </si>
  <si>
    <t>Year 5</t>
  </si>
  <si>
    <t>Total / output</t>
  </si>
  <si>
    <t>Beginning book value</t>
  </si>
  <si>
    <t>Residual income</t>
  </si>
  <si>
    <t>Discount factor</t>
  </si>
  <si>
    <t>PV residual income</t>
  </si>
  <si>
    <t>Output</t>
  </si>
  <si>
    <t>Current book value</t>
  </si>
  <si>
    <t>PV explicit residual income</t>
  </si>
  <si>
    <t>Terminal residual income</t>
  </si>
  <si>
    <t>PV terminal value</t>
  </si>
  <si>
    <t>Implied equity value</t>
  </si>
  <si>
    <t>Implied value / share</t>
  </si>
  <si>
    <t>Valuation sensitivity</t>
  </si>
  <si>
    <t>Equity value sensitivity to cost of equity and terminal growth.</t>
  </si>
  <si>
    <t>CoE / g</t>
  </si>
  <si>
    <t>Model checks</t>
  </si>
  <si>
    <t>All critical checks should read PASS before decision use.</t>
  </si>
  <si>
    <t>Check</t>
  </si>
  <si>
    <t>Result</t>
  </si>
  <si>
    <t>Severity</t>
  </si>
  <si>
    <t>Interpretation</t>
  </si>
  <si>
    <t>Forecast assets non-negative</t>
  </si>
  <si>
    <t>Critical</t>
  </si>
  <si>
    <t>No negative asset balance</t>
  </si>
  <si>
    <t>Ending equity non-negative</t>
  </si>
  <si>
    <t>Capital remains positive</t>
  </si>
  <si>
    <t>ROE within model bounds</t>
  </si>
  <si>
    <t>Screens extreme profitability</t>
  </si>
  <si>
    <t>Discount rate exceeds terminal growth</t>
  </si>
  <si>
    <t>Required for convergent residual-income terminal value</t>
  </si>
  <si>
    <t>Historical source coverage (3-statement, FY2023A-FY2025A)</t>
  </si>
  <si>
    <t>PASS</t>
  </si>
  <si>
    <t>BS/IS/OCI/CF fully sourced to audited dictamen PDFs (Sources_Audited); see Checks_TieOut for cross-statement tie-outs</t>
  </si>
  <si>
    <t>Overall gate</t>
  </si>
  <si>
    <t>Decision use</t>
  </si>
  <si>
    <t>Source-backed audited history (FY2023A-FY2025A, 27/27 tie-outs PASS); driver-built 5yr consolidated forecast; granular bank-schedule forecast PARTIAL</t>
  </si>
  <si>
    <t>Sector schedule + granular forecast scope</t>
  </si>
  <si>
    <t>PARTIAL</t>
  </si>
  <si>
    <t>Readiness</t>
  </si>
  <si>
    <t>Loan_Book/Deposits_Funding/NIM_Build/Credit_Quality/Capital_Adequacy are historical-only (audited, 3yr); the consolidated 5yr Forecast is driver-built (Assumptions Base/Bull/Bear) and anchored to real FY2025A, but projecting the granular bank schedules forward is a documented next-phase gap</t>
  </si>
  <si>
    <t>Sector KPI framework</t>
  </si>
  <si>
    <t>Sector drivers sourced from Loan_Book / Deposits_Funding / NIM_Build / Credit_Quality / Capital_Adequacy (audited FY2023A-FY2025A, COP mm). Historical column shows FY2025A; Forecast column left input-ready pending a full driver-built bank projection (see Checks!B13 / build report gap note).</t>
  </si>
  <si>
    <t>KPI</t>
  </si>
  <si>
    <t>Historical</t>
  </si>
  <si>
    <t>Forecast</t>
  </si>
  <si>
    <t>Status / source requirement</t>
  </si>
  <si>
    <t>Loan growth</t>
  </si>
  <si>
    <t>Input-ready — full loan-book projection (segment mix + growth) is a next-phase build</t>
  </si>
  <si>
    <t>Input-ready; populate from issuer operating disclosures</t>
  </si>
  <si>
    <t>Deposit growth</t>
  </si>
  <si>
    <t>Input-ready — full deposit/funding projection is a next-phase build</t>
  </si>
  <si>
    <t>Net interest margin</t>
  </si>
  <si>
    <t>Input-ready — NIM projection requires an asset/liability repricing build, next phase</t>
  </si>
  <si>
    <t>Cost of risk</t>
  </si>
  <si>
    <t>Input-ready — cost-of-risk projection requires a vintage/stage roll-forward, next phase</t>
  </si>
  <si>
    <t>NPL ratio</t>
  </si>
  <si>
    <t>Input-ready — NPL projection requires a stage-migration build, next phase</t>
  </si>
  <si>
    <t>Coverage ratio</t>
  </si>
  <si>
    <t>Input-ready — coverage projection follows from NPL + cost-of-risk build, next phase</t>
  </si>
  <si>
    <t>CET1 / capital ratio</t>
  </si>
  <si>
    <t>Input-ready — capital-ratio projection requires an APNR/RWA build tied to the balance-sheet forecast, next phase</t>
  </si>
  <si>
    <t>Liquidity ratio</t>
  </si>
  <si>
    <t>N/A — liquidity coverage ratio not disclosed in the consolidated audited FS notes reviewed</t>
  </si>
  <si>
    <t>N/A — no disclosed base to project</t>
  </si>
  <si>
    <t>Tangible book value per share</t>
  </si>
  <si>
    <t>N/A — no disclosed diluted share count (private float; Cover!B11 = Not available)</t>
  </si>
  <si>
    <t>Change log and governance</t>
  </si>
  <si>
    <t>Version history and model-owner review record.</t>
  </si>
  <si>
    <t>Date</t>
  </si>
  <si>
    <t>Version</t>
  </si>
  <si>
    <t>Author</t>
  </si>
  <si>
    <t>Change</t>
  </si>
  <si>
    <t>Evidence</t>
  </si>
  <si>
    <t>Reviewer status</t>
  </si>
  <si>
    <t>1.0</t>
  </si>
  <si>
    <t>Codex</t>
  </si>
  <si>
    <t>Initial institutional model framework and source pack</t>
  </si>
  <si>
    <t>Builder-verified</t>
  </si>
  <si>
    <t>Formula, package and visual QA</t>
  </si>
  <si>
    <t>Checks sheet and preview artifacts</t>
  </si>
  <si>
    <t>Pending owner investment judgment</t>
  </si>
  <si>
    <t>Claude (run 41538014)</t>
  </si>
  <si>
    <t>Elevation to statement-grade IG: replaced 3-cell algebraically-inferred FY2025 history with full audited FY2023A-FY2025A consolidated BS/IS/OCI/CF (BS_Hist/IS_Hist/CI_Hist/CF_Hist, COP mm, published constants); added bank schedules Loan_Book/Deposits_Funding/NIM_Build/Credit_Quality/Capital_Adequacy (historical, 3yr); added Checks_TieOut (27 checks, all PASS) and Sources_Audited (page-cited); rewired Historical (USD mm) and Forecast base year off real data via TRM close; Sector_KPIs populated from audited figures; Assumptions asset-growth/ROE re-anchored to reported trend. Granular bank-schedule forward projection left PARTIAL (documented gap). Built via Mog SDK only. Root workbook untouched; saved under the maintainer's archive.</t>
  </si>
  <si>
    <t>BancoDeOccidente_EEFF-Consolidados-Dictamen_FY2023/2024/2025 PDFs (KPMG dictamen); actualicese.com TRM close citations</t>
  </si>
  <si>
    <t>Builder-verified — 27/27 Checks_TieOut PASS, 0 error cells post-calculate, unzip -t OK (pending final QA pass)</t>
  </si>
  <si>
    <t>Banco de Occidente S.A. y Subsidiarias — Estado Consolidado de Situación Financiera (auditado)</t>
  </si>
  <si>
    <t>COP millones. FY2023A-FY2025A. Fte: EEFF consolidados auditados (dictamen KPMG S.A.S.) FY2023/FY2024/FY2025 PDFs, sección Estado Consolidado de Situación Financiera.</t>
  </si>
  <si>
    <t>Line item</t>
  </si>
  <si>
    <t>FY2023A</t>
  </si>
  <si>
    <t>FY2024A</t>
  </si>
  <si>
    <t>FY2025A</t>
  </si>
  <si>
    <t>Activos</t>
  </si>
  <si>
    <t>Efectivo y equivalentes de efectivo</t>
  </si>
  <si>
    <t>Activos financieros a valor razonable con cambios en resultados</t>
  </si>
  <si>
    <t xml:space="preserve">  Inversiones en títulos de deuda (VR resultados)</t>
  </si>
  <si>
    <t xml:space="preserve">  Inversiones en instrumentos de patrimonio (VR resultados)</t>
  </si>
  <si>
    <t xml:space="preserve">  Instrumentos derivativos de negociación (activo)</t>
  </si>
  <si>
    <t>Activos financieros a valor razonable con cambios en ORI</t>
  </si>
  <si>
    <t xml:space="preserve">  Inversiones en títulos de deuda (VR ORI)</t>
  </si>
  <si>
    <t xml:space="preserve">  Inversiones en instrumentos de patrimonio (VR ORI)</t>
  </si>
  <si>
    <t>Activos financieros en títulos de deuda a costo amortizado</t>
  </si>
  <si>
    <t>Instrumentos derivados de cobertura (activo)</t>
  </si>
  <si>
    <t>Cartera de créditos a costo amortizado (bruta)</t>
  </si>
  <si>
    <t xml:space="preserve">  Cartera comercial y leasing comercial</t>
  </si>
  <si>
    <t xml:space="preserve">  Cartera consumo y leasing consumo</t>
  </si>
  <si>
    <t xml:space="preserve">  Cartera hipotecario y leasing hipotecario</t>
  </si>
  <si>
    <t>Deterioro de cartera de crédito a costo amortizado</t>
  </si>
  <si>
    <t>Cartera de créditos a costo amortizado, neto</t>
  </si>
  <si>
    <t>Otras cuentas por cobrar, neto</t>
  </si>
  <si>
    <t>Activos no corrientes mantenidos para la venta</t>
  </si>
  <si>
    <t>Inversiones en compañías asociadas y negocios conjuntos</t>
  </si>
  <si>
    <t>Activos tangibles, neto</t>
  </si>
  <si>
    <t>Activos intangibles, neto</t>
  </si>
  <si>
    <t>Activo por impuesto a la ganancia</t>
  </si>
  <si>
    <t>Otros activos</t>
  </si>
  <si>
    <t>Total activos</t>
  </si>
  <si>
    <t>Pasivo</t>
  </si>
  <si>
    <t>Pasivos financieros a valor razonable - instrumentos derivados</t>
  </si>
  <si>
    <t>Depósitos de clientes</t>
  </si>
  <si>
    <t xml:space="preserve">  Cuentas corrientes</t>
  </si>
  <si>
    <t xml:space="preserve">  Cuentas de ahorro</t>
  </si>
  <si>
    <t xml:space="preserve">  Certificados de depósito a término</t>
  </si>
  <si>
    <t xml:space="preserve">  Otros depósitos</t>
  </si>
  <si>
    <t>Obligaciones financieras</t>
  </si>
  <si>
    <t xml:space="preserve">  Fondos interbancarios y overnight</t>
  </si>
  <si>
    <t xml:space="preserve">  Créditos de bancos y otros</t>
  </si>
  <si>
    <t xml:space="preserve">  Bonos y títulos de inversión</t>
  </si>
  <si>
    <t xml:space="preserve">  Obligaciones con entidades de redescuento</t>
  </si>
  <si>
    <t>Provisiones para contingencias legales y otras</t>
  </si>
  <si>
    <t>Pasivo por impuesto a las ganancias</t>
  </si>
  <si>
    <t>Beneficios de empleados</t>
  </si>
  <si>
    <t>Otros pasivos</t>
  </si>
  <si>
    <t>Total pasivos</t>
  </si>
  <si>
    <t>Patrimonio</t>
  </si>
  <si>
    <t>Capital suscrito y pagado</t>
  </si>
  <si>
    <t>Prima en colocación de acciones</t>
  </si>
  <si>
    <t>Utilidades retenidas</t>
  </si>
  <si>
    <t>Otros resultados integrales</t>
  </si>
  <si>
    <t>Patrimonio de los intereses controlantes</t>
  </si>
  <si>
    <t>Intereses no controlantes</t>
  </si>
  <si>
    <t>Total patrimonio</t>
  </si>
  <si>
    <t>Total pasivos y patrimonio</t>
  </si>
  <si>
    <t>Banco de Occidente S.A. y Subsidiarias — Estado Consolidado de Resultados (auditado)</t>
  </si>
  <si>
    <t>COP millones. Misma base de fuente que BS_Hist.</t>
  </si>
  <si>
    <t>Ingresos por intereses y valoración</t>
  </si>
  <si>
    <t xml:space="preserve">  Intereses cartera comercial</t>
  </si>
  <si>
    <t xml:space="preserve">  Intereses cartera consumo</t>
  </si>
  <si>
    <t xml:space="preserve">  Intereses cartera vivienda</t>
  </si>
  <si>
    <t xml:space="preserve">  Ingreso por repos e interbancarios</t>
  </si>
  <si>
    <t xml:space="preserve">  Ingresos por depósitos</t>
  </si>
  <si>
    <t xml:space="preserve">  Ingreso por intereses de otras cuentas por cobrar</t>
  </si>
  <si>
    <t xml:space="preserve">  Intereses y valoración inversiones costo amortizado</t>
  </si>
  <si>
    <t>Gastos por intereses y similares</t>
  </si>
  <si>
    <t xml:space="preserve">  Depósitos - cuentas corrientes</t>
  </si>
  <si>
    <t xml:space="preserve">  Depósitos de ahorro</t>
  </si>
  <si>
    <t xml:space="preserve">  Obligaciones financieras — créditos interbancarios</t>
  </si>
  <si>
    <t xml:space="preserve">  Obligaciones financieras — créditos de bancos y otros</t>
  </si>
  <si>
    <t xml:space="preserve">  Obligaciones financieras — bonos y títulos de inversión</t>
  </si>
  <si>
    <t xml:space="preserve">  Obligaciones — entidades de redescuento</t>
  </si>
  <si>
    <t>Ingresos netos por intereses y valoración</t>
  </si>
  <si>
    <t>Pérdida por deterioro de activos financieros</t>
  </si>
  <si>
    <t xml:space="preserve">  Deterioro cartera de créditos e intereses por cobrar</t>
  </si>
  <si>
    <t xml:space="preserve">  Deterioro (recuperación) inversiones títulos de deuda</t>
  </si>
  <si>
    <t xml:space="preserve">  Recuperación de castigos</t>
  </si>
  <si>
    <t>Ingresos netos de intereses después de deterioro</t>
  </si>
  <si>
    <t>Ingresos por comisiones y honorarios</t>
  </si>
  <si>
    <t>Gastos por comisiones y honorarios</t>
  </si>
  <si>
    <t>Ingreso neto por comisiones y honorarios</t>
  </si>
  <si>
    <t>Ingresos netos de activos/pasivos financieros para negociar</t>
  </si>
  <si>
    <t>Otros ingresos, neto</t>
  </si>
  <si>
    <t>Otros egresos, neto</t>
  </si>
  <si>
    <t xml:space="preserve">  Gastos de personal</t>
  </si>
  <si>
    <t xml:space="preserve">  Gastos generales de administración</t>
  </si>
  <si>
    <t xml:space="preserve">  Gastos por depreciación y amortización</t>
  </si>
  <si>
    <t xml:space="preserve">  Otros gastos de operación neto</t>
  </si>
  <si>
    <t xml:space="preserve">  Provisión otros activos</t>
  </si>
  <si>
    <t>Utilidad antes de impuestos a las ganancias</t>
  </si>
  <si>
    <t>Impuesto a las ganancias</t>
  </si>
  <si>
    <t>Resultado del ejercicio</t>
  </si>
  <si>
    <t>Resultado atribuible a:</t>
  </si>
  <si>
    <t>Intereses controlantes</t>
  </si>
  <si>
    <t>Banco de Occidente S.A. y Subsidiarias — Estado Consolidado de Otros Resultados Integrales (auditado)</t>
  </si>
  <si>
    <t>Partidas reclasificables a resultados</t>
  </si>
  <si>
    <t>Diferencia en cambio neta conversión operaciones extranjeras</t>
  </si>
  <si>
    <t>Diferencia en cambio inversiones en subsidiarias en el exterior</t>
  </si>
  <si>
    <t>(Pérdida) utilidad neta no realizada coberturas extranjeras</t>
  </si>
  <si>
    <t>(Pérdida) utilidad valor razonable títulos de deuda ORI</t>
  </si>
  <si>
    <t>Deterioro instrumentos VR-ORI títulos de deuda</t>
  </si>
  <si>
    <t>Utilidad método de participación patrimonial (OCI)</t>
  </si>
  <si>
    <t>Impuesto diferido — partidas reclasificables</t>
  </si>
  <si>
    <t>Total partidas reclasificables a resultados</t>
  </si>
  <si>
    <t>Partidas no reclasificables a resultados</t>
  </si>
  <si>
    <t>Revalorización de propiedades de inversión</t>
  </si>
  <si>
    <t>Utilidad VR instrumentos de patrimonio</t>
  </si>
  <si>
    <t>Utilidad (pérdida) actuarial beneficios definidos</t>
  </si>
  <si>
    <t>Impuesto diferido — partidas no reclasificables</t>
  </si>
  <si>
    <t>Total partidas no reclasificables a resultados</t>
  </si>
  <si>
    <t>Total otros resultados integrales, neto de impuestos</t>
  </si>
  <si>
    <t>Resultados integrales total del período</t>
  </si>
  <si>
    <t>Resultados integrales atribuibles a:</t>
  </si>
  <si>
    <t>Banco de Occidente S.A. y Subsidiarias — Estado Consolidado de Flujos de Efectivo (auditado)</t>
  </si>
  <si>
    <t>COP millones. Signos como publicados (salidas negativas).</t>
  </si>
  <si>
    <t>Actividades de operación</t>
  </si>
  <si>
    <t>Resultado del ejercicio antes de impuesto a las ganancias</t>
  </si>
  <si>
    <t>Depreciación activos tangibles y PP&amp;E derecho de uso</t>
  </si>
  <si>
    <t>Amortización activos intangibles</t>
  </si>
  <si>
    <t>Deterioro cartera de créditos y cuentas por cobrar, neto</t>
  </si>
  <si>
    <t>Recuperación deterioro activos tangibles, neto</t>
  </si>
  <si>
    <t>(Utilidad) pérdida venta propiedad y equipo uso propio</t>
  </si>
  <si>
    <t>Diferencia en cambio</t>
  </si>
  <si>
    <t>Utilidad venta activos no corrientes mantenidos para la venta</t>
  </si>
  <si>
    <t>Utilidad venta de inversiones, neto</t>
  </si>
  <si>
    <t>Participación utilidades asociadas y JVs</t>
  </si>
  <si>
    <t>Dividendos (no-cash add-back)</t>
  </si>
  <si>
    <t>Utilidad valoración instrumentos financieros derivados</t>
  </si>
  <si>
    <t>Utilidad valoración propiedades de inversión</t>
  </si>
  <si>
    <t>Variación neta — inversiones negociables</t>
  </si>
  <si>
    <t>Variación neta — instrumentos financieros derivados</t>
  </si>
  <si>
    <t>Variación neta — cartera de créditos</t>
  </si>
  <si>
    <t>Variación neta — cuentas por cobrar</t>
  </si>
  <si>
    <t>Variación neta — otros activos</t>
  </si>
  <si>
    <t>Variación neta — depósitos de clientes</t>
  </si>
  <si>
    <t>Variación neta — activos no corrientes mantenidos para la venta</t>
  </si>
  <si>
    <t>Variación neta — préstamos interbancarios y fondos overnight</t>
  </si>
  <si>
    <t>Variación neta — otros pasivos y provisiones</t>
  </si>
  <si>
    <t>Variación neta — beneficios a empleados</t>
  </si>
  <si>
    <t>Intereses recibidos de activos financieros</t>
  </si>
  <si>
    <t>Intereses pagados de pasivos financieros</t>
  </si>
  <si>
    <t>Pago intereses arrendamientos financieros</t>
  </si>
  <si>
    <t>Impuesto sobre la renta pagado</t>
  </si>
  <si>
    <t>Efectivo neto de actividades de operación</t>
  </si>
  <si>
    <t>Actividades de inversión</t>
  </si>
  <si>
    <t>Adquisición inversiones mantenidas hasta el vencimiento</t>
  </si>
  <si>
    <t>Redención inversiones mantenidas hasta el vencimiento</t>
  </si>
  <si>
    <t>Adquisición inversiones VR-ORI</t>
  </si>
  <si>
    <t>Producto venta inversiones VR-ORI</t>
  </si>
  <si>
    <t>Adquisición de activos tangibles</t>
  </si>
  <si>
    <t>Adquisición de otros activos intangibles</t>
  </si>
  <si>
    <t>Producto venta de propiedad y equipo</t>
  </si>
  <si>
    <t>Producto venta activos no corrientes mantenidos para la venta</t>
  </si>
  <si>
    <t>Adquisición participación en asociadas y JVs</t>
  </si>
  <si>
    <t>Dividendos recibidos</t>
  </si>
  <si>
    <t>Efectivo neto de actividades de inversión</t>
  </si>
  <si>
    <t>Actividades de financiación</t>
  </si>
  <si>
    <t>Obligaciones financieras, neto</t>
  </si>
  <si>
    <t>Emisión de títulos de inversión en circulación</t>
  </si>
  <si>
    <t>Pagos de títulos de inversión en circulación</t>
  </si>
  <si>
    <t>Pago canon arrendamientos</t>
  </si>
  <si>
    <t>Dividendos pagados intereses controlantes</t>
  </si>
  <si>
    <t>Dividendos pagados intereses no controlantes</t>
  </si>
  <si>
    <t>Efectivo neto de actividades de financiación</t>
  </si>
  <si>
    <t>Efecto de ganancias/pérdidas en cambio en el efectivo</t>
  </si>
  <si>
    <t>Aumento (disminución) del efectivo, neto</t>
  </si>
  <si>
    <t>Efectivo al inicio del ejercicio</t>
  </si>
  <si>
    <t>Efectivo al final del ejercicio</t>
  </si>
  <si>
    <t>Banco de Occidente — Cartera de créditos (Nota 10, auditada)</t>
  </si>
  <si>
    <t>COP millones salvo % indicado.</t>
  </si>
  <si>
    <t>Cartera de créditos por modalidad (Nota 10.1, bruta)</t>
  </si>
  <si>
    <t>Cartera comercial y leasing comercial</t>
  </si>
  <si>
    <t>Cartera consumo y leasing consumo</t>
  </si>
  <si>
    <t>Cartera hipotecario y leasing hipotecario</t>
  </si>
  <si>
    <t>Total cartera de créditos bruta</t>
  </si>
  <si>
    <t>Deterioro por segmento (Nota 10, saldo BS)</t>
  </si>
  <si>
    <t>Deterioro cartera comercial y leasing comercial</t>
  </si>
  <si>
    <t>Deterioro cartera consumo y leasing consumo</t>
  </si>
  <si>
    <t>Deterioro cartera hipotecaria y leasing hipotecaria</t>
  </si>
  <si>
    <t>Total deterioro de cartera</t>
  </si>
  <si>
    <t>Cartera de créditos, neta</t>
  </si>
  <si>
    <t>Mezcla y crecimiento</t>
  </si>
  <si>
    <t>Mezcla comercial (% cartera bruta)</t>
  </si>
  <si>
    <t>Mezcla consumo (% cartera bruta)</t>
  </si>
  <si>
    <t>Mezcla hipotecario (% cartera bruta)</t>
  </si>
  <si>
    <t>Crecimiento cartera bruta YoY</t>
  </si>
  <si>
    <t>Banco de Occidente — Depósitos y fondeo mayorista (Notas 17-18, auditadas)</t>
  </si>
  <si>
    <t>Depósitos de clientes (Nota 17, BS)</t>
  </si>
  <si>
    <t>Cuentas corrientes</t>
  </si>
  <si>
    <t>Cuentas de ahorro</t>
  </si>
  <si>
    <t>Certificados de depósito a término (CDT)</t>
  </si>
  <si>
    <t>Otros depósitos</t>
  </si>
  <si>
    <t>Total depósitos de clientes</t>
  </si>
  <si>
    <t>Obligaciones financieras mayoristas (Nota 18, BS)</t>
  </si>
  <si>
    <t>Fondos interbancarios y overnight</t>
  </si>
  <si>
    <t>Créditos de bancos y otros</t>
  </si>
  <si>
    <t>Bonos y títulos de inversión</t>
  </si>
  <si>
    <t>Obligaciones con entidades de redescuento</t>
  </si>
  <si>
    <t>Total obligaciones financieras</t>
  </si>
  <si>
    <t>Total fondeo (depósitos + obligaciones financieras)</t>
  </si>
  <si>
    <t>Depósitos / fondeo total</t>
  </si>
  <si>
    <t>Depósitos transaccionales (corriente+ahorro) / total depósitos</t>
  </si>
  <si>
    <t>Crecimiento depósitos de clientes YoY</t>
  </si>
  <si>
    <t>Cruce contra balance (Pasivos financieros a costo amortizado)</t>
  </si>
  <si>
    <t>Pasivos financieros a costo amortizado (BS, reportado)</t>
  </si>
  <si>
    <t>Banco de Occidente — Construcción de margen de intermediación (Nota 25/IS, auditada)</t>
  </si>
  <si>
    <t>Ingresos por intereses (Nota 25/IS)</t>
  </si>
  <si>
    <t>Intereses cartera comercial</t>
  </si>
  <si>
    <t>Intereses cartera consumo</t>
  </si>
  <si>
    <t>Intereses cartera vivienda</t>
  </si>
  <si>
    <t>Ingreso por repos e interbancarios</t>
  </si>
  <si>
    <t>Ingresos por depósitos (rendimientos)</t>
  </si>
  <si>
    <t>Intereses otras cuentas por cobrar</t>
  </si>
  <si>
    <t>Intereses inversiones a costo amortizado</t>
  </si>
  <si>
    <t>Total ingresos por intereses y valoración</t>
  </si>
  <si>
    <t>Gastos por intereses (Nota 25/IS)</t>
  </si>
  <si>
    <t>Depósitos - cuentas corrientes</t>
  </si>
  <si>
    <t>Depósitos de ahorro</t>
  </si>
  <si>
    <t>Certificados de depósito a término</t>
  </si>
  <si>
    <t>Obligaciones — créditos interbancarios</t>
  </si>
  <si>
    <t>Obligaciones — créditos de bancos y otros</t>
  </si>
  <si>
    <t>Obligaciones — bonos y títulos de inversión</t>
  </si>
  <si>
    <t>Obligaciones — entidades de redescuento</t>
  </si>
  <si>
    <t>Total gastos por intereses y similares</t>
  </si>
  <si>
    <t>Ingresos netos por intereses y valoración (NII)</t>
  </si>
  <si>
    <t>Base de activos productivos (promedio, para NIM)</t>
  </si>
  <si>
    <t>Cartera de créditos bruta (fin de período)</t>
  </si>
  <si>
    <t>Inversiones en títulos de deuda (VR resultados + VR ORI + costo amortizado, fin de período)</t>
  </si>
  <si>
    <t>Activos productivos estimados (cartera bruta + inversiones deuda), fin de período</t>
  </si>
  <si>
    <t>Activos productivos promedio (2023: fin de período únicamente, sin saldo inicial 2022 en este build)</t>
  </si>
  <si>
    <t>NIM = NII / activos productivos promedio</t>
  </si>
  <si>
    <t>Banco de Occidente — Calidad de cartera (Notas 10.1/10.4/25, auditadas)</t>
  </si>
  <si>
    <t>COP millones salvo % indicado. NPL proxy limitado a cartera individualmente evaluada (única cifra de cartera deteriorada individual desglosada en las notas al nivel consolidado); no incluye deterioro colectivo de consumo/hipotecario.</t>
  </si>
  <si>
    <t>Cartera bruta y deterioro (Nota 10.1, BS)</t>
  </si>
  <si>
    <t>Total provisión (deterioro) para cartera de créditos</t>
  </si>
  <si>
    <t>Índice de cobertura (provisión / cartera bruta)</t>
  </si>
  <si>
    <t>Costo de riesgo (Nota 25/IS — cargo del período, no saldo)</t>
  </si>
  <si>
    <t>Deterioro cartera de créditos e intereses por cobrar (cargo P&amp;G)</t>
  </si>
  <si>
    <t>Recuperación de castigos (P&amp;G)</t>
  </si>
  <si>
    <t>Deterioro neto de cartera (cargo P&amp;G neto de recuperaciones)</t>
  </si>
  <si>
    <t>Costo de riesgo = cargo neto / cartera bruta fin de período</t>
  </si>
  <si>
    <t>Cartera individualmente evaluada con deterioro registrado (Nota 10.4, proxy de cartera deteriorada)</t>
  </si>
  <si>
    <t>Valor bruto — cartera individual con deterioro registrado</t>
  </si>
  <si>
    <t>Provisión constituida — cartera individual con deterioro</t>
  </si>
  <si>
    <t>Garantías colaterales — cartera individual con deterioro</t>
  </si>
  <si>
    <t>Cartera individual deteriorada / cartera bruta total (proxy NPL, solo evaluación individual)</t>
  </si>
  <si>
    <t>Cobertura de cartera individual deteriorada (provisión indiv. / valor bruto indiv.)</t>
  </si>
  <si>
    <t>Deterioro por segmento (saldo BS, para referencia)</t>
  </si>
  <si>
    <t>Banco de Occidente — Adecuación de capital / solvencia (Nota 4.6, auditada, base individual Matriz)</t>
  </si>
  <si>
    <t>COP millones salvo % indicado. Los índices de solvencia se calculan y reportan a nivel de la Matriz individual (Banco de Occidente S.A.), no consolidado — así lo revela la Nota 4.6 en los tres ejercicios.</t>
  </si>
  <si>
    <t>Patrimonio técnico (Nota 4.6, matriz individual — base regulatoria)</t>
  </si>
  <si>
    <t>Reservas y utilidades retenidas</t>
  </si>
  <si>
    <t>Otro resultado integral</t>
  </si>
  <si>
    <t>Utilidad neta del período</t>
  </si>
  <si>
    <t>Interés minoritario</t>
  </si>
  <si>
    <t>Deducciones — plusvalía y otros intangibles</t>
  </si>
  <si>
    <t>Deducciones — otros</t>
  </si>
  <si>
    <t>Patrimonio básico ordinario</t>
  </si>
  <si>
    <t>Patrimonio básico</t>
  </si>
  <si>
    <t>Instrumentos subordinados (patrimonio adicional)</t>
  </si>
  <si>
    <t>Patrimonio técnico total</t>
  </si>
  <si>
    <t>Activos ponderados por riesgo (APNR)</t>
  </si>
  <si>
    <t>Riesgo crediticio</t>
  </si>
  <si>
    <t>Exposición riesgo de mercado</t>
  </si>
  <si>
    <t>Exposición riesgo operacional</t>
  </si>
  <si>
    <t>Total APNR (crédito + mercado + operacional)</t>
  </si>
  <si>
    <t>Índices de solvencia (según lo publicado)</t>
  </si>
  <si>
    <t>Relación de solvencia básica</t>
  </si>
  <si>
    <t>Relación de solvencia básica adicional</t>
  </si>
  <si>
    <t>Relación de solvencia contribuida por patrimonio adicional</t>
  </si>
  <si>
    <t>Relación de solvencia total</t>
  </si>
  <si>
    <t>Valor de apalancamiento</t>
  </si>
  <si>
    <t>Relación de apalancamiento</t>
  </si>
  <si>
    <t>Mínimo regulatorio — patrimonio técnico / APNR</t>
  </si>
  <si>
    <t>Colchón de conservación de capital regulatorio</t>
  </si>
  <si>
    <t>Tie-out checks — audited historical statements (all deltas must be 0; COP millions)</t>
  </si>
  <si>
    <t>MASTER</t>
  </si>
  <si>
    <t>BS: Total activos = suma de líneas</t>
  </si>
  <si>
    <t>BS: Cartera neta = bruta + deterioro</t>
  </si>
  <si>
    <t>BS: Cartera bruta = suma de segmentos</t>
  </si>
  <si>
    <t>BS: Depósitos + Obligaciones financieras + otros = Total pasivos</t>
  </si>
  <si>
    <t>BS: Depósitos = suma de tipos</t>
  </si>
  <si>
    <t>BS: Obligaciones financieras = suma de tipos</t>
  </si>
  <si>
    <t>BS: Patrimonio de intereses controlantes = suma de líneas</t>
  </si>
  <si>
    <t>BS: Total patrimonio = controlantes + no controlantes</t>
  </si>
  <si>
    <t>BS: Total pasivos + patrimonio = Total pasivos y patrimonio</t>
  </si>
  <si>
    <t>BS: Balance (Total activos − Total pasivos y patrimonio)</t>
  </si>
  <si>
    <t>IS: Ingresos netos por intereses = Ingresos − Gastos por intereses</t>
  </si>
  <si>
    <t>IS: Ingresos, neto de intereses después de deterioro</t>
  </si>
  <si>
    <t>IS: Ingreso neto por comisiones = Ingresos − Gastos comisiones</t>
  </si>
  <si>
    <t>IS: Utilidad antes de impuestos = suma de bloques</t>
  </si>
  <si>
    <t>IS: Resultado del ejercicio = UAI − Impuesto</t>
  </si>
  <si>
    <t>IS: Resultado = controlantes + no controlantes</t>
  </si>
  <si>
    <t>CI: Resultados integrales = Resultado + OCI total</t>
  </si>
  <si>
    <t>CI: Resultados integrales = controlantes + no controlantes</t>
  </si>
  <si>
    <t>X: Resultado del ejercicio (IS) = Resultado del ejercicio (CI)</t>
  </si>
  <si>
    <t>CF: Efectivo neto operación = suma de conciliación (aprox., ver nota)</t>
  </si>
  <si>
    <t>CF: Efectivo neto inversión = suma de líneas</t>
  </si>
  <si>
    <t>CF: Efectivo neto financiación = suma de líneas</t>
  </si>
  <si>
    <t>CF: Variación neta efectivo = Oper. + Inv. + Fin. + FX</t>
  </si>
  <si>
    <t>CF: Efectivo final = inicial + variación neta</t>
  </si>
  <si>
    <t>X: CF efectivo final = BS efectivo</t>
  </si>
  <si>
    <t>X: CF resultado del ejercicio = IS resultado del ejercicio</t>
  </si>
  <si>
    <t>X: Fondeo (Deposits_Funding) = Pasivos financieros a costo amortizado (BS)</t>
  </si>
  <si>
    <t>Audited source register — Banco de Occidente S.A. y Subsidiarias, EEFF consolidados (dictamen KPMG S.A.S.)</t>
  </si>
  <si>
    <t>Model year</t>
  </si>
  <si>
    <t>Source report</t>
  </si>
  <si>
    <t>File</t>
  </si>
  <si>
    <t>Statement pages (BS / IS+OCI / CF)</t>
  </si>
  <si>
    <t>Key notes used (page)</t>
  </si>
  <si>
    <t>FY2023 EEFF consolidados auditados (comparativo 2023/2022; también verificado contra columna propia del PDF FY2023)</t>
  </si>
  <si>
    <t>BancoDeOccidente_EEFF-Consolidados-Dictamen_FY2023_al-31-dic-2023.pdf</t>
  </si>
  <si>
    <t>BS p.9 (via FY2024 PDF comparative, byte-matched to FY2023 PDF p.8 own-year col) / IS p.10 / CF p.13</t>
  </si>
  <si>
    <t>Nota 10 cartera p.105-111 (via FY2024 PDF); Nota 4.6 solvencia p.81-83 (via FY2024 PDF)</t>
  </si>
  <si>
    <t>FY2024 EEFF consolidados auditados (comparativo 2024/2023)</t>
  </si>
  <si>
    <t>BancoDeOccidente_EEFF-Consolidados-Dictamen_FY2024_al-31-dic-2024.pdf</t>
  </si>
  <si>
    <t>BS p.9 / IS p.10 / OCI p.11 / CF p.13</t>
  </si>
  <si>
    <t>Nota 10 cartera p.105-111; Nota 4.6 solvencia p.81-83</t>
  </si>
  <si>
    <t>FY2025 EEFF consolidados auditados (comparativo 2025/2024)</t>
  </si>
  <si>
    <t>BancoDeOccidente_EEFF-Consolidados-Dictamen_FY2025_al-31-dic-2025.pdf</t>
  </si>
  <si>
    <t>BS p.8 / IS p.9 / OCI p.10 / CF p.12</t>
  </si>
  <si>
    <t>Nota 10 cartera p.105-111; Nota 4.6 solvencia p.82-83</t>
  </si>
  <si>
    <t>Notes</t>
  </si>
  <si>
    <t>Statements entered as published constants (COP millions); all recomputation lives in Checks_TieOut. Página = página impresa en el PDF renderizado por pdftotext -layout (footer numérico del documento), no número de página del PDF viewer.</t>
  </si>
  <si>
    <t>FY2023 figures cross-checked byte-for-byte against the FY2023 PDF's own reporting-year column (cash, total assets match to the peso) before use.</t>
  </si>
  <si>
    <t>Capital_Adequacy (Nota 4.6) is disclosed at the level of the Matriz individual (Banco de Occidente S.A.), not the consolidated group — this is how the bank reports it in all three audited filings; flagged on the sheet itself.</t>
  </si>
  <si>
    <t>Credit_Quality NPL proxy uses Nota 10.4 (cartera evaluada individualmente con deterioro registrado) because the notes do not disclose a consolidated Stage-3/vencida balance broken out by all segments at group level; the note text explicitly distinguishes "cartera deteriorada" (risk-based) from "cartera vencida" (days-past-due) without tabulating the latter at total-book level. Labeled as a proxy, not a full NPL ratio.</t>
  </si>
  <si>
    <t>USD presentation layer — TRM (tasa representativa del mercado) at each fiscal year-end close</t>
  </si>
  <si>
    <t>Year</t>
  </si>
  <si>
    <t>TRM close (COP per USD)</t>
  </si>
  <si>
    <t>Source</t>
  </si>
  <si>
    <t>FY2023A (31-dic-2023)</t>
  </si>
  <si>
    <t>actualicese.com, "TRM al 31 de diciembre de 2023" — citing official Banco de la República / Superfinanciera TRM (fetched 2026-07-21)</t>
  </si>
  <si>
    <t>FY2024A (31-dic-2024)</t>
  </si>
  <si>
    <t>actualicese.com, "Así cerró la TRM al 31 de diciembre de 2024" — citing official TRM (fetched 2026-07-21)</t>
  </si>
  <si>
    <t>FY2025A (31-dic-2025)</t>
  </si>
  <si>
    <t>actualicese.com, "TRM 2025: valor y variación al cierre del año" — citing official TRM (fetched 2026-07-21)</t>
  </si>
  <si>
    <t>Note: TRM is a market close rate used only to build the USD presentation layer (Historical/Forecast/Valuation sheets, which are stated in USD). It is not part of the audited COP-native statements and is not an issuer-published convenience-translation rate (Banco de Occidente does not publish one, unlike some issuers). Cited via web source aggregating the official Banrep/Superfinanciera TRM series, not fetched directly from Banrep's API in this pass.</t>
  </si>
  <si>
    <t>Turn #</t>
  </si>
  <si>
    <t>User Request</t>
  </si>
  <si>
    <t>Action Taken</t>
  </si>
  <si>
    <t>Details</t>
  </si>
  <si>
    <t>Outcome</t>
  </si>
  <si>
    <t>Prepare a public model copy</t>
  </si>
  <si>
    <t>Remove local paths and private build references; preserve financial formulas and inputs</t>
  </si>
  <si>
    <t>Agent run with MOG as the tool, checked by guard v1. The guard measured every sheet before and after the run.
Changed: Change_Log: 1 cell written, at D7; Sources_Audited: 3 cells written, at C4, C5, C6.
Agent: OpenFinmods export</t>
  </si>
  <si>
    <t>Compare against source and review public copy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</si>
</sst>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;[Red](#,##0.0);-"/>
    <numFmt numFmtId="166" formatCode="0.0%;[Red](0.0%);-"/>
    <numFmt numFmtId="167" formatCode="0.0%"/>
    <numFmt numFmtId="168" formatCode="yyyy\-mm\-dd hh:mm"/>
  </numFmts>
  <fonts count="15">
    <font>
      <sz val="11"/>
      <color theme="1"/>
      <name val="Calibri"/>
      <family val="2"/>
      <scheme val="minor"/>
    </font>
    <font>
      <sz val="11"/>
      <name val="Carlito"/>
    </font>
    <font>
      <b val="0"/>
      <i val="0"/>
      <strike val="0"/>
      <sz val="11"/>
      <name val="Carlito"/>
    </font>
    <font>
      <b val="0"/>
      <i val="0"/>
      <strike val="0"/>
      <sz val="16"/>
      <color rgb="FFFFFFFF"/>
      <name val="Carlito"/>
    </font>
    <font>
      <b val="0"/>
      <i val="0"/>
      <strike val="0"/>
      <sz val="10"/>
      <color rgb="FF595959"/>
      <name val="Carlito"/>
    </font>
    <font>
      <b val="0"/>
      <i val="0"/>
      <strike val="0"/>
      <sz val="11"/>
      <color rgb="FFFFFFFF"/>
      <name val="Carlito"/>
    </font>
    <font>
      <b val="0"/>
      <i val="0"/>
      <strike val="0"/>
      <sz val="10"/>
      <color rgb="FFFFFFFF"/>
      <name val="Aptos"/>
    </font>
    <font>
      <b val="0"/>
      <i val="0"/>
      <strike val="0"/>
      <sz val="10"/>
      <color rgb="FF595959"/>
      <name val="Aptos"/>
    </font>
    <font>
      <b val="0"/>
      <i val="0"/>
      <strike val="0"/>
      <sz val="10"/>
      <name val="Aptos"/>
    </font>
    <font>
      <b val="0"/>
      <i val="0"/>
      <strike val="0"/>
      <sz val="11"/>
      <color rgb="FF0000FF"/>
      <name val="Carlito"/>
    </font>
    <font>
      <b val="0"/>
      <i val="0"/>
      <strike val="0"/>
      <sz val="10"/>
      <color rgb="FF0000FF"/>
      <name val="Aptos"/>
    </font>
    <font>
      <b val="0"/>
      <i val="0"/>
      <strike val="0"/>
      <sz val="11"/>
      <color rgb="FF17365D"/>
      <name val="Carlito"/>
    </font>
    <font>
      <b val="0"/>
      <i val="0"/>
      <strike val="0"/>
      <sz val="10"/>
      <color rgb="FF17365D"/>
      <name val="Aptos"/>
    </font>
    <font>
      <b val="0"/>
      <i val="0"/>
      <strike val="0"/>
      <sz val="10"/>
      <color rgb="FF000000"/>
      <name val="Arial"/>
    </font>
    <font>
      <b/>
      <i val="0"/>
      <strike val="0"/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EAF3F8"/>
        <bgColor rgb="FFEAF3F8"/>
      </patternFill>
    </fill>
    <fill>
      <patternFill patternType="solid">
        <fgColor rgb="FFD9EAF7"/>
        <bgColor rgb="FFD9EAF7"/>
      </patternFill>
    </fill>
  </fills>
  <borders count="5">
    <border/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1F4E78"/>
      </left>
      <right style="thin">
        <color rgb="FF1F4E78"/>
      </right>
      <top style="thin">
        <color rgb="FF1F4E78"/>
      </top>
    </border>
    <border>
      <left style="thin">
        <color rgb="FF1F4E78"/>
      </left>
      <right style="thin">
        <color rgb="FF1F4E78"/>
      </right>
    </border>
    <border>
      <left style="thin">
        <color rgb="FF1F4E78"/>
      </left>
      <right style="thin">
        <color rgb="FF1F4E78"/>
      </right>
      <bottom style="thin">
        <color rgb="FF1F4E78"/>
      </bottom>
    </border>
  </borders>
  <cellStyleXfs count="1">
    <xf numFmtId="0" fontId="1" fillId="0" borderId="0"/>
  </cellStyleXfs>
  <cellXfs count="61">
    <xf numFmtId="0" fontId="1" fillId="0" borderId="0" xfId="0" applyFont="1"/>
    <xf numFmtId="164" fontId="2" fillId="2" borderId="0" xfId="0" applyNumberFormat="1" applyFont="1" applyFill="1"/>
    <xf numFmtId="164" fontId="3" fillId="2" borderId="0" xfId="0" applyNumberFormat="1" applyFont="1" applyFill="1"/>
    <xf numFmtId="164" fontId="4" fillId="0" borderId="0" xfId="0" applyNumberFormat="1" applyFont="1"/>
    <xf numFmtId="164" fontId="4" fillId="0" borderId="0" xfId="0" applyNumberFormat="1" applyFont="1" applyAlignment="1">
      <alignment horizontal="general" vertical="bottom" textRotation="0" wrapText="1" indent="0" readingOrder="0"/>
    </xf>
    <xf numFmtId="164" fontId="2" fillId="3" borderId="0" xfId="0" applyNumberFormat="1" applyFont="1" applyFill="1"/>
    <xf numFmtId="164" fontId="5" fillId="3" borderId="0" xfId="0" applyNumberFormat="1" applyFont="1" applyFill="1"/>
    <xf numFmtId="164" fontId="5" fillId="3" borderId="1" xfId="0" applyNumberFormat="1" applyFont="1" applyFill="1" applyBorder="1"/>
    <xf numFmtId="164" fontId="2" fillId="4" borderId="0" xfId="0" applyNumberFormat="1" applyFont="1" applyFill="1"/>
    <xf numFmtId="164" fontId="2" fillId="5" borderId="0" xfId="0" applyNumberFormat="1" applyFont="1" applyFill="1"/>
    <xf numFmtId="164" fontId="2" fillId="5" borderId="0" xfId="0" applyNumberFormat="1" applyFont="1" applyFill="1" applyAlignment="1">
      <alignment horizontal="general" vertical="bottom" textRotation="0" wrapText="1" indent="0" readingOrder="0"/>
    </xf>
    <xf numFmtId="164" fontId="6" fillId="2" borderId="0" xfId="0" applyNumberFormat="1" applyFont="1" applyFill="1"/>
    <xf numFmtId="164" fontId="7" fillId="0" borderId="0" xfId="0" applyNumberFormat="1" applyFont="1" applyAlignment="1">
      <alignment horizontal="general" vertical="bottom" textRotation="0" wrapText="1" indent="0" readingOrder="0"/>
    </xf>
    <xf numFmtId="164" fontId="8" fillId="0" borderId="0" xfId="0" applyNumberFormat="1" applyFont="1"/>
    <xf numFmtId="164" fontId="6" fillId="3" borderId="1" xfId="0" applyNumberFormat="1" applyFont="1" applyFill="1" applyBorder="1"/>
    <xf numFmtId="164" fontId="8" fillId="4" borderId="0" xfId="0" applyNumberFormat="1" applyFont="1" applyFill="1"/>
    <xf numFmtId="164" fontId="8" fillId="5" borderId="0" xfId="0" applyNumberFormat="1" applyFont="1" applyFill="1" applyAlignment="1">
      <alignment horizontal="general" vertical="bottom" textRotation="0" wrapText="1" indent="0" readingOrder="0"/>
    </xf>
    <xf numFmtId="164" fontId="6" fillId="2" borderId="0" xfId="0" applyNumberFormat="1" applyFont="1" applyFill="1" applyAlignment="1">
      <alignment horizontal="general" vertical="bottom" textRotation="0" wrapText="1" indent="0" readingOrder="0"/>
    </xf>
    <xf numFmtId="164" fontId="8" fillId="0" borderId="0" xfId="0" applyNumberFormat="1" applyFont="1" applyAlignment="1">
      <alignment horizontal="general" vertical="bottom" textRotation="0" wrapText="1" indent="0" readingOrder="0"/>
    </xf>
    <xf numFmtId="164" fontId="6" fillId="3" borderId="1" xfId="0" applyNumberFormat="1" applyFont="1" applyFill="1" applyBorder="1" applyAlignment="1">
      <alignment horizontal="general" vertical="bottom" textRotation="0" wrapText="1" indent="0" readingOrder="0"/>
    </xf>
    <xf numFmtId="164" fontId="8" fillId="4" borderId="0" xfId="0" applyNumberFormat="1" applyFont="1" applyFill="1" applyAlignment="1">
      <alignment horizontal="general" vertical="bottom" textRotation="0" wrapText="1" indent="0" readingOrder="0"/>
    </xf>
    <xf numFmtId="164" fontId="2" fillId="0" borderId="1" xfId="0" applyNumberFormat="1" applyFont="1" applyBorder="1"/>
    <xf numFmtId="164" fontId="8" fillId="0" borderId="1" xfId="0" applyNumberFormat="1" applyFont="1" applyBorder="1"/>
    <xf numFmtId="164" fontId="8" fillId="0" borderId="1" xfId="0" applyNumberFormat="1" applyFont="1" applyBorder="1" applyAlignment="1">
      <alignment horizontal="general" vertical="bottom" textRotation="0" wrapText="1" indent="0" readingOrder="0"/>
    </xf>
    <xf numFmtId="165" fontId="2" fillId="0" borderId="0" xfId="0" applyNumberFormat="1" applyFont="1"/>
    <xf numFmtId="165" fontId="2" fillId="0" borderId="1" xfId="0" applyNumberFormat="1" applyFont="1" applyBorder="1"/>
    <xf numFmtId="165" fontId="8" fillId="0" borderId="1" xfId="0" applyNumberFormat="1" applyFont="1" applyBorder="1"/>
    <xf numFmtId="165" fontId="8" fillId="0" borderId="1" xfId="0" applyNumberFormat="1" applyFont="1" applyBorder="1" applyAlignment="1">
      <alignment horizontal="general" vertical="bottom" textRotation="0" wrapText="1" indent="0" readingOrder="0"/>
    </xf>
    <xf numFmtId="164" fontId="9" fillId="0" borderId="0" xfId="0" applyNumberFormat="1" applyFont="1"/>
    <xf numFmtId="166" fontId="2" fillId="0" borderId="0" xfId="0" applyNumberFormat="1" applyFont="1"/>
    <xf numFmtId="166" fontId="9" fillId="0" borderId="0" xfId="0" applyNumberFormat="1" applyFont="1"/>
    <xf numFmtId="166" fontId="9" fillId="0" borderId="1" xfId="0" applyNumberFormat="1" applyFont="1" applyBorder="1"/>
    <xf numFmtId="166" fontId="2" fillId="0" borderId="1" xfId="0" applyNumberFormat="1" applyFont="1" applyBorder="1"/>
    <xf numFmtId="164" fontId="10" fillId="0" borderId="0" xfId="0" applyNumberFormat="1" applyFont="1"/>
    <xf numFmtId="166" fontId="10" fillId="0" borderId="1" xfId="0" applyNumberFormat="1" applyFont="1" applyBorder="1"/>
    <xf numFmtId="166" fontId="8" fillId="0" borderId="1" xfId="0" applyNumberFormat="1" applyFont="1" applyBorder="1"/>
    <xf numFmtId="164" fontId="10" fillId="0" borderId="0" xfId="0" applyNumberFormat="1" applyFont="1" applyAlignment="1">
      <alignment horizontal="general" vertical="bottom" textRotation="0" wrapText="1" indent="0" readingOrder="0"/>
    </xf>
    <xf numFmtId="166" fontId="10" fillId="0" borderId="1" xfId="0" applyNumberFormat="1" applyFont="1" applyBorder="1" applyAlignment="1">
      <alignment horizontal="general" vertical="bottom" textRotation="0" wrapText="1" indent="0" readingOrder="0"/>
    </xf>
    <xf numFmtId="166" fontId="8" fillId="0" borderId="1" xfId="0" applyNumberFormat="1" applyFont="1" applyBorder="1" applyAlignment="1">
      <alignment horizontal="general" vertical="bottom" textRotation="0" wrapText="1" indent="0" readingOrder="0"/>
    </xf>
    <xf numFmtId="164" fontId="2" fillId="6" borderId="0" xfId="0" applyNumberFormat="1" applyFont="1" applyFill="1"/>
    <xf numFmtId="164" fontId="11" fillId="6" borderId="0" xfId="0" applyNumberFormat="1" applyFont="1" applyFill="1"/>
    <xf numFmtId="164" fontId="11" fillId="6" borderId="2" xfId="0" applyNumberFormat="1" applyFont="1" applyFill="1" applyBorder="1"/>
    <xf numFmtId="164" fontId="11" fillId="6" borderId="3" xfId="0" applyNumberFormat="1" applyFont="1" applyFill="1" applyBorder="1"/>
    <xf numFmtId="164" fontId="11" fillId="6" borderId="4" xfId="0" applyNumberFormat="1" applyFont="1" applyFill="1" applyBorder="1"/>
    <xf numFmtId="164" fontId="11" fillId="6" borderId="1" xfId="0" applyNumberFormat="1" applyFont="1" applyFill="1" applyBorder="1"/>
    <xf numFmtId="164" fontId="12" fillId="6" borderId="1" xfId="0" applyNumberFormat="1" applyFont="1" applyFill="1" applyBorder="1"/>
    <xf numFmtId="164" fontId="12" fillId="6" borderId="1" xfId="0" applyNumberFormat="1" applyFont="1" applyFill="1" applyBorder="1" applyAlignment="1">
      <alignment horizontal="general" vertical="bottom" textRotation="0" wrapText="1" indent="0" readingOrder="0"/>
    </xf>
    <xf numFmtId="165" fontId="5" fillId="3" borderId="1" xfId="0" applyNumberFormat="1" applyFont="1" applyFill="1" applyBorder="1"/>
    <xf numFmtId="165" fontId="6" fillId="3" borderId="1" xfId="0" applyNumberFormat="1" applyFont="1" applyFill="1" applyBorder="1"/>
    <xf numFmtId="165" fontId="6" fillId="3" borderId="1" xfId="0" applyNumberFormat="1" applyFont="1" applyFill="1" applyBorder="1" applyAlignment="1">
      <alignment horizontal="general" vertical="bottom" textRotation="0" wrapText="1" indent="0" readingOrder="0"/>
    </xf>
    <xf numFmtId="167" fontId="5" fillId="3" borderId="1" xfId="0" applyNumberFormat="1" applyFont="1" applyFill="1" applyBorder="1"/>
    <xf numFmtId="167" fontId="6" fillId="3" borderId="1" xfId="0" applyNumberFormat="1" applyFont="1" applyFill="1" applyBorder="1"/>
    <xf numFmtId="167" fontId="6" fillId="3" borderId="1" xfId="0" applyNumberFormat="1" applyFont="1" applyFill="1" applyBorder="1" applyAlignment="1">
      <alignment horizontal="general" vertical="bottom" textRotation="0" wrapText="1" indent="0" readingOrder="0"/>
    </xf>
    <xf numFmtId="164" fontId="9" fillId="0" borderId="1" xfId="0" applyNumberFormat="1" applyFont="1" applyBorder="1"/>
    <xf numFmtId="164" fontId="10" fillId="0" borderId="1" xfId="0" applyNumberFormat="1" applyFont="1" applyBorder="1"/>
    <xf numFmtId="164" fontId="10" fillId="0" borderId="1" xfId="0" applyNumberFormat="1" applyFont="1" applyBorder="1" applyAlignment="1">
      <alignment horizontal="general" vertical="bottom" textRotation="0" wrapText="1" indent="0" readingOrder="0"/>
    </xf>
    <xf numFmtId="165" fontId="1" fillId="0" borderId="0" xfId="0" applyNumberFormat="1" applyFont="1"/>
    <xf numFmtId="166" fontId="1" fillId="0" borderId="0" xfId="0" applyNumberFormat="1" applyFont="1"/>
    <xf numFmtId="168" fontId="13" fillId="0" borderId="0" xfId="0" applyNumberFormat="1" applyFont="1" applyFill="1" applyAlignment="1" applyProtection="1">
      <alignment vertical="top"/>
      <protection locked="1" hidden="0"/>
    </xf>
    <xf numFmtId="0" fontId="14" fillId="0" borderId="0" xfId="0" applyFont="1" applyFill="1" applyProtection="1">
      <protection locked="1" hidden="0"/>
    </xf>
    <xf numFmtId="0" fontId="13" fillId="0" borderId="0" xfId="0" applyFont="1" applyFill="1" applyAlignment="1" applyProtection="1">
      <alignment vertical="top"/>
      <protection locked="1" hidden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c359f829e4804a79" Type="http://schemas.openxmlformats.org/officeDocument/2006/relationships/styles" Target="/xl/styles.xml"/><Relationship Id="R382a39dd2e9543b3" Type="http://schemas.openxmlformats.org/officeDocument/2006/relationships/theme" Target="/xl/theme/theme1.xml"/><Relationship Id="Rccc64dd0282b41d0" Type="http://schemas.openxmlformats.org/officeDocument/2006/relationships/sharedStrings" Target="/xl/sharedStrings.xml"/><Relationship Id="Rbf32d3f18a424f25" Type="http://schemas.openxmlformats.org/officeDocument/2006/relationships/worksheet" Target="/xl/worksheets/sheet1.xml"/><Relationship Id="R61f5b98181214e88" Type="http://schemas.openxmlformats.org/officeDocument/2006/relationships/worksheet" Target="/xl/worksheets/sheet2.xml"/><Relationship Id="R55f7e1eaea314fe7" Type="http://schemas.openxmlformats.org/officeDocument/2006/relationships/worksheet" Target="/xl/worksheets/sheet3.xml"/><Relationship Id="Ra34ce6f9d87440d3" Type="http://schemas.openxmlformats.org/officeDocument/2006/relationships/worksheet" Target="/xl/worksheets/sheet4.xml"/><Relationship Id="R7d47a68715464530" Type="http://schemas.openxmlformats.org/officeDocument/2006/relationships/worksheet" Target="/xl/worksheets/sheet5.xml"/><Relationship Id="Rabfeca1944b348ea" Type="http://schemas.openxmlformats.org/officeDocument/2006/relationships/worksheet" Target="/xl/worksheets/sheet6.xml"/><Relationship Id="R7cf09996d16c46ba" Type="http://schemas.openxmlformats.org/officeDocument/2006/relationships/worksheet" Target="/xl/worksheets/sheet7.xml"/><Relationship Id="Rcc7566f8d0c74150" Type="http://schemas.openxmlformats.org/officeDocument/2006/relationships/worksheet" Target="/xl/worksheets/sheet8.xml"/><Relationship Id="R9fac037f8efd48f0" Type="http://schemas.openxmlformats.org/officeDocument/2006/relationships/worksheet" Target="/xl/worksheets/sheet9.xml"/><Relationship Id="R931e34a22ee348dd" Type="http://schemas.openxmlformats.org/officeDocument/2006/relationships/worksheet" Target="/xl/worksheets/sheet10.xml"/><Relationship Id="rId1" Type="http://schemas.openxmlformats.org/officeDocument/2006/relationships/worksheet" Target="worksheets/sheet11.xml"/><Relationship Id="rId2" Type="http://schemas.openxmlformats.org/officeDocument/2006/relationships/worksheet" Target="worksheets/sheet12.xml"/><Relationship Id="rId3" Type="http://schemas.openxmlformats.org/officeDocument/2006/relationships/worksheet" Target="worksheets/sheet13.xml"/><Relationship Id="rId4" Type="http://schemas.openxmlformats.org/officeDocument/2006/relationships/worksheet" Target="worksheets/sheet14.xml"/><Relationship Id="rId5" Type="http://schemas.openxmlformats.org/officeDocument/2006/relationships/worksheet" Target="worksheets/sheet15.xml"/><Relationship Id="rId6" Type="http://schemas.openxmlformats.org/officeDocument/2006/relationships/worksheet" Target="worksheets/sheet16.xml"/><Relationship Id="rId7" Type="http://schemas.openxmlformats.org/officeDocument/2006/relationships/worksheet" Target="worksheets/sheet17.xml"/><Relationship Id="rId8" Type="http://schemas.openxmlformats.org/officeDocument/2006/relationships/worksheet" Target="worksheets/sheet18.xml"/><Relationship Id="rId9" Type="http://schemas.openxmlformats.org/officeDocument/2006/relationships/worksheet" Target="worksheets/sheet19.xml"/><Relationship Id="rId10" Type="http://schemas.openxmlformats.org/officeDocument/2006/relationships/worksheet" Target="worksheets/sheet20.xml"/><Relationship Id="rId11" Type="http://schemas.openxmlformats.org/officeDocument/2006/relationships/worksheet" Target="worksheets/sheet21.xml"/><Relationship Id="rId1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7"/>
  <sheetViews>
    <sheetView showGridLines="0" tabSelected="1" workbookViewId="0"/>
  </sheetViews>
  <sheetFormatPr defaultRowHeight="15"/>
  <cols>
    <col min="1" max="1" width="28" customWidth="1"/>
    <col min="2" max="2" width="85" customWidth="1"/>
    <col min="3" max="8" width="15" customWidth="1"/>
  </cols>
  <sheetData>
    <row r="1" ht="28" customHeight="1">
      <c r="A1" s="17" t="s">
        <v>0</v>
      </c>
      <c r="B1" s="17"/>
      <c r="C1" s="17"/>
      <c r="D1" s="17"/>
      <c r="E1" s="17"/>
      <c r="F1" s="17"/>
      <c r="G1" s="17"/>
      <c r="H1" s="17"/>
    </row>
    <row r="2" ht="30" customHeight="1">
      <c r="A2" s="12" t="s">
        <v>1</v>
      </c>
      <c r="B2" s="12"/>
      <c r="C2" s="12"/>
      <c r="D2" s="12"/>
      <c r="E2" s="12"/>
      <c r="F2" s="12"/>
      <c r="G2" s="12"/>
      <c r="H2" s="12"/>
    </row>
    <row r="3">
      <c r="A3" s="18"/>
      <c r="B3" s="18"/>
      <c r="C3" s="18"/>
      <c r="D3" s="18"/>
      <c r="E3" s="18"/>
      <c r="F3" s="18"/>
      <c r="G3" s="18"/>
      <c r="H3" s="18"/>
    </row>
    <row r="4">
      <c r="A4" s="19" t="s">
        <v>2</v>
      </c>
      <c r="B4" s="19" t="s">
        <v>3</v>
      </c>
      <c r="C4" s="18"/>
      <c r="D4" s="18"/>
      <c r="E4" s="18"/>
      <c r="F4" s="18"/>
      <c r="G4" s="18"/>
      <c r="H4" s="18"/>
    </row>
    <row r="5">
      <c r="A5" s="18" t="s">
        <v>4</v>
      </c>
      <c r="B5" s="18" t="s">
        <v>5</v>
      </c>
      <c r="C5" s="18"/>
      <c r="D5" s="18"/>
      <c r="E5" s="18"/>
      <c r="F5" s="18"/>
      <c r="G5" s="18"/>
      <c r="H5" s="18"/>
    </row>
    <row r="6">
      <c r="A6" s="18" t="s">
        <v>6</v>
      </c>
      <c r="B6" s="18" t="s">
        <v>7</v>
      </c>
      <c r="C6" s="18"/>
      <c r="D6" s="18"/>
      <c r="E6" s="18"/>
      <c r="F6" s="18"/>
      <c r="G6" s="18"/>
      <c r="H6" s="18"/>
    </row>
    <row r="7">
      <c r="A7" s="18" t="s">
        <v>8</v>
      </c>
      <c r="B7" s="18" t="s">
        <v>9</v>
      </c>
      <c r="C7" s="18"/>
      <c r="D7" s="18"/>
      <c r="E7" s="18"/>
      <c r="F7" s="18"/>
      <c r="G7" s="18"/>
      <c r="H7" s="18"/>
    </row>
    <row r="8">
      <c r="A8" s="18" t="s">
        <v>10</v>
      </c>
      <c r="B8" s="18" t="s">
        <v>11</v>
      </c>
      <c r="C8" s="18"/>
      <c r="D8" s="18"/>
      <c r="E8" s="18"/>
      <c r="F8" s="18"/>
      <c r="G8" s="18"/>
      <c r="H8" s="18"/>
    </row>
    <row r="9">
      <c r="A9" s="18" t="s">
        <v>12</v>
      </c>
      <c r="B9" s="18" t="s">
        <v>13</v>
      </c>
      <c r="C9" s="18"/>
      <c r="D9" s="18"/>
      <c r="E9" s="18"/>
      <c r="F9" s="18"/>
      <c r="G9" s="18"/>
      <c r="H9" s="18"/>
    </row>
    <row r="10">
      <c r="A10" s="18" t="s">
        <v>14</v>
      </c>
      <c r="B10" s="18" t="s">
        <v>15</v>
      </c>
      <c r="C10" s="18"/>
      <c r="D10" s="18"/>
      <c r="E10" s="18"/>
      <c r="F10" s="18"/>
      <c r="G10" s="18"/>
      <c r="H10" s="18"/>
    </row>
    <row r="11">
      <c r="A11" s="18" t="s">
        <v>16</v>
      </c>
      <c r="B11" s="18" t="s">
        <v>17</v>
      </c>
      <c r="C11" s="18"/>
      <c r="D11" s="18"/>
      <c r="E11" s="18"/>
      <c r="F11" s="18"/>
      <c r="G11" s="18"/>
      <c r="H11" s="18"/>
    </row>
    <row r="12">
      <c r="A12" s="18" t="s">
        <v>18</v>
      </c>
      <c r="B12" s="18" t="s">
        <v>19</v>
      </c>
      <c r="C12" s="18"/>
      <c r="D12" s="18"/>
      <c r="E12" s="18"/>
      <c r="F12" s="18"/>
      <c r="G12" s="18"/>
      <c r="H12" s="18"/>
    </row>
    <row r="13">
      <c r="A13" s="20" t="s">
        <v>20</v>
      </c>
      <c r="B13" s="20" t="s">
        <v>21</v>
      </c>
      <c r="C13" s="18"/>
      <c r="D13" s="18"/>
      <c r="E13" s="18"/>
      <c r="F13" s="18"/>
      <c r="G13" s="18"/>
      <c r="H13" s="18"/>
    </row>
    <row r="14">
      <c r="A14" s="18"/>
      <c r="B14" s="18"/>
      <c r="C14" s="18"/>
      <c r="D14" s="18"/>
      <c r="E14" s="18"/>
      <c r="F14" s="18"/>
      <c r="G14" s="18"/>
      <c r="H14" s="18"/>
    </row>
    <row r="15" ht="45" customHeight="1">
      <c r="A15" s="16" t="s">
        <v>22</v>
      </c>
      <c r="B15" s="16"/>
      <c r="C15" s="16"/>
      <c r="D15" s="16"/>
      <c r="E15" s="16"/>
      <c r="F15" s="16"/>
      <c r="G15" s="16"/>
      <c r="H15" s="16"/>
    </row>
    <row r="16">
      <c r="A16" s="18"/>
      <c r="B16" s="18"/>
      <c r="C16" s="18"/>
      <c r="D16" s="18"/>
      <c r="E16" s="18"/>
      <c r="F16" s="18"/>
      <c r="G16" s="18"/>
      <c r="H16" s="18"/>
    </row>
    <row r="17">
      <c r="A17" s="18"/>
      <c r="B17" s="18"/>
      <c r="C17" s="18"/>
      <c r="D17" s="18"/>
      <c r="E17" s="18"/>
      <c r="F17" s="18"/>
      <c r="G17" s="18"/>
      <c r="H17" s="18"/>
    </row>
  </sheetData>
  <mergeCells count="3">
    <mergeCell ref="A1:H1"/>
    <mergeCell ref="A2:H2"/>
    <mergeCell ref="A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2"/>
  <sheetViews>
    <sheetView showGridLines="0" workbookViewId="0"/>
  </sheetViews>
  <sheetFormatPr defaultRowHeight="15"/>
  <cols>
    <col min="1" max="1" width="31" customWidth="1"/>
    <col min="2" max="2" width="15" customWidth="1"/>
    <col min="3" max="3" width="48" customWidth="1"/>
    <col min="4" max="6" width="15" customWidth="1"/>
    <col min="7" max="7" width="45" customWidth="1"/>
    <col min="8" max="8" width="15" customWidth="1"/>
  </cols>
  <sheetData>
    <row r="1" ht="28" customHeight="1">
      <c r="A1" s="17" t="s">
        <v>23</v>
      </c>
      <c r="B1" s="17"/>
      <c r="C1" s="17"/>
      <c r="D1" s="17"/>
      <c r="E1" s="17"/>
      <c r="F1" s="17"/>
      <c r="G1" s="17"/>
      <c r="H1" s="17"/>
    </row>
    <row r="2" ht="30" customHeight="1">
      <c r="A2" s="12" t="s">
        <v>24</v>
      </c>
      <c r="B2" s="12"/>
      <c r="C2" s="12"/>
      <c r="D2" s="12"/>
      <c r="E2" s="12"/>
      <c r="F2" s="12"/>
      <c r="G2" s="12"/>
      <c r="H2" s="12"/>
    </row>
    <row r="3">
      <c r="A3" s="18"/>
      <c r="B3" s="18"/>
      <c r="C3" s="18"/>
      <c r="D3" s="18"/>
      <c r="E3" s="18"/>
      <c r="F3" s="18"/>
      <c r="G3" s="18"/>
      <c r="H3" s="18"/>
    </row>
    <row r="4">
      <c r="A4" s="19" t="s">
        <v>25</v>
      </c>
      <c r="B4" s="19" t="s">
        <v>26</v>
      </c>
      <c r="C4" s="19" t="s">
        <v>27</v>
      </c>
      <c r="D4" s="19" t="s">
        <v>28</v>
      </c>
      <c r="E4" s="19" t="s">
        <v>29</v>
      </c>
      <c r="F4" s="19" t="s">
        <v>30</v>
      </c>
      <c r="G4" s="19" t="s">
        <v>31</v>
      </c>
      <c r="H4" s="19" t="s">
        <v>32</v>
      </c>
    </row>
    <row r="5">
      <c r="A5" s="23" t="s">
        <v>33</v>
      </c>
      <c r="B5" s="23" t="s">
        <v>34</v>
      </c>
      <c r="C5" s="23" t="s">
        <v>35</v>
      </c>
      <c r="D5" s="23" t="s">
        <v>36</v>
      </c>
      <c r="E5" s="23" t="s">
        <v>11</v>
      </c>
      <c r="F5" s="23" t="s">
        <v>37</v>
      </c>
      <c r="G5" s="23" t="s">
        <v>38</v>
      </c>
      <c r="H5" s="23" t="s">
        <v>39</v>
      </c>
    </row>
    <row r="6">
      <c r="A6" s="23" t="s">
        <v>40</v>
      </c>
      <c r="B6" s="23" t="s">
        <v>41</v>
      </c>
      <c r="C6" s="23" t="s">
        <v>15</v>
      </c>
      <c r="D6" s="23" t="s">
        <v>42</v>
      </c>
      <c r="E6" s="23" t="s">
        <v>43</v>
      </c>
      <c r="F6" s="23" t="s">
        <v>44</v>
      </c>
      <c r="G6" s="23" t="s">
        <v>45</v>
      </c>
      <c r="H6" s="23" t="s">
        <v>46</v>
      </c>
    </row>
    <row r="7">
      <c r="A7" s="23" t="s">
        <v>47</v>
      </c>
      <c r="B7" s="23" t="s">
        <v>48</v>
      </c>
      <c r="C7" s="23" t="s">
        <v>49</v>
      </c>
      <c r="D7" s="23" t="s">
        <v>42</v>
      </c>
      <c r="E7" s="23" t="s">
        <v>11</v>
      </c>
      <c r="F7" s="23" t="s">
        <v>50</v>
      </c>
      <c r="G7" s="23" t="s">
        <v>51</v>
      </c>
      <c r="H7" s="23" t="s">
        <v>52</v>
      </c>
    </row>
    <row r="8">
      <c r="A8" s="23" t="s">
        <v>53</v>
      </c>
      <c r="B8" s="23" t="s">
        <v>54</v>
      </c>
      <c r="C8" s="23" t="s">
        <v>55</v>
      </c>
      <c r="D8" s="23" t="s">
        <v>42</v>
      </c>
      <c r="E8" s="23" t="s">
        <v>56</v>
      </c>
      <c r="F8" s="23" t="s">
        <v>57</v>
      </c>
      <c r="G8" s="23" t="s">
        <v>58</v>
      </c>
      <c r="H8" s="23" t="s">
        <v>59</v>
      </c>
    </row>
    <row r="9">
      <c r="A9" s="18" t="s">
        <v>60</v>
      </c>
      <c r="B9" s="18" t="s">
        <v>61</v>
      </c>
      <c r="C9" s="18" t="s">
        <v>62</v>
      </c>
      <c r="D9" s="18" t="s">
        <v>63</v>
      </c>
      <c r="E9" s="18" t="s">
        <v>11</v>
      </c>
      <c r="F9" s="18" t="s">
        <v>64</v>
      </c>
      <c r="G9" s="18" t="s">
        <v>65</v>
      </c>
      <c r="H9" s="18" t="s">
        <v>66</v>
      </c>
    </row>
    <row r="10">
      <c r="A10" s="18" t="s">
        <v>67</v>
      </c>
      <c r="B10" s="18" t="s">
        <v>68</v>
      </c>
      <c r="C10" s="18" t="s">
        <v>69</v>
      </c>
      <c r="D10" s="18" t="s">
        <v>70</v>
      </c>
      <c r="E10" s="18" t="s">
        <v>11</v>
      </c>
      <c r="F10" s="18" t="s">
        <v>71</v>
      </c>
      <c r="G10" s="18" t="s">
        <v>72</v>
      </c>
      <c r="H10" s="18" t="s">
        <v>66</v>
      </c>
    </row>
    <row r="11">
      <c r="A11" t="s">
        <v>73</v>
      </c>
      <c r="B11" t="s">
        <v>74</v>
      </c>
      <c r="C11" t="s">
        <v>75</v>
      </c>
      <c r="D11" t="s">
        <v>76</v>
      </c>
      <c r="E11" t="s">
        <v>11</v>
      </c>
      <c r="F11" t="s">
        <v>77</v>
      </c>
      <c r="G11" t="s">
        <v>72</v>
      </c>
      <c r="H11" t="s">
        <v>66</v>
      </c>
    </row>
    <row r="12">
      <c r="A12" t="s">
        <v>78</v>
      </c>
      <c r="B12" t="s">
        <v>79</v>
      </c>
      <c r="C12" t="s">
        <v>80</v>
      </c>
      <c r="D12" t="s">
        <v>81</v>
      </c>
      <c r="E12" t="s">
        <v>11</v>
      </c>
      <c r="F12" t="s">
        <v>82</v>
      </c>
      <c r="G12" t="s">
        <v>83</v>
      </c>
      <c r="H12" t="s">
        <v>52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5"/>
  <sheetViews>
    <sheetView showGridLines="0" workbookViewId="0"/>
  </sheetViews>
  <sheetFormatPr defaultRowHeight="15"/>
  <cols>
    <col min="1" max="1" width="31" customWidth="1"/>
    <col min="2" max="6" width="15" customWidth="1"/>
    <col min="7" max="7" width="36" customWidth="1"/>
    <col min="8" max="8" width="22" customWidth="1"/>
  </cols>
  <sheetData>
    <row r="1" ht="28" customHeight="1">
      <c r="A1" s="17" t="s">
        <v>34</v>
      </c>
      <c r="B1" s="17"/>
      <c r="C1" s="17"/>
      <c r="D1" s="17"/>
      <c r="E1" s="17"/>
      <c r="F1" s="17"/>
      <c r="G1" s="17"/>
      <c r="H1" s="17"/>
    </row>
    <row r="2" ht="30" customHeight="1">
      <c r="A2" s="12" t="s">
        <v>84</v>
      </c>
      <c r="B2" s="12"/>
      <c r="C2" s="12"/>
      <c r="D2" s="12"/>
      <c r="E2" s="12"/>
      <c r="F2" s="12"/>
      <c r="G2" s="12"/>
      <c r="H2" s="12"/>
    </row>
    <row r="3">
      <c r="A3" s="18"/>
      <c r="B3" s="18"/>
      <c r="C3" s="18"/>
      <c r="D3" s="18"/>
      <c r="E3" s="18"/>
      <c r="F3" s="18"/>
      <c r="G3" s="18"/>
      <c r="H3" s="18"/>
    </row>
    <row r="4">
      <c r="A4" s="19" t="s">
        <v>85</v>
      </c>
      <c r="B4" s="19" t="s">
        <v>86</v>
      </c>
      <c r="C4" s="19" t="s">
        <v>87</v>
      </c>
      <c r="D4" s="19" t="s">
        <v>88</v>
      </c>
      <c r="E4" s="19" t="s">
        <v>89</v>
      </c>
      <c r="F4" s="19" t="s">
        <v>90</v>
      </c>
      <c r="G4" s="19" t="s">
        <v>91</v>
      </c>
      <c r="H4" s="19" t="s">
        <v>92</v>
      </c>
    </row>
    <row r="5">
      <c r="A5" s="23" t="s">
        <v>93</v>
      </c>
      <c r="B5" s="27"/>
      <c r="C5" s="27"/>
      <c r="D5" s="27">
        <f>BS_Hist!B29/Sources_Audited!$B$16</f>
        <v>17948.949909080206</v>
      </c>
      <c r="E5" s="27">
        <f>BS_Hist!C29/Sources_Audited!$B$17</f>
        <v>17781.2460451561</v>
      </c>
      <c r="F5" s="27">
        <f>BS_Hist!D29/Sources_Audited!$B$18</f>
        <v>23465.90570336538</v>
      </c>
      <c r="G5" s="23" t="s">
        <v>94</v>
      </c>
      <c r="H5" s="23" t="s">
        <v>95</v>
      </c>
    </row>
    <row r="6">
      <c r="A6" s="23" t="s">
        <v>96</v>
      </c>
      <c r="B6" s="27"/>
      <c r="C6" s="27"/>
      <c r="D6" s="27">
        <f>BS_Hist!B47/Sources_Audited!$B$16</f>
        <v>16460.721602281497</v>
      </c>
      <c r="E6" s="27">
        <f>BS_Hist!C47/Sources_Audited!$B$17</f>
        <v>16423.662383906198</v>
      </c>
      <c r="F6" s="27">
        <f>BS_Hist!D47/Sources_Audited!$B$18</f>
        <v>21800.09049581058</v>
      </c>
      <c r="G6" s="23" t="s">
        <v>97</v>
      </c>
      <c r="H6" s="23" t="s">
        <v>95</v>
      </c>
    </row>
    <row r="7">
      <c r="A7" s="23" t="s">
        <v>98</v>
      </c>
      <c r="B7" s="27"/>
      <c r="C7" s="27"/>
      <c r="D7" s="27">
        <f>BS_Hist!B54/Sources_Audited!$B$16</f>
        <v>1478.5484229667325</v>
      </c>
      <c r="E7" s="27">
        <f>BS_Hist!C54/Sources_Audited!$B$17</f>
        <v>1347.540228842294</v>
      </c>
      <c r="F7" s="27">
        <f>BS_Hist!D54/Sources_Audited!$B$18</f>
        <v>1653.0449178617437</v>
      </c>
      <c r="G7" s="23" t="s">
        <v>97</v>
      </c>
      <c r="H7" s="23" t="s">
        <v>95</v>
      </c>
    </row>
    <row r="8">
      <c r="A8" s="23" t="s">
        <v>99</v>
      </c>
      <c r="B8" s="27"/>
      <c r="C8" s="27"/>
      <c r="D8" s="27">
        <f>IS_Hist!B43/Sources_Audited!$B$16</f>
        <v>123.89869310971861</v>
      </c>
      <c r="E8" s="27">
        <f>IS_Hist!C43/Sources_Audited!$B$17</f>
        <v>107.39734415930509</v>
      </c>
      <c r="F8" s="27">
        <f>IS_Hist!D43/Sources_Audited!$B$18</f>
        <v>152.99541133007548</v>
      </c>
      <c r="G8" s="23" t="s">
        <v>97</v>
      </c>
      <c r="H8" s="23" t="s">
        <v>95</v>
      </c>
    </row>
    <row r="9">
      <c r="A9" s="23" t="s">
        <v>100</v>
      </c>
      <c r="B9" s="27"/>
      <c r="C9" s="27"/>
      <c r="D9" s="27">
        <f>BS_Hist!B16/Sources_Audited!$B$16</f>
        <v>12950.91246843971</v>
      </c>
      <c r="E9" s="27">
        <f>BS_Hist!C16/Sources_Audited!$B$17</f>
        <v>12267.925337083112</v>
      </c>
      <c r="F9" s="27">
        <f>BS_Hist!D16/Sources_Audited!$B$18</f>
        <v>15102.088323911123</v>
      </c>
      <c r="G9" s="23" t="s">
        <v>97</v>
      </c>
      <c r="H9" s="23" t="s">
        <v>95</v>
      </c>
    </row>
    <row r="10">
      <c r="A10" s="23" t="s">
        <v>101</v>
      </c>
      <c r="B10" s="27"/>
      <c r="C10" s="27"/>
      <c r="D10" s="27">
        <f>BS_Hist!B33/Sources_Audited!$B$16</f>
        <v>12866.323569812012</v>
      </c>
      <c r="E10" s="27">
        <f>BS_Hist!C33/Sources_Audited!$B$17</f>
        <v>12155.137157955616</v>
      </c>
      <c r="F10" s="27">
        <f>BS_Hist!D33/Sources_Audited!$B$18</f>
        <v>15758.826535500975</v>
      </c>
      <c r="G10" s="23" t="s">
        <v>97</v>
      </c>
      <c r="H10" s="23" t="s">
        <v>95</v>
      </c>
    </row>
    <row r="11">
      <c r="A11" s="23" t="s">
        <v>102</v>
      </c>
      <c r="B11" s="27"/>
      <c r="C11" s="27"/>
      <c r="D11" s="27">
        <f>IS_Hist!B5/Sources_Audited!$B$16</f>
        <v>2023.1964521657226</v>
      </c>
      <c r="E11" s="27">
        <f>IS_Hist!C5/Sources_Audited!$B$17</f>
        <v>1717.81431795244</v>
      </c>
      <c r="F11" s="27">
        <f>IS_Hist!D5/Sources_Audited!$B$18</f>
        <v>1886.717610484738</v>
      </c>
      <c r="G11" s="23" t="s">
        <v>97</v>
      </c>
      <c r="H11" s="23" t="s">
        <v>95</v>
      </c>
    </row>
    <row r="12">
      <c r="A12" s="23" t="s">
        <v>103</v>
      </c>
      <c r="B12" s="27"/>
      <c r="C12" s="27"/>
      <c r="D12" s="27">
        <f>IS_Hist!B13/Sources_Audited!$B$16</f>
        <v>1437.8024881935087</v>
      </c>
      <c r="E12" s="27">
        <f>IS_Hist!C13/Sources_Audited!$B$17</f>
        <v>1189.7851059728066</v>
      </c>
      <c r="F12" s="27">
        <f>IS_Hist!D13/Sources_Audited!$B$18</f>
        <v>1274.2257284912753</v>
      </c>
      <c r="G12" s="23" t="s">
        <v>97</v>
      </c>
      <c r="H12" s="23" t="s">
        <v>95</v>
      </c>
    </row>
    <row r="13">
      <c r="A13" s="23" t="s">
        <v>104</v>
      </c>
      <c r="B13" s="27"/>
      <c r="C13" s="27"/>
      <c r="D13" s="27">
        <f>BS_Hist!B6/Sources_Audited!$B$16</f>
        <v>1300.062270247642</v>
      </c>
      <c r="E13" s="27">
        <f>BS_Hist!C6/Sources_Audited!$B$17</f>
        <v>1049.844074254675</v>
      </c>
      <c r="F13" s="27">
        <f>BS_Hist!D6/Sources_Audited!$B$18</f>
        <v>1600.8522576043097</v>
      </c>
      <c r="G13" s="23" t="s">
        <v>97</v>
      </c>
      <c r="H13" s="23" t="s">
        <v>95</v>
      </c>
    </row>
    <row r="14">
      <c r="A14" s="23" t="s">
        <v>105</v>
      </c>
      <c r="B14" s="27"/>
      <c r="C14" s="27"/>
      <c r="D14" s="27"/>
      <c r="E14" s="27"/>
      <c r="F14" s="27"/>
      <c r="G14" s="23" t="s">
        <v>106</v>
      </c>
      <c r="H14" s="23" t="s">
        <v>107</v>
      </c>
    </row>
    <row r="15">
      <c r="A15" s="18"/>
      <c r="B15" s="18"/>
      <c r="C15" s="18"/>
      <c r="D15" s="18"/>
      <c r="E15" s="18"/>
      <c r="F15" s="18"/>
      <c r="G15" s="18"/>
      <c r="H15" s="18"/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5"/>
  <sheetViews>
    <sheetView showGridLines="0" workbookViewId="0"/>
  </sheetViews>
  <sheetFormatPr defaultRowHeight="15"/>
  <cols>
    <col min="1" max="1" width="31" customWidth="1"/>
    <col min="2" max="5" width="15" customWidth="1"/>
    <col min="6" max="6" width="55" customWidth="1"/>
    <col min="7" max="8" width="15" customWidth="1"/>
  </cols>
  <sheetData>
    <row r="1" ht="28" customHeight="1">
      <c r="A1" s="17" t="s">
        <v>108</v>
      </c>
      <c r="B1" s="17"/>
      <c r="C1" s="17"/>
      <c r="D1" s="17"/>
      <c r="E1" s="17"/>
      <c r="F1" s="17"/>
      <c r="G1" s="2"/>
      <c r="H1" s="2"/>
    </row>
    <row r="2" ht="30" customHeight="1">
      <c r="A2" s="12" t="s">
        <v>109</v>
      </c>
      <c r="B2" s="12"/>
      <c r="C2" s="12"/>
      <c r="D2" s="12"/>
      <c r="E2" s="12"/>
      <c r="F2" s="12"/>
      <c r="G2" s="4"/>
      <c r="H2" s="4"/>
    </row>
    <row r="3">
      <c r="A3" s="18" t="s">
        <v>110</v>
      </c>
      <c r="B3" s="36">
        <v>1</v>
      </c>
      <c r="C3" s="18"/>
      <c r="D3" s="18"/>
      <c r="E3" s="18"/>
      <c r="F3" s="18"/>
    </row>
    <row r="4">
      <c r="A4" s="19" t="s">
        <v>85</v>
      </c>
      <c r="B4" s="19" t="s">
        <v>111</v>
      </c>
      <c r="C4" s="19" t="s">
        <v>112</v>
      </c>
      <c r="D4" s="19" t="s">
        <v>113</v>
      </c>
      <c r="E4" s="19" t="s">
        <v>114</v>
      </c>
      <c r="F4" s="19" t="s">
        <v>115</v>
      </c>
    </row>
    <row r="5">
      <c r="A5" s="23" t="s">
        <v>116</v>
      </c>
      <c r="B5" s="37">
        <v>0.05</v>
      </c>
      <c r="C5" s="37">
        <v>0.1</v>
      </c>
      <c r="D5" s="37">
        <v>0.14</v>
      </c>
      <c r="E5" s="38">
        <f>CHOOSE($B$3,C5,D5,B5)</f>
        <v>0.1</v>
      </c>
      <c r="F5" s="23" t="s">
        <v>117</v>
      </c>
    </row>
    <row r="6">
      <c r="A6" s="23" t="s">
        <v>118</v>
      </c>
      <c r="B6" s="37">
        <v>0.06</v>
      </c>
      <c r="C6" s="37">
        <v>0.088</v>
      </c>
      <c r="D6" s="37">
        <v>0.11</v>
      </c>
      <c r="E6" s="38">
        <f>CHOOSE($B$3,C6,D6,B6)</f>
        <v>0.088</v>
      </c>
      <c r="F6" s="23" t="s">
        <v>119</v>
      </c>
    </row>
    <row r="7">
      <c r="A7" s="23" t="s">
        <v>120</v>
      </c>
      <c r="B7" s="37">
        <v>0.45</v>
      </c>
      <c r="C7" s="37">
        <v>0.35</v>
      </c>
      <c r="D7" s="37">
        <v>0.25</v>
      </c>
      <c r="E7" s="38">
        <f>CHOOSE($B$3,C7,D7,B7)</f>
        <v>0.35</v>
      </c>
      <c r="F7" s="23" t="s">
        <v>121</v>
      </c>
    </row>
    <row r="8">
      <c r="A8" s="23" t="s">
        <v>122</v>
      </c>
      <c r="B8" s="37">
        <v>0.14</v>
      </c>
      <c r="C8" s="37">
        <v>0.12</v>
      </c>
      <c r="D8" s="37">
        <v>0.105</v>
      </c>
      <c r="E8" s="38">
        <f>CHOOSE($B$3,C8,D8,B8)</f>
        <v>0.12</v>
      </c>
      <c r="F8" s="23" t="s">
        <v>123</v>
      </c>
    </row>
    <row r="9">
      <c r="A9" s="23" t="s">
        <v>124</v>
      </c>
      <c r="B9" s="37">
        <v>0.02</v>
      </c>
      <c r="C9" s="37">
        <v>0.03</v>
      </c>
      <c r="D9" s="37">
        <v>0.04</v>
      </c>
      <c r="E9" s="38">
        <f>CHOOSE($B$3,C9,D9,B9)</f>
        <v>0.03</v>
      </c>
      <c r="F9" s="23" t="s">
        <v>125</v>
      </c>
    </row>
    <row r="10">
      <c r="A10" s="23"/>
      <c r="B10" s="23"/>
      <c r="C10" s="23"/>
      <c r="D10" s="23"/>
      <c r="E10" s="23"/>
      <c r="F10" s="23"/>
    </row>
    <row r="11">
      <c r="A11" s="23"/>
      <c r="B11" s="23"/>
      <c r="C11" s="23"/>
      <c r="D11" s="23"/>
      <c r="E11" s="23"/>
      <c r="F11" s="23"/>
    </row>
    <row r="12">
      <c r="A12" s="23"/>
      <c r="B12" s="23"/>
      <c r="C12" s="23"/>
      <c r="D12" s="23"/>
      <c r="E12" s="23"/>
      <c r="F12" s="23"/>
    </row>
    <row r="13">
      <c r="A13" s="23"/>
      <c r="B13" s="23"/>
      <c r="C13" s="23"/>
      <c r="D13" s="23"/>
      <c r="E13" s="23"/>
      <c r="F13" s="23"/>
    </row>
    <row r="14">
      <c r="A14" s="23"/>
      <c r="B14" s="23"/>
      <c r="C14" s="23"/>
      <c r="D14" s="23"/>
      <c r="E14" s="23"/>
      <c r="F14" s="23"/>
    </row>
    <row r="15">
      <c r="A15" s="23"/>
      <c r="B15" s="23"/>
      <c r="C15" s="23"/>
      <c r="D15" s="23"/>
      <c r="E15" s="23"/>
      <c r="F15" s="23"/>
    </row>
  </sheetData>
  <mergeCells count="2">
    <mergeCell ref="A1:H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8"/>
  <sheetViews>
    <sheetView showGridLines="0" workbookViewId="0"/>
  </sheetViews>
  <sheetFormatPr defaultRowHeight="15"/>
  <cols>
    <col min="1" max="1" width="31" customWidth="1"/>
    <col min="2" max="8" width="15" customWidth="1"/>
  </cols>
  <sheetData>
    <row r="1" ht="28" customHeight="1">
      <c r="A1" s="17" t="s">
        <v>126</v>
      </c>
      <c r="B1" s="17"/>
      <c r="C1" s="17"/>
      <c r="D1" s="17"/>
      <c r="E1" s="17"/>
      <c r="F1" s="17"/>
      <c r="G1" s="17"/>
      <c r="H1" s="2"/>
    </row>
    <row r="2" ht="30" customHeight="1">
      <c r="A2" s="12" t="s">
        <v>127</v>
      </c>
      <c r="B2" s="12"/>
      <c r="C2" s="12"/>
      <c r="D2" s="12"/>
      <c r="E2" s="12"/>
      <c r="F2" s="12"/>
      <c r="G2" s="12"/>
      <c r="H2" s="4"/>
    </row>
    <row r="3">
      <c r="A3" s="18"/>
      <c r="B3" s="18"/>
      <c r="C3" s="18"/>
      <c r="D3" s="18"/>
      <c r="E3" s="18"/>
      <c r="F3" s="18"/>
      <c r="G3" s="18"/>
    </row>
    <row r="4">
      <c r="A4" s="19" t="s">
        <v>85</v>
      </c>
      <c r="B4" s="19" t="s">
        <v>90</v>
      </c>
      <c r="C4" s="19" t="s">
        <v>128</v>
      </c>
      <c r="D4" s="19" t="s">
        <v>129</v>
      </c>
      <c r="E4" s="19" t="s">
        <v>130</v>
      </c>
      <c r="F4" s="19" t="s">
        <v>131</v>
      </c>
      <c r="G4" s="19" t="s">
        <v>132</v>
      </c>
    </row>
    <row r="5">
      <c r="A5" s="46" t="s">
        <v>93</v>
      </c>
      <c r="B5" s="27">
        <f>Historical!F5</f>
        <v>23465.90570336538</v>
      </c>
      <c r="C5" s="27">
        <f>B5*(1+Assumptions!$E$5)</f>
        <v>25812.49627370192</v>
      </c>
      <c r="D5" s="27">
        <f>C5*(1+Assumptions!$E$5)</f>
        <v>28393.745901072114</v>
      </c>
      <c r="E5" s="27">
        <f>D5*(1+Assumptions!$E$5)</f>
        <v>31233.12049117933</v>
      </c>
      <c r="F5" s="27">
        <f>E5*(1+Assumptions!$E$5)</f>
        <v>34356.43254029726</v>
      </c>
      <c r="G5" s="27">
        <f>F5*(1+Assumptions!$E$5)</f>
        <v>37792.07579432699</v>
      </c>
    </row>
    <row r="6">
      <c r="A6" s="46" t="s">
        <v>116</v>
      </c>
      <c r="B6" s="38"/>
      <c r="C6" s="38">
        <f>IF(B5&lt;&gt;0,C5/B5-1,0)</f>
        <v>0.10000000000000009</v>
      </c>
      <c r="D6" s="38">
        <f>IF(C5&lt;&gt;0,D5/C5-1,0)</f>
        <v>0.10000000000000009</v>
      </c>
      <c r="E6" s="38">
        <f>IF(D5&lt;&gt;0,E5/D5-1,0)</f>
        <v>0.10000000000000009</v>
      </c>
      <c r="F6" s="38">
        <f>IF(E5&lt;&gt;0,F5/E5-1,0)</f>
        <v>0.10000000000000009</v>
      </c>
      <c r="G6" s="38">
        <f>IF(F5&lt;&gt;0,G5/F5-1,0)</f>
        <v>0.10000000000000009</v>
      </c>
    </row>
    <row r="7">
      <c r="A7" s="46" t="s">
        <v>98</v>
      </c>
      <c r="B7" s="27">
        <f>Historical!F7</f>
        <v>1653.0449178617437</v>
      </c>
      <c r="C7" s="27">
        <f>B12</f>
        <v>1653.0449178617437</v>
      </c>
      <c r="D7" s="27">
        <f>C12</f>
        <v>1747.5990871634356</v>
      </c>
      <c r="E7" s="27">
        <f>D12</f>
        <v>1847.561754949184</v>
      </c>
      <c r="F7" s="27">
        <f>E12</f>
        <v>1953.2422873322773</v>
      </c>
      <c r="G7" s="27">
        <f>F12</f>
        <v>2064.9677461676833</v>
      </c>
    </row>
    <row r="8">
      <c r="A8" s="46" t="s">
        <v>133</v>
      </c>
      <c r="B8" s="38">
        <v>0.07291666666666669</v>
      </c>
      <c r="C8" s="38">
        <f>IF(C5&lt;&gt;0,C7/C5,0)</f>
        <v>0.06404049032428862</v>
      </c>
      <c r="D8" s="38">
        <f>IF(D5&lt;&gt;0,D7/D5,0)</f>
        <v>0.06154873306439811</v>
      </c>
      <c r="E8" s="38">
        <f>IF(E5&lt;&gt;0,E7/E5,0)</f>
        <v>0.05915392781425607</v>
      </c>
      <c r="F8" s="38">
        <f>IF(F5&lt;&gt;0,F7/F5,0)</f>
        <v>0.05685230225930138</v>
      </c>
      <c r="G8" s="38">
        <f>IF(G5&lt;&gt;0,G7/G5,0)</f>
        <v>0.05464023086230309</v>
      </c>
    </row>
    <row r="9">
      <c r="A9" s="46" t="s">
        <v>99</v>
      </c>
      <c r="B9" s="38">
        <f>Historical!F8</f>
        <v>152.99541133007548</v>
      </c>
      <c r="C9" s="38">
        <f>C7*Assumptions!$E$6</f>
        <v>145.46795277183344</v>
      </c>
      <c r="D9" s="38">
        <f>D7*Assumptions!$E$6</f>
        <v>153.78871967038233</v>
      </c>
      <c r="E9" s="38">
        <f>E7*Assumptions!$E$6</f>
        <v>162.58543443552819</v>
      </c>
      <c r="F9" s="38">
        <f>F7*Assumptions!$E$6</f>
        <v>171.8853212852404</v>
      </c>
      <c r="G9" s="38">
        <f>G7*Assumptions!$E$6</f>
        <v>181.71716166275613</v>
      </c>
    </row>
    <row r="10">
      <c r="A10" s="46" t="s">
        <v>134</v>
      </c>
      <c r="B10" s="38">
        <f>IF(B7&lt;&gt;0,B9/B7,0)</f>
        <v>0.09255369268971772</v>
      </c>
      <c r="C10" s="38">
        <f>IF(C7&lt;&gt;0,C9/C7,0)</f>
        <v>0.088</v>
      </c>
      <c r="D10" s="38">
        <f>IF(D7&lt;&gt;0,D9/D7,0)</f>
        <v>0.08800000000000001</v>
      </c>
      <c r="E10" s="38">
        <f>IF(E7&lt;&gt;0,E9/E7,0)</f>
        <v>0.088</v>
      </c>
      <c r="F10" s="38">
        <f>IF(F7&lt;&gt;0,F9/F7,0)</f>
        <v>0.088</v>
      </c>
      <c r="G10" s="38">
        <f>IF(G7&lt;&gt;0,G9/G7,0)</f>
        <v>0.088</v>
      </c>
    </row>
    <row r="11">
      <c r="A11" s="46" t="s">
        <v>135</v>
      </c>
      <c r="B11" s="27"/>
      <c r="C11" s="27">
        <f>C9*Assumptions!$E$7</f>
        <v>50.9137834701417</v>
      </c>
      <c r="D11" s="27">
        <f>D9*Assumptions!$E$7</f>
        <v>53.82605188463381</v>
      </c>
      <c r="E11" s="27">
        <f>E9*Assumptions!$E$7</f>
        <v>56.90490205243486</v>
      </c>
      <c r="F11" s="27">
        <f>F9*Assumptions!$E$7</f>
        <v>60.15986244983414</v>
      </c>
      <c r="G11" s="27">
        <f>G9*Assumptions!$E$7</f>
        <v>63.60100658196464</v>
      </c>
    </row>
    <row r="12">
      <c r="A12" s="46" t="s">
        <v>136</v>
      </c>
      <c r="B12" s="27">
        <f>B7</f>
        <v>1653.0449178617437</v>
      </c>
      <c r="C12" s="27">
        <f>C7+C9-C11</f>
        <v>1747.5990871634356</v>
      </c>
      <c r="D12" s="27">
        <f>D7+D9-D11</f>
        <v>1847.561754949184</v>
      </c>
      <c r="E12" s="27">
        <f>E7+E9-E11</f>
        <v>1953.2422873322773</v>
      </c>
      <c r="F12" s="27">
        <f>F7+F9-F11</f>
        <v>2064.9677461676833</v>
      </c>
      <c r="G12" s="27">
        <f>G7+G9-G11</f>
        <v>2183.083901248475</v>
      </c>
    </row>
    <row r="13">
      <c r="A13" s="46"/>
      <c r="B13" s="23"/>
      <c r="C13" s="23"/>
      <c r="D13" s="23"/>
      <c r="E13" s="23"/>
      <c r="F13" s="23"/>
      <c r="G13" s="23"/>
    </row>
    <row r="14">
      <c r="A14" s="46"/>
      <c r="B14" s="23"/>
      <c r="C14" s="23"/>
      <c r="D14" s="23"/>
      <c r="E14" s="23"/>
      <c r="F14" s="23"/>
      <c r="G14" s="23"/>
    </row>
    <row r="15">
      <c r="A15" s="46"/>
      <c r="B15" s="23"/>
      <c r="C15" s="23"/>
      <c r="D15" s="23"/>
      <c r="E15" s="23"/>
      <c r="F15" s="23"/>
      <c r="G15" s="23"/>
    </row>
    <row r="16">
      <c r="A16" s="46"/>
      <c r="B16" s="23"/>
      <c r="C16" s="23"/>
      <c r="D16" s="23"/>
      <c r="E16" s="23"/>
      <c r="F16" s="23"/>
      <c r="G16" s="23"/>
    </row>
    <row r="17">
      <c r="A17" s="18"/>
      <c r="B17" s="18"/>
      <c r="C17" s="18"/>
      <c r="D17" s="18"/>
      <c r="E17" s="18"/>
      <c r="F17" s="18"/>
      <c r="G17" s="18"/>
    </row>
    <row r="18">
      <c r="A18" s="18"/>
      <c r="B18" s="18"/>
      <c r="C18" s="18"/>
      <c r="D18" s="18"/>
      <c r="E18" s="18"/>
      <c r="F18" s="18"/>
      <c r="G18" s="18"/>
    </row>
  </sheetData>
  <mergeCells count="2">
    <mergeCell ref="A1:H1"/>
    <mergeCell ref="A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22"/>
  <sheetViews>
    <sheetView showGridLines="0" workbookViewId="0"/>
  </sheetViews>
  <sheetFormatPr defaultRowHeight="15"/>
  <cols>
    <col min="1" max="1" width="31" customWidth="1"/>
    <col min="2" max="8" width="15" customWidth="1"/>
  </cols>
  <sheetData>
    <row r="1" ht="28" customHeight="1">
      <c r="A1" s="17" t="s">
        <v>137</v>
      </c>
      <c r="B1" s="17"/>
      <c r="C1" s="17"/>
      <c r="D1" s="17"/>
      <c r="E1" s="17"/>
      <c r="F1" s="17"/>
      <c r="G1" s="17"/>
      <c r="H1" s="2"/>
    </row>
    <row r="2" ht="30" customHeight="1">
      <c r="A2" s="12" t="s">
        <v>138</v>
      </c>
      <c r="B2" s="12"/>
      <c r="C2" s="12"/>
      <c r="D2" s="12"/>
      <c r="E2" s="12"/>
      <c r="F2" s="12"/>
      <c r="G2" s="12"/>
      <c r="H2" s="4"/>
    </row>
    <row r="3">
      <c r="A3" s="18"/>
      <c r="B3" s="18"/>
      <c r="C3" s="18"/>
      <c r="D3" s="18"/>
      <c r="E3" s="18"/>
      <c r="F3" s="18"/>
      <c r="G3" s="18"/>
    </row>
    <row r="4">
      <c r="A4" s="19" t="s">
        <v>85</v>
      </c>
      <c r="B4" s="19" t="s">
        <v>139</v>
      </c>
      <c r="C4" s="19" t="s">
        <v>140</v>
      </c>
      <c r="D4" s="19" t="s">
        <v>141</v>
      </c>
      <c r="E4" s="19" t="s">
        <v>142</v>
      </c>
      <c r="F4" s="19" t="s">
        <v>143</v>
      </c>
      <c r="G4" s="19" t="s">
        <v>144</v>
      </c>
    </row>
    <row r="5">
      <c r="A5" s="23" t="s">
        <v>145</v>
      </c>
      <c r="B5" s="27">
        <f>Forecast!C7</f>
        <v>1653.0449178617437</v>
      </c>
      <c r="C5" s="27">
        <f>Forecast!D7</f>
        <v>1747.5990871634356</v>
      </c>
      <c r="D5" s="27">
        <f>Forecast!E7</f>
        <v>1847.561754949184</v>
      </c>
      <c r="E5" s="27">
        <f>Forecast!F7</f>
        <v>1953.2422873322773</v>
      </c>
      <c r="F5" s="27">
        <f>Forecast!G7</f>
        <v>2064.9677461676833</v>
      </c>
      <c r="G5" s="27"/>
    </row>
    <row r="6">
      <c r="A6" s="23" t="s">
        <v>146</v>
      </c>
      <c r="B6" s="27">
        <f>B5*(Forecast!C10-Assumptions!$E$8)</f>
        <v>-52.8974373715758</v>
      </c>
      <c r="C6" s="27">
        <f>C5*(Forecast!D10-Assumptions!$E$8)</f>
        <v>-55.923170789229914</v>
      </c>
      <c r="D6" s="27">
        <f>D5*(Forecast!E10-Assumptions!$E$8)</f>
        <v>-59.12197615837389</v>
      </c>
      <c r="E6" s="27">
        <f>E5*(Forecast!F10-Assumptions!$E$8)</f>
        <v>-62.50375319463288</v>
      </c>
      <c r="F6" s="27">
        <f>F5*(Forecast!G10-Assumptions!$E$8)</f>
        <v>-66.07896787736587</v>
      </c>
      <c r="G6" s="27"/>
    </row>
    <row r="7">
      <c r="A7" s="23" t="s">
        <v>147</v>
      </c>
      <c r="B7" s="27">
        <f>1/(1+Assumptions!$E$8)^1</f>
        <v>0.8928571428571428</v>
      </c>
      <c r="C7" s="27">
        <f>1/(1+Assumptions!$E$8)^2</f>
        <v>0.7971938775510203</v>
      </c>
      <c r="D7" s="27">
        <f>1/(1+Assumptions!$E$8)^3</f>
        <v>0.7117802478134109</v>
      </c>
      <c r="E7" s="27">
        <f>1/(1+Assumptions!$E$8)^4</f>
        <v>0.6355180784048311</v>
      </c>
      <c r="F7" s="27">
        <f>1/(1+Assumptions!$E$8)^5</f>
        <v>0.5674268557185992</v>
      </c>
      <c r="G7" s="27"/>
    </row>
    <row r="8">
      <c r="A8" s="23" t="s">
        <v>148</v>
      </c>
      <c r="B8" s="27">
        <f>B6*B7</f>
        <v>-47.229854796049814</v>
      </c>
      <c r="C8" s="27">
        <f>C6*C7</f>
        <v>-44.58160936641415</v>
      </c>
      <c r="D8" s="27">
        <f>D6*D7</f>
        <v>-42.08185484122593</v>
      </c>
      <c r="E8" s="27">
        <f>E6*E7</f>
        <v>-39.72226512334291</v>
      </c>
      <c r="F8" s="27">
        <f>F6*F7</f>
        <v>-37.49498097178403</v>
      </c>
      <c r="G8" s="27"/>
    </row>
    <row r="9">
      <c r="A9" s="23"/>
      <c r="B9" s="27"/>
      <c r="C9" s="27"/>
      <c r="D9" s="27"/>
      <c r="E9" s="27"/>
      <c r="F9" s="27"/>
      <c r="G9" s="27"/>
    </row>
    <row r="10">
      <c r="A10" s="19" t="s">
        <v>149</v>
      </c>
      <c r="B10" s="49" t="s">
        <v>3</v>
      </c>
      <c r="C10" s="27"/>
      <c r="D10" s="27"/>
      <c r="E10" s="27"/>
      <c r="F10" s="27"/>
      <c r="G10" s="27"/>
    </row>
    <row r="11">
      <c r="A11" s="23" t="s">
        <v>150</v>
      </c>
      <c r="B11" s="27">
        <f>Forecast!B7</f>
        <v>1653.0449178617437</v>
      </c>
      <c r="C11" s="27"/>
      <c r="D11" s="27"/>
      <c r="E11" s="27"/>
      <c r="F11" s="27"/>
      <c r="G11" s="27"/>
    </row>
    <row r="12">
      <c r="A12" s="23" t="s">
        <v>151</v>
      </c>
      <c r="B12" s="27">
        <f>SUM(B8:F8)</f>
        <v>-211.11056509881683</v>
      </c>
      <c r="C12" s="27"/>
      <c r="D12" s="27"/>
      <c r="E12" s="27"/>
      <c r="F12" s="27"/>
      <c r="G12" s="27"/>
    </row>
    <row r="13">
      <c r="A13" s="23" t="s">
        <v>152</v>
      </c>
      <c r="B13" s="27">
        <f>F6*(1+Assumptions!$E$9)</f>
        <v>-68.06133691368684</v>
      </c>
      <c r="C13" s="27"/>
      <c r="D13" s="27"/>
      <c r="E13" s="27"/>
      <c r="F13" s="27"/>
      <c r="G13" s="27"/>
    </row>
    <row r="14">
      <c r="A14" s="23" t="s">
        <v>153</v>
      </c>
      <c r="B14" s="27">
        <f>IF(Assumptions!$E$8&gt;Assumptions!$E$9,B13/(Assumptions!$E$8-Assumptions!$E$9)*F7,0)</f>
        <v>-429.10922667708394</v>
      </c>
      <c r="C14" s="27"/>
      <c r="D14" s="27"/>
      <c r="E14" s="27"/>
      <c r="F14" s="27"/>
      <c r="G14" s="27"/>
    </row>
    <row r="15">
      <c r="A15" s="23" t="s">
        <v>154</v>
      </c>
      <c r="B15" s="27">
        <f>B11+B12+B14</f>
        <v>1012.825126085843</v>
      </c>
      <c r="C15" s="27"/>
      <c r="D15" s="27"/>
      <c r="E15" s="27"/>
      <c r="F15" s="27"/>
      <c r="G15" s="27"/>
    </row>
    <row r="16">
      <c r="A16" s="23" t="s">
        <v>105</v>
      </c>
      <c r="B16" s="27">
        <v>0</v>
      </c>
      <c r="C16" s="27"/>
      <c r="D16" s="27"/>
      <c r="E16" s="27"/>
      <c r="F16" s="27"/>
      <c r="G16" s="27"/>
    </row>
    <row r="17">
      <c r="A17" s="23" t="s">
        <v>155</v>
      </c>
      <c r="B17" s="27">
        <f>IF(B16&gt;0,B15/B16,0)</f>
        <v>0</v>
      </c>
      <c r="C17" s="27"/>
      <c r="D17" s="27"/>
      <c r="E17" s="27"/>
      <c r="F17" s="27"/>
      <c r="G17" s="27"/>
    </row>
    <row r="18">
      <c r="A18" s="23" t="s">
        <v>16</v>
      </c>
      <c r="B18" s="27"/>
      <c r="C18" s="27"/>
      <c r="D18" s="27"/>
      <c r="E18" s="27"/>
      <c r="F18" s="27"/>
      <c r="G18" s="27"/>
    </row>
    <row r="19">
      <c r="A19" s="23"/>
      <c r="B19" s="27"/>
      <c r="C19" s="27"/>
      <c r="D19" s="27"/>
      <c r="E19" s="27"/>
      <c r="F19" s="27"/>
      <c r="G19" s="27"/>
    </row>
    <row r="20">
      <c r="A20" s="23"/>
      <c r="B20" s="27"/>
      <c r="C20" s="27"/>
      <c r="D20" s="27"/>
      <c r="E20" s="27"/>
      <c r="F20" s="27"/>
      <c r="G20" s="27"/>
    </row>
    <row r="21">
      <c r="A21" s="18"/>
      <c r="B21" s="18"/>
      <c r="C21" s="18"/>
      <c r="D21" s="18"/>
      <c r="E21" s="18"/>
      <c r="F21" s="18"/>
      <c r="G21" s="18"/>
    </row>
    <row r="22">
      <c r="A22" s="18"/>
      <c r="B22" s="18"/>
      <c r="C22" s="18"/>
      <c r="D22" s="18"/>
      <c r="E22" s="18"/>
      <c r="F22" s="18"/>
      <c r="G22" s="18"/>
    </row>
  </sheetData>
  <mergeCells count="2">
    <mergeCell ref="A1:H1"/>
    <mergeCell ref="A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1"/>
  <sheetViews>
    <sheetView showGridLines="0" workbookViewId="0"/>
  </sheetViews>
  <sheetFormatPr defaultRowHeight="15"/>
  <cols>
    <col min="1" max="1" width="31" customWidth="1"/>
    <col min="2" max="8" width="15" customWidth="1"/>
  </cols>
  <sheetData>
    <row r="1" ht="28" customHeight="1">
      <c r="A1" s="17" t="s">
        <v>156</v>
      </c>
      <c r="B1" s="17"/>
      <c r="C1" s="17"/>
      <c r="D1" s="17"/>
      <c r="E1" s="17"/>
      <c r="F1" s="17"/>
      <c r="G1" s="2"/>
      <c r="H1" s="2"/>
    </row>
    <row r="2" ht="30" customHeight="1">
      <c r="A2" s="12" t="s">
        <v>157</v>
      </c>
      <c r="B2" s="12"/>
      <c r="C2" s="12"/>
      <c r="D2" s="12"/>
      <c r="E2" s="12"/>
      <c r="F2" s="12"/>
      <c r="G2" s="4"/>
      <c r="H2" s="4"/>
    </row>
    <row r="3">
      <c r="A3" s="18"/>
      <c r="B3" s="18"/>
      <c r="C3" s="18"/>
      <c r="D3" s="18"/>
      <c r="E3" s="18"/>
      <c r="F3" s="18"/>
    </row>
    <row r="4">
      <c r="A4" s="52" t="s">
        <v>158</v>
      </c>
      <c r="B4" s="52">
        <v>0.1</v>
      </c>
      <c r="C4" s="52">
        <v>0.11</v>
      </c>
      <c r="D4" s="52">
        <v>0.12</v>
      </c>
      <c r="E4" s="52">
        <v>0.13</v>
      </c>
      <c r="F4" s="52">
        <v>0.14</v>
      </c>
    </row>
    <row r="5">
      <c r="A5" s="52">
        <v>0.01</v>
      </c>
      <c r="B5" s="27">
        <f>Forecast!$B$7+SUMPRODUCT(Valuation!$B$6:$F$6,1/(1+B$4)^{1,2,3,4,5})+IF(B$4&gt;$A5,Valuation!$F$6*(1+$A5)/(B$4-$A5)/(1+B$4)^5,0)</f>
        <v>970.1528975364016</v>
      </c>
      <c r="C5" s="27">
        <f>Forecast!$B$7+SUMPRODUCT(Valuation!$B$6:$F$6,1/(1+C$4)^{1,2,3,4,5})+IF(C$4&gt;$A5,Valuation!$F$6*(1+$A5)/(C$4-$A5)/(1+C$4)^5,0)</f>
        <v>1040.3158024820282</v>
      </c>
      <c r="D5" s="27">
        <f>Forecast!$B$7+SUMPRODUCT(Valuation!$B$6:$F$6,1/(1+D$4)^{1,2,3,4,5})+IF(D$4&gt;$A5,Valuation!$F$6*(1+$A5)/(D$4-$A5)/(1+D$4)^5,0)</f>
        <v>1097.6622547492734</v>
      </c>
      <c r="E5" s="27">
        <f>Forecast!$B$7+SUMPRODUCT(Valuation!$B$6:$F$6,1/(1+E$4)^{1,2,3,4,5})+IF(E$4&gt;$A5,Valuation!$F$6*(1+$A5)/(E$4-$A5)/(1+E$4)^5,0)</f>
        <v>1145.3988588922807</v>
      </c>
      <c r="F5" s="27">
        <f>Forecast!$B$7+SUMPRODUCT(Valuation!$B$6:$F$6,1/(1+F$4)^{1,2,3,4,5})+IF(F$4&gt;$A5,Valuation!$F$6*(1+$A5)/(F$4-$A5)/(1+F$4)^5,0)</f>
        <v>1185.745444895543</v>
      </c>
    </row>
    <row r="6">
      <c r="A6" s="52">
        <v>0.02</v>
      </c>
      <c r="B6" s="27">
        <f>Forecast!$B$7+SUMPRODUCT(Valuation!$B$6:$F$6,1/(1+B$4)^{1,2,3,4,5})+IF(B$4&gt;$A6,Valuation!$F$6*(1+$A6)/(B$4-$A6)/(1+B$4)^5,0)</f>
        <v>907.468419512961</v>
      </c>
      <c r="C6" s="27">
        <f>Forecast!$B$7+SUMPRODUCT(Valuation!$B$6:$F$6,1/(1+C$4)^{1,2,3,4,5})+IF(C$4&gt;$A6,Valuation!$F$6*(1+$A6)/(C$4-$A6)/(1+C$4)^5,0)</f>
        <v>991.9510659483021</v>
      </c>
      <c r="D6" s="27">
        <f>Forecast!$B$7+SUMPRODUCT(Valuation!$B$6:$F$6,1/(1+D$4)^{1,2,3,4,5})+IF(D$4&gt;$A6,Valuation!$F$6*(1+$A6)/(D$4-$A6)/(1+D$4)^5,0)</f>
        <v>1059.4855468507296</v>
      </c>
      <c r="E6" s="27">
        <f>Forecast!$B$7+SUMPRODUCT(Valuation!$B$6:$F$6,1/(1+E$4)^{1,2,3,4,5})+IF(E$4&gt;$A6,Valuation!$F$6*(1+$A6)/(E$4-$A6)/(1+E$4)^5,0)</f>
        <v>1114.6962312370438</v>
      </c>
      <c r="F6" s="27">
        <f>Forecast!$B$7+SUMPRODUCT(Valuation!$B$6:$F$6,1/(1+F$4)^{1,2,3,4,5})+IF(F$4&gt;$A6,Valuation!$F$6*(1+$A6)/(F$4-$A6)/(1+F$4)^5,0)</f>
        <v>1160.6659233383848</v>
      </c>
    </row>
    <row r="7">
      <c r="A7" s="52">
        <v>0.03</v>
      </c>
      <c r="B7" s="27">
        <f>Forecast!$B$7+SUMPRODUCT(Valuation!$B$6:$F$6,1/(1+B$4)^{1,2,3,4,5})+IF(B$4&gt;$A7,Valuation!$F$6*(1+$A7)/(B$4-$A7)/(1+B$4)^5,0)</f>
        <v>826.8740906256804</v>
      </c>
      <c r="C7" s="27">
        <f>Forecast!$B$7+SUMPRODUCT(Valuation!$B$6:$F$6,1/(1+C$4)^{1,2,3,4,5})+IF(C$4&gt;$A7,Valuation!$F$6*(1+$A7)/(C$4-$A7)/(1+C$4)^5,0)</f>
        <v>931.4951452811447</v>
      </c>
      <c r="D7" s="27">
        <f>Forecast!$B$7+SUMPRODUCT(Valuation!$B$6:$F$6,1/(1+D$4)^{1,2,3,4,5})+IF(D$4&gt;$A7,Valuation!$F$6*(1+$A7)/(D$4-$A7)/(1+D$4)^5,0)</f>
        <v>1012.8251260858431</v>
      </c>
      <c r="E7" s="27">
        <f>Forecast!$B$7+SUMPRODUCT(Valuation!$B$6:$F$6,1/(1+E$4)^{1,2,3,4,5})+IF(E$4&gt;$A7,Valuation!$F$6*(1+$A7)/(E$4-$A7)/(1+E$4)^5,0)</f>
        <v>1077.85307805076</v>
      </c>
      <c r="F7" s="27">
        <f>Forecast!$B$7+SUMPRODUCT(Valuation!$B$6:$F$6,1/(1+F$4)^{1,2,3,4,5})+IF(F$4&gt;$A7,Valuation!$F$6*(1+$A7)/(F$4-$A7)/(1+F$4)^5,0)</f>
        <v>1131.0264887708345</v>
      </c>
    </row>
    <row r="8">
      <c r="A8" s="52">
        <v>0.04</v>
      </c>
      <c r="B8" s="27">
        <f>Forecast!$B$7+SUMPRODUCT(Valuation!$B$6:$F$6,1/(1+B$4)^{1,2,3,4,5})+IF(B$4&gt;$A8,Valuation!$F$6*(1+$A8)/(B$4-$A8)/(1+B$4)^5,0)</f>
        <v>719.4149854426396</v>
      </c>
      <c r="C8" s="27">
        <f>Forecast!$B$7+SUMPRODUCT(Valuation!$B$6:$F$6,1/(1+C$4)^{1,2,3,4,5})+IF(C$4&gt;$A8,Valuation!$F$6*(1+$A8)/(C$4-$A8)/(1+C$4)^5,0)</f>
        <v>853.7661044233707</v>
      </c>
      <c r="D8" s="27">
        <f>Forecast!$B$7+SUMPRODUCT(Valuation!$B$6:$F$6,1/(1+D$4)^{1,2,3,4,5})+IF(D$4&gt;$A8,Valuation!$F$6*(1+$A8)/(D$4-$A8)/(1+D$4)^5,0)</f>
        <v>954.4996001297343</v>
      </c>
      <c r="E8" s="27">
        <f>Forecast!$B$7+SUMPRODUCT(Valuation!$B$6:$F$6,1/(1+E$4)^{1,2,3,4,5})+IF(E$4&gt;$A8,Valuation!$F$6*(1+$A8)/(E$4-$A8)/(1+E$4)^5,0)</f>
        <v>1032.822557489746</v>
      </c>
      <c r="F8" s="27">
        <f>Forecast!$B$7+SUMPRODUCT(Valuation!$B$6:$F$6,1/(1+F$4)^{1,2,3,4,5})+IF(F$4&gt;$A8,Valuation!$F$6*(1+$A8)/(F$4-$A8)/(1+F$4)^5,0)</f>
        <v>1095.4591672897739</v>
      </c>
    </row>
    <row r="9">
      <c r="A9" s="52">
        <v>0.05</v>
      </c>
      <c r="B9" s="27">
        <f>Forecast!$B$7+SUMPRODUCT(Valuation!$B$6:$F$6,1/(1+B$4)^{1,2,3,4,5})+IF(B$4&gt;$A9,Valuation!$F$6*(1+$A9)/(B$4-$A9)/(1+B$4)^5,0)</f>
        <v>568.9722381863824</v>
      </c>
      <c r="C9" s="27">
        <f>Forecast!$B$7+SUMPRODUCT(Valuation!$B$6:$F$6,1/(1+C$4)^{1,2,3,4,5})+IF(C$4&gt;$A9,Valuation!$F$6*(1+$A9)/(C$4-$A9)/(1+C$4)^5,0)</f>
        <v>750.1273832796721</v>
      </c>
      <c r="D9" s="27">
        <f>Forecast!$B$7+SUMPRODUCT(Valuation!$B$6:$F$6,1/(1+D$4)^{1,2,3,4,5})+IF(D$4&gt;$A9,Valuation!$F$6*(1+$A9)/(D$4-$A9)/(1+D$4)^5,0)</f>
        <v>879.5096381861663</v>
      </c>
      <c r="E9" s="27">
        <f>Forecast!$B$7+SUMPRODUCT(Valuation!$B$6:$F$6,1/(1+E$4)^{1,2,3,4,5})+IF(E$4&gt;$A9,Valuation!$F$6*(1+$A9)/(E$4-$A9)/(1+E$4)^5,0)</f>
        <v>976.5344067884787</v>
      </c>
      <c r="F9" s="27">
        <f>Forecast!$B$7+SUMPRODUCT(Valuation!$B$6:$F$6,1/(1+F$4)^{1,2,3,4,5})+IF(F$4&gt;$A9,Valuation!$F$6*(1+$A9)/(F$4-$A9)/(1+F$4)^5,0)</f>
        <v>1051.9879965906998</v>
      </c>
    </row>
    <row r="10">
      <c r="A10" s="18"/>
      <c r="B10" s="18"/>
      <c r="C10" s="18"/>
      <c r="D10" s="18"/>
      <c r="E10" s="18"/>
      <c r="F10" s="18"/>
    </row>
    <row r="11">
      <c r="A11" s="18"/>
      <c r="B11" s="18"/>
      <c r="C11" s="18"/>
      <c r="D11" s="18"/>
      <c r="E11" s="18"/>
      <c r="F11" s="18"/>
    </row>
  </sheetData>
  <mergeCells count="2">
    <mergeCell ref="A1:H1"/>
    <mergeCell ref="A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4"/>
  <sheetViews>
    <sheetView showGridLines="0" workbookViewId="0"/>
  </sheetViews>
  <sheetFormatPr defaultRowHeight="15"/>
  <cols>
    <col min="1" max="1" width="31" customWidth="1"/>
    <col min="2" max="3" width="15" customWidth="1"/>
    <col min="4" max="4" width="50" customWidth="1"/>
    <col min="5" max="8" width="15" customWidth="1"/>
  </cols>
  <sheetData>
    <row r="1" ht="28" customHeight="1">
      <c r="A1" s="17" t="s">
        <v>159</v>
      </c>
      <c r="B1" s="17"/>
      <c r="C1" s="17"/>
      <c r="D1" s="17"/>
      <c r="E1" s="2"/>
      <c r="F1" s="2"/>
      <c r="G1" s="2"/>
      <c r="H1" s="2"/>
    </row>
    <row r="2" ht="30" customHeight="1">
      <c r="A2" s="12" t="s">
        <v>160</v>
      </c>
      <c r="B2" s="12"/>
      <c r="C2" s="12"/>
      <c r="D2" s="12"/>
      <c r="E2" s="4"/>
      <c r="F2" s="4"/>
      <c r="G2" s="4"/>
      <c r="H2" s="4"/>
    </row>
    <row r="3">
      <c r="A3" s="18"/>
      <c r="B3" s="18"/>
      <c r="C3" s="18"/>
      <c r="D3" s="18"/>
    </row>
    <row r="4">
      <c r="A4" s="19" t="s">
        <v>161</v>
      </c>
      <c r="B4" s="19" t="s">
        <v>162</v>
      </c>
      <c r="C4" s="19" t="s">
        <v>163</v>
      </c>
      <c r="D4" s="19" t="s">
        <v>164</v>
      </c>
    </row>
    <row r="5">
      <c r="A5" s="23" t="s">
        <v>165</v>
      </c>
      <c r="B5" s="23" t="str">
        <f>IF(MIN(Forecast!C5:G5)&gt;=0,"PASS","FAIL")</f>
        <v>PASS</v>
      </c>
      <c r="C5" s="23" t="s">
        <v>166</v>
      </c>
      <c r="D5" s="23" t="s">
        <v>167</v>
      </c>
    </row>
    <row r="6">
      <c r="A6" s="23" t="s">
        <v>168</v>
      </c>
      <c r="B6" s="23" t="str">
        <f>IF(MIN(Forecast!C12:G12)&gt;=0,"PASS","FAIL")</f>
        <v>PASS</v>
      </c>
      <c r="C6" s="23" t="s">
        <v>166</v>
      </c>
      <c r="D6" s="23" t="s">
        <v>169</v>
      </c>
    </row>
    <row r="7">
      <c r="A7" s="23" t="s">
        <v>170</v>
      </c>
      <c r="B7" s="23" t="str">
        <f>IF(AND(MIN(Forecast!C10:G10)&gt;-0.5,MAX(Forecast!C10:G10)&lt;0.5),"PASS","FAIL")</f>
        <v>PASS</v>
      </c>
      <c r="C7" s="23" t="s">
        <v>166</v>
      </c>
      <c r="D7" s="23" t="s">
        <v>171</v>
      </c>
    </row>
    <row r="8">
      <c r="A8" s="23" t="s">
        <v>172</v>
      </c>
      <c r="B8" s="23" t="str">
        <f>IF(Assumptions!E8&gt;Assumptions!E9,"PASS","FAIL")</f>
        <v>PASS</v>
      </c>
      <c r="C8" s="23" t="s">
        <v>166</v>
      </c>
      <c r="D8" s="23" t="s">
        <v>173</v>
      </c>
    </row>
    <row r="9">
      <c r="A9" s="23" t="s">
        <v>174</v>
      </c>
      <c r="B9" s="23" t="s">
        <v>175</v>
      </c>
      <c r="C9" s="23" t="s">
        <v>166</v>
      </c>
      <c r="D9" s="23" t="s">
        <v>176</v>
      </c>
    </row>
    <row r="10">
      <c r="A10" s="23"/>
      <c r="B10" s="23"/>
      <c r="C10" s="23"/>
      <c r="D10" s="23"/>
    </row>
    <row r="11">
      <c r="A11" s="19" t="s">
        <v>177</v>
      </c>
      <c r="B11" s="19" t="str">
        <f>IF(COUNTIF(B5:B9,"FAIL")=0,IF(COUNTIF(B5:B9,"LIMITED")=0,"PASS","PASS WITH LIMITATIONS"),"FAIL")</f>
        <v>PASS</v>
      </c>
      <c r="C11" s="23"/>
      <c r="D11" s="23"/>
    </row>
    <row r="12">
      <c r="A12" s="23" t="s">
        <v>178</v>
      </c>
      <c r="B12" s="23" t="s">
        <v>179</v>
      </c>
      <c r="C12" s="23"/>
      <c r="D12" s="23"/>
    </row>
    <row r="13">
      <c r="A13" s="18" t="s">
        <v>180</v>
      </c>
      <c r="B13" s="18" t="s">
        <v>181</v>
      </c>
      <c r="C13" s="18" t="s">
        <v>182</v>
      </c>
      <c r="D13" s="18" t="s">
        <v>183</v>
      </c>
    </row>
    <row r="14">
      <c r="A14" s="18"/>
      <c r="B14" s="18"/>
      <c r="C14" s="18"/>
      <c r="D14" s="18"/>
    </row>
  </sheetData>
  <mergeCells count="2">
    <mergeCell ref="A1:H1"/>
    <mergeCell ref="A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6"/>
  <sheetViews>
    <sheetView showGridLines="0" workbookViewId="0"/>
  </sheetViews>
  <sheetFormatPr defaultRowHeight="15"/>
  <cols>
    <col min="1" max="1" width="31" customWidth="1"/>
    <col min="2" max="3" width="15" customWidth="1"/>
    <col min="4" max="4" width="52" customWidth="1"/>
    <col min="5" max="8" width="15" customWidth="1"/>
  </cols>
  <sheetData>
    <row r="1" ht="28" customHeight="1">
      <c r="A1" s="17" t="s">
        <v>184</v>
      </c>
      <c r="B1" s="17"/>
      <c r="C1" s="17"/>
      <c r="D1" s="17"/>
      <c r="E1" s="2"/>
      <c r="F1" s="2"/>
      <c r="G1" s="2"/>
      <c r="H1" s="2"/>
    </row>
    <row r="2" ht="30" customHeight="1">
      <c r="A2" s="12" t="s">
        <v>185</v>
      </c>
      <c r="B2" s="12"/>
      <c r="C2" s="12"/>
      <c r="D2" s="12"/>
      <c r="E2" s="4"/>
      <c r="F2" s="4"/>
      <c r="G2" s="4"/>
      <c r="H2" s="4"/>
    </row>
    <row r="3">
      <c r="A3" s="18"/>
      <c r="B3" s="18"/>
      <c r="C3" s="18"/>
      <c r="D3" s="18"/>
    </row>
    <row r="4">
      <c r="A4" s="19" t="s">
        <v>186</v>
      </c>
      <c r="B4" s="19" t="s">
        <v>187</v>
      </c>
      <c r="C4" s="19" t="s">
        <v>188</v>
      </c>
      <c r="D4" s="19" t="s">
        <v>189</v>
      </c>
    </row>
    <row r="5">
      <c r="A5" s="23" t="s">
        <v>190</v>
      </c>
      <c r="B5" s="55">
        <f>Loan_Book!D22</f>
        <v>0.04896609375257377</v>
      </c>
      <c r="C5" s="55" t="s">
        <v>191</v>
      </c>
      <c r="D5" s="23" t="s">
        <v>192</v>
      </c>
    </row>
    <row r="6">
      <c r="A6" s="23" t="s">
        <v>193</v>
      </c>
      <c r="B6" s="55">
        <f>Deposits_Funding!D22</f>
        <v>0.10473873080485419</v>
      </c>
      <c r="C6" s="55" t="s">
        <v>194</v>
      </c>
      <c r="D6" s="23" t="s">
        <v>192</v>
      </c>
    </row>
    <row r="7">
      <c r="A7" s="23" t="s">
        <v>195</v>
      </c>
      <c r="B7" s="55">
        <f>NIM_Build!D33</f>
        <v>0.031350151282553904</v>
      </c>
      <c r="C7" s="55" t="s">
        <v>196</v>
      </c>
      <c r="D7" s="23" t="s">
        <v>192</v>
      </c>
    </row>
    <row r="8">
      <c r="A8" s="23" t="s">
        <v>197</v>
      </c>
      <c r="B8" s="55">
        <f>Credit_Quality!D14</f>
        <v>0.0213552564926524</v>
      </c>
      <c r="C8" s="55" t="s">
        <v>198</v>
      </c>
      <c r="D8" s="23" t="s">
        <v>192</v>
      </c>
    </row>
    <row r="9">
      <c r="A9" s="23" t="s">
        <v>199</v>
      </c>
      <c r="B9" s="55">
        <f>Credit_Quality!D20</f>
        <v>0.03791163775577878</v>
      </c>
      <c r="C9" s="55" t="s">
        <v>200</v>
      </c>
      <c r="D9" s="23" t="s">
        <v>192</v>
      </c>
    </row>
    <row r="10">
      <c r="A10" s="23" t="s">
        <v>201</v>
      </c>
      <c r="B10" s="55">
        <f>Credit_Quality!D8</f>
        <v>0.03939662833222717</v>
      </c>
      <c r="C10" s="55" t="s">
        <v>202</v>
      </c>
      <c r="D10" s="23" t="s">
        <v>192</v>
      </c>
    </row>
    <row r="11">
      <c r="A11" s="23" t="s">
        <v>203</v>
      </c>
      <c r="B11" s="55">
        <f>Capital_Adequacy!D28</f>
        <v>0.129</v>
      </c>
      <c r="C11" s="55" t="s">
        <v>204</v>
      </c>
      <c r="D11" s="23" t="s">
        <v>192</v>
      </c>
    </row>
    <row r="12">
      <c r="A12" s="23" t="s">
        <v>205</v>
      </c>
      <c r="B12" s="55" t="s">
        <v>206</v>
      </c>
      <c r="C12" s="55" t="s">
        <v>207</v>
      </c>
      <c r="D12" s="23" t="s">
        <v>192</v>
      </c>
    </row>
    <row r="13">
      <c r="A13" s="23" t="s">
        <v>134</v>
      </c>
      <c r="B13" s="56">
        <f>Historical!F8/AVERAGE(Historical!E7,Historical!F7)</f>
        <v>0.10197705037507884</v>
      </c>
      <c r="C13" s="57">
        <f>Forecast!G10</f>
        <v>0.088</v>
      </c>
      <c r="D13" s="23" t="s">
        <v>192</v>
      </c>
    </row>
    <row r="14">
      <c r="A14" s="23" t="s">
        <v>208</v>
      </c>
      <c r="B14" s="55" t="s">
        <v>209</v>
      </c>
      <c r="C14" s="55" t="s">
        <v>207</v>
      </c>
      <c r="D14" s="23" t="s">
        <v>192</v>
      </c>
    </row>
    <row r="15">
      <c r="A15" s="18"/>
      <c r="B15" s="18"/>
      <c r="C15" s="18"/>
      <c r="D15" s="18"/>
    </row>
    <row r="16">
      <c r="A16" s="18"/>
      <c r="B16" s="18"/>
      <c r="C16" s="18"/>
      <c r="D16" s="18"/>
    </row>
  </sheetData>
  <mergeCells count="2">
    <mergeCell ref="A1:H1"/>
    <mergeCell ref="A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9"/>
  <sheetViews>
    <sheetView showGridLines="0" workbookViewId="0"/>
  </sheetViews>
  <sheetFormatPr defaultRowHeight="15"/>
  <cols>
    <col min="1" max="1" width="31" customWidth="1"/>
    <col min="2" max="3" width="15" customWidth="1"/>
    <col min="4" max="5" width="45" customWidth="1"/>
    <col min="6" max="8" width="15" customWidth="1"/>
  </cols>
  <sheetData>
    <row r="1" ht="28" customHeight="1">
      <c r="A1" s="17" t="s">
        <v>210</v>
      </c>
      <c r="B1" s="17"/>
      <c r="C1" s="17"/>
      <c r="D1" s="17"/>
      <c r="E1" s="17"/>
      <c r="F1" s="17"/>
      <c r="G1" s="2"/>
      <c r="H1" s="2"/>
    </row>
    <row r="2" ht="30" customHeight="1">
      <c r="A2" s="12" t="s">
        <v>211</v>
      </c>
      <c r="B2" s="12"/>
      <c r="C2" s="12"/>
      <c r="D2" s="12"/>
      <c r="E2" s="12"/>
      <c r="F2" s="12"/>
      <c r="G2" s="4"/>
      <c r="H2" s="4"/>
    </row>
    <row r="3">
      <c r="A3" s="18"/>
      <c r="B3" s="18"/>
      <c r="C3" s="18"/>
      <c r="D3" s="18"/>
      <c r="E3" s="18"/>
      <c r="F3" s="18"/>
    </row>
    <row r="4">
      <c r="A4" s="19" t="s">
        <v>212</v>
      </c>
      <c r="B4" s="19" t="s">
        <v>213</v>
      </c>
      <c r="C4" s="19" t="s">
        <v>214</v>
      </c>
      <c r="D4" s="19" t="s">
        <v>215</v>
      </c>
      <c r="E4" s="19" t="s">
        <v>216</v>
      </c>
      <c r="F4" s="19" t="s">
        <v>217</v>
      </c>
    </row>
    <row r="5">
      <c r="A5" s="23" t="s">
        <v>42</v>
      </c>
      <c r="B5" s="23" t="s">
        <v>218</v>
      </c>
      <c r="C5" s="23" t="s">
        <v>219</v>
      </c>
      <c r="D5" s="23" t="s">
        <v>220</v>
      </c>
      <c r="E5" s="23" t="s">
        <v>35</v>
      </c>
      <c r="F5" s="23" t="s">
        <v>221</v>
      </c>
    </row>
    <row r="6">
      <c r="A6" s="23" t="s">
        <v>42</v>
      </c>
      <c r="B6" s="23" t="s">
        <v>218</v>
      </c>
      <c r="C6" s="23" t="s">
        <v>219</v>
      </c>
      <c r="D6" s="23" t="s">
        <v>222</v>
      </c>
      <c r="E6" s="23" t="s">
        <v>223</v>
      </c>
      <c r="F6" s="23" t="s">
        <v>224</v>
      </c>
    </row>
    <row r="7">
      <c r="A7" s="18">
        <v>46224</v>
      </c>
      <c r="B7" s="18">
        <v>2</v>
      </c>
      <c r="C7" s="18" t="s">
        <v>225</v>
      </c>
      <c r="D7" s="18" t="s">
        <v>226</v>
      </c>
      <c r="E7" s="18" t="s">
        <v>227</v>
      </c>
      <c r="F7" s="18" t="s">
        <v>228</v>
      </c>
    </row>
    <row r="8">
      <c r="A8" s="18"/>
      <c r="B8" s="18"/>
      <c r="C8" s="18"/>
      <c r="D8" s="18"/>
      <c r="E8" s="18"/>
      <c r="F8" s="18"/>
    </row>
    <row r="9">
      <c r="A9" s="18"/>
      <c r="B9" s="18"/>
      <c r="C9" s="18"/>
      <c r="D9" s="18"/>
      <c r="E9" s="18"/>
      <c r="F9" s="18"/>
    </row>
  </sheetData>
  <mergeCells count="2">
    <mergeCell ref="A1:H1"/>
    <mergeCell ref="A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FormatPr defaultColWidth="8.375" defaultRowHeight="15"/>
  <sheetData>
    <row r="1">
      <c r="A1" t="s">
        <v>229</v>
      </c>
    </row>
    <row r="2">
      <c r="A2" t="s">
        <v>230</v>
      </c>
    </row>
    <row r="4">
      <c r="A4" t="s">
        <v>231</v>
      </c>
      <c r="B4" t="s">
        <v>232</v>
      </c>
      <c r="C4" t="s">
        <v>233</v>
      </c>
      <c r="D4" t="s">
        <v>234</v>
      </c>
    </row>
    <row r="5">
      <c r="A5" t="s">
        <v>235</v>
      </c>
    </row>
    <row r="6">
      <c r="A6" t="s">
        <v>236</v>
      </c>
      <c r="B6">
        <v>4968903</v>
      </c>
      <c r="C6">
        <v>4628920</v>
      </c>
      <c r="D6">
        <v>6014530</v>
      </c>
    </row>
    <row r="7">
      <c r="A7" t="s">
        <v>237</v>
      </c>
      <c r="B7">
        <v>5445835</v>
      </c>
      <c r="C7">
        <v>9628213</v>
      </c>
      <c r="D7">
        <v>14485963</v>
      </c>
    </row>
    <row r="8">
      <c r="A8" t="s">
        <v>238</v>
      </c>
      <c r="B8">
        <v>3459592</v>
      </c>
      <c r="C8">
        <v>8299454</v>
      </c>
      <c r="D8">
        <v>11820386</v>
      </c>
    </row>
    <row r="9">
      <c r="A9" t="s">
        <v>239</v>
      </c>
      <c r="B9">
        <v>709520</v>
      </c>
      <c r="C9">
        <v>838051</v>
      </c>
      <c r="D9">
        <v>1140604</v>
      </c>
    </row>
    <row r="10">
      <c r="A10" t="s">
        <v>240</v>
      </c>
      <c r="B10">
        <v>1276723</v>
      </c>
      <c r="C10">
        <v>490708</v>
      </c>
      <c r="D10">
        <v>1524973</v>
      </c>
    </row>
    <row r="11">
      <c r="A11" t="s">
        <v>241</v>
      </c>
      <c r="B11">
        <v>4597797</v>
      </c>
      <c r="C11">
        <v>5888095</v>
      </c>
      <c r="D11">
        <v>6850925</v>
      </c>
    </row>
    <row r="12">
      <c r="A12" t="s">
        <v>242</v>
      </c>
      <c r="B12">
        <v>4465686</v>
      </c>
      <c r="C12">
        <v>5721126</v>
      </c>
      <c r="D12">
        <v>6674681</v>
      </c>
    </row>
    <row r="13">
      <c r="A13" t="s">
        <v>243</v>
      </c>
      <c r="B13">
        <v>132111</v>
      </c>
      <c r="C13">
        <v>166969</v>
      </c>
      <c r="D13">
        <v>176244</v>
      </c>
    </row>
    <row r="14">
      <c r="A14" t="s">
        <v>244</v>
      </c>
      <c r="B14">
        <v>2034558</v>
      </c>
      <c r="C14">
        <v>2133673</v>
      </c>
      <c r="D14">
        <v>1324900</v>
      </c>
    </row>
    <row r="15">
      <c r="A15" t="s">
        <v>245</v>
      </c>
      <c r="C15">
        <v>6225</v>
      </c>
      <c r="D15">
        <v>48261</v>
      </c>
    </row>
    <row r="16">
      <c r="A16" t="s">
        <v>246</v>
      </c>
      <c r="B16">
        <v>49499035</v>
      </c>
      <c r="C16">
        <v>54091123</v>
      </c>
      <c r="D16">
        <v>56739754</v>
      </c>
    </row>
    <row r="17">
      <c r="A17" t="s">
        <v>247</v>
      </c>
      <c r="B17">
        <v>34426863</v>
      </c>
      <c r="C17">
        <v>37817965</v>
      </c>
      <c r="D17">
        <v>39589665</v>
      </c>
    </row>
    <row r="18">
      <c r="A18" t="s">
        <v>248</v>
      </c>
      <c r="B18">
        <v>12462019</v>
      </c>
      <c r="C18">
        <v>13176358</v>
      </c>
      <c r="D18">
        <v>13286359</v>
      </c>
    </row>
    <row r="19">
      <c r="A19" t="s">
        <v>249</v>
      </c>
      <c r="B19">
        <v>2610153</v>
      </c>
      <c r="C19">
        <v>3096800</v>
      </c>
      <c r="D19">
        <v>3863730</v>
      </c>
    </row>
    <row r="20">
      <c r="A20" t="s">
        <v>250</v>
      </c>
      <c r="B20">
        <v>-2416920</v>
      </c>
      <c r="C20">
        <v>-2546964</v>
      </c>
      <c r="D20">
        <v>-2235355</v>
      </c>
    </row>
    <row r="21">
      <c r="A21" t="s">
        <v>251</v>
      </c>
      <c r="B21">
        <v>47082115</v>
      </c>
      <c r="C21">
        <v>51544159</v>
      </c>
      <c r="D21">
        <v>54504399</v>
      </c>
    </row>
    <row r="22">
      <c r="A22" t="s">
        <v>252</v>
      </c>
      <c r="B22">
        <v>547285</v>
      </c>
      <c r="C22">
        <v>634102</v>
      </c>
      <c r="D22">
        <v>661508</v>
      </c>
    </row>
    <row r="23">
      <c r="A23" t="s">
        <v>253</v>
      </c>
      <c r="B23">
        <v>3023</v>
      </c>
      <c r="C23">
        <v>1324</v>
      </c>
    </row>
    <row r="24">
      <c r="A24" t="s">
        <v>254</v>
      </c>
      <c r="B24">
        <v>1800802</v>
      </c>
      <c r="C24">
        <v>1953172</v>
      </c>
      <c r="D24">
        <v>2099231</v>
      </c>
    </row>
    <row r="25">
      <c r="A25" t="s">
        <v>255</v>
      </c>
      <c r="B25">
        <v>654052</v>
      </c>
      <c r="C25">
        <v>670246</v>
      </c>
      <c r="D25">
        <v>668772</v>
      </c>
    </row>
    <row r="26">
      <c r="A26" t="s">
        <v>256</v>
      </c>
      <c r="B26">
        <v>600351</v>
      </c>
      <c r="C26">
        <v>657085</v>
      </c>
      <c r="D26">
        <v>730940</v>
      </c>
    </row>
    <row r="27">
      <c r="A27" t="s">
        <v>257</v>
      </c>
      <c r="B27">
        <v>853501</v>
      </c>
      <c r="C27">
        <v>625406</v>
      </c>
      <c r="D27">
        <v>751944</v>
      </c>
    </row>
    <row r="28">
      <c r="A28" t="s">
        <v>258</v>
      </c>
      <c r="B28">
        <v>13562</v>
      </c>
      <c r="C28">
        <v>29561</v>
      </c>
      <c r="D28">
        <v>21912</v>
      </c>
    </row>
    <row r="29">
      <c r="A29" t="s">
        <v>259</v>
      </c>
      <c r="B29">
        <v>68601784</v>
      </c>
      <c r="C29">
        <v>78400181</v>
      </c>
      <c r="D29">
        <v>88163285</v>
      </c>
    </row>
    <row r="31">
      <c r="A31" t="s">
        <v>260</v>
      </c>
    </row>
    <row r="32">
      <c r="A32" t="s">
        <v>261</v>
      </c>
      <c r="B32">
        <v>1058390</v>
      </c>
      <c r="C32">
        <v>532716</v>
      </c>
      <c r="D32">
        <v>1285816</v>
      </c>
    </row>
    <row r="33">
      <c r="A33" t="s">
        <v>262</v>
      </c>
      <c r="B33">
        <v>49175732</v>
      </c>
      <c r="C33">
        <v>53593823</v>
      </c>
      <c r="D33">
        <v>59207172</v>
      </c>
    </row>
    <row r="34">
      <c r="A34" t="s">
        <v>263</v>
      </c>
      <c r="B34">
        <v>7092625</v>
      </c>
      <c r="C34">
        <v>7389155</v>
      </c>
      <c r="D34">
        <v>7606030</v>
      </c>
    </row>
    <row r="35">
      <c r="A35" t="s">
        <v>264</v>
      </c>
      <c r="B35">
        <v>24153811</v>
      </c>
      <c r="C35">
        <v>28221791</v>
      </c>
      <c r="D35">
        <v>31112717</v>
      </c>
    </row>
    <row r="36">
      <c r="A36" t="s">
        <v>265</v>
      </c>
      <c r="B36">
        <v>17866450</v>
      </c>
      <c r="C36">
        <v>17917502</v>
      </c>
      <c r="D36">
        <v>20416158</v>
      </c>
    </row>
    <row r="37">
      <c r="A37" t="s">
        <v>266</v>
      </c>
      <c r="B37">
        <v>62846</v>
      </c>
      <c r="C37">
        <v>65375</v>
      </c>
      <c r="D37">
        <v>72267</v>
      </c>
    </row>
    <row r="38">
      <c r="A38" t="s">
        <v>267</v>
      </c>
      <c r="B38">
        <v>10848602</v>
      </c>
      <c r="C38">
        <v>16849639</v>
      </c>
      <c r="D38">
        <v>19265710</v>
      </c>
    </row>
    <row r="39">
      <c r="A39" t="s">
        <v>268</v>
      </c>
      <c r="B39">
        <v>4403111</v>
      </c>
      <c r="C39">
        <v>8636674</v>
      </c>
      <c r="D39">
        <v>12281785</v>
      </c>
    </row>
    <row r="40">
      <c r="A40" t="s">
        <v>269</v>
      </c>
      <c r="B40">
        <v>3185957</v>
      </c>
      <c r="C40">
        <v>4480586</v>
      </c>
      <c r="D40">
        <v>3824902</v>
      </c>
    </row>
    <row r="41">
      <c r="A41" t="s">
        <v>270</v>
      </c>
      <c r="B41">
        <v>2171345</v>
      </c>
      <c r="C41">
        <v>2670197</v>
      </c>
      <c r="D41">
        <v>2097440</v>
      </c>
    </row>
    <row r="42">
      <c r="A42" t="s">
        <v>271</v>
      </c>
      <c r="B42">
        <v>1088189</v>
      </c>
      <c r="C42">
        <v>1062182</v>
      </c>
      <c r="D42">
        <v>1061583</v>
      </c>
    </row>
    <row r="43">
      <c r="A43" t="s">
        <v>272</v>
      </c>
      <c r="B43">
        <v>64168</v>
      </c>
      <c r="C43">
        <v>62280</v>
      </c>
      <c r="D43">
        <v>67726</v>
      </c>
    </row>
    <row r="44">
      <c r="A44" t="s">
        <v>273</v>
      </c>
      <c r="B44">
        <v>959</v>
      </c>
      <c r="D44">
        <v>2136</v>
      </c>
    </row>
    <row r="45">
      <c r="A45" t="s">
        <v>274</v>
      </c>
      <c r="B45">
        <v>88847</v>
      </c>
      <c r="C45">
        <v>96489</v>
      </c>
      <c r="D45">
        <v>103560</v>
      </c>
    </row>
    <row r="46">
      <c r="A46" t="s">
        <v>275</v>
      </c>
      <c r="B46">
        <v>1677003</v>
      </c>
      <c r="C46">
        <v>1279444</v>
      </c>
      <c r="D46">
        <v>1972564</v>
      </c>
    </row>
    <row r="47">
      <c r="A47" t="s">
        <v>276</v>
      </c>
      <c r="B47">
        <v>62913701</v>
      </c>
      <c r="C47">
        <v>72414391</v>
      </c>
      <c r="D47">
        <v>81904684</v>
      </c>
    </row>
    <row r="49">
      <c r="A49" t="s">
        <v>277</v>
      </c>
    </row>
    <row r="50">
      <c r="A50" t="s">
        <v>278</v>
      </c>
      <c r="B50">
        <v>4677</v>
      </c>
      <c r="C50">
        <v>4677</v>
      </c>
      <c r="D50">
        <v>4677</v>
      </c>
    </row>
    <row r="51">
      <c r="A51" t="s">
        <v>279</v>
      </c>
      <c r="B51">
        <v>720445</v>
      </c>
      <c r="C51">
        <v>720445</v>
      </c>
      <c r="D51">
        <v>720445</v>
      </c>
    </row>
    <row r="52">
      <c r="A52" t="s">
        <v>280</v>
      </c>
      <c r="B52">
        <v>4996219</v>
      </c>
      <c r="C52">
        <v>5253537</v>
      </c>
      <c r="D52">
        <v>5579303</v>
      </c>
    </row>
    <row r="53">
      <c r="A53" t="s">
        <v>281</v>
      </c>
      <c r="B53">
        <v>-70255</v>
      </c>
      <c r="C53">
        <v>-37152</v>
      </c>
      <c r="D53">
        <v>-93803</v>
      </c>
    </row>
    <row r="54">
      <c r="A54" t="s">
        <v>282</v>
      </c>
      <c r="B54">
        <v>5651086</v>
      </c>
      <c r="C54">
        <v>5941507</v>
      </c>
      <c r="D54">
        <v>6210622</v>
      </c>
    </row>
    <row r="55">
      <c r="A55" t="s">
        <v>283</v>
      </c>
      <c r="B55">
        <v>36997</v>
      </c>
      <c r="C55">
        <v>44283</v>
      </c>
      <c r="D55">
        <v>47979</v>
      </c>
    </row>
    <row r="56">
      <c r="A56" t="s">
        <v>284</v>
      </c>
      <c r="B56">
        <v>5688083</v>
      </c>
      <c r="C56">
        <v>5985790</v>
      </c>
      <c r="D56">
        <v>6258601</v>
      </c>
    </row>
    <row r="57">
      <c r="A57" t="s">
        <v>285</v>
      </c>
      <c r="B57">
        <v>68601784</v>
      </c>
      <c r="C57">
        <v>78400181</v>
      </c>
      <c r="D57">
        <v>88163285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FormatPr defaultColWidth="8.375" defaultRowHeight="15"/>
  <sheetData>
    <row r="1">
      <c r="A1" t="s">
        <v>286</v>
      </c>
    </row>
    <row r="2">
      <c r="A2" t="s">
        <v>287</v>
      </c>
    </row>
    <row r="4">
      <c r="A4" t="s">
        <v>231</v>
      </c>
      <c r="B4" t="s">
        <v>232</v>
      </c>
      <c r="C4" t="s">
        <v>233</v>
      </c>
      <c r="D4" t="s">
        <v>234</v>
      </c>
    </row>
    <row r="5">
      <c r="A5" t="s">
        <v>288</v>
      </c>
      <c r="B5">
        <v>7732758</v>
      </c>
      <c r="C5">
        <v>7574101</v>
      </c>
      <c r="D5">
        <v>7088549</v>
      </c>
    </row>
    <row r="6">
      <c r="A6" t="s">
        <v>289</v>
      </c>
      <c r="B6">
        <v>4851231</v>
      </c>
      <c r="C6">
        <v>4578841</v>
      </c>
      <c r="D6">
        <v>4012015</v>
      </c>
    </row>
    <row r="7">
      <c r="A7" t="s">
        <v>290</v>
      </c>
      <c r="B7">
        <v>1921271</v>
      </c>
      <c r="C7">
        <v>1975581</v>
      </c>
      <c r="D7">
        <v>1908993</v>
      </c>
    </row>
    <row r="8">
      <c r="A8" t="s">
        <v>291</v>
      </c>
      <c r="B8">
        <v>248787</v>
      </c>
      <c r="C8">
        <v>311362</v>
      </c>
      <c r="D8">
        <v>376457</v>
      </c>
    </row>
    <row r="9">
      <c r="A9" t="s">
        <v>292</v>
      </c>
      <c r="B9">
        <v>192719</v>
      </c>
      <c r="C9">
        <v>143703</v>
      </c>
      <c r="D9">
        <v>40158</v>
      </c>
    </row>
    <row r="10">
      <c r="A10" t="s">
        <v>293</v>
      </c>
      <c r="B10">
        <v>35306</v>
      </c>
      <c r="C10">
        <v>34214</v>
      </c>
      <c r="D10">
        <v>102648</v>
      </c>
    </row>
    <row r="11">
      <c r="A11" t="s">
        <v>294</v>
      </c>
      <c r="B11">
        <v>1211</v>
      </c>
      <c r="C11">
        <v>6385</v>
      </c>
      <c r="D11">
        <v>4443</v>
      </c>
    </row>
    <row r="12">
      <c r="A12" t="s">
        <v>295</v>
      </c>
      <c r="B12">
        <v>482233</v>
      </c>
      <c r="C12">
        <v>524015</v>
      </c>
      <c r="D12">
        <v>643835</v>
      </c>
    </row>
    <row r="13">
      <c r="A13" t="s">
        <v>296</v>
      </c>
      <c r="B13">
        <v>5495353</v>
      </c>
      <c r="C13">
        <v>5245941</v>
      </c>
      <c r="D13">
        <v>4787368</v>
      </c>
    </row>
    <row r="14">
      <c r="A14" t="s">
        <v>297</v>
      </c>
      <c r="B14">
        <v>41408</v>
      </c>
      <c r="C14">
        <v>44781</v>
      </c>
      <c r="D14">
        <v>50410</v>
      </c>
    </row>
    <row r="15">
      <c r="A15" t="s">
        <v>298</v>
      </c>
      <c r="B15">
        <v>2230879</v>
      </c>
      <c r="C15">
        <v>2204667</v>
      </c>
      <c r="D15">
        <v>1816585</v>
      </c>
    </row>
    <row r="16">
      <c r="A16" t="s">
        <v>265</v>
      </c>
      <c r="B16">
        <v>2074357</v>
      </c>
      <c r="C16">
        <v>1777487</v>
      </c>
      <c r="D16">
        <v>1606372</v>
      </c>
    </row>
    <row r="17">
      <c r="A17" t="s">
        <v>299</v>
      </c>
      <c r="B17">
        <v>431210</v>
      </c>
      <c r="C17">
        <v>559139</v>
      </c>
      <c r="D17">
        <v>764707</v>
      </c>
    </row>
    <row r="18">
      <c r="A18" t="s">
        <v>300</v>
      </c>
      <c r="B18">
        <v>251754</v>
      </c>
      <c r="C18">
        <v>271468</v>
      </c>
      <c r="D18">
        <v>232508</v>
      </c>
    </row>
    <row r="19">
      <c r="A19" t="s">
        <v>301</v>
      </c>
      <c r="B19">
        <v>335437</v>
      </c>
      <c r="C19">
        <v>276866</v>
      </c>
      <c r="D19">
        <v>226332</v>
      </c>
    </row>
    <row r="20">
      <c r="A20" t="s">
        <v>302</v>
      </c>
      <c r="B20">
        <v>130308</v>
      </c>
      <c r="C20">
        <v>111533</v>
      </c>
      <c r="D20">
        <v>90454</v>
      </c>
    </row>
    <row r="21">
      <c r="A21" t="s">
        <v>303</v>
      </c>
      <c r="B21">
        <v>2237405</v>
      </c>
      <c r="C21">
        <v>2328160</v>
      </c>
      <c r="D21">
        <v>2301181</v>
      </c>
    </row>
    <row r="22">
      <c r="A22" t="s">
        <v>304</v>
      </c>
      <c r="B22">
        <v>1195579</v>
      </c>
      <c r="C22">
        <v>1354479</v>
      </c>
      <c r="D22">
        <v>1214428</v>
      </c>
    </row>
    <row r="23">
      <c r="A23" t="s">
        <v>305</v>
      </c>
      <c r="B23">
        <v>1384446</v>
      </c>
      <c r="C23">
        <v>1527221</v>
      </c>
      <c r="D23">
        <v>1401261</v>
      </c>
    </row>
    <row r="24">
      <c r="A24" t="s">
        <v>306</v>
      </c>
      <c r="B24">
        <v>-431</v>
      </c>
      <c r="C24">
        <v>1403</v>
      </c>
      <c r="D24">
        <v>2736</v>
      </c>
    </row>
    <row r="25">
      <c r="A25" t="s">
        <v>307</v>
      </c>
      <c r="B25">
        <v>-189298</v>
      </c>
      <c r="C25">
        <v>-174145</v>
      </c>
      <c r="D25">
        <v>-189569</v>
      </c>
    </row>
    <row r="26">
      <c r="A26" t="s">
        <v>308</v>
      </c>
      <c r="B26">
        <v>1041826</v>
      </c>
      <c r="C26">
        <v>973681</v>
      </c>
      <c r="D26">
        <v>1086753</v>
      </c>
    </row>
    <row r="27">
      <c r="A27" t="s">
        <v>309</v>
      </c>
      <c r="B27">
        <v>567455</v>
      </c>
      <c r="C27">
        <v>603665</v>
      </c>
      <c r="D27">
        <v>666864</v>
      </c>
    </row>
    <row r="28">
      <c r="A28" t="s">
        <v>310</v>
      </c>
      <c r="B28">
        <v>213501</v>
      </c>
      <c r="C28">
        <v>241378</v>
      </c>
      <c r="D28">
        <v>252013</v>
      </c>
    </row>
    <row r="29">
      <c r="A29" t="s">
        <v>311</v>
      </c>
      <c r="B29">
        <v>353954</v>
      </c>
      <c r="C29">
        <v>362287</v>
      </c>
      <c r="D29">
        <v>414851</v>
      </c>
    </row>
    <row r="30">
      <c r="A30" t="s">
        <v>312</v>
      </c>
      <c r="B30">
        <v>629469</v>
      </c>
      <c r="C30">
        <v>652590</v>
      </c>
      <c r="D30">
        <v>890050</v>
      </c>
    </row>
    <row r="31">
      <c r="A31" t="s">
        <v>313</v>
      </c>
      <c r="B31">
        <v>470763</v>
      </c>
      <c r="C31">
        <v>770496</v>
      </c>
      <c r="D31">
        <v>711439</v>
      </c>
    </row>
    <row r="32">
      <c r="A32" t="s">
        <v>314</v>
      </c>
      <c r="B32">
        <v>2043800</v>
      </c>
      <c r="C32">
        <v>2225831</v>
      </c>
      <c r="D32">
        <v>2512203</v>
      </c>
    </row>
    <row r="33">
      <c r="A33" t="s">
        <v>315</v>
      </c>
      <c r="B33">
        <v>867105</v>
      </c>
      <c r="C33">
        <v>948793</v>
      </c>
      <c r="D33">
        <v>1037412</v>
      </c>
    </row>
    <row r="34">
      <c r="A34" t="s">
        <v>316</v>
      </c>
      <c r="B34">
        <v>954913</v>
      </c>
      <c r="C34">
        <v>1048366</v>
      </c>
      <c r="D34">
        <v>1196787</v>
      </c>
    </row>
    <row r="35">
      <c r="A35" t="s">
        <v>317</v>
      </c>
      <c r="B35">
        <v>185845</v>
      </c>
      <c r="C35">
        <v>208828</v>
      </c>
      <c r="D35">
        <v>241677</v>
      </c>
    </row>
    <row r="36">
      <c r="A36" t="s">
        <v>318</v>
      </c>
      <c r="B36">
        <v>35826</v>
      </c>
      <c r="C36">
        <v>19645</v>
      </c>
      <c r="D36">
        <v>35833</v>
      </c>
    </row>
    <row r="37">
      <c r="A37" t="s">
        <v>319</v>
      </c>
      <c r="B37">
        <v>111</v>
      </c>
      <c r="C37">
        <v>199</v>
      </c>
      <c r="D37">
        <v>494</v>
      </c>
    </row>
    <row r="38">
      <c r="A38" t="s">
        <v>320</v>
      </c>
      <c r="B38">
        <v>452212</v>
      </c>
      <c r="C38">
        <v>533223</v>
      </c>
      <c r="D38">
        <v>590890</v>
      </c>
    </row>
    <row r="39">
      <c r="A39" t="s">
        <v>321</v>
      </c>
      <c r="B39">
        <v>-27345</v>
      </c>
      <c r="C39">
        <v>52176</v>
      </c>
      <c r="D39">
        <v>8752</v>
      </c>
    </row>
    <row r="40">
      <c r="A40" t="s">
        <v>322</v>
      </c>
      <c r="B40">
        <v>479557</v>
      </c>
      <c r="C40">
        <v>481047</v>
      </c>
      <c r="D40">
        <v>582138</v>
      </c>
    </row>
    <row r="42">
      <c r="A42" t="s">
        <v>323</v>
      </c>
    </row>
    <row r="43">
      <c r="A43" t="s">
        <v>324</v>
      </c>
      <c r="B43">
        <v>473547</v>
      </c>
      <c r="C43">
        <v>473531</v>
      </c>
      <c r="D43">
        <v>574816</v>
      </c>
    </row>
    <row r="44">
      <c r="A44" t="s">
        <v>283</v>
      </c>
      <c r="B44">
        <v>6010</v>
      </c>
      <c r="C44">
        <v>7516</v>
      </c>
      <c r="D44">
        <v>7322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ColWidth="8.375" defaultRowHeight="15"/>
  <sheetData>
    <row r="1">
      <c r="A1" t="s">
        <v>325</v>
      </c>
    </row>
    <row r="2">
      <c r="A2" t="s">
        <v>287</v>
      </c>
    </row>
    <row r="4">
      <c r="A4" t="s">
        <v>231</v>
      </c>
      <c r="B4" t="s">
        <v>232</v>
      </c>
      <c r="C4" t="s">
        <v>233</v>
      </c>
      <c r="D4" t="s">
        <v>234</v>
      </c>
    </row>
    <row r="5">
      <c r="A5" t="s">
        <v>322</v>
      </c>
      <c r="B5">
        <v>479557</v>
      </c>
      <c r="C5">
        <v>481047</v>
      </c>
      <c r="D5">
        <v>582138</v>
      </c>
    </row>
    <row r="6">
      <c r="A6" t="s">
        <v>326</v>
      </c>
    </row>
    <row r="7">
      <c r="A7" t="s">
        <v>327</v>
      </c>
      <c r="B7">
        <v>-38230</v>
      </c>
      <c r="C7">
        <v>15084</v>
      </c>
      <c r="D7">
        <v>-14810</v>
      </c>
    </row>
    <row r="8">
      <c r="A8" t="s">
        <v>328</v>
      </c>
      <c r="B8">
        <v>-73047</v>
      </c>
      <c r="C8">
        <v>63506</v>
      </c>
      <c r="D8">
        <v>-84487</v>
      </c>
    </row>
    <row r="9">
      <c r="A9" t="s">
        <v>329</v>
      </c>
      <c r="B9">
        <v>73047</v>
      </c>
      <c r="C9">
        <v>-63506</v>
      </c>
      <c r="D9">
        <v>84487</v>
      </c>
    </row>
    <row r="10">
      <c r="A10" t="s">
        <v>330</v>
      </c>
      <c r="B10">
        <v>393581</v>
      </c>
      <c r="C10">
        <v>-67739</v>
      </c>
      <c r="D10">
        <v>-56146</v>
      </c>
    </row>
    <row r="11">
      <c r="A11" t="s">
        <v>331</v>
      </c>
      <c r="B11">
        <v>80</v>
      </c>
      <c r="C11">
        <v>1457</v>
      </c>
      <c r="D11">
        <v>2312</v>
      </c>
    </row>
    <row r="12">
      <c r="A12" t="s">
        <v>332</v>
      </c>
      <c r="B12">
        <v>21611</v>
      </c>
      <c r="C12">
        <v>14493</v>
      </c>
      <c r="D12">
        <v>3067</v>
      </c>
    </row>
    <row r="13">
      <c r="A13" t="s">
        <v>333</v>
      </c>
      <c r="B13">
        <v>-139430</v>
      </c>
      <c r="C13">
        <v>40545</v>
      </c>
      <c r="D13">
        <v>4598</v>
      </c>
    </row>
    <row r="14">
      <c r="A14" t="s">
        <v>334</v>
      </c>
      <c r="B14">
        <v>237612</v>
      </c>
      <c r="C14">
        <v>3840</v>
      </c>
      <c r="D14">
        <v>-60979</v>
      </c>
    </row>
    <row r="15">
      <c r="A15" t="s">
        <v>335</v>
      </c>
    </row>
    <row r="16">
      <c r="A16" t="s">
        <v>336</v>
      </c>
      <c r="B16">
        <v>-2376</v>
      </c>
      <c r="C16">
        <v>-199</v>
      </c>
    </row>
    <row r="17">
      <c r="A17" t="s">
        <v>337</v>
      </c>
      <c r="B17">
        <v>9263</v>
      </c>
      <c r="C17">
        <v>34857</v>
      </c>
      <c r="D17">
        <v>4015</v>
      </c>
    </row>
    <row r="18">
      <c r="A18" t="s">
        <v>338</v>
      </c>
      <c r="B18">
        <v>-4810</v>
      </c>
      <c r="C18">
        <v>2517</v>
      </c>
      <c r="D18">
        <v>57</v>
      </c>
    </row>
    <row r="19">
      <c r="A19" t="s">
        <v>339</v>
      </c>
      <c r="B19">
        <v>2152</v>
      </c>
      <c r="C19">
        <v>-6032</v>
      </c>
      <c r="D19">
        <v>-920</v>
      </c>
    </row>
    <row r="20">
      <c r="A20" t="s">
        <v>340</v>
      </c>
      <c r="B20">
        <v>4229</v>
      </c>
      <c r="C20">
        <v>31143</v>
      </c>
      <c r="D20">
        <v>3152</v>
      </c>
    </row>
    <row r="21">
      <c r="A21" t="s">
        <v>341</v>
      </c>
      <c r="B21">
        <v>241841</v>
      </c>
      <c r="C21">
        <v>34983</v>
      </c>
      <c r="D21">
        <v>-57827</v>
      </c>
    </row>
    <row r="22">
      <c r="A22" t="s">
        <v>342</v>
      </c>
      <c r="B22">
        <v>721398</v>
      </c>
      <c r="C22">
        <v>516030</v>
      </c>
      <c r="D22">
        <v>524310</v>
      </c>
    </row>
    <row r="24">
      <c r="A24" t="s">
        <v>343</v>
      </c>
    </row>
    <row r="25">
      <c r="A25" t="s">
        <v>324</v>
      </c>
      <c r="B25">
        <v>714834</v>
      </c>
      <c r="C25">
        <v>506633</v>
      </c>
      <c r="D25">
        <v>518165</v>
      </c>
    </row>
    <row r="26">
      <c r="A26" t="s">
        <v>283</v>
      </c>
      <c r="B26">
        <v>6563</v>
      </c>
      <c r="C26">
        <v>9397</v>
      </c>
      <c r="D26">
        <v>6145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ColWidth="8.375" defaultRowHeight="15"/>
  <sheetData>
    <row r="1">
      <c r="A1" t="s">
        <v>344</v>
      </c>
    </row>
    <row r="2">
      <c r="A2" t="s">
        <v>345</v>
      </c>
    </row>
    <row r="4">
      <c r="A4" t="s">
        <v>231</v>
      </c>
      <c r="B4" t="s">
        <v>232</v>
      </c>
      <c r="C4" t="s">
        <v>233</v>
      </c>
      <c r="D4" t="s">
        <v>234</v>
      </c>
    </row>
    <row r="5">
      <c r="A5" t="s">
        <v>346</v>
      </c>
    </row>
    <row r="6">
      <c r="A6" t="s">
        <v>347</v>
      </c>
      <c r="B6">
        <v>452212</v>
      </c>
      <c r="C6">
        <v>533223</v>
      </c>
      <c r="D6">
        <v>590890</v>
      </c>
    </row>
    <row r="7">
      <c r="A7" t="s">
        <v>303</v>
      </c>
      <c r="B7">
        <v>-2237405</v>
      </c>
      <c r="C7">
        <v>-2328160</v>
      </c>
      <c r="D7">
        <v>-2301181</v>
      </c>
    </row>
    <row r="8">
      <c r="A8" t="s">
        <v>348</v>
      </c>
      <c r="B8">
        <v>111082</v>
      </c>
      <c r="C8">
        <v>123280</v>
      </c>
      <c r="D8">
        <v>134575</v>
      </c>
    </row>
    <row r="9">
      <c r="A9" t="s">
        <v>349</v>
      </c>
      <c r="B9">
        <v>74763</v>
      </c>
      <c r="C9">
        <v>85548</v>
      </c>
      <c r="D9">
        <v>107102</v>
      </c>
    </row>
    <row r="10">
      <c r="A10" t="s">
        <v>350</v>
      </c>
      <c r="B10">
        <v>1384446</v>
      </c>
      <c r="C10">
        <v>1527221</v>
      </c>
      <c r="D10">
        <v>1401261</v>
      </c>
    </row>
    <row r="11">
      <c r="A11" t="s">
        <v>351</v>
      </c>
      <c r="B11">
        <v>-85</v>
      </c>
      <c r="C11">
        <v>-259</v>
      </c>
      <c r="D11">
        <v>-3</v>
      </c>
    </row>
    <row r="12">
      <c r="A12" t="s">
        <v>352</v>
      </c>
      <c r="B12">
        <v>-258</v>
      </c>
      <c r="C12">
        <v>169</v>
      </c>
      <c r="D12">
        <v>-1007</v>
      </c>
    </row>
    <row r="13">
      <c r="A13" t="s">
        <v>353</v>
      </c>
      <c r="B13">
        <v>53273</v>
      </c>
      <c r="C13">
        <v>-160521</v>
      </c>
      <c r="D13">
        <v>-43766</v>
      </c>
    </row>
    <row r="14">
      <c r="A14" t="s">
        <v>354</v>
      </c>
      <c r="B14">
        <v>-25437</v>
      </c>
      <c r="C14">
        <v>-3028</v>
      </c>
      <c r="D14">
        <v>-2569</v>
      </c>
    </row>
    <row r="15">
      <c r="A15" t="s">
        <v>355</v>
      </c>
      <c r="B15">
        <v>-2637</v>
      </c>
      <c r="C15">
        <v>-98</v>
      </c>
      <c r="D15">
        <v>-434</v>
      </c>
    </row>
    <row r="16">
      <c r="A16" t="s">
        <v>356</v>
      </c>
      <c r="B16">
        <v>-218882</v>
      </c>
      <c r="C16">
        <v>-230687</v>
      </c>
      <c r="D16">
        <v>-250881</v>
      </c>
    </row>
    <row r="17">
      <c r="A17" t="s">
        <v>357</v>
      </c>
      <c r="B17">
        <v>-5702</v>
      </c>
      <c r="C17">
        <v>-6388</v>
      </c>
      <c r="D17">
        <v>-7257</v>
      </c>
    </row>
    <row r="18">
      <c r="A18" t="s">
        <v>358</v>
      </c>
      <c r="B18">
        <v>-103456</v>
      </c>
      <c r="C18">
        <v>-340637</v>
      </c>
      <c r="D18">
        <v>-115056</v>
      </c>
    </row>
    <row r="19">
      <c r="A19" t="s">
        <v>359</v>
      </c>
      <c r="B19">
        <v>-19328</v>
      </c>
      <c r="C19">
        <v>-14200</v>
      </c>
      <c r="D19">
        <v>-35071</v>
      </c>
    </row>
    <row r="20">
      <c r="A20" t="s">
        <v>360</v>
      </c>
      <c r="B20">
        <v>-2149766</v>
      </c>
      <c r="C20">
        <v>-4977123</v>
      </c>
      <c r="D20">
        <v>-3564316</v>
      </c>
    </row>
    <row r="21">
      <c r="A21" t="s">
        <v>361</v>
      </c>
      <c r="B21">
        <v>-290709</v>
      </c>
      <c r="C21">
        <v>594752</v>
      </c>
      <c r="D21">
        <v>-208144</v>
      </c>
    </row>
    <row r="22">
      <c r="A22" t="s">
        <v>362</v>
      </c>
      <c r="B22">
        <v>-5737405</v>
      </c>
      <c r="C22">
        <v>-5074903</v>
      </c>
      <c r="D22">
        <v>-5206966</v>
      </c>
    </row>
    <row r="23">
      <c r="A23" t="s">
        <v>363</v>
      </c>
      <c r="B23">
        <v>-145546</v>
      </c>
      <c r="C23">
        <v>-82434</v>
      </c>
      <c r="D23">
        <v>-273174</v>
      </c>
    </row>
    <row r="24">
      <c r="A24" t="s">
        <v>364</v>
      </c>
      <c r="B24">
        <v>26449</v>
      </c>
      <c r="C24">
        <v>1318</v>
      </c>
      <c r="D24">
        <v>13667</v>
      </c>
    </row>
    <row r="25">
      <c r="A25" t="s">
        <v>365</v>
      </c>
      <c r="B25">
        <v>6953537</v>
      </c>
      <c r="C25">
        <v>4365419</v>
      </c>
      <c r="D25">
        <v>6470992</v>
      </c>
    </row>
    <row r="26">
      <c r="A26" t="s">
        <v>366</v>
      </c>
      <c r="C26">
        <v>24</v>
      </c>
      <c r="D26">
        <v>169</v>
      </c>
    </row>
    <row r="27">
      <c r="A27" t="s">
        <v>367</v>
      </c>
      <c r="B27">
        <v>2160444</v>
      </c>
      <c r="C27">
        <v>4286319</v>
      </c>
      <c r="D27">
        <v>3569612</v>
      </c>
    </row>
    <row r="28">
      <c r="A28" t="s">
        <v>368</v>
      </c>
      <c r="B28">
        <v>198599</v>
      </c>
      <c r="C28">
        <v>-189946</v>
      </c>
      <c r="D28">
        <v>250257</v>
      </c>
    </row>
    <row r="29">
      <c r="A29" t="s">
        <v>369</v>
      </c>
      <c r="B29">
        <v>-2571</v>
      </c>
      <c r="C29">
        <v>6687</v>
      </c>
      <c r="D29">
        <v>311</v>
      </c>
    </row>
    <row r="30">
      <c r="A30" t="s">
        <v>370</v>
      </c>
      <c r="B30">
        <v>6383490</v>
      </c>
      <c r="C30">
        <v>6964701</v>
      </c>
      <c r="D30">
        <v>6452259</v>
      </c>
    </row>
    <row r="31">
      <c r="A31" t="s">
        <v>371</v>
      </c>
      <c r="B31">
        <v>-5295413</v>
      </c>
      <c r="C31">
        <v>-5836335</v>
      </c>
      <c r="D31">
        <v>-4813377</v>
      </c>
    </row>
    <row r="32">
      <c r="A32" t="s">
        <v>372</v>
      </c>
      <c r="B32">
        <v>-29293</v>
      </c>
      <c r="C32">
        <v>-36204</v>
      </c>
      <c r="D32">
        <v>-28714</v>
      </c>
    </row>
    <row r="33">
      <c r="A33" t="s">
        <v>373</v>
      </c>
      <c r="B33">
        <v>-38048</v>
      </c>
      <c r="C33">
        <v>-17805</v>
      </c>
      <c r="D33">
        <v>-39978</v>
      </c>
    </row>
    <row r="34">
      <c r="A34" t="s">
        <v>374</v>
      </c>
      <c r="B34">
        <v>1496354</v>
      </c>
      <c r="C34">
        <v>-810067</v>
      </c>
      <c r="D34">
        <v>2099201</v>
      </c>
    </row>
    <row r="36">
      <c r="A36" t="s">
        <v>375</v>
      </c>
    </row>
    <row r="37">
      <c r="A37" t="s">
        <v>376</v>
      </c>
      <c r="B37">
        <v>-1970311</v>
      </c>
      <c r="C37">
        <v>-2080998</v>
      </c>
      <c r="D37">
        <v>-1323874</v>
      </c>
    </row>
    <row r="38">
      <c r="A38" t="s">
        <v>377</v>
      </c>
      <c r="B38">
        <v>1935253</v>
      </c>
      <c r="C38">
        <v>2162511</v>
      </c>
      <c r="D38">
        <v>2240741</v>
      </c>
    </row>
    <row r="39">
      <c r="A39" t="s">
        <v>378</v>
      </c>
      <c r="B39">
        <v>-2001896</v>
      </c>
      <c r="C39">
        <v>-4207438</v>
      </c>
      <c r="D39">
        <v>-4083478</v>
      </c>
    </row>
    <row r="40">
      <c r="A40" t="s">
        <v>379</v>
      </c>
      <c r="B40">
        <v>2184855</v>
      </c>
      <c r="C40">
        <v>3461505</v>
      </c>
      <c r="D40">
        <v>3306173</v>
      </c>
    </row>
    <row r="41">
      <c r="A41" t="s">
        <v>380</v>
      </c>
      <c r="B41">
        <v>-48031</v>
      </c>
      <c r="C41">
        <v>-55435</v>
      </c>
      <c r="D41">
        <v>-61861</v>
      </c>
    </row>
    <row r="42">
      <c r="A42" t="s">
        <v>381</v>
      </c>
      <c r="B42">
        <v>-135104</v>
      </c>
      <c r="C42">
        <v>-142238</v>
      </c>
      <c r="D42">
        <v>-168970</v>
      </c>
    </row>
    <row r="43">
      <c r="A43" t="s">
        <v>382</v>
      </c>
      <c r="B43">
        <v>53087</v>
      </c>
      <c r="C43">
        <v>34204</v>
      </c>
      <c r="D43">
        <v>148576</v>
      </c>
    </row>
    <row r="44">
      <c r="A44" t="s">
        <v>383</v>
      </c>
      <c r="B44">
        <v>5771</v>
      </c>
      <c r="C44">
        <v>5296</v>
      </c>
      <c r="D44">
        <v>14735</v>
      </c>
    </row>
    <row r="45">
      <c r="A45" t="s">
        <v>384</v>
      </c>
      <c r="D45">
        <v>-100</v>
      </c>
    </row>
    <row r="46">
      <c r="A46" t="s">
        <v>385</v>
      </c>
      <c r="B46">
        <v>109492</v>
      </c>
      <c r="C46">
        <v>99190</v>
      </c>
      <c r="D46">
        <v>114533</v>
      </c>
    </row>
    <row r="47">
      <c r="A47" t="s">
        <v>386</v>
      </c>
      <c r="B47">
        <v>133116</v>
      </c>
      <c r="C47">
        <v>-723403</v>
      </c>
      <c r="D47">
        <v>186475</v>
      </c>
    </row>
    <row r="49">
      <c r="A49" t="s">
        <v>387</v>
      </c>
    </row>
    <row r="50">
      <c r="A50" t="s">
        <v>388</v>
      </c>
      <c r="B50">
        <v>30730</v>
      </c>
      <c r="C50">
        <v>833006</v>
      </c>
      <c r="D50">
        <v>-677612</v>
      </c>
    </row>
    <row r="51">
      <c r="A51" t="s">
        <v>389</v>
      </c>
      <c r="C51">
        <v>660058</v>
      </c>
    </row>
    <row r="52">
      <c r="A52" t="s">
        <v>390</v>
      </c>
      <c r="B52">
        <v>-148040</v>
      </c>
      <c r="C52">
        <v>-277490</v>
      </c>
      <c r="D52">
        <v>-450000</v>
      </c>
    </row>
    <row r="53">
      <c r="A53" t="s">
        <v>391</v>
      </c>
      <c r="B53">
        <v>-73901</v>
      </c>
      <c r="C53">
        <v>-84915</v>
      </c>
      <c r="D53">
        <v>-100973</v>
      </c>
    </row>
    <row r="54">
      <c r="A54" t="s">
        <v>392</v>
      </c>
      <c r="B54">
        <v>-187341</v>
      </c>
      <c r="C54">
        <v>-162024</v>
      </c>
      <c r="D54">
        <v>-173739</v>
      </c>
    </row>
    <row r="55">
      <c r="A55" t="s">
        <v>393</v>
      </c>
      <c r="B55">
        <v>-39738</v>
      </c>
      <c r="C55">
        <v>-63019</v>
      </c>
      <c r="D55">
        <v>-69060</v>
      </c>
    </row>
    <row r="56">
      <c r="A56" t="s">
        <v>394</v>
      </c>
      <c r="B56">
        <v>-418290</v>
      </c>
      <c r="C56">
        <v>905616</v>
      </c>
      <c r="D56">
        <v>-1471384</v>
      </c>
    </row>
    <row r="58">
      <c r="A58" t="s">
        <v>395</v>
      </c>
      <c r="B58">
        <v>-120501</v>
      </c>
      <c r="C58">
        <v>287871</v>
      </c>
      <c r="D58">
        <v>571318</v>
      </c>
    </row>
    <row r="59">
      <c r="A59" t="s">
        <v>396</v>
      </c>
      <c r="B59">
        <v>1090679</v>
      </c>
      <c r="C59">
        <v>-339983</v>
      </c>
      <c r="D59">
        <v>1385610</v>
      </c>
    </row>
    <row r="60">
      <c r="A60" t="s">
        <v>397</v>
      </c>
      <c r="B60">
        <v>3878224</v>
      </c>
      <c r="C60">
        <v>4968903</v>
      </c>
      <c r="D60">
        <v>4628920</v>
      </c>
    </row>
    <row r="61">
      <c r="A61" t="s">
        <v>398</v>
      </c>
      <c r="B61">
        <v>4968903</v>
      </c>
      <c r="C61">
        <v>4628920</v>
      </c>
      <c r="D61">
        <v>6014530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ColWidth="8.375" defaultRowHeight="15"/>
  <sheetData>
    <row r="1">
      <c r="A1" t="s">
        <v>399</v>
      </c>
    </row>
    <row r="2">
      <c r="A2" t="s">
        <v>400</v>
      </c>
    </row>
    <row r="4">
      <c r="A4" t="s">
        <v>231</v>
      </c>
      <c r="B4" t="s">
        <v>232</v>
      </c>
      <c r="C4" t="s">
        <v>233</v>
      </c>
      <c r="D4" t="s">
        <v>234</v>
      </c>
    </row>
    <row r="5">
      <c r="A5" t="s">
        <v>401</v>
      </c>
    </row>
    <row r="6">
      <c r="A6" t="s">
        <v>402</v>
      </c>
      <c r="B6">
        <v>34426863</v>
      </c>
      <c r="C6">
        <v>37817965</v>
      </c>
      <c r="D6">
        <v>39589665</v>
      </c>
    </row>
    <row r="7">
      <c r="A7" t="s">
        <v>403</v>
      </c>
      <c r="B7">
        <v>12462019</v>
      </c>
      <c r="C7">
        <v>13176358</v>
      </c>
      <c r="D7">
        <v>13286359</v>
      </c>
    </row>
    <row r="8">
      <c r="A8" t="s">
        <v>404</v>
      </c>
      <c r="B8">
        <v>2610153</v>
      </c>
      <c r="C8">
        <v>3096800</v>
      </c>
      <c r="D8">
        <v>3863730</v>
      </c>
    </row>
    <row r="9">
      <c r="A9" t="s">
        <v>405</v>
      </c>
      <c r="B9">
        <v>49499035</v>
      </c>
      <c r="C9">
        <v>54091123</v>
      </c>
      <c r="D9">
        <v>56739754</v>
      </c>
    </row>
    <row r="11">
      <c r="A11" t="s">
        <v>406</v>
      </c>
    </row>
    <row r="12">
      <c r="A12" t="s">
        <v>407</v>
      </c>
      <c r="B12">
        <v>-1311753</v>
      </c>
      <c r="C12">
        <v>-1459791</v>
      </c>
      <c r="D12">
        <v>-1230697</v>
      </c>
    </row>
    <row r="13">
      <c r="A13" t="s">
        <v>408</v>
      </c>
      <c r="B13">
        <v>-1033280</v>
      </c>
      <c r="C13">
        <v>-998522</v>
      </c>
      <c r="D13">
        <v>-887844</v>
      </c>
    </row>
    <row r="14">
      <c r="A14" t="s">
        <v>409</v>
      </c>
      <c r="B14">
        <v>-71887</v>
      </c>
      <c r="C14">
        <v>-88651</v>
      </c>
      <c r="D14">
        <v>-116814</v>
      </c>
    </row>
    <row r="15">
      <c r="A15" t="s">
        <v>410</v>
      </c>
      <c r="B15">
        <v>-2416920</v>
      </c>
      <c r="C15">
        <v>-2546964</v>
      </c>
      <c r="D15">
        <v>-2235355</v>
      </c>
    </row>
    <row r="16">
      <c r="A16" t="s">
        <v>411</v>
      </c>
      <c r="B16">
        <v>47082115</v>
      </c>
      <c r="C16">
        <v>51544159</v>
      </c>
      <c r="D16">
        <v>54504399</v>
      </c>
    </row>
    <row r="18">
      <c r="A18" t="s">
        <v>412</v>
      </c>
    </row>
    <row r="19">
      <c r="A19" t="s">
        <v>413</v>
      </c>
      <c r="B19">
        <f>B6/B9</f>
        <v>0.6955057406674696</v>
      </c>
      <c r="C19">
        <f>C6/C9</f>
        <v>0.6991528905768882</v>
      </c>
      <c r="D19">
        <f>D6/D9</f>
        <v>0.6977412168547646</v>
      </c>
    </row>
    <row r="20">
      <c r="A20" t="s">
        <v>414</v>
      </c>
      <c r="B20">
        <f>B7/B9</f>
        <v>0.2517628677003501</v>
      </c>
      <c r="C20">
        <f>C7/C9</f>
        <v>0.2435955711254137</v>
      </c>
      <c r="D20">
        <f>D7/D9</f>
        <v>0.23416314071435698</v>
      </c>
    </row>
    <row r="21">
      <c r="A21" t="s">
        <v>415</v>
      </c>
      <c r="B21">
        <f>B8/B9</f>
        <v>0.052731391632180304</v>
      </c>
      <c r="C21">
        <f>C8/C9</f>
        <v>0.05725153829769813</v>
      </c>
      <c r="D21">
        <f>D8/D9</f>
        <v>0.06809564243087836</v>
      </c>
    </row>
    <row r="22">
      <c r="A22" t="s">
        <v>416</v>
      </c>
      <c r="C22">
        <f>C9/B9-1</f>
        <v>0.0927712631165436</v>
      </c>
      <c r="D22">
        <f>D9/C9-1</f>
        <v>0.04896609375257377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ColWidth="8.375" defaultRowHeight="15"/>
  <sheetData>
    <row r="1">
      <c r="A1" t="s">
        <v>417</v>
      </c>
    </row>
    <row r="2">
      <c r="A2" t="s">
        <v>400</v>
      </c>
    </row>
    <row r="4">
      <c r="A4" t="s">
        <v>231</v>
      </c>
      <c r="B4" t="s">
        <v>232</v>
      </c>
      <c r="C4" t="s">
        <v>233</v>
      </c>
      <c r="D4" t="s">
        <v>234</v>
      </c>
    </row>
    <row r="5">
      <c r="A5" t="s">
        <v>418</v>
      </c>
    </row>
    <row r="6">
      <c r="A6" t="s">
        <v>419</v>
      </c>
      <c r="B6">
        <v>7092625</v>
      </c>
      <c r="C6">
        <v>7389155</v>
      </c>
      <c r="D6">
        <v>7606030</v>
      </c>
    </row>
    <row r="7">
      <c r="A7" t="s">
        <v>420</v>
      </c>
      <c r="B7">
        <v>24153811</v>
      </c>
      <c r="C7">
        <v>28221791</v>
      </c>
      <c r="D7">
        <v>31112717</v>
      </c>
    </row>
    <row r="8">
      <c r="A8" t="s">
        <v>421</v>
      </c>
      <c r="B8">
        <v>17866450</v>
      </c>
      <c r="C8">
        <v>17917502</v>
      </c>
      <c r="D8">
        <v>20416158</v>
      </c>
    </row>
    <row r="9">
      <c r="A9" t="s">
        <v>422</v>
      </c>
      <c r="B9">
        <v>62846</v>
      </c>
      <c r="C9">
        <v>65375</v>
      </c>
      <c r="D9">
        <v>72267</v>
      </c>
    </row>
    <row r="10">
      <c r="A10" t="s">
        <v>423</v>
      </c>
      <c r="B10">
        <v>49175732</v>
      </c>
      <c r="C10">
        <v>53593823</v>
      </c>
      <c r="D10">
        <v>59207172</v>
      </c>
    </row>
    <row r="12">
      <c r="A12" t="s">
        <v>424</v>
      </c>
    </row>
    <row r="13">
      <c r="A13" t="s">
        <v>425</v>
      </c>
      <c r="B13">
        <v>4403111</v>
      </c>
      <c r="C13">
        <v>8636674</v>
      </c>
      <c r="D13">
        <v>12281785</v>
      </c>
    </row>
    <row r="14">
      <c r="A14" t="s">
        <v>426</v>
      </c>
      <c r="B14">
        <v>3185957</v>
      </c>
      <c r="C14">
        <v>4480586</v>
      </c>
      <c r="D14">
        <v>3824902</v>
      </c>
    </row>
    <row r="15">
      <c r="A15" t="s">
        <v>427</v>
      </c>
      <c r="B15">
        <v>2171345</v>
      </c>
      <c r="C15">
        <v>2670197</v>
      </c>
      <c r="D15">
        <v>2097440</v>
      </c>
    </row>
    <row r="16">
      <c r="A16" t="s">
        <v>428</v>
      </c>
      <c r="B16">
        <v>1088189</v>
      </c>
      <c r="C16">
        <v>1062182</v>
      </c>
      <c r="D16">
        <v>1061583</v>
      </c>
    </row>
    <row r="17">
      <c r="A17" t="s">
        <v>429</v>
      </c>
      <c r="B17">
        <v>10848602</v>
      </c>
      <c r="C17">
        <v>16849639</v>
      </c>
      <c r="D17">
        <v>19265710</v>
      </c>
    </row>
    <row r="19">
      <c r="A19" t="s">
        <v>430</v>
      </c>
      <c r="B19">
        <f>B10+B17</f>
        <v>60024334</v>
      </c>
      <c r="C19">
        <f>C10+C17</f>
        <v>70443462</v>
      </c>
      <c r="D19">
        <f>D10+D17</f>
        <v>78472882</v>
      </c>
    </row>
    <row r="20">
      <c r="A20" t="s">
        <v>431</v>
      </c>
      <c r="B20">
        <f>B10/B19</f>
        <v>0.8192632674608268</v>
      </c>
      <c r="C20">
        <f>C10/C19</f>
        <v>0.760806205123763</v>
      </c>
      <c r="D20">
        <f>D10/D19</f>
        <v>0.7544921314346528</v>
      </c>
    </row>
    <row r="21">
      <c r="A21" t="s">
        <v>432</v>
      </c>
      <c r="B21">
        <f>(B6+B7)/B10</f>
        <v>0.6354035767073076</v>
      </c>
      <c r="C21">
        <f>(C6+C7)/C10</f>
        <v>0.6644598949397582</v>
      </c>
      <c r="D21">
        <f>(D6+D7)/D10</f>
        <v>0.653953662910973</v>
      </c>
    </row>
    <row r="22">
      <c r="A22" t="s">
        <v>433</v>
      </c>
      <c r="C22">
        <f>C10/B10-1</f>
        <v>0.08984291276030221</v>
      </c>
      <c r="D22">
        <f>D10/C10-1</f>
        <v>0.10473873080485419</v>
      </c>
    </row>
    <row r="24">
      <c r="A24" t="s">
        <v>434</v>
      </c>
    </row>
    <row r="25">
      <c r="A25" t="s">
        <v>435</v>
      </c>
      <c r="B25">
        <v>60024334</v>
      </c>
      <c r="C25">
        <v>70443462</v>
      </c>
      <c r="D25">
        <v>78472882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ColWidth="8.375" defaultRowHeight="15"/>
  <sheetData>
    <row r="1">
      <c r="A1" t="s">
        <v>436</v>
      </c>
    </row>
    <row r="2">
      <c r="A2" t="s">
        <v>400</v>
      </c>
    </row>
    <row r="4">
      <c r="A4" t="s">
        <v>231</v>
      </c>
      <c r="B4" t="s">
        <v>232</v>
      </c>
      <c r="C4" t="s">
        <v>233</v>
      </c>
      <c r="D4" t="s">
        <v>234</v>
      </c>
    </row>
    <row r="5">
      <c r="A5" t="s">
        <v>437</v>
      </c>
    </row>
    <row r="6">
      <c r="A6" t="s">
        <v>438</v>
      </c>
      <c r="B6">
        <v>4851231</v>
      </c>
      <c r="C6">
        <v>4578841</v>
      </c>
      <c r="D6">
        <v>4012015</v>
      </c>
    </row>
    <row r="7">
      <c r="A7" t="s">
        <v>439</v>
      </c>
      <c r="B7">
        <v>1921271</v>
      </c>
      <c r="C7">
        <v>1975581</v>
      </c>
      <c r="D7">
        <v>1908993</v>
      </c>
    </row>
    <row r="8">
      <c r="A8" t="s">
        <v>440</v>
      </c>
      <c r="B8">
        <v>248787</v>
      </c>
      <c r="C8">
        <v>311362</v>
      </c>
      <c r="D8">
        <v>376457</v>
      </c>
    </row>
    <row r="9">
      <c r="A9" t="s">
        <v>441</v>
      </c>
      <c r="B9">
        <v>192719</v>
      </c>
      <c r="C9">
        <v>143703</v>
      </c>
      <c r="D9">
        <v>40158</v>
      </c>
    </row>
    <row r="10">
      <c r="A10" t="s">
        <v>442</v>
      </c>
      <c r="B10">
        <v>35306</v>
      </c>
      <c r="C10">
        <v>34214</v>
      </c>
      <c r="D10">
        <v>102648</v>
      </c>
    </row>
    <row r="11">
      <c r="A11" t="s">
        <v>443</v>
      </c>
      <c r="B11">
        <v>1211</v>
      </c>
      <c r="C11">
        <v>6385</v>
      </c>
      <c r="D11">
        <v>4443</v>
      </c>
    </row>
    <row r="12">
      <c r="A12" t="s">
        <v>444</v>
      </c>
      <c r="B12">
        <v>482233</v>
      </c>
      <c r="C12">
        <v>524015</v>
      </c>
      <c r="D12">
        <v>643835</v>
      </c>
    </row>
    <row r="13">
      <c r="A13" t="s">
        <v>445</v>
      </c>
      <c r="B13">
        <v>7732758</v>
      </c>
      <c r="C13">
        <v>7574101</v>
      </c>
      <c r="D13">
        <v>7088549</v>
      </c>
    </row>
    <row r="15">
      <c r="A15" t="s">
        <v>446</v>
      </c>
    </row>
    <row r="16">
      <c r="A16" t="s">
        <v>447</v>
      </c>
      <c r="B16">
        <v>41408</v>
      </c>
      <c r="C16">
        <v>44781</v>
      </c>
      <c r="D16">
        <v>50410</v>
      </c>
    </row>
    <row r="17">
      <c r="A17" t="s">
        <v>448</v>
      </c>
      <c r="B17">
        <v>2230879</v>
      </c>
      <c r="C17">
        <v>2204667</v>
      </c>
      <c r="D17">
        <v>1816585</v>
      </c>
    </row>
    <row r="18">
      <c r="A18" t="s">
        <v>449</v>
      </c>
      <c r="B18">
        <v>2074357</v>
      </c>
      <c r="C18">
        <v>1777487</v>
      </c>
      <c r="D18">
        <v>1606372</v>
      </c>
    </row>
    <row r="19">
      <c r="A19" t="s">
        <v>450</v>
      </c>
      <c r="B19">
        <v>431210</v>
      </c>
      <c r="C19">
        <v>559139</v>
      </c>
      <c r="D19">
        <v>764707</v>
      </c>
    </row>
    <row r="20">
      <c r="A20" t="s">
        <v>451</v>
      </c>
      <c r="B20">
        <v>251754</v>
      </c>
      <c r="C20">
        <v>271468</v>
      </c>
      <c r="D20">
        <v>232508</v>
      </c>
    </row>
    <row r="21">
      <c r="A21" t="s">
        <v>452</v>
      </c>
      <c r="B21">
        <v>335437</v>
      </c>
      <c r="C21">
        <v>276866</v>
      </c>
      <c r="D21">
        <v>226332</v>
      </c>
    </row>
    <row r="22">
      <c r="A22" t="s">
        <v>453</v>
      </c>
      <c r="B22">
        <v>130308</v>
      </c>
      <c r="C22">
        <v>111533</v>
      </c>
      <c r="D22">
        <v>90454</v>
      </c>
    </row>
    <row r="23">
      <c r="A23" t="s">
        <v>454</v>
      </c>
      <c r="B23">
        <v>5495353</v>
      </c>
      <c r="C23">
        <v>5245941</v>
      </c>
      <c r="D23">
        <v>4787368</v>
      </c>
    </row>
    <row r="25">
      <c r="A25" t="s">
        <v>455</v>
      </c>
      <c r="B25">
        <v>2237405</v>
      </c>
      <c r="C25">
        <v>2328160</v>
      </c>
      <c r="D25">
        <v>2301181</v>
      </c>
    </row>
    <row r="27">
      <c r="A27" t="s">
        <v>456</v>
      </c>
    </row>
    <row r="28">
      <c r="A28" t="s">
        <v>457</v>
      </c>
      <c r="B28">
        <v>49499035</v>
      </c>
      <c r="C28">
        <v>54091123</v>
      </c>
      <c r="D28">
        <v>56739754</v>
      </c>
    </row>
    <row r="29">
      <c r="A29" t="s">
        <v>458</v>
      </c>
      <c r="B29">
        <v>9959836</v>
      </c>
      <c r="C29">
        <v>16154253</v>
      </c>
      <c r="D29">
        <v>19819967</v>
      </c>
    </row>
    <row r="30">
      <c r="A30" t="s">
        <v>459</v>
      </c>
      <c r="B30">
        <v>59458871</v>
      </c>
      <c r="C30">
        <v>70245376</v>
      </c>
      <c r="D30">
        <v>76559721</v>
      </c>
    </row>
    <row r="31">
      <c r="A31" t="s">
        <v>460</v>
      </c>
      <c r="B31">
        <f>B30</f>
        <v>59458871</v>
      </c>
      <c r="C31">
        <f>AVERAGE(B30,C30)</f>
        <v>64852123.5</v>
      </c>
      <c r="D31">
        <f>AVERAGE(C30,D30)</f>
        <v>73402548.5</v>
      </c>
    </row>
    <row r="33">
      <c r="A33" t="s">
        <v>461</v>
      </c>
      <c r="B33">
        <f>B25/B31</f>
        <v>0.03762945650279838</v>
      </c>
      <c r="C33">
        <f>C25/C31</f>
        <v>0.03589951838662615</v>
      </c>
      <c r="D33">
        <f>D25/D31</f>
        <v>0.031350151282553904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ColWidth="8.375" defaultRowHeight="15"/>
  <sheetData>
    <row r="1">
      <c r="A1" t="s">
        <v>462</v>
      </c>
    </row>
    <row r="2">
      <c r="A2" t="s">
        <v>463</v>
      </c>
    </row>
    <row r="4">
      <c r="A4" t="s">
        <v>231</v>
      </c>
      <c r="B4" t="s">
        <v>232</v>
      </c>
      <c r="C4" t="s">
        <v>233</v>
      </c>
      <c r="D4" t="s">
        <v>234</v>
      </c>
    </row>
    <row r="5">
      <c r="A5" t="s">
        <v>464</v>
      </c>
    </row>
    <row r="6">
      <c r="A6" t="s">
        <v>405</v>
      </c>
      <c r="B6">
        <v>49499035</v>
      </c>
      <c r="C6">
        <v>54091123</v>
      </c>
      <c r="D6">
        <v>56739754</v>
      </c>
    </row>
    <row r="7">
      <c r="A7" t="s">
        <v>465</v>
      </c>
      <c r="B7">
        <v>2416920</v>
      </c>
      <c r="C7">
        <v>2546964</v>
      </c>
      <c r="D7">
        <v>2235355</v>
      </c>
    </row>
    <row r="8">
      <c r="A8" t="s">
        <v>466</v>
      </c>
      <c r="B8">
        <f>B7/B6</f>
        <v>0.04882761855862443</v>
      </c>
      <c r="C8">
        <f>C7/C6</f>
        <v>0.04708654320229218</v>
      </c>
      <c r="D8">
        <f>D7/D6</f>
        <v>0.03939662833222717</v>
      </c>
    </row>
    <row r="10">
      <c r="A10" t="s">
        <v>467</v>
      </c>
    </row>
    <row r="11">
      <c r="A11" t="s">
        <v>468</v>
      </c>
      <c r="B11">
        <v>1384446</v>
      </c>
      <c r="C11">
        <v>1527221</v>
      </c>
      <c r="D11">
        <v>1401261</v>
      </c>
    </row>
    <row r="12">
      <c r="A12" t="s">
        <v>469</v>
      </c>
      <c r="B12">
        <v>-189298</v>
      </c>
      <c r="C12">
        <v>-174145</v>
      </c>
      <c r="D12">
        <v>-189569</v>
      </c>
    </row>
    <row r="13">
      <c r="A13" t="s">
        <v>470</v>
      </c>
      <c r="B13">
        <f>B11+B12</f>
        <v>1195148</v>
      </c>
      <c r="C13">
        <f>C11+C12</f>
        <v>1353076</v>
      </c>
      <c r="D13">
        <f>D11+D12</f>
        <v>1211692</v>
      </c>
    </row>
    <row r="14">
      <c r="A14" t="s">
        <v>471</v>
      </c>
      <c r="B14">
        <f>B13/B6</f>
        <v>0.024144874743517727</v>
      </c>
      <c r="C14">
        <f>C13/C6</f>
        <v>0.025014751496285258</v>
      </c>
      <c r="D14">
        <f>D13/D6</f>
        <v>0.0213552564926524</v>
      </c>
    </row>
    <row r="16">
      <c r="A16" t="s">
        <v>472</v>
      </c>
    </row>
    <row r="17">
      <c r="A17" t="s">
        <v>473</v>
      </c>
      <c r="B17">
        <v>1916696</v>
      </c>
      <c r="C17">
        <v>2414600</v>
      </c>
      <c r="D17">
        <v>2151097</v>
      </c>
    </row>
    <row r="18">
      <c r="A18" t="s">
        <v>474</v>
      </c>
      <c r="B18">
        <v>671207</v>
      </c>
      <c r="C18">
        <v>815973</v>
      </c>
      <c r="D18">
        <v>598061</v>
      </c>
    </row>
    <row r="19">
      <c r="A19" t="s">
        <v>475</v>
      </c>
      <c r="B19">
        <v>357401</v>
      </c>
      <c r="C19">
        <v>384963</v>
      </c>
      <c r="D19">
        <v>259464</v>
      </c>
    </row>
    <row r="20">
      <c r="A20" t="s">
        <v>476</v>
      </c>
      <c r="B20">
        <f>B17/B6</f>
        <v>0.03872188619434702</v>
      </c>
      <c r="C20">
        <f>C17/C6</f>
        <v>0.04463948733325429</v>
      </c>
      <c r="D20">
        <f>D17/D6</f>
        <v>0.03791163775577878</v>
      </c>
    </row>
    <row r="21">
      <c r="A21" t="s">
        <v>477</v>
      </c>
      <c r="B21">
        <f>B18/B17</f>
        <v>0.3501895970983401</v>
      </c>
      <c r="C21">
        <f>C18/C17</f>
        <v>0.3379329909715895</v>
      </c>
      <c r="D21">
        <f>D18/D17</f>
        <v>0.2780260490345159</v>
      </c>
    </row>
    <row r="23">
      <c r="A23" t="s">
        <v>478</v>
      </c>
    </row>
    <row r="24">
      <c r="A24" t="s">
        <v>407</v>
      </c>
      <c r="B24">
        <v>-1311753</v>
      </c>
      <c r="C24">
        <v>-1459791</v>
      </c>
      <c r="D24">
        <v>-1230697</v>
      </c>
    </row>
    <row r="25">
      <c r="A25" t="s">
        <v>408</v>
      </c>
      <c r="B25">
        <v>-1033280</v>
      </c>
      <c r="C25">
        <v>-998522</v>
      </c>
      <c r="D25">
        <v>-887844</v>
      </c>
    </row>
    <row r="26">
      <c r="A26" t="s">
        <v>409</v>
      </c>
      <c r="B26">
        <v>-71887</v>
      </c>
      <c r="C26">
        <v>-88651</v>
      </c>
      <c r="D26">
        <v>-116814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ColWidth="8.375" defaultRowHeight="15"/>
  <sheetData>
    <row r="1">
      <c r="A1" t="s">
        <v>479</v>
      </c>
    </row>
    <row r="2">
      <c r="A2" t="s">
        <v>480</v>
      </c>
    </row>
    <row r="4">
      <c r="A4" t="s">
        <v>231</v>
      </c>
      <c r="B4" t="s">
        <v>232</v>
      </c>
      <c r="C4" t="s">
        <v>233</v>
      </c>
      <c r="D4" t="s">
        <v>234</v>
      </c>
    </row>
    <row r="5">
      <c r="A5" t="s">
        <v>481</v>
      </c>
    </row>
    <row r="6">
      <c r="A6" t="s">
        <v>278</v>
      </c>
      <c r="B6">
        <v>4677</v>
      </c>
      <c r="C6">
        <v>4677</v>
      </c>
      <c r="D6">
        <v>4677</v>
      </c>
    </row>
    <row r="7">
      <c r="A7" t="s">
        <v>482</v>
      </c>
      <c r="B7">
        <v>4996111</v>
      </c>
      <c r="C7">
        <v>5253452</v>
      </c>
      <c r="D7">
        <v>5477955</v>
      </c>
    </row>
    <row r="8">
      <c r="A8" t="s">
        <v>483</v>
      </c>
      <c r="B8">
        <v>176033</v>
      </c>
      <c r="C8">
        <v>209136</v>
      </c>
      <c r="D8">
        <v>152485</v>
      </c>
    </row>
    <row r="9">
      <c r="A9" t="s">
        <v>484</v>
      </c>
      <c r="B9">
        <v>473554</v>
      </c>
      <c r="C9">
        <v>473554</v>
      </c>
      <c r="D9">
        <v>574590</v>
      </c>
    </row>
    <row r="10">
      <c r="A10" t="s">
        <v>485</v>
      </c>
      <c r="B10">
        <v>11843</v>
      </c>
      <c r="C10">
        <v>16902</v>
      </c>
      <c r="D10">
        <v>19155</v>
      </c>
    </row>
    <row r="11">
      <c r="A11" t="s">
        <v>486</v>
      </c>
      <c r="B11">
        <v>-594581</v>
      </c>
      <c r="C11">
        <v>-651630</v>
      </c>
      <c r="D11">
        <v>-726124</v>
      </c>
    </row>
    <row r="12">
      <c r="A12" t="s">
        <v>487</v>
      </c>
      <c r="B12">
        <v>-2867</v>
      </c>
      <c r="C12">
        <v>-2743</v>
      </c>
      <c r="D12">
        <v>-2747</v>
      </c>
    </row>
    <row r="13">
      <c r="A13" t="s">
        <v>488</v>
      </c>
      <c r="B13">
        <v>5064770</v>
      </c>
      <c r="C13">
        <v>5303348</v>
      </c>
      <c r="D13">
        <v>5499992</v>
      </c>
    </row>
    <row r="14">
      <c r="A14" t="s">
        <v>489</v>
      </c>
      <c r="B14">
        <v>5064770</v>
      </c>
      <c r="C14">
        <v>5303348</v>
      </c>
      <c r="D14">
        <v>5499992</v>
      </c>
    </row>
    <row r="15">
      <c r="A15" t="s">
        <v>490</v>
      </c>
      <c r="B15">
        <v>649305</v>
      </c>
      <c r="C15">
        <v>1357700</v>
      </c>
      <c r="D15">
        <v>1075171</v>
      </c>
    </row>
    <row r="16">
      <c r="A16" t="s">
        <v>491</v>
      </c>
      <c r="B16">
        <v>5714075</v>
      </c>
      <c r="C16">
        <v>6661048</v>
      </c>
      <c r="D16">
        <v>6575163</v>
      </c>
    </row>
    <row r="18">
      <c r="A18" t="s">
        <v>492</v>
      </c>
    </row>
    <row r="19">
      <c r="A19" t="s">
        <v>493</v>
      </c>
      <c r="B19">
        <v>41324390</v>
      </c>
      <c r="C19">
        <v>44446464</v>
      </c>
      <c r="D19">
        <v>45511052</v>
      </c>
    </row>
    <row r="20">
      <c r="A20" t="s">
        <v>494</v>
      </c>
      <c r="B20">
        <v>2426178</v>
      </c>
      <c r="C20">
        <v>4244121</v>
      </c>
      <c r="D20">
        <v>1694611</v>
      </c>
    </row>
    <row r="21">
      <c r="A21" t="s">
        <v>495</v>
      </c>
      <c r="B21">
        <v>2624878</v>
      </c>
      <c r="C21">
        <v>3150725</v>
      </c>
      <c r="D21">
        <v>3745856</v>
      </c>
    </row>
    <row r="22">
      <c r="A22" t="s">
        <v>496</v>
      </c>
      <c r="B22">
        <v>46375446</v>
      </c>
      <c r="C22">
        <v>51841310</v>
      </c>
      <c r="D22">
        <v>50951519</v>
      </c>
    </row>
    <row r="24">
      <c r="A24" t="s">
        <v>497</v>
      </c>
    </row>
    <row r="25">
      <c r="A25" t="s">
        <v>498</v>
      </c>
      <c r="B25">
        <v>0.1092</v>
      </c>
      <c r="C25">
        <v>0.1023</v>
      </c>
      <c r="D25">
        <v>0.1079</v>
      </c>
    </row>
    <row r="26">
      <c r="A26" t="s">
        <v>499</v>
      </c>
      <c r="B26">
        <v>0.1092</v>
      </c>
      <c r="C26">
        <v>0.1023</v>
      </c>
      <c r="D26">
        <v>0.1079</v>
      </c>
    </row>
    <row r="27">
      <c r="A27" t="s">
        <v>500</v>
      </c>
      <c r="B27">
        <v>0.014</v>
      </c>
      <c r="C27">
        <v>0.0262</v>
      </c>
      <c r="D27">
        <v>0.0211</v>
      </c>
    </row>
    <row r="28">
      <c r="A28" t="s">
        <v>501</v>
      </c>
      <c r="B28">
        <v>0.1232</v>
      </c>
      <c r="C28">
        <v>0.1285</v>
      </c>
      <c r="D28">
        <v>0.129</v>
      </c>
    </row>
    <row r="29">
      <c r="A29" t="s">
        <v>502</v>
      </c>
      <c r="B29">
        <v>70759147</v>
      </c>
      <c r="C29">
        <v>81253921</v>
      </c>
      <c r="D29">
        <v>87702312</v>
      </c>
    </row>
    <row r="30">
      <c r="A30" t="s">
        <v>503</v>
      </c>
      <c r="B30">
        <v>0.0716</v>
      </c>
      <c r="C30">
        <v>0.0653</v>
      </c>
      <c r="D30">
        <v>0.0627</v>
      </c>
    </row>
    <row r="32">
      <c r="A32" t="s">
        <v>504</v>
      </c>
      <c r="B32">
        <v>0.09</v>
      </c>
      <c r="C32">
        <v>0.09</v>
      </c>
      <c r="D32">
        <v>0.09</v>
      </c>
    </row>
    <row r="33">
      <c r="A33" t="s">
        <v>505</v>
      </c>
      <c r="B33">
        <v>0.015</v>
      </c>
      <c r="C33">
        <v>0.015</v>
      </c>
      <c r="D33">
        <v>0.015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ColWidth="8.375" defaultRowHeight="15"/>
  <sheetData>
    <row r="1">
      <c r="A1" t="s">
        <v>506</v>
      </c>
    </row>
    <row r="2">
      <c r="A2" t="s">
        <v>507</v>
      </c>
      <c r="B2" t="str">
        <f>IF(COUNTIF(G5:G31,"FAIL")=0,"OK — ALL TIE-OUTS PASS","FAIL")</f>
        <v>OK — ALL TIE-OUTS PASS</v>
      </c>
    </row>
    <row r="4">
      <c r="A4" t="s">
        <v>161</v>
      </c>
      <c r="B4" t="s">
        <v>232</v>
      </c>
      <c r="C4" t="s">
        <v>233</v>
      </c>
      <c r="D4" t="s">
        <v>234</v>
      </c>
      <c r="G4" t="s">
        <v>32</v>
      </c>
    </row>
    <row r="5">
      <c r="A5" t="s">
        <v>508</v>
      </c>
      <c r="B5">
        <f>BS_Hist!B6+BS_Hist!B7+BS_Hist!B11+BS_Hist!B14+N(BS_Hist!B15)+BS_Hist!B21+BS_Hist!B22+N(BS_Hist!B23)+BS_Hist!B24+BS_Hist!B25+BS_Hist!B26+BS_Hist!B27+BS_Hist!B28-BS_Hist!B29</f>
        <v>0</v>
      </c>
      <c r="C5">
        <f>BS_Hist!C6+BS_Hist!C7+BS_Hist!C11+BS_Hist!C14+N(BS_Hist!C15)+BS_Hist!C21+BS_Hist!C22+N(BS_Hist!C23)+BS_Hist!C24+BS_Hist!C25+BS_Hist!C26+BS_Hist!C27+BS_Hist!C28-BS_Hist!C29</f>
        <v>0</v>
      </c>
      <c r="D5">
        <f>BS_Hist!D6+BS_Hist!D7+BS_Hist!D11+BS_Hist!D14+N(BS_Hist!D15)+BS_Hist!D21+BS_Hist!D22+N(BS_Hist!D23)+BS_Hist!D24+BS_Hist!D25+BS_Hist!D26+BS_Hist!D27+BS_Hist!D28-BS_Hist!D29</f>
        <v>0</v>
      </c>
      <c r="G5" t="str">
        <f>IF(AND(ABS(N(B5))&lt;=1,ABS(N(C5))&lt;=1,ABS(N(D5))&lt;=1),"PASS","FAIL")</f>
        <v>PASS</v>
      </c>
    </row>
    <row r="6">
      <c r="A6" t="s">
        <v>509</v>
      </c>
      <c r="B6">
        <f>BS_Hist!B16+BS_Hist!B20-BS_Hist!B21</f>
        <v>0</v>
      </c>
      <c r="C6">
        <f>BS_Hist!C16+BS_Hist!C20-BS_Hist!C21</f>
        <v>0</v>
      </c>
      <c r="D6">
        <f>BS_Hist!D16+BS_Hist!D20-BS_Hist!D21</f>
        <v>0</v>
      </c>
      <c r="G6" t="str">
        <f>IF(AND(ABS(N(B6))&lt;=1,ABS(N(C6))&lt;=1,ABS(N(D6))&lt;=1),"PASS","FAIL")</f>
        <v>PASS</v>
      </c>
    </row>
    <row r="7">
      <c r="A7" t="s">
        <v>510</v>
      </c>
      <c r="B7">
        <f>BS_Hist!B17+BS_Hist!B18+BS_Hist!B19-BS_Hist!B16</f>
        <v>0</v>
      </c>
      <c r="C7">
        <f>BS_Hist!C17+BS_Hist!C18+BS_Hist!C19-BS_Hist!C16</f>
        <v>0</v>
      </c>
      <c r="D7">
        <f>BS_Hist!D17+BS_Hist!D18+BS_Hist!D19-BS_Hist!D16</f>
        <v>0</v>
      </c>
      <c r="G7" t="str">
        <f>IF(AND(ABS(N(B7))&lt;=1,ABS(N(C7))&lt;=1,ABS(N(D7))&lt;=1),"PASS","FAIL")</f>
        <v>PASS</v>
      </c>
    </row>
    <row r="8">
      <c r="A8" t="s">
        <v>511</v>
      </c>
      <c r="B8">
        <f>BS_Hist!B32+BS_Hist!B33+BS_Hist!B38+BS_Hist!B43+N(BS_Hist!B44)+BS_Hist!B45+BS_Hist!B46-BS_Hist!B47</f>
        <v>0</v>
      </c>
      <c r="C8">
        <f>BS_Hist!C32+BS_Hist!C33+BS_Hist!C38+BS_Hist!C43+N(BS_Hist!C44)+BS_Hist!C45+BS_Hist!C46-BS_Hist!C47</f>
        <v>0</v>
      </c>
      <c r="D8">
        <f>BS_Hist!D32+BS_Hist!D33+BS_Hist!D38+BS_Hist!D43+N(BS_Hist!D44)+BS_Hist!D45+BS_Hist!D46-BS_Hist!D47</f>
        <v>0</v>
      </c>
      <c r="G8" t="str">
        <f>IF(AND(ABS(N(B8))&lt;=1,ABS(N(C8))&lt;=1,ABS(N(D8))&lt;=1),"PASS","FAIL")</f>
        <v>PASS</v>
      </c>
    </row>
    <row r="9">
      <c r="A9" t="s">
        <v>512</v>
      </c>
      <c r="B9">
        <f>BS_Hist!B34+BS_Hist!B35+BS_Hist!B36+BS_Hist!B37-BS_Hist!B33</f>
        <v>0</v>
      </c>
      <c r="C9">
        <f>BS_Hist!C34+BS_Hist!C35+BS_Hist!C36+BS_Hist!C37-BS_Hist!C33</f>
        <v>0</v>
      </c>
      <c r="D9">
        <f>BS_Hist!D34+BS_Hist!D35+BS_Hist!D36+BS_Hist!D37-BS_Hist!D33</f>
        <v>0</v>
      </c>
      <c r="G9" t="str">
        <f>IF(AND(ABS(N(B9))&lt;=1,ABS(N(C9))&lt;=1,ABS(N(D9))&lt;=1),"PASS","FAIL")</f>
        <v>PASS</v>
      </c>
    </row>
    <row r="10">
      <c r="A10" t="s">
        <v>513</v>
      </c>
      <c r="B10">
        <f>BS_Hist!B39+BS_Hist!B40+BS_Hist!B41+BS_Hist!B42-BS_Hist!B38</f>
        <v>0</v>
      </c>
      <c r="C10">
        <f>BS_Hist!C39+BS_Hist!C40+BS_Hist!C41+BS_Hist!C42-BS_Hist!C38</f>
        <v>0</v>
      </c>
      <c r="D10">
        <f>BS_Hist!D39+BS_Hist!D40+BS_Hist!D41+BS_Hist!D42-BS_Hist!D38</f>
        <v>0</v>
      </c>
      <c r="G10" t="str">
        <f>IF(AND(ABS(N(B10))&lt;=1,ABS(N(C10))&lt;=1,ABS(N(D10))&lt;=1),"PASS","FAIL")</f>
        <v>PASS</v>
      </c>
    </row>
    <row r="11">
      <c r="A11" t="s">
        <v>514</v>
      </c>
      <c r="B11">
        <f>BS_Hist!B50+BS_Hist!B51+BS_Hist!B52+BS_Hist!B53-BS_Hist!B54</f>
        <v>0</v>
      </c>
      <c r="C11">
        <f>BS_Hist!C50+BS_Hist!C51+BS_Hist!C52+BS_Hist!C53-BS_Hist!C54</f>
        <v>0</v>
      </c>
      <c r="D11">
        <f>BS_Hist!D50+BS_Hist!D51+BS_Hist!D52+BS_Hist!D53-BS_Hist!D54</f>
        <v>0</v>
      </c>
      <c r="G11" t="str">
        <f>IF(AND(ABS(N(B11))&lt;=1,ABS(N(C11))&lt;=1,ABS(N(D11))&lt;=1),"PASS","FAIL")</f>
        <v>PASS</v>
      </c>
    </row>
    <row r="12">
      <c r="A12" t="s">
        <v>515</v>
      </c>
      <c r="B12">
        <f>BS_Hist!B54+BS_Hist!B55-BS_Hist!B56</f>
        <v>0</v>
      </c>
      <c r="C12">
        <f>BS_Hist!C54+BS_Hist!C55-BS_Hist!C56</f>
        <v>0</v>
      </c>
      <c r="D12">
        <f>BS_Hist!D54+BS_Hist!D55-BS_Hist!D56</f>
        <v>0</v>
      </c>
      <c r="G12" t="str">
        <f>IF(AND(ABS(N(B12))&lt;=1,ABS(N(C12))&lt;=1,ABS(N(D12))&lt;=1),"PASS","FAIL")</f>
        <v>PASS</v>
      </c>
    </row>
    <row r="13">
      <c r="A13" t="s">
        <v>516</v>
      </c>
      <c r="B13">
        <f>BS_Hist!B47+BS_Hist!B56-BS_Hist!B57</f>
        <v>0</v>
      </c>
      <c r="C13">
        <f>BS_Hist!C47+BS_Hist!C56-BS_Hist!C57</f>
        <v>0</v>
      </c>
      <c r="D13">
        <f>BS_Hist!D47+BS_Hist!D56-BS_Hist!D57</f>
        <v>0</v>
      </c>
      <c r="G13" t="str">
        <f>IF(AND(ABS(N(B13))&lt;=1,ABS(N(C13))&lt;=1,ABS(N(D13))&lt;=1),"PASS","FAIL")</f>
        <v>PASS</v>
      </c>
    </row>
    <row r="14">
      <c r="A14" t="s">
        <v>517</v>
      </c>
      <c r="B14">
        <f>BS_Hist!B29-BS_Hist!B57</f>
        <v>0</v>
      </c>
      <c r="C14">
        <f>BS_Hist!C29-BS_Hist!C57</f>
        <v>0</v>
      </c>
      <c r="D14">
        <f>BS_Hist!D29-BS_Hist!D57</f>
        <v>0</v>
      </c>
      <c r="G14" t="str">
        <f>IF(AND(ABS(N(B14))&lt;=1,ABS(N(C14))&lt;=1,ABS(N(D14))&lt;=1),"PASS","FAIL")</f>
        <v>PASS</v>
      </c>
    </row>
    <row r="15">
      <c r="A15" t="s">
        <v>518</v>
      </c>
      <c r="B15">
        <f>IS_Hist!B5-IS_Hist!B13-IS_Hist!B21</f>
        <v>0</v>
      </c>
      <c r="C15">
        <f>IS_Hist!C5-IS_Hist!C13-IS_Hist!C21</f>
        <v>0</v>
      </c>
      <c r="D15">
        <f>IS_Hist!D5-IS_Hist!D13-IS_Hist!D21</f>
        <v>0</v>
      </c>
      <c r="G15" t="str">
        <f>IF(AND(ABS(N(B15))&lt;=1,ABS(N(C15))&lt;=1,ABS(N(D15))&lt;=1),"PASS","FAIL")</f>
        <v>PASS</v>
      </c>
    </row>
    <row r="16">
      <c r="A16" t="s">
        <v>519</v>
      </c>
      <c r="B16">
        <f>IS_Hist!B21-IS_Hist!B22-IS_Hist!B26</f>
        <v>0</v>
      </c>
      <c r="C16">
        <f>IS_Hist!C21-IS_Hist!C22-IS_Hist!C26</f>
        <v>0</v>
      </c>
      <c r="D16">
        <f>IS_Hist!D21-IS_Hist!D22-IS_Hist!D26</f>
        <v>0</v>
      </c>
      <c r="G16" t="str">
        <f>IF(AND(ABS(N(B16))&lt;=1,ABS(N(C16))&lt;=1,ABS(N(D16))&lt;=1),"PASS","FAIL")</f>
        <v>PASS</v>
      </c>
    </row>
    <row r="17">
      <c r="A17" t="s">
        <v>520</v>
      </c>
      <c r="B17">
        <f>IS_Hist!B27-IS_Hist!B28-IS_Hist!B29</f>
        <v>0</v>
      </c>
      <c r="C17">
        <f>IS_Hist!C27-IS_Hist!C28-IS_Hist!C29</f>
        <v>0</v>
      </c>
      <c r="D17">
        <f>IS_Hist!D27-IS_Hist!D28-IS_Hist!D29</f>
        <v>0</v>
      </c>
      <c r="G17" t="str">
        <f>IF(AND(ABS(N(B17))&lt;=1,ABS(N(C17))&lt;=1,ABS(N(D17))&lt;=1),"PASS","FAIL")</f>
        <v>PASS</v>
      </c>
    </row>
    <row r="18">
      <c r="A18" t="s">
        <v>521</v>
      </c>
      <c r="B18">
        <f>IS_Hist!B26+IS_Hist!B29+IS_Hist!B30+IS_Hist!B31-IS_Hist!B32-IS_Hist!B38</f>
        <v>0</v>
      </c>
      <c r="C18">
        <f>IS_Hist!C26+IS_Hist!C29+IS_Hist!C30+IS_Hist!C31-IS_Hist!C32-IS_Hist!C38</f>
        <v>0</v>
      </c>
      <c r="D18">
        <f>IS_Hist!D26+IS_Hist!D29+IS_Hist!D30+IS_Hist!D31-IS_Hist!D32-IS_Hist!D38</f>
        <v>0</v>
      </c>
      <c r="G18" t="str">
        <f>IF(AND(ABS(N(B18))&lt;=1,ABS(N(C18))&lt;=1,ABS(N(D18))&lt;=1),"PASS","FAIL")</f>
        <v>PASS</v>
      </c>
    </row>
    <row r="19">
      <c r="A19" t="s">
        <v>522</v>
      </c>
      <c r="B19">
        <f>IS_Hist!B38-IS_Hist!B39-IS_Hist!B40</f>
        <v>0</v>
      </c>
      <c r="C19">
        <f>IS_Hist!C38-IS_Hist!C39-IS_Hist!C40</f>
        <v>0</v>
      </c>
      <c r="D19">
        <f>IS_Hist!D38-IS_Hist!D39-IS_Hist!D40</f>
        <v>0</v>
      </c>
      <c r="G19" t="str">
        <f>IF(AND(ABS(N(B19))&lt;=1,ABS(N(C19))&lt;=1,ABS(N(D19))&lt;=1),"PASS","FAIL")</f>
        <v>PASS</v>
      </c>
    </row>
    <row r="20">
      <c r="A20" t="s">
        <v>523</v>
      </c>
      <c r="B20">
        <f>IS_Hist!B43+IS_Hist!B44-IS_Hist!B40</f>
        <v>0</v>
      </c>
      <c r="C20">
        <f>IS_Hist!C43+IS_Hist!C44-IS_Hist!C40</f>
        <v>0</v>
      </c>
      <c r="D20">
        <f>IS_Hist!D43+IS_Hist!D44-IS_Hist!D40</f>
        <v>0</v>
      </c>
      <c r="G20" t="str">
        <f>IF(AND(ABS(N(B20))&lt;=1,ABS(N(C20))&lt;=1,ABS(N(D20))&lt;=1),"PASS","FAIL")</f>
        <v>PASS</v>
      </c>
    </row>
    <row r="21">
      <c r="A21" t="s">
        <v>524</v>
      </c>
      <c r="B21">
        <f>CI_Hist!B5+CI_Hist!B21-CI_Hist!B22</f>
        <v>0</v>
      </c>
      <c r="C21">
        <f>CI_Hist!C5+CI_Hist!C21-CI_Hist!C22</f>
        <v>0</v>
      </c>
      <c r="D21">
        <f>CI_Hist!D5+CI_Hist!D21-CI_Hist!D22</f>
        <v>1</v>
      </c>
      <c r="G21" t="str">
        <f>IF(AND(ABS(N(B21))&lt;=1,ABS(N(C21))&lt;=1,ABS(N(D21))&lt;=1),"PASS","FAIL")</f>
        <v>PASS</v>
      </c>
    </row>
    <row r="22">
      <c r="A22" t="s">
        <v>525</v>
      </c>
      <c r="B22">
        <f>CI_Hist!B25+CI_Hist!B26-CI_Hist!B22</f>
        <v>-1</v>
      </c>
      <c r="C22">
        <f>CI_Hist!C25+CI_Hist!C26-CI_Hist!C22</f>
        <v>0</v>
      </c>
      <c r="D22">
        <f>CI_Hist!D25+CI_Hist!D26-CI_Hist!D22</f>
        <v>0</v>
      </c>
      <c r="G22" t="str">
        <f>IF(AND(ABS(N(B22))&lt;=1,ABS(N(C22))&lt;=1,ABS(N(D22))&lt;=1),"PASS","FAIL")</f>
        <v>PASS</v>
      </c>
    </row>
    <row r="23">
      <c r="A23" t="s">
        <v>526</v>
      </c>
      <c r="B23">
        <f>IS_Hist!B40-CI_Hist!B5</f>
        <v>0</v>
      </c>
      <c r="C23">
        <f>IS_Hist!C40-CI_Hist!C5</f>
        <v>0</v>
      </c>
      <c r="D23">
        <f>IS_Hist!D40-CI_Hist!D5</f>
        <v>0</v>
      </c>
      <c r="G23" t="str">
        <f>IF(AND(ABS(N(B23))&lt;=1,ABS(N(C23))&lt;=1,ABS(N(D23))&lt;=1),"PASS","FAIL")</f>
        <v>PASS</v>
      </c>
    </row>
    <row r="24">
      <c r="A24" t="s">
        <v>527</v>
      </c>
      <c r="B24">
        <f>CF_Hist!B6+CF_Hist!B7+CF_Hist!B8+CF_Hist!B9+CF_Hist!B10+N(CF_Hist!B11)+N(CF_Hist!B12)+CF_Hist!B13+CF_Hist!B14+CF_Hist!B15+CF_Hist!B16+CF_Hist!B17+CF_Hist!B18+CF_Hist!B19+CF_Hist!B20+CF_Hist!B21+CF_Hist!B22+CF_Hist!B23+CF_Hist!B24+CF_Hist!B25+N(CF_Hist!B26)+CF_Hist!B27+CF_Hist!B28+CF_Hist!B29+CF_Hist!B30+CF_Hist!B31+CF_Hist!B32+CF_Hist!B33-CF_Hist!B34</f>
        <v>0</v>
      </c>
      <c r="C24">
        <f>CF_Hist!C6+CF_Hist!C7+CF_Hist!C8+CF_Hist!C9+CF_Hist!C10+N(CF_Hist!C11)+N(CF_Hist!C12)+CF_Hist!C13+CF_Hist!C14+CF_Hist!C15+CF_Hist!C16+CF_Hist!C17+CF_Hist!C18+CF_Hist!C19+CF_Hist!C20+CF_Hist!C21+CF_Hist!C22+CF_Hist!C23+CF_Hist!C24+CF_Hist!C25+N(CF_Hist!C26)+CF_Hist!C27+CF_Hist!C28+CF_Hist!C29+CF_Hist!C30+CF_Hist!C31+CF_Hist!C32+CF_Hist!C33-CF_Hist!C34</f>
        <v>0</v>
      </c>
      <c r="D24">
        <f>CF_Hist!D6+CF_Hist!D7+CF_Hist!D8+CF_Hist!D9+CF_Hist!D10+N(CF_Hist!D11)+N(CF_Hist!D12)+CF_Hist!D13+CF_Hist!D14+CF_Hist!D15+CF_Hist!D16+CF_Hist!D17+CF_Hist!D18+CF_Hist!D19+CF_Hist!D20+CF_Hist!D21+CF_Hist!D22+CF_Hist!D23+CF_Hist!D24+CF_Hist!D25+N(CF_Hist!D26)+CF_Hist!D27+CF_Hist!D28+CF_Hist!D29+CF_Hist!D30+CF_Hist!D31+CF_Hist!D32+CF_Hist!D33-CF_Hist!D34</f>
        <v>0</v>
      </c>
      <c r="G24" t="str">
        <f>IF(AND(ABS(N(B24))&lt;=1,ABS(N(C24))&lt;=1,ABS(N(D24))&lt;=1),"PASS","FAIL")</f>
        <v>PASS</v>
      </c>
    </row>
    <row r="25">
      <c r="A25" t="s">
        <v>528</v>
      </c>
      <c r="B25">
        <f>CF_Hist!B37+CF_Hist!B38+CF_Hist!B39+CF_Hist!B40+CF_Hist!B41+CF_Hist!B42+CF_Hist!B43+CF_Hist!B44+N(CF_Hist!B45)+CF_Hist!B46-CF_Hist!B47</f>
        <v>0</v>
      </c>
      <c r="C25">
        <f>CF_Hist!C37+CF_Hist!C38+CF_Hist!C39+CF_Hist!C40+CF_Hist!C41+CF_Hist!C42+CF_Hist!C43+CF_Hist!C44+N(CF_Hist!C45)+CF_Hist!C46-CF_Hist!C47</f>
        <v>0</v>
      </c>
      <c r="D25">
        <f>CF_Hist!D37+CF_Hist!D38+CF_Hist!D39+CF_Hist!D40+CF_Hist!D41+CF_Hist!D42+CF_Hist!D43+CF_Hist!D44+N(CF_Hist!D45)+CF_Hist!D46-CF_Hist!D47</f>
        <v>0</v>
      </c>
      <c r="G25" t="str">
        <f>IF(AND(ABS(N(B25))&lt;=1,ABS(N(C25))&lt;=1,ABS(N(D25))&lt;=1),"PASS","FAIL")</f>
        <v>PASS</v>
      </c>
    </row>
    <row r="26">
      <c r="A26" t="s">
        <v>529</v>
      </c>
      <c r="B26">
        <f>CF_Hist!B50+N(CF_Hist!B51)+CF_Hist!B52+CF_Hist!B53+CF_Hist!B54+CF_Hist!B55-CF_Hist!B56</f>
        <v>0</v>
      </c>
      <c r="C26">
        <f>CF_Hist!C50+N(CF_Hist!C51)+CF_Hist!C52+CF_Hist!C53+CF_Hist!C54+CF_Hist!C55-CF_Hist!C56</f>
        <v>0</v>
      </c>
      <c r="D26">
        <f>CF_Hist!D50+N(CF_Hist!D51)+CF_Hist!D52+CF_Hist!D53+CF_Hist!D54+CF_Hist!D55-CF_Hist!D56</f>
        <v>0</v>
      </c>
      <c r="G26" t="str">
        <f>IF(AND(ABS(N(B26))&lt;=1,ABS(N(C26))&lt;=1,ABS(N(D26))&lt;=1),"PASS","FAIL")</f>
        <v>PASS</v>
      </c>
    </row>
    <row r="27">
      <c r="A27" t="s">
        <v>530</v>
      </c>
      <c r="B27">
        <f>CF_Hist!B34+CF_Hist!B47+CF_Hist!B56+CF_Hist!B58-CF_Hist!B59</f>
        <v>0</v>
      </c>
      <c r="C27">
        <f>CF_Hist!C34+CF_Hist!C47+CF_Hist!C56+CF_Hist!C58-CF_Hist!C59</f>
        <v>0</v>
      </c>
      <c r="D27">
        <f>CF_Hist!D34+CF_Hist!D47+CF_Hist!D56+CF_Hist!D58-CF_Hist!D59</f>
        <v>0</v>
      </c>
      <c r="G27" t="str">
        <f>IF(AND(ABS(N(B27))&lt;=1,ABS(N(C27))&lt;=1,ABS(N(D27))&lt;=1),"PASS","FAIL")</f>
        <v>PASS</v>
      </c>
    </row>
    <row r="28">
      <c r="A28" t="s">
        <v>531</v>
      </c>
      <c r="B28">
        <f>CF_Hist!B60+CF_Hist!B59-CF_Hist!B61</f>
        <v>0</v>
      </c>
      <c r="C28">
        <f>CF_Hist!C60+CF_Hist!C59-CF_Hist!C61</f>
        <v>0</v>
      </c>
      <c r="D28">
        <f>CF_Hist!D60+CF_Hist!D59-CF_Hist!D61</f>
        <v>0</v>
      </c>
      <c r="G28" t="str">
        <f>IF(AND(ABS(N(B28))&lt;=1,ABS(N(C28))&lt;=1,ABS(N(D28))&lt;=1),"PASS","FAIL")</f>
        <v>PASS</v>
      </c>
    </row>
    <row r="29">
      <c r="A29" t="s">
        <v>532</v>
      </c>
      <c r="B29">
        <f>CF_Hist!B61-BS_Hist!B6</f>
        <v>0</v>
      </c>
      <c r="C29">
        <f>CF_Hist!C61-BS_Hist!C6</f>
        <v>0</v>
      </c>
      <c r="D29">
        <f>CF_Hist!D61-BS_Hist!D6</f>
        <v>0</v>
      </c>
      <c r="G29" t="str">
        <f>IF(AND(ABS(N(B29))&lt;=1,ABS(N(C29))&lt;=1,ABS(N(D29))&lt;=1),"PASS","FAIL")</f>
        <v>PASS</v>
      </c>
    </row>
    <row r="30">
      <c r="A30" t="s">
        <v>533</v>
      </c>
      <c r="B30">
        <f>CF_Hist!B6-IS_Hist!B38</f>
        <v>0</v>
      </c>
      <c r="C30">
        <f>CF_Hist!C6-IS_Hist!C38</f>
        <v>0</v>
      </c>
      <c r="D30">
        <f>CF_Hist!D6-IS_Hist!D38</f>
        <v>0</v>
      </c>
      <c r="G30" t="str">
        <f>IF(AND(ABS(N(B30))&lt;=1,ABS(N(C30))&lt;=1,ABS(N(D30))&lt;=1),"PASS","FAIL")</f>
        <v>PASS</v>
      </c>
    </row>
    <row r="31">
      <c r="A31" t="s">
        <v>534</v>
      </c>
      <c r="B31">
        <f>Deposits_Funding!B10+Deposits_Funding!B17-Deposits_Funding!B25</f>
        <v>0</v>
      </c>
      <c r="C31">
        <f>Deposits_Funding!C10+Deposits_Funding!C17-Deposits_Funding!C25</f>
        <v>0</v>
      </c>
      <c r="D31">
        <f>Deposits_Funding!D10+Deposits_Funding!D17-Deposits_Funding!D25</f>
        <v>0</v>
      </c>
      <c r="G31" t="str">
        <f>IF(AND(ABS(N(B31))&lt;=1,ABS(N(C31))&lt;=1,ABS(N(D31))&lt;=1),"PASS","FAIL")</f>
        <v>PASS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ColWidth="8.375" defaultRowHeight="15"/>
  <sheetData>
    <row r="1">
      <c r="A1" t="s">
        <v>535</v>
      </c>
    </row>
    <row r="3">
      <c r="A3" t="s">
        <v>536</v>
      </c>
      <c r="B3" t="s">
        <v>537</v>
      </c>
      <c r="C3" t="s">
        <v>538</v>
      </c>
      <c r="D3" t="s">
        <v>539</v>
      </c>
      <c r="E3" t="s">
        <v>540</v>
      </c>
    </row>
    <row r="4">
      <c r="A4" t="s">
        <v>232</v>
      </c>
      <c r="B4" t="s">
        <v>541</v>
      </c>
      <c r="C4" t="s">
        <v>542</v>
      </c>
      <c r="D4" t="s">
        <v>543</v>
      </c>
      <c r="E4" t="s">
        <v>544</v>
      </c>
    </row>
    <row r="5">
      <c r="A5" t="s">
        <v>233</v>
      </c>
      <c r="B5" t="s">
        <v>545</v>
      </c>
      <c r="C5" t="s">
        <v>546</v>
      </c>
      <c r="D5" t="s">
        <v>547</v>
      </c>
      <c r="E5" t="s">
        <v>548</v>
      </c>
    </row>
    <row r="6">
      <c r="A6" t="s">
        <v>234</v>
      </c>
      <c r="B6" t="s">
        <v>549</v>
      </c>
      <c r="C6" t="s">
        <v>550</v>
      </c>
      <c r="D6" t="s">
        <v>551</v>
      </c>
      <c r="E6" t="s">
        <v>552</v>
      </c>
    </row>
    <row r="8">
      <c r="A8" t="s">
        <v>553</v>
      </c>
    </row>
    <row r="9">
      <c r="A9" t="s">
        <v>554</v>
      </c>
    </row>
    <row r="10">
      <c r="A10" t="s">
        <v>555</v>
      </c>
    </row>
    <row r="11">
      <c r="A11" t="s">
        <v>556</v>
      </c>
    </row>
    <row r="12">
      <c r="A12" t="s">
        <v>557</v>
      </c>
    </row>
    <row r="14">
      <c r="A14" t="s">
        <v>558</v>
      </c>
    </row>
    <row r="15">
      <c r="A15" t="s">
        <v>559</v>
      </c>
      <c r="B15" t="s">
        <v>560</v>
      </c>
      <c r="C15" t="s">
        <v>561</v>
      </c>
    </row>
    <row r="16">
      <c r="A16" t="s">
        <v>562</v>
      </c>
      <c r="B16">
        <v>3822.05</v>
      </c>
      <c r="C16" t="s">
        <v>563</v>
      </c>
    </row>
    <row r="17">
      <c r="A17" t="s">
        <v>564</v>
      </c>
      <c r="B17">
        <v>4409.15</v>
      </c>
      <c r="C17" t="s">
        <v>565</v>
      </c>
    </row>
    <row r="18">
      <c r="A18" t="s">
        <v>566</v>
      </c>
      <c r="B18">
        <v>3757.08</v>
      </c>
      <c r="C18" t="s">
        <v>567</v>
      </c>
    </row>
    <row r="19">
      <c r="A19" t="s">
        <v>568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F2"/>
  <sheetViews>
    <sheetView showGridLines="0" workbookViewId="0"/>
  </sheetViews>
  <sheetFormatPr defaultColWidth="8.375" defaultRowHeight="15"/>
  <cols>
    <col min="1" max="1" width="8.70703125" customWidth="1"/>
    <col min="2" max="2" width="18.0390625" customWidth="1"/>
    <col min="3" max="4" width="57.70703125" customWidth="1"/>
    <col min="5" max="5" width="81.0390625" customWidth="1"/>
    <col min="6" max="6" width="46.0390625" customWidth="1"/>
  </cols>
  <sheetData>
    <row r="1">
      <c r="A1" s="59" t="s">
        <v>569</v>
      </c>
      <c r="B1" s="59" t="s">
        <v>212</v>
      </c>
      <c r="C1" s="59" t="s">
        <v>570</v>
      </c>
      <c r="D1" s="59" t="s">
        <v>571</v>
      </c>
      <c r="E1" s="59" t="s">
        <v>572</v>
      </c>
      <c r="F1" s="59" t="s">
        <v>573</v>
      </c>
    </row>
    <row r="2">
      <c r="A2" s="60">
        <v>1</v>
      </c>
      <c r="B2" s="58">
        <v>46324.35932325231</v>
      </c>
      <c r="C2" s="60" t="s">
        <v>574</v>
      </c>
      <c r="D2" s="60" t="s">
        <v>575</v>
      </c>
      <c r="E2" s="60" t="s">
        <v>576</v>
      </c>
      <c r="F2" s="60" t="s">
        <v>577</v>
      </c>
    </row>
  </sheetData>
</worksheet>
</file>