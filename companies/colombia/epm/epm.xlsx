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bc10c5936d1b4045" Type="http://schemas.openxmlformats.org/officeDocument/2006/relationships/officeDocument" Target="/xl/workbook.xml"/></Relationships>
</file>

<file path=xl/workbook.xml><?xml version="1.0" encoding="utf-8"?>
<workbook xmlns="http://schemas.openxmlformats.org/spreadsheetml/2006/main" xmlns:r="http://schemas.openxmlformats.org/officeDocument/2006/relationships" xmlns:x="http://schemas.openxmlformats.org/spreadsheetml/2006/main">
  <bookViews>
    <workbookView/>
  </bookViews>
  <sheets>
    <sheet name="00_Cover" sheetId="1" r:id="R0d7ee0b1e7c24b5f"/>
    <sheet name="Sources" sheetId="2" r:id="R2c1ad5ac5016482f"/>
    <sheet name="Historical" sheetId="3" r:id="R016d966faaaf4f28"/>
    <sheet name="Assumptions" sheetId="4" r:id="R826d2d6e99584913"/>
    <sheet name="Forecast" sheetId="5" r:id="Rabaa562f480e4348"/>
    <sheet name="Valuation" sheetId="6" r:id="R4be6521f30634d79"/>
    <sheet name="Sensitivity" sheetId="7" r:id="R639f34437d4843c8"/>
    <sheet name="Checks" sheetId="8" r:id="Rbc420941d34841f2"/>
    <sheet name="Sector_KPIs" sheetId="9" r:id="R46d11a7a6d9b4a7b"/>
    <sheet name="Change_Log" sheetId="10" r:id="Rc45062fa40614a15"/>
    <sheet name="BS_Hist" sheetId="11" r:id="rId1"/>
    <sheet name="IS_Hist" sheetId="12" r:id="rId2"/>
    <sheet name="CF_Hist" sheetId="13" r:id="rId3"/>
    <sheet name="Segment_Hist" sheetId="14" r:id="rId4"/>
    <sheet name="Checks_TieOut" sheetId="15" r:id="rId5"/>
    <sheet name="USD_Presentation" sheetId="16" r:id="rId6"/>
    <sheet name="Sources_Audited" sheetId="17" r:id="rId7"/>
    <sheet name="Claude Code Log" sheetId="18" r:id="rId8"/>
  </sheets>
  <calcPr calcId="0"/>
</workbook>
</file>

<file path=xl/sharedStrings.xml><?xml version="1.0" encoding="utf-8"?>
<sst xmlns="http://schemas.openxmlformats.org/spreadsheetml/2006/main" count="652" uniqueCount="520">
  <si>
    <t>Empresas Públicas de Medellín E.S.P. — Institutional Financial Model</t>
  </si>
  <si>
    <t>Energy generation, distribution, transmission and infrastructure | COP-native audited historicals FY2022A-FY2025A (statement-grade, 3 audited consolidated EEFF PDFs) | USD forecast/valuation layer is a placeholder pending re-basing | As of 2026-07-21</t>
  </si>
  <si>
    <t>Model field</t>
  </si>
  <si>
    <t>Value</t>
  </si>
  <si>
    <t>Ticker / identifier</t>
  </si>
  <si>
    <t>Private / public-sector issuer</t>
  </si>
  <si>
    <t>Model archetype</t>
  </si>
  <si>
    <t>Operating company / DCF</t>
  </si>
  <si>
    <t>Decision readiness</t>
  </si>
  <si>
    <t>Source-backed operating model; no public-equity price target</t>
  </si>
  <si>
    <t>Reporting currency</t>
  </si>
  <si>
    <t>COP</t>
  </si>
  <si>
    <t>Model currency</t>
  </si>
  <si>
    <t>USD millions</t>
  </si>
  <si>
    <t>Market-data date</t>
  </si>
  <si>
    <t>Not applicable</t>
  </si>
  <si>
    <t>Current market price</t>
  </si>
  <si>
    <t>Not available</t>
  </si>
  <si>
    <t>Primary source</t>
  </si>
  <si>
    <t>Audited consolidated EEFF (EPM Grupo, 2023/2024/2025 filings, see Sources_Audited); https://www.epm.com.co/inversionistas/noticias/resultados-financieros-2025-grupo-epm-solidez/</t>
  </si>
  <si>
    <t>Key limitation</t>
  </si>
  <si>
    <t>Historical base (BS_Hist/IS_Hist/CF_Hist/Segment_Hist, FY2022A-FY2025A) is COP-native, statement-grade, sourced and tied out from 3 audited consolidated EEFF PDFs (see Sources_Audited); Forecast/Assumptions/Valuation remain a USD-denominated placeholder layer, explicitly disclosed as PARTIAL and not yet re-based to the COP historicals.</t>
  </si>
  <si>
    <t>Institutional-grade means auditable sources, explicit assumptions, formula-driven forecasts, valuation, sensitivities, checks and governance. It does not mean that missing private-company disclosures have been invented.</t>
  </si>
  <si>
    <t>Sources and data lineage</t>
  </si>
  <si>
    <t>Every hardcode is mapped to a source, date, currency and transformation.</t>
  </si>
  <si>
    <t>Source ID</t>
  </si>
  <si>
    <t>Use</t>
  </si>
  <si>
    <t>URL / reference</t>
  </si>
  <si>
    <t>As of</t>
  </si>
  <si>
    <t>Source currency</t>
  </si>
  <si>
    <t>Transformation</t>
  </si>
  <si>
    <t>Limitation</t>
  </si>
  <si>
    <t>Status</t>
  </si>
  <si>
    <t>S1</t>
  </si>
  <si>
    <t>Historical financials (COP-native, statement-grade)</t>
  </si>
  <si>
    <t>https://www.epm.com.co/inversionistas/noticias/resultados-financieros-2025-grupo-epm-solidez/</t>
  </si>
  <si>
    <t>Audited consolidated EEFF FY2022A-FY2025A (3 PDFs: FY2023/FY2024/FY2025 filings; see Sources_Audited for per-year page/note citations)</t>
  </si>
  <si>
    <t>Historical statements (BS_Hist/IS_Hist/CF_Hist/Segment_Hist) carried natively in COP millions, as reported; USD_Presentation is a memo-only conversion at period-end TRM implied by the EPM international bond note (not a snapshot FX proxy).</t>
  </si>
  <si>
    <t>Historical figures cover FY2022A-FY2025A own-year (not later-report comparatives); Forecast/Assumptions/Valuation layer is still USD-denominated and not yet re-based to the COP historicals (documented as PARTIAL).</t>
  </si>
  <si>
    <t>Historical base source-backed and tied out (Checks_TieOut all PASS); forecast/valuation layer is a placeholder.</t>
  </si>
  <si>
    <t>S2</t>
  </si>
  <si>
    <t>Market price</t>
  </si>
  <si>
    <t>2026-07-15</t>
  </si>
  <si>
    <t>N/A</t>
  </si>
  <si>
    <t>Dated market input; not a historical financial source</t>
  </si>
  <si>
    <t>Market prices move after the as-of date</t>
  </si>
  <si>
    <t>Not loaded</t>
  </si>
  <si>
    <t>S3</t>
  </si>
  <si>
    <t>FX snapshot</t>
  </si>
  <si>
    <t>Yahoo Finance COP/USD chart snapshot</t>
  </si>
  <si>
    <t>COP per USD, inverted</t>
  </si>
  <si>
    <t>Current FX used across historical years for comparability; not historical spot</t>
  </si>
  <si>
    <t>Loaded</t>
  </si>
  <si>
    <t>S4</t>
  </si>
  <si>
    <t>Forecast assumptions</t>
  </si>
  <si>
    <t>Model Assumptions sheet</t>
  </si>
  <si>
    <t>USD</t>
  </si>
  <si>
    <t>User-editable scenario inputs</t>
  </si>
  <si>
    <t>Forecasts are estimates, not reported facts</t>
  </si>
  <si>
    <t>Model input</t>
  </si>
  <si>
    <t>Historical financials</t>
  </si>
  <si>
    <t>USD millions; blanks are intentional when the cited source did not support a defensible value.</t>
  </si>
  <si>
    <t>Metric</t>
  </si>
  <si>
    <t>2021A</t>
  </si>
  <si>
    <t>2022A</t>
  </si>
  <si>
    <t>2023A</t>
  </si>
  <si>
    <t>2024A</t>
  </si>
  <si>
    <t>2025A</t>
  </si>
  <si>
    <t>Source tag / note</t>
  </si>
  <si>
    <t>Quality</t>
  </si>
  <si>
    <t>Revenue</t>
  </si>
  <si>
    <t>Issuer results / manual source mapping</t>
  </si>
  <si>
    <t>Source-backed / see note</t>
  </si>
  <si>
    <t>Gross profit</t>
  </si>
  <si>
    <t>Missing / not inferred</t>
  </si>
  <si>
    <t>Operating income / EBIT</t>
  </si>
  <si>
    <t>Net income</t>
  </si>
  <si>
    <t>Cash from operations</t>
  </si>
  <si>
    <t>Capital expenditure</t>
  </si>
  <si>
    <t>Assets</t>
  </si>
  <si>
    <t>Liabilities</t>
  </si>
  <si>
    <t>Equity</t>
  </si>
  <si>
    <t>Cash</t>
  </si>
  <si>
    <t>Debt</t>
  </si>
  <si>
    <t>Diluted shares (mm)</t>
  </si>
  <si>
    <t>Assumptions and scenarios</t>
  </si>
  <si>
    <t>Blue-font cells are user inputs. Scenario selector: 1 = Base, 2 = Bull, 3 = Bear.</t>
  </si>
  <si>
    <t>Scenario selector</t>
  </si>
  <si>
    <t>Bear</t>
  </si>
  <si>
    <t>Base</t>
  </si>
  <si>
    <t>Bull</t>
  </si>
  <si>
    <t>Active</t>
  </si>
  <si>
    <t>Rationale / source</t>
  </si>
  <si>
    <t>Revenue growth</t>
  </si>
  <si>
    <t>Historical trend / sector anchor</t>
  </si>
  <si>
    <t>EBIT margin</t>
  </si>
  <si>
    <t>Latest EBITDA margin used as operating proxy</t>
  </si>
  <si>
    <t>Cash tax rate</t>
  </si>
  <si>
    <t>Normalized cash-tax assumption</t>
  </si>
  <si>
    <t>D&amp;A / revenue</t>
  </si>
  <si>
    <t>Sector-neutral default when source facts are unavailable</t>
  </si>
  <si>
    <t>Capex / revenue</t>
  </si>
  <si>
    <t>Capital intensity assumption</t>
  </si>
  <si>
    <t>NWC investment / incremental revenue</t>
  </si>
  <si>
    <t>Working-capital intensity</t>
  </si>
  <si>
    <t>WACC</t>
  </si>
  <si>
    <t>USD discount-rate assumption</t>
  </si>
  <si>
    <t>Terminal growth</t>
  </si>
  <si>
    <t>Long-run nominal USD growth</t>
  </si>
  <si>
    <t>Forecast model</t>
  </si>
  <si>
    <t>Formula-driven five-year projection in USD millions.</t>
  </si>
  <si>
    <t>2026E</t>
  </si>
  <si>
    <t>2027E</t>
  </si>
  <si>
    <t>2028E</t>
  </si>
  <si>
    <t>2029E</t>
  </si>
  <si>
    <t>2030E</t>
  </si>
  <si>
    <t>Growth</t>
  </si>
  <si>
    <t>EBIT</t>
  </si>
  <si>
    <t>NOPAT</t>
  </si>
  <si>
    <t>D&amp;A</t>
  </si>
  <si>
    <t>Change in NWC</t>
  </si>
  <si>
    <t>FCFF</t>
  </si>
  <si>
    <t>Discounted cash flow valuation</t>
  </si>
  <si>
    <t>Valuation is formula-driven and scenario-sensitive; private-company outputs are enterprise-value ranges only.</t>
  </si>
  <si>
    <t>Year 1</t>
  </si>
  <si>
    <t>Year 2</t>
  </si>
  <si>
    <t>Year 3</t>
  </si>
  <si>
    <t>Year 4</t>
  </si>
  <si>
    <t>Year 5</t>
  </si>
  <si>
    <t>Total / output</t>
  </si>
  <si>
    <t>Discount factor</t>
  </si>
  <si>
    <t>PV FCFF</t>
  </si>
  <si>
    <t>Output</t>
  </si>
  <si>
    <t>PV explicit FCFF</t>
  </si>
  <si>
    <t>Terminal value</t>
  </si>
  <si>
    <t>PV terminal value</t>
  </si>
  <si>
    <t>Enterprise value</t>
  </si>
  <si>
    <t>Equity value</t>
  </si>
  <si>
    <t>Implied value / share</t>
  </si>
  <si>
    <t>Upside / (downside)</t>
  </si>
  <si>
    <t>Valuation sensitivity</t>
  </si>
  <si>
    <t>Enterprise value sensitivity to WACC and terminal growth.</t>
  </si>
  <si>
    <t>WACC / g</t>
  </si>
  <si>
    <t>Model checks</t>
  </si>
  <si>
    <t>All critical checks should read PASS before decision use.</t>
  </si>
  <si>
    <t>Check</t>
  </si>
  <si>
    <t>Result</t>
  </si>
  <si>
    <t>Severity</t>
  </si>
  <si>
    <t>Interpretation</t>
  </si>
  <si>
    <t>Forecast revenue non-negative</t>
  </si>
  <si>
    <t>Critical</t>
  </si>
  <si>
    <t>No negative revenue</t>
  </si>
  <si>
    <t>FCFF formula populated</t>
  </si>
  <si>
    <t>Five forecast cash flows</t>
  </si>
  <si>
    <t>WACC exceeds terminal growth</t>
  </si>
  <si>
    <t>Required for convergent DCF</t>
  </si>
  <si>
    <t>Valuation bridge</t>
  </si>
  <si>
    <t>EV plus cash less debt equals equity value</t>
  </si>
  <si>
    <t>Historical source coverage</t>
  </si>
  <si>
    <t>LIMITED</t>
  </si>
  <si>
    <t>Readiness</t>
  </si>
  <si>
    <t>Manual/summary sources or missing financial history remain explicitly limited</t>
  </si>
  <si>
    <t>Overall gate</t>
  </si>
  <si>
    <t>Decision use</t>
  </si>
  <si>
    <t>Sector KPI framework</t>
  </si>
  <si>
    <t>A decision-useful model requires sector drivers beyond the three statements.</t>
  </si>
  <si>
    <t>KPI</t>
  </si>
  <si>
    <t>Historical</t>
  </si>
  <si>
    <t>Forecast</t>
  </si>
  <si>
    <t>Status / source requirement</t>
  </si>
  <si>
    <t>Generation / throughput</t>
  </si>
  <si>
    <t>Input-ready; populate from issuer operating disclosures</t>
  </si>
  <si>
    <t>Installed capacity</t>
  </si>
  <si>
    <t>Regulated rate base</t>
  </si>
  <si>
    <t>Realized price / tariff</t>
  </si>
  <si>
    <t>EBITDA margin</t>
  </si>
  <si>
    <t>Capex plan</t>
  </si>
  <si>
    <t>Net debt / EBITDA</t>
  </si>
  <si>
    <t>Interest coverage</t>
  </si>
  <si>
    <t>Carbon intensity</t>
  </si>
  <si>
    <t>Change log and governance</t>
  </si>
  <si>
    <t>Version history and model-owner review record.</t>
  </si>
  <si>
    <t>Date</t>
  </si>
  <si>
    <t>Version</t>
  </si>
  <si>
    <t>Author</t>
  </si>
  <si>
    <t>Change</t>
  </si>
  <si>
    <t>Evidence</t>
  </si>
  <si>
    <t>Reviewer status</t>
  </si>
  <si>
    <t>1.0</t>
  </si>
  <si>
    <t>Codex</t>
  </si>
  <si>
    <t>Initial institutional model framework and source pack</t>
  </si>
  <si>
    <t>Builder-verified</t>
  </si>
  <si>
    <t>Formula, package and visual QA</t>
  </si>
  <si>
    <t>Checks sheet and preview artifacts</t>
  </si>
  <si>
    <t>Pending owner investment judgment</t>
  </si>
  <si>
    <t>Elevacion a statement-grade IG (patron Samsung): BS_Hist/IS_Hist/CF_Hist auditados FY2022A-FY2025A (COP mm, constantes publicadas), Segment_Hist (8 segmentos, Nota 46.1/47.1), Checks_TieOut (31 tie-outs incl. cruces entre estados y continuidad de caja), USD_Presentation (TRM de cierre implicita por bono internacional), Sources_Audited (fuente por columna + reexpresiones detectadas). Forecast/Assumptions/Valuation/Sensitivity NO actualizados en esta pasada - quedan en el placeholder previo (USD, un solo año) y se marcan PARTIAL; requieren reconstruccion driver-based ancladas a la nueva base COP. Root model intacto; v2 en the maintainer's archive.</t>
  </si>
  <si>
    <t>Claude (run 41538014)</t>
  </si>
  <si>
    <t>EPM Grupo - Estado de Situacion Financiera Consolidado (auditado)</t>
  </si>
  <si>
    <t>COP millones. FY2022 y FY2023 segun EEFF auditados al 31-12-2023 (FY2022 = comparativo, primera cifra auditada); FY2024 segun EEFF auditados al 31-12-2024; FY2025 segun EEFF auditados al 31-12-2025. Cada columna toma la cifra de "año propio" del informe correspondiente (no la cifra comparativa re-expresada en un informe posterior) — ver Sources_Audited para el detalle de reexpresiones detectadas.</t>
  </si>
  <si>
    <t>Line item</t>
  </si>
  <si>
    <t>FY2022A</t>
  </si>
  <si>
    <t>FY2023A</t>
  </si>
  <si>
    <t>FY2024A</t>
  </si>
  <si>
    <t>FY2025A</t>
  </si>
  <si>
    <t>Note ref</t>
  </si>
  <si>
    <t>Activo</t>
  </si>
  <si>
    <t>Activo no corriente</t>
  </si>
  <si>
    <t>Propiedades, planta y equipo, neto</t>
  </si>
  <si>
    <t>Propiedades de inversion</t>
  </si>
  <si>
    <t>Credito mercantil</t>
  </si>
  <si>
    <t>Otros activos intangibles</t>
  </si>
  <si>
    <t>Activos por derecho de uso</t>
  </si>
  <si>
    <t>Inversiones en asociadas</t>
  </si>
  <si>
    <t>9/10</t>
  </si>
  <si>
    <t>Inversiones en negocios conjuntos</t>
  </si>
  <si>
    <t>10/11</t>
  </si>
  <si>
    <t>Activo por impuesto diferido</t>
  </si>
  <si>
    <t>39-41</t>
  </si>
  <si>
    <t>Deudores comerciales y otras cuentas por cobrar (no corriente)</t>
  </si>
  <si>
    <t>Otros activos financieros (no corriente)</t>
  </si>
  <si>
    <t>Otros activos (no corriente)</t>
  </si>
  <si>
    <t>Efectivo y equivalentes de efectivo (restringido)</t>
  </si>
  <si>
    <t>Total activo no corriente</t>
  </si>
  <si>
    <t>Activo corriente</t>
  </si>
  <si>
    <t>Inventarios</t>
  </si>
  <si>
    <t>Deudores comerciales y otras cuentas por cobrar (corriente)</t>
  </si>
  <si>
    <t>Activo por impuesto sobre la renta corriente</t>
  </si>
  <si>
    <t>26/41</t>
  </si>
  <si>
    <t>Otros activos financieros (corriente)</t>
  </si>
  <si>
    <t>Otros activos (corriente)</t>
  </si>
  <si>
    <t>Efectivo y equivalentes de efectivo</t>
  </si>
  <si>
    <t>Total activo corriente (antes de mantenidos para la venta)</t>
  </si>
  <si>
    <t>Activos clasificados como mantenidos para la venta</t>
  </si>
  <si>
    <t>Total activo corriente</t>
  </si>
  <si>
    <t>Total activo</t>
  </si>
  <si>
    <t>Saldos debito de cuentas regulatorias diferidas</t>
  </si>
  <si>
    <t>30/31</t>
  </si>
  <si>
    <t>Total activo y saldos debito de cuentas regulatorias diferidas</t>
  </si>
  <si>
    <t>Patrimonio</t>
  </si>
  <si>
    <t>Capital emitido</t>
  </si>
  <si>
    <t>19/20</t>
  </si>
  <si>
    <t>Acciones en tesoreria</t>
  </si>
  <si>
    <t>Reservas</t>
  </si>
  <si>
    <t>Otro resultado integral acumulado</t>
  </si>
  <si>
    <t>20/21</t>
  </si>
  <si>
    <t>Resultados acumulados</t>
  </si>
  <si>
    <t>Resultado neto del periodo</t>
  </si>
  <si>
    <t>Otros componentes de patrimonio</t>
  </si>
  <si>
    <t>Patrimonio atribuible a las participaciones controladoras</t>
  </si>
  <si>
    <t>Participaciones no controladoras</t>
  </si>
  <si>
    <t>Total patrimonio</t>
  </si>
  <si>
    <t>Pasivo</t>
  </si>
  <si>
    <t>Pasivo no corriente</t>
  </si>
  <si>
    <t>Creditos y prestamos (no corriente)</t>
  </si>
  <si>
    <t>21/22</t>
  </si>
  <si>
    <t>Acreedores y otras cuentas por pagar (no corriente)</t>
  </si>
  <si>
    <t>22/23</t>
  </si>
  <si>
    <t>Otros pasivos financieros (no corriente)</t>
  </si>
  <si>
    <t>23/24</t>
  </si>
  <si>
    <t>Beneficios a los empleados (no corriente)</t>
  </si>
  <si>
    <t>25/26</t>
  </si>
  <si>
    <t>Impuesto sobre la renta por pagar (no corriente)</t>
  </si>
  <si>
    <t>40/41</t>
  </si>
  <si>
    <t>Pasivo por impuesto diferido (no corriente)</t>
  </si>
  <si>
    <t>Provisiones (no corriente)</t>
  </si>
  <si>
    <t>27/28</t>
  </si>
  <si>
    <t>Otros pasivos (no corriente)</t>
  </si>
  <si>
    <t>28/29</t>
  </si>
  <si>
    <t>Total pasivo no corriente</t>
  </si>
  <si>
    <t>Pasivo corriente</t>
  </si>
  <si>
    <t>Creditos y prestamos (corriente)</t>
  </si>
  <si>
    <t>Acreedores y otras cuentas por pagar (corriente)</t>
  </si>
  <si>
    <t>Otros pasivos financieros (corriente)</t>
  </si>
  <si>
    <t>Beneficios a los empleados (corriente)</t>
  </si>
  <si>
    <t>Impuesto sobre la renta por pagar (corriente)</t>
  </si>
  <si>
    <t>Impuestos, contribuciones y tasas por pagar</t>
  </si>
  <si>
    <t>26/27</t>
  </si>
  <si>
    <t>Provisiones (corriente)</t>
  </si>
  <si>
    <t>Otros pasivos (corriente)</t>
  </si>
  <si>
    <t>Total pasivo corriente</t>
  </si>
  <si>
    <t>Total pasivo</t>
  </si>
  <si>
    <t>Saldos credito de cuentas regulatorias diferidas</t>
  </si>
  <si>
    <t>Pasivos tributarios diferidos relacionados con cuentas regulatorias diferidas</t>
  </si>
  <si>
    <t>Total pasivo y saldos credito de cuentas regulatorias diferidas</t>
  </si>
  <si>
    <t>Total pasivo y patrimonio</t>
  </si>
  <si>
    <t>EPM Grupo - Estado del Resultado Integral Consolidado (auditado)</t>
  </si>
  <si>
    <t>COP millones. Misma base de fuente por columna que BS_Hist.</t>
  </si>
  <si>
    <t>Prestacion de servicios</t>
  </si>
  <si>
    <t>31/32</t>
  </si>
  <si>
    <t>Venta de bienes</t>
  </si>
  <si>
    <t>Arrendamiento</t>
  </si>
  <si>
    <t>Ingresos de actividades ordinarias</t>
  </si>
  <si>
    <t>Otros ingresos</t>
  </si>
  <si>
    <t>32/33</t>
  </si>
  <si>
    <t>Utilidad en venta de activos</t>
  </si>
  <si>
    <t>33/34</t>
  </si>
  <si>
    <t>Total ingresos</t>
  </si>
  <si>
    <t>Costos por prestacion de servicios</t>
  </si>
  <si>
    <t>34/35</t>
  </si>
  <si>
    <t>Gastos de administracion</t>
  </si>
  <si>
    <t>35/36</t>
  </si>
  <si>
    <t>Deterioro de cuentas por cobrar, neto</t>
  </si>
  <si>
    <t>Otros gastos</t>
  </si>
  <si>
    <t>36/37</t>
  </si>
  <si>
    <t>Ingresos financieros</t>
  </si>
  <si>
    <t>37.1/38.1</t>
  </si>
  <si>
    <t>Gastos financieros</t>
  </si>
  <si>
    <t>37.2/38.2</t>
  </si>
  <si>
    <t>Diferencia en cambio neta</t>
  </si>
  <si>
    <t>38/39</t>
  </si>
  <si>
    <t>Metodo de participacion en asociadas y negocios conjuntos</t>
  </si>
  <si>
    <t>9-11</t>
  </si>
  <si>
    <t>Efecto por participacion en inversiones patrimoniales</t>
  </si>
  <si>
    <t>39/40</t>
  </si>
  <si>
    <t>Resultado del periodo antes de impuestos</t>
  </si>
  <si>
    <t>Impuesto sobre la renta</t>
  </si>
  <si>
    <t>Resultado del periodo despues de impuestos</t>
  </si>
  <si>
    <t>Movimiento neto cuentas regulatorias relacionadas con el resultado</t>
  </si>
  <si>
    <t>Movimiento neto imp. diferido rel. cuentas regulatorias del resultado</t>
  </si>
  <si>
    <t>Resultado neto del periodo y mov. neto saldos cuentas regulatorias</t>
  </si>
  <si>
    <t>Otro resultado integral - partidas no reclasificables</t>
  </si>
  <si>
    <t>Nuevas mediciones de planes de beneficios definidos</t>
  </si>
  <si>
    <t>Inversiones patrimoniales medidas a VR a traves de patrimonio</t>
  </si>
  <si>
    <t>Reclasificacion de PP&amp;E a propiedades de inversion</t>
  </si>
  <si>
    <t>Metodo de participacion asociadas y NC (no reclasificable)</t>
  </si>
  <si>
    <t>Activos no corrientes mantenidos para la venta (no reclasificable)</t>
  </si>
  <si>
    <t>Impuesto renta sobre componentes no reclasificables</t>
  </si>
  <si>
    <t>20y40/21y41</t>
  </si>
  <si>
    <t>Subtotal partidas no reclasificadas</t>
  </si>
  <si>
    <t>Otro resultado integral - partidas reclasificables</t>
  </si>
  <si>
    <t>Coberturas de flujos de efectivo</t>
  </si>
  <si>
    <t>Diferencias de cambio por conversion negocios en el extranjero</t>
  </si>
  <si>
    <t>Metodo de participacion asociadas y NC (reclasificable)</t>
  </si>
  <si>
    <t>10y20/10y21</t>
  </si>
  <si>
    <t>Coberturas de inversiones netas en negocios en el extranjero</t>
  </si>
  <si>
    <t>Activos no corrientes mantenidos para la venta (reclasificable)</t>
  </si>
  <si>
    <t>Impuesto renta sobre componentes reclasificables</t>
  </si>
  <si>
    <t>Subtotal partidas reclasificadas</t>
  </si>
  <si>
    <t>Otro resultado integral, neto de impuestos</t>
  </si>
  <si>
    <t>Resultado integral total del periodo</t>
  </si>
  <si>
    <t>Atribucion</t>
  </si>
  <si>
    <t>Resultado del periodo - propietarios de la controladora</t>
  </si>
  <si>
    <t>Resultado del periodo - participaciones no controladoras</t>
  </si>
  <si>
    <t>Resultado integral total - propietarios de la controladora</t>
  </si>
  <si>
    <t>Resultado integral total - participaciones no controladoras</t>
  </si>
  <si>
    <t>EPM Grupo - Estado de Flujos de Efectivo Consolidado (auditado)</t>
  </si>
  <si>
    <t>COP millones. Misma base de fuente por columna que BS_Hist. Signos como publicados (salidas negativas).</t>
  </si>
  <si>
    <t>Actividades de la operacion</t>
  </si>
  <si>
    <t>Depreciacion y amortizacion de PP&amp;E, ROU e intangibles</t>
  </si>
  <si>
    <t>34y35/35y36</t>
  </si>
  <si>
    <t>Deterioro de valor de PP&amp;E, ROU e intangibles</t>
  </si>
  <si>
    <t>Reversion perdida deterioro PP&amp;E/ROU/intangibles (operativo)</t>
  </si>
  <si>
    <t>8/11</t>
  </si>
  <si>
    <t>Reversion perdida deterioro otros activos no corrientes</t>
  </si>
  <si>
    <t>Deterioro de valor inversiones en asociadas y NC</t>
  </si>
  <si>
    <t>8/10</t>
  </si>
  <si>
    <t>Reversion perdida deterioro PP&amp;E/ROU/intangibles</t>
  </si>
  <si>
    <t>Rebaja de valor inventarios, neto</t>
  </si>
  <si>
    <t>Resultado por diferencia en cambio, neto</t>
  </si>
  <si>
    <t>Resultado por valoracion de propiedades de inversion</t>
  </si>
  <si>
    <t>Resultado valoracion instrumentos financieros y contab. cobertura</t>
  </si>
  <si>
    <t>Resultado indemnizaciones asociadas a flujos de inversion</t>
  </si>
  <si>
    <t>Provisiones, planes beneficios post-empleo y largo plazo</t>
  </si>
  <si>
    <t>Provisiones fiscales, seguros/reaseguros y actualizacion financiera</t>
  </si>
  <si>
    <t>Subvenciones del gobierno aplicadas</t>
  </si>
  <si>
    <t>Impuesto sobre la renta diferido</t>
  </si>
  <si>
    <t>Impuesto sobre la renta corriente</t>
  </si>
  <si>
    <t>Resultados por metodo de participacion en asociadas y NC</t>
  </si>
  <si>
    <t>Ingresos por intereses y rendimientos</t>
  </si>
  <si>
    <t>Gastos por intereses y comisiones</t>
  </si>
  <si>
    <t>Resultado disposicion PP&amp;E/ROU/intangibles/prop. inversion</t>
  </si>
  <si>
    <t>Resultado retiro PP&amp;E/ROU/intangibles/prop. inversion</t>
  </si>
  <si>
    <t>Resultado disposicion instrumentos financieros</t>
  </si>
  <si>
    <t>Resultado medicion VR participacion retenida inv. patrimoniales</t>
  </si>
  <si>
    <t>Recuperaciones no efectivas</t>
  </si>
  <si>
    <t>Resultado cuentas regulatorias diferidas</t>
  </si>
  <si>
    <t>Resultado disposicion inversiones en asociadas y NC</t>
  </si>
  <si>
    <t>Dividendos de inversiones</t>
  </si>
  <si>
    <t>Subtotal resultado neto + partidas de conciliacion</t>
  </si>
  <si>
    <t>Cambios netos en activos y pasivos operacionales</t>
  </si>
  <si>
    <t>Variacion en inventarios</t>
  </si>
  <si>
    <t>Variacion en deudores comerciales y otras cuentas por cobrar</t>
  </si>
  <si>
    <t>Variacion en otros activos</t>
  </si>
  <si>
    <t>Variacion en acreedores y otras cuentas por pagar</t>
  </si>
  <si>
    <t>Variacion en beneficios a los empleados</t>
  </si>
  <si>
    <t>Variacion en provisiones</t>
  </si>
  <si>
    <t>Variacion en otros pasivos</t>
  </si>
  <si>
    <t>Efectivo generado por actividades de la operacion</t>
  </si>
  <si>
    <t>Interes pagado</t>
  </si>
  <si>
    <t>Impuesto sobre la renta pagado</t>
  </si>
  <si>
    <t>Impuesto sobre la renta - devolucion</t>
  </si>
  <si>
    <t>Flujos netos de efectivo actividades de la operacion</t>
  </si>
  <si>
    <t>Actividades de inversion</t>
  </si>
  <si>
    <t>Adquisicion y capitalizacion de subsidiarias o negocios</t>
  </si>
  <si>
    <t>Adquisicion de propiedades, planta y equipo (y der. de uso)</t>
  </si>
  <si>
    <t>Disposicion de propiedades, planta y equipo (y der. de uso)</t>
  </si>
  <si>
    <t>Adquisicion de activos intangibles</t>
  </si>
  <si>
    <t>Disposicion de activos intangibles</t>
  </si>
  <si>
    <t>Adquisicion de propiedades de inversion</t>
  </si>
  <si>
    <t>Disposicion de propiedades de inversion</t>
  </si>
  <si>
    <t>Disposicion de asociadas y negocios conjuntos</t>
  </si>
  <si>
    <t>Adquisicion de inversiones en instrumentos financieros</t>
  </si>
  <si>
    <t>Disposicion de inversiones en instrumentos financieros</t>
  </si>
  <si>
    <t>Intereses recibidos</t>
  </si>
  <si>
    <t>Dividendos recibidos de asociadas y negocios conjuntos</t>
  </si>
  <si>
    <t>Otros dividendos recibidos</t>
  </si>
  <si>
    <t>Indemnizaciones recibidas</t>
  </si>
  <si>
    <t>Otros flujos de efectivo de actividades de inversion</t>
  </si>
  <si>
    <t>Flujos netos de efectivo usados por actividades de inversion</t>
  </si>
  <si>
    <t>Actividades de financiacion</t>
  </si>
  <si>
    <t>Adquisicion de acciones propias</t>
  </si>
  <si>
    <t>Obtencion de credito publico y tesoreria</t>
  </si>
  <si>
    <t>Pagos de credito publico y tesoreria</t>
  </si>
  <si>
    <t>Costos de transaccion por emision de instrumentos de deuda</t>
  </si>
  <si>
    <t>Pago de pasivos por arrendamiento</t>
  </si>
  <si>
    <t>Dividendos o excedentes pagados</t>
  </si>
  <si>
    <t>19y41/20y42</t>
  </si>
  <si>
    <t>Dividendos o excedentes pagados a participaciones no controladoras</t>
  </si>
  <si>
    <t>Subvenciones de capital</t>
  </si>
  <si>
    <t>Pagos de capital derivados con fines de cobertura de flujos de efectivo</t>
  </si>
  <si>
    <t>Pago de bonos pensionales</t>
  </si>
  <si>
    <t>Compras (ventas) netas a participaciones no controladoras</t>
  </si>
  <si>
    <t>Otros flujos de efectivo de actividades de financiacion</t>
  </si>
  <si>
    <t>Flujos netos de efectivo originados (usados) por actividades de financiacion</t>
  </si>
  <si>
    <t>Variacion neta del efectivo y equivalentes al efectivo</t>
  </si>
  <si>
    <t>Efectos de las variaciones en tasas de cambio en el efectivo</t>
  </si>
  <si>
    <t>Efectivo y equivalentes al efectivo al principio del periodo</t>
  </si>
  <si>
    <t>Efectivo y efectivo equivalente al final del periodo</t>
  </si>
  <si>
    <t>Recursos restringidos</t>
  </si>
  <si>
    <t>EPM Grupo - Ingresos por segmento operativo (Nota Informacion por segmentos)</t>
  </si>
  <si>
    <t>COP millones, ingresos de clientes externos por segmento (neto de intersegmentos). Fuente: Nota 46.1 (FY2023/FY2024 informes) / Nota 47.1 (FY2025 informe).</t>
  </si>
  <si>
    <t>Generacion y comercializacion Energia</t>
  </si>
  <si>
    <t>46.1/47.1</t>
  </si>
  <si>
    <t>Transmision Energia</t>
  </si>
  <si>
    <t>Distribucion y comercializacion Energia</t>
  </si>
  <si>
    <t>Distribucion y comercializacion Gas</t>
  </si>
  <si>
    <t>Provision y comercializacion Agua</t>
  </si>
  <si>
    <t>Gestion y comercializacion Aguas Residuales</t>
  </si>
  <si>
    <t>Gestion y comercializacion Residuos Solidos</t>
  </si>
  <si>
    <t>Otros segmentos</t>
  </si>
  <si>
    <t>Total ingresos de clientes externos (consolidado)</t>
  </si>
  <si>
    <t>Tie-out checks - EEFF consolidados auditados EPM (todos los deltas deben ser 0; COP millones)</t>
  </si>
  <si>
    <t>MASTER</t>
  </si>
  <si>
    <t>BS: Activo no corriente = suma de partidas</t>
  </si>
  <si>
    <t>BS: Activo corriente (antes MPV) = suma de partidas</t>
  </si>
  <si>
    <t>BS: Activo corriente = antes MPV + mantenidos para la venta</t>
  </si>
  <si>
    <t>BS: Total activo = NC + C</t>
  </si>
  <si>
    <t>BS: Total activo + saldos debito regulatorios</t>
  </si>
  <si>
    <t>BS: Patrimonio controladora = suma de partidas</t>
  </si>
  <si>
    <t>BS: Total patrimonio = controladora + NCI</t>
  </si>
  <si>
    <t>BS: Pasivo no corriente = suma de partidas</t>
  </si>
  <si>
    <t>BS: Pasivo corriente = suma de partidas</t>
  </si>
  <si>
    <t>BS: Total pasivo = NC + C</t>
  </si>
  <si>
    <t>BS: Total pasivo + saldos credito/pasivo tributario regulatorio</t>
  </si>
  <si>
    <t>BS: TP&amp;E = pasivo + patrimonio</t>
  </si>
  <si>
    <t>BS: Balance final (Activo - Pasivo&amp;Patrimonio)</t>
  </si>
  <si>
    <t>IS: Total ingresos = ingresos ordinarios + otros + utilidad venta activos</t>
  </si>
  <si>
    <t>IS: PBT = total ingresos - costos/gastos + neto financiero + participaciones</t>
  </si>
  <si>
    <t>IS: Resultado despues impuestos = PBT - impuesto</t>
  </si>
  <si>
    <t>IS: Resultado neto+regulatorias = resultado desp. imp. + movimientos regulatorios</t>
  </si>
  <si>
    <t>IS: Resultado neto = atribuible controladora + NCI</t>
  </si>
  <si>
    <t>IS: OCI total = subtotal no reclasificado + subtotal reclasificado</t>
  </si>
  <si>
    <t>IS: Resultado integral total = resultado neto + OCI</t>
  </si>
  <si>
    <t>IS: Resultado integral total = atribuible controladora + NCI</t>
  </si>
  <si>
    <t>CF: Subtotal (resultado neto + ajustes)</t>
  </si>
  <si>
    <t>CF: Efectivo generado por operacion = subtotal + cambios capital de trabajo</t>
  </si>
  <si>
    <t>CF: Flujos netos operacion = generado + interes/impuestos</t>
  </si>
  <si>
    <t>CF: Flujos netos inversion = suma de partidas</t>
  </si>
  <si>
    <t>CF: Flujos netos financiacion = suma de partidas</t>
  </si>
  <si>
    <t>CF: Variacion neta efectivo = CFO + CFI + CFF</t>
  </si>
  <si>
    <t>CF: Efectivo final = inicial + variacion neta + efecto FX</t>
  </si>
  <si>
    <t>X: CF resultado neto = IS resultado neto+regulatorias</t>
  </si>
  <si>
    <t>X: CF efectivo final = BS efectivo corriente + efectivo restringido no corriente</t>
  </si>
  <si>
    <t>X: BS resultado neto del periodo = IS resultado neto atribuible controladora</t>
  </si>
  <si>
    <t>X: Segmentos - suma de segmentos = ingresos totales IS</t>
  </si>
  <si>
    <t>CF: Efectivo inicial = efectivo final del año anterior (FY23-FY25)</t>
  </si>
  <si>
    <t>EPM Grupo - Capa de presentacion en USD (memo; COP es la moneda nativa de reporte)</t>
  </si>
  <si>
    <t>Tasas TRM de cierre implicitas: Notas 22/23 - bono internacional EPM USD 2019/07/18, notional fijo USD 1,000mm, revaluado a TRM de cierre cada periodo (valor nominal COP / 1,000). Confirmadas contra TRM Banco de la Republica publicada para cada fecha de cierre.</t>
  </si>
  <si>
    <t>Metrica</t>
  </si>
  <si>
    <t>TRM de cierre (COP/USD)</t>
  </si>
  <si>
    <t>Total ingresos (USD mm)</t>
  </si>
  <si>
    <t>Resultado del periodo antes de impuestos (USD mm)</t>
  </si>
  <si>
    <t>Resultado neto del periodo y mov. regulatorio (USD mm)</t>
  </si>
  <si>
    <t>Total activo y saldos debito regulatorios (USD mm)</t>
  </si>
  <si>
    <t>Total pasivo y saldos credito regulatorios (USD mm)</t>
  </si>
  <si>
    <t>Total patrimonio (USD mm)</t>
  </si>
  <si>
    <t>Nota: capa memo, informativa. No sustituye los EEFF nativos en COP (BS_Hist/IS_Hist/CF_Hist), que son la fuente auditada. TRM verificadas de forma cruzada contra el valor COP del bono internacional USD 1,000mm de EPM en Notas 22 (FY2023/24) y 24 (FY2025).</t>
  </si>
  <si>
    <t>Registro de fuentes auditadas - EPM Grupo, EEFF consolidados (portal inversionistas epm.com.co)</t>
  </si>
  <si>
    <t>Columna del modelo</t>
  </si>
  <si>
    <t>Informe fuente</t>
  </si>
  <si>
    <t>Archivo (copia local del mantenedor)</t>
  </si>
  <si>
    <t>Paginas clave (BS/IS/CF/Segmentos, PDF interno)</t>
  </si>
  <si>
    <t>Notas</t>
  </si>
  <si>
    <t>FY2023 EEFF consolidados, comparativo 2022</t>
  </si>
  <si>
    <t>EPM_EEFF-Consolidados-Notas-InformeAuditor_FY2023_al-31-12-2023.pdf</t>
  </si>
  <si>
    <t>BS p.8-9 / IS p.10 / SCE p.11 / CF p.12 / Segmentos Nota 46.1 (comparativo)</t>
  </si>
  <si>
    <t>FY2022 tomado como comparativo dentro del informe FY2023 (primera cifra auditada disponible para 2022 en este set de fuentes); auditor Deloitte &amp; Touche S.A.S. (dictamen 27-mar-2023 para 2022).</t>
  </si>
  <si>
    <t>FY2023 EEFF consolidados, año propio</t>
  </si>
  <si>
    <t>BS p.8-9 / IS p.10 / SCE p.11 / CF p.12 / Segmentos Nota 46.1</t>
  </si>
  <si>
    <t>Auditor Deloitte &amp; Touche S.A.S., dictamen 20-mar-2024, opinion sin salvedades.</t>
  </si>
  <si>
    <t>FY2024 EEFF consolidados, año propio</t>
  </si>
  <si>
    <t>EPM_EEFF-Consolidados-Notas-InformeAuditor_FY2024_al-31-12-2024.pdf</t>
  </si>
  <si>
    <t>Auditor Ernst &amp; Young Audit S.A.S.</t>
  </si>
  <si>
    <t>FY2025 EEFF consolidados, año propio</t>
  </si>
  <si>
    <t>EPM_EEFF-Consolidados-Notas-InformeAuditor_FY2025_al-31-12-2025.pdf</t>
  </si>
  <si>
    <t>BS p.8-9 / IS p.10 / SCE p.11 / CF p.12 / Segmentos Nota 47.1</t>
  </si>
  <si>
    <t>Auditor Ernst &amp; Young Audit S.A.S., certificacion firmada 17-mar-2026.</t>
  </si>
  <si>
    <t>Politica de sourcing por columna: cada columna anual toma la cifra "de año propio" (own-year) del informe donde ese año fue el cierre corriente, no la cifra comparativa re-expresada en un informe posterior. Se detectaron reexpresiones/reclasificaciones entre informes consecutivos para el mismo año (ej. FY2023 en el informe FY2023 vs FY2023 comparativo en el informe FY2024: Total activo 77,097,982 vs 76,801,520; Deudores comerciales corriente 8,463,392 vs 8,166,930; Total pasivo 45,878,166 vs 45,745,796). No se investigo la causa de la reexpresion en esta pasada — riesgo documentado, no resuelto.</t>
  </si>
  <si>
    <t>Politica FX: COP es la moneda nativa de los EEFF (NCIF/IFRS Colombia). Capa USD (hoja USD_Presentation) usa TRM de cierre implicita en la revaluacion del bono internacional USD 1,000mm de EPM (Notas 22/23/24 segun informe): FY2022=4,810.20 FY2023=3,822.05 FY2024=4,409.15 FY2025=3,757.08 COP/USD. Es capa memo informativa, no sustituye los estados nativos.</t>
  </si>
  <si>
    <t>Nota_ segmentos: cobertura completa FY2022-FY2025 (ingresos de clientes externos por 8 segmentos operativos, Nota 46.1/47.1). Adiciones de activos no corrientes por segmento solo capturadas para FY2025 en esta pasada (gap documentado en el reporte interno (no publicado)).</t>
  </si>
  <si>
    <t>Fuentes descargadas y verificadas (pdftotext/pdfinfo) según la copia local del mantenedor - URLs exactas del portal epm.com.co/inversionistas alli documentadas.</t>
  </si>
  <si>
    <t>Turn #</t>
  </si>
  <si>
    <t>User Request</t>
  </si>
  <si>
    <t>Action Taken</t>
  </si>
  <si>
    <t>Details</t>
  </si>
  <si>
    <t>Outcome</t>
  </si>
  <si>
    <t>Prepare a public model copy</t>
  </si>
  <si>
    <t>Remove local paths and private build references; preserve financial formulas and inputs</t>
  </si>
  <si>
    <t>Agent run with MOG as the tool, checked by guard v1. The guard measured every sheet before and after the run.
Changed: Change_Log: 1 cell written, at B7; Sources_Audited: 3 cells written, at C3, A11, A12.
Agent: OpenFinmods export</t>
  </si>
  <si>
    <t>Compare against source and review public copy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</si>
</sst>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;[Red](#,##0.0);-"/>
    <numFmt numFmtId="166" formatCode="0.0%;[Red](0.0%);-"/>
    <numFmt numFmtId="167" formatCode="0.0%"/>
    <numFmt numFmtId="168" formatCode="yyyy\-mm\-dd hh:mm"/>
  </numFmts>
  <fonts count="15">
    <font>
      <sz val="11"/>
      <color theme="1"/>
      <name val="Calibri"/>
      <family val="2"/>
      <scheme val="minor"/>
    </font>
    <font>
      <sz val="11"/>
      <name val="Carlito"/>
    </font>
    <font>
      <b val="0"/>
      <i val="0"/>
      <strike val="0"/>
      <sz val="11"/>
      <name val="Carlito"/>
    </font>
    <font>
      <b val="0"/>
      <i val="0"/>
      <strike val="0"/>
      <sz val="16"/>
      <color rgb="FFFFFFFF"/>
      <name val="Carlito"/>
    </font>
    <font>
      <b val="0"/>
      <i val="0"/>
      <strike val="0"/>
      <sz val="10"/>
      <color rgb="FF595959"/>
      <name val="Carlito"/>
    </font>
    <font>
      <b val="0"/>
      <i val="0"/>
      <strike val="0"/>
      <sz val="11"/>
      <color rgb="FFFFFFFF"/>
      <name val="Carlito"/>
    </font>
    <font>
      <b val="0"/>
      <i val="0"/>
      <strike val="0"/>
      <sz val="10"/>
      <color rgb="FFFFFFFF"/>
      <name val="Aptos"/>
    </font>
    <font>
      <b val="0"/>
      <i val="0"/>
      <strike val="0"/>
      <sz val="10"/>
      <color rgb="FF595959"/>
      <name val="Aptos"/>
    </font>
    <font>
      <b val="0"/>
      <i val="0"/>
      <strike val="0"/>
      <sz val="10"/>
      <name val="Aptos"/>
    </font>
    <font>
      <b val="0"/>
      <i val="0"/>
      <strike val="0"/>
      <sz val="11"/>
      <color rgb="FF0000FF"/>
      <name val="Carlito"/>
    </font>
    <font>
      <b val="0"/>
      <i val="0"/>
      <strike val="0"/>
      <sz val="10"/>
      <color rgb="FF0000FF"/>
      <name val="Aptos"/>
    </font>
    <font>
      <b val="0"/>
      <i val="0"/>
      <strike val="0"/>
      <sz val="11"/>
      <color rgb="FF17365D"/>
      <name val="Carlito"/>
    </font>
    <font>
      <b val="0"/>
      <i val="0"/>
      <strike val="0"/>
      <sz val="10"/>
      <color rgb="FF17365D"/>
      <name val="Aptos"/>
    </font>
    <font>
      <b/>
      <i val="0"/>
      <strike val="0"/>
      <sz val="10"/>
      <color rgb="FF000000"/>
      <name val="Arial"/>
    </font>
    <font>
      <b val="0"/>
      <i val="0"/>
      <strike val="0"/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EAF3F8"/>
        <bgColor rgb="FFEAF3F8"/>
      </patternFill>
    </fill>
    <fill>
      <patternFill patternType="solid">
        <fgColor rgb="FFD9EAF7"/>
        <bgColor rgb="FFD9EAF7"/>
      </patternFill>
    </fill>
  </fills>
  <borders count="5">
    <border/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1F4E78"/>
      </left>
      <right style="thin">
        <color rgb="FF1F4E78"/>
      </right>
      <top style="thin">
        <color rgb="FF1F4E78"/>
      </top>
    </border>
    <border>
      <left style="thin">
        <color rgb="FF1F4E78"/>
      </left>
      <right style="thin">
        <color rgb="FF1F4E78"/>
      </right>
    </border>
    <border>
      <left style="thin">
        <color rgb="FF1F4E78"/>
      </left>
      <right style="thin">
        <color rgb="FF1F4E78"/>
      </right>
      <bottom style="thin">
        <color rgb="FF1F4E78"/>
      </bottom>
    </border>
  </borders>
  <cellStyleXfs count="1">
    <xf numFmtId="0" fontId="1" fillId="0" borderId="0"/>
  </cellStyleXfs>
  <cellXfs count="59">
    <xf numFmtId="0" fontId="1" fillId="0" borderId="0" xfId="0" applyFont="1"/>
    <xf numFmtId="164" fontId="2" fillId="2" borderId="0" xfId="0" applyNumberFormat="1" applyFont="1" applyFill="1"/>
    <xf numFmtId="164" fontId="3" fillId="2" borderId="0" xfId="0" applyNumberFormat="1" applyFont="1" applyFill="1"/>
    <xf numFmtId="164" fontId="4" fillId="0" borderId="0" xfId="0" applyNumberFormat="1" applyFont="1"/>
    <xf numFmtId="164" fontId="4" fillId="0" borderId="0" xfId="0" applyNumberFormat="1" applyFont="1" applyAlignment="1">
      <alignment horizontal="general" vertical="bottom" textRotation="0" wrapText="1" indent="0" readingOrder="0"/>
    </xf>
    <xf numFmtId="164" fontId="2" fillId="3" borderId="0" xfId="0" applyNumberFormat="1" applyFont="1" applyFill="1"/>
    <xf numFmtId="164" fontId="5" fillId="3" borderId="0" xfId="0" applyNumberFormat="1" applyFont="1" applyFill="1"/>
    <xf numFmtId="164" fontId="5" fillId="3" borderId="1" xfId="0" applyNumberFormat="1" applyFont="1" applyFill="1" applyBorder="1"/>
    <xf numFmtId="164" fontId="2" fillId="4" borderId="0" xfId="0" applyNumberFormat="1" applyFont="1" applyFill="1"/>
    <xf numFmtId="164" fontId="2" fillId="5" borderId="0" xfId="0" applyNumberFormat="1" applyFont="1" applyFill="1"/>
    <xf numFmtId="164" fontId="2" fillId="5" borderId="0" xfId="0" applyNumberFormat="1" applyFont="1" applyFill="1" applyAlignment="1">
      <alignment horizontal="general" vertical="bottom" textRotation="0" wrapText="1" indent="0" readingOrder="0"/>
    </xf>
    <xf numFmtId="164" fontId="6" fillId="2" borderId="0" xfId="0" applyNumberFormat="1" applyFont="1" applyFill="1"/>
    <xf numFmtId="164" fontId="7" fillId="0" borderId="0" xfId="0" applyNumberFormat="1" applyFont="1" applyAlignment="1">
      <alignment horizontal="general" vertical="bottom" textRotation="0" wrapText="1" indent="0" readingOrder="0"/>
    </xf>
    <xf numFmtId="164" fontId="8" fillId="0" borderId="0" xfId="0" applyNumberFormat="1" applyFont="1"/>
    <xf numFmtId="164" fontId="6" fillId="3" borderId="1" xfId="0" applyNumberFormat="1" applyFont="1" applyFill="1" applyBorder="1"/>
    <xf numFmtId="164" fontId="8" fillId="4" borderId="0" xfId="0" applyNumberFormat="1" applyFont="1" applyFill="1"/>
    <xf numFmtId="164" fontId="8" fillId="5" borderId="0" xfId="0" applyNumberFormat="1" applyFont="1" applyFill="1" applyAlignment="1">
      <alignment horizontal="general" vertical="bottom" textRotation="0" wrapText="1" indent="0" readingOrder="0"/>
    </xf>
    <xf numFmtId="164" fontId="6" fillId="2" borderId="0" xfId="0" applyNumberFormat="1" applyFont="1" applyFill="1" applyAlignment="1">
      <alignment horizontal="general" vertical="bottom" textRotation="0" wrapText="1" indent="0" readingOrder="0"/>
    </xf>
    <xf numFmtId="164" fontId="8" fillId="0" borderId="0" xfId="0" applyNumberFormat="1" applyFont="1" applyAlignment="1">
      <alignment horizontal="general" vertical="bottom" textRotation="0" wrapText="1" indent="0" readingOrder="0"/>
    </xf>
    <xf numFmtId="164" fontId="6" fillId="3" borderId="1" xfId="0" applyNumberFormat="1" applyFont="1" applyFill="1" applyBorder="1" applyAlignment="1">
      <alignment horizontal="general" vertical="bottom" textRotation="0" wrapText="1" indent="0" readingOrder="0"/>
    </xf>
    <xf numFmtId="164" fontId="8" fillId="4" borderId="0" xfId="0" applyNumberFormat="1" applyFont="1" applyFill="1" applyAlignment="1">
      <alignment horizontal="general" vertical="bottom" textRotation="0" wrapText="1" indent="0" readingOrder="0"/>
    </xf>
    <xf numFmtId="164" fontId="2" fillId="0" borderId="1" xfId="0" applyNumberFormat="1" applyFont="1" applyBorder="1"/>
    <xf numFmtId="164" fontId="8" fillId="0" borderId="1" xfId="0" applyNumberFormat="1" applyFont="1" applyBorder="1"/>
    <xf numFmtId="164" fontId="8" fillId="0" borderId="1" xfId="0" applyNumberFormat="1" applyFont="1" applyBorder="1" applyAlignment="1">
      <alignment horizontal="general" vertical="bottom" textRotation="0" wrapText="1" indent="0" readingOrder="0"/>
    </xf>
    <xf numFmtId="165" fontId="2" fillId="0" borderId="0" xfId="0" applyNumberFormat="1" applyFont="1"/>
    <xf numFmtId="165" fontId="2" fillId="0" borderId="1" xfId="0" applyNumberFormat="1" applyFont="1" applyBorder="1"/>
    <xf numFmtId="165" fontId="8" fillId="0" borderId="1" xfId="0" applyNumberFormat="1" applyFont="1" applyBorder="1"/>
    <xf numFmtId="165" fontId="8" fillId="0" borderId="1" xfId="0" applyNumberFormat="1" applyFont="1" applyBorder="1" applyAlignment="1">
      <alignment horizontal="general" vertical="bottom" textRotation="0" wrapText="1" indent="0" readingOrder="0"/>
    </xf>
    <xf numFmtId="164" fontId="9" fillId="0" borderId="0" xfId="0" applyNumberFormat="1" applyFont="1"/>
    <xf numFmtId="166" fontId="2" fillId="0" borderId="0" xfId="0" applyNumberFormat="1" applyFont="1"/>
    <xf numFmtId="166" fontId="9" fillId="0" borderId="0" xfId="0" applyNumberFormat="1" applyFont="1"/>
    <xf numFmtId="166" fontId="9" fillId="0" borderId="1" xfId="0" applyNumberFormat="1" applyFont="1" applyBorder="1"/>
    <xf numFmtId="166" fontId="2" fillId="0" borderId="1" xfId="0" applyNumberFormat="1" applyFont="1" applyBorder="1"/>
    <xf numFmtId="164" fontId="10" fillId="0" borderId="0" xfId="0" applyNumberFormat="1" applyFont="1"/>
    <xf numFmtId="166" fontId="10" fillId="0" borderId="1" xfId="0" applyNumberFormat="1" applyFont="1" applyBorder="1"/>
    <xf numFmtId="166" fontId="8" fillId="0" borderId="1" xfId="0" applyNumberFormat="1" applyFont="1" applyBorder="1"/>
    <xf numFmtId="164" fontId="10" fillId="0" borderId="0" xfId="0" applyNumberFormat="1" applyFont="1" applyAlignment="1">
      <alignment horizontal="general" vertical="bottom" textRotation="0" wrapText="1" indent="0" readingOrder="0"/>
    </xf>
    <xf numFmtId="166" fontId="10" fillId="0" borderId="1" xfId="0" applyNumberFormat="1" applyFont="1" applyBorder="1" applyAlignment="1">
      <alignment horizontal="general" vertical="bottom" textRotation="0" wrapText="1" indent="0" readingOrder="0"/>
    </xf>
    <xf numFmtId="166" fontId="8" fillId="0" borderId="1" xfId="0" applyNumberFormat="1" applyFont="1" applyBorder="1" applyAlignment="1">
      <alignment horizontal="general" vertical="bottom" textRotation="0" wrapText="1" indent="0" readingOrder="0"/>
    </xf>
    <xf numFmtId="164" fontId="2" fillId="6" borderId="0" xfId="0" applyNumberFormat="1" applyFont="1" applyFill="1"/>
    <xf numFmtId="164" fontId="11" fillId="6" borderId="0" xfId="0" applyNumberFormat="1" applyFont="1" applyFill="1"/>
    <xf numFmtId="164" fontId="11" fillId="6" borderId="2" xfId="0" applyNumberFormat="1" applyFont="1" applyFill="1" applyBorder="1"/>
    <xf numFmtId="164" fontId="11" fillId="6" borderId="3" xfId="0" applyNumberFormat="1" applyFont="1" applyFill="1" applyBorder="1"/>
    <xf numFmtId="164" fontId="11" fillId="6" borderId="4" xfId="0" applyNumberFormat="1" applyFont="1" applyFill="1" applyBorder="1"/>
    <xf numFmtId="164" fontId="11" fillId="6" borderId="1" xfId="0" applyNumberFormat="1" applyFont="1" applyFill="1" applyBorder="1"/>
    <xf numFmtId="164" fontId="12" fillId="6" borderId="1" xfId="0" applyNumberFormat="1" applyFont="1" applyFill="1" applyBorder="1"/>
    <xf numFmtId="164" fontId="12" fillId="6" borderId="1" xfId="0" applyNumberFormat="1" applyFont="1" applyFill="1" applyBorder="1" applyAlignment="1">
      <alignment horizontal="general" vertical="bottom" textRotation="0" wrapText="1" indent="0" readingOrder="0"/>
    </xf>
    <xf numFmtId="165" fontId="5" fillId="3" borderId="1" xfId="0" applyNumberFormat="1" applyFont="1" applyFill="1" applyBorder="1"/>
    <xf numFmtId="165" fontId="6" fillId="3" borderId="1" xfId="0" applyNumberFormat="1" applyFont="1" applyFill="1" applyBorder="1"/>
    <xf numFmtId="165" fontId="6" fillId="3" borderId="1" xfId="0" applyNumberFormat="1" applyFont="1" applyFill="1" applyBorder="1" applyAlignment="1">
      <alignment horizontal="general" vertical="bottom" textRotation="0" wrapText="1" indent="0" readingOrder="0"/>
    </xf>
    <xf numFmtId="167" fontId="5" fillId="3" borderId="1" xfId="0" applyNumberFormat="1" applyFont="1" applyFill="1" applyBorder="1"/>
    <xf numFmtId="167" fontId="6" fillId="3" borderId="1" xfId="0" applyNumberFormat="1" applyFont="1" applyFill="1" applyBorder="1"/>
    <xf numFmtId="167" fontId="6" fillId="3" borderId="1" xfId="0" applyNumberFormat="1" applyFont="1" applyFill="1" applyBorder="1" applyAlignment="1">
      <alignment horizontal="general" vertical="bottom" textRotation="0" wrapText="1" indent="0" readingOrder="0"/>
    </xf>
    <xf numFmtId="164" fontId="9" fillId="0" borderId="1" xfId="0" applyNumberFormat="1" applyFont="1" applyBorder="1"/>
    <xf numFmtId="164" fontId="10" fillId="0" borderId="1" xfId="0" applyNumberFormat="1" applyFont="1" applyBorder="1"/>
    <xf numFmtId="164" fontId="10" fillId="0" borderId="1" xfId="0" applyNumberFormat="1" applyFont="1" applyBorder="1" applyAlignment="1">
      <alignment horizontal="general" vertical="bottom" textRotation="0" wrapText="1" indent="0" readingOrder="0"/>
    </xf>
    <xf numFmtId="0" fontId="13" fillId="0" borderId="0" xfId="0" applyFont="1" applyFill="1" applyProtection="1">
      <protection locked="1" hidden="0"/>
    </xf>
    <xf numFmtId="0" fontId="14" fillId="0" borderId="0" xfId="0" applyFont="1" applyFill="1" applyAlignment="1" applyProtection="1">
      <alignment vertical="top"/>
      <protection locked="1" hidden="0"/>
    </xf>
    <xf numFmtId="168" fontId="14" fillId="0" borderId="0" xfId="0" applyNumberFormat="1" applyFont="1" applyFill="1" applyAlignment="1" applyProtection="1">
      <alignment vertical="top"/>
      <protection locked="1" hidden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44b0a2b6ce9a4194" Type="http://schemas.openxmlformats.org/officeDocument/2006/relationships/styles" Target="/xl/styles.xml"/><Relationship Id="R320d135e660f4302" Type="http://schemas.openxmlformats.org/officeDocument/2006/relationships/theme" Target="/xl/theme/theme1.xml"/><Relationship Id="Ra56ed7efc7bd4ae4" Type="http://schemas.openxmlformats.org/officeDocument/2006/relationships/sharedStrings" Target="/xl/sharedStrings.xml"/><Relationship Id="R0d7ee0b1e7c24b5f" Type="http://schemas.openxmlformats.org/officeDocument/2006/relationships/worksheet" Target="/xl/worksheets/sheet1.xml"/><Relationship Id="R2c1ad5ac5016482f" Type="http://schemas.openxmlformats.org/officeDocument/2006/relationships/worksheet" Target="/xl/worksheets/sheet2.xml"/><Relationship Id="R016d966faaaf4f28" Type="http://schemas.openxmlformats.org/officeDocument/2006/relationships/worksheet" Target="/xl/worksheets/sheet3.xml"/><Relationship Id="R826d2d6e99584913" Type="http://schemas.openxmlformats.org/officeDocument/2006/relationships/worksheet" Target="/xl/worksheets/sheet4.xml"/><Relationship Id="Rabaa562f480e4348" Type="http://schemas.openxmlformats.org/officeDocument/2006/relationships/worksheet" Target="/xl/worksheets/sheet5.xml"/><Relationship Id="R4be6521f30634d79" Type="http://schemas.openxmlformats.org/officeDocument/2006/relationships/worksheet" Target="/xl/worksheets/sheet6.xml"/><Relationship Id="R639f34437d4843c8" Type="http://schemas.openxmlformats.org/officeDocument/2006/relationships/worksheet" Target="/xl/worksheets/sheet7.xml"/><Relationship Id="Rbc420941d34841f2" Type="http://schemas.openxmlformats.org/officeDocument/2006/relationships/worksheet" Target="/xl/worksheets/sheet8.xml"/><Relationship Id="R46d11a7a6d9b4a7b" Type="http://schemas.openxmlformats.org/officeDocument/2006/relationships/worksheet" Target="/xl/worksheets/sheet9.xml"/><Relationship Id="Rc45062fa40614a15" Type="http://schemas.openxmlformats.org/officeDocument/2006/relationships/worksheet" Target="/xl/worksheets/sheet10.xml"/><Relationship Id="rId1" Type="http://schemas.openxmlformats.org/officeDocument/2006/relationships/worksheet" Target="worksheets/sheet11.xml"/><Relationship Id="rId2" Type="http://schemas.openxmlformats.org/officeDocument/2006/relationships/worksheet" Target="worksheets/sheet12.xml"/><Relationship Id="rId3" Type="http://schemas.openxmlformats.org/officeDocument/2006/relationships/worksheet" Target="worksheets/sheet13.xml"/><Relationship Id="rId4" Type="http://schemas.openxmlformats.org/officeDocument/2006/relationships/worksheet" Target="worksheets/sheet14.xml"/><Relationship Id="rId5" Type="http://schemas.openxmlformats.org/officeDocument/2006/relationships/worksheet" Target="worksheets/sheet15.xml"/><Relationship Id="rId6" Type="http://schemas.openxmlformats.org/officeDocument/2006/relationships/worksheet" Target="worksheets/sheet16.xml"/><Relationship Id="rId7" Type="http://schemas.openxmlformats.org/officeDocument/2006/relationships/worksheet" Target="worksheets/sheet17.xml"/><Relationship Id="rId8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7"/>
  <sheetViews>
    <sheetView showGridLines="0" tabSelected="1" workbookViewId="0"/>
  </sheetViews>
  <sheetFormatPr defaultRowHeight="15"/>
  <cols>
    <col min="1" max="1" width="28" customWidth="1"/>
    <col min="2" max="2" width="85" customWidth="1"/>
    <col min="3" max="8" width="15" customWidth="1"/>
  </cols>
  <sheetData>
    <row r="1" ht="28" customHeight="1">
      <c r="A1" s="17" t="s">
        <v>0</v>
      </c>
      <c r="B1" s="17"/>
      <c r="C1" s="17"/>
      <c r="D1" s="17"/>
      <c r="E1" s="17"/>
      <c r="F1" s="17"/>
      <c r="G1" s="17"/>
      <c r="H1" s="17"/>
    </row>
    <row r="2" ht="30" customHeight="1">
      <c r="A2" s="12" t="s">
        <v>1</v>
      </c>
      <c r="B2" s="12"/>
      <c r="C2" s="12"/>
      <c r="D2" s="12"/>
      <c r="E2" s="12"/>
      <c r="F2" s="12"/>
      <c r="G2" s="12"/>
      <c r="H2" s="12"/>
    </row>
    <row r="3">
      <c r="A3" s="18"/>
      <c r="B3" s="18"/>
      <c r="C3" s="18"/>
      <c r="D3" s="18"/>
      <c r="E3" s="18"/>
      <c r="F3" s="18"/>
      <c r="G3" s="18"/>
      <c r="H3" s="18"/>
    </row>
    <row r="4">
      <c r="A4" s="19" t="s">
        <v>2</v>
      </c>
      <c r="B4" s="19" t="s">
        <v>3</v>
      </c>
      <c r="C4" s="18"/>
      <c r="D4" s="18"/>
      <c r="E4" s="18"/>
      <c r="F4" s="18"/>
      <c r="G4" s="18"/>
      <c r="H4" s="18"/>
    </row>
    <row r="5">
      <c r="A5" s="18" t="s">
        <v>4</v>
      </c>
      <c r="B5" s="18" t="s">
        <v>5</v>
      </c>
      <c r="C5" s="18"/>
      <c r="D5" s="18"/>
      <c r="E5" s="18"/>
      <c r="F5" s="18"/>
      <c r="G5" s="18"/>
      <c r="H5" s="18"/>
    </row>
    <row r="6">
      <c r="A6" s="18" t="s">
        <v>6</v>
      </c>
      <c r="B6" s="18" t="s">
        <v>7</v>
      </c>
      <c r="C6" s="18"/>
      <c r="D6" s="18"/>
      <c r="E6" s="18"/>
      <c r="F6" s="18"/>
      <c r="G6" s="18"/>
      <c r="H6" s="18"/>
    </row>
    <row r="7">
      <c r="A7" s="18" t="s">
        <v>8</v>
      </c>
      <c r="B7" s="18" t="s">
        <v>9</v>
      </c>
      <c r="C7" s="18"/>
      <c r="D7" s="18"/>
      <c r="E7" s="18"/>
      <c r="F7" s="18"/>
      <c r="G7" s="18"/>
      <c r="H7" s="18"/>
    </row>
    <row r="8">
      <c r="A8" s="18" t="s">
        <v>10</v>
      </c>
      <c r="B8" s="18" t="s">
        <v>11</v>
      </c>
      <c r="C8" s="18"/>
      <c r="D8" s="18"/>
      <c r="E8" s="18"/>
      <c r="F8" s="18"/>
      <c r="G8" s="18"/>
      <c r="H8" s="18"/>
    </row>
    <row r="9">
      <c r="A9" s="18" t="s">
        <v>12</v>
      </c>
      <c r="B9" s="18" t="s">
        <v>13</v>
      </c>
      <c r="C9" s="18"/>
      <c r="D9" s="18"/>
      <c r="E9" s="18"/>
      <c r="F9" s="18"/>
      <c r="G9" s="18"/>
      <c r="H9" s="18"/>
    </row>
    <row r="10">
      <c r="A10" s="18" t="s">
        <v>14</v>
      </c>
      <c r="B10" s="18" t="s">
        <v>15</v>
      </c>
      <c r="C10" s="18"/>
      <c r="D10" s="18"/>
      <c r="E10" s="18"/>
      <c r="F10" s="18"/>
      <c r="G10" s="18"/>
      <c r="H10" s="18"/>
    </row>
    <row r="11">
      <c r="A11" s="18" t="s">
        <v>16</v>
      </c>
      <c r="B11" s="18" t="s">
        <v>17</v>
      </c>
      <c r="C11" s="18"/>
      <c r="D11" s="18"/>
      <c r="E11" s="18"/>
      <c r="F11" s="18"/>
      <c r="G11" s="18"/>
      <c r="H11" s="18"/>
    </row>
    <row r="12">
      <c r="A12" s="18" t="s">
        <v>18</v>
      </c>
      <c r="B12" s="18" t="s">
        <v>19</v>
      </c>
      <c r="C12" s="18"/>
      <c r="D12" s="18"/>
      <c r="E12" s="18"/>
      <c r="F12" s="18"/>
      <c r="G12" s="18"/>
      <c r="H12" s="18"/>
    </row>
    <row r="13">
      <c r="A13" s="20" t="s">
        <v>20</v>
      </c>
      <c r="B13" s="20" t="s">
        <v>21</v>
      </c>
      <c r="C13" s="18"/>
      <c r="D13" s="18"/>
      <c r="E13" s="18"/>
      <c r="F13" s="18"/>
      <c r="G13" s="18"/>
      <c r="H13" s="18"/>
    </row>
    <row r="14">
      <c r="A14" s="18"/>
      <c r="B14" s="18"/>
      <c r="C14" s="18"/>
      <c r="D14" s="18"/>
      <c r="E14" s="18"/>
      <c r="F14" s="18"/>
      <c r="G14" s="18"/>
      <c r="H14" s="18"/>
    </row>
    <row r="15" ht="45" customHeight="1">
      <c r="A15" s="16" t="s">
        <v>22</v>
      </c>
      <c r="B15" s="16"/>
      <c r="C15" s="16"/>
      <c r="D15" s="16"/>
      <c r="E15" s="16"/>
      <c r="F15" s="16"/>
      <c r="G15" s="16"/>
      <c r="H15" s="16"/>
    </row>
    <row r="16">
      <c r="A16" s="18"/>
      <c r="B16" s="18"/>
      <c r="C16" s="18"/>
      <c r="D16" s="18"/>
      <c r="E16" s="18"/>
      <c r="F16" s="18"/>
      <c r="G16" s="18"/>
      <c r="H16" s="18"/>
    </row>
    <row r="17">
      <c r="A17" s="18"/>
      <c r="B17" s="18"/>
      <c r="C17" s="18"/>
      <c r="D17" s="18"/>
      <c r="E17" s="18"/>
      <c r="F17" s="18"/>
      <c r="G17" s="18"/>
      <c r="H17" s="18"/>
    </row>
  </sheetData>
  <mergeCells count="3">
    <mergeCell ref="A1:H1"/>
    <mergeCell ref="A2:H2"/>
    <mergeCell ref="A15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0"/>
  <sheetViews>
    <sheetView showGridLines="0" workbookViewId="0"/>
  </sheetViews>
  <sheetFormatPr defaultRowHeight="15"/>
  <cols>
    <col min="1" max="1" width="31" customWidth="1"/>
    <col min="2" max="2" width="15" customWidth="1"/>
    <col min="3" max="3" width="48" customWidth="1"/>
    <col min="4" max="6" width="15" customWidth="1"/>
    <col min="7" max="7" width="45" customWidth="1"/>
    <col min="8" max="8" width="15" customWidth="1"/>
  </cols>
  <sheetData>
    <row r="1" ht="28" customHeight="1">
      <c r="A1" s="17" t="s">
        <v>23</v>
      </c>
      <c r="B1" s="17"/>
      <c r="C1" s="17"/>
      <c r="D1" s="17"/>
      <c r="E1" s="17"/>
      <c r="F1" s="17"/>
      <c r="G1" s="17"/>
      <c r="H1" s="17"/>
    </row>
    <row r="2" ht="30" customHeight="1">
      <c r="A2" s="12" t="s">
        <v>24</v>
      </c>
      <c r="B2" s="12"/>
      <c r="C2" s="12"/>
      <c r="D2" s="12"/>
      <c r="E2" s="12"/>
      <c r="F2" s="12"/>
      <c r="G2" s="12"/>
      <c r="H2" s="12"/>
    </row>
    <row r="3">
      <c r="A3" s="18"/>
      <c r="B3" s="18"/>
      <c r="C3" s="18"/>
      <c r="D3" s="18"/>
      <c r="E3" s="18"/>
      <c r="F3" s="18"/>
      <c r="G3" s="18"/>
      <c r="H3" s="18"/>
    </row>
    <row r="4">
      <c r="A4" s="19" t="s">
        <v>25</v>
      </c>
      <c r="B4" s="19" t="s">
        <v>26</v>
      </c>
      <c r="C4" s="19" t="s">
        <v>27</v>
      </c>
      <c r="D4" s="19" t="s">
        <v>28</v>
      </c>
      <c r="E4" s="19" t="s">
        <v>29</v>
      </c>
      <c r="F4" s="19" t="s">
        <v>30</v>
      </c>
      <c r="G4" s="19" t="s">
        <v>31</v>
      </c>
      <c r="H4" s="19" t="s">
        <v>32</v>
      </c>
    </row>
    <row r="5">
      <c r="A5" s="23" t="s">
        <v>33</v>
      </c>
      <c r="B5" s="23" t="s">
        <v>34</v>
      </c>
      <c r="C5" s="23" t="s">
        <v>35</v>
      </c>
      <c r="D5" s="23" t="s">
        <v>36</v>
      </c>
      <c r="E5" s="23" t="s">
        <v>11</v>
      </c>
      <c r="F5" s="23" t="s">
        <v>37</v>
      </c>
      <c r="G5" s="23" t="s">
        <v>38</v>
      </c>
      <c r="H5" s="23" t="s">
        <v>39</v>
      </c>
    </row>
    <row r="6">
      <c r="A6" s="23" t="s">
        <v>40</v>
      </c>
      <c r="B6" s="23" t="s">
        <v>41</v>
      </c>
      <c r="C6" s="23" t="s">
        <v>15</v>
      </c>
      <c r="D6" s="23" t="s">
        <v>42</v>
      </c>
      <c r="E6" s="23" t="s">
        <v>43</v>
      </c>
      <c r="F6" s="23" t="s">
        <v>44</v>
      </c>
      <c r="G6" s="23" t="s">
        <v>45</v>
      </c>
      <c r="H6" s="23" t="s">
        <v>46</v>
      </c>
    </row>
    <row r="7">
      <c r="A7" s="23" t="s">
        <v>47</v>
      </c>
      <c r="B7" s="23" t="s">
        <v>48</v>
      </c>
      <c r="C7" s="23" t="s">
        <v>49</v>
      </c>
      <c r="D7" s="23" t="s">
        <v>42</v>
      </c>
      <c r="E7" s="23" t="s">
        <v>11</v>
      </c>
      <c r="F7" s="23" t="s">
        <v>50</v>
      </c>
      <c r="G7" s="23" t="s">
        <v>51</v>
      </c>
      <c r="H7" s="23" t="s">
        <v>52</v>
      </c>
    </row>
    <row r="8">
      <c r="A8" s="23" t="s">
        <v>53</v>
      </c>
      <c r="B8" s="23" t="s">
        <v>54</v>
      </c>
      <c r="C8" s="23" t="s">
        <v>55</v>
      </c>
      <c r="D8" s="23" t="s">
        <v>42</v>
      </c>
      <c r="E8" s="23" t="s">
        <v>56</v>
      </c>
      <c r="F8" s="23" t="s">
        <v>57</v>
      </c>
      <c r="G8" s="23" t="s">
        <v>58</v>
      </c>
      <c r="H8" s="23" t="s">
        <v>59</v>
      </c>
    </row>
    <row r="9">
      <c r="A9" s="18"/>
      <c r="B9" s="18"/>
      <c r="C9" s="18"/>
      <c r="D9" s="18"/>
      <c r="E9" s="18"/>
      <c r="F9" s="18"/>
      <c r="G9" s="18"/>
      <c r="H9" s="18"/>
    </row>
    <row r="10">
      <c r="A10" s="18"/>
      <c r="B10" s="18"/>
      <c r="C10" s="18"/>
      <c r="D10" s="18"/>
      <c r="E10" s="18"/>
      <c r="F10" s="18"/>
      <c r="G10" s="18"/>
      <c r="H10" s="18"/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7"/>
  <sheetViews>
    <sheetView showGridLines="0" workbookViewId="0"/>
  </sheetViews>
  <sheetFormatPr defaultRowHeight="15"/>
  <cols>
    <col min="1" max="1" width="31" customWidth="1"/>
    <col min="2" max="6" width="15" customWidth="1"/>
    <col min="7" max="7" width="36" customWidth="1"/>
    <col min="8" max="8" width="22" customWidth="1"/>
  </cols>
  <sheetData>
    <row r="1" ht="28" customHeight="1">
      <c r="A1" s="17" t="s">
        <v>60</v>
      </c>
      <c r="B1" s="17"/>
      <c r="C1" s="17"/>
      <c r="D1" s="17"/>
      <c r="E1" s="17"/>
      <c r="F1" s="17"/>
      <c r="G1" s="17"/>
      <c r="H1" s="17"/>
    </row>
    <row r="2" ht="30" customHeight="1">
      <c r="A2" s="12" t="s">
        <v>61</v>
      </c>
      <c r="B2" s="12"/>
      <c r="C2" s="12"/>
      <c r="D2" s="12"/>
      <c r="E2" s="12"/>
      <c r="F2" s="12"/>
      <c r="G2" s="12"/>
      <c r="H2" s="12"/>
    </row>
    <row r="3">
      <c r="A3" s="18"/>
      <c r="B3" s="18"/>
      <c r="C3" s="18"/>
      <c r="D3" s="18"/>
      <c r="E3" s="18"/>
      <c r="F3" s="18"/>
      <c r="G3" s="18"/>
      <c r="H3" s="18"/>
    </row>
    <row r="4">
      <c r="A4" s="19" t="s">
        <v>62</v>
      </c>
      <c r="B4" s="19" t="s">
        <v>63</v>
      </c>
      <c r="C4" s="19" t="s">
        <v>64</v>
      </c>
      <c r="D4" s="19" t="s">
        <v>65</v>
      </c>
      <c r="E4" s="19" t="s">
        <v>66</v>
      </c>
      <c r="F4" s="19" t="s">
        <v>67</v>
      </c>
      <c r="G4" s="19" t="s">
        <v>68</v>
      </c>
      <c r="H4" s="19" t="s">
        <v>69</v>
      </c>
    </row>
    <row r="5">
      <c r="A5" s="23" t="s">
        <v>70</v>
      </c>
      <c r="B5" s="27"/>
      <c r="C5" s="27"/>
      <c r="D5" s="27"/>
      <c r="E5" s="27"/>
      <c r="F5" s="27">
        <v>12599.031177947352</v>
      </c>
      <c r="G5" s="23" t="s">
        <v>71</v>
      </c>
      <c r="H5" s="23" t="s">
        <v>72</v>
      </c>
    </row>
    <row r="6">
      <c r="A6" s="23" t="s">
        <v>73</v>
      </c>
      <c r="B6" s="27"/>
      <c r="C6" s="27"/>
      <c r="D6" s="27"/>
      <c r="E6" s="27"/>
      <c r="F6" s="27"/>
      <c r="G6" s="23" t="s">
        <v>71</v>
      </c>
      <c r="H6" s="23" t="s">
        <v>74</v>
      </c>
    </row>
    <row r="7">
      <c r="A7" s="23" t="s">
        <v>75</v>
      </c>
      <c r="B7" s="27"/>
      <c r="C7" s="27"/>
      <c r="D7" s="27"/>
      <c r="E7" s="27"/>
      <c r="F7" s="27">
        <v>3413.5306147148</v>
      </c>
      <c r="G7" s="23" t="s">
        <v>71</v>
      </c>
      <c r="H7" s="23" t="s">
        <v>72</v>
      </c>
    </row>
    <row r="8">
      <c r="A8" s="23" t="s">
        <v>76</v>
      </c>
      <c r="B8" s="27"/>
      <c r="C8" s="27"/>
      <c r="D8" s="27"/>
      <c r="E8" s="27"/>
      <c r="F8" s="27">
        <v>1644.7011143625853</v>
      </c>
      <c r="G8" s="23" t="s">
        <v>71</v>
      </c>
      <c r="H8" s="23" t="s">
        <v>72</v>
      </c>
    </row>
    <row r="9">
      <c r="A9" s="23" t="s">
        <v>77</v>
      </c>
      <c r="B9" s="27"/>
      <c r="C9" s="27"/>
      <c r="D9" s="27"/>
      <c r="E9" s="27"/>
      <c r="F9" s="27"/>
      <c r="G9" s="23" t="s">
        <v>71</v>
      </c>
      <c r="H9" s="23" t="s">
        <v>74</v>
      </c>
    </row>
    <row r="10">
      <c r="A10" s="23" t="s">
        <v>78</v>
      </c>
      <c r="B10" s="27"/>
      <c r="C10" s="27"/>
      <c r="D10" s="27"/>
      <c r="E10" s="27"/>
      <c r="F10" s="27"/>
      <c r="G10" s="23" t="s">
        <v>71</v>
      </c>
      <c r="H10" s="23" t="s">
        <v>74</v>
      </c>
    </row>
    <row r="11">
      <c r="A11" s="23" t="s">
        <v>79</v>
      </c>
      <c r="B11" s="27"/>
      <c r="C11" s="27"/>
      <c r="D11" s="27"/>
      <c r="E11" s="27"/>
      <c r="F11" s="27"/>
      <c r="G11" s="23" t="s">
        <v>71</v>
      </c>
      <c r="H11" s="23" t="s">
        <v>74</v>
      </c>
    </row>
    <row r="12">
      <c r="A12" s="23" t="s">
        <v>80</v>
      </c>
      <c r="B12" s="27"/>
      <c r="C12" s="27"/>
      <c r="D12" s="27"/>
      <c r="E12" s="27"/>
      <c r="F12" s="27"/>
      <c r="G12" s="23" t="s">
        <v>71</v>
      </c>
      <c r="H12" s="23" t="s">
        <v>74</v>
      </c>
    </row>
    <row r="13">
      <c r="A13" s="23" t="s">
        <v>81</v>
      </c>
      <c r="B13" s="27"/>
      <c r="C13" s="27"/>
      <c r="D13" s="27"/>
      <c r="E13" s="27"/>
      <c r="F13" s="27"/>
      <c r="G13" s="23" t="s">
        <v>71</v>
      </c>
      <c r="H13" s="23" t="s">
        <v>74</v>
      </c>
    </row>
    <row r="14">
      <c r="A14" s="23" t="s">
        <v>82</v>
      </c>
      <c r="B14" s="27"/>
      <c r="C14" s="27"/>
      <c r="D14" s="27"/>
      <c r="E14" s="27"/>
      <c r="F14" s="27"/>
      <c r="G14" s="23" t="s">
        <v>71</v>
      </c>
      <c r="H14" s="23" t="s">
        <v>74</v>
      </c>
    </row>
    <row r="15">
      <c r="A15" s="23" t="s">
        <v>83</v>
      </c>
      <c r="B15" s="27"/>
      <c r="C15" s="27"/>
      <c r="D15" s="27"/>
      <c r="E15" s="27"/>
      <c r="F15" s="27"/>
      <c r="G15" s="23" t="s">
        <v>71</v>
      </c>
      <c r="H15" s="23" t="s">
        <v>74</v>
      </c>
    </row>
    <row r="16">
      <c r="A16" s="23" t="s">
        <v>84</v>
      </c>
      <c r="B16" s="27"/>
      <c r="C16" s="27"/>
      <c r="D16" s="27"/>
      <c r="E16" s="27"/>
      <c r="F16" s="27"/>
      <c r="G16" s="23" t="s">
        <v>71</v>
      </c>
      <c r="H16" s="23" t="s">
        <v>74</v>
      </c>
    </row>
    <row r="17">
      <c r="A17" s="18"/>
      <c r="B17" s="18"/>
      <c r="C17" s="18"/>
      <c r="D17" s="18"/>
      <c r="E17" s="18"/>
      <c r="F17" s="18"/>
      <c r="G17" s="18"/>
      <c r="H17" s="18"/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5"/>
  <sheetViews>
    <sheetView showGridLines="0" workbookViewId="0"/>
  </sheetViews>
  <sheetFormatPr defaultRowHeight="15"/>
  <cols>
    <col min="1" max="1" width="31" customWidth="1"/>
    <col min="2" max="5" width="15" customWidth="1"/>
    <col min="6" max="6" width="55" customWidth="1"/>
    <col min="7" max="8" width="15" customWidth="1"/>
  </cols>
  <sheetData>
    <row r="1" ht="28" customHeight="1">
      <c r="A1" s="17" t="s">
        <v>85</v>
      </c>
      <c r="B1" s="17"/>
      <c r="C1" s="17"/>
      <c r="D1" s="17"/>
      <c r="E1" s="17"/>
      <c r="F1" s="17"/>
      <c r="G1" s="2"/>
      <c r="H1" s="2"/>
    </row>
    <row r="2" ht="30" customHeight="1">
      <c r="A2" s="12" t="s">
        <v>86</v>
      </c>
      <c r="B2" s="12"/>
      <c r="C2" s="12"/>
      <c r="D2" s="12"/>
      <c r="E2" s="12"/>
      <c r="F2" s="12"/>
      <c r="G2" s="4"/>
      <c r="H2" s="4"/>
    </row>
    <row r="3">
      <c r="A3" s="18" t="s">
        <v>87</v>
      </c>
      <c r="B3" s="36">
        <v>1</v>
      </c>
      <c r="C3" s="18"/>
      <c r="D3" s="18"/>
      <c r="E3" s="18"/>
      <c r="F3" s="18"/>
    </row>
    <row r="4">
      <c r="A4" s="19" t="s">
        <v>62</v>
      </c>
      <c r="B4" s="19" t="s">
        <v>88</v>
      </c>
      <c r="C4" s="19" t="s">
        <v>89</v>
      </c>
      <c r="D4" s="19" t="s">
        <v>90</v>
      </c>
      <c r="E4" s="19" t="s">
        <v>91</v>
      </c>
      <c r="F4" s="19" t="s">
        <v>92</v>
      </c>
    </row>
    <row r="5">
      <c r="A5" s="23" t="s">
        <v>93</v>
      </c>
      <c r="B5" s="37">
        <v>0.020000000000000004</v>
      </c>
      <c r="C5" s="37">
        <v>0.05</v>
      </c>
      <c r="D5" s="37">
        <v>0.08</v>
      </c>
      <c r="E5" s="38">
        <f>CHOOSE($B$3,C5,D5,B5)</f>
        <v>0.05</v>
      </c>
      <c r="F5" s="23" t="s">
        <v>94</v>
      </c>
    </row>
    <row r="6">
      <c r="A6" s="23" t="s">
        <v>95</v>
      </c>
      <c r="B6" s="37">
        <v>0.240935960591133</v>
      </c>
      <c r="C6" s="37">
        <v>0.270935960591133</v>
      </c>
      <c r="D6" s="37">
        <v>0.30093596059113303</v>
      </c>
      <c r="E6" s="38">
        <f>CHOOSE($B$3,C6,D6,B6)</f>
        <v>0.270935960591133</v>
      </c>
      <c r="F6" s="23" t="s">
        <v>96</v>
      </c>
    </row>
    <row r="7">
      <c r="A7" s="23" t="s">
        <v>97</v>
      </c>
      <c r="B7" s="37">
        <v>0.25</v>
      </c>
      <c r="C7" s="37">
        <v>0.22</v>
      </c>
      <c r="D7" s="37">
        <v>0.19</v>
      </c>
      <c r="E7" s="38">
        <f>CHOOSE($B$3,C7,D7,B7)</f>
        <v>0.22</v>
      </c>
      <c r="F7" s="23" t="s">
        <v>98</v>
      </c>
    </row>
    <row r="8">
      <c r="A8" s="23" t="s">
        <v>99</v>
      </c>
      <c r="B8" s="37">
        <v>0.03</v>
      </c>
      <c r="C8" s="37">
        <v>0.04</v>
      </c>
      <c r="D8" s="37">
        <v>0.05</v>
      </c>
      <c r="E8" s="38">
        <f>CHOOSE($B$3,C8,D8,B8)</f>
        <v>0.04</v>
      </c>
      <c r="F8" s="23" t="s">
        <v>100</v>
      </c>
    </row>
    <row r="9">
      <c r="A9" s="23" t="s">
        <v>101</v>
      </c>
      <c r="B9" s="37">
        <v>0.06</v>
      </c>
      <c r="C9" s="37">
        <v>0.045</v>
      </c>
      <c r="D9" s="37">
        <v>0.035</v>
      </c>
      <c r="E9" s="38">
        <f>CHOOSE($B$3,C9,D9,B9)</f>
        <v>0.045</v>
      </c>
      <c r="F9" s="23" t="s">
        <v>102</v>
      </c>
    </row>
    <row r="10">
      <c r="A10" s="23" t="s">
        <v>103</v>
      </c>
      <c r="B10" s="37">
        <v>0.025</v>
      </c>
      <c r="C10" s="37">
        <v>0.015</v>
      </c>
      <c r="D10" s="37">
        <v>0.005</v>
      </c>
      <c r="E10" s="38">
        <f>CHOOSE($B$3,C10,D10,B10)</f>
        <v>0.015</v>
      </c>
      <c r="F10" s="23" t="s">
        <v>104</v>
      </c>
    </row>
    <row r="11">
      <c r="A11" s="23" t="s">
        <v>105</v>
      </c>
      <c r="B11" s="37">
        <v>0.11</v>
      </c>
      <c r="C11" s="37">
        <v>0.09</v>
      </c>
      <c r="D11" s="37">
        <v>0.075</v>
      </c>
      <c r="E11" s="38">
        <f>CHOOSE($B$3,C11,D11,B11)</f>
        <v>0.09</v>
      </c>
      <c r="F11" s="23" t="s">
        <v>106</v>
      </c>
    </row>
    <row r="12">
      <c r="A12" s="23" t="s">
        <v>107</v>
      </c>
      <c r="B12" s="37">
        <v>0.015</v>
      </c>
      <c r="C12" s="37">
        <v>0.025</v>
      </c>
      <c r="D12" s="37">
        <v>0.035</v>
      </c>
      <c r="E12" s="38">
        <f>CHOOSE($B$3,C12,D12,B12)</f>
        <v>0.025</v>
      </c>
      <c r="F12" s="23" t="s">
        <v>108</v>
      </c>
    </row>
    <row r="13">
      <c r="A13" s="23"/>
      <c r="B13" s="23"/>
      <c r="C13" s="23"/>
      <c r="D13" s="23"/>
      <c r="E13" s="23"/>
      <c r="F13" s="23"/>
    </row>
    <row r="14">
      <c r="A14" s="23"/>
      <c r="B14" s="23"/>
      <c r="C14" s="23"/>
      <c r="D14" s="23"/>
      <c r="E14" s="23"/>
      <c r="F14" s="23"/>
    </row>
    <row r="15">
      <c r="A15" s="23"/>
      <c r="B15" s="23"/>
      <c r="C15" s="23"/>
      <c r="D15" s="23"/>
      <c r="E15" s="23"/>
      <c r="F15" s="23"/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8"/>
  <sheetViews>
    <sheetView showGridLines="0" workbookViewId="0"/>
  </sheetViews>
  <sheetFormatPr defaultRowHeight="15"/>
  <cols>
    <col min="1" max="1" width="31" customWidth="1"/>
    <col min="2" max="8" width="15" customWidth="1"/>
  </cols>
  <sheetData>
    <row r="1" ht="28" customHeight="1">
      <c r="A1" s="17" t="s">
        <v>109</v>
      </c>
      <c r="B1" s="17"/>
      <c r="C1" s="17"/>
      <c r="D1" s="17"/>
      <c r="E1" s="17"/>
      <c r="F1" s="17"/>
      <c r="G1" s="17"/>
      <c r="H1" s="2"/>
    </row>
    <row r="2" ht="30" customHeight="1">
      <c r="A2" s="12" t="s">
        <v>110</v>
      </c>
      <c r="B2" s="12"/>
      <c r="C2" s="12"/>
      <c r="D2" s="12"/>
      <c r="E2" s="12"/>
      <c r="F2" s="12"/>
      <c r="G2" s="12"/>
      <c r="H2" s="4"/>
    </row>
    <row r="3">
      <c r="A3" s="18"/>
      <c r="B3" s="18"/>
      <c r="C3" s="18"/>
      <c r="D3" s="18"/>
      <c r="E3" s="18"/>
      <c r="F3" s="18"/>
      <c r="G3" s="18"/>
    </row>
    <row r="4">
      <c r="A4" s="19" t="s">
        <v>62</v>
      </c>
      <c r="B4" s="19" t="s">
        <v>67</v>
      </c>
      <c r="C4" s="19" t="s">
        <v>111</v>
      </c>
      <c r="D4" s="19" t="s">
        <v>112</v>
      </c>
      <c r="E4" s="19" t="s">
        <v>113</v>
      </c>
      <c r="F4" s="19" t="s">
        <v>114</v>
      </c>
      <c r="G4" s="19" t="s">
        <v>115</v>
      </c>
    </row>
    <row r="5">
      <c r="A5" s="46" t="s">
        <v>70</v>
      </c>
      <c r="B5" s="27">
        <v>12599.031177947352</v>
      </c>
      <c r="C5" s="27">
        <f>B5*(1+Assumptions!$E$5)</f>
        <v>13228.98273684472</v>
      </c>
      <c r="D5" s="27">
        <f>C5*(1+Assumptions!$E$5)</f>
        <v>13890.431873686957</v>
      </c>
      <c r="E5" s="27">
        <f>D5*(1+Assumptions!$E$5)</f>
        <v>14584.953467371306</v>
      </c>
      <c r="F5" s="27">
        <f>E5*(1+Assumptions!$E$5)</f>
        <v>15314.201140739871</v>
      </c>
      <c r="G5" s="27">
        <f>F5*(1+Assumptions!$E$5)</f>
        <v>16079.911197776866</v>
      </c>
    </row>
    <row r="6">
      <c r="A6" s="46" t="s">
        <v>116</v>
      </c>
      <c r="B6" s="38"/>
      <c r="C6" s="38">
        <f>IF(B5&lt;&gt;0,C5/B5-1,0)</f>
        <v>0.050000000000000044</v>
      </c>
      <c r="D6" s="38">
        <f>IF(C5&lt;&gt;0,D5/C5-1,0)</f>
        <v>0.050000000000000044</v>
      </c>
      <c r="E6" s="38">
        <f>IF(D5&lt;&gt;0,E5/D5-1,0)</f>
        <v>0.050000000000000044</v>
      </c>
      <c r="F6" s="38">
        <f>IF(E5&lt;&gt;0,F5/E5-1,0)</f>
        <v>0.050000000000000044</v>
      </c>
      <c r="G6" s="38">
        <f>IF(F5&lt;&gt;0,G5/F5-1,0)</f>
        <v>0.050000000000000044</v>
      </c>
    </row>
    <row r="7">
      <c r="A7" s="46" t="s">
        <v>95</v>
      </c>
      <c r="B7" s="38">
        <v>0.270935960591133</v>
      </c>
      <c r="C7" s="38">
        <f>Assumptions!$E$6</f>
        <v>0.270935960591133</v>
      </c>
      <c r="D7" s="38">
        <f>Assumptions!$E$6</f>
        <v>0.270935960591133</v>
      </c>
      <c r="E7" s="38">
        <f>Assumptions!$E$6</f>
        <v>0.270935960591133</v>
      </c>
      <c r="F7" s="38">
        <f>Assumptions!$E$6</f>
        <v>0.270935960591133</v>
      </c>
      <c r="G7" s="38">
        <f>Assumptions!$E$6</f>
        <v>0.270935960591133</v>
      </c>
    </row>
    <row r="8">
      <c r="A8" s="46" t="s">
        <v>117</v>
      </c>
      <c r="B8" s="27">
        <v>3413.5306147148</v>
      </c>
      <c r="C8" s="27">
        <f>C5*C7</f>
        <v>3584.20714545054</v>
      </c>
      <c r="D8" s="27">
        <f>D5*D7</f>
        <v>3763.417502723067</v>
      </c>
      <c r="E8" s="27">
        <f>E5*E7</f>
        <v>3951.588377859221</v>
      </c>
      <c r="F8" s="27">
        <f>F5*F7</f>
        <v>4149.167796752182</v>
      </c>
      <c r="G8" s="27">
        <f>G5*G7</f>
        <v>4356.626186589791</v>
      </c>
    </row>
    <row r="9">
      <c r="A9" s="46" t="s">
        <v>97</v>
      </c>
      <c r="B9" s="38"/>
      <c r="C9" s="38">
        <f>Assumptions!$E$7</f>
        <v>0.22</v>
      </c>
      <c r="D9" s="38">
        <f>Assumptions!$E$7</f>
        <v>0.22</v>
      </c>
      <c r="E9" s="38">
        <f>Assumptions!$E$7</f>
        <v>0.22</v>
      </c>
      <c r="F9" s="38">
        <f>Assumptions!$E$7</f>
        <v>0.22</v>
      </c>
      <c r="G9" s="38">
        <f>Assumptions!$E$7</f>
        <v>0.22</v>
      </c>
    </row>
    <row r="10">
      <c r="A10" s="46" t="s">
        <v>118</v>
      </c>
      <c r="B10" s="27"/>
      <c r="C10" s="27">
        <f>C8*(1-C9)</f>
        <v>2795.681573451421</v>
      </c>
      <c r="D10" s="27">
        <f>D8*(1-D9)</f>
        <v>2935.4656521239926</v>
      </c>
      <c r="E10" s="27">
        <f>E8*(1-E9)</f>
        <v>3082.2389347301923</v>
      </c>
      <c r="F10" s="27">
        <f>F8*(1-F9)</f>
        <v>3236.350881466702</v>
      </c>
      <c r="G10" s="27">
        <f>G8*(1-G9)</f>
        <v>3398.1684255400373</v>
      </c>
    </row>
    <row r="11">
      <c r="A11" s="46" t="s">
        <v>119</v>
      </c>
      <c r="B11" s="27"/>
      <c r="C11" s="27">
        <f>C5*Assumptions!$E$8</f>
        <v>529.1593094737889</v>
      </c>
      <c r="D11" s="27">
        <f>D5*Assumptions!$E$8</f>
        <v>555.6172749474783</v>
      </c>
      <c r="E11" s="27">
        <f>E5*Assumptions!$E$8</f>
        <v>583.3981386948523</v>
      </c>
      <c r="F11" s="27">
        <f>F5*Assumptions!$E$8</f>
        <v>612.5680456295948</v>
      </c>
      <c r="G11" s="27">
        <f>G5*Assumptions!$E$8</f>
        <v>643.1964479110746</v>
      </c>
    </row>
    <row r="12">
      <c r="A12" s="46" t="s">
        <v>78</v>
      </c>
      <c r="B12" s="27"/>
      <c r="C12" s="27">
        <f>-C5*Assumptions!$E$9</f>
        <v>-595.3042231580124</v>
      </c>
      <c r="D12" s="27">
        <f>-D5*Assumptions!$E$9</f>
        <v>-625.0694343159131</v>
      </c>
      <c r="E12" s="27">
        <f>-E5*Assumptions!$E$9</f>
        <v>-656.3229060317087</v>
      </c>
      <c r="F12" s="27">
        <f>-F5*Assumptions!$E$9</f>
        <v>-689.1390513332942</v>
      </c>
      <c r="G12" s="27">
        <f>-G5*Assumptions!$E$9</f>
        <v>-723.596003899959</v>
      </c>
    </row>
    <row r="13">
      <c r="A13" s="46" t="s">
        <v>120</v>
      </c>
      <c r="B13" s="27"/>
      <c r="C13" s="27">
        <f>-(C5-B5)*Assumptions!$E$10</f>
        <v>-9.449273383460522</v>
      </c>
      <c r="D13" s="27">
        <f>-(D5-C5)*Assumptions!$E$10</f>
        <v>-9.921737052633553</v>
      </c>
      <c r="E13" s="27">
        <f>-(E5-D5)*Assumptions!$E$10</f>
        <v>-10.417823905265232</v>
      </c>
      <c r="F13" s="27">
        <f>-(F5-E5)*Assumptions!$E$10</f>
        <v>-10.93871510052848</v>
      </c>
      <c r="G13" s="27">
        <f>-(G5-F5)*Assumptions!$E$10</f>
        <v>-11.485650855554923</v>
      </c>
    </row>
    <row r="14">
      <c r="A14" s="46" t="s">
        <v>121</v>
      </c>
      <c r="B14" s="27"/>
      <c r="C14" s="27">
        <f>C10+C11+C12+C13</f>
        <v>2720.0873863837373</v>
      </c>
      <c r="D14" s="27">
        <f>D10+D11+D12+D13</f>
        <v>2856.0917557029247</v>
      </c>
      <c r="E14" s="27">
        <f>E10+E11+E12+E13</f>
        <v>2998.8963434880707</v>
      </c>
      <c r="F14" s="27">
        <f>F10+F11+F12+F13</f>
        <v>3148.841160662474</v>
      </c>
      <c r="G14" s="27">
        <f>G10+G11+G12+G13</f>
        <v>3306.2832186955984</v>
      </c>
    </row>
    <row r="15">
      <c r="A15" s="46" t="s">
        <v>82</v>
      </c>
      <c r="B15" s="27">
        <v>0</v>
      </c>
      <c r="C15" s="27">
        <f>$B$15</f>
        <v>0</v>
      </c>
      <c r="D15" s="27">
        <f>$B$15</f>
        <v>0</v>
      </c>
      <c r="E15" s="27">
        <f>$B$15</f>
        <v>0</v>
      </c>
      <c r="F15" s="27">
        <f>$B$15</f>
        <v>0</v>
      </c>
      <c r="G15" s="27">
        <f>$B$15</f>
        <v>0</v>
      </c>
    </row>
    <row r="16">
      <c r="A16" s="46" t="s">
        <v>83</v>
      </c>
      <c r="B16" s="27">
        <v>0</v>
      </c>
      <c r="C16" s="27">
        <f>$B$16</f>
        <v>0</v>
      </c>
      <c r="D16" s="27">
        <f>$B$16</f>
        <v>0</v>
      </c>
      <c r="E16" s="27">
        <f>$B$16</f>
        <v>0</v>
      </c>
      <c r="F16" s="27">
        <f>$B$16</f>
        <v>0</v>
      </c>
      <c r="G16" s="27">
        <f>$B$16</f>
        <v>0</v>
      </c>
    </row>
    <row r="17">
      <c r="A17" s="18"/>
      <c r="B17" s="18"/>
      <c r="C17" s="18"/>
      <c r="D17" s="18"/>
      <c r="E17" s="18"/>
      <c r="F17" s="18"/>
      <c r="G17" s="18"/>
    </row>
    <row r="18">
      <c r="A18" s="18"/>
      <c r="B18" s="18"/>
      <c r="C18" s="18"/>
      <c r="D18" s="18"/>
      <c r="E18" s="18"/>
      <c r="F18" s="18"/>
      <c r="G18" s="18"/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22"/>
  <sheetViews>
    <sheetView showGridLines="0" workbookViewId="0"/>
  </sheetViews>
  <sheetFormatPr defaultRowHeight="15"/>
  <cols>
    <col min="1" max="1" width="31" customWidth="1"/>
    <col min="2" max="8" width="15" customWidth="1"/>
  </cols>
  <sheetData>
    <row r="1" ht="28" customHeight="1">
      <c r="A1" s="17" t="s">
        <v>122</v>
      </c>
      <c r="B1" s="17"/>
      <c r="C1" s="17"/>
      <c r="D1" s="17"/>
      <c r="E1" s="17"/>
      <c r="F1" s="17"/>
      <c r="G1" s="17"/>
      <c r="H1" s="2"/>
    </row>
    <row r="2" ht="30" customHeight="1">
      <c r="A2" s="12" t="s">
        <v>123</v>
      </c>
      <c r="B2" s="12"/>
      <c r="C2" s="12"/>
      <c r="D2" s="12"/>
      <c r="E2" s="12"/>
      <c r="F2" s="12"/>
      <c r="G2" s="12"/>
      <c r="H2" s="4"/>
    </row>
    <row r="3">
      <c r="A3" s="18"/>
      <c r="B3" s="18"/>
      <c r="C3" s="18"/>
      <c r="D3" s="18"/>
      <c r="E3" s="18"/>
      <c r="F3" s="18"/>
      <c r="G3" s="18"/>
    </row>
    <row r="4">
      <c r="A4" s="19" t="s">
        <v>62</v>
      </c>
      <c r="B4" s="19" t="s">
        <v>124</v>
      </c>
      <c r="C4" s="19" t="s">
        <v>125</v>
      </c>
      <c r="D4" s="19" t="s">
        <v>126</v>
      </c>
      <c r="E4" s="19" t="s">
        <v>127</v>
      </c>
      <c r="F4" s="19" t="s">
        <v>128</v>
      </c>
      <c r="G4" s="19" t="s">
        <v>129</v>
      </c>
    </row>
    <row r="5">
      <c r="A5" s="23" t="s">
        <v>121</v>
      </c>
      <c r="B5" s="27">
        <f>Forecast!C14</f>
        <v>2720.0873863837373</v>
      </c>
      <c r="C5" s="27">
        <f>Forecast!D14</f>
        <v>2856.0917557029247</v>
      </c>
      <c r="D5" s="27">
        <f>Forecast!E14</f>
        <v>2998.8963434880707</v>
      </c>
      <c r="E5" s="27">
        <f>Forecast!F14</f>
        <v>3148.841160662474</v>
      </c>
      <c r="F5" s="27">
        <f>Forecast!G14</f>
        <v>3306.2832186955984</v>
      </c>
      <c r="G5" s="27"/>
    </row>
    <row r="6">
      <c r="A6" s="23" t="s">
        <v>130</v>
      </c>
      <c r="B6" s="27">
        <f>1/(1+Assumptions!$E$11)^1</f>
        <v>0.9174311926605504</v>
      </c>
      <c r="C6" s="27">
        <f>1/(1+Assumptions!$E$11)^2</f>
        <v>0.84167999326656</v>
      </c>
      <c r="D6" s="27">
        <f>1/(1+Assumptions!$E$11)^3</f>
        <v>0.7721834800610642</v>
      </c>
      <c r="E6" s="27">
        <f>1/(1+Assumptions!$E$11)^4</f>
        <v>0.7084252110651963</v>
      </c>
      <c r="F6" s="27">
        <f>1/(1+Assumptions!$E$11)^5</f>
        <v>0.6499313862983452</v>
      </c>
      <c r="G6" s="27"/>
    </row>
    <row r="7">
      <c r="A7" s="23" t="s">
        <v>131</v>
      </c>
      <c r="B7" s="27">
        <f>B5*B6</f>
        <v>2495.4930150309515</v>
      </c>
      <c r="C7" s="27">
        <f>C5*C6</f>
        <v>2403.915289708715</v>
      </c>
      <c r="D7" s="27">
        <f>D5*D6</f>
        <v>2315.698214857019</v>
      </c>
      <c r="E7" s="27">
        <f>E5*E6</f>
        <v>2230.7184638530907</v>
      </c>
      <c r="F7" s="27">
        <f>F5*F6</f>
        <v>2148.8572358217853</v>
      </c>
      <c r="G7" s="27"/>
    </row>
    <row r="8">
      <c r="A8" s="23"/>
      <c r="B8" s="27"/>
      <c r="C8" s="27"/>
      <c r="D8" s="27"/>
      <c r="E8" s="27"/>
      <c r="F8" s="27"/>
      <c r="G8" s="27"/>
    </row>
    <row r="9">
      <c r="A9" s="19" t="s">
        <v>132</v>
      </c>
      <c r="B9" s="49" t="s">
        <v>3</v>
      </c>
      <c r="C9" s="27"/>
      <c r="D9" s="27"/>
      <c r="E9" s="27"/>
      <c r="F9" s="27"/>
      <c r="G9" s="27"/>
    </row>
    <row r="10">
      <c r="A10" s="23" t="s">
        <v>133</v>
      </c>
      <c r="B10" s="27">
        <f>SUM(B7:F7)</f>
        <v>11594.682219271563</v>
      </c>
      <c r="C10" s="27"/>
      <c r="D10" s="27"/>
      <c r="E10" s="27"/>
      <c r="F10" s="27"/>
      <c r="G10" s="27"/>
    </row>
    <row r="11">
      <c r="A11" s="23" t="s">
        <v>134</v>
      </c>
      <c r="B11" s="27">
        <f>IF(Assumptions!$E$11&gt;Assumptions!$E$12,F5*(1+Assumptions!$E$12)/(Assumptions!$E$11-Assumptions!$E$12),0)</f>
        <v>52137.54306404597</v>
      </c>
      <c r="C11" s="27"/>
      <c r="D11" s="27"/>
      <c r="E11" s="27"/>
      <c r="F11" s="27"/>
      <c r="G11" s="27"/>
    </row>
    <row r="12">
      <c r="A12" s="23" t="s">
        <v>135</v>
      </c>
      <c r="B12" s="27">
        <f>B11*F6</f>
        <v>33885.82564180507</v>
      </c>
      <c r="C12" s="27"/>
      <c r="D12" s="27"/>
      <c r="E12" s="27"/>
      <c r="F12" s="27"/>
      <c r="G12" s="27"/>
    </row>
    <row r="13">
      <c r="A13" s="23" t="s">
        <v>136</v>
      </c>
      <c r="B13" s="27">
        <f>B10+B12</f>
        <v>45480.507861076636</v>
      </c>
      <c r="C13" s="27"/>
      <c r="D13" s="27"/>
      <c r="E13" s="27"/>
      <c r="F13" s="27"/>
      <c r="G13" s="27"/>
    </row>
    <row r="14">
      <c r="A14" s="23" t="s">
        <v>82</v>
      </c>
      <c r="B14" s="27">
        <f>Forecast!B15</f>
        <v>0</v>
      </c>
      <c r="C14" s="27"/>
      <c r="D14" s="27"/>
      <c r="E14" s="27"/>
      <c r="F14" s="27"/>
      <c r="G14" s="27"/>
    </row>
    <row r="15">
      <c r="A15" s="23" t="s">
        <v>83</v>
      </c>
      <c r="B15" s="27">
        <f>Forecast!B16</f>
        <v>0</v>
      </c>
      <c r="C15" s="27"/>
      <c r="D15" s="27"/>
      <c r="E15" s="27"/>
      <c r="F15" s="27"/>
      <c r="G15" s="27"/>
    </row>
    <row r="16">
      <c r="A16" s="23" t="s">
        <v>137</v>
      </c>
      <c r="B16" s="27">
        <f>B13+B14-B15</f>
        <v>45480.507861076636</v>
      </c>
      <c r="C16" s="27"/>
      <c r="D16" s="27"/>
      <c r="E16" s="27"/>
      <c r="F16" s="27"/>
      <c r="G16" s="27"/>
    </row>
    <row r="17">
      <c r="A17" s="23" t="s">
        <v>84</v>
      </c>
      <c r="B17" s="27">
        <v>0</v>
      </c>
      <c r="C17" s="27"/>
      <c r="D17" s="27"/>
      <c r="E17" s="27"/>
      <c r="F17" s="27"/>
      <c r="G17" s="27"/>
    </row>
    <row r="18">
      <c r="A18" s="23" t="s">
        <v>138</v>
      </c>
      <c r="B18" s="27">
        <f>IF(B17&gt;0,B16/B17,0)</f>
        <v>0</v>
      </c>
      <c r="C18" s="27"/>
      <c r="D18" s="27"/>
      <c r="E18" s="27"/>
      <c r="F18" s="27"/>
      <c r="G18" s="27"/>
    </row>
    <row r="19">
      <c r="A19" s="23" t="s">
        <v>16</v>
      </c>
      <c r="B19" s="27"/>
      <c r="C19" s="27"/>
      <c r="D19" s="27"/>
      <c r="E19" s="27"/>
      <c r="F19" s="27"/>
      <c r="G19" s="27"/>
    </row>
    <row r="20">
      <c r="A20" s="23" t="s">
        <v>139</v>
      </c>
      <c r="B20" s="27">
        <f>IF(B19&gt;0,B18/B19-1,0)</f>
        <v>0</v>
      </c>
      <c r="C20" s="27"/>
      <c r="D20" s="27"/>
      <c r="E20" s="27"/>
      <c r="F20" s="27"/>
      <c r="G20" s="27"/>
    </row>
    <row r="21">
      <c r="A21" s="18"/>
      <c r="B21" s="18"/>
      <c r="C21" s="18"/>
      <c r="D21" s="18"/>
      <c r="E21" s="18"/>
      <c r="F21" s="18"/>
      <c r="G21" s="18"/>
    </row>
    <row r="22">
      <c r="A22" s="18"/>
      <c r="B22" s="18"/>
      <c r="C22" s="18"/>
      <c r="D22" s="18"/>
      <c r="E22" s="18"/>
      <c r="F22" s="18"/>
      <c r="G22" s="18"/>
    </row>
  </sheetData>
  <mergeCells count="2">
    <mergeCell ref="A1:H1"/>
    <mergeCell ref="A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1"/>
  <sheetViews>
    <sheetView showGridLines="0" workbookViewId="0"/>
  </sheetViews>
  <sheetFormatPr defaultRowHeight="15"/>
  <cols>
    <col min="1" max="1" width="31" customWidth="1"/>
    <col min="2" max="8" width="15" customWidth="1"/>
  </cols>
  <sheetData>
    <row r="1" ht="28" customHeight="1">
      <c r="A1" s="17" t="s">
        <v>140</v>
      </c>
      <c r="B1" s="17"/>
      <c r="C1" s="17"/>
      <c r="D1" s="17"/>
      <c r="E1" s="17"/>
      <c r="F1" s="17"/>
      <c r="G1" s="2"/>
      <c r="H1" s="2"/>
    </row>
    <row r="2" ht="30" customHeight="1">
      <c r="A2" s="12" t="s">
        <v>141</v>
      </c>
      <c r="B2" s="12"/>
      <c r="C2" s="12"/>
      <c r="D2" s="12"/>
      <c r="E2" s="12"/>
      <c r="F2" s="12"/>
      <c r="G2" s="4"/>
      <c r="H2" s="4"/>
    </row>
    <row r="3">
      <c r="A3" s="18"/>
      <c r="B3" s="18"/>
      <c r="C3" s="18"/>
      <c r="D3" s="18"/>
      <c r="E3" s="18"/>
      <c r="F3" s="18"/>
    </row>
    <row r="4">
      <c r="A4" s="52" t="s">
        <v>142</v>
      </c>
      <c r="B4" s="52">
        <v>0.07</v>
      </c>
      <c r="C4" s="52">
        <v>0.08</v>
      </c>
      <c r="D4" s="52">
        <v>0.09</v>
      </c>
      <c r="E4" s="52">
        <v>0.1</v>
      </c>
      <c r="F4" s="52">
        <v>0.11</v>
      </c>
    </row>
    <row r="5">
      <c r="A5" s="52">
        <v>0.01</v>
      </c>
      <c r="B5" s="27">
        <f>SUMPRODUCT(Valuation!$B$5:$F$5,1/(1+B$4)^{1,2,3,4,5})+IF(B$4&gt;$A5,Valuation!$F$5*(1+$A5)/(B$4-$A5)/(1+B$4)^5,0)</f>
        <v>51926.114745321785</v>
      </c>
      <c r="C5" s="27">
        <f>SUMPRODUCT(Valuation!$B$5:$F$5,1/(1+C$4)^{1,2,3,4,5})+IF(C$4&gt;$A5,Valuation!$F$5*(1+$A5)/(C$4-$A5)/(1+C$4)^5,0)</f>
        <v>44379.73445010153</v>
      </c>
      <c r="D5" s="27">
        <f>SUMPRODUCT(Valuation!$B$5:$F$5,1/(1+D$4)^{1,2,3,4,5})+IF(D$4&gt;$A5,Valuation!$F$5*(1+$A5)/(D$4-$A5)/(1+D$4)^5,0)</f>
        <v>38724.0048215216</v>
      </c>
      <c r="E5" s="27">
        <f>SUMPRODUCT(Valuation!$B$5:$F$5,1/(1+E$4)^{1,2,3,4,5})+IF(E$4&gt;$A5,Valuation!$F$5*(1+$A5)/(E$4-$A5)/(1+E$4)^5,0)</f>
        <v>34328.5394999696</v>
      </c>
      <c r="F5" s="27">
        <f>SUMPRODUCT(Valuation!$B$5:$F$5,1/(1+F$4)^{1,2,3,4,5})+IF(F$4&gt;$A5,Valuation!$F$5*(1+$A5)/(F$4-$A5)/(1+F$4)^5,0)</f>
        <v>30815.11533672483</v>
      </c>
    </row>
    <row r="6">
      <c r="A6" s="52">
        <v>0.02</v>
      </c>
      <c r="B6" s="27">
        <f>SUMPRODUCT(Valuation!$B$5:$F$5,1/(1+B$4)^{1,2,3,4,5})+IF(B$4&gt;$A6,Valuation!$F$5*(1+$A6)/(B$4-$A6)/(1+B$4)^5,0)</f>
        <v>60333.9402027083</v>
      </c>
      <c r="C6" s="27">
        <f>SUMPRODUCT(Valuation!$B$5:$F$5,1/(1+C$4)^{1,2,3,4,5})+IF(C$4&gt;$A6,Valuation!$F$5*(1+$A6)/(C$4-$A6)/(1+C$4)^5,0)</f>
        <v>50165.96508710442</v>
      </c>
      <c r="D6" s="27">
        <f>SUMPRODUCT(Valuation!$B$5:$F$5,1/(1+D$4)^{1,2,3,4,5})+IF(D$4&gt;$A6,Valuation!$F$5*(1+$A6)/(D$4-$A6)/(1+D$4)^5,0)</f>
        <v>42906.601941246154</v>
      </c>
      <c r="E6" s="27">
        <f>SUMPRODUCT(Valuation!$B$5:$F$5,1/(1+E$4)^{1,2,3,4,5})+IF(E$4&gt;$A6,Valuation!$F$5*(1+$A6)/(E$4-$A6)/(1+E$4)^5,0)</f>
        <v>37464.97828554853</v>
      </c>
      <c r="F6" s="27">
        <f>SUMPRODUCT(Valuation!$B$5:$F$5,1/(1+F$4)^{1,2,3,4,5})+IF(F$4&gt;$A6,Valuation!$F$5*(1+$A6)/(F$4-$A6)/(1+F$4)^5,0)</f>
        <v>33235.061076114405</v>
      </c>
    </row>
    <row r="7">
      <c r="A7" s="52">
        <v>0.03</v>
      </c>
      <c r="B7" s="27">
        <f>SUMPRODUCT(Valuation!$B$5:$F$5,1/(1+B$4)^{1,2,3,4,5})+IF(B$4&gt;$A7,Valuation!$F$5*(1+$A7)/(B$4-$A7)/(1+B$4)^5,0)</f>
        <v>72945.67838878806</v>
      </c>
      <c r="C7" s="27">
        <f>SUMPRODUCT(Valuation!$B$5:$F$5,1/(1+C$4)^{1,2,3,4,5})+IF(C$4&gt;$A7,Valuation!$F$5*(1+$A7)/(C$4-$A7)/(1+C$4)^5,0)</f>
        <v>58266.68797890845</v>
      </c>
      <c r="D7" s="27">
        <f>SUMPRODUCT(Valuation!$B$5:$F$5,1/(1+D$4)^{1,2,3,4,5})+IF(D$4&gt;$A7,Valuation!$F$5*(1+$A7)/(D$4-$A7)/(1+D$4)^5,0)</f>
        <v>48483.398100878876</v>
      </c>
      <c r="E7" s="27">
        <f>SUMPRODUCT(Valuation!$B$5:$F$5,1/(1+E$4)^{1,2,3,4,5})+IF(E$4&gt;$A7,Valuation!$F$5*(1+$A7)/(E$4-$A7)/(1+E$4)^5,0)</f>
        <v>41497.54243843572</v>
      </c>
      <c r="F7" s="27">
        <f>SUMPRODUCT(Valuation!$B$5:$F$5,1/(1+F$4)^{1,2,3,4,5})+IF(F$4&gt;$A7,Valuation!$F$5*(1+$A7)/(F$4-$A7)/(1+F$4)^5,0)</f>
        <v>36259.99325035137</v>
      </c>
    </row>
    <row r="8">
      <c r="A8" s="52">
        <v>0.04</v>
      </c>
      <c r="B8" s="27">
        <f>SUMPRODUCT(Valuation!$B$5:$F$5,1/(1+B$4)^{1,2,3,4,5})+IF(B$4&gt;$A8,Valuation!$F$5*(1+$A8)/(B$4-$A8)/(1+B$4)^5,0)</f>
        <v>93965.24203225432</v>
      </c>
      <c r="C8" s="27">
        <f>SUMPRODUCT(Valuation!$B$5:$F$5,1/(1+C$4)^{1,2,3,4,5})+IF(C$4&gt;$A8,Valuation!$F$5*(1+$A8)/(C$4-$A8)/(1+C$4)^5,0)</f>
        <v>70417.77231661449</v>
      </c>
      <c r="D8" s="27">
        <f>SUMPRODUCT(Valuation!$B$5:$F$5,1/(1+D$4)^{1,2,3,4,5})+IF(D$4&gt;$A8,Valuation!$F$5*(1+$A8)/(D$4-$A8)/(1+D$4)^5,0)</f>
        <v>56290.91272436471</v>
      </c>
      <c r="E8" s="27">
        <f>SUMPRODUCT(Valuation!$B$5:$F$5,1/(1+E$4)^{1,2,3,4,5})+IF(E$4&gt;$A8,Valuation!$F$5*(1+$A8)/(E$4-$A8)/(1+E$4)^5,0)</f>
        <v>46874.29464228531</v>
      </c>
      <c r="F8" s="27">
        <f>SUMPRODUCT(Valuation!$B$5:$F$5,1/(1+F$4)^{1,2,3,4,5})+IF(F$4&gt;$A8,Valuation!$F$5*(1+$A8)/(F$4-$A8)/(1+F$4)^5,0)</f>
        <v>40149.19176008462</v>
      </c>
    </row>
    <row r="9">
      <c r="A9" s="52">
        <v>0.05</v>
      </c>
      <c r="B9" s="27">
        <f>SUMPRODUCT(Valuation!$B$5:$F$5,1/(1+B$4)^{1,2,3,4,5})+IF(B$4&gt;$A9,Valuation!$F$5*(1+$A9)/(B$4-$A9)/(1+B$4)^5,0)</f>
        <v>136004.36931918684</v>
      </c>
      <c r="C9" s="27">
        <f>SUMPRODUCT(Valuation!$B$5:$F$5,1/(1+C$4)^{1,2,3,4,5})+IF(C$4&gt;$A9,Valuation!$F$5*(1+$A9)/(C$4-$A9)/(1+C$4)^5,0)</f>
        <v>90669.57954612456</v>
      </c>
      <c r="D9" s="27">
        <f>SUMPRODUCT(Valuation!$B$5:$F$5,1/(1+D$4)^{1,2,3,4,5})+IF(D$4&gt;$A9,Valuation!$F$5*(1+$A9)/(D$4-$A9)/(1+D$4)^5,0)</f>
        <v>68002.18465959345</v>
      </c>
      <c r="E9" s="27">
        <f>SUMPRODUCT(Valuation!$B$5:$F$5,1/(1+E$4)^{1,2,3,4,5})+IF(E$4&gt;$A9,Valuation!$F$5*(1+$A9)/(E$4-$A9)/(1+E$4)^5,0)</f>
        <v>54401.74772767474</v>
      </c>
      <c r="F9" s="27">
        <f>SUMPRODUCT(Valuation!$B$5:$F$5,1/(1+F$4)^{1,2,3,4,5})+IF(F$4&gt;$A9,Valuation!$F$5*(1+$A9)/(F$4-$A9)/(1+F$4)^5,0)</f>
        <v>45334.78977306228</v>
      </c>
    </row>
    <row r="10">
      <c r="A10" s="18"/>
      <c r="B10" s="18"/>
      <c r="C10" s="18"/>
      <c r="D10" s="18"/>
      <c r="E10" s="18"/>
      <c r="F10" s="18"/>
    </row>
    <row r="11">
      <c r="A11" s="18"/>
      <c r="B11" s="18"/>
      <c r="C11" s="18"/>
      <c r="D11" s="18"/>
      <c r="E11" s="18"/>
      <c r="F11" s="18"/>
    </row>
  </sheetData>
  <mergeCells count="2">
    <mergeCell ref="A1:H1"/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4"/>
  <sheetViews>
    <sheetView showGridLines="0" workbookViewId="0"/>
  </sheetViews>
  <sheetFormatPr defaultRowHeight="15"/>
  <cols>
    <col min="1" max="1" width="31" customWidth="1"/>
    <col min="2" max="3" width="15" customWidth="1"/>
    <col min="4" max="4" width="50" customWidth="1"/>
    <col min="5" max="8" width="15" customWidth="1"/>
  </cols>
  <sheetData>
    <row r="1" ht="28" customHeight="1">
      <c r="A1" s="17" t="s">
        <v>143</v>
      </c>
      <c r="B1" s="17"/>
      <c r="C1" s="17"/>
      <c r="D1" s="17"/>
      <c r="E1" s="2"/>
      <c r="F1" s="2"/>
      <c r="G1" s="2"/>
      <c r="H1" s="2"/>
    </row>
    <row r="2" ht="30" customHeight="1">
      <c r="A2" s="12" t="s">
        <v>144</v>
      </c>
      <c r="B2" s="12"/>
      <c r="C2" s="12"/>
      <c r="D2" s="12"/>
      <c r="E2" s="4"/>
      <c r="F2" s="4"/>
      <c r="G2" s="4"/>
      <c r="H2" s="4"/>
    </row>
    <row r="3">
      <c r="A3" s="18"/>
      <c r="B3" s="18"/>
      <c r="C3" s="18"/>
      <c r="D3" s="18"/>
    </row>
    <row r="4">
      <c r="A4" s="19" t="s">
        <v>145</v>
      </c>
      <c r="B4" s="19" t="s">
        <v>146</v>
      </c>
      <c r="C4" s="19" t="s">
        <v>147</v>
      </c>
      <c r="D4" s="19" t="s">
        <v>148</v>
      </c>
    </row>
    <row r="5">
      <c r="A5" s="23" t="s">
        <v>149</v>
      </c>
      <c r="B5" s="23" t="str">
        <f>IF(MIN(Forecast!C5:G5)&gt;=0,"PASS","FAIL")</f>
        <v>PASS</v>
      </c>
      <c r="C5" s="23" t="s">
        <v>150</v>
      </c>
      <c r="D5" s="23" t="s">
        <v>151</v>
      </c>
    </row>
    <row r="6">
      <c r="A6" s="23" t="s">
        <v>152</v>
      </c>
      <c r="B6" s="23" t="str">
        <f>IF(COUNT(Forecast!C14:G14)=5,"PASS","FAIL")</f>
        <v>PASS</v>
      </c>
      <c r="C6" s="23" t="s">
        <v>150</v>
      </c>
      <c r="D6" s="23" t="s">
        <v>153</v>
      </c>
    </row>
    <row r="7">
      <c r="A7" s="23" t="s">
        <v>154</v>
      </c>
      <c r="B7" s="23" t="str">
        <f>IF(Assumptions!E11&gt;Assumptions!E12,"PASS","FAIL")</f>
        <v>PASS</v>
      </c>
      <c r="C7" s="23" t="s">
        <v>150</v>
      </c>
      <c r="D7" s="23" t="s">
        <v>155</v>
      </c>
    </row>
    <row r="8">
      <c r="A8" s="23" t="s">
        <v>156</v>
      </c>
      <c r="B8" s="23" t="str">
        <f>IF(ABS(Valuation!B16-(Valuation!B13+Valuation!B14-Valuation!B15))&lt;0.1,"PASS","FAIL")</f>
        <v>PASS</v>
      </c>
      <c r="C8" s="23" t="s">
        <v>150</v>
      </c>
      <c r="D8" s="23" t="s">
        <v>157</v>
      </c>
    </row>
    <row r="9">
      <c r="A9" s="23" t="s">
        <v>158</v>
      </c>
      <c r="B9" s="23" t="s">
        <v>159</v>
      </c>
      <c r="C9" s="23" t="s">
        <v>160</v>
      </c>
      <c r="D9" s="23" t="s">
        <v>161</v>
      </c>
    </row>
    <row r="10">
      <c r="A10" s="23"/>
      <c r="B10" s="23"/>
      <c r="C10" s="23"/>
      <c r="D10" s="23"/>
    </row>
    <row r="11">
      <c r="A11" s="19" t="s">
        <v>162</v>
      </c>
      <c r="B11" s="19" t="str">
        <f>IF(COUNTIF(B5:B9,"FAIL")=0,IF(COUNTIF(B5:B9,"LIMITED")=0,"PASS","PASS WITH LIMITATIONS"),"FAIL")</f>
        <v>PASS WITH LIMITATIONS</v>
      </c>
      <c r="C11" s="23"/>
      <c r="D11" s="23"/>
    </row>
    <row r="12">
      <c r="A12" s="23" t="s">
        <v>163</v>
      </c>
      <c r="B12" s="23" t="s">
        <v>9</v>
      </c>
      <c r="C12" s="23"/>
      <c r="D12" s="23"/>
    </row>
    <row r="13">
      <c r="A13" s="18"/>
      <c r="B13" s="18"/>
      <c r="C13" s="18"/>
      <c r="D13" s="18"/>
    </row>
    <row r="14">
      <c r="A14" s="18"/>
      <c r="B14" s="18"/>
      <c r="C14" s="18"/>
      <c r="D14" s="18"/>
    </row>
  </sheetData>
  <mergeCells count="2">
    <mergeCell ref="A1:H1"/>
    <mergeCell ref="A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15"/>
  <sheetViews>
    <sheetView showGridLines="0" workbookViewId="0"/>
  </sheetViews>
  <sheetFormatPr defaultRowHeight="15"/>
  <cols>
    <col min="1" max="1" width="31" customWidth="1"/>
    <col min="2" max="3" width="15" customWidth="1"/>
    <col min="4" max="4" width="52" customWidth="1"/>
    <col min="5" max="8" width="15" customWidth="1"/>
  </cols>
  <sheetData>
    <row r="1" ht="28" customHeight="1">
      <c r="A1" s="17" t="s">
        <v>164</v>
      </c>
      <c r="B1" s="17"/>
      <c r="C1" s="17"/>
      <c r="D1" s="17"/>
      <c r="E1" s="2"/>
      <c r="F1" s="2"/>
      <c r="G1" s="2"/>
      <c r="H1" s="2"/>
    </row>
    <row r="2" ht="30" customHeight="1">
      <c r="A2" s="12" t="s">
        <v>165</v>
      </c>
      <c r="B2" s="12"/>
      <c r="C2" s="12"/>
      <c r="D2" s="12"/>
      <c r="E2" s="4"/>
      <c r="F2" s="4"/>
      <c r="G2" s="4"/>
      <c r="H2" s="4"/>
    </row>
    <row r="3">
      <c r="A3" s="18"/>
      <c r="B3" s="18"/>
      <c r="C3" s="18"/>
      <c r="D3" s="18"/>
    </row>
    <row r="4">
      <c r="A4" s="19" t="s">
        <v>166</v>
      </c>
      <c r="B4" s="19" t="s">
        <v>167</v>
      </c>
      <c r="C4" s="19" t="s">
        <v>168</v>
      </c>
      <c r="D4" s="19" t="s">
        <v>169</v>
      </c>
    </row>
    <row r="5">
      <c r="A5" s="23" t="s">
        <v>170</v>
      </c>
      <c r="B5" s="55"/>
      <c r="C5" s="55"/>
      <c r="D5" s="23" t="s">
        <v>171</v>
      </c>
    </row>
    <row r="6">
      <c r="A6" s="23" t="s">
        <v>172</v>
      </c>
      <c r="B6" s="55"/>
      <c r="C6" s="55"/>
      <c r="D6" s="23" t="s">
        <v>171</v>
      </c>
    </row>
    <row r="7">
      <c r="A7" s="23" t="s">
        <v>173</v>
      </c>
      <c r="B7" s="55"/>
      <c r="C7" s="55"/>
      <c r="D7" s="23" t="s">
        <v>171</v>
      </c>
    </row>
    <row r="8">
      <c r="A8" s="23" t="s">
        <v>174</v>
      </c>
      <c r="B8" s="55"/>
      <c r="C8" s="55"/>
      <c r="D8" s="23" t="s">
        <v>171</v>
      </c>
    </row>
    <row r="9">
      <c r="A9" s="23" t="s">
        <v>175</v>
      </c>
      <c r="B9" s="55"/>
      <c r="C9" s="55"/>
      <c r="D9" s="23" t="s">
        <v>171</v>
      </c>
    </row>
    <row r="10">
      <c r="A10" s="23" t="s">
        <v>176</v>
      </c>
      <c r="B10" s="55"/>
      <c r="C10" s="55"/>
      <c r="D10" s="23" t="s">
        <v>171</v>
      </c>
    </row>
    <row r="11">
      <c r="A11" s="23" t="s">
        <v>177</v>
      </c>
      <c r="B11" s="55"/>
      <c r="C11" s="55"/>
      <c r="D11" s="23" t="s">
        <v>171</v>
      </c>
    </row>
    <row r="12">
      <c r="A12" s="23" t="s">
        <v>178</v>
      </c>
      <c r="B12" s="55"/>
      <c r="C12" s="55"/>
      <c r="D12" s="23" t="s">
        <v>171</v>
      </c>
    </row>
    <row r="13">
      <c r="A13" s="23" t="s">
        <v>179</v>
      </c>
      <c r="B13" s="55"/>
      <c r="C13" s="55"/>
      <c r="D13" s="23" t="s">
        <v>171</v>
      </c>
    </row>
    <row r="14">
      <c r="A14" s="18"/>
      <c r="B14" s="18"/>
      <c r="C14" s="18"/>
      <c r="D14" s="18"/>
    </row>
    <row r="15">
      <c r="A15" s="18"/>
      <c r="B15" s="18"/>
      <c r="C15" s="18"/>
      <c r="D15" s="18"/>
    </row>
  </sheetData>
  <mergeCells count="2">
    <mergeCell ref="A1:H1"/>
    <mergeCell ref="A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="http://schemas.openxmlformats.org/spreadsheetml/2006/main">
  <dimension ref="A1:H9"/>
  <sheetViews>
    <sheetView showGridLines="0" workbookViewId="0"/>
  </sheetViews>
  <sheetFormatPr defaultRowHeight="15"/>
  <cols>
    <col min="1" max="1" width="31" customWidth="1"/>
    <col min="2" max="3" width="15" customWidth="1"/>
    <col min="4" max="5" width="45" customWidth="1"/>
    <col min="6" max="8" width="15" customWidth="1"/>
  </cols>
  <sheetData>
    <row r="1" ht="28" customHeight="1">
      <c r="A1" s="17" t="s">
        <v>180</v>
      </c>
      <c r="B1" s="17"/>
      <c r="C1" s="17"/>
      <c r="D1" s="17"/>
      <c r="E1" s="17"/>
      <c r="F1" s="17"/>
      <c r="G1" s="2"/>
      <c r="H1" s="2"/>
    </row>
    <row r="2" ht="30" customHeight="1">
      <c r="A2" s="12" t="s">
        <v>181</v>
      </c>
      <c r="B2" s="12"/>
      <c r="C2" s="12"/>
      <c r="D2" s="12"/>
      <c r="E2" s="12"/>
      <c r="F2" s="12"/>
      <c r="G2" s="4"/>
      <c r="H2" s="4"/>
    </row>
    <row r="3">
      <c r="A3" s="18"/>
      <c r="B3" s="18"/>
      <c r="C3" s="18"/>
      <c r="D3" s="18"/>
      <c r="E3" s="18"/>
      <c r="F3" s="18"/>
    </row>
    <row r="4">
      <c r="A4" s="19" t="s">
        <v>182</v>
      </c>
      <c r="B4" s="19" t="s">
        <v>183</v>
      </c>
      <c r="C4" s="19" t="s">
        <v>184</v>
      </c>
      <c r="D4" s="19" t="s">
        <v>185</v>
      </c>
      <c r="E4" s="19" t="s">
        <v>186</v>
      </c>
      <c r="F4" s="19" t="s">
        <v>187</v>
      </c>
    </row>
    <row r="5">
      <c r="A5" s="23" t="s">
        <v>42</v>
      </c>
      <c r="B5" s="23" t="s">
        <v>188</v>
      </c>
      <c r="C5" s="23" t="s">
        <v>189</v>
      </c>
      <c r="D5" s="23" t="s">
        <v>190</v>
      </c>
      <c r="E5" s="23" t="s">
        <v>35</v>
      </c>
      <c r="F5" s="23" t="s">
        <v>191</v>
      </c>
    </row>
    <row r="6">
      <c r="A6" s="23" t="s">
        <v>42</v>
      </c>
      <c r="B6" s="23" t="s">
        <v>188</v>
      </c>
      <c r="C6" s="23" t="s">
        <v>189</v>
      </c>
      <c r="D6" s="23" t="s">
        <v>192</v>
      </c>
      <c r="E6" s="23" t="s">
        <v>193</v>
      </c>
      <c r="F6" s="23" t="s">
        <v>194</v>
      </c>
    </row>
    <row r="7">
      <c r="A7" s="18">
        <v>46224</v>
      </c>
      <c r="B7" s="18" t="s">
        <v>195</v>
      </c>
      <c r="C7" s="18" t="s">
        <v>196</v>
      </c>
      <c r="D7" s="18"/>
      <c r="E7" s="18"/>
      <c r="F7" s="18"/>
    </row>
    <row r="8">
      <c r="A8" s="18"/>
      <c r="B8" s="18"/>
      <c r="C8" s="18"/>
      <c r="D8" s="18"/>
      <c r="E8" s="18"/>
      <c r="F8" s="18"/>
    </row>
    <row r="9">
      <c r="A9" s="18"/>
      <c r="B9" s="18"/>
      <c r="C9" s="18"/>
      <c r="D9" s="18"/>
      <c r="E9" s="18"/>
      <c r="F9" s="18"/>
    </row>
  </sheetData>
  <mergeCells count="2">
    <mergeCell ref="A1:H1"/>
    <mergeCell ref="A2:H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76"/>
  <sheetViews>
    <sheetView workbookViewId="0"/>
  </sheetViews>
  <sheetFormatPr defaultColWidth="8.375" defaultRowHeight="15"/>
  <sheetData>
    <row r="1">
      <c r="A1" t="s">
        <v>197</v>
      </c>
    </row>
    <row r="2">
      <c r="A2" t="s">
        <v>198</v>
      </c>
    </row>
    <row r="4">
      <c r="A4" t="s">
        <v>199</v>
      </c>
      <c r="B4" t="s">
        <v>200</v>
      </c>
      <c r="C4" t="s">
        <v>201</v>
      </c>
      <c r="D4" t="s">
        <v>202</v>
      </c>
      <c r="E4" t="s">
        <v>203</v>
      </c>
      <c r="G4" t="s">
        <v>204</v>
      </c>
    </row>
    <row r="5">
      <c r="A5" t="s">
        <v>205</v>
      </c>
    </row>
    <row r="6">
      <c r="A6" t="s">
        <v>206</v>
      </c>
    </row>
    <row r="7">
      <c r="A7" t="s">
        <v>207</v>
      </c>
      <c r="B7">
        <v>44181617</v>
      </c>
      <c r="C7">
        <v>46604510</v>
      </c>
      <c r="D7">
        <v>51022424</v>
      </c>
      <c r="E7">
        <v>54029561</v>
      </c>
      <c r="G7">
        <v>5</v>
      </c>
    </row>
    <row r="8">
      <c r="A8" t="s">
        <v>208</v>
      </c>
      <c r="B8">
        <v>190574</v>
      </c>
      <c r="C8">
        <v>194610</v>
      </c>
      <c r="D8">
        <v>238825</v>
      </c>
      <c r="E8">
        <v>252578</v>
      </c>
      <c r="G8">
        <v>6</v>
      </c>
    </row>
    <row r="9">
      <c r="A9" t="s">
        <v>209</v>
      </c>
      <c r="B9">
        <v>3693266</v>
      </c>
      <c r="C9">
        <v>2977065</v>
      </c>
      <c r="D9">
        <v>2942675</v>
      </c>
      <c r="E9">
        <v>2665810</v>
      </c>
      <c r="G9">
        <v>7</v>
      </c>
    </row>
    <row r="10">
      <c r="A10" t="s">
        <v>210</v>
      </c>
      <c r="B10">
        <v>3405647</v>
      </c>
      <c r="C10">
        <v>2994207</v>
      </c>
      <c r="D10">
        <v>3360225</v>
      </c>
      <c r="E10">
        <v>3177617</v>
      </c>
      <c r="G10">
        <v>7</v>
      </c>
    </row>
    <row r="11">
      <c r="A11" t="s">
        <v>211</v>
      </c>
      <c r="B11">
        <v>826955</v>
      </c>
      <c r="C11">
        <v>829895</v>
      </c>
      <c r="D11">
        <v>981647</v>
      </c>
      <c r="E11">
        <v>997304</v>
      </c>
      <c r="G11">
        <v>14</v>
      </c>
    </row>
    <row r="12">
      <c r="A12" t="s">
        <v>212</v>
      </c>
      <c r="B12">
        <v>1153598</v>
      </c>
      <c r="C12">
        <v>1056124</v>
      </c>
      <c r="D12">
        <v>1087824</v>
      </c>
      <c r="E12">
        <v>241780</v>
      </c>
      <c r="G12" t="s">
        <v>213</v>
      </c>
    </row>
    <row r="13">
      <c r="A13" t="s">
        <v>214</v>
      </c>
      <c r="B13">
        <v>17166</v>
      </c>
      <c r="C13">
        <v>17739</v>
      </c>
      <c r="D13">
        <v>16706</v>
      </c>
      <c r="E13">
        <v>2166</v>
      </c>
      <c r="G13" t="s">
        <v>215</v>
      </c>
    </row>
    <row r="14">
      <c r="A14" t="s">
        <v>216</v>
      </c>
      <c r="B14">
        <v>1217353</v>
      </c>
      <c r="C14">
        <v>1519458</v>
      </c>
      <c r="D14">
        <v>1931766</v>
      </c>
      <c r="E14">
        <v>2286225</v>
      </c>
      <c r="G14" t="s">
        <v>217</v>
      </c>
    </row>
    <row r="15">
      <c r="A15" t="s">
        <v>218</v>
      </c>
      <c r="B15">
        <v>2441171</v>
      </c>
      <c r="C15">
        <v>3061104</v>
      </c>
      <c r="D15">
        <v>2511637</v>
      </c>
      <c r="E15">
        <v>2533237</v>
      </c>
      <c r="G15">
        <v>12</v>
      </c>
    </row>
    <row r="16">
      <c r="A16" t="s">
        <v>219</v>
      </c>
      <c r="B16">
        <v>3023468</v>
      </c>
      <c r="C16">
        <v>2341311</v>
      </c>
      <c r="D16">
        <v>2804389</v>
      </c>
      <c r="E16">
        <v>3231857</v>
      </c>
      <c r="G16">
        <v>13</v>
      </c>
    </row>
    <row r="17">
      <c r="A17" t="s">
        <v>220</v>
      </c>
      <c r="B17">
        <v>331706</v>
      </c>
      <c r="C17">
        <v>360309</v>
      </c>
      <c r="D17">
        <v>505678</v>
      </c>
      <c r="E17">
        <v>437454</v>
      </c>
      <c r="G17">
        <v>16</v>
      </c>
    </row>
    <row r="18">
      <c r="A18" t="s">
        <v>221</v>
      </c>
      <c r="B18">
        <v>89065</v>
      </c>
      <c r="C18">
        <v>59346</v>
      </c>
      <c r="D18">
        <v>26371</v>
      </c>
      <c r="E18">
        <v>40559</v>
      </c>
      <c r="G18">
        <v>18</v>
      </c>
    </row>
    <row r="19">
      <c r="A19" t="s">
        <v>222</v>
      </c>
      <c r="B19">
        <v>60571586</v>
      </c>
      <c r="C19">
        <v>62015678</v>
      </c>
      <c r="D19">
        <v>67430167</v>
      </c>
      <c r="E19">
        <v>69896148</v>
      </c>
    </row>
    <row r="21">
      <c r="A21" t="s">
        <v>223</v>
      </c>
    </row>
    <row r="22">
      <c r="A22" t="s">
        <v>224</v>
      </c>
      <c r="B22">
        <v>714643</v>
      </c>
      <c r="C22">
        <v>760329</v>
      </c>
      <c r="D22">
        <v>684938</v>
      </c>
      <c r="E22">
        <v>598065</v>
      </c>
      <c r="G22">
        <v>17</v>
      </c>
    </row>
    <row r="23">
      <c r="A23" t="s">
        <v>225</v>
      </c>
      <c r="B23">
        <v>7504762</v>
      </c>
      <c r="C23">
        <v>8463392</v>
      </c>
      <c r="D23">
        <v>8525876</v>
      </c>
      <c r="E23">
        <v>7893017</v>
      </c>
      <c r="G23">
        <v>12</v>
      </c>
    </row>
    <row r="24">
      <c r="A24" t="s">
        <v>226</v>
      </c>
      <c r="B24">
        <v>697964</v>
      </c>
      <c r="C24">
        <v>894782</v>
      </c>
      <c r="D24">
        <v>976499</v>
      </c>
      <c r="E24">
        <v>1109329</v>
      </c>
      <c r="G24" t="s">
        <v>227</v>
      </c>
    </row>
    <row r="25">
      <c r="A25" t="s">
        <v>228</v>
      </c>
      <c r="B25">
        <v>1047473</v>
      </c>
      <c r="C25">
        <v>517297</v>
      </c>
      <c r="D25">
        <v>933056</v>
      </c>
      <c r="E25">
        <v>866382</v>
      </c>
      <c r="G25">
        <v>13</v>
      </c>
    </row>
    <row r="26">
      <c r="A26" t="s">
        <v>229</v>
      </c>
      <c r="B26">
        <v>947132</v>
      </c>
      <c r="C26">
        <v>1202032</v>
      </c>
      <c r="D26">
        <v>1375716</v>
      </c>
      <c r="E26">
        <v>1139051</v>
      </c>
      <c r="G26">
        <v>16</v>
      </c>
    </row>
    <row r="27">
      <c r="A27" t="s">
        <v>230</v>
      </c>
      <c r="B27">
        <v>4038679</v>
      </c>
      <c r="C27">
        <v>3244472</v>
      </c>
      <c r="D27">
        <v>2817912</v>
      </c>
      <c r="E27">
        <v>4339445</v>
      </c>
      <c r="G27">
        <v>18</v>
      </c>
    </row>
    <row r="28">
      <c r="A28" t="s">
        <v>231</v>
      </c>
      <c r="B28">
        <v>14950653</v>
      </c>
      <c r="C28">
        <v>15082304</v>
      </c>
      <c r="D28">
        <v>15313997</v>
      </c>
      <c r="E28">
        <v>15945289</v>
      </c>
    </row>
    <row r="29">
      <c r="A29" t="s">
        <v>232</v>
      </c>
      <c r="E29">
        <v>1085175</v>
      </c>
      <c r="G29">
        <v>19</v>
      </c>
    </row>
    <row r="30">
      <c r="A30" t="s">
        <v>233</v>
      </c>
      <c r="B30">
        <v>14950653</v>
      </c>
      <c r="C30">
        <v>15082304</v>
      </c>
      <c r="D30">
        <v>15313997</v>
      </c>
      <c r="E30">
        <v>17030464</v>
      </c>
    </row>
    <row r="32">
      <c r="A32" t="s">
        <v>234</v>
      </c>
      <c r="B32">
        <v>75522239</v>
      </c>
      <c r="C32">
        <v>77097982</v>
      </c>
      <c r="D32">
        <v>82744164</v>
      </c>
      <c r="E32">
        <v>86926612</v>
      </c>
    </row>
    <row r="33">
      <c r="A33" t="s">
        <v>235</v>
      </c>
      <c r="B33">
        <v>56115</v>
      </c>
      <c r="C33">
        <v>137883</v>
      </c>
      <c r="D33">
        <v>695050</v>
      </c>
      <c r="E33">
        <v>303421</v>
      </c>
      <c r="G33" t="s">
        <v>236</v>
      </c>
    </row>
    <row r="34">
      <c r="A34" t="s">
        <v>237</v>
      </c>
      <c r="B34">
        <v>75578354</v>
      </c>
      <c r="C34">
        <v>77235865</v>
      </c>
      <c r="D34">
        <v>83439214</v>
      </c>
      <c r="E34">
        <v>87230033</v>
      </c>
    </row>
    <row r="36">
      <c r="A36" t="s">
        <v>238</v>
      </c>
    </row>
    <row r="37">
      <c r="A37" t="s">
        <v>239</v>
      </c>
      <c r="B37">
        <v>67</v>
      </c>
      <c r="C37">
        <v>67</v>
      </c>
      <c r="D37">
        <v>67</v>
      </c>
      <c r="E37">
        <v>67</v>
      </c>
      <c r="G37" t="s">
        <v>240</v>
      </c>
    </row>
    <row r="38">
      <c r="A38" t="s">
        <v>241</v>
      </c>
      <c r="B38">
        <v>-52</v>
      </c>
      <c r="C38">
        <v>-52</v>
      </c>
      <c r="D38">
        <v>0</v>
      </c>
      <c r="E38">
        <v>0</v>
      </c>
      <c r="G38" t="s">
        <v>240</v>
      </c>
    </row>
    <row r="39">
      <c r="A39" t="s">
        <v>242</v>
      </c>
      <c r="B39">
        <v>2518114</v>
      </c>
      <c r="C39">
        <v>2341067</v>
      </c>
      <c r="D39">
        <v>2453983</v>
      </c>
      <c r="E39">
        <v>2575007</v>
      </c>
      <c r="G39" t="s">
        <v>240</v>
      </c>
    </row>
    <row r="40">
      <c r="A40" t="s">
        <v>243</v>
      </c>
      <c r="B40">
        <v>3765881</v>
      </c>
      <c r="C40">
        <v>2720926</v>
      </c>
      <c r="D40">
        <v>3065544</v>
      </c>
      <c r="E40">
        <v>3441811</v>
      </c>
      <c r="G40" t="s">
        <v>244</v>
      </c>
    </row>
    <row r="41">
      <c r="A41" t="s">
        <v>245</v>
      </c>
      <c r="B41">
        <v>19212331</v>
      </c>
      <c r="C41">
        <v>21486694</v>
      </c>
      <c r="D41">
        <v>22285158</v>
      </c>
      <c r="E41">
        <v>24051250</v>
      </c>
      <c r="G41" t="s">
        <v>240</v>
      </c>
    </row>
    <row r="42">
      <c r="A42" t="s">
        <v>246</v>
      </c>
      <c r="B42">
        <v>3845458</v>
      </c>
      <c r="C42">
        <v>3249354</v>
      </c>
      <c r="D42">
        <v>4541404</v>
      </c>
      <c r="E42">
        <v>4979411</v>
      </c>
      <c r="G42" t="s">
        <v>240</v>
      </c>
    </row>
    <row r="43">
      <c r="A43" t="s">
        <v>247</v>
      </c>
      <c r="B43">
        <v>78565</v>
      </c>
      <c r="C43">
        <v>84698</v>
      </c>
      <c r="D43">
        <v>85754</v>
      </c>
      <c r="E43">
        <v>89307</v>
      </c>
      <c r="G43" t="s">
        <v>240</v>
      </c>
    </row>
    <row r="44">
      <c r="A44" t="s">
        <v>248</v>
      </c>
      <c r="B44">
        <v>29420364</v>
      </c>
      <c r="C44">
        <v>29882754</v>
      </c>
      <c r="D44">
        <v>32431910</v>
      </c>
      <c r="E44">
        <v>35136853</v>
      </c>
    </row>
    <row r="45">
      <c r="A45" t="s">
        <v>249</v>
      </c>
      <c r="B45">
        <v>1566502</v>
      </c>
      <c r="C45">
        <v>1433580</v>
      </c>
      <c r="D45">
        <v>1687736</v>
      </c>
      <c r="E45">
        <v>1553096</v>
      </c>
      <c r="G45" t="s">
        <v>240</v>
      </c>
    </row>
    <row r="46">
      <c r="A46" t="s">
        <v>250</v>
      </c>
      <c r="B46">
        <v>30986866</v>
      </c>
      <c r="C46">
        <v>31316334</v>
      </c>
      <c r="D46">
        <v>34119646</v>
      </c>
      <c r="E46">
        <v>36689949</v>
      </c>
    </row>
    <row r="48">
      <c r="A48" t="s">
        <v>251</v>
      </c>
    </row>
    <row r="49">
      <c r="A49" t="s">
        <v>252</v>
      </c>
    </row>
    <row r="50">
      <c r="A50" t="s">
        <v>253</v>
      </c>
      <c r="B50">
        <v>25896191</v>
      </c>
      <c r="C50">
        <v>23129694</v>
      </c>
      <c r="D50">
        <v>29182836</v>
      </c>
      <c r="E50">
        <v>27943359</v>
      </c>
      <c r="G50" t="s">
        <v>254</v>
      </c>
    </row>
    <row r="51">
      <c r="A51" t="s">
        <v>255</v>
      </c>
      <c r="B51">
        <v>676537</v>
      </c>
      <c r="C51">
        <v>592334</v>
      </c>
      <c r="D51">
        <v>636657</v>
      </c>
      <c r="E51">
        <v>504339</v>
      </c>
      <c r="G51" t="s">
        <v>256</v>
      </c>
    </row>
    <row r="52">
      <c r="A52" t="s">
        <v>257</v>
      </c>
      <c r="B52">
        <v>888992</v>
      </c>
      <c r="C52">
        <v>1816172</v>
      </c>
      <c r="D52">
        <v>996346</v>
      </c>
      <c r="E52">
        <v>1728909</v>
      </c>
      <c r="G52" t="s">
        <v>258</v>
      </c>
    </row>
    <row r="53">
      <c r="A53" t="s">
        <v>259</v>
      </c>
      <c r="B53">
        <v>699708</v>
      </c>
      <c r="C53">
        <v>923520</v>
      </c>
      <c r="D53">
        <v>906340</v>
      </c>
      <c r="E53">
        <v>891656</v>
      </c>
      <c r="G53" t="s">
        <v>260</v>
      </c>
    </row>
    <row r="54">
      <c r="A54" t="s">
        <v>261</v>
      </c>
      <c r="B54">
        <v>33351</v>
      </c>
      <c r="C54">
        <v>33351</v>
      </c>
      <c r="D54">
        <v>33351</v>
      </c>
      <c r="E54">
        <v>107047</v>
      </c>
      <c r="G54" t="s">
        <v>262</v>
      </c>
    </row>
    <row r="55">
      <c r="A55" t="s">
        <v>263</v>
      </c>
      <c r="B55">
        <v>2368390</v>
      </c>
      <c r="C55">
        <v>2572738</v>
      </c>
      <c r="D55">
        <v>2596593</v>
      </c>
      <c r="E55">
        <v>3977312</v>
      </c>
      <c r="G55" t="s">
        <v>262</v>
      </c>
    </row>
    <row r="56">
      <c r="A56" t="s">
        <v>264</v>
      </c>
      <c r="B56">
        <v>1240474</v>
      </c>
      <c r="C56">
        <v>2195931</v>
      </c>
      <c r="D56">
        <v>1887409</v>
      </c>
      <c r="E56">
        <v>1292328</v>
      </c>
      <c r="G56" t="s">
        <v>265</v>
      </c>
    </row>
    <row r="57">
      <c r="A57" t="s">
        <v>266</v>
      </c>
      <c r="B57">
        <v>707853</v>
      </c>
      <c r="C57">
        <v>562122</v>
      </c>
      <c r="D57">
        <v>443410</v>
      </c>
      <c r="E57">
        <v>1134462</v>
      </c>
      <c r="G57" t="s">
        <v>267</v>
      </c>
    </row>
    <row r="58">
      <c r="A58" t="s">
        <v>268</v>
      </c>
      <c r="B58">
        <v>32511496</v>
      </c>
      <c r="C58">
        <v>31825862</v>
      </c>
      <c r="D58">
        <v>36682942</v>
      </c>
      <c r="E58">
        <v>37579412</v>
      </c>
    </row>
    <row r="60">
      <c r="A60" t="s">
        <v>269</v>
      </c>
    </row>
    <row r="61">
      <c r="A61" t="s">
        <v>270</v>
      </c>
      <c r="B61">
        <v>3594078</v>
      </c>
      <c r="C61">
        <v>4747246</v>
      </c>
      <c r="D61">
        <v>2680444</v>
      </c>
      <c r="E61">
        <v>4276700</v>
      </c>
      <c r="G61" t="s">
        <v>254</v>
      </c>
    </row>
    <row r="62">
      <c r="A62" t="s">
        <v>271</v>
      </c>
      <c r="B62">
        <v>4378509</v>
      </c>
      <c r="C62">
        <v>5072999</v>
      </c>
      <c r="D62">
        <v>5237864</v>
      </c>
      <c r="E62">
        <v>4696305</v>
      </c>
      <c r="G62" t="s">
        <v>256</v>
      </c>
    </row>
    <row r="63">
      <c r="A63" t="s">
        <v>272</v>
      </c>
      <c r="B63">
        <v>686730</v>
      </c>
      <c r="C63">
        <v>747974</v>
      </c>
      <c r="D63">
        <v>174921</v>
      </c>
      <c r="E63">
        <v>369048</v>
      </c>
      <c r="G63" t="s">
        <v>258</v>
      </c>
    </row>
    <row r="64">
      <c r="A64" t="s">
        <v>273</v>
      </c>
      <c r="B64">
        <v>390895</v>
      </c>
      <c r="C64">
        <v>437502</v>
      </c>
      <c r="D64">
        <v>1055484</v>
      </c>
      <c r="E64">
        <v>783889</v>
      </c>
      <c r="G64" t="s">
        <v>260</v>
      </c>
    </row>
    <row r="65">
      <c r="A65" t="s">
        <v>274</v>
      </c>
      <c r="B65">
        <v>500396</v>
      </c>
      <c r="C65">
        <v>368646</v>
      </c>
      <c r="D65">
        <v>346778</v>
      </c>
      <c r="E65">
        <v>238961</v>
      </c>
      <c r="G65" t="s">
        <v>262</v>
      </c>
    </row>
    <row r="66">
      <c r="A66" t="s">
        <v>275</v>
      </c>
      <c r="B66">
        <v>511280</v>
      </c>
      <c r="C66">
        <v>513435</v>
      </c>
      <c r="D66">
        <v>512987</v>
      </c>
      <c r="E66">
        <v>537943</v>
      </c>
      <c r="G66" t="s">
        <v>276</v>
      </c>
    </row>
    <row r="67">
      <c r="A67" t="s">
        <v>277</v>
      </c>
      <c r="B67">
        <v>582926</v>
      </c>
      <c r="C67">
        <v>458399</v>
      </c>
      <c r="D67">
        <v>1502597</v>
      </c>
      <c r="E67">
        <v>754544</v>
      </c>
      <c r="G67" t="s">
        <v>265</v>
      </c>
    </row>
    <row r="68">
      <c r="A68" t="s">
        <v>278</v>
      </c>
      <c r="B68">
        <v>1418344</v>
      </c>
      <c r="C68">
        <v>1706103</v>
      </c>
      <c r="D68">
        <v>901043</v>
      </c>
      <c r="E68">
        <v>1224634</v>
      </c>
      <c r="G68" t="s">
        <v>267</v>
      </c>
    </row>
    <row r="69">
      <c r="A69" t="s">
        <v>279</v>
      </c>
      <c r="B69">
        <v>12063158</v>
      </c>
      <c r="C69">
        <v>14052304</v>
      </c>
      <c r="D69">
        <v>12412118</v>
      </c>
      <c r="E69">
        <v>12882024</v>
      </c>
    </row>
    <row r="71">
      <c r="A71" t="s">
        <v>280</v>
      </c>
      <c r="B71">
        <v>44574654</v>
      </c>
      <c r="C71">
        <v>45878166</v>
      </c>
      <c r="D71">
        <v>49095060</v>
      </c>
      <c r="E71">
        <v>50461436</v>
      </c>
    </row>
    <row r="72">
      <c r="A72" t="s">
        <v>281</v>
      </c>
      <c r="D72">
        <v>77175</v>
      </c>
      <c r="E72">
        <v>27470</v>
      </c>
      <c r="G72" t="s">
        <v>236</v>
      </c>
    </row>
    <row r="73">
      <c r="A73" t="s">
        <v>282</v>
      </c>
      <c r="B73">
        <v>16834</v>
      </c>
      <c r="C73">
        <v>41365</v>
      </c>
      <c r="D73">
        <v>147333</v>
      </c>
      <c r="E73">
        <v>51178</v>
      </c>
      <c r="G73" t="s">
        <v>236</v>
      </c>
    </row>
    <row r="74">
      <c r="A74" t="s">
        <v>283</v>
      </c>
      <c r="B74">
        <v>44591488</v>
      </c>
      <c r="C74">
        <v>45919531</v>
      </c>
      <c r="D74">
        <v>49319568</v>
      </c>
      <c r="E74">
        <v>50540084</v>
      </c>
    </row>
    <row r="76">
      <c r="A76" t="s">
        <v>284</v>
      </c>
      <c r="B76">
        <v>75578354</v>
      </c>
      <c r="C76">
        <v>77235865</v>
      </c>
      <c r="D76">
        <v>83439214</v>
      </c>
      <c r="E76">
        <v>87230033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G53"/>
  <sheetViews>
    <sheetView workbookViewId="0"/>
  </sheetViews>
  <sheetFormatPr defaultColWidth="8.375" defaultRowHeight="15"/>
  <sheetData>
    <row r="1">
      <c r="A1" t="s">
        <v>285</v>
      </c>
    </row>
    <row r="2">
      <c r="A2" t="s">
        <v>286</v>
      </c>
    </row>
    <row r="4">
      <c r="A4" t="s">
        <v>199</v>
      </c>
      <c r="B4" t="s">
        <v>200</v>
      </c>
      <c r="C4" t="s">
        <v>201</v>
      </c>
      <c r="D4" t="s">
        <v>202</v>
      </c>
      <c r="E4" t="s">
        <v>203</v>
      </c>
      <c r="G4" t="s">
        <v>204</v>
      </c>
    </row>
    <row r="5">
      <c r="A5" t="s">
        <v>287</v>
      </c>
      <c r="B5">
        <v>31524554</v>
      </c>
      <c r="C5">
        <v>36897753</v>
      </c>
      <c r="D5">
        <v>39415019</v>
      </c>
      <c r="E5">
        <v>37867300</v>
      </c>
      <c r="G5" t="s">
        <v>288</v>
      </c>
    </row>
    <row r="6">
      <c r="A6" t="s">
        <v>289</v>
      </c>
      <c r="B6">
        <v>55457</v>
      </c>
      <c r="C6">
        <v>83399</v>
      </c>
      <c r="D6">
        <v>75563</v>
      </c>
      <c r="E6">
        <v>81660</v>
      </c>
      <c r="G6" t="s">
        <v>288</v>
      </c>
    </row>
    <row r="7">
      <c r="A7" t="s">
        <v>290</v>
      </c>
      <c r="B7">
        <v>148397</v>
      </c>
      <c r="C7">
        <v>157935</v>
      </c>
      <c r="D7">
        <v>127099</v>
      </c>
      <c r="E7">
        <v>168879</v>
      </c>
      <c r="G7" t="s">
        <v>288</v>
      </c>
    </row>
    <row r="8">
      <c r="A8" t="s">
        <v>291</v>
      </c>
      <c r="B8">
        <v>31728408</v>
      </c>
      <c r="C8">
        <v>37139087</v>
      </c>
      <c r="D8">
        <v>39617681</v>
      </c>
      <c r="E8">
        <v>38117839</v>
      </c>
    </row>
    <row r="9">
      <c r="A9" t="s">
        <v>292</v>
      </c>
      <c r="B9">
        <v>488409</v>
      </c>
      <c r="C9">
        <v>392735</v>
      </c>
      <c r="D9">
        <v>1867024</v>
      </c>
      <c r="E9">
        <v>2427914</v>
      </c>
      <c r="G9" t="s">
        <v>293</v>
      </c>
    </row>
    <row r="10">
      <c r="A10" t="s">
        <v>294</v>
      </c>
      <c r="B10">
        <v>5652</v>
      </c>
      <c r="C10">
        <v>4894</v>
      </c>
      <c r="D10">
        <v>3206</v>
      </c>
      <c r="E10">
        <v>15466</v>
      </c>
      <c r="G10" t="s">
        <v>295</v>
      </c>
    </row>
    <row r="11">
      <c r="A11" t="s">
        <v>296</v>
      </c>
      <c r="B11">
        <v>32222469</v>
      </c>
      <c r="C11">
        <v>37536716</v>
      </c>
      <c r="D11">
        <v>41487911</v>
      </c>
      <c r="E11">
        <v>40561219</v>
      </c>
    </row>
    <row r="12">
      <c r="A12" t="s">
        <v>297</v>
      </c>
      <c r="B12">
        <v>-20687461</v>
      </c>
      <c r="C12">
        <v>-25066462</v>
      </c>
      <c r="D12">
        <v>-27261863</v>
      </c>
      <c r="E12">
        <v>-25704977</v>
      </c>
      <c r="G12" t="s">
        <v>298</v>
      </c>
    </row>
    <row r="13">
      <c r="A13" t="s">
        <v>299</v>
      </c>
      <c r="B13">
        <v>-2330073</v>
      </c>
      <c r="C13">
        <v>-3461988</v>
      </c>
      <c r="D13">
        <v>-4011361</v>
      </c>
      <c r="E13">
        <v>-3044849</v>
      </c>
      <c r="G13" t="s">
        <v>300</v>
      </c>
    </row>
    <row r="14">
      <c r="A14" t="s">
        <v>301</v>
      </c>
      <c r="B14">
        <v>-1106405</v>
      </c>
      <c r="C14">
        <v>-1199656</v>
      </c>
      <c r="D14">
        <v>-1026925</v>
      </c>
      <c r="E14">
        <v>-1213614</v>
      </c>
      <c r="G14">
        <v>12</v>
      </c>
    </row>
    <row r="15">
      <c r="A15" t="s">
        <v>302</v>
      </c>
      <c r="B15">
        <v>-138511</v>
      </c>
      <c r="C15">
        <v>-125435</v>
      </c>
      <c r="D15">
        <v>-157469</v>
      </c>
      <c r="E15">
        <v>-220217</v>
      </c>
      <c r="G15" t="s">
        <v>303</v>
      </c>
    </row>
    <row r="16">
      <c r="A16" t="s">
        <v>304</v>
      </c>
      <c r="B16">
        <v>397903</v>
      </c>
      <c r="C16">
        <v>804674</v>
      </c>
      <c r="D16">
        <v>759784</v>
      </c>
      <c r="E16">
        <v>421487</v>
      </c>
      <c r="G16" t="s">
        <v>305</v>
      </c>
    </row>
    <row r="17">
      <c r="A17" t="s">
        <v>306</v>
      </c>
      <c r="B17">
        <v>-2284882</v>
      </c>
      <c r="C17">
        <v>-3267082</v>
      </c>
      <c r="D17">
        <v>-3510889</v>
      </c>
      <c r="E17">
        <v>-3534428</v>
      </c>
      <c r="G17" t="s">
        <v>307</v>
      </c>
    </row>
    <row r="18">
      <c r="A18" t="s">
        <v>308</v>
      </c>
      <c r="B18">
        <v>-103086</v>
      </c>
      <c r="C18">
        <v>171188</v>
      </c>
      <c r="D18">
        <v>-241320</v>
      </c>
      <c r="E18">
        <v>305688</v>
      </c>
      <c r="G18" t="s">
        <v>309</v>
      </c>
    </row>
    <row r="19">
      <c r="A19" t="s">
        <v>310</v>
      </c>
      <c r="B19">
        <v>-237266</v>
      </c>
      <c r="C19">
        <v>-567722</v>
      </c>
      <c r="D19">
        <v>14717</v>
      </c>
      <c r="E19">
        <v>234224</v>
      </c>
      <c r="G19" t="s">
        <v>311</v>
      </c>
    </row>
    <row r="20">
      <c r="A20" t="s">
        <v>312</v>
      </c>
      <c r="B20">
        <v>70722</v>
      </c>
      <c r="C20">
        <v>178118</v>
      </c>
      <c r="D20">
        <v>123334</v>
      </c>
      <c r="E20">
        <v>115947</v>
      </c>
      <c r="G20" t="s">
        <v>313</v>
      </c>
    </row>
    <row r="21">
      <c r="A21" t="s">
        <v>314</v>
      </c>
      <c r="B21">
        <v>5803410</v>
      </c>
      <c r="C21">
        <v>5002351</v>
      </c>
      <c r="D21">
        <v>6175919</v>
      </c>
      <c r="E21">
        <v>7920480</v>
      </c>
    </row>
    <row r="22">
      <c r="A22" t="s">
        <v>315</v>
      </c>
      <c r="B22">
        <v>-1610791</v>
      </c>
      <c r="C22">
        <v>-1516153</v>
      </c>
      <c r="D22">
        <v>-1387096</v>
      </c>
      <c r="E22">
        <v>-2489789</v>
      </c>
      <c r="G22" t="s">
        <v>262</v>
      </c>
    </row>
    <row r="23">
      <c r="A23" t="s">
        <v>316</v>
      </c>
      <c r="B23">
        <v>4192619</v>
      </c>
      <c r="C23">
        <v>3486198</v>
      </c>
      <c r="D23">
        <v>4788823</v>
      </c>
      <c r="E23">
        <v>5430691</v>
      </c>
    </row>
    <row r="24">
      <c r="A24" t="s">
        <v>317</v>
      </c>
      <c r="B24">
        <v>-97743</v>
      </c>
      <c r="C24">
        <v>105156</v>
      </c>
      <c r="D24">
        <v>172043</v>
      </c>
      <c r="E24">
        <v>-115742</v>
      </c>
      <c r="G24" t="s">
        <v>236</v>
      </c>
    </row>
    <row r="25">
      <c r="A25" t="s">
        <v>318</v>
      </c>
      <c r="B25">
        <v>30625</v>
      </c>
      <c r="C25">
        <v>-29408</v>
      </c>
      <c r="D25">
        <v>-55457</v>
      </c>
      <c r="E25">
        <v>21984</v>
      </c>
      <c r="G25" t="s">
        <v>236</v>
      </c>
    </row>
    <row r="26">
      <c r="A26" t="s">
        <v>319</v>
      </c>
      <c r="B26">
        <v>4125501</v>
      </c>
      <c r="C26">
        <v>3561946</v>
      </c>
      <c r="D26">
        <v>4905409</v>
      </c>
      <c r="E26">
        <v>5336933</v>
      </c>
    </row>
    <row r="28">
      <c r="A28" t="s">
        <v>320</v>
      </c>
    </row>
    <row r="29">
      <c r="A29" t="s">
        <v>321</v>
      </c>
      <c r="B29">
        <v>126956</v>
      </c>
      <c r="C29">
        <v>-214930</v>
      </c>
      <c r="D29">
        <v>164888</v>
      </c>
      <c r="E29">
        <v>23263</v>
      </c>
      <c r="G29" t="s">
        <v>244</v>
      </c>
    </row>
    <row r="30">
      <c r="A30" t="s">
        <v>322</v>
      </c>
      <c r="B30">
        <v>-131035</v>
      </c>
      <c r="C30">
        <v>-539451</v>
      </c>
      <c r="D30">
        <v>119253</v>
      </c>
      <c r="E30">
        <v>777954</v>
      </c>
      <c r="G30" t="s">
        <v>244</v>
      </c>
    </row>
    <row r="31">
      <c r="A31" t="s">
        <v>323</v>
      </c>
      <c r="D31">
        <v>977</v>
      </c>
      <c r="G31">
        <v>21</v>
      </c>
    </row>
    <row r="32">
      <c r="A32" t="s">
        <v>324</v>
      </c>
      <c r="B32">
        <v>-2714</v>
      </c>
      <c r="C32">
        <v>-105778</v>
      </c>
      <c r="D32">
        <v>16851</v>
      </c>
    </row>
    <row r="33">
      <c r="A33" t="s">
        <v>325</v>
      </c>
      <c r="E33">
        <v>12574</v>
      </c>
      <c r="G33">
        <v>21</v>
      </c>
    </row>
    <row r="34">
      <c r="A34" t="s">
        <v>326</v>
      </c>
      <c r="B34">
        <v>-349496</v>
      </c>
      <c r="C34">
        <v>180040</v>
      </c>
      <c r="D34">
        <v>-69450</v>
      </c>
      <c r="E34">
        <v>-111296</v>
      </c>
      <c r="G34" t="s">
        <v>327</v>
      </c>
    </row>
    <row r="35">
      <c r="A35" t="s">
        <v>328</v>
      </c>
      <c r="B35">
        <v>-356289</v>
      </c>
      <c r="C35">
        <v>-680119</v>
      </c>
      <c r="D35">
        <v>232519</v>
      </c>
      <c r="E35">
        <v>702495</v>
      </c>
    </row>
    <row r="37">
      <c r="A37" t="s">
        <v>329</v>
      </c>
    </row>
    <row r="38">
      <c r="A38" t="s">
        <v>330</v>
      </c>
      <c r="B38">
        <v>-595470</v>
      </c>
      <c r="C38">
        <v>446908</v>
      </c>
      <c r="D38">
        <v>-295209</v>
      </c>
      <c r="E38">
        <v>374212</v>
      </c>
      <c r="G38" t="s">
        <v>244</v>
      </c>
    </row>
    <row r="39">
      <c r="A39" t="s">
        <v>331</v>
      </c>
      <c r="B39">
        <v>840297</v>
      </c>
      <c r="C39">
        <v>-1123159</v>
      </c>
      <c r="D39">
        <v>416442</v>
      </c>
      <c r="E39">
        <v>-598783</v>
      </c>
      <c r="G39" t="s">
        <v>244</v>
      </c>
    </row>
    <row r="40">
      <c r="A40" t="s">
        <v>332</v>
      </c>
      <c r="B40">
        <v>3347</v>
      </c>
      <c r="C40">
        <v>273052</v>
      </c>
      <c r="D40">
        <v>-6393</v>
      </c>
      <c r="G40" t="s">
        <v>333</v>
      </c>
    </row>
    <row r="41">
      <c r="A41" t="s">
        <v>334</v>
      </c>
      <c r="B41">
        <v>-216145</v>
      </c>
      <c r="C41">
        <v>283752</v>
      </c>
      <c r="D41">
        <v>-150329</v>
      </c>
      <c r="E41">
        <v>167669</v>
      </c>
    </row>
    <row r="42">
      <c r="A42" t="s">
        <v>335</v>
      </c>
      <c r="E42">
        <v>-1165</v>
      </c>
    </row>
    <row r="43">
      <c r="A43" t="s">
        <v>336</v>
      </c>
      <c r="B43">
        <v>288033</v>
      </c>
      <c r="C43">
        <v>-250892</v>
      </c>
      <c r="D43">
        <v>152096</v>
      </c>
      <c r="E43">
        <v>-266103</v>
      </c>
      <c r="G43" t="s">
        <v>327</v>
      </c>
    </row>
    <row r="44">
      <c r="A44" t="s">
        <v>337</v>
      </c>
      <c r="B44">
        <v>320062</v>
      </c>
      <c r="C44">
        <v>-370339</v>
      </c>
      <c r="D44">
        <v>116607</v>
      </c>
      <c r="E44">
        <v>-324170</v>
      </c>
    </row>
    <row r="46">
      <c r="A46" t="s">
        <v>338</v>
      </c>
      <c r="B46">
        <v>-36227</v>
      </c>
      <c r="C46">
        <v>-1050458</v>
      </c>
      <c r="D46">
        <v>349126</v>
      </c>
      <c r="E46">
        <v>378325</v>
      </c>
    </row>
    <row r="47">
      <c r="A47" t="s">
        <v>339</v>
      </c>
      <c r="B47">
        <v>4089274</v>
      </c>
      <c r="C47">
        <v>2511488</v>
      </c>
      <c r="D47">
        <v>5254535</v>
      </c>
      <c r="E47">
        <v>5715258</v>
      </c>
    </row>
    <row r="49">
      <c r="A49" t="s">
        <v>340</v>
      </c>
    </row>
    <row r="50">
      <c r="A50" t="s">
        <v>341</v>
      </c>
      <c r="B50">
        <v>3845458</v>
      </c>
      <c r="C50">
        <v>3249354</v>
      </c>
      <c r="D50">
        <v>4541404</v>
      </c>
      <c r="E50">
        <v>4979411</v>
      </c>
    </row>
    <row r="51">
      <c r="A51" t="s">
        <v>342</v>
      </c>
      <c r="B51">
        <v>280043</v>
      </c>
      <c r="C51">
        <v>312592</v>
      </c>
      <c r="D51">
        <v>364005</v>
      </c>
      <c r="E51">
        <v>357522</v>
      </c>
    </row>
    <row r="52">
      <c r="A52" t="s">
        <v>343</v>
      </c>
      <c r="B52">
        <v>3813031</v>
      </c>
      <c r="C52">
        <v>2204384</v>
      </c>
      <c r="D52">
        <v>4886722</v>
      </c>
      <c r="E52">
        <v>5355710</v>
      </c>
    </row>
    <row r="53">
      <c r="A53" t="s">
        <v>344</v>
      </c>
      <c r="B53">
        <v>276243</v>
      </c>
      <c r="C53">
        <v>307104</v>
      </c>
      <c r="D53">
        <v>367813</v>
      </c>
      <c r="E53">
        <v>359548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G88"/>
  <sheetViews>
    <sheetView workbookViewId="0"/>
  </sheetViews>
  <sheetFormatPr defaultColWidth="8.375" defaultRowHeight="15"/>
  <sheetData>
    <row r="1">
      <c r="A1" t="s">
        <v>345</v>
      </c>
    </row>
    <row r="2">
      <c r="A2" t="s">
        <v>346</v>
      </c>
    </row>
    <row r="4">
      <c r="A4" t="s">
        <v>199</v>
      </c>
      <c r="B4" t="s">
        <v>200</v>
      </c>
      <c r="C4" t="s">
        <v>201</v>
      </c>
      <c r="D4" t="s">
        <v>202</v>
      </c>
      <c r="E4" t="s">
        <v>203</v>
      </c>
      <c r="G4" t="s">
        <v>204</v>
      </c>
    </row>
    <row r="5">
      <c r="A5" t="s">
        <v>347</v>
      </c>
    </row>
    <row r="6">
      <c r="A6" t="s">
        <v>246</v>
      </c>
      <c r="B6">
        <v>4125501</v>
      </c>
      <c r="C6">
        <v>3561946</v>
      </c>
      <c r="D6">
        <v>4905409</v>
      </c>
      <c r="E6">
        <v>5336933</v>
      </c>
    </row>
    <row r="7">
      <c r="A7" t="s">
        <v>348</v>
      </c>
      <c r="B7">
        <v>1524883</v>
      </c>
      <c r="C7">
        <v>1874177</v>
      </c>
      <c r="D7">
        <v>2025485</v>
      </c>
      <c r="E7">
        <v>2077456</v>
      </c>
      <c r="G7" t="s">
        <v>349</v>
      </c>
    </row>
    <row r="8">
      <c r="A8" t="s">
        <v>350</v>
      </c>
      <c r="B8">
        <v>88647</v>
      </c>
      <c r="C8">
        <v>149245</v>
      </c>
      <c r="D8">
        <v>615903</v>
      </c>
      <c r="E8">
        <v>270898</v>
      </c>
    </row>
    <row r="9">
      <c r="A9" t="s">
        <v>301</v>
      </c>
      <c r="B9">
        <v>1106405</v>
      </c>
      <c r="C9">
        <v>1199656</v>
      </c>
      <c r="D9">
        <v>1026925</v>
      </c>
      <c r="E9">
        <v>1213614</v>
      </c>
      <c r="G9">
        <v>12</v>
      </c>
    </row>
    <row r="10">
      <c r="A10" t="s">
        <v>351</v>
      </c>
      <c r="B10">
        <v>-117</v>
      </c>
      <c r="C10">
        <v>-34</v>
      </c>
      <c r="D10">
        <v>-3</v>
      </c>
      <c r="G10" t="s">
        <v>352</v>
      </c>
    </row>
    <row r="11">
      <c r="A11" t="s">
        <v>353</v>
      </c>
      <c r="D11">
        <v>-6420</v>
      </c>
      <c r="G11">
        <v>11</v>
      </c>
    </row>
    <row r="12">
      <c r="A12" t="s">
        <v>354</v>
      </c>
      <c r="B12">
        <v>6420</v>
      </c>
      <c r="E12">
        <v>12489</v>
      </c>
      <c r="G12" t="s">
        <v>355</v>
      </c>
    </row>
    <row r="13">
      <c r="A13" t="s">
        <v>356</v>
      </c>
      <c r="E13">
        <v>-726592</v>
      </c>
    </row>
    <row r="14">
      <c r="A14" t="s">
        <v>357</v>
      </c>
      <c r="B14">
        <v>2023</v>
      </c>
      <c r="C14">
        <v>3647</v>
      </c>
      <c r="D14">
        <v>5478</v>
      </c>
      <c r="E14">
        <v>8677</v>
      </c>
    </row>
    <row r="15">
      <c r="A15" t="s">
        <v>358</v>
      </c>
      <c r="B15">
        <v>103086</v>
      </c>
      <c r="C15">
        <v>-171188</v>
      </c>
      <c r="D15">
        <v>241320</v>
      </c>
      <c r="E15">
        <v>-305688</v>
      </c>
    </row>
    <row r="16">
      <c r="A16" t="s">
        <v>359</v>
      </c>
      <c r="B16">
        <v>-20383</v>
      </c>
      <c r="C16">
        <v>-10012</v>
      </c>
      <c r="D16">
        <v>5617</v>
      </c>
      <c r="E16">
        <v>-11094</v>
      </c>
    </row>
    <row r="17">
      <c r="A17" t="s">
        <v>360</v>
      </c>
      <c r="B17">
        <v>25353</v>
      </c>
      <c r="C17">
        <v>-269693</v>
      </c>
      <c r="D17">
        <v>-255254</v>
      </c>
      <c r="E17">
        <v>-20919</v>
      </c>
    </row>
    <row r="18">
      <c r="A18" t="s">
        <v>361</v>
      </c>
      <c r="C18">
        <v>-477</v>
      </c>
      <c r="D18">
        <v>-9395</v>
      </c>
      <c r="E18">
        <v>-321</v>
      </c>
    </row>
    <row r="19">
      <c r="A19" t="s">
        <v>362</v>
      </c>
      <c r="B19">
        <v>317572</v>
      </c>
      <c r="C19">
        <v>989939</v>
      </c>
      <c r="D19">
        <v>1407071</v>
      </c>
      <c r="E19">
        <v>258708</v>
      </c>
    </row>
    <row r="20">
      <c r="A20" t="s">
        <v>363</v>
      </c>
      <c r="B20">
        <v>86223</v>
      </c>
      <c r="C20">
        <v>137515</v>
      </c>
      <c r="D20">
        <v>117232</v>
      </c>
      <c r="E20">
        <v>148047</v>
      </c>
    </row>
    <row r="21">
      <c r="A21" t="s">
        <v>364</v>
      </c>
      <c r="B21">
        <v>-119985</v>
      </c>
      <c r="C21">
        <v>-119939</v>
      </c>
      <c r="D21">
        <v>-120004</v>
      </c>
      <c r="E21">
        <v>-120028</v>
      </c>
    </row>
    <row r="22">
      <c r="A22" t="s">
        <v>365</v>
      </c>
      <c r="B22">
        <v>-152669</v>
      </c>
      <c r="C22">
        <v>-189569</v>
      </c>
      <c r="D22">
        <v>-512401</v>
      </c>
      <c r="E22">
        <v>629009</v>
      </c>
    </row>
    <row r="23">
      <c r="A23" t="s">
        <v>366</v>
      </c>
      <c r="B23">
        <v>1763460</v>
      </c>
      <c r="C23">
        <v>1705722</v>
      </c>
      <c r="D23">
        <v>1899497</v>
      </c>
      <c r="E23">
        <v>1860780</v>
      </c>
    </row>
    <row r="24">
      <c r="A24" t="s">
        <v>367</v>
      </c>
      <c r="B24">
        <v>237266</v>
      </c>
      <c r="C24">
        <v>567721</v>
      </c>
      <c r="D24">
        <v>-14717</v>
      </c>
      <c r="E24">
        <v>-234224</v>
      </c>
    </row>
    <row r="25">
      <c r="A25" t="s">
        <v>368</v>
      </c>
      <c r="B25">
        <v>-293616</v>
      </c>
      <c r="C25">
        <v>-329588</v>
      </c>
      <c r="D25">
        <v>-334464</v>
      </c>
      <c r="E25">
        <v>-318143</v>
      </c>
    </row>
    <row r="26">
      <c r="A26" t="s">
        <v>369</v>
      </c>
      <c r="B26">
        <v>2069530</v>
      </c>
      <c r="C26">
        <v>2947300</v>
      </c>
      <c r="D26">
        <v>3223519</v>
      </c>
      <c r="E26">
        <v>3308336</v>
      </c>
    </row>
    <row r="27">
      <c r="A27" t="s">
        <v>370</v>
      </c>
      <c r="B27">
        <v>-5084</v>
      </c>
      <c r="C27">
        <v>-2007</v>
      </c>
      <c r="D27">
        <v>-1279</v>
      </c>
      <c r="E27">
        <v>-14039</v>
      </c>
    </row>
    <row r="28">
      <c r="A28" t="s">
        <v>371</v>
      </c>
      <c r="B28">
        <v>51865</v>
      </c>
      <c r="C28">
        <v>56093</v>
      </c>
      <c r="D28">
        <v>59146</v>
      </c>
      <c r="E28">
        <v>51292</v>
      </c>
    </row>
    <row r="29">
      <c r="A29" t="s">
        <v>372</v>
      </c>
      <c r="C29">
        <v>19</v>
      </c>
    </row>
    <row r="30">
      <c r="A30" t="s">
        <v>373</v>
      </c>
      <c r="C30">
        <v>86</v>
      </c>
    </row>
    <row r="31">
      <c r="A31" t="s">
        <v>374</v>
      </c>
      <c r="B31">
        <v>-117643</v>
      </c>
      <c r="C31">
        <v>-68570</v>
      </c>
      <c r="D31">
        <v>-1367423</v>
      </c>
      <c r="E31">
        <v>-1178811</v>
      </c>
    </row>
    <row r="32">
      <c r="A32" t="s">
        <v>375</v>
      </c>
      <c r="B32">
        <v>67117</v>
      </c>
      <c r="C32">
        <v>-75748</v>
      </c>
      <c r="D32">
        <v>-116586</v>
      </c>
      <c r="E32">
        <v>93758</v>
      </c>
    </row>
    <row r="33">
      <c r="A33" t="s">
        <v>376</v>
      </c>
      <c r="B33">
        <v>-83</v>
      </c>
      <c r="E33">
        <v>2488</v>
      </c>
    </row>
    <row r="34">
      <c r="A34" t="s">
        <v>377</v>
      </c>
      <c r="B34">
        <v>-77059</v>
      </c>
      <c r="C34">
        <v>-178222</v>
      </c>
      <c r="D34">
        <v>-116913</v>
      </c>
      <c r="E34">
        <v>-130924</v>
      </c>
    </row>
    <row r="35">
      <c r="A35" t="s">
        <v>378</v>
      </c>
      <c r="B35">
        <v>10788712</v>
      </c>
      <c r="C35">
        <v>11778019</v>
      </c>
      <c r="D35">
        <v>12677743</v>
      </c>
      <c r="E35">
        <v>12211702</v>
      </c>
    </row>
    <row r="37">
      <c r="A37" t="s">
        <v>379</v>
      </c>
    </row>
    <row r="38">
      <c r="A38" t="s">
        <v>380</v>
      </c>
      <c r="B38">
        <v>-195929</v>
      </c>
      <c r="C38">
        <v>-49595</v>
      </c>
      <c r="D38">
        <v>72316</v>
      </c>
      <c r="E38">
        <v>78781</v>
      </c>
    </row>
    <row r="39">
      <c r="A39" t="s">
        <v>381</v>
      </c>
      <c r="B39">
        <v>-3327709</v>
      </c>
      <c r="C39">
        <v>-3275568</v>
      </c>
      <c r="D39">
        <v>1083805</v>
      </c>
      <c r="E39">
        <v>453854</v>
      </c>
    </row>
    <row r="40">
      <c r="A40" t="s">
        <v>382</v>
      </c>
      <c r="B40">
        <v>-562298</v>
      </c>
      <c r="C40">
        <v>103042</v>
      </c>
      <c r="D40">
        <v>-669206</v>
      </c>
      <c r="E40">
        <v>906480</v>
      </c>
    </row>
    <row r="41">
      <c r="A41" t="s">
        <v>383</v>
      </c>
      <c r="B41">
        <v>639967</v>
      </c>
      <c r="C41">
        <v>598615</v>
      </c>
      <c r="D41">
        <v>39379</v>
      </c>
      <c r="E41">
        <v>-932854</v>
      </c>
    </row>
    <row r="42">
      <c r="A42" t="s">
        <v>384</v>
      </c>
      <c r="B42">
        <v>25369</v>
      </c>
      <c r="C42">
        <v>26301</v>
      </c>
      <c r="D42">
        <v>-277420</v>
      </c>
      <c r="E42">
        <v>-145526</v>
      </c>
    </row>
    <row r="43">
      <c r="A43" t="s">
        <v>385</v>
      </c>
      <c r="B43">
        <v>-375632</v>
      </c>
      <c r="C43">
        <v>-298874</v>
      </c>
      <c r="D43">
        <v>-1354230</v>
      </c>
      <c r="E43">
        <v>-1544327</v>
      </c>
    </row>
    <row r="44">
      <c r="A44" t="s">
        <v>386</v>
      </c>
      <c r="B44">
        <v>1040968</v>
      </c>
      <c r="C44">
        <v>-211163</v>
      </c>
      <c r="D44">
        <v>-611232</v>
      </c>
      <c r="E44">
        <v>701694</v>
      </c>
    </row>
    <row r="45">
      <c r="A45" t="s">
        <v>387</v>
      </c>
      <c r="B45">
        <v>8033448</v>
      </c>
      <c r="C45">
        <v>8670777</v>
      </c>
      <c r="D45">
        <v>10961155</v>
      </c>
      <c r="E45">
        <v>11729804</v>
      </c>
    </row>
    <row r="46">
      <c r="A46" t="s">
        <v>388</v>
      </c>
      <c r="B46">
        <v>-1885286</v>
      </c>
      <c r="C46">
        <v>-2947777</v>
      </c>
      <c r="D46">
        <v>-3194634</v>
      </c>
      <c r="E46">
        <v>-3224743</v>
      </c>
    </row>
    <row r="47">
      <c r="A47" t="s">
        <v>389</v>
      </c>
      <c r="B47">
        <v>-1402809</v>
      </c>
      <c r="C47">
        <v>-1879389</v>
      </c>
      <c r="D47">
        <v>-2029716</v>
      </c>
      <c r="E47">
        <v>-2119509</v>
      </c>
    </row>
    <row r="48">
      <c r="A48" t="s">
        <v>390</v>
      </c>
      <c r="B48">
        <v>-1576</v>
      </c>
      <c r="C48">
        <v>-2844</v>
      </c>
      <c r="D48">
        <v>80986</v>
      </c>
      <c r="E48">
        <v>53730</v>
      </c>
    </row>
    <row r="49">
      <c r="A49" t="s">
        <v>391</v>
      </c>
      <c r="B49">
        <v>4743777</v>
      </c>
      <c r="C49">
        <v>3840767</v>
      </c>
      <c r="D49">
        <v>5817791</v>
      </c>
      <c r="E49">
        <v>6439282</v>
      </c>
    </row>
    <row r="51">
      <c r="A51" t="s">
        <v>392</v>
      </c>
    </row>
    <row r="52">
      <c r="A52" t="s">
        <v>393</v>
      </c>
      <c r="C52">
        <v>-300000</v>
      </c>
    </row>
    <row r="53">
      <c r="A53" t="s">
        <v>394</v>
      </c>
      <c r="B53">
        <v>-4952635</v>
      </c>
      <c r="C53">
        <v>-5121817</v>
      </c>
      <c r="D53">
        <v>-5130881</v>
      </c>
      <c r="E53">
        <v>-5189428</v>
      </c>
      <c r="G53">
        <v>5</v>
      </c>
    </row>
    <row r="54">
      <c r="A54" t="s">
        <v>395</v>
      </c>
      <c r="B54">
        <v>36677</v>
      </c>
      <c r="C54">
        <v>63031</v>
      </c>
      <c r="D54">
        <v>-243</v>
      </c>
      <c r="E54">
        <v>189287</v>
      </c>
      <c r="G54">
        <v>5</v>
      </c>
    </row>
    <row r="55">
      <c r="A55" t="s">
        <v>396</v>
      </c>
      <c r="B55">
        <v>-529382</v>
      </c>
      <c r="C55">
        <v>-522597</v>
      </c>
      <c r="D55">
        <v>-687075</v>
      </c>
      <c r="E55">
        <v>-340500</v>
      </c>
      <c r="G55">
        <v>7</v>
      </c>
    </row>
    <row r="56">
      <c r="A56" t="s">
        <v>397</v>
      </c>
      <c r="B56">
        <v>10215</v>
      </c>
      <c r="D56">
        <v>-4555</v>
      </c>
      <c r="E56">
        <v>194351</v>
      </c>
      <c r="G56">
        <v>7</v>
      </c>
    </row>
    <row r="57">
      <c r="A57" t="s">
        <v>398</v>
      </c>
      <c r="C57">
        <v>-695</v>
      </c>
      <c r="D57">
        <v>-18</v>
      </c>
      <c r="E57">
        <v>-5154</v>
      </c>
    </row>
    <row r="58">
      <c r="A58" t="s">
        <v>399</v>
      </c>
      <c r="B58">
        <v>802</v>
      </c>
      <c r="C58">
        <v>912</v>
      </c>
    </row>
    <row r="59">
      <c r="A59" t="s">
        <v>400</v>
      </c>
      <c r="B59">
        <v>122</v>
      </c>
      <c r="E59">
        <v>2768</v>
      </c>
    </row>
    <row r="60">
      <c r="A60" t="s">
        <v>401</v>
      </c>
      <c r="B60">
        <v>-385474</v>
      </c>
      <c r="C60">
        <v>-561074</v>
      </c>
      <c r="D60">
        <v>-1021709</v>
      </c>
      <c r="E60">
        <v>-1080682</v>
      </c>
    </row>
    <row r="61">
      <c r="A61" t="s">
        <v>402</v>
      </c>
      <c r="B61">
        <v>841957</v>
      </c>
      <c r="C61">
        <v>1081444</v>
      </c>
      <c r="D61">
        <v>1198110</v>
      </c>
      <c r="E61">
        <v>1054381</v>
      </c>
    </row>
    <row r="62">
      <c r="A62" t="s">
        <v>403</v>
      </c>
      <c r="B62">
        <v>274</v>
      </c>
      <c r="C62">
        <v>618</v>
      </c>
      <c r="E62">
        <v>18189</v>
      </c>
    </row>
    <row r="63">
      <c r="A63" t="s">
        <v>404</v>
      </c>
      <c r="B63">
        <v>8167</v>
      </c>
    </row>
    <row r="64">
      <c r="A64" t="s">
        <v>405</v>
      </c>
      <c r="B64">
        <v>76981</v>
      </c>
      <c r="C64">
        <v>178181</v>
      </c>
      <c r="D64">
        <v>116913</v>
      </c>
      <c r="E64">
        <v>130777</v>
      </c>
    </row>
    <row r="65">
      <c r="A65" t="s">
        <v>406</v>
      </c>
      <c r="B65">
        <v>2521064</v>
      </c>
      <c r="G65">
        <v>5</v>
      </c>
    </row>
    <row r="66">
      <c r="A66" t="s">
        <v>407</v>
      </c>
      <c r="B66">
        <v>-8929</v>
      </c>
      <c r="C66">
        <v>-1504</v>
      </c>
      <c r="D66">
        <v>-2007</v>
      </c>
      <c r="E66">
        <v>341</v>
      </c>
    </row>
    <row r="67">
      <c r="A67" t="s">
        <v>408</v>
      </c>
      <c r="B67">
        <v>-2380161</v>
      </c>
      <c r="C67">
        <v>-5183501</v>
      </c>
      <c r="D67">
        <v>-5531465</v>
      </c>
      <c r="E67">
        <v>-5025670</v>
      </c>
    </row>
    <row r="69">
      <c r="A69" t="s">
        <v>409</v>
      </c>
    </row>
    <row r="70">
      <c r="A70" t="s">
        <v>410</v>
      </c>
      <c r="D70">
        <v>-83</v>
      </c>
    </row>
    <row r="71">
      <c r="A71" t="s">
        <v>411</v>
      </c>
      <c r="B71">
        <v>3797929</v>
      </c>
      <c r="C71">
        <v>6556486</v>
      </c>
      <c r="D71">
        <v>7718150</v>
      </c>
      <c r="E71">
        <v>8410409</v>
      </c>
      <c r="G71" t="s">
        <v>254</v>
      </c>
    </row>
    <row r="72">
      <c r="A72" t="s">
        <v>412</v>
      </c>
      <c r="B72">
        <v>-3516017</v>
      </c>
      <c r="C72">
        <v>-4438676</v>
      </c>
      <c r="D72">
        <v>-6099665</v>
      </c>
      <c r="E72">
        <v>-5357370</v>
      </c>
      <c r="G72" t="s">
        <v>254</v>
      </c>
    </row>
    <row r="73">
      <c r="A73" t="s">
        <v>413</v>
      </c>
      <c r="B73">
        <v>-26617</v>
      </c>
      <c r="C73">
        <v>-16847</v>
      </c>
      <c r="D73">
        <v>-13359</v>
      </c>
      <c r="E73">
        <v>-177619</v>
      </c>
      <c r="G73" t="s">
        <v>254</v>
      </c>
    </row>
    <row r="74">
      <c r="A74" t="s">
        <v>414</v>
      </c>
      <c r="B74">
        <v>-63672</v>
      </c>
      <c r="C74">
        <v>-109816</v>
      </c>
      <c r="D74">
        <v>-113500</v>
      </c>
      <c r="E74">
        <v>-134310</v>
      </c>
    </row>
    <row r="75">
      <c r="A75" t="s">
        <v>415</v>
      </c>
      <c r="B75">
        <v>-1850775</v>
      </c>
      <c r="C75">
        <v>-1748005</v>
      </c>
      <c r="D75">
        <v>-2070905</v>
      </c>
      <c r="E75">
        <v>-2654250</v>
      </c>
      <c r="G75" t="s">
        <v>416</v>
      </c>
    </row>
    <row r="76">
      <c r="A76" t="s">
        <v>417</v>
      </c>
      <c r="B76">
        <v>-172661</v>
      </c>
      <c r="C76">
        <v>-96112</v>
      </c>
      <c r="D76">
        <v>-116529</v>
      </c>
      <c r="E76">
        <v>-190466</v>
      </c>
    </row>
    <row r="77">
      <c r="A77" t="s">
        <v>418</v>
      </c>
      <c r="B77">
        <v>317</v>
      </c>
      <c r="C77">
        <v>150</v>
      </c>
      <c r="D77">
        <v>1095</v>
      </c>
      <c r="E77">
        <v>1620</v>
      </c>
    </row>
    <row r="78">
      <c r="A78" t="s">
        <v>419</v>
      </c>
      <c r="B78">
        <v>37233</v>
      </c>
      <c r="E78">
        <v>1</v>
      </c>
    </row>
    <row r="79">
      <c r="A79" t="s">
        <v>420</v>
      </c>
      <c r="B79">
        <v>-61475</v>
      </c>
      <c r="C79">
        <v>-47735</v>
      </c>
    </row>
    <row r="80">
      <c r="A80" t="s">
        <v>421</v>
      </c>
      <c r="D80">
        <v>-25</v>
      </c>
      <c r="E80">
        <v>-4779</v>
      </c>
    </row>
    <row r="81">
      <c r="A81" t="s">
        <v>422</v>
      </c>
      <c r="B81">
        <v>-4320</v>
      </c>
      <c r="C81">
        <v>3696</v>
      </c>
      <c r="D81">
        <v>-172546</v>
      </c>
      <c r="E81">
        <v>-5206</v>
      </c>
    </row>
    <row r="82">
      <c r="A82" t="s">
        <v>423</v>
      </c>
      <c r="B82">
        <v>-1860058</v>
      </c>
      <c r="C82">
        <v>103141</v>
      </c>
      <c r="D82">
        <v>-867367</v>
      </c>
      <c r="E82">
        <v>-111970</v>
      </c>
    </row>
    <row r="84">
      <c r="A84" t="s">
        <v>424</v>
      </c>
      <c r="B84">
        <v>503558</v>
      </c>
      <c r="C84">
        <v>-1239593</v>
      </c>
      <c r="D84">
        <v>-581041</v>
      </c>
      <c r="E84">
        <v>1301642</v>
      </c>
    </row>
    <row r="85">
      <c r="A85" t="s">
        <v>425</v>
      </c>
      <c r="B85">
        <v>-465876</v>
      </c>
      <c r="C85">
        <v>415667</v>
      </c>
      <c r="D85">
        <v>121506</v>
      </c>
      <c r="E85">
        <v>234079</v>
      </c>
    </row>
    <row r="86">
      <c r="A86" t="s">
        <v>426</v>
      </c>
      <c r="B86">
        <v>4090062</v>
      </c>
      <c r="C86">
        <v>4127744</v>
      </c>
      <c r="D86">
        <v>3303818</v>
      </c>
      <c r="E86">
        <v>2844283</v>
      </c>
      <c r="G86">
        <v>18</v>
      </c>
    </row>
    <row r="87">
      <c r="A87" t="s">
        <v>427</v>
      </c>
      <c r="B87">
        <v>4127744</v>
      </c>
      <c r="C87">
        <v>3303818</v>
      </c>
      <c r="D87">
        <v>2844283</v>
      </c>
      <c r="E87">
        <v>4380004</v>
      </c>
      <c r="G87">
        <v>18</v>
      </c>
    </row>
    <row r="88">
      <c r="A88" t="s">
        <v>428</v>
      </c>
      <c r="B88">
        <v>299174</v>
      </c>
      <c r="C88">
        <v>447930</v>
      </c>
      <c r="D88">
        <v>293683</v>
      </c>
      <c r="E88">
        <v>349694</v>
      </c>
      <c r="G88">
        <v>18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ColWidth="8.375" defaultRowHeight="15"/>
  <sheetData>
    <row r="1">
      <c r="A1" t="s">
        <v>429</v>
      </c>
    </row>
    <row r="2">
      <c r="A2" t="s">
        <v>430</v>
      </c>
    </row>
    <row r="4">
      <c r="A4" t="s">
        <v>199</v>
      </c>
      <c r="B4" t="s">
        <v>200</v>
      </c>
      <c r="C4" t="s">
        <v>201</v>
      </c>
      <c r="D4" t="s">
        <v>202</v>
      </c>
      <c r="E4" t="s">
        <v>203</v>
      </c>
      <c r="G4" t="s">
        <v>204</v>
      </c>
    </row>
    <row r="5">
      <c r="A5" t="s">
        <v>431</v>
      </c>
      <c r="B5">
        <v>4753989</v>
      </c>
      <c r="C5">
        <v>6456029</v>
      </c>
      <c r="D5">
        <v>8599528</v>
      </c>
      <c r="E5">
        <v>7466366</v>
      </c>
      <c r="G5" t="s">
        <v>432</v>
      </c>
    </row>
    <row r="6">
      <c r="A6" t="s">
        <v>433</v>
      </c>
      <c r="B6">
        <v>347758</v>
      </c>
      <c r="C6">
        <v>374445</v>
      </c>
      <c r="D6">
        <v>370889</v>
      </c>
      <c r="E6">
        <v>395620</v>
      </c>
      <c r="G6" t="s">
        <v>432</v>
      </c>
    </row>
    <row r="7">
      <c r="A7" t="s">
        <v>434</v>
      </c>
      <c r="B7">
        <v>22357862</v>
      </c>
      <c r="C7">
        <v>24970973</v>
      </c>
      <c r="D7">
        <v>26377608</v>
      </c>
      <c r="E7">
        <v>26013178</v>
      </c>
      <c r="G7" t="s">
        <v>432</v>
      </c>
    </row>
    <row r="8">
      <c r="A8" t="s">
        <v>435</v>
      </c>
      <c r="B8">
        <v>1296008</v>
      </c>
      <c r="C8">
        <v>1546349</v>
      </c>
      <c r="D8">
        <v>1572580</v>
      </c>
      <c r="E8">
        <v>1439126</v>
      </c>
      <c r="G8" t="s">
        <v>432</v>
      </c>
    </row>
    <row r="9">
      <c r="A9" t="s">
        <v>436</v>
      </c>
      <c r="B9">
        <v>1739639</v>
      </c>
      <c r="C9">
        <v>2130208</v>
      </c>
      <c r="D9">
        <v>2341970</v>
      </c>
      <c r="E9">
        <v>2499177</v>
      </c>
      <c r="G9" t="s">
        <v>432</v>
      </c>
    </row>
    <row r="10">
      <c r="A10" t="s">
        <v>437</v>
      </c>
      <c r="B10">
        <v>1193245</v>
      </c>
      <c r="C10">
        <v>1451884</v>
      </c>
      <c r="D10">
        <v>1535773</v>
      </c>
      <c r="E10">
        <v>1904662</v>
      </c>
      <c r="G10" t="s">
        <v>432</v>
      </c>
    </row>
    <row r="11">
      <c r="A11" t="s">
        <v>438</v>
      </c>
      <c r="B11">
        <v>285014</v>
      </c>
      <c r="C11">
        <v>325195</v>
      </c>
      <c r="D11">
        <v>417770</v>
      </c>
      <c r="E11">
        <v>506234</v>
      </c>
      <c r="G11" t="s">
        <v>432</v>
      </c>
    </row>
    <row r="12">
      <c r="A12" t="s">
        <v>439</v>
      </c>
      <c r="B12">
        <v>248954</v>
      </c>
      <c r="C12">
        <v>281633</v>
      </c>
      <c r="D12">
        <v>271793</v>
      </c>
      <c r="E12">
        <v>336856</v>
      </c>
      <c r="G12" t="s">
        <v>432</v>
      </c>
    </row>
    <row r="13">
      <c r="A13" t="s">
        <v>440</v>
      </c>
      <c r="B13">
        <v>32222469</v>
      </c>
      <c r="C13">
        <v>37536716</v>
      </c>
      <c r="D13">
        <v>41487911</v>
      </c>
      <c r="E13">
        <v>40561219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FormatPr defaultColWidth="8.375" defaultRowHeight="15"/>
  <sheetData>
    <row r="1">
      <c r="A1" t="s">
        <v>441</v>
      </c>
    </row>
    <row r="2">
      <c r="A2" t="s">
        <v>442</v>
      </c>
      <c r="B2" t="str">
        <f>IF(COUNTIF(G5:G37,"FAIL")=0,"OK - ALL TIE-OUTS PASS","FAIL")</f>
        <v>OK - ALL TIE-OUTS PASS</v>
      </c>
    </row>
    <row r="4">
      <c r="A4" t="s">
        <v>145</v>
      </c>
      <c r="B4" t="s">
        <v>200</v>
      </c>
      <c r="C4" t="s">
        <v>201</v>
      </c>
      <c r="D4" t="s">
        <v>202</v>
      </c>
      <c r="E4" t="s">
        <v>203</v>
      </c>
      <c r="G4" t="s">
        <v>32</v>
      </c>
    </row>
    <row r="5">
      <c r="A5" t="s">
        <v>443</v>
      </c>
      <c r="B5">
        <f>SUM(BS_Hist!B7:B18)-BS_Hist!B19</f>
        <v>0</v>
      </c>
      <c r="C5">
        <f>SUM(BS_Hist!C7:C18)-BS_Hist!C19</f>
        <v>0</v>
      </c>
      <c r="D5">
        <f>SUM(BS_Hist!D7:D18)-BS_Hist!D19</f>
        <v>0</v>
      </c>
      <c r="E5">
        <f>SUM(BS_Hist!E7:E18)-BS_Hist!E19</f>
        <v>0</v>
      </c>
      <c r="G5" t="str">
        <f>IF(AND(ABS(N(B5))&lt;=1,ABS(N(C5))&lt;=1,ABS(N(D5))&lt;=1,ABS(N(E5))&lt;=1),"PASS","FAIL")</f>
        <v>PASS</v>
      </c>
    </row>
    <row r="6">
      <c r="A6" t="s">
        <v>444</v>
      </c>
      <c r="B6">
        <f>SUM(BS_Hist!B22:B27)-BS_Hist!B28</f>
        <v>0</v>
      </c>
      <c r="C6">
        <f>SUM(BS_Hist!C22:C27)-BS_Hist!C28</f>
        <v>0</v>
      </c>
      <c r="D6">
        <f>SUM(BS_Hist!D22:D27)-BS_Hist!D28</f>
        <v>0</v>
      </c>
      <c r="E6">
        <f>SUM(BS_Hist!E22:E27)-BS_Hist!E28</f>
        <v>0</v>
      </c>
      <c r="G6" t="str">
        <f>IF(AND(ABS(N(B6))&lt;=1,ABS(N(C6))&lt;=1,ABS(N(D6))&lt;=1,ABS(N(E6))&lt;=1),"PASS","FAIL")</f>
        <v>PASS</v>
      </c>
    </row>
    <row r="7">
      <c r="A7" t="s">
        <v>445</v>
      </c>
      <c r="B7">
        <f>BS_Hist!B28+N(BS_Hist!B29)-BS_Hist!B30</f>
        <v>0</v>
      </c>
      <c r="C7">
        <f>BS_Hist!C28+N(BS_Hist!C29)-BS_Hist!C30</f>
        <v>0</v>
      </c>
      <c r="D7">
        <f>BS_Hist!D28+N(BS_Hist!D29)-BS_Hist!D30</f>
        <v>0</v>
      </c>
      <c r="E7">
        <f>BS_Hist!E28+N(BS_Hist!E29)-BS_Hist!E30</f>
        <v>0</v>
      </c>
      <c r="G7" t="str">
        <f>IF(AND(ABS(N(B7))&lt;=1,ABS(N(C7))&lt;=1,ABS(N(D7))&lt;=1,ABS(N(E7))&lt;=1),"PASS","FAIL")</f>
        <v>PASS</v>
      </c>
    </row>
    <row r="8">
      <c r="A8" t="s">
        <v>446</v>
      </c>
      <c r="B8">
        <f>BS_Hist!B19+BS_Hist!B30-BS_Hist!B32</f>
        <v>0</v>
      </c>
      <c r="C8">
        <f>BS_Hist!C19+BS_Hist!C30-BS_Hist!C32</f>
        <v>0</v>
      </c>
      <c r="D8">
        <f>BS_Hist!D19+BS_Hist!D30-BS_Hist!D32</f>
        <v>0</v>
      </c>
      <c r="E8">
        <f>BS_Hist!E19+BS_Hist!E30-BS_Hist!E32</f>
        <v>0</v>
      </c>
      <c r="G8" t="str">
        <f>IF(AND(ABS(N(B8))&lt;=1,ABS(N(C8))&lt;=1,ABS(N(D8))&lt;=1,ABS(N(E8))&lt;=1),"PASS","FAIL")</f>
        <v>PASS</v>
      </c>
    </row>
    <row r="9">
      <c r="A9" t="s">
        <v>447</v>
      </c>
      <c r="B9">
        <f>BS_Hist!B32+BS_Hist!B33-BS_Hist!B34</f>
        <v>0</v>
      </c>
      <c r="C9">
        <f>BS_Hist!C32+BS_Hist!C33-BS_Hist!C34</f>
        <v>0</v>
      </c>
      <c r="D9">
        <f>BS_Hist!D32+BS_Hist!D33-BS_Hist!D34</f>
        <v>0</v>
      </c>
      <c r="E9">
        <f>BS_Hist!E32+BS_Hist!E33-BS_Hist!E34</f>
        <v>0</v>
      </c>
      <c r="G9" t="str">
        <f>IF(AND(ABS(N(B9))&lt;=1,ABS(N(C9))&lt;=1,ABS(N(D9))&lt;=1,ABS(N(E9))&lt;=1),"PASS","FAIL")</f>
        <v>PASS</v>
      </c>
    </row>
    <row r="10">
      <c r="A10" t="s">
        <v>448</v>
      </c>
      <c r="B10">
        <f>SUM(BS_Hist!B37:B43)-BS_Hist!B44</f>
        <v>0</v>
      </c>
      <c r="C10">
        <f>SUM(BS_Hist!C37:C43)-BS_Hist!C44</f>
        <v>0</v>
      </c>
      <c r="D10">
        <f>SUM(BS_Hist!D37:D43)-BS_Hist!D44</f>
        <v>0</v>
      </c>
      <c r="E10">
        <f>SUM(BS_Hist!E37:E43)-BS_Hist!E44</f>
        <v>0</v>
      </c>
      <c r="G10" t="str">
        <f>IF(AND(ABS(N(B10))&lt;=1,ABS(N(C10))&lt;=1,ABS(N(D10))&lt;=1,ABS(N(E10))&lt;=1),"PASS","FAIL")</f>
        <v>PASS</v>
      </c>
    </row>
    <row r="11">
      <c r="A11" t="s">
        <v>449</v>
      </c>
      <c r="B11">
        <f>BS_Hist!B44+BS_Hist!B45-BS_Hist!B46</f>
        <v>0</v>
      </c>
      <c r="C11">
        <f>BS_Hist!C44+BS_Hist!C45-BS_Hist!C46</f>
        <v>0</v>
      </c>
      <c r="D11">
        <f>BS_Hist!D44+BS_Hist!D45-BS_Hist!D46</f>
        <v>0</v>
      </c>
      <c r="E11">
        <f>BS_Hist!E44+BS_Hist!E45-BS_Hist!E46</f>
        <v>0</v>
      </c>
      <c r="G11" t="str">
        <f>IF(AND(ABS(N(B11))&lt;=1,ABS(N(C11))&lt;=1,ABS(N(D11))&lt;=1,ABS(N(E11))&lt;=1),"PASS","FAIL")</f>
        <v>PASS</v>
      </c>
    </row>
    <row r="12">
      <c r="A12" t="s">
        <v>450</v>
      </c>
      <c r="B12">
        <f>SUM(BS_Hist!B50:B57)-BS_Hist!B58</f>
        <v>0</v>
      </c>
      <c r="C12">
        <f>SUM(BS_Hist!C50:C57)-BS_Hist!C58</f>
        <v>0</v>
      </c>
      <c r="D12">
        <f>SUM(BS_Hist!D50:D57)-BS_Hist!D58</f>
        <v>0</v>
      </c>
      <c r="E12">
        <f>SUM(BS_Hist!E50:E57)-BS_Hist!E58</f>
        <v>0</v>
      </c>
      <c r="G12" t="str">
        <f>IF(AND(ABS(N(B12))&lt;=1,ABS(N(C12))&lt;=1,ABS(N(D12))&lt;=1,ABS(N(E12))&lt;=1),"PASS","FAIL")</f>
        <v>PASS</v>
      </c>
    </row>
    <row r="13">
      <c r="A13" t="s">
        <v>451</v>
      </c>
      <c r="B13">
        <f>SUM(BS_Hist!B61:B68)-BS_Hist!B69</f>
        <v>0</v>
      </c>
      <c r="C13">
        <f>SUM(BS_Hist!C61:C68)-BS_Hist!C69</f>
        <v>0</v>
      </c>
      <c r="D13">
        <f>SUM(BS_Hist!D61:D68)-BS_Hist!D69</f>
        <v>0</v>
      </c>
      <c r="E13">
        <f>SUM(BS_Hist!E61:E68)-BS_Hist!E69</f>
        <v>0</v>
      </c>
      <c r="G13" t="str">
        <f>IF(AND(ABS(N(B13))&lt;=1,ABS(N(C13))&lt;=1,ABS(N(D13))&lt;=1,ABS(N(E13))&lt;=1),"PASS","FAIL")</f>
        <v>PASS</v>
      </c>
    </row>
    <row r="14">
      <c r="A14" t="s">
        <v>452</v>
      </c>
      <c r="B14">
        <f>BS_Hist!B58+BS_Hist!B69-BS_Hist!B71</f>
        <v>0</v>
      </c>
      <c r="C14">
        <f>BS_Hist!C58+BS_Hist!C69-BS_Hist!C71</f>
        <v>0</v>
      </c>
      <c r="D14">
        <f>BS_Hist!D58+BS_Hist!D69-BS_Hist!D71</f>
        <v>0</v>
      </c>
      <c r="E14">
        <f>BS_Hist!E58+BS_Hist!E69-BS_Hist!E71</f>
        <v>0</v>
      </c>
      <c r="G14" t="str">
        <f>IF(AND(ABS(N(B14))&lt;=1,ABS(N(C14))&lt;=1,ABS(N(D14))&lt;=1,ABS(N(E14))&lt;=1),"PASS","FAIL")</f>
        <v>PASS</v>
      </c>
    </row>
    <row r="15">
      <c r="A15" t="s">
        <v>453</v>
      </c>
      <c r="B15">
        <f>BS_Hist!B71+N(BS_Hist!B72)+N(BS_Hist!B73)-BS_Hist!B74</f>
        <v>0</v>
      </c>
      <c r="C15">
        <f>BS_Hist!C71+N(BS_Hist!C72)+N(BS_Hist!C73)-BS_Hist!C74</f>
        <v>0</v>
      </c>
      <c r="D15">
        <f>BS_Hist!D71+N(BS_Hist!D72)+N(BS_Hist!D73)-BS_Hist!D74</f>
        <v>0</v>
      </c>
      <c r="E15">
        <f>BS_Hist!E71+N(BS_Hist!E72)+N(BS_Hist!E73)-BS_Hist!E74</f>
        <v>0</v>
      </c>
      <c r="G15" t="str">
        <f>IF(AND(ABS(N(B15))&lt;=1,ABS(N(C15))&lt;=1,ABS(N(D15))&lt;=1,ABS(N(E15))&lt;=1),"PASS","FAIL")</f>
        <v>PASS</v>
      </c>
    </row>
    <row r="16">
      <c r="A16" t="s">
        <v>454</v>
      </c>
      <c r="B16">
        <f>BS_Hist!B74+BS_Hist!B46-BS_Hist!B76</f>
        <v>0</v>
      </c>
      <c r="C16">
        <f>BS_Hist!C74+BS_Hist!C46-BS_Hist!C76</f>
        <v>0</v>
      </c>
      <c r="D16">
        <f>BS_Hist!D74+BS_Hist!D46-BS_Hist!D76</f>
        <v>0</v>
      </c>
      <c r="E16">
        <f>BS_Hist!E74+BS_Hist!E46-BS_Hist!E76</f>
        <v>0</v>
      </c>
      <c r="G16" t="str">
        <f>IF(AND(ABS(N(B16))&lt;=1,ABS(N(C16))&lt;=1,ABS(N(D16))&lt;=1,ABS(N(E16))&lt;=1),"PASS","FAIL")</f>
        <v>PASS</v>
      </c>
    </row>
    <row r="17">
      <c r="A17" t="s">
        <v>455</v>
      </c>
      <c r="B17">
        <f>BS_Hist!B34-BS_Hist!B76</f>
        <v>0</v>
      </c>
      <c r="C17">
        <f>BS_Hist!C34-BS_Hist!C76</f>
        <v>0</v>
      </c>
      <c r="D17">
        <f>BS_Hist!D34-BS_Hist!D76</f>
        <v>0</v>
      </c>
      <c r="E17">
        <f>BS_Hist!E34-BS_Hist!E76</f>
        <v>0</v>
      </c>
      <c r="G17" t="str">
        <f>IF(AND(ABS(N(B17))&lt;=1,ABS(N(C17))&lt;=1,ABS(N(D17))&lt;=1,ABS(N(E17))&lt;=1),"PASS","FAIL")</f>
        <v>PASS</v>
      </c>
    </row>
    <row r="18">
      <c r="A18" t="s">
        <v>456</v>
      </c>
      <c r="B18">
        <f>IS_Hist!B8+IS_Hist!B9+IS_Hist!B10-IS_Hist!B11</f>
        <v>0</v>
      </c>
      <c r="C18">
        <f>IS_Hist!C8+IS_Hist!C9+IS_Hist!C10-IS_Hist!C11</f>
        <v>0</v>
      </c>
      <c r="D18">
        <f>IS_Hist!D8+IS_Hist!D9+IS_Hist!D10-IS_Hist!D11</f>
        <v>0</v>
      </c>
      <c r="E18">
        <f>IS_Hist!E8+IS_Hist!E9+IS_Hist!E10-IS_Hist!E11</f>
        <v>0</v>
      </c>
      <c r="G18" t="str">
        <f>IF(AND(ABS(N(B18))&lt;=1,ABS(N(C18))&lt;=1,ABS(N(D18))&lt;=1,ABS(N(E18))&lt;=1),"PASS","FAIL")</f>
        <v>PASS</v>
      </c>
    </row>
    <row r="19">
      <c r="A19" t="s">
        <v>457</v>
      </c>
      <c r="B19">
        <f>IS_Hist!B11+IS_Hist!B12+IS_Hist!B13+IS_Hist!B14+IS_Hist!B15+IS_Hist!B16+IS_Hist!B17+IS_Hist!B18+IS_Hist!B19+IS_Hist!B20-IS_Hist!B21</f>
        <v>0</v>
      </c>
      <c r="C19">
        <f>IS_Hist!C11+IS_Hist!C12+IS_Hist!C13+IS_Hist!C14+IS_Hist!C15+IS_Hist!C16+IS_Hist!C17+IS_Hist!C18+IS_Hist!C19+IS_Hist!C20-IS_Hist!C21</f>
        <v>0</v>
      </c>
      <c r="D19">
        <f>IS_Hist!D11+IS_Hist!D12+IS_Hist!D13+IS_Hist!D14+IS_Hist!D15+IS_Hist!D16+IS_Hist!D17+IS_Hist!D18+IS_Hist!D19+IS_Hist!D20-IS_Hist!D21</f>
        <v>0</v>
      </c>
      <c r="E19">
        <f>IS_Hist!E11+IS_Hist!E12+IS_Hist!E13+IS_Hist!E14+IS_Hist!E15+IS_Hist!E16+IS_Hist!E17+IS_Hist!E18+IS_Hist!E19+IS_Hist!E20-IS_Hist!E21</f>
        <v>0</v>
      </c>
      <c r="G19" t="str">
        <f>IF(AND(ABS(N(B19))&lt;=1,ABS(N(C19))&lt;=1,ABS(N(D19))&lt;=1,ABS(N(E19))&lt;=1),"PASS","FAIL")</f>
        <v>PASS</v>
      </c>
    </row>
    <row r="20">
      <c r="A20" t="s">
        <v>458</v>
      </c>
      <c r="B20">
        <f>IS_Hist!B21+IS_Hist!B22-IS_Hist!B23</f>
        <v>0</v>
      </c>
      <c r="C20">
        <f>IS_Hist!C21+IS_Hist!C22-IS_Hist!C23</f>
        <v>0</v>
      </c>
      <c r="D20">
        <f>IS_Hist!D21+IS_Hist!D22-IS_Hist!D23</f>
        <v>0</v>
      </c>
      <c r="E20">
        <f>IS_Hist!E21+IS_Hist!E22-IS_Hist!E23</f>
        <v>0</v>
      </c>
      <c r="G20" t="str">
        <f>IF(AND(ABS(N(B20))&lt;=1,ABS(N(C20))&lt;=1,ABS(N(D20))&lt;=1,ABS(N(E20))&lt;=1),"PASS","FAIL")</f>
        <v>PASS</v>
      </c>
    </row>
    <row r="21">
      <c r="A21" t="s">
        <v>459</v>
      </c>
      <c r="B21">
        <f>IS_Hist!B23+IS_Hist!B24+IS_Hist!B25-IS_Hist!B26</f>
        <v>0</v>
      </c>
      <c r="C21">
        <f>IS_Hist!C23+IS_Hist!C24+IS_Hist!C25-IS_Hist!C26</f>
        <v>0</v>
      </c>
      <c r="D21">
        <f>IS_Hist!D23+IS_Hist!D24+IS_Hist!D25-IS_Hist!D26</f>
        <v>0</v>
      </c>
      <c r="E21">
        <f>IS_Hist!E23+IS_Hist!E24+IS_Hist!E25-IS_Hist!E26</f>
        <v>0</v>
      </c>
      <c r="G21" t="str">
        <f>IF(AND(ABS(N(B21))&lt;=1,ABS(N(C21))&lt;=1,ABS(N(D21))&lt;=1,ABS(N(E21))&lt;=1),"PASS","FAIL")</f>
        <v>PASS</v>
      </c>
    </row>
    <row r="22">
      <c r="A22" t="s">
        <v>460</v>
      </c>
      <c r="B22">
        <f>IS_Hist!B50+IS_Hist!B51-IS_Hist!B26</f>
        <v>0</v>
      </c>
      <c r="C22">
        <f>IS_Hist!C50+IS_Hist!C51-IS_Hist!C26</f>
        <v>0</v>
      </c>
      <c r="D22">
        <f>IS_Hist!D50+IS_Hist!D51-IS_Hist!D26</f>
        <v>0</v>
      </c>
      <c r="E22">
        <f>IS_Hist!E50+IS_Hist!E51-IS_Hist!E26</f>
        <v>0</v>
      </c>
      <c r="G22" t="str">
        <f>IF(AND(ABS(N(B22))&lt;=1,ABS(N(C22))&lt;=1,ABS(N(D22))&lt;=1,ABS(N(E22))&lt;=1),"PASS","FAIL")</f>
        <v>PASS</v>
      </c>
    </row>
    <row r="23">
      <c r="A23" t="s">
        <v>461</v>
      </c>
      <c r="B23">
        <f>IS_Hist!B35+IS_Hist!B44-IS_Hist!B46</f>
        <v>0</v>
      </c>
      <c r="C23">
        <f>IS_Hist!C35+IS_Hist!C44-IS_Hist!C46</f>
        <v>0</v>
      </c>
      <c r="D23">
        <f>IS_Hist!D35+IS_Hist!D44-IS_Hist!D46</f>
        <v>0</v>
      </c>
      <c r="E23">
        <f>IS_Hist!E35+IS_Hist!E44-IS_Hist!E46</f>
        <v>0</v>
      </c>
      <c r="G23" t="str">
        <f>IF(AND(ABS(N(B23))&lt;=1,ABS(N(C23))&lt;=1,ABS(N(D23))&lt;=1,ABS(N(E23))&lt;=1),"PASS","FAIL")</f>
        <v>PASS</v>
      </c>
    </row>
    <row r="24">
      <c r="A24" t="s">
        <v>462</v>
      </c>
      <c r="B24">
        <f>IS_Hist!B26+IS_Hist!B46-IS_Hist!B47</f>
        <v>0</v>
      </c>
      <c r="C24">
        <f>IS_Hist!C26+IS_Hist!C46-IS_Hist!C47</f>
        <v>0</v>
      </c>
      <c r="D24">
        <f>IS_Hist!D26+IS_Hist!D46-IS_Hist!D47</f>
        <v>0</v>
      </c>
      <c r="E24">
        <f>IS_Hist!E26+IS_Hist!E46-IS_Hist!E47</f>
        <v>0</v>
      </c>
      <c r="G24" t="str">
        <f>IF(AND(ABS(N(B24))&lt;=1,ABS(N(C24))&lt;=1,ABS(N(D24))&lt;=1,ABS(N(E24))&lt;=1),"PASS","FAIL")</f>
        <v>PASS</v>
      </c>
    </row>
    <row r="25">
      <c r="A25" t="s">
        <v>463</v>
      </c>
      <c r="B25">
        <f>IS_Hist!B52+IS_Hist!B53-IS_Hist!B47</f>
        <v>0</v>
      </c>
      <c r="C25">
        <f>IS_Hist!C52+IS_Hist!C53-IS_Hist!C47</f>
        <v>0</v>
      </c>
      <c r="D25">
        <f>IS_Hist!D52+IS_Hist!D53-IS_Hist!D47</f>
        <v>0</v>
      </c>
      <c r="E25">
        <f>IS_Hist!E52+IS_Hist!E53-IS_Hist!E47</f>
        <v>0</v>
      </c>
      <c r="G25" t="str">
        <f>IF(AND(ABS(N(B25))&lt;=1,ABS(N(C25))&lt;=1,ABS(N(D25))&lt;=1,ABS(N(E25))&lt;=1),"PASS","FAIL")</f>
        <v>PASS</v>
      </c>
    </row>
    <row r="26">
      <c r="A26" t="s">
        <v>464</v>
      </c>
      <c r="B26">
        <f>SUM(CF_Hist!B6:B34)-CF_Hist!B35</f>
        <v>0</v>
      </c>
      <c r="C26">
        <f>SUM(CF_Hist!C6:C34)-CF_Hist!C35</f>
        <v>0</v>
      </c>
      <c r="D26">
        <f>SUM(CF_Hist!D6:D34)-CF_Hist!D35</f>
        <v>0</v>
      </c>
      <c r="E26">
        <f>SUM(CF_Hist!E6:E34)-CF_Hist!E35</f>
        <v>0</v>
      </c>
      <c r="G26" t="str">
        <f>IF(AND(ABS(N(B26))&lt;=1,ABS(N(C26))&lt;=1,ABS(N(D26))&lt;=1,ABS(N(E26))&lt;=1),"PASS","FAIL")</f>
        <v>PASS</v>
      </c>
    </row>
    <row r="27">
      <c r="A27" t="s">
        <v>465</v>
      </c>
      <c r="B27">
        <f>CF_Hist!B35+SUM(CF_Hist!B38:B44)-CF_Hist!B45</f>
        <v>0</v>
      </c>
      <c r="C27">
        <f>CF_Hist!C35+SUM(CF_Hist!C38:C44)-CF_Hist!C45</f>
        <v>0</v>
      </c>
      <c r="D27">
        <f>CF_Hist!D35+SUM(CF_Hist!D38:D44)-CF_Hist!D45</f>
        <v>0</v>
      </c>
      <c r="E27">
        <f>CF_Hist!E35+SUM(CF_Hist!E38:E44)-CF_Hist!E45</f>
        <v>0</v>
      </c>
      <c r="G27" t="str">
        <f>IF(AND(ABS(N(B27))&lt;=1,ABS(N(C27))&lt;=1,ABS(N(D27))&lt;=1,ABS(N(E27))&lt;=1),"PASS","FAIL")</f>
        <v>PASS</v>
      </c>
    </row>
    <row r="28">
      <c r="A28" t="s">
        <v>466</v>
      </c>
      <c r="B28">
        <f>CF_Hist!B45+CF_Hist!B46+CF_Hist!B47+CF_Hist!B48-CF_Hist!B49</f>
        <v>0</v>
      </c>
      <c r="C28">
        <f>CF_Hist!C45+CF_Hist!C46+CF_Hist!C47+CF_Hist!C48-CF_Hist!C49</f>
        <v>0</v>
      </c>
      <c r="D28">
        <f>CF_Hist!D45+CF_Hist!D46+CF_Hist!D47+CF_Hist!D48-CF_Hist!D49</f>
        <v>0</v>
      </c>
      <c r="E28">
        <f>CF_Hist!E45+CF_Hist!E46+CF_Hist!E47+CF_Hist!E48-CF_Hist!E49</f>
        <v>0</v>
      </c>
      <c r="G28" t="str">
        <f>IF(AND(ABS(N(B28))&lt;=1,ABS(N(C28))&lt;=1,ABS(N(D28))&lt;=1,ABS(N(E28))&lt;=1),"PASS","FAIL")</f>
        <v>PASS</v>
      </c>
    </row>
    <row r="29">
      <c r="A29" t="s">
        <v>467</v>
      </c>
      <c r="B29">
        <f>SUM(CF_Hist!B52:B66)-CF_Hist!B67</f>
        <v>0</v>
      </c>
      <c r="C29">
        <f>SUM(CF_Hist!C52:C66)-CF_Hist!C67</f>
        <v>0</v>
      </c>
      <c r="D29">
        <f>SUM(CF_Hist!D52:D66)-CF_Hist!D67</f>
        <v>0</v>
      </c>
      <c r="E29">
        <f>SUM(CF_Hist!E52:E66)-CF_Hist!E67</f>
        <v>0</v>
      </c>
      <c r="G29" t="str">
        <f>IF(AND(ABS(N(B29))&lt;=1,ABS(N(C29))&lt;=1,ABS(N(D29))&lt;=1,ABS(N(E29))&lt;=1),"PASS","FAIL")</f>
        <v>PASS</v>
      </c>
    </row>
    <row r="30">
      <c r="A30" t="s">
        <v>468</v>
      </c>
      <c r="B30">
        <f>SUM(CF_Hist!B70:B81)-CF_Hist!B82</f>
        <v>0</v>
      </c>
      <c r="C30">
        <f>SUM(CF_Hist!C70:C81)-CF_Hist!C82</f>
        <v>0</v>
      </c>
      <c r="D30">
        <f>SUM(CF_Hist!D70:D81)-CF_Hist!D82</f>
        <v>0</v>
      </c>
      <c r="E30">
        <f>SUM(CF_Hist!E70:E81)-CF_Hist!E82</f>
        <v>0</v>
      </c>
      <c r="G30" t="str">
        <f>IF(AND(ABS(N(B30))&lt;=1,ABS(N(C30))&lt;=1,ABS(N(D30))&lt;=1,ABS(N(E30))&lt;=1),"PASS","FAIL")</f>
        <v>PASS</v>
      </c>
    </row>
    <row r="31">
      <c r="A31" t="s">
        <v>469</v>
      </c>
      <c r="B31">
        <f>CF_Hist!B49+CF_Hist!B67+CF_Hist!B82-CF_Hist!B84</f>
        <v>0</v>
      </c>
      <c r="C31">
        <f>CF_Hist!C49+CF_Hist!C67+CF_Hist!C82-CF_Hist!C84</f>
        <v>0</v>
      </c>
      <c r="D31">
        <f>CF_Hist!D49+CF_Hist!D67+CF_Hist!D82-CF_Hist!D84</f>
        <v>0</v>
      </c>
      <c r="E31">
        <f>CF_Hist!E49+CF_Hist!E67+CF_Hist!E82-CF_Hist!E84</f>
        <v>0</v>
      </c>
      <c r="G31" t="str">
        <f>IF(AND(ABS(N(B31))&lt;=1,ABS(N(C31))&lt;=1,ABS(N(D31))&lt;=1,ABS(N(E31))&lt;=1),"PASS","FAIL")</f>
        <v>PASS</v>
      </c>
    </row>
    <row r="32">
      <c r="A32" t="s">
        <v>470</v>
      </c>
      <c r="B32">
        <f>CF_Hist!B86+CF_Hist!B84+CF_Hist!B85-CF_Hist!B87</f>
        <v>0</v>
      </c>
      <c r="C32">
        <f>CF_Hist!C86+CF_Hist!C84+CF_Hist!C85-CF_Hist!C87</f>
        <v>0</v>
      </c>
      <c r="D32">
        <f>CF_Hist!D86+CF_Hist!D84+CF_Hist!D85-CF_Hist!D87</f>
        <v>0</v>
      </c>
      <c r="E32">
        <f>CF_Hist!E86+CF_Hist!E84+CF_Hist!E85-CF_Hist!E87</f>
        <v>0</v>
      </c>
      <c r="G32" t="str">
        <f>IF(AND(ABS(N(B32))&lt;=1,ABS(N(C32))&lt;=1,ABS(N(D32))&lt;=1,ABS(N(E32))&lt;=1),"PASS","FAIL")</f>
        <v>PASS</v>
      </c>
    </row>
    <row r="33">
      <c r="A33" t="s">
        <v>471</v>
      </c>
      <c r="B33">
        <f>CF_Hist!B6-IS_Hist!B26</f>
        <v>0</v>
      </c>
      <c r="C33">
        <f>CF_Hist!C6-IS_Hist!C26</f>
        <v>0</v>
      </c>
      <c r="D33">
        <f>CF_Hist!D6-IS_Hist!D26</f>
        <v>0</v>
      </c>
      <c r="E33">
        <f>CF_Hist!E6-IS_Hist!E26</f>
        <v>0</v>
      </c>
      <c r="G33" t="str">
        <f>IF(AND(ABS(N(B33))&lt;=1,ABS(N(C33))&lt;=1,ABS(N(D33))&lt;=1,ABS(N(E33))&lt;=1),"PASS","FAIL")</f>
        <v>PASS</v>
      </c>
    </row>
    <row r="34">
      <c r="A34" t="s">
        <v>472</v>
      </c>
      <c r="B34">
        <f>CF_Hist!B87-BS_Hist!B27-BS_Hist!B18</f>
        <v>0</v>
      </c>
      <c r="C34">
        <f>CF_Hist!C87-BS_Hist!C27-BS_Hist!C18</f>
        <v>0</v>
      </c>
      <c r="D34">
        <f>CF_Hist!D87-BS_Hist!D27-BS_Hist!D18</f>
        <v>0</v>
      </c>
      <c r="E34">
        <f>CF_Hist!E87-BS_Hist!E27-BS_Hist!E18</f>
        <v>0</v>
      </c>
      <c r="G34" t="str">
        <f>IF(AND(ABS(N(B34))&lt;=1,ABS(N(C34))&lt;=1,ABS(N(D34))&lt;=1,ABS(N(E34))&lt;=1),"PASS","FAIL")</f>
        <v>PASS</v>
      </c>
    </row>
    <row r="35">
      <c r="A35" t="s">
        <v>473</v>
      </c>
      <c r="B35">
        <f>BS_Hist!B42-IS_Hist!B50</f>
        <v>0</v>
      </c>
      <c r="C35">
        <f>BS_Hist!C42-IS_Hist!C50</f>
        <v>0</v>
      </c>
      <c r="D35">
        <f>BS_Hist!D42-IS_Hist!D50</f>
        <v>0</v>
      </c>
      <c r="E35">
        <f>BS_Hist!E42-IS_Hist!E50</f>
        <v>0</v>
      </c>
      <c r="G35" t="str">
        <f>IF(AND(ABS(N(B35))&lt;=1,ABS(N(C35))&lt;=1,ABS(N(D35))&lt;=1,ABS(N(E35))&lt;=1),"PASS","FAIL")</f>
        <v>PASS</v>
      </c>
    </row>
    <row r="36">
      <c r="A36" t="s">
        <v>474</v>
      </c>
      <c r="B36">
        <f>SUM(Segment_Hist!B5:B12)-IS_Hist!B11</f>
        <v>0</v>
      </c>
      <c r="C36">
        <f>SUM(Segment_Hist!C5:C12)-IS_Hist!C11</f>
        <v>0</v>
      </c>
      <c r="D36">
        <f>SUM(Segment_Hist!D5:D12)-IS_Hist!D11</f>
        <v>0</v>
      </c>
      <c r="E36">
        <f>SUM(Segment_Hist!E5:E12)-IS_Hist!E11</f>
        <v>0</v>
      </c>
      <c r="G36" t="str">
        <f>IF(AND(ABS(N(B36))&lt;=1,ABS(N(C36))&lt;=1,ABS(N(D36))&lt;=1,ABS(N(E36))&lt;=1),"PASS","FAIL")</f>
        <v>PASS</v>
      </c>
    </row>
    <row r="37">
      <c r="A37" t="s">
        <v>475</v>
      </c>
      <c r="C37">
        <f>CF_Hist!C86-CF_Hist!B87</f>
        <v>0</v>
      </c>
      <c r="D37">
        <f>CF_Hist!D86-CF_Hist!C87</f>
        <v>0</v>
      </c>
      <c r="E37">
        <f>CF_Hist!E86-CF_Hist!D87</f>
        <v>0</v>
      </c>
      <c r="G37" t="str">
        <f>IF(AND(ABS(N(C37))&lt;=1,ABS(N(D37))&lt;=1,ABS(N(E37))&lt;=1),"PASS","FAIL")</f>
        <v>PASS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ColWidth="8.375" defaultRowHeight="15"/>
  <sheetData>
    <row r="1">
      <c r="A1" t="s">
        <v>476</v>
      </c>
    </row>
    <row r="2">
      <c r="A2" t="s">
        <v>477</v>
      </c>
    </row>
    <row r="4">
      <c r="A4" t="s">
        <v>478</v>
      </c>
      <c r="B4" t="s">
        <v>200</v>
      </c>
      <c r="C4" t="s">
        <v>201</v>
      </c>
      <c r="D4" t="s">
        <v>202</v>
      </c>
      <c r="E4" t="s">
        <v>203</v>
      </c>
    </row>
    <row r="5">
      <c r="A5" t="s">
        <v>479</v>
      </c>
      <c r="B5">
        <v>4810.2</v>
      </c>
      <c r="C5">
        <v>3822.05</v>
      </c>
      <c r="D5">
        <v>4409.15</v>
      </c>
      <c r="E5">
        <v>3757.08</v>
      </c>
    </row>
    <row r="7">
      <c r="A7" t="s">
        <v>480</v>
      </c>
      <c r="B7">
        <f>IS_Hist!B11/B5</f>
        <v>6698.779468629164</v>
      </c>
      <c r="C7">
        <f>IS_Hist!C11/C5</f>
        <v>9821.094962127654</v>
      </c>
      <c r="D7">
        <f>IS_Hist!D11/D5</f>
        <v>9409.50319222526</v>
      </c>
      <c r="E7">
        <f>IS_Hist!E11/E5</f>
        <v>10795.942327552248</v>
      </c>
    </row>
    <row r="8">
      <c r="A8" t="s">
        <v>481</v>
      </c>
      <c r="B8">
        <f>IS_Hist!B21/B5</f>
        <v>1206.47998004241</v>
      </c>
      <c r="C8">
        <f>IS_Hist!C21/C5</f>
        <v>1308.8135947986027</v>
      </c>
      <c r="D8">
        <f>IS_Hist!D21/D5</f>
        <v>1400.7051245704956</v>
      </c>
      <c r="E8">
        <f>IS_Hist!E21/E5</f>
        <v>2108.147816921652</v>
      </c>
    </row>
    <row r="9">
      <c r="A9" t="s">
        <v>482</v>
      </c>
      <c r="B9">
        <f>IS_Hist!B26/B5</f>
        <v>857.6568541848573</v>
      </c>
      <c r="C9">
        <f>IS_Hist!C26/C5</f>
        <v>931.9464685182036</v>
      </c>
      <c r="D9">
        <f>IS_Hist!D26/D5</f>
        <v>1112.5520791989386</v>
      </c>
      <c r="E9">
        <f>IS_Hist!E26/E5</f>
        <v>1420.500228901168</v>
      </c>
    </row>
    <row r="10">
      <c r="A10" t="s">
        <v>483</v>
      </c>
      <c r="B10">
        <f>BS_Hist!B34/B5</f>
        <v>15712.102199492745</v>
      </c>
      <c r="C10">
        <f>BS_Hist!C34/C5</f>
        <v>20207.96823694091</v>
      </c>
      <c r="D10">
        <f>BS_Hist!D34/D5</f>
        <v>18924.104192418043</v>
      </c>
      <c r="E10">
        <f>BS_Hist!E34/E5</f>
        <v>23217.50747921258</v>
      </c>
    </row>
    <row r="11">
      <c r="A11" t="s">
        <v>484</v>
      </c>
      <c r="B11">
        <f>BS_Hist!B74/B5</f>
        <v>9270.194170720553</v>
      </c>
      <c r="C11">
        <f>BS_Hist!C74/C5</f>
        <v>12014.372130139584</v>
      </c>
      <c r="D11">
        <f>BS_Hist!D74/D5</f>
        <v>11185.731490196524</v>
      </c>
      <c r="E11">
        <f>BS_Hist!E74/E5</f>
        <v>13451.958435806531</v>
      </c>
    </row>
    <row r="12">
      <c r="A12" t="s">
        <v>485</v>
      </c>
      <c r="B12">
        <f>BS_Hist!B46/B5</f>
        <v>6441.908028772193</v>
      </c>
      <c r="C12">
        <f>BS_Hist!C46/C5</f>
        <v>8193.596106801324</v>
      </c>
      <c r="D12">
        <f>BS_Hist!D46/D5</f>
        <v>7738.372702221517</v>
      </c>
      <c r="E12">
        <f>BS_Hist!E46/E5</f>
        <v>9765.54904340605</v>
      </c>
    </row>
    <row r="14">
      <c r="A14" t="s">
        <v>486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ColWidth="8.375" defaultRowHeight="15"/>
  <sheetData>
    <row r="1">
      <c r="A1" t="s">
        <v>487</v>
      </c>
    </row>
    <row r="3">
      <c r="A3" t="s">
        <v>488</v>
      </c>
      <c r="B3" t="s">
        <v>489</v>
      </c>
      <c r="C3" t="s">
        <v>490</v>
      </c>
      <c r="D3" t="s">
        <v>491</v>
      </c>
      <c r="E3" t="s">
        <v>492</v>
      </c>
    </row>
    <row r="4">
      <c r="A4" t="s">
        <v>200</v>
      </c>
      <c r="B4" t="s">
        <v>493</v>
      </c>
      <c r="C4" t="s">
        <v>494</v>
      </c>
      <c r="D4" t="s">
        <v>495</v>
      </c>
      <c r="E4" t="s">
        <v>496</v>
      </c>
    </row>
    <row r="5">
      <c r="A5" t="s">
        <v>201</v>
      </c>
      <c r="B5" t="s">
        <v>497</v>
      </c>
      <c r="C5" t="s">
        <v>494</v>
      </c>
      <c r="D5" t="s">
        <v>498</v>
      </c>
      <c r="E5" t="s">
        <v>499</v>
      </c>
    </row>
    <row r="6">
      <c r="A6" t="s">
        <v>202</v>
      </c>
      <c r="B6" t="s">
        <v>500</v>
      </c>
      <c r="C6" t="s">
        <v>501</v>
      </c>
      <c r="D6" t="s">
        <v>498</v>
      </c>
      <c r="E6" t="s">
        <v>502</v>
      </c>
    </row>
    <row r="7">
      <c r="A7" t="s">
        <v>203</v>
      </c>
      <c r="B7" t="s">
        <v>503</v>
      </c>
      <c r="C7" t="s">
        <v>504</v>
      </c>
      <c r="D7" t="s">
        <v>505</v>
      </c>
      <c r="E7" t="s">
        <v>506</v>
      </c>
    </row>
    <row r="9">
      <c r="A9" t="s">
        <v>507</v>
      </c>
    </row>
    <row r="10">
      <c r="A10" t="s">
        <v>508</v>
      </c>
    </row>
    <row r="11">
      <c r="A11" t="s">
        <v>509</v>
      </c>
    </row>
    <row r="12">
      <c r="A12" t="s">
        <v>510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showGridLines="0" workbookViewId="0"/>
  </sheetViews>
  <sheetFormatPr defaultColWidth="8.375" defaultRowHeight="15"/>
  <cols>
    <col min="1" max="1" width="8.70703125" customWidth="1"/>
    <col min="2" max="2" width="18.0390625" customWidth="1"/>
    <col min="3" max="4" width="57.70703125" customWidth="1"/>
    <col min="5" max="5" width="81.0390625" customWidth="1"/>
    <col min="6" max="6" width="46.0390625" customWidth="1"/>
  </cols>
  <sheetData>
    <row r="1">
      <c r="A1" s="56" t="s">
        <v>511</v>
      </c>
      <c r="B1" s="56" t="s">
        <v>182</v>
      </c>
      <c r="C1" s="56" t="s">
        <v>512</v>
      </c>
      <c r="D1" s="56" t="s">
        <v>513</v>
      </c>
      <c r="E1" s="56" t="s">
        <v>514</v>
      </c>
      <c r="F1" s="56" t="s">
        <v>515</v>
      </c>
    </row>
    <row r="2">
      <c r="A2" s="57">
        <v>1</v>
      </c>
      <c r="B2" s="58">
        <v>46324.35932717593</v>
      </c>
      <c r="C2" s="57" t="s">
        <v>516</v>
      </c>
      <c r="D2" s="57" t="s">
        <v>517</v>
      </c>
      <c r="E2" s="57" t="s">
        <v>518</v>
      </c>
      <c r="F2" s="57" t="s">
        <v>519</v>
      </c>
    </row>
  </sheetData>
</worksheet>
</file>