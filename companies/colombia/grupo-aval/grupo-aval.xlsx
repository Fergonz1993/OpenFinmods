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Legal_Entities" sheetId="3" r:id="rId5"/>
    <sheet name="Historical" sheetId="4" r:id="rId6"/>
    <sheet name="Assumptions" sheetId="5" r:id="rId7"/>
    <sheet name="Operating_Model" sheetId="6" r:id="rId8"/>
    <sheet name="Forecast" sheetId="7" r:id="rId9"/>
    <sheet name="Valuation" sheetId="8" r:id="rId10"/>
    <sheet name="Sensitivity" sheetId="9" r:id="rId11"/>
    <sheet name="Checks" sheetId="10" r:id="rId12"/>
    <sheet name="Gate_9of10" sheetId="11" r:id="rId13"/>
    <sheet name="Change_Log" sheetId="12" r:id="rId14"/>
    <sheet name="Claude Code Log" sheetId="13" r:id="rId16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tc={C366451E-2883-EA8C-1160-DD1B7D32D4BD}</author>
    <author>tc={13751E7B-7D47-F461-AAE5-5756F514E7E9}</author>
    <author>tc={E194AEAD-5CB9-F463-2181-1EC33158EE2E}</author>
    <author>tc={1B3FFBD7-620D-021E-8035-B971BBF949DD}</author>
    <author>tc={3E426D0D-2F34-55DD-1621-DCA07839B6A1}</author>
    <author>tc={45B50EB1-87E5-F42D-6BB4-5D4854A92593}</author>
    <author>tc={F8A51CE0-A6F5-90C2-D6A5-4761943543D4}</author>
    <author>tc={2EAA05E4-1C40-24E0-BBA7-772F29767DA3}</author>
    <author>tc={F0DFA065-4D22-AA66-4B21-C13548CC9DA5}</author>
    <author>tc={8F6B08A3-8213-511D-EE0F-B8892299E434}</author>
    <author>tc={501BCC29-9BD0-ABFF-C9FE-4696D45538B9}</author>
    <author>tc={BA8DC0A1-28D5-956D-E752-A172C8797E43}</author>
    <author>tc={45FBADDE-8E28-9155-8FB2-F6733F120400}</author>
    <author>tc={A3DB9D27-0C6F-F2BB-815B-8957EFD0E8C2}</author>
    <author>tc={4261CB40-5FC4-751D-4806-92E50A81125D}</author>
    <author>tc={6893FFF6-3BA7-124E-C3F5-DB7C25508F82}</author>
  </authors>
  <commentList>
    <comment ref="C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D5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6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5</xdr:row>
            <xdr:rowOff>2</xdr:rowOff>
          </from>
          <to>
            <xdr:col>5</xdr:col>
            <xdr:colOff>15</xdr:colOff>
            <xdr:row>9</xdr:row>
            <xdr:rowOff>2</xdr:rowOff>
          </to>
        </anchor>
      </commentPr>
    </comment>
    <comment ref="D7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20-F, Note 1 (https://www.grupoaval.com/repositorio/grupoaval/inversionistas/mercados-externos/fomr-20-f/20-f-2025.pdf); exact Note F-12 to F-14 locator in Legal_Entities column G.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tc={995A19A5-362F-958E-EDE0-34748CB85947}</author>
    <author>tc={00E8CBE7-F7BC-D858-97BB-E23FF6E6D2F4}</author>
    <author>tc={1B606091-5A59-3C94-C5DA-E3B97B91B324}</author>
    <author>tc={90687FC4-C76F-DC64-AD7E-FAFECEDF8B94}</author>
    <author>tc={2518D27B-CC71-D4BE-3BCA-2C0EA02FE1BC}</author>
    <author>tc={E4CDDC0C-8573-C7A6-6EE1-1A8ABEC860F2}</author>
    <author>tc={36C322B6-44D2-D727-8378-828A083F0321}</author>
    <author>tc={C0756C9B-8C2D-74F3-C30D-417491765D10}</author>
    <author>tc={AABFDFA1-E12F-C940-23C5-56CE90A153CF}</author>
    <author>tc={42550F5F-79DB-D608-B916-73DF65F3B36F}</author>
    <author>tc={06709914-EB28-80A2-E883-72C72616530A}</author>
    <author>tc={A35B5F2C-170A-EFA8-8A60-869003CC26AB}</author>
    <author>tc={99ABA0B3-B1E3-6F31-2AB9-8F8EF2B49CC5}</author>
    <author>tc={449D953D-F1CC-A09B-1202-6C3DF054CF95}</author>
    <author>tc={7EE5284E-6361-DE38-EEFB-43376ECB5C53}</author>
    <author>tc={4A36C20F-D1F8-D4AC-934C-53DFCD96036E}</author>
    <author>tc={C64AC373-2FE2-0D16-7033-EB5190E3FDD3}</author>
    <author>tc={A5DEF499-B5D5-8809-2B81-FFFD86B468A1}</author>
  </authors>
  <commentList>
    <comment ref="D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5</xdr:row>
            <xdr:rowOff>2</xdr:rowOff>
          </from>
          <to>
            <xdr:col>5</xdr:col>
            <xdr:colOff>15</xdr:colOff>
            <xdr:row>9</xdr:row>
            <xdr:rowOff>2</xdr:rowOff>
          </to>
        </anchor>
      </commentPr>
    </comment>
    <comment ref="D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2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D16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15</xdr:row>
            <xdr:rowOff>2</xdr:rowOff>
          </from>
          <to>
            <xdr:col>5</xdr:col>
            <xdr:colOff>15</xdr:colOff>
            <xdr:row>19</xdr:row>
            <xdr:rowOff>2</xdr:rowOff>
          </to>
        </anchor>
      </commentPr>
    </comment>
    <comment ref="D17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16</xdr:row>
            <xdr:rowOff>2</xdr:rowOff>
          </from>
          <to>
            <xdr:col>5</xdr:col>
            <xdr:colOff>15</xdr:colOff>
            <xdr:row>20</xdr:row>
            <xdr:rowOff>2</xdr:rowOff>
          </to>
        </anchor>
      </commentPr>
    </comment>
    <comment ref="D19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18</xdr:row>
            <xdr:rowOff>2</xdr:rowOff>
          </from>
          <to>
            <xdr:col>5</xdr:col>
            <xdr:colOff>15</xdr:colOff>
            <xdr:row>22</xdr:row>
            <xdr:rowOff>2</xdr:rowOff>
          </to>
        </anchor>
      </commentPr>
    </comment>
    <comment ref="D20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19</xdr:row>
            <xdr:rowOff>2</xdr:rowOff>
          </from>
          <to>
            <xdr:col>5</xdr:col>
            <xdr:colOff>15</xdr:colOff>
            <xdr:row>23</xdr:row>
            <xdr:rowOff>2</xdr:rowOff>
          </to>
        </anchor>
      </commentPr>
    </comment>
    <comment ref="D21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20</xdr:row>
            <xdr:rowOff>2</xdr:rowOff>
          </from>
          <to>
            <xdr:col>5</xdr:col>
            <xdr:colOff>15</xdr:colOff>
            <xdr:row>24</xdr:row>
            <xdr:rowOff>2</xdr:rowOff>
          </to>
        </anchor>
      </commentPr>
    </comment>
    <comment ref="D22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21</xdr:row>
            <xdr:rowOff>2</xdr:rowOff>
          </from>
          <to>
            <xdr:col>5</xdr:col>
            <xdr:colOff>15</xdr:colOff>
            <xdr:row>25</xdr:row>
            <xdr:rowOff>2</xdr:rowOff>
          </to>
        </anchor>
      </commentPr>
    </comment>
    <comment ref="D23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22</xdr:row>
            <xdr:rowOff>2</xdr:rowOff>
          </from>
          <to>
            <xdr:col>5</xdr:col>
            <xdr:colOff>15</xdr:colOff>
            <xdr:row>26</xdr:row>
            <xdr:rowOff>2</xdr:rowOff>
          </to>
        </anchor>
      </commentPr>
    </comment>
    <comment ref="D26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Grupo Aval 2025 Form 20-F (https://www.grupoaval.com/repositorio/grupoaval/inversionistas/mercados-externos/fomr-20-f/20-f-2025.pdf); exact claim locator in Sources.</t>
        </r>
      </text>
      <commentPr locked="0" textHAlign="justify" textVAlign="top">
        <anchor>
          <from>
            <xdr:col>3</xdr:col>
            <xdr:colOff>15</xdr:colOff>
            <xdr:row>25</xdr:row>
            <xdr:rowOff>2</xdr:rowOff>
          </from>
          <to>
            <xdr:col>5</xdr:col>
            <xdr:colOff>15</xdr:colOff>
            <xdr:row>29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<sst xmlns="http://schemas.openxmlformats.org/spreadsheetml/2006/main" count="725" uniqueCount="397">
  <si>
    <t>Grupo Aval Acciones y Valores S.A. - Holdco / Bank Model</t>
  </si>
  <si>
    <t>COP billions except per-share data | FY2025 actual | legal-entity and segment-aware rebuild</t>
  </si>
  <si>
    <t>Model field</t>
  </si>
  <si>
    <t>Value</t>
  </si>
  <si>
    <t>Legal entity</t>
  </si>
  <si>
    <t>Grupo Aval Acciones y Valores S.A.</t>
  </si>
  <si>
    <t>Ticker / ADR</t>
  </si>
  <si>
    <t>AVAL</t>
  </si>
  <si>
    <t>CIK</t>
  </si>
  <si>
    <t>0001504764</t>
  </si>
  <si>
    <t>Model archetype</t>
  </si>
  <si>
    <t>Financial holding company / consolidated banking group</t>
  </si>
  <si>
    <t>Primary valuation</t>
  </si>
  <si>
    <t>Residual income + DDM + reportable-segment SOTP</t>
  </si>
  <si>
    <t>Operating perimeter</t>
  </si>
  <si>
    <t>Banking, merchant banking, pension, holdco</t>
  </si>
  <si>
    <t>Reporting/model currency</t>
  </si>
  <si>
    <t>COP / COP billions</t>
  </si>
  <si>
    <t>Actual period</t>
  </si>
  <si>
    <t>Year ended 2025-12-31</t>
  </si>
  <si>
    <t>Source filing</t>
  </si>
  <si>
    <t>2025 Form 20-F filed 2026-04-17</t>
  </si>
  <si>
    <t>Scenario</t>
  </si>
  <si>
    <t>Overall model status</t>
  </si>
  <si>
    <t>Independent status</t>
  </si>
  <si>
    <t>PENDING INDEPENDENT REVIEW</t>
  </si>
  <si>
    <t>Critical perimeter note</t>
  </si>
  <si>
    <t>MFG classified held for sale in 2025; 2024 balance sheet not retrospectively adjusted</t>
  </si>
  <si>
    <t>Use only blue/yellow cells for scenario assumptions. Legal_Entities distinguishes Grupo Aval from Banco de Bogota, Banco de Occidente, Banco Popular, Banco AV Villas, Corficolombiana and Porvenir.</t>
  </si>
  <si>
    <t>Claim-level source ledger</t>
  </si>
  <si>
    <t>Primary 2025 Form 20-F mappings; no subsidiary fact is relabeled as a parent fact.</t>
  </si>
  <si>
    <t>Source ID</t>
  </si>
  <si>
    <t>Metric</t>
  </si>
  <si>
    <t>Reported value</t>
  </si>
  <si>
    <t>Units</t>
  </si>
  <si>
    <t>Period</t>
  </si>
  <si>
    <t>Basis / context</t>
  </si>
  <si>
    <t>Claim locator</t>
  </si>
  <si>
    <t>Form</t>
  </si>
  <si>
    <t>Filed</t>
  </si>
  <si>
    <t>Accession</t>
  </si>
  <si>
    <t>Exact official URL</t>
  </si>
  <si>
    <t>Workbook destination</t>
  </si>
  <si>
    <t>Transformation</t>
  </si>
  <si>
    <t>Class</t>
  </si>
  <si>
    <t>Status</t>
  </si>
  <si>
    <t>AV25-II</t>
  </si>
  <si>
    <t>Total interest income</t>
  </si>
  <si>
    <t>COP bn</t>
  </si>
  <si>
    <t>FY2025</t>
  </si>
  <si>
    <t>Consolidated</t>
  </si>
  <si>
    <t>20-F PDF p.11 / printed p.7</t>
  </si>
  <si>
    <t>20-F</t>
  </si>
  <si>
    <t>2026-04-17</t>
  </si>
  <si>
    <t>0001104659-26-044493</t>
  </si>
  <si>
    <t>https://www.grupoaval.com/repositorio/grupoaval/inversionistas/mercados-externos/fomr-20-f/20-f-2025.pdf</t>
  </si>
  <si>
    <t>Historical!D5</t>
  </si>
  <si>
    <t>COP millions / 1,000</t>
  </si>
  <si>
    <t>Primary filing</t>
  </si>
  <si>
    <t>PASS</t>
  </si>
  <si>
    <t>AV25-IE</t>
  </si>
  <si>
    <t>Total interest expense</t>
  </si>
  <si>
    <t>Historical!D6</t>
  </si>
  <si>
    <t>COP millions / 1,000; expense shown negative</t>
  </si>
  <si>
    <t>AV25-NII</t>
  </si>
  <si>
    <t>Net interest income</t>
  </si>
  <si>
    <t>Historical!D7</t>
  </si>
  <si>
    <t>AV25-NI</t>
  </si>
  <si>
    <t>Net income attributable to owners</t>
  </si>
  <si>
    <t>Owners of parent</t>
  </si>
  <si>
    <t>Historical!D9</t>
  </si>
  <si>
    <t>AV25-ASSET</t>
  </si>
  <si>
    <t>Total assets</t>
  </si>
  <si>
    <t>2025-12-31</t>
  </si>
  <si>
    <t>20-F PDF p.12 / printed p.8</t>
  </si>
  <si>
    <t>Historical!D12</t>
  </si>
  <si>
    <t>AV25-GLOAN</t>
  </si>
  <si>
    <t>Gross loans</t>
  </si>
  <si>
    <t>Consolidated incl. eliminations</t>
  </si>
  <si>
    <t>20-F PDF p.60 / lending activities</t>
  </si>
  <si>
    <t>Historical!D13</t>
  </si>
  <si>
    <t>AV25-NLOAN</t>
  </si>
  <si>
    <t>Net loans</t>
  </si>
  <si>
    <t>Historical!D14</t>
  </si>
  <si>
    <t>AV25-DEP</t>
  </si>
  <si>
    <t>Customer deposits</t>
  </si>
  <si>
    <t>Historical!D15</t>
  </si>
  <si>
    <t>AV25-EQ</t>
  </si>
  <si>
    <t>Equity attributable to owners</t>
  </si>
  <si>
    <t>Historical!D16</t>
  </si>
  <si>
    <t>AV25-NIM</t>
  </si>
  <si>
    <t>Net interest margin</t>
  </si>
  <si>
    <t>%</t>
  </si>
  <si>
    <t>Excludes MFG average earning assets</t>
  </si>
  <si>
    <t>20-F PDF p.13 / ratios</t>
  </si>
  <si>
    <t>Historical!D19</t>
  </si>
  <si>
    <t>Direct ratio</t>
  </si>
  <si>
    <t>AV25-ROAE</t>
  </si>
  <si>
    <t>ROAE</t>
  </si>
  <si>
    <t>Historical!D20</t>
  </si>
  <si>
    <t>AV25-CIR</t>
  </si>
  <si>
    <t>Cost to income</t>
  </si>
  <si>
    <t>Historical!D21</t>
  </si>
  <si>
    <t>AV25-COR</t>
  </si>
  <si>
    <t>Net cost of risk</t>
  </si>
  <si>
    <t>Excludes MFG</t>
  </si>
  <si>
    <t>Historical!D22</t>
  </si>
  <si>
    <t>AV25-PDL</t>
  </si>
  <si>
    <t>Loans &gt;30 days / gross loans</t>
  </si>
  <si>
    <t>Historical!D23</t>
  </si>
  <si>
    <t>AV25-SH</t>
  </si>
  <si>
    <t>Weighted average common + preferred shares</t>
  </si>
  <si>
    <t>mm shares</t>
  </si>
  <si>
    <t>All shares</t>
  </si>
  <si>
    <t>Historical!D26</t>
  </si>
  <si>
    <t>Thousands / 1,000</t>
  </si>
  <si>
    <t>AV25-SEG</t>
  </si>
  <si>
    <t>Reportable segment net income</t>
  </si>
  <si>
    <t>Banking / merchant / pension / holdco / eliminations</t>
  </si>
  <si>
    <t>20-F Note 31 PDF pp.416-418 / F-201 to F-203</t>
  </si>
  <si>
    <t>Valuation!B22:B26</t>
  </si>
  <si>
    <t>AV25-OWN</t>
  </si>
  <si>
    <t>Subsidiary ownership</t>
  </si>
  <si>
    <t>Direct and indirect economic interest</t>
  </si>
  <si>
    <t>20-F Note 1 PDF pp.226-229 / F-12 to F-14</t>
  </si>
  <si>
    <t>Legal_Entities!A4:H12</t>
  </si>
  <si>
    <t>Direct ratios</t>
  </si>
  <si>
    <t>AV25-MFG</t>
  </si>
  <si>
    <t>MFG disposal / held-for-sale perimeter</t>
  </si>
  <si>
    <t>2025-11-27 agreement</t>
  </si>
  <si>
    <t>Banco de Bogota subsidiary MFH disposal</t>
  </si>
  <si>
    <t>20-F PDF p.57; Note 13</t>
  </si>
  <si>
    <t>00_Cover!B17</t>
  </si>
  <si>
    <t>Issuer-reported consideration</t>
  </si>
  <si>
    <t>Completeness</t>
  </si>
  <si>
    <t>Legal entity and ownership map</t>
  </si>
  <si>
    <t>2025 Form 20-F Note 1; prevents parent/subsidiary fact contamination.</t>
  </si>
  <si>
    <t>Business</t>
  </si>
  <si>
    <t>Voting rights</t>
  </si>
  <si>
    <t>Economic interest</t>
  </si>
  <si>
    <t>2025 assets (COP bn)</t>
  </si>
  <si>
    <t>2025 parent NI (COP bn)</t>
  </si>
  <si>
    <t>Model treatment</t>
  </si>
  <si>
    <t>Banco de Bogota S.A.</t>
  </si>
  <si>
    <t>Commercial bank</t>
  </si>
  <si>
    <t>20-F p.57; Note 1 F-12</t>
  </si>
  <si>
    <t>Banking segment; no standalone fact relabeled as Aval</t>
  </si>
  <si>
    <t>Banco de Occidente S.A.</t>
  </si>
  <si>
    <t>20-F p.58; Note 1 F-13</t>
  </si>
  <si>
    <t>Banking segment</t>
  </si>
  <si>
    <t>Banco Popular S.A.</t>
  </si>
  <si>
    <t>Banco Comercial AV Villas S.A.</t>
  </si>
  <si>
    <t>20-F p.59; Note 1 F-14</t>
  </si>
  <si>
    <t>Corficolombiana S.A.</t>
  </si>
  <si>
    <t>Merchant bank / strategic investments</t>
  </si>
  <si>
    <t>20-F p.65; Note 1 F-13</t>
  </si>
  <si>
    <t>Merchant banking segment</t>
  </si>
  <si>
    <t>Porvenir S.A.</t>
  </si>
  <si>
    <t>Pension and severance fund manager</t>
  </si>
  <si>
    <t>20-F Note 1 F-14</t>
  </si>
  <si>
    <t>Pension segment</t>
  </si>
  <si>
    <t>Aval Fiduciaria S.A.</t>
  </si>
  <si>
    <t>Trust services</t>
  </si>
  <si>
    <t>Banking services from 2025</t>
  </si>
  <si>
    <t>Grupo Aval Ltd.</t>
  </si>
  <si>
    <t>Foreign debt SPV</t>
  </si>
  <si>
    <t>Holding segment</t>
  </si>
  <si>
    <t>Historical consolidated financials and KPIs</t>
  </si>
  <si>
    <t>COP billions except ratios and share count; 2025 MFG perimeter caveat disclosed on Cover.</t>
  </si>
  <si>
    <t>2023A</t>
  </si>
  <si>
    <t>2024A</t>
  </si>
  <si>
    <t>2025A</t>
  </si>
  <si>
    <t>Interest income</t>
  </si>
  <si>
    <t>Interest expense</t>
  </si>
  <si>
    <t>Net impairment loss</t>
  </si>
  <si>
    <t>Net income total</t>
  </si>
  <si>
    <t>Total equity</t>
  </si>
  <si>
    <t>Loss allowance / gross loans</t>
  </si>
  <si>
    <t>Weighted average shares (mm)</t>
  </si>
  <si>
    <t>Scenario assumptions</t>
  </si>
  <si>
    <t>1 = Base, 2 = Bull, 3 = Bear. Assumptions are model estimates, not reported facts.</t>
  </si>
  <si>
    <t>Scenario selector</t>
  </si>
  <si>
    <t>Driver</t>
  </si>
  <si>
    <t>Base</t>
  </si>
  <si>
    <t>Bull</t>
  </si>
  <si>
    <t>Bear</t>
  </si>
  <si>
    <t>Active</t>
  </si>
  <si>
    <t>Gross loan growth</t>
  </si>
  <si>
    <t>Other income growth</t>
  </si>
  <si>
    <t>Tax rate</t>
  </si>
  <si>
    <t>Parent earnings share</t>
  </si>
  <si>
    <t>Dividend payout</t>
  </si>
  <si>
    <t>Cost of equity</t>
  </si>
  <si>
    <t>Terminal growth</t>
  </si>
  <si>
    <t>Banking segment P/E</t>
  </si>
  <si>
    <t>Merchant banking P/E</t>
  </si>
  <si>
    <t>Pension segment P/E</t>
  </si>
  <si>
    <t>Holding / eliminations P/E</t>
  </si>
  <si>
    <t>RI weight</t>
  </si>
  <si>
    <t>DDM weight</t>
  </si>
  <si>
    <t>SOTP weight</t>
  </si>
  <si>
    <t>Integrated banking and capital model</t>
  </si>
  <si>
    <t>Gross loans, NIM, credit cost, cost/income, parent earnings, dividends and equity roll forward.</t>
  </si>
  <si>
    <t>2026E</t>
  </si>
  <si>
    <t>2027E</t>
  </si>
  <si>
    <t>2028E</t>
  </si>
  <si>
    <t>2029E</t>
  </si>
  <si>
    <t>2030E</t>
  </si>
  <si>
    <t>Driver / check</t>
  </si>
  <si>
    <t>Assumptions!E7</t>
  </si>
  <si>
    <t>Loan growth</t>
  </si>
  <si>
    <t>Formula</t>
  </si>
  <si>
    <t>Average gross loans</t>
  </si>
  <si>
    <t>Interest-earning assets</t>
  </si>
  <si>
    <t>NII / NIM</t>
  </si>
  <si>
    <t>Assumptions!E8</t>
  </si>
  <si>
    <t>Assumptions!E9</t>
  </si>
  <si>
    <t>Other operating income</t>
  </si>
  <si>
    <t>Assumptions!E10</t>
  </si>
  <si>
    <t>Assumptions!E11</t>
  </si>
  <si>
    <t>Operating expenses</t>
  </si>
  <si>
    <t>Pre-tax income</t>
  </si>
  <si>
    <t>Assumptions!E12</t>
  </si>
  <si>
    <t>Assumptions!E13</t>
  </si>
  <si>
    <t>Assumptions!E14</t>
  </si>
  <si>
    <t>Dividends</t>
  </si>
  <si>
    <t>Beginning parent equity</t>
  </si>
  <si>
    <t>Equity roll</t>
  </si>
  <si>
    <t>Ending parent equity</t>
  </si>
  <si>
    <t>30-day PDL ratio</t>
  </si>
  <si>
    <t>Stress linkage</t>
  </si>
  <si>
    <t>Forecast summary</t>
  </si>
  <si>
    <t>Parent-attributable profitability, capital retention and balance-sheet growth.</t>
  </si>
  <si>
    <t>Net income attributable</t>
  </si>
  <si>
    <t>Residual income, DDM and segment SOTP</t>
  </si>
  <si>
    <t>Three sector-appropriate methods; blended value uses visible scenario weights.</t>
  </si>
  <si>
    <t>Residual income</t>
  </si>
  <si>
    <t>Output</t>
  </si>
  <si>
    <t>Equity charge</t>
  </si>
  <si>
    <t>Discount factor</t>
  </si>
  <si>
    <t>PV residual income</t>
  </si>
  <si>
    <t>Terminal residual income</t>
  </si>
  <si>
    <t>Residual income equity value</t>
  </si>
  <si>
    <t>Dividend discount model</t>
  </si>
  <si>
    <t>PV dividends</t>
  </si>
  <si>
    <t>Terminal dividend value</t>
  </si>
  <si>
    <t>DDM equity value</t>
  </si>
  <si>
    <t>Reportable-segment SOTP</t>
  </si>
  <si>
    <t>Segment</t>
  </si>
  <si>
    <t>2025 net income</t>
  </si>
  <si>
    <t>Multiple</t>
  </si>
  <si>
    <t>Basis</t>
  </si>
  <si>
    <t>Legal perimeter</t>
  </si>
  <si>
    <t>Source</t>
  </si>
  <si>
    <t>Banking services</t>
  </si>
  <si>
    <t>P/E</t>
  </si>
  <si>
    <t>Four banks + trust/brokerage</t>
  </si>
  <si>
    <t>20-F Note 31 F-203</t>
  </si>
  <si>
    <t>Merchant banking</t>
  </si>
  <si>
    <t>Corficolombiana / strategic sectors</t>
  </si>
  <si>
    <t>Pension and severance</t>
  </si>
  <si>
    <t>Porvenir</t>
  </si>
  <si>
    <t>Holding</t>
  </si>
  <si>
    <t>Grupo Aval + Grupo Aval Ltd.</t>
  </si>
  <si>
    <t>Eliminations</t>
  </si>
  <si>
    <t>Intersegment eliminations</t>
  </si>
  <si>
    <t>SOTP equity value</t>
  </si>
  <si>
    <t>Blended equity value</t>
  </si>
  <si>
    <t>Method</t>
  </si>
  <si>
    <t>Weight</t>
  </si>
  <si>
    <t>DDM</t>
  </si>
  <si>
    <t>SOTP</t>
  </si>
  <si>
    <t>Implied COP per share</t>
  </si>
  <si>
    <t>Dynamic residual-income sensitivity</t>
  </si>
  <si>
    <t>Rows vary cost of equity; columns vary terminal growth. Every cell rebuilds the residual-income valuation.</t>
  </si>
  <si>
    <t>CoE / g</t>
  </si>
  <si>
    <t>Model checks</t>
  </si>
  <si>
    <t>Critical source, banking mechanics, capital, valuation and sensitivity assertions.</t>
  </si>
  <si>
    <t>Check</t>
  </si>
  <si>
    <t>Actual</t>
  </si>
  <si>
    <t>Expected</t>
  </si>
  <si>
    <t>Difference</t>
  </si>
  <si>
    <t>Tolerance</t>
  </si>
  <si>
    <t>Severity</t>
  </si>
  <si>
    <t>Location / fix hint</t>
  </si>
  <si>
    <t>Source ledger completeness</t>
  </si>
  <si>
    <t>Critical</t>
  </si>
  <si>
    <t>Sources!A4:P23</t>
  </si>
  <si>
    <t>Assets equal liabilities + equity</t>
  </si>
  <si>
    <t>Historical!D12 / 20-F p.12</t>
  </si>
  <si>
    <t>NII formula mechanics</t>
  </si>
  <si>
    <t>Operating_Model!C8:C10</t>
  </si>
  <si>
    <t>Credit-loss formula mechanics</t>
  </si>
  <si>
    <t>Operating_Model!C7:C12</t>
  </si>
  <si>
    <t>Equity roll-forward</t>
  </si>
  <si>
    <t>Operating_Model!C20:C24</t>
  </si>
  <si>
    <t>Cost of equity exceeds terminal growth</t>
  </si>
  <si>
    <t>Assumptions!E15:E16</t>
  </si>
  <si>
    <t>Valuation weights sum to 100%</t>
  </si>
  <si>
    <t>Assumptions!E21:E23</t>
  </si>
  <si>
    <t>SOTP segment sum</t>
  </si>
  <si>
    <t>Valuation!D25:D30</t>
  </si>
  <si>
    <t>Scenario selector valid</t>
  </si>
  <si>
    <t>Assumptions!B4</t>
  </si>
  <si>
    <t>Parent equity positive through forecast</t>
  </si>
  <si>
    <t>Operating_Model!C24:G24</t>
  </si>
  <si>
    <t>Forecast engine propagates through 2030</t>
  </si>
  <si>
    <t>Operating_Model!D5:G25</t>
  </si>
  <si>
    <t>All critical checks must pass</t>
  </si>
  <si>
    <t>Owner 9/10 submission gate</t>
  </si>
  <si>
    <t>Owner evidence only; independent reviewer decides final certification after the hash is frozen.</t>
  </si>
  <si>
    <t>Gate</t>
  </si>
  <si>
    <t>Owner status</t>
  </si>
  <si>
    <t>Blocker class</t>
  </si>
  <si>
    <t>Workbook evidence</t>
  </si>
  <si>
    <t>External evidence pointer</t>
  </si>
  <si>
    <t>Reviewer note</t>
  </si>
  <si>
    <t>Score</t>
  </si>
  <si>
    <t>H0 Controlled lineage / OOXML</t>
  </si>
  <si>
    <t>None</t>
  </si>
  <si>
    <t>00_Cover; Change_Log</t>
  </si>
  <si>
    <t>internal QA evidence (not published)</t>
  </si>
  <si>
    <t>Original + controlled hashes externally recorded</t>
  </si>
  <si>
    <t>H1 Source fidelity / provenance</t>
  </si>
  <si>
    <t>Sources; Legal_Entities</t>
  </si>
  <si>
    <t>2025 20-F PDF + SEC filing</t>
  </si>
  <si>
    <t>Claim-level parent and subsidiary mapping</t>
  </si>
  <si>
    <t>H2 Formula and schedule mechanics</t>
  </si>
  <si>
    <t>Operating_Model; Forecast</t>
  </si>
  <si>
    <t>Scenario evidence</t>
  </si>
  <si>
    <t>Integrated banking and capital schedule</t>
  </si>
  <si>
    <t>H3 Scenarios / sensitivity</t>
  </si>
  <si>
    <t>Assumptions; Sensitivity</t>
  </si>
  <si>
    <t>Scenario perturbation log</t>
  </si>
  <si>
    <t>Dynamic base/bull/bear and RI grid</t>
  </si>
  <si>
    <t>H4 Valuation fit / mechanics</t>
  </si>
  <si>
    <t>Valuation</t>
  </si>
  <si>
    <t>RI/DDM/SOTP evidence</t>
  </si>
  <si>
    <t>Holdco and legal perimeter fit</t>
  </si>
  <si>
    <t>H5 Checks / error state</t>
  </si>
  <si>
    <t>Checks</t>
  </si>
  <si>
    <t>Post-recalc error scan</t>
  </si>
  <si>
    <t>Formula-driven gate</t>
  </si>
  <si>
    <t>H6 Native recalculation</t>
  </si>
  <si>
    <t>Gate_9of10!A17:H20</t>
  </si>
  <si>
    <t>Native recalc log</t>
  </si>
  <si>
    <t>Two isolated-profile LibreOfficeDev passes plus artifact-tool reopen and error scan</t>
  </si>
  <si>
    <t>H7 Post-recalc visual QA</t>
  </si>
  <si>
    <t>All user-facing sheets</t>
  </si>
  <si>
    <t>Final preview manifest</t>
  </si>
  <si>
    <t>Every user-facing sheet rendered and reviewed; manifest is hash-bound after final pass</t>
  </si>
  <si>
    <t>H8 Material economic upgrade</t>
  </si>
  <si>
    <t>Legal_Entities; Operating_Model; Valuation</t>
  </si>
  <si>
    <t>Change_Log</t>
  </si>
  <si>
    <t>Replaces generic bank shell with parent/segment model</t>
  </si>
  <si>
    <t>H9 Governance / handoff</t>
  </si>
  <si>
    <t>Evidence JSON</t>
  </si>
  <si>
    <t>Independent certification pending</t>
  </si>
  <si>
    <t>Owner score</t>
  </si>
  <si>
    <t>Owner decision</t>
  </si>
  <si>
    <t>Native engine</t>
  </si>
  <si>
    <t>LibreOfficeDev 26.8.0.0.alpha0 2c87e51eeaa2b413ff4ae097b2705eea1995d8e5</t>
  </si>
  <si>
    <t>Lifecycle</t>
  </si>
  <si>
    <t>RECALC / SAVE / CLOSE / REOPEN x2</t>
  </si>
  <si>
    <t>Owner evidence</t>
  </si>
  <si>
    <t>Change log and governance</t>
  </si>
  <si>
    <t>Controlled legal-entity and financial-holding-company rebuild.</t>
  </si>
  <si>
    <t>Date</t>
  </si>
  <si>
    <t>Version</t>
  </si>
  <si>
    <t>Author</t>
  </si>
  <si>
    <t>Change</t>
  </si>
  <si>
    <t>Evidence</t>
  </si>
  <si>
    <t>Reviewer status</t>
  </si>
  <si>
    <t>2026-07-16</t>
  </si>
  <si>
    <t>2.0</t>
  </si>
  <si>
    <t>Codex</t>
  </si>
  <si>
    <t>Rebuilt as Grupo Aval parent / subsidiary / reportable-segment model</t>
  </si>
  <si>
    <t>Legal_Entities; Operating_Model</t>
  </si>
  <si>
    <t>Owner complete</t>
  </si>
  <si>
    <t>Mapped 2025 Form 20-F and MFG perimeter caveat</t>
  </si>
  <si>
    <t>Sources; 00_Cover</t>
  </si>
  <si>
    <t>Added RI, DDM and segment SOTP</t>
  </si>
  <si>
    <t>Added formula-driven scenarios, sensitivity and checks</t>
  </si>
  <si>
    <t>Assumptions; Sensitivity; Checks</t>
  </si>
  <si>
    <t>Independent reviewer</t>
  </si>
  <si>
    <t>Certification decision</t>
  </si>
  <si>
    <t>Frozen workbook hash</t>
  </si>
  <si>
    <t>Pending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</si>
  <si>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</si>
  <si>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</si>
  <si>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</si>
  <si>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</si>
  <si>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</si>
  <si>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</si>
  <si>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</si>
  <si>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Gate_9of10: 2 cells written, at F5, B21.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</si>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</sst>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* #,##0_-;\-* #,##0_-;_-* \-_-;_-@_-"/>
    <numFmt numFmtId="167" formatCode="0%"/>
    <numFmt numFmtId="168" formatCode="@"/>
    <numFmt numFmtId="169" formatCode="#,##0.0;[RED]\(#,##0.0\);\-"/>
    <numFmt numFmtId="170" formatCode="0.0%;[RED]\(0.0%\);\-"/>
    <numFmt numFmtId="171" formatCode="0"/>
    <numFmt numFmtId="172" formatCode="0.0\x;[RED]\(0.0&quot;x)&quot;;\-"/>
    <numFmt numFmtId="173" formatCode="&quot;COP &quot;#,##0;[RED]&quot;(COP &quot;#,##0\);\-"/>
    <numFmt numFmtId="174" formatCode="yyyy\-mm\-dd hh:mm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/>
      <sz val="16"/>
      <color rgb="FFFFFFFF"/>
      <name val="Arial"/>
      <family val="0"/>
      <charset val="1"/>
    </font>
    <font>
      <i/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/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/>
      <sz val="10"/>
      <color rgb="FF000000"/>
      <name val="Arial"/>
      <family val="0"/>
      <charset val="1"/>
    </font>
    <font>
      <b/>
      <i val="0"/>
      <strike val="0"/>
      <sz val="10"/>
      <color rgb="FF000000"/>
      <name val="Arial"/>
      <family val="2"/>
      <charset val="1"/>
    </font>
    <font>
      <b val="0"/>
      <i val="0"/>
      <strike val="0"/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3F8"/>
        <bgColor rgb="FFE2F0D9"/>
      </patternFill>
    </fill>
    <fill>
      <patternFill patternType="solid">
        <fgColor rgb="FF1F4E78"/>
        <bgColor rgb="FF17365D"/>
      </patternFill>
    </fill>
    <fill>
      <patternFill patternType="solid">
        <fgColor rgb="FFD9EAF7"/>
        <bgColor rgb="FFD9E1F2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AF3F8"/>
      </patternFill>
    </fill>
  </fills>
  <borders count="20">
    <border diagonalUp="0" diagonalDown="0">
      <left/>
      <right/>
      <top/>
      <bottom/>
      <diagonal/>
    </border>
    <border diagonalUp="0" diagonalDown="0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0" diagonalDown="0">
      <left/>
      <right style="thin">
        <color rgb="FFD9E1F2"/>
      </right>
      <top/>
      <bottom style="thin">
        <color rgb="FFD9E1F2"/>
      </bottom>
      <diagonal/>
    </border>
    <border diagonalUp="0" diagonalDown="0"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 diagonalUp="0" diagonalDown="0">
      <left style="thin">
        <color rgb="FFD9E1F2"/>
      </left>
      <right/>
      <top/>
      <bottom style="thin">
        <color rgb="FFD9E1F2"/>
      </bottom>
      <diagonal/>
    </border>
    <border diagonalUp="0" diagonalDown="0">
      <left/>
      <right style="thin">
        <color rgb="FFD9E1F2"/>
      </right>
      <top style="thin">
        <color rgb="FFD9E1F2"/>
      </top>
      <bottom style="thin">
        <color rgb="FFD9E1F2"/>
      </bottom>
      <diagonal/>
    </border>
    <border diagonalUp="0" diagonalDown="0"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0" diagonalDown="0">
      <left style="thin">
        <color rgb="FFD9E1F2"/>
      </left>
      <right/>
      <top style="thin">
        <color rgb="FFD9E1F2"/>
      </top>
      <bottom style="thin">
        <color rgb="FFD9E1F2"/>
      </bottom>
      <diagonal/>
    </border>
    <border diagonalUp="0" diagonalDown="0">
      <left/>
      <right style="thin">
        <color rgb="FFD9E1F2"/>
      </right>
      <top style="thin">
        <color rgb="FFD9E1F2"/>
      </top>
      <bottom/>
      <diagonal/>
    </border>
    <border diagonalUp="0" diagonalDown="0">
      <left style="thin">
        <color rgb="FFD9E1F2"/>
      </left>
      <right style="thin">
        <color rgb="FFD9E1F2"/>
      </right>
      <top style="thin">
        <color rgb="FFD9E1F2"/>
      </top>
      <bottom/>
      <diagonal/>
    </border>
    <border diagonalUp="0" diagonalDown="0">
      <left style="thin">
        <color rgb="FFD9E1F2"/>
      </left>
      <right/>
      <top style="thin">
        <color rgb="FFD9E1F2"/>
      </top>
      <bottom/>
      <diagonal/>
    </border>
    <border diagonalUp="0" diagonalDown="0">
      <left style="thin">
        <color rgb="FFA6A6A6"/>
      </left>
      <right style="thin">
        <color rgb="FFD9E1F2"/>
      </right>
      <top style="thin">
        <color rgb="FFA6A6A6"/>
      </top>
      <bottom style="thin">
        <color rgb="FFD9E1F2"/>
      </bottom>
      <diagonal/>
    </border>
    <border diagonalUp="0" diagonalDown="0">
      <left style="thin">
        <color rgb="FFD9E1F2"/>
      </left>
      <right style="thin">
        <color rgb="FFD9E1F2"/>
      </right>
      <top style="thin">
        <color rgb="FFA6A6A6"/>
      </top>
      <bottom style="thin">
        <color rgb="FFD9E1F2"/>
      </bottom>
      <diagonal/>
    </border>
    <border diagonalUp="0" diagonalDown="0">
      <left style="thin">
        <color rgb="FFD9E1F2"/>
      </left>
      <right style="thin">
        <color rgb="FFA6A6A6"/>
      </right>
      <top style="thin">
        <color rgb="FFA6A6A6"/>
      </top>
      <bottom style="thin">
        <color rgb="FFD9E1F2"/>
      </bottom>
      <diagonal/>
    </border>
    <border diagonalUp="0" diagonalDown="0">
      <left style="thin">
        <color rgb="FFA6A6A6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 diagonalUp="0" diagonalDown="0">
      <left style="thin">
        <color rgb="FFD9E1F2"/>
      </left>
      <right style="thin">
        <color rgb="FFA6A6A6"/>
      </right>
      <top style="thin">
        <color rgb="FFD9E1F2"/>
      </top>
      <bottom style="thin">
        <color rgb="FFD9E1F2"/>
      </bottom>
      <diagonal/>
    </border>
    <border diagonalUp="0" diagonalDown="0">
      <left style="thin">
        <color rgb="FFA6A6A6"/>
      </left>
      <right style="thin">
        <color rgb="FFD9E1F2"/>
      </right>
      <top style="thin">
        <color rgb="FFD9E1F2"/>
      </top>
      <bottom style="thin">
        <color rgb="FFA6A6A6"/>
      </bottom>
      <diagonal/>
    </border>
    <border diagonalUp="0" diagonalDown="0">
      <left style="thin">
        <color rgb="FFD9E1F2"/>
      </left>
      <right style="thin">
        <color rgb="FFD9E1F2"/>
      </right>
      <top style="thin">
        <color rgb="FFD9E1F2"/>
      </top>
      <bottom style="thin">
        <color rgb="FFA6A6A6"/>
      </bottom>
      <diagonal/>
    </border>
    <border diagonalUp="0" diagonalDown="0">
      <left style="thin">
        <color rgb="FFD9E1F2"/>
      </left>
      <right style="thin">
        <color rgb="FFA6A6A6"/>
      </right>
      <top style="thin">
        <color rgb="FFD9E1F2"/>
      </top>
      <bottom style="thin">
        <color rgb="FFA6A6A6"/>
      </bottom>
      <diagonal/>
    </border>
    <border diagonalUp="0" diagonalDown="0"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33">
    <xf numFmtId="164" fontId="0" fillId="0" borderId="0" applyFont="1" applyBorder="1" applyAlignment="1" applyProtection="1">
      <alignment horizontal="general" vertical="bottom" textRotation="0" inden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5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5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6" fontId="4" fillId="0" borderId="0" applyFont="1" applyBorder="0" applyAlignment="1" applyProtection="0">
      <alignment horizontal="general" vertical="bottom" textRotation="0" indent="0"/>
    </xf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4" fontId="5" fillId="0" borderId="0" applyFont="1" applyBorder="1" applyAlignment="1" applyProtection="1">
      <alignment horizontal="general" vertical="bottom" textRotation="0" indent="0"/>
      <protection locked="1" hidden="0"/>
    </xf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7" fontId="4" fillId="0" borderId="0" applyFont="1" applyBorder="0" applyAlignment="1" applyProtection="0">
      <alignment horizontal="general" vertical="bottom" textRotation="0" indent="0"/>
    </xf>
    <xf numFmtId="167" fontId="4" fillId="0" borderId="0" applyFont="1" applyBorder="0" applyAlignment="1" applyProtection="0">
      <alignment horizontal="general" vertical="bottom" textRotation="0" indent="0"/>
    </xf>
  </cellStyleXfs>
  <cellXfs count="77">
    <xf numFmtId="164" fontId="0" fillId="0" borderId="0" xfId="0" applyFont="0" applyBorder="0" applyAlignment="0" applyProtection="0">
      <alignment horizontal="general" vertical="bottom" textRotation="0" indent="0"/>
      <protection locked="1" hidden="0"/>
    </xf>
    <xf numFmtId="164" fontId="4" fillId="0" borderId="0" xfId="30" applyFont="0" applyBorder="0" applyAlignment="1" applyProtection="1">
      <alignment horizontal="general" vertical="bottom" textRotation="0" indent="0"/>
      <protection locked="1" hidden="0"/>
    </xf>
    <xf numFmtId="164" fontId="6" fillId="2" borderId="0" xfId="29" applyFont="1" applyBorder="1" applyAlignment="1" applyProtection="1">
      <alignment horizontal="general" vertical="center" textRotation="0" indent="0"/>
      <protection locked="1" hidden="0"/>
    </xf>
    <xf numFmtId="164" fontId="7" fillId="3" borderId="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0" xfId="29" applyFont="1" applyBorder="1" applyAlignment="1" applyProtection="1">
      <alignment horizontal="general" vertical="center" textRotation="0" indent="0"/>
      <protection locked="1" hidden="0"/>
    </xf>
    <xf numFmtId="164" fontId="9" fillId="4" borderId="1" xfId="29" applyFont="1" applyBorder="1" applyAlignment="1" applyProtection="1">
      <alignment horizontal="center" vertical="center" textRotation="0" wrapText="1" indent="0"/>
      <protection locked="1" hidden="0"/>
    </xf>
    <xf numFmtId="168" fontId="10" fillId="0" borderId="0" xfId="29" applyFont="1" applyBorder="1" applyAlignment="1" applyProtection="1">
      <alignment horizontal="general" vertical="center" textRotation="0" indent="0"/>
      <protection locked="1" hidden="0"/>
    </xf>
    <xf numFmtId="164" fontId="11" fillId="5" borderId="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2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3" xfId="29" applyFont="1" applyBorder="1" applyAlignment="1" applyProtection="1">
      <alignment horizontal="general" vertical="center" textRotation="0" wrapText="1" indent="0"/>
      <protection locked="1" hidden="0"/>
    </xf>
    <xf numFmtId="169" fontId="8" fillId="0" borderId="3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4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5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6" xfId="29" applyFont="1" applyBorder="1" applyAlignment="1" applyProtection="1">
      <alignment horizontal="general" vertical="center" textRotation="0" wrapText="1" indent="0"/>
      <protection locked="1" hidden="0"/>
    </xf>
    <xf numFmtId="169" fontId="8" fillId="0" borderId="6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7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8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9" xfId="29" applyFont="1" applyBorder="1" applyAlignment="1" applyProtection="1">
      <alignment horizontal="general" vertical="center" textRotation="0" wrapText="1" indent="0"/>
      <protection locked="1" hidden="0"/>
    </xf>
    <xf numFmtId="169" fontId="8" fillId="0" borderId="9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10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0" xfId="29" applyFont="1" applyBorder="1" applyAlignment="1" applyProtection="1">
      <alignment horizontal="general" vertical="center" textRotation="0" wrapText="1" indent="0"/>
      <protection locked="1" hidden="0"/>
    </xf>
    <xf numFmtId="170" fontId="8" fillId="0" borderId="3" xfId="29" applyFont="1" applyBorder="1" applyAlignment="1" applyProtection="1">
      <alignment horizontal="general" vertical="center" textRotation="0" wrapText="1" indent="0"/>
      <protection locked="1" hidden="0"/>
    </xf>
    <xf numFmtId="170" fontId="8" fillId="0" borderId="6" xfId="29" applyFont="1" applyBorder="1" applyAlignment="1" applyProtection="1">
      <alignment horizontal="general" vertical="center" textRotation="0" wrapText="1" indent="0"/>
      <protection locked="1" hidden="0"/>
    </xf>
    <xf numFmtId="170" fontId="8" fillId="0" borderId="9" xfId="29" applyFont="1" applyBorder="1" applyAlignment="1" applyProtection="1">
      <alignment horizontal="general" vertical="center" textRotation="0" wrapText="1" indent="0"/>
      <protection locked="1" hidden="0"/>
    </xf>
    <xf numFmtId="164" fontId="8" fillId="0" borderId="2" xfId="29" applyFont="1" applyBorder="1" applyAlignment="1" applyProtection="1">
      <alignment horizontal="general" vertical="center" textRotation="0" indent="0"/>
      <protection locked="1" hidden="0"/>
    </xf>
    <xf numFmtId="169" fontId="8" fillId="0" borderId="3" xfId="29" applyFont="1" applyBorder="1" applyAlignment="1" applyProtection="1">
      <alignment horizontal="general" vertical="center" textRotation="0" indent="0"/>
      <protection locked="1" hidden="0"/>
    </xf>
    <xf numFmtId="169" fontId="8" fillId="0" borderId="4" xfId="29" applyFont="1" applyBorder="1" applyAlignment="1" applyProtection="1">
      <alignment horizontal="general" vertical="center" textRotation="0" indent="0"/>
      <protection locked="1" hidden="0"/>
    </xf>
    <xf numFmtId="164" fontId="8" fillId="0" borderId="5" xfId="29" applyFont="1" applyBorder="1" applyAlignment="1" applyProtection="1">
      <alignment horizontal="general" vertical="center" textRotation="0" indent="0"/>
      <protection locked="1" hidden="0"/>
    </xf>
    <xf numFmtId="169" fontId="8" fillId="0" borderId="6" xfId="29" applyFont="1" applyBorder="1" applyAlignment="1" applyProtection="1">
      <alignment horizontal="general" vertical="center" textRotation="0" indent="0"/>
      <protection locked="1" hidden="0"/>
    </xf>
    <xf numFmtId="169" fontId="8" fillId="0" borderId="7" xfId="29" applyFont="1" applyBorder="1" applyAlignment="1" applyProtection="1">
      <alignment horizontal="general" vertical="center" textRotation="0" indent="0"/>
      <protection locked="1" hidden="0"/>
    </xf>
    <xf numFmtId="170" fontId="8" fillId="0" borderId="6" xfId="29" applyFont="1" applyBorder="1" applyAlignment="1" applyProtection="1">
      <alignment horizontal="general" vertical="center" textRotation="0" indent="0"/>
      <protection locked="1" hidden="0"/>
    </xf>
    <xf numFmtId="170" fontId="8" fillId="0" borderId="7" xfId="29" applyFont="1" applyBorder="1" applyAlignment="1" applyProtection="1">
      <alignment horizontal="general" vertical="center" textRotation="0" indent="0"/>
      <protection locked="1" hidden="0"/>
    </xf>
    <xf numFmtId="164" fontId="8" fillId="0" borderId="6" xfId="29" applyFont="1" applyBorder="1" applyAlignment="1" applyProtection="1">
      <alignment horizontal="general" vertical="center" textRotation="0" indent="0"/>
      <protection locked="1" hidden="0"/>
    </xf>
    <xf numFmtId="164" fontId="8" fillId="0" borderId="7" xfId="29" applyFont="1" applyBorder="1" applyAlignment="1" applyProtection="1">
      <alignment horizontal="general" vertical="center" textRotation="0" indent="0"/>
      <protection locked="1" hidden="0"/>
    </xf>
    <xf numFmtId="164" fontId="8" fillId="0" borderId="8" xfId="29" applyFont="1" applyBorder="1" applyAlignment="1" applyProtection="1">
      <alignment horizontal="general" vertical="center" textRotation="0" indent="0"/>
      <protection locked="1" hidden="0"/>
    </xf>
    <xf numFmtId="169" fontId="8" fillId="0" borderId="9" xfId="29" applyFont="1" applyBorder="1" applyAlignment="1" applyProtection="1">
      <alignment horizontal="general" vertical="center" textRotation="0" indent="0"/>
      <protection locked="1" hidden="0"/>
    </xf>
    <xf numFmtId="169" fontId="8" fillId="0" borderId="10" xfId="29" applyFont="1" applyBorder="1" applyAlignment="1" applyProtection="1">
      <alignment horizontal="general" vertical="center" textRotation="0" indent="0"/>
      <protection locked="1" hidden="0"/>
    </xf>
    <xf numFmtId="171" fontId="13" fillId="6" borderId="1" xfId="29" applyFont="1" applyBorder="1" applyAlignment="1" applyProtection="1">
      <alignment horizontal="general" vertical="center" textRotation="0" indent="0"/>
      <protection locked="1" hidden="0"/>
    </xf>
    <xf numFmtId="170" fontId="13" fillId="6" borderId="3" xfId="29" applyFont="1" applyBorder="1" applyAlignment="1" applyProtection="1">
      <alignment horizontal="general" vertical="center" textRotation="0" indent="0"/>
      <protection locked="1" hidden="0"/>
    </xf>
    <xf numFmtId="170" fontId="8" fillId="0" borderId="4" xfId="29" applyFont="1" applyBorder="1" applyAlignment="1" applyProtection="1">
      <alignment horizontal="general" vertical="center" textRotation="0" indent="0"/>
      <protection locked="1" hidden="0"/>
    </xf>
    <xf numFmtId="170" fontId="13" fillId="6" borderId="6" xfId="29" applyFont="1" applyBorder="1" applyAlignment="1" applyProtection="1">
      <alignment horizontal="general" vertical="center" textRotation="0" indent="0"/>
      <protection locked="1" hidden="0"/>
    </xf>
    <xf numFmtId="172" fontId="13" fillId="6" borderId="6" xfId="29" applyFont="1" applyBorder="1" applyAlignment="1" applyProtection="1">
      <alignment horizontal="general" vertical="center" textRotation="0" indent="0"/>
      <protection locked="1" hidden="0"/>
    </xf>
    <xf numFmtId="172" fontId="8" fillId="0" borderId="7" xfId="29" applyFont="1" applyBorder="1" applyAlignment="1" applyProtection="1">
      <alignment horizontal="general" vertical="center" textRotation="0" indent="0"/>
      <protection locked="1" hidden="0"/>
    </xf>
    <xf numFmtId="170" fontId="13" fillId="6" borderId="9" xfId="29" applyFont="1" applyBorder="1" applyAlignment="1" applyProtection="1">
      <alignment horizontal="general" vertical="center" textRotation="0" indent="0"/>
      <protection locked="1" hidden="0"/>
    </xf>
    <xf numFmtId="170" fontId="8" fillId="0" borderId="10" xfId="29" applyFont="1" applyBorder="1" applyAlignment="1" applyProtection="1">
      <alignment horizontal="general" vertical="center" textRotation="0" indent="0"/>
      <protection locked="1" hidden="0"/>
    </xf>
    <xf numFmtId="169" fontId="10" fillId="0" borderId="3" xfId="29" applyFont="1" applyBorder="1" applyAlignment="1" applyProtection="1">
      <alignment horizontal="general" vertical="center" textRotation="0" indent="0"/>
      <protection locked="1" hidden="0"/>
    </xf>
    <xf numFmtId="164" fontId="8" fillId="0" borderId="4" xfId="29" applyFont="1" applyBorder="1" applyAlignment="1" applyProtection="1">
      <alignment horizontal="general" vertical="center" textRotation="0" indent="0"/>
      <protection locked="1" hidden="0"/>
    </xf>
    <xf numFmtId="170" fontId="10" fillId="0" borderId="6" xfId="29" applyFont="1" applyBorder="1" applyAlignment="1" applyProtection="1">
      <alignment horizontal="general" vertical="center" textRotation="0" indent="0"/>
      <protection locked="1" hidden="0"/>
    </xf>
    <xf numFmtId="169" fontId="10" fillId="0" borderId="6" xfId="29" applyFont="1" applyBorder="1" applyAlignment="1" applyProtection="1">
      <alignment horizontal="general" vertical="center" textRotation="0" indent="0"/>
      <protection locked="1" hidden="0"/>
    </xf>
    <xf numFmtId="170" fontId="8" fillId="0" borderId="9" xfId="29" applyFont="1" applyBorder="1" applyAlignment="1" applyProtection="1">
      <alignment horizontal="general" vertical="center" textRotation="0" indent="0"/>
      <protection locked="1" hidden="0"/>
    </xf>
    <xf numFmtId="164" fontId="8" fillId="0" borderId="10" xfId="29" applyFont="1" applyBorder="1" applyAlignment="1" applyProtection="1">
      <alignment horizontal="general" vertical="center" textRotation="0" indent="0"/>
      <protection locked="1" hidden="0"/>
    </xf>
    <xf numFmtId="164" fontId="9" fillId="2" borderId="0" xfId="29" applyFont="1" applyBorder="1" applyAlignment="1" applyProtection="1">
      <alignment horizontal="general" vertical="center" textRotation="0" indent="0"/>
      <protection locked="1" hidden="0"/>
    </xf>
    <xf numFmtId="164" fontId="9" fillId="4" borderId="11" xfId="29" applyFont="1" applyBorder="1" applyAlignment="1" applyProtection="1">
      <alignment horizontal="center" vertical="center" textRotation="0" wrapText="1" indent="0"/>
      <protection locked="1" hidden="0"/>
    </xf>
    <xf numFmtId="164" fontId="9" fillId="4" borderId="12" xfId="29" applyFont="1" applyBorder="1" applyAlignment="1" applyProtection="1">
      <alignment horizontal="center" vertical="center" textRotation="0" wrapText="1" indent="0"/>
      <protection locked="1" hidden="0"/>
    </xf>
    <xf numFmtId="164" fontId="9" fillId="4" borderId="13" xfId="29" applyFont="1" applyBorder="1" applyAlignment="1" applyProtection="1">
      <alignment horizontal="center" vertical="center" textRotation="0" wrapText="1" indent="0"/>
      <protection locked="1" hidden="0"/>
    </xf>
    <xf numFmtId="164" fontId="8" fillId="0" borderId="14" xfId="29" applyFont="1" applyBorder="1" applyAlignment="1" applyProtection="1">
      <alignment horizontal="general" vertical="center" textRotation="0" indent="0"/>
      <protection locked="1" hidden="0"/>
    </xf>
    <xf numFmtId="169" fontId="8" fillId="0" borderId="15" xfId="29" applyFont="1" applyBorder="1" applyAlignment="1" applyProtection="1">
      <alignment horizontal="general" vertical="center" textRotation="0" indent="0"/>
      <protection locked="1" hidden="0"/>
    </xf>
    <xf numFmtId="164" fontId="8" fillId="0" borderId="16" xfId="29" applyFont="1" applyBorder="1" applyAlignment="1" applyProtection="1">
      <alignment horizontal="general" vertical="center" textRotation="0" indent="0"/>
      <protection locked="1" hidden="0"/>
    </xf>
    <xf numFmtId="169" fontId="8" fillId="0" borderId="17" xfId="29" applyFont="1" applyBorder="1" applyAlignment="1" applyProtection="1">
      <alignment horizontal="general" vertical="center" textRotation="0" indent="0"/>
      <protection locked="1" hidden="0"/>
    </xf>
    <xf numFmtId="169" fontId="8" fillId="0" borderId="18" xfId="29" applyFont="1" applyBorder="1" applyAlignment="1" applyProtection="1">
      <alignment horizontal="general" vertical="center" textRotation="0" indent="0"/>
      <protection locked="1" hidden="0"/>
    </xf>
    <xf numFmtId="169" fontId="8" fillId="0" borderId="0" xfId="29" applyFont="1" applyBorder="1" applyAlignment="1" applyProtection="1">
      <alignment horizontal="general" vertical="center" textRotation="0" indent="0"/>
      <protection locked="1" hidden="0"/>
    </xf>
    <xf numFmtId="169" fontId="9" fillId="4" borderId="12" xfId="29" applyFont="1" applyBorder="1" applyAlignment="1" applyProtection="1">
      <alignment horizontal="center" vertical="center" textRotation="0" wrapText="1" indent="0"/>
      <protection locked="1" hidden="0"/>
    </xf>
    <xf numFmtId="169" fontId="9" fillId="4" borderId="13" xfId="29" applyFont="1" applyBorder="1" applyAlignment="1" applyProtection="1">
      <alignment horizontal="center" vertical="center" textRotation="0" wrapText="1" indent="0"/>
      <protection locked="1" hidden="0"/>
    </xf>
    <xf numFmtId="172" fontId="8" fillId="0" borderId="6" xfId="29" applyFont="1" applyBorder="1" applyAlignment="1" applyProtection="1">
      <alignment horizontal="general" vertical="center" textRotation="0" indent="0"/>
      <protection locked="1" hidden="0"/>
    </xf>
    <xf numFmtId="170" fontId="8" fillId="0" borderId="15" xfId="29" applyFont="1" applyBorder="1" applyAlignment="1" applyProtection="1">
      <alignment horizontal="general" vertical="center" textRotation="0" indent="0"/>
      <protection locked="1" hidden="0"/>
    </xf>
    <xf numFmtId="173" fontId="8" fillId="0" borderId="17" xfId="29" applyFont="1" applyBorder="1" applyAlignment="1" applyProtection="1">
      <alignment horizontal="general" vertical="center" textRotation="0" indent="0"/>
      <protection locked="1" hidden="0"/>
    </xf>
    <xf numFmtId="164" fontId="8" fillId="0" borderId="18" xfId="29" applyFont="1" applyBorder="1" applyAlignment="1" applyProtection="1">
      <alignment horizontal="general" vertical="center" textRotation="0" indent="0"/>
      <protection locked="1" hidden="0"/>
    </xf>
    <xf numFmtId="170" fontId="9" fillId="4" borderId="1" xfId="29" applyFont="1" applyBorder="1" applyAlignment="1" applyProtection="1">
      <alignment horizontal="center" vertical="center" textRotation="0" wrapText="1" indent="0"/>
      <protection locked="1" hidden="0"/>
    </xf>
    <xf numFmtId="173" fontId="8" fillId="0" borderId="0" xfId="29" applyFont="1" applyBorder="1" applyAlignment="1" applyProtection="1">
      <alignment horizontal="general" vertical="center" textRotation="0" indent="0"/>
      <protection locked="1" hidden="0"/>
    </xf>
    <xf numFmtId="173" fontId="14" fillId="7" borderId="19" xfId="29" applyFont="1" applyBorder="1" applyAlignment="1" applyProtection="1">
      <alignment horizontal="general" vertical="center" textRotation="0" indent="0"/>
      <protection locked="1" hidden="0"/>
    </xf>
    <xf numFmtId="164" fontId="8" fillId="0" borderId="3" xfId="29" applyFont="1" applyBorder="1" applyAlignment="1" applyProtection="1">
      <alignment horizontal="general" vertical="center" textRotation="0" indent="0"/>
      <protection locked="1" hidden="0"/>
    </xf>
    <xf numFmtId="164" fontId="8" fillId="0" borderId="9" xfId="29" applyFont="1" applyBorder="1" applyAlignment="1" applyProtection="1">
      <alignment horizontal="general" vertical="center" textRotation="0" indent="0"/>
      <protection locked="1" hidden="0"/>
    </xf>
    <xf numFmtId="164" fontId="14" fillId="0" borderId="0" xfId="28" applyFont="1" applyBorder="1" applyAlignment="1" applyProtection="1">
      <alignment horizontal="general" vertical="center" textRotation="0" wrapText="1" indent="0"/>
      <protection locked="1" hidden="0"/>
    </xf>
    <xf numFmtId="164" fontId="8" fillId="0" borderId="0" xfId="28" applyFont="1" applyBorder="1" applyAlignment="1" applyProtection="1">
      <alignment horizontal="general" vertical="center" textRotation="0" wrapText="1" indent="0"/>
      <protection locked="1" hidden="0"/>
    </xf>
    <xf numFmtId="0" fontId="15" fillId="0" borderId="0" xfId="0" applyFont="1" applyFill="1" applyBorder="1" applyProtection="1">
      <protection locked="1" hidden="0"/>
    </xf>
    <xf numFmtId="174" fontId="16" fillId="0" borderId="0" xfId="0" applyNumberFormat="1" applyFont="1" applyFill="1" applyBorder="1" applyAlignment="1" applyProtection="1">
      <alignment vertical="top" textRotation="0" indent="0"/>
      <protection locked="1" hidden="0"/>
    </xf>
    <xf numFmtId="0" fontId="16" fillId="0" borderId="0" xfId="0" applyFont="1" applyFill="1" applyBorder="1" applyAlignment="1" applyProtection="1">
      <alignment vertical="top" textRotation="0" indent="0"/>
      <protection locked="1" hidden="0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1" xfId="29"/>
    <cellStyle name="Normal 5" xfId="30"/>
    <cellStyle name="Percent" xfId="31"/>
    <cellStyle name="Percent 6" xfId="32"/>
  </cellStyles>
  <dxfs count="15"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7365D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style="1" hidden="0" customWidth="1" outlineLevel="0" collapsed="0"/>
    <col min="2" max="2" width="62" style="1" hidden="0" customWidth="1" outlineLevel="0" collapsed="0"/>
    <col min="3" max="8" width="13" style="1" hidden="0" customWidth="1" outlineLevel="0" collapsed="0"/>
  </cols>
  <sheetData>
    <row r="1" ht="28" hidden="0" outlineLevel="0" collapsed="0">
      <c r="A1" s="2" t="s">
        <v>0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2</v>
      </c>
      <c r="B4" s="5" t="s">
        <v>3</v>
      </c>
      <c r="C4" s="4"/>
      <c r="D4" s="4"/>
      <c r="E4" s="4"/>
      <c r="F4" s="4"/>
      <c r="G4" s="4"/>
      <c r="H4" s="4"/>
    </row>
    <row r="5" ht="15" hidden="0" outlineLevel="0" collapsed="0">
      <c r="A5" s="4" t="s">
        <v>4</v>
      </c>
      <c r="B5" s="4" t="s">
        <v>5</v>
      </c>
      <c r="C5" s="4"/>
      <c r="D5" s="4"/>
      <c r="E5" s="4"/>
      <c r="F5" s="4"/>
      <c r="G5" s="4"/>
      <c r="H5" s="4"/>
    </row>
    <row r="6" ht="15" hidden="0" outlineLevel="0" collapsed="0">
      <c r="A6" s="4" t="s">
        <v>6</v>
      </c>
      <c r="B6" s="4" t="s">
        <v>7</v>
      </c>
      <c r="C6" s="4"/>
      <c r="D6" s="4"/>
      <c r="E6" s="4"/>
      <c r="F6" s="4"/>
      <c r="G6" s="4"/>
      <c r="H6" s="4"/>
    </row>
    <row r="7" ht="15" hidden="0" outlineLevel="0" collapsed="0">
      <c r="A7" s="4" t="s">
        <v>8</v>
      </c>
      <c r="B7" s="4" t="s">
        <v>9</v>
      </c>
      <c r="C7" s="4"/>
      <c r="D7" s="4"/>
      <c r="E7" s="4"/>
      <c r="F7" s="4"/>
      <c r="G7" s="4"/>
      <c r="H7" s="4"/>
    </row>
    <row r="8" ht="15" hidden="0" outlineLevel="0" collapsed="0">
      <c r="A8" s="4" t="s">
        <v>10</v>
      </c>
      <c r="B8" s="4" t="s">
        <v>11</v>
      </c>
      <c r="C8" s="4"/>
      <c r="D8" s="4"/>
      <c r="E8" s="4"/>
      <c r="F8" s="4"/>
      <c r="G8" s="4"/>
      <c r="H8" s="4"/>
    </row>
    <row r="9" ht="15" hidden="0" outlineLevel="0" collapsed="0">
      <c r="A9" s="4" t="s">
        <v>12</v>
      </c>
      <c r="B9" s="4" t="s">
        <v>13</v>
      </c>
      <c r="C9" s="4"/>
      <c r="D9" s="4"/>
      <c r="E9" s="4"/>
      <c r="F9" s="4"/>
      <c r="G9" s="4"/>
      <c r="H9" s="4"/>
    </row>
    <row r="10" ht="15" hidden="0" outlineLevel="0" collapsed="0">
      <c r="A10" s="4" t="s">
        <v>14</v>
      </c>
      <c r="B10" s="4" t="s">
        <v>15</v>
      </c>
      <c r="C10" s="4"/>
      <c r="D10" s="4"/>
      <c r="E10" s="4"/>
      <c r="F10" s="4"/>
      <c r="G10" s="4"/>
      <c r="H10" s="4"/>
    </row>
    <row r="11" ht="15" hidden="0" outlineLevel="0" collapsed="0">
      <c r="A11" s="4" t="s">
        <v>16</v>
      </c>
      <c r="B11" s="4" t="s">
        <v>17</v>
      </c>
      <c r="C11" s="4"/>
      <c r="D11" s="4"/>
      <c r="E11" s="4"/>
      <c r="F11" s="4"/>
      <c r="G11" s="4"/>
      <c r="H11" s="4"/>
    </row>
    <row r="12" ht="15" hidden="0" outlineLevel="0" collapsed="0">
      <c r="A12" s="4" t="s">
        <v>18</v>
      </c>
      <c r="B12" s="4" t="s">
        <v>19</v>
      </c>
      <c r="C12" s="4"/>
      <c r="D12" s="4"/>
      <c r="E12" s="4"/>
      <c r="F12" s="4"/>
      <c r="G12" s="4"/>
      <c r="H12" s="4"/>
    </row>
    <row r="13" ht="15" hidden="0" outlineLevel="0" collapsed="0">
      <c r="A13" s="4" t="s">
        <v>20</v>
      </c>
      <c r="B13" s="4" t="s">
        <v>21</v>
      </c>
      <c r="C13" s="4"/>
      <c r="D13" s="4"/>
      <c r="E13" s="4"/>
      <c r="F13" s="4"/>
      <c r="G13" s="4"/>
      <c r="H13" s="4"/>
    </row>
    <row r="14" ht="15" hidden="0" outlineLevel="0" collapsed="0">
      <c r="A14" s="4" t="s">
        <v>22</v>
      </c>
      <c r="B14" s="6" t="str">
        <f>Assumptions!E4</f>
        <v>Base</v>
      </c>
      <c r="C14" s="4"/>
      <c r="D14" s="4"/>
      <c r="E14" s="4"/>
      <c r="F14" s="4"/>
      <c r="G14" s="4"/>
      <c r="H14" s="4"/>
    </row>
    <row r="15" ht="15" hidden="0" outlineLevel="0" collapsed="0">
      <c r="A15" s="4" t="s">
        <v>23</v>
      </c>
      <c r="B15" s="6" t="str">
        <f>Checks!F16</f>
        <v>PASS</v>
      </c>
      <c r="C15" s="4"/>
      <c r="D15" s="4"/>
      <c r="E15" s="4"/>
      <c r="F15" s="4"/>
      <c r="G15" s="4"/>
      <c r="H15" s="4"/>
    </row>
    <row r="16" ht="15" hidden="0" outlineLevel="0" collapsed="0">
      <c r="A16" s="4" t="s">
        <v>24</v>
      </c>
      <c r="B16" s="4" t="s">
        <v>25</v>
      </c>
      <c r="C16" s="4"/>
      <c r="D16" s="4"/>
      <c r="E16" s="4"/>
      <c r="F16" s="4"/>
      <c r="G16" s="4"/>
      <c r="H16" s="4"/>
    </row>
    <row r="17" ht="15" hidden="0" outlineLevel="0" collapsed="0">
      <c r="A17" s="4" t="s">
        <v>26</v>
      </c>
      <c r="B17" s="4" t="s">
        <v>27</v>
      </c>
      <c r="C17" s="4"/>
      <c r="D17" s="4"/>
      <c r="E17" s="4"/>
      <c r="F17" s="4"/>
      <c r="G17" s="4"/>
      <c r="H17" s="4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38" hidden="0" outlineLevel="0" collapsed="0">
      <c r="A19" s="7" t="s">
        <v>28</v>
      </c>
      <c r="B19" s="7"/>
      <c r="C19" s="7"/>
      <c r="D19" s="7"/>
      <c r="E19" s="7"/>
      <c r="F19" s="7"/>
      <c r="G19" s="7"/>
      <c r="H19" s="7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3">
    <mergeCell ref="A1:H1"/>
    <mergeCell ref="A2:H2"/>
    <mergeCell ref="A19:H19"/>
  </mergeCells>
  <conditionalFormatting sqref="B15:B16">
    <cfRule type="containsText" priority="2" operator="containsText" text="PASS" dxfId="0">
      <formula>NOT(ISERROR(SEARCH("PASS",B15)))</formula>
    </cfRule>
    <cfRule type="containsText" priority="3" operator="containsText" text="FAIL" dxfId="1">
      <formula>NOT(ISERROR(SEARCH("FAIL",B15)))</formula>
    </cfRule>
    <cfRule type="containsText" priority="4" operator="containsText" text="PENDING" dxfId="2">
      <formula>NOT(ISERROR(SEARCH("PENDING",B15)))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P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4" style="1" hidden="0" customWidth="1" outlineLevel="0" collapsed="0"/>
    <col min="2" max="2" width="25" style="1" hidden="0" customWidth="1" outlineLevel="0" collapsed="0"/>
    <col min="3" max="3" width="34" style="1" hidden="0" customWidth="1" outlineLevel="0" collapsed="0"/>
    <col min="4" max="4" width="14" style="1" hidden="0" customWidth="1" outlineLevel="0" collapsed="0"/>
    <col min="5" max="5" width="12" style="1" hidden="0" customWidth="1" outlineLevel="0" collapsed="0"/>
    <col min="6" max="6" width="13" style="1" hidden="0" customWidth="1" outlineLevel="0" collapsed="0"/>
    <col min="7" max="7" width="25" style="1" hidden="0" customWidth="1" outlineLevel="0" collapsed="0"/>
    <col min="8" max="8" width="34" style="1" hidden="0" customWidth="1" outlineLevel="0" collapsed="0"/>
    <col min="9" max="9" width="10" style="1" hidden="0" customWidth="1" outlineLevel="0" collapsed="0"/>
    <col min="10" max="10" width="12" style="1" hidden="0" customWidth="1" outlineLevel="0" collapsed="0"/>
    <col min="11" max="11" width="24" style="1" hidden="0" customWidth="1" outlineLevel="0" collapsed="0"/>
    <col min="12" max="12" width="46" style="1" hidden="0" customWidth="1" outlineLevel="0" collapsed="0"/>
    <col min="13" max="13" width="26" style="1" hidden="0" customWidth="1" outlineLevel="0" collapsed="0"/>
    <col min="14" max="14" width="28" style="1" hidden="0" customWidth="1" outlineLevel="0" collapsed="0"/>
    <col min="15" max="15" width="16" style="1" hidden="0" customWidth="1" outlineLevel="0" collapsed="0"/>
    <col min="16" max="16" width="10" style="1" hidden="0" customWidth="1" outlineLevel="0" collapsed="0"/>
  </cols>
  <sheetData>
    <row r="1" ht="28" hidden="0" outlineLevel="0" collapsed="0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8" hidden="0" outlineLevel="0" collapsed="0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ht="15" hidden="0" outlineLevel="0" collapsed="0">
      <c r="A4" s="5" t="s">
        <v>31</v>
      </c>
      <c r="B4" s="5" t="s">
        <v>4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  <c r="P4" s="5" t="s">
        <v>45</v>
      </c>
    </row>
    <row r="5" ht="48" hidden="0" outlineLevel="0" collapsed="0">
      <c r="A5" s="8" t="s">
        <v>46</v>
      </c>
      <c r="B5" s="9" t="s">
        <v>5</v>
      </c>
      <c r="C5" s="9" t="s">
        <v>47</v>
      </c>
      <c r="D5" s="10">
        <v>25919.2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52</v>
      </c>
      <c r="J5" s="9" t="s">
        <v>53</v>
      </c>
      <c r="K5" s="9" t="s">
        <v>54</v>
      </c>
      <c r="L5" s="9" t="s">
        <v>55</v>
      </c>
      <c r="M5" s="9" t="s">
        <v>56</v>
      </c>
      <c r="N5" s="9" t="s">
        <v>57</v>
      </c>
      <c r="O5" s="9" t="s">
        <v>58</v>
      </c>
      <c r="P5" s="11" t="s">
        <v>59</v>
      </c>
    </row>
    <row r="6" ht="48" hidden="0" outlineLevel="0" collapsed="0">
      <c r="A6" s="12" t="s">
        <v>60</v>
      </c>
      <c r="B6" s="13" t="s">
        <v>5</v>
      </c>
      <c r="C6" s="13" t="s">
        <v>61</v>
      </c>
      <c r="D6" s="14">
        <v>-18047.9</v>
      </c>
      <c r="E6" s="13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3" t="s">
        <v>53</v>
      </c>
      <c r="K6" s="13" t="s">
        <v>54</v>
      </c>
      <c r="L6" s="13" t="s">
        <v>55</v>
      </c>
      <c r="M6" s="13" t="s">
        <v>62</v>
      </c>
      <c r="N6" s="13" t="s">
        <v>63</v>
      </c>
      <c r="O6" s="13" t="s">
        <v>58</v>
      </c>
      <c r="P6" s="15" t="s">
        <v>59</v>
      </c>
    </row>
    <row r="7" ht="48" hidden="0" outlineLevel="0" collapsed="0">
      <c r="A7" s="12" t="s">
        <v>64</v>
      </c>
      <c r="B7" s="13" t="s">
        <v>5</v>
      </c>
      <c r="C7" s="13" t="s">
        <v>65</v>
      </c>
      <c r="D7" s="14">
        <v>7871.3</v>
      </c>
      <c r="E7" s="13" t="s">
        <v>48</v>
      </c>
      <c r="F7" s="13" t="s">
        <v>49</v>
      </c>
      <c r="G7" s="13" t="s">
        <v>50</v>
      </c>
      <c r="H7" s="13" t="s">
        <v>51</v>
      </c>
      <c r="I7" s="13" t="s">
        <v>52</v>
      </c>
      <c r="J7" s="13" t="s">
        <v>53</v>
      </c>
      <c r="K7" s="13" t="s">
        <v>54</v>
      </c>
      <c r="L7" s="13" t="s">
        <v>55</v>
      </c>
      <c r="M7" s="13" t="s">
        <v>66</v>
      </c>
      <c r="N7" s="13" t="s">
        <v>57</v>
      </c>
      <c r="O7" s="13" t="s">
        <v>58</v>
      </c>
      <c r="P7" s="15" t="s">
        <v>59</v>
      </c>
    </row>
    <row r="8" ht="48" hidden="0" outlineLevel="0" collapsed="0">
      <c r="A8" s="12" t="s">
        <v>67</v>
      </c>
      <c r="B8" s="13" t="s">
        <v>5</v>
      </c>
      <c r="C8" s="13" t="s">
        <v>68</v>
      </c>
      <c r="D8" s="14">
        <v>1721.9</v>
      </c>
      <c r="E8" s="13" t="s">
        <v>48</v>
      </c>
      <c r="F8" s="13" t="s">
        <v>49</v>
      </c>
      <c r="G8" s="13" t="s">
        <v>69</v>
      </c>
      <c r="H8" s="13" t="s">
        <v>51</v>
      </c>
      <c r="I8" s="13" t="s">
        <v>52</v>
      </c>
      <c r="J8" s="13" t="s">
        <v>53</v>
      </c>
      <c r="K8" s="13" t="s">
        <v>54</v>
      </c>
      <c r="L8" s="13" t="s">
        <v>55</v>
      </c>
      <c r="M8" s="13" t="s">
        <v>70</v>
      </c>
      <c r="N8" s="13" t="s">
        <v>57</v>
      </c>
      <c r="O8" s="13" t="s">
        <v>58</v>
      </c>
      <c r="P8" s="15" t="s">
        <v>59</v>
      </c>
    </row>
    <row r="9" ht="48" hidden="0" outlineLevel="0" collapsed="0">
      <c r="A9" s="12" t="s">
        <v>71</v>
      </c>
      <c r="B9" s="13" t="s">
        <v>5</v>
      </c>
      <c r="C9" s="13" t="s">
        <v>72</v>
      </c>
      <c r="D9" s="14">
        <v>348936.7</v>
      </c>
      <c r="E9" s="13" t="s">
        <v>48</v>
      </c>
      <c r="F9" s="13" t="s">
        <v>73</v>
      </c>
      <c r="G9" s="13" t="s">
        <v>50</v>
      </c>
      <c r="H9" s="13" t="s">
        <v>74</v>
      </c>
      <c r="I9" s="13" t="s">
        <v>52</v>
      </c>
      <c r="J9" s="13" t="s">
        <v>53</v>
      </c>
      <c r="K9" s="13" t="s">
        <v>54</v>
      </c>
      <c r="L9" s="13" t="s">
        <v>55</v>
      </c>
      <c r="M9" s="13" t="s">
        <v>75</v>
      </c>
      <c r="N9" s="13" t="s">
        <v>57</v>
      </c>
      <c r="O9" s="13" t="s">
        <v>58</v>
      </c>
      <c r="P9" s="15" t="s">
        <v>59</v>
      </c>
    </row>
    <row r="10" ht="48" hidden="0" outlineLevel="0" collapsed="0">
      <c r="A10" s="12" t="s">
        <v>76</v>
      </c>
      <c r="B10" s="13" t="s">
        <v>5</v>
      </c>
      <c r="C10" s="13" t="s">
        <v>77</v>
      </c>
      <c r="D10" s="14">
        <v>192655.9</v>
      </c>
      <c r="E10" s="13" t="s">
        <v>48</v>
      </c>
      <c r="F10" s="13" t="s">
        <v>73</v>
      </c>
      <c r="G10" s="13" t="s">
        <v>78</v>
      </c>
      <c r="H10" s="13" t="s">
        <v>79</v>
      </c>
      <c r="I10" s="13" t="s">
        <v>52</v>
      </c>
      <c r="J10" s="13" t="s">
        <v>53</v>
      </c>
      <c r="K10" s="13" t="s">
        <v>54</v>
      </c>
      <c r="L10" s="13" t="s">
        <v>55</v>
      </c>
      <c r="M10" s="13" t="s">
        <v>80</v>
      </c>
      <c r="N10" s="13" t="s">
        <v>57</v>
      </c>
      <c r="O10" s="13" t="s">
        <v>58</v>
      </c>
      <c r="P10" s="15" t="s">
        <v>59</v>
      </c>
    </row>
    <row r="11" ht="48" hidden="0" outlineLevel="0" collapsed="0">
      <c r="A11" s="12" t="s">
        <v>81</v>
      </c>
      <c r="B11" s="13" t="s">
        <v>5</v>
      </c>
      <c r="C11" s="13" t="s">
        <v>82</v>
      </c>
      <c r="D11" s="14">
        <v>184226</v>
      </c>
      <c r="E11" s="13" t="s">
        <v>48</v>
      </c>
      <c r="F11" s="13" t="s">
        <v>73</v>
      </c>
      <c r="G11" s="13" t="s">
        <v>50</v>
      </c>
      <c r="H11" s="13" t="s">
        <v>74</v>
      </c>
      <c r="I11" s="13" t="s">
        <v>52</v>
      </c>
      <c r="J11" s="13" t="s">
        <v>53</v>
      </c>
      <c r="K11" s="13" t="s">
        <v>54</v>
      </c>
      <c r="L11" s="13" t="s">
        <v>55</v>
      </c>
      <c r="M11" s="13" t="s">
        <v>83</v>
      </c>
      <c r="N11" s="13" t="s">
        <v>57</v>
      </c>
      <c r="O11" s="13" t="s">
        <v>58</v>
      </c>
      <c r="P11" s="15" t="s">
        <v>59</v>
      </c>
    </row>
    <row r="12" ht="48" hidden="0" outlineLevel="0" collapsed="0">
      <c r="A12" s="12" t="s">
        <v>84</v>
      </c>
      <c r="B12" s="13" t="s">
        <v>5</v>
      </c>
      <c r="C12" s="13" t="s">
        <v>85</v>
      </c>
      <c r="D12" s="14">
        <v>207405.2</v>
      </c>
      <c r="E12" s="13" t="s">
        <v>48</v>
      </c>
      <c r="F12" s="13" t="s">
        <v>73</v>
      </c>
      <c r="G12" s="13" t="s">
        <v>50</v>
      </c>
      <c r="H12" s="13" t="s">
        <v>74</v>
      </c>
      <c r="I12" s="13" t="s">
        <v>52</v>
      </c>
      <c r="J12" s="13" t="s">
        <v>53</v>
      </c>
      <c r="K12" s="13" t="s">
        <v>54</v>
      </c>
      <c r="L12" s="13" t="s">
        <v>55</v>
      </c>
      <c r="M12" s="13" t="s">
        <v>86</v>
      </c>
      <c r="N12" s="13" t="s">
        <v>57</v>
      </c>
      <c r="O12" s="13" t="s">
        <v>58</v>
      </c>
      <c r="P12" s="15" t="s">
        <v>59</v>
      </c>
    </row>
    <row r="13" ht="48" hidden="0" outlineLevel="0" collapsed="0">
      <c r="A13" s="12" t="s">
        <v>87</v>
      </c>
      <c r="B13" s="13" t="s">
        <v>5</v>
      </c>
      <c r="C13" s="13" t="s">
        <v>88</v>
      </c>
      <c r="D13" s="14">
        <v>18445.9</v>
      </c>
      <c r="E13" s="13" t="s">
        <v>48</v>
      </c>
      <c r="F13" s="13" t="s">
        <v>73</v>
      </c>
      <c r="G13" s="13" t="s">
        <v>69</v>
      </c>
      <c r="H13" s="13" t="s">
        <v>74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89</v>
      </c>
      <c r="N13" s="13" t="s">
        <v>57</v>
      </c>
      <c r="O13" s="13" t="s">
        <v>58</v>
      </c>
      <c r="P13" s="15" t="s">
        <v>59</v>
      </c>
    </row>
    <row r="14" ht="48" hidden="0" outlineLevel="0" collapsed="0">
      <c r="A14" s="12" t="s">
        <v>90</v>
      </c>
      <c r="B14" s="13" t="s">
        <v>5</v>
      </c>
      <c r="C14" s="13" t="s">
        <v>91</v>
      </c>
      <c r="D14" s="14">
        <v>0.035</v>
      </c>
      <c r="E14" s="13" t="s">
        <v>92</v>
      </c>
      <c r="F14" s="13" t="s">
        <v>49</v>
      </c>
      <c r="G14" s="13" t="s">
        <v>93</v>
      </c>
      <c r="H14" s="13" t="s">
        <v>94</v>
      </c>
      <c r="I14" s="13" t="s">
        <v>52</v>
      </c>
      <c r="J14" s="13" t="s">
        <v>53</v>
      </c>
      <c r="K14" s="13" t="s">
        <v>54</v>
      </c>
      <c r="L14" s="13" t="s">
        <v>55</v>
      </c>
      <c r="M14" s="13" t="s">
        <v>95</v>
      </c>
      <c r="N14" s="13" t="s">
        <v>96</v>
      </c>
      <c r="O14" s="13" t="s">
        <v>58</v>
      </c>
      <c r="P14" s="15" t="s">
        <v>59</v>
      </c>
    </row>
    <row r="15" ht="48" hidden="0" outlineLevel="0" collapsed="0">
      <c r="A15" s="12" t="s">
        <v>97</v>
      </c>
      <c r="B15" s="13" t="s">
        <v>5</v>
      </c>
      <c r="C15" s="13" t="s">
        <v>98</v>
      </c>
      <c r="D15" s="14">
        <v>0.096</v>
      </c>
      <c r="E15" s="13" t="s">
        <v>92</v>
      </c>
      <c r="F15" s="13" t="s">
        <v>49</v>
      </c>
      <c r="G15" s="13" t="s">
        <v>69</v>
      </c>
      <c r="H15" s="13" t="s">
        <v>94</v>
      </c>
      <c r="I15" s="13" t="s">
        <v>52</v>
      </c>
      <c r="J15" s="13" t="s">
        <v>53</v>
      </c>
      <c r="K15" s="13" t="s">
        <v>54</v>
      </c>
      <c r="L15" s="13" t="s">
        <v>55</v>
      </c>
      <c r="M15" s="13" t="s">
        <v>99</v>
      </c>
      <c r="N15" s="13" t="s">
        <v>96</v>
      </c>
      <c r="O15" s="13" t="s">
        <v>58</v>
      </c>
      <c r="P15" s="15" t="s">
        <v>59</v>
      </c>
    </row>
    <row r="16" ht="48" hidden="0" outlineLevel="0" collapsed="0">
      <c r="A16" s="12" t="s">
        <v>100</v>
      </c>
      <c r="B16" s="13" t="s">
        <v>5</v>
      </c>
      <c r="C16" s="13" t="s">
        <v>101</v>
      </c>
      <c r="D16" s="14">
        <v>0.522</v>
      </c>
      <c r="E16" s="13" t="s">
        <v>92</v>
      </c>
      <c r="F16" s="13" t="s">
        <v>49</v>
      </c>
      <c r="G16" s="13" t="s">
        <v>50</v>
      </c>
      <c r="H16" s="13" t="s">
        <v>94</v>
      </c>
      <c r="I16" s="13" t="s">
        <v>52</v>
      </c>
      <c r="J16" s="13" t="s">
        <v>53</v>
      </c>
      <c r="K16" s="13" t="s">
        <v>54</v>
      </c>
      <c r="L16" s="13" t="s">
        <v>55</v>
      </c>
      <c r="M16" s="13" t="s">
        <v>102</v>
      </c>
      <c r="N16" s="13" t="s">
        <v>96</v>
      </c>
      <c r="O16" s="13" t="s">
        <v>58</v>
      </c>
      <c r="P16" s="15" t="s">
        <v>59</v>
      </c>
    </row>
    <row r="17" ht="48" hidden="0" outlineLevel="0" collapsed="0">
      <c r="A17" s="12" t="s">
        <v>103</v>
      </c>
      <c r="B17" s="13" t="s">
        <v>5</v>
      </c>
      <c r="C17" s="13" t="s">
        <v>104</v>
      </c>
      <c r="D17" s="14">
        <v>0.019</v>
      </c>
      <c r="E17" s="13" t="s">
        <v>92</v>
      </c>
      <c r="F17" s="13" t="s">
        <v>49</v>
      </c>
      <c r="G17" s="13" t="s">
        <v>105</v>
      </c>
      <c r="H17" s="13" t="s">
        <v>94</v>
      </c>
      <c r="I17" s="13" t="s">
        <v>52</v>
      </c>
      <c r="J17" s="13" t="s">
        <v>53</v>
      </c>
      <c r="K17" s="13" t="s">
        <v>54</v>
      </c>
      <c r="L17" s="13" t="s">
        <v>55</v>
      </c>
      <c r="M17" s="13" t="s">
        <v>106</v>
      </c>
      <c r="N17" s="13" t="s">
        <v>96</v>
      </c>
      <c r="O17" s="13" t="s">
        <v>58</v>
      </c>
      <c r="P17" s="15" t="s">
        <v>59</v>
      </c>
    </row>
    <row r="18" ht="48" hidden="0" outlineLevel="0" collapsed="0">
      <c r="A18" s="12" t="s">
        <v>107</v>
      </c>
      <c r="B18" s="13" t="s">
        <v>5</v>
      </c>
      <c r="C18" s="13" t="s">
        <v>108</v>
      </c>
      <c r="D18" s="14">
        <v>0.044</v>
      </c>
      <c r="E18" s="13" t="s">
        <v>92</v>
      </c>
      <c r="F18" s="13" t="s">
        <v>73</v>
      </c>
      <c r="G18" s="13" t="s">
        <v>105</v>
      </c>
      <c r="H18" s="13" t="s">
        <v>94</v>
      </c>
      <c r="I18" s="13" t="s">
        <v>52</v>
      </c>
      <c r="J18" s="13" t="s">
        <v>53</v>
      </c>
      <c r="K18" s="13" t="s">
        <v>54</v>
      </c>
      <c r="L18" s="13" t="s">
        <v>55</v>
      </c>
      <c r="M18" s="13" t="s">
        <v>109</v>
      </c>
      <c r="N18" s="13" t="s">
        <v>96</v>
      </c>
      <c r="O18" s="13" t="s">
        <v>58</v>
      </c>
      <c r="P18" s="15" t="s">
        <v>59</v>
      </c>
    </row>
    <row r="19" ht="48" hidden="0" outlineLevel="0" collapsed="0">
      <c r="A19" s="12" t="s">
        <v>110</v>
      </c>
      <c r="B19" s="13" t="s">
        <v>5</v>
      </c>
      <c r="C19" s="13" t="s">
        <v>111</v>
      </c>
      <c r="D19" s="14">
        <v>23743.4758</v>
      </c>
      <c r="E19" s="13" t="s">
        <v>112</v>
      </c>
      <c r="F19" s="13" t="s">
        <v>49</v>
      </c>
      <c r="G19" s="13" t="s">
        <v>113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114</v>
      </c>
      <c r="N19" s="13" t="s">
        <v>115</v>
      </c>
      <c r="O19" s="13" t="s">
        <v>58</v>
      </c>
      <c r="P19" s="15" t="s">
        <v>59</v>
      </c>
    </row>
    <row r="20" ht="48" hidden="0" outlineLevel="0" collapsed="0">
      <c r="A20" s="12" t="s">
        <v>116</v>
      </c>
      <c r="B20" s="13" t="s">
        <v>5</v>
      </c>
      <c r="C20" s="13" t="s">
        <v>117</v>
      </c>
      <c r="D20" s="14"/>
      <c r="E20" s="13" t="s">
        <v>48</v>
      </c>
      <c r="F20" s="13" t="s">
        <v>49</v>
      </c>
      <c r="G20" s="13" t="s">
        <v>118</v>
      </c>
      <c r="H20" s="13" t="s">
        <v>119</v>
      </c>
      <c r="I20" s="13" t="s">
        <v>52</v>
      </c>
      <c r="J20" s="13" t="s">
        <v>53</v>
      </c>
      <c r="K20" s="13" t="s">
        <v>54</v>
      </c>
      <c r="L20" s="13" t="s">
        <v>55</v>
      </c>
      <c r="M20" s="13" t="s">
        <v>120</v>
      </c>
      <c r="N20" s="13" t="s">
        <v>57</v>
      </c>
      <c r="O20" s="13" t="s">
        <v>58</v>
      </c>
      <c r="P20" s="15" t="s">
        <v>59</v>
      </c>
    </row>
    <row r="21" ht="48" hidden="0" outlineLevel="0" collapsed="0">
      <c r="A21" s="12" t="s">
        <v>121</v>
      </c>
      <c r="B21" s="13" t="s">
        <v>5</v>
      </c>
      <c r="C21" s="13" t="s">
        <v>122</v>
      </c>
      <c r="D21" s="14"/>
      <c r="E21" s="13" t="s">
        <v>92</v>
      </c>
      <c r="F21" s="13" t="s">
        <v>73</v>
      </c>
      <c r="G21" s="13" t="s">
        <v>123</v>
      </c>
      <c r="H21" s="13" t="s">
        <v>124</v>
      </c>
      <c r="I21" s="13" t="s">
        <v>52</v>
      </c>
      <c r="J21" s="13" t="s">
        <v>53</v>
      </c>
      <c r="K21" s="13" t="s">
        <v>54</v>
      </c>
      <c r="L21" s="13" t="s">
        <v>55</v>
      </c>
      <c r="M21" s="13" t="s">
        <v>125</v>
      </c>
      <c r="N21" s="13" t="s">
        <v>126</v>
      </c>
      <c r="O21" s="13" t="s">
        <v>58</v>
      </c>
      <c r="P21" s="15" t="s">
        <v>59</v>
      </c>
    </row>
    <row r="22" ht="48" hidden="0" outlineLevel="0" collapsed="0">
      <c r="A22" s="16" t="s">
        <v>127</v>
      </c>
      <c r="B22" s="17" t="s">
        <v>5</v>
      </c>
      <c r="C22" s="17" t="s">
        <v>128</v>
      </c>
      <c r="D22" s="18">
        <v>1719.7</v>
      </c>
      <c r="E22" s="17" t="s">
        <v>48</v>
      </c>
      <c r="F22" s="17" t="s">
        <v>129</v>
      </c>
      <c r="G22" s="17" t="s">
        <v>130</v>
      </c>
      <c r="H22" s="17" t="s">
        <v>131</v>
      </c>
      <c r="I22" s="17" t="s">
        <v>52</v>
      </c>
      <c r="J22" s="17" t="s">
        <v>53</v>
      </c>
      <c r="K22" s="17" t="s">
        <v>54</v>
      </c>
      <c r="L22" s="17" t="s">
        <v>55</v>
      </c>
      <c r="M22" s="17" t="s">
        <v>132</v>
      </c>
      <c r="N22" s="17" t="s">
        <v>133</v>
      </c>
      <c r="O22" s="17" t="s">
        <v>58</v>
      </c>
      <c r="P22" s="19" t="s">
        <v>59</v>
      </c>
    </row>
    <row r="23" ht="48" hidden="0" outlineLevel="0" collapsed="0">
      <c r="A23" s="20" t="s">
        <v>134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>
        <f>COUNTIF(P5:P22,"PASS")</f>
        <v>18</v>
      </c>
      <c r="P23" s="20" t="str">
        <f>IF(O23=18,"PASS","FAIL")</f>
        <v>PASS</v>
      </c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</sheetData>
  <mergeCells count="2">
    <mergeCell ref="A1:P1"/>
    <mergeCell ref="A2:P2"/>
  </mergeCells>
  <conditionalFormatting sqref="P5:P23">
    <cfRule type="containsText" priority="2" operator="containsText" text="PASS" dxfId="3">
      <formula>NOT(ISERROR(SEARCH("PASS",P5)))</formula>
    </cfRule>
    <cfRule type="containsText" priority="3" operator="containsText" text="FAIL" dxfId="4">
      <formula>NOT(ISERROR(SEARCH("FAIL",P5)))</formula>
    </cfRule>
    <cfRule type="containsText" priority="4" operator="containsText" text="PENDING" dxfId="5">
      <formula>NOT(ISERROR(SEARCH("PENDING",P5)))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2" width="36" style="1" hidden="0" customWidth="1" outlineLevel="0" collapsed="0"/>
    <col min="3" max="6" width="16" style="1" hidden="0" customWidth="1" outlineLevel="0" collapsed="0"/>
    <col min="7" max="8" width="34" style="1" hidden="0" customWidth="1" outlineLevel="0" collapsed="0"/>
  </cols>
  <sheetData>
    <row r="1" ht="28" hidden="0" outlineLevel="0" collapsed="0">
      <c r="A1" s="2" t="s">
        <v>135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136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23.85" hidden="0" outlineLevel="0" collapsed="0">
      <c r="A4" s="5" t="s">
        <v>4</v>
      </c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  <c r="G4" s="5" t="s">
        <v>37</v>
      </c>
      <c r="H4" s="5" t="s">
        <v>142</v>
      </c>
    </row>
    <row r="5" ht="48" hidden="0" outlineLevel="0" collapsed="0">
      <c r="A5" s="8" t="s">
        <v>143</v>
      </c>
      <c r="B5" s="9" t="s">
        <v>144</v>
      </c>
      <c r="C5" s="21">
        <v>0.6893</v>
      </c>
      <c r="D5" s="21">
        <v>0.6893</v>
      </c>
      <c r="E5" s="10">
        <v>156200</v>
      </c>
      <c r="F5" s="10">
        <v>1300</v>
      </c>
      <c r="G5" s="9" t="s">
        <v>145</v>
      </c>
      <c r="H5" s="11" t="s">
        <v>146</v>
      </c>
    </row>
    <row r="6" ht="48" hidden="0" outlineLevel="0" collapsed="0">
      <c r="A6" s="12" t="s">
        <v>147</v>
      </c>
      <c r="B6" s="13" t="s">
        <v>144</v>
      </c>
      <c r="C6" s="22">
        <v>0.7227</v>
      </c>
      <c r="D6" s="22">
        <v>0.7227</v>
      </c>
      <c r="E6" s="14">
        <v>88163.3</v>
      </c>
      <c r="F6" s="14">
        <v>574.8</v>
      </c>
      <c r="G6" s="13" t="s">
        <v>148</v>
      </c>
      <c r="H6" s="15" t="s">
        <v>149</v>
      </c>
    </row>
    <row r="7" ht="48" hidden="0" outlineLevel="0" collapsed="0">
      <c r="A7" s="12" t="s">
        <v>150</v>
      </c>
      <c r="B7" s="13" t="s">
        <v>144</v>
      </c>
      <c r="C7" s="22">
        <v>0.9374</v>
      </c>
      <c r="D7" s="22">
        <v>0.9387</v>
      </c>
      <c r="E7" s="14">
        <v>91590.5</v>
      </c>
      <c r="F7" s="14"/>
      <c r="G7" s="13" t="s">
        <v>148</v>
      </c>
      <c r="H7" s="15" t="s">
        <v>149</v>
      </c>
    </row>
    <row r="8" ht="48" hidden="0" outlineLevel="0" collapsed="0">
      <c r="A8" s="12" t="s">
        <v>151</v>
      </c>
      <c r="B8" s="13" t="s">
        <v>144</v>
      </c>
      <c r="C8" s="22">
        <v>0.8039</v>
      </c>
      <c r="D8" s="22">
        <v>0.7987</v>
      </c>
      <c r="E8" s="14">
        <v>21932.9</v>
      </c>
      <c r="F8" s="14"/>
      <c r="G8" s="13" t="s">
        <v>152</v>
      </c>
      <c r="H8" s="15" t="s">
        <v>149</v>
      </c>
    </row>
    <row r="9" ht="48" hidden="0" outlineLevel="0" collapsed="0">
      <c r="A9" s="12" t="s">
        <v>153</v>
      </c>
      <c r="B9" s="13" t="s">
        <v>154</v>
      </c>
      <c r="C9" s="22">
        <v>0.5573</v>
      </c>
      <c r="D9" s="22">
        <v>0.4053</v>
      </c>
      <c r="E9" s="14">
        <v>61507.9</v>
      </c>
      <c r="F9" s="14">
        <v>471.667</v>
      </c>
      <c r="G9" s="13" t="s">
        <v>155</v>
      </c>
      <c r="H9" s="15" t="s">
        <v>156</v>
      </c>
    </row>
    <row r="10" ht="48" hidden="0" outlineLevel="0" collapsed="0">
      <c r="A10" s="12" t="s">
        <v>157</v>
      </c>
      <c r="B10" s="13" t="s">
        <v>158</v>
      </c>
      <c r="C10" s="22">
        <v>1</v>
      </c>
      <c r="D10" s="22">
        <v>0.7576</v>
      </c>
      <c r="E10" s="14"/>
      <c r="F10" s="14"/>
      <c r="G10" s="13" t="s">
        <v>159</v>
      </c>
      <c r="H10" s="15" t="s">
        <v>160</v>
      </c>
    </row>
    <row r="11" ht="48" hidden="0" outlineLevel="0" collapsed="0">
      <c r="A11" s="12" t="s">
        <v>161</v>
      </c>
      <c r="B11" s="13" t="s">
        <v>162</v>
      </c>
      <c r="C11" s="22">
        <v>1</v>
      </c>
      <c r="D11" s="22">
        <v>0.9847</v>
      </c>
      <c r="E11" s="14"/>
      <c r="F11" s="14"/>
      <c r="G11" s="13" t="s">
        <v>159</v>
      </c>
      <c r="H11" s="15" t="s">
        <v>163</v>
      </c>
    </row>
    <row r="12" ht="48" hidden="0" outlineLevel="0" collapsed="0">
      <c r="A12" s="16" t="s">
        <v>164</v>
      </c>
      <c r="B12" s="17" t="s">
        <v>165</v>
      </c>
      <c r="C12" s="23">
        <v>1</v>
      </c>
      <c r="D12" s="23">
        <v>1</v>
      </c>
      <c r="E12" s="18"/>
      <c r="F12" s="18"/>
      <c r="G12" s="17" t="s">
        <v>159</v>
      </c>
      <c r="H12" s="19" t="s">
        <v>166</v>
      </c>
    </row>
    <row r="13" ht="15" hidden="0" outlineLevel="0" collapsed="0">
      <c r="A13" s="4"/>
      <c r="B13" s="4"/>
      <c r="C13" s="4"/>
      <c r="D13" s="4"/>
      <c r="E13" s="4"/>
      <c r="F13" s="4"/>
      <c r="G13" s="4"/>
      <c r="H13" s="4"/>
    </row>
    <row r="14" ht="15" hidden="0" outlineLevel="0" collapsed="0">
      <c r="A14" s="4"/>
      <c r="B14" s="4"/>
      <c r="C14" s="4"/>
      <c r="D14" s="4"/>
      <c r="E14" s="4"/>
      <c r="F14" s="4"/>
      <c r="G14" s="4"/>
      <c r="H14" s="4"/>
    </row>
    <row r="15" ht="15" hidden="0" outlineLevel="0" collapsed="0">
      <c r="A15" s="4"/>
      <c r="B15" s="4"/>
      <c r="C15" s="4"/>
      <c r="D15" s="4"/>
      <c r="E15" s="4"/>
      <c r="F15" s="4"/>
      <c r="G15" s="4"/>
      <c r="H15" s="4"/>
    </row>
    <row r="16" ht="15" hidden="0" outlineLevel="0" collapsed="0">
      <c r="A16" s="4"/>
      <c r="B16" s="4"/>
      <c r="C16" s="4"/>
      <c r="D16" s="4"/>
      <c r="E16" s="4"/>
      <c r="F16" s="4"/>
      <c r="G16" s="4"/>
      <c r="H16" s="4"/>
    </row>
    <row r="17" ht="15" hidden="0" outlineLevel="0" collapsed="0">
      <c r="A17" s="4"/>
      <c r="B17" s="4"/>
      <c r="C17" s="4"/>
      <c r="D17" s="4"/>
      <c r="E17" s="4"/>
      <c r="F17" s="4"/>
      <c r="G17" s="4"/>
      <c r="H17" s="4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40" style="1" hidden="0" customWidth="1" outlineLevel="0" collapsed="0"/>
    <col min="2" max="4" width="15" style="1" hidden="0" customWidth="1" outlineLevel="0" collapsed="0"/>
  </cols>
  <sheetData>
    <row r="1" ht="28" hidden="0" outlineLevel="0" collapsed="0">
      <c r="A1" s="2" t="s">
        <v>167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168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32</v>
      </c>
      <c r="B4" s="5" t="s">
        <v>169</v>
      </c>
      <c r="C4" s="5" t="s">
        <v>170</v>
      </c>
      <c r="D4" s="5" t="s">
        <v>171</v>
      </c>
      <c r="E4" s="4"/>
      <c r="F4" s="4"/>
      <c r="G4" s="4"/>
      <c r="H4" s="4"/>
    </row>
    <row r="5" ht="15" hidden="0" outlineLevel="0" collapsed="0">
      <c r="A5" s="24" t="s">
        <v>172</v>
      </c>
      <c r="B5" s="25">
        <v>27651.7</v>
      </c>
      <c r="C5" s="25">
        <v>26971.9</v>
      </c>
      <c r="D5" s="26">
        <v>25919.2</v>
      </c>
      <c r="E5" s="4"/>
      <c r="F5" s="4"/>
      <c r="G5" s="4"/>
      <c r="H5" s="4"/>
    </row>
    <row r="6" ht="15" hidden="0" outlineLevel="0" collapsed="0">
      <c r="A6" s="27" t="s">
        <v>173</v>
      </c>
      <c r="B6" s="28">
        <v>-21756.4</v>
      </c>
      <c r="C6" s="28">
        <v>-20044.5</v>
      </c>
      <c r="D6" s="29">
        <v>-18047.9</v>
      </c>
      <c r="E6" s="4"/>
      <c r="F6" s="4"/>
      <c r="G6" s="4"/>
      <c r="H6" s="4"/>
    </row>
    <row r="7" ht="15" hidden="0" outlineLevel="0" collapsed="0">
      <c r="A7" s="27" t="s">
        <v>65</v>
      </c>
      <c r="B7" s="28">
        <v>5895.3</v>
      </c>
      <c r="C7" s="28">
        <v>6927.4</v>
      </c>
      <c r="D7" s="29">
        <v>7871.3</v>
      </c>
      <c r="E7" s="4"/>
      <c r="F7" s="4"/>
      <c r="G7" s="4"/>
      <c r="H7" s="4"/>
    </row>
    <row r="8" ht="15" hidden="0" outlineLevel="0" collapsed="0">
      <c r="A8" s="27" t="s">
        <v>174</v>
      </c>
      <c r="B8" s="28">
        <v>-4029.5</v>
      </c>
      <c r="C8" s="28">
        <v>-4046.3</v>
      </c>
      <c r="D8" s="29">
        <v>-3538.9</v>
      </c>
      <c r="E8" s="4"/>
      <c r="F8" s="4"/>
      <c r="G8" s="4"/>
      <c r="H8" s="4"/>
    </row>
    <row r="9" ht="15" hidden="0" outlineLevel="0" collapsed="0">
      <c r="A9" s="27" t="s">
        <v>68</v>
      </c>
      <c r="B9" s="28">
        <v>739</v>
      </c>
      <c r="C9" s="28">
        <v>1015.1</v>
      </c>
      <c r="D9" s="29">
        <v>1721.9</v>
      </c>
      <c r="E9" s="4"/>
      <c r="F9" s="4"/>
      <c r="G9" s="4"/>
      <c r="H9" s="4"/>
    </row>
    <row r="10" ht="15" hidden="0" outlineLevel="0" collapsed="0">
      <c r="A10" s="27" t="s">
        <v>175</v>
      </c>
      <c r="B10" s="28">
        <v>2177.1</v>
      </c>
      <c r="C10" s="28">
        <v>2191.5</v>
      </c>
      <c r="D10" s="29">
        <v>3215.2</v>
      </c>
      <c r="E10" s="4"/>
      <c r="F10" s="4"/>
      <c r="G10" s="4"/>
      <c r="H10" s="4"/>
    </row>
    <row r="11" ht="15" hidden="0" outlineLevel="0" collapsed="0">
      <c r="A11" s="27"/>
      <c r="B11" s="28"/>
      <c r="C11" s="28"/>
      <c r="D11" s="29"/>
      <c r="E11" s="4"/>
      <c r="F11" s="4"/>
      <c r="G11" s="4"/>
      <c r="H11" s="4"/>
    </row>
    <row r="12" ht="15" hidden="0" outlineLevel="0" collapsed="0">
      <c r="A12" s="27" t="s">
        <v>72</v>
      </c>
      <c r="B12" s="28">
        <v>301181.6</v>
      </c>
      <c r="C12" s="28">
        <v>327859.4</v>
      </c>
      <c r="D12" s="29">
        <v>348936.7</v>
      </c>
      <c r="E12" s="4"/>
      <c r="F12" s="4"/>
      <c r="G12" s="4"/>
      <c r="H12" s="4"/>
    </row>
    <row r="13" ht="15" hidden="0" outlineLevel="0" collapsed="0">
      <c r="A13" s="27" t="s">
        <v>77</v>
      </c>
      <c r="B13" s="28"/>
      <c r="C13" s="28"/>
      <c r="D13" s="29">
        <v>192655.9</v>
      </c>
      <c r="E13" s="4"/>
      <c r="F13" s="4"/>
      <c r="G13" s="4"/>
      <c r="H13" s="4"/>
    </row>
    <row r="14" ht="15" hidden="0" outlineLevel="0" collapsed="0">
      <c r="A14" s="27" t="s">
        <v>82</v>
      </c>
      <c r="B14" s="28"/>
      <c r="C14" s="28">
        <v>190129.5</v>
      </c>
      <c r="D14" s="29">
        <v>184226</v>
      </c>
      <c r="E14" s="4"/>
      <c r="F14" s="4"/>
      <c r="G14" s="4"/>
      <c r="H14" s="4"/>
    </row>
    <row r="15" ht="15" hidden="0" outlineLevel="0" collapsed="0">
      <c r="A15" s="27" t="s">
        <v>85</v>
      </c>
      <c r="B15" s="28">
        <v>181987.4</v>
      </c>
      <c r="C15" s="28">
        <v>200872.2</v>
      </c>
      <c r="D15" s="29">
        <v>207405.2</v>
      </c>
      <c r="E15" s="4"/>
      <c r="F15" s="4"/>
      <c r="G15" s="4"/>
      <c r="H15" s="4"/>
    </row>
    <row r="16" ht="15" hidden="0" outlineLevel="0" collapsed="0">
      <c r="A16" s="27" t="s">
        <v>88</v>
      </c>
      <c r="B16" s="28">
        <v>16782.7</v>
      </c>
      <c r="C16" s="28">
        <v>17451.3</v>
      </c>
      <c r="D16" s="29">
        <v>18445.9</v>
      </c>
      <c r="E16" s="4"/>
      <c r="F16" s="4"/>
      <c r="G16" s="4"/>
      <c r="H16" s="4"/>
    </row>
    <row r="17" ht="15" hidden="0" outlineLevel="0" collapsed="0">
      <c r="A17" s="27" t="s">
        <v>176</v>
      </c>
      <c r="B17" s="28">
        <v>31520.4</v>
      </c>
      <c r="C17" s="28">
        <v>33162.9</v>
      </c>
      <c r="D17" s="29">
        <v>34742.8</v>
      </c>
      <c r="E17" s="4"/>
      <c r="F17" s="4"/>
      <c r="G17" s="4"/>
      <c r="H17" s="4"/>
    </row>
    <row r="18" ht="15" hidden="0" outlineLevel="0" collapsed="0">
      <c r="A18" s="27"/>
      <c r="B18" s="28"/>
      <c r="C18" s="28"/>
      <c r="D18" s="29"/>
      <c r="E18" s="4"/>
      <c r="F18" s="4"/>
      <c r="G18" s="4"/>
      <c r="H18" s="4"/>
    </row>
    <row r="19" ht="15" hidden="0" outlineLevel="0" collapsed="0">
      <c r="A19" s="27" t="s">
        <v>91</v>
      </c>
      <c r="B19" s="30">
        <v>0.029</v>
      </c>
      <c r="C19" s="30">
        <v>0.033</v>
      </c>
      <c r="D19" s="31">
        <v>0.035</v>
      </c>
      <c r="E19" s="4"/>
      <c r="F19" s="4"/>
      <c r="G19" s="4"/>
      <c r="H19" s="4"/>
    </row>
    <row r="20" ht="15" hidden="0" outlineLevel="0" collapsed="0">
      <c r="A20" s="27" t="s">
        <v>98</v>
      </c>
      <c r="B20" s="30">
        <v>0.045</v>
      </c>
      <c r="C20" s="30">
        <v>0.06</v>
      </c>
      <c r="D20" s="31">
        <v>0.096</v>
      </c>
      <c r="E20" s="4"/>
      <c r="F20" s="4"/>
      <c r="G20" s="4"/>
      <c r="H20" s="4"/>
    </row>
    <row r="21" ht="15" hidden="0" outlineLevel="0" collapsed="0">
      <c r="A21" s="27" t="s">
        <v>101</v>
      </c>
      <c r="B21" s="30">
        <v>0.514</v>
      </c>
      <c r="C21" s="30">
        <v>0.532</v>
      </c>
      <c r="D21" s="31">
        <v>0.522</v>
      </c>
      <c r="E21" s="4"/>
      <c r="F21" s="4"/>
      <c r="G21" s="4"/>
      <c r="H21" s="4"/>
    </row>
    <row r="22" ht="15" hidden="0" outlineLevel="0" collapsed="0">
      <c r="A22" s="27" t="s">
        <v>104</v>
      </c>
      <c r="B22" s="30">
        <v>0.024</v>
      </c>
      <c r="C22" s="30">
        <v>0.023</v>
      </c>
      <c r="D22" s="31">
        <v>0.019</v>
      </c>
      <c r="E22" s="4"/>
      <c r="F22" s="4"/>
      <c r="G22" s="4"/>
      <c r="H22" s="4"/>
    </row>
    <row r="23" ht="15" hidden="0" outlineLevel="0" collapsed="0">
      <c r="A23" s="27" t="s">
        <v>108</v>
      </c>
      <c r="B23" s="30">
        <v>0.056</v>
      </c>
      <c r="C23" s="30">
        <v>0.054</v>
      </c>
      <c r="D23" s="31">
        <v>0.044</v>
      </c>
      <c r="E23" s="4"/>
      <c r="F23" s="4"/>
      <c r="G23" s="4"/>
      <c r="H23" s="4"/>
    </row>
    <row r="24" ht="15" hidden="0" outlineLevel="0" collapsed="0">
      <c r="A24" s="27" t="s">
        <v>177</v>
      </c>
      <c r="B24" s="32">
        <v>0.057</v>
      </c>
      <c r="C24" s="32">
        <v>0.053</v>
      </c>
      <c r="D24" s="33">
        <v>0.044</v>
      </c>
      <c r="E24" s="4"/>
      <c r="F24" s="4"/>
      <c r="G24" s="4"/>
      <c r="H24" s="4"/>
    </row>
    <row r="25" ht="15" hidden="0" outlineLevel="0" collapsed="0">
      <c r="A25" s="27"/>
      <c r="B25" s="32"/>
      <c r="C25" s="32"/>
      <c r="D25" s="33"/>
      <c r="E25" s="4"/>
      <c r="F25" s="4"/>
      <c r="G25" s="4"/>
      <c r="H25" s="4"/>
    </row>
    <row r="26" ht="15" hidden="0" outlineLevel="0" collapsed="0">
      <c r="A26" s="34" t="s">
        <v>178</v>
      </c>
      <c r="B26" s="35">
        <v>23743.4758</v>
      </c>
      <c r="C26" s="35">
        <v>23743.4758</v>
      </c>
      <c r="D26" s="36">
        <v>23743.4758</v>
      </c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5" width="14" style="1" hidden="0" customWidth="1" outlineLevel="0" collapsed="0"/>
  </cols>
  <sheetData>
    <row r="1" ht="28" hidden="0" outlineLevel="0" collapsed="0">
      <c r="A1" s="2" t="s">
        <v>179</v>
      </c>
      <c r="B1" s="2"/>
      <c r="C1" s="2"/>
      <c r="D1" s="2"/>
      <c r="E1" s="2"/>
      <c r="F1" s="2"/>
      <c r="G1" s="2"/>
    </row>
    <row r="2" ht="28" hidden="0" outlineLevel="0" collapsed="0">
      <c r="A2" s="3" t="s">
        <v>180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4" t="s">
        <v>181</v>
      </c>
      <c r="B4" s="37">
        <v>1</v>
      </c>
      <c r="C4" s="4"/>
      <c r="D4" s="4"/>
      <c r="E4" s="4" t="str">
        <f>IF(B4=1,"Base",IF(B4=2,"Bull",IF(B4=3,"Bear","INVALID")))</f>
        <v>Base</v>
      </c>
      <c r="F4" s="4"/>
      <c r="G4" s="4"/>
    </row>
    <row r="5" ht="15" hidden="0" outlineLevel="0" collapsed="0">
      <c r="A5" s="4"/>
      <c r="B5" s="4"/>
      <c r="C5" s="4"/>
      <c r="D5" s="4"/>
      <c r="E5" s="4"/>
      <c r="F5" s="4"/>
      <c r="G5" s="4"/>
    </row>
    <row r="6" ht="15" hidden="0" outlineLevel="0" collapsed="0">
      <c r="A6" s="5" t="s">
        <v>182</v>
      </c>
      <c r="B6" s="5" t="s">
        <v>183</v>
      </c>
      <c r="C6" s="5" t="s">
        <v>184</v>
      </c>
      <c r="D6" s="5" t="s">
        <v>185</v>
      </c>
      <c r="E6" s="5" t="s">
        <v>186</v>
      </c>
      <c r="F6" s="4"/>
      <c r="G6" s="4"/>
    </row>
    <row r="7" ht="15" hidden="0" outlineLevel="0" collapsed="0">
      <c r="A7" s="24" t="s">
        <v>187</v>
      </c>
      <c r="B7" s="38">
        <v>0.04</v>
      </c>
      <c r="C7" s="38">
        <v>0.07</v>
      </c>
      <c r="D7" s="38">
        <v>-0.02</v>
      </c>
      <c r="E7" s="39">
        <f>IF($B$4=1,B7,IF($B$4=2,C7,D7))</f>
        <v>0.04</v>
      </c>
      <c r="F7" s="4"/>
      <c r="G7" s="4"/>
    </row>
    <row r="8" ht="15" hidden="0" outlineLevel="0" collapsed="0">
      <c r="A8" s="27" t="s">
        <v>91</v>
      </c>
      <c r="B8" s="40">
        <v>0.036</v>
      </c>
      <c r="C8" s="40">
        <v>0.04</v>
      </c>
      <c r="D8" s="40">
        <v>0.03</v>
      </c>
      <c r="E8" s="31">
        <f>IF($B$4=1,B8,IF($B$4=2,C8,D8))</f>
        <v>0.036</v>
      </c>
      <c r="F8" s="4"/>
      <c r="G8" s="4"/>
    </row>
    <row r="9" ht="15" hidden="0" outlineLevel="0" collapsed="0">
      <c r="A9" s="27" t="s">
        <v>104</v>
      </c>
      <c r="B9" s="40">
        <v>0.019</v>
      </c>
      <c r="C9" s="40">
        <v>0.016</v>
      </c>
      <c r="D9" s="40">
        <v>0.03</v>
      </c>
      <c r="E9" s="31">
        <f>IF($B$4=1,B9,IF($B$4=2,C9,D9))</f>
        <v>0.019</v>
      </c>
      <c r="F9" s="4"/>
      <c r="G9" s="4"/>
    </row>
    <row r="10" ht="15" hidden="0" outlineLevel="0" collapsed="0">
      <c r="A10" s="27" t="s">
        <v>188</v>
      </c>
      <c r="B10" s="40">
        <v>0.04</v>
      </c>
      <c r="C10" s="40">
        <v>0.07</v>
      </c>
      <c r="D10" s="40">
        <v>-0.03</v>
      </c>
      <c r="E10" s="31">
        <f>IF($B$4=1,B10,IF($B$4=2,C10,D10))</f>
        <v>0.04</v>
      </c>
      <c r="F10" s="4"/>
      <c r="G10" s="4"/>
    </row>
    <row r="11" ht="15" hidden="0" outlineLevel="0" collapsed="0">
      <c r="A11" s="27" t="s">
        <v>101</v>
      </c>
      <c r="B11" s="40">
        <v>0.51</v>
      </c>
      <c r="C11" s="40">
        <v>0.48</v>
      </c>
      <c r="D11" s="40">
        <v>0.56</v>
      </c>
      <c r="E11" s="31">
        <f>IF($B$4=1,B11,IF($B$4=2,C11,D11))</f>
        <v>0.51</v>
      </c>
      <c r="F11" s="4"/>
      <c r="G11" s="4"/>
    </row>
    <row r="12" ht="15" hidden="0" outlineLevel="0" collapsed="0">
      <c r="A12" s="27" t="s">
        <v>189</v>
      </c>
      <c r="B12" s="40">
        <v>0.31</v>
      </c>
      <c r="C12" s="40">
        <v>0.29</v>
      </c>
      <c r="D12" s="40">
        <v>0.34</v>
      </c>
      <c r="E12" s="31">
        <f>IF($B$4=1,B12,IF($B$4=2,C12,D12))</f>
        <v>0.31</v>
      </c>
      <c r="F12" s="4"/>
      <c r="G12" s="4"/>
    </row>
    <row r="13" ht="15" hidden="0" outlineLevel="0" collapsed="0">
      <c r="A13" s="27" t="s">
        <v>190</v>
      </c>
      <c r="B13" s="40">
        <v>0.5355</v>
      </c>
      <c r="C13" s="40">
        <v>0.56</v>
      </c>
      <c r="D13" s="40">
        <v>0.5</v>
      </c>
      <c r="E13" s="31">
        <f>IF($B$4=1,B13,IF($B$4=2,C13,D13))</f>
        <v>0.5355</v>
      </c>
      <c r="F13" s="4"/>
      <c r="G13" s="4"/>
    </row>
    <row r="14" ht="15" hidden="0" outlineLevel="0" collapsed="0">
      <c r="A14" s="27" t="s">
        <v>191</v>
      </c>
      <c r="B14" s="40">
        <v>0.45</v>
      </c>
      <c r="C14" s="40">
        <v>0.35</v>
      </c>
      <c r="D14" s="40">
        <v>0.6</v>
      </c>
      <c r="E14" s="31">
        <f>IF($B$4=1,B14,IF($B$4=2,C14,D14))</f>
        <v>0.45</v>
      </c>
      <c r="F14" s="4"/>
      <c r="G14" s="4"/>
    </row>
    <row r="15" ht="15" hidden="0" outlineLevel="0" collapsed="0">
      <c r="A15" s="27" t="s">
        <v>192</v>
      </c>
      <c r="B15" s="40">
        <v>0.14</v>
      </c>
      <c r="C15" s="40">
        <v>0.125</v>
      </c>
      <c r="D15" s="40">
        <v>0.16</v>
      </c>
      <c r="E15" s="31">
        <f>IF($B$4=1,B15,IF($B$4=2,C15,D15))</f>
        <v>0.14</v>
      </c>
      <c r="F15" s="4"/>
      <c r="G15" s="4"/>
    </row>
    <row r="16" ht="15" hidden="0" outlineLevel="0" collapsed="0">
      <c r="A16" s="27" t="s">
        <v>193</v>
      </c>
      <c r="B16" s="40">
        <v>0.04</v>
      </c>
      <c r="C16" s="40">
        <v>0.05</v>
      </c>
      <c r="D16" s="40">
        <v>0.02</v>
      </c>
      <c r="E16" s="31">
        <f>IF($B$4=1,B16,IF($B$4=2,C16,D16))</f>
        <v>0.04</v>
      </c>
      <c r="F16" s="4"/>
      <c r="G16" s="4"/>
    </row>
    <row r="17" ht="15" hidden="0" outlineLevel="0" collapsed="0">
      <c r="A17" s="27" t="s">
        <v>194</v>
      </c>
      <c r="B17" s="41">
        <v>8</v>
      </c>
      <c r="C17" s="41">
        <v>10</v>
      </c>
      <c r="D17" s="41">
        <v>6</v>
      </c>
      <c r="E17" s="42">
        <f>IF($B$4=1,B17,IF($B$4=2,C17,D17))</f>
        <v>8</v>
      </c>
      <c r="F17" s="4"/>
      <c r="G17" s="4"/>
    </row>
    <row r="18" ht="15" hidden="0" outlineLevel="0" collapsed="0">
      <c r="A18" s="27" t="s">
        <v>195</v>
      </c>
      <c r="B18" s="41">
        <v>9</v>
      </c>
      <c r="C18" s="41">
        <v>11</v>
      </c>
      <c r="D18" s="41">
        <v>6</v>
      </c>
      <c r="E18" s="42">
        <f>IF($B$4=1,B18,IF($B$4=2,C18,D18))</f>
        <v>9</v>
      </c>
      <c r="F18" s="4"/>
      <c r="G18" s="4"/>
    </row>
    <row r="19" ht="15" hidden="0" outlineLevel="0" collapsed="0">
      <c r="A19" s="27" t="s">
        <v>196</v>
      </c>
      <c r="B19" s="41">
        <v>12</v>
      </c>
      <c r="C19" s="41">
        <v>14</v>
      </c>
      <c r="D19" s="41">
        <v>9</v>
      </c>
      <c r="E19" s="42">
        <f>IF($B$4=1,B19,IF($B$4=2,C19,D19))</f>
        <v>12</v>
      </c>
      <c r="F19" s="4"/>
      <c r="G19" s="4"/>
    </row>
    <row r="20" ht="15" hidden="0" outlineLevel="0" collapsed="0">
      <c r="A20" s="27" t="s">
        <v>197</v>
      </c>
      <c r="B20" s="41">
        <v>5</v>
      </c>
      <c r="C20" s="41">
        <v>6</v>
      </c>
      <c r="D20" s="41">
        <v>3</v>
      </c>
      <c r="E20" s="42">
        <f>IF($B$4=1,B20,IF($B$4=2,C20,D20))</f>
        <v>5</v>
      </c>
      <c r="F20" s="4"/>
      <c r="G20" s="4"/>
    </row>
    <row r="21" ht="15" hidden="0" outlineLevel="0" collapsed="0">
      <c r="A21" s="27" t="s">
        <v>198</v>
      </c>
      <c r="B21" s="40">
        <v>0.4</v>
      </c>
      <c r="C21" s="40">
        <v>0.4</v>
      </c>
      <c r="D21" s="40">
        <v>0.45</v>
      </c>
      <c r="E21" s="31">
        <f>IF($B$4=1,B21,IF($B$4=2,C21,D21))</f>
        <v>0.4</v>
      </c>
      <c r="F21" s="4"/>
      <c r="G21" s="4"/>
    </row>
    <row r="22" ht="15" hidden="0" outlineLevel="0" collapsed="0">
      <c r="A22" s="27" t="s">
        <v>199</v>
      </c>
      <c r="B22" s="40">
        <v>0.3</v>
      </c>
      <c r="C22" s="40">
        <v>0.3</v>
      </c>
      <c r="D22" s="40">
        <v>0.35</v>
      </c>
      <c r="E22" s="31">
        <f>IF($B$4=1,B22,IF($B$4=2,C22,D22))</f>
        <v>0.3</v>
      </c>
      <c r="F22" s="4"/>
      <c r="G22" s="4"/>
    </row>
    <row r="23" ht="15" hidden="0" outlineLevel="0" collapsed="0">
      <c r="A23" s="34" t="s">
        <v>200</v>
      </c>
      <c r="B23" s="43">
        <v>0.3</v>
      </c>
      <c r="C23" s="43">
        <v>0.3</v>
      </c>
      <c r="D23" s="43">
        <v>0.2</v>
      </c>
      <c r="E23" s="44">
        <f>IF($B$4=1,B23,IF($B$4=2,C23,D23))</f>
        <v>0.3</v>
      </c>
      <c r="F23" s="4"/>
      <c r="G23" s="4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  <row r="26" ht="15" hidden="0" outlineLevel="0" collapsed="0">
      <c r="A26" s="4"/>
      <c r="B26" s="4"/>
      <c r="C26" s="4"/>
      <c r="D26" s="4"/>
      <c r="E26" s="4"/>
      <c r="F26" s="4"/>
      <c r="G26" s="4"/>
    </row>
    <row r="27" ht="15" hidden="0" outlineLevel="0" collapsed="0">
      <c r="A27" s="4"/>
      <c r="B27" s="4"/>
      <c r="C27" s="4"/>
      <c r="D27" s="4"/>
      <c r="E27" s="4"/>
      <c r="F27" s="4"/>
      <c r="G27" s="4"/>
    </row>
    <row r="28" ht="15" hidden="0" outlineLevel="0" collapsed="0">
      <c r="A28" s="4"/>
      <c r="B28" s="4"/>
      <c r="C28" s="4"/>
      <c r="D28" s="4"/>
      <c r="E28" s="4"/>
      <c r="F28" s="4"/>
      <c r="G28" s="4"/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  <row r="31" ht="15" hidden="0" outlineLevel="0" collapsed="0">
      <c r="A31" s="4"/>
      <c r="B31" s="4"/>
      <c r="C31" s="4"/>
      <c r="D31" s="4"/>
      <c r="E31" s="4"/>
      <c r="F31" s="4"/>
      <c r="G31" s="4"/>
    </row>
    <row r="32" ht="15" hidden="0" outlineLevel="0" collapsed="0">
      <c r="A32" s="4"/>
      <c r="B32" s="4"/>
      <c r="C32" s="4"/>
      <c r="D32" s="4"/>
      <c r="E32" s="4"/>
      <c r="F32" s="4"/>
      <c r="G32" s="4"/>
    </row>
    <row r="33" ht="15" hidden="0" outlineLevel="0" collapsed="0">
      <c r="A33" s="4"/>
      <c r="B33" s="4"/>
      <c r="C33" s="4"/>
      <c r="D33" s="4"/>
      <c r="E33" s="4"/>
      <c r="F33" s="4"/>
      <c r="G33" s="4"/>
    </row>
    <row r="34" ht="15" hidden="0" outlineLevel="0" collapsed="0">
      <c r="A34" s="4"/>
      <c r="B34" s="4"/>
      <c r="C34" s="4"/>
      <c r="D34" s="4"/>
      <c r="E34" s="4"/>
      <c r="F34" s="4"/>
      <c r="G34" s="4"/>
    </row>
    <row r="35" ht="15" hidden="0" outlineLevel="0" collapsed="0">
      <c r="A35" s="4"/>
      <c r="B35" s="4"/>
      <c r="C35" s="4"/>
      <c r="D35" s="4"/>
      <c r="E35" s="4"/>
      <c r="F35" s="4"/>
      <c r="G35" s="4"/>
    </row>
    <row r="36" ht="15" hidden="0" outlineLevel="0" collapsed="0">
      <c r="A36" s="4"/>
      <c r="B36" s="4"/>
      <c r="C36" s="4"/>
      <c r="D36" s="4"/>
      <c r="E36" s="4"/>
      <c r="F36" s="4"/>
      <c r="G36" s="4"/>
    </row>
    <row r="37" ht="15" hidden="0" outlineLevel="0" collapsed="0">
      <c r="A37" s="4"/>
      <c r="B37" s="4"/>
      <c r="C37" s="4"/>
      <c r="D37" s="4"/>
      <c r="E37" s="4"/>
      <c r="F37" s="4"/>
      <c r="G37" s="4"/>
    </row>
    <row r="38" ht="15" hidden="0" outlineLevel="0" collapsed="0">
      <c r="A38" s="4"/>
      <c r="B38" s="4"/>
      <c r="C38" s="4"/>
      <c r="D38" s="4"/>
      <c r="E38" s="4"/>
      <c r="F38" s="4"/>
      <c r="G38" s="4"/>
    </row>
    <row r="39" ht="15" hidden="0" outlineLevel="0" collapsed="0">
      <c r="A39" s="4"/>
      <c r="B39" s="4"/>
      <c r="C39" s="4"/>
      <c r="D39" s="4"/>
      <c r="E39" s="4"/>
      <c r="F39" s="4"/>
      <c r="G39" s="4"/>
    </row>
    <row r="40" ht="15" hidden="0" outlineLevel="0" collapsed="0">
      <c r="A40" s="4"/>
      <c r="B40" s="4"/>
      <c r="C40" s="4"/>
      <c r="D40" s="4"/>
      <c r="E40" s="4"/>
      <c r="F40" s="4"/>
      <c r="G40" s="4"/>
    </row>
    <row r="41" ht="15" hidden="0" outlineLevel="0" collapsed="0">
      <c r="A41" s="4"/>
      <c r="B41" s="4"/>
      <c r="C41" s="4"/>
      <c r="D41" s="4"/>
      <c r="E41" s="4"/>
      <c r="F41" s="4"/>
      <c r="G41" s="4"/>
    </row>
    <row r="42" ht="15" hidden="0" outlineLevel="0" collapsed="0">
      <c r="A42" s="4"/>
      <c r="B42" s="4"/>
      <c r="C42" s="4"/>
      <c r="D42" s="4"/>
      <c r="E42" s="4"/>
      <c r="F42" s="4"/>
      <c r="G42" s="4"/>
    </row>
    <row r="43" ht="15" hidden="0" outlineLevel="0" collapsed="0">
      <c r="A43" s="4"/>
      <c r="B43" s="4"/>
      <c r="C43" s="4"/>
      <c r="D43" s="4"/>
      <c r="E43" s="4"/>
      <c r="F43" s="4"/>
      <c r="G43" s="4"/>
    </row>
    <row r="44" ht="15" hidden="0" outlineLevel="0" collapsed="0">
      <c r="A44" s="4"/>
      <c r="B44" s="4"/>
      <c r="C44" s="4"/>
      <c r="D44" s="4"/>
      <c r="E44" s="4"/>
      <c r="F44" s="4"/>
      <c r="G44" s="4"/>
    </row>
    <row r="45" ht="15" hidden="0" outlineLevel="0" collapsed="0">
      <c r="A45" s="4"/>
      <c r="B45" s="4"/>
      <c r="C45" s="4"/>
      <c r="D45" s="4"/>
      <c r="E45" s="4"/>
      <c r="F45" s="4"/>
      <c r="G45" s="4"/>
    </row>
    <row r="46" ht="15" hidden="0" outlineLevel="0" collapsed="0">
      <c r="A46" s="4"/>
      <c r="B46" s="4"/>
      <c r="C46" s="4"/>
      <c r="D46" s="4"/>
      <c r="E46" s="4"/>
      <c r="F46" s="4"/>
      <c r="G46" s="4"/>
    </row>
    <row r="47" ht="15" hidden="0" outlineLevel="0" collapsed="0">
      <c r="A47" s="4"/>
      <c r="B47" s="4"/>
      <c r="C47" s="4"/>
      <c r="D47" s="4"/>
      <c r="E47" s="4"/>
      <c r="F47" s="4"/>
      <c r="G47" s="4"/>
    </row>
    <row r="48" ht="15" hidden="0" outlineLevel="0" collapsed="0">
      <c r="A48" s="4"/>
      <c r="B48" s="4"/>
      <c r="C48" s="4"/>
      <c r="D48" s="4"/>
      <c r="E48" s="4"/>
      <c r="F48" s="4"/>
      <c r="G48" s="4"/>
    </row>
    <row r="49" ht="15" hidden="0" outlineLevel="0" collapsed="0">
      <c r="A49" s="4"/>
      <c r="B49" s="4"/>
      <c r="C49" s="4"/>
      <c r="D49" s="4"/>
      <c r="E49" s="4"/>
      <c r="F49" s="4"/>
      <c r="G49" s="4"/>
    </row>
    <row r="50" ht="15" hidden="0" outlineLevel="0" collapsed="0">
      <c r="A50" s="4"/>
      <c r="B50" s="4"/>
      <c r="C50" s="4"/>
      <c r="D50" s="4"/>
      <c r="E50" s="4"/>
      <c r="F50" s="4"/>
      <c r="G50" s="4"/>
    </row>
    <row r="51" ht="15" hidden="0" outlineLevel="0" collapsed="0">
      <c r="A51" s="4"/>
      <c r="B51" s="4"/>
      <c r="C51" s="4"/>
      <c r="D51" s="4"/>
      <c r="E51" s="4"/>
      <c r="F51" s="4"/>
      <c r="G51" s="4"/>
    </row>
    <row r="52" ht="15" hidden="0" outlineLevel="0" collapsed="0">
      <c r="A52" s="4"/>
      <c r="B52" s="4"/>
      <c r="C52" s="4"/>
      <c r="D52" s="4"/>
      <c r="E52" s="4"/>
      <c r="F52" s="4"/>
      <c r="G52" s="4"/>
    </row>
    <row r="53" ht="15" hidden="0" outlineLevel="0" collapsed="0">
      <c r="A53" s="4"/>
      <c r="B53" s="4"/>
      <c r="C53" s="4"/>
      <c r="D53" s="4"/>
      <c r="E53" s="4"/>
      <c r="F53" s="4"/>
      <c r="G53" s="4"/>
    </row>
    <row r="54" ht="15" hidden="0" outlineLevel="0" collapsed="0">
      <c r="A54" s="4"/>
      <c r="B54" s="4"/>
      <c r="C54" s="4"/>
      <c r="D54" s="4"/>
      <c r="E54" s="4"/>
      <c r="F54" s="4"/>
      <c r="G54" s="4"/>
    </row>
    <row r="55" ht="15" hidden="0" outlineLevel="0" collapsed="0">
      <c r="A55" s="4"/>
      <c r="B55" s="4"/>
      <c r="C55" s="4"/>
      <c r="D55" s="4"/>
      <c r="E55" s="4"/>
      <c r="F55" s="4"/>
      <c r="G55" s="4"/>
    </row>
    <row r="56" ht="15" hidden="0" outlineLevel="0" collapsed="0">
      <c r="A56" s="4"/>
      <c r="B56" s="4"/>
      <c r="C56" s="4"/>
      <c r="D56" s="4"/>
      <c r="E56" s="4"/>
      <c r="F56" s="4"/>
      <c r="G56" s="4"/>
    </row>
    <row r="57" ht="15" hidden="0" outlineLevel="0" collapsed="0">
      <c r="A57" s="4"/>
      <c r="B57" s="4"/>
      <c r="C57" s="4"/>
      <c r="D57" s="4"/>
      <c r="E57" s="4"/>
      <c r="F57" s="4"/>
      <c r="G57" s="4"/>
    </row>
    <row r="58" ht="15" hidden="0" outlineLevel="0" collapsed="0">
      <c r="A58" s="4"/>
      <c r="B58" s="4"/>
      <c r="C58" s="4"/>
      <c r="D58" s="4"/>
      <c r="E58" s="4"/>
      <c r="F58" s="4"/>
      <c r="G58" s="4"/>
    </row>
    <row r="59" ht="15" hidden="0" outlineLevel="0" collapsed="0">
      <c r="A59" s="4"/>
      <c r="B59" s="4"/>
      <c r="C59" s="4"/>
      <c r="D59" s="4"/>
      <c r="E59" s="4"/>
      <c r="F59" s="4"/>
      <c r="G59" s="4"/>
    </row>
    <row r="60" ht="15" hidden="0" outlineLevel="0" collapsed="0">
      <c r="A60" s="4"/>
      <c r="B60" s="4"/>
      <c r="C60" s="4"/>
      <c r="D60" s="4"/>
      <c r="E60" s="4"/>
      <c r="F60" s="4"/>
      <c r="G60" s="4"/>
    </row>
    <row r="61" ht="15" hidden="0" outlineLevel="0" collapsed="0">
      <c r="A61" s="4"/>
      <c r="B61" s="4"/>
      <c r="C61" s="4"/>
      <c r="D61" s="4"/>
      <c r="E61" s="4"/>
      <c r="F61" s="4"/>
      <c r="G61" s="4"/>
    </row>
    <row r="62" ht="15" hidden="0" outlineLevel="0" collapsed="0">
      <c r="A62" s="4"/>
      <c r="B62" s="4"/>
      <c r="C62" s="4"/>
      <c r="D62" s="4"/>
      <c r="E62" s="4"/>
      <c r="F62" s="4"/>
      <c r="G62" s="4"/>
    </row>
    <row r="63" ht="15" hidden="0" outlineLevel="0" collapsed="0">
      <c r="A63" s="4"/>
      <c r="B63" s="4"/>
      <c r="C63" s="4"/>
      <c r="D63" s="4"/>
      <c r="E63" s="4"/>
      <c r="F63" s="4"/>
      <c r="G63" s="4"/>
    </row>
    <row r="64" ht="15" hidden="0" outlineLevel="0" collapsed="0">
      <c r="A64" s="4"/>
      <c r="B64" s="4"/>
      <c r="C64" s="4"/>
      <c r="D64" s="4"/>
      <c r="E64" s="4"/>
      <c r="F64" s="4"/>
      <c r="G64" s="4"/>
    </row>
    <row r="65" ht="15" hidden="0" outlineLevel="0" collapsed="0">
      <c r="A65" s="4"/>
      <c r="B65" s="4"/>
      <c r="C65" s="4"/>
      <c r="D65" s="4"/>
      <c r="E65" s="4"/>
      <c r="F65" s="4"/>
      <c r="G65" s="4"/>
    </row>
    <row r="66" ht="15" hidden="0" outlineLevel="0" collapsed="0">
      <c r="A66" s="4"/>
      <c r="B66" s="4"/>
      <c r="C66" s="4"/>
      <c r="D66" s="4"/>
      <c r="E66" s="4"/>
      <c r="F66" s="4"/>
      <c r="G66" s="4"/>
    </row>
    <row r="67" ht="15" hidden="0" outlineLevel="0" collapsed="0">
      <c r="A67" s="4"/>
      <c r="B67" s="4"/>
      <c r="C67" s="4"/>
      <c r="D67" s="4"/>
      <c r="E67" s="4"/>
      <c r="F67" s="4"/>
      <c r="G67" s="4"/>
    </row>
    <row r="68" ht="15" hidden="0" outlineLevel="0" collapsed="0">
      <c r="A68" s="4"/>
      <c r="B68" s="4"/>
      <c r="C68" s="4"/>
      <c r="D68" s="4"/>
      <c r="E68" s="4"/>
      <c r="F68" s="4"/>
      <c r="G68" s="4"/>
    </row>
    <row r="69" ht="15" hidden="0" outlineLevel="0" collapsed="0">
      <c r="A69" s="4"/>
      <c r="B69" s="4"/>
      <c r="C69" s="4"/>
      <c r="D69" s="4"/>
      <c r="E69" s="4"/>
      <c r="F69" s="4"/>
      <c r="G69" s="4"/>
    </row>
    <row r="70" ht="15" hidden="0" outlineLevel="0" collapsed="0">
      <c r="A70" s="4"/>
      <c r="B70" s="4"/>
      <c r="C70" s="4"/>
      <c r="D70" s="4"/>
      <c r="E70" s="4"/>
      <c r="F70" s="4"/>
      <c r="G70" s="4"/>
    </row>
    <row r="71" ht="15" hidden="0" outlineLevel="0" collapsed="0">
      <c r="A71" s="4"/>
      <c r="B71" s="4"/>
      <c r="C71" s="4"/>
      <c r="D71" s="4"/>
      <c r="E71" s="4"/>
      <c r="F71" s="4"/>
      <c r="G71" s="4"/>
    </row>
    <row r="72" ht="15" hidden="0" outlineLevel="0" collapsed="0">
      <c r="A72" s="4"/>
      <c r="B72" s="4"/>
      <c r="C72" s="4"/>
      <c r="D72" s="4"/>
      <c r="E72" s="4"/>
      <c r="F72" s="4"/>
      <c r="G72" s="4"/>
    </row>
    <row r="73" ht="15" hidden="0" outlineLevel="0" collapsed="0">
      <c r="A73" s="4"/>
      <c r="B73" s="4"/>
      <c r="C73" s="4"/>
      <c r="D73" s="4"/>
      <c r="E73" s="4"/>
      <c r="F73" s="4"/>
      <c r="G73" s="4"/>
    </row>
    <row r="74" ht="15" hidden="0" outlineLevel="0" collapsed="0">
      <c r="A74" s="4"/>
      <c r="B74" s="4"/>
      <c r="C74" s="4"/>
      <c r="D74" s="4"/>
      <c r="E74" s="4"/>
      <c r="F74" s="4"/>
      <c r="G74" s="4"/>
    </row>
    <row r="75" ht="15" hidden="0" outlineLevel="0" collapsed="0">
      <c r="A75" s="4"/>
      <c r="B75" s="4"/>
      <c r="C75" s="4"/>
      <c r="D75" s="4"/>
      <c r="E75" s="4"/>
      <c r="F75" s="4"/>
      <c r="G75" s="4"/>
    </row>
    <row r="76" ht="15" hidden="0" outlineLevel="0" collapsed="0">
      <c r="A76" s="4"/>
      <c r="B76" s="4"/>
      <c r="C76" s="4"/>
      <c r="D76" s="4"/>
      <c r="E76" s="4"/>
      <c r="F76" s="4"/>
      <c r="G76" s="4"/>
    </row>
    <row r="77" ht="15" hidden="0" outlineLevel="0" collapsed="0">
      <c r="A77" s="4"/>
      <c r="B77" s="4"/>
      <c r="C77" s="4"/>
      <c r="D77" s="4"/>
      <c r="E77" s="4"/>
      <c r="F77" s="4"/>
      <c r="G77" s="4"/>
    </row>
    <row r="78" ht="15" hidden="0" outlineLevel="0" collapsed="0">
      <c r="A78" s="4"/>
      <c r="B78" s="4"/>
      <c r="C78" s="4"/>
      <c r="D78" s="4"/>
      <c r="E78" s="4"/>
      <c r="F78" s="4"/>
      <c r="G78" s="4"/>
    </row>
    <row r="79" ht="15" hidden="0" outlineLevel="0" collapsed="0">
      <c r="A79" s="4"/>
      <c r="B79" s="4"/>
      <c r="C79" s="4"/>
      <c r="D79" s="4"/>
      <c r="E79" s="4"/>
      <c r="F79" s="4"/>
      <c r="G79" s="4"/>
    </row>
    <row r="80" ht="15" hidden="0" outlineLevel="0" collapsed="0">
      <c r="A80" s="4"/>
      <c r="B80" s="4"/>
      <c r="C80" s="4"/>
      <c r="D80" s="4"/>
      <c r="E80" s="4"/>
      <c r="F80" s="4"/>
      <c r="G80" s="4"/>
    </row>
  </sheetData>
  <mergeCells count="2">
    <mergeCell ref="A1:G1"/>
    <mergeCell ref="A2:G2"/>
  </mergeCells>
  <conditionalFormatting sqref="E4">
    <cfRule type="containsText" priority="2" operator="containsText" text="PASS" dxfId="6">
      <formula>NOT(ISERROR(SEARCH("PASS",E4)))</formula>
    </cfRule>
    <cfRule type="containsText" priority="3" operator="containsText" text="FAIL" dxfId="7">
      <formula>NOT(ISERROR(SEARCH("FAIL",E4)))</formula>
    </cfRule>
    <cfRule type="containsText" priority="4" operator="containsText" text="PENDING" dxfId="8">
      <formula>NOT(ISERROR(SEARCH("PENDING",E4)))</formula>
    </cfRule>
  </conditionalFormatting>
  <dataValidations count="1">
    <dataValidation sqref="B4" type="list">
      <formula1>"1,2,3"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hidden="0" customWidth="1" outlineLevel="0" collapsed="0"/>
    <col min="2" max="7" width="14" style="1" hidden="0" customWidth="1" outlineLevel="0" collapsed="0"/>
    <col min="8" max="8" width="22" style="1" hidden="0" customWidth="1" outlineLevel="0" collapsed="0"/>
  </cols>
  <sheetData>
    <row r="1" ht="28" hidden="0" outlineLevel="0" collapsed="0">
      <c r="A1" s="2" t="s">
        <v>201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202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32</v>
      </c>
      <c r="B4" s="5" t="s">
        <v>171</v>
      </c>
      <c r="C4" s="5" t="s">
        <v>203</v>
      </c>
      <c r="D4" s="5" t="s">
        <v>204</v>
      </c>
      <c r="E4" s="5" t="s">
        <v>205</v>
      </c>
      <c r="F4" s="5" t="s">
        <v>206</v>
      </c>
      <c r="G4" s="5" t="s">
        <v>207</v>
      </c>
      <c r="H4" s="5" t="s">
        <v>208</v>
      </c>
    </row>
    <row r="5" ht="15" hidden="0" outlineLevel="0" collapsed="0">
      <c r="A5" s="24" t="s">
        <v>77</v>
      </c>
      <c r="B5" s="45">
        <f>Historical!D13</f>
        <v>192655.9</v>
      </c>
      <c r="C5" s="45">
        <f>B5*(1+Assumptions!$E$7)</f>
        <v>200362.136</v>
      </c>
      <c r="D5" s="45">
        <f>C5*(1+Assumptions!$E$7)</f>
        <v>208376.62144000002</v>
      </c>
      <c r="E5" s="45">
        <f>D5*(1+Assumptions!$E$7)</f>
        <v>216711.6862976</v>
      </c>
      <c r="F5" s="45">
        <f>E5*(1+Assumptions!$E$7)</f>
        <v>225380.153749504</v>
      </c>
      <c r="G5" s="45">
        <f>F5*(1+Assumptions!$E$7)</f>
        <v>234395.35989948417</v>
      </c>
      <c r="H5" s="46" t="s">
        <v>209</v>
      </c>
    </row>
    <row r="6" ht="15" hidden="0" outlineLevel="0" collapsed="0">
      <c r="A6" s="27" t="s">
        <v>210</v>
      </c>
      <c r="B6" s="47"/>
      <c r="C6" s="47">
        <f>C5/B5-1</f>
        <v>0.040000000000000036</v>
      </c>
      <c r="D6" s="47">
        <f>D5/C5-1</f>
        <v>0.040000000000000036</v>
      </c>
      <c r="E6" s="47">
        <f>E5/D5-1</f>
        <v>0.040000000000000036</v>
      </c>
      <c r="F6" s="47">
        <f>F5/E5-1</f>
        <v>0.040000000000000036</v>
      </c>
      <c r="G6" s="47">
        <f>G5/F5-1</f>
        <v>0.040000000000000036</v>
      </c>
      <c r="H6" s="33" t="s">
        <v>211</v>
      </c>
    </row>
    <row r="7" ht="15" hidden="0" outlineLevel="0" collapsed="0">
      <c r="A7" s="27" t="s">
        <v>212</v>
      </c>
      <c r="B7" s="48">
        <f>B5</f>
        <v>192655.9</v>
      </c>
      <c r="C7" s="48">
        <f>AVERAGE(B5:C5)</f>
        <v>196509.01799999998</v>
      </c>
      <c r="D7" s="48">
        <f>AVERAGE(C5:D5)</f>
        <v>204369.37872</v>
      </c>
      <c r="E7" s="48">
        <f>AVERAGE(D5:E5)</f>
        <v>212544.15386880003</v>
      </c>
      <c r="F7" s="48">
        <f>AVERAGE(E5:F5)</f>
        <v>221045.92002355203</v>
      </c>
      <c r="G7" s="48">
        <f>AVERAGE(F5:G5)</f>
        <v>229887.7568244941</v>
      </c>
      <c r="H7" s="33" t="s">
        <v>211</v>
      </c>
    </row>
    <row r="8" ht="15" hidden="0" outlineLevel="0" collapsed="0">
      <c r="A8" s="27" t="s">
        <v>213</v>
      </c>
      <c r="B8" s="48">
        <f>Historical!D7/Historical!D19</f>
        <v>224894.2857142857</v>
      </c>
      <c r="C8" s="48">
        <f>B8*(1+C6)</f>
        <v>233890.05714285714</v>
      </c>
      <c r="D8" s="48">
        <f>C8*(1+D6)</f>
        <v>243245.65942857144</v>
      </c>
      <c r="E8" s="48">
        <f>D8*(1+E6)</f>
        <v>252975.4858057143</v>
      </c>
      <c r="F8" s="48">
        <f>E8*(1+F6)</f>
        <v>263094.50523794285</v>
      </c>
      <c r="G8" s="48">
        <f>F8*(1+G6)</f>
        <v>273618.2854474606</v>
      </c>
      <c r="H8" s="33" t="s">
        <v>214</v>
      </c>
    </row>
    <row r="9" ht="15" hidden="0" outlineLevel="0" collapsed="0">
      <c r="A9" s="27" t="s">
        <v>91</v>
      </c>
      <c r="B9" s="47">
        <f>Historical!D19</f>
        <v>0.035</v>
      </c>
      <c r="C9" s="47">
        <f>Assumptions!$E$8</f>
        <v>0.036</v>
      </c>
      <c r="D9" s="47">
        <f>Assumptions!$E$8</f>
        <v>0.036</v>
      </c>
      <c r="E9" s="47">
        <f>Assumptions!$E$8</f>
        <v>0.036</v>
      </c>
      <c r="F9" s="47">
        <f>Assumptions!$E$8</f>
        <v>0.036</v>
      </c>
      <c r="G9" s="47">
        <f>Assumptions!$E$8</f>
        <v>0.036</v>
      </c>
      <c r="H9" s="33" t="s">
        <v>215</v>
      </c>
    </row>
    <row r="10" ht="15" hidden="0" outlineLevel="0" collapsed="0">
      <c r="A10" s="27" t="s">
        <v>65</v>
      </c>
      <c r="B10" s="48">
        <f>Historical!D7</f>
        <v>7871.3</v>
      </c>
      <c r="C10" s="48">
        <f>C8*C9</f>
        <v>8420.042057142857</v>
      </c>
      <c r="D10" s="48">
        <f>D8*D9</f>
        <v>8756.843739428572</v>
      </c>
      <c r="E10" s="48">
        <f>E8*E9</f>
        <v>9107.117489005714</v>
      </c>
      <c r="F10" s="48">
        <f>F8*F9</f>
        <v>9471.402188565942</v>
      </c>
      <c r="G10" s="48">
        <f>G8*G9</f>
        <v>9850.258276108581</v>
      </c>
      <c r="H10" s="33" t="s">
        <v>211</v>
      </c>
    </row>
    <row r="11" ht="15" hidden="0" outlineLevel="0" collapsed="0">
      <c r="A11" s="27" t="s">
        <v>104</v>
      </c>
      <c r="B11" s="47">
        <f>Historical!D22</f>
        <v>0.019</v>
      </c>
      <c r="C11" s="47">
        <f>Assumptions!$E$9</f>
        <v>0.019</v>
      </c>
      <c r="D11" s="47">
        <f>Assumptions!$E$9</f>
        <v>0.019</v>
      </c>
      <c r="E11" s="47">
        <f>Assumptions!$E$9</f>
        <v>0.019</v>
      </c>
      <c r="F11" s="47">
        <f>Assumptions!$E$9</f>
        <v>0.019</v>
      </c>
      <c r="G11" s="47">
        <f>Assumptions!$E$9</f>
        <v>0.019</v>
      </c>
      <c r="H11" s="33" t="s">
        <v>216</v>
      </c>
    </row>
    <row r="12" ht="15" hidden="0" outlineLevel="0" collapsed="0">
      <c r="A12" s="27" t="s">
        <v>174</v>
      </c>
      <c r="B12" s="48">
        <f>-Historical!D8</f>
        <v>3538.9</v>
      </c>
      <c r="C12" s="48">
        <f>C7*C11</f>
        <v>3733.6713419999996</v>
      </c>
      <c r="D12" s="48">
        <f>D7*D11</f>
        <v>3883.01819568</v>
      </c>
      <c r="E12" s="48">
        <f>E7*E11</f>
        <v>4038.3389235072004</v>
      </c>
      <c r="F12" s="48">
        <f>F7*F11</f>
        <v>4199.872480447489</v>
      </c>
      <c r="G12" s="48">
        <f>G7*G11</f>
        <v>4367.8673796653875</v>
      </c>
      <c r="H12" s="33" t="s">
        <v>211</v>
      </c>
    </row>
    <row r="13" ht="15" hidden="0" outlineLevel="0" collapsed="0">
      <c r="A13" s="27" t="s">
        <v>217</v>
      </c>
      <c r="B13" s="48">
        <f>(Historical!D10/(1-B17)+B12)/(1-B14)-B10</f>
        <v>9279.191469612979</v>
      </c>
      <c r="C13" s="48">
        <f>B13*(1+Assumptions!$E$10)</f>
        <v>9650.359128397498</v>
      </c>
      <c r="D13" s="48">
        <f>C13*(1+Assumptions!$E$10)</f>
        <v>10036.373493533398</v>
      </c>
      <c r="E13" s="48">
        <f>D13*(1+Assumptions!$E$10)</f>
        <v>10437.828433274733</v>
      </c>
      <c r="F13" s="48">
        <f>E13*(1+Assumptions!$E$10)</f>
        <v>10855.341570605724</v>
      </c>
      <c r="G13" s="48">
        <f>F13*(1+Assumptions!$E$10)</f>
        <v>11289.555233429954</v>
      </c>
      <c r="H13" s="33" t="s">
        <v>218</v>
      </c>
    </row>
    <row r="14" ht="15" hidden="0" outlineLevel="0" collapsed="0">
      <c r="A14" s="27" t="s">
        <v>101</v>
      </c>
      <c r="B14" s="47">
        <f>Historical!D21</f>
        <v>0.522</v>
      </c>
      <c r="C14" s="47">
        <f>Assumptions!$E$11</f>
        <v>0.51</v>
      </c>
      <c r="D14" s="47">
        <f>Assumptions!$E$11</f>
        <v>0.51</v>
      </c>
      <c r="E14" s="47">
        <f>Assumptions!$E$11</f>
        <v>0.51</v>
      </c>
      <c r="F14" s="47">
        <f>Assumptions!$E$11</f>
        <v>0.51</v>
      </c>
      <c r="G14" s="47">
        <f>Assumptions!$E$11</f>
        <v>0.51</v>
      </c>
      <c r="H14" s="33" t="s">
        <v>219</v>
      </c>
    </row>
    <row r="15" ht="15" hidden="0" outlineLevel="0" collapsed="0">
      <c r="A15" s="27" t="s">
        <v>220</v>
      </c>
      <c r="B15" s="48">
        <f>(B10+B13)*B14</f>
        <v>8952.556547137974</v>
      </c>
      <c r="C15" s="48">
        <f>(C10+C13)*C14</f>
        <v>9215.90460462558</v>
      </c>
      <c r="D15" s="48">
        <f>(D10+D13)*D14</f>
        <v>9584.540788810606</v>
      </c>
      <c r="E15" s="48">
        <f>(E10+E13)*E14</f>
        <v>9967.922420363027</v>
      </c>
      <c r="F15" s="48">
        <f>(F10+F13)*F14</f>
        <v>10366.63931717755</v>
      </c>
      <c r="G15" s="48">
        <f>(G10+G13)*G14</f>
        <v>10781.304889864654</v>
      </c>
      <c r="H15" s="33" t="s">
        <v>211</v>
      </c>
    </row>
    <row r="16" ht="15" hidden="0" outlineLevel="0" collapsed="0">
      <c r="A16" s="27" t="s">
        <v>221</v>
      </c>
      <c r="B16" s="48">
        <f>B10-B12+B13-B15</f>
        <v>4659.034922475004</v>
      </c>
      <c r="C16" s="48">
        <f>C10-C12+C13-C15</f>
        <v>5120.825238914775</v>
      </c>
      <c r="D16" s="48">
        <f>D10-D12+D13-D15</f>
        <v>5325.658248471364</v>
      </c>
      <c r="E16" s="48">
        <f>E10-E12+E13-E15</f>
        <v>5538.684578410219</v>
      </c>
      <c r="F16" s="48">
        <f>F10-F12+F13-F15</f>
        <v>5760.231961546628</v>
      </c>
      <c r="G16" s="48">
        <f>G10-G12+G13-G15</f>
        <v>5990.641240008494</v>
      </c>
      <c r="H16" s="33" t="s">
        <v>211</v>
      </c>
    </row>
    <row r="17" ht="15" hidden="0" outlineLevel="0" collapsed="0">
      <c r="A17" s="27" t="s">
        <v>189</v>
      </c>
      <c r="B17" s="47">
        <v>0.3099</v>
      </c>
      <c r="C17" s="47">
        <f>Assumptions!$E$12</f>
        <v>0.31</v>
      </c>
      <c r="D17" s="47">
        <f>Assumptions!$E$12</f>
        <v>0.31</v>
      </c>
      <c r="E17" s="47">
        <f>Assumptions!$E$12</f>
        <v>0.31</v>
      </c>
      <c r="F17" s="47">
        <f>Assumptions!$E$12</f>
        <v>0.31</v>
      </c>
      <c r="G17" s="47">
        <f>Assumptions!$E$12</f>
        <v>0.31</v>
      </c>
      <c r="H17" s="33" t="s">
        <v>222</v>
      </c>
    </row>
    <row r="18" ht="15" hidden="0" outlineLevel="0" collapsed="0">
      <c r="A18" s="27" t="s">
        <v>175</v>
      </c>
      <c r="B18" s="48">
        <f>Historical!D10</f>
        <v>3215.2</v>
      </c>
      <c r="C18" s="48">
        <f>C16*(1-C17)</f>
        <v>3533.369414851194</v>
      </c>
      <c r="D18" s="48">
        <f>D16*(1-D17)</f>
        <v>3674.7041914452407</v>
      </c>
      <c r="E18" s="48">
        <f>E16*(1-E17)</f>
        <v>3821.692359103051</v>
      </c>
      <c r="F18" s="48">
        <f>F16*(1-F17)</f>
        <v>3974.5600534671726</v>
      </c>
      <c r="G18" s="48">
        <f>G16*(1-G17)</f>
        <v>4133.542455605861</v>
      </c>
      <c r="H18" s="33" t="s">
        <v>211</v>
      </c>
    </row>
    <row r="19" ht="15" hidden="0" outlineLevel="0" collapsed="0">
      <c r="A19" s="27" t="s">
        <v>190</v>
      </c>
      <c r="B19" s="47">
        <f>Historical!D9/Historical!D10</f>
        <v>0.5355498880318488</v>
      </c>
      <c r="C19" s="47">
        <f>Assumptions!$E$13</f>
        <v>0.5355</v>
      </c>
      <c r="D19" s="47">
        <f>Assumptions!$E$13</f>
        <v>0.5355</v>
      </c>
      <c r="E19" s="47">
        <f>Assumptions!$E$13</f>
        <v>0.5355</v>
      </c>
      <c r="F19" s="47">
        <f>Assumptions!$E$13</f>
        <v>0.5355</v>
      </c>
      <c r="G19" s="47">
        <f>Assumptions!$E$13</f>
        <v>0.5355</v>
      </c>
      <c r="H19" s="33" t="s">
        <v>223</v>
      </c>
    </row>
    <row r="20" ht="15" hidden="0" outlineLevel="0" collapsed="0">
      <c r="A20" s="27" t="s">
        <v>68</v>
      </c>
      <c r="B20" s="48">
        <f>Historical!D9</f>
        <v>1721.9</v>
      </c>
      <c r="C20" s="48">
        <f>C18*C19</f>
        <v>1892.1193216528143</v>
      </c>
      <c r="D20" s="48">
        <f>D18*D19</f>
        <v>1967.8040945189264</v>
      </c>
      <c r="E20" s="48">
        <f>E18*E19</f>
        <v>2046.5162582996836</v>
      </c>
      <c r="F20" s="48">
        <f>F18*F19</f>
        <v>2128.3769086316706</v>
      </c>
      <c r="G20" s="48">
        <f>G18*G19</f>
        <v>2213.511984976938</v>
      </c>
      <c r="H20" s="33" t="s">
        <v>211</v>
      </c>
    </row>
    <row r="21" ht="15" hidden="0" outlineLevel="0" collapsed="0">
      <c r="A21" s="27" t="s">
        <v>191</v>
      </c>
      <c r="B21" s="47">
        <v>0.45</v>
      </c>
      <c r="C21" s="47">
        <f>Assumptions!$E$14</f>
        <v>0.45</v>
      </c>
      <c r="D21" s="47">
        <f>Assumptions!$E$14</f>
        <v>0.45</v>
      </c>
      <c r="E21" s="47">
        <f>Assumptions!$E$14</f>
        <v>0.45</v>
      </c>
      <c r="F21" s="47">
        <f>Assumptions!$E$14</f>
        <v>0.45</v>
      </c>
      <c r="G21" s="47">
        <f>Assumptions!$E$14</f>
        <v>0.45</v>
      </c>
      <c r="H21" s="33" t="s">
        <v>224</v>
      </c>
    </row>
    <row r="22" ht="15" hidden="0" outlineLevel="0" collapsed="0">
      <c r="A22" s="27" t="s">
        <v>225</v>
      </c>
      <c r="B22" s="48">
        <f>B20*B21</f>
        <v>774.855</v>
      </c>
      <c r="C22" s="48">
        <f>C20*C21</f>
        <v>851.4536947437664</v>
      </c>
      <c r="D22" s="48">
        <f>D20*D21</f>
        <v>885.5118425335169</v>
      </c>
      <c r="E22" s="48">
        <f>E20*E21</f>
        <v>920.9323162348577</v>
      </c>
      <c r="F22" s="48">
        <f>F20*F21</f>
        <v>957.7696088842519</v>
      </c>
      <c r="G22" s="48">
        <f>G20*G21</f>
        <v>996.0803932396221</v>
      </c>
      <c r="H22" s="33" t="s">
        <v>211</v>
      </c>
    </row>
    <row r="23" ht="15" hidden="0" outlineLevel="0" collapsed="0">
      <c r="A23" s="27" t="s">
        <v>226</v>
      </c>
      <c r="B23" s="48">
        <f>Historical!D16-B20+B22</f>
        <v>17498.855</v>
      </c>
      <c r="C23" s="48">
        <f>B24</f>
        <v>18445.9</v>
      </c>
      <c r="D23" s="48">
        <f>C24</f>
        <v>19486.56562690905</v>
      </c>
      <c r="E23" s="48">
        <f>D24</f>
        <v>20568.85787889446</v>
      </c>
      <c r="F23" s="48">
        <f>E24</f>
        <v>21694.441820959284</v>
      </c>
      <c r="G23" s="48">
        <f>F24</f>
        <v>22865.049120706703</v>
      </c>
      <c r="H23" s="33" t="s">
        <v>227</v>
      </c>
    </row>
    <row r="24" ht="15" hidden="0" outlineLevel="0" collapsed="0">
      <c r="A24" s="27" t="s">
        <v>228</v>
      </c>
      <c r="B24" s="48">
        <f>Historical!D16</f>
        <v>18445.9</v>
      </c>
      <c r="C24" s="48">
        <f>C23+C20-C22</f>
        <v>19486.56562690905</v>
      </c>
      <c r="D24" s="48">
        <f>D23+D20-D22</f>
        <v>20568.85787889446</v>
      </c>
      <c r="E24" s="48">
        <f>E23+E20-E22</f>
        <v>21694.441820959284</v>
      </c>
      <c r="F24" s="48">
        <f>F23+F20-F22</f>
        <v>22865.049120706703</v>
      </c>
      <c r="G24" s="48">
        <f>G23+G20-G22</f>
        <v>24082.48071244402</v>
      </c>
      <c r="H24" s="33" t="s">
        <v>227</v>
      </c>
    </row>
    <row r="25" ht="15" hidden="0" outlineLevel="0" collapsed="0">
      <c r="A25" s="27" t="s">
        <v>98</v>
      </c>
      <c r="B25" s="30">
        <f>B20/AVERAGE(B23:B24)</f>
        <v>0.09580813668085927</v>
      </c>
      <c r="C25" s="30">
        <f>C20/AVERAGE(C23:C24)</f>
        <v>0.09976252744881192</v>
      </c>
      <c r="D25" s="30">
        <f>D20/AVERAGE(D23:D24)</f>
        <v>0.09825406510725405</v>
      </c>
      <c r="E25" s="30">
        <f>E20/AVERAGE(E23:E24)</f>
        <v>0.09684602351608461</v>
      </c>
      <c r="F25" s="30">
        <f>F20/AVERAGE(F23:F24)</f>
        <v>0.09552967790489282</v>
      </c>
      <c r="G25" s="30">
        <f>G20/AVERAGE(G23:G24)</f>
        <v>0.09429727156438918</v>
      </c>
      <c r="H25" s="33" t="s">
        <v>211</v>
      </c>
    </row>
    <row r="26" ht="15" hidden="0" outlineLevel="0" collapsed="0">
      <c r="A26" s="34" t="s">
        <v>229</v>
      </c>
      <c r="B26" s="49">
        <f>Historical!D23</f>
        <v>0.044</v>
      </c>
      <c r="C26" s="49">
        <f>MAX(0.025,MIN(0.07,B26-0.5*(B11-C11)))</f>
        <v>0.044</v>
      </c>
      <c r="D26" s="49">
        <f>MAX(0.025,MIN(0.07,C26-0.5*(C11-D11)))</f>
        <v>0.044</v>
      </c>
      <c r="E26" s="49">
        <f>MAX(0.025,MIN(0.07,D26-0.5*(D11-E11)))</f>
        <v>0.044</v>
      </c>
      <c r="F26" s="49">
        <f>MAX(0.025,MIN(0.07,E26-0.5*(E11-F11)))</f>
        <v>0.044</v>
      </c>
      <c r="G26" s="49">
        <f>MAX(0.025,MIN(0.07,F26-0.5*(F11-G11)))</f>
        <v>0.044</v>
      </c>
      <c r="H26" s="50" t="s">
        <v>230</v>
      </c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7" width="14" style="1" hidden="0" customWidth="1" outlineLevel="0" collapsed="0"/>
  </cols>
  <sheetData>
    <row r="1" ht="28" hidden="0" outlineLevel="0" collapsed="0">
      <c r="A1" s="2" t="s">
        <v>231</v>
      </c>
      <c r="B1" s="2"/>
      <c r="C1" s="2"/>
      <c r="D1" s="2"/>
      <c r="E1" s="2"/>
      <c r="F1" s="2"/>
      <c r="G1" s="2"/>
    </row>
    <row r="2" ht="28" hidden="0" outlineLevel="0" collapsed="0">
      <c r="A2" s="3" t="s">
        <v>232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5" t="s">
        <v>32</v>
      </c>
      <c r="B4" s="5" t="s">
        <v>171</v>
      </c>
      <c r="C4" s="5" t="s">
        <v>203</v>
      </c>
      <c r="D4" s="5" t="s">
        <v>204</v>
      </c>
      <c r="E4" s="5" t="s">
        <v>205</v>
      </c>
      <c r="F4" s="5" t="s">
        <v>206</v>
      </c>
      <c r="G4" s="5" t="s">
        <v>207</v>
      </c>
    </row>
    <row r="5" ht="15" hidden="0" outlineLevel="0" collapsed="0">
      <c r="A5" s="24" t="s">
        <v>77</v>
      </c>
      <c r="B5" s="25">
        <f>Operating_Model!B5</f>
        <v>192655.9</v>
      </c>
      <c r="C5" s="25">
        <f>Operating_Model!C5</f>
        <v>200362.136</v>
      </c>
      <c r="D5" s="25">
        <f>Operating_Model!D5</f>
        <v>208376.62144000002</v>
      </c>
      <c r="E5" s="25">
        <f>Operating_Model!E5</f>
        <v>216711.6862976</v>
      </c>
      <c r="F5" s="25">
        <f>Operating_Model!F5</f>
        <v>225380.153749504</v>
      </c>
      <c r="G5" s="26">
        <f>Operating_Model!G5</f>
        <v>234395.35989948417</v>
      </c>
    </row>
    <row r="6" ht="15" hidden="0" outlineLevel="0" collapsed="0">
      <c r="A6" s="27" t="s">
        <v>65</v>
      </c>
      <c r="B6" s="28">
        <f>Operating_Model!B10</f>
        <v>7871.3</v>
      </c>
      <c r="C6" s="28">
        <f>Operating_Model!C10</f>
        <v>8420.042057142857</v>
      </c>
      <c r="D6" s="28">
        <f>Operating_Model!D10</f>
        <v>8756.843739428572</v>
      </c>
      <c r="E6" s="28">
        <f>Operating_Model!E10</f>
        <v>9107.117489005714</v>
      </c>
      <c r="F6" s="28">
        <f>Operating_Model!F10</f>
        <v>9471.402188565942</v>
      </c>
      <c r="G6" s="29">
        <f>Operating_Model!G10</f>
        <v>9850.258276108581</v>
      </c>
    </row>
    <row r="7" ht="15" hidden="0" outlineLevel="0" collapsed="0">
      <c r="A7" s="27" t="s">
        <v>174</v>
      </c>
      <c r="B7" s="28">
        <f>Operating_Model!B12</f>
        <v>3538.9</v>
      </c>
      <c r="C7" s="28">
        <f>Operating_Model!C12</f>
        <v>3733.6713419999996</v>
      </c>
      <c r="D7" s="28">
        <f>Operating_Model!D12</f>
        <v>3883.01819568</v>
      </c>
      <c r="E7" s="28">
        <f>Operating_Model!E12</f>
        <v>4038.3389235072004</v>
      </c>
      <c r="F7" s="28">
        <f>Operating_Model!F12</f>
        <v>4199.872480447489</v>
      </c>
      <c r="G7" s="29">
        <f>Operating_Model!G12</f>
        <v>4367.8673796653875</v>
      </c>
    </row>
    <row r="8" ht="15" hidden="0" outlineLevel="0" collapsed="0">
      <c r="A8" s="27" t="s">
        <v>221</v>
      </c>
      <c r="B8" s="28">
        <f>Operating_Model!B16</f>
        <v>4659.034922475004</v>
      </c>
      <c r="C8" s="28">
        <f>Operating_Model!C16</f>
        <v>5120.825238914775</v>
      </c>
      <c r="D8" s="28">
        <f>Operating_Model!D16</f>
        <v>5325.658248471364</v>
      </c>
      <c r="E8" s="28">
        <f>Operating_Model!E16</f>
        <v>5538.684578410219</v>
      </c>
      <c r="F8" s="28">
        <f>Operating_Model!F16</f>
        <v>5760.231961546628</v>
      </c>
      <c r="G8" s="29">
        <f>Operating_Model!G16</f>
        <v>5990.641240008494</v>
      </c>
    </row>
    <row r="9" ht="15" hidden="0" outlineLevel="0" collapsed="0">
      <c r="A9" s="27" t="s">
        <v>233</v>
      </c>
      <c r="B9" s="28">
        <f>Operating_Model!B20</f>
        <v>1721.9</v>
      </c>
      <c r="C9" s="28">
        <f>Operating_Model!C20</f>
        <v>1892.1193216528143</v>
      </c>
      <c r="D9" s="28">
        <f>Operating_Model!D20</f>
        <v>1967.8040945189264</v>
      </c>
      <c r="E9" s="28">
        <f>Operating_Model!E20</f>
        <v>2046.5162582996836</v>
      </c>
      <c r="F9" s="28">
        <f>Operating_Model!F20</f>
        <v>2128.3769086316706</v>
      </c>
      <c r="G9" s="29">
        <f>Operating_Model!G20</f>
        <v>2213.511984976938</v>
      </c>
    </row>
    <row r="10" ht="15" hidden="0" outlineLevel="0" collapsed="0">
      <c r="A10" s="27" t="s">
        <v>225</v>
      </c>
      <c r="B10" s="28">
        <f>Operating_Model!B22</f>
        <v>774.855</v>
      </c>
      <c r="C10" s="28">
        <f>Operating_Model!C22</f>
        <v>851.4536947437664</v>
      </c>
      <c r="D10" s="28">
        <f>Operating_Model!D22</f>
        <v>885.5118425335169</v>
      </c>
      <c r="E10" s="28">
        <f>Operating_Model!E22</f>
        <v>920.9323162348577</v>
      </c>
      <c r="F10" s="28">
        <f>Operating_Model!F22</f>
        <v>957.7696088842519</v>
      </c>
      <c r="G10" s="29">
        <f>Operating_Model!G22</f>
        <v>996.0803932396221</v>
      </c>
    </row>
    <row r="11" ht="15" hidden="0" outlineLevel="0" collapsed="0">
      <c r="A11" s="27" t="s">
        <v>228</v>
      </c>
      <c r="B11" s="28">
        <f>Operating_Model!B24</f>
        <v>18445.9</v>
      </c>
      <c r="C11" s="28">
        <f>Operating_Model!C24</f>
        <v>19486.56562690905</v>
      </c>
      <c r="D11" s="28">
        <f>Operating_Model!D24</f>
        <v>20568.85787889446</v>
      </c>
      <c r="E11" s="28">
        <f>Operating_Model!E24</f>
        <v>21694.441820959284</v>
      </c>
      <c r="F11" s="28">
        <f>Operating_Model!F24</f>
        <v>22865.049120706703</v>
      </c>
      <c r="G11" s="29">
        <f>Operating_Model!G24</f>
        <v>24082.48071244402</v>
      </c>
    </row>
    <row r="12" ht="15" hidden="0" outlineLevel="0" collapsed="0">
      <c r="A12" s="27" t="s">
        <v>98</v>
      </c>
      <c r="B12" s="30">
        <f>Operating_Model!B25</f>
        <v>0.09580813668085927</v>
      </c>
      <c r="C12" s="30">
        <f>Operating_Model!C25</f>
        <v>0.09976252744881192</v>
      </c>
      <c r="D12" s="30">
        <f>Operating_Model!D25</f>
        <v>0.09825406510725405</v>
      </c>
      <c r="E12" s="30">
        <f>Operating_Model!E25</f>
        <v>0.09684602351608461</v>
      </c>
      <c r="F12" s="30">
        <f>Operating_Model!F25</f>
        <v>0.09552967790489282</v>
      </c>
      <c r="G12" s="31">
        <f>Operating_Model!G25</f>
        <v>0.09429727156438918</v>
      </c>
    </row>
    <row r="13" ht="15" hidden="0" outlineLevel="0" collapsed="0">
      <c r="A13" s="34" t="s">
        <v>229</v>
      </c>
      <c r="B13" s="49">
        <f>Operating_Model!B26</f>
        <v>0.044</v>
      </c>
      <c r="C13" s="49">
        <f>Operating_Model!C26</f>
        <v>0.044</v>
      </c>
      <c r="D13" s="49">
        <f>Operating_Model!D26</f>
        <v>0.044</v>
      </c>
      <c r="E13" s="49">
        <f>Operating_Model!E26</f>
        <v>0.044</v>
      </c>
      <c r="F13" s="49">
        <f>Operating_Model!F26</f>
        <v>0.044</v>
      </c>
      <c r="G13" s="44">
        <f>Operating_Model!G26</f>
        <v>0.044</v>
      </c>
    </row>
    <row r="14" ht="15" hidden="0" outlineLevel="0" collapsed="0">
      <c r="A14" s="4"/>
      <c r="B14" s="4"/>
      <c r="C14" s="4"/>
      <c r="D14" s="4"/>
      <c r="E14" s="4"/>
      <c r="F14" s="4"/>
      <c r="G14" s="4"/>
    </row>
    <row r="15" ht="15" hidden="0" outlineLevel="0" collapsed="0">
      <c r="A15" s="4"/>
      <c r="B15" s="4"/>
      <c r="C15" s="4"/>
      <c r="D15" s="4"/>
      <c r="E15" s="4"/>
      <c r="F15" s="4"/>
      <c r="G15" s="4"/>
    </row>
    <row r="16" ht="15" hidden="0" outlineLevel="0" collapsed="0">
      <c r="A16" s="4"/>
      <c r="B16" s="4"/>
      <c r="C16" s="4"/>
      <c r="D16" s="4"/>
      <c r="E16" s="4"/>
      <c r="F16" s="4"/>
      <c r="G16" s="4"/>
    </row>
    <row r="17" ht="15" hidden="0" outlineLevel="0" collapsed="0">
      <c r="A17" s="4"/>
      <c r="B17" s="4"/>
      <c r="C17" s="4"/>
      <c r="D17" s="4"/>
      <c r="E17" s="4"/>
      <c r="F17" s="4"/>
      <c r="G17" s="4"/>
    </row>
    <row r="18" ht="15" hidden="0" outlineLevel="0" collapsed="0">
      <c r="A18" s="4"/>
      <c r="B18" s="4"/>
      <c r="C18" s="4"/>
      <c r="D18" s="4"/>
      <c r="E18" s="4"/>
      <c r="F18" s="4"/>
      <c r="G18" s="4"/>
    </row>
    <row r="19" ht="15" hidden="0" outlineLevel="0" collapsed="0">
      <c r="A19" s="4"/>
      <c r="B19" s="4"/>
      <c r="C19" s="4"/>
      <c r="D19" s="4"/>
      <c r="E19" s="4"/>
      <c r="F19" s="4"/>
      <c r="G19" s="4"/>
    </row>
    <row r="20" ht="15" hidden="0" outlineLevel="0" collapsed="0">
      <c r="A20" s="4"/>
      <c r="B20" s="4"/>
      <c r="C20" s="4"/>
      <c r="D20" s="4"/>
      <c r="E20" s="4"/>
      <c r="F20" s="4"/>
      <c r="G20" s="4"/>
    </row>
    <row r="21" ht="15" hidden="0" outlineLevel="0" collapsed="0">
      <c r="A21" s="4"/>
      <c r="B21" s="4"/>
      <c r="C21" s="4"/>
      <c r="D21" s="4"/>
      <c r="E21" s="4"/>
      <c r="F21" s="4"/>
      <c r="G21" s="4"/>
    </row>
    <row r="22" ht="15" hidden="0" outlineLevel="0" collapsed="0">
      <c r="A22" s="4"/>
      <c r="B22" s="4"/>
      <c r="C22" s="4"/>
      <c r="D22" s="4"/>
      <c r="E22" s="4"/>
      <c r="F22" s="4"/>
      <c r="G22" s="4"/>
    </row>
    <row r="23" ht="15" hidden="0" outlineLevel="0" collapsed="0">
      <c r="A23" s="4"/>
      <c r="B23" s="4"/>
      <c r="C23" s="4"/>
      <c r="D23" s="4"/>
      <c r="E23" s="4"/>
      <c r="F23" s="4"/>
      <c r="G23" s="4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  <row r="26" ht="15" hidden="0" outlineLevel="0" collapsed="0">
      <c r="A26" s="4"/>
      <c r="B26" s="4"/>
      <c r="C26" s="4"/>
      <c r="D26" s="4"/>
      <c r="E26" s="4"/>
      <c r="F26" s="4"/>
      <c r="G26" s="4"/>
    </row>
    <row r="27" ht="15" hidden="0" outlineLevel="0" collapsed="0">
      <c r="A27" s="4"/>
      <c r="B27" s="4"/>
      <c r="C27" s="4"/>
      <c r="D27" s="4"/>
      <c r="E27" s="4"/>
      <c r="F27" s="4"/>
      <c r="G27" s="4"/>
    </row>
    <row r="28" ht="15" hidden="0" outlineLevel="0" collapsed="0">
      <c r="A28" s="4"/>
      <c r="B28" s="4"/>
      <c r="C28" s="4"/>
      <c r="D28" s="4"/>
      <c r="E28" s="4"/>
      <c r="F28" s="4"/>
      <c r="G28" s="4"/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  <row r="31" ht="15" hidden="0" outlineLevel="0" collapsed="0">
      <c r="A31" s="4"/>
      <c r="B31" s="4"/>
      <c r="C31" s="4"/>
      <c r="D31" s="4"/>
      <c r="E31" s="4"/>
      <c r="F31" s="4"/>
      <c r="G31" s="4"/>
    </row>
    <row r="32" ht="15" hidden="0" outlineLevel="0" collapsed="0">
      <c r="A32" s="4"/>
      <c r="B32" s="4"/>
      <c r="C32" s="4"/>
      <c r="D32" s="4"/>
      <c r="E32" s="4"/>
      <c r="F32" s="4"/>
      <c r="G32" s="4"/>
    </row>
    <row r="33" ht="15" hidden="0" outlineLevel="0" collapsed="0">
      <c r="A33" s="4"/>
      <c r="B33" s="4"/>
      <c r="C33" s="4"/>
      <c r="D33" s="4"/>
      <c r="E33" s="4"/>
      <c r="F33" s="4"/>
      <c r="G33" s="4"/>
    </row>
    <row r="34" ht="15" hidden="0" outlineLevel="0" collapsed="0">
      <c r="A34" s="4"/>
      <c r="B34" s="4"/>
      <c r="C34" s="4"/>
      <c r="D34" s="4"/>
      <c r="E34" s="4"/>
      <c r="F34" s="4"/>
      <c r="G34" s="4"/>
    </row>
    <row r="35" ht="15" hidden="0" outlineLevel="0" collapsed="0">
      <c r="A35" s="4"/>
      <c r="B35" s="4"/>
      <c r="C35" s="4"/>
      <c r="D35" s="4"/>
      <c r="E35" s="4"/>
      <c r="F35" s="4"/>
      <c r="G35" s="4"/>
    </row>
    <row r="36" ht="15" hidden="0" outlineLevel="0" collapsed="0">
      <c r="A36" s="4"/>
      <c r="B36" s="4"/>
      <c r="C36" s="4"/>
      <c r="D36" s="4"/>
      <c r="E36" s="4"/>
      <c r="F36" s="4"/>
      <c r="G36" s="4"/>
    </row>
    <row r="37" ht="15" hidden="0" outlineLevel="0" collapsed="0">
      <c r="A37" s="4"/>
      <c r="B37" s="4"/>
      <c r="C37" s="4"/>
      <c r="D37" s="4"/>
      <c r="E37" s="4"/>
      <c r="F37" s="4"/>
      <c r="G37" s="4"/>
    </row>
    <row r="38" ht="15" hidden="0" outlineLevel="0" collapsed="0">
      <c r="A38" s="4"/>
      <c r="B38" s="4"/>
      <c r="C38" s="4"/>
      <c r="D38" s="4"/>
      <c r="E38" s="4"/>
      <c r="F38" s="4"/>
      <c r="G38" s="4"/>
    </row>
    <row r="39" ht="15" hidden="0" outlineLevel="0" collapsed="0">
      <c r="A39" s="4"/>
      <c r="B39" s="4"/>
      <c r="C39" s="4"/>
      <c r="D39" s="4"/>
      <c r="E39" s="4"/>
      <c r="F39" s="4"/>
      <c r="G39" s="4"/>
    </row>
    <row r="40" ht="15" hidden="0" outlineLevel="0" collapsed="0">
      <c r="A40" s="4"/>
      <c r="B40" s="4"/>
      <c r="C40" s="4"/>
      <c r="D40" s="4"/>
      <c r="E40" s="4"/>
      <c r="F40" s="4"/>
      <c r="G40" s="4"/>
    </row>
    <row r="41" ht="15" hidden="0" outlineLevel="0" collapsed="0">
      <c r="A41" s="4"/>
      <c r="B41" s="4"/>
      <c r="C41" s="4"/>
      <c r="D41" s="4"/>
      <c r="E41" s="4"/>
      <c r="F41" s="4"/>
      <c r="G41" s="4"/>
    </row>
    <row r="42" ht="15" hidden="0" outlineLevel="0" collapsed="0">
      <c r="A42" s="4"/>
      <c r="B42" s="4"/>
      <c r="C42" s="4"/>
      <c r="D42" s="4"/>
      <c r="E42" s="4"/>
      <c r="F42" s="4"/>
      <c r="G42" s="4"/>
    </row>
    <row r="43" ht="15" hidden="0" outlineLevel="0" collapsed="0">
      <c r="A43" s="4"/>
      <c r="B43" s="4"/>
      <c r="C43" s="4"/>
      <c r="D43" s="4"/>
      <c r="E43" s="4"/>
      <c r="F43" s="4"/>
      <c r="G43" s="4"/>
    </row>
    <row r="44" ht="15" hidden="0" outlineLevel="0" collapsed="0">
      <c r="A44" s="4"/>
      <c r="B44" s="4"/>
      <c r="C44" s="4"/>
      <c r="D44" s="4"/>
      <c r="E44" s="4"/>
      <c r="F44" s="4"/>
      <c r="G44" s="4"/>
    </row>
    <row r="45" ht="15" hidden="0" outlineLevel="0" collapsed="0">
      <c r="A45" s="4"/>
      <c r="B45" s="4"/>
      <c r="C45" s="4"/>
      <c r="D45" s="4"/>
      <c r="E45" s="4"/>
      <c r="F45" s="4"/>
      <c r="G45" s="4"/>
    </row>
    <row r="46" ht="15" hidden="0" outlineLevel="0" collapsed="0">
      <c r="A46" s="4"/>
      <c r="B46" s="4"/>
      <c r="C46" s="4"/>
      <c r="D46" s="4"/>
      <c r="E46" s="4"/>
      <c r="F46" s="4"/>
      <c r="G46" s="4"/>
    </row>
    <row r="47" ht="15" hidden="0" outlineLevel="0" collapsed="0">
      <c r="A47" s="4"/>
      <c r="B47" s="4"/>
      <c r="C47" s="4"/>
      <c r="D47" s="4"/>
      <c r="E47" s="4"/>
      <c r="F47" s="4"/>
      <c r="G47" s="4"/>
    </row>
    <row r="48" ht="15" hidden="0" outlineLevel="0" collapsed="0">
      <c r="A48" s="4"/>
      <c r="B48" s="4"/>
      <c r="C48" s="4"/>
      <c r="D48" s="4"/>
      <c r="E48" s="4"/>
      <c r="F48" s="4"/>
      <c r="G48" s="4"/>
    </row>
    <row r="49" ht="15" hidden="0" outlineLevel="0" collapsed="0">
      <c r="A49" s="4"/>
      <c r="B49" s="4"/>
      <c r="C49" s="4"/>
      <c r="D49" s="4"/>
      <c r="E49" s="4"/>
      <c r="F49" s="4"/>
      <c r="G49" s="4"/>
    </row>
    <row r="50" ht="15" hidden="0" outlineLevel="0" collapsed="0">
      <c r="A50" s="4"/>
      <c r="B50" s="4"/>
      <c r="C50" s="4"/>
      <c r="D50" s="4"/>
      <c r="E50" s="4"/>
      <c r="F50" s="4"/>
      <c r="G50" s="4"/>
    </row>
    <row r="51" ht="15" hidden="0" outlineLevel="0" collapsed="0">
      <c r="A51" s="4"/>
      <c r="B51" s="4"/>
      <c r="C51" s="4"/>
      <c r="D51" s="4"/>
      <c r="E51" s="4"/>
      <c r="F51" s="4"/>
      <c r="G51" s="4"/>
    </row>
    <row r="52" ht="15" hidden="0" outlineLevel="0" collapsed="0">
      <c r="A52" s="4"/>
      <c r="B52" s="4"/>
      <c r="C52" s="4"/>
      <c r="D52" s="4"/>
      <c r="E52" s="4"/>
      <c r="F52" s="4"/>
      <c r="G52" s="4"/>
    </row>
    <row r="53" ht="15" hidden="0" outlineLevel="0" collapsed="0">
      <c r="A53" s="4"/>
      <c r="B53" s="4"/>
      <c r="C53" s="4"/>
      <c r="D53" s="4"/>
      <c r="E53" s="4"/>
      <c r="F53" s="4"/>
      <c r="G53" s="4"/>
    </row>
    <row r="54" ht="15" hidden="0" outlineLevel="0" collapsed="0">
      <c r="A54" s="4"/>
      <c r="B54" s="4"/>
      <c r="C54" s="4"/>
      <c r="D54" s="4"/>
      <c r="E54" s="4"/>
      <c r="F54" s="4"/>
      <c r="G54" s="4"/>
    </row>
    <row r="55" ht="15" hidden="0" outlineLevel="0" collapsed="0">
      <c r="A55" s="4"/>
      <c r="B55" s="4"/>
      <c r="C55" s="4"/>
      <c r="D55" s="4"/>
      <c r="E55" s="4"/>
      <c r="F55" s="4"/>
      <c r="G55" s="4"/>
    </row>
    <row r="56" ht="15" hidden="0" outlineLevel="0" collapsed="0">
      <c r="A56" s="4"/>
      <c r="B56" s="4"/>
      <c r="C56" s="4"/>
      <c r="D56" s="4"/>
      <c r="E56" s="4"/>
      <c r="F56" s="4"/>
      <c r="G56" s="4"/>
    </row>
    <row r="57" ht="15" hidden="0" outlineLevel="0" collapsed="0">
      <c r="A57" s="4"/>
      <c r="B57" s="4"/>
      <c r="C57" s="4"/>
      <c r="D57" s="4"/>
      <c r="E57" s="4"/>
      <c r="F57" s="4"/>
      <c r="G57" s="4"/>
    </row>
    <row r="58" ht="15" hidden="0" outlineLevel="0" collapsed="0">
      <c r="A58" s="4"/>
      <c r="B58" s="4"/>
      <c r="C58" s="4"/>
      <c r="D58" s="4"/>
      <c r="E58" s="4"/>
      <c r="F58" s="4"/>
      <c r="G58" s="4"/>
    </row>
    <row r="59" ht="15" hidden="0" outlineLevel="0" collapsed="0">
      <c r="A59" s="4"/>
      <c r="B59" s="4"/>
      <c r="C59" s="4"/>
      <c r="D59" s="4"/>
      <c r="E59" s="4"/>
      <c r="F59" s="4"/>
      <c r="G59" s="4"/>
    </row>
    <row r="60" ht="15" hidden="0" outlineLevel="0" collapsed="0">
      <c r="A60" s="4"/>
      <c r="B60" s="4"/>
      <c r="C60" s="4"/>
      <c r="D60" s="4"/>
      <c r="E60" s="4"/>
      <c r="F60" s="4"/>
      <c r="G60" s="4"/>
    </row>
    <row r="61" ht="15" hidden="0" outlineLevel="0" collapsed="0">
      <c r="A61" s="4"/>
      <c r="B61" s="4"/>
      <c r="C61" s="4"/>
      <c r="D61" s="4"/>
      <c r="E61" s="4"/>
      <c r="F61" s="4"/>
      <c r="G61" s="4"/>
    </row>
    <row r="62" ht="15" hidden="0" outlineLevel="0" collapsed="0">
      <c r="A62" s="4"/>
      <c r="B62" s="4"/>
      <c r="C62" s="4"/>
      <c r="D62" s="4"/>
      <c r="E62" s="4"/>
      <c r="F62" s="4"/>
      <c r="G62" s="4"/>
    </row>
    <row r="63" ht="15" hidden="0" outlineLevel="0" collapsed="0">
      <c r="A63" s="4"/>
      <c r="B63" s="4"/>
      <c r="C63" s="4"/>
      <c r="D63" s="4"/>
      <c r="E63" s="4"/>
      <c r="F63" s="4"/>
      <c r="G63" s="4"/>
    </row>
    <row r="64" ht="15" hidden="0" outlineLevel="0" collapsed="0">
      <c r="A64" s="4"/>
      <c r="B64" s="4"/>
      <c r="C64" s="4"/>
      <c r="D64" s="4"/>
      <c r="E64" s="4"/>
      <c r="F64" s="4"/>
      <c r="G64" s="4"/>
    </row>
    <row r="65" ht="15" hidden="0" outlineLevel="0" collapsed="0">
      <c r="A65" s="4"/>
      <c r="B65" s="4"/>
      <c r="C65" s="4"/>
      <c r="D65" s="4"/>
      <c r="E65" s="4"/>
      <c r="F65" s="4"/>
      <c r="G65" s="4"/>
    </row>
    <row r="66" ht="15" hidden="0" outlineLevel="0" collapsed="0">
      <c r="A66" s="4"/>
      <c r="B66" s="4"/>
      <c r="C66" s="4"/>
      <c r="D66" s="4"/>
      <c r="E66" s="4"/>
      <c r="F66" s="4"/>
      <c r="G66" s="4"/>
    </row>
    <row r="67" ht="15" hidden="0" outlineLevel="0" collapsed="0">
      <c r="A67" s="4"/>
      <c r="B67" s="4"/>
      <c r="C67" s="4"/>
      <c r="D67" s="4"/>
      <c r="E67" s="4"/>
      <c r="F67" s="4"/>
      <c r="G67" s="4"/>
    </row>
    <row r="68" ht="15" hidden="0" outlineLevel="0" collapsed="0">
      <c r="A68" s="4"/>
      <c r="B68" s="4"/>
      <c r="C68" s="4"/>
      <c r="D68" s="4"/>
      <c r="E68" s="4"/>
      <c r="F68" s="4"/>
      <c r="G68" s="4"/>
    </row>
    <row r="69" ht="15" hidden="0" outlineLevel="0" collapsed="0">
      <c r="A69" s="4"/>
      <c r="B69" s="4"/>
      <c r="C69" s="4"/>
      <c r="D69" s="4"/>
      <c r="E69" s="4"/>
      <c r="F69" s="4"/>
      <c r="G69" s="4"/>
    </row>
    <row r="70" ht="15" hidden="0" outlineLevel="0" collapsed="0">
      <c r="A70" s="4"/>
      <c r="B70" s="4"/>
      <c r="C70" s="4"/>
      <c r="D70" s="4"/>
      <c r="E70" s="4"/>
      <c r="F70" s="4"/>
      <c r="G70" s="4"/>
    </row>
    <row r="71" ht="15" hidden="0" outlineLevel="0" collapsed="0">
      <c r="A71" s="4"/>
      <c r="B71" s="4"/>
      <c r="C71" s="4"/>
      <c r="D71" s="4"/>
      <c r="E71" s="4"/>
      <c r="F71" s="4"/>
      <c r="G71" s="4"/>
    </row>
    <row r="72" ht="15" hidden="0" outlineLevel="0" collapsed="0">
      <c r="A72" s="4"/>
      <c r="B72" s="4"/>
      <c r="C72" s="4"/>
      <c r="D72" s="4"/>
      <c r="E72" s="4"/>
      <c r="F72" s="4"/>
      <c r="G72" s="4"/>
    </row>
    <row r="73" ht="15" hidden="0" outlineLevel="0" collapsed="0">
      <c r="A73" s="4"/>
      <c r="B73" s="4"/>
      <c r="C73" s="4"/>
      <c r="D73" s="4"/>
      <c r="E73" s="4"/>
      <c r="F73" s="4"/>
      <c r="G73" s="4"/>
    </row>
    <row r="74" ht="15" hidden="0" outlineLevel="0" collapsed="0">
      <c r="A74" s="4"/>
      <c r="B74" s="4"/>
      <c r="C74" s="4"/>
      <c r="D74" s="4"/>
      <c r="E74" s="4"/>
      <c r="F74" s="4"/>
      <c r="G74" s="4"/>
    </row>
    <row r="75" ht="15" hidden="0" outlineLevel="0" collapsed="0">
      <c r="A75" s="4"/>
      <c r="B75" s="4"/>
      <c r="C75" s="4"/>
      <c r="D75" s="4"/>
      <c r="E75" s="4"/>
      <c r="F75" s="4"/>
      <c r="G75" s="4"/>
    </row>
    <row r="76" ht="15" hidden="0" outlineLevel="0" collapsed="0">
      <c r="A76" s="4"/>
      <c r="B76" s="4"/>
      <c r="C76" s="4"/>
      <c r="D76" s="4"/>
      <c r="E76" s="4"/>
      <c r="F76" s="4"/>
      <c r="G76" s="4"/>
    </row>
    <row r="77" ht="15" hidden="0" outlineLevel="0" collapsed="0">
      <c r="A77" s="4"/>
      <c r="B77" s="4"/>
      <c r="C77" s="4"/>
      <c r="D77" s="4"/>
      <c r="E77" s="4"/>
      <c r="F77" s="4"/>
      <c r="G77" s="4"/>
    </row>
    <row r="78" ht="15" hidden="0" outlineLevel="0" collapsed="0">
      <c r="A78" s="4"/>
      <c r="B78" s="4"/>
      <c r="C78" s="4"/>
      <c r="D78" s="4"/>
      <c r="E78" s="4"/>
      <c r="F78" s="4"/>
      <c r="G78" s="4"/>
    </row>
    <row r="79" ht="15" hidden="0" outlineLevel="0" collapsed="0">
      <c r="A79" s="4"/>
      <c r="B79" s="4"/>
      <c r="C79" s="4"/>
      <c r="D79" s="4"/>
      <c r="E79" s="4"/>
      <c r="F79" s="4"/>
      <c r="G79" s="4"/>
    </row>
    <row r="80" ht="15" hidden="0" outlineLevel="0" collapsed="0">
      <c r="A80" s="4"/>
      <c r="B80" s="4"/>
      <c r="C80" s="4"/>
      <c r="D80" s="4"/>
      <c r="E80" s="4"/>
      <c r="F80" s="4"/>
      <c r="G8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6" width="15" style="1" hidden="0" customWidth="1" outlineLevel="0" collapsed="0"/>
    <col min="7" max="8" width="28" style="1" hidden="0" customWidth="1" outlineLevel="0" collapsed="0"/>
  </cols>
  <sheetData>
    <row r="1" ht="28" hidden="0" outlineLevel="0" collapsed="0">
      <c r="A1" s="2" t="s">
        <v>234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235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20" hidden="0" outlineLevel="0" collapsed="0">
      <c r="A4" s="51" t="s">
        <v>236</v>
      </c>
      <c r="B4" s="51"/>
      <c r="C4" s="51"/>
      <c r="D4" s="51"/>
      <c r="E4" s="51"/>
      <c r="F4" s="51"/>
      <c r="G4" s="51"/>
      <c r="H4" s="51"/>
    </row>
    <row r="5" ht="15" hidden="0" outlineLevel="0" collapsed="0">
      <c r="A5" s="52" t="s">
        <v>32</v>
      </c>
      <c r="B5" s="53" t="s">
        <v>203</v>
      </c>
      <c r="C5" s="53" t="s">
        <v>204</v>
      </c>
      <c r="D5" s="53" t="s">
        <v>205</v>
      </c>
      <c r="E5" s="53" t="s">
        <v>206</v>
      </c>
      <c r="F5" s="53" t="s">
        <v>207</v>
      </c>
      <c r="G5" s="54" t="s">
        <v>237</v>
      </c>
      <c r="H5" s="4"/>
    </row>
    <row r="6" ht="15" hidden="0" outlineLevel="0" collapsed="0">
      <c r="A6" s="55" t="s">
        <v>226</v>
      </c>
      <c r="B6" s="28">
        <f>Operating_Model!C23</f>
        <v>18445.9</v>
      </c>
      <c r="C6" s="28">
        <f>Operating_Model!D23</f>
        <v>19486.56562690905</v>
      </c>
      <c r="D6" s="28">
        <f>Operating_Model!E23</f>
        <v>20568.85787889446</v>
      </c>
      <c r="E6" s="28">
        <f>Operating_Model!F23</f>
        <v>21694.441820959284</v>
      </c>
      <c r="F6" s="28">
        <f>Operating_Model!G23</f>
        <v>22865.049120706703</v>
      </c>
      <c r="G6" s="56"/>
      <c r="H6" s="4"/>
    </row>
    <row r="7" ht="15" hidden="0" outlineLevel="0" collapsed="0">
      <c r="A7" s="55" t="s">
        <v>233</v>
      </c>
      <c r="B7" s="28">
        <f>Operating_Model!C20</f>
        <v>1892.1193216528143</v>
      </c>
      <c r="C7" s="28">
        <f>Operating_Model!D20</f>
        <v>1967.8040945189264</v>
      </c>
      <c r="D7" s="28">
        <f>Operating_Model!E20</f>
        <v>2046.5162582996836</v>
      </c>
      <c r="E7" s="28">
        <f>Operating_Model!F20</f>
        <v>2128.3769086316706</v>
      </c>
      <c r="F7" s="28">
        <f>Operating_Model!G20</f>
        <v>2213.511984976938</v>
      </c>
      <c r="G7" s="56"/>
      <c r="H7" s="4"/>
    </row>
    <row r="8" ht="15" hidden="0" outlineLevel="0" collapsed="0">
      <c r="A8" s="55" t="s">
        <v>238</v>
      </c>
      <c r="B8" s="28">
        <f>B6*Assumptions!$E$15</f>
        <v>2582.4260000000004</v>
      </c>
      <c r="C8" s="28">
        <f>C6*Assumptions!$E$15</f>
        <v>2728.1191877672672</v>
      </c>
      <c r="D8" s="28">
        <f>D6*Assumptions!$E$15</f>
        <v>2879.640103045225</v>
      </c>
      <c r="E8" s="28">
        <f>E6*Assumptions!$E$15</f>
        <v>3037.2218549343</v>
      </c>
      <c r="F8" s="28">
        <f>F6*Assumptions!$E$15</f>
        <v>3201.1068768989385</v>
      </c>
      <c r="G8" s="56"/>
      <c r="H8" s="4"/>
    </row>
    <row r="9" ht="15" hidden="0" outlineLevel="0" collapsed="0">
      <c r="A9" s="55" t="s">
        <v>236</v>
      </c>
      <c r="B9" s="28">
        <f>B7-B8</f>
        <v>-690.3066783471861</v>
      </c>
      <c r="C9" s="28">
        <f>C7-C8</f>
        <v>-760.3150932483409</v>
      </c>
      <c r="D9" s="28">
        <f>D7-D8</f>
        <v>-833.1238447455412</v>
      </c>
      <c r="E9" s="28">
        <f>E7-E8</f>
        <v>-908.8449463026295</v>
      </c>
      <c r="F9" s="28">
        <f>F7-F8</f>
        <v>-987.5948919220004</v>
      </c>
      <c r="G9" s="56"/>
      <c r="H9" s="4"/>
    </row>
    <row r="10" ht="15" hidden="0" outlineLevel="0" collapsed="0">
      <c r="A10" s="55" t="s">
        <v>239</v>
      </c>
      <c r="B10" s="30">
        <f>1/(1+Assumptions!$E$15)</f>
        <v>0.8771929824561403</v>
      </c>
      <c r="C10" s="30">
        <f>B10/(1+Assumptions!$E$15)</f>
        <v>0.7694675284702984</v>
      </c>
      <c r="D10" s="30">
        <f>C10/(1+Assumptions!$E$15)</f>
        <v>0.6749715162020161</v>
      </c>
      <c r="E10" s="30">
        <f>D10/(1+Assumptions!$E$15)</f>
        <v>0.5920802773701895</v>
      </c>
      <c r="F10" s="30">
        <f>E10/(1+Assumptions!$E$15)</f>
        <v>0.5193686643598153</v>
      </c>
      <c r="G10" s="56"/>
      <c r="H10" s="4"/>
    </row>
    <row r="11" ht="15" hidden="0" outlineLevel="0" collapsed="0">
      <c r="A11" s="55" t="s">
        <v>240</v>
      </c>
      <c r="B11" s="28">
        <f>B9*B10</f>
        <v>-605.5321739887597</v>
      </c>
      <c r="C11" s="28">
        <f>C9*C10</f>
        <v>-585.0377756604653</v>
      </c>
      <c r="D11" s="28">
        <f>D9*D10</f>
        <v>-562.334864671951</v>
      </c>
      <c r="E11" s="28">
        <f>E9*E10</f>
        <v>-538.1091678933559</v>
      </c>
      <c r="F11" s="28">
        <f>F9*F10</f>
        <v>-512.9258399461055</v>
      </c>
      <c r="G11" s="56">
        <f>SUM(B11:F11)</f>
        <v>-2803.9398221606375</v>
      </c>
      <c r="H11" s="4"/>
    </row>
    <row r="12" ht="15" hidden="0" outlineLevel="0" collapsed="0">
      <c r="A12" s="55" t="s">
        <v>241</v>
      </c>
      <c r="B12" s="28"/>
      <c r="C12" s="28"/>
      <c r="D12" s="28"/>
      <c r="E12" s="28"/>
      <c r="F12" s="28"/>
      <c r="G12" s="56">
        <f>F9*(1+Assumptions!E16)/(Assumptions!E15-Assumptions!E16)*F10</f>
        <v>-5334.428735439497</v>
      </c>
      <c r="H12" s="4"/>
    </row>
    <row r="13" ht="15" hidden="0" outlineLevel="0" collapsed="0">
      <c r="A13" s="57" t="s">
        <v>242</v>
      </c>
      <c r="B13" s="58"/>
      <c r="C13" s="58"/>
      <c r="D13" s="58"/>
      <c r="E13" s="58"/>
      <c r="F13" s="58"/>
      <c r="G13" s="59">
        <f>Historical!D16+G11+G12</f>
        <v>10307.531442399868</v>
      </c>
      <c r="H13" s="4"/>
    </row>
    <row r="14" ht="15" hidden="0" outlineLevel="0" collapsed="0">
      <c r="A14" s="4"/>
      <c r="B14" s="60"/>
      <c r="C14" s="60"/>
      <c r="D14" s="60"/>
      <c r="E14" s="60"/>
      <c r="F14" s="60"/>
      <c r="G14" s="60"/>
      <c r="H14" s="4"/>
    </row>
    <row r="15" ht="20" hidden="0" outlineLevel="0" collapsed="0">
      <c r="A15" s="51" t="s">
        <v>243</v>
      </c>
      <c r="B15" s="51"/>
      <c r="C15" s="51"/>
      <c r="D15" s="51"/>
      <c r="E15" s="51"/>
      <c r="F15" s="51"/>
      <c r="G15" s="51"/>
      <c r="H15" s="51"/>
    </row>
    <row r="16" ht="15" hidden="0" outlineLevel="0" collapsed="0">
      <c r="A16" s="52" t="s">
        <v>32</v>
      </c>
      <c r="B16" s="61" t="s">
        <v>203</v>
      </c>
      <c r="C16" s="61" t="s">
        <v>204</v>
      </c>
      <c r="D16" s="61" t="s">
        <v>205</v>
      </c>
      <c r="E16" s="61" t="s">
        <v>206</v>
      </c>
      <c r="F16" s="61" t="s">
        <v>207</v>
      </c>
      <c r="G16" s="62" t="s">
        <v>237</v>
      </c>
      <c r="H16" s="4"/>
    </row>
    <row r="17" ht="15" hidden="0" outlineLevel="0" collapsed="0">
      <c r="A17" s="55" t="s">
        <v>225</v>
      </c>
      <c r="B17" s="28">
        <f>Operating_Model!C22</f>
        <v>851.4536947437664</v>
      </c>
      <c r="C17" s="28">
        <f>Operating_Model!D22</f>
        <v>885.5118425335169</v>
      </c>
      <c r="D17" s="28">
        <f>Operating_Model!E22</f>
        <v>920.9323162348577</v>
      </c>
      <c r="E17" s="28">
        <f>Operating_Model!F22</f>
        <v>957.7696088842519</v>
      </c>
      <c r="F17" s="28">
        <f>Operating_Model!G22</f>
        <v>996.0803932396221</v>
      </c>
      <c r="G17" s="56"/>
      <c r="H17" s="4"/>
    </row>
    <row r="18" ht="15" hidden="0" outlineLevel="0" collapsed="0">
      <c r="A18" s="55" t="s">
        <v>239</v>
      </c>
      <c r="B18" s="28">
        <f>B10</f>
        <v>0.8771929824561403</v>
      </c>
      <c r="C18" s="28">
        <f>C10</f>
        <v>0.7694675284702984</v>
      </c>
      <c r="D18" s="28">
        <f>D10</f>
        <v>0.6749715162020161</v>
      </c>
      <c r="E18" s="28">
        <f>E10</f>
        <v>0.5920802773701895</v>
      </c>
      <c r="F18" s="28">
        <f>F10</f>
        <v>0.5193686643598153</v>
      </c>
      <c r="G18" s="56"/>
      <c r="H18" s="4"/>
    </row>
    <row r="19" ht="15" hidden="0" outlineLevel="0" collapsed="0">
      <c r="A19" s="55" t="s">
        <v>244</v>
      </c>
      <c r="B19" s="28">
        <f>B17*B18</f>
        <v>746.8892059155845</v>
      </c>
      <c r="C19" s="28">
        <f>C17*C18</f>
        <v>681.3726089054453</v>
      </c>
      <c r="D19" s="28">
        <f>D17*D18</f>
        <v>621.6030818084765</v>
      </c>
      <c r="E19" s="28">
        <f>E17*E18</f>
        <v>567.0764956849258</v>
      </c>
      <c r="F19" s="28">
        <f>F17*F18</f>
        <v>517.3329434318622</v>
      </c>
      <c r="G19" s="56">
        <f>SUM(B19:F19)</f>
        <v>3134.274335746294</v>
      </c>
      <c r="H19" s="4"/>
    </row>
    <row r="20" ht="15" hidden="0" outlineLevel="0" collapsed="0">
      <c r="A20" s="55" t="s">
        <v>245</v>
      </c>
      <c r="B20" s="28"/>
      <c r="C20" s="28"/>
      <c r="D20" s="28"/>
      <c r="E20" s="28"/>
      <c r="F20" s="28"/>
      <c r="G20" s="56">
        <f>F17*(1+Assumptions!E16)/(Assumptions!E15-Assumptions!E16)*F18</f>
        <v>5380.262611691366</v>
      </c>
      <c r="H20" s="4"/>
    </row>
    <row r="21" ht="15" hidden="0" outlineLevel="0" collapsed="0">
      <c r="A21" s="57" t="s">
        <v>246</v>
      </c>
      <c r="B21" s="58"/>
      <c r="C21" s="58"/>
      <c r="D21" s="58"/>
      <c r="E21" s="58"/>
      <c r="F21" s="58"/>
      <c r="G21" s="59">
        <f>G19+G20</f>
        <v>8514.53694743766</v>
      </c>
      <c r="H21" s="4"/>
    </row>
    <row r="22" ht="15" hidden="0" outlineLevel="0" collapsed="0">
      <c r="A22" s="4"/>
      <c r="B22" s="60"/>
      <c r="C22" s="60"/>
      <c r="D22" s="60"/>
      <c r="E22" s="60"/>
      <c r="F22" s="60"/>
      <c r="G22" s="60"/>
      <c r="H22" s="4"/>
    </row>
    <row r="23" ht="20" hidden="0" outlineLevel="0" collapsed="0">
      <c r="A23" s="51" t="s">
        <v>247</v>
      </c>
      <c r="B23" s="51"/>
      <c r="C23" s="51"/>
      <c r="D23" s="51"/>
      <c r="E23" s="51"/>
      <c r="F23" s="51"/>
      <c r="G23" s="51"/>
      <c r="H23" s="51"/>
    </row>
    <row r="24" ht="15" hidden="0" outlineLevel="0" collapsed="0">
      <c r="A24" s="52" t="s">
        <v>248</v>
      </c>
      <c r="B24" s="61" t="s">
        <v>249</v>
      </c>
      <c r="C24" s="61" t="s">
        <v>250</v>
      </c>
      <c r="D24" s="61" t="s">
        <v>3</v>
      </c>
      <c r="E24" s="61" t="s">
        <v>251</v>
      </c>
      <c r="F24" s="61" t="s">
        <v>252</v>
      </c>
      <c r="G24" s="62" t="s">
        <v>253</v>
      </c>
      <c r="H24" s="4"/>
    </row>
    <row r="25" ht="15" hidden="0" outlineLevel="0" collapsed="0">
      <c r="A25" s="55" t="s">
        <v>254</v>
      </c>
      <c r="B25" s="28">
        <v>1943.077</v>
      </c>
      <c r="C25" s="63">
        <f>Assumptions!E17</f>
        <v>8</v>
      </c>
      <c r="D25" s="28">
        <f>B25*C25</f>
        <v>15544.616</v>
      </c>
      <c r="E25" s="28" t="s">
        <v>255</v>
      </c>
      <c r="F25" s="28" t="s">
        <v>256</v>
      </c>
      <c r="G25" s="56" t="s">
        <v>257</v>
      </c>
      <c r="H25" s="4"/>
    </row>
    <row r="26" ht="15" hidden="0" outlineLevel="0" collapsed="0">
      <c r="A26" s="55" t="s">
        <v>258</v>
      </c>
      <c r="B26" s="28">
        <v>1173.734</v>
      </c>
      <c r="C26" s="63">
        <f>Assumptions!E18</f>
        <v>9</v>
      </c>
      <c r="D26" s="28">
        <f>B26*C26</f>
        <v>10563.606</v>
      </c>
      <c r="E26" s="28" t="s">
        <v>255</v>
      </c>
      <c r="F26" s="28" t="s">
        <v>259</v>
      </c>
      <c r="G26" s="56" t="s">
        <v>257</v>
      </c>
      <c r="H26" s="4"/>
    </row>
    <row r="27" ht="15" hidden="0" outlineLevel="0" collapsed="0">
      <c r="A27" s="55" t="s">
        <v>260</v>
      </c>
      <c r="B27" s="28">
        <v>703.01</v>
      </c>
      <c r="C27" s="63">
        <f>Assumptions!E19</f>
        <v>12</v>
      </c>
      <c r="D27" s="28">
        <f>B27*C27</f>
        <v>8436.119999999999</v>
      </c>
      <c r="E27" s="28" t="s">
        <v>255</v>
      </c>
      <c r="F27" s="28" t="s">
        <v>261</v>
      </c>
      <c r="G27" s="56" t="s">
        <v>257</v>
      </c>
      <c r="H27" s="4"/>
    </row>
    <row r="28" ht="15" hidden="0" outlineLevel="0" collapsed="0">
      <c r="A28" s="55" t="s">
        <v>262</v>
      </c>
      <c r="B28" s="28">
        <v>1722.689</v>
      </c>
      <c r="C28" s="63">
        <f>Assumptions!E20</f>
        <v>5</v>
      </c>
      <c r="D28" s="28">
        <f>B28*C28</f>
        <v>8613.445</v>
      </c>
      <c r="E28" s="28" t="s">
        <v>255</v>
      </c>
      <c r="F28" s="28" t="s">
        <v>263</v>
      </c>
      <c r="G28" s="56" t="s">
        <v>257</v>
      </c>
      <c r="H28" s="4"/>
    </row>
    <row r="29" ht="15" hidden="0" outlineLevel="0" collapsed="0">
      <c r="A29" s="55" t="s">
        <v>264</v>
      </c>
      <c r="B29" s="28">
        <v>-2353.984</v>
      </c>
      <c r="C29" s="63">
        <f>Assumptions!E20</f>
        <v>5</v>
      </c>
      <c r="D29" s="28">
        <f>B29*C29</f>
        <v>-11769.92</v>
      </c>
      <c r="E29" s="28" t="s">
        <v>255</v>
      </c>
      <c r="F29" s="28" t="s">
        <v>265</v>
      </c>
      <c r="G29" s="56" t="s">
        <v>257</v>
      </c>
      <c r="H29" s="4"/>
    </row>
    <row r="30" ht="15" hidden="0" outlineLevel="0" collapsed="0">
      <c r="A30" s="57" t="s">
        <v>266</v>
      </c>
      <c r="B30" s="58"/>
      <c r="C30" s="58"/>
      <c r="D30" s="58">
        <f>SUM(D25:D29)</f>
        <v>31387.867</v>
      </c>
      <c r="E30" s="58"/>
      <c r="F30" s="58"/>
      <c r="G30" s="59"/>
      <c r="H30" s="4"/>
    </row>
    <row r="31" ht="15" hidden="0" outlineLevel="0" collapsed="0">
      <c r="A31" s="4"/>
      <c r="B31" s="60"/>
      <c r="C31" s="60"/>
      <c r="D31" s="60"/>
      <c r="E31" s="60"/>
      <c r="F31" s="60"/>
      <c r="G31" s="60"/>
      <c r="H31" s="4"/>
    </row>
    <row r="32" ht="20" hidden="0" outlineLevel="0" collapsed="0">
      <c r="A32" s="51" t="s">
        <v>267</v>
      </c>
      <c r="B32" s="51"/>
      <c r="C32" s="51"/>
      <c r="D32" s="51"/>
      <c r="E32" s="51"/>
      <c r="F32" s="51"/>
      <c r="G32" s="51"/>
      <c r="H32" s="51"/>
    </row>
    <row r="33" ht="15" hidden="0" outlineLevel="0" collapsed="0">
      <c r="A33" s="52" t="s">
        <v>268</v>
      </c>
      <c r="B33" s="61" t="s">
        <v>3</v>
      </c>
      <c r="C33" s="62" t="s">
        <v>269</v>
      </c>
      <c r="D33" s="60"/>
      <c r="E33" s="60"/>
      <c r="F33" s="60"/>
      <c r="G33" s="60"/>
      <c r="H33" s="4"/>
    </row>
    <row r="34" ht="15" hidden="0" outlineLevel="0" collapsed="0">
      <c r="A34" s="55" t="s">
        <v>236</v>
      </c>
      <c r="B34" s="28">
        <f>G13</f>
        <v>10307.531442399868</v>
      </c>
      <c r="C34" s="64">
        <f>Assumptions!E21</f>
        <v>0.4</v>
      </c>
      <c r="D34" s="60"/>
      <c r="E34" s="60"/>
      <c r="F34" s="60"/>
      <c r="G34" s="60"/>
      <c r="H34" s="4"/>
    </row>
    <row r="35" ht="15" hidden="0" outlineLevel="0" collapsed="0">
      <c r="A35" s="55" t="s">
        <v>270</v>
      </c>
      <c r="B35" s="28">
        <f>G21</f>
        <v>8514.53694743766</v>
      </c>
      <c r="C35" s="64">
        <f>Assumptions!E22</f>
        <v>0.3</v>
      </c>
      <c r="D35" s="60"/>
      <c r="E35" s="60"/>
      <c r="F35" s="60"/>
      <c r="G35" s="60"/>
      <c r="H35" s="4"/>
    </row>
    <row r="36" ht="15" hidden="0" outlineLevel="0" collapsed="0">
      <c r="A36" s="55" t="s">
        <v>271</v>
      </c>
      <c r="B36" s="28">
        <f>D30</f>
        <v>31387.867</v>
      </c>
      <c r="C36" s="64">
        <f>Assumptions!E23</f>
        <v>0.3</v>
      </c>
      <c r="D36" s="60"/>
      <c r="E36" s="60"/>
      <c r="F36" s="60"/>
      <c r="G36" s="60"/>
      <c r="H36" s="4"/>
    </row>
    <row r="37" ht="15" hidden="0" outlineLevel="0" collapsed="0">
      <c r="A37" s="55" t="s">
        <v>267</v>
      </c>
      <c r="B37" s="28">
        <f>SUMPRODUCT(B34:B36,C34:C36)</f>
        <v>16093.733761191244</v>
      </c>
      <c r="C37" s="56"/>
      <c r="D37" s="60"/>
      <c r="E37" s="60"/>
      <c r="F37" s="60"/>
      <c r="G37" s="60"/>
      <c r="H37" s="4"/>
    </row>
    <row r="38" ht="15" hidden="0" outlineLevel="0" collapsed="0">
      <c r="A38" s="57" t="s">
        <v>272</v>
      </c>
      <c r="B38" s="65">
        <f>B37/Historical!D26*1000</f>
        <v>677.817093704168</v>
      </c>
      <c r="C38" s="66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6">
    <mergeCell ref="A1:H1"/>
    <mergeCell ref="A2:H2"/>
    <mergeCell ref="A4:H4"/>
    <mergeCell ref="A15:H15"/>
    <mergeCell ref="A23:H23"/>
    <mergeCell ref="A32:H3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6" width="16" style="1" hidden="0" customWidth="1" outlineLevel="0" collapsed="0"/>
  </cols>
  <sheetData>
    <row r="1" ht="28" hidden="0" outlineLevel="0" collapsed="0">
      <c r="A1" s="2" t="s">
        <v>273</v>
      </c>
      <c r="B1" s="2"/>
      <c r="C1" s="2"/>
      <c r="D1" s="2"/>
      <c r="E1" s="2"/>
      <c r="F1" s="2"/>
      <c r="G1" s="2"/>
    </row>
    <row r="2" ht="28" hidden="0" outlineLevel="0" collapsed="0">
      <c r="A2" s="3" t="s">
        <v>274</v>
      </c>
      <c r="B2" s="3"/>
      <c r="C2" s="3"/>
      <c r="D2" s="3"/>
      <c r="E2" s="3"/>
      <c r="F2" s="3"/>
      <c r="G2" s="3"/>
    </row>
    <row r="3" ht="15" hidden="0" outlineLevel="0" collapsed="0">
      <c r="A3" s="4"/>
      <c r="B3" s="4"/>
      <c r="C3" s="4"/>
      <c r="D3" s="4"/>
      <c r="E3" s="4"/>
      <c r="F3" s="4"/>
      <c r="G3" s="4"/>
    </row>
    <row r="4" ht="15" hidden="0" outlineLevel="0" collapsed="0">
      <c r="A4" s="67" t="s">
        <v>275</v>
      </c>
      <c r="B4" s="67">
        <v>0.02</v>
      </c>
      <c r="C4" s="67">
        <v>0.03</v>
      </c>
      <c r="D4" s="67">
        <v>0.04</v>
      </c>
      <c r="E4" s="67">
        <v>0.05</v>
      </c>
      <c r="F4" s="67">
        <v>0.06</v>
      </c>
      <c r="G4" s="4"/>
    </row>
    <row r="5" ht="15" hidden="0" outlineLevel="0" collapsed="0">
      <c r="A5" s="67">
        <v>0.12</v>
      </c>
      <c r="B5" s="68">
        <f>(Historical!D16+SUM(Valuation!B9/(1+$A5)^1,Valuation!C9/(1+$A5)^2,Valuation!D9/(1+$A5)^3,Valuation!E9/(1+$A5)^4,Valuation!F9/(1+$A5)^5)+Valuation!F9*(1+B$4)/($A5-B$4)/(1+$A5)^5)/Historical!D26*1000</f>
        <v>411.7553691969193</v>
      </c>
      <c r="C5" s="68">
        <f>(Historical!D16+SUM(Valuation!B9/(1+$A5)^1,Valuation!C9/(1+$A5)^2,Valuation!D9/(1+$A5)^3,Valuation!E9/(1+$A5)^4,Valuation!F9/(1+$A5)^5)+Valuation!F9*(1+C$4)/($A5-C$4)/(1+$A5)^5)/Historical!D26*1000</f>
        <v>382.384287630322</v>
      </c>
      <c r="D5" s="68">
        <f>(Historical!D16+SUM(Valuation!B9/(1+$A5)^1,Valuation!C9/(1+$A5)^2,Valuation!D9/(1+$A5)^3,Valuation!E9/(1+$A5)^4,Valuation!F9/(1+$A5)^5)+Valuation!F9*(1+D$4)/($A5-D$4)/(1+$A5)^5)/Historical!D26*1000</f>
        <v>345.67043567207526</v>
      </c>
      <c r="E5" s="68">
        <f>(Historical!D16+SUM(Valuation!B9/(1+$A5)^1,Valuation!C9/(1+$A5)^2,Valuation!D9/(1+$A5)^3,Valuation!E9/(1+$A5)^4,Valuation!F9/(1+$A5)^5)+Valuation!F9*(1+E$4)/($A5-E$4)/(1+$A5)^5)/Historical!D26*1000</f>
        <v>298.46691172575817</v>
      </c>
      <c r="F5" s="68">
        <f>(Historical!D16+SUM(Valuation!B9/(1+$A5)^1,Valuation!C9/(1+$A5)^2,Valuation!D9/(1+$A5)^3,Valuation!E9/(1+$A5)^4,Valuation!F9/(1+$A5)^5)+Valuation!F9*(1+F$4)/($A5-F$4)/(1+$A5)^5)/Historical!D26*1000</f>
        <v>235.52887979733546</v>
      </c>
      <c r="G5" s="4"/>
    </row>
    <row r="6" ht="15" hidden="0" outlineLevel="0" collapsed="0">
      <c r="A6" s="67">
        <v>0.13</v>
      </c>
      <c r="B6" s="68">
        <f>(Historical!D16+SUM(Valuation!B9/(1+$A6)^1,Valuation!C9/(1+$A6)^2,Valuation!D9/(1+$A6)^3,Valuation!E9/(1+$A6)^4,Valuation!F9/(1+$A6)^5)+Valuation!F9*(1+B$4)/($A6-B$4)/(1+$A6)^5)/Historical!D26*1000</f>
        <v>446.36700073255713</v>
      </c>
      <c r="C6" s="68">
        <f>(Historical!D16+SUM(Valuation!B9/(1+$A6)^1,Valuation!C9/(1+$A6)^2,Valuation!D9/(1+$A6)^3,Valuation!E9/(1+$A6)^4,Valuation!F9/(1+$A6)^5)+Valuation!F9*(1+C$4)/($A6-C$4)/(1+$A6)^5)/Historical!D26*1000</f>
        <v>423.1755412543496</v>
      </c>
      <c r="D6" s="68">
        <f>(Historical!D16+SUM(Valuation!B9/(1+$A6)^1,Valuation!C9/(1+$A6)^2,Valuation!D9/(1+$A6)^3,Valuation!E9/(1+$A6)^4,Valuation!F9/(1+$A6)^5)+Valuation!F9*(1+D$4)/($A6-D$4)/(1+$A6)^5)/Historical!D26*1000</f>
        <v>394.83042411431796</v>
      </c>
      <c r="E6" s="68">
        <f>(Historical!D16+SUM(Valuation!B9/(1+$A6)^1,Valuation!C9/(1+$A6)^2,Valuation!D9/(1+$A6)^3,Valuation!E9/(1+$A6)^4,Valuation!F9/(1+$A6)^5)+Valuation!F9*(1+E$4)/($A6-E$4)/(1+$A6)^5)/Historical!D26*1000</f>
        <v>359.3990276892786</v>
      </c>
      <c r="F6" s="68">
        <f>(Historical!D16+SUM(Valuation!B9/(1+$A6)^1,Valuation!C9/(1+$A6)^2,Valuation!D9/(1+$A6)^3,Valuation!E9/(1+$A6)^4,Valuation!F9/(1+$A6)^5)+Valuation!F9*(1+F$4)/($A6-F$4)/(1+$A6)^5)/Historical!D26*1000</f>
        <v>313.84437514279944</v>
      </c>
      <c r="G6" s="4"/>
    </row>
    <row r="7" ht="15" hidden="0" outlineLevel="0" collapsed="0">
      <c r="A7" s="67">
        <v>0.14</v>
      </c>
      <c r="B7" s="68">
        <f>(Historical!D16+SUM(Valuation!B9/(1+$A7)^1,Valuation!C9/(1+$A7)^2,Valuation!D9/(1+$A7)^3,Valuation!E9/(1+$A7)^4,Valuation!F9/(1+$A7)^5)+Valuation!F9*(1+B$4)/($A7-B$4)/(1+$A7)^5)/Historical!D26*1000</f>
        <v>475.1659206651398</v>
      </c>
      <c r="C7" s="68">
        <f>(Historical!D16+SUM(Valuation!B9/(1+$A7)^1,Valuation!C9/(1+$A7)^2,Valuation!D9/(1+$A7)^3,Valuation!E9/(1+$A7)^4,Valuation!F9/(1+$A7)^5)+Valuation!F9*(1+C$4)/($A7-C$4)/(1+$A7)^5)/Historical!D26*1000</f>
        <v>456.5089468101923</v>
      </c>
      <c r="D7" s="69">
        <f>(Historical!D16+SUM(Valuation!B9/(1+$A7)^1,Valuation!C9/(1+$A7)^2,Valuation!D9/(1+$A7)^3,Valuation!E9/(1+$A7)^4,Valuation!F9/(1+$A7)^5)+Valuation!F9*(1+D$4)/($A7-D$4)/(1+$A7)^5)/Historical!D26*1000</f>
        <v>434.120578184255</v>
      </c>
      <c r="E7" s="68">
        <f>(Historical!D16+SUM(Valuation!B9/(1+$A7)^1,Valuation!C9/(1+$A7)^2,Valuation!D9/(1+$A7)^3,Valuation!E9/(1+$A7)^4,Valuation!F9/(1+$A7)^5)+Valuation!F9*(1+E$4)/($A7-E$4)/(1+$A7)^5)/Historical!D26*1000</f>
        <v>406.75701653033184</v>
      </c>
      <c r="F7" s="68">
        <f>(Historical!D16+SUM(Valuation!B9/(1+$A7)^1,Valuation!C9/(1+$A7)^2,Valuation!D9/(1+$A7)^3,Valuation!E9/(1+$A7)^4,Valuation!F9/(1+$A7)^5)+Valuation!F9*(1+F$4)/($A7-F$4)/(1+$A7)^5)/Historical!D26*1000</f>
        <v>372.5525644629278</v>
      </c>
      <c r="G7" s="4"/>
    </row>
    <row r="8" ht="15" hidden="0" outlineLevel="0" collapsed="0">
      <c r="A8" s="67">
        <v>0.15</v>
      </c>
      <c r="B8" s="68">
        <f>(Historical!D16+SUM(Valuation!B9/(1+$A8)^1,Valuation!C9/(1+$A8)^2,Valuation!D9/(1+$A8)^3,Valuation!E9/(1+$A8)^4,Valuation!F9/(1+$A8)^5)+Valuation!F9*(1+B$4)/($A8-B$4)/(1+$A8)^5)/Historical!D26*1000</f>
        <v>499.4953359367412</v>
      </c>
      <c r="C8" s="68">
        <f>(Historical!D16+SUM(Valuation!B9/(1+$A8)^1,Valuation!C9/(1+$A8)^2,Valuation!D9/(1+$A8)^3,Valuation!E9/(1+$A8)^4,Valuation!F9/(1+$A8)^5)+Valuation!F9*(1+C$4)/($A8-C$4)/(1+$A8)^5)/Historical!D26*1000</f>
        <v>484.25064655873007</v>
      </c>
      <c r="D8" s="68">
        <f>(Historical!D16+SUM(Valuation!B9/(1+$A8)^1,Valuation!C9/(1+$A8)^2,Valuation!D9/(1+$A8)^3,Valuation!E9/(1+$A8)^4,Valuation!F9/(1+$A8)^5)+Valuation!F9*(1+D$4)/($A8-D$4)/(1+$A8)^5)/Historical!D26*1000</f>
        <v>466.23419547562594</v>
      </c>
      <c r="E8" s="68">
        <f>(Historical!D16+SUM(Valuation!B9/(1+$A8)^1,Valuation!C9/(1+$A8)^2,Valuation!D9/(1+$A8)^3,Valuation!E9/(1+$A8)^4,Valuation!F9/(1+$A8)^5)+Valuation!F9*(1+E$4)/($A8-E$4)/(1+$A8)^5)/Historical!D26*1000</f>
        <v>444.6144541759012</v>
      </c>
      <c r="F8" s="68">
        <f>(Historical!D16+SUM(Valuation!B9/(1+$A8)^1,Valuation!C9/(1+$A8)^2,Valuation!D9/(1+$A8)^3,Valuation!E9/(1+$A8)^4,Valuation!F9/(1+$A8)^5)+Valuation!F9*(1+F$4)/($A8-F$4)/(1+$A8)^5)/Historical!D26*1000</f>
        <v>418.190325920682</v>
      </c>
      <c r="G8" s="4"/>
    </row>
    <row r="9" ht="15" hidden="0" outlineLevel="0" collapsed="0">
      <c r="A9" s="67">
        <v>0.16</v>
      </c>
      <c r="B9" s="68">
        <f>(Historical!D16+SUM(Valuation!B9/(1+$A9)^1,Valuation!C9/(1+$A9)^2,Valuation!D9/(1+$A9)^3,Valuation!E9/(1+$A9)^4,Valuation!F9/(1+$A9)^5)+Valuation!F9*(1+B$4)/($A9-B$4)/(1+$A9)^5)/Historical!D26*1000</f>
        <v>520.3145892016078</v>
      </c>
      <c r="C9" s="68">
        <f>(Historical!D16+SUM(Valuation!B9/(1+$A9)^1,Valuation!C9/(1+$A9)^2,Valuation!D9/(1+$A9)^3,Valuation!E9/(1+$A9)^4,Valuation!F9/(1+$A9)^5)+Valuation!F9*(1+C$4)/($A9-C$4)/(1+$A9)^5)/Historical!D26*1000</f>
        <v>507.69250146659596</v>
      </c>
      <c r="D9" s="68">
        <f>(Historical!D16+SUM(Valuation!B9/(1+$A9)^1,Valuation!C9/(1+$A9)^2,Valuation!D9/(1+$A9)^3,Valuation!E9/(1+$A9)^4,Valuation!F9/(1+$A9)^5)+Valuation!F9*(1+D$4)/($A9-D$4)/(1+$A9)^5)/Historical!D26*1000</f>
        <v>492.9667324424153</v>
      </c>
      <c r="E9" s="68">
        <f>(Historical!D16+SUM(Valuation!B9/(1+$A9)^1,Valuation!C9/(1+$A9)^2,Valuation!D9/(1+$A9)^3,Valuation!E9/(1+$A9)^4,Valuation!F9/(1+$A9)^5)+Valuation!F9*(1+E$4)/($A9-E$4)/(1+$A9)^5)/Historical!D26*1000</f>
        <v>475.5635508683839</v>
      </c>
      <c r="F9" s="68">
        <f>(Historical!D16+SUM(Valuation!B9/(1+$A9)^1,Valuation!C9/(1+$A9)^2,Valuation!D9/(1+$A9)^3,Valuation!E9/(1+$A9)^4,Valuation!F9/(1+$A9)^5)+Valuation!F9*(1+F$4)/($A9-F$4)/(1+$A9)^5)/Historical!D26*1000</f>
        <v>454.6797329795461</v>
      </c>
      <c r="G9" s="4"/>
    </row>
    <row r="10" ht="15" hidden="0" outlineLevel="0" collapsed="0">
      <c r="A10" s="4"/>
      <c r="B10" s="4"/>
      <c r="C10" s="4"/>
      <c r="D10" s="4"/>
      <c r="E10" s="4"/>
      <c r="F10" s="4"/>
      <c r="G10" s="4"/>
    </row>
    <row r="11" ht="15" hidden="0" outlineLevel="0" collapsed="0">
      <c r="A11" s="4"/>
      <c r="B11" s="4"/>
      <c r="C11" s="4"/>
      <c r="D11" s="4"/>
      <c r="E11" s="4"/>
      <c r="F11" s="4"/>
      <c r="G11" s="4"/>
    </row>
    <row r="12" ht="15" hidden="0" outlineLevel="0" collapsed="0">
      <c r="A12" s="4"/>
      <c r="B12" s="4"/>
      <c r="C12" s="4"/>
      <c r="D12" s="4"/>
      <c r="E12" s="4"/>
      <c r="F12" s="4"/>
      <c r="G12" s="4"/>
    </row>
    <row r="13" ht="15" hidden="0" outlineLevel="0" collapsed="0">
      <c r="A13" s="4"/>
      <c r="B13" s="4"/>
      <c r="C13" s="4"/>
      <c r="D13" s="4"/>
      <c r="E13" s="4"/>
      <c r="F13" s="4"/>
      <c r="G13" s="4"/>
    </row>
    <row r="14" ht="15" hidden="0" outlineLevel="0" collapsed="0">
      <c r="A14" s="4"/>
      <c r="B14" s="4"/>
      <c r="C14" s="4"/>
      <c r="D14" s="4"/>
      <c r="E14" s="4"/>
      <c r="F14" s="4"/>
      <c r="G14" s="4"/>
    </row>
    <row r="15" ht="15" hidden="0" outlineLevel="0" collapsed="0">
      <c r="A15" s="4"/>
      <c r="B15" s="4"/>
      <c r="C15" s="4"/>
      <c r="D15" s="4"/>
      <c r="E15" s="4"/>
      <c r="F15" s="4"/>
      <c r="G15" s="4"/>
    </row>
    <row r="16" ht="15" hidden="0" outlineLevel="0" collapsed="0">
      <c r="A16" s="4"/>
      <c r="B16" s="4"/>
      <c r="C16" s="4"/>
      <c r="D16" s="4"/>
      <c r="E16" s="4"/>
      <c r="F16" s="4"/>
      <c r="G16" s="4"/>
    </row>
    <row r="17" ht="15" hidden="0" outlineLevel="0" collapsed="0">
      <c r="A17" s="4"/>
      <c r="B17" s="4"/>
      <c r="C17" s="4"/>
      <c r="D17" s="4"/>
      <c r="E17" s="4"/>
      <c r="F17" s="4"/>
      <c r="G17" s="4"/>
    </row>
    <row r="18" ht="15" hidden="0" outlineLevel="0" collapsed="0">
      <c r="A18" s="4"/>
      <c r="B18" s="4"/>
      <c r="C18" s="4"/>
      <c r="D18" s="4"/>
      <c r="E18" s="4"/>
      <c r="F18" s="4"/>
      <c r="G18" s="4"/>
    </row>
    <row r="19" ht="15" hidden="0" outlineLevel="0" collapsed="0">
      <c r="A19" s="4"/>
      <c r="B19" s="4"/>
      <c r="C19" s="4"/>
      <c r="D19" s="4"/>
      <c r="E19" s="4"/>
      <c r="F19" s="4"/>
      <c r="G19" s="4"/>
    </row>
    <row r="20" ht="15" hidden="0" outlineLevel="0" collapsed="0">
      <c r="A20" s="4"/>
      <c r="B20" s="4"/>
      <c r="C20" s="4"/>
      <c r="D20" s="4"/>
      <c r="E20" s="4"/>
      <c r="F20" s="4"/>
      <c r="G20" s="4"/>
    </row>
    <row r="21" ht="15" hidden="0" outlineLevel="0" collapsed="0">
      <c r="A21" s="4"/>
      <c r="B21" s="4"/>
      <c r="C21" s="4"/>
      <c r="D21" s="4"/>
      <c r="E21" s="4"/>
      <c r="F21" s="4"/>
      <c r="G21" s="4"/>
    </row>
    <row r="22" ht="15" hidden="0" outlineLevel="0" collapsed="0">
      <c r="A22" s="4"/>
      <c r="B22" s="4"/>
      <c r="C22" s="4"/>
      <c r="D22" s="4"/>
      <c r="E22" s="4"/>
      <c r="F22" s="4"/>
      <c r="G22" s="4"/>
    </row>
    <row r="23" ht="15" hidden="0" outlineLevel="0" collapsed="0">
      <c r="A23" s="4"/>
      <c r="B23" s="4"/>
      <c r="C23" s="4"/>
      <c r="D23" s="4"/>
      <c r="E23" s="4"/>
      <c r="F23" s="4"/>
      <c r="G23" s="4"/>
    </row>
    <row r="24" ht="15" hidden="0" outlineLevel="0" collapsed="0">
      <c r="A24" s="4"/>
      <c r="B24" s="4"/>
      <c r="C24" s="4"/>
      <c r="D24" s="4"/>
      <c r="E24" s="4"/>
      <c r="F24" s="4"/>
      <c r="G24" s="4"/>
    </row>
    <row r="25" ht="15" hidden="0" outlineLevel="0" collapsed="0">
      <c r="A25" s="4"/>
      <c r="B25" s="4"/>
      <c r="C25" s="4"/>
      <c r="D25" s="4"/>
      <c r="E25" s="4"/>
      <c r="F25" s="4"/>
      <c r="G25" s="4"/>
    </row>
    <row r="26" ht="15" hidden="0" outlineLevel="0" collapsed="0">
      <c r="A26" s="4"/>
      <c r="B26" s="4"/>
      <c r="C26" s="4"/>
      <c r="D26" s="4"/>
      <c r="E26" s="4"/>
      <c r="F26" s="4"/>
      <c r="G26" s="4"/>
    </row>
    <row r="27" ht="15" hidden="0" outlineLevel="0" collapsed="0">
      <c r="A27" s="4"/>
      <c r="B27" s="4"/>
      <c r="C27" s="4"/>
      <c r="D27" s="4"/>
      <c r="E27" s="4"/>
      <c r="F27" s="4"/>
      <c r="G27" s="4"/>
    </row>
    <row r="28" ht="15" hidden="0" outlineLevel="0" collapsed="0">
      <c r="A28" s="4"/>
      <c r="B28" s="4"/>
      <c r="C28" s="4"/>
      <c r="D28" s="4"/>
      <c r="E28" s="4"/>
      <c r="F28" s="4"/>
      <c r="G28" s="4"/>
    </row>
    <row r="29" ht="15" hidden="0" outlineLevel="0" collapsed="0">
      <c r="A29" s="4"/>
      <c r="B29" s="4"/>
      <c r="C29" s="4"/>
      <c r="D29" s="4"/>
      <c r="E29" s="4"/>
      <c r="F29" s="4"/>
      <c r="G29" s="4"/>
    </row>
    <row r="30" ht="15" hidden="0" outlineLevel="0" collapsed="0">
      <c r="A30" s="4"/>
      <c r="B30" s="4"/>
      <c r="C30" s="4"/>
      <c r="D30" s="4"/>
      <c r="E30" s="4"/>
      <c r="F30" s="4"/>
      <c r="G30" s="4"/>
    </row>
    <row r="31" ht="15" hidden="0" outlineLevel="0" collapsed="0">
      <c r="A31" s="4"/>
      <c r="B31" s="4"/>
      <c r="C31" s="4"/>
      <c r="D31" s="4"/>
      <c r="E31" s="4"/>
      <c r="F31" s="4"/>
      <c r="G31" s="4"/>
    </row>
    <row r="32" ht="15" hidden="0" outlineLevel="0" collapsed="0">
      <c r="A32" s="4"/>
      <c r="B32" s="4"/>
      <c r="C32" s="4"/>
      <c r="D32" s="4"/>
      <c r="E32" s="4"/>
      <c r="F32" s="4"/>
      <c r="G32" s="4"/>
    </row>
    <row r="33" ht="15" hidden="0" outlineLevel="0" collapsed="0">
      <c r="A33" s="4"/>
      <c r="B33" s="4"/>
      <c r="C33" s="4"/>
      <c r="D33" s="4"/>
      <c r="E33" s="4"/>
      <c r="F33" s="4"/>
      <c r="G33" s="4"/>
    </row>
    <row r="34" ht="15" hidden="0" outlineLevel="0" collapsed="0">
      <c r="A34" s="4"/>
      <c r="B34" s="4"/>
      <c r="C34" s="4"/>
      <c r="D34" s="4"/>
      <c r="E34" s="4"/>
      <c r="F34" s="4"/>
      <c r="G34" s="4"/>
    </row>
    <row r="35" ht="15" hidden="0" outlineLevel="0" collapsed="0">
      <c r="A35" s="4"/>
      <c r="B35" s="4"/>
      <c r="C35" s="4"/>
      <c r="D35" s="4"/>
      <c r="E35" s="4"/>
      <c r="F35" s="4"/>
      <c r="G35" s="4"/>
    </row>
    <row r="36" ht="15" hidden="0" outlineLevel="0" collapsed="0">
      <c r="A36" s="4"/>
      <c r="B36" s="4"/>
      <c r="C36" s="4"/>
      <c r="D36" s="4"/>
      <c r="E36" s="4"/>
      <c r="F36" s="4"/>
      <c r="G36" s="4"/>
    </row>
    <row r="37" ht="15" hidden="0" outlineLevel="0" collapsed="0">
      <c r="A37" s="4"/>
      <c r="B37" s="4"/>
      <c r="C37" s="4"/>
      <c r="D37" s="4"/>
      <c r="E37" s="4"/>
      <c r="F37" s="4"/>
      <c r="G37" s="4"/>
    </row>
    <row r="38" ht="15" hidden="0" outlineLevel="0" collapsed="0">
      <c r="A38" s="4"/>
      <c r="B38" s="4"/>
      <c r="C38" s="4"/>
      <c r="D38" s="4"/>
      <c r="E38" s="4"/>
      <c r="F38" s="4"/>
      <c r="G38" s="4"/>
    </row>
    <row r="39" ht="15" hidden="0" outlineLevel="0" collapsed="0">
      <c r="A39" s="4"/>
      <c r="B39" s="4"/>
      <c r="C39" s="4"/>
      <c r="D39" s="4"/>
      <c r="E39" s="4"/>
      <c r="F39" s="4"/>
      <c r="G39" s="4"/>
    </row>
    <row r="40" ht="15" hidden="0" outlineLevel="0" collapsed="0">
      <c r="A40" s="4"/>
      <c r="B40" s="4"/>
      <c r="C40" s="4"/>
      <c r="D40" s="4"/>
      <c r="E40" s="4"/>
      <c r="F40" s="4"/>
      <c r="G40" s="4"/>
    </row>
    <row r="41" ht="15" hidden="0" outlineLevel="0" collapsed="0">
      <c r="A41" s="4"/>
      <c r="B41" s="4"/>
      <c r="C41" s="4"/>
      <c r="D41" s="4"/>
      <c r="E41" s="4"/>
      <c r="F41" s="4"/>
      <c r="G41" s="4"/>
    </row>
    <row r="42" ht="15" hidden="0" outlineLevel="0" collapsed="0">
      <c r="A42" s="4"/>
      <c r="B42" s="4"/>
      <c r="C42" s="4"/>
      <c r="D42" s="4"/>
      <c r="E42" s="4"/>
      <c r="F42" s="4"/>
      <c r="G42" s="4"/>
    </row>
    <row r="43" ht="15" hidden="0" outlineLevel="0" collapsed="0">
      <c r="A43" s="4"/>
      <c r="B43" s="4"/>
      <c r="C43" s="4"/>
      <c r="D43" s="4"/>
      <c r="E43" s="4"/>
      <c r="F43" s="4"/>
      <c r="G43" s="4"/>
    </row>
    <row r="44" ht="15" hidden="0" outlineLevel="0" collapsed="0">
      <c r="A44" s="4"/>
      <c r="B44" s="4"/>
      <c r="C44" s="4"/>
      <c r="D44" s="4"/>
      <c r="E44" s="4"/>
      <c r="F44" s="4"/>
      <c r="G44" s="4"/>
    </row>
    <row r="45" ht="15" hidden="0" outlineLevel="0" collapsed="0">
      <c r="A45" s="4"/>
      <c r="B45" s="4"/>
      <c r="C45" s="4"/>
      <c r="D45" s="4"/>
      <c r="E45" s="4"/>
      <c r="F45" s="4"/>
      <c r="G45" s="4"/>
    </row>
    <row r="46" ht="15" hidden="0" outlineLevel="0" collapsed="0">
      <c r="A46" s="4"/>
      <c r="B46" s="4"/>
      <c r="C46" s="4"/>
      <c r="D46" s="4"/>
      <c r="E46" s="4"/>
      <c r="F46" s="4"/>
      <c r="G46" s="4"/>
    </row>
    <row r="47" ht="15" hidden="0" outlineLevel="0" collapsed="0">
      <c r="A47" s="4"/>
      <c r="B47" s="4"/>
      <c r="C47" s="4"/>
      <c r="D47" s="4"/>
      <c r="E47" s="4"/>
      <c r="F47" s="4"/>
      <c r="G47" s="4"/>
    </row>
    <row r="48" ht="15" hidden="0" outlineLevel="0" collapsed="0">
      <c r="A48" s="4"/>
      <c r="B48" s="4"/>
      <c r="C48" s="4"/>
      <c r="D48" s="4"/>
      <c r="E48" s="4"/>
      <c r="F48" s="4"/>
      <c r="G48" s="4"/>
    </row>
    <row r="49" ht="15" hidden="0" outlineLevel="0" collapsed="0">
      <c r="A49" s="4"/>
      <c r="B49" s="4"/>
      <c r="C49" s="4"/>
      <c r="D49" s="4"/>
      <c r="E49" s="4"/>
      <c r="F49" s="4"/>
      <c r="G49" s="4"/>
    </row>
    <row r="50" ht="15" hidden="0" outlineLevel="0" collapsed="0">
      <c r="A50" s="4"/>
      <c r="B50" s="4"/>
      <c r="C50" s="4"/>
      <c r="D50" s="4"/>
      <c r="E50" s="4"/>
      <c r="F50" s="4"/>
      <c r="G50" s="4"/>
    </row>
    <row r="51" ht="15" hidden="0" outlineLevel="0" collapsed="0">
      <c r="A51" s="4"/>
      <c r="B51" s="4"/>
      <c r="C51" s="4"/>
      <c r="D51" s="4"/>
      <c r="E51" s="4"/>
      <c r="F51" s="4"/>
      <c r="G51" s="4"/>
    </row>
    <row r="52" ht="15" hidden="0" outlineLevel="0" collapsed="0">
      <c r="A52" s="4"/>
      <c r="B52" s="4"/>
      <c r="C52" s="4"/>
      <c r="D52" s="4"/>
      <c r="E52" s="4"/>
      <c r="F52" s="4"/>
      <c r="G52" s="4"/>
    </row>
    <row r="53" ht="15" hidden="0" outlineLevel="0" collapsed="0">
      <c r="A53" s="4"/>
      <c r="B53" s="4"/>
      <c r="C53" s="4"/>
      <c r="D53" s="4"/>
      <c r="E53" s="4"/>
      <c r="F53" s="4"/>
      <c r="G53" s="4"/>
    </row>
    <row r="54" ht="15" hidden="0" outlineLevel="0" collapsed="0">
      <c r="A54" s="4"/>
      <c r="B54" s="4"/>
      <c r="C54" s="4"/>
      <c r="D54" s="4"/>
      <c r="E54" s="4"/>
      <c r="F54" s="4"/>
      <c r="G54" s="4"/>
    </row>
    <row r="55" ht="15" hidden="0" outlineLevel="0" collapsed="0">
      <c r="A55" s="4"/>
      <c r="B55" s="4"/>
      <c r="C55" s="4"/>
      <c r="D55" s="4"/>
      <c r="E55" s="4"/>
      <c r="F55" s="4"/>
      <c r="G55" s="4"/>
    </row>
    <row r="56" ht="15" hidden="0" outlineLevel="0" collapsed="0">
      <c r="A56" s="4"/>
      <c r="B56" s="4"/>
      <c r="C56" s="4"/>
      <c r="D56" s="4"/>
      <c r="E56" s="4"/>
      <c r="F56" s="4"/>
      <c r="G56" s="4"/>
    </row>
    <row r="57" ht="15" hidden="0" outlineLevel="0" collapsed="0">
      <c r="A57" s="4"/>
      <c r="B57" s="4"/>
      <c r="C57" s="4"/>
      <c r="D57" s="4"/>
      <c r="E57" s="4"/>
      <c r="F57" s="4"/>
      <c r="G57" s="4"/>
    </row>
    <row r="58" ht="15" hidden="0" outlineLevel="0" collapsed="0">
      <c r="A58" s="4"/>
      <c r="B58" s="4"/>
      <c r="C58" s="4"/>
      <c r="D58" s="4"/>
      <c r="E58" s="4"/>
      <c r="F58" s="4"/>
      <c r="G58" s="4"/>
    </row>
    <row r="59" ht="15" hidden="0" outlineLevel="0" collapsed="0">
      <c r="A59" s="4"/>
      <c r="B59" s="4"/>
      <c r="C59" s="4"/>
      <c r="D59" s="4"/>
      <c r="E59" s="4"/>
      <c r="F59" s="4"/>
      <c r="G59" s="4"/>
    </row>
    <row r="60" ht="15" hidden="0" outlineLevel="0" collapsed="0">
      <c r="A60" s="4"/>
      <c r="B60" s="4"/>
      <c r="C60" s="4"/>
      <c r="D60" s="4"/>
      <c r="E60" s="4"/>
      <c r="F60" s="4"/>
      <c r="G60" s="4"/>
    </row>
    <row r="61" ht="15" hidden="0" outlineLevel="0" collapsed="0">
      <c r="A61" s="4"/>
      <c r="B61" s="4"/>
      <c r="C61" s="4"/>
      <c r="D61" s="4"/>
      <c r="E61" s="4"/>
      <c r="F61" s="4"/>
      <c r="G61" s="4"/>
    </row>
    <row r="62" ht="15" hidden="0" outlineLevel="0" collapsed="0">
      <c r="A62" s="4"/>
      <c r="B62" s="4"/>
      <c r="C62" s="4"/>
      <c r="D62" s="4"/>
      <c r="E62" s="4"/>
      <c r="F62" s="4"/>
      <c r="G62" s="4"/>
    </row>
    <row r="63" ht="15" hidden="0" outlineLevel="0" collapsed="0">
      <c r="A63" s="4"/>
      <c r="B63" s="4"/>
      <c r="C63" s="4"/>
      <c r="D63" s="4"/>
      <c r="E63" s="4"/>
      <c r="F63" s="4"/>
      <c r="G63" s="4"/>
    </row>
    <row r="64" ht="15" hidden="0" outlineLevel="0" collapsed="0">
      <c r="A64" s="4"/>
      <c r="B64" s="4"/>
      <c r="C64" s="4"/>
      <c r="D64" s="4"/>
      <c r="E64" s="4"/>
      <c r="F64" s="4"/>
      <c r="G64" s="4"/>
    </row>
    <row r="65" ht="15" hidden="0" outlineLevel="0" collapsed="0">
      <c r="A65" s="4"/>
      <c r="B65" s="4"/>
      <c r="C65" s="4"/>
      <c r="D65" s="4"/>
      <c r="E65" s="4"/>
      <c r="F65" s="4"/>
      <c r="G65" s="4"/>
    </row>
    <row r="66" ht="15" hidden="0" outlineLevel="0" collapsed="0">
      <c r="A66" s="4"/>
      <c r="B66" s="4"/>
      <c r="C66" s="4"/>
      <c r="D66" s="4"/>
      <c r="E66" s="4"/>
      <c r="F66" s="4"/>
      <c r="G66" s="4"/>
    </row>
    <row r="67" ht="15" hidden="0" outlineLevel="0" collapsed="0">
      <c r="A67" s="4"/>
      <c r="B67" s="4"/>
      <c r="C67" s="4"/>
      <c r="D67" s="4"/>
      <c r="E67" s="4"/>
      <c r="F67" s="4"/>
      <c r="G67" s="4"/>
    </row>
    <row r="68" ht="15" hidden="0" outlineLevel="0" collapsed="0">
      <c r="A68" s="4"/>
      <c r="B68" s="4"/>
      <c r="C68" s="4"/>
      <c r="D68" s="4"/>
      <c r="E68" s="4"/>
      <c r="F68" s="4"/>
      <c r="G68" s="4"/>
    </row>
    <row r="69" ht="15" hidden="0" outlineLevel="0" collapsed="0">
      <c r="A69" s="4"/>
      <c r="B69" s="4"/>
      <c r="C69" s="4"/>
      <c r="D69" s="4"/>
      <c r="E69" s="4"/>
      <c r="F69" s="4"/>
      <c r="G69" s="4"/>
    </row>
    <row r="70" ht="15" hidden="0" outlineLevel="0" collapsed="0">
      <c r="A70" s="4"/>
      <c r="B70" s="4"/>
      <c r="C70" s="4"/>
      <c r="D70" s="4"/>
      <c r="E70" s="4"/>
      <c r="F70" s="4"/>
      <c r="G70" s="4"/>
    </row>
    <row r="71" ht="15" hidden="0" outlineLevel="0" collapsed="0">
      <c r="A71" s="4"/>
      <c r="B71" s="4"/>
      <c r="C71" s="4"/>
      <c r="D71" s="4"/>
      <c r="E71" s="4"/>
      <c r="F71" s="4"/>
      <c r="G71" s="4"/>
    </row>
    <row r="72" ht="15" hidden="0" outlineLevel="0" collapsed="0">
      <c r="A72" s="4"/>
      <c r="B72" s="4"/>
      <c r="C72" s="4"/>
      <c r="D72" s="4"/>
      <c r="E72" s="4"/>
      <c r="F72" s="4"/>
      <c r="G72" s="4"/>
    </row>
    <row r="73" ht="15" hidden="0" outlineLevel="0" collapsed="0">
      <c r="A73" s="4"/>
      <c r="B73" s="4"/>
      <c r="C73" s="4"/>
      <c r="D73" s="4"/>
      <c r="E73" s="4"/>
      <c r="F73" s="4"/>
      <c r="G73" s="4"/>
    </row>
    <row r="74" ht="15" hidden="0" outlineLevel="0" collapsed="0">
      <c r="A74" s="4"/>
      <c r="B74" s="4"/>
      <c r="C74" s="4"/>
      <c r="D74" s="4"/>
      <c r="E74" s="4"/>
      <c r="F74" s="4"/>
      <c r="G74" s="4"/>
    </row>
    <row r="75" ht="15" hidden="0" outlineLevel="0" collapsed="0">
      <c r="A75" s="4"/>
      <c r="B75" s="4"/>
      <c r="C75" s="4"/>
      <c r="D75" s="4"/>
      <c r="E75" s="4"/>
      <c r="F75" s="4"/>
      <c r="G75" s="4"/>
    </row>
    <row r="76" ht="15" hidden="0" outlineLevel="0" collapsed="0">
      <c r="A76" s="4"/>
      <c r="B76" s="4"/>
      <c r="C76" s="4"/>
      <c r="D76" s="4"/>
      <c r="E76" s="4"/>
      <c r="F76" s="4"/>
      <c r="G76" s="4"/>
    </row>
    <row r="77" ht="15" hidden="0" outlineLevel="0" collapsed="0">
      <c r="A77" s="4"/>
      <c r="B77" s="4"/>
      <c r="C77" s="4"/>
      <c r="D77" s="4"/>
      <c r="E77" s="4"/>
      <c r="F77" s="4"/>
      <c r="G77" s="4"/>
    </row>
    <row r="78" ht="15" hidden="0" outlineLevel="0" collapsed="0">
      <c r="A78" s="4"/>
      <c r="B78" s="4"/>
      <c r="C78" s="4"/>
      <c r="D78" s="4"/>
      <c r="E78" s="4"/>
      <c r="F78" s="4"/>
      <c r="G78" s="4"/>
    </row>
    <row r="79" ht="15" hidden="0" outlineLevel="0" collapsed="0">
      <c r="A79" s="4"/>
      <c r="B79" s="4"/>
      <c r="C79" s="4"/>
      <c r="D79" s="4"/>
      <c r="E79" s="4"/>
      <c r="F79" s="4"/>
      <c r="G79" s="4"/>
    </row>
    <row r="80" ht="15" hidden="0" outlineLevel="0" collapsed="0">
      <c r="A80" s="4"/>
      <c r="B80" s="4"/>
      <c r="C80" s="4"/>
      <c r="D80" s="4"/>
      <c r="E80" s="4"/>
      <c r="F80" s="4"/>
      <c r="G80" s="4"/>
    </row>
  </sheetData>
  <mergeCells count="2">
    <mergeCell ref="A1:G1"/>
    <mergeCell ref="A2:G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style="1" hidden="0" customWidth="1" outlineLevel="0" collapsed="0"/>
    <col min="2" max="6" width="14" style="1" hidden="0" customWidth="1" outlineLevel="0" collapsed="0"/>
    <col min="7" max="7" width="12" style="1" hidden="0" customWidth="1" outlineLevel="0" collapsed="0"/>
    <col min="8" max="8" width="34" style="1" hidden="0" customWidth="1" outlineLevel="0" collapsed="0"/>
  </cols>
  <sheetData>
    <row r="1" ht="28" hidden="0" outlineLevel="0" collapsed="0">
      <c r="A1" s="2" t="s">
        <v>276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277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278</v>
      </c>
      <c r="B4" s="5" t="s">
        <v>279</v>
      </c>
      <c r="C4" s="5" t="s">
        <v>280</v>
      </c>
      <c r="D4" s="5" t="s">
        <v>281</v>
      </c>
      <c r="E4" s="5" t="s">
        <v>282</v>
      </c>
      <c r="F4" s="5" t="s">
        <v>45</v>
      </c>
      <c r="G4" s="5" t="s">
        <v>283</v>
      </c>
      <c r="H4" s="5" t="s">
        <v>284</v>
      </c>
    </row>
    <row r="5" ht="15" hidden="0" outlineLevel="0" collapsed="0">
      <c r="A5" s="24" t="s">
        <v>285</v>
      </c>
      <c r="B5" s="25">
        <f>Sources!O23</f>
        <v>18</v>
      </c>
      <c r="C5" s="25">
        <v>18</v>
      </c>
      <c r="D5" s="25">
        <f>B5-C5</f>
        <v>0</v>
      </c>
      <c r="E5" s="25">
        <v>0</v>
      </c>
      <c r="F5" s="70" t="str">
        <f>IF(ABS(D5)&lt;=E5,"PASS","FAIL")</f>
        <v>PASS</v>
      </c>
      <c r="G5" s="70" t="s">
        <v>286</v>
      </c>
      <c r="H5" s="46" t="s">
        <v>287</v>
      </c>
    </row>
    <row r="6" ht="15" hidden="0" outlineLevel="0" collapsed="0">
      <c r="A6" s="27" t="s">
        <v>288</v>
      </c>
      <c r="B6" s="28">
        <f>Historical!D12</f>
        <v>348936.7</v>
      </c>
      <c r="C6" s="28">
        <v>348936.7</v>
      </c>
      <c r="D6" s="28">
        <f>B6-C6</f>
        <v>0</v>
      </c>
      <c r="E6" s="28">
        <v>0.1</v>
      </c>
      <c r="F6" s="32" t="str">
        <f>IF(ABS(D6)&lt;=E6,"PASS","FAIL")</f>
        <v>PASS</v>
      </c>
      <c r="G6" s="32" t="s">
        <v>286</v>
      </c>
      <c r="H6" s="33" t="s">
        <v>289</v>
      </c>
    </row>
    <row r="7" ht="15" hidden="0" outlineLevel="0" collapsed="0">
      <c r="A7" s="27" t="s">
        <v>290</v>
      </c>
      <c r="B7" s="28">
        <f>Operating_Model!C10</f>
        <v>8420.042057142857</v>
      </c>
      <c r="C7" s="28">
        <f>Operating_Model!C8*Operating_Model!C9</f>
        <v>8420.042057142857</v>
      </c>
      <c r="D7" s="28">
        <f>B7-C7</f>
        <v>0</v>
      </c>
      <c r="E7" s="28">
        <v>0.1</v>
      </c>
      <c r="F7" s="32" t="str">
        <f>IF(ABS(D7)&lt;=E7,"PASS","FAIL")</f>
        <v>PASS</v>
      </c>
      <c r="G7" s="32" t="s">
        <v>286</v>
      </c>
      <c r="H7" s="33" t="s">
        <v>291</v>
      </c>
    </row>
    <row r="8" ht="15" hidden="0" outlineLevel="0" collapsed="0">
      <c r="A8" s="27" t="s">
        <v>292</v>
      </c>
      <c r="B8" s="28">
        <f>Operating_Model!C12</f>
        <v>3733.6713419999996</v>
      </c>
      <c r="C8" s="28">
        <f>Operating_Model!C7*Operating_Model!C11</f>
        <v>3733.6713419999996</v>
      </c>
      <c r="D8" s="28">
        <f>B8-C8</f>
        <v>0</v>
      </c>
      <c r="E8" s="28">
        <v>0.1</v>
      </c>
      <c r="F8" s="32" t="str">
        <f>IF(ABS(D8)&lt;=E8,"PASS","FAIL")</f>
        <v>PASS</v>
      </c>
      <c r="G8" s="32" t="s">
        <v>286</v>
      </c>
      <c r="H8" s="33" t="s">
        <v>293</v>
      </c>
    </row>
    <row r="9" ht="15" hidden="0" outlineLevel="0" collapsed="0">
      <c r="A9" s="27" t="s">
        <v>294</v>
      </c>
      <c r="B9" s="28">
        <f>Operating_Model!C24</f>
        <v>19486.56562690905</v>
      </c>
      <c r="C9" s="28">
        <f>Operating_Model!C23+Operating_Model!C20-Operating_Model!C22</f>
        <v>19486.56562690905</v>
      </c>
      <c r="D9" s="28">
        <f>B9-C9</f>
        <v>0</v>
      </c>
      <c r="E9" s="28">
        <v>0.1</v>
      </c>
      <c r="F9" s="32" t="str">
        <f>IF(ABS(D9)&lt;=E9,"PASS","FAIL")</f>
        <v>PASS</v>
      </c>
      <c r="G9" s="32" t="s">
        <v>286</v>
      </c>
      <c r="H9" s="33" t="s">
        <v>295</v>
      </c>
    </row>
    <row r="10" ht="15" hidden="0" outlineLevel="0" collapsed="0">
      <c r="A10" s="27" t="s">
        <v>296</v>
      </c>
      <c r="B10" s="28">
        <f>Assumptions!E15</f>
        <v>0.14</v>
      </c>
      <c r="C10" s="28">
        <f>Assumptions!E16</f>
        <v>0.04</v>
      </c>
      <c r="D10" s="28">
        <f>B10-C10</f>
        <v>0.1</v>
      </c>
      <c r="E10" s="28">
        <v>0.01</v>
      </c>
      <c r="F10" s="32" t="str">
        <f>IF(D10&gt;E10,"PASS","FAIL")</f>
        <v>PASS</v>
      </c>
      <c r="G10" s="32" t="s">
        <v>286</v>
      </c>
      <c r="H10" s="33" t="s">
        <v>297</v>
      </c>
    </row>
    <row r="11" ht="15" hidden="0" outlineLevel="0" collapsed="0">
      <c r="A11" s="27" t="s">
        <v>298</v>
      </c>
      <c r="B11" s="28">
        <f>SUM(Assumptions!E21:E23)</f>
        <v>1</v>
      </c>
      <c r="C11" s="28">
        <v>1</v>
      </c>
      <c r="D11" s="28">
        <f>B11-C11</f>
        <v>0</v>
      </c>
      <c r="E11" s="28">
        <v>0.0001</v>
      </c>
      <c r="F11" s="32" t="str">
        <f>IF(ABS(D11)&lt;=E11,"PASS","FAIL")</f>
        <v>PASS</v>
      </c>
      <c r="G11" s="32" t="s">
        <v>286</v>
      </c>
      <c r="H11" s="33" t="s">
        <v>299</v>
      </c>
    </row>
    <row r="12" ht="15" hidden="0" outlineLevel="0" collapsed="0">
      <c r="A12" s="27" t="s">
        <v>300</v>
      </c>
      <c r="B12" s="28">
        <f>Valuation!D30</f>
        <v>31387.867</v>
      </c>
      <c r="C12" s="28">
        <f>SUM(Valuation!D25:D29)</f>
        <v>31387.867</v>
      </c>
      <c r="D12" s="28">
        <f>B12-C12</f>
        <v>0</v>
      </c>
      <c r="E12" s="28">
        <v>0.1</v>
      </c>
      <c r="F12" s="32" t="str">
        <f>IF(ABS(D12)&lt;=E12,"PASS","FAIL")</f>
        <v>PASS</v>
      </c>
      <c r="G12" s="32" t="s">
        <v>286</v>
      </c>
      <c r="H12" s="33" t="s">
        <v>301</v>
      </c>
    </row>
    <row r="13" ht="15" hidden="0" outlineLevel="0" collapsed="0">
      <c r="A13" s="27" t="s">
        <v>302</v>
      </c>
      <c r="B13" s="28">
        <f>Assumptions!B4</f>
        <v>1</v>
      </c>
      <c r="C13" s="28">
        <v>1</v>
      </c>
      <c r="D13" s="28">
        <f>0</f>
        <v>0</v>
      </c>
      <c r="E13" s="28">
        <v>0</v>
      </c>
      <c r="F13" s="32" t="str">
        <f>IF(AND(B13&gt;=1,B13&lt;=3),"PASS","FAIL")</f>
        <v>PASS</v>
      </c>
      <c r="G13" s="32" t="s">
        <v>286</v>
      </c>
      <c r="H13" s="33" t="s">
        <v>303</v>
      </c>
    </row>
    <row r="14" ht="15" hidden="0" outlineLevel="0" collapsed="0">
      <c r="A14" s="27" t="s">
        <v>304</v>
      </c>
      <c r="B14" s="28">
        <f>MIN(Operating_Model!C24:G24)</f>
        <v>19486.56562690905</v>
      </c>
      <c r="C14" s="28">
        <v>0</v>
      </c>
      <c r="D14" s="28">
        <f>B14-C14</f>
        <v>19486.56562690905</v>
      </c>
      <c r="E14" s="28">
        <v>0</v>
      </c>
      <c r="F14" s="32" t="str">
        <f>IF(D14&gt;E14,"PASS","FAIL")</f>
        <v>PASS</v>
      </c>
      <c r="G14" s="32" t="s">
        <v>286</v>
      </c>
      <c r="H14" s="33" t="s">
        <v>305</v>
      </c>
    </row>
    <row r="15" ht="15" hidden="0" outlineLevel="0" collapsed="0">
      <c r="A15" s="27" t="s">
        <v>306</v>
      </c>
      <c r="B15" s="28">
        <f>COUNTIF(Operating_Model!D5:G25,0)</f>
        <v>0</v>
      </c>
      <c r="C15" s="28">
        <v>0</v>
      </c>
      <c r="D15" s="28">
        <f>B15-C15</f>
        <v>0</v>
      </c>
      <c r="E15" s="28">
        <v>0</v>
      </c>
      <c r="F15" s="32" t="str">
        <f>IF(ABS(D15)&lt;=E15,"PASS","FAIL")</f>
        <v>PASS</v>
      </c>
      <c r="G15" s="32" t="s">
        <v>286</v>
      </c>
      <c r="H15" s="33" t="s">
        <v>307</v>
      </c>
    </row>
    <row r="16" ht="15" hidden="0" outlineLevel="0" collapsed="0">
      <c r="A16" s="34" t="s">
        <v>23</v>
      </c>
      <c r="B16" s="35"/>
      <c r="C16" s="35"/>
      <c r="D16" s="35"/>
      <c r="E16" s="35"/>
      <c r="F16" s="71" t="str">
        <f>IF(COUNTIF(F5:F15,"FAIL")=0,"PASS","FAIL")</f>
        <v>PASS</v>
      </c>
      <c r="G16" s="71"/>
      <c r="H16" s="50" t="s">
        <v>308</v>
      </c>
    </row>
    <row r="17" ht="15" hidden="0" outlineLevel="0" collapsed="0">
      <c r="A17" s="4"/>
      <c r="B17" s="4"/>
      <c r="C17" s="4"/>
      <c r="D17" s="4"/>
      <c r="E17" s="4"/>
      <c r="F17" s="4"/>
      <c r="G17" s="4"/>
      <c r="H17" s="4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15" hidden="0" outlineLevel="0" collapsed="0">
      <c r="A19" s="4"/>
      <c r="B19" s="4"/>
      <c r="C19" s="4"/>
      <c r="D19" s="4"/>
      <c r="E19" s="4"/>
      <c r="F19" s="4"/>
      <c r="G19" s="4"/>
      <c r="H19" s="4"/>
    </row>
    <row r="20" ht="15" hidden="0" outlineLevel="0" collapsed="0">
      <c r="A20" s="4"/>
      <c r="B20" s="4"/>
      <c r="C20" s="4"/>
      <c r="D20" s="4"/>
      <c r="E20" s="4"/>
      <c r="F20" s="4"/>
      <c r="G20" s="4"/>
      <c r="H20" s="4"/>
    </row>
    <row r="21" ht="15" hidden="0" outlineLevel="0" collapsed="0">
      <c r="A21" s="4"/>
      <c r="B21" s="4"/>
      <c r="C21" s="4"/>
      <c r="D21" s="4"/>
      <c r="E21" s="4"/>
      <c r="F21" s="4"/>
      <c r="G21" s="4"/>
      <c r="H21" s="4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2">
    <mergeCell ref="A1:H1"/>
    <mergeCell ref="A2:H2"/>
  </mergeCells>
  <conditionalFormatting sqref="F5:F16">
    <cfRule type="containsText" priority="2" operator="containsText" text="PASS" dxfId="9">
      <formula>NOT(ISERROR(SEARCH("PASS",F5)))</formula>
    </cfRule>
    <cfRule type="containsText" priority="3" operator="containsText" text="FAIL" dxfId="10">
      <formula>NOT(ISERROR(SEARCH("FAIL",F5)))</formula>
    </cfRule>
    <cfRule type="containsText" priority="4" operator="containsText" text="PENDING" dxfId="11">
      <formula>NOT(ISERROR(SEARCH("PENDING",F5)))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style="1" hidden="0" customWidth="1" outlineLevel="0" collapsed="0"/>
    <col min="2" max="2" width="10" style="1" hidden="0" customWidth="1" outlineLevel="0" collapsed="0"/>
    <col min="3" max="4" width="18" style="1" hidden="0" customWidth="1" outlineLevel="0" collapsed="0"/>
    <col min="5" max="7" width="32" style="1" hidden="0" customWidth="1" outlineLevel="0" collapsed="0"/>
    <col min="8" max="8" width="12" style="1" hidden="0" customWidth="1" outlineLevel="0" collapsed="0"/>
  </cols>
  <sheetData>
    <row r="1" ht="28" hidden="0" outlineLevel="0" collapsed="0">
      <c r="A1" s="2" t="s">
        <v>309</v>
      </c>
      <c r="B1" s="2"/>
      <c r="C1" s="2"/>
      <c r="D1" s="2"/>
      <c r="E1" s="2"/>
      <c r="F1" s="2"/>
      <c r="G1" s="2"/>
      <c r="H1" s="2"/>
    </row>
    <row r="2" ht="28" hidden="0" outlineLevel="0" collapsed="0">
      <c r="A2" s="3" t="s">
        <v>310</v>
      </c>
      <c r="B2" s="3"/>
      <c r="C2" s="3"/>
      <c r="D2" s="3"/>
      <c r="E2" s="3"/>
      <c r="F2" s="3"/>
      <c r="G2" s="3"/>
      <c r="H2" s="3"/>
    </row>
    <row r="3" ht="15" hidden="0" outlineLevel="0" collapsed="0">
      <c r="A3" s="4"/>
      <c r="B3" s="4"/>
      <c r="C3" s="4"/>
      <c r="D3" s="4"/>
      <c r="E3" s="4"/>
      <c r="F3" s="4"/>
      <c r="G3" s="4"/>
      <c r="H3" s="4"/>
    </row>
    <row r="4" ht="15" hidden="0" outlineLevel="0" collapsed="0">
      <c r="A4" s="5" t="s">
        <v>311</v>
      </c>
      <c r="B4" s="5" t="s">
        <v>269</v>
      </c>
      <c r="C4" s="5" t="s">
        <v>312</v>
      </c>
      <c r="D4" s="5" t="s">
        <v>313</v>
      </c>
      <c r="E4" s="5" t="s">
        <v>314</v>
      </c>
      <c r="F4" s="5" t="s">
        <v>315</v>
      </c>
      <c r="G4" s="5" t="s">
        <v>316</v>
      </c>
      <c r="H4" s="5" t="s">
        <v>317</v>
      </c>
    </row>
    <row r="5" ht="42" hidden="0" outlineLevel="0" collapsed="0">
      <c r="A5" s="8" t="s">
        <v>318</v>
      </c>
      <c r="B5" s="9">
        <v>5</v>
      </c>
      <c r="C5" s="9" t="s">
        <v>59</v>
      </c>
      <c r="D5" s="9" t="s">
        <v>319</v>
      </c>
      <c r="E5" s="9" t="s">
        <v>320</v>
      </c>
      <c r="F5" s="9" t="s">
        <v>321</v>
      </c>
      <c r="G5" s="9" t="s">
        <v>322</v>
      </c>
      <c r="H5" s="11">
        <v>5</v>
      </c>
    </row>
    <row r="6" ht="42" hidden="0" outlineLevel="0" collapsed="0">
      <c r="A6" s="12" t="s">
        <v>323</v>
      </c>
      <c r="B6" s="13">
        <v>20</v>
      </c>
      <c r="C6" s="13" t="s">
        <v>59</v>
      </c>
      <c r="D6" s="13" t="s">
        <v>319</v>
      </c>
      <c r="E6" s="13" t="s">
        <v>324</v>
      </c>
      <c r="F6" s="13" t="s">
        <v>325</v>
      </c>
      <c r="G6" s="13" t="s">
        <v>326</v>
      </c>
      <c r="H6" s="15">
        <v>20</v>
      </c>
    </row>
    <row r="7" ht="42" hidden="0" outlineLevel="0" collapsed="0">
      <c r="A7" s="12" t="s">
        <v>327</v>
      </c>
      <c r="B7" s="13">
        <v>15</v>
      </c>
      <c r="C7" s="13" t="s">
        <v>59</v>
      </c>
      <c r="D7" s="13" t="s">
        <v>319</v>
      </c>
      <c r="E7" s="13" t="s">
        <v>328</v>
      </c>
      <c r="F7" s="13" t="s">
        <v>329</v>
      </c>
      <c r="G7" s="13" t="s">
        <v>330</v>
      </c>
      <c r="H7" s="15">
        <v>15</v>
      </c>
    </row>
    <row r="8" ht="42" hidden="0" outlineLevel="0" collapsed="0">
      <c r="A8" s="12" t="s">
        <v>331</v>
      </c>
      <c r="B8" s="13">
        <v>10</v>
      </c>
      <c r="C8" s="13" t="s">
        <v>59</v>
      </c>
      <c r="D8" s="13" t="s">
        <v>319</v>
      </c>
      <c r="E8" s="13" t="s">
        <v>332</v>
      </c>
      <c r="F8" s="13" t="s">
        <v>333</v>
      </c>
      <c r="G8" s="13" t="s">
        <v>334</v>
      </c>
      <c r="H8" s="15">
        <v>10</v>
      </c>
    </row>
    <row r="9" ht="42" hidden="0" outlineLevel="0" collapsed="0">
      <c r="A9" s="12" t="s">
        <v>335</v>
      </c>
      <c r="B9" s="13">
        <v>15</v>
      </c>
      <c r="C9" s="13" t="s">
        <v>59</v>
      </c>
      <c r="D9" s="13" t="s">
        <v>319</v>
      </c>
      <c r="E9" s="13" t="s">
        <v>336</v>
      </c>
      <c r="F9" s="13" t="s">
        <v>337</v>
      </c>
      <c r="G9" s="13" t="s">
        <v>338</v>
      </c>
      <c r="H9" s="15">
        <v>15</v>
      </c>
    </row>
    <row r="10" ht="42" hidden="0" outlineLevel="0" collapsed="0">
      <c r="A10" s="12" t="s">
        <v>339</v>
      </c>
      <c r="B10" s="13">
        <v>8</v>
      </c>
      <c r="C10" s="13" t="s">
        <v>59</v>
      </c>
      <c r="D10" s="13" t="s">
        <v>319</v>
      </c>
      <c r="E10" s="13" t="s">
        <v>340</v>
      </c>
      <c r="F10" s="13" t="s">
        <v>341</v>
      </c>
      <c r="G10" s="13" t="s">
        <v>342</v>
      </c>
      <c r="H10" s="15">
        <v>8</v>
      </c>
    </row>
    <row r="11" ht="42" hidden="0" outlineLevel="0" collapsed="0">
      <c r="A11" s="12" t="s">
        <v>343</v>
      </c>
      <c r="B11" s="13">
        <v>10</v>
      </c>
      <c r="C11" s="13" t="s">
        <v>59</v>
      </c>
      <c r="D11" s="13" t="s">
        <v>319</v>
      </c>
      <c r="E11" s="13" t="s">
        <v>344</v>
      </c>
      <c r="F11" s="13" t="s">
        <v>345</v>
      </c>
      <c r="G11" s="13" t="s">
        <v>346</v>
      </c>
      <c r="H11" s="15">
        <v>10</v>
      </c>
    </row>
    <row r="12" ht="42" hidden="0" outlineLevel="0" collapsed="0">
      <c r="A12" s="12" t="s">
        <v>347</v>
      </c>
      <c r="B12" s="13">
        <v>7</v>
      </c>
      <c r="C12" s="13" t="s">
        <v>59</v>
      </c>
      <c r="D12" s="13" t="s">
        <v>319</v>
      </c>
      <c r="E12" s="13" t="s">
        <v>348</v>
      </c>
      <c r="F12" s="13" t="s">
        <v>349</v>
      </c>
      <c r="G12" s="13" t="s">
        <v>350</v>
      </c>
      <c r="H12" s="15">
        <v>7</v>
      </c>
    </row>
    <row r="13" ht="42" hidden="0" outlineLevel="0" collapsed="0">
      <c r="A13" s="12" t="s">
        <v>351</v>
      </c>
      <c r="B13" s="13">
        <v>5</v>
      </c>
      <c r="C13" s="13" t="s">
        <v>59</v>
      </c>
      <c r="D13" s="13" t="s">
        <v>319</v>
      </c>
      <c r="E13" s="13" t="s">
        <v>352</v>
      </c>
      <c r="F13" s="13" t="s">
        <v>353</v>
      </c>
      <c r="G13" s="13" t="s">
        <v>354</v>
      </c>
      <c r="H13" s="15">
        <v>5</v>
      </c>
    </row>
    <row r="14" ht="42" hidden="0" outlineLevel="0" collapsed="0">
      <c r="A14" s="12" t="s">
        <v>355</v>
      </c>
      <c r="B14" s="13">
        <v>5</v>
      </c>
      <c r="C14" s="13" t="s">
        <v>59</v>
      </c>
      <c r="D14" s="13" t="s">
        <v>319</v>
      </c>
      <c r="E14" s="13" t="s">
        <v>320</v>
      </c>
      <c r="F14" s="13" t="s">
        <v>356</v>
      </c>
      <c r="G14" s="13" t="s">
        <v>357</v>
      </c>
      <c r="H14" s="15">
        <v>5</v>
      </c>
    </row>
    <row r="15" ht="42" hidden="0" outlineLevel="0" collapsed="0">
      <c r="A15" s="12"/>
      <c r="B15" s="13"/>
      <c r="C15" s="13"/>
      <c r="D15" s="13"/>
      <c r="E15" s="13"/>
      <c r="F15" s="13"/>
      <c r="G15" s="13"/>
      <c r="H15" s="15"/>
    </row>
    <row r="16" ht="42" hidden="0" outlineLevel="0" collapsed="0">
      <c r="A16" s="12" t="s">
        <v>358</v>
      </c>
      <c r="B16" s="13"/>
      <c r="C16" s="13"/>
      <c r="D16" s="13"/>
      <c r="E16" s="13"/>
      <c r="F16" s="13"/>
      <c r="G16" s="13"/>
      <c r="H16" s="15">
        <f>SUM(H5:H14)</f>
        <v>100</v>
      </c>
    </row>
    <row r="17" ht="42" hidden="0" outlineLevel="0" collapsed="0">
      <c r="A17" s="16" t="s">
        <v>359</v>
      </c>
      <c r="B17" s="17"/>
      <c r="C17" s="17" t="str">
        <f>IF(H16&gt;=90,"SUBMITTED FOR INDEPENDENT 9/10 REVIEW","NOT READY")</f>
        <v>SUBMITTED FOR INDEPENDENT 9/10 REVIEW</v>
      </c>
      <c r="D17" s="17"/>
      <c r="E17" s="17"/>
      <c r="F17" s="17"/>
      <c r="G17" s="17"/>
      <c r="H17" s="19"/>
    </row>
    <row r="18" ht="15" hidden="0" outlineLevel="0" collapsed="0">
      <c r="A18" s="4"/>
      <c r="B18" s="4"/>
      <c r="C18" s="4"/>
      <c r="D18" s="4"/>
      <c r="E18" s="4"/>
      <c r="F18" s="4"/>
      <c r="G18" s="4"/>
      <c r="H18" s="4"/>
    </row>
    <row r="19" ht="34" hidden="0" outlineLevel="0" collapsed="0">
      <c r="A19" s="72" t="s">
        <v>360</v>
      </c>
      <c r="B19" s="73" t="s">
        <v>361</v>
      </c>
      <c r="C19" s="73"/>
      <c r="D19" s="73"/>
      <c r="E19" s="73"/>
      <c r="F19" s="73"/>
      <c r="G19" s="73"/>
      <c r="H19" s="73"/>
    </row>
    <row r="20" ht="34" hidden="0" outlineLevel="0" collapsed="0">
      <c r="A20" s="72" t="s">
        <v>362</v>
      </c>
      <c r="B20" s="73" t="s">
        <v>363</v>
      </c>
      <c r="C20" s="73"/>
      <c r="D20" s="73"/>
      <c r="E20" s="73"/>
      <c r="F20" s="73"/>
      <c r="G20" s="73"/>
      <c r="H20" s="73"/>
    </row>
    <row r="21" ht="34" hidden="0" outlineLevel="0" collapsed="0">
      <c r="A21" s="72" t="s">
        <v>364</v>
      </c>
      <c r="B21" s="73" t="s">
        <v>321</v>
      </c>
      <c r="C21" s="73"/>
      <c r="D21" s="73"/>
      <c r="E21" s="73"/>
      <c r="F21" s="73"/>
      <c r="G21" s="73"/>
      <c r="H21" s="73"/>
    </row>
    <row r="22" ht="15" hidden="0" outlineLevel="0" collapsed="0">
      <c r="A22" s="4"/>
      <c r="B22" s="4"/>
      <c r="C22" s="4"/>
      <c r="D22" s="4"/>
      <c r="E22" s="4"/>
      <c r="F22" s="4"/>
      <c r="G22" s="4"/>
      <c r="H22" s="4"/>
    </row>
    <row r="23" ht="15" hidden="0" outlineLevel="0" collapsed="0">
      <c r="A23" s="4"/>
      <c r="B23" s="4"/>
      <c r="C23" s="4"/>
      <c r="D23" s="4"/>
      <c r="E23" s="4"/>
      <c r="F23" s="4"/>
      <c r="G23" s="4"/>
      <c r="H23" s="4"/>
    </row>
    <row r="24" ht="15" hidden="0" outlineLevel="0" collapsed="0">
      <c r="A24" s="4"/>
      <c r="B24" s="4"/>
      <c r="C24" s="4"/>
      <c r="D24" s="4"/>
      <c r="E24" s="4"/>
      <c r="F24" s="4"/>
      <c r="G24" s="4"/>
      <c r="H24" s="4"/>
    </row>
    <row r="25" ht="15" hidden="0" outlineLevel="0" collapsed="0">
      <c r="A25" s="4"/>
      <c r="B25" s="4"/>
      <c r="C25" s="4"/>
      <c r="D25" s="4"/>
      <c r="E25" s="4"/>
      <c r="F25" s="4"/>
      <c r="G25" s="4"/>
      <c r="H25" s="4"/>
    </row>
    <row r="26" ht="15" hidden="0" outlineLevel="0" collapsed="0">
      <c r="A26" s="4"/>
      <c r="B26" s="4"/>
      <c r="C26" s="4"/>
      <c r="D26" s="4"/>
      <c r="E26" s="4"/>
      <c r="F26" s="4"/>
      <c r="G26" s="4"/>
      <c r="H26" s="4"/>
    </row>
    <row r="27" ht="15" hidden="0" outlineLevel="0" collapsed="0">
      <c r="A27" s="4"/>
      <c r="B27" s="4"/>
      <c r="C27" s="4"/>
      <c r="D27" s="4"/>
      <c r="E27" s="4"/>
      <c r="F27" s="4"/>
      <c r="G27" s="4"/>
      <c r="H27" s="4"/>
    </row>
    <row r="28" ht="15" hidden="0" outlineLevel="0" collapsed="0">
      <c r="A28" s="4"/>
      <c r="B28" s="4"/>
      <c r="C28" s="4"/>
      <c r="D28" s="4"/>
      <c r="E28" s="4"/>
      <c r="F28" s="4"/>
      <c r="G28" s="4"/>
      <c r="H28" s="4"/>
    </row>
    <row r="29" ht="15" hidden="0" outlineLevel="0" collapsed="0">
      <c r="A29" s="4"/>
      <c r="B29" s="4"/>
      <c r="C29" s="4"/>
      <c r="D29" s="4"/>
      <c r="E29" s="4"/>
      <c r="F29" s="4"/>
      <c r="G29" s="4"/>
      <c r="H29" s="4"/>
    </row>
    <row r="30" ht="15" hidden="0" outlineLevel="0" collapsed="0">
      <c r="A30" s="4"/>
      <c r="B30" s="4"/>
      <c r="C30" s="4"/>
      <c r="D30" s="4"/>
      <c r="E30" s="4"/>
      <c r="F30" s="4"/>
      <c r="G30" s="4"/>
      <c r="H30" s="4"/>
    </row>
    <row r="31" ht="15" hidden="0" outlineLevel="0" collapsed="0">
      <c r="A31" s="4"/>
      <c r="B31" s="4"/>
      <c r="C31" s="4"/>
      <c r="D31" s="4"/>
      <c r="E31" s="4"/>
      <c r="F31" s="4"/>
      <c r="G31" s="4"/>
      <c r="H31" s="4"/>
    </row>
    <row r="32" ht="15" hidden="0" outlineLevel="0" collapsed="0">
      <c r="A32" s="4"/>
      <c r="B32" s="4"/>
      <c r="C32" s="4"/>
      <c r="D32" s="4"/>
      <c r="E32" s="4"/>
      <c r="F32" s="4"/>
      <c r="G32" s="4"/>
      <c r="H32" s="4"/>
    </row>
    <row r="33" ht="15" hidden="0" outlineLevel="0" collapsed="0">
      <c r="A33" s="4"/>
      <c r="B33" s="4"/>
      <c r="C33" s="4"/>
      <c r="D33" s="4"/>
      <c r="E33" s="4"/>
      <c r="F33" s="4"/>
      <c r="G33" s="4"/>
      <c r="H33" s="4"/>
    </row>
    <row r="34" ht="15" hidden="0" outlineLevel="0" collapsed="0">
      <c r="A34" s="4"/>
      <c r="B34" s="4"/>
      <c r="C34" s="4"/>
      <c r="D34" s="4"/>
      <c r="E34" s="4"/>
      <c r="F34" s="4"/>
      <c r="G34" s="4"/>
      <c r="H34" s="4"/>
    </row>
    <row r="35" ht="15" hidden="0" outlineLevel="0" collapsed="0">
      <c r="A35" s="4"/>
      <c r="B35" s="4"/>
      <c r="C35" s="4"/>
      <c r="D35" s="4"/>
      <c r="E35" s="4"/>
      <c r="F35" s="4"/>
      <c r="G35" s="4"/>
      <c r="H35" s="4"/>
    </row>
    <row r="36" ht="15" hidden="0" outlineLevel="0" collapsed="0">
      <c r="A36" s="4"/>
      <c r="B36" s="4"/>
      <c r="C36" s="4"/>
      <c r="D36" s="4"/>
      <c r="E36" s="4"/>
      <c r="F36" s="4"/>
      <c r="G36" s="4"/>
      <c r="H36" s="4"/>
    </row>
    <row r="37" ht="15" hidden="0" outlineLevel="0" collapsed="0">
      <c r="A37" s="4"/>
      <c r="B37" s="4"/>
      <c r="C37" s="4"/>
      <c r="D37" s="4"/>
      <c r="E37" s="4"/>
      <c r="F37" s="4"/>
      <c r="G37" s="4"/>
      <c r="H37" s="4"/>
    </row>
    <row r="38" ht="15" hidden="0" outlineLevel="0" collapsed="0">
      <c r="A38" s="4"/>
      <c r="B38" s="4"/>
      <c r="C38" s="4"/>
      <c r="D38" s="4"/>
      <c r="E38" s="4"/>
      <c r="F38" s="4"/>
      <c r="G38" s="4"/>
      <c r="H38" s="4"/>
    </row>
    <row r="39" ht="15" hidden="0" outlineLevel="0" collapsed="0">
      <c r="A39" s="4"/>
      <c r="B39" s="4"/>
      <c r="C39" s="4"/>
      <c r="D39" s="4"/>
      <c r="E39" s="4"/>
      <c r="F39" s="4"/>
      <c r="G39" s="4"/>
      <c r="H39" s="4"/>
    </row>
    <row r="40" ht="15" hidden="0" outlineLevel="0" collapsed="0">
      <c r="A40" s="4"/>
      <c r="B40" s="4"/>
      <c r="C40" s="4"/>
      <c r="D40" s="4"/>
      <c r="E40" s="4"/>
      <c r="F40" s="4"/>
      <c r="G40" s="4"/>
      <c r="H40" s="4"/>
    </row>
    <row r="41" ht="15" hidden="0" outlineLevel="0" collapsed="0">
      <c r="A41" s="4"/>
      <c r="B41" s="4"/>
      <c r="C41" s="4"/>
      <c r="D41" s="4"/>
      <c r="E41" s="4"/>
      <c r="F41" s="4"/>
      <c r="G41" s="4"/>
      <c r="H41" s="4"/>
    </row>
    <row r="42" ht="15" hidden="0" outlineLevel="0" collapsed="0">
      <c r="A42" s="4"/>
      <c r="B42" s="4"/>
      <c r="C42" s="4"/>
      <c r="D42" s="4"/>
      <c r="E42" s="4"/>
      <c r="F42" s="4"/>
      <c r="G42" s="4"/>
      <c r="H42" s="4"/>
    </row>
    <row r="43" ht="15" hidden="0" outlineLevel="0" collapsed="0">
      <c r="A43" s="4"/>
      <c r="B43" s="4"/>
      <c r="C43" s="4"/>
      <c r="D43" s="4"/>
      <c r="E43" s="4"/>
      <c r="F43" s="4"/>
      <c r="G43" s="4"/>
      <c r="H43" s="4"/>
    </row>
    <row r="44" ht="15" hidden="0" outlineLevel="0" collapsed="0">
      <c r="A44" s="4"/>
      <c r="B44" s="4"/>
      <c r="C44" s="4"/>
      <c r="D44" s="4"/>
      <c r="E44" s="4"/>
      <c r="F44" s="4"/>
      <c r="G44" s="4"/>
      <c r="H44" s="4"/>
    </row>
    <row r="45" ht="15" hidden="0" outlineLevel="0" collapsed="0">
      <c r="A45" s="4"/>
      <c r="B45" s="4"/>
      <c r="C45" s="4"/>
      <c r="D45" s="4"/>
      <c r="E45" s="4"/>
      <c r="F45" s="4"/>
      <c r="G45" s="4"/>
      <c r="H45" s="4"/>
    </row>
    <row r="46" ht="15" hidden="0" outlineLevel="0" collapsed="0">
      <c r="A46" s="4"/>
      <c r="B46" s="4"/>
      <c r="C46" s="4"/>
      <c r="D46" s="4"/>
      <c r="E46" s="4"/>
      <c r="F46" s="4"/>
      <c r="G46" s="4"/>
      <c r="H46" s="4"/>
    </row>
    <row r="47" ht="15" hidden="0" outlineLevel="0" collapsed="0">
      <c r="A47" s="4"/>
      <c r="B47" s="4"/>
      <c r="C47" s="4"/>
      <c r="D47" s="4"/>
      <c r="E47" s="4"/>
      <c r="F47" s="4"/>
      <c r="G47" s="4"/>
      <c r="H47" s="4"/>
    </row>
    <row r="48" ht="15" hidden="0" outlineLevel="0" collapsed="0">
      <c r="A48" s="4"/>
      <c r="B48" s="4"/>
      <c r="C48" s="4"/>
      <c r="D48" s="4"/>
      <c r="E48" s="4"/>
      <c r="F48" s="4"/>
      <c r="G48" s="4"/>
      <c r="H48" s="4"/>
    </row>
    <row r="49" ht="15" hidden="0" outlineLevel="0" collapsed="0">
      <c r="A49" s="4"/>
      <c r="B49" s="4"/>
      <c r="C49" s="4"/>
      <c r="D49" s="4"/>
      <c r="E49" s="4"/>
      <c r="F49" s="4"/>
      <c r="G49" s="4"/>
      <c r="H49" s="4"/>
    </row>
    <row r="50" ht="15" hidden="0" outlineLevel="0" collapsed="0">
      <c r="A50" s="4"/>
      <c r="B50" s="4"/>
      <c r="C50" s="4"/>
      <c r="D50" s="4"/>
      <c r="E50" s="4"/>
      <c r="F50" s="4"/>
      <c r="G50" s="4"/>
      <c r="H50" s="4"/>
    </row>
    <row r="51" ht="15" hidden="0" outlineLevel="0" collapsed="0">
      <c r="A51" s="4"/>
      <c r="B51" s="4"/>
      <c r="C51" s="4"/>
      <c r="D51" s="4"/>
      <c r="E51" s="4"/>
      <c r="F51" s="4"/>
      <c r="G51" s="4"/>
      <c r="H51" s="4"/>
    </row>
    <row r="52" ht="15" hidden="0" outlineLevel="0" collapsed="0">
      <c r="A52" s="4"/>
      <c r="B52" s="4"/>
      <c r="C52" s="4"/>
      <c r="D52" s="4"/>
      <c r="E52" s="4"/>
      <c r="F52" s="4"/>
      <c r="G52" s="4"/>
      <c r="H52" s="4"/>
    </row>
    <row r="53" ht="15" hidden="0" outlineLevel="0" collapsed="0">
      <c r="A53" s="4"/>
      <c r="B53" s="4"/>
      <c r="C53" s="4"/>
      <c r="D53" s="4"/>
      <c r="E53" s="4"/>
      <c r="F53" s="4"/>
      <c r="G53" s="4"/>
      <c r="H53" s="4"/>
    </row>
    <row r="54" ht="15" hidden="0" outlineLevel="0" collapsed="0">
      <c r="A54" s="4"/>
      <c r="B54" s="4"/>
      <c r="C54" s="4"/>
      <c r="D54" s="4"/>
      <c r="E54" s="4"/>
      <c r="F54" s="4"/>
      <c r="G54" s="4"/>
      <c r="H54" s="4"/>
    </row>
    <row r="55" ht="15" hidden="0" outlineLevel="0" collapsed="0">
      <c r="A55" s="4"/>
      <c r="B55" s="4"/>
      <c r="C55" s="4"/>
      <c r="D55" s="4"/>
      <c r="E55" s="4"/>
      <c r="F55" s="4"/>
      <c r="G55" s="4"/>
      <c r="H55" s="4"/>
    </row>
    <row r="56" ht="15" hidden="0" outlineLevel="0" collapsed="0">
      <c r="A56" s="4"/>
      <c r="B56" s="4"/>
      <c r="C56" s="4"/>
      <c r="D56" s="4"/>
      <c r="E56" s="4"/>
      <c r="F56" s="4"/>
      <c r="G56" s="4"/>
      <c r="H56" s="4"/>
    </row>
    <row r="57" ht="15" hidden="0" outlineLevel="0" collapsed="0">
      <c r="A57" s="4"/>
      <c r="B57" s="4"/>
      <c r="C57" s="4"/>
      <c r="D57" s="4"/>
      <c r="E57" s="4"/>
      <c r="F57" s="4"/>
      <c r="G57" s="4"/>
      <c r="H57" s="4"/>
    </row>
    <row r="58" ht="15" hidden="0" outlineLevel="0" collapsed="0">
      <c r="A58" s="4"/>
      <c r="B58" s="4"/>
      <c r="C58" s="4"/>
      <c r="D58" s="4"/>
      <c r="E58" s="4"/>
      <c r="F58" s="4"/>
      <c r="G58" s="4"/>
      <c r="H58" s="4"/>
    </row>
    <row r="59" ht="15" hidden="0" outlineLevel="0" collapsed="0">
      <c r="A59" s="4"/>
      <c r="B59" s="4"/>
      <c r="C59" s="4"/>
      <c r="D59" s="4"/>
      <c r="E59" s="4"/>
      <c r="F59" s="4"/>
      <c r="G59" s="4"/>
      <c r="H59" s="4"/>
    </row>
    <row r="60" ht="15" hidden="0" outlineLevel="0" collapsed="0">
      <c r="A60" s="4"/>
      <c r="B60" s="4"/>
      <c r="C60" s="4"/>
      <c r="D60" s="4"/>
      <c r="E60" s="4"/>
      <c r="F60" s="4"/>
      <c r="G60" s="4"/>
      <c r="H60" s="4"/>
    </row>
    <row r="61" ht="15" hidden="0" outlineLevel="0" collapsed="0">
      <c r="A61" s="4"/>
      <c r="B61" s="4"/>
      <c r="C61" s="4"/>
      <c r="D61" s="4"/>
      <c r="E61" s="4"/>
      <c r="F61" s="4"/>
      <c r="G61" s="4"/>
      <c r="H61" s="4"/>
    </row>
    <row r="62" ht="15" hidden="0" outlineLevel="0" collapsed="0">
      <c r="A62" s="4"/>
      <c r="B62" s="4"/>
      <c r="C62" s="4"/>
      <c r="D62" s="4"/>
      <c r="E62" s="4"/>
      <c r="F62" s="4"/>
      <c r="G62" s="4"/>
      <c r="H62" s="4"/>
    </row>
    <row r="63" ht="15" hidden="0" outlineLevel="0" collapsed="0">
      <c r="A63" s="4"/>
      <c r="B63" s="4"/>
      <c r="C63" s="4"/>
      <c r="D63" s="4"/>
      <c r="E63" s="4"/>
      <c r="F63" s="4"/>
      <c r="G63" s="4"/>
      <c r="H63" s="4"/>
    </row>
    <row r="64" ht="15" hidden="0" outlineLevel="0" collapsed="0">
      <c r="A64" s="4"/>
      <c r="B64" s="4"/>
      <c r="C64" s="4"/>
      <c r="D64" s="4"/>
      <c r="E64" s="4"/>
      <c r="F64" s="4"/>
      <c r="G64" s="4"/>
      <c r="H64" s="4"/>
    </row>
    <row r="65" ht="15" hidden="0" outlineLevel="0" collapsed="0">
      <c r="A65" s="4"/>
      <c r="B65" s="4"/>
      <c r="C65" s="4"/>
      <c r="D65" s="4"/>
      <c r="E65" s="4"/>
      <c r="F65" s="4"/>
      <c r="G65" s="4"/>
      <c r="H65" s="4"/>
    </row>
    <row r="66" ht="15" hidden="0" outlineLevel="0" collapsed="0">
      <c r="A66" s="4"/>
      <c r="B66" s="4"/>
      <c r="C66" s="4"/>
      <c r="D66" s="4"/>
      <c r="E66" s="4"/>
      <c r="F66" s="4"/>
      <c r="G66" s="4"/>
      <c r="H66" s="4"/>
    </row>
    <row r="67" ht="15" hidden="0" outlineLevel="0" collapsed="0">
      <c r="A67" s="4"/>
      <c r="B67" s="4"/>
      <c r="C67" s="4"/>
      <c r="D67" s="4"/>
      <c r="E67" s="4"/>
      <c r="F67" s="4"/>
      <c r="G67" s="4"/>
      <c r="H67" s="4"/>
    </row>
    <row r="68" ht="15" hidden="0" outlineLevel="0" collapsed="0">
      <c r="A68" s="4"/>
      <c r="B68" s="4"/>
      <c r="C68" s="4"/>
      <c r="D68" s="4"/>
      <c r="E68" s="4"/>
      <c r="F68" s="4"/>
      <c r="G68" s="4"/>
      <c r="H68" s="4"/>
    </row>
    <row r="69" ht="15" hidden="0" outlineLevel="0" collapsed="0">
      <c r="A69" s="4"/>
      <c r="B69" s="4"/>
      <c r="C69" s="4"/>
      <c r="D69" s="4"/>
      <c r="E69" s="4"/>
      <c r="F69" s="4"/>
      <c r="G69" s="4"/>
      <c r="H69" s="4"/>
    </row>
    <row r="70" ht="15" hidden="0" outlineLevel="0" collapsed="0">
      <c r="A70" s="4"/>
      <c r="B70" s="4"/>
      <c r="C70" s="4"/>
      <c r="D70" s="4"/>
      <c r="E70" s="4"/>
      <c r="F70" s="4"/>
      <c r="G70" s="4"/>
      <c r="H70" s="4"/>
    </row>
    <row r="71" ht="15" hidden="0" outlineLevel="0" collapsed="0">
      <c r="A71" s="4"/>
      <c r="B71" s="4"/>
      <c r="C71" s="4"/>
      <c r="D71" s="4"/>
      <c r="E71" s="4"/>
      <c r="F71" s="4"/>
      <c r="G71" s="4"/>
      <c r="H71" s="4"/>
    </row>
    <row r="72" ht="15" hidden="0" outlineLevel="0" collapsed="0">
      <c r="A72" s="4"/>
      <c r="B72" s="4"/>
      <c r="C72" s="4"/>
      <c r="D72" s="4"/>
      <c r="E72" s="4"/>
      <c r="F72" s="4"/>
      <c r="G72" s="4"/>
      <c r="H72" s="4"/>
    </row>
    <row r="73" ht="15" hidden="0" outlineLevel="0" collapsed="0">
      <c r="A73" s="4"/>
      <c r="B73" s="4"/>
      <c r="C73" s="4"/>
      <c r="D73" s="4"/>
      <c r="E73" s="4"/>
      <c r="F73" s="4"/>
      <c r="G73" s="4"/>
      <c r="H73" s="4"/>
    </row>
    <row r="74" ht="15" hidden="0" outlineLevel="0" collapsed="0">
      <c r="A74" s="4"/>
      <c r="B74" s="4"/>
      <c r="C74" s="4"/>
      <c r="D74" s="4"/>
      <c r="E74" s="4"/>
      <c r="F74" s="4"/>
      <c r="G74" s="4"/>
      <c r="H74" s="4"/>
    </row>
    <row r="75" ht="15" hidden="0" outlineLevel="0" collapsed="0">
      <c r="A75" s="4"/>
      <c r="B75" s="4"/>
      <c r="C75" s="4"/>
      <c r="D75" s="4"/>
      <c r="E75" s="4"/>
      <c r="F75" s="4"/>
      <c r="G75" s="4"/>
      <c r="H75" s="4"/>
    </row>
    <row r="76" ht="15" hidden="0" outlineLevel="0" collapsed="0">
      <c r="A76" s="4"/>
      <c r="B76" s="4"/>
      <c r="C76" s="4"/>
      <c r="D76" s="4"/>
      <c r="E76" s="4"/>
      <c r="F76" s="4"/>
      <c r="G76" s="4"/>
      <c r="H76" s="4"/>
    </row>
    <row r="77" ht="15" hidden="0" outlineLevel="0" collapsed="0">
      <c r="A77" s="4"/>
      <c r="B77" s="4"/>
      <c r="C77" s="4"/>
      <c r="D77" s="4"/>
      <c r="E77" s="4"/>
      <c r="F77" s="4"/>
      <c r="G77" s="4"/>
      <c r="H77" s="4"/>
    </row>
    <row r="78" ht="15" hidden="0" outlineLevel="0" collapsed="0">
      <c r="A78" s="4"/>
      <c r="B78" s="4"/>
      <c r="C78" s="4"/>
      <c r="D78" s="4"/>
      <c r="E78" s="4"/>
      <c r="F78" s="4"/>
      <c r="G78" s="4"/>
      <c r="H78" s="4"/>
    </row>
    <row r="79" ht="15" hidden="0" outlineLevel="0" collapsed="0">
      <c r="A79" s="4"/>
      <c r="B79" s="4"/>
      <c r="C79" s="4"/>
      <c r="D79" s="4"/>
      <c r="E79" s="4"/>
      <c r="F79" s="4"/>
      <c r="G79" s="4"/>
      <c r="H79" s="4"/>
    </row>
    <row r="80" ht="15" hidden="0" outlineLevel="0" collapsed="0">
      <c r="A80" s="4"/>
      <c r="B80" s="4"/>
      <c r="C80" s="4"/>
      <c r="D80" s="4"/>
      <c r="E80" s="4"/>
      <c r="F80" s="4"/>
      <c r="G80" s="4"/>
      <c r="H80" s="4"/>
    </row>
  </sheetData>
  <mergeCells count="5">
    <mergeCell ref="A1:H1"/>
    <mergeCell ref="A2:H2"/>
    <mergeCell ref="B19:H19"/>
    <mergeCell ref="B20:H20"/>
    <mergeCell ref="B21:H21"/>
  </mergeCells>
  <conditionalFormatting sqref="C5:C17">
    <cfRule type="containsText" priority="2" operator="containsText" text="PASS" dxfId="12">
      <formula>NOT(ISERROR(SEARCH("PASS",C5)))</formula>
    </cfRule>
    <cfRule type="containsText" priority="3" operator="containsText" text="FAIL" dxfId="13">
      <formula>NOT(ISERROR(SEARCH("FAIL",C5)))</formula>
    </cfRule>
    <cfRule type="containsText" priority="4" operator="containsText" text="PENDING" dxfId="14">
      <formula>NOT(ISERROR(SEARCH("PENDING",C5)))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8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4" style="1" hidden="0" customWidth="1" outlineLevel="0" collapsed="0"/>
    <col min="2" max="2" width="10" style="1" hidden="0" customWidth="1" outlineLevel="0" collapsed="0"/>
    <col min="3" max="3" width="22" style="1" hidden="0" customWidth="1" outlineLevel="0" collapsed="0"/>
    <col min="4" max="6" width="40" style="1" hidden="0" customWidth="1" outlineLevel="0" collapsed="0"/>
  </cols>
  <sheetData>
    <row r="1" ht="28" hidden="0" outlineLevel="0" collapsed="0">
      <c r="A1" s="2" t="s">
        <v>365</v>
      </c>
      <c r="B1" s="2"/>
      <c r="C1" s="2"/>
      <c r="D1" s="2"/>
      <c r="E1" s="2"/>
      <c r="F1" s="2"/>
    </row>
    <row r="2" ht="28" hidden="0" outlineLevel="0" collapsed="0">
      <c r="A2" s="3" t="s">
        <v>366</v>
      </c>
      <c r="B2" s="3"/>
      <c r="C2" s="3"/>
      <c r="D2" s="3"/>
      <c r="E2" s="3"/>
      <c r="F2" s="3"/>
    </row>
    <row r="3" ht="15" hidden="0" outlineLevel="0" collapsed="0">
      <c r="A3" s="4"/>
      <c r="B3" s="4"/>
      <c r="C3" s="4"/>
      <c r="D3" s="4"/>
      <c r="E3" s="4"/>
      <c r="F3" s="4"/>
    </row>
    <row r="4" ht="15" hidden="0" outlineLevel="0" collapsed="0">
      <c r="A4" s="5" t="s">
        <v>367</v>
      </c>
      <c r="B4" s="5" t="s">
        <v>368</v>
      </c>
      <c r="C4" s="5" t="s">
        <v>369</v>
      </c>
      <c r="D4" s="5" t="s">
        <v>370</v>
      </c>
      <c r="E4" s="5" t="s">
        <v>371</v>
      </c>
      <c r="F4" s="5" t="s">
        <v>372</v>
      </c>
    </row>
    <row r="5" ht="44" hidden="0" outlineLevel="0" collapsed="0">
      <c r="A5" s="8" t="s">
        <v>373</v>
      </c>
      <c r="B5" s="9" t="s">
        <v>374</v>
      </c>
      <c r="C5" s="9" t="s">
        <v>375</v>
      </c>
      <c r="D5" s="9" t="s">
        <v>376</v>
      </c>
      <c r="E5" s="9" t="s">
        <v>377</v>
      </c>
      <c r="F5" s="11" t="s">
        <v>378</v>
      </c>
    </row>
    <row r="6" ht="44" hidden="0" outlineLevel="0" collapsed="0">
      <c r="A6" s="12" t="s">
        <v>373</v>
      </c>
      <c r="B6" s="13" t="s">
        <v>374</v>
      </c>
      <c r="C6" s="13" t="s">
        <v>375</v>
      </c>
      <c r="D6" s="13" t="s">
        <v>379</v>
      </c>
      <c r="E6" s="13" t="s">
        <v>380</v>
      </c>
      <c r="F6" s="15" t="s">
        <v>378</v>
      </c>
    </row>
    <row r="7" ht="44" hidden="0" outlineLevel="0" collapsed="0">
      <c r="A7" s="12" t="s">
        <v>373</v>
      </c>
      <c r="B7" s="13" t="s">
        <v>374</v>
      </c>
      <c r="C7" s="13" t="s">
        <v>375</v>
      </c>
      <c r="D7" s="13" t="s">
        <v>381</v>
      </c>
      <c r="E7" s="13" t="s">
        <v>336</v>
      </c>
      <c r="F7" s="15" t="s">
        <v>378</v>
      </c>
    </row>
    <row r="8" ht="44" hidden="0" outlineLevel="0" collapsed="0">
      <c r="A8" s="12" t="s">
        <v>373</v>
      </c>
      <c r="B8" s="13" t="s">
        <v>374</v>
      </c>
      <c r="C8" s="13" t="s">
        <v>375</v>
      </c>
      <c r="D8" s="13" t="s">
        <v>382</v>
      </c>
      <c r="E8" s="13" t="s">
        <v>383</v>
      </c>
      <c r="F8" s="15" t="s">
        <v>378</v>
      </c>
    </row>
    <row r="9" ht="44" hidden="0" outlineLevel="0" collapsed="0">
      <c r="A9" s="16" t="s">
        <v>373</v>
      </c>
      <c r="B9" s="17" t="s">
        <v>374</v>
      </c>
      <c r="C9" s="17" t="s">
        <v>384</v>
      </c>
      <c r="D9" s="17" t="s">
        <v>385</v>
      </c>
      <c r="E9" s="17" t="s">
        <v>386</v>
      </c>
      <c r="F9" s="19" t="s">
        <v>387</v>
      </c>
    </row>
    <row r="10" ht="15" hidden="0" outlineLevel="0" collapsed="0">
      <c r="A10" s="4"/>
      <c r="B10" s="4"/>
      <c r="C10" s="4"/>
      <c r="D10" s="4"/>
      <c r="E10" s="4"/>
      <c r="F10" s="4"/>
    </row>
    <row r="11" ht="15" hidden="0" outlineLevel="0" collapsed="0">
      <c r="A11" s="4"/>
      <c r="B11" s="4"/>
      <c r="C11" s="4"/>
      <c r="D11" s="4"/>
      <c r="E11" s="4"/>
      <c r="F11" s="4"/>
    </row>
    <row r="12" ht="15" hidden="0" outlineLevel="0" collapsed="0">
      <c r="A12" s="4"/>
      <c r="B12" s="4"/>
      <c r="C12" s="4"/>
      <c r="D12" s="4"/>
      <c r="E12" s="4"/>
      <c r="F12" s="4"/>
    </row>
    <row r="13" ht="15" hidden="0" outlineLevel="0" collapsed="0">
      <c r="A13" s="4"/>
      <c r="B13" s="4"/>
      <c r="C13" s="4"/>
      <c r="D13" s="4"/>
      <c r="E13" s="4"/>
      <c r="F13" s="4"/>
    </row>
    <row r="14" ht="15" hidden="0" outlineLevel="0" collapsed="0">
      <c r="A14" s="4"/>
      <c r="B14" s="4"/>
      <c r="C14" s="4"/>
      <c r="D14" s="4"/>
      <c r="E14" s="4"/>
      <c r="F14" s="4"/>
    </row>
    <row r="15" ht="15" hidden="0" outlineLevel="0" collapsed="0">
      <c r="A15" s="4"/>
      <c r="B15" s="4"/>
      <c r="C15" s="4"/>
      <c r="D15" s="4"/>
      <c r="E15" s="4"/>
      <c r="F15" s="4"/>
    </row>
    <row r="16" ht="15" hidden="0" outlineLevel="0" collapsed="0">
      <c r="A16" s="4"/>
      <c r="B16" s="4"/>
      <c r="C16" s="4"/>
      <c r="D16" s="4"/>
      <c r="E16" s="4"/>
      <c r="F16" s="4"/>
    </row>
    <row r="17" ht="15" hidden="0" outlineLevel="0" collapsed="0">
      <c r="A17" s="4"/>
      <c r="B17" s="4"/>
      <c r="C17" s="4"/>
      <c r="D17" s="4"/>
      <c r="E17" s="4"/>
      <c r="F17" s="4"/>
    </row>
    <row r="18" ht="15" hidden="0" outlineLevel="0" collapsed="0">
      <c r="A18" s="4"/>
      <c r="B18" s="4"/>
      <c r="C18" s="4"/>
      <c r="D18" s="4"/>
      <c r="E18" s="4"/>
      <c r="F18" s="4"/>
    </row>
    <row r="19" ht="15" hidden="0" outlineLevel="0" collapsed="0">
      <c r="A19" s="4"/>
      <c r="B19" s="4"/>
      <c r="C19" s="4"/>
      <c r="D19" s="4"/>
      <c r="E19" s="4"/>
      <c r="F19" s="4"/>
    </row>
    <row r="20" ht="15" hidden="0" outlineLevel="0" collapsed="0">
      <c r="A20" s="4"/>
      <c r="B20" s="4"/>
      <c r="C20" s="4"/>
      <c r="D20" s="4"/>
      <c r="E20" s="4"/>
      <c r="F20" s="4"/>
    </row>
    <row r="21" ht="15" hidden="0" outlineLevel="0" collapsed="0">
      <c r="A21" s="4"/>
      <c r="B21" s="4"/>
      <c r="C21" s="4"/>
      <c r="D21" s="4"/>
      <c r="E21" s="4"/>
      <c r="F21" s="4"/>
    </row>
    <row r="22" ht="15" hidden="0" outlineLevel="0" collapsed="0">
      <c r="A22" s="4"/>
      <c r="B22" s="4"/>
      <c r="C22" s="4"/>
      <c r="D22" s="4"/>
      <c r="E22" s="4"/>
      <c r="F22" s="4"/>
    </row>
    <row r="23" ht="15" hidden="0" outlineLevel="0" collapsed="0">
      <c r="A23" s="4"/>
      <c r="B23" s="4"/>
      <c r="C23" s="4"/>
      <c r="D23" s="4"/>
      <c r="E23" s="4"/>
      <c r="F23" s="4"/>
    </row>
    <row r="24" ht="15" hidden="0" outlineLevel="0" collapsed="0">
      <c r="A24" s="4"/>
      <c r="B24" s="4"/>
      <c r="C24" s="4"/>
      <c r="D24" s="4"/>
      <c r="E24" s="4"/>
      <c r="F24" s="4"/>
    </row>
    <row r="25" ht="15" hidden="0" outlineLevel="0" collapsed="0">
      <c r="A25" s="4"/>
      <c r="B25" s="4"/>
      <c r="C25" s="4"/>
      <c r="D25" s="4"/>
      <c r="E25" s="4"/>
      <c r="F25" s="4"/>
    </row>
    <row r="26" ht="15" hidden="0" outlineLevel="0" collapsed="0">
      <c r="A26" s="4"/>
      <c r="B26" s="4"/>
      <c r="C26" s="4"/>
      <c r="D26" s="4"/>
      <c r="E26" s="4"/>
      <c r="F26" s="4"/>
    </row>
    <row r="27" ht="15" hidden="0" outlineLevel="0" collapsed="0">
      <c r="A27" s="4"/>
      <c r="B27" s="4"/>
      <c r="C27" s="4"/>
      <c r="D27" s="4"/>
      <c r="E27" s="4"/>
      <c r="F27" s="4"/>
    </row>
    <row r="28" ht="15" hidden="0" outlineLevel="0" collapsed="0">
      <c r="A28" s="4"/>
      <c r="B28" s="4"/>
      <c r="C28" s="4"/>
      <c r="D28" s="4"/>
      <c r="E28" s="4"/>
      <c r="F28" s="4"/>
    </row>
    <row r="29" ht="15" hidden="0" outlineLevel="0" collapsed="0">
      <c r="A29" s="4"/>
      <c r="B29" s="4"/>
      <c r="C29" s="4"/>
      <c r="D29" s="4"/>
      <c r="E29" s="4"/>
      <c r="F29" s="4"/>
    </row>
    <row r="30" ht="15" hidden="0" outlineLevel="0" collapsed="0">
      <c r="A30" s="4"/>
      <c r="B30" s="4"/>
      <c r="C30" s="4"/>
      <c r="D30" s="4"/>
      <c r="E30" s="4"/>
      <c r="F30" s="4"/>
    </row>
    <row r="31" ht="15" hidden="0" outlineLevel="0" collapsed="0">
      <c r="A31" s="4"/>
      <c r="B31" s="4"/>
      <c r="C31" s="4"/>
      <c r="D31" s="4"/>
      <c r="E31" s="4"/>
      <c r="F31" s="4"/>
    </row>
    <row r="32" ht="15" hidden="0" outlineLevel="0" collapsed="0">
      <c r="A32" s="4"/>
      <c r="B32" s="4"/>
      <c r="C32" s="4"/>
      <c r="D32" s="4"/>
      <c r="E32" s="4"/>
      <c r="F32" s="4"/>
    </row>
    <row r="33" ht="15" hidden="0" outlineLevel="0" collapsed="0">
      <c r="A33" s="4"/>
      <c r="B33" s="4"/>
      <c r="C33" s="4"/>
      <c r="D33" s="4"/>
      <c r="E33" s="4"/>
      <c r="F33" s="4"/>
    </row>
    <row r="34" ht="15" hidden="0" outlineLevel="0" collapsed="0">
      <c r="A34" s="4"/>
      <c r="B34" s="4"/>
      <c r="C34" s="4"/>
      <c r="D34" s="4"/>
      <c r="E34" s="4"/>
      <c r="F34" s="4"/>
    </row>
    <row r="35" ht="15" hidden="0" outlineLevel="0" collapsed="0">
      <c r="A35" s="4"/>
      <c r="B35" s="4"/>
      <c r="C35" s="4"/>
      <c r="D35" s="4"/>
      <c r="E35" s="4"/>
      <c r="F35" s="4"/>
    </row>
    <row r="36" ht="15" hidden="0" outlineLevel="0" collapsed="0">
      <c r="A36" s="4"/>
      <c r="B36" s="4"/>
      <c r="C36" s="4"/>
      <c r="D36" s="4"/>
      <c r="E36" s="4"/>
      <c r="F36" s="4"/>
    </row>
    <row r="37" ht="15" hidden="0" outlineLevel="0" collapsed="0">
      <c r="A37" s="4"/>
      <c r="B37" s="4"/>
      <c r="C37" s="4"/>
      <c r="D37" s="4"/>
      <c r="E37" s="4"/>
      <c r="F37" s="4"/>
    </row>
    <row r="38" ht="15" hidden="0" outlineLevel="0" collapsed="0">
      <c r="A38" s="4"/>
      <c r="B38" s="4"/>
      <c r="C38" s="4"/>
      <c r="D38" s="4"/>
      <c r="E38" s="4"/>
      <c r="F38" s="4"/>
    </row>
    <row r="39" ht="15" hidden="0" outlineLevel="0" collapsed="0">
      <c r="A39" s="4"/>
      <c r="B39" s="4"/>
      <c r="C39" s="4"/>
      <c r="D39" s="4"/>
      <c r="E39" s="4"/>
      <c r="F39" s="4"/>
    </row>
    <row r="40" ht="15" hidden="0" outlineLevel="0" collapsed="0">
      <c r="A40" s="4"/>
      <c r="B40" s="4"/>
      <c r="C40" s="4"/>
      <c r="D40" s="4"/>
      <c r="E40" s="4"/>
      <c r="F40" s="4"/>
    </row>
    <row r="41" ht="15" hidden="0" outlineLevel="0" collapsed="0">
      <c r="A41" s="4"/>
      <c r="B41" s="4"/>
      <c r="C41" s="4"/>
      <c r="D41" s="4"/>
      <c r="E41" s="4"/>
      <c r="F41" s="4"/>
    </row>
    <row r="42" ht="15" hidden="0" outlineLevel="0" collapsed="0">
      <c r="A42" s="4"/>
      <c r="B42" s="4"/>
      <c r="C42" s="4"/>
      <c r="D42" s="4"/>
      <c r="E42" s="4"/>
      <c r="F42" s="4"/>
    </row>
    <row r="43" ht="15" hidden="0" outlineLevel="0" collapsed="0">
      <c r="A43" s="4"/>
      <c r="B43" s="4"/>
      <c r="C43" s="4"/>
      <c r="D43" s="4"/>
      <c r="E43" s="4"/>
      <c r="F43" s="4"/>
    </row>
    <row r="44" ht="15" hidden="0" outlineLevel="0" collapsed="0">
      <c r="A44" s="4"/>
      <c r="B44" s="4"/>
      <c r="C44" s="4"/>
      <c r="D44" s="4"/>
      <c r="E44" s="4"/>
      <c r="F44" s="4"/>
    </row>
    <row r="45" ht="15" hidden="0" outlineLevel="0" collapsed="0">
      <c r="A45" s="4"/>
      <c r="B45" s="4"/>
      <c r="C45" s="4"/>
      <c r="D45" s="4"/>
      <c r="E45" s="4"/>
      <c r="F45" s="4"/>
    </row>
    <row r="46" ht="15" hidden="0" outlineLevel="0" collapsed="0">
      <c r="A46" s="4"/>
      <c r="B46" s="4"/>
      <c r="C46" s="4"/>
      <c r="D46" s="4"/>
      <c r="E46" s="4"/>
      <c r="F46" s="4"/>
    </row>
    <row r="47" ht="15" hidden="0" outlineLevel="0" collapsed="0">
      <c r="A47" s="4"/>
      <c r="B47" s="4"/>
      <c r="C47" s="4"/>
      <c r="D47" s="4"/>
      <c r="E47" s="4"/>
      <c r="F47" s="4"/>
    </row>
    <row r="48" ht="15" hidden="0" outlineLevel="0" collapsed="0">
      <c r="A48" s="4"/>
      <c r="B48" s="4"/>
      <c r="C48" s="4"/>
      <c r="D48" s="4"/>
      <c r="E48" s="4"/>
      <c r="F48" s="4"/>
    </row>
    <row r="49" ht="15" hidden="0" outlineLevel="0" collapsed="0">
      <c r="A49" s="4"/>
      <c r="B49" s="4"/>
      <c r="C49" s="4"/>
      <c r="D49" s="4"/>
      <c r="E49" s="4"/>
      <c r="F49" s="4"/>
    </row>
    <row r="50" ht="15" hidden="0" outlineLevel="0" collapsed="0">
      <c r="A50" s="4"/>
      <c r="B50" s="4"/>
      <c r="C50" s="4"/>
      <c r="D50" s="4"/>
      <c r="E50" s="4"/>
      <c r="F50" s="4"/>
    </row>
    <row r="51" ht="15" hidden="0" outlineLevel="0" collapsed="0">
      <c r="A51" s="4"/>
      <c r="B51" s="4"/>
      <c r="C51" s="4"/>
      <c r="D51" s="4"/>
      <c r="E51" s="4"/>
      <c r="F51" s="4"/>
    </row>
    <row r="52" ht="15" hidden="0" outlineLevel="0" collapsed="0">
      <c r="A52" s="4"/>
      <c r="B52" s="4"/>
      <c r="C52" s="4"/>
      <c r="D52" s="4"/>
      <c r="E52" s="4"/>
      <c r="F52" s="4"/>
    </row>
    <row r="53" ht="15" hidden="0" outlineLevel="0" collapsed="0">
      <c r="A53" s="4"/>
      <c r="B53" s="4"/>
      <c r="C53" s="4"/>
      <c r="D53" s="4"/>
      <c r="E53" s="4"/>
      <c r="F53" s="4"/>
    </row>
    <row r="54" ht="15" hidden="0" outlineLevel="0" collapsed="0">
      <c r="A54" s="4"/>
      <c r="B54" s="4"/>
      <c r="C54" s="4"/>
      <c r="D54" s="4"/>
      <c r="E54" s="4"/>
      <c r="F54" s="4"/>
    </row>
    <row r="55" ht="15" hidden="0" outlineLevel="0" collapsed="0">
      <c r="A55" s="4"/>
      <c r="B55" s="4"/>
      <c r="C55" s="4"/>
      <c r="D55" s="4"/>
      <c r="E55" s="4"/>
      <c r="F55" s="4"/>
    </row>
    <row r="56" ht="15" hidden="0" outlineLevel="0" collapsed="0">
      <c r="A56" s="4"/>
      <c r="B56" s="4"/>
      <c r="C56" s="4"/>
      <c r="D56" s="4"/>
      <c r="E56" s="4"/>
      <c r="F56" s="4"/>
    </row>
    <row r="57" ht="15" hidden="0" outlineLevel="0" collapsed="0">
      <c r="A57" s="4"/>
      <c r="B57" s="4"/>
      <c r="C57" s="4"/>
      <c r="D57" s="4"/>
      <c r="E57" s="4"/>
      <c r="F57" s="4"/>
    </row>
    <row r="58" ht="15" hidden="0" outlineLevel="0" collapsed="0">
      <c r="A58" s="4"/>
      <c r="B58" s="4"/>
      <c r="C58" s="4"/>
      <c r="D58" s="4"/>
      <c r="E58" s="4"/>
      <c r="F58" s="4"/>
    </row>
    <row r="59" ht="15" hidden="0" outlineLevel="0" collapsed="0">
      <c r="A59" s="4"/>
      <c r="B59" s="4"/>
      <c r="C59" s="4"/>
      <c r="D59" s="4"/>
      <c r="E59" s="4"/>
      <c r="F59" s="4"/>
    </row>
    <row r="60" ht="15" hidden="0" outlineLevel="0" collapsed="0">
      <c r="A60" s="4"/>
      <c r="B60" s="4"/>
      <c r="C60" s="4"/>
      <c r="D60" s="4"/>
      <c r="E60" s="4"/>
      <c r="F60" s="4"/>
    </row>
    <row r="61" ht="15" hidden="0" outlineLevel="0" collapsed="0">
      <c r="A61" s="4"/>
      <c r="B61" s="4"/>
      <c r="C61" s="4"/>
      <c r="D61" s="4"/>
      <c r="E61" s="4"/>
      <c r="F61" s="4"/>
    </row>
    <row r="62" ht="15" hidden="0" outlineLevel="0" collapsed="0">
      <c r="A62" s="4"/>
      <c r="B62" s="4"/>
      <c r="C62" s="4"/>
      <c r="D62" s="4"/>
      <c r="E62" s="4"/>
      <c r="F62" s="4"/>
    </row>
    <row r="63" ht="15" hidden="0" outlineLevel="0" collapsed="0">
      <c r="A63" s="4"/>
      <c r="B63" s="4"/>
      <c r="C63" s="4"/>
      <c r="D63" s="4"/>
      <c r="E63" s="4"/>
      <c r="F63" s="4"/>
    </row>
    <row r="64" ht="15" hidden="0" outlineLevel="0" collapsed="0">
      <c r="A64" s="4"/>
      <c r="B64" s="4"/>
      <c r="C64" s="4"/>
      <c r="D64" s="4"/>
      <c r="E64" s="4"/>
      <c r="F64" s="4"/>
    </row>
    <row r="65" ht="15" hidden="0" outlineLevel="0" collapsed="0">
      <c r="A65" s="4"/>
      <c r="B65" s="4"/>
      <c r="C65" s="4"/>
      <c r="D65" s="4"/>
      <c r="E65" s="4"/>
      <c r="F65" s="4"/>
    </row>
    <row r="66" ht="15" hidden="0" outlineLevel="0" collapsed="0">
      <c r="A66" s="4"/>
      <c r="B66" s="4"/>
      <c r="C66" s="4"/>
      <c r="D66" s="4"/>
      <c r="E66" s="4"/>
      <c r="F66" s="4"/>
    </row>
    <row r="67" ht="15" hidden="0" outlineLevel="0" collapsed="0">
      <c r="A67" s="4"/>
      <c r="B67" s="4"/>
      <c r="C67" s="4"/>
      <c r="D67" s="4"/>
      <c r="E67" s="4"/>
      <c r="F67" s="4"/>
    </row>
    <row r="68" ht="15" hidden="0" outlineLevel="0" collapsed="0">
      <c r="A68" s="4"/>
      <c r="B68" s="4"/>
      <c r="C68" s="4"/>
      <c r="D68" s="4"/>
      <c r="E68" s="4"/>
      <c r="F68" s="4"/>
    </row>
    <row r="69" ht="15" hidden="0" outlineLevel="0" collapsed="0">
      <c r="A69" s="4"/>
      <c r="B69" s="4"/>
      <c r="C69" s="4"/>
      <c r="D69" s="4"/>
      <c r="E69" s="4"/>
      <c r="F69" s="4"/>
    </row>
    <row r="70" ht="15" hidden="0" outlineLevel="0" collapsed="0">
      <c r="A70" s="4"/>
      <c r="B70" s="4"/>
      <c r="C70" s="4"/>
      <c r="D70" s="4"/>
      <c r="E70" s="4"/>
      <c r="F70" s="4"/>
    </row>
    <row r="71" ht="15" hidden="0" outlineLevel="0" collapsed="0">
      <c r="A71" s="4"/>
      <c r="B71" s="4"/>
      <c r="C71" s="4"/>
      <c r="D71" s="4"/>
      <c r="E71" s="4"/>
      <c r="F71" s="4"/>
    </row>
    <row r="72" ht="15" hidden="0" outlineLevel="0" collapsed="0">
      <c r="A72" s="4"/>
      <c r="B72" s="4"/>
      <c r="C72" s="4"/>
      <c r="D72" s="4"/>
      <c r="E72" s="4"/>
      <c r="F72" s="4"/>
    </row>
    <row r="73" ht="15" hidden="0" outlineLevel="0" collapsed="0">
      <c r="A73" s="4"/>
      <c r="B73" s="4"/>
      <c r="C73" s="4"/>
      <c r="D73" s="4"/>
      <c r="E73" s="4"/>
      <c r="F73" s="4"/>
    </row>
    <row r="74" ht="15" hidden="0" outlineLevel="0" collapsed="0">
      <c r="A74" s="4"/>
      <c r="B74" s="4"/>
      <c r="C74" s="4"/>
      <c r="D74" s="4"/>
      <c r="E74" s="4"/>
      <c r="F74" s="4"/>
    </row>
    <row r="75" ht="15" hidden="0" outlineLevel="0" collapsed="0">
      <c r="A75" s="4"/>
      <c r="B75" s="4"/>
      <c r="C75" s="4"/>
      <c r="D75" s="4"/>
      <c r="E75" s="4"/>
      <c r="F75" s="4"/>
    </row>
    <row r="76" ht="15" hidden="0" outlineLevel="0" collapsed="0">
      <c r="A76" s="4"/>
      <c r="B76" s="4"/>
      <c r="C76" s="4"/>
      <c r="D76" s="4"/>
      <c r="E76" s="4"/>
      <c r="F76" s="4"/>
    </row>
    <row r="77" ht="15" hidden="0" outlineLevel="0" collapsed="0">
      <c r="A77" s="4"/>
      <c r="B77" s="4"/>
      <c r="C77" s="4"/>
      <c r="D77" s="4"/>
      <c r="E77" s="4"/>
      <c r="F77" s="4"/>
    </row>
    <row r="78" ht="15" hidden="0" outlineLevel="0" collapsed="0">
      <c r="A78" s="4"/>
      <c r="B78" s="4"/>
      <c r="C78" s="4"/>
      <c r="D78" s="4"/>
      <c r="E78" s="4"/>
      <c r="F78" s="4"/>
    </row>
    <row r="79" ht="15" hidden="0" outlineLevel="0" collapsed="0">
      <c r="A79" s="4"/>
      <c r="B79" s="4"/>
      <c r="C79" s="4"/>
      <c r="D79" s="4"/>
      <c r="E79" s="4"/>
      <c r="F79" s="4"/>
    </row>
    <row r="80" ht="15" hidden="0" outlineLevel="0" collapsed="0">
      <c r="A80" s="4"/>
      <c r="B80" s="4"/>
      <c r="C80" s="4"/>
      <c r="D80" s="4"/>
      <c r="E80" s="4"/>
      <c r="F80" s="4"/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74" t="s">
        <v>388</v>
      </c>
      <c r="B1" s="74" t="s">
        <v>367</v>
      </c>
      <c r="C1" s="74" t="s">
        <v>389</v>
      </c>
      <c r="D1" s="74" t="s">
        <v>390</v>
      </c>
      <c r="E1" s="74" t="s">
        <v>391</v>
      </c>
      <c r="F1" s="74" t="s">
        <v>392</v>
      </c>
    </row>
    <row r="2">
      <c r="A2" s="76">
        <v>1</v>
      </c>
      <c r="B2" s="75">
        <v>46324.359328969906</v>
      </c>
      <c r="C2" s="76" t="s">
        <v>393</v>
      </c>
      <c r="D2" s="76" t="s">
        <v>394</v>
      </c>
      <c r="E2" s="76" t="s">
        <v>395</v>
      </c>
      <c r="F2" s="76" t="s">
        <v>396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