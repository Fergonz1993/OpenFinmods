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Calc"/>
  <workbookPr/>
  <workbookProtection/>
  <bookViews>
    <workbookView xWindow="0" yWindow="0" windowWidth="16384" windowHeight="8192" tabRatio="600"/>
  </bookViews>
  <sheets>
    <sheet name="00_Cover" sheetId="1" r:id="rId3"/>
    <sheet name="Sources" sheetId="2" r:id="rId4"/>
    <sheet name="Historical" sheetId="3" r:id="rId5"/>
    <sheet name="Assumptions" sheetId="4" r:id="rId6"/>
    <sheet name="Forecast" sheetId="5" r:id="rId7"/>
    <sheet name="Valuation" sheetId="6" r:id="rId8"/>
    <sheet name="Sensitivity" sheetId="7" r:id="rId9"/>
    <sheet name="Checks" sheetId="8" r:id="rId10"/>
    <sheet name="Sector_KPIs" sheetId="9" r:id="rId11"/>
    <sheet name="Change_Log" sheetId="10" r:id="rId12"/>
    <sheet name="9_10_Blockers" sheetId="11" r:id="rId13"/>
    <sheet name="IS_Hist" sheetId="12" r:id="rId15"/>
    <sheet name="CI_Hist" sheetId="13" r:id="rId16"/>
    <sheet name="BS_Hist" sheetId="14" r:id="rId17"/>
    <sheet name="CF_Hist" sheetId="15" r:id="rId18"/>
    <sheet name="SCE_Hist" sheetId="16" r:id="rId19"/>
    <sheet name="Checks_TieOut" sheetId="17" r:id="rId20"/>
    <sheet name="Sources_Audited" sheetId="18" r:id="rId21"/>
    <sheet name="Source_Register" sheetId="19" r:id="rId22"/>
    <sheet name="Forecast_IG" sheetId="20" r:id="rId23"/>
    <sheet name="Claude Code Log" sheetId="21" r:id="rId24"/>
  </sheets>
  <calcPr calcId="0" iterateCount="100" iterateDelta="0.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tc={B3F2553A-526B-9934-6766-849AD4D1F76E}</author>
    <author>tc={5CDCA58E-ED60-2380-3363-1EE01B1AE11C}</author>
    <author>tc={E0C8DAE8-0870-18FE-3CC3-00DB4A4FAE6C}</author>
    <author>tc={FB740E26-1B16-D49B-86D7-0F120D078F3C}</author>
    <author>tc={6AAFB3A0-3A12-A61D-AAC9-A8D39B9780B0}</author>
    <author>tc={E2F31A30-DF07-C947-009F-78208882DBEB}</author>
    <author>tc={7428DD1C-3905-8CEA-79A7-AAF0F2E2EA12}</author>
    <author>tc={B847DB33-82DD-C5DA-8888-00E4FCF09903}</author>
  </authors>
  <commentList>
    <comment ref="B16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https://report.adidas-group.com/2022/en/at-a-glance/financial-highlights-2022.html
Locator: Financial Highlights table; Number of shares outstanding row; 2021 column
Period: FY2021
Units: million shares
Classification: Reported
Transformation: Reported shares divided by 1,000,000</t>
        </r>
      </text>
      <commentPr locked="0" textHAlign="justify" textVAlign="top">
        <anchor>
          <from>
            <xdr:col>1</xdr:col>
            <xdr:colOff>15</xdr:colOff>
            <xdr:row>15</xdr:row>
            <xdr:rowOff>2</xdr:rowOff>
          </from>
          <to>
            <xdr:col>3</xdr:col>
            <xdr:colOff>15</xdr:colOff>
            <xdr:row>19</xdr:row>
            <xdr:rowOff>2</xdr:rowOff>
          </to>
        </anchor>
      </commentPr>
    </comment>
    <comment ref="C16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https://report.adidas-group.com/2022/en/at-a-glance/financial-highlights-2022.html
Locator: Financial Highlights table; Number of shares outstanding row; 2022 column
Period: FY2022
Units: million shares
Classification: Reported
Transformation: Reported shares divided by 1,000,000</t>
        </r>
      </text>
      <commentPr locked="0" textHAlign="justify" textVAlign="top">
        <anchor>
          <from>
            <xdr:col>2</xdr:col>
            <xdr:colOff>15</xdr:colOff>
            <xdr:row>15</xdr:row>
            <xdr:rowOff>2</xdr:rowOff>
          </from>
          <to>
            <xdr:col>4</xdr:col>
            <xdr:colOff>15</xdr:colOff>
            <xdr:row>19</xdr:row>
            <xdr:rowOff>2</xdr:rowOff>
          </to>
        </anchor>
      </commentPr>
    </comment>
    <comment ref="D16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https://report.adidas-group.com/2024/en/at-a-glance/financial-highlights-2024.html
Locator: Financial Highlights table; Number of shares outstanding row; 2023 column
Period: FY2023
Units: million shares
Classification: Reported
Transformation: Reported shares divided by 1,000,000</t>
        </r>
      </text>
      <commentPr locked="0" textHAlign="justify" textVAlign="top">
        <anchor>
          <from>
            <xdr:col>3</xdr:col>
            <xdr:colOff>15</xdr:colOff>
            <xdr:row>15</xdr:row>
            <xdr:rowOff>2</xdr:rowOff>
          </from>
          <to>
            <xdr:col>5</xdr:col>
            <xdr:colOff>15</xdr:colOff>
            <xdr:row>19</xdr:row>
            <xdr:rowOff>2</xdr:rowOff>
          </to>
        </anchor>
      </commentPr>
    </comment>
    <comment ref="E15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https://report.adidas-group.com/2025/en/consolidated-financial-statements/consolidated-statement-of-financial-position.html
Locator: Consolidated Statement of Financial Position; Cash and cash equivalents row; Dec. 31 2024
Period: FY2024
Units: EUR millions
Classification: Reported
Transformation: No FX conversion; reported EUR millions</t>
        </r>
      </text>
      <commentPr locked="0" textHAlign="justify" textVAlign="top">
        <anchor>
          <from>
            <xdr:col>4</xdr:col>
            <xdr:colOff>15</xdr:colOff>
            <xdr:row>14</xdr:row>
            <xdr:rowOff>2</xdr:rowOff>
          </from>
          <to>
            <xdr:col>6</xdr:col>
            <xdr:colOff>15</xdr:colOff>
            <xdr:row>18</xdr:row>
            <xdr:rowOff>2</xdr:rowOff>
          </to>
        </anchor>
      </commentPr>
    </comment>
    <comment ref="E16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https://report.adidas-group.com/2025/en/at-a-glance/financial-highlights-2025.html
Locator: Financial Highlights table; Number of shares outstanding row; 2024 column
Period: FY2024
Units: million shares
Classification: Reported
Transformation: Reported shares divided by 1,000,000</t>
        </r>
      </text>
      <commentPr locked="0" textHAlign="justify" textVAlign="top">
        <anchor>
          <from>
            <xdr:col>4</xdr:col>
            <xdr:colOff>15</xdr:colOff>
            <xdr:row>15</xdr:row>
            <xdr:rowOff>2</xdr:rowOff>
          </from>
          <to>
            <xdr:col>6</xdr:col>
            <xdr:colOff>15</xdr:colOff>
            <xdr:row>19</xdr:row>
            <xdr:rowOff>2</xdr:rowOff>
          </to>
        </anchor>
      </commentPr>
    </comment>
    <comment ref="F14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https://report.adidas-group.com/2025/en/group-management-report-financial-review/business-performance/statement-of-financial-position-and-statement-of-cash-flows.html
Locator: Liquidity analysis; Adjusted net borrowings paragraph; Dec. 31 2025
Period: FY2025
Units: EUR millions
Classification: Reported
Transformation: No FX conversion; reported EUR millions</t>
        </r>
      </text>
      <commentPr locked="0" textHAlign="justify" textVAlign="top">
        <anchor>
          <from>
            <xdr:col>5</xdr:col>
            <xdr:colOff>15</xdr:colOff>
            <xdr:row>13</xdr:row>
            <xdr:rowOff>2</xdr:rowOff>
          </from>
          <to>
            <xdr:col>7</xdr:col>
            <xdr:colOff>15</xdr:colOff>
            <xdr:row>17</xdr:row>
            <xdr:rowOff>2</xdr:rowOff>
          </to>
        </anchor>
      </commentPr>
    </comment>
    <comment ref="F15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https://report.adidas-group.com/2025/en/consolidated-financial-statements/consolidated-statement-of-financial-position.html
Locator: Consolidated Statement of Financial Position; Cash and cash equivalents row; Dec. 31 2025
Period: FY2025
Units: EUR millions
Classification: Reported
Transformation: No FX conversion; reported EUR millions</t>
        </r>
      </text>
      <commentPr locked="0" textHAlign="justify" textVAlign="top">
        <anchor>
          <from>
            <xdr:col>5</xdr:col>
            <xdr:colOff>15</xdr:colOff>
            <xdr:row>14</xdr:row>
            <xdr:rowOff>2</xdr:rowOff>
          </from>
          <to>
            <xdr:col>7</xdr:col>
            <xdr:colOff>15</xdr:colOff>
            <xdr:row>18</xdr:row>
            <xdr:rowOff>2</xdr:rowOff>
          </to>
        </anchor>
      </commentPr>
    </comment>
    <comment ref="F16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https://report.adidas-group.com/2025/en/at-a-glance/financial-highlights-2025.html
Locator: Financial Highlights table; Number of shares outstanding row; 2025 column
Period: FY2025
Units: million shares
Classification: Reported
Transformation: Reported shares divided by 1,000,000</t>
        </r>
      </text>
      <commentPr locked="0" textHAlign="justify" textVAlign="top">
        <anchor>
          <from>
            <xdr:col>5</xdr:col>
            <xdr:colOff>15</xdr:colOff>
            <xdr:row>15</xdr:row>
            <xdr:rowOff>2</xdr:rowOff>
          </from>
          <to>
            <xdr:col>7</xdr:col>
            <xdr:colOff>15</xdr:colOff>
            <xdr:row>19</xdr:row>
            <xdr:rowOff>2</xdr:rowOff>
          </to>
        </anchor>
      </commentPr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tc={60B0CF08-DF90-8A17-F136-0AD4C21F9C1D}</author>
  </authors>
  <commentList>
    <comment ref="C1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WACC 8.5% is a model-owned valuation assumption. It is not issuer-reported and requires independent review.</t>
        </r>
      </text>
      <commentPr locked="0" textHAlign="justify" textVAlign="top">
        <anchor>
          <from>
            <xdr:col>2</xdr:col>
            <xdr:colOff>15</xdr:colOff>
            <xdr:row>13</xdr:row>
            <xdr:rowOff>2</xdr:rowOff>
          </from>
          <to>
            <xdr:col>4</xdr:col>
            <xdr:colOff>15</xdr:colOff>
            <xdr:row>17</xdr:row>
            <xdr:rowOff>2</xdr:rowOff>
          </to>
        </anchor>
      </commentPr>
    </comment>
  </commentList>
</comments>
</file>

<file path=xl/sharedStrings.xml><?xml version="1.0" encoding="utf-8"?>
<sst xmlns="http://schemas.openxmlformats.org/spreadsheetml/2006/main" count="1768" uniqueCount="891">
  <si>
    <t>adidas AG — Controlled Institutional Financial Model</t>
  </si>
  <si>
    <t>Consumer cyclical / apparel | EUR millions unless per-share | Controlled version 2.0 | As of 2026-07-16</t>
  </si>
  <si>
    <t>Model field</t>
  </si>
  <si>
    <t>Value</t>
  </si>
  <si>
    <t>Legal entity / identifier</t>
  </si>
  <si>
    <t>XETRA: ADS</t>
  </si>
  <si>
    <t>Model archetype</t>
  </si>
  <si>
    <t>Operating company / FCFF DCF</t>
  </si>
  <si>
    <t>Model status</t>
  </si>
  <si>
    <t>Reporting currency</t>
  </si>
  <si>
    <t>EUR</t>
  </si>
  <si>
    <t>Model units</t>
  </si>
  <si>
    <t>EUR millions unless per-share</t>
  </si>
  <si>
    <t>Valuation date</t>
  </si>
  <si>
    <t>2025-12-31</t>
  </si>
  <si>
    <t>Active case</t>
  </si>
  <si>
    <t>Primary source route</t>
  </si>
  <si>
    <t>https://report.adidas-group.com/2025/en/services/downloads.html</t>
  </si>
  <si>
    <t>Purpose</t>
  </si>
  <si>
    <t>Source-backed operating model and FCFF DCF; independent certification pending</t>
  </si>
  <si>
    <t>Decision use</t>
  </si>
  <si>
    <t>Owner review-ready; no owner certification claim</t>
  </si>
  <si>
    <t>Key limitation</t>
  </si>
  <si>
    <t>Revenue is now product-built; product growth, post-2026 margins, WACC and terminal growth remain model-owned and require independent review.</t>
  </si>
  <si>
    <t>Controlled lineage</t>
  </si>
  <si>
    <t>Adidas_Institutional_Model.xlsx | SHA-256 30cbb37f94bb55224c9f1fb4ddb86532568199a2f3ccc0dbf2c86c0a5c86ffb8</t>
  </si>
  <si>
    <t>Owner evidence only. The controlled workbook does not self-certify a 9/10 result. Independent review must reproduce sources, formulas, scenarios, valuation mechanics, native recalculation and visual QA.</t>
  </si>
  <si>
    <t>Source ledger and claim-level data lineage</t>
  </si>
  <si>
    <t>Every material historical and valuation input is classified as Reported, Inferred, Assumption, Document identity only, or Not disclosed. Status is formula-driven.</t>
  </si>
  <si>
    <t>Source ID</t>
  </si>
  <si>
    <t>Metric / line item</t>
  </si>
  <si>
    <t>Period / as-of</t>
  </si>
  <si>
    <t>Units / currency</t>
  </si>
  <si>
    <t>Source title</t>
  </si>
  <si>
    <t>Source class</t>
  </si>
  <si>
    <t>Exact URL / allowed local locator</t>
  </si>
  <si>
    <t>Page / table / row / section</t>
  </si>
  <si>
    <t>Retrieved</t>
  </si>
  <si>
    <t>Workbook destination</t>
  </si>
  <si>
    <t>Transformation / normalization</t>
  </si>
  <si>
    <t>Classification</t>
  </si>
  <si>
    <t>Notes / limitation</t>
  </si>
  <si>
    <t>Material?</t>
  </si>
  <si>
    <t>Mapping status</t>
  </si>
  <si>
    <t>AD-2021-REVENUE</t>
  </si>
  <si>
    <t>Revenue</t>
  </si>
  <si>
    <t>FY2021</t>
  </si>
  <si>
    <t>EUR millions</t>
  </si>
  <si>
    <t>adidas Annual Report 2022 — Financial Highlights 2022 (IFRS)</t>
  </si>
  <si>
    <t>Primary — issuer annual report</t>
  </si>
  <si>
    <t>https://report.adidas-group.com/2022/en/at-a-glance/financial-highlights-2022.html</t>
  </si>
  <si>
    <t>Financial Highlights table; Net sales row; 2021 column</t>
  </si>
  <si>
    <t>2026-07-16</t>
  </si>
  <si>
    <t>Historical!B5</t>
  </si>
  <si>
    <t>No FX conversion; reported EUR millions</t>
  </si>
  <si>
    <t>Reported</t>
  </si>
  <si>
    <t>Mapped to the exact annual-report table row and period column.</t>
  </si>
  <si>
    <t>Yes</t>
  </si>
  <si>
    <t>AD-2022-REVENUE</t>
  </si>
  <si>
    <t>FY2022</t>
  </si>
  <si>
    <t>Financial Highlights table; Net sales row; 2022 column</t>
  </si>
  <si>
    <t>Historical!C5</t>
  </si>
  <si>
    <t>AD-2023-REVENUE</t>
  </si>
  <si>
    <t>FY2023</t>
  </si>
  <si>
    <t>adidas Annual Report 2024 — Financial Highlights 2024 (IFRS)</t>
  </si>
  <si>
    <t>https://report.adidas-group.com/2024/en/at-a-glance/financial-highlights-2024.html</t>
  </si>
  <si>
    <t>Financial Highlights table; Net sales row; 2023 column</t>
  </si>
  <si>
    <t>Historical!D5</t>
  </si>
  <si>
    <t>AD-2024-REVENUE</t>
  </si>
  <si>
    <t>FY2024</t>
  </si>
  <si>
    <t>adidas Annual Report 2025 — Financial Highlights 2025 (IFRS)</t>
  </si>
  <si>
    <t>https://report.adidas-group.com/2025/en/at-a-glance/financial-highlights-2025.html</t>
  </si>
  <si>
    <t>Financial Highlights table; Net sales row; 2024 column</t>
  </si>
  <si>
    <t>Historical!E5</t>
  </si>
  <si>
    <t>AD-2025-REVENUE</t>
  </si>
  <si>
    <t>FY2025</t>
  </si>
  <si>
    <t>Financial Highlights table; Net sales row; 2025 column</t>
  </si>
  <si>
    <t>Historical!F5</t>
  </si>
  <si>
    <t>AD-2021-GROSS-PROFIT</t>
  </si>
  <si>
    <t>Gross profit</t>
  </si>
  <si>
    <t>Financial Highlights table; Gross profit row; 2021 column</t>
  </si>
  <si>
    <t>Historical!B6</t>
  </si>
  <si>
    <t>AD-2022-GROSS-PROFIT</t>
  </si>
  <si>
    <t>Financial Highlights table; Gross profit row; 2022 column</t>
  </si>
  <si>
    <t>Historical!C6</t>
  </si>
  <si>
    <t>AD-2023-GROSS-PROFIT</t>
  </si>
  <si>
    <t>Financial Highlights table; Gross profit row; 2023 column</t>
  </si>
  <si>
    <t>Historical!D6</t>
  </si>
  <si>
    <t>AD-2024-GROSS-PROFIT</t>
  </si>
  <si>
    <t>Financial Highlights table; Gross profit row; 2024 column</t>
  </si>
  <si>
    <t>Historical!E6</t>
  </si>
  <si>
    <t>AD-2025-GROSS-PROFIT</t>
  </si>
  <si>
    <t>Financial Highlights table; Gross profit row; 2025 column</t>
  </si>
  <si>
    <t>Historical!F6</t>
  </si>
  <si>
    <t>AD-2021-OPERATING-PROFIT-EBIT</t>
  </si>
  <si>
    <t>Operating profit / EBIT</t>
  </si>
  <si>
    <t>Financial Highlights table; Operating profit row; 2021 column</t>
  </si>
  <si>
    <t>Historical!B7</t>
  </si>
  <si>
    <t>AD-2022-OPERATING-PROFIT-EBIT</t>
  </si>
  <si>
    <t>Financial Highlights table; Operating profit row; 2022 column</t>
  </si>
  <si>
    <t>Historical!C7</t>
  </si>
  <si>
    <t>AD-2023-OPERATING-PROFIT-EBIT</t>
  </si>
  <si>
    <t>Financial Highlights table; Operating profit row; 2023 column</t>
  </si>
  <si>
    <t>Historical!D7</t>
  </si>
  <si>
    <t>AD-2024-OPERATING-PROFIT-EBIT</t>
  </si>
  <si>
    <t>Financial Highlights table; Operating profit row; 2024 column</t>
  </si>
  <si>
    <t>Historical!E7</t>
  </si>
  <si>
    <t>AD-2025-OPERATING-PROFIT-EBIT</t>
  </si>
  <si>
    <t>Financial Highlights table; Operating profit row; 2025 column</t>
  </si>
  <si>
    <t>Historical!F7</t>
  </si>
  <si>
    <t>AD-2021-NET-INCOME-ATTRIBUTABLE</t>
  </si>
  <si>
    <t>Net income attributable</t>
  </si>
  <si>
    <t>Financial Highlights table; Net income attributable to shareholders row; 2021 column</t>
  </si>
  <si>
    <t>Historical!B8</t>
  </si>
  <si>
    <t>AD-2022-NET-INCOME-ATTRIBUTABLE</t>
  </si>
  <si>
    <t>Financial Highlights table; Net income attributable to shareholders row; 2022 column</t>
  </si>
  <si>
    <t>Historical!C8</t>
  </si>
  <si>
    <t>AD-2023-NET-INCOME-ATTRIBUTABLE</t>
  </si>
  <si>
    <t>Financial Highlights table; Net income attributable to shareholders row; 2023 column</t>
  </si>
  <si>
    <t>Historical!D8</t>
  </si>
  <si>
    <t>AD-2024-NET-INCOME-ATTRIBUTABLE</t>
  </si>
  <si>
    <t>Financial Highlights table; Net income attributable to shareholders row; 2024 column</t>
  </si>
  <si>
    <t>Historical!E8</t>
  </si>
  <si>
    <t>AD-2025-NET-INCOME-ATTRIBUTABLE</t>
  </si>
  <si>
    <t>Financial Highlights table; Net income attributable to shareholders row; 2025 column</t>
  </si>
  <si>
    <t>Historical!F8</t>
  </si>
  <si>
    <t>AD-2021-CASH-FROM-OPERATIONS</t>
  </si>
  <si>
    <t>Cash from operations</t>
  </si>
  <si>
    <t>Financial Highlights table; Cash flows from operating activities row; 2021 column</t>
  </si>
  <si>
    <t>Historical!B9</t>
  </si>
  <si>
    <t>AD-2022-CASH-FROM-OPERATIONS</t>
  </si>
  <si>
    <t>Financial Highlights table; Cash flows from operating activities row; 2022 column</t>
  </si>
  <si>
    <t>Historical!C9</t>
  </si>
  <si>
    <t>AD-2023-CASH-FROM-OPERATIONS</t>
  </si>
  <si>
    <t>Financial Highlights table; Cash flows from operating activities row; 2023 column</t>
  </si>
  <si>
    <t>Historical!D9</t>
  </si>
  <si>
    <t>AD-2024-CASH-FROM-OPERATIONS</t>
  </si>
  <si>
    <t>Financial Highlights table; Cash flows from operating activities row; 2024 column</t>
  </si>
  <si>
    <t>Historical!E9</t>
  </si>
  <si>
    <t>AD-2025-CASH-FROM-OPERATIONS</t>
  </si>
  <si>
    <t>Financial Highlights table; Cash flows from operating activities row; 2025 column</t>
  </si>
  <si>
    <t>Historical!F9</t>
  </si>
  <si>
    <t>AD-2021-CAPITAL-EXPENDITURE</t>
  </si>
  <si>
    <t>Capital expenditure</t>
  </si>
  <si>
    <t>Financial Highlights table; Capital expenditure row; 2021 column</t>
  </si>
  <si>
    <t>Historical!B10</t>
  </si>
  <si>
    <t>AD-2022-CAPITAL-EXPENDITURE</t>
  </si>
  <si>
    <t>Financial Highlights table; Capital expenditure row; 2022 column</t>
  </si>
  <si>
    <t>Historical!C10</t>
  </si>
  <si>
    <t>AD-2023-CAPITAL-EXPENDITURE</t>
  </si>
  <si>
    <t>Financial Highlights table; Capital expenditure row; 2023 column</t>
  </si>
  <si>
    <t>Historical!D10</t>
  </si>
  <si>
    <t>AD-2024-CAPITAL-EXPENDITURE</t>
  </si>
  <si>
    <t>Financial Highlights table; Capital expenditure row; 2024 column</t>
  </si>
  <si>
    <t>Historical!E10</t>
  </si>
  <si>
    <t>AD-2025-CAPITAL-EXPENDITURE</t>
  </si>
  <si>
    <t>Financial Highlights table; Capital expenditure row; 2025 column</t>
  </si>
  <si>
    <t>Historical!F10</t>
  </si>
  <si>
    <t>AD-2021-TOTAL-ASSETS</t>
  </si>
  <si>
    <t>Total assets</t>
  </si>
  <si>
    <t>Financial Highlights table; Total assets row; 2021 column</t>
  </si>
  <si>
    <t>Historical!B11</t>
  </si>
  <si>
    <t>AD-2022-TOTAL-ASSETS</t>
  </si>
  <si>
    <t>Financial Highlights table; Total assets row; 2022 column</t>
  </si>
  <si>
    <t>Historical!C11</t>
  </si>
  <si>
    <t>AD-2023-TOTAL-ASSETS</t>
  </si>
  <si>
    <t>Financial Highlights table; Total assets row; 2023 column</t>
  </si>
  <si>
    <t>Historical!D11</t>
  </si>
  <si>
    <t>AD-2024-TOTAL-ASSETS</t>
  </si>
  <si>
    <t>Financial Highlights table; Total assets row; 2024 column</t>
  </si>
  <si>
    <t>Historical!E11</t>
  </si>
  <si>
    <t>AD-2025-TOTAL-ASSETS</t>
  </si>
  <si>
    <t>Financial Highlights table; Total assets row; 2025 column</t>
  </si>
  <si>
    <t>Historical!F11</t>
  </si>
  <si>
    <t>AD-2021-SHAREHOLDERS-EQUITY</t>
  </si>
  <si>
    <t>Shareholders' equity</t>
  </si>
  <si>
    <t>Financial Highlights table; Shareholders' equity row; 2021 column</t>
  </si>
  <si>
    <t>Historical!B13</t>
  </si>
  <si>
    <t>AD-2022-SHAREHOLDERS-EQUITY</t>
  </si>
  <si>
    <t>Financial Highlights table; Shareholders' equity row; 2022 column</t>
  </si>
  <si>
    <t>Historical!C13</t>
  </si>
  <si>
    <t>AD-2023-SHAREHOLDERS-EQUITY</t>
  </si>
  <si>
    <t>Financial Highlights table; Shareholders' equity row; 2023 column</t>
  </si>
  <si>
    <t>Historical!D13</t>
  </si>
  <si>
    <t>AD-2024-SHAREHOLDERS-EQUITY</t>
  </si>
  <si>
    <t>Financial Highlights table; Shareholders' equity row; 2024 column</t>
  </si>
  <si>
    <t>Historical!E13</t>
  </si>
  <si>
    <t>AD-2025-SHAREHOLDERS-EQUITY</t>
  </si>
  <si>
    <t>Financial Highlights table; Shareholders' equity row; 2025 column</t>
  </si>
  <si>
    <t>Historical!F13</t>
  </si>
  <si>
    <t>AD-2024-ADJUSTED-NET-BORROWINGS</t>
  </si>
  <si>
    <t>Adjusted net borrowings</t>
  </si>
  <si>
    <t>adidas Annual Report 2025 — Statement of Financial Position and Cash Flows</t>
  </si>
  <si>
    <t>https://report.adidas-group.com/2025/en/group-management-report-financial-review/business-performance/statement-of-financial-position-and-statement-of-cash-flows.html</t>
  </si>
  <si>
    <t>Liquidity analysis; Adjusted net borrowings paragraph; Dec. 31 2024</t>
  </si>
  <si>
    <t>Historical!E14</t>
  </si>
  <si>
    <t>AD-2025-ADJUSTED-NET-BORROWINGS</t>
  </si>
  <si>
    <t>Liquidity analysis; Adjusted net borrowings paragraph; Dec. 31 2025</t>
  </si>
  <si>
    <t>Historical!F14</t>
  </si>
  <si>
    <t>AD-2024-CASH-AND-CASH-EQUIVALENTS</t>
  </si>
  <si>
    <t>Cash and cash equivalents</t>
  </si>
  <si>
    <t>adidas Annual Report 2025 — Consolidated Statement of Financial Position</t>
  </si>
  <si>
    <t>https://report.adidas-group.com/2025/en/consolidated-financial-statements/consolidated-statement-of-financial-position.html</t>
  </si>
  <si>
    <t>Consolidated Statement of Financial Position; Cash and cash equivalents row; Dec. 31 2024</t>
  </si>
  <si>
    <t>Historical!E15</t>
  </si>
  <si>
    <t>AD-2025-CASH-AND-CASH-EQUIVALENTS</t>
  </si>
  <si>
    <t>Consolidated Statement of Financial Position; Cash and cash equivalents row; Dec. 31 2025</t>
  </si>
  <si>
    <t>Historical!F15</t>
  </si>
  <si>
    <t>AD-2021-SHARES-OUTSTANDING-MM-</t>
  </si>
  <si>
    <t>Shares outstanding (mm)</t>
  </si>
  <si>
    <t>million shares</t>
  </si>
  <si>
    <t>Financial Highlights table; Number of shares outstanding row; 2021 column</t>
  </si>
  <si>
    <t>Historical!B16</t>
  </si>
  <si>
    <t>Reported shares divided by 1,000,000</t>
  </si>
  <si>
    <t>AD-2022-SHARES-OUTSTANDING-MM-</t>
  </si>
  <si>
    <t>Financial Highlights table; Number of shares outstanding row; 2022 column</t>
  </si>
  <si>
    <t>Historical!C16</t>
  </si>
  <si>
    <t>AD-2023-SHARES-OUTSTANDING-MM-</t>
  </si>
  <si>
    <t>Financial Highlights table; Number of shares outstanding row; 2023 column</t>
  </si>
  <si>
    <t>Historical!D16</t>
  </si>
  <si>
    <t>AD-2024-SHARES-OUTSTANDING-MM-</t>
  </si>
  <si>
    <t>Financial Highlights table; Number of shares outstanding row; 2024 column</t>
  </si>
  <si>
    <t>Historical!E16</t>
  </si>
  <si>
    <t>AD-2025-SHARES-OUTSTANDING-MM-</t>
  </si>
  <si>
    <t>Financial Highlights table; Number of shares outstanding row; 2025 column</t>
  </si>
  <si>
    <t>Historical!F16</t>
  </si>
  <si>
    <t>AD-2021-LIABILITIES-INFERRED</t>
  </si>
  <si>
    <t>Total liabilities</t>
  </si>
  <si>
    <t>Primary inputs; workbook inference</t>
  </si>
  <si>
    <t>Financial Highlights table; Total assets and Shareholders' equity rows; 2021 column</t>
  </si>
  <si>
    <t>Historical!B12</t>
  </si>
  <si>
    <t>Formula: Total assets less Shareholders' equity</t>
  </si>
  <si>
    <t>Inferred</t>
  </si>
  <si>
    <t>Derived transparently from two reported totals; not represented as a reported line item.</t>
  </si>
  <si>
    <t>AD-2022-LIABILITIES-INFERRED</t>
  </si>
  <si>
    <t>Financial Highlights table; Total assets and Shareholders' equity rows; 2022 column</t>
  </si>
  <si>
    <t>Historical!C12</t>
  </si>
  <si>
    <t>AD-2023-LIABILITIES-INFERRED</t>
  </si>
  <si>
    <t>Financial Highlights table; Total assets and Shareholders' equity rows; 2023 column</t>
  </si>
  <si>
    <t>Historical!D12</t>
  </si>
  <si>
    <t>AD-2024-LIABILITIES-INFERRED</t>
  </si>
  <si>
    <t>Financial Highlights table; Total assets and Shareholders' equity rows; 2024 column</t>
  </si>
  <si>
    <t>Historical!E12</t>
  </si>
  <si>
    <t>AD-2025-LIABILITIES-INFERRED</t>
  </si>
  <si>
    <t>Financial Highlights table; Total assets and Shareholders' equity rows; 2025 column</t>
  </si>
  <si>
    <t>Historical!F12</t>
  </si>
  <si>
    <t>AD-A-REV26</t>
  </si>
  <si>
    <t>2026 revenue growth</t>
  </si>
  <si>
    <t>FY2026E</t>
  </si>
  <si>
    <t>%</t>
  </si>
  <si>
    <t>adidas Annual Report 2025 — Outlook</t>
  </si>
  <si>
    <t>Primary guidance anchored model assumption</t>
  </si>
  <si>
    <t>https://report.adidas-group.com/2025/en/group-management-report-financial-review/outlook.html</t>
  </si>
  <si>
    <t>2026 Outlook table; Net sales; high-single-digit currency-neutral growth</t>
  </si>
  <si>
    <t>Assumptions!B5:E5</t>
  </si>
  <si>
    <t>Base interprets high-single-digit as 8%; Bear/Base/Bull bracket 5%/8%/11%</t>
  </si>
  <si>
    <t>Assumption</t>
  </si>
  <si>
    <t>Management guidance is qualitative; numeric midpoint is explicitly model-owned.</t>
  </si>
  <si>
    <t>AD-A-EBIT26</t>
  </si>
  <si>
    <t>2026 EBIT margin</t>
  </si>
  <si>
    <t>2026 Outlook table; Operating profit around EUR 2.3bn</t>
  </si>
  <si>
    <t>Assumptions!B6:E6</t>
  </si>
  <si>
    <t>Base margin = EUR 2.3bn / modeled Base revenue</t>
  </si>
  <si>
    <t>Bear and Bull are model scenarios; only the Base operating-profit anchor is management guidance.</t>
  </si>
  <si>
    <t>AD-A-CAPEX26</t>
  </si>
  <si>
    <t>2026 capital expenditure</t>
  </si>
  <si>
    <t>2026 Outlook table; Capital expenditure around EUR 500m</t>
  </si>
  <si>
    <t>Assumptions!B11:E11</t>
  </si>
  <si>
    <t>Base uses disclosed approximate amount; Bear/Bull are scenarios</t>
  </si>
  <si>
    <t>Management guidance is approximate.</t>
  </si>
  <si>
    <t>AD-A-OWC26</t>
  </si>
  <si>
    <t>Operating working capital / revenue</t>
  </si>
  <si>
    <t>2026 Outlook table; Average operating working capital between 22% and 23% of sales</t>
  </si>
  <si>
    <t>Assumptions!B13:E13</t>
  </si>
  <si>
    <t>Base uses midpoint 22.5%</t>
  </si>
  <si>
    <t>Used as a simplified end-period working-capital driver; management guidance is average OWC.</t>
  </si>
  <si>
    <t>AD-A-TAX</t>
  </si>
  <si>
    <t>Cash tax rate</t>
  </si>
  <si>
    <t>FY2026E-FY2030E</t>
  </si>
  <si>
    <t>adidas Annual Report 2025 — Financial Highlights</t>
  </si>
  <si>
    <t>Primary historical anchor; model assumption</t>
  </si>
  <si>
    <t>Key Ratios; Effective tax rate; 2025 column</t>
  </si>
  <si>
    <t>Assumptions!B9:E9</t>
  </si>
  <si>
    <t>Base uses FY2025 effective tax rate as cash-tax proxy</t>
  </si>
  <si>
    <t>Cash taxes can differ from the accounting effective tax rate.</t>
  </si>
  <si>
    <t>AD-A-DA</t>
  </si>
  <si>
    <t>D&amp;A / revenue</t>
  </si>
  <si>
    <t>Investment analysis; depreciation and amortization EUR 482m; 2025 net sales EUR 24,811m</t>
  </si>
  <si>
    <t>Assumptions!B10:E10</t>
  </si>
  <si>
    <t>Base = 482 / 24,811</t>
  </si>
  <si>
    <t>Excludes impairment losses and reversals as disclosed.</t>
  </si>
  <si>
    <t>AD-A-GROWTH-LT</t>
  </si>
  <si>
    <t>2027-2030 revenue growth</t>
  </si>
  <si>
    <t>FY2027E-FY2030E</t>
  </si>
  <si>
    <t>Model-owned assumption</t>
  </si>
  <si>
    <t>Model assumption</t>
  </si>
  <si>
    <t>Assumptions sheet</t>
  </si>
  <si>
    <t>Revenue growth scenario row</t>
  </si>
  <si>
    <t>Assumptions!B7:E7</t>
  </si>
  <si>
    <t>Bear/Base/Bull = 2%/4%/6%</t>
  </si>
  <si>
    <t>No issuer guidance beyond FY2026.</t>
  </si>
  <si>
    <t>AD-A-MARGIN-LT</t>
  </si>
  <si>
    <t>2027-2030 EBIT margin</t>
  </si>
  <si>
    <t>EBIT margin scenario row</t>
  </si>
  <si>
    <t>Assumptions!B8:E8</t>
  </si>
  <si>
    <t>Bear/Base/Bull = 8%/9%/10%</t>
  </si>
  <si>
    <t>AD-A-CAPEX-LT</t>
  </si>
  <si>
    <t>2027-2030 capex / revenue</t>
  </si>
  <si>
    <t>Capex intensity scenario row</t>
  </si>
  <si>
    <t>Assumptions!B12:E12</t>
  </si>
  <si>
    <t>Bear/Base/Bull = 2.2%/2.0%/1.8%</t>
  </si>
  <si>
    <t>AD-A-WACC</t>
  </si>
  <si>
    <t>WACC</t>
  </si>
  <si>
    <t>Valuation date 2025-12-31</t>
  </si>
  <si>
    <t>Model-owned valuation assumption</t>
  </si>
  <si>
    <t>WACC scenario row</t>
  </si>
  <si>
    <t>Assumptions!B14:E14</t>
  </si>
  <si>
    <t>Bear/Base/Bull = 9.5%/8.5%/7.5%</t>
  </si>
  <si>
    <t>Not issuer-reported; must be independently reviewed.</t>
  </si>
  <si>
    <t>AD-A-TG</t>
  </si>
  <si>
    <t>Terminal growth</t>
  </si>
  <si>
    <t>Terminal period</t>
  </si>
  <si>
    <t>Terminal growth scenario row</t>
  </si>
  <si>
    <t>Assumptions!B15:E15</t>
  </si>
  <si>
    <t>Bear/Base/Bull = 2.0%/2.5%/3.0%</t>
  </si>
  <si>
    <t>AD-MARKET</t>
  </si>
  <si>
    <t>Share price at end of period</t>
  </si>
  <si>
    <t>EUR/share</t>
  </si>
  <si>
    <t>Per Share of Common Stock; Share price at end of period; 2025 column</t>
  </si>
  <si>
    <t>Valuation!B19</t>
  </si>
  <si>
    <t>No transformation</t>
  </si>
  <si>
    <t>Historical year-end comparison only; not a live market price.</t>
  </si>
  <si>
    <t>AD-2025-PRODUCT-FOOTWEAR</t>
  </si>
  <si>
    <t>Footwear revenue</t>
  </si>
  <si>
    <t>adidas Annual Report 2025 — Income Statement</t>
  </si>
  <si>
    <t>https://report.adidas-group.com/2025/en/group-management-report-financial-review/business-performance/income-statement.html</t>
  </si>
  <si>
    <t>Net sales by product division; Footwear; 2025</t>
  </si>
  <si>
    <t>Sector_KPIs!C5</t>
  </si>
  <si>
    <t>Bottom-up revenue anchor</t>
  </si>
  <si>
    <t>MAPPED</t>
  </si>
  <si>
    <t>AD-2025-PRODUCT-APPAREL</t>
  </si>
  <si>
    <t>Apparel revenue</t>
  </si>
  <si>
    <t>Net sales by product division; Apparel; 2025</t>
  </si>
  <si>
    <t>Sector_KPIs!C6</t>
  </si>
  <si>
    <t>AD-2025-PRODUCT-ACCESSORIES</t>
  </si>
  <si>
    <t>Accessories revenue</t>
  </si>
  <si>
    <t>Net sales by product division; Accessories; 2025</t>
  </si>
  <si>
    <t>Sector_KPIs!C7</t>
  </si>
  <si>
    <t>AD-2025-CHANNEL-WHOLESALE</t>
  </si>
  <si>
    <t>Wholesale revenue</t>
  </si>
  <si>
    <t>Net sales by channel; Wholesale; 2025</t>
  </si>
  <si>
    <t>Sector_KPIs!C23</t>
  </si>
  <si>
    <t>Diagnostic only</t>
  </si>
  <si>
    <t>No</t>
  </si>
  <si>
    <t>AD-2025-CHANNEL-DTC</t>
  </si>
  <si>
    <t>Direct-to-consumer revenue</t>
  </si>
  <si>
    <t>Net sales by channel; DTC; 2025</t>
  </si>
  <si>
    <t>Sector_KPIs!C24</t>
  </si>
  <si>
    <t>AD-2025-SHARES-BRIDGE</t>
  </si>
  <si>
    <t>Ordinary shares outstanding</t>
  </si>
  <si>
    <t>Number of shares row; 2025</t>
  </si>
  <si>
    <t>Sector_KPIs!B30</t>
  </si>
  <si>
    <t>Single-class denominator</t>
  </si>
  <si>
    <t>AD-FORECAST-PRODUCT-GROWTH</t>
  </si>
  <si>
    <t>Product-division forecast growth</t>
  </si>
  <si>
    <t>percent</t>
  </si>
  <si>
    <t>Controlled model assumption</t>
  </si>
  <si>
    <t>Sector_KPIs!B14:E19</t>
  </si>
  <si>
    <t>Scenario table</t>
  </si>
  <si>
    <t>Forecast!C5:G5</t>
  </si>
  <si>
    <t>Formula-driven product build</t>
  </si>
  <si>
    <t>Not issuer guidance by product</t>
  </si>
  <si>
    <t>Historical financials</t>
  </si>
  <si>
    <t>EUR millions unless per-share. Blanks are intentional when no claim-level primary-source mapping was available.</t>
  </si>
  <si>
    <t>Metric</t>
  </si>
  <si>
    <t>2021A</t>
  </si>
  <si>
    <t>2022A</t>
  </si>
  <si>
    <t>2023A</t>
  </si>
  <si>
    <t>2024A</t>
  </si>
  <si>
    <t>2025A</t>
  </si>
  <si>
    <t>Source mapping</t>
  </si>
  <si>
    <t>Sources ledger</t>
  </si>
  <si>
    <t>Assets less equity</t>
  </si>
  <si>
    <t>Inferred where inputs exist</t>
  </si>
  <si>
    <t>Assumptions and scenarios</t>
  </si>
  <si>
    <t>Blue-font cells are model inputs. Selector: 1 = Base, 2 = Bull, 3 = Bear. Active results are formulas and are not editable drivers.</t>
  </si>
  <si>
    <t>Scenario selector</t>
  </si>
  <si>
    <t>Bear</t>
  </si>
  <si>
    <t>Base</t>
  </si>
  <si>
    <t>Bull</t>
  </si>
  <si>
    <t>Active</t>
  </si>
  <si>
    <t>Rationale / source</t>
  </si>
  <si>
    <t>2026 guidance: high-single-digit currency-neutral growth; numeric scenario interpretation</t>
  </si>
  <si>
    <t>Base derived from ~EUR 2.3bn operating-profit guidance</t>
  </si>
  <si>
    <t>Model-owned post-guidance assumption</t>
  </si>
  <si>
    <t>Base anchored to FY2025 effective tax rate</t>
  </si>
  <si>
    <t>Base anchored to FY2025 D&amp;A excluding impairment / revenue</t>
  </si>
  <si>
    <t>Base anchored to management guidance around EUR 500m</t>
  </si>
  <si>
    <t>Base midpoint of 22%-23% 2026 management outlook</t>
  </si>
  <si>
    <t>Model-owned EUR discount-rate assumption</t>
  </si>
  <si>
    <t>Model-owned long-run nominal EUR growth assumption</t>
  </si>
  <si>
    <t>Guidance-anchored inputs are separated from post-2026 and valuation assumptions. Bull/Bear cases use the same model architecture and must be reset to Base after testing.</t>
  </si>
  <si>
    <t>Forecast model</t>
  </si>
  <si>
    <t>EUR millions unless per-share. Forecast outputs are formula-driven and guarded by source readiness.</t>
  </si>
  <si>
    <t>2026E</t>
  </si>
  <si>
    <t>2027E</t>
  </si>
  <si>
    <t>2028E</t>
  </si>
  <si>
    <t>2029E</t>
  </si>
  <si>
    <t>2030E</t>
  </si>
  <si>
    <t>Growth</t>
  </si>
  <si>
    <t>EBIT margin</t>
  </si>
  <si>
    <t>EBIT</t>
  </si>
  <si>
    <t>NOPAT</t>
  </si>
  <si>
    <t>D&amp;A</t>
  </si>
  <si>
    <t>Operating working capital</t>
  </si>
  <si>
    <t>Change in NWC</t>
  </si>
  <si>
    <t>FCFF</t>
  </si>
  <si>
    <t>Revenue forecast is now built bottom-up from Footwear, Apparel and Accessories. Product growth assumptions are model-owned; official channel data remains a diagnostic cross-check.</t>
  </si>
  <si>
    <t>Discounted cash flow valuation</t>
  </si>
  <si>
    <t>FCFF DCF in EUR millions; Gordon-growth terminal value; year-end discounting; 2025-12-31 valuation date.</t>
  </si>
  <si>
    <t>Year 1</t>
  </si>
  <si>
    <t>Year 2</t>
  </si>
  <si>
    <t>Year 3</t>
  </si>
  <si>
    <t>Year 4</t>
  </si>
  <si>
    <t>Year 5</t>
  </si>
  <si>
    <t>Output</t>
  </si>
  <si>
    <t>Discount factor</t>
  </si>
  <si>
    <t>PV FCFF</t>
  </si>
  <si>
    <t>PV explicit FCFF</t>
  </si>
  <si>
    <t>Terminal-year FCFF</t>
  </si>
  <si>
    <t>Terminal value</t>
  </si>
  <si>
    <t>PV terminal value</t>
  </si>
  <si>
    <t>Enterprise value</t>
  </si>
  <si>
    <t>Equity value</t>
  </si>
  <si>
    <t>Implied value / share</t>
  </si>
  <si>
    <t>Share price at 2025-12-31</t>
  </si>
  <si>
    <t>Upside / (downside)</t>
  </si>
  <si>
    <t>Valuation readiness</t>
  </si>
  <si>
    <t>Method</t>
  </si>
  <si>
    <t>FCFF DCF / Gordon growth</t>
  </si>
  <si>
    <t>Valuation fit: FCFF DCF is appropriate for a non-financial operating company with audited statements. Net debt uses adidas' adjusted net borrowings definition. WACC and terminal growth are model-owned assumptions, not issuer-reported facts.</t>
  </si>
  <si>
    <t>Valuation sensitivity</t>
  </si>
  <si>
    <t>Implied EUR/share sensitivity to WACC and terminal growth. Every cell recalculates the underlying DCF.</t>
  </si>
  <si>
    <t>WACC / terminal g</t>
  </si>
  <si>
    <t>Center cell D7 uses Base WACC 8.5% and Base terminal growth 2.5%; Checks compares it with the Valuation implied share price.</t>
  </si>
  <si>
    <t>Model checks and decision-use gate</t>
  </si>
  <si>
    <t>Each assertion shows Actual, Expected, Difference, Tolerance, formula-driven Status and a fix hint.</t>
  </si>
  <si>
    <t>Check</t>
  </si>
  <si>
    <t>Actual</t>
  </si>
  <si>
    <t>Expected</t>
  </si>
  <si>
    <t>Difference</t>
  </si>
  <si>
    <t>Tolerance</t>
  </si>
  <si>
    <t>Status</t>
  </si>
  <si>
    <t>Location / fix hint</t>
  </si>
  <si>
    <t>Material source mappings</t>
  </si>
  <si>
    <t>Sources!O:P; map every required field or retain BLOCKED</t>
  </si>
  <si>
    <t>FY2025 revenue tie</t>
  </si>
  <si>
    <t>Historical!F5 vs claim-level Sources value</t>
  </si>
  <si>
    <t>FY2025 EBIT tie</t>
  </si>
  <si>
    <t>Historical!F7 vs claim-level Sources value</t>
  </si>
  <si>
    <t>Liabilities bridge</t>
  </si>
  <si>
    <t>Historical!F12 = assets - equity</t>
  </si>
  <si>
    <t>Forecast revenue populated</t>
  </si>
  <si>
    <t>FCFF populated</t>
  </si>
  <si>
    <t>Forecast!C15:G15</t>
  </si>
  <si>
    <t>WACC exceeds terminal growth</t>
  </si>
  <si>
    <t>Assumptions!E14:E15</t>
  </si>
  <si>
    <t>DCF enterprise-value bridge</t>
  </si>
  <si>
    <t>Valuation!B14 = PV explicit + PV terminal</t>
  </si>
  <si>
    <t>Equity-value bridge</t>
  </si>
  <si>
    <t>Valuation!B16 = EV - adjusted net borrowings</t>
  </si>
  <si>
    <t>Sensitivity center tie</t>
  </si>
  <si>
    <t>Sensitivity!D7 = Valuation!B18</t>
  </si>
  <si>
    <t>Headline valuation suppression</t>
  </si>
  <si>
    <t>Valuation!B18 must be numeric</t>
  </si>
  <si>
    <t>Scenario selector valid</t>
  </si>
  <si>
    <t>Assumptions!B3 must be 1, 2 or 3</t>
  </si>
  <si>
    <t>Overall gate</t>
  </si>
  <si>
    <t>Product-driver revenue tie 2030</t>
  </si>
  <si>
    <t>Sector_KPIs!H10</t>
  </si>
  <si>
    <t>FY2025 product total tie</t>
  </si>
  <si>
    <t>Sector_KPIs!C9 / Historical!F5</t>
  </si>
  <si>
    <t>Share denominator tie</t>
  </si>
  <si>
    <t>Sector_KPIs!B33 / Historical!F16</t>
  </si>
  <si>
    <t>Product and channel operating drivers</t>
  </si>
  <si>
    <t>Reported FY2024–FY2025 product/channel revenue; FY2026E–FY2030E product growth is explicitly model-owned and scenario-controlled. EUR millions.</t>
  </si>
  <si>
    <t>Product division</t>
  </si>
  <si>
    <t>Footwear</t>
  </si>
  <si>
    <t>Apparel</t>
  </si>
  <si>
    <t>Accessories</t>
  </si>
  <si>
    <t>Other / rounding</t>
  </si>
  <si>
    <t>Total revenue</t>
  </si>
  <si>
    <t>Tie to reported / Forecast</t>
  </si>
  <si>
    <t>Scenario assumption</t>
  </si>
  <si>
    <t>Selector mapping</t>
  </si>
  <si>
    <t>1=Base, 2=Bull, 3=Bear</t>
  </si>
  <si>
    <t>Footwear growth — 2026</t>
  </si>
  <si>
    <t>Model-owned; anchored to official product revenue</t>
  </si>
  <si>
    <t>Apparel growth — 2026</t>
  </si>
  <si>
    <t>Accessories growth — 2026</t>
  </si>
  <si>
    <t>Footwear growth — 2027-2030</t>
  </si>
  <si>
    <t>Model-owned</t>
  </si>
  <si>
    <t>Apparel growth — 2027-2030</t>
  </si>
  <si>
    <t>Accessories growth — 2027-2030</t>
  </si>
  <si>
    <t>Channel diagnostic</t>
  </si>
  <si>
    <t>Currency-neutral growth</t>
  </si>
  <si>
    <t>Source / locator</t>
  </si>
  <si>
    <t>Wholesale</t>
  </si>
  <si>
    <t>adidas FY2025 Annual Report — Income Statement, net sales by product division and channel</t>
  </si>
  <si>
    <t>Direct-to-consumer</t>
  </si>
  <si>
    <t>Total channel revenue</t>
  </si>
  <si>
    <t>Channel totals can differ from consolidated total due to segment presentation / rounding; diagnostic only.</t>
  </si>
  <si>
    <t>Share-class and valuation denominator bridge</t>
  </si>
  <si>
    <t>Bridge item</t>
  </si>
  <si>
    <t>Shares (mm)</t>
  </si>
  <si>
    <t>Valuation treatment</t>
  </si>
  <si>
    <t>Evidence / limitation</t>
  </si>
  <si>
    <t>Ordinary shares outstanding — FY2025</t>
  </si>
  <si>
    <t>Included 1:1</t>
  </si>
  <si>
    <t>adidas FY2025 Annual Report, financial highlights / number of shares</t>
  </si>
  <si>
    <t>Preferred / class shares</t>
  </si>
  <si>
    <t>None</t>
  </si>
  <si>
    <t>No separate preferred class in the controlled valuation denominator</t>
  </si>
  <si>
    <t>Treasury shares</t>
  </si>
  <si>
    <t>Excluded from outstanding denominator</t>
  </si>
  <si>
    <t>Not separately extracted; outstanding count used directly</t>
  </si>
  <si>
    <t>Total valuation denominator</t>
  </si>
  <si>
    <t>Equity value divided by this line</t>
  </si>
  <si>
    <t>Formula</t>
  </si>
  <si>
    <t>DCF equity value</t>
  </si>
  <si>
    <t>EUR mm</t>
  </si>
  <si>
    <t>Valuation!B16</t>
  </si>
  <si>
    <t>Implied value per ordinary share</t>
  </si>
  <si>
    <t>Valuation!B18</t>
  </si>
  <si>
    <t>Share price at valuation date</t>
  </si>
  <si>
    <t>Bridge status</t>
  </si>
  <si>
    <t>PASS if denominator ties</t>
  </si>
  <si>
    <t>Change log and governance</t>
  </si>
  <si>
    <t>Controlled version history, scope, evidence and reviewer disposition.</t>
  </si>
  <si>
    <t>Date</t>
  </si>
  <si>
    <t>Version</t>
  </si>
  <si>
    <t>Author / lane</t>
  </si>
  <si>
    <t>Change</t>
  </si>
  <si>
    <t>Changed sheets / ranges</t>
  </si>
  <si>
    <t>Evidence</t>
  </si>
  <si>
    <t>Reviewer status</t>
  </si>
  <si>
    <t>2026-07-15</t>
  </si>
  <si>
    <t>1.0</t>
  </si>
  <si>
    <t>Codex baseline</t>
  </si>
  <si>
    <t>Initial generic institutional model shell</t>
  </si>
  <si>
    <t>All baseline sheets</t>
  </si>
  <si>
    <t>Adidas_Institutional_Model.xlsx</t>
  </si>
  <si>
    <t>Superseded by controlled copy; original preserved</t>
  </si>
  <si>
    <t>2.0</t>
  </si>
  <si>
    <t>limited-company / consumer-agri cluster</t>
  </si>
  <si>
    <t>Rebuilt EUR history, guidance-anchored FCFF model, dynamic DCF/sensitivity, formula-driven checks and H0-H9 ledger</t>
  </si>
  <si>
    <t>00_Cover; Sources; Historical; Assumptions; Forecast; Valuation; Sensitivity; Checks; Sector_KPIs; Change_Log; added 9_10_Blockers</t>
  </si>
  <si>
    <t>Companion QA, recalc and evidence package</t>
  </si>
  <si>
    <t>Independent review pending</t>
  </si>
  <si>
    <t>Preserved baseline lineage and source boundary</t>
  </si>
  <si>
    <t>No original workbook edits; no raw Latinex companies/objects/OCR access</t>
  </si>
  <si>
    <t>Original SHA-256 30cbb37f94bb55224c9f1fb4ddb86532568199a2f3ccc0dbf2c86c0a5c86ffb8</t>
  </si>
  <si>
    <t>Owner verified; independent package review pending</t>
  </si>
  <si>
    <t>Native recalculation required after export</t>
  </si>
  <si>
    <t>All formulas</t>
  </si>
  <si>
    <t>See companion recalc log and render manifest tied to controlled SHA-256</t>
  </si>
  <si>
    <t>Pending until post-export evidence is frozen</t>
  </si>
  <si>
    <t>2.1</t>
  </si>
  <si>
    <t>/root/limited_near_finish_high</t>
  </si>
  <si>
    <t>Added official product/channel anchors, bottom-up revenue drivers and single-class share bridge; linked forecast and checks.</t>
  </si>
  <si>
    <t>Sector_KPIs, Sources 221:227, Checks 20:22</t>
  </si>
  <si>
    <t>Owner mechanics prepared; native/visual QA pending</t>
  </si>
  <si>
    <t>PENDING — reviewer only</t>
  </si>
  <si>
    <t>Elevation to statement-grade IG (Ola 2, run 24e4a1f1): added audited FY2021-FY2025 statement sheets IS_Hist/CI_Hist/BS_Hist/CF_Hist/SCE_Hist (EUR mm, published constants from adidas AG standalone Consolidated Financial Statements PDFs, physical-page cited per year), Checks_TieOut (28 cross-statement tie-outs), Sources_Audited, Source_Register pointer, and Forecast_IG (5-yr Base/Bull/Bear driver scaffold, PARTIAL/assumption-based, anchored to FY2025A). Root Ola-1 sheets (Historical, Sources, Assumptions, Forecast, Valuation, Sensitivity, Checks, Sector_KPIs, 9_10_Blockers) left untouched. Root workbook untouched; v2 saved under the maintainer's archive. Built via Mog SDK only.</t>
  </si>
  <si>
    <t>Claude (run 24e4a1f1)</t>
  </si>
  <si>
    <t>Independent 9/10 hard-gate ledger</t>
  </si>
  <si>
    <t>Owner evidence status only. Independent reviewer results remain pending; no owner self-certification.</t>
  </si>
  <si>
    <t>Gate</t>
  </si>
  <si>
    <t>Points</t>
  </si>
  <si>
    <t>Owner evidence status</t>
  </si>
  <si>
    <t>Evidence location</t>
  </si>
  <si>
    <t>Blocker / resolution</t>
  </si>
  <si>
    <t>Independent result</t>
  </si>
  <si>
    <t>H0</t>
  </si>
  <si>
    <t>OWNER EVIDENCE COMPLETE</t>
  </si>
  <si>
    <t>Controlled path, original hash, package integrity and lineage evidence</t>
  </si>
  <si>
    <t>Independent identity/package reproduction pending</t>
  </si>
  <si>
    <t>PENDING</t>
  </si>
  <si>
    <t>H1</t>
  </si>
  <si>
    <t>Sources!A:P claim-level ledger and formula-driven mapping status</t>
  </si>
  <si>
    <t>Independent source sampling pending</t>
  </si>
  <si>
    <t>H2</t>
  </si>
  <si>
    <t>Historical; Forecast; Checks</t>
  </si>
  <si>
    <t>Independent formula tracing pending</t>
  </si>
  <si>
    <t>H3</t>
  </si>
  <si>
    <t>Assumptions selector; Forecast outputs; Sensitivity</t>
  </si>
  <si>
    <t>Independent scenario toggle/reset pending</t>
  </si>
  <si>
    <t>H4</t>
  </si>
  <si>
    <t>Valuation; Sensitivity; Checks</t>
  </si>
  <si>
    <t>Independent DCF reproduction pending</t>
  </si>
  <si>
    <t>H5</t>
  </si>
  <si>
    <t>Checks with Actual/Expected/Difference/Tolerance/Status/Fix hint</t>
  </si>
  <si>
    <t>Post-native-recalc error scan evidence required</t>
  </si>
  <si>
    <t>H6</t>
  </si>
  <si>
    <t>OWNER EVIDENCE PREPARED</t>
  </si>
  <si>
    <t>Companion isolated LibreOffice open/save/reopen log</t>
  </si>
  <si>
    <t>Independent native-recalc reproduction pending</t>
  </si>
  <si>
    <t>H7</t>
  </si>
  <si>
    <t>Companion render manifest for every user-facing sheet</t>
  </si>
  <si>
    <t>Independent visual review pending</t>
  </si>
  <si>
    <t>H8</t>
  </si>
  <si>
    <t>Source mapping, model mechanics, formula gates and valuation readiness were materially changed</t>
  </si>
  <si>
    <t>Not a visual-only upgrade</t>
  </si>
  <si>
    <t>H9</t>
  </si>
  <si>
    <t>00_Cover; Change_Log; this ledger</t>
  </si>
  <si>
    <t>Independent governance review pending</t>
  </si>
  <si>
    <t>Owner package status</t>
  </si>
  <si>
    <t>Resolved owner criteria: audited source availability, line-item mapping, EUR-unit history, guidance-anchored model, Base/Bull/Bear propagation, FCFF DCF, dynamic WACC/g sensitivity and formula-driven checks. Certification remains an independent-review decision.</t>
  </si>
  <si>
    <t>adidas AG — Consolidated Income Statement (audited, IFRS)</t>
  </si>
  <si>
    <t>EUR millions. Each FY sourced from that FY’s own Consolidated Financial Statements PDF (see Sources_Audited for exact file + physical page); cross-checked vs following-year comparative column.</t>
  </si>
  <si>
    <t>Line item</t>
  </si>
  <si>
    <t>FY2021A</t>
  </si>
  <si>
    <t>FY2022A</t>
  </si>
  <si>
    <t>FY2023A</t>
  </si>
  <si>
    <t>FY2024A</t>
  </si>
  <si>
    <t>FY2025A</t>
  </si>
  <si>
    <t>Note ref</t>
  </si>
  <si>
    <t>Net sales</t>
  </si>
  <si>
    <t>Cost of sales</t>
  </si>
  <si>
    <t>Royalty and commission income</t>
  </si>
  <si>
    <t>Other operating income</t>
  </si>
  <si>
    <t>Other operating expenses</t>
  </si>
  <si>
    <t>09,12,30,31</t>
  </si>
  <si>
    <t>Of which:</t>
  </si>
  <si>
    <t>Marketing and point-of-sale expenses</t>
  </si>
  <si>
    <t>Distribution and selling expenses</t>
  </si>
  <si>
    <t>General and administration expenses</t>
  </si>
  <si>
    <t>Sundry expenses</t>
  </si>
  <si>
    <t>Impairment losses/(gains), net, on accounts receivable and contract assets</t>
  </si>
  <si>
    <t>Operating profit</t>
  </si>
  <si>
    <t>Financial income</t>
  </si>
  <si>
    <t>Financial expenses</t>
  </si>
  <si>
    <t>Income before taxes</t>
  </si>
  <si>
    <t>Income taxes</t>
  </si>
  <si>
    <t>Net income from continuing operations</t>
  </si>
  <si>
    <t>Gain from discontinued operations, net of tax</t>
  </si>
  <si>
    <t>03</t>
  </si>
  <si>
    <t>Net income</t>
  </si>
  <si>
    <t>Attributable to:</t>
  </si>
  <si>
    <t>Net income attributable to shareholders</t>
  </si>
  <si>
    <t>Net income attributable to non-controlling interests</t>
  </si>
  <si>
    <t>Basic EPS, continuing operations (EUR)</t>
  </si>
  <si>
    <t>Diluted EPS, continuing operations (EUR)</t>
  </si>
  <si>
    <t>Basic EPS, continuing + discontinued (EUR)</t>
  </si>
  <si>
    <t>Diluted EPS, continuing + discontinued (EUR)</t>
  </si>
  <si>
    <t>adidas AG — Consolidated Statement of Comprehensive Income (audited, IFRS)</t>
  </si>
  <si>
    <t>EUR millions. Same source basis as IS_Hist.</t>
  </si>
  <si>
    <t>Items that will not be reclassified subsequently to profit or loss:</t>
  </si>
  <si>
    <t>Remeasurements of defined benefit plans (IAS 19), net of tax</t>
  </si>
  <si>
    <t>Net gain/(loss) on other equity investments (IFRS 9), net of tax</t>
  </si>
  <si>
    <t>Subtotal — items not reclassified</t>
  </si>
  <si>
    <t>Items that may be reclassified to profit or loss:</t>
  </si>
  <si>
    <t>Net gain/(loss) on cash flow hedges and net foreign investment hedges, net of tax</t>
  </si>
  <si>
    <t>Net gain/(loss) on cost of hedging reserve — options, net of tax</t>
  </si>
  <si>
    <t>Net gain/(loss) on cost of hedging reserve — forward contracts, net of tax</t>
  </si>
  <si>
    <t>Reclassification of currency translation differences (disposal of foreign operations)</t>
  </si>
  <si>
    <t>Currency translation differences</t>
  </si>
  <si>
    <t>Subtotal — items that may be reclassified</t>
  </si>
  <si>
    <t>Other comprehensive income</t>
  </si>
  <si>
    <t>Total comprehensive income</t>
  </si>
  <si>
    <t>Attributable to shareholders of adidas AG</t>
  </si>
  <si>
    <t>Attributable to non-controlling interests</t>
  </si>
  <si>
    <t>adidas AG — Consolidated Statement of Financial Position (audited, IFRS)</t>
  </si>
  <si>
    <t>EUR millions, as of December 31. Same source basis as IS_Hist. Blank = line not presented / nil that year (e.g. Short-term financial assets introduced FY2023, Assets/Liabilities held-for-sale only FY2021 Reebok disposal group).</t>
  </si>
  <si>
    <t>Assets</t>
  </si>
  <si>
    <t>Current assets</t>
  </si>
  <si>
    <t>04</t>
  </si>
  <si>
    <t>Accounts receivable</t>
  </si>
  <si>
    <t>05</t>
  </si>
  <si>
    <t>Other current financial assets</t>
  </si>
  <si>
    <t>06</t>
  </si>
  <si>
    <t>Short-term financial assets</t>
  </si>
  <si>
    <t>Inventories</t>
  </si>
  <si>
    <t>07</t>
  </si>
  <si>
    <t>Income tax receivables</t>
  </si>
  <si>
    <t>Other current assets</t>
  </si>
  <si>
    <t>08</t>
  </si>
  <si>
    <t>Assets classified as held for sale</t>
  </si>
  <si>
    <t>Total current assets</t>
  </si>
  <si>
    <t>Non-current assets</t>
  </si>
  <si>
    <t>Property, plant, and equipment</t>
  </si>
  <si>
    <t>09</t>
  </si>
  <si>
    <t>Right-of-use assets</t>
  </si>
  <si>
    <t>Goodwill</t>
  </si>
  <si>
    <t>Trademarks / Other intangible assets</t>
  </si>
  <si>
    <t>Long-term financial assets</t>
  </si>
  <si>
    <t>Other non-current financial assets</t>
  </si>
  <si>
    <t>Deferred tax assets</t>
  </si>
  <si>
    <t>Other non-current assets</t>
  </si>
  <si>
    <t>Total non-current assets</t>
  </si>
  <si>
    <t>Liabilities</t>
  </si>
  <si>
    <t>Current liabilities</t>
  </si>
  <si>
    <t>Short-term borrowings</t>
  </si>
  <si>
    <t>Accounts payable</t>
  </si>
  <si>
    <t>Current lease liabilities</t>
  </si>
  <si>
    <t>Other current financial liabilities</t>
  </si>
  <si>
    <t>Other current provisions</t>
  </si>
  <si>
    <t>Current accrued liabilities</t>
  </si>
  <si>
    <t>Other current liabilities</t>
  </si>
  <si>
    <t>Liabilities classified as held for sale</t>
  </si>
  <si>
    <t>Total current liabilities</t>
  </si>
  <si>
    <t>Non-current liabilities</t>
  </si>
  <si>
    <t>Long-term borrowings</t>
  </si>
  <si>
    <t>Non-current lease liabilities</t>
  </si>
  <si>
    <t>Other non-current financial liabilities</t>
  </si>
  <si>
    <t>Pensions and similar obligations</t>
  </si>
  <si>
    <t>Deferred tax liabilities</t>
  </si>
  <si>
    <t>Other non-current provisions</t>
  </si>
  <si>
    <t>Non-current accrued liabilities</t>
  </si>
  <si>
    <t>Other non-current liabilities</t>
  </si>
  <si>
    <t>Total non-current liabilities</t>
  </si>
  <si>
    <t>Equity</t>
  </si>
  <si>
    <t>Share capital</t>
  </si>
  <si>
    <t>Reserves</t>
  </si>
  <si>
    <t>Retained earnings</t>
  </si>
  <si>
    <t>Shareholders’ equity</t>
  </si>
  <si>
    <t>Non-controlling interests</t>
  </si>
  <si>
    <t>Total equity</t>
  </si>
  <si>
    <t>Total liabilities and equity</t>
  </si>
  <si>
    <t>adidas AG — Consolidated Statement of Cash Flows (audited, IFRS)</t>
  </si>
  <si>
    <t>EUR millions. Same source basis as IS_Hist. Signs as published (outflows negative). FY2021-22 reported a continuing/discontinued-operations split; FY2023-25 do not — folded into the "discontinued operations / hyperinflation" and "-- discontinued operations" lines so each subtotal ties to the as-published total.</t>
  </si>
  <si>
    <t>Operating activities</t>
  </si>
  <si>
    <t>Income before taxes (continuing operations)</t>
  </si>
  <si>
    <t>Depreciation, amortization, and impairment losses</t>
  </si>
  <si>
    <t>11,12,30</t>
  </si>
  <si>
    <t>Reversals of impairment losses</t>
  </si>
  <si>
    <t>29/09,10,30</t>
  </si>
  <si>
    <t>Interest income</t>
  </si>
  <si>
    <t>Interest expense</t>
  </si>
  <si>
    <t>Unrealized foreign exchange losses/(gains), net</t>
  </si>
  <si>
    <t>Losses on sale of PP&amp;E and intangible assets, net</t>
  </si>
  <si>
    <t>Other non-cash effects from operating activities</t>
  </si>
  <si>
    <t>29/30</t>
  </si>
  <si>
    <t>Operating profit before working capital changes</t>
  </si>
  <si>
    <t>Change in receivables and other assets</t>
  </si>
  <si>
    <t>Change in inventories</t>
  </si>
  <si>
    <t>Change in accounts payable and other liabilities</t>
  </si>
  <si>
    <t>Cash generated from operations before taxes</t>
  </si>
  <si>
    <t>Income taxes paid</t>
  </si>
  <si>
    <t>Discontinued operations / hyperinflation adj. (net cash effect)</t>
  </si>
  <si>
    <t>Cash flows from operating activities</t>
  </si>
  <si>
    <t>Investing activities</t>
  </si>
  <si>
    <t>Purchase of trademarks / other intangible assets</t>
  </si>
  <si>
    <t>Proceeds from sale of intangible assets</t>
  </si>
  <si>
    <t>Purchase of property, plant, and equipment</t>
  </si>
  <si>
    <t>Proceeds from sale of property, plant, and equipment</t>
  </si>
  <si>
    <t>Proceeds from sale of a disposal group</t>
  </si>
  <si>
    <t>Proceeds from (reimbursement of) disposal of discontinued operations</t>
  </si>
  <si>
    <t>Change in short-term financial assets</t>
  </si>
  <si>
    <t>Change in investments and other long-term assets</t>
  </si>
  <si>
    <t>Interest received</t>
  </si>
  <si>
    <t>Cash flows from investing activities — discontinued operations</t>
  </si>
  <si>
    <t>Cash flows from investing activities</t>
  </si>
  <si>
    <t>Financing activities</t>
  </si>
  <si>
    <t>Repayment of eurobonds</t>
  </si>
  <si>
    <t>Proceeds from issuance of bonds</t>
  </si>
  <si>
    <t>Interest paid</t>
  </si>
  <si>
    <t>Repayments of lease liabilities</t>
  </si>
  <si>
    <t>Dividend paid to shareholders of adidas AG</t>
  </si>
  <si>
    <t>Dividend paid to non-controlling interest shareholders</t>
  </si>
  <si>
    <t>Repurchase of treasury shares (incl. share-based payment)</t>
  </si>
  <si>
    <t>25/26</t>
  </si>
  <si>
    <t>Proceeds from reissuance of treasury shares (share-based payment)</t>
  </si>
  <si>
    <t>Change in short-term borrowings</t>
  </si>
  <si>
    <t>Acquisition of non-controlling interests</t>
  </si>
  <si>
    <t>Cash flows from financing activities — discontinued operations</t>
  </si>
  <si>
    <t>Cash flows from financing activities</t>
  </si>
  <si>
    <t>Effect of exchange rates on cash</t>
  </si>
  <si>
    <t>IAS 29 hyperinflation effects / other</t>
  </si>
  <si>
    <t>Change in cash and cash equivalents</t>
  </si>
  <si>
    <t>Cash and cash equivalents at beginning of year</t>
  </si>
  <si>
    <t>Cash and cash equivalents at end of period</t>
  </si>
  <si>
    <t>adidas AG — Consolidated Statement of Changes in Equity (summary reconciliation)</t>
  </si>
  <si>
    <t>EUR millions. Opening/closing balances and TCI are audited constants from the SCE (see Sources_Audited). "Other equity transactions" is the residual of all remaining SCE line items (mainly NCI acquisitions, share cancellations, minor reclassifications) not individually itemized here — see the cited SCE page for the full line-by-line breakdown.</t>
  </si>
  <si>
    <t>Total equity, beginning of year</t>
  </si>
  <si>
    <t>Dividends paid (shareholders + non-controlling interests)</t>
  </si>
  <si>
    <t>Treasury shares: repurchases, reissuances, cancellations (net)</t>
  </si>
  <si>
    <t>Equity-settled share-based payment</t>
  </si>
  <si>
    <t>Other equity transactions, net (NCI acquisitions/disposals, reclassifications — see SCE PDF page for detail)</t>
  </si>
  <si>
    <t>Total equity, end of year (computed)</t>
  </si>
  <si>
    <t>Total equity, end of year (audited, per Balance Sheet)</t>
  </si>
  <si>
    <t>Tie-out checks — audited historical statements (all deltas must be 0 within EUR 1m tolerance for rounding)</t>
  </si>
  <si>
    <t>MASTER</t>
  </si>
  <si>
    <t>IS: Gross profit = Net sales - Cost of sales</t>
  </si>
  <si>
    <t>IS: Operating profit chain</t>
  </si>
  <si>
    <t>IS: Other operating expenses = sum of sub-lines</t>
  </si>
  <si>
    <t>IS: Income before taxes = OP + fin income - fin exp</t>
  </si>
  <si>
    <t>IS: Net income (continuing) = PBT - tax</t>
  </si>
  <si>
    <t>IS: Net income = continuing + discontinued</t>
  </si>
  <si>
    <t>IS: Net income = shareholders + NCI</t>
  </si>
  <si>
    <t>CI: OCI = subtotal(not reclass.) + subtotal(may reclass.)</t>
  </si>
  <si>
    <t>CI: TCI = NI + OCI</t>
  </si>
  <si>
    <t>CI: TCI = shareholders + NCI</t>
  </si>
  <si>
    <t>X: CI net income = IS net income</t>
  </si>
  <si>
    <t>BS: Total current assets = sum of components</t>
  </si>
  <si>
    <t>BS: Total non-current assets = sum of components</t>
  </si>
  <si>
    <t>BS: Total assets = CA + NCA</t>
  </si>
  <si>
    <t>BS: Total current liabilities = sum of components</t>
  </si>
  <si>
    <t>BS: Total non-current liabilities = sum of components</t>
  </si>
  <si>
    <t>BS: Total liabilities = CL + NCL</t>
  </si>
  <si>
    <t>BS: Shareholders’ equity = sum of components</t>
  </si>
  <si>
    <t>BS: Total equity = shareholders’ equity + NCI</t>
  </si>
  <si>
    <t>BS: Total liabilities and equity = TL + TE</t>
  </si>
  <si>
    <t>BS: Balance sheet balances (TA - TL&amp;E)</t>
  </si>
  <si>
    <t>CF: Operating profit before WC changes = sum of adjustments</t>
  </si>
  <si>
    <t>CF: Cash generated before taxes = OP before WC + WC changes</t>
  </si>
  <si>
    <t>CF: CFO = pre-tax cash + tax paid + discontinued/hyperinflation adj.</t>
  </si>
  <si>
    <t>CF: CFI = sum of investing lines (tol. ±2m — multi-line IFRS rounding)</t>
  </si>
  <si>
    <t>CF: CFF = sum of financing lines (tol. ±2m — multi-line IFRS rounding)</t>
  </si>
  <si>
    <t>CF: Change in cash = CFO + CFI + CFF + FX + other</t>
  </si>
  <si>
    <t>CF: End cash = beginning + change</t>
  </si>
  <si>
    <t>X: CF end cash = BS cash</t>
  </si>
  <si>
    <t>X: SCE closing equity (computed) = audited closing equity</t>
  </si>
  <si>
    <t>X: SCE closing equity (audited) = BS total equity</t>
  </si>
  <si>
    <t>X: SCE net income = IS net income</t>
  </si>
  <si>
    <t>CF: Beginning cash = prior-year end cash (FY22-FY25)</t>
  </si>
  <si>
    <t>Audited source register — adidas AG consolidated financial statements (report.adidas-group.com annual-report PDFs, downloaded 2026-07-21)</t>
  </si>
  <si>
    <t>Model year</t>
  </si>
  <si>
    <t>Source file (local copy kept by the maintainer)</t>
  </si>
  <si>
    <t>BS phys. pg.</t>
  </si>
  <si>
    <t>IS phys. pg.</t>
  </si>
  <si>
    <t>CI phys. pg.</t>
  </si>
  <si>
    <t>SCE phys. pg.</t>
  </si>
  <si>
    <t>CF phys. pg.</t>
  </si>
  <si>
    <t>Notes</t>
  </si>
  <si>
    <t>FY2021_cons-financial-statements-adidas-ar21.pdf</t>
  </si>
  <si>
    <t>2-3</t>
  </si>
  <si>
    <t>7-8</t>
  </si>
  <si>
    <t>FY2022_cons-financial-statements-adidas-ar22.pdf</t>
  </si>
  <si>
    <t>4-5</t>
  </si>
  <si>
    <t>9-10</t>
  </si>
  <si>
    <t>FY2023_cons-financial-statements-adidas-ar23.pdf</t>
  </si>
  <si>
    <t>6-7</t>
  </si>
  <si>
    <t>8-9</t>
  </si>
  <si>
    <t>FY2024_cons-financial-statements-adidas-ar24.pdf</t>
  </si>
  <si>
    <t>FY2025_cons-financial-statements-adidas-ar25.pdf</t>
  </si>
  <si>
    <t>Physical PDF page = page order counted from page 1 of the standalone PDF file (verified via pdftotext form-feed page breaks + printed page-footer cross-check), NOT the printed running page number in the header/footer (Ola-1 lesson).</t>
  </si>
  <si>
    <t>Each year’s figures are the CURRENT-year column from that year’s own report (as originally published for that fiscal year), cross-checked against the following year’s comparative column. Where the two disagree the discrepancy is a documented restatement, not a transcription error — see notes below.</t>
  </si>
  <si>
    <t>Known restatement: FY2022 cash flow from operating activities is EUR (458)m (continuing) / (543)m (incl. discontinued) per adidas’ own FY2022 report; the FY2023 report’s FY2022 comparative column instead shows (394)m / (479)m. This workbook uses the FY2022-report figure (-458/-543, i.e. total -543 as reported "Cash flows from operating activities") for consistency (each year sourced from its own report).</t>
  </si>
  <si>
    <t>Known restatement: FY2023 cash flow from operating activities is EUR 2,630m per adidas’ own FY2023 report; the FY2024 report’s FY2023 comparative shows EUR 2,550m, both footnoted "Prior year adjusted due to Hyperinflation accounting" (IAS 29, hyperinflationary economies e.g. Ghana/Argentina/Turkey reclassification). This workbook uses the FY2023-report figure (2,630) for CF_Hist. NOTE: the pre-existing Ola-1 Historical!D9 tab uses the later-restated 2,550 figure sourced from adidas’ Financial Highlights page — both are legitimately adidas-published numbers on different bases; this is a documented basis difference, not an error in either sheet.</t>
  </si>
  <si>
    <t>BS lines "Short-term financial assets" and "Assets/Liabilities classified as held for sale" are blank in years where adidas did not present them (introduced FY2023; Reebok disposal group only FY2021) — blanks are intentional, not missing data.</t>
  </si>
  <si>
    <t>SCE_Hist is a summary reconciliation (opening/closing/TCI = audited constants; dividends, treasury-share transactions, and share-based payment = audited constants; "Other equity transactions, net" is the computed residual of all remaining SCE line items, mainly NCI acquisitions/disposals — full line-by-line detail is in the cited SCE PDF pages, not reproduced here.</t>
  </si>
  <si>
    <t>Notes PDFs (FYxxxx_notes-adidas-arYY.pdf) were reviewed for segment/geography detail (Sector_KPIs) but were not required for primary-statement figures, which are fully covered by the standalone Consolidated Financial Statements PDFs cited above.</t>
  </si>
  <si>
    <t>Source_Register — pointer</t>
  </si>
  <si>
    <t>Primary audited source detail for the statement-grade elevation (Ola 2, run 24e4a1f1) lives in the Sources_Audited sheet (per-year file + physical-page citations for BS/IS/CI/SCE/CF). The pre-existing Sources tab (Ola 1, financial-highlights-page citations) is preserved unmodified.</t>
  </si>
  <si>
    <t>adidas AG — 5-year driver-built forecast (Base/Bull/Bear), anchored to FY2025A</t>
  </si>
  <si>
    <t>EUR millions unless noted. ASSUMPTION-driven (not published); scenario select in B4 (1=Base, 2=Bull, 3=Bear). Rationale: Base assumes continuation of the FY2023-25 margin-recovery trend (gross margin recovered from 47.5% FY23 to 51.6% FY25 post-Yeezy-inventory unwind) at a decelerating mid-single-digit revenue growth rate consistent with adidas’ multi-year guidance cadence; Bull/Bear flex growth +/-3pp and gross margin +/-1.5pp vs Base. This is a forecast scaffold, not a published fact — treat as PARTIAL/indicative pending management-guidance-anchored refresh.</t>
  </si>
  <si>
    <t>Scenario (1=Base,2=Bull,3=Bear)</t>
  </si>
  <si>
    <t>Driver</t>
  </si>
  <si>
    <t>FY2027E</t>
  </si>
  <si>
    <t>FY2028E</t>
  </si>
  <si>
    <t>FY2029E</t>
  </si>
  <si>
    <t>FY2030E</t>
  </si>
  <si>
    <t>Revenue growth % — Base</t>
  </si>
  <si>
    <t>Revenue growth % — Bull</t>
  </si>
  <si>
    <t>Revenue growth % — Bear</t>
  </si>
  <si>
    <t>Gross margin % — Base</t>
  </si>
  <si>
    <t>Gross margin % — Bull</t>
  </si>
  <si>
    <t>Gross margin % — Bear</t>
  </si>
  <si>
    <t>OpEx (royalty/other inc net of other opex) % of sales — Base</t>
  </si>
  <si>
    <t>OpEx % of sales — Bull</t>
  </si>
  <si>
    <t>OpEx % of sales — Bear</t>
  </si>
  <si>
    <t>Net financial expense % of sales (all scenarios)</t>
  </si>
  <si>
    <t>Effective tax rate (all scenarios)</t>
  </si>
  <si>
    <t>Capex % of sales (all scenarios)</t>
  </si>
  <si>
    <t>D&amp;A % of sales (all scenarios)</t>
  </si>
  <si>
    <t>Projection (selected scenario)</t>
  </si>
  <si>
    <t>Operating profit (proxy: GP - OpEx)</t>
  </si>
  <si>
    <t>Net financial expense</t>
  </si>
  <si>
    <t>Net income (proxy)</t>
  </si>
  <si>
    <t>Capex</t>
  </si>
  <si>
    <t>Unlevered FCF proxy (NI + D&amp;A - Capex)</t>
  </si>
  <si>
    <t>Turn #</t>
  </si>
  <si>
    <t>User Request</t>
  </si>
  <si>
    <t>Action Taken</t>
  </si>
  <si>
    <t>Details</t>
  </si>
  <si>
    <t>Outcome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</si>
  <si>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</si>
  <si>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</si>
  <si>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00_Cover: 1 cell written, at B16; Change_Log: 2 cells written, at F5, B10; Sources_Audited: 1 cell written, at B3.
Agent: OpenFinmods export</t>
  </si>
  <si>
    <t>Compare against source and review public copy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</si>
</sst>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;[RED]\(#,##0.0\);\-"/>
    <numFmt numFmtId="166" formatCode="#,##0.000;[RED]\(#,##0.000\);\-"/>
    <numFmt numFmtId="167" formatCode="0.0%;[RED]\(0.0%\);\-"/>
    <numFmt numFmtId="168" formatCode="\€0.00;[RED]&quot;(€&quot;0.00\);\-"/>
    <numFmt numFmtId="169" formatCode="\€0.00"/>
    <numFmt numFmtId="170" formatCode="0"/>
    <numFmt numFmtId="171" formatCode="yyyy\-mm\-dd hh:mm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0"/>
    </font>
    <font>
      <b/>
      <i val="0"/>
      <strike val="0"/>
      <sz val="11"/>
      <color rgb="FFFFFFFF"/>
      <name val="Calibri"/>
      <family val="0"/>
    </font>
    <font>
      <b val="0"/>
      <i/>
      <strike val="0"/>
      <sz val="11"/>
      <color rgb="FF666666"/>
      <name val="Calibri"/>
      <family val="0"/>
    </font>
    <font>
      <b val="0"/>
      <i val="0"/>
      <strike val="0"/>
      <sz val="11"/>
      <color rgb="FF000000"/>
      <name val="Calibri"/>
      <family val="0"/>
    </font>
    <font>
      <b/>
      <i val="0"/>
      <strike val="0"/>
      <sz val="11"/>
      <color rgb="FF7F6000"/>
      <name val="Calibri"/>
      <family val="0"/>
    </font>
    <font>
      <b val="0"/>
      <i val="0"/>
      <strike val="0"/>
      <sz val="11"/>
      <color rgb="FF008000"/>
      <name val="Calibri"/>
      <family val="0"/>
    </font>
    <font>
      <b val="0"/>
      <i/>
      <strike val="0"/>
      <sz val="11"/>
      <color rgb="FF000000"/>
      <name val="Calibri"/>
      <family val="0"/>
    </font>
    <font>
      <b/>
      <i val="0"/>
      <strike val="0"/>
      <sz val="11"/>
      <color rgb="FF000000"/>
      <name val="Calibri"/>
      <family val="0"/>
    </font>
    <font>
      <b val="0"/>
      <i val="0"/>
      <strike val="0"/>
      <sz val="10"/>
      <color rgb="FF1F1F1F"/>
      <name val="Calibri"/>
      <family val="0"/>
    </font>
    <font>
      <b/>
      <i val="0"/>
      <strike val="0"/>
      <sz val="16"/>
      <color rgb="FFFFFFFF"/>
      <name val="Calibri"/>
      <family val="0"/>
    </font>
    <font>
      <b val="0"/>
      <i/>
      <strike val="0"/>
      <sz val="10"/>
      <color rgb="FF595959"/>
      <name val="Calibri"/>
      <family val="0"/>
    </font>
    <font>
      <b/>
      <i val="0"/>
      <strike val="0"/>
      <sz val="11"/>
      <color rgb="FF0000FF"/>
      <name val="Calibri"/>
      <family val="0"/>
    </font>
    <font>
      <b val="0"/>
      <i val="0"/>
      <strike val="0"/>
      <sz val="11"/>
      <color rgb="FF0000FF"/>
      <name val="Calibri"/>
      <family val="0"/>
    </font>
    <font>
      <b val="0"/>
      <i val="0"/>
      <strike val="0"/>
      <sz val="10"/>
      <color rgb="FF008000"/>
      <name val="Calibri"/>
      <family val="0"/>
    </font>
    <font>
      <b/>
      <i val="0"/>
      <strike val="0"/>
      <sz val="16"/>
      <color rgb="FFFFFFFF"/>
      <name val="Arial"/>
      <family val="0"/>
    </font>
    <font>
      <b val="0"/>
      <i/>
      <strike val="0"/>
      <sz val="10"/>
      <color rgb="FF17365D"/>
      <name val="Arial"/>
      <family val="0"/>
    </font>
    <font>
      <b/>
      <i val="0"/>
      <strike val="0"/>
      <sz val="10"/>
      <color rgb="FFFFFFFF"/>
      <name val="Arial"/>
      <family val="0"/>
    </font>
    <font>
      <b val="0"/>
      <i val="0"/>
      <strike val="0"/>
      <sz val="10"/>
      <color rgb="FF1F1F1F"/>
      <name val="Arial"/>
      <family val="0"/>
    </font>
    <font>
      <b val="0"/>
      <i val="0"/>
      <strike val="0"/>
      <sz val="10"/>
      <color rgb="FF008000"/>
      <name val="Arial"/>
      <family val="0"/>
    </font>
    <font>
      <b val="0"/>
      <i val="0"/>
      <strike val="0"/>
      <sz val="10"/>
      <color rgb="FF0000FF"/>
      <name val="Arial"/>
      <family val="0"/>
    </font>
    <font>
      <b/>
      <i val="0"/>
      <strike val="0"/>
      <sz val="10"/>
      <color rgb="FF17365D"/>
      <name val="Arial"/>
      <family val="0"/>
    </font>
    <font>
      <b val="0"/>
      <i val="0"/>
      <strike val="0"/>
      <sz val="10"/>
      <color rgb="FF000000"/>
      <name val="Arial"/>
      <family val="2"/>
    </font>
    <font>
      <b/>
      <i val="0"/>
      <strike val="0"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  <fill>
      <patternFill patternType="solid">
        <fgColor rgb="FFEAF2F8"/>
        <bgColor rgb="FFEAF2F8"/>
      </patternFill>
    </fill>
    <fill>
      <patternFill patternType="solid">
        <fgColor rgb="FFE2F0D9"/>
        <bgColor rgb="FFE2F0D9"/>
      </patternFill>
    </fill>
    <fill>
      <patternFill patternType="solid">
        <fgColor rgb="FFDDEBF7"/>
        <bgColor rgb="FFDDEBF7"/>
      </patternFill>
    </fill>
  </fills>
  <borders count="7">
    <border/>
    <border diagonalUp="0" diagonalDown="0"/>
    <border diagonalUp="0" diagonalDown="0"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 diagonalUp="0" diagonalDown="0">
      <left style="thin">
        <color rgb="FFD9E1F2"/>
      </left>
      <top style="thin">
        <color rgb="FFD9E1F2"/>
      </top>
      <bottom style="thin">
        <color rgb="FFD9E1F2"/>
      </bottom>
    </border>
    <border diagonalUp="0" diagonalDown="0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 diagonalUp="0" diagonalDown="0"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</border>
    <border diagonalUp="0" diagonalDown="0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1" fillId="0" borderId="1">
      <alignment horizontal="general" vertical="bottom" textRotation="0" indent="0"/>
      <protection locked="1"/>
    </xf>
  </cellStyleXfs>
  <cellXfs count="53">
    <xf numFmtId="0" fontId="1" fillId="0" borderId="1" xfId="0" applyFont="1" applyBorder="1" applyAlignment="1" applyProtection="1">
      <alignment horizontal="general" vertical="bottom" textRotation="0" indent="0"/>
      <protection locked="1"/>
    </xf>
    <xf numFmtId="164" fontId="2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64" fontId="3" fillId="2" borderId="1" xfId="0" applyNumberFormat="1" applyFont="1" applyFill="1" applyBorder="1" applyAlignment="1" applyProtection="1">
      <alignment horizontal="general" vertical="center" textRotation="0" indent="0" readingOrder="0"/>
      <protection locked="1"/>
    </xf>
    <xf numFmtId="164" fontId="4" fillId="3" borderId="1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5" fillId="3" borderId="1" xfId="0" applyNumberFormat="1" applyFont="1" applyFill="1" applyBorder="1" applyAlignment="1" applyProtection="1">
      <alignment horizontal="general" vertical="bottom" textRotation="0" indent="0" readingOrder="0"/>
      <protection locked="1"/>
    </xf>
    <xf numFmtId="164" fontId="3" fillId="4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5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6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7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5" fillId="5" borderId="3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8" fillId="6" borderId="1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5" fontId="5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9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10" fillId="0" borderId="4" xfId="0" applyNumberFormat="1" applyFont="1" applyBorder="1" applyAlignment="1" applyProtection="1">
      <alignment horizontal="general" vertical="top" textRotation="0" wrapText="1" indent="0" readingOrder="0"/>
      <protection locked="1"/>
    </xf>
    <xf numFmtId="164" fontId="5" fillId="7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6" fontId="5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11" fillId="2" borderId="1" xfId="0" applyNumberFormat="1" applyFont="1" applyFill="1" applyBorder="1" applyAlignment="1" applyProtection="1">
      <alignment horizontal="general" vertical="bottom" textRotation="0" indent="0" readingOrder="0"/>
      <protection locked="1"/>
    </xf>
    <xf numFmtId="164" fontId="12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4" fontId="13" fillId="5" borderId="2" xfId="0" applyNumberFormat="1" applyFont="1" applyFill="1" applyBorder="1" applyAlignment="1" applyProtection="1">
      <alignment horizontal="general" vertical="bottom" textRotation="0" indent="0" readingOrder="0"/>
      <protection locked="1"/>
    </xf>
    <xf numFmtId="167" fontId="14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7" fontId="9" fillId="8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5" fontId="14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5" fontId="9" fillId="8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5" fillId="6" borderId="1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5" fontId="7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7" fontId="5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7" fontId="7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7" fontId="7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5" fontId="7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8" fontId="5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9" fillId="5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7" fontId="3" fillId="4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8" fontId="9" fillId="8" borderId="5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6" fillId="5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10" fillId="3" borderId="4" xfId="0" applyNumberFormat="1" applyFont="1" applyFill="1" applyBorder="1" applyAlignment="1" applyProtection="1">
      <alignment horizontal="general" vertical="top" textRotation="0" wrapText="1" indent="0" readingOrder="0"/>
      <protection locked="1"/>
    </xf>
    <xf numFmtId="164" fontId="15" fillId="3" borderId="4" xfId="0" applyNumberFormat="1" applyFont="1" applyFill="1" applyBorder="1" applyAlignment="1" applyProtection="1">
      <alignment horizontal="general" vertical="top" textRotation="0" wrapText="1" indent="0" readingOrder="0"/>
      <protection locked="1"/>
    </xf>
    <xf numFmtId="164" fontId="16" fillId="2" borderId="1" xfId="0" applyNumberFormat="1" applyFont="1" applyFill="1" applyBorder="1" applyAlignment="1" applyProtection="1">
      <alignment horizontal="general" vertical="bottom" textRotation="0" indent="0" readingOrder="0"/>
      <protection locked="1"/>
    </xf>
    <xf numFmtId="164" fontId="17" fillId="6" borderId="1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4" fontId="18" fillId="4" borderId="6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4" fontId="19" fillId="0" borderId="4" xfId="0" applyNumberFormat="1" applyFont="1" applyBorder="1" applyAlignment="1" applyProtection="1">
      <alignment horizontal="general" vertical="top" textRotation="0" wrapText="1" indent="0" readingOrder="0"/>
      <protection locked="1"/>
    </xf>
    <xf numFmtId="165" fontId="19" fillId="0" borderId="4" xfId="0" applyNumberFormat="1" applyFont="1" applyBorder="1" applyAlignment="1" applyProtection="1">
      <alignment horizontal="general" vertical="top" textRotation="0" wrapText="1" indent="0" readingOrder="0"/>
      <protection locked="1"/>
    </xf>
    <xf numFmtId="165" fontId="20" fillId="0" borderId="4" xfId="0" applyNumberFormat="1" applyFont="1" applyBorder="1" applyAlignment="1" applyProtection="1">
      <alignment horizontal="general" vertical="top" textRotation="0" wrapText="1" indent="0" readingOrder="0"/>
      <protection locked="1"/>
    </xf>
    <xf numFmtId="167" fontId="21" fillId="9" borderId="4" xfId="0" applyNumberFormat="1" applyFont="1" applyFill="1" applyBorder="1" applyAlignment="1" applyProtection="1">
      <alignment horizontal="general" vertical="top" textRotation="0" wrapText="1" indent="0" readingOrder="0"/>
      <protection locked="1"/>
    </xf>
    <xf numFmtId="167" fontId="20" fillId="0" borderId="4" xfId="0" applyNumberFormat="1" applyFont="1" applyBorder="1" applyAlignment="1" applyProtection="1">
      <alignment horizontal="general" vertical="top" textRotation="0" wrapText="1" indent="0" readingOrder="0"/>
      <protection locked="1"/>
    </xf>
    <xf numFmtId="164" fontId="22" fillId="6" borderId="1" xfId="0" applyNumberFormat="1" applyFont="1" applyFill="1" applyBorder="1" applyAlignment="1" applyProtection="1">
      <alignment horizontal="general" vertical="bottom" textRotation="0" indent="0" readingOrder="0"/>
      <protection locked="1"/>
    </xf>
    <xf numFmtId="167" fontId="19" fillId="0" borderId="4" xfId="0" applyNumberFormat="1" applyFont="1" applyBorder="1" applyAlignment="1" applyProtection="1">
      <alignment horizontal="general" vertical="top" textRotation="0" wrapText="1" indent="0" readingOrder="0"/>
      <protection locked="1"/>
    </xf>
    <xf numFmtId="169" fontId="20" fillId="0" borderId="4" xfId="0" applyNumberFormat="1" applyFont="1" applyBorder="1" applyAlignment="1" applyProtection="1">
      <alignment horizontal="general" vertical="top" textRotation="0" wrapText="1" indent="0" readingOrder="0"/>
      <protection locked="1"/>
    </xf>
    <xf numFmtId="164" fontId="20" fillId="0" borderId="4" xfId="0" applyNumberFormat="1" applyFont="1" applyBorder="1" applyAlignment="1" applyProtection="1">
      <alignment horizontal="general" vertical="top" textRotation="0" wrapText="1" indent="0" readingOrder="0"/>
      <protection locked="1"/>
    </xf>
    <xf numFmtId="170" fontId="5" fillId="3" borderId="2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6" fillId="5" borderId="2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0" fontId="23" fillId="0" borderId="1" xfId="0" applyFont="1" applyFill="1" applyBorder="1" applyAlignment="1" applyProtection="1">
      <alignment vertical="top" textRotation="0" indent="0"/>
      <protection locked="1" hidden="0"/>
    </xf>
    <xf numFmtId="0" fontId="24" fillId="0" borderId="1" xfId="0" applyFont="1" applyFill="1" applyBorder="1" applyProtection="1">
      <protection locked="1" hidden="0"/>
    </xf>
    <xf numFmtId="171" fontId="23" fillId="0" borderId="1" xfId="0" applyNumberFormat="1" applyFont="1" applyFill="1" applyBorder="1" applyAlignment="1" applyProtection="1">
      <alignment vertical="top" textRotation="0" indent="0"/>
      <protection locked="1" hidden="0"/>
    </xf>
  </cellXfs>
  <cellStyles count="1">
    <cellStyle name="Normal" xfId="0" builtinId="0"/>
  </cellStyles>
  <dxfs count="28"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4C6E7"/>
      <rgbColor rgb="FF595959"/>
      <rgbColor rgb="FF9999FF"/>
      <rgbColor rgb="FF993366"/>
      <rgbColor rgb="FFFFF2CC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EAF2F8"/>
      <rgbColor rgb="FFD9E2F3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70AD47"/>
      <rgbColor rgb="FF17365D"/>
      <rgbColor rgb="FF339966"/>
      <rgbColor rgb="FF006100"/>
      <rgbColor rgb="FF333300"/>
      <rgbColor rgb="FF9C6500"/>
      <rgbColor rgb="FF993366"/>
      <rgbColor rgb="FF1F4E78"/>
      <rgbColor rgb="FF1F1F1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4"/>
  <sheetViews>
    <sheetView showGridLines="0" tabSelected="1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28" style="1" customWidth="1"/>
    <col min="2" max="2" width="88" style="1" customWidth="1"/>
    <col min="3" max="8" width="12" style="1" customWidth="1"/>
  </cols>
  <sheetData>
    <row r="1" ht="26" hidden="0" outlineLevel="0" collapsed="0">
      <c r="A1" s="2" t="s">
        <v>0</v>
      </c>
      <c r="B1" s="2"/>
      <c r="C1" s="2"/>
      <c r="D1" s="2"/>
      <c r="E1" s="2"/>
      <c r="F1" s="2"/>
      <c r="G1" s="2"/>
      <c r="H1" s="2"/>
    </row>
    <row r="2" ht="32" hidden="0" outlineLevel="0" collapsed="0">
      <c r="A2" s="3" t="s">
        <v>1</v>
      </c>
      <c r="B2" s="3"/>
      <c r="C2" s="3"/>
      <c r="D2" s="3"/>
      <c r="E2" s="3"/>
      <c r="F2" s="3"/>
      <c r="G2" s="3"/>
      <c r="H2" s="3"/>
    </row>
    <row r="3" hidden="0" outlineLevel="0" collapsed="0">
      <c r="A3" s="4"/>
      <c r="B3" s="4"/>
      <c r="C3" s="4"/>
      <c r="D3" s="4"/>
      <c r="E3" s="4"/>
      <c r="F3" s="4"/>
      <c r="G3" s="4"/>
      <c r="H3" s="4"/>
    </row>
    <row r="4" hidden="0" outlineLevel="0" collapsed="0">
      <c r="A4" s="5" t="s">
        <v>2</v>
      </c>
      <c r="B4" s="5" t="s">
        <v>3</v>
      </c>
      <c r="C4" s="4"/>
      <c r="D4" s="4"/>
      <c r="E4" s="4"/>
      <c r="F4" s="4"/>
      <c r="G4" s="4"/>
      <c r="H4" s="4"/>
    </row>
    <row r="5" ht="26" hidden="0" outlineLevel="0" collapsed="0">
      <c r="A5" s="6" t="s">
        <v>4</v>
      </c>
      <c r="B5" s="6" t="s">
        <v>5</v>
      </c>
      <c r="C5" s="4"/>
      <c r="D5" s="4"/>
      <c r="E5" s="4"/>
      <c r="F5" s="4"/>
      <c r="G5" s="4"/>
      <c r="H5" s="4"/>
    </row>
    <row r="6" ht="26" hidden="0" outlineLevel="0" collapsed="0">
      <c r="A6" s="6" t="s">
        <v>6</v>
      </c>
      <c r="B6" s="6" t="s">
        <v>7</v>
      </c>
      <c r="C6" s="4"/>
      <c r="D6" s="4"/>
      <c r="E6" s="4"/>
      <c r="F6" s="4"/>
      <c r="G6" s="4"/>
      <c r="H6" s="4"/>
    </row>
    <row r="7" ht="26" hidden="0" outlineLevel="0" collapsed="0">
      <c r="A7" s="6" t="s">
        <v>8</v>
      </c>
      <c r="B7" s="7" t="str">
        <f>'9_10_Blockers'!$B$16</f>
        <v>PENDING INDEPENDENT 9/10 REVIEW</v>
      </c>
      <c r="C7" s="4"/>
      <c r="D7" s="4"/>
      <c r="E7" s="4"/>
      <c r="F7" s="4"/>
      <c r="G7" s="4"/>
      <c r="H7" s="4"/>
    </row>
    <row r="8" ht="26" hidden="0" outlineLevel="0" collapsed="0">
      <c r="A8" s="6" t="s">
        <v>9</v>
      </c>
      <c r="B8" s="6" t="s">
        <v>10</v>
      </c>
      <c r="C8" s="4"/>
      <c r="D8" s="4"/>
      <c r="E8" s="4"/>
      <c r="F8" s="4"/>
      <c r="G8" s="4"/>
      <c r="H8" s="4"/>
    </row>
    <row r="9" ht="26" hidden="0" outlineLevel="0" collapsed="0">
      <c r="A9" s="6" t="s">
        <v>11</v>
      </c>
      <c r="B9" s="6" t="s">
        <v>12</v>
      </c>
      <c r="C9" s="4"/>
      <c r="D9" s="4"/>
      <c r="E9" s="4"/>
      <c r="F9" s="4"/>
      <c r="G9" s="4"/>
      <c r="H9" s="4"/>
    </row>
    <row r="10" ht="26" hidden="0" outlineLevel="0" collapsed="0">
      <c r="A10" s="6" t="s">
        <v>13</v>
      </c>
      <c r="B10" s="6" t="s">
        <v>14</v>
      </c>
      <c r="C10" s="4"/>
      <c r="D10" s="4"/>
      <c r="E10" s="4"/>
      <c r="F10" s="4"/>
      <c r="G10" s="4"/>
      <c r="H10" s="4"/>
    </row>
    <row r="11" ht="26" hidden="0" outlineLevel="0" collapsed="0">
      <c r="A11" s="6" t="s">
        <v>15</v>
      </c>
      <c r="B11" s="8" t="str">
        <f>CHOOSE(Assumptions!$B$3,"Base","Bull","Bear")</f>
        <v>Base</v>
      </c>
      <c r="C11" s="4"/>
      <c r="D11" s="4"/>
      <c r="E11" s="4"/>
      <c r="F11" s="4"/>
      <c r="G11" s="4"/>
      <c r="H11" s="4"/>
    </row>
    <row r="12" ht="26" hidden="0" outlineLevel="0" collapsed="0">
      <c r="A12" s="6" t="s">
        <v>16</v>
      </c>
      <c r="B12" s="6" t="s">
        <v>17</v>
      </c>
      <c r="C12" s="4"/>
      <c r="D12" s="4"/>
      <c r="E12" s="4"/>
      <c r="F12" s="4"/>
      <c r="G12" s="4"/>
      <c r="H12" s="4"/>
    </row>
    <row r="13" ht="26" hidden="0" outlineLevel="0" collapsed="0">
      <c r="A13" s="6" t="s">
        <v>18</v>
      </c>
      <c r="B13" s="6" t="s">
        <v>19</v>
      </c>
      <c r="C13" s="4"/>
      <c r="D13" s="4"/>
      <c r="E13" s="4"/>
      <c r="F13" s="4"/>
      <c r="G13" s="4"/>
      <c r="H13" s="4"/>
    </row>
    <row r="14" ht="26" hidden="0" outlineLevel="0" collapsed="0">
      <c r="A14" s="6" t="s">
        <v>20</v>
      </c>
      <c r="B14" s="6" t="s">
        <v>21</v>
      </c>
      <c r="C14" s="4"/>
      <c r="D14" s="4"/>
      <c r="E14" s="4"/>
      <c r="F14" s="4"/>
      <c r="G14" s="4"/>
      <c r="H14" s="4"/>
    </row>
    <row r="15" ht="26" hidden="0" outlineLevel="0" collapsed="0">
      <c r="A15" s="9" t="s">
        <v>22</v>
      </c>
      <c r="B15" s="9" t="s">
        <v>23</v>
      </c>
      <c r="C15" s="9"/>
      <c r="D15" s="9"/>
      <c r="E15" s="9"/>
      <c r="F15" s="9"/>
      <c r="G15" s="9"/>
      <c r="H15" s="9"/>
    </row>
    <row r="16" ht="26" hidden="0" outlineLevel="0" collapsed="0">
      <c r="A16" s="6" t="s">
        <v>24</v>
      </c>
      <c r="B16" s="6" t="s">
        <v>25</v>
      </c>
      <c r="C16" s="4"/>
      <c r="D16" s="4"/>
      <c r="E16" s="4"/>
      <c r="F16" s="4"/>
      <c r="G16" s="4"/>
      <c r="H16" s="4"/>
    </row>
    <row r="17" hidden="0" outlineLevel="0" collapsed="0">
      <c r="A17" s="4"/>
      <c r="B17" s="4"/>
      <c r="C17" s="4"/>
      <c r="D17" s="4"/>
      <c r="E17" s="4"/>
      <c r="F17" s="4"/>
      <c r="G17" s="4"/>
      <c r="H17" s="4"/>
    </row>
    <row r="18" hidden="0" outlineLevel="0" collapsed="0">
      <c r="A18" s="10" t="s">
        <v>26</v>
      </c>
      <c r="B18" s="10"/>
      <c r="C18" s="10"/>
      <c r="D18" s="10"/>
      <c r="E18" s="10"/>
      <c r="F18" s="10"/>
      <c r="G18" s="10"/>
      <c r="H18" s="10"/>
    </row>
    <row r="19" hidden="0" outlineLevel="0" collapsed="0">
      <c r="A19" s="10"/>
      <c r="B19" s="10"/>
      <c r="C19" s="10"/>
      <c r="D19" s="10"/>
      <c r="E19" s="10"/>
      <c r="F19" s="10"/>
      <c r="G19" s="10"/>
      <c r="H19" s="10"/>
    </row>
    <row r="20" hidden="0" outlineLevel="0" collapsed="0">
      <c r="A20" s="4"/>
      <c r="B20" s="4"/>
      <c r="C20" s="4"/>
      <c r="D20" s="4"/>
      <c r="E20" s="4"/>
      <c r="F20" s="4"/>
      <c r="G20" s="4"/>
      <c r="H20" s="4"/>
    </row>
    <row r="21" hidden="0" outlineLevel="0" collapsed="0">
      <c r="A21" s="4"/>
      <c r="B21" s="4"/>
      <c r="C21" s="4"/>
      <c r="D21" s="4"/>
      <c r="E21" s="4"/>
      <c r="F21" s="4"/>
      <c r="G21" s="4"/>
      <c r="H21" s="4"/>
    </row>
    <row r="22" hidden="0" outlineLevel="0" collapsed="0">
      <c r="A22" s="4"/>
      <c r="B22" s="4"/>
      <c r="C22" s="4"/>
      <c r="D22" s="4"/>
      <c r="E22" s="4"/>
      <c r="F22" s="4"/>
      <c r="G22" s="4"/>
      <c r="H22" s="4"/>
    </row>
    <row r="23" hidden="0" outlineLevel="0" collapsed="0">
      <c r="A23" s="4"/>
      <c r="B23" s="4"/>
      <c r="C23" s="4"/>
      <c r="D23" s="4"/>
      <c r="E23" s="4"/>
      <c r="F23" s="4"/>
      <c r="G23" s="4"/>
      <c r="H23" s="4"/>
    </row>
    <row r="24" hidden="0" outlineLevel="0" collapsed="0">
      <c r="A24" s="4"/>
      <c r="B24" s="4"/>
      <c r="C24" s="4"/>
      <c r="D24" s="4"/>
      <c r="E24" s="4"/>
      <c r="F24" s="4"/>
      <c r="G24" s="4"/>
      <c r="H24" s="4"/>
    </row>
  </sheetData>
  <mergeCells count="4">
    <mergeCell ref="A1:H1"/>
    <mergeCell ref="A2:H2"/>
    <mergeCell ref="A15:H15"/>
    <mergeCell ref="A18:H19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P227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8" style="1" customWidth="1"/>
    <col min="2" max="2" width="26" style="1" customWidth="1"/>
    <col min="3" max="3" width="16" style="1" customWidth="1"/>
    <col min="4" max="4" width="14" style="1" customWidth="1"/>
    <col min="5" max="5" width="16" style="1" customWidth="1"/>
    <col min="6" max="6" width="32" style="1" customWidth="1"/>
    <col min="7" max="7" width="24" style="1" customWidth="1"/>
    <col min="8" max="8" width="58" style="1" customWidth="1"/>
    <col min="9" max="9" width="46" style="1" customWidth="1"/>
    <col min="10" max="10" width="14" style="1" customWidth="1"/>
    <col min="11" max="11" width="24" style="1" customWidth="1"/>
    <col min="12" max="12" width="40" style="1" customWidth="1"/>
    <col min="13" max="13" width="20" style="1" customWidth="1"/>
    <col min="14" max="14" width="50" style="1" customWidth="1"/>
    <col min="15" max="15" width="12" style="1" customWidth="1"/>
    <col min="16" max="16" width="16" style="1" customWidth="1"/>
  </cols>
  <sheetData>
    <row r="1" ht="26" hidden="0" outlineLevel="0" collapsed="0">
      <c r="A1" s="2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32" hidden="0" outlineLevel="0" collapsed="0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idden="0" outlineLevel="0" collapsed="0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idden="0" outlineLevel="0" collapsed="0">
      <c r="A4" s="5" t="s">
        <v>29</v>
      </c>
      <c r="B4" s="5" t="s">
        <v>30</v>
      </c>
      <c r="C4" s="5" t="s">
        <v>31</v>
      </c>
      <c r="D4" s="5" t="s">
        <v>3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41</v>
      </c>
      <c r="O4" s="5" t="s">
        <v>42</v>
      </c>
      <c r="P4" s="5" t="s">
        <v>43</v>
      </c>
    </row>
    <row r="5" ht="52" hidden="0" outlineLevel="0" collapsed="0">
      <c r="A5" s="6" t="s">
        <v>44</v>
      </c>
      <c r="B5" s="6" t="s">
        <v>45</v>
      </c>
      <c r="C5" s="6" t="s">
        <v>46</v>
      </c>
      <c r="D5" s="11">
        <v>21234</v>
      </c>
      <c r="E5" s="6" t="s">
        <v>47</v>
      </c>
      <c r="F5" s="6" t="s">
        <v>48</v>
      </c>
      <c r="G5" s="6" t="s">
        <v>49</v>
      </c>
      <c r="H5" s="6" t="s">
        <v>50</v>
      </c>
      <c r="I5" s="6" t="s">
        <v>51</v>
      </c>
      <c r="J5" s="6" t="s">
        <v>52</v>
      </c>
      <c r="K5" s="6" t="s">
        <v>53</v>
      </c>
      <c r="L5" s="6" t="s">
        <v>54</v>
      </c>
      <c r="M5" s="6" t="s">
        <v>55</v>
      </c>
      <c r="N5" s="6" t="s">
        <v>56</v>
      </c>
      <c r="O5" s="6" t="s">
        <v>57</v>
      </c>
      <c r="P5" s="12" t="str">
        <f>IF(O5&lt;&gt;"Yes","N/A",IF(M5="Not disclosed","BLOCKED",IF(AND(H5&lt;&gt;"",I5&lt;&gt;"",K5&lt;&gt;"",M5&lt;&gt;""),"MAPPED","MISSING")))</f>
        <v>MAPPED</v>
      </c>
    </row>
    <row r="6" ht="52" hidden="0" outlineLevel="0" collapsed="0">
      <c r="A6" s="6" t="s">
        <v>58</v>
      </c>
      <c r="B6" s="6" t="s">
        <v>45</v>
      </c>
      <c r="C6" s="6" t="s">
        <v>59</v>
      </c>
      <c r="D6" s="11">
        <v>22511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60</v>
      </c>
      <c r="J6" s="6" t="s">
        <v>52</v>
      </c>
      <c r="K6" s="6" t="s">
        <v>61</v>
      </c>
      <c r="L6" s="6" t="s">
        <v>54</v>
      </c>
      <c r="M6" s="6" t="s">
        <v>55</v>
      </c>
      <c r="N6" s="6" t="s">
        <v>56</v>
      </c>
      <c r="O6" s="6" t="s">
        <v>57</v>
      </c>
      <c r="P6" s="12" t="str">
        <f>IF(O6&lt;&gt;"Yes","N/A",IF(M6="Not disclosed","BLOCKED",IF(AND(H6&lt;&gt;"",I6&lt;&gt;"",K6&lt;&gt;"",M6&lt;&gt;""),"MAPPED","MISSING")))</f>
        <v>MAPPED</v>
      </c>
    </row>
    <row r="7" ht="52" hidden="0" outlineLevel="0" collapsed="0">
      <c r="A7" s="6" t="s">
        <v>62</v>
      </c>
      <c r="B7" s="6" t="s">
        <v>45</v>
      </c>
      <c r="C7" s="6" t="s">
        <v>63</v>
      </c>
      <c r="D7" s="11">
        <v>21427</v>
      </c>
      <c r="E7" s="6" t="s">
        <v>47</v>
      </c>
      <c r="F7" s="6" t="s">
        <v>64</v>
      </c>
      <c r="G7" s="6" t="s">
        <v>49</v>
      </c>
      <c r="H7" s="6" t="s">
        <v>65</v>
      </c>
      <c r="I7" s="6" t="s">
        <v>66</v>
      </c>
      <c r="J7" s="6" t="s">
        <v>52</v>
      </c>
      <c r="K7" s="6" t="s">
        <v>67</v>
      </c>
      <c r="L7" s="6" t="s">
        <v>54</v>
      </c>
      <c r="M7" s="6" t="s">
        <v>55</v>
      </c>
      <c r="N7" s="6" t="s">
        <v>56</v>
      </c>
      <c r="O7" s="6" t="s">
        <v>57</v>
      </c>
      <c r="P7" s="12" t="str">
        <f>IF(O7&lt;&gt;"Yes","N/A",IF(M7="Not disclosed","BLOCKED",IF(AND(H7&lt;&gt;"",I7&lt;&gt;"",K7&lt;&gt;"",M7&lt;&gt;""),"MAPPED","MISSING")))</f>
        <v>MAPPED</v>
      </c>
    </row>
    <row r="8" ht="52" hidden="0" outlineLevel="0" collapsed="0">
      <c r="A8" s="6" t="s">
        <v>68</v>
      </c>
      <c r="B8" s="6" t="s">
        <v>45</v>
      </c>
      <c r="C8" s="6" t="s">
        <v>69</v>
      </c>
      <c r="D8" s="11">
        <v>23683</v>
      </c>
      <c r="E8" s="6" t="s">
        <v>47</v>
      </c>
      <c r="F8" s="6" t="s">
        <v>70</v>
      </c>
      <c r="G8" s="6" t="s">
        <v>49</v>
      </c>
      <c r="H8" s="6" t="s">
        <v>71</v>
      </c>
      <c r="I8" s="6" t="s">
        <v>72</v>
      </c>
      <c r="J8" s="6" t="s">
        <v>52</v>
      </c>
      <c r="K8" s="6" t="s">
        <v>73</v>
      </c>
      <c r="L8" s="6" t="s">
        <v>54</v>
      </c>
      <c r="M8" s="6" t="s">
        <v>55</v>
      </c>
      <c r="N8" s="6" t="s">
        <v>56</v>
      </c>
      <c r="O8" s="6" t="s">
        <v>57</v>
      </c>
      <c r="P8" s="12" t="str">
        <f>IF(O8&lt;&gt;"Yes","N/A",IF(M8="Not disclosed","BLOCKED",IF(AND(H8&lt;&gt;"",I8&lt;&gt;"",K8&lt;&gt;"",M8&lt;&gt;""),"MAPPED","MISSING")))</f>
        <v>MAPPED</v>
      </c>
    </row>
    <row r="9" ht="52" hidden="0" outlineLevel="0" collapsed="0">
      <c r="A9" s="6" t="s">
        <v>74</v>
      </c>
      <c r="B9" s="6" t="s">
        <v>45</v>
      </c>
      <c r="C9" s="6" t="s">
        <v>75</v>
      </c>
      <c r="D9" s="11">
        <v>24811</v>
      </c>
      <c r="E9" s="6" t="s">
        <v>47</v>
      </c>
      <c r="F9" s="6" t="s">
        <v>70</v>
      </c>
      <c r="G9" s="6" t="s">
        <v>49</v>
      </c>
      <c r="H9" s="6" t="s">
        <v>71</v>
      </c>
      <c r="I9" s="6" t="s">
        <v>76</v>
      </c>
      <c r="J9" s="6" t="s">
        <v>52</v>
      </c>
      <c r="K9" s="6" t="s">
        <v>77</v>
      </c>
      <c r="L9" s="6" t="s">
        <v>54</v>
      </c>
      <c r="M9" s="6" t="s">
        <v>55</v>
      </c>
      <c r="N9" s="6" t="s">
        <v>56</v>
      </c>
      <c r="O9" s="6" t="s">
        <v>57</v>
      </c>
      <c r="P9" s="12" t="str">
        <f>IF(O9&lt;&gt;"Yes","N/A",IF(M9="Not disclosed","BLOCKED",IF(AND(H9&lt;&gt;"",I9&lt;&gt;"",K9&lt;&gt;"",M9&lt;&gt;""),"MAPPED","MISSING")))</f>
        <v>MAPPED</v>
      </c>
    </row>
    <row r="10" ht="52" hidden="0" outlineLevel="0" collapsed="0">
      <c r="A10" s="6" t="s">
        <v>78</v>
      </c>
      <c r="B10" s="6" t="s">
        <v>79</v>
      </c>
      <c r="C10" s="6" t="s">
        <v>46</v>
      </c>
      <c r="D10" s="11">
        <v>10765</v>
      </c>
      <c r="E10" s="6" t="s">
        <v>47</v>
      </c>
      <c r="F10" s="6" t="s">
        <v>48</v>
      </c>
      <c r="G10" s="6" t="s">
        <v>49</v>
      </c>
      <c r="H10" s="6" t="s">
        <v>50</v>
      </c>
      <c r="I10" s="6" t="s">
        <v>80</v>
      </c>
      <c r="J10" s="6" t="s">
        <v>52</v>
      </c>
      <c r="K10" s="6" t="s">
        <v>81</v>
      </c>
      <c r="L10" s="6" t="s">
        <v>54</v>
      </c>
      <c r="M10" s="6" t="s">
        <v>55</v>
      </c>
      <c r="N10" s="6" t="s">
        <v>56</v>
      </c>
      <c r="O10" s="6" t="s">
        <v>57</v>
      </c>
      <c r="P10" s="12" t="str">
        <f>IF(O10&lt;&gt;"Yes","N/A",IF(M10="Not disclosed","BLOCKED",IF(AND(H10&lt;&gt;"",I10&lt;&gt;"",K10&lt;&gt;"",M10&lt;&gt;""),"MAPPED","MISSING")))</f>
        <v>MAPPED</v>
      </c>
    </row>
    <row r="11" ht="52" hidden="0" outlineLevel="0" collapsed="0">
      <c r="A11" s="6" t="s">
        <v>82</v>
      </c>
      <c r="B11" s="6" t="s">
        <v>79</v>
      </c>
      <c r="C11" s="6" t="s">
        <v>59</v>
      </c>
      <c r="D11" s="11">
        <v>10644</v>
      </c>
      <c r="E11" s="6" t="s">
        <v>47</v>
      </c>
      <c r="F11" s="6" t="s">
        <v>48</v>
      </c>
      <c r="G11" s="6" t="s">
        <v>49</v>
      </c>
      <c r="H11" s="6" t="s">
        <v>50</v>
      </c>
      <c r="I11" s="6" t="s">
        <v>83</v>
      </c>
      <c r="J11" s="6" t="s">
        <v>52</v>
      </c>
      <c r="K11" s="6" t="s">
        <v>84</v>
      </c>
      <c r="L11" s="6" t="s">
        <v>54</v>
      </c>
      <c r="M11" s="6" t="s">
        <v>55</v>
      </c>
      <c r="N11" s="6" t="s">
        <v>56</v>
      </c>
      <c r="O11" s="6" t="s">
        <v>57</v>
      </c>
      <c r="P11" s="12" t="str">
        <f>IF(O11&lt;&gt;"Yes","N/A",IF(M11="Not disclosed","BLOCKED",IF(AND(H11&lt;&gt;"",I11&lt;&gt;"",K11&lt;&gt;"",M11&lt;&gt;""),"MAPPED","MISSING")))</f>
        <v>MAPPED</v>
      </c>
    </row>
    <row r="12" ht="52" hidden="0" outlineLevel="0" collapsed="0">
      <c r="A12" s="6" t="s">
        <v>85</v>
      </c>
      <c r="B12" s="6" t="s">
        <v>79</v>
      </c>
      <c r="C12" s="6" t="s">
        <v>63</v>
      </c>
      <c r="D12" s="11">
        <v>10184</v>
      </c>
      <c r="E12" s="6" t="s">
        <v>47</v>
      </c>
      <c r="F12" s="6" t="s">
        <v>64</v>
      </c>
      <c r="G12" s="6" t="s">
        <v>49</v>
      </c>
      <c r="H12" s="6" t="s">
        <v>65</v>
      </c>
      <c r="I12" s="6" t="s">
        <v>86</v>
      </c>
      <c r="J12" s="6" t="s">
        <v>52</v>
      </c>
      <c r="K12" s="6" t="s">
        <v>87</v>
      </c>
      <c r="L12" s="6" t="s">
        <v>54</v>
      </c>
      <c r="M12" s="6" t="s">
        <v>55</v>
      </c>
      <c r="N12" s="6" t="s">
        <v>56</v>
      </c>
      <c r="O12" s="6" t="s">
        <v>57</v>
      </c>
      <c r="P12" s="12" t="str">
        <f>IF(O12&lt;&gt;"Yes","N/A",IF(M12="Not disclosed","BLOCKED",IF(AND(H12&lt;&gt;"",I12&lt;&gt;"",K12&lt;&gt;"",M12&lt;&gt;""),"MAPPED","MISSING")))</f>
        <v>MAPPED</v>
      </c>
    </row>
    <row r="13" ht="52" hidden="0" outlineLevel="0" collapsed="0">
      <c r="A13" s="6" t="s">
        <v>88</v>
      </c>
      <c r="B13" s="6" t="s">
        <v>79</v>
      </c>
      <c r="C13" s="6" t="s">
        <v>69</v>
      </c>
      <c r="D13" s="11">
        <v>12026</v>
      </c>
      <c r="E13" s="6" t="s">
        <v>47</v>
      </c>
      <c r="F13" s="6" t="s">
        <v>70</v>
      </c>
      <c r="G13" s="6" t="s">
        <v>49</v>
      </c>
      <c r="H13" s="6" t="s">
        <v>71</v>
      </c>
      <c r="I13" s="6" t="s">
        <v>89</v>
      </c>
      <c r="J13" s="6" t="s">
        <v>52</v>
      </c>
      <c r="K13" s="6" t="s">
        <v>90</v>
      </c>
      <c r="L13" s="6" t="s">
        <v>54</v>
      </c>
      <c r="M13" s="6" t="s">
        <v>55</v>
      </c>
      <c r="N13" s="6" t="s">
        <v>56</v>
      </c>
      <c r="O13" s="6" t="s">
        <v>57</v>
      </c>
      <c r="P13" s="12" t="str">
        <f>IF(O13&lt;&gt;"Yes","N/A",IF(M13="Not disclosed","BLOCKED",IF(AND(H13&lt;&gt;"",I13&lt;&gt;"",K13&lt;&gt;"",M13&lt;&gt;""),"MAPPED","MISSING")))</f>
        <v>MAPPED</v>
      </c>
    </row>
    <row r="14" ht="52" hidden="0" outlineLevel="0" collapsed="0">
      <c r="A14" s="6" t="s">
        <v>91</v>
      </c>
      <c r="B14" s="6" t="s">
        <v>79</v>
      </c>
      <c r="C14" s="6" t="s">
        <v>75</v>
      </c>
      <c r="D14" s="11">
        <v>12804</v>
      </c>
      <c r="E14" s="6" t="s">
        <v>47</v>
      </c>
      <c r="F14" s="6" t="s">
        <v>70</v>
      </c>
      <c r="G14" s="6" t="s">
        <v>49</v>
      </c>
      <c r="H14" s="6" t="s">
        <v>71</v>
      </c>
      <c r="I14" s="6" t="s">
        <v>92</v>
      </c>
      <c r="J14" s="6" t="s">
        <v>52</v>
      </c>
      <c r="K14" s="6" t="s">
        <v>93</v>
      </c>
      <c r="L14" s="6" t="s">
        <v>54</v>
      </c>
      <c r="M14" s="6" t="s">
        <v>55</v>
      </c>
      <c r="N14" s="6" t="s">
        <v>56</v>
      </c>
      <c r="O14" s="6" t="s">
        <v>57</v>
      </c>
      <c r="P14" s="12" t="str">
        <f>IF(O14&lt;&gt;"Yes","N/A",IF(M14="Not disclosed","BLOCKED",IF(AND(H14&lt;&gt;"",I14&lt;&gt;"",K14&lt;&gt;"",M14&lt;&gt;""),"MAPPED","MISSING")))</f>
        <v>MAPPED</v>
      </c>
    </row>
    <row r="15" ht="52" hidden="0" outlineLevel="0" collapsed="0">
      <c r="A15" s="6" t="s">
        <v>94</v>
      </c>
      <c r="B15" s="6" t="s">
        <v>95</v>
      </c>
      <c r="C15" s="6" t="s">
        <v>46</v>
      </c>
      <c r="D15" s="11">
        <v>1986</v>
      </c>
      <c r="E15" s="6" t="s">
        <v>47</v>
      </c>
      <c r="F15" s="6" t="s">
        <v>48</v>
      </c>
      <c r="G15" s="6" t="s">
        <v>49</v>
      </c>
      <c r="H15" s="6" t="s">
        <v>50</v>
      </c>
      <c r="I15" s="6" t="s">
        <v>96</v>
      </c>
      <c r="J15" s="6" t="s">
        <v>52</v>
      </c>
      <c r="K15" s="6" t="s">
        <v>97</v>
      </c>
      <c r="L15" s="6" t="s">
        <v>54</v>
      </c>
      <c r="M15" s="6" t="s">
        <v>55</v>
      </c>
      <c r="N15" s="6" t="s">
        <v>56</v>
      </c>
      <c r="O15" s="6" t="s">
        <v>57</v>
      </c>
      <c r="P15" s="12" t="str">
        <f>IF(O15&lt;&gt;"Yes","N/A",IF(M15="Not disclosed","BLOCKED",IF(AND(H15&lt;&gt;"",I15&lt;&gt;"",K15&lt;&gt;"",M15&lt;&gt;""),"MAPPED","MISSING")))</f>
        <v>MAPPED</v>
      </c>
    </row>
    <row r="16" ht="52" hidden="0" outlineLevel="0" collapsed="0">
      <c r="A16" s="6" t="s">
        <v>98</v>
      </c>
      <c r="B16" s="6" t="s">
        <v>95</v>
      </c>
      <c r="C16" s="6" t="s">
        <v>59</v>
      </c>
      <c r="D16" s="11">
        <v>669</v>
      </c>
      <c r="E16" s="6" t="s">
        <v>47</v>
      </c>
      <c r="F16" s="6" t="s">
        <v>48</v>
      </c>
      <c r="G16" s="6" t="s">
        <v>49</v>
      </c>
      <c r="H16" s="6" t="s">
        <v>50</v>
      </c>
      <c r="I16" s="6" t="s">
        <v>99</v>
      </c>
      <c r="J16" s="6" t="s">
        <v>52</v>
      </c>
      <c r="K16" s="6" t="s">
        <v>100</v>
      </c>
      <c r="L16" s="6" t="s">
        <v>54</v>
      </c>
      <c r="M16" s="6" t="s">
        <v>55</v>
      </c>
      <c r="N16" s="6" t="s">
        <v>56</v>
      </c>
      <c r="O16" s="6" t="s">
        <v>57</v>
      </c>
      <c r="P16" s="12" t="str">
        <f>IF(O16&lt;&gt;"Yes","N/A",IF(M16="Not disclosed","BLOCKED",IF(AND(H16&lt;&gt;"",I16&lt;&gt;"",K16&lt;&gt;"",M16&lt;&gt;""),"MAPPED","MISSING")))</f>
        <v>MAPPED</v>
      </c>
    </row>
    <row r="17" ht="52" hidden="0" outlineLevel="0" collapsed="0">
      <c r="A17" s="6" t="s">
        <v>101</v>
      </c>
      <c r="B17" s="6" t="s">
        <v>95</v>
      </c>
      <c r="C17" s="6" t="s">
        <v>63</v>
      </c>
      <c r="D17" s="11">
        <v>268</v>
      </c>
      <c r="E17" s="6" t="s">
        <v>47</v>
      </c>
      <c r="F17" s="6" t="s">
        <v>64</v>
      </c>
      <c r="G17" s="6" t="s">
        <v>49</v>
      </c>
      <c r="H17" s="6" t="s">
        <v>65</v>
      </c>
      <c r="I17" s="6" t="s">
        <v>102</v>
      </c>
      <c r="J17" s="6" t="s">
        <v>52</v>
      </c>
      <c r="K17" s="6" t="s">
        <v>103</v>
      </c>
      <c r="L17" s="6" t="s">
        <v>54</v>
      </c>
      <c r="M17" s="6" t="s">
        <v>55</v>
      </c>
      <c r="N17" s="6" t="s">
        <v>56</v>
      </c>
      <c r="O17" s="6" t="s">
        <v>57</v>
      </c>
      <c r="P17" s="12" t="str">
        <f>IF(O17&lt;&gt;"Yes","N/A",IF(M17="Not disclosed","BLOCKED",IF(AND(H17&lt;&gt;"",I17&lt;&gt;"",K17&lt;&gt;"",M17&lt;&gt;""),"MAPPED","MISSING")))</f>
        <v>MAPPED</v>
      </c>
    </row>
    <row r="18" ht="52" hidden="0" outlineLevel="0" collapsed="0">
      <c r="A18" s="6" t="s">
        <v>104</v>
      </c>
      <c r="B18" s="6" t="s">
        <v>95</v>
      </c>
      <c r="C18" s="6" t="s">
        <v>69</v>
      </c>
      <c r="D18" s="11">
        <v>1337</v>
      </c>
      <c r="E18" s="6" t="s">
        <v>47</v>
      </c>
      <c r="F18" s="6" t="s">
        <v>70</v>
      </c>
      <c r="G18" s="6" t="s">
        <v>49</v>
      </c>
      <c r="H18" s="6" t="s">
        <v>71</v>
      </c>
      <c r="I18" s="6" t="s">
        <v>105</v>
      </c>
      <c r="J18" s="6" t="s">
        <v>52</v>
      </c>
      <c r="K18" s="6" t="s">
        <v>106</v>
      </c>
      <c r="L18" s="6" t="s">
        <v>54</v>
      </c>
      <c r="M18" s="6" t="s">
        <v>55</v>
      </c>
      <c r="N18" s="6" t="s">
        <v>56</v>
      </c>
      <c r="O18" s="6" t="s">
        <v>57</v>
      </c>
      <c r="P18" s="12" t="str">
        <f>IF(O18&lt;&gt;"Yes","N/A",IF(M18="Not disclosed","BLOCKED",IF(AND(H18&lt;&gt;"",I18&lt;&gt;"",K18&lt;&gt;"",M18&lt;&gt;""),"MAPPED","MISSING")))</f>
        <v>MAPPED</v>
      </c>
    </row>
    <row r="19" ht="52" hidden="0" outlineLevel="0" collapsed="0">
      <c r="A19" s="6" t="s">
        <v>107</v>
      </c>
      <c r="B19" s="6" t="s">
        <v>95</v>
      </c>
      <c r="C19" s="6" t="s">
        <v>75</v>
      </c>
      <c r="D19" s="11">
        <v>2056</v>
      </c>
      <c r="E19" s="6" t="s">
        <v>47</v>
      </c>
      <c r="F19" s="6" t="s">
        <v>70</v>
      </c>
      <c r="G19" s="6" t="s">
        <v>49</v>
      </c>
      <c r="H19" s="6" t="s">
        <v>71</v>
      </c>
      <c r="I19" s="6" t="s">
        <v>108</v>
      </c>
      <c r="J19" s="6" t="s">
        <v>52</v>
      </c>
      <c r="K19" s="6" t="s">
        <v>109</v>
      </c>
      <c r="L19" s="6" t="s">
        <v>54</v>
      </c>
      <c r="M19" s="6" t="s">
        <v>55</v>
      </c>
      <c r="N19" s="6" t="s">
        <v>56</v>
      </c>
      <c r="O19" s="6" t="s">
        <v>57</v>
      </c>
      <c r="P19" s="12" t="str">
        <f>IF(O19&lt;&gt;"Yes","N/A",IF(M19="Not disclosed","BLOCKED",IF(AND(H19&lt;&gt;"",I19&lt;&gt;"",K19&lt;&gt;"",M19&lt;&gt;""),"MAPPED","MISSING")))</f>
        <v>MAPPED</v>
      </c>
    </row>
    <row r="20" ht="52" hidden="0" outlineLevel="0" collapsed="0">
      <c r="A20" s="6" t="s">
        <v>110</v>
      </c>
      <c r="B20" s="6" t="s">
        <v>111</v>
      </c>
      <c r="C20" s="6" t="s">
        <v>46</v>
      </c>
      <c r="D20" s="11">
        <v>2116</v>
      </c>
      <c r="E20" s="6" t="s">
        <v>47</v>
      </c>
      <c r="F20" s="6" t="s">
        <v>48</v>
      </c>
      <c r="G20" s="6" t="s">
        <v>49</v>
      </c>
      <c r="H20" s="6" t="s">
        <v>50</v>
      </c>
      <c r="I20" s="6" t="s">
        <v>112</v>
      </c>
      <c r="J20" s="6" t="s">
        <v>52</v>
      </c>
      <c r="K20" s="6" t="s">
        <v>113</v>
      </c>
      <c r="L20" s="6" t="s">
        <v>54</v>
      </c>
      <c r="M20" s="6" t="s">
        <v>55</v>
      </c>
      <c r="N20" s="6" t="s">
        <v>56</v>
      </c>
      <c r="O20" s="6" t="s">
        <v>57</v>
      </c>
      <c r="P20" s="12" t="str">
        <f>IF(O20&lt;&gt;"Yes","N/A",IF(M20="Not disclosed","BLOCKED",IF(AND(H20&lt;&gt;"",I20&lt;&gt;"",K20&lt;&gt;"",M20&lt;&gt;""),"MAPPED","MISSING")))</f>
        <v>MAPPED</v>
      </c>
    </row>
    <row r="21" ht="52" hidden="0" outlineLevel="0" collapsed="0">
      <c r="A21" s="6" t="s">
        <v>114</v>
      </c>
      <c r="B21" s="6" t="s">
        <v>111</v>
      </c>
      <c r="C21" s="6" t="s">
        <v>59</v>
      </c>
      <c r="D21" s="11">
        <v>612</v>
      </c>
      <c r="E21" s="6" t="s">
        <v>47</v>
      </c>
      <c r="F21" s="6" t="s">
        <v>48</v>
      </c>
      <c r="G21" s="6" t="s">
        <v>49</v>
      </c>
      <c r="H21" s="6" t="s">
        <v>50</v>
      </c>
      <c r="I21" s="6" t="s">
        <v>115</v>
      </c>
      <c r="J21" s="6" t="s">
        <v>52</v>
      </c>
      <c r="K21" s="6" t="s">
        <v>116</v>
      </c>
      <c r="L21" s="6" t="s">
        <v>54</v>
      </c>
      <c r="M21" s="6" t="s">
        <v>55</v>
      </c>
      <c r="N21" s="6" t="s">
        <v>56</v>
      </c>
      <c r="O21" s="6" t="s">
        <v>57</v>
      </c>
      <c r="P21" s="12" t="str">
        <f>IF(O21&lt;&gt;"Yes","N/A",IF(M21="Not disclosed","BLOCKED",IF(AND(H21&lt;&gt;"",I21&lt;&gt;"",K21&lt;&gt;"",M21&lt;&gt;""),"MAPPED","MISSING")))</f>
        <v>MAPPED</v>
      </c>
    </row>
    <row r="22" ht="52" hidden="0" outlineLevel="0" collapsed="0">
      <c r="A22" s="6" t="s">
        <v>117</v>
      </c>
      <c r="B22" s="6" t="s">
        <v>111</v>
      </c>
      <c r="C22" s="6" t="s">
        <v>63</v>
      </c>
      <c r="D22" s="11">
        <v>-75</v>
      </c>
      <c r="E22" s="6" t="s">
        <v>47</v>
      </c>
      <c r="F22" s="6" t="s">
        <v>64</v>
      </c>
      <c r="G22" s="6" t="s">
        <v>49</v>
      </c>
      <c r="H22" s="6" t="s">
        <v>65</v>
      </c>
      <c r="I22" s="6" t="s">
        <v>118</v>
      </c>
      <c r="J22" s="6" t="s">
        <v>52</v>
      </c>
      <c r="K22" s="6" t="s">
        <v>119</v>
      </c>
      <c r="L22" s="6" t="s">
        <v>54</v>
      </c>
      <c r="M22" s="6" t="s">
        <v>55</v>
      </c>
      <c r="N22" s="6" t="s">
        <v>56</v>
      </c>
      <c r="O22" s="6" t="s">
        <v>57</v>
      </c>
      <c r="P22" s="12" t="str">
        <f>IF(O22&lt;&gt;"Yes","N/A",IF(M22="Not disclosed","BLOCKED",IF(AND(H22&lt;&gt;"",I22&lt;&gt;"",K22&lt;&gt;"",M22&lt;&gt;""),"MAPPED","MISSING")))</f>
        <v>MAPPED</v>
      </c>
    </row>
    <row r="23" ht="52" hidden="0" outlineLevel="0" collapsed="0">
      <c r="A23" s="6" t="s">
        <v>120</v>
      </c>
      <c r="B23" s="6" t="s">
        <v>111</v>
      </c>
      <c r="C23" s="6" t="s">
        <v>69</v>
      </c>
      <c r="D23" s="11">
        <v>764</v>
      </c>
      <c r="E23" s="6" t="s">
        <v>47</v>
      </c>
      <c r="F23" s="6" t="s">
        <v>70</v>
      </c>
      <c r="G23" s="6" t="s">
        <v>49</v>
      </c>
      <c r="H23" s="6" t="s">
        <v>71</v>
      </c>
      <c r="I23" s="6" t="s">
        <v>121</v>
      </c>
      <c r="J23" s="6" t="s">
        <v>52</v>
      </c>
      <c r="K23" s="6" t="s">
        <v>122</v>
      </c>
      <c r="L23" s="6" t="s">
        <v>54</v>
      </c>
      <c r="M23" s="6" t="s">
        <v>55</v>
      </c>
      <c r="N23" s="6" t="s">
        <v>56</v>
      </c>
      <c r="O23" s="6" t="s">
        <v>57</v>
      </c>
      <c r="P23" s="12" t="str">
        <f>IF(O23&lt;&gt;"Yes","N/A",IF(M23="Not disclosed","BLOCKED",IF(AND(H23&lt;&gt;"",I23&lt;&gt;"",K23&lt;&gt;"",M23&lt;&gt;""),"MAPPED","MISSING")))</f>
        <v>MAPPED</v>
      </c>
    </row>
    <row r="24" ht="52" hidden="0" outlineLevel="0" collapsed="0">
      <c r="A24" s="6" t="s">
        <v>123</v>
      </c>
      <c r="B24" s="6" t="s">
        <v>111</v>
      </c>
      <c r="C24" s="6" t="s">
        <v>75</v>
      </c>
      <c r="D24" s="11">
        <v>1340</v>
      </c>
      <c r="E24" s="6" t="s">
        <v>47</v>
      </c>
      <c r="F24" s="6" t="s">
        <v>70</v>
      </c>
      <c r="G24" s="6" t="s">
        <v>49</v>
      </c>
      <c r="H24" s="6" t="s">
        <v>71</v>
      </c>
      <c r="I24" s="6" t="s">
        <v>124</v>
      </c>
      <c r="J24" s="6" t="s">
        <v>52</v>
      </c>
      <c r="K24" s="6" t="s">
        <v>125</v>
      </c>
      <c r="L24" s="6" t="s">
        <v>54</v>
      </c>
      <c r="M24" s="6" t="s">
        <v>55</v>
      </c>
      <c r="N24" s="6" t="s">
        <v>56</v>
      </c>
      <c r="O24" s="6" t="s">
        <v>57</v>
      </c>
      <c r="P24" s="12" t="str">
        <f>IF(O24&lt;&gt;"Yes","N/A",IF(M24="Not disclosed","BLOCKED",IF(AND(H24&lt;&gt;"",I24&lt;&gt;"",K24&lt;&gt;"",M24&lt;&gt;""),"MAPPED","MISSING")))</f>
        <v>MAPPED</v>
      </c>
    </row>
    <row r="25" ht="52" hidden="0" outlineLevel="0" collapsed="0">
      <c r="A25" s="6" t="s">
        <v>126</v>
      </c>
      <c r="B25" s="6" t="s">
        <v>127</v>
      </c>
      <c r="C25" s="6" t="s">
        <v>46</v>
      </c>
      <c r="D25" s="11">
        <v>2873</v>
      </c>
      <c r="E25" s="6" t="s">
        <v>47</v>
      </c>
      <c r="F25" s="6" t="s">
        <v>48</v>
      </c>
      <c r="G25" s="6" t="s">
        <v>49</v>
      </c>
      <c r="H25" s="6" t="s">
        <v>50</v>
      </c>
      <c r="I25" s="6" t="s">
        <v>128</v>
      </c>
      <c r="J25" s="6" t="s">
        <v>52</v>
      </c>
      <c r="K25" s="6" t="s">
        <v>129</v>
      </c>
      <c r="L25" s="6" t="s">
        <v>54</v>
      </c>
      <c r="M25" s="6" t="s">
        <v>55</v>
      </c>
      <c r="N25" s="6" t="s">
        <v>56</v>
      </c>
      <c r="O25" s="6" t="s">
        <v>57</v>
      </c>
      <c r="P25" s="12" t="str">
        <f>IF(O25&lt;&gt;"Yes","N/A",IF(M25="Not disclosed","BLOCKED",IF(AND(H25&lt;&gt;"",I25&lt;&gt;"",K25&lt;&gt;"",M25&lt;&gt;""),"MAPPED","MISSING")))</f>
        <v>MAPPED</v>
      </c>
    </row>
    <row r="26" ht="52" hidden="0" outlineLevel="0" collapsed="0">
      <c r="A26" s="6" t="s">
        <v>130</v>
      </c>
      <c r="B26" s="6" t="s">
        <v>127</v>
      </c>
      <c r="C26" s="6" t="s">
        <v>59</v>
      </c>
      <c r="D26" s="11">
        <v>-458</v>
      </c>
      <c r="E26" s="6" t="s">
        <v>47</v>
      </c>
      <c r="F26" s="6" t="s">
        <v>48</v>
      </c>
      <c r="G26" s="6" t="s">
        <v>49</v>
      </c>
      <c r="H26" s="6" t="s">
        <v>50</v>
      </c>
      <c r="I26" s="6" t="s">
        <v>131</v>
      </c>
      <c r="J26" s="6" t="s">
        <v>52</v>
      </c>
      <c r="K26" s="6" t="s">
        <v>132</v>
      </c>
      <c r="L26" s="6" t="s">
        <v>54</v>
      </c>
      <c r="M26" s="6" t="s">
        <v>55</v>
      </c>
      <c r="N26" s="6" t="s">
        <v>56</v>
      </c>
      <c r="O26" s="6" t="s">
        <v>57</v>
      </c>
      <c r="P26" s="12" t="str">
        <f>IF(O26&lt;&gt;"Yes","N/A",IF(M26="Not disclosed","BLOCKED",IF(AND(H26&lt;&gt;"",I26&lt;&gt;"",K26&lt;&gt;"",M26&lt;&gt;""),"MAPPED","MISSING")))</f>
        <v>MAPPED</v>
      </c>
    </row>
    <row r="27" ht="52" hidden="0" outlineLevel="0" collapsed="0">
      <c r="A27" s="6" t="s">
        <v>133</v>
      </c>
      <c r="B27" s="6" t="s">
        <v>127</v>
      </c>
      <c r="C27" s="6" t="s">
        <v>63</v>
      </c>
      <c r="D27" s="11">
        <v>2550</v>
      </c>
      <c r="E27" s="6" t="s">
        <v>47</v>
      </c>
      <c r="F27" s="6" t="s">
        <v>64</v>
      </c>
      <c r="G27" s="6" t="s">
        <v>49</v>
      </c>
      <c r="H27" s="6" t="s">
        <v>65</v>
      </c>
      <c r="I27" s="6" t="s">
        <v>134</v>
      </c>
      <c r="J27" s="6" t="s">
        <v>52</v>
      </c>
      <c r="K27" s="6" t="s">
        <v>135</v>
      </c>
      <c r="L27" s="6" t="s">
        <v>54</v>
      </c>
      <c r="M27" s="6" t="s">
        <v>55</v>
      </c>
      <c r="N27" s="6" t="s">
        <v>56</v>
      </c>
      <c r="O27" s="6" t="s">
        <v>57</v>
      </c>
      <c r="P27" s="12" t="str">
        <f>IF(O27&lt;&gt;"Yes","N/A",IF(M27="Not disclosed","BLOCKED",IF(AND(H27&lt;&gt;"",I27&lt;&gt;"",K27&lt;&gt;"",M27&lt;&gt;""),"MAPPED","MISSING")))</f>
        <v>MAPPED</v>
      </c>
    </row>
    <row r="28" ht="52" hidden="0" outlineLevel="0" collapsed="0">
      <c r="A28" s="6" t="s">
        <v>136</v>
      </c>
      <c r="B28" s="6" t="s">
        <v>127</v>
      </c>
      <c r="C28" s="6" t="s">
        <v>69</v>
      </c>
      <c r="D28" s="11">
        <v>2910</v>
      </c>
      <c r="E28" s="6" t="s">
        <v>47</v>
      </c>
      <c r="F28" s="6" t="s">
        <v>70</v>
      </c>
      <c r="G28" s="6" t="s">
        <v>49</v>
      </c>
      <c r="H28" s="6" t="s">
        <v>71</v>
      </c>
      <c r="I28" s="6" t="s">
        <v>137</v>
      </c>
      <c r="J28" s="6" t="s">
        <v>52</v>
      </c>
      <c r="K28" s="6" t="s">
        <v>138</v>
      </c>
      <c r="L28" s="6" t="s">
        <v>54</v>
      </c>
      <c r="M28" s="6" t="s">
        <v>55</v>
      </c>
      <c r="N28" s="6" t="s">
        <v>56</v>
      </c>
      <c r="O28" s="6" t="s">
        <v>57</v>
      </c>
      <c r="P28" s="12" t="str">
        <f>IF(O28&lt;&gt;"Yes","N/A",IF(M28="Not disclosed","BLOCKED",IF(AND(H28&lt;&gt;"",I28&lt;&gt;"",K28&lt;&gt;"",M28&lt;&gt;""),"MAPPED","MISSING")))</f>
        <v>MAPPED</v>
      </c>
    </row>
    <row r="29" ht="52" hidden="0" outlineLevel="0" collapsed="0">
      <c r="A29" s="6" t="s">
        <v>139</v>
      </c>
      <c r="B29" s="6" t="s">
        <v>127</v>
      </c>
      <c r="C29" s="6" t="s">
        <v>75</v>
      </c>
      <c r="D29" s="11">
        <v>751</v>
      </c>
      <c r="E29" s="6" t="s">
        <v>47</v>
      </c>
      <c r="F29" s="6" t="s">
        <v>70</v>
      </c>
      <c r="G29" s="6" t="s">
        <v>49</v>
      </c>
      <c r="H29" s="6" t="s">
        <v>71</v>
      </c>
      <c r="I29" s="6" t="s">
        <v>140</v>
      </c>
      <c r="J29" s="6" t="s">
        <v>52</v>
      </c>
      <c r="K29" s="6" t="s">
        <v>141</v>
      </c>
      <c r="L29" s="6" t="s">
        <v>54</v>
      </c>
      <c r="M29" s="6" t="s">
        <v>55</v>
      </c>
      <c r="N29" s="6" t="s">
        <v>56</v>
      </c>
      <c r="O29" s="6" t="s">
        <v>57</v>
      </c>
      <c r="P29" s="12" t="str">
        <f>IF(O29&lt;&gt;"Yes","N/A",IF(M29="Not disclosed","BLOCKED",IF(AND(H29&lt;&gt;"",I29&lt;&gt;"",K29&lt;&gt;"",M29&lt;&gt;""),"MAPPED","MISSING")))</f>
        <v>MAPPED</v>
      </c>
    </row>
    <row r="30" ht="52" hidden="0" outlineLevel="0" collapsed="0">
      <c r="A30" s="6" t="s">
        <v>142</v>
      </c>
      <c r="B30" s="6" t="s">
        <v>143</v>
      </c>
      <c r="C30" s="6" t="s">
        <v>46</v>
      </c>
      <c r="D30" s="11">
        <v>667</v>
      </c>
      <c r="E30" s="6" t="s">
        <v>47</v>
      </c>
      <c r="F30" s="6" t="s">
        <v>48</v>
      </c>
      <c r="G30" s="6" t="s">
        <v>49</v>
      </c>
      <c r="H30" s="6" t="s">
        <v>50</v>
      </c>
      <c r="I30" s="6" t="s">
        <v>144</v>
      </c>
      <c r="J30" s="6" t="s">
        <v>52</v>
      </c>
      <c r="K30" s="6" t="s">
        <v>145</v>
      </c>
      <c r="L30" s="6" t="s">
        <v>54</v>
      </c>
      <c r="M30" s="6" t="s">
        <v>55</v>
      </c>
      <c r="N30" s="6" t="s">
        <v>56</v>
      </c>
      <c r="O30" s="6" t="s">
        <v>57</v>
      </c>
      <c r="P30" s="12" t="str">
        <f>IF(O30&lt;&gt;"Yes","N/A",IF(M30="Not disclosed","BLOCKED",IF(AND(H30&lt;&gt;"",I30&lt;&gt;"",K30&lt;&gt;"",M30&lt;&gt;""),"MAPPED","MISSING")))</f>
        <v>MAPPED</v>
      </c>
    </row>
    <row r="31" ht="52" hidden="0" outlineLevel="0" collapsed="0">
      <c r="A31" s="6" t="s">
        <v>146</v>
      </c>
      <c r="B31" s="6" t="s">
        <v>143</v>
      </c>
      <c r="C31" s="6" t="s">
        <v>59</v>
      </c>
      <c r="D31" s="11">
        <v>695</v>
      </c>
      <c r="E31" s="6" t="s">
        <v>47</v>
      </c>
      <c r="F31" s="6" t="s">
        <v>48</v>
      </c>
      <c r="G31" s="6" t="s">
        <v>49</v>
      </c>
      <c r="H31" s="6" t="s">
        <v>50</v>
      </c>
      <c r="I31" s="6" t="s">
        <v>147</v>
      </c>
      <c r="J31" s="6" t="s">
        <v>52</v>
      </c>
      <c r="K31" s="6" t="s">
        <v>148</v>
      </c>
      <c r="L31" s="6" t="s">
        <v>54</v>
      </c>
      <c r="M31" s="6" t="s">
        <v>55</v>
      </c>
      <c r="N31" s="6" t="s">
        <v>56</v>
      </c>
      <c r="O31" s="6" t="s">
        <v>57</v>
      </c>
      <c r="P31" s="12" t="str">
        <f>IF(O31&lt;&gt;"Yes","N/A",IF(M31="Not disclosed","BLOCKED",IF(AND(H31&lt;&gt;"",I31&lt;&gt;"",K31&lt;&gt;"",M31&lt;&gt;""),"MAPPED","MISSING")))</f>
        <v>MAPPED</v>
      </c>
    </row>
    <row r="32" ht="52" hidden="0" outlineLevel="0" collapsed="0">
      <c r="A32" s="6" t="s">
        <v>149</v>
      </c>
      <c r="B32" s="6" t="s">
        <v>143</v>
      </c>
      <c r="C32" s="6" t="s">
        <v>63</v>
      </c>
      <c r="D32" s="11">
        <v>504</v>
      </c>
      <c r="E32" s="6" t="s">
        <v>47</v>
      </c>
      <c r="F32" s="6" t="s">
        <v>64</v>
      </c>
      <c r="G32" s="6" t="s">
        <v>49</v>
      </c>
      <c r="H32" s="6" t="s">
        <v>65</v>
      </c>
      <c r="I32" s="6" t="s">
        <v>150</v>
      </c>
      <c r="J32" s="6" t="s">
        <v>52</v>
      </c>
      <c r="K32" s="6" t="s">
        <v>151</v>
      </c>
      <c r="L32" s="6" t="s">
        <v>54</v>
      </c>
      <c r="M32" s="6" t="s">
        <v>55</v>
      </c>
      <c r="N32" s="6" t="s">
        <v>56</v>
      </c>
      <c r="O32" s="6" t="s">
        <v>57</v>
      </c>
      <c r="P32" s="12" t="str">
        <f>IF(O32&lt;&gt;"Yes","N/A",IF(M32="Not disclosed","BLOCKED",IF(AND(H32&lt;&gt;"",I32&lt;&gt;"",K32&lt;&gt;"",M32&lt;&gt;""),"MAPPED","MISSING")))</f>
        <v>MAPPED</v>
      </c>
    </row>
    <row r="33" ht="52" hidden="0" outlineLevel="0" collapsed="0">
      <c r="A33" s="6" t="s">
        <v>152</v>
      </c>
      <c r="B33" s="6" t="s">
        <v>143</v>
      </c>
      <c r="C33" s="6" t="s">
        <v>69</v>
      </c>
      <c r="D33" s="11">
        <v>540</v>
      </c>
      <c r="E33" s="6" t="s">
        <v>47</v>
      </c>
      <c r="F33" s="6" t="s">
        <v>70</v>
      </c>
      <c r="G33" s="6" t="s">
        <v>49</v>
      </c>
      <c r="H33" s="6" t="s">
        <v>71</v>
      </c>
      <c r="I33" s="6" t="s">
        <v>153</v>
      </c>
      <c r="J33" s="6" t="s">
        <v>52</v>
      </c>
      <c r="K33" s="6" t="s">
        <v>154</v>
      </c>
      <c r="L33" s="6" t="s">
        <v>54</v>
      </c>
      <c r="M33" s="6" t="s">
        <v>55</v>
      </c>
      <c r="N33" s="6" t="s">
        <v>56</v>
      </c>
      <c r="O33" s="6" t="s">
        <v>57</v>
      </c>
      <c r="P33" s="12" t="str">
        <f>IF(O33&lt;&gt;"Yes","N/A",IF(M33="Not disclosed","BLOCKED",IF(AND(H33&lt;&gt;"",I33&lt;&gt;"",K33&lt;&gt;"",M33&lt;&gt;""),"MAPPED","MISSING")))</f>
        <v>MAPPED</v>
      </c>
    </row>
    <row r="34" ht="52" hidden="0" outlineLevel="0" collapsed="0">
      <c r="A34" s="6" t="s">
        <v>155</v>
      </c>
      <c r="B34" s="6" t="s">
        <v>143</v>
      </c>
      <c r="C34" s="6" t="s">
        <v>75</v>
      </c>
      <c r="D34" s="11">
        <v>477</v>
      </c>
      <c r="E34" s="6" t="s">
        <v>47</v>
      </c>
      <c r="F34" s="6" t="s">
        <v>70</v>
      </c>
      <c r="G34" s="6" t="s">
        <v>49</v>
      </c>
      <c r="H34" s="6" t="s">
        <v>71</v>
      </c>
      <c r="I34" s="6" t="s">
        <v>156</v>
      </c>
      <c r="J34" s="6" t="s">
        <v>52</v>
      </c>
      <c r="K34" s="6" t="s">
        <v>157</v>
      </c>
      <c r="L34" s="6" t="s">
        <v>54</v>
      </c>
      <c r="M34" s="6" t="s">
        <v>55</v>
      </c>
      <c r="N34" s="6" t="s">
        <v>56</v>
      </c>
      <c r="O34" s="6" t="s">
        <v>57</v>
      </c>
      <c r="P34" s="12" t="str">
        <f>IF(O34&lt;&gt;"Yes","N/A",IF(M34="Not disclosed","BLOCKED",IF(AND(H34&lt;&gt;"",I34&lt;&gt;"",K34&lt;&gt;"",M34&lt;&gt;""),"MAPPED","MISSING")))</f>
        <v>MAPPED</v>
      </c>
    </row>
    <row r="35" ht="52" hidden="0" outlineLevel="0" collapsed="0">
      <c r="A35" s="6" t="s">
        <v>158</v>
      </c>
      <c r="B35" s="6" t="s">
        <v>159</v>
      </c>
      <c r="C35" s="6" t="s">
        <v>46</v>
      </c>
      <c r="D35" s="11">
        <v>22137</v>
      </c>
      <c r="E35" s="6" t="s">
        <v>47</v>
      </c>
      <c r="F35" s="6" t="s">
        <v>48</v>
      </c>
      <c r="G35" s="6" t="s">
        <v>49</v>
      </c>
      <c r="H35" s="6" t="s">
        <v>50</v>
      </c>
      <c r="I35" s="6" t="s">
        <v>160</v>
      </c>
      <c r="J35" s="6" t="s">
        <v>52</v>
      </c>
      <c r="K35" s="6" t="s">
        <v>161</v>
      </c>
      <c r="L35" s="6" t="s">
        <v>54</v>
      </c>
      <c r="M35" s="6" t="s">
        <v>55</v>
      </c>
      <c r="N35" s="6" t="s">
        <v>56</v>
      </c>
      <c r="O35" s="6" t="s">
        <v>57</v>
      </c>
      <c r="P35" s="12" t="str">
        <f>IF(O35&lt;&gt;"Yes","N/A",IF(M35="Not disclosed","BLOCKED",IF(AND(H35&lt;&gt;"",I35&lt;&gt;"",K35&lt;&gt;"",M35&lt;&gt;""),"MAPPED","MISSING")))</f>
        <v>MAPPED</v>
      </c>
    </row>
    <row r="36" ht="52" hidden="0" outlineLevel="0" collapsed="0">
      <c r="A36" s="6" t="s">
        <v>162</v>
      </c>
      <c r="B36" s="6" t="s">
        <v>159</v>
      </c>
      <c r="C36" s="6" t="s">
        <v>59</v>
      </c>
      <c r="D36" s="11">
        <v>20296</v>
      </c>
      <c r="E36" s="6" t="s">
        <v>47</v>
      </c>
      <c r="F36" s="6" t="s">
        <v>48</v>
      </c>
      <c r="G36" s="6" t="s">
        <v>49</v>
      </c>
      <c r="H36" s="6" t="s">
        <v>50</v>
      </c>
      <c r="I36" s="6" t="s">
        <v>163</v>
      </c>
      <c r="J36" s="6" t="s">
        <v>52</v>
      </c>
      <c r="K36" s="6" t="s">
        <v>164</v>
      </c>
      <c r="L36" s="6" t="s">
        <v>54</v>
      </c>
      <c r="M36" s="6" t="s">
        <v>55</v>
      </c>
      <c r="N36" s="6" t="s">
        <v>56</v>
      </c>
      <c r="O36" s="6" t="s">
        <v>57</v>
      </c>
      <c r="P36" s="12" t="str">
        <f>IF(O36&lt;&gt;"Yes","N/A",IF(M36="Not disclosed","BLOCKED",IF(AND(H36&lt;&gt;"",I36&lt;&gt;"",K36&lt;&gt;"",M36&lt;&gt;""),"MAPPED","MISSING")))</f>
        <v>MAPPED</v>
      </c>
    </row>
    <row r="37" ht="52" hidden="0" outlineLevel="0" collapsed="0">
      <c r="A37" s="6" t="s">
        <v>165</v>
      </c>
      <c r="B37" s="6" t="s">
        <v>159</v>
      </c>
      <c r="C37" s="6" t="s">
        <v>63</v>
      </c>
      <c r="D37" s="11">
        <v>18020</v>
      </c>
      <c r="E37" s="6" t="s">
        <v>47</v>
      </c>
      <c r="F37" s="6" t="s">
        <v>64</v>
      </c>
      <c r="G37" s="6" t="s">
        <v>49</v>
      </c>
      <c r="H37" s="6" t="s">
        <v>65</v>
      </c>
      <c r="I37" s="6" t="s">
        <v>166</v>
      </c>
      <c r="J37" s="6" t="s">
        <v>52</v>
      </c>
      <c r="K37" s="6" t="s">
        <v>167</v>
      </c>
      <c r="L37" s="6" t="s">
        <v>54</v>
      </c>
      <c r="M37" s="6" t="s">
        <v>55</v>
      </c>
      <c r="N37" s="6" t="s">
        <v>56</v>
      </c>
      <c r="O37" s="6" t="s">
        <v>57</v>
      </c>
      <c r="P37" s="12" t="str">
        <f>IF(O37&lt;&gt;"Yes","N/A",IF(M37="Not disclosed","BLOCKED",IF(AND(H37&lt;&gt;"",I37&lt;&gt;"",K37&lt;&gt;"",M37&lt;&gt;""),"MAPPED","MISSING")))</f>
        <v>MAPPED</v>
      </c>
    </row>
    <row r="38" ht="52" hidden="0" outlineLevel="0" collapsed="0">
      <c r="A38" s="6" t="s">
        <v>168</v>
      </c>
      <c r="B38" s="6" t="s">
        <v>159</v>
      </c>
      <c r="C38" s="6" t="s">
        <v>69</v>
      </c>
      <c r="D38" s="11">
        <v>20655</v>
      </c>
      <c r="E38" s="6" t="s">
        <v>47</v>
      </c>
      <c r="F38" s="6" t="s">
        <v>70</v>
      </c>
      <c r="G38" s="6" t="s">
        <v>49</v>
      </c>
      <c r="H38" s="6" t="s">
        <v>71</v>
      </c>
      <c r="I38" s="6" t="s">
        <v>169</v>
      </c>
      <c r="J38" s="6" t="s">
        <v>52</v>
      </c>
      <c r="K38" s="6" t="s">
        <v>170</v>
      </c>
      <c r="L38" s="6" t="s">
        <v>54</v>
      </c>
      <c r="M38" s="6" t="s">
        <v>55</v>
      </c>
      <c r="N38" s="6" t="s">
        <v>56</v>
      </c>
      <c r="O38" s="6" t="s">
        <v>57</v>
      </c>
      <c r="P38" s="12" t="str">
        <f>IF(O38&lt;&gt;"Yes","N/A",IF(M38="Not disclosed","BLOCKED",IF(AND(H38&lt;&gt;"",I38&lt;&gt;"",K38&lt;&gt;"",M38&lt;&gt;""),"MAPPED","MISSING")))</f>
        <v>MAPPED</v>
      </c>
    </row>
    <row r="39" ht="52" hidden="0" outlineLevel="0" collapsed="0">
      <c r="A39" s="6" t="s">
        <v>171</v>
      </c>
      <c r="B39" s="6" t="s">
        <v>159</v>
      </c>
      <c r="C39" s="6" t="s">
        <v>75</v>
      </c>
      <c r="D39" s="11">
        <v>20262</v>
      </c>
      <c r="E39" s="6" t="s">
        <v>47</v>
      </c>
      <c r="F39" s="6" t="s">
        <v>70</v>
      </c>
      <c r="G39" s="6" t="s">
        <v>49</v>
      </c>
      <c r="H39" s="6" t="s">
        <v>71</v>
      </c>
      <c r="I39" s="6" t="s">
        <v>172</v>
      </c>
      <c r="J39" s="6" t="s">
        <v>52</v>
      </c>
      <c r="K39" s="6" t="s">
        <v>173</v>
      </c>
      <c r="L39" s="6" t="s">
        <v>54</v>
      </c>
      <c r="M39" s="6" t="s">
        <v>55</v>
      </c>
      <c r="N39" s="6" t="s">
        <v>56</v>
      </c>
      <c r="O39" s="6" t="s">
        <v>57</v>
      </c>
      <c r="P39" s="12" t="str">
        <f>IF(O39&lt;&gt;"Yes","N/A",IF(M39="Not disclosed","BLOCKED",IF(AND(H39&lt;&gt;"",I39&lt;&gt;"",K39&lt;&gt;"",M39&lt;&gt;""),"MAPPED","MISSING")))</f>
        <v>MAPPED</v>
      </c>
    </row>
    <row r="40" ht="52" hidden="0" outlineLevel="0" collapsed="0">
      <c r="A40" s="6" t="s">
        <v>174</v>
      </c>
      <c r="B40" s="6" t="s">
        <v>175</v>
      </c>
      <c r="C40" s="6" t="s">
        <v>46</v>
      </c>
      <c r="D40" s="11">
        <v>7519</v>
      </c>
      <c r="E40" s="6" t="s">
        <v>47</v>
      </c>
      <c r="F40" s="6" t="s">
        <v>48</v>
      </c>
      <c r="G40" s="6" t="s">
        <v>49</v>
      </c>
      <c r="H40" s="6" t="s">
        <v>50</v>
      </c>
      <c r="I40" s="6" t="s">
        <v>176</v>
      </c>
      <c r="J40" s="6" t="s">
        <v>52</v>
      </c>
      <c r="K40" s="6" t="s">
        <v>177</v>
      </c>
      <c r="L40" s="6" t="s">
        <v>54</v>
      </c>
      <c r="M40" s="6" t="s">
        <v>55</v>
      </c>
      <c r="N40" s="6" t="s">
        <v>56</v>
      </c>
      <c r="O40" s="6" t="s">
        <v>57</v>
      </c>
      <c r="P40" s="12" t="str">
        <f>IF(O40&lt;&gt;"Yes","N/A",IF(M40="Not disclosed","BLOCKED",IF(AND(H40&lt;&gt;"",I40&lt;&gt;"",K40&lt;&gt;"",M40&lt;&gt;""),"MAPPED","MISSING")))</f>
        <v>MAPPED</v>
      </c>
    </row>
    <row r="41" ht="52" hidden="0" outlineLevel="0" collapsed="0">
      <c r="A41" s="6" t="s">
        <v>178</v>
      </c>
      <c r="B41" s="6" t="s">
        <v>175</v>
      </c>
      <c r="C41" s="6" t="s">
        <v>59</v>
      </c>
      <c r="D41" s="11">
        <v>4991</v>
      </c>
      <c r="E41" s="6" t="s">
        <v>47</v>
      </c>
      <c r="F41" s="6" t="s">
        <v>48</v>
      </c>
      <c r="G41" s="6" t="s">
        <v>49</v>
      </c>
      <c r="H41" s="6" t="s">
        <v>50</v>
      </c>
      <c r="I41" s="6" t="s">
        <v>179</v>
      </c>
      <c r="J41" s="6" t="s">
        <v>52</v>
      </c>
      <c r="K41" s="6" t="s">
        <v>180</v>
      </c>
      <c r="L41" s="6" t="s">
        <v>54</v>
      </c>
      <c r="M41" s="6" t="s">
        <v>55</v>
      </c>
      <c r="N41" s="6" t="s">
        <v>56</v>
      </c>
      <c r="O41" s="6" t="s">
        <v>57</v>
      </c>
      <c r="P41" s="12" t="str">
        <f>IF(O41&lt;&gt;"Yes","N/A",IF(M41="Not disclosed","BLOCKED",IF(AND(H41&lt;&gt;"",I41&lt;&gt;"",K41&lt;&gt;"",M41&lt;&gt;""),"MAPPED","MISSING")))</f>
        <v>MAPPED</v>
      </c>
    </row>
    <row r="42" ht="52" hidden="0" outlineLevel="0" collapsed="0">
      <c r="A42" s="6" t="s">
        <v>181</v>
      </c>
      <c r="B42" s="6" t="s">
        <v>175</v>
      </c>
      <c r="C42" s="6" t="s">
        <v>63</v>
      </c>
      <c r="D42" s="11">
        <v>4580</v>
      </c>
      <c r="E42" s="6" t="s">
        <v>47</v>
      </c>
      <c r="F42" s="6" t="s">
        <v>64</v>
      </c>
      <c r="G42" s="6" t="s">
        <v>49</v>
      </c>
      <c r="H42" s="6" t="s">
        <v>65</v>
      </c>
      <c r="I42" s="6" t="s">
        <v>182</v>
      </c>
      <c r="J42" s="6" t="s">
        <v>52</v>
      </c>
      <c r="K42" s="6" t="s">
        <v>183</v>
      </c>
      <c r="L42" s="6" t="s">
        <v>54</v>
      </c>
      <c r="M42" s="6" t="s">
        <v>55</v>
      </c>
      <c r="N42" s="6" t="s">
        <v>56</v>
      </c>
      <c r="O42" s="6" t="s">
        <v>57</v>
      </c>
      <c r="P42" s="12" t="str">
        <f>IF(O42&lt;&gt;"Yes","N/A",IF(M42="Not disclosed","BLOCKED",IF(AND(H42&lt;&gt;"",I42&lt;&gt;"",K42&lt;&gt;"",M42&lt;&gt;""),"MAPPED","MISSING")))</f>
        <v>MAPPED</v>
      </c>
    </row>
    <row r="43" ht="52" hidden="0" outlineLevel="0" collapsed="0">
      <c r="A43" s="6" t="s">
        <v>184</v>
      </c>
      <c r="B43" s="6" t="s">
        <v>175</v>
      </c>
      <c r="C43" s="6" t="s">
        <v>69</v>
      </c>
      <c r="D43" s="11">
        <v>5476</v>
      </c>
      <c r="E43" s="6" t="s">
        <v>47</v>
      </c>
      <c r="F43" s="6" t="s">
        <v>70</v>
      </c>
      <c r="G43" s="6" t="s">
        <v>49</v>
      </c>
      <c r="H43" s="6" t="s">
        <v>71</v>
      </c>
      <c r="I43" s="6" t="s">
        <v>185</v>
      </c>
      <c r="J43" s="6" t="s">
        <v>52</v>
      </c>
      <c r="K43" s="6" t="s">
        <v>186</v>
      </c>
      <c r="L43" s="6" t="s">
        <v>54</v>
      </c>
      <c r="M43" s="6" t="s">
        <v>55</v>
      </c>
      <c r="N43" s="6" t="s">
        <v>56</v>
      </c>
      <c r="O43" s="6" t="s">
        <v>57</v>
      </c>
      <c r="P43" s="12" t="str">
        <f>IF(O43&lt;&gt;"Yes","N/A",IF(M43="Not disclosed","BLOCKED",IF(AND(H43&lt;&gt;"",I43&lt;&gt;"",K43&lt;&gt;"",M43&lt;&gt;""),"MAPPED","MISSING")))</f>
        <v>MAPPED</v>
      </c>
    </row>
    <row r="44" ht="52" hidden="0" outlineLevel="0" collapsed="0">
      <c r="A44" s="6" t="s">
        <v>187</v>
      </c>
      <c r="B44" s="6" t="s">
        <v>175</v>
      </c>
      <c r="C44" s="6" t="s">
        <v>75</v>
      </c>
      <c r="D44" s="11">
        <v>5776</v>
      </c>
      <c r="E44" s="6" t="s">
        <v>47</v>
      </c>
      <c r="F44" s="6" t="s">
        <v>70</v>
      </c>
      <c r="G44" s="6" t="s">
        <v>49</v>
      </c>
      <c r="H44" s="6" t="s">
        <v>71</v>
      </c>
      <c r="I44" s="6" t="s">
        <v>188</v>
      </c>
      <c r="J44" s="6" t="s">
        <v>52</v>
      </c>
      <c r="K44" s="6" t="s">
        <v>189</v>
      </c>
      <c r="L44" s="6" t="s">
        <v>54</v>
      </c>
      <c r="M44" s="6" t="s">
        <v>55</v>
      </c>
      <c r="N44" s="6" t="s">
        <v>56</v>
      </c>
      <c r="O44" s="6" t="s">
        <v>57</v>
      </c>
      <c r="P44" s="12" t="str">
        <f>IF(O44&lt;&gt;"Yes","N/A",IF(M44="Not disclosed","BLOCKED",IF(AND(H44&lt;&gt;"",I44&lt;&gt;"",K44&lt;&gt;"",M44&lt;&gt;""),"MAPPED","MISSING")))</f>
        <v>MAPPED</v>
      </c>
    </row>
    <row r="45" ht="52" hidden="0" outlineLevel="0" collapsed="0">
      <c r="A45" s="6" t="s">
        <v>190</v>
      </c>
      <c r="B45" s="6" t="s">
        <v>191</v>
      </c>
      <c r="C45" s="6" t="s">
        <v>69</v>
      </c>
      <c r="D45" s="11">
        <v>3622</v>
      </c>
      <c r="E45" s="6" t="s">
        <v>47</v>
      </c>
      <c r="F45" s="6" t="s">
        <v>192</v>
      </c>
      <c r="G45" s="6" t="s">
        <v>49</v>
      </c>
      <c r="H45" s="6" t="s">
        <v>193</v>
      </c>
      <c r="I45" s="6" t="s">
        <v>194</v>
      </c>
      <c r="J45" s="6" t="s">
        <v>52</v>
      </c>
      <c r="K45" s="6" t="s">
        <v>195</v>
      </c>
      <c r="L45" s="6" t="s">
        <v>54</v>
      </c>
      <c r="M45" s="6" t="s">
        <v>55</v>
      </c>
      <c r="N45" s="6" t="s">
        <v>56</v>
      </c>
      <c r="O45" s="6" t="s">
        <v>57</v>
      </c>
      <c r="P45" s="12" t="str">
        <f>IF(O45&lt;&gt;"Yes","N/A",IF(M45="Not disclosed","BLOCKED",IF(AND(H45&lt;&gt;"",I45&lt;&gt;"",K45&lt;&gt;"",M45&lt;&gt;""),"MAPPED","MISSING")))</f>
        <v>MAPPED</v>
      </c>
    </row>
    <row r="46" ht="52" hidden="0" outlineLevel="0" collapsed="0">
      <c r="A46" s="6" t="s">
        <v>196</v>
      </c>
      <c r="B46" s="6" t="s">
        <v>191</v>
      </c>
      <c r="C46" s="6" t="s">
        <v>75</v>
      </c>
      <c r="D46" s="11">
        <v>4331</v>
      </c>
      <c r="E46" s="6" t="s">
        <v>47</v>
      </c>
      <c r="F46" s="6" t="s">
        <v>192</v>
      </c>
      <c r="G46" s="6" t="s">
        <v>49</v>
      </c>
      <c r="H46" s="6" t="s">
        <v>193</v>
      </c>
      <c r="I46" s="6" t="s">
        <v>197</v>
      </c>
      <c r="J46" s="6" t="s">
        <v>52</v>
      </c>
      <c r="K46" s="6" t="s">
        <v>198</v>
      </c>
      <c r="L46" s="6" t="s">
        <v>54</v>
      </c>
      <c r="M46" s="6" t="s">
        <v>55</v>
      </c>
      <c r="N46" s="6" t="s">
        <v>56</v>
      </c>
      <c r="O46" s="6" t="s">
        <v>57</v>
      </c>
      <c r="P46" s="12" t="str">
        <f>IF(O46&lt;&gt;"Yes","N/A",IF(M46="Not disclosed","BLOCKED",IF(AND(H46&lt;&gt;"",I46&lt;&gt;"",K46&lt;&gt;"",M46&lt;&gt;""),"MAPPED","MISSING")))</f>
        <v>MAPPED</v>
      </c>
    </row>
    <row r="47" ht="52" hidden="0" outlineLevel="0" collapsed="0">
      <c r="A47" s="6" t="s">
        <v>199</v>
      </c>
      <c r="B47" s="6" t="s">
        <v>200</v>
      </c>
      <c r="C47" s="6" t="s">
        <v>69</v>
      </c>
      <c r="D47" s="11">
        <v>2455</v>
      </c>
      <c r="E47" s="6" t="s">
        <v>47</v>
      </c>
      <c r="F47" s="6" t="s">
        <v>201</v>
      </c>
      <c r="G47" s="6" t="s">
        <v>49</v>
      </c>
      <c r="H47" s="6" t="s">
        <v>202</v>
      </c>
      <c r="I47" s="6" t="s">
        <v>203</v>
      </c>
      <c r="J47" s="6" t="s">
        <v>52</v>
      </c>
      <c r="K47" s="6" t="s">
        <v>204</v>
      </c>
      <c r="L47" s="6" t="s">
        <v>54</v>
      </c>
      <c r="M47" s="6" t="s">
        <v>55</v>
      </c>
      <c r="N47" s="6" t="s">
        <v>56</v>
      </c>
      <c r="O47" s="6" t="s">
        <v>57</v>
      </c>
      <c r="P47" s="12" t="str">
        <f>IF(O47&lt;&gt;"Yes","N/A",IF(M47="Not disclosed","BLOCKED",IF(AND(H47&lt;&gt;"",I47&lt;&gt;"",K47&lt;&gt;"",M47&lt;&gt;""),"MAPPED","MISSING")))</f>
        <v>MAPPED</v>
      </c>
    </row>
    <row r="48" ht="52" hidden="0" outlineLevel="0" collapsed="0">
      <c r="A48" s="6" t="s">
        <v>205</v>
      </c>
      <c r="B48" s="6" t="s">
        <v>200</v>
      </c>
      <c r="C48" s="6" t="s">
        <v>75</v>
      </c>
      <c r="D48" s="11">
        <v>1617</v>
      </c>
      <c r="E48" s="6" t="s">
        <v>47</v>
      </c>
      <c r="F48" s="6" t="s">
        <v>201</v>
      </c>
      <c r="G48" s="6" t="s">
        <v>49</v>
      </c>
      <c r="H48" s="6" t="s">
        <v>202</v>
      </c>
      <c r="I48" s="6" t="s">
        <v>206</v>
      </c>
      <c r="J48" s="6" t="s">
        <v>52</v>
      </c>
      <c r="K48" s="6" t="s">
        <v>207</v>
      </c>
      <c r="L48" s="6" t="s">
        <v>54</v>
      </c>
      <c r="M48" s="6" t="s">
        <v>55</v>
      </c>
      <c r="N48" s="6" t="s">
        <v>56</v>
      </c>
      <c r="O48" s="6" t="s">
        <v>57</v>
      </c>
      <c r="P48" s="12" t="str">
        <f>IF(O48&lt;&gt;"Yes","N/A",IF(M48="Not disclosed","BLOCKED",IF(AND(H48&lt;&gt;"",I48&lt;&gt;"",K48&lt;&gt;"",M48&lt;&gt;""),"MAPPED","MISSING")))</f>
        <v>MAPPED</v>
      </c>
    </row>
    <row r="49" ht="52" hidden="0" outlineLevel="0" collapsed="0">
      <c r="A49" s="6" t="s">
        <v>208</v>
      </c>
      <c r="B49" s="6" t="s">
        <v>209</v>
      </c>
      <c r="C49" s="6" t="s">
        <v>46</v>
      </c>
      <c r="D49" s="11">
        <v>191.594855</v>
      </c>
      <c r="E49" s="6" t="s">
        <v>210</v>
      </c>
      <c r="F49" s="6" t="s">
        <v>48</v>
      </c>
      <c r="G49" s="6" t="s">
        <v>49</v>
      </c>
      <c r="H49" s="6" t="s">
        <v>50</v>
      </c>
      <c r="I49" s="6" t="s">
        <v>211</v>
      </c>
      <c r="J49" s="6" t="s">
        <v>52</v>
      </c>
      <c r="K49" s="6" t="s">
        <v>212</v>
      </c>
      <c r="L49" s="6" t="s">
        <v>213</v>
      </c>
      <c r="M49" s="6" t="s">
        <v>55</v>
      </c>
      <c r="N49" s="6" t="s">
        <v>56</v>
      </c>
      <c r="O49" s="6" t="s">
        <v>57</v>
      </c>
      <c r="P49" s="12" t="str">
        <f>IF(O49&lt;&gt;"Yes","N/A",IF(M49="Not disclosed","BLOCKED",IF(AND(H49&lt;&gt;"",I49&lt;&gt;"",K49&lt;&gt;"",M49&lt;&gt;""),"MAPPED","MISSING")))</f>
        <v>MAPPED</v>
      </c>
    </row>
    <row r="50" ht="52" hidden="0" outlineLevel="0" collapsed="0">
      <c r="A50" s="6" t="s">
        <v>214</v>
      </c>
      <c r="B50" s="6" t="s">
        <v>209</v>
      </c>
      <c r="C50" s="6" t="s">
        <v>59</v>
      </c>
      <c r="D50" s="11">
        <v>178.537198</v>
      </c>
      <c r="E50" s="6" t="s">
        <v>210</v>
      </c>
      <c r="F50" s="6" t="s">
        <v>48</v>
      </c>
      <c r="G50" s="6" t="s">
        <v>49</v>
      </c>
      <c r="H50" s="6" t="s">
        <v>50</v>
      </c>
      <c r="I50" s="6" t="s">
        <v>215</v>
      </c>
      <c r="J50" s="6" t="s">
        <v>52</v>
      </c>
      <c r="K50" s="6" t="s">
        <v>216</v>
      </c>
      <c r="L50" s="6" t="s">
        <v>213</v>
      </c>
      <c r="M50" s="6" t="s">
        <v>55</v>
      </c>
      <c r="N50" s="6" t="s">
        <v>56</v>
      </c>
      <c r="O50" s="6" t="s">
        <v>57</v>
      </c>
      <c r="P50" s="12" t="str">
        <f>IF(O50&lt;&gt;"Yes","N/A",IF(M50="Not disclosed","BLOCKED",IF(AND(H50&lt;&gt;"",I50&lt;&gt;"",K50&lt;&gt;"",M50&lt;&gt;""),"MAPPED","MISSING")))</f>
        <v>MAPPED</v>
      </c>
    </row>
    <row r="51" ht="52" hidden="0" outlineLevel="0" collapsed="0">
      <c r="A51" s="6" t="s">
        <v>217</v>
      </c>
      <c r="B51" s="6" t="s">
        <v>209</v>
      </c>
      <c r="C51" s="6" t="s">
        <v>63</v>
      </c>
      <c r="D51" s="11">
        <v>178.549084</v>
      </c>
      <c r="E51" s="6" t="s">
        <v>210</v>
      </c>
      <c r="F51" s="6" t="s">
        <v>64</v>
      </c>
      <c r="G51" s="6" t="s">
        <v>49</v>
      </c>
      <c r="H51" s="6" t="s">
        <v>65</v>
      </c>
      <c r="I51" s="6" t="s">
        <v>218</v>
      </c>
      <c r="J51" s="6" t="s">
        <v>52</v>
      </c>
      <c r="K51" s="6" t="s">
        <v>219</v>
      </c>
      <c r="L51" s="6" t="s">
        <v>213</v>
      </c>
      <c r="M51" s="6" t="s">
        <v>55</v>
      </c>
      <c r="N51" s="6" t="s">
        <v>56</v>
      </c>
      <c r="O51" s="6" t="s">
        <v>57</v>
      </c>
      <c r="P51" s="12" t="str">
        <f>IF(O51&lt;&gt;"Yes","N/A",IF(M51="Not disclosed","BLOCKED",IF(AND(H51&lt;&gt;"",I51&lt;&gt;"",K51&lt;&gt;"",M51&lt;&gt;""),"MAPPED","MISSING")))</f>
        <v>MAPPED</v>
      </c>
    </row>
    <row r="52" ht="52" hidden="0" outlineLevel="0" collapsed="0">
      <c r="A52" s="6" t="s">
        <v>220</v>
      </c>
      <c r="B52" s="6" t="s">
        <v>209</v>
      </c>
      <c r="C52" s="6" t="s">
        <v>69</v>
      </c>
      <c r="D52" s="11">
        <v>178.549084</v>
      </c>
      <c r="E52" s="6" t="s">
        <v>210</v>
      </c>
      <c r="F52" s="6" t="s">
        <v>70</v>
      </c>
      <c r="G52" s="6" t="s">
        <v>49</v>
      </c>
      <c r="H52" s="6" t="s">
        <v>71</v>
      </c>
      <c r="I52" s="6" t="s">
        <v>221</v>
      </c>
      <c r="J52" s="6" t="s">
        <v>52</v>
      </c>
      <c r="K52" s="6" t="s">
        <v>222</v>
      </c>
      <c r="L52" s="6" t="s">
        <v>213</v>
      </c>
      <c r="M52" s="6" t="s">
        <v>55</v>
      </c>
      <c r="N52" s="6" t="s">
        <v>56</v>
      </c>
      <c r="O52" s="6" t="s">
        <v>57</v>
      </c>
      <c r="P52" s="12" t="str">
        <f>IF(O52&lt;&gt;"Yes","N/A",IF(M52="Not disclosed","BLOCKED",IF(AND(H52&lt;&gt;"",I52&lt;&gt;"",K52&lt;&gt;"",M52&lt;&gt;""),"MAPPED","MISSING")))</f>
        <v>MAPPED</v>
      </c>
    </row>
    <row r="53" ht="52" hidden="0" outlineLevel="0" collapsed="0">
      <c r="A53" s="6" t="s">
        <v>223</v>
      </c>
      <c r="B53" s="6" t="s">
        <v>209</v>
      </c>
      <c r="C53" s="6" t="s">
        <v>75</v>
      </c>
      <c r="D53" s="11">
        <v>178.665018</v>
      </c>
      <c r="E53" s="6" t="s">
        <v>210</v>
      </c>
      <c r="F53" s="6" t="s">
        <v>70</v>
      </c>
      <c r="G53" s="6" t="s">
        <v>49</v>
      </c>
      <c r="H53" s="6" t="s">
        <v>71</v>
      </c>
      <c r="I53" s="6" t="s">
        <v>224</v>
      </c>
      <c r="J53" s="6" t="s">
        <v>52</v>
      </c>
      <c r="K53" s="6" t="s">
        <v>225</v>
      </c>
      <c r="L53" s="6" t="s">
        <v>213</v>
      </c>
      <c r="M53" s="6" t="s">
        <v>55</v>
      </c>
      <c r="N53" s="6" t="s">
        <v>56</v>
      </c>
      <c r="O53" s="6" t="s">
        <v>57</v>
      </c>
      <c r="P53" s="12" t="str">
        <f>IF(O53&lt;&gt;"Yes","N/A",IF(M53="Not disclosed","BLOCKED",IF(AND(H53&lt;&gt;"",I53&lt;&gt;"",K53&lt;&gt;"",M53&lt;&gt;""),"MAPPED","MISSING")))</f>
        <v>MAPPED</v>
      </c>
    </row>
    <row r="54" ht="52" hidden="0" outlineLevel="0" collapsed="0">
      <c r="A54" s="6" t="s">
        <v>226</v>
      </c>
      <c r="B54" s="6" t="s">
        <v>227</v>
      </c>
      <c r="C54" s="6" t="s">
        <v>46</v>
      </c>
      <c r="D54" s="11"/>
      <c r="E54" s="6" t="s">
        <v>47</v>
      </c>
      <c r="F54" s="6" t="s">
        <v>48</v>
      </c>
      <c r="G54" s="6" t="s">
        <v>228</v>
      </c>
      <c r="H54" s="6" t="s">
        <v>50</v>
      </c>
      <c r="I54" s="6" t="s">
        <v>229</v>
      </c>
      <c r="J54" s="6" t="s">
        <v>52</v>
      </c>
      <c r="K54" s="6" t="s">
        <v>230</v>
      </c>
      <c r="L54" s="6" t="s">
        <v>231</v>
      </c>
      <c r="M54" s="6" t="s">
        <v>232</v>
      </c>
      <c r="N54" s="6" t="s">
        <v>233</v>
      </c>
      <c r="O54" s="6" t="s">
        <v>57</v>
      </c>
      <c r="P54" s="12" t="str">
        <f>IF(O54&lt;&gt;"Yes","N/A",IF(M54="Not disclosed","BLOCKED",IF(AND(H54&lt;&gt;"",I54&lt;&gt;"",K54&lt;&gt;"",M54&lt;&gt;""),"MAPPED","MISSING")))</f>
        <v>MAPPED</v>
      </c>
    </row>
    <row r="55" ht="52" hidden="0" outlineLevel="0" collapsed="0">
      <c r="A55" s="6" t="s">
        <v>234</v>
      </c>
      <c r="B55" s="6" t="s">
        <v>227</v>
      </c>
      <c r="C55" s="6" t="s">
        <v>59</v>
      </c>
      <c r="D55" s="11"/>
      <c r="E55" s="6" t="s">
        <v>47</v>
      </c>
      <c r="F55" s="6" t="s">
        <v>48</v>
      </c>
      <c r="G55" s="6" t="s">
        <v>228</v>
      </c>
      <c r="H55" s="6" t="s">
        <v>50</v>
      </c>
      <c r="I55" s="6" t="s">
        <v>235</v>
      </c>
      <c r="J55" s="6" t="s">
        <v>52</v>
      </c>
      <c r="K55" s="6" t="s">
        <v>236</v>
      </c>
      <c r="L55" s="6" t="s">
        <v>231</v>
      </c>
      <c r="M55" s="6" t="s">
        <v>232</v>
      </c>
      <c r="N55" s="6" t="s">
        <v>233</v>
      </c>
      <c r="O55" s="6" t="s">
        <v>57</v>
      </c>
      <c r="P55" s="12" t="str">
        <f>IF(O55&lt;&gt;"Yes","N/A",IF(M55="Not disclosed","BLOCKED",IF(AND(H55&lt;&gt;"",I55&lt;&gt;"",K55&lt;&gt;"",M55&lt;&gt;""),"MAPPED","MISSING")))</f>
        <v>MAPPED</v>
      </c>
    </row>
    <row r="56" ht="52" hidden="0" outlineLevel="0" collapsed="0">
      <c r="A56" s="6" t="s">
        <v>237</v>
      </c>
      <c r="B56" s="6" t="s">
        <v>227</v>
      </c>
      <c r="C56" s="6" t="s">
        <v>63</v>
      </c>
      <c r="D56" s="11"/>
      <c r="E56" s="6" t="s">
        <v>47</v>
      </c>
      <c r="F56" s="6" t="s">
        <v>64</v>
      </c>
      <c r="G56" s="6" t="s">
        <v>228</v>
      </c>
      <c r="H56" s="6" t="s">
        <v>65</v>
      </c>
      <c r="I56" s="6" t="s">
        <v>238</v>
      </c>
      <c r="J56" s="6" t="s">
        <v>52</v>
      </c>
      <c r="K56" s="6" t="s">
        <v>239</v>
      </c>
      <c r="L56" s="6" t="s">
        <v>231</v>
      </c>
      <c r="M56" s="6" t="s">
        <v>232</v>
      </c>
      <c r="N56" s="6" t="s">
        <v>233</v>
      </c>
      <c r="O56" s="6" t="s">
        <v>57</v>
      </c>
      <c r="P56" s="12" t="str">
        <f>IF(O56&lt;&gt;"Yes","N/A",IF(M56="Not disclosed","BLOCKED",IF(AND(H56&lt;&gt;"",I56&lt;&gt;"",K56&lt;&gt;"",M56&lt;&gt;""),"MAPPED","MISSING")))</f>
        <v>MAPPED</v>
      </c>
    </row>
    <row r="57" ht="52" hidden="0" outlineLevel="0" collapsed="0">
      <c r="A57" s="6" t="s">
        <v>240</v>
      </c>
      <c r="B57" s="6" t="s">
        <v>227</v>
      </c>
      <c r="C57" s="6" t="s">
        <v>69</v>
      </c>
      <c r="D57" s="11"/>
      <c r="E57" s="6" t="s">
        <v>47</v>
      </c>
      <c r="F57" s="6" t="s">
        <v>70</v>
      </c>
      <c r="G57" s="6" t="s">
        <v>228</v>
      </c>
      <c r="H57" s="6" t="s">
        <v>71</v>
      </c>
      <c r="I57" s="6" t="s">
        <v>241</v>
      </c>
      <c r="J57" s="6" t="s">
        <v>52</v>
      </c>
      <c r="K57" s="6" t="s">
        <v>242</v>
      </c>
      <c r="L57" s="6" t="s">
        <v>231</v>
      </c>
      <c r="M57" s="6" t="s">
        <v>232</v>
      </c>
      <c r="N57" s="6" t="s">
        <v>233</v>
      </c>
      <c r="O57" s="6" t="s">
        <v>57</v>
      </c>
      <c r="P57" s="12" t="str">
        <f>IF(O57&lt;&gt;"Yes","N/A",IF(M57="Not disclosed","BLOCKED",IF(AND(H57&lt;&gt;"",I57&lt;&gt;"",K57&lt;&gt;"",M57&lt;&gt;""),"MAPPED","MISSING")))</f>
        <v>MAPPED</v>
      </c>
    </row>
    <row r="58" ht="52" hidden="0" outlineLevel="0" collapsed="0">
      <c r="A58" s="6" t="s">
        <v>243</v>
      </c>
      <c r="B58" s="6" t="s">
        <v>227</v>
      </c>
      <c r="C58" s="6" t="s">
        <v>75</v>
      </c>
      <c r="D58" s="11"/>
      <c r="E58" s="6" t="s">
        <v>47</v>
      </c>
      <c r="F58" s="6" t="s">
        <v>70</v>
      </c>
      <c r="G58" s="6" t="s">
        <v>228</v>
      </c>
      <c r="H58" s="6" t="s">
        <v>71</v>
      </c>
      <c r="I58" s="6" t="s">
        <v>244</v>
      </c>
      <c r="J58" s="6" t="s">
        <v>52</v>
      </c>
      <c r="K58" s="6" t="s">
        <v>245</v>
      </c>
      <c r="L58" s="6" t="s">
        <v>231</v>
      </c>
      <c r="M58" s="6" t="s">
        <v>232</v>
      </c>
      <c r="N58" s="6" t="s">
        <v>233</v>
      </c>
      <c r="O58" s="6" t="s">
        <v>57</v>
      </c>
      <c r="P58" s="12" t="str">
        <f>IF(O58&lt;&gt;"Yes","N/A",IF(M58="Not disclosed","BLOCKED",IF(AND(H58&lt;&gt;"",I58&lt;&gt;"",K58&lt;&gt;"",M58&lt;&gt;""),"MAPPED","MISSING")))</f>
        <v>MAPPED</v>
      </c>
    </row>
    <row r="59" ht="52" hidden="0" outlineLevel="0" collapsed="0">
      <c r="A59" s="6" t="s">
        <v>246</v>
      </c>
      <c r="B59" s="6" t="s">
        <v>247</v>
      </c>
      <c r="C59" s="6" t="s">
        <v>248</v>
      </c>
      <c r="D59" s="11">
        <v>0.08</v>
      </c>
      <c r="E59" s="6" t="s">
        <v>249</v>
      </c>
      <c r="F59" s="6" t="s">
        <v>250</v>
      </c>
      <c r="G59" s="6" t="s">
        <v>251</v>
      </c>
      <c r="H59" s="6" t="s">
        <v>252</v>
      </c>
      <c r="I59" s="6" t="s">
        <v>253</v>
      </c>
      <c r="J59" s="6" t="s">
        <v>52</v>
      </c>
      <c r="K59" s="6" t="s">
        <v>254</v>
      </c>
      <c r="L59" s="6" t="s">
        <v>255</v>
      </c>
      <c r="M59" s="6" t="s">
        <v>256</v>
      </c>
      <c r="N59" s="6" t="s">
        <v>257</v>
      </c>
      <c r="O59" s="6" t="s">
        <v>57</v>
      </c>
      <c r="P59" s="12" t="str">
        <f>IF(O59&lt;&gt;"Yes","N/A",IF(M59="Not disclosed","BLOCKED",IF(AND(H59&lt;&gt;"",I59&lt;&gt;"",K59&lt;&gt;"",M59&lt;&gt;""),"MAPPED","MISSING")))</f>
        <v>MAPPED</v>
      </c>
    </row>
    <row r="60" ht="52" hidden="0" outlineLevel="0" collapsed="0">
      <c r="A60" s="6" t="s">
        <v>258</v>
      </c>
      <c r="B60" s="6" t="s">
        <v>259</v>
      </c>
      <c r="C60" s="6" t="s">
        <v>248</v>
      </c>
      <c r="D60" s="11">
        <v>0.0858340909124836</v>
      </c>
      <c r="E60" s="6" t="s">
        <v>249</v>
      </c>
      <c r="F60" s="6" t="s">
        <v>250</v>
      </c>
      <c r="G60" s="6" t="s">
        <v>251</v>
      </c>
      <c r="H60" s="6" t="s">
        <v>252</v>
      </c>
      <c r="I60" s="6" t="s">
        <v>260</v>
      </c>
      <c r="J60" s="6" t="s">
        <v>52</v>
      </c>
      <c r="K60" s="6" t="s">
        <v>261</v>
      </c>
      <c r="L60" s="6" t="s">
        <v>262</v>
      </c>
      <c r="M60" s="6" t="s">
        <v>256</v>
      </c>
      <c r="N60" s="6" t="s">
        <v>263</v>
      </c>
      <c r="O60" s="6" t="s">
        <v>57</v>
      </c>
      <c r="P60" s="12" t="str">
        <f>IF(O60&lt;&gt;"Yes","N/A",IF(M60="Not disclosed","BLOCKED",IF(AND(H60&lt;&gt;"",I60&lt;&gt;"",K60&lt;&gt;"",M60&lt;&gt;""),"MAPPED","MISSING")))</f>
        <v>MAPPED</v>
      </c>
    </row>
    <row r="61" ht="52" hidden="0" outlineLevel="0" collapsed="0">
      <c r="A61" s="6" t="s">
        <v>264</v>
      </c>
      <c r="B61" s="6" t="s">
        <v>265</v>
      </c>
      <c r="C61" s="6" t="s">
        <v>248</v>
      </c>
      <c r="D61" s="11">
        <v>500</v>
      </c>
      <c r="E61" s="6" t="s">
        <v>47</v>
      </c>
      <c r="F61" s="6" t="s">
        <v>250</v>
      </c>
      <c r="G61" s="6" t="s">
        <v>251</v>
      </c>
      <c r="H61" s="6" t="s">
        <v>252</v>
      </c>
      <c r="I61" s="6" t="s">
        <v>266</v>
      </c>
      <c r="J61" s="6" t="s">
        <v>52</v>
      </c>
      <c r="K61" s="6" t="s">
        <v>267</v>
      </c>
      <c r="L61" s="6" t="s">
        <v>268</v>
      </c>
      <c r="M61" s="6" t="s">
        <v>256</v>
      </c>
      <c r="N61" s="6" t="s">
        <v>269</v>
      </c>
      <c r="O61" s="6" t="s">
        <v>57</v>
      </c>
      <c r="P61" s="12" t="str">
        <f>IF(O61&lt;&gt;"Yes","N/A",IF(M61="Not disclosed","BLOCKED",IF(AND(H61&lt;&gt;"",I61&lt;&gt;"",K61&lt;&gt;"",M61&lt;&gt;""),"MAPPED","MISSING")))</f>
        <v>MAPPED</v>
      </c>
    </row>
    <row r="62" ht="52" hidden="0" outlineLevel="0" collapsed="0">
      <c r="A62" s="6" t="s">
        <v>270</v>
      </c>
      <c r="B62" s="6" t="s">
        <v>271</v>
      </c>
      <c r="C62" s="6" t="s">
        <v>248</v>
      </c>
      <c r="D62" s="11">
        <v>0.225</v>
      </c>
      <c r="E62" s="6" t="s">
        <v>249</v>
      </c>
      <c r="F62" s="6" t="s">
        <v>250</v>
      </c>
      <c r="G62" s="6" t="s">
        <v>251</v>
      </c>
      <c r="H62" s="6" t="s">
        <v>252</v>
      </c>
      <c r="I62" s="6" t="s">
        <v>272</v>
      </c>
      <c r="J62" s="6" t="s">
        <v>52</v>
      </c>
      <c r="K62" s="6" t="s">
        <v>273</v>
      </c>
      <c r="L62" s="6" t="s">
        <v>274</v>
      </c>
      <c r="M62" s="6" t="s">
        <v>256</v>
      </c>
      <c r="N62" s="6" t="s">
        <v>275</v>
      </c>
      <c r="O62" s="6" t="s">
        <v>57</v>
      </c>
      <c r="P62" s="12" t="str">
        <f>IF(O62&lt;&gt;"Yes","N/A",IF(M62="Not disclosed","BLOCKED",IF(AND(H62&lt;&gt;"",I62&lt;&gt;"",K62&lt;&gt;"",M62&lt;&gt;""),"MAPPED","MISSING")))</f>
        <v>MAPPED</v>
      </c>
    </row>
    <row r="63" ht="52" hidden="0" outlineLevel="0" collapsed="0">
      <c r="A63" s="6" t="s">
        <v>276</v>
      </c>
      <c r="B63" s="6" t="s">
        <v>277</v>
      </c>
      <c r="C63" s="6" t="s">
        <v>278</v>
      </c>
      <c r="D63" s="11">
        <v>0.243</v>
      </c>
      <c r="E63" s="6" t="s">
        <v>249</v>
      </c>
      <c r="F63" s="6" t="s">
        <v>279</v>
      </c>
      <c r="G63" s="6" t="s">
        <v>280</v>
      </c>
      <c r="H63" s="6" t="s">
        <v>71</v>
      </c>
      <c r="I63" s="6" t="s">
        <v>281</v>
      </c>
      <c r="J63" s="6" t="s">
        <v>52</v>
      </c>
      <c r="K63" s="6" t="s">
        <v>282</v>
      </c>
      <c r="L63" s="6" t="s">
        <v>283</v>
      </c>
      <c r="M63" s="6" t="s">
        <v>256</v>
      </c>
      <c r="N63" s="6" t="s">
        <v>284</v>
      </c>
      <c r="O63" s="6" t="s">
        <v>57</v>
      </c>
      <c r="P63" s="12" t="str">
        <f>IF(O63&lt;&gt;"Yes","N/A",IF(M63="Not disclosed","BLOCKED",IF(AND(H63&lt;&gt;"",I63&lt;&gt;"",K63&lt;&gt;"",M63&lt;&gt;""),"MAPPED","MISSING")))</f>
        <v>MAPPED</v>
      </c>
    </row>
    <row r="64" ht="52" hidden="0" outlineLevel="0" collapsed="0">
      <c r="A64" s="6" t="s">
        <v>285</v>
      </c>
      <c r="B64" s="6" t="s">
        <v>286</v>
      </c>
      <c r="C64" s="6" t="s">
        <v>278</v>
      </c>
      <c r="D64" s="11">
        <v>0.0194268671153924</v>
      </c>
      <c r="E64" s="6" t="s">
        <v>249</v>
      </c>
      <c r="F64" s="6" t="s">
        <v>192</v>
      </c>
      <c r="G64" s="6" t="s">
        <v>280</v>
      </c>
      <c r="H64" s="6" t="s">
        <v>193</v>
      </c>
      <c r="I64" s="6" t="s">
        <v>287</v>
      </c>
      <c r="J64" s="6" t="s">
        <v>52</v>
      </c>
      <c r="K64" s="6" t="s">
        <v>288</v>
      </c>
      <c r="L64" s="6" t="s">
        <v>289</v>
      </c>
      <c r="M64" s="6" t="s">
        <v>256</v>
      </c>
      <c r="N64" s="6" t="s">
        <v>290</v>
      </c>
      <c r="O64" s="6" t="s">
        <v>57</v>
      </c>
      <c r="P64" s="12" t="str">
        <f>IF(O64&lt;&gt;"Yes","N/A",IF(M64="Not disclosed","BLOCKED",IF(AND(H64&lt;&gt;"",I64&lt;&gt;"",K64&lt;&gt;"",M64&lt;&gt;""),"MAPPED","MISSING")))</f>
        <v>MAPPED</v>
      </c>
    </row>
    <row r="65" ht="52" hidden="0" outlineLevel="0" collapsed="0">
      <c r="A65" s="6" t="s">
        <v>291</v>
      </c>
      <c r="B65" s="6" t="s">
        <v>292</v>
      </c>
      <c r="C65" s="6" t="s">
        <v>293</v>
      </c>
      <c r="D65" s="11">
        <v>0.04</v>
      </c>
      <c r="E65" s="6" t="s">
        <v>249</v>
      </c>
      <c r="F65" s="6" t="s">
        <v>294</v>
      </c>
      <c r="G65" s="6" t="s">
        <v>295</v>
      </c>
      <c r="H65" s="6" t="s">
        <v>296</v>
      </c>
      <c r="I65" s="6" t="s">
        <v>297</v>
      </c>
      <c r="J65" s="6" t="s">
        <v>52</v>
      </c>
      <c r="K65" s="6" t="s">
        <v>298</v>
      </c>
      <c r="L65" s="6" t="s">
        <v>299</v>
      </c>
      <c r="M65" s="6" t="s">
        <v>256</v>
      </c>
      <c r="N65" s="6" t="s">
        <v>300</v>
      </c>
      <c r="O65" s="6" t="s">
        <v>57</v>
      </c>
      <c r="P65" s="12" t="str">
        <f>IF(O65&lt;&gt;"Yes","N/A",IF(M65="Not disclosed","BLOCKED",IF(AND(H65&lt;&gt;"",I65&lt;&gt;"",K65&lt;&gt;"",M65&lt;&gt;""),"MAPPED","MISSING")))</f>
        <v>MAPPED</v>
      </c>
    </row>
    <row r="66" ht="52" hidden="0" outlineLevel="0" collapsed="0">
      <c r="A66" s="6" t="s">
        <v>301</v>
      </c>
      <c r="B66" s="6" t="s">
        <v>302</v>
      </c>
      <c r="C66" s="6" t="s">
        <v>293</v>
      </c>
      <c r="D66" s="11">
        <v>0.09</v>
      </c>
      <c r="E66" s="6" t="s">
        <v>249</v>
      </c>
      <c r="F66" s="6" t="s">
        <v>294</v>
      </c>
      <c r="G66" s="6" t="s">
        <v>295</v>
      </c>
      <c r="H66" s="6" t="s">
        <v>296</v>
      </c>
      <c r="I66" s="6" t="s">
        <v>303</v>
      </c>
      <c r="J66" s="6" t="s">
        <v>52</v>
      </c>
      <c r="K66" s="6" t="s">
        <v>304</v>
      </c>
      <c r="L66" s="6" t="s">
        <v>305</v>
      </c>
      <c r="M66" s="6" t="s">
        <v>256</v>
      </c>
      <c r="N66" s="6" t="s">
        <v>300</v>
      </c>
      <c r="O66" s="6" t="s">
        <v>57</v>
      </c>
      <c r="P66" s="12" t="str">
        <f>IF(O66&lt;&gt;"Yes","N/A",IF(M66="Not disclosed","BLOCKED",IF(AND(H66&lt;&gt;"",I66&lt;&gt;"",K66&lt;&gt;"",M66&lt;&gt;""),"MAPPED","MISSING")))</f>
        <v>MAPPED</v>
      </c>
    </row>
    <row r="67" ht="52" hidden="0" outlineLevel="0" collapsed="0">
      <c r="A67" s="6" t="s">
        <v>306</v>
      </c>
      <c r="B67" s="6" t="s">
        <v>307</v>
      </c>
      <c r="C67" s="6" t="s">
        <v>293</v>
      </c>
      <c r="D67" s="11">
        <v>0.02</v>
      </c>
      <c r="E67" s="6" t="s">
        <v>249</v>
      </c>
      <c r="F67" s="6" t="s">
        <v>294</v>
      </c>
      <c r="G67" s="6" t="s">
        <v>295</v>
      </c>
      <c r="H67" s="6" t="s">
        <v>296</v>
      </c>
      <c r="I67" s="6" t="s">
        <v>308</v>
      </c>
      <c r="J67" s="6" t="s">
        <v>52</v>
      </c>
      <c r="K67" s="6" t="s">
        <v>309</v>
      </c>
      <c r="L67" s="6" t="s">
        <v>310</v>
      </c>
      <c r="M67" s="6" t="s">
        <v>256</v>
      </c>
      <c r="N67" s="6" t="s">
        <v>300</v>
      </c>
      <c r="O67" s="6" t="s">
        <v>57</v>
      </c>
      <c r="P67" s="12" t="str">
        <f>IF(O67&lt;&gt;"Yes","N/A",IF(M67="Not disclosed","BLOCKED",IF(AND(H67&lt;&gt;"",I67&lt;&gt;"",K67&lt;&gt;"",M67&lt;&gt;""),"MAPPED","MISSING")))</f>
        <v>MAPPED</v>
      </c>
    </row>
    <row r="68" ht="52" hidden="0" outlineLevel="0" collapsed="0">
      <c r="A68" s="6" t="s">
        <v>311</v>
      </c>
      <c r="B68" s="6" t="s">
        <v>312</v>
      </c>
      <c r="C68" s="6" t="s">
        <v>313</v>
      </c>
      <c r="D68" s="11">
        <v>0.085</v>
      </c>
      <c r="E68" s="6" t="s">
        <v>249</v>
      </c>
      <c r="F68" s="6" t="s">
        <v>314</v>
      </c>
      <c r="G68" s="6" t="s">
        <v>295</v>
      </c>
      <c r="H68" s="6" t="s">
        <v>296</v>
      </c>
      <c r="I68" s="6" t="s">
        <v>315</v>
      </c>
      <c r="J68" s="6" t="s">
        <v>52</v>
      </c>
      <c r="K68" s="6" t="s">
        <v>316</v>
      </c>
      <c r="L68" s="6" t="s">
        <v>317</v>
      </c>
      <c r="M68" s="6" t="s">
        <v>256</v>
      </c>
      <c r="N68" s="6" t="s">
        <v>318</v>
      </c>
      <c r="O68" s="6" t="s">
        <v>57</v>
      </c>
      <c r="P68" s="12" t="str">
        <f>IF(O68&lt;&gt;"Yes","N/A",IF(M68="Not disclosed","BLOCKED",IF(AND(H68&lt;&gt;"",I68&lt;&gt;"",K68&lt;&gt;"",M68&lt;&gt;""),"MAPPED","MISSING")))</f>
        <v>MAPPED</v>
      </c>
    </row>
    <row r="69" ht="52" hidden="0" outlineLevel="0" collapsed="0">
      <c r="A69" s="6" t="s">
        <v>319</v>
      </c>
      <c r="B69" s="6" t="s">
        <v>320</v>
      </c>
      <c r="C69" s="6" t="s">
        <v>321</v>
      </c>
      <c r="D69" s="11">
        <v>0.025</v>
      </c>
      <c r="E69" s="6" t="s">
        <v>249</v>
      </c>
      <c r="F69" s="6" t="s">
        <v>314</v>
      </c>
      <c r="G69" s="6" t="s">
        <v>295</v>
      </c>
      <c r="H69" s="6" t="s">
        <v>296</v>
      </c>
      <c r="I69" s="6" t="s">
        <v>322</v>
      </c>
      <c r="J69" s="6" t="s">
        <v>52</v>
      </c>
      <c r="K69" s="6" t="s">
        <v>323</v>
      </c>
      <c r="L69" s="6" t="s">
        <v>324</v>
      </c>
      <c r="M69" s="6" t="s">
        <v>256</v>
      </c>
      <c r="N69" s="6" t="s">
        <v>318</v>
      </c>
      <c r="O69" s="6" t="s">
        <v>57</v>
      </c>
      <c r="P69" s="12" t="str">
        <f>IF(O69&lt;&gt;"Yes","N/A",IF(M69="Not disclosed","BLOCKED",IF(AND(H69&lt;&gt;"",I69&lt;&gt;"",K69&lt;&gt;"",M69&lt;&gt;""),"MAPPED","MISSING")))</f>
        <v>MAPPED</v>
      </c>
    </row>
    <row r="70" ht="52" hidden="0" outlineLevel="0" collapsed="0">
      <c r="A70" s="6" t="s">
        <v>325</v>
      </c>
      <c r="B70" s="6" t="s">
        <v>326</v>
      </c>
      <c r="C70" s="6" t="s">
        <v>14</v>
      </c>
      <c r="D70" s="11">
        <v>169.05</v>
      </c>
      <c r="E70" s="6" t="s">
        <v>327</v>
      </c>
      <c r="F70" s="6" t="s">
        <v>279</v>
      </c>
      <c r="G70" s="6" t="s">
        <v>49</v>
      </c>
      <c r="H70" s="6" t="s">
        <v>71</v>
      </c>
      <c r="I70" s="6" t="s">
        <v>328</v>
      </c>
      <c r="J70" s="6" t="s">
        <v>52</v>
      </c>
      <c r="K70" s="6" t="s">
        <v>329</v>
      </c>
      <c r="L70" s="6" t="s">
        <v>330</v>
      </c>
      <c r="M70" s="6" t="s">
        <v>55</v>
      </c>
      <c r="N70" s="6" t="s">
        <v>331</v>
      </c>
      <c r="O70" s="6" t="s">
        <v>57</v>
      </c>
      <c r="P70" s="12" t="str">
        <f>IF(O70&lt;&gt;"Yes","N/A",IF(M70="Not disclosed","BLOCKED",IF(AND(H70&lt;&gt;"",I70&lt;&gt;"",K70&lt;&gt;"",M70&lt;&gt;""),"MAPPED","MISSING")))</f>
        <v>MAPPED</v>
      </c>
    </row>
    <row r="71" hidden="0" outlineLevel="0" collapsed="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hidden="0" outlineLevel="0" collapsed="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hidden="0" outlineLevel="0" collapsed="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hidden="0" outlineLevel="0" collapsed="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hidden="0" outlineLevel="0" collapsed="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hidden="0" outlineLevel="0" collapsed="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hidden="0" outlineLevel="0" collapsed="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hidden="0" outlineLevel="0" collapsed="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hidden="0" outlineLevel="0" collapsed="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hidden="0" outlineLevel="0" collapsed="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hidden="0" outlineLevel="0" collapsed="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hidden="0" outlineLevel="0" collapsed="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hidden="0" outlineLevel="0" collapsed="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hidden="0" outlineLevel="0" collapsed="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hidden="0" outlineLevel="0" collapsed="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hidden="0" outlineLevel="0" collapsed="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hidden="0" outlineLevel="0" collapsed="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hidden="0" outlineLevel="0" collapsed="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hidden="0" outlineLevel="0" collapsed="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hidden="0" outlineLevel="0" collapsed="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hidden="0" outlineLevel="0" collapsed="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hidden="0" outlineLevel="0" collapsed="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hidden="0" outlineLevel="0" collapsed="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hidden="0" outlineLevel="0" collapsed="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hidden="0" outlineLevel="0" collapsed="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hidden="0" outlineLevel="0" collapsed="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hidden="0" outlineLevel="0" collapsed="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hidden="0" outlineLevel="0" collapsed="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hidden="0" outlineLevel="0" collapsed="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hidden="0" outlineLevel="0" collapsed="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hidden="0" outlineLevel="0" collapsed="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hidden="0" outlineLevel="0" collapsed="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hidden="0" outlineLevel="0" collapsed="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hidden="0" outlineLevel="0" collapsed="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hidden="0" outlineLevel="0" collapsed="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hidden="0" outlineLevel="0" collapsed="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hidden="0" outlineLevel="0" collapsed="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hidden="0" outlineLevel="0" collapsed="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hidden="0" outlineLevel="0" collapsed="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hidden="0" outlineLevel="0" collapsed="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hidden="0" outlineLevel="0" collapsed="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hidden="0" outlineLevel="0" collapsed="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hidden="0" outlineLevel="0" collapsed="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hidden="0" outlineLevel="0" collapsed="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hidden="0" outlineLevel="0" collapsed="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hidden="0" outlineLevel="0" collapsed="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hidden="0" outlineLevel="0" collapsed="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hidden="0" outlineLevel="0" collapsed="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hidden="0" outlineLevel="0" collapsed="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hidden="0" outlineLevel="0" collapsed="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hidden="0" outlineLevel="0" collapsed="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hidden="0" outlineLevel="0" collapsed="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hidden="0" outlineLevel="0" collapsed="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hidden="0" outlineLevel="0" collapsed="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hidden="0" outlineLevel="0" collapsed="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hidden="0" outlineLevel="0" collapsed="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hidden="0" outlineLevel="0" collapsed="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hidden="0" outlineLevel="0" collapsed="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hidden="0" outlineLevel="0" collapsed="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hidden="0" outlineLevel="0" collapsed="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hidden="0" outlineLevel="0" collapsed="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hidden="0" outlineLevel="0" collapsed="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hidden="0" outlineLevel="0" collapsed="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hidden="0" outlineLevel="0" collapsed="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hidden="0" outlineLevel="0" collapsed="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hidden="0" outlineLevel="0" collapsed="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hidden="0" outlineLevel="0" collapsed="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hidden="0" outlineLevel="0" collapsed="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hidden="0" outlineLevel="0" collapsed="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hidden="0" outlineLevel="0" collapsed="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hidden="0" outlineLevel="0" collapsed="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hidden="0" outlineLevel="0" collapsed="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hidden="0" outlineLevel="0" collapsed="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hidden="0" outlineLevel="0" collapsed="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hidden="0" outlineLevel="0" collapsed="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hidden="0" outlineLevel="0" collapsed="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hidden="0" outlineLevel="0" collapsed="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hidden="0" outlineLevel="0" collapsed="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hidden="0" outlineLevel="0" collapsed="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hidden="0" outlineLevel="0" collapsed="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hidden="0" outlineLevel="0" collapsed="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hidden="0" outlineLevel="0" collapsed="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hidden="0" outlineLevel="0" collapsed="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hidden="0" outlineLevel="0" collapsed="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hidden="0" outlineLevel="0" collapsed="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hidden="0" outlineLevel="0" collapsed="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hidden="0" outlineLevel="0" collapsed="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hidden="0" outlineLevel="0" collapsed="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hidden="0" outlineLevel="0" collapsed="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hidden="0" outlineLevel="0" collapsed="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hidden="0" outlineLevel="0" collapsed="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hidden="0" outlineLevel="0" collapsed="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hidden="0" outlineLevel="0" collapsed="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hidden="0" outlineLevel="0" collapsed="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hidden="0" outlineLevel="0" collapsed="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hidden="0" outlineLevel="0" collapsed="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hidden="0" outlineLevel="0" collapsed="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hidden="0" outlineLevel="0" collapsed="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hidden="0" outlineLevel="0" collapsed="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hidden="0" outlineLevel="0" collapsed="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hidden="0" outlineLevel="0" collapsed="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hidden="0" outlineLevel="0" collapsed="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hidden="0" outlineLevel="0" collapsed="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hidden="0" outlineLevel="0" collapsed="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hidden="0" outlineLevel="0" collapsed="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hidden="0" outlineLevel="0" collapsed="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hidden="0" outlineLevel="0" collapsed="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hidden="0" outlineLevel="0" collapsed="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hidden="0" outlineLevel="0" collapsed="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hidden="0" outlineLevel="0" collapsed="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hidden="0" outlineLevel="0" collapsed="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hidden="0" outlineLevel="0" collapsed="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hidden="0" outlineLevel="0" collapsed="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hidden="0" outlineLevel="0" collapsed="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hidden="0" outlineLevel="0" collapsed="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hidden="0" outlineLevel="0" collapsed="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hidden="0" outlineLevel="0" collapsed="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hidden="0" outlineLevel="0" collapsed="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hidden="0" outlineLevel="0" collapsed="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hidden="0" outlineLevel="0" collapsed="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hidden="0" outlineLevel="0" collapsed="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hidden="0" outlineLevel="0" collapsed="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hidden="0" outlineLevel="0" collapsed="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hidden="0" outlineLevel="0" collapsed="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hidden="0" outlineLevel="0" collapsed="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hidden="0" outlineLevel="0" collapsed="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hidden="0" outlineLevel="0" collapsed="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hidden="0" outlineLevel="0" collapsed="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hidden="0" outlineLevel="0" collapsed="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hidden="0" outlineLevel="0" collapsed="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hidden="0" outlineLevel="0" collapsed="0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hidden="0" outlineLevel="0" collapsed="0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hidden="0" outlineLevel="0" collapsed="0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hidden="0" outlineLevel="0" collapsed="0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hidden="0" outlineLevel="0" collapsed="0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hidden="0" outlineLevel="0" collapsed="0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hidden="0" outlineLevel="0" collapsed="0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hidden="0" outlineLevel="0" collapsed="0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hidden="0" outlineLevel="0" collapsed="0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hidden="0" outlineLevel="0" collapsed="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hidden="0" outlineLevel="0" collapsed="0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hidden="0" outlineLevel="0" collapsed="0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hidden="0" outlineLevel="0" collapsed="0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hidden="0" outlineLevel="0" collapsed="0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hidden="0" outlineLevel="0" collapsed="0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hidden="0" outlineLevel="0" collapsed="0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hidden="0" outlineLevel="0" collapsed="0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hidden="0" outlineLevel="0" collapsed="0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hidden="0" outlineLevel="0" collapsed="0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hidden="0" outlineLevel="0" collapsed="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ht="20.85" hidden="0" outlineLevel="0" collapsed="0">
      <c r="A221" s="13" t="s">
        <v>332</v>
      </c>
      <c r="B221" s="13" t="s">
        <v>333</v>
      </c>
      <c r="C221" s="13" t="s">
        <v>75</v>
      </c>
      <c r="D221" s="13">
        <v>14232</v>
      </c>
      <c r="E221" s="13" t="s">
        <v>47</v>
      </c>
      <c r="F221" s="13" t="s">
        <v>334</v>
      </c>
      <c r="G221" s="13" t="s">
        <v>49</v>
      </c>
      <c r="H221" s="13" t="s">
        <v>335</v>
      </c>
      <c r="I221" s="13" t="s">
        <v>336</v>
      </c>
      <c r="J221" s="13" t="s">
        <v>52</v>
      </c>
      <c r="K221" s="13" t="s">
        <v>337</v>
      </c>
      <c r="L221" s="13" t="s">
        <v>330</v>
      </c>
      <c r="M221" s="13" t="s">
        <v>55</v>
      </c>
      <c r="N221" s="13" t="s">
        <v>338</v>
      </c>
      <c r="O221" s="13" t="s">
        <v>57</v>
      </c>
      <c r="P221" s="13" t="s">
        <v>339</v>
      </c>
    </row>
    <row r="222" ht="20.85" hidden="0" outlineLevel="0" collapsed="0">
      <c r="A222" s="13" t="s">
        <v>340</v>
      </c>
      <c r="B222" s="13" t="s">
        <v>341</v>
      </c>
      <c r="C222" s="13" t="s">
        <v>75</v>
      </c>
      <c r="D222" s="13">
        <v>8764</v>
      </c>
      <c r="E222" s="13" t="s">
        <v>47</v>
      </c>
      <c r="F222" s="13" t="s">
        <v>334</v>
      </c>
      <c r="G222" s="13" t="s">
        <v>49</v>
      </c>
      <c r="H222" s="13" t="s">
        <v>335</v>
      </c>
      <c r="I222" s="13" t="s">
        <v>342</v>
      </c>
      <c r="J222" s="13" t="s">
        <v>52</v>
      </c>
      <c r="K222" s="13" t="s">
        <v>343</v>
      </c>
      <c r="L222" s="13" t="s">
        <v>330</v>
      </c>
      <c r="M222" s="13" t="s">
        <v>55</v>
      </c>
      <c r="N222" s="13" t="s">
        <v>338</v>
      </c>
      <c r="O222" s="13" t="s">
        <v>57</v>
      </c>
      <c r="P222" s="13" t="s">
        <v>339</v>
      </c>
    </row>
    <row r="223" ht="20.85" hidden="0" outlineLevel="0" collapsed="0">
      <c r="A223" s="13" t="s">
        <v>344</v>
      </c>
      <c r="B223" s="13" t="s">
        <v>345</v>
      </c>
      <c r="C223" s="13" t="s">
        <v>75</v>
      </c>
      <c r="D223" s="13">
        <v>1815</v>
      </c>
      <c r="E223" s="13" t="s">
        <v>47</v>
      </c>
      <c r="F223" s="13" t="s">
        <v>334</v>
      </c>
      <c r="G223" s="13" t="s">
        <v>49</v>
      </c>
      <c r="H223" s="13" t="s">
        <v>335</v>
      </c>
      <c r="I223" s="13" t="s">
        <v>346</v>
      </c>
      <c r="J223" s="13" t="s">
        <v>52</v>
      </c>
      <c r="K223" s="13" t="s">
        <v>347</v>
      </c>
      <c r="L223" s="13" t="s">
        <v>330</v>
      </c>
      <c r="M223" s="13" t="s">
        <v>55</v>
      </c>
      <c r="N223" s="13" t="s">
        <v>338</v>
      </c>
      <c r="O223" s="13" t="s">
        <v>57</v>
      </c>
      <c r="P223" s="13" t="s">
        <v>339</v>
      </c>
    </row>
    <row r="224" ht="20.85" hidden="0" outlineLevel="0" collapsed="0">
      <c r="A224" s="13" t="s">
        <v>348</v>
      </c>
      <c r="B224" s="13" t="s">
        <v>349</v>
      </c>
      <c r="C224" s="13" t="s">
        <v>75</v>
      </c>
      <c r="D224" s="13">
        <v>14833</v>
      </c>
      <c r="E224" s="13" t="s">
        <v>47</v>
      </c>
      <c r="F224" s="13" t="s">
        <v>334</v>
      </c>
      <c r="G224" s="13" t="s">
        <v>49</v>
      </c>
      <c r="H224" s="13" t="s">
        <v>335</v>
      </c>
      <c r="I224" s="13" t="s">
        <v>350</v>
      </c>
      <c r="J224" s="13" t="s">
        <v>52</v>
      </c>
      <c r="K224" s="13" t="s">
        <v>351</v>
      </c>
      <c r="L224" s="13" t="s">
        <v>330</v>
      </c>
      <c r="M224" s="13" t="s">
        <v>55</v>
      </c>
      <c r="N224" s="13" t="s">
        <v>352</v>
      </c>
      <c r="O224" s="13" t="s">
        <v>353</v>
      </c>
      <c r="P224" s="13" t="s">
        <v>339</v>
      </c>
    </row>
    <row r="225" ht="20.85" hidden="0" outlineLevel="0" collapsed="0">
      <c r="A225" s="13" t="s">
        <v>354</v>
      </c>
      <c r="B225" s="13" t="s">
        <v>355</v>
      </c>
      <c r="C225" s="13" t="s">
        <v>75</v>
      </c>
      <c r="D225" s="13">
        <v>9931</v>
      </c>
      <c r="E225" s="13" t="s">
        <v>47</v>
      </c>
      <c r="F225" s="13" t="s">
        <v>334</v>
      </c>
      <c r="G225" s="13" t="s">
        <v>49</v>
      </c>
      <c r="H225" s="13" t="s">
        <v>335</v>
      </c>
      <c r="I225" s="13" t="s">
        <v>356</v>
      </c>
      <c r="J225" s="13" t="s">
        <v>52</v>
      </c>
      <c r="K225" s="13" t="s">
        <v>357</v>
      </c>
      <c r="L225" s="13" t="s">
        <v>330</v>
      </c>
      <c r="M225" s="13" t="s">
        <v>55</v>
      </c>
      <c r="N225" s="13" t="s">
        <v>352</v>
      </c>
      <c r="O225" s="13" t="s">
        <v>353</v>
      </c>
      <c r="P225" s="13" t="s">
        <v>339</v>
      </c>
    </row>
    <row r="226" ht="20.85" hidden="0" outlineLevel="0" collapsed="0">
      <c r="A226" s="13" t="s">
        <v>358</v>
      </c>
      <c r="B226" s="13" t="s">
        <v>359</v>
      </c>
      <c r="C226" s="13" t="s">
        <v>75</v>
      </c>
      <c r="D226" s="13">
        <v>178.665018</v>
      </c>
      <c r="E226" s="13" t="s">
        <v>210</v>
      </c>
      <c r="F226" s="13" t="s">
        <v>279</v>
      </c>
      <c r="G226" s="13" t="s">
        <v>49</v>
      </c>
      <c r="H226" s="13" t="s">
        <v>71</v>
      </c>
      <c r="I226" s="13" t="s">
        <v>360</v>
      </c>
      <c r="J226" s="13" t="s">
        <v>52</v>
      </c>
      <c r="K226" s="13" t="s">
        <v>361</v>
      </c>
      <c r="L226" s="13" t="s">
        <v>213</v>
      </c>
      <c r="M226" s="13" t="s">
        <v>55</v>
      </c>
      <c r="N226" s="13" t="s">
        <v>362</v>
      </c>
      <c r="O226" s="13" t="s">
        <v>57</v>
      </c>
      <c r="P226" s="13" t="s">
        <v>339</v>
      </c>
    </row>
    <row r="227" ht="20.85" hidden="0" outlineLevel="0" collapsed="0">
      <c r="A227" s="13" t="s">
        <v>363</v>
      </c>
      <c r="B227" s="13" t="s">
        <v>364</v>
      </c>
      <c r="C227" s="13" t="s">
        <v>278</v>
      </c>
      <c r="D227" s="13"/>
      <c r="E227" s="13" t="s">
        <v>365</v>
      </c>
      <c r="F227" s="13" t="s">
        <v>366</v>
      </c>
      <c r="G227" s="13" t="s">
        <v>294</v>
      </c>
      <c r="H227" s="13" t="s">
        <v>367</v>
      </c>
      <c r="I227" s="13" t="s">
        <v>368</v>
      </c>
      <c r="J227" s="13" t="s">
        <v>52</v>
      </c>
      <c r="K227" s="13" t="s">
        <v>369</v>
      </c>
      <c r="L227" s="13" t="s">
        <v>370</v>
      </c>
      <c r="M227" s="13" t="s">
        <v>256</v>
      </c>
      <c r="N227" s="13" t="s">
        <v>371</v>
      </c>
      <c r="O227" s="13" t="s">
        <v>57</v>
      </c>
      <c r="P227" s="13" t="s">
        <v>339</v>
      </c>
    </row>
  </sheetData>
  <mergeCells count="2">
    <mergeCell ref="A1:P1"/>
    <mergeCell ref="A2:P2"/>
  </mergeCells>
  <conditionalFormatting sqref="P5:P70">
    <cfRule type="containsText" priority="2" operator="containsText" text="MAPPED" dxfId="0">
      <formula>NOT(ISERROR(SEARCH("MAPPED",P5)))</formula>
    </cfRule>
    <cfRule type="containsText" priority="3" operator="containsText" text="BLOCKED" dxfId="1">
      <formula>NOT(ISERROR(SEARCH("BLOCKED",P5)))</formula>
    </cfRule>
    <cfRule type="containsText" priority="4" operator="containsText" text="MISSING" dxfId="2">
      <formula>NOT(ISERROR(SEARCH("MISSING",P5)))</formula>
    </cfRule>
  </conditionalFormatting>
  <conditionalFormatting sqref="P221:P227">
    <cfRule type="containsText" priority="5" operator="containsText" text="PASS" dxfId="3">
      <formula>NOT(ISERROR(SEARCH("PASS",P221)))</formula>
    </cfRule>
    <cfRule type="containsText" priority="6" operator="containsText" text="PENDING" dxfId="4">
      <formula>NOT(ISERROR(SEARCH("PENDING",P221)))</formula>
    </cfRule>
    <cfRule type="containsText" priority="7" operator="containsText" text="BLOCKER" dxfId="5">
      <formula>NOT(ISERROR(SEARCH("BLOCKER",P221)))</formula>
    </cfRule>
    <cfRule type="containsText" priority="8" operator="containsText" text="PASS" dxfId="6">
      <formula>NOT(ISERROR(SEARCH("PASS",P221)))</formula>
    </cfRule>
    <cfRule type="containsText" priority="9" operator="containsText" text="PENDING" dxfId="7">
      <formula>NOT(ISERROR(SEARCH("PENDING",P221)))</formula>
    </cfRule>
    <cfRule type="containsText" priority="10" operator="containsText" text="BLOCKER" dxfId="8">
      <formula>NOT(ISERROR(SEARCH("BLOCKER",P221)))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3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2" style="1" customWidth="1"/>
    <col min="2" max="6" width="14" style="1" customWidth="1"/>
    <col min="7" max="8" width="28" style="1" customWidth="1"/>
  </cols>
  <sheetData>
    <row r="1" ht="26" hidden="0" outlineLevel="0" collapsed="0">
      <c r="A1" s="2" t="s">
        <v>372</v>
      </c>
      <c r="B1" s="2"/>
      <c r="C1" s="2"/>
      <c r="D1" s="2"/>
      <c r="E1" s="2"/>
      <c r="F1" s="2"/>
      <c r="G1" s="2"/>
      <c r="H1" s="2"/>
    </row>
    <row r="2" ht="32" hidden="0" outlineLevel="0" collapsed="0">
      <c r="A2" s="3" t="s">
        <v>373</v>
      </c>
      <c r="B2" s="3"/>
      <c r="C2" s="3"/>
      <c r="D2" s="3"/>
      <c r="E2" s="3"/>
      <c r="F2" s="3"/>
      <c r="G2" s="3"/>
      <c r="H2" s="3"/>
    </row>
    <row r="3" hidden="0" outlineLevel="0" collapsed="0">
      <c r="A3" s="4"/>
      <c r="B3" s="4"/>
      <c r="C3" s="4"/>
      <c r="D3" s="4"/>
      <c r="E3" s="4"/>
      <c r="F3" s="4"/>
      <c r="G3" s="4"/>
      <c r="H3" s="4"/>
    </row>
    <row r="4" hidden="0" outlineLevel="0" collapsed="0">
      <c r="A4" s="5" t="s">
        <v>374</v>
      </c>
      <c r="B4" s="5" t="s">
        <v>375</v>
      </c>
      <c r="C4" s="5" t="s">
        <v>376</v>
      </c>
      <c r="D4" s="5" t="s">
        <v>377</v>
      </c>
      <c r="E4" s="5" t="s">
        <v>378</v>
      </c>
      <c r="F4" s="5" t="s">
        <v>379</v>
      </c>
      <c r="G4" s="5" t="s">
        <v>380</v>
      </c>
      <c r="H4" s="5" t="s">
        <v>40</v>
      </c>
    </row>
    <row r="5" hidden="0" outlineLevel="0" collapsed="0">
      <c r="A5" s="6" t="s">
        <v>45</v>
      </c>
      <c r="B5" s="11">
        <v>21234</v>
      </c>
      <c r="C5" s="11">
        <v>22511</v>
      </c>
      <c r="D5" s="11">
        <v>21427</v>
      </c>
      <c r="E5" s="11">
        <v>23683</v>
      </c>
      <c r="F5" s="11">
        <v>24811</v>
      </c>
      <c r="G5" s="14" t="s">
        <v>381</v>
      </c>
      <c r="H5" s="14" t="str">
        <f>IF(COUNT(B5:F5)=0,"Not disclosed","Reported; see Sources")</f>
        <v>Reported; see Sources</v>
      </c>
    </row>
    <row r="6" hidden="0" outlineLevel="0" collapsed="0">
      <c r="A6" s="6" t="s">
        <v>79</v>
      </c>
      <c r="B6" s="11">
        <v>10765</v>
      </c>
      <c r="C6" s="11">
        <v>10644</v>
      </c>
      <c r="D6" s="11">
        <v>10184</v>
      </c>
      <c r="E6" s="11">
        <v>12026</v>
      </c>
      <c r="F6" s="11">
        <v>12804</v>
      </c>
      <c r="G6" s="14" t="s">
        <v>381</v>
      </c>
      <c r="H6" s="14" t="str">
        <f>IF(COUNT(B6:F6)=0,"Not disclosed","Reported; see Sources")</f>
        <v>Reported; see Sources</v>
      </c>
    </row>
    <row r="7" hidden="0" outlineLevel="0" collapsed="0">
      <c r="A7" s="6" t="s">
        <v>95</v>
      </c>
      <c r="B7" s="11">
        <v>1986</v>
      </c>
      <c r="C7" s="11">
        <v>669</v>
      </c>
      <c r="D7" s="11">
        <v>268</v>
      </c>
      <c r="E7" s="11">
        <v>1337</v>
      </c>
      <c r="F7" s="11">
        <v>2056</v>
      </c>
      <c r="G7" s="14" t="s">
        <v>381</v>
      </c>
      <c r="H7" s="14" t="str">
        <f>IF(COUNT(B7:F7)=0,"Not disclosed","Reported; see Sources")</f>
        <v>Reported; see Sources</v>
      </c>
    </row>
    <row r="8" hidden="0" outlineLevel="0" collapsed="0">
      <c r="A8" s="6" t="s">
        <v>111</v>
      </c>
      <c r="B8" s="11">
        <v>2116</v>
      </c>
      <c r="C8" s="11">
        <v>612</v>
      </c>
      <c r="D8" s="11">
        <v>-75</v>
      </c>
      <c r="E8" s="11">
        <v>764</v>
      </c>
      <c r="F8" s="11">
        <v>1340</v>
      </c>
      <c r="G8" s="14" t="s">
        <v>381</v>
      </c>
      <c r="H8" s="14" t="str">
        <f>IF(COUNT(B8:F8)=0,"Not disclosed","Reported; see Sources")</f>
        <v>Reported; see Sources</v>
      </c>
    </row>
    <row r="9" hidden="0" outlineLevel="0" collapsed="0">
      <c r="A9" s="6" t="s">
        <v>127</v>
      </c>
      <c r="B9" s="11">
        <v>2873</v>
      </c>
      <c r="C9" s="11">
        <v>-458</v>
      </c>
      <c r="D9" s="11">
        <v>2550</v>
      </c>
      <c r="E9" s="11">
        <v>2910</v>
      </c>
      <c r="F9" s="11">
        <v>751</v>
      </c>
      <c r="G9" s="14" t="s">
        <v>381</v>
      </c>
      <c r="H9" s="14" t="str">
        <f>IF(COUNT(B9:F9)=0,"Not disclosed","Reported; see Sources")</f>
        <v>Reported; see Sources</v>
      </c>
    </row>
    <row r="10" hidden="0" outlineLevel="0" collapsed="0">
      <c r="A10" s="6" t="s">
        <v>143</v>
      </c>
      <c r="B10" s="11">
        <v>667</v>
      </c>
      <c r="C10" s="11">
        <v>695</v>
      </c>
      <c r="D10" s="11">
        <v>504</v>
      </c>
      <c r="E10" s="11">
        <v>540</v>
      </c>
      <c r="F10" s="11">
        <v>477</v>
      </c>
      <c r="G10" s="14" t="s">
        <v>381</v>
      </c>
      <c r="H10" s="14" t="str">
        <f>IF(COUNT(B10:F10)=0,"Not disclosed","Reported; see Sources")</f>
        <v>Reported; see Sources</v>
      </c>
    </row>
    <row r="11" hidden="0" outlineLevel="0" collapsed="0">
      <c r="A11" s="6" t="s">
        <v>159</v>
      </c>
      <c r="B11" s="11">
        <v>22137</v>
      </c>
      <c r="C11" s="11">
        <v>20296</v>
      </c>
      <c r="D11" s="11">
        <v>18020</v>
      </c>
      <c r="E11" s="11">
        <v>20655</v>
      </c>
      <c r="F11" s="11">
        <v>20262</v>
      </c>
      <c r="G11" s="14" t="s">
        <v>381</v>
      </c>
      <c r="H11" s="14" t="str">
        <f>IF(COUNT(B11:F11)=0,"Not disclosed","Reported; see Sources")</f>
        <v>Reported; see Sources</v>
      </c>
    </row>
    <row r="12" hidden="0" outlineLevel="0" collapsed="0">
      <c r="A12" s="6" t="s">
        <v>227</v>
      </c>
      <c r="B12" s="11">
        <f>IF(AND(B11&lt;&gt;"",B13&lt;&gt;""),B11-B13,"")</f>
        <v>14618</v>
      </c>
      <c r="C12" s="11">
        <f>IF(AND(C11&lt;&gt;"",C13&lt;&gt;""),C11-C13,"")</f>
        <v>15305</v>
      </c>
      <c r="D12" s="11">
        <f>IF(AND(D11&lt;&gt;"",D13&lt;&gt;""),D11-D13,"")</f>
        <v>13440</v>
      </c>
      <c r="E12" s="11">
        <f>IF(AND(E11&lt;&gt;"",E13&lt;&gt;""),E11-E13,"")</f>
        <v>15179</v>
      </c>
      <c r="F12" s="11">
        <f>IF(AND(F11&lt;&gt;"",F13&lt;&gt;""),F11-F13,"")</f>
        <v>14486</v>
      </c>
      <c r="G12" s="14" t="s">
        <v>382</v>
      </c>
      <c r="H12" s="14" t="s">
        <v>383</v>
      </c>
    </row>
    <row r="13" hidden="0" outlineLevel="0" collapsed="0">
      <c r="A13" s="6" t="s">
        <v>175</v>
      </c>
      <c r="B13" s="11">
        <v>7519</v>
      </c>
      <c r="C13" s="11">
        <v>4991</v>
      </c>
      <c r="D13" s="11">
        <v>4580</v>
      </c>
      <c r="E13" s="11">
        <v>5476</v>
      </c>
      <c r="F13" s="11">
        <v>5776</v>
      </c>
      <c r="G13" s="14" t="s">
        <v>381</v>
      </c>
      <c r="H13" s="14" t="str">
        <f>IF(COUNT(B13:F13)=0,"Not disclosed","Reported; see Sources")</f>
        <v>Reported; see Sources</v>
      </c>
    </row>
    <row r="14" hidden="0" outlineLevel="0" collapsed="0">
      <c r="A14" s="6" t="s">
        <v>191</v>
      </c>
      <c r="B14" s="11"/>
      <c r="C14" s="11"/>
      <c r="D14" s="11"/>
      <c r="E14" s="11">
        <v>3622</v>
      </c>
      <c r="F14" s="11">
        <v>4331</v>
      </c>
      <c r="G14" s="14" t="s">
        <v>381</v>
      </c>
      <c r="H14" s="14" t="str">
        <f>IF(COUNT(B14:F14)=0,"Not disclosed","Reported; see Sources")</f>
        <v>Reported; see Sources</v>
      </c>
    </row>
    <row r="15" hidden="0" outlineLevel="0" collapsed="0">
      <c r="A15" s="6" t="s">
        <v>200</v>
      </c>
      <c r="B15" s="11"/>
      <c r="C15" s="11"/>
      <c r="D15" s="11"/>
      <c r="E15" s="11">
        <v>2455</v>
      </c>
      <c r="F15" s="11">
        <v>1617</v>
      </c>
      <c r="G15" s="14" t="s">
        <v>381</v>
      </c>
      <c r="H15" s="14" t="str">
        <f>IF(COUNT(B15:F15)=0,"Not disclosed","Reported; see Sources")</f>
        <v>Reported; see Sources</v>
      </c>
    </row>
    <row r="16" hidden="0" outlineLevel="0" collapsed="0">
      <c r="A16" s="6" t="s">
        <v>209</v>
      </c>
      <c r="B16" s="15">
        <v>191.594855</v>
      </c>
      <c r="C16" s="15">
        <v>178.537198</v>
      </c>
      <c r="D16" s="15">
        <v>178.549084</v>
      </c>
      <c r="E16" s="15">
        <v>178.549084</v>
      </c>
      <c r="F16" s="15">
        <v>178.665018</v>
      </c>
      <c r="G16" s="14" t="s">
        <v>381</v>
      </c>
      <c r="H16" s="14" t="str">
        <f>IF(COUNT(B16:F16)=0,"Not disclosed","Reported; see Sources")</f>
        <v>Reported; see Sources</v>
      </c>
    </row>
    <row r="17" hidden="0" outlineLevel="0" collapsed="0">
      <c r="A17" s="4"/>
      <c r="B17" s="4"/>
      <c r="C17" s="4"/>
      <c r="D17" s="4"/>
      <c r="E17" s="4"/>
      <c r="F17" s="4"/>
      <c r="G17" s="4"/>
      <c r="H17" s="4"/>
    </row>
    <row r="18" hidden="0" outlineLevel="0" collapsed="0">
      <c r="A18" s="4"/>
      <c r="B18" s="4"/>
      <c r="C18" s="4"/>
      <c r="D18" s="4"/>
      <c r="E18" s="4"/>
      <c r="F18" s="4"/>
      <c r="G18" s="4"/>
      <c r="H18" s="4"/>
    </row>
    <row r="19" hidden="0" outlineLevel="0" collapsed="0">
      <c r="A19" s="4"/>
      <c r="B19" s="4"/>
      <c r="C19" s="4"/>
      <c r="D19" s="4"/>
      <c r="E19" s="4"/>
      <c r="F19" s="4"/>
      <c r="G19" s="4"/>
      <c r="H19" s="4"/>
    </row>
    <row r="20" hidden="0" outlineLevel="0" collapsed="0">
      <c r="A20" s="4"/>
      <c r="B20" s="4"/>
      <c r="C20" s="4"/>
      <c r="D20" s="4"/>
      <c r="E20" s="4"/>
      <c r="F20" s="4"/>
      <c r="G20" s="4"/>
      <c r="H20" s="4"/>
    </row>
    <row r="21" hidden="0" outlineLevel="0" collapsed="0">
      <c r="A21" s="4"/>
      <c r="B21" s="4"/>
      <c r="C21" s="4"/>
      <c r="D21" s="4"/>
      <c r="E21" s="4"/>
      <c r="F21" s="4"/>
      <c r="G21" s="4"/>
      <c r="H21" s="4"/>
    </row>
    <row r="22" hidden="0" outlineLevel="0" collapsed="0">
      <c r="A22" s="4"/>
      <c r="B22" s="4"/>
      <c r="C22" s="4"/>
      <c r="D22" s="4"/>
      <c r="E22" s="4"/>
      <c r="F22" s="4"/>
      <c r="G22" s="4"/>
      <c r="H22" s="4"/>
    </row>
    <row r="23" hidden="0" outlineLevel="0" collapsed="0">
      <c r="A23" s="4"/>
      <c r="B23" s="4"/>
      <c r="C23" s="4"/>
      <c r="D23" s="4"/>
      <c r="E23" s="4"/>
      <c r="F23" s="4"/>
      <c r="G23" s="4"/>
      <c r="H23" s="4"/>
    </row>
    <row r="24" hidden="0" outlineLevel="0" collapsed="0">
      <c r="A24" s="4"/>
      <c r="B24" s="4"/>
      <c r="C24" s="4"/>
      <c r="D24" s="4"/>
      <c r="E24" s="4"/>
      <c r="F24" s="4"/>
      <c r="G24" s="4"/>
      <c r="H24" s="4"/>
    </row>
    <row r="25" hidden="0" outlineLevel="0" collapsed="0">
      <c r="A25" s="4"/>
      <c r="B25" s="4"/>
      <c r="C25" s="4"/>
      <c r="D25" s="4"/>
      <c r="E25" s="4"/>
      <c r="F25" s="4"/>
      <c r="G25" s="4"/>
      <c r="H25" s="4"/>
    </row>
    <row r="26" hidden="0" outlineLevel="0" collapsed="0">
      <c r="A26" s="4"/>
      <c r="B26" s="4"/>
      <c r="C26" s="4"/>
      <c r="D26" s="4"/>
      <c r="E26" s="4"/>
      <c r="F26" s="4"/>
      <c r="G26" s="4"/>
      <c r="H26" s="4"/>
    </row>
    <row r="27" hidden="0" outlineLevel="0" collapsed="0">
      <c r="A27" s="4"/>
      <c r="B27" s="4"/>
      <c r="C27" s="4"/>
      <c r="D27" s="4"/>
      <c r="E27" s="4"/>
      <c r="F27" s="4"/>
      <c r="G27" s="4"/>
      <c r="H27" s="4"/>
    </row>
    <row r="28" hidden="0" outlineLevel="0" collapsed="0">
      <c r="A28" s="4"/>
      <c r="B28" s="4"/>
      <c r="C28" s="4"/>
      <c r="D28" s="4"/>
      <c r="E28" s="4"/>
      <c r="F28" s="4"/>
      <c r="G28" s="4"/>
      <c r="H28" s="4"/>
    </row>
    <row r="29" hidden="0" outlineLevel="0" collapsed="0">
      <c r="A29" s="4"/>
      <c r="B29" s="4"/>
      <c r="C29" s="4"/>
      <c r="D29" s="4"/>
      <c r="E29" s="4"/>
      <c r="F29" s="4"/>
      <c r="G29" s="4"/>
      <c r="H29" s="4"/>
    </row>
    <row r="30" hidden="0" outlineLevel="0" collapsed="0">
      <c r="A30" s="4"/>
      <c r="B30" s="4"/>
      <c r="C30" s="4"/>
      <c r="D30" s="4"/>
      <c r="E30" s="4"/>
      <c r="F30" s="4"/>
      <c r="G30" s="4"/>
      <c r="H30" s="4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4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8" style="1" customWidth="1"/>
    <col min="2" max="5" width="14" style="1" customWidth="1"/>
    <col min="6" max="6" width="64" style="1" customWidth="1"/>
    <col min="7" max="8" width="15" style="1" customWidth="1"/>
  </cols>
  <sheetData>
    <row r="1" ht="26" hidden="0" outlineLevel="0" collapsed="0">
      <c r="A1" s="2" t="s">
        <v>384</v>
      </c>
      <c r="B1" s="2"/>
      <c r="C1" s="2"/>
      <c r="D1" s="2"/>
      <c r="E1" s="2"/>
      <c r="F1" s="2"/>
      <c r="G1" s="16"/>
      <c r="H1" s="16"/>
    </row>
    <row r="2" ht="32" hidden="0" outlineLevel="0" collapsed="0">
      <c r="A2" s="3" t="s">
        <v>385</v>
      </c>
      <c r="B2" s="3"/>
      <c r="C2" s="3"/>
      <c r="D2" s="3"/>
      <c r="E2" s="3"/>
      <c r="F2" s="3"/>
      <c r="G2" s="17"/>
      <c r="H2" s="17"/>
    </row>
    <row r="3" hidden="0" outlineLevel="0" collapsed="0">
      <c r="A3" s="4" t="s">
        <v>386</v>
      </c>
      <c r="B3" s="18">
        <v>1</v>
      </c>
      <c r="C3" s="4"/>
      <c r="D3" s="4"/>
      <c r="E3" s="4"/>
      <c r="F3" s="4"/>
    </row>
    <row r="4" hidden="0" outlineLevel="0" collapsed="0">
      <c r="A4" s="5" t="s">
        <v>374</v>
      </c>
      <c r="B4" s="5" t="s">
        <v>387</v>
      </c>
      <c r="C4" s="5" t="s">
        <v>388</v>
      </c>
      <c r="D4" s="5" t="s">
        <v>389</v>
      </c>
      <c r="E4" s="5" t="s">
        <v>390</v>
      </c>
      <c r="F4" s="5" t="s">
        <v>391</v>
      </c>
    </row>
    <row r="5" ht="23.85" hidden="0" outlineLevel="0" collapsed="0">
      <c r="A5" s="6" t="s">
        <v>247</v>
      </c>
      <c r="B5" s="19">
        <v>0.05</v>
      </c>
      <c r="C5" s="19">
        <v>0.08</v>
      </c>
      <c r="D5" s="19">
        <v>0.11</v>
      </c>
      <c r="E5" s="20">
        <f>CHOOSE($B$3,C5,D5,B5)</f>
        <v>0.08</v>
      </c>
      <c r="F5" s="6" t="s">
        <v>392</v>
      </c>
    </row>
    <row r="6" hidden="0" outlineLevel="0" collapsed="0">
      <c r="A6" s="6" t="s">
        <v>259</v>
      </c>
      <c r="B6" s="19">
        <v>0.078</v>
      </c>
      <c r="C6" s="19">
        <v>0.0858340909124836</v>
      </c>
      <c r="D6" s="19">
        <v>0.092</v>
      </c>
      <c r="E6" s="20">
        <f>CHOOSE($B$3,C6,D6,B6)</f>
        <v>0.0858340909124836</v>
      </c>
      <c r="F6" s="6" t="s">
        <v>393</v>
      </c>
    </row>
    <row r="7" hidden="0" outlineLevel="0" collapsed="0">
      <c r="A7" s="6" t="s">
        <v>292</v>
      </c>
      <c r="B7" s="19">
        <v>0.02</v>
      </c>
      <c r="C7" s="19">
        <v>0.04</v>
      </c>
      <c r="D7" s="19">
        <v>0.06</v>
      </c>
      <c r="E7" s="20">
        <f>CHOOSE($B$3,C7,D7,B7)</f>
        <v>0.04</v>
      </c>
      <c r="F7" s="6" t="s">
        <v>394</v>
      </c>
    </row>
    <row r="8" hidden="0" outlineLevel="0" collapsed="0">
      <c r="A8" s="6" t="s">
        <v>302</v>
      </c>
      <c r="B8" s="19">
        <v>0.08</v>
      </c>
      <c r="C8" s="19">
        <v>0.09</v>
      </c>
      <c r="D8" s="19">
        <v>0.1</v>
      </c>
      <c r="E8" s="20">
        <f>CHOOSE($B$3,C8,D8,B8)</f>
        <v>0.09</v>
      </c>
      <c r="F8" s="6" t="s">
        <v>394</v>
      </c>
    </row>
    <row r="9" hidden="0" outlineLevel="0" collapsed="0">
      <c r="A9" s="6" t="s">
        <v>277</v>
      </c>
      <c r="B9" s="19">
        <v>0.26</v>
      </c>
      <c r="C9" s="19">
        <v>0.243</v>
      </c>
      <c r="D9" s="19">
        <v>0.22</v>
      </c>
      <c r="E9" s="20">
        <f>CHOOSE($B$3,C9,D9,B9)</f>
        <v>0.243</v>
      </c>
      <c r="F9" s="6" t="s">
        <v>395</v>
      </c>
    </row>
    <row r="10" hidden="0" outlineLevel="0" collapsed="0">
      <c r="A10" s="6" t="s">
        <v>286</v>
      </c>
      <c r="B10" s="19">
        <v>0.017</v>
      </c>
      <c r="C10" s="19">
        <v>0.0194268671153924</v>
      </c>
      <c r="D10" s="19">
        <v>0.021</v>
      </c>
      <c r="E10" s="20">
        <f>CHOOSE($B$3,C10,D10,B10)</f>
        <v>0.0194268671153924</v>
      </c>
      <c r="F10" s="6" t="s">
        <v>396</v>
      </c>
    </row>
    <row r="11" hidden="0" outlineLevel="0" collapsed="0">
      <c r="A11" s="6" t="s">
        <v>265</v>
      </c>
      <c r="B11" s="21">
        <v>550</v>
      </c>
      <c r="C11" s="21">
        <v>500</v>
      </c>
      <c r="D11" s="21">
        <v>450</v>
      </c>
      <c r="E11" s="22">
        <f>CHOOSE($B$3,C11,D11,B11)</f>
        <v>500</v>
      </c>
      <c r="F11" s="6" t="s">
        <v>397</v>
      </c>
    </row>
    <row r="12" hidden="0" outlineLevel="0" collapsed="0">
      <c r="A12" s="6" t="s">
        <v>307</v>
      </c>
      <c r="B12" s="19">
        <v>0.022</v>
      </c>
      <c r="C12" s="19">
        <v>0.02</v>
      </c>
      <c r="D12" s="19">
        <v>0.018</v>
      </c>
      <c r="E12" s="20">
        <f>CHOOSE($B$3,C12,D12,B12)</f>
        <v>0.02</v>
      </c>
      <c r="F12" s="6" t="s">
        <v>394</v>
      </c>
    </row>
    <row r="13" hidden="0" outlineLevel="0" collapsed="0">
      <c r="A13" s="6" t="s">
        <v>271</v>
      </c>
      <c r="B13" s="19">
        <v>0.23</v>
      </c>
      <c r="C13" s="19">
        <v>0.225</v>
      </c>
      <c r="D13" s="19">
        <v>0.22</v>
      </c>
      <c r="E13" s="20">
        <f>CHOOSE($B$3,C13,D13,B13)</f>
        <v>0.225</v>
      </c>
      <c r="F13" s="6" t="s">
        <v>398</v>
      </c>
    </row>
    <row r="14" hidden="0" outlineLevel="0" collapsed="0">
      <c r="A14" s="6" t="s">
        <v>312</v>
      </c>
      <c r="B14" s="19">
        <v>0.095</v>
      </c>
      <c r="C14" s="19">
        <v>0.085</v>
      </c>
      <c r="D14" s="19">
        <v>0.075</v>
      </c>
      <c r="E14" s="20">
        <f>CHOOSE($B$3,C14,D14,B14)</f>
        <v>0.085</v>
      </c>
      <c r="F14" s="6" t="s">
        <v>399</v>
      </c>
    </row>
    <row r="15" hidden="0" outlineLevel="0" collapsed="0">
      <c r="A15" s="6" t="s">
        <v>320</v>
      </c>
      <c r="B15" s="19">
        <v>0.02</v>
      </c>
      <c r="C15" s="19">
        <v>0.025</v>
      </c>
      <c r="D15" s="19">
        <v>0.03</v>
      </c>
      <c r="E15" s="20">
        <f>CHOOSE($B$3,C15,D15,B15)</f>
        <v>0.025</v>
      </c>
      <c r="F15" s="6" t="s">
        <v>400</v>
      </c>
    </row>
    <row r="16" hidden="0" outlineLevel="0" collapsed="0">
      <c r="A16" s="4"/>
      <c r="B16" s="4"/>
      <c r="C16" s="4"/>
      <c r="D16" s="4"/>
      <c r="E16" s="4"/>
      <c r="F16" s="4"/>
    </row>
    <row r="17" hidden="0" outlineLevel="0" collapsed="0">
      <c r="A17" s="23" t="s">
        <v>401</v>
      </c>
      <c r="B17" s="23"/>
      <c r="C17" s="23"/>
      <c r="D17" s="23"/>
      <c r="E17" s="23"/>
      <c r="F17" s="23"/>
    </row>
    <row r="18" hidden="0" outlineLevel="0" collapsed="0">
      <c r="A18" s="23"/>
      <c r="B18" s="23"/>
      <c r="C18" s="23"/>
      <c r="D18" s="23"/>
      <c r="E18" s="23"/>
      <c r="F18" s="23"/>
    </row>
    <row r="19" hidden="0" outlineLevel="0" collapsed="0">
      <c r="A19" s="23"/>
      <c r="B19" s="23"/>
      <c r="C19" s="23"/>
      <c r="D19" s="23"/>
      <c r="E19" s="23"/>
      <c r="F19" s="23"/>
    </row>
    <row r="20" hidden="0" outlineLevel="0" collapsed="0">
      <c r="A20" s="4"/>
      <c r="B20" s="4"/>
      <c r="C20" s="4"/>
      <c r="D20" s="4"/>
      <c r="E20" s="4"/>
      <c r="F20" s="4"/>
    </row>
    <row r="21" hidden="0" outlineLevel="0" collapsed="0">
      <c r="A21" s="4"/>
      <c r="B21" s="4"/>
      <c r="C21" s="4"/>
      <c r="D21" s="4"/>
      <c r="E21" s="4"/>
      <c r="F21" s="4"/>
    </row>
    <row r="22" hidden="0" outlineLevel="0" collapsed="0">
      <c r="A22" s="4"/>
      <c r="B22" s="4"/>
      <c r="C22" s="4"/>
      <c r="D22" s="4"/>
      <c r="E22" s="4"/>
      <c r="F22" s="4"/>
    </row>
    <row r="23" hidden="0" outlineLevel="0" collapsed="0">
      <c r="A23" s="4"/>
      <c r="B23" s="4"/>
      <c r="C23" s="4"/>
      <c r="D23" s="4"/>
      <c r="E23" s="4"/>
      <c r="F23" s="4"/>
    </row>
    <row r="24" hidden="0" outlineLevel="0" collapsed="0">
      <c r="A24" s="4"/>
      <c r="B24" s="4"/>
      <c r="C24" s="4"/>
      <c r="D24" s="4"/>
      <c r="E24" s="4"/>
      <c r="F24" s="4"/>
    </row>
  </sheetData>
  <mergeCells count="3">
    <mergeCell ref="A1:F1"/>
    <mergeCell ref="A2:F2"/>
    <mergeCell ref="A17:F19"/>
  </mergeCells>
  <dataValidations count="1">
    <dataValidation sqref="B3" type="list">
      <formula1>"1,2,3"</formula1>
    </dataValidation>
  </dataValidation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8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6" style="1" customWidth="1"/>
    <col min="2" max="8" width="15" style="1" customWidth="1"/>
  </cols>
  <sheetData>
    <row r="1" ht="26" hidden="0" outlineLevel="0" collapsed="0">
      <c r="A1" s="2" t="s">
        <v>402</v>
      </c>
      <c r="B1" s="2"/>
      <c r="C1" s="2"/>
      <c r="D1" s="2"/>
      <c r="E1" s="2"/>
      <c r="F1" s="2"/>
      <c r="G1" s="2"/>
      <c r="H1" s="16"/>
    </row>
    <row r="2" ht="32" hidden="0" outlineLevel="0" collapsed="0">
      <c r="A2" s="3" t="s">
        <v>403</v>
      </c>
      <c r="B2" s="3"/>
      <c r="C2" s="3"/>
      <c r="D2" s="3"/>
      <c r="E2" s="3"/>
      <c r="F2" s="3"/>
      <c r="G2" s="3"/>
      <c r="H2" s="17"/>
    </row>
    <row r="3" hidden="0" outlineLevel="0" collapsed="0">
      <c r="A3" s="4"/>
      <c r="B3" s="4"/>
      <c r="C3" s="4"/>
      <c r="D3" s="4"/>
      <c r="E3" s="4"/>
      <c r="F3" s="4"/>
      <c r="G3" s="4"/>
    </row>
    <row r="4" hidden="0" outlineLevel="0" collapsed="0">
      <c r="A4" s="5" t="s">
        <v>374</v>
      </c>
      <c r="B4" s="5" t="s">
        <v>379</v>
      </c>
      <c r="C4" s="5" t="s">
        <v>404</v>
      </c>
      <c r="D4" s="5" t="s">
        <v>405</v>
      </c>
      <c r="E4" s="5" t="s">
        <v>406</v>
      </c>
      <c r="F4" s="5" t="s">
        <v>407</v>
      </c>
      <c r="G4" s="5" t="s">
        <v>408</v>
      </c>
    </row>
    <row r="5" hidden="0" outlineLevel="0" collapsed="0">
      <c r="A5" s="6" t="s">
        <v>45</v>
      </c>
      <c r="B5" s="11">
        <v>24811</v>
      </c>
      <c r="C5" s="28">
        <f>Sector_KPIs!D9</f>
        <v>26916.710000000003</v>
      </c>
      <c r="D5" s="28">
        <f>Sector_KPIs!E9</f>
        <v>28070.724900000005</v>
      </c>
      <c r="E5" s="28">
        <f>Sector_KPIs!F9</f>
        <v>29275.148871000005</v>
      </c>
      <c r="F5" s="28">
        <f>Sector_KPIs!G9</f>
        <v>30532.222134090007</v>
      </c>
      <c r="G5" s="28">
        <f>Sector_KPIs!H9</f>
        <v>31844.286055151108</v>
      </c>
    </row>
    <row r="6" hidden="0" outlineLevel="0" collapsed="0">
      <c r="A6" s="6" t="s">
        <v>409</v>
      </c>
      <c r="B6" s="25"/>
      <c r="C6" s="27">
        <f>C5/B5-1</f>
        <v>0.08487001733102262</v>
      </c>
      <c r="D6" s="27">
        <f>D5/C5-1</f>
        <v>0.04287354955341871</v>
      </c>
      <c r="E6" s="27">
        <f>E5/D5-1</f>
        <v>0.04290676408573968</v>
      </c>
      <c r="F6" s="27">
        <f>F5/E5-1</f>
        <v>0.04293994434082138</v>
      </c>
      <c r="G6" s="27">
        <f>G5/F5-1</f>
        <v>0.042973089718096436</v>
      </c>
    </row>
    <row r="7" hidden="0" outlineLevel="0" collapsed="0">
      <c r="A7" s="6" t="s">
        <v>410</v>
      </c>
      <c r="B7" s="25">
        <v>0.0828664705171094</v>
      </c>
      <c r="C7" s="27">
        <f>Assumptions!$E$6</f>
        <v>0.0858340909124836</v>
      </c>
      <c r="D7" s="27">
        <f>Assumptions!$E$8</f>
        <v>0.09</v>
      </c>
      <c r="E7" s="27">
        <f>Assumptions!$E$8</f>
        <v>0.09</v>
      </c>
      <c r="F7" s="27">
        <f>Assumptions!$E$8</f>
        <v>0.09</v>
      </c>
      <c r="G7" s="27">
        <f>Assumptions!$E$8</f>
        <v>0.09</v>
      </c>
    </row>
    <row r="8" hidden="0" outlineLevel="0" collapsed="0">
      <c r="A8" s="6" t="s">
        <v>411</v>
      </c>
      <c r="B8" s="11">
        <v>2056</v>
      </c>
      <c r="C8" s="28">
        <f>C5*C7</f>
        <v>2310.371333204957</v>
      </c>
      <c r="D8" s="28">
        <f>D5*D7</f>
        <v>2526.3652410000004</v>
      </c>
      <c r="E8" s="28">
        <f>E5*E7</f>
        <v>2634.7633983900005</v>
      </c>
      <c r="F8" s="28">
        <f>F5*F7</f>
        <v>2747.8999920681003</v>
      </c>
      <c r="G8" s="28">
        <f>G5*G7</f>
        <v>2865.9857449635997</v>
      </c>
    </row>
    <row r="9" hidden="0" outlineLevel="0" collapsed="0">
      <c r="A9" s="6" t="s">
        <v>277</v>
      </c>
      <c r="B9" s="25"/>
      <c r="C9" s="27">
        <f>Assumptions!$E$9</f>
        <v>0.243</v>
      </c>
      <c r="D9" s="27">
        <f>Assumptions!$E$9</f>
        <v>0.243</v>
      </c>
      <c r="E9" s="27">
        <f>Assumptions!$E$9</f>
        <v>0.243</v>
      </c>
      <c r="F9" s="27">
        <f>Assumptions!$E$9</f>
        <v>0.243</v>
      </c>
      <c r="G9" s="27">
        <f>Assumptions!$E$9</f>
        <v>0.243</v>
      </c>
    </row>
    <row r="10" hidden="0" outlineLevel="0" collapsed="0">
      <c r="A10" s="6" t="s">
        <v>412</v>
      </c>
      <c r="B10" s="11"/>
      <c r="C10" s="28">
        <f>C8*(1-C9)</f>
        <v>1748.9510992361525</v>
      </c>
      <c r="D10" s="28">
        <f>D8*(1-D9)</f>
        <v>1912.4584874370003</v>
      </c>
      <c r="E10" s="28">
        <f>E8*(1-E9)</f>
        <v>1994.5158925812304</v>
      </c>
      <c r="F10" s="28">
        <f>F8*(1-F9)</f>
        <v>2080.160293995552</v>
      </c>
      <c r="G10" s="28">
        <f>G8*(1-G9)</f>
        <v>2169.551208937445</v>
      </c>
    </row>
    <row r="11" hidden="0" outlineLevel="0" collapsed="0">
      <c r="A11" s="6" t="s">
        <v>413</v>
      </c>
      <c r="B11" s="11"/>
      <c r="C11" s="28">
        <f>C5*Assumptions!$E$10</f>
        <v>522.9073483535539</v>
      </c>
      <c r="D11" s="28">
        <f>D5*Assumptions!$E$10</f>
        <v>545.3262424650368</v>
      </c>
      <c r="E11" s="28">
        <f>E5*Assumptions!$E$10</f>
        <v>568.724426900247</v>
      </c>
      <c r="F11" s="28">
        <f>F5*Assumptions!$E$10</f>
        <v>593.1454221366091</v>
      </c>
      <c r="G11" s="28">
        <f>G5*Assumptions!$E$10</f>
        <v>618.6347135779639</v>
      </c>
    </row>
    <row r="12" hidden="0" outlineLevel="0" collapsed="0">
      <c r="A12" s="6" t="s">
        <v>143</v>
      </c>
      <c r="B12" s="11"/>
      <c r="C12" s="28">
        <f>-Assumptions!$E$11</f>
        <v>-500</v>
      </c>
      <c r="D12" s="28">
        <f>-D5*Assumptions!$E$12</f>
        <v>-561.4144980000001</v>
      </c>
      <c r="E12" s="28">
        <f>-E5*Assumptions!$E$12</f>
        <v>-585.5029774200001</v>
      </c>
      <c r="F12" s="28">
        <f>-F5*Assumptions!$E$12</f>
        <v>-610.6444426818001</v>
      </c>
      <c r="G12" s="28">
        <f>-G5*Assumptions!$E$12</f>
        <v>-636.8857211030222</v>
      </c>
    </row>
    <row r="13" hidden="0" outlineLevel="0" collapsed="0">
      <c r="A13" s="6" t="s">
        <v>414</v>
      </c>
      <c r="B13" s="11">
        <v>5556</v>
      </c>
      <c r="C13" s="28">
        <f>C5*Assumptions!$E$13</f>
        <v>6056.259750000001</v>
      </c>
      <c r="D13" s="28">
        <f>D5*Assumptions!$E$13</f>
        <v>6315.9131025000015</v>
      </c>
      <c r="E13" s="28">
        <f>E5*Assumptions!$E$13</f>
        <v>6586.908495975002</v>
      </c>
      <c r="F13" s="28">
        <f>F5*Assumptions!$E$13</f>
        <v>6869.749980170252</v>
      </c>
      <c r="G13" s="28">
        <f>G5*Assumptions!$E$13</f>
        <v>7164.9643624089995</v>
      </c>
    </row>
    <row r="14" hidden="0" outlineLevel="0" collapsed="0">
      <c r="A14" s="6" t="s">
        <v>415</v>
      </c>
      <c r="B14" s="11"/>
      <c r="C14" s="28">
        <f>-(C13-B13)</f>
        <v>-500.2597500000011</v>
      </c>
      <c r="D14" s="28">
        <f>-(D13-C13)</f>
        <v>-259.65335250000044</v>
      </c>
      <c r="E14" s="28">
        <f>-(E13-D13)</f>
        <v>-270.9953934750001</v>
      </c>
      <c r="F14" s="28">
        <f>-(F13-E13)</f>
        <v>-282.8414841952499</v>
      </c>
      <c r="G14" s="28">
        <f>-(G13-F13)</f>
        <v>-295.21438223874793</v>
      </c>
    </row>
    <row r="15" hidden="0" outlineLevel="0" collapsed="0">
      <c r="A15" s="6" t="s">
        <v>416</v>
      </c>
      <c r="B15" s="11"/>
      <c r="C15" s="28">
        <f>C10+C11+C12+C14</f>
        <v>1271.5986975897054</v>
      </c>
      <c r="D15" s="28">
        <f>D10+D11+D12+D14</f>
        <v>1636.7168794020363</v>
      </c>
      <c r="E15" s="28">
        <f>E10+E11+E12+E14</f>
        <v>1706.741948586477</v>
      </c>
      <c r="F15" s="28">
        <f>F10+F11+F12+F14</f>
        <v>1779.8197892551111</v>
      </c>
      <c r="G15" s="28">
        <f>G10+G11+G12+G14</f>
        <v>1856.0858191736388</v>
      </c>
    </row>
    <row r="16" hidden="0" outlineLevel="0" collapsed="0">
      <c r="A16" s="6" t="s">
        <v>191</v>
      </c>
      <c r="B16" s="11">
        <v>4331</v>
      </c>
      <c r="C16" s="28">
        <f>$B$16</f>
        <v>4331</v>
      </c>
      <c r="D16" s="28">
        <f>$B$16</f>
        <v>4331</v>
      </c>
      <c r="E16" s="28">
        <f>$B$16</f>
        <v>4331</v>
      </c>
      <c r="F16" s="28">
        <f>$B$16</f>
        <v>4331</v>
      </c>
      <c r="G16" s="28">
        <f>$B$16</f>
        <v>4331</v>
      </c>
    </row>
    <row r="17" hidden="0" outlineLevel="0" collapsed="0">
      <c r="A17" s="6" t="s">
        <v>209</v>
      </c>
      <c r="B17" s="11">
        <v>178.665018</v>
      </c>
      <c r="C17" s="28">
        <f>$B$17</f>
        <v>178.665018</v>
      </c>
      <c r="D17" s="28">
        <f>$B$17</f>
        <v>178.665018</v>
      </c>
      <c r="E17" s="28">
        <f>$B$17</f>
        <v>178.665018</v>
      </c>
      <c r="F17" s="28">
        <f>$B$17</f>
        <v>178.665018</v>
      </c>
      <c r="G17" s="28">
        <f>$B$17</f>
        <v>178.665018</v>
      </c>
    </row>
    <row r="18" hidden="0" outlineLevel="0" collapsed="0">
      <c r="A18" s="4"/>
      <c r="B18" s="4"/>
      <c r="C18" s="4"/>
      <c r="D18" s="4"/>
      <c r="E18" s="4"/>
      <c r="F18" s="4"/>
      <c r="G18" s="4"/>
    </row>
    <row r="19" hidden="0" outlineLevel="0" collapsed="0">
      <c r="A19" s="23" t="s">
        <v>417</v>
      </c>
      <c r="B19" s="23"/>
      <c r="C19" s="23"/>
      <c r="D19" s="23"/>
      <c r="E19" s="23"/>
      <c r="F19" s="23"/>
      <c r="G19" s="23"/>
    </row>
    <row r="20" hidden="0" outlineLevel="0" collapsed="0">
      <c r="A20" s="23"/>
      <c r="B20" s="23"/>
      <c r="C20" s="23"/>
      <c r="D20" s="23"/>
      <c r="E20" s="23"/>
      <c r="F20" s="23"/>
      <c r="G20" s="23"/>
    </row>
    <row r="21" hidden="0" outlineLevel="0" collapsed="0">
      <c r="A21" s="23"/>
      <c r="B21" s="23"/>
      <c r="C21" s="23"/>
      <c r="D21" s="23"/>
      <c r="E21" s="23"/>
      <c r="F21" s="23"/>
      <c r="G21" s="23"/>
    </row>
    <row r="22" hidden="0" outlineLevel="0" collapsed="0">
      <c r="A22" s="4"/>
      <c r="B22" s="4"/>
      <c r="C22" s="4"/>
      <c r="D22" s="4"/>
      <c r="E22" s="4"/>
      <c r="F22" s="4"/>
      <c r="G22" s="4"/>
    </row>
    <row r="23" hidden="0" outlineLevel="0" collapsed="0">
      <c r="A23" s="4"/>
      <c r="B23" s="4"/>
      <c r="C23" s="4"/>
      <c r="D23" s="4"/>
      <c r="E23" s="4"/>
      <c r="F23" s="4"/>
      <c r="G23" s="4"/>
    </row>
    <row r="24" hidden="0" outlineLevel="0" collapsed="0">
      <c r="A24" s="4"/>
      <c r="B24" s="4"/>
      <c r="C24" s="4"/>
      <c r="D24" s="4"/>
      <c r="E24" s="4"/>
      <c r="F24" s="4"/>
      <c r="G24" s="4"/>
    </row>
    <row r="25" hidden="0" outlineLevel="0" collapsed="0">
      <c r="A25" s="4"/>
      <c r="B25" s="4"/>
      <c r="C25" s="4"/>
      <c r="D25" s="4"/>
      <c r="E25" s="4"/>
      <c r="F25" s="4"/>
      <c r="G25" s="4"/>
    </row>
    <row r="26" hidden="0" outlineLevel="0" collapsed="0">
      <c r="A26" s="4"/>
      <c r="B26" s="4"/>
      <c r="C26" s="4"/>
      <c r="D26" s="4"/>
      <c r="E26" s="4"/>
      <c r="F26" s="4"/>
      <c r="G26" s="4"/>
    </row>
    <row r="27" hidden="0" outlineLevel="0" collapsed="0">
      <c r="A27" s="4"/>
      <c r="B27" s="4"/>
      <c r="C27" s="4"/>
      <c r="D27" s="4"/>
      <c r="E27" s="4"/>
      <c r="F27" s="4"/>
      <c r="G27" s="4"/>
    </row>
    <row r="28" hidden="0" outlineLevel="0" collapsed="0">
      <c r="A28" s="4"/>
      <c r="B28" s="4"/>
      <c r="C28" s="4"/>
      <c r="D28" s="4"/>
      <c r="E28" s="4"/>
      <c r="F28" s="4"/>
      <c r="G28" s="4"/>
    </row>
  </sheetData>
  <mergeCells count="3">
    <mergeCell ref="A1:G1"/>
    <mergeCell ref="A2:G2"/>
    <mergeCell ref="A19:G21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32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8" style="1" customWidth="1"/>
    <col min="2" max="3" width="18" style="1" customWidth="1"/>
    <col min="4" max="4" width="16" style="1" customWidth="1"/>
    <col min="5" max="5" width="14" style="1" customWidth="1"/>
    <col min="6" max="6" width="24" style="1" customWidth="1"/>
    <col min="7" max="7" width="58" style="1" customWidth="1"/>
    <col min="8" max="8" width="15" style="1" customWidth="1"/>
  </cols>
  <sheetData>
    <row r="1" ht="26" hidden="0" outlineLevel="0" collapsed="0">
      <c r="A1" s="2" t="s">
        <v>418</v>
      </c>
      <c r="B1" s="2"/>
      <c r="C1" s="2"/>
      <c r="D1" s="2"/>
      <c r="E1" s="2"/>
      <c r="F1" s="2"/>
      <c r="G1" s="2"/>
      <c r="H1" s="16"/>
    </row>
    <row r="2" ht="32" hidden="0" outlineLevel="0" collapsed="0">
      <c r="A2" s="3" t="s">
        <v>419</v>
      </c>
      <c r="B2" s="3"/>
      <c r="C2" s="3"/>
      <c r="D2" s="3"/>
      <c r="E2" s="3"/>
      <c r="F2" s="3"/>
      <c r="G2" s="3"/>
      <c r="H2" s="17"/>
    </row>
    <row r="3" hidden="0" outlineLevel="0" collapsed="0">
      <c r="A3" s="4"/>
      <c r="B3" s="4"/>
      <c r="C3" s="4"/>
      <c r="D3" s="4"/>
      <c r="E3" s="4"/>
      <c r="F3" s="4"/>
      <c r="G3" s="4"/>
    </row>
    <row r="4" hidden="0" outlineLevel="0" collapsed="0">
      <c r="A4" s="5" t="s">
        <v>374</v>
      </c>
      <c r="B4" s="5" t="s">
        <v>420</v>
      </c>
      <c r="C4" s="5" t="s">
        <v>421</v>
      </c>
      <c r="D4" s="5" t="s">
        <v>422</v>
      </c>
      <c r="E4" s="5" t="s">
        <v>423</v>
      </c>
      <c r="F4" s="5" t="s">
        <v>424</v>
      </c>
      <c r="G4" s="5" t="s">
        <v>425</v>
      </c>
    </row>
    <row r="5" hidden="0" outlineLevel="0" collapsed="0">
      <c r="A5" s="6" t="s">
        <v>416</v>
      </c>
      <c r="B5" s="11">
        <f>Forecast!C15</f>
        <v>1271.5986975897054</v>
      </c>
      <c r="C5" s="11">
        <f>Forecast!D15</f>
        <v>1636.7168794020363</v>
      </c>
      <c r="D5" s="11">
        <f>Forecast!E15</f>
        <v>1706.741948586477</v>
      </c>
      <c r="E5" s="11">
        <f>Forecast!F15</f>
        <v>1779.8197892551111</v>
      </c>
      <c r="F5" s="11">
        <f>Forecast!G15</f>
        <v>1856.0858191736388</v>
      </c>
      <c r="G5" s="6"/>
    </row>
    <row r="6" hidden="0" outlineLevel="0" collapsed="0">
      <c r="A6" s="6" t="s">
        <v>426</v>
      </c>
      <c r="B6" s="25">
        <f>1/(1+Assumptions!$E$14)^1</f>
        <v>0.9216589861751152</v>
      </c>
      <c r="C6" s="25">
        <f>1/(1+Assumptions!$E$14)^2</f>
        <v>0.8494552867973413</v>
      </c>
      <c r="D6" s="25">
        <f>1/(1+Assumptions!$E$14)^3</f>
        <v>0.7829080984307294</v>
      </c>
      <c r="E6" s="25">
        <f>1/(1+Assumptions!$E$14)^4</f>
        <v>0.7215742842679533</v>
      </c>
      <c r="F6" s="25">
        <f>1/(1+Assumptions!$E$14)^5</f>
        <v>0.6650454232884362</v>
      </c>
      <c r="G6" s="6"/>
    </row>
    <row r="7" hidden="0" outlineLevel="0" collapsed="0">
      <c r="A7" s="6" t="s">
        <v>427</v>
      </c>
      <c r="B7" s="11">
        <f>B5*B6</f>
        <v>1171.9803664421247</v>
      </c>
      <c r="C7" s="11">
        <f>C5*C6</f>
        <v>1390.317806198506</v>
      </c>
      <c r="D7" s="11">
        <f>D5*D6</f>
        <v>1336.2220934797965</v>
      </c>
      <c r="E7" s="11">
        <f>E5*E6</f>
        <v>1284.2721905576964</v>
      </c>
      <c r="F7" s="11">
        <f>F5*F6</f>
        <v>1234.3813792719964</v>
      </c>
      <c r="G7" s="6"/>
    </row>
    <row r="8" hidden="0" outlineLevel="0" collapsed="0">
      <c r="A8" s="4"/>
      <c r="B8" s="4"/>
      <c r="C8" s="4"/>
      <c r="D8" s="4"/>
      <c r="E8" s="4"/>
      <c r="F8" s="4"/>
      <c r="G8" s="4"/>
    </row>
    <row r="9" hidden="0" outlineLevel="0" collapsed="0">
      <c r="A9" s="5" t="s">
        <v>425</v>
      </c>
      <c r="B9" s="5" t="s">
        <v>3</v>
      </c>
      <c r="C9" s="4"/>
      <c r="D9" s="4"/>
      <c r="E9" s="4"/>
      <c r="F9" s="4"/>
      <c r="G9" s="4"/>
    </row>
    <row r="10" hidden="0" outlineLevel="0" collapsed="0">
      <c r="A10" s="6" t="s">
        <v>428</v>
      </c>
      <c r="B10" s="11">
        <f>SUM(B7:F7)</f>
        <v>6417.17383595012</v>
      </c>
      <c r="C10" s="4"/>
      <c r="D10" s="4"/>
      <c r="E10" s="4"/>
      <c r="F10" s="4"/>
      <c r="G10" s="4"/>
    </row>
    <row r="11" hidden="0" outlineLevel="0" collapsed="0">
      <c r="A11" s="6" t="s">
        <v>429</v>
      </c>
      <c r="B11" s="11">
        <f>F5*(1+Assumptions!$E$15)</f>
        <v>1902.4879646529796</v>
      </c>
      <c r="C11" s="4"/>
      <c r="D11" s="4"/>
      <c r="E11" s="4"/>
      <c r="F11" s="4"/>
      <c r="G11" s="4"/>
    </row>
    <row r="12" hidden="0" outlineLevel="0" collapsed="0">
      <c r="A12" s="6" t="s">
        <v>430</v>
      </c>
      <c r="B12" s="11">
        <f>IF(Assumptions!$E$14&gt;Assumptions!$E$15,B11/(Assumptions!$E$14-Assumptions!$E$15),"")</f>
        <v>31708.132744216324</v>
      </c>
      <c r="C12" s="4"/>
      <c r="D12" s="4"/>
      <c r="E12" s="4"/>
      <c r="F12" s="4"/>
      <c r="G12" s="4"/>
    </row>
    <row r="13" hidden="0" outlineLevel="0" collapsed="0">
      <c r="A13" s="6" t="s">
        <v>431</v>
      </c>
      <c r="B13" s="11">
        <f>B12*F6</f>
        <v>21087.348562563267</v>
      </c>
      <c r="C13" s="4"/>
      <c r="D13" s="4"/>
      <c r="E13" s="4"/>
      <c r="F13" s="4"/>
      <c r="G13" s="4"/>
    </row>
    <row r="14" hidden="0" outlineLevel="0" collapsed="0">
      <c r="A14" s="6" t="s">
        <v>432</v>
      </c>
      <c r="B14" s="11">
        <f>B10+B13</f>
        <v>27504.522398513385</v>
      </c>
      <c r="C14" s="4"/>
      <c r="D14" s="4"/>
      <c r="E14" s="4"/>
      <c r="F14" s="4"/>
      <c r="G14" s="4"/>
    </row>
    <row r="15" hidden="0" outlineLevel="0" collapsed="0">
      <c r="A15" s="6" t="s">
        <v>191</v>
      </c>
      <c r="B15" s="11">
        <f>Forecast!B16</f>
        <v>4331</v>
      </c>
      <c r="C15" s="4"/>
      <c r="D15" s="4"/>
      <c r="E15" s="4"/>
      <c r="F15" s="4"/>
      <c r="G15" s="4"/>
    </row>
    <row r="16" hidden="0" outlineLevel="0" collapsed="0">
      <c r="A16" s="6" t="s">
        <v>433</v>
      </c>
      <c r="B16" s="11">
        <f>B14-B15</f>
        <v>23173.522398513385</v>
      </c>
      <c r="C16" s="4"/>
      <c r="D16" s="4"/>
      <c r="E16" s="4"/>
      <c r="F16" s="4"/>
      <c r="G16" s="4"/>
    </row>
    <row r="17" hidden="0" outlineLevel="0" collapsed="0">
      <c r="A17" s="6" t="s">
        <v>209</v>
      </c>
      <c r="B17" s="11">
        <f>Forecast!B17</f>
        <v>178.665018</v>
      </c>
      <c r="C17" s="4"/>
      <c r="D17" s="4"/>
      <c r="E17" s="4"/>
      <c r="F17" s="4"/>
      <c r="G17" s="4"/>
    </row>
    <row r="18" hidden="0" outlineLevel="0" collapsed="0">
      <c r="A18" s="6" t="s">
        <v>434</v>
      </c>
      <c r="B18" s="29">
        <f>IF(B17&gt;0,B16/B17,"")</f>
        <v>129.70374759379806</v>
      </c>
      <c r="C18" s="4"/>
      <c r="D18" s="4"/>
      <c r="E18" s="4"/>
      <c r="F18" s="4"/>
      <c r="G18" s="4"/>
    </row>
    <row r="19" hidden="0" outlineLevel="0" collapsed="0">
      <c r="A19" s="6" t="s">
        <v>435</v>
      </c>
      <c r="B19" s="29">
        <v>169.05</v>
      </c>
      <c r="C19" s="4"/>
      <c r="D19" s="4"/>
      <c r="E19" s="4"/>
      <c r="F19" s="4"/>
      <c r="G19" s="4"/>
    </row>
    <row r="20" hidden="0" outlineLevel="0" collapsed="0">
      <c r="A20" s="6" t="s">
        <v>436</v>
      </c>
      <c r="B20" s="25">
        <f>IF(B19&gt;0,B18/B19-1,"")</f>
        <v>-0.2327492008648444</v>
      </c>
      <c r="C20" s="4"/>
      <c r="D20" s="4"/>
      <c r="E20" s="4"/>
      <c r="F20" s="4"/>
      <c r="G20" s="4"/>
    </row>
    <row r="21" ht="35.05" hidden="0" outlineLevel="0" collapsed="0">
      <c r="A21" s="6" t="s">
        <v>437</v>
      </c>
      <c r="B21" s="30" t="str">
        <f>IF(AND(COUNT(B5:F7)=15,B17&gt;0,Assumptions!$E$14&gt;Assumptions!$E$15),"READY FOR INDEPENDENT REVIEW","NOT DECISION-READY")</f>
        <v>READY FOR INDEPENDENT REVIEW</v>
      </c>
      <c r="C21" s="4"/>
      <c r="D21" s="4"/>
      <c r="E21" s="4"/>
      <c r="F21" s="4"/>
      <c r="G21" s="4"/>
    </row>
    <row r="22" ht="23.85" hidden="0" outlineLevel="0" collapsed="0">
      <c r="A22" s="6" t="s">
        <v>438</v>
      </c>
      <c r="B22" s="6" t="s">
        <v>439</v>
      </c>
      <c r="C22" s="4"/>
      <c r="D22" s="4"/>
      <c r="E22" s="4"/>
      <c r="F22" s="4"/>
      <c r="G22" s="4"/>
    </row>
    <row r="23" hidden="0" outlineLevel="0" collapsed="0">
      <c r="A23" s="23" t="s">
        <v>440</v>
      </c>
      <c r="B23" s="23"/>
      <c r="C23" s="23"/>
      <c r="D23" s="23"/>
      <c r="E23" s="23"/>
      <c r="F23" s="23"/>
      <c r="G23" s="23"/>
    </row>
    <row r="24" hidden="0" outlineLevel="0" collapsed="0">
      <c r="A24" s="23"/>
      <c r="B24" s="23"/>
      <c r="C24" s="23"/>
      <c r="D24" s="23"/>
      <c r="E24" s="23"/>
      <c r="F24" s="23"/>
      <c r="G24" s="23"/>
    </row>
    <row r="25" hidden="0" outlineLevel="0" collapsed="0">
      <c r="A25" s="23"/>
      <c r="B25" s="23"/>
      <c r="C25" s="23"/>
      <c r="D25" s="23"/>
      <c r="E25" s="23"/>
      <c r="F25" s="23"/>
      <c r="G25" s="23"/>
    </row>
    <row r="26" hidden="0" outlineLevel="0" collapsed="0">
      <c r="A26" s="4"/>
      <c r="B26" s="4"/>
      <c r="C26" s="4"/>
      <c r="D26" s="4"/>
      <c r="E26" s="4"/>
      <c r="F26" s="4"/>
      <c r="G26" s="4"/>
    </row>
    <row r="27" hidden="0" outlineLevel="0" collapsed="0">
      <c r="A27" s="4"/>
      <c r="B27" s="4"/>
      <c r="C27" s="4"/>
      <c r="D27" s="4"/>
      <c r="E27" s="4"/>
      <c r="F27" s="4"/>
      <c r="G27" s="4"/>
    </row>
    <row r="28" hidden="0" outlineLevel="0" collapsed="0">
      <c r="A28" s="4"/>
      <c r="B28" s="4"/>
      <c r="C28" s="4"/>
      <c r="D28" s="4"/>
      <c r="E28" s="4"/>
      <c r="F28" s="4"/>
      <c r="G28" s="4"/>
    </row>
    <row r="29" hidden="0" outlineLevel="0" collapsed="0">
      <c r="A29" s="4"/>
      <c r="B29" s="4"/>
      <c r="C29" s="4"/>
      <c r="D29" s="4"/>
      <c r="E29" s="4"/>
      <c r="F29" s="4"/>
      <c r="G29" s="4"/>
    </row>
    <row r="30" hidden="0" outlineLevel="0" collapsed="0">
      <c r="A30" s="4"/>
      <c r="B30" s="4"/>
      <c r="C30" s="4"/>
      <c r="D30" s="4"/>
      <c r="E30" s="4"/>
      <c r="F30" s="4"/>
      <c r="G30" s="4"/>
    </row>
    <row r="31" hidden="0" outlineLevel="0" collapsed="0">
      <c r="A31" s="4"/>
      <c r="B31" s="4"/>
      <c r="C31" s="4"/>
      <c r="D31" s="4"/>
      <c r="E31" s="4"/>
      <c r="F31" s="4"/>
      <c r="G31" s="4"/>
    </row>
    <row r="32" hidden="0" outlineLevel="0" collapsed="0">
      <c r="A32" s="4"/>
      <c r="B32" s="4"/>
      <c r="C32" s="4"/>
      <c r="D32" s="4"/>
      <c r="E32" s="4"/>
      <c r="F32" s="4"/>
      <c r="G32" s="4"/>
    </row>
  </sheetData>
  <mergeCells count="3">
    <mergeCell ref="A1:G1"/>
    <mergeCell ref="A2:G2"/>
    <mergeCell ref="A23:G25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4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style="1" customWidth="1"/>
    <col min="2" max="4" width="16" style="1" customWidth="1"/>
    <col min="5" max="6" width="20" style="1" customWidth="1"/>
    <col min="7" max="7" width="44" style="1" customWidth="1"/>
    <col min="8" max="8" width="15" style="1" customWidth="1"/>
  </cols>
  <sheetData>
    <row r="1" ht="26" hidden="0" outlineLevel="0" collapsed="0">
      <c r="A1" s="2" t="s">
        <v>441</v>
      </c>
      <c r="B1" s="2"/>
      <c r="C1" s="2"/>
      <c r="D1" s="2"/>
      <c r="E1" s="2"/>
      <c r="F1" s="2"/>
      <c r="G1" s="4"/>
      <c r="H1" s="16"/>
    </row>
    <row r="2" ht="32" hidden="0" outlineLevel="0" collapsed="0">
      <c r="A2" s="3" t="s">
        <v>442</v>
      </c>
      <c r="B2" s="3"/>
      <c r="C2" s="3"/>
      <c r="D2" s="3"/>
      <c r="E2" s="3"/>
      <c r="F2" s="3"/>
      <c r="G2" s="4"/>
      <c r="H2" s="17"/>
    </row>
    <row r="3" hidden="0" outlineLevel="0" collapsed="0">
      <c r="A3" s="4"/>
      <c r="B3" s="4"/>
      <c r="C3" s="4"/>
      <c r="D3" s="4"/>
      <c r="E3" s="4"/>
      <c r="F3" s="4"/>
      <c r="G3" s="4"/>
    </row>
    <row r="4" hidden="0" outlineLevel="0" collapsed="0">
      <c r="A4" s="5" t="s">
        <v>443</v>
      </c>
      <c r="B4" s="31">
        <f>Assumptions!$E$14-1%</f>
        <v>0.07500000000000001</v>
      </c>
      <c r="C4" s="31">
        <f>Assumptions!$E$14-0.5%</f>
        <v>0.08</v>
      </c>
      <c r="D4" s="31">
        <f>Assumptions!$E$14</f>
        <v>0.085</v>
      </c>
      <c r="E4" s="31">
        <f>Assumptions!$E$14+0.5%</f>
        <v>0.09000000000000001</v>
      </c>
      <c r="F4" s="31">
        <f>Assumptions!$E$14+1%</f>
        <v>0.095</v>
      </c>
      <c r="G4" s="4"/>
    </row>
    <row r="5" hidden="0" outlineLevel="0" collapsed="0">
      <c r="A5" s="31">
        <f>Assumptions!$E$15-1%</f>
        <v>0.015000000000000001</v>
      </c>
      <c r="B5" s="29">
        <f>(SUMPRODUCT(Valuation!$B$5:$F$5,1/(1+B$4)^{1,2,3,4,5})+IF(B$4&gt;$A5,Valuation!$F$5*(1+$A5)/(B$4-$A5)/(1+B$4)^5,0)-Valuation!$B$15)/Valuation!$B$17</f>
        <v>135.10615931509705</v>
      </c>
      <c r="C5" s="29">
        <f>(SUMPRODUCT(Valuation!$B$5:$F$5,1/(1+C$4)^{1,2,3,4,5})+IF(C$4&gt;$A5,Valuation!$F$5*(1+$A5)/(C$4-$A5)/(1+C$4)^5,0)-Valuation!$B$15)/Valuation!$B$17</f>
        <v>122.58479371196576</v>
      </c>
      <c r="D5" s="29">
        <f>(SUMPRODUCT(Valuation!$B$5:$F$5,1/(1+D$4)^{1,2,3,4,5})+IF(D$4&gt;$A5,Valuation!$F$5*(1+$A5)/(D$4-$A5)/(1+D$4)^5,0)-Valuation!$B$15)/Valuation!$B$17</f>
        <v>111.85571780701953</v>
      </c>
      <c r="E5" s="29">
        <f>(SUMPRODUCT(Valuation!$B$5:$F$5,1/(1+E$4)^{1,2,3,4,5})+IF(E$4&gt;$A5,Valuation!$F$5*(1+$A5)/(E$4-$A5)/(1+E$4)^5,0)-Valuation!$B$15)/Valuation!$B$17</f>
        <v>102.56040432648753</v>
      </c>
      <c r="F5" s="29">
        <f>(SUMPRODUCT(Valuation!$B$5:$F$5,1/(1+F$4)^{1,2,3,4,5})+IF(F$4&gt;$A5,Valuation!$F$5*(1+$A5)/(F$4-$A5)/(1+F$4)^5,0)-Valuation!$B$15)/Valuation!$B$17</f>
        <v>94.42995957337618</v>
      </c>
      <c r="G5" s="4"/>
    </row>
    <row r="6" hidden="0" outlineLevel="0" collapsed="0">
      <c r="A6" s="31">
        <f>Assumptions!$E$15-0.5%</f>
        <v>0.02</v>
      </c>
      <c r="B6" s="29">
        <f>(SUMPRODUCT(Valuation!$B$5:$F$5,1/(1+B$4)^{1,2,3,4,5})+IF(B$4&gt;$A6,Valuation!$F$5*(1+$A6)/(B$4-$A6)/(1+B$4)^5,0)-Valuation!$B$15)/Valuation!$B$17</f>
        <v>146.89254728755398</v>
      </c>
      <c r="C6" s="29">
        <f>(SUMPRODUCT(Valuation!$B$5:$F$5,1/(1+C$4)^{1,2,3,4,5})+IF(C$4&gt;$A6,Valuation!$F$5*(1+$A6)/(C$4-$A6)/(1+C$4)^5,0)-Valuation!$B$15)/Valuation!$B$17</f>
        <v>132.37448283074738</v>
      </c>
      <c r="D6" s="29">
        <f>(SUMPRODUCT(Valuation!$B$5:$F$5,1/(1+D$4)^{1,2,3,4,5})+IF(D$4&gt;$A6,Valuation!$F$5*(1+$A6)/(D$4-$A6)/(1+D$4)^5,0)-Valuation!$B$15)/Valuation!$B$17</f>
        <v>120.09327001630196</v>
      </c>
      <c r="E6" s="29">
        <f>(SUMPRODUCT(Valuation!$B$5:$F$5,1/(1+E$4)^{1,2,3,4,5})+IF(E$4&gt;$A6,Valuation!$F$5*(1+$A6)/(E$4-$A6)/(1+E$4)^5,0)-Valuation!$B$15)/Valuation!$B$17</f>
        <v>109.56952011371324</v>
      </c>
      <c r="F6" s="29">
        <f>(SUMPRODUCT(Valuation!$B$5:$F$5,1/(1+F$4)^{1,2,3,4,5})+IF(F$4&gt;$A6,Valuation!$F$5*(1+$A6)/(F$4-$A6)/(1+F$4)^5,0)-Valuation!$B$15)/Valuation!$B$17</f>
        <v>100.45168296747258</v>
      </c>
      <c r="G6" s="4"/>
    </row>
    <row r="7" hidden="0" outlineLevel="0" collapsed="0">
      <c r="A7" s="31">
        <f>Assumptions!$E$15</f>
        <v>0.025</v>
      </c>
      <c r="B7" s="29">
        <f>(SUMPRODUCT(Valuation!$B$5:$F$5,1/(1+B$4)^{1,2,3,4,5})+IF(B$4&gt;$A7,Valuation!$F$5*(1+$A7)/(B$4-$A7)/(1+B$4)^5,0)-Valuation!$B$15)/Valuation!$B$17</f>
        <v>161.03621285450222</v>
      </c>
      <c r="C7" s="29">
        <f>(SUMPRODUCT(Valuation!$B$5:$F$5,1/(1+C$4)^{1,2,3,4,5})+IF(C$4&gt;$A7,Valuation!$F$5*(1+$A7)/(C$4-$A7)/(1+C$4)^5,0)-Valuation!$B$15)/Valuation!$B$17</f>
        <v>143.94411542567107</v>
      </c>
      <c r="D7" s="32">
        <f>(SUMPRODUCT(Valuation!$B$5:$F$5,1/(1+D$4)^{1,2,3,4,5})+IF(D$4&gt;$A7,Valuation!$F$5*(1+$A7)/(D$4-$A7)/(1+D$4)^5,0)-Valuation!$B$15)/Valuation!$B$17</f>
        <v>129.70374759379808</v>
      </c>
      <c r="E7" s="29">
        <f>(SUMPRODUCT(Valuation!$B$5:$F$5,1/(1+E$4)^{1,2,3,4,5})+IF(E$4&gt;$A7,Valuation!$F$5*(1+$A7)/(E$4-$A7)/(1+E$4)^5,0)-Valuation!$B$15)/Valuation!$B$17</f>
        <v>117.65696140666596</v>
      </c>
      <c r="F7" s="29">
        <f>(SUMPRODUCT(Valuation!$B$5:$F$5,1/(1+F$4)^{1,2,3,4,5})+IF(F$4&gt;$A7,Valuation!$F$5*(1+$A7)/(F$4-$A7)/(1+F$4)^5,0)-Valuation!$B$15)/Valuation!$B$17</f>
        <v>107.33365256072557</v>
      </c>
      <c r="G7" s="4"/>
    </row>
    <row r="8" hidden="0" outlineLevel="0" collapsed="0">
      <c r="A8" s="31">
        <f>Assumptions!$E$15+0.5%</f>
        <v>0.030000000000000002</v>
      </c>
      <c r="B8" s="29">
        <f>(SUMPRODUCT(Valuation!$B$5:$F$5,1/(1+B$4)^{1,2,3,4,5})+IF(B$4&gt;$A8,Valuation!$F$5*(1+$A8)/(B$4-$A8)/(1+B$4)^5,0)-Valuation!$B$15)/Valuation!$B$17</f>
        <v>178.32291521410568</v>
      </c>
      <c r="C8" s="29">
        <f>(SUMPRODUCT(Valuation!$B$5:$F$5,1/(1+C$4)^{1,2,3,4,5})+IF(C$4&gt;$A8,Valuation!$F$5*(1+$A8)/(C$4-$A8)/(1+C$4)^5,0)-Valuation!$B$15)/Valuation!$B$17</f>
        <v>157.82767453957953</v>
      </c>
      <c r="D8" s="29">
        <f>(SUMPRODUCT(Valuation!$B$5:$F$5,1/(1+D$4)^{1,2,3,4,5})+IF(D$4&gt;$A8,Valuation!$F$5*(1+$A8)/(D$4-$A8)/(1+D$4)^5,0)-Valuation!$B$15)/Valuation!$B$17</f>
        <v>141.06158473083897</v>
      </c>
      <c r="E8" s="29">
        <f>(SUMPRODUCT(Valuation!$B$5:$F$5,1/(1+E$4)^{1,2,3,4,5})+IF(E$4&gt;$A8,Valuation!$F$5*(1+$A8)/(E$4-$A8)/(1+E$4)^5,0)-Valuation!$B$15)/Valuation!$B$17</f>
        <v>127.09230958177747</v>
      </c>
      <c r="F8" s="29">
        <f>(SUMPRODUCT(Valuation!$B$5:$F$5,1/(1+F$4)^{1,2,3,4,5})+IF(F$4&gt;$A8,Valuation!$F$5*(1+$A8)/(F$4-$A8)/(1+F$4)^5,0)-Valuation!$B$15)/Valuation!$B$17</f>
        <v>115.27438670678677</v>
      </c>
      <c r="G8" s="4"/>
    </row>
    <row r="9" hidden="0" outlineLevel="0" collapsed="0">
      <c r="A9" s="31">
        <f>Assumptions!$E$15+1%</f>
        <v>0.035</v>
      </c>
      <c r="B9" s="29">
        <f>(SUMPRODUCT(Valuation!$B$5:$F$5,1/(1+B$4)^{1,2,3,4,5})+IF(B$4&gt;$A9,Valuation!$F$5*(1+$A9)/(B$4-$A9)/(1+B$4)^5,0)-Valuation!$B$15)/Valuation!$B$17</f>
        <v>199.93129316361</v>
      </c>
      <c r="C9" s="29">
        <f>(SUMPRODUCT(Valuation!$B$5:$F$5,1/(1+C$4)^{1,2,3,4,5})+IF(C$4&gt;$A9,Valuation!$F$5*(1+$A9)/(C$4-$A9)/(1+C$4)^5,0)-Valuation!$B$15)/Valuation!$B$17</f>
        <v>174.79646901213428</v>
      </c>
      <c r="D9" s="29">
        <f>(SUMPRODUCT(Valuation!$B$5:$F$5,1/(1+D$4)^{1,2,3,4,5})+IF(D$4&gt;$A9,Valuation!$F$5*(1+$A9)/(D$4-$A9)/(1+D$4)^5,0)-Valuation!$B$15)/Valuation!$B$17</f>
        <v>154.69098929528803</v>
      </c>
      <c r="E9" s="29">
        <f>(SUMPRODUCT(Valuation!$B$5:$F$5,1/(1+E$4)^{1,2,3,4,5})+IF(E$4&gt;$A9,Valuation!$F$5*(1+$A9)/(E$4-$A9)/(1+E$4)^5,0)-Valuation!$B$15)/Valuation!$B$17</f>
        <v>138.2431756069093</v>
      </c>
      <c r="F9" s="29">
        <f>(SUMPRODUCT(Valuation!$B$5:$F$5,1/(1+F$4)^{1,2,3,4,5})+IF(F$4&gt;$A9,Valuation!$F$5*(1+$A9)/(F$4-$A9)/(1+F$4)^5,0)-Valuation!$B$15)/Valuation!$B$17</f>
        <v>124.53857654385816</v>
      </c>
      <c r="G9" s="4"/>
    </row>
    <row r="10" hidden="0" outlineLevel="0" collapsed="0">
      <c r="A10" s="4"/>
      <c r="B10" s="4"/>
      <c r="C10" s="4"/>
      <c r="D10" s="4"/>
      <c r="E10" s="4"/>
      <c r="F10" s="4"/>
      <c r="G10" s="4"/>
    </row>
    <row r="11" hidden="0" outlineLevel="0" collapsed="0">
      <c r="A11" s="23" t="s">
        <v>444</v>
      </c>
      <c r="B11" s="23"/>
      <c r="C11" s="23"/>
      <c r="D11" s="23"/>
      <c r="E11" s="23"/>
      <c r="F11" s="23"/>
      <c r="G11" s="4"/>
    </row>
    <row r="12" hidden="0" outlineLevel="0" collapsed="0">
      <c r="A12" s="23"/>
      <c r="B12" s="23"/>
      <c r="C12" s="23"/>
      <c r="D12" s="23"/>
      <c r="E12" s="23"/>
      <c r="F12" s="23"/>
      <c r="G12" s="4"/>
    </row>
    <row r="13" hidden="0" outlineLevel="0" collapsed="0">
      <c r="A13" s="23"/>
      <c r="B13" s="23"/>
      <c r="C13" s="23"/>
      <c r="D13" s="23"/>
      <c r="E13" s="23"/>
      <c r="F13" s="23"/>
      <c r="G13" s="4"/>
    </row>
    <row r="14" hidden="0" outlineLevel="0" collapsed="0">
      <c r="A14" s="4"/>
      <c r="B14" s="4"/>
      <c r="C14" s="4"/>
      <c r="D14" s="4"/>
      <c r="E14" s="4"/>
      <c r="F14" s="4"/>
      <c r="G14" s="4"/>
    </row>
    <row r="15" hidden="0" outlineLevel="0" collapsed="0">
      <c r="A15" s="4"/>
      <c r="B15" s="4"/>
      <c r="C15" s="4"/>
      <c r="D15" s="4"/>
      <c r="E15" s="4"/>
      <c r="F15" s="4"/>
      <c r="G15" s="4"/>
    </row>
    <row r="16" hidden="0" outlineLevel="0" collapsed="0">
      <c r="A16" s="4"/>
      <c r="B16" s="4"/>
      <c r="C16" s="4"/>
      <c r="D16" s="4"/>
      <c r="E16" s="4"/>
      <c r="F16" s="4"/>
      <c r="G16" s="4"/>
    </row>
    <row r="17" hidden="0" outlineLevel="0" collapsed="0">
      <c r="A17" s="4"/>
      <c r="B17" s="4"/>
      <c r="C17" s="4"/>
      <c r="D17" s="4"/>
      <c r="E17" s="4"/>
      <c r="F17" s="4"/>
      <c r="G17" s="4"/>
    </row>
    <row r="18" hidden="0" outlineLevel="0" collapsed="0">
      <c r="A18" s="4"/>
      <c r="B18" s="4"/>
      <c r="C18" s="4"/>
      <c r="D18" s="4"/>
      <c r="E18" s="4"/>
      <c r="F18" s="4"/>
      <c r="G18" s="4"/>
    </row>
    <row r="19" hidden="0" outlineLevel="0" collapsed="0">
      <c r="A19" s="4"/>
      <c r="B19" s="4"/>
      <c r="C19" s="4"/>
      <c r="D19" s="4"/>
      <c r="E19" s="4"/>
      <c r="F19" s="4"/>
      <c r="G19" s="4"/>
    </row>
    <row r="20" hidden="0" outlineLevel="0" collapsed="0">
      <c r="A20" s="4"/>
      <c r="B20" s="4"/>
      <c r="C20" s="4"/>
      <c r="D20" s="4"/>
      <c r="E20" s="4"/>
      <c r="F20" s="4"/>
      <c r="G20" s="4"/>
    </row>
    <row r="21" hidden="0" outlineLevel="0" collapsed="0">
      <c r="A21" s="4"/>
      <c r="B21" s="4"/>
      <c r="C21" s="4"/>
      <c r="D21" s="4"/>
      <c r="E21" s="4"/>
      <c r="F21" s="4"/>
      <c r="G21" s="4"/>
    </row>
    <row r="22" hidden="0" outlineLevel="0" collapsed="0">
      <c r="A22" s="4"/>
      <c r="B22" s="4"/>
      <c r="C22" s="4"/>
      <c r="D22" s="4"/>
      <c r="E22" s="4"/>
      <c r="F22" s="4"/>
      <c r="G22" s="4"/>
    </row>
    <row r="23" hidden="0" outlineLevel="0" collapsed="0">
      <c r="A23" s="4"/>
      <c r="B23" s="4"/>
      <c r="C23" s="4"/>
      <c r="D23" s="4"/>
      <c r="E23" s="4"/>
      <c r="F23" s="4"/>
      <c r="G23" s="4"/>
    </row>
    <row r="24" hidden="0" outlineLevel="0" collapsed="0">
      <c r="A24" s="4"/>
      <c r="B24" s="4"/>
      <c r="C24" s="4"/>
      <c r="D24" s="4"/>
      <c r="E24" s="4"/>
      <c r="F24" s="4"/>
      <c r="G24" s="4"/>
    </row>
  </sheetData>
  <mergeCells count="3">
    <mergeCell ref="A1:F1"/>
    <mergeCell ref="A2:F2"/>
    <mergeCell ref="A11:F13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8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8" style="1" customWidth="1"/>
    <col min="2" max="4" width="16" style="1" customWidth="1"/>
    <col min="5" max="5" width="14" style="1" customWidth="1"/>
    <col min="6" max="6" width="34" style="1" customWidth="1"/>
    <col min="7" max="7" width="66" style="1" customWidth="1"/>
    <col min="8" max="8" width="15" style="1" customWidth="1"/>
  </cols>
  <sheetData>
    <row r="1" ht="26" hidden="0" outlineLevel="0" collapsed="0">
      <c r="A1" s="2" t="s">
        <v>445</v>
      </c>
      <c r="B1" s="2"/>
      <c r="C1" s="2"/>
      <c r="D1" s="2"/>
      <c r="E1" s="2"/>
      <c r="F1" s="2"/>
      <c r="G1" s="2"/>
      <c r="H1" s="16"/>
    </row>
    <row r="2" ht="32" hidden="0" outlineLevel="0" collapsed="0">
      <c r="A2" s="3" t="s">
        <v>446</v>
      </c>
      <c r="B2" s="3"/>
      <c r="C2" s="3"/>
      <c r="D2" s="3"/>
      <c r="E2" s="3"/>
      <c r="F2" s="3"/>
      <c r="G2" s="3"/>
      <c r="H2" s="17"/>
    </row>
    <row r="3" hidden="0" outlineLevel="0" collapsed="0">
      <c r="A3" s="4"/>
      <c r="B3" s="4"/>
      <c r="C3" s="4"/>
      <c r="D3" s="4"/>
      <c r="E3" s="4"/>
      <c r="F3" s="4"/>
      <c r="G3" s="4"/>
    </row>
    <row r="4" hidden="0" outlineLevel="0" collapsed="0">
      <c r="A4" s="5" t="s">
        <v>447</v>
      </c>
      <c r="B4" s="5" t="s">
        <v>448</v>
      </c>
      <c r="C4" s="5" t="s">
        <v>449</v>
      </c>
      <c r="D4" s="5" t="s">
        <v>450</v>
      </c>
      <c r="E4" s="5" t="s">
        <v>451</v>
      </c>
      <c r="F4" s="5" t="s">
        <v>452</v>
      </c>
      <c r="G4" s="5" t="s">
        <v>453</v>
      </c>
    </row>
    <row r="5" ht="34" hidden="0" outlineLevel="0" collapsed="0">
      <c r="A5" s="6" t="s">
        <v>454</v>
      </c>
      <c r="B5" s="11">
        <f>COUNTIF(Sources!$P$5:$P$70,"MAPPED")</f>
        <v>66</v>
      </c>
      <c r="C5" s="11">
        <f>COUNTIF(Sources!$O$5:$O$70,"Yes")</f>
        <v>66</v>
      </c>
      <c r="D5" s="11">
        <f>B5-C5</f>
        <v>0</v>
      </c>
      <c r="E5" s="11">
        <v>0</v>
      </c>
      <c r="F5" s="6" t="str">
        <f>IF(COUNTIF(Sources!$P$5:$P$70,"MISSING")&gt;0,"FAIL",IF(COUNTIF(Sources!$P$5:$P$70,"BLOCKED")&gt;0,"BLOCKED",IF(ABS(D5)&lt;=E5,"PASS","FAIL")))</f>
        <v>PASS</v>
      </c>
      <c r="G5" s="6" t="s">
        <v>455</v>
      </c>
    </row>
    <row r="6" ht="34" hidden="0" outlineLevel="0" collapsed="0">
      <c r="A6" s="6" t="s">
        <v>456</v>
      </c>
      <c r="B6" s="11">
        <f>IF(Historical!F5="",0,Historical!F5)</f>
        <v>24811</v>
      </c>
      <c r="C6" s="11">
        <f>IF(Sources!D9="",0,Sources!D9)</f>
        <v>24811</v>
      </c>
      <c r="D6" s="11">
        <f>B6-C6</f>
        <v>0</v>
      </c>
      <c r="E6" s="11">
        <v>0.1</v>
      </c>
      <c r="F6" s="6" t="str">
        <f>IF(ABS(D6)&lt;=E6,IF(B6=0,"BLOCKED","PASS"),"FAIL")</f>
        <v>PASS</v>
      </c>
      <c r="G6" s="6" t="s">
        <v>457</v>
      </c>
    </row>
    <row r="7" ht="34" hidden="0" outlineLevel="0" collapsed="0">
      <c r="A7" s="6" t="s">
        <v>458</v>
      </c>
      <c r="B7" s="11">
        <f>IF(Historical!F7="",0,Historical!F7)</f>
        <v>2056</v>
      </c>
      <c r="C7" s="11">
        <f>IF(Sources!D19="",0,Sources!D19)</f>
        <v>2056</v>
      </c>
      <c r="D7" s="11">
        <f>B7-C7</f>
        <v>0</v>
      </c>
      <c r="E7" s="11">
        <v>0.1</v>
      </c>
      <c r="F7" s="6" t="str">
        <f>IF(AND(B7=0,C7=0),"BLOCKED",IF(ABS(D7)&lt;=E7,"PASS","FAIL"))</f>
        <v>PASS</v>
      </c>
      <c r="G7" s="6" t="s">
        <v>459</v>
      </c>
    </row>
    <row r="8" ht="34" hidden="0" outlineLevel="0" collapsed="0">
      <c r="A8" s="6" t="s">
        <v>460</v>
      </c>
      <c r="B8" s="11">
        <f>IF(Historical!F12="",0,Historical!F12)</f>
        <v>14486</v>
      </c>
      <c r="C8" s="11">
        <f>IF(AND(Historical!F11&lt;&gt;"",Historical!F13&lt;&gt;""),Historical!F11-Historical!F13,0)</f>
        <v>14486</v>
      </c>
      <c r="D8" s="11">
        <f>B8-C8</f>
        <v>0</v>
      </c>
      <c r="E8" s="11">
        <v>0.1</v>
      </c>
      <c r="F8" s="6" t="str">
        <f>IF(AND(B8=0,C8=0),"BLOCKED",IF(ABS(D8)&lt;=E8,"PASS","FAIL"))</f>
        <v>PASS</v>
      </c>
      <c r="G8" s="6" t="s">
        <v>461</v>
      </c>
    </row>
    <row r="9" ht="34" hidden="0" outlineLevel="0" collapsed="0">
      <c r="A9" s="6" t="s">
        <v>462</v>
      </c>
      <c r="B9" s="11">
        <f>COUNT(Forecast!C5:G5)</f>
        <v>5</v>
      </c>
      <c r="C9" s="11">
        <v>5</v>
      </c>
      <c r="D9" s="11">
        <f>B9-C9</f>
        <v>0</v>
      </c>
      <c r="E9" s="11">
        <v>0</v>
      </c>
      <c r="F9" s="6" t="str">
        <f>IF(ABS(D9)&lt;=E9,"PASS","BLOCKED")</f>
        <v>PASS</v>
      </c>
      <c r="G9" s="6" t="s">
        <v>369</v>
      </c>
    </row>
    <row r="10" ht="34" hidden="0" outlineLevel="0" collapsed="0">
      <c r="A10" s="6" t="s">
        <v>463</v>
      </c>
      <c r="B10" s="11">
        <f>COUNT(Forecast!C15:G15)</f>
        <v>5</v>
      </c>
      <c r="C10" s="11">
        <v>5</v>
      </c>
      <c r="D10" s="11">
        <f>B10-C10</f>
        <v>0</v>
      </c>
      <c r="E10" s="11">
        <v>0</v>
      </c>
      <c r="F10" s="6" t="str">
        <f>IF(ABS(D10)&lt;=E10,"PASS","BLOCKED")</f>
        <v>PASS</v>
      </c>
      <c r="G10" s="6" t="s">
        <v>464</v>
      </c>
    </row>
    <row r="11" ht="34" hidden="0" outlineLevel="0" collapsed="0">
      <c r="A11" s="6" t="s">
        <v>465</v>
      </c>
      <c r="B11" s="11">
        <f>IF(AND(Assumptions!E14&lt;&gt;"",Assumptions!E15&lt;&gt;"",Assumptions!E14&gt;Assumptions!E15),1,0)</f>
        <v>1</v>
      </c>
      <c r="C11" s="11">
        <v>1</v>
      </c>
      <c r="D11" s="11">
        <f>B11-C11</f>
        <v>0</v>
      </c>
      <c r="E11" s="11">
        <v>0</v>
      </c>
      <c r="F11" s="6" t="str">
        <f>IF(ABS(D11)&lt;=E11,"PASS","BLOCKED")</f>
        <v>PASS</v>
      </c>
      <c r="G11" s="6" t="s">
        <v>466</v>
      </c>
    </row>
    <row r="12" ht="34" hidden="0" outlineLevel="0" collapsed="0">
      <c r="A12" s="6" t="s">
        <v>467</v>
      </c>
      <c r="B12" s="11">
        <f>Valuation!B14</f>
        <v>27504.522398513385</v>
      </c>
      <c r="C12" s="11">
        <f>Valuation!B10+Valuation!B13</f>
        <v>27504.522398513385</v>
      </c>
      <c r="D12" s="11">
        <f>B12-C12</f>
        <v>0</v>
      </c>
      <c r="E12" s="11">
        <v>0.1</v>
      </c>
      <c r="F12" s="6" t="str">
        <f>IF(ABS(D12)&lt;=E12,"PASS","FAIL")</f>
        <v>PASS</v>
      </c>
      <c r="G12" s="6" t="s">
        <v>468</v>
      </c>
    </row>
    <row r="13" ht="34" hidden="0" outlineLevel="0" collapsed="0">
      <c r="A13" s="6" t="s">
        <v>469</v>
      </c>
      <c r="B13" s="11">
        <f>Valuation!B16</f>
        <v>23173.522398513385</v>
      </c>
      <c r="C13" s="11">
        <f>Valuation!B14-Valuation!B15</f>
        <v>23173.522398513385</v>
      </c>
      <c r="D13" s="11">
        <f>B13-C13</f>
        <v>0</v>
      </c>
      <c r="E13" s="11">
        <v>0.1</v>
      </c>
      <c r="F13" s="6" t="str">
        <f>IF(ABS(D13)&lt;=E13,"PASS","FAIL")</f>
        <v>PASS</v>
      </c>
      <c r="G13" s="6" t="s">
        <v>470</v>
      </c>
    </row>
    <row r="14" ht="34" hidden="0" outlineLevel="0" collapsed="0">
      <c r="A14" s="6" t="s">
        <v>471</v>
      </c>
      <c r="B14" s="11">
        <f>Sensitivity!D7</f>
        <v>129.70374759379808</v>
      </c>
      <c r="C14" s="11">
        <f>Valuation!B18</f>
        <v>129.70374759379806</v>
      </c>
      <c r="D14" s="11">
        <f>B14-C14</f>
        <v>0</v>
      </c>
      <c r="E14" s="11">
        <v>0.01</v>
      </c>
      <c r="F14" s="6" t="str">
        <f>IF(ABS(D14)&lt;=E14,"PASS","FAIL")</f>
        <v>PASS</v>
      </c>
      <c r="G14" s="6" t="s">
        <v>472</v>
      </c>
    </row>
    <row r="15" ht="34" hidden="0" outlineLevel="0" collapsed="0">
      <c r="A15" s="6" t="s">
        <v>473</v>
      </c>
      <c r="B15" s="11">
        <f>IF(ISNUMBER(Valuation!B18),1,0)</f>
        <v>1</v>
      </c>
      <c r="C15" s="11">
        <v>1</v>
      </c>
      <c r="D15" s="11">
        <f>B15-C15</f>
        <v>0</v>
      </c>
      <c r="E15" s="11">
        <v>0</v>
      </c>
      <c r="F15" s="6" t="str">
        <f>IF(ABS(D15)&lt;=E15,"PASS","FAIL")</f>
        <v>PASS</v>
      </c>
      <c r="G15" s="6" t="s">
        <v>474</v>
      </c>
    </row>
    <row r="16" ht="34" hidden="0" outlineLevel="0" collapsed="0">
      <c r="A16" s="6" t="s">
        <v>475</v>
      </c>
      <c r="B16" s="11">
        <f>IF(AND(Assumptions!B3&gt;=1,Assumptions!B3&lt;=3),1,0)</f>
        <v>1</v>
      </c>
      <c r="C16" s="11">
        <v>1</v>
      </c>
      <c r="D16" s="11">
        <f>B16-C16</f>
        <v>0</v>
      </c>
      <c r="E16" s="11">
        <v>0</v>
      </c>
      <c r="F16" s="6" t="str">
        <f>IF(ABS(D16)&lt;=E16,"PASS","FAIL")</f>
        <v>PASS</v>
      </c>
      <c r="G16" s="6" t="s">
        <v>476</v>
      </c>
    </row>
    <row r="17" hidden="0" outlineLevel="0" collapsed="0">
      <c r="A17" s="4"/>
      <c r="B17" s="4"/>
      <c r="C17" s="4"/>
      <c r="D17" s="4"/>
      <c r="E17" s="4"/>
      <c r="F17" s="4"/>
      <c r="G17" s="4"/>
    </row>
    <row r="18" ht="23.85" hidden="0" outlineLevel="0" collapsed="0">
      <c r="A18" s="5" t="s">
        <v>477</v>
      </c>
      <c r="B18" s="5"/>
      <c r="C18" s="5"/>
      <c r="D18" s="5"/>
      <c r="E18" s="5"/>
      <c r="F18" s="33" t="str">
        <f>IF(AND(COUNTIF(F5:F16,"PASS")=12,COUNTIF(F20:F22,"PASS")=3),"REVIEW-READY — INDEPENDENT CERTIFICATION PENDING","BLOCKER — CHECKS FAILED")</f>
        <v>REVIEW-READY — INDEPENDENT CERTIFICATION PENDING</v>
      </c>
      <c r="G18" s="5"/>
    </row>
    <row r="19" ht="35.05" hidden="0" outlineLevel="0" collapsed="0">
      <c r="A19" s="6" t="s">
        <v>20</v>
      </c>
      <c r="B19" s="6" t="s">
        <v>21</v>
      </c>
      <c r="C19" s="6"/>
      <c r="D19" s="6"/>
      <c r="E19" s="6"/>
      <c r="F19" s="6"/>
      <c r="G19" s="6"/>
    </row>
    <row r="20" hidden="0" outlineLevel="0" collapsed="0">
      <c r="A20" s="34" t="s">
        <v>478</v>
      </c>
      <c r="B20" s="35">
        <f>Sector_KPIs!H9</f>
        <v>31844.286055151108</v>
      </c>
      <c r="C20" s="35">
        <f>Forecast!G5</f>
        <v>31844.286055151108</v>
      </c>
      <c r="D20" s="35">
        <f>B20-C20</f>
        <v>0</v>
      </c>
      <c r="E20" s="35">
        <v>0.1</v>
      </c>
      <c r="F20" s="35" t="str">
        <f>IF(ABS(D20)&lt;=E20,"PASS","FAIL")</f>
        <v>PASS</v>
      </c>
      <c r="G20" s="34" t="s">
        <v>479</v>
      </c>
    </row>
    <row r="21" hidden="0" outlineLevel="0" collapsed="0">
      <c r="A21" s="34" t="s">
        <v>480</v>
      </c>
      <c r="B21" s="35">
        <f>Sector_KPIs!C9</f>
        <v>24811</v>
      </c>
      <c r="C21" s="35">
        <v>24811</v>
      </c>
      <c r="D21" s="35">
        <f>B21-C21</f>
        <v>0</v>
      </c>
      <c r="E21" s="35">
        <v>0.1</v>
      </c>
      <c r="F21" s="35" t="str">
        <f>IF(ABS(D21)&lt;=E21,"PASS","FAIL")</f>
        <v>PASS</v>
      </c>
      <c r="G21" s="34" t="s">
        <v>481</v>
      </c>
    </row>
    <row r="22" hidden="0" outlineLevel="0" collapsed="0">
      <c r="A22" s="34" t="s">
        <v>482</v>
      </c>
      <c r="B22" s="35">
        <f>Sector_KPIs!B33</f>
        <v>178.665018</v>
      </c>
      <c r="C22" s="35">
        <f>Historical!F16</f>
        <v>178.665018</v>
      </c>
      <c r="D22" s="35">
        <f>B22-C22</f>
        <v>0</v>
      </c>
      <c r="E22" s="35">
        <v>1E-006</v>
      </c>
      <c r="F22" s="35" t="str">
        <f>IF(ABS(D22)&lt;=E22,"PASS","FAIL")</f>
        <v>PASS</v>
      </c>
      <c r="G22" s="34" t="s">
        <v>483</v>
      </c>
    </row>
    <row r="23" hidden="0" outlineLevel="0" collapsed="0">
      <c r="A23" s="4"/>
      <c r="B23" s="4"/>
      <c r="C23" s="4"/>
      <c r="D23" s="4"/>
      <c r="E23" s="4"/>
      <c r="F23" s="4"/>
      <c r="G23" s="4"/>
    </row>
    <row r="24" hidden="0" outlineLevel="0" collapsed="0">
      <c r="A24" s="4"/>
      <c r="B24" s="4"/>
      <c r="C24" s="4"/>
      <c r="D24" s="4"/>
      <c r="E24" s="4"/>
      <c r="F24" s="4"/>
      <c r="G24" s="4"/>
    </row>
    <row r="25" hidden="0" outlineLevel="0" collapsed="0">
      <c r="A25" s="4"/>
      <c r="B25" s="4"/>
      <c r="C25" s="4"/>
      <c r="D25" s="4"/>
      <c r="E25" s="4"/>
      <c r="F25" s="4"/>
      <c r="G25" s="4"/>
    </row>
    <row r="26" hidden="0" outlineLevel="0" collapsed="0">
      <c r="A26" s="4"/>
      <c r="B26" s="4"/>
      <c r="C26" s="4"/>
      <c r="D26" s="4"/>
      <c r="E26" s="4"/>
      <c r="F26" s="4"/>
      <c r="G26" s="4"/>
    </row>
    <row r="27" hidden="0" outlineLevel="0" collapsed="0">
      <c r="A27" s="4"/>
      <c r="B27" s="4"/>
      <c r="C27" s="4"/>
      <c r="D27" s="4"/>
      <c r="E27" s="4"/>
      <c r="F27" s="4"/>
      <c r="G27" s="4"/>
    </row>
    <row r="28" hidden="0" outlineLevel="0" collapsed="0">
      <c r="A28" s="4"/>
      <c r="B28" s="4"/>
      <c r="C28" s="4"/>
      <c r="D28" s="4"/>
      <c r="E28" s="4"/>
      <c r="F28" s="4"/>
      <c r="G28" s="4"/>
    </row>
  </sheetData>
  <mergeCells count="2">
    <mergeCell ref="A1:G1"/>
    <mergeCell ref="A2:G2"/>
  </mergeCells>
  <conditionalFormatting sqref="F5:F16">
    <cfRule type="containsText" priority="2" operator="containsText" text="PASS" dxfId="9">
      <formula>NOT(ISERROR(SEARCH("PASS",F5)))</formula>
    </cfRule>
    <cfRule type="containsText" priority="3" operator="containsText" text="BLOCKED" dxfId="10">
      <formula>NOT(ISERROR(SEARCH("BLOCKED",F5)))</formula>
    </cfRule>
    <cfRule type="containsText" priority="4" operator="containsText" text="FAIL" dxfId="11">
      <formula>NOT(ISERROR(SEARCH("FAIL",F5)))</formula>
    </cfRule>
  </conditionalFormatting>
  <conditionalFormatting sqref="F20:F22">
    <cfRule type="containsText" priority="5" operator="containsText" text="PASS" dxfId="12">
      <formula>NOT(ISERROR(SEARCH("PASS",F20)))</formula>
    </cfRule>
    <cfRule type="containsText" priority="6" operator="containsText" text="PENDING" dxfId="13">
      <formula>NOT(ISERROR(SEARCH("PENDING",F20)))</formula>
    </cfRule>
    <cfRule type="containsText" priority="7" operator="containsText" text="BLOCKER" dxfId="14">
      <formula>NOT(ISERROR(SEARCH("BLOCKER",F20)))</formula>
    </cfRule>
    <cfRule type="containsText" priority="8" operator="containsText" text="PASS" dxfId="15">
      <formula>NOT(ISERROR(SEARCH("PASS",F20)))</formula>
    </cfRule>
    <cfRule type="containsText" priority="9" operator="containsText" text="PENDING" dxfId="16">
      <formula>NOT(ISERROR(SEARCH("PENDING",F20)))</formula>
    </cfRule>
    <cfRule type="containsText" priority="10" operator="containsText" text="BLOCKER" dxfId="17">
      <formula>NOT(ISERROR(SEARCH("BLOCKER",F20)))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J37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style="1" customWidth="1"/>
    <col min="2" max="5" width="14" style="1" customWidth="1"/>
    <col min="6" max="6" width="35" style="1" customWidth="1"/>
    <col min="7" max="8" width="14" style="1" customWidth="1"/>
    <col min="9" max="9" width="5" style="1" customWidth="1"/>
    <col min="10" max="10" width="42" style="1" customWidth="1"/>
  </cols>
  <sheetData>
    <row r="1" ht="28" hidden="0" outlineLevel="0" collapsed="0">
      <c r="A1" s="36" t="s">
        <v>484</v>
      </c>
      <c r="B1" s="36"/>
      <c r="C1" s="36"/>
      <c r="D1" s="36"/>
      <c r="E1" s="36"/>
      <c r="F1" s="36"/>
      <c r="G1" s="36"/>
      <c r="H1" s="36"/>
      <c r="I1" s="36"/>
      <c r="J1" s="36"/>
    </row>
    <row r="2" ht="32" hidden="0" outlineLevel="0" collapsed="0">
      <c r="A2" s="37" t="s">
        <v>485</v>
      </c>
      <c r="B2" s="37"/>
      <c r="C2" s="37"/>
      <c r="D2" s="37"/>
      <c r="E2" s="37"/>
      <c r="F2" s="37"/>
      <c r="G2" s="37"/>
      <c r="H2" s="37"/>
      <c r="I2" s="37"/>
      <c r="J2" s="37"/>
    </row>
    <row r="4" ht="24" hidden="0" outlineLevel="0" collapsed="0">
      <c r="A4" s="38" t="s">
        <v>486</v>
      </c>
      <c r="B4" s="38" t="s">
        <v>378</v>
      </c>
      <c r="C4" s="38" t="s">
        <v>379</v>
      </c>
      <c r="D4" s="38" t="s">
        <v>404</v>
      </c>
      <c r="E4" s="38" t="s">
        <v>405</v>
      </c>
      <c r="F4" s="38" t="s">
        <v>406</v>
      </c>
      <c r="G4" s="38" t="s">
        <v>407</v>
      </c>
      <c r="H4" s="38" t="s">
        <v>408</v>
      </c>
    </row>
    <row r="5" hidden="0" outlineLevel="0" collapsed="0">
      <c r="A5" s="39" t="s">
        <v>487</v>
      </c>
      <c r="B5" s="40">
        <v>13977</v>
      </c>
      <c r="C5" s="40">
        <v>14232</v>
      </c>
      <c r="D5" s="41">
        <f>C5*(1+$E$14)</f>
        <v>15370.560000000001</v>
      </c>
      <c r="E5" s="41">
        <f>D5*(1+$E$17)</f>
        <v>15985.382400000002</v>
      </c>
      <c r="F5" s="41">
        <f>E5*(1+$E$17)</f>
        <v>16624.797696</v>
      </c>
      <c r="G5" s="41">
        <f>F5*(1+$E$17)</f>
        <v>17289.789603840003</v>
      </c>
      <c r="H5" s="41">
        <f>G5*(1+$E$17)</f>
        <v>17981.381187993604</v>
      </c>
    </row>
    <row r="6" hidden="0" outlineLevel="0" collapsed="0">
      <c r="A6" s="39" t="s">
        <v>488</v>
      </c>
      <c r="B6" s="40">
        <v>7937</v>
      </c>
      <c r="C6" s="40">
        <v>8764</v>
      </c>
      <c r="D6" s="41">
        <f>C6*(1+$E$15)</f>
        <v>9640.400000000001</v>
      </c>
      <c r="E6" s="41">
        <f>D6*(1+$E$18)</f>
        <v>10122.420000000002</v>
      </c>
      <c r="F6" s="41">
        <f>E6*(1+$E$18)</f>
        <v>10628.541000000003</v>
      </c>
      <c r="G6" s="41">
        <f>F6*(1+$E$18)</f>
        <v>11159.968050000003</v>
      </c>
      <c r="H6" s="41">
        <f>G6*(1+$E$18)</f>
        <v>11717.966452500004</v>
      </c>
    </row>
    <row r="7" hidden="0" outlineLevel="0" collapsed="0">
      <c r="A7" s="39" t="s">
        <v>489</v>
      </c>
      <c r="B7" s="40">
        <v>1779</v>
      </c>
      <c r="C7" s="40">
        <v>1815</v>
      </c>
      <c r="D7" s="41">
        <f>C7*(1+$E$16)</f>
        <v>1905.75</v>
      </c>
      <c r="E7" s="41">
        <f>D7*(1+$E$19)</f>
        <v>1962.9225000000001</v>
      </c>
      <c r="F7" s="41">
        <f>E7*(1+$E$19)</f>
        <v>2021.810175</v>
      </c>
      <c r="G7" s="41">
        <f>F7*(1+$E$19)</f>
        <v>2082.46448025</v>
      </c>
      <c r="H7" s="41">
        <f>G7*(1+$E$19)</f>
        <v>2144.9384146575003</v>
      </c>
    </row>
    <row r="8" hidden="0" outlineLevel="0" collapsed="0">
      <c r="A8" s="39" t="s">
        <v>490</v>
      </c>
      <c r="B8" s="40">
        <v>-10</v>
      </c>
      <c r="C8" s="40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</row>
    <row r="9" hidden="0" outlineLevel="0" collapsed="0">
      <c r="A9" s="39" t="s">
        <v>491</v>
      </c>
      <c r="B9" s="40">
        <v>23683</v>
      </c>
      <c r="C9" s="40">
        <v>24811</v>
      </c>
      <c r="D9" s="41">
        <f>SUM(D5:D8)</f>
        <v>26916.710000000003</v>
      </c>
      <c r="E9" s="41">
        <f>SUM(E5:E8)</f>
        <v>28070.724900000005</v>
      </c>
      <c r="F9" s="41">
        <f>SUM(F5:F8)</f>
        <v>29275.148871000005</v>
      </c>
      <c r="G9" s="41">
        <f>SUM(G5:G8)</f>
        <v>30532.222134090007</v>
      </c>
      <c r="H9" s="41">
        <f>SUM(H5:H8)</f>
        <v>31844.286055151108</v>
      </c>
    </row>
    <row r="10" hidden="0" outlineLevel="0" collapsed="0">
      <c r="A10" s="39" t="s">
        <v>492</v>
      </c>
      <c r="B10" s="40">
        <v>0</v>
      </c>
      <c r="C10" s="40">
        <v>0</v>
      </c>
      <c r="D10" s="41">
        <f>D9-Forecast!C5</f>
        <v>0</v>
      </c>
      <c r="E10" s="41">
        <f>E9-Forecast!D5</f>
        <v>0</v>
      </c>
      <c r="F10" s="41">
        <f>F9-Forecast!E5</f>
        <v>0</v>
      </c>
      <c r="G10" s="41">
        <f>G9-Forecast!F5</f>
        <v>0</v>
      </c>
      <c r="H10" s="41">
        <f>H9-Forecast!G5</f>
        <v>0</v>
      </c>
    </row>
    <row r="12" ht="24" hidden="0" outlineLevel="0" collapsed="0">
      <c r="A12" s="38" t="s">
        <v>493</v>
      </c>
      <c r="B12" s="38" t="s">
        <v>387</v>
      </c>
      <c r="C12" s="38" t="s">
        <v>388</v>
      </c>
      <c r="D12" s="38" t="s">
        <v>389</v>
      </c>
      <c r="E12" s="38" t="s">
        <v>390</v>
      </c>
      <c r="F12" s="38" t="s">
        <v>40</v>
      </c>
    </row>
    <row r="13" hidden="0" outlineLevel="0" collapsed="0">
      <c r="A13" s="39" t="s">
        <v>494</v>
      </c>
      <c r="B13" s="39">
        <v>3</v>
      </c>
      <c r="C13" s="39">
        <v>1</v>
      </c>
      <c r="D13" s="39">
        <v>2</v>
      </c>
      <c r="E13" s="39"/>
      <c r="F13" s="39" t="s">
        <v>495</v>
      </c>
    </row>
    <row r="14" ht="23.85" hidden="0" outlineLevel="0" collapsed="0">
      <c r="A14" s="39" t="s">
        <v>496</v>
      </c>
      <c r="B14" s="42">
        <v>0.05</v>
      </c>
      <c r="C14" s="42">
        <v>0.08</v>
      </c>
      <c r="D14" s="42">
        <v>0.11</v>
      </c>
      <c r="E14" s="43">
        <f>CHOOSE(Assumptions!$B$3,C14,D14,B14)</f>
        <v>0.08</v>
      </c>
      <c r="F14" s="39" t="s">
        <v>497</v>
      </c>
    </row>
    <row r="15" ht="23.85" hidden="0" outlineLevel="0" collapsed="0">
      <c r="A15" s="39" t="s">
        <v>498</v>
      </c>
      <c r="B15" s="42">
        <v>0.06</v>
      </c>
      <c r="C15" s="42">
        <v>0.1</v>
      </c>
      <c r="D15" s="42">
        <v>0.14</v>
      </c>
      <c r="E15" s="43">
        <f>CHOOSE(Assumptions!$B$3,C15,D15,B15)</f>
        <v>0.1</v>
      </c>
      <c r="F15" s="39" t="s">
        <v>497</v>
      </c>
    </row>
    <row r="16" ht="23.85" hidden="0" outlineLevel="0" collapsed="0">
      <c r="A16" s="39" t="s">
        <v>499</v>
      </c>
      <c r="B16" s="42">
        <v>0.02</v>
      </c>
      <c r="C16" s="42">
        <v>0.05</v>
      </c>
      <c r="D16" s="42">
        <v>0.08</v>
      </c>
      <c r="E16" s="43">
        <f>CHOOSE(Assumptions!$B$3,C16,D16,B16)</f>
        <v>0.05</v>
      </c>
      <c r="F16" s="39" t="s">
        <v>497</v>
      </c>
    </row>
    <row r="17" hidden="0" outlineLevel="0" collapsed="0">
      <c r="A17" s="39" t="s">
        <v>500</v>
      </c>
      <c r="B17" s="42">
        <v>0.02</v>
      </c>
      <c r="C17" s="42">
        <v>0.04</v>
      </c>
      <c r="D17" s="42">
        <v>0.06</v>
      </c>
      <c r="E17" s="43">
        <f>CHOOSE(Assumptions!$B$3,C17,D17,B17)</f>
        <v>0.04</v>
      </c>
      <c r="F17" s="39" t="s">
        <v>501</v>
      </c>
    </row>
    <row r="18" hidden="0" outlineLevel="0" collapsed="0">
      <c r="A18" s="39" t="s">
        <v>502</v>
      </c>
      <c r="B18" s="42">
        <v>0.03</v>
      </c>
      <c r="C18" s="42">
        <v>0.05</v>
      </c>
      <c r="D18" s="42">
        <v>0.07</v>
      </c>
      <c r="E18" s="43">
        <f>CHOOSE(Assumptions!$B$3,C18,D18,B18)</f>
        <v>0.05</v>
      </c>
      <c r="F18" s="39" t="s">
        <v>501</v>
      </c>
    </row>
    <row r="19" hidden="0" outlineLevel="0" collapsed="0">
      <c r="A19" s="39" t="s">
        <v>503</v>
      </c>
      <c r="B19" s="42">
        <v>0.01</v>
      </c>
      <c r="C19" s="42">
        <v>0.03</v>
      </c>
      <c r="D19" s="42">
        <v>0.05</v>
      </c>
      <c r="E19" s="43">
        <f>CHOOSE(Assumptions!$B$3,C19,D19,B19)</f>
        <v>0.03</v>
      </c>
      <c r="F19" s="39" t="s">
        <v>501</v>
      </c>
    </row>
    <row r="22" ht="24" hidden="0" outlineLevel="0" collapsed="0">
      <c r="A22" s="38" t="s">
        <v>504</v>
      </c>
      <c r="B22" s="38" t="s">
        <v>378</v>
      </c>
      <c r="C22" s="38" t="s">
        <v>379</v>
      </c>
      <c r="D22" s="38" t="s">
        <v>505</v>
      </c>
      <c r="F22" s="44" t="s">
        <v>506</v>
      </c>
      <c r="G22" s="44"/>
      <c r="H22" s="44"/>
      <c r="I22" s="44"/>
      <c r="J22" s="44"/>
    </row>
    <row r="23" ht="35.05" hidden="0" outlineLevel="0" collapsed="0">
      <c r="A23" s="39" t="s">
        <v>507</v>
      </c>
      <c r="B23" s="39">
        <v>14172</v>
      </c>
      <c r="C23" s="39">
        <v>14833</v>
      </c>
      <c r="D23" s="45">
        <v>0.12</v>
      </c>
      <c r="F23" s="39" t="s">
        <v>508</v>
      </c>
      <c r="G23" s="39"/>
      <c r="H23" s="39"/>
      <c r="I23" s="39"/>
      <c r="J23" s="39"/>
    </row>
    <row r="24" ht="46.25" hidden="0" outlineLevel="0" collapsed="0">
      <c r="A24" s="39" t="s">
        <v>509</v>
      </c>
      <c r="B24" s="39">
        <v>9490</v>
      </c>
      <c r="C24" s="39">
        <v>9931</v>
      </c>
      <c r="D24" s="45">
        <v>0.14</v>
      </c>
      <c r="F24" s="39" t="s">
        <v>335</v>
      </c>
      <c r="G24" s="39"/>
      <c r="H24" s="39"/>
      <c r="I24" s="39"/>
      <c r="J24" s="39"/>
    </row>
    <row r="25" ht="35.05" hidden="0" outlineLevel="0" collapsed="0">
      <c r="A25" s="39" t="s">
        <v>510</v>
      </c>
      <c r="B25" s="39">
        <v>23662</v>
      </c>
      <c r="C25" s="39">
        <v>24764</v>
      </c>
      <c r="D25" s="39"/>
      <c r="F25" s="39" t="s">
        <v>511</v>
      </c>
      <c r="G25" s="39"/>
      <c r="H25" s="39"/>
      <c r="I25" s="39"/>
      <c r="J25" s="39"/>
    </row>
    <row r="28" hidden="0" outlineLevel="0" collapsed="0">
      <c r="A28" s="44" t="s">
        <v>512</v>
      </c>
      <c r="B28" s="44"/>
      <c r="C28" s="44"/>
      <c r="D28" s="44"/>
    </row>
    <row r="29" ht="24" hidden="0" outlineLevel="0" collapsed="0">
      <c r="A29" s="38" t="s">
        <v>513</v>
      </c>
      <c r="B29" s="38" t="s">
        <v>514</v>
      </c>
      <c r="C29" s="38" t="s">
        <v>515</v>
      </c>
      <c r="D29" s="38" t="s">
        <v>516</v>
      </c>
    </row>
    <row r="30" ht="68.65" hidden="0" outlineLevel="0" collapsed="0">
      <c r="A30" s="39" t="s">
        <v>517</v>
      </c>
      <c r="B30" s="40">
        <v>178.665018</v>
      </c>
      <c r="C30" s="39" t="s">
        <v>518</v>
      </c>
      <c r="D30" s="39" t="s">
        <v>519</v>
      </c>
    </row>
    <row r="31" ht="57.45" hidden="0" outlineLevel="0" collapsed="0">
      <c r="A31" s="39" t="s">
        <v>520</v>
      </c>
      <c r="B31" s="40">
        <v>0</v>
      </c>
      <c r="C31" s="39" t="s">
        <v>521</v>
      </c>
      <c r="D31" s="39" t="s">
        <v>522</v>
      </c>
    </row>
    <row r="32" ht="57.45" hidden="0" outlineLevel="0" collapsed="0">
      <c r="A32" s="39" t="s">
        <v>523</v>
      </c>
      <c r="B32" s="40"/>
      <c r="C32" s="39" t="s">
        <v>524</v>
      </c>
      <c r="D32" s="39" t="s">
        <v>525</v>
      </c>
    </row>
    <row r="33" ht="35.05" hidden="0" outlineLevel="0" collapsed="0">
      <c r="A33" s="39" t="s">
        <v>526</v>
      </c>
      <c r="B33" s="41">
        <f>SUM(B30:B31)</f>
        <v>178.665018</v>
      </c>
      <c r="C33" s="39" t="s">
        <v>527</v>
      </c>
      <c r="D33" s="39" t="s">
        <v>528</v>
      </c>
    </row>
    <row r="34" hidden="0" outlineLevel="0" collapsed="0">
      <c r="A34" s="39" t="s">
        <v>529</v>
      </c>
      <c r="B34" s="41">
        <f>Valuation!B16</f>
        <v>23173.522398513385</v>
      </c>
      <c r="C34" s="39" t="s">
        <v>530</v>
      </c>
      <c r="D34" s="39" t="s">
        <v>531</v>
      </c>
    </row>
    <row r="35" hidden="0" outlineLevel="0" collapsed="0">
      <c r="A35" s="39" t="s">
        <v>532</v>
      </c>
      <c r="B35" s="46">
        <f>B34/B33</f>
        <v>129.70374759379806</v>
      </c>
      <c r="C35" s="39" t="s">
        <v>327</v>
      </c>
      <c r="D35" s="39" t="s">
        <v>533</v>
      </c>
    </row>
    <row r="36" hidden="0" outlineLevel="0" collapsed="0">
      <c r="A36" s="39" t="s">
        <v>534</v>
      </c>
      <c r="B36" s="46">
        <f>Valuation!B19</f>
        <v>169.05</v>
      </c>
      <c r="C36" s="39" t="s">
        <v>327</v>
      </c>
      <c r="D36" s="39" t="s">
        <v>329</v>
      </c>
    </row>
    <row r="37" ht="23.85" hidden="0" outlineLevel="0" collapsed="0">
      <c r="A37" s="39" t="s">
        <v>535</v>
      </c>
      <c r="B37" s="47" t="str">
        <f>IF(ABS(B33-Historical!F16)&lt;0.000001,"PASS","FAIL")</f>
        <v>PASS</v>
      </c>
      <c r="C37" s="39" t="s">
        <v>536</v>
      </c>
      <c r="D37" s="39" t="s">
        <v>528</v>
      </c>
    </row>
  </sheetData>
  <mergeCells count="2">
    <mergeCell ref="A1:J1"/>
    <mergeCell ref="A2:J2"/>
  </mergeCells>
  <conditionalFormatting sqref="G5:G14">
    <cfRule type="containsText" priority="2" operator="containsText" text="Blocked" dxfId="18">
      <formula>NOT(ISERROR(SEARCH("Blocked",G5)))</formula>
    </cfRule>
  </conditionalFormatting>
  <conditionalFormatting sqref="B37">
    <cfRule type="containsText" priority="3" operator="containsText" text="PASS" dxfId="19">
      <formula>NOT(ISERROR(SEARCH("PASS",B37)))</formula>
    </cfRule>
    <cfRule type="containsText" priority="4" operator="containsText" text="PENDING" dxfId="20">
      <formula>NOT(ISERROR(SEARCH("PENDING",B37)))</formula>
    </cfRule>
    <cfRule type="containsText" priority="5" operator="containsText" text="BLOCKER" dxfId="21">
      <formula>NOT(ISERROR(SEARCH("BLOCKER",B37)))</formula>
    </cfRule>
    <cfRule type="containsText" priority="6" operator="containsText" text="PASS" dxfId="22">
      <formula>NOT(ISERROR(SEARCH("PASS",B37)))</formula>
    </cfRule>
    <cfRule type="containsText" priority="7" operator="containsText" text="PENDING" dxfId="23">
      <formula>NOT(ISERROR(SEARCH("PENDING",B37)))</formula>
    </cfRule>
    <cfRule type="containsText" priority="8" operator="containsText" text="BLOCKER" dxfId="24">
      <formula>NOT(ISERROR(SEARCH("BLOCKER",B37)))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16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4" style="1" customWidth="1"/>
    <col min="2" max="2" width="12" style="1" customWidth="1"/>
    <col min="3" max="3" width="28" style="1" customWidth="1"/>
    <col min="4" max="4" width="54" style="1" customWidth="1"/>
    <col min="5" max="6" width="58" style="1" customWidth="1"/>
    <col min="7" max="7" width="36" style="1" customWidth="1"/>
    <col min="8" max="8" width="15" style="1" customWidth="1"/>
  </cols>
  <sheetData>
    <row r="1" ht="26" hidden="0" outlineLevel="0" collapsed="0">
      <c r="A1" s="2" t="s">
        <v>537</v>
      </c>
      <c r="B1" s="2"/>
      <c r="C1" s="2"/>
      <c r="D1" s="2"/>
      <c r="E1" s="2"/>
      <c r="F1" s="2"/>
      <c r="G1" s="2"/>
      <c r="H1" s="16"/>
    </row>
    <row r="2" ht="32" hidden="0" outlineLevel="0" collapsed="0">
      <c r="A2" s="3" t="s">
        <v>538</v>
      </c>
      <c r="B2" s="3"/>
      <c r="C2" s="3"/>
      <c r="D2" s="3"/>
      <c r="E2" s="3"/>
      <c r="F2" s="3"/>
      <c r="G2" s="3"/>
      <c r="H2" s="17"/>
    </row>
    <row r="3" hidden="0" outlineLevel="0" collapsed="0">
      <c r="A3" s="4"/>
      <c r="B3" s="4"/>
      <c r="C3" s="4"/>
      <c r="D3" s="4"/>
      <c r="E3" s="4"/>
      <c r="F3" s="4"/>
      <c r="G3" s="4"/>
    </row>
    <row r="4" hidden="0" outlineLevel="0" collapsed="0">
      <c r="A4" s="5" t="s">
        <v>539</v>
      </c>
      <c r="B4" s="5" t="s">
        <v>540</v>
      </c>
      <c r="C4" s="5" t="s">
        <v>541</v>
      </c>
      <c r="D4" s="5" t="s">
        <v>542</v>
      </c>
      <c r="E4" s="5" t="s">
        <v>543</v>
      </c>
      <c r="F4" s="5" t="s">
        <v>544</v>
      </c>
      <c r="G4" s="5" t="s">
        <v>545</v>
      </c>
    </row>
    <row r="5" ht="62" hidden="0" outlineLevel="0" collapsed="0">
      <c r="A5" s="6" t="s">
        <v>546</v>
      </c>
      <c r="B5" s="6" t="s">
        <v>547</v>
      </c>
      <c r="C5" s="6" t="s">
        <v>548</v>
      </c>
      <c r="D5" s="6" t="s">
        <v>549</v>
      </c>
      <c r="E5" s="6" t="s">
        <v>550</v>
      </c>
      <c r="F5" s="6" t="s">
        <v>551</v>
      </c>
      <c r="G5" s="6" t="s">
        <v>552</v>
      </c>
    </row>
    <row r="6" ht="62" hidden="0" outlineLevel="0" collapsed="0">
      <c r="A6" s="6" t="s">
        <v>52</v>
      </c>
      <c r="B6" s="6" t="s">
        <v>553</v>
      </c>
      <c r="C6" s="6" t="s">
        <v>554</v>
      </c>
      <c r="D6" s="6" t="s">
        <v>555</v>
      </c>
      <c r="E6" s="6" t="s">
        <v>556</v>
      </c>
      <c r="F6" s="6" t="s">
        <v>557</v>
      </c>
      <c r="G6" s="6" t="s">
        <v>558</v>
      </c>
    </row>
    <row r="7" ht="62" hidden="0" outlineLevel="0" collapsed="0">
      <c r="A7" s="6" t="s">
        <v>52</v>
      </c>
      <c r="B7" s="6" t="s">
        <v>553</v>
      </c>
      <c r="C7" s="6" t="s">
        <v>554</v>
      </c>
      <c r="D7" s="6" t="s">
        <v>559</v>
      </c>
      <c r="E7" s="6" t="s">
        <v>560</v>
      </c>
      <c r="F7" s="6" t="s">
        <v>561</v>
      </c>
      <c r="G7" s="6" t="s">
        <v>562</v>
      </c>
    </row>
    <row r="8" ht="62" hidden="0" outlineLevel="0" collapsed="0">
      <c r="A8" s="6" t="s">
        <v>52</v>
      </c>
      <c r="B8" s="6" t="s">
        <v>553</v>
      </c>
      <c r="C8" s="6" t="s">
        <v>554</v>
      </c>
      <c r="D8" s="6" t="s">
        <v>563</v>
      </c>
      <c r="E8" s="6" t="s">
        <v>564</v>
      </c>
      <c r="F8" s="6" t="s">
        <v>565</v>
      </c>
      <c r="G8" s="6" t="s">
        <v>566</v>
      </c>
    </row>
    <row r="9" ht="20.85" hidden="0" outlineLevel="0" collapsed="0">
      <c r="A9" s="34" t="s">
        <v>52</v>
      </c>
      <c r="B9" s="34" t="s">
        <v>567</v>
      </c>
      <c r="C9" s="34" t="s">
        <v>568</v>
      </c>
      <c r="D9" s="34" t="s">
        <v>569</v>
      </c>
      <c r="E9" s="34" t="s">
        <v>570</v>
      </c>
      <c r="F9" s="34" t="s">
        <v>571</v>
      </c>
      <c r="G9" s="34" t="s">
        <v>572</v>
      </c>
    </row>
    <row r="10" hidden="0" outlineLevel="0" collapsed="0">
      <c r="A10" s="4">
        <v>46224</v>
      </c>
      <c r="B10" s="4" t="s">
        <v>573</v>
      </c>
      <c r="C10" s="4" t="s">
        <v>574</v>
      </c>
      <c r="D10" s="4"/>
      <c r="E10" s="4"/>
      <c r="F10" s="4"/>
      <c r="G10" s="4"/>
    </row>
    <row r="11" hidden="0" outlineLevel="0" collapsed="0">
      <c r="A11" s="4"/>
      <c r="B11" s="4"/>
      <c r="C11" s="4"/>
      <c r="D11" s="4"/>
      <c r="E11" s="4"/>
      <c r="F11" s="4"/>
      <c r="G11" s="4"/>
    </row>
    <row r="12" hidden="0" outlineLevel="0" collapsed="0">
      <c r="A12" s="4"/>
      <c r="B12" s="4"/>
      <c r="C12" s="4"/>
      <c r="D12" s="4"/>
      <c r="E12" s="4"/>
      <c r="F12" s="4"/>
      <c r="G12" s="4"/>
    </row>
    <row r="13" hidden="0" outlineLevel="0" collapsed="0">
      <c r="A13" s="4"/>
      <c r="B13" s="4"/>
      <c r="C13" s="4"/>
      <c r="D13" s="4"/>
      <c r="E13" s="4"/>
      <c r="F13" s="4"/>
      <c r="G13" s="4"/>
    </row>
    <row r="14" hidden="0" outlineLevel="0" collapsed="0">
      <c r="A14" s="4"/>
      <c r="B14" s="4"/>
      <c r="C14" s="4"/>
      <c r="D14" s="4"/>
      <c r="E14" s="4"/>
      <c r="F14" s="4"/>
      <c r="G14" s="4"/>
    </row>
    <row r="15" hidden="0" outlineLevel="0" collapsed="0">
      <c r="A15" s="4"/>
      <c r="B15" s="4"/>
      <c r="C15" s="4"/>
      <c r="D15" s="4"/>
      <c r="E15" s="4"/>
      <c r="F15" s="4"/>
      <c r="G15" s="4"/>
    </row>
    <row r="16" hidden="0" outlineLevel="0" collapsed="0">
      <c r="A16" s="4"/>
      <c r="B16" s="4"/>
      <c r="C16" s="4"/>
      <c r="D16" s="4"/>
      <c r="E16" s="4"/>
      <c r="F16" s="4"/>
      <c r="G16" s="4"/>
    </row>
  </sheetData>
  <mergeCells count="2">
    <mergeCell ref="A1:G1"/>
    <mergeCell ref="A2:G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4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2" style="1" customWidth="1"/>
    <col min="2" max="2" width="10" style="1" customWidth="1"/>
    <col min="3" max="3" width="34" style="1" customWidth="1"/>
    <col min="4" max="4" width="48" style="1" customWidth="1"/>
    <col min="5" max="5" width="66" style="1" customWidth="1"/>
    <col min="6" max="6" width="24" style="1" customWidth="1"/>
    <col min="7" max="8" width="12" style="1" customWidth="1"/>
  </cols>
  <sheetData>
    <row r="1" ht="26" hidden="0" outlineLevel="0" collapsed="0">
      <c r="A1" s="2" t="s">
        <v>575</v>
      </c>
      <c r="B1" s="2"/>
      <c r="C1" s="2"/>
      <c r="D1" s="2"/>
      <c r="E1" s="2"/>
      <c r="F1" s="2"/>
      <c r="G1" s="2"/>
      <c r="H1" s="2"/>
    </row>
    <row r="2" ht="32" hidden="0" outlineLevel="0" collapsed="0">
      <c r="A2" s="3" t="s">
        <v>576</v>
      </c>
      <c r="B2" s="3"/>
      <c r="C2" s="3"/>
      <c r="D2" s="3"/>
      <c r="E2" s="3"/>
      <c r="F2" s="3"/>
      <c r="G2" s="3"/>
      <c r="H2" s="3"/>
    </row>
    <row r="3" hidden="0" outlineLevel="0" collapsed="0">
      <c r="A3" s="4"/>
      <c r="B3" s="4"/>
      <c r="C3" s="4"/>
      <c r="D3" s="4"/>
      <c r="E3" s="4"/>
      <c r="F3" s="4"/>
      <c r="G3" s="4"/>
      <c r="H3" s="4"/>
    </row>
    <row r="4" hidden="0" outlineLevel="0" collapsed="0">
      <c r="A4" s="5" t="s">
        <v>577</v>
      </c>
      <c r="B4" s="5" t="s">
        <v>578</v>
      </c>
      <c r="C4" s="5" t="s">
        <v>579</v>
      </c>
      <c r="D4" s="5" t="s">
        <v>580</v>
      </c>
      <c r="E4" s="5" t="s">
        <v>581</v>
      </c>
      <c r="F4" s="5" t="s">
        <v>582</v>
      </c>
      <c r="G4" s="4"/>
      <c r="H4" s="4"/>
    </row>
    <row r="5" ht="46" hidden="0" outlineLevel="0" collapsed="0">
      <c r="A5" s="6" t="s">
        <v>583</v>
      </c>
      <c r="B5" s="48">
        <v>5</v>
      </c>
      <c r="C5" s="6" t="s">
        <v>584</v>
      </c>
      <c r="D5" s="6" t="s">
        <v>585</v>
      </c>
      <c r="E5" s="6" t="s">
        <v>586</v>
      </c>
      <c r="F5" s="6" t="s">
        <v>587</v>
      </c>
      <c r="G5" s="4"/>
      <c r="H5" s="4"/>
    </row>
    <row r="6" ht="46" hidden="0" outlineLevel="0" collapsed="0">
      <c r="A6" s="6" t="s">
        <v>588</v>
      </c>
      <c r="B6" s="48">
        <v>20</v>
      </c>
      <c r="C6" s="6" t="s">
        <v>584</v>
      </c>
      <c r="D6" s="6" t="s">
        <v>589</v>
      </c>
      <c r="E6" s="6" t="s">
        <v>590</v>
      </c>
      <c r="F6" s="6" t="s">
        <v>587</v>
      </c>
      <c r="G6" s="4"/>
      <c r="H6" s="4"/>
    </row>
    <row r="7" ht="46" hidden="0" outlineLevel="0" collapsed="0">
      <c r="A7" s="6" t="s">
        <v>591</v>
      </c>
      <c r="B7" s="48">
        <v>15</v>
      </c>
      <c r="C7" s="6" t="s">
        <v>584</v>
      </c>
      <c r="D7" s="6" t="s">
        <v>592</v>
      </c>
      <c r="E7" s="6" t="s">
        <v>593</v>
      </c>
      <c r="F7" s="6" t="s">
        <v>587</v>
      </c>
      <c r="G7" s="4"/>
      <c r="H7" s="4"/>
    </row>
    <row r="8" ht="46" hidden="0" outlineLevel="0" collapsed="0">
      <c r="A8" s="6" t="s">
        <v>594</v>
      </c>
      <c r="B8" s="48">
        <v>10</v>
      </c>
      <c r="C8" s="6" t="s">
        <v>584</v>
      </c>
      <c r="D8" s="6" t="s">
        <v>595</v>
      </c>
      <c r="E8" s="6" t="s">
        <v>596</v>
      </c>
      <c r="F8" s="6" t="s">
        <v>587</v>
      </c>
      <c r="G8" s="4"/>
      <c r="H8" s="4"/>
    </row>
    <row r="9" ht="46" hidden="0" outlineLevel="0" collapsed="0">
      <c r="A9" s="6" t="s">
        <v>597</v>
      </c>
      <c r="B9" s="48">
        <v>15</v>
      </c>
      <c r="C9" s="6" t="s">
        <v>584</v>
      </c>
      <c r="D9" s="6" t="s">
        <v>598</v>
      </c>
      <c r="E9" s="6" t="s">
        <v>599</v>
      </c>
      <c r="F9" s="6" t="s">
        <v>587</v>
      </c>
      <c r="G9" s="4"/>
      <c r="H9" s="4"/>
    </row>
    <row r="10" ht="46" hidden="0" outlineLevel="0" collapsed="0">
      <c r="A10" s="6" t="s">
        <v>600</v>
      </c>
      <c r="B10" s="48">
        <v>8</v>
      </c>
      <c r="C10" s="6" t="s">
        <v>584</v>
      </c>
      <c r="D10" s="6" t="s">
        <v>601</v>
      </c>
      <c r="E10" s="6" t="s">
        <v>602</v>
      </c>
      <c r="F10" s="6" t="s">
        <v>587</v>
      </c>
      <c r="G10" s="4"/>
      <c r="H10" s="4"/>
    </row>
    <row r="11" ht="46" hidden="0" outlineLevel="0" collapsed="0">
      <c r="A11" s="6" t="s">
        <v>603</v>
      </c>
      <c r="B11" s="48">
        <v>10</v>
      </c>
      <c r="C11" s="6" t="s">
        <v>604</v>
      </c>
      <c r="D11" s="6" t="s">
        <v>605</v>
      </c>
      <c r="E11" s="6" t="s">
        <v>606</v>
      </c>
      <c r="F11" s="6" t="s">
        <v>587</v>
      </c>
      <c r="G11" s="4"/>
      <c r="H11" s="4"/>
    </row>
    <row r="12" ht="46" hidden="0" outlineLevel="0" collapsed="0">
      <c r="A12" s="6" t="s">
        <v>607</v>
      </c>
      <c r="B12" s="48">
        <v>7</v>
      </c>
      <c r="C12" s="6" t="s">
        <v>604</v>
      </c>
      <c r="D12" s="6" t="s">
        <v>608</v>
      </c>
      <c r="E12" s="6" t="s">
        <v>609</v>
      </c>
      <c r="F12" s="6" t="s">
        <v>587</v>
      </c>
      <c r="G12" s="4"/>
      <c r="H12" s="4"/>
    </row>
    <row r="13" ht="46" hidden="0" outlineLevel="0" collapsed="0">
      <c r="A13" s="6" t="s">
        <v>610</v>
      </c>
      <c r="B13" s="48">
        <v>5</v>
      </c>
      <c r="C13" s="6" t="s">
        <v>584</v>
      </c>
      <c r="D13" s="6" t="s">
        <v>611</v>
      </c>
      <c r="E13" s="6" t="s">
        <v>612</v>
      </c>
      <c r="F13" s="6" t="s">
        <v>587</v>
      </c>
      <c r="G13" s="4"/>
      <c r="H13" s="4"/>
    </row>
    <row r="14" ht="46" hidden="0" outlineLevel="0" collapsed="0">
      <c r="A14" s="6" t="s">
        <v>613</v>
      </c>
      <c r="B14" s="48">
        <v>5</v>
      </c>
      <c r="C14" s="6" t="s">
        <v>584</v>
      </c>
      <c r="D14" s="6" t="s">
        <v>614</v>
      </c>
      <c r="E14" s="6" t="s">
        <v>615</v>
      </c>
      <c r="F14" s="6" t="s">
        <v>587</v>
      </c>
      <c r="G14" s="4"/>
      <c r="H14" s="4"/>
    </row>
    <row r="15" hidden="0" outlineLevel="0" collapsed="0">
      <c r="A15" s="4"/>
      <c r="B15" s="4"/>
      <c r="C15" s="4"/>
      <c r="D15" s="4"/>
      <c r="E15" s="4"/>
      <c r="F15" s="4"/>
      <c r="G15" s="4"/>
      <c r="H15" s="4"/>
    </row>
    <row r="16" ht="46.25" hidden="0" outlineLevel="0" collapsed="0">
      <c r="A16" s="5" t="s">
        <v>616</v>
      </c>
      <c r="B16" s="49" t="str">
        <f>IF(COUNTIF(C5:C14,"BLOCKED*")&gt;0,"NOT CERTIFIED — source/disclosure blocker","PENDING INDEPENDENT 9/10 REVIEW")</f>
        <v>PENDING INDEPENDENT 9/10 REVIEW</v>
      </c>
      <c r="C16" s="4"/>
      <c r="D16" s="4"/>
      <c r="E16" s="4"/>
      <c r="F16" s="4"/>
      <c r="G16" s="4"/>
      <c r="H16" s="4"/>
    </row>
    <row r="17" hidden="0" outlineLevel="0" collapsed="0">
      <c r="A17" s="4"/>
      <c r="B17" s="4"/>
      <c r="C17" s="4"/>
      <c r="D17" s="4"/>
      <c r="E17" s="4"/>
      <c r="F17" s="4"/>
      <c r="G17" s="4"/>
      <c r="H17" s="4"/>
    </row>
    <row r="18" hidden="0" outlineLevel="0" collapsed="0">
      <c r="A18" s="23" t="s">
        <v>617</v>
      </c>
      <c r="B18" s="23"/>
      <c r="C18" s="23"/>
      <c r="D18" s="23"/>
      <c r="E18" s="23"/>
      <c r="F18" s="23"/>
      <c r="G18" s="23"/>
      <c r="H18" s="23"/>
    </row>
    <row r="19" hidden="0" outlineLevel="0" collapsed="0">
      <c r="A19" s="23"/>
      <c r="B19" s="23"/>
      <c r="C19" s="23"/>
      <c r="D19" s="23"/>
      <c r="E19" s="23"/>
      <c r="F19" s="23"/>
      <c r="G19" s="23"/>
      <c r="H19" s="23"/>
    </row>
    <row r="20" hidden="0" outlineLevel="0" collapsed="0">
      <c r="A20" s="23"/>
      <c r="B20" s="23"/>
      <c r="C20" s="23"/>
      <c r="D20" s="23"/>
      <c r="E20" s="23"/>
      <c r="F20" s="23"/>
      <c r="G20" s="23"/>
      <c r="H20" s="23"/>
    </row>
    <row r="21" hidden="0" outlineLevel="0" collapsed="0">
      <c r="A21" s="23"/>
      <c r="B21" s="23"/>
      <c r="C21" s="23"/>
      <c r="D21" s="23"/>
      <c r="E21" s="23"/>
      <c r="F21" s="23"/>
      <c r="G21" s="23"/>
      <c r="H21" s="23"/>
    </row>
    <row r="22" hidden="0" outlineLevel="0" collapsed="0">
      <c r="A22" s="4"/>
      <c r="B22" s="4"/>
      <c r="C22" s="4"/>
      <c r="D22" s="4"/>
      <c r="E22" s="4"/>
      <c r="F22" s="4"/>
      <c r="G22" s="4"/>
      <c r="H22" s="4"/>
    </row>
    <row r="23" hidden="0" outlineLevel="0" collapsed="0">
      <c r="A23" s="4"/>
      <c r="B23" s="4"/>
      <c r="C23" s="4"/>
      <c r="D23" s="4"/>
      <c r="E23" s="4"/>
      <c r="F23" s="4"/>
      <c r="G23" s="4"/>
      <c r="H23" s="4"/>
    </row>
    <row r="24" hidden="0" outlineLevel="0" collapsed="0">
      <c r="A24" s="4"/>
      <c r="B24" s="4"/>
      <c r="C24" s="4"/>
      <c r="D24" s="4"/>
      <c r="E24" s="4"/>
      <c r="F24" s="4"/>
      <c r="G24" s="4"/>
      <c r="H24" s="4"/>
    </row>
  </sheetData>
  <mergeCells count="3">
    <mergeCell ref="A1:H1"/>
    <mergeCell ref="A2:H2"/>
    <mergeCell ref="A18:H21"/>
  </mergeCells>
  <conditionalFormatting sqref="C5:C14">
    <cfRule type="containsText" priority="2" operator="containsText" text="BLOCKED" dxfId="25">
      <formula>NOT(ISERROR(SEARCH("BLOCKED",C5)))</formula>
    </cfRule>
    <cfRule type="containsText" priority="3" operator="containsText" text="COMPLETE" dxfId="26">
      <formula>NOT(ISERROR(SEARCH("COMPLETE",C5)))</formula>
    </cfRule>
    <cfRule type="containsText" priority="4" operator="containsText" text="PARTIAL" dxfId="27">
      <formula>NOT(ISERROR(SEARCH("PARTIAL",C5)))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ColWidth="8.375" defaultRowHeight="15"/>
  <sheetData>
    <row r="1">
      <c r="A1" t="s">
        <v>618</v>
      </c>
    </row>
    <row r="2">
      <c r="A2" t="s">
        <v>619</v>
      </c>
    </row>
    <row r="4">
      <c r="A4" t="s">
        <v>620</v>
      </c>
      <c r="B4" t="s">
        <v>621</v>
      </c>
      <c r="C4" t="s">
        <v>622</v>
      </c>
      <c r="D4" t="s">
        <v>623</v>
      </c>
      <c r="E4" t="s">
        <v>624</v>
      </c>
      <c r="F4" t="s">
        <v>625</v>
      </c>
      <c r="G4" t="s">
        <v>626</v>
      </c>
    </row>
    <row r="5">
      <c r="A5" t="s">
        <v>627</v>
      </c>
      <c r="B5">
        <v>21234</v>
      </c>
      <c r="C5">
        <v>22511</v>
      </c>
      <c r="D5">
        <v>21427</v>
      </c>
      <c r="E5">
        <v>23683</v>
      </c>
      <c r="F5">
        <v>24811</v>
      </c>
      <c r="G5">
        <v>36</v>
      </c>
    </row>
    <row r="6">
      <c r="A6" t="s">
        <v>628</v>
      </c>
      <c r="B6">
        <v>10469</v>
      </c>
      <c r="C6">
        <v>11867</v>
      </c>
      <c r="D6">
        <v>11244</v>
      </c>
      <c r="E6">
        <v>11658</v>
      </c>
      <c r="F6">
        <v>12006</v>
      </c>
    </row>
    <row r="7">
      <c r="A7" t="s">
        <v>79</v>
      </c>
      <c r="B7">
        <v>10765</v>
      </c>
      <c r="C7">
        <v>10644</v>
      </c>
      <c r="D7">
        <v>10184</v>
      </c>
      <c r="E7">
        <v>12026</v>
      </c>
      <c r="F7">
        <v>12804</v>
      </c>
    </row>
    <row r="8">
      <c r="A8" t="s">
        <v>629</v>
      </c>
      <c r="B8">
        <v>86</v>
      </c>
      <c r="C8">
        <v>112</v>
      </c>
      <c r="D8">
        <v>83</v>
      </c>
      <c r="E8">
        <v>81</v>
      </c>
      <c r="F8">
        <v>81</v>
      </c>
    </row>
    <row r="9">
      <c r="A9" t="s">
        <v>630</v>
      </c>
      <c r="B9">
        <v>28</v>
      </c>
      <c r="C9">
        <v>173</v>
      </c>
      <c r="D9">
        <v>71</v>
      </c>
      <c r="E9">
        <v>174</v>
      </c>
      <c r="F9">
        <v>41</v>
      </c>
      <c r="G9">
        <v>29</v>
      </c>
    </row>
    <row r="10">
      <c r="A10" t="s">
        <v>631</v>
      </c>
      <c r="B10">
        <v>8892</v>
      </c>
      <c r="C10">
        <v>10260</v>
      </c>
      <c r="D10">
        <v>10070</v>
      </c>
      <c r="E10">
        <v>10945</v>
      </c>
      <c r="F10">
        <v>10871</v>
      </c>
      <c r="G10" t="s">
        <v>632</v>
      </c>
    </row>
    <row r="12">
      <c r="A12" t="s">
        <v>633</v>
      </c>
    </row>
    <row r="13">
      <c r="A13" t="s">
        <v>634</v>
      </c>
      <c r="B13">
        <v>2547</v>
      </c>
      <c r="C13">
        <v>2763</v>
      </c>
      <c r="D13">
        <v>2528</v>
      </c>
      <c r="E13">
        <v>2841</v>
      </c>
      <c r="F13">
        <v>3079</v>
      </c>
    </row>
    <row r="14">
      <c r="A14" t="s">
        <v>635</v>
      </c>
      <c r="B14">
        <v>4782</v>
      </c>
      <c r="C14">
        <v>5601</v>
      </c>
      <c r="D14">
        <v>5547</v>
      </c>
      <c r="E14">
        <v>5936</v>
      </c>
      <c r="F14">
        <v>5877</v>
      </c>
    </row>
    <row r="15">
      <c r="A15" t="s">
        <v>636</v>
      </c>
      <c r="B15">
        <v>1481</v>
      </c>
      <c r="C15">
        <v>1651</v>
      </c>
      <c r="D15">
        <v>1839</v>
      </c>
      <c r="E15">
        <v>2138</v>
      </c>
      <c r="F15">
        <v>1885</v>
      </c>
    </row>
    <row r="16">
      <c r="A16" t="s">
        <v>637</v>
      </c>
      <c r="B16">
        <v>76</v>
      </c>
      <c r="C16">
        <v>182</v>
      </c>
      <c r="D16">
        <v>137</v>
      </c>
      <c r="E16">
        <v>44</v>
      </c>
      <c r="F16">
        <v>23</v>
      </c>
    </row>
    <row r="17">
      <c r="A17" t="s">
        <v>638</v>
      </c>
      <c r="B17">
        <v>6</v>
      </c>
      <c r="C17">
        <v>63</v>
      </c>
      <c r="D17">
        <v>19</v>
      </c>
      <c r="E17">
        <v>-15</v>
      </c>
      <c r="F17">
        <v>7</v>
      </c>
    </row>
    <row r="19">
      <c r="A19" t="s">
        <v>639</v>
      </c>
      <c r="B19">
        <v>1986</v>
      </c>
      <c r="C19">
        <v>669</v>
      </c>
      <c r="D19">
        <v>268</v>
      </c>
      <c r="E19">
        <v>1337</v>
      </c>
      <c r="F19">
        <v>2056</v>
      </c>
    </row>
    <row r="20">
      <c r="A20" t="s">
        <v>640</v>
      </c>
      <c r="B20">
        <v>19</v>
      </c>
      <c r="C20">
        <v>39</v>
      </c>
      <c r="D20">
        <v>79</v>
      </c>
      <c r="E20">
        <v>101</v>
      </c>
      <c r="F20">
        <v>74</v>
      </c>
      <c r="G20">
        <v>32</v>
      </c>
    </row>
    <row r="21">
      <c r="A21" t="s">
        <v>641</v>
      </c>
      <c r="B21">
        <v>153</v>
      </c>
      <c r="C21">
        <v>320</v>
      </c>
      <c r="D21">
        <v>282</v>
      </c>
      <c r="E21">
        <v>317</v>
      </c>
      <c r="F21">
        <v>310</v>
      </c>
      <c r="G21">
        <v>32</v>
      </c>
    </row>
    <row r="22">
      <c r="A22" t="s">
        <v>642</v>
      </c>
      <c r="B22">
        <v>1852</v>
      </c>
      <c r="C22">
        <v>388</v>
      </c>
      <c r="D22">
        <v>65</v>
      </c>
      <c r="E22">
        <v>1121</v>
      </c>
      <c r="F22">
        <v>1820</v>
      </c>
    </row>
    <row r="23">
      <c r="A23" t="s">
        <v>643</v>
      </c>
      <c r="B23">
        <v>360</v>
      </c>
      <c r="C23">
        <v>134</v>
      </c>
      <c r="D23">
        <v>124</v>
      </c>
      <c r="E23">
        <v>297</v>
      </c>
      <c r="F23">
        <v>443</v>
      </c>
      <c r="G23">
        <v>34</v>
      </c>
    </row>
    <row r="24">
      <c r="A24" t="s">
        <v>644</v>
      </c>
      <c r="B24">
        <v>1492</v>
      </c>
      <c r="C24">
        <v>254</v>
      </c>
      <c r="D24">
        <v>-58</v>
      </c>
      <c r="E24">
        <v>824</v>
      </c>
      <c r="F24">
        <v>1377</v>
      </c>
    </row>
    <row r="25">
      <c r="A25" t="s">
        <v>645</v>
      </c>
      <c r="B25">
        <v>666</v>
      </c>
      <c r="C25">
        <v>384</v>
      </c>
      <c r="D25">
        <v>44</v>
      </c>
      <c r="E25">
        <v>8</v>
      </c>
      <c r="F25">
        <v>8</v>
      </c>
      <c r="G25" t="s">
        <v>646</v>
      </c>
    </row>
    <row r="26">
      <c r="A26" t="s">
        <v>647</v>
      </c>
      <c r="B26">
        <v>2158</v>
      </c>
      <c r="C26">
        <v>638</v>
      </c>
      <c r="D26">
        <v>-14</v>
      </c>
      <c r="E26">
        <v>832</v>
      </c>
      <c r="F26">
        <v>1385</v>
      </c>
    </row>
    <row r="28">
      <c r="A28" t="s">
        <v>648</v>
      </c>
    </row>
    <row r="29">
      <c r="A29" t="s">
        <v>649</v>
      </c>
      <c r="B29">
        <v>2116</v>
      </c>
      <c r="C29">
        <v>612</v>
      </c>
      <c r="D29">
        <v>-75</v>
      </c>
      <c r="E29">
        <v>764</v>
      </c>
      <c r="F29">
        <v>1340</v>
      </c>
    </row>
    <row r="30">
      <c r="A30" t="s">
        <v>650</v>
      </c>
      <c r="B30">
        <v>42</v>
      </c>
      <c r="C30">
        <v>26</v>
      </c>
      <c r="D30">
        <v>61</v>
      </c>
      <c r="E30">
        <v>68</v>
      </c>
      <c r="F30">
        <v>45</v>
      </c>
    </row>
    <row r="32">
      <c r="A32" t="s">
        <v>651</v>
      </c>
      <c r="B32">
        <v>7.47</v>
      </c>
      <c r="C32">
        <v>1.25</v>
      </c>
      <c r="D32">
        <v>-0.67</v>
      </c>
      <c r="E32">
        <v>4.24</v>
      </c>
      <c r="F32">
        <v>7.46</v>
      </c>
      <c r="G32">
        <v>35</v>
      </c>
    </row>
    <row r="33">
      <c r="A33" t="s">
        <v>652</v>
      </c>
      <c r="B33">
        <v>7.47</v>
      </c>
      <c r="C33">
        <v>1.25</v>
      </c>
      <c r="D33">
        <v>-0.67</v>
      </c>
      <c r="E33">
        <v>4.24</v>
      </c>
      <c r="F33">
        <v>7.46</v>
      </c>
      <c r="G33">
        <v>35</v>
      </c>
    </row>
    <row r="34">
      <c r="A34" t="s">
        <v>653</v>
      </c>
      <c r="B34">
        <v>10.9</v>
      </c>
      <c r="C34">
        <v>3.34</v>
      </c>
      <c r="D34">
        <v>-0.42</v>
      </c>
      <c r="E34">
        <v>4.28</v>
      </c>
      <c r="F34">
        <v>7.51</v>
      </c>
      <c r="G34">
        <v>35</v>
      </c>
    </row>
    <row r="35">
      <c r="A35" t="s">
        <v>654</v>
      </c>
      <c r="B35">
        <v>10.9</v>
      </c>
      <c r="C35">
        <v>3.34</v>
      </c>
      <c r="D35">
        <v>-0.42</v>
      </c>
      <c r="E35">
        <v>4.28</v>
      </c>
      <c r="F35">
        <v>7.51</v>
      </c>
      <c r="G35">
        <v>35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ColWidth="8.375" defaultRowHeight="15"/>
  <sheetData>
    <row r="1">
      <c r="A1" t="s">
        <v>655</v>
      </c>
    </row>
    <row r="2">
      <c r="A2" t="s">
        <v>656</v>
      </c>
    </row>
    <row r="4">
      <c r="A4" t="s">
        <v>620</v>
      </c>
      <c r="B4" t="s">
        <v>621</v>
      </c>
      <c r="C4" t="s">
        <v>622</v>
      </c>
      <c r="D4" t="s">
        <v>623</v>
      </c>
      <c r="E4" t="s">
        <v>624</v>
      </c>
      <c r="F4" t="s">
        <v>625</v>
      </c>
      <c r="G4" t="s">
        <v>626</v>
      </c>
    </row>
    <row r="5">
      <c r="A5" t="s">
        <v>647</v>
      </c>
      <c r="B5">
        <v>2158</v>
      </c>
      <c r="C5">
        <v>638</v>
      </c>
      <c r="D5">
        <v>-14</v>
      </c>
      <c r="E5">
        <v>832</v>
      </c>
      <c r="F5">
        <v>1385</v>
      </c>
    </row>
    <row r="6">
      <c r="A6" t="s">
        <v>657</v>
      </c>
    </row>
    <row r="7">
      <c r="A7" t="s">
        <v>658</v>
      </c>
      <c r="B7">
        <v>50</v>
      </c>
      <c r="C7">
        <v>131</v>
      </c>
      <c r="D7">
        <v>-5</v>
      </c>
      <c r="E7">
        <v>-2</v>
      </c>
      <c r="F7">
        <v>22</v>
      </c>
      <c r="G7">
        <v>23</v>
      </c>
    </row>
    <row r="8">
      <c r="A8" t="s">
        <v>659</v>
      </c>
      <c r="B8">
        <v>1</v>
      </c>
      <c r="C8">
        <v>0</v>
      </c>
      <c r="D8">
        <v>-5</v>
      </c>
      <c r="E8">
        <v>1</v>
      </c>
      <c r="F8">
        <v>-60</v>
      </c>
      <c r="G8">
        <v>28</v>
      </c>
    </row>
    <row r="9">
      <c r="A9" t="s">
        <v>660</v>
      </c>
      <c r="B9">
        <v>52</v>
      </c>
      <c r="C9">
        <v>131</v>
      </c>
      <c r="D9">
        <v>-10</v>
      </c>
      <c r="E9">
        <v>-2</v>
      </c>
      <c r="F9">
        <v>-38</v>
      </c>
    </row>
    <row r="10">
      <c r="A10" t="s">
        <v>661</v>
      </c>
    </row>
    <row r="11">
      <c r="A11" t="s">
        <v>662</v>
      </c>
      <c r="B11">
        <v>186</v>
      </c>
      <c r="C11">
        <v>-25</v>
      </c>
      <c r="D11">
        <v>-126</v>
      </c>
      <c r="E11">
        <v>156</v>
      </c>
      <c r="F11">
        <v>-320</v>
      </c>
      <c r="G11">
        <v>28</v>
      </c>
    </row>
    <row r="12">
      <c r="A12" t="s">
        <v>663</v>
      </c>
      <c r="B12">
        <v>-6</v>
      </c>
      <c r="C12">
        <v>-1</v>
      </c>
      <c r="D12">
        <v>7</v>
      </c>
      <c r="E12">
        <v>1</v>
      </c>
      <c r="F12">
        <v>-1</v>
      </c>
      <c r="G12">
        <v>28</v>
      </c>
    </row>
    <row r="13">
      <c r="A13" t="s">
        <v>664</v>
      </c>
      <c r="B13">
        <v>11</v>
      </c>
      <c r="C13">
        <v>-36</v>
      </c>
      <c r="D13">
        <v>46</v>
      </c>
      <c r="E13">
        <v>11</v>
      </c>
      <c r="F13">
        <v>12</v>
      </c>
      <c r="G13">
        <v>28</v>
      </c>
    </row>
    <row r="14">
      <c r="A14" t="s">
        <v>665</v>
      </c>
      <c r="C14">
        <v>-228</v>
      </c>
    </row>
    <row r="15">
      <c r="A15" t="s">
        <v>666</v>
      </c>
      <c r="B15">
        <v>330</v>
      </c>
      <c r="C15">
        <v>177</v>
      </c>
      <c r="D15">
        <v>-155</v>
      </c>
      <c r="E15">
        <v>117</v>
      </c>
      <c r="F15">
        <v>-391</v>
      </c>
    </row>
    <row r="16">
      <c r="A16" t="s">
        <v>667</v>
      </c>
      <c r="B16">
        <v>521</v>
      </c>
      <c r="C16">
        <v>-113</v>
      </c>
      <c r="D16">
        <v>-228</v>
      </c>
      <c r="E16">
        <v>285</v>
      </c>
      <c r="F16">
        <v>-700</v>
      </c>
    </row>
    <row r="18">
      <c r="A18" t="s">
        <v>668</v>
      </c>
      <c r="B18">
        <v>573</v>
      </c>
      <c r="C18">
        <v>18</v>
      </c>
      <c r="D18">
        <v>-238</v>
      </c>
      <c r="E18">
        <v>283</v>
      </c>
      <c r="F18">
        <v>-738</v>
      </c>
    </row>
    <row r="19">
      <c r="A19" t="s">
        <v>669</v>
      </c>
      <c r="B19">
        <v>2731</v>
      </c>
      <c r="C19">
        <v>656</v>
      </c>
      <c r="D19">
        <v>-252</v>
      </c>
      <c r="E19">
        <v>1115</v>
      </c>
      <c r="F19">
        <v>647</v>
      </c>
    </row>
    <row r="21">
      <c r="A21" t="s">
        <v>648</v>
      </c>
    </row>
    <row r="22">
      <c r="A22" t="s">
        <v>670</v>
      </c>
      <c r="B22">
        <v>2650</v>
      </c>
      <c r="C22">
        <v>610</v>
      </c>
      <c r="D22">
        <v>-300</v>
      </c>
      <c r="E22">
        <v>1023</v>
      </c>
      <c r="F22">
        <v>648</v>
      </c>
    </row>
    <row r="23">
      <c r="A23" t="s">
        <v>671</v>
      </c>
      <c r="B23">
        <v>81</v>
      </c>
      <c r="C23">
        <v>47</v>
      </c>
      <c r="D23">
        <v>48</v>
      </c>
      <c r="E23">
        <v>92</v>
      </c>
      <c r="F23">
        <v>-1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FormatPr defaultColWidth="8.375" defaultRowHeight="15"/>
  <sheetData>
    <row r="1">
      <c r="A1" t="s">
        <v>672</v>
      </c>
    </row>
    <row r="2">
      <c r="A2" t="s">
        <v>673</v>
      </c>
    </row>
    <row r="4">
      <c r="A4" t="s">
        <v>620</v>
      </c>
      <c r="B4" t="s">
        <v>621</v>
      </c>
      <c r="C4" t="s">
        <v>622</v>
      </c>
      <c r="D4" t="s">
        <v>623</v>
      </c>
      <c r="E4" t="s">
        <v>624</v>
      </c>
      <c r="F4" t="s">
        <v>625</v>
      </c>
      <c r="G4" t="s">
        <v>626</v>
      </c>
    </row>
    <row r="5">
      <c r="A5" t="s">
        <v>674</v>
      </c>
    </row>
    <row r="6">
      <c r="A6" t="s">
        <v>675</v>
      </c>
    </row>
    <row r="7">
      <c r="A7" t="s">
        <v>200</v>
      </c>
      <c r="B7">
        <v>3828</v>
      </c>
      <c r="C7">
        <v>798</v>
      </c>
      <c r="D7">
        <v>1431</v>
      </c>
      <c r="E7">
        <v>2455</v>
      </c>
      <c r="F7">
        <v>1617</v>
      </c>
      <c r="G7" t="s">
        <v>676</v>
      </c>
    </row>
    <row r="8">
      <c r="A8" t="s">
        <v>677</v>
      </c>
      <c r="B8">
        <v>2175</v>
      </c>
      <c r="C8">
        <v>2529</v>
      </c>
      <c r="D8">
        <v>1906</v>
      </c>
      <c r="E8">
        <v>2413</v>
      </c>
      <c r="F8">
        <v>2634</v>
      </c>
      <c r="G8" t="s">
        <v>678</v>
      </c>
    </row>
    <row r="9">
      <c r="A9" t="s">
        <v>679</v>
      </c>
      <c r="B9">
        <v>745</v>
      </c>
      <c r="C9">
        <v>1014</v>
      </c>
      <c r="D9">
        <v>755</v>
      </c>
      <c r="E9">
        <v>950</v>
      </c>
      <c r="F9">
        <v>518</v>
      </c>
      <c r="G9" t="s">
        <v>680</v>
      </c>
    </row>
    <row r="10">
      <c r="A10" t="s">
        <v>681</v>
      </c>
      <c r="D10">
        <v>34</v>
      </c>
      <c r="E10">
        <v>0</v>
      </c>
    </row>
    <row r="11">
      <c r="A11" t="s">
        <v>682</v>
      </c>
      <c r="B11">
        <v>4009</v>
      </c>
      <c r="C11">
        <v>5973</v>
      </c>
      <c r="D11">
        <v>4525</v>
      </c>
      <c r="E11">
        <v>4989</v>
      </c>
      <c r="F11">
        <v>5832</v>
      </c>
      <c r="G11" t="s">
        <v>683</v>
      </c>
    </row>
    <row r="12">
      <c r="A12" t="s">
        <v>684</v>
      </c>
      <c r="B12">
        <v>91</v>
      </c>
      <c r="C12">
        <v>102</v>
      </c>
      <c r="D12">
        <v>156</v>
      </c>
      <c r="E12">
        <v>101</v>
      </c>
      <c r="F12">
        <v>167</v>
      </c>
      <c r="G12">
        <v>34</v>
      </c>
    </row>
    <row r="13">
      <c r="A13" t="s">
        <v>685</v>
      </c>
      <c r="B13">
        <v>1062</v>
      </c>
      <c r="C13">
        <v>1316</v>
      </c>
      <c r="D13">
        <v>1003</v>
      </c>
      <c r="E13">
        <v>997</v>
      </c>
      <c r="F13">
        <v>1208</v>
      </c>
      <c r="G13" t="s">
        <v>686</v>
      </c>
    </row>
    <row r="14">
      <c r="A14" t="s">
        <v>687</v>
      </c>
      <c r="B14">
        <v>2033</v>
      </c>
      <c r="G14" t="s">
        <v>646</v>
      </c>
    </row>
    <row r="15">
      <c r="A15" t="s">
        <v>688</v>
      </c>
      <c r="B15">
        <v>13944</v>
      </c>
      <c r="C15">
        <v>11732</v>
      </c>
      <c r="D15">
        <v>9809</v>
      </c>
      <c r="E15">
        <v>11904</v>
      </c>
      <c r="F15">
        <v>11977</v>
      </c>
    </row>
    <row r="16">
      <c r="A16" t="s">
        <v>689</v>
      </c>
    </row>
    <row r="17">
      <c r="A17" t="s">
        <v>690</v>
      </c>
      <c r="B17">
        <v>2256</v>
      </c>
      <c r="C17">
        <v>2279</v>
      </c>
      <c r="D17">
        <v>2157</v>
      </c>
      <c r="E17">
        <v>2133</v>
      </c>
      <c r="F17">
        <v>1973</v>
      </c>
      <c r="G17" t="s">
        <v>691</v>
      </c>
    </row>
    <row r="18">
      <c r="A18" t="s">
        <v>692</v>
      </c>
      <c r="B18">
        <v>2569</v>
      </c>
      <c r="C18">
        <v>2665</v>
      </c>
      <c r="D18">
        <v>2247</v>
      </c>
      <c r="E18">
        <v>2779</v>
      </c>
      <c r="F18">
        <v>2605</v>
      </c>
      <c r="G18">
        <v>10</v>
      </c>
    </row>
    <row r="19">
      <c r="A19" t="s">
        <v>693</v>
      </c>
      <c r="B19">
        <v>1228</v>
      </c>
      <c r="C19">
        <v>1260</v>
      </c>
      <c r="D19">
        <v>1238</v>
      </c>
      <c r="E19">
        <v>1275</v>
      </c>
      <c r="F19">
        <v>1203</v>
      </c>
      <c r="G19">
        <v>11</v>
      </c>
    </row>
    <row r="20">
      <c r="A20" t="s">
        <v>694</v>
      </c>
      <c r="B20">
        <v>352</v>
      </c>
      <c r="C20">
        <v>429</v>
      </c>
      <c r="D20">
        <v>442</v>
      </c>
      <c r="E20">
        <v>426</v>
      </c>
      <c r="F20">
        <v>443</v>
      </c>
      <c r="G20">
        <v>12</v>
      </c>
    </row>
    <row r="21">
      <c r="A21" t="s">
        <v>695</v>
      </c>
      <c r="B21">
        <v>290</v>
      </c>
      <c r="C21">
        <v>301</v>
      </c>
      <c r="D21">
        <v>301</v>
      </c>
      <c r="E21">
        <v>340</v>
      </c>
      <c r="F21">
        <v>353</v>
      </c>
      <c r="G21">
        <v>13</v>
      </c>
    </row>
    <row r="22">
      <c r="A22" t="s">
        <v>696</v>
      </c>
      <c r="B22">
        <v>160</v>
      </c>
      <c r="C22">
        <v>336</v>
      </c>
      <c r="D22">
        <v>418</v>
      </c>
      <c r="E22">
        <v>234</v>
      </c>
      <c r="F22">
        <v>217</v>
      </c>
      <c r="G22">
        <v>14</v>
      </c>
    </row>
    <row r="23">
      <c r="A23" t="s">
        <v>697</v>
      </c>
      <c r="B23">
        <v>1263</v>
      </c>
      <c r="C23">
        <v>1216</v>
      </c>
      <c r="D23">
        <v>1358</v>
      </c>
      <c r="E23">
        <v>1272</v>
      </c>
      <c r="F23">
        <v>1077</v>
      </c>
      <c r="G23">
        <v>34</v>
      </c>
    </row>
    <row r="24">
      <c r="A24" t="s">
        <v>698</v>
      </c>
      <c r="B24">
        <v>74</v>
      </c>
      <c r="C24">
        <v>76</v>
      </c>
      <c r="D24">
        <v>49</v>
      </c>
      <c r="E24">
        <v>291</v>
      </c>
      <c r="F24">
        <v>415</v>
      </c>
      <c r="G24">
        <v>15</v>
      </c>
    </row>
    <row r="25">
      <c r="A25" t="s">
        <v>699</v>
      </c>
      <c r="B25">
        <v>8193</v>
      </c>
      <c r="C25">
        <v>8563</v>
      </c>
      <c r="D25">
        <v>8211</v>
      </c>
      <c r="E25">
        <v>8751</v>
      </c>
      <c r="F25">
        <v>8285</v>
      </c>
    </row>
    <row r="27">
      <c r="A27" t="s">
        <v>159</v>
      </c>
      <c r="B27">
        <v>22137</v>
      </c>
      <c r="C27">
        <v>20296</v>
      </c>
      <c r="D27">
        <v>18020</v>
      </c>
      <c r="E27">
        <v>20655</v>
      </c>
      <c r="F27">
        <v>20262</v>
      </c>
    </row>
    <row r="29">
      <c r="A29" t="s">
        <v>700</v>
      </c>
    </row>
    <row r="30">
      <c r="A30" t="s">
        <v>701</v>
      </c>
    </row>
    <row r="31">
      <c r="A31" t="s">
        <v>702</v>
      </c>
      <c r="B31">
        <v>29</v>
      </c>
      <c r="C31">
        <v>527</v>
      </c>
      <c r="D31">
        <v>549</v>
      </c>
      <c r="E31">
        <v>570</v>
      </c>
      <c r="F31">
        <v>645</v>
      </c>
      <c r="G31">
        <v>16</v>
      </c>
    </row>
    <row r="32">
      <c r="A32" t="s">
        <v>703</v>
      </c>
      <c r="B32">
        <v>2294</v>
      </c>
      <c r="C32">
        <v>2908</v>
      </c>
      <c r="D32">
        <v>2276</v>
      </c>
      <c r="E32">
        <v>3096</v>
      </c>
      <c r="F32">
        <v>2910</v>
      </c>
    </row>
    <row r="33">
      <c r="A33" t="s">
        <v>704</v>
      </c>
      <c r="B33">
        <v>573</v>
      </c>
      <c r="C33">
        <v>643</v>
      </c>
      <c r="D33">
        <v>545</v>
      </c>
      <c r="E33">
        <v>607</v>
      </c>
      <c r="F33">
        <v>603</v>
      </c>
      <c r="G33">
        <v>19</v>
      </c>
    </row>
    <row r="34">
      <c r="A34" t="s">
        <v>705</v>
      </c>
      <c r="B34">
        <v>363</v>
      </c>
      <c r="C34">
        <v>424</v>
      </c>
      <c r="D34">
        <v>266</v>
      </c>
      <c r="E34">
        <v>191</v>
      </c>
      <c r="F34">
        <v>335</v>
      </c>
      <c r="G34">
        <v>17</v>
      </c>
    </row>
    <row r="35">
      <c r="A35" t="s">
        <v>643</v>
      </c>
      <c r="B35">
        <v>536</v>
      </c>
      <c r="C35">
        <v>302</v>
      </c>
      <c r="D35">
        <v>323</v>
      </c>
      <c r="E35">
        <v>334</v>
      </c>
      <c r="F35">
        <v>357</v>
      </c>
      <c r="G35">
        <v>34</v>
      </c>
    </row>
    <row r="36">
      <c r="A36" t="s">
        <v>706</v>
      </c>
      <c r="B36">
        <v>1458</v>
      </c>
      <c r="C36">
        <v>1589</v>
      </c>
      <c r="D36">
        <v>1323</v>
      </c>
      <c r="E36">
        <v>1538</v>
      </c>
      <c r="F36">
        <v>1208</v>
      </c>
      <c r="G36">
        <v>18</v>
      </c>
    </row>
    <row r="37">
      <c r="A37" t="s">
        <v>707</v>
      </c>
      <c r="B37">
        <v>2684</v>
      </c>
      <c r="C37">
        <v>2412</v>
      </c>
      <c r="D37">
        <v>2273</v>
      </c>
      <c r="E37">
        <v>2659</v>
      </c>
      <c r="F37">
        <v>2383</v>
      </c>
      <c r="G37">
        <v>20</v>
      </c>
    </row>
    <row r="38">
      <c r="A38" t="s">
        <v>708</v>
      </c>
      <c r="B38">
        <v>434</v>
      </c>
      <c r="C38">
        <v>452</v>
      </c>
      <c r="D38">
        <v>488</v>
      </c>
      <c r="E38">
        <v>598</v>
      </c>
      <c r="F38">
        <v>652</v>
      </c>
      <c r="G38">
        <v>21</v>
      </c>
    </row>
    <row r="39">
      <c r="A39" t="s">
        <v>709</v>
      </c>
      <c r="B39">
        <v>594</v>
      </c>
      <c r="G39" t="s">
        <v>646</v>
      </c>
    </row>
    <row r="40">
      <c r="A40" t="s">
        <v>710</v>
      </c>
      <c r="B40">
        <v>8965</v>
      </c>
      <c r="C40">
        <v>9257</v>
      </c>
      <c r="D40">
        <v>8043</v>
      </c>
      <c r="E40">
        <v>9593</v>
      </c>
      <c r="F40">
        <v>9094</v>
      </c>
    </row>
    <row r="41">
      <c r="A41" t="s">
        <v>711</v>
      </c>
    </row>
    <row r="42">
      <c r="A42" t="s">
        <v>712</v>
      </c>
      <c r="B42">
        <v>2466</v>
      </c>
      <c r="C42">
        <v>2946</v>
      </c>
      <c r="D42">
        <v>2430</v>
      </c>
      <c r="E42">
        <v>1915</v>
      </c>
      <c r="F42">
        <v>1996</v>
      </c>
      <c r="G42">
        <v>16</v>
      </c>
    </row>
    <row r="43">
      <c r="A43" t="s">
        <v>713</v>
      </c>
      <c r="B43">
        <v>2263</v>
      </c>
      <c r="C43">
        <v>2343</v>
      </c>
      <c r="D43">
        <v>2039</v>
      </c>
      <c r="E43">
        <v>2495</v>
      </c>
      <c r="F43">
        <v>2310</v>
      </c>
      <c r="G43">
        <v>19</v>
      </c>
    </row>
    <row r="44">
      <c r="A44" t="s">
        <v>714</v>
      </c>
      <c r="B44">
        <v>51</v>
      </c>
      <c r="C44">
        <v>44</v>
      </c>
      <c r="D44">
        <v>6</v>
      </c>
      <c r="E44">
        <v>1</v>
      </c>
      <c r="F44">
        <v>7</v>
      </c>
      <c r="G44">
        <v>22</v>
      </c>
    </row>
    <row r="45">
      <c r="A45" t="s">
        <v>715</v>
      </c>
      <c r="B45">
        <v>267</v>
      </c>
      <c r="C45">
        <v>118</v>
      </c>
      <c r="D45">
        <v>139</v>
      </c>
      <c r="E45">
        <v>144</v>
      </c>
      <c r="F45">
        <v>106</v>
      </c>
      <c r="G45">
        <v>23</v>
      </c>
    </row>
    <row r="46">
      <c r="A46" t="s">
        <v>716</v>
      </c>
      <c r="B46">
        <v>122</v>
      </c>
      <c r="C46">
        <v>135</v>
      </c>
      <c r="D46">
        <v>147</v>
      </c>
      <c r="E46">
        <v>133</v>
      </c>
      <c r="F46">
        <v>45</v>
      </c>
      <c r="G46">
        <v>34</v>
      </c>
    </row>
    <row r="47">
      <c r="A47" t="s">
        <v>717</v>
      </c>
      <c r="B47">
        <v>149</v>
      </c>
      <c r="C47">
        <v>88</v>
      </c>
      <c r="D47">
        <v>188</v>
      </c>
      <c r="E47">
        <v>353</v>
      </c>
      <c r="F47">
        <v>436</v>
      </c>
      <c r="G47">
        <v>18</v>
      </c>
    </row>
    <row r="48">
      <c r="A48" t="s">
        <v>718</v>
      </c>
      <c r="B48">
        <v>8</v>
      </c>
      <c r="C48">
        <v>7</v>
      </c>
      <c r="G48">
        <v>20</v>
      </c>
    </row>
    <row r="49">
      <c r="A49" t="s">
        <v>719</v>
      </c>
      <c r="B49">
        <v>9</v>
      </c>
      <c r="C49">
        <v>6</v>
      </c>
      <c r="D49">
        <v>103</v>
      </c>
      <c r="E49">
        <v>154</v>
      </c>
      <c r="F49">
        <v>143</v>
      </c>
      <c r="G49">
        <v>24</v>
      </c>
    </row>
    <row r="50">
      <c r="A50" t="s">
        <v>720</v>
      </c>
      <c r="B50">
        <v>5334</v>
      </c>
      <c r="C50">
        <v>5688</v>
      </c>
      <c r="D50">
        <v>5052</v>
      </c>
      <c r="E50">
        <v>5194</v>
      </c>
      <c r="F50">
        <v>5043</v>
      </c>
    </row>
    <row r="52">
      <c r="A52" t="s">
        <v>227</v>
      </c>
      <c r="B52">
        <v>14299</v>
      </c>
      <c r="C52">
        <v>14945</v>
      </c>
      <c r="D52">
        <v>13095</v>
      </c>
      <c r="E52">
        <v>14787</v>
      </c>
      <c r="F52">
        <v>14137</v>
      </c>
    </row>
    <row r="54">
      <c r="A54" t="s">
        <v>721</v>
      </c>
    </row>
    <row r="55">
      <c r="A55" t="s">
        <v>722</v>
      </c>
      <c r="B55">
        <v>192</v>
      </c>
      <c r="C55">
        <v>179</v>
      </c>
      <c r="D55">
        <v>179</v>
      </c>
      <c r="E55">
        <v>179</v>
      </c>
      <c r="F55">
        <v>179</v>
      </c>
    </row>
    <row r="56">
      <c r="A56" t="s">
        <v>723</v>
      </c>
      <c r="B56">
        <v>69</v>
      </c>
      <c r="C56">
        <v>466</v>
      </c>
      <c r="D56">
        <v>257</v>
      </c>
      <c r="E56">
        <v>522</v>
      </c>
      <c r="F56">
        <v>-161</v>
      </c>
    </row>
    <row r="57">
      <c r="A57" t="s">
        <v>724</v>
      </c>
      <c r="B57">
        <v>7259</v>
      </c>
      <c r="C57">
        <v>4347</v>
      </c>
      <c r="D57">
        <v>4145</v>
      </c>
      <c r="E57">
        <v>4775</v>
      </c>
      <c r="F57">
        <v>5758</v>
      </c>
    </row>
    <row r="58">
      <c r="A58" t="s">
        <v>725</v>
      </c>
      <c r="B58">
        <v>7519</v>
      </c>
      <c r="C58">
        <v>4991</v>
      </c>
      <c r="D58">
        <v>4580</v>
      </c>
      <c r="E58">
        <v>5476</v>
      </c>
      <c r="F58">
        <v>5776</v>
      </c>
      <c r="G58">
        <v>25</v>
      </c>
    </row>
    <row r="59">
      <c r="A59" t="s">
        <v>726</v>
      </c>
      <c r="B59">
        <v>318</v>
      </c>
      <c r="C59">
        <v>360</v>
      </c>
      <c r="D59">
        <v>345</v>
      </c>
      <c r="E59">
        <v>392</v>
      </c>
      <c r="F59">
        <v>349</v>
      </c>
      <c r="G59">
        <v>27</v>
      </c>
    </row>
    <row r="60">
      <c r="A60" t="s">
        <v>727</v>
      </c>
      <c r="B60">
        <v>7837</v>
      </c>
      <c r="C60">
        <v>5351</v>
      </c>
      <c r="D60">
        <v>4925</v>
      </c>
      <c r="E60">
        <v>5867</v>
      </c>
      <c r="F60">
        <v>6125</v>
      </c>
    </row>
    <row r="62">
      <c r="A62" t="s">
        <v>728</v>
      </c>
      <c r="B62">
        <v>22137</v>
      </c>
      <c r="C62">
        <v>20296</v>
      </c>
      <c r="D62">
        <v>18020</v>
      </c>
      <c r="E62">
        <v>20655</v>
      </c>
      <c r="F62">
        <v>20262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FormatPr defaultColWidth="8.375" defaultRowHeight="15"/>
  <sheetData>
    <row r="1">
      <c r="A1" t="s">
        <v>729</v>
      </c>
    </row>
    <row r="2">
      <c r="A2" t="s">
        <v>730</v>
      </c>
    </row>
    <row r="4">
      <c r="A4" t="s">
        <v>620</v>
      </c>
      <c r="B4" t="s">
        <v>621</v>
      </c>
      <c r="C4" t="s">
        <v>622</v>
      </c>
      <c r="D4" t="s">
        <v>623</v>
      </c>
      <c r="E4" t="s">
        <v>624</v>
      </c>
      <c r="F4" t="s">
        <v>625</v>
      </c>
      <c r="G4" t="s">
        <v>626</v>
      </c>
    </row>
    <row r="5">
      <c r="A5" t="s">
        <v>731</v>
      </c>
    </row>
    <row r="6">
      <c r="A6" t="s">
        <v>732</v>
      </c>
      <c r="B6">
        <v>1852</v>
      </c>
      <c r="C6">
        <v>388</v>
      </c>
      <c r="D6">
        <v>65</v>
      </c>
      <c r="E6">
        <v>1121</v>
      </c>
      <c r="F6">
        <v>1820</v>
      </c>
    </row>
    <row r="7">
      <c r="A7" t="s">
        <v>733</v>
      </c>
      <c r="B7">
        <v>1149</v>
      </c>
      <c r="C7">
        <v>1375</v>
      </c>
      <c r="D7">
        <v>1212</v>
      </c>
      <c r="E7">
        <v>1208</v>
      </c>
      <c r="F7">
        <v>1154</v>
      </c>
      <c r="G7" t="s">
        <v>734</v>
      </c>
    </row>
    <row r="8">
      <c r="A8" t="s">
        <v>735</v>
      </c>
      <c r="B8">
        <v>-34</v>
      </c>
      <c r="C8">
        <v>-4</v>
      </c>
      <c r="D8">
        <v>-42</v>
      </c>
      <c r="E8">
        <v>-28</v>
      </c>
      <c r="F8">
        <v>-19</v>
      </c>
      <c r="G8" t="s">
        <v>736</v>
      </c>
    </row>
    <row r="9">
      <c r="A9" t="s">
        <v>737</v>
      </c>
      <c r="B9">
        <v>-13</v>
      </c>
      <c r="C9">
        <v>-23</v>
      </c>
      <c r="D9">
        <v>-39</v>
      </c>
      <c r="E9">
        <v>-57</v>
      </c>
      <c r="F9">
        <v>-58</v>
      </c>
      <c r="G9">
        <v>32</v>
      </c>
    </row>
    <row r="10">
      <c r="A10" t="s">
        <v>738</v>
      </c>
      <c r="B10">
        <v>111</v>
      </c>
      <c r="C10">
        <v>138</v>
      </c>
      <c r="D10">
        <v>162</v>
      </c>
      <c r="E10">
        <v>221</v>
      </c>
      <c r="F10">
        <v>227</v>
      </c>
      <c r="G10">
        <v>32</v>
      </c>
    </row>
    <row r="11">
      <c r="A11" t="s">
        <v>739</v>
      </c>
      <c r="B11">
        <v>51</v>
      </c>
      <c r="C11">
        <v>85</v>
      </c>
      <c r="D11">
        <v>144</v>
      </c>
      <c r="E11">
        <v>-19</v>
      </c>
      <c r="F11">
        <v>24</v>
      </c>
    </row>
    <row r="12">
      <c r="A12" t="s">
        <v>740</v>
      </c>
      <c r="B12">
        <v>13</v>
      </c>
      <c r="C12">
        <v>16</v>
      </c>
      <c r="D12">
        <v>20</v>
      </c>
      <c r="E12">
        <v>17</v>
      </c>
      <c r="F12">
        <v>20</v>
      </c>
    </row>
    <row r="13">
      <c r="A13" t="s">
        <v>741</v>
      </c>
      <c r="B13">
        <v>6</v>
      </c>
      <c r="C13">
        <v>-8</v>
      </c>
      <c r="D13">
        <v>-8</v>
      </c>
      <c r="E13">
        <v>-10</v>
      </c>
      <c r="F13">
        <v>22</v>
      </c>
      <c r="G13" t="s">
        <v>742</v>
      </c>
    </row>
    <row r="14">
      <c r="A14" t="s">
        <v>743</v>
      </c>
      <c r="B14">
        <v>3135</v>
      </c>
      <c r="C14">
        <v>1966</v>
      </c>
      <c r="D14">
        <v>1514</v>
      </c>
      <c r="E14">
        <v>2453</v>
      </c>
      <c r="F14">
        <v>3190</v>
      </c>
    </row>
    <row r="15">
      <c r="A15" t="s">
        <v>744</v>
      </c>
      <c r="B15">
        <v>-170</v>
      </c>
      <c r="C15">
        <v>-820</v>
      </c>
      <c r="D15">
        <v>995</v>
      </c>
      <c r="E15">
        <v>-839</v>
      </c>
      <c r="F15">
        <v>-562</v>
      </c>
    </row>
    <row r="16">
      <c r="A16" t="s">
        <v>745</v>
      </c>
      <c r="B16">
        <v>125</v>
      </c>
      <c r="C16">
        <v>-1901</v>
      </c>
      <c r="D16">
        <v>1297</v>
      </c>
      <c r="E16">
        <v>-500</v>
      </c>
      <c r="F16">
        <v>-1104</v>
      </c>
    </row>
    <row r="17">
      <c r="A17" t="s">
        <v>746</v>
      </c>
      <c r="B17">
        <v>226</v>
      </c>
      <c r="C17">
        <v>721</v>
      </c>
      <c r="D17">
        <v>-868</v>
      </c>
      <c r="E17">
        <v>2024</v>
      </c>
      <c r="F17">
        <v>-377</v>
      </c>
    </row>
    <row r="18">
      <c r="A18" t="s">
        <v>747</v>
      </c>
      <c r="B18">
        <v>3316</v>
      </c>
      <c r="C18">
        <v>-34</v>
      </c>
      <c r="D18">
        <v>2938</v>
      </c>
      <c r="E18">
        <v>3138</v>
      </c>
      <c r="F18">
        <v>1147</v>
      </c>
    </row>
    <row r="19">
      <c r="A19" t="s">
        <v>748</v>
      </c>
      <c r="B19">
        <v>-444</v>
      </c>
      <c r="C19">
        <v>-424</v>
      </c>
      <c r="D19">
        <v>-307</v>
      </c>
      <c r="E19">
        <v>-236</v>
      </c>
      <c r="F19">
        <v>-399</v>
      </c>
    </row>
    <row r="20">
      <c r="A20" t="s">
        <v>749</v>
      </c>
      <c r="B20">
        <v>320</v>
      </c>
      <c r="C20">
        <v>-85</v>
      </c>
      <c r="D20">
        <v>0</v>
      </c>
      <c r="E20">
        <v>9</v>
      </c>
      <c r="F20">
        <v>3</v>
      </c>
    </row>
    <row r="21">
      <c r="A21" t="s">
        <v>750</v>
      </c>
      <c r="B21">
        <v>3192</v>
      </c>
      <c r="C21">
        <v>-543</v>
      </c>
      <c r="D21">
        <v>2630</v>
      </c>
      <c r="E21">
        <v>2910</v>
      </c>
      <c r="F21">
        <v>751</v>
      </c>
    </row>
    <row r="23">
      <c r="A23" t="s">
        <v>751</v>
      </c>
    </row>
    <row r="24">
      <c r="A24" t="s">
        <v>752</v>
      </c>
      <c r="B24">
        <v>-173</v>
      </c>
      <c r="C24">
        <v>-191</v>
      </c>
      <c r="D24">
        <v>-141</v>
      </c>
      <c r="E24">
        <v>-121</v>
      </c>
      <c r="F24">
        <v>-114</v>
      </c>
      <c r="G24">
        <v>12</v>
      </c>
    </row>
    <row r="25">
      <c r="A25" t="s">
        <v>753</v>
      </c>
      <c r="B25">
        <v>1</v>
      </c>
      <c r="C25">
        <v>1</v>
      </c>
      <c r="D25">
        <v>1</v>
      </c>
      <c r="E25">
        <v>0</v>
      </c>
      <c r="F25">
        <v>0</v>
      </c>
    </row>
    <row r="26">
      <c r="A26" t="s">
        <v>754</v>
      </c>
      <c r="B26">
        <v>-494</v>
      </c>
      <c r="C26">
        <v>-504</v>
      </c>
      <c r="D26">
        <v>-363</v>
      </c>
      <c r="E26">
        <v>-419</v>
      </c>
      <c r="F26">
        <v>-363</v>
      </c>
      <c r="G26" t="s">
        <v>691</v>
      </c>
    </row>
    <row r="27">
      <c r="A27" t="s">
        <v>755</v>
      </c>
      <c r="B27">
        <v>1</v>
      </c>
      <c r="C27">
        <v>1</v>
      </c>
      <c r="D27">
        <v>10</v>
      </c>
      <c r="E27">
        <v>49</v>
      </c>
      <c r="F27">
        <v>4</v>
      </c>
    </row>
    <row r="28">
      <c r="A28" t="s">
        <v>756</v>
      </c>
      <c r="B28">
        <v>12</v>
      </c>
      <c r="C28">
        <v>12</v>
      </c>
      <c r="D28">
        <v>0</v>
      </c>
      <c r="E28">
        <v>100</v>
      </c>
      <c r="F28">
        <v>100</v>
      </c>
      <c r="G28" t="s">
        <v>646</v>
      </c>
    </row>
    <row r="29">
      <c r="A29" t="s">
        <v>757</v>
      </c>
      <c r="B29">
        <v>177</v>
      </c>
      <c r="C29">
        <v>1165</v>
      </c>
      <c r="D29">
        <v>-19</v>
      </c>
      <c r="E29">
        <v>0</v>
      </c>
      <c r="F29">
        <v>0</v>
      </c>
      <c r="G29" t="s">
        <v>646</v>
      </c>
    </row>
    <row r="30">
      <c r="A30" t="s">
        <v>758</v>
      </c>
      <c r="B30">
        <v>0</v>
      </c>
      <c r="C30">
        <v>0</v>
      </c>
      <c r="D30">
        <v>-34</v>
      </c>
      <c r="E30">
        <v>28</v>
      </c>
      <c r="F30">
        <v>0</v>
      </c>
    </row>
    <row r="31">
      <c r="A31" t="s">
        <v>759</v>
      </c>
      <c r="B31">
        <v>49</v>
      </c>
      <c r="C31">
        <v>-13</v>
      </c>
      <c r="D31">
        <v>57</v>
      </c>
      <c r="E31">
        <v>-50</v>
      </c>
      <c r="F31">
        <v>-88</v>
      </c>
    </row>
    <row r="32">
      <c r="A32" t="s">
        <v>760</v>
      </c>
      <c r="B32">
        <v>13</v>
      </c>
      <c r="C32">
        <v>23</v>
      </c>
      <c r="D32">
        <v>39</v>
      </c>
      <c r="E32">
        <v>57</v>
      </c>
      <c r="F32">
        <v>58</v>
      </c>
    </row>
    <row r="33">
      <c r="A33" t="s">
        <v>761</v>
      </c>
      <c r="B33">
        <v>-9</v>
      </c>
      <c r="C33">
        <v>0</v>
      </c>
    </row>
    <row r="34">
      <c r="A34" t="s">
        <v>762</v>
      </c>
      <c r="B34">
        <v>-424</v>
      </c>
      <c r="C34">
        <v>495</v>
      </c>
      <c r="D34">
        <v>-450</v>
      </c>
      <c r="E34">
        <v>-356</v>
      </c>
      <c r="F34">
        <v>-404</v>
      </c>
    </row>
    <row r="36">
      <c r="A36" t="s">
        <v>763</v>
      </c>
    </row>
    <row r="37">
      <c r="A37" t="s">
        <v>764</v>
      </c>
      <c r="B37">
        <v>-600</v>
      </c>
      <c r="C37">
        <v>0</v>
      </c>
      <c r="D37">
        <v>-500</v>
      </c>
      <c r="E37">
        <v>-500</v>
      </c>
      <c r="F37">
        <v>-500</v>
      </c>
      <c r="G37">
        <v>16</v>
      </c>
    </row>
    <row r="38">
      <c r="A38" t="s">
        <v>765</v>
      </c>
      <c r="B38">
        <v>0</v>
      </c>
      <c r="C38">
        <v>994</v>
      </c>
      <c r="D38">
        <v>0</v>
      </c>
      <c r="E38">
        <v>0</v>
      </c>
      <c r="F38">
        <v>498</v>
      </c>
      <c r="G38">
        <v>16</v>
      </c>
    </row>
    <row r="39">
      <c r="A39" t="s">
        <v>766</v>
      </c>
      <c r="B39">
        <v>-111</v>
      </c>
      <c r="C39">
        <v>-140</v>
      </c>
      <c r="D39">
        <v>-163</v>
      </c>
      <c r="E39">
        <v>-217</v>
      </c>
      <c r="F39">
        <v>-220</v>
      </c>
    </row>
    <row r="40">
      <c r="A40" t="s">
        <v>767</v>
      </c>
      <c r="B40">
        <v>-572</v>
      </c>
      <c r="C40">
        <v>-631</v>
      </c>
      <c r="D40">
        <v>-603</v>
      </c>
      <c r="E40">
        <v>-656</v>
      </c>
      <c r="F40">
        <v>-643</v>
      </c>
      <c r="G40">
        <v>19</v>
      </c>
    </row>
    <row r="41">
      <c r="A41" t="s">
        <v>768</v>
      </c>
      <c r="B41">
        <v>-585</v>
      </c>
      <c r="C41">
        <v>-610</v>
      </c>
      <c r="D41">
        <v>-125</v>
      </c>
      <c r="E41">
        <v>-125</v>
      </c>
      <c r="F41">
        <v>-357</v>
      </c>
      <c r="G41">
        <v>25</v>
      </c>
    </row>
    <row r="42">
      <c r="A42" t="s">
        <v>769</v>
      </c>
      <c r="B42">
        <v>0</v>
      </c>
      <c r="C42">
        <v>-22</v>
      </c>
      <c r="D42">
        <v>-33</v>
      </c>
      <c r="E42">
        <v>-40</v>
      </c>
      <c r="F42">
        <v>-42</v>
      </c>
      <c r="G42">
        <v>27</v>
      </c>
    </row>
    <row r="43">
      <c r="A43" t="s">
        <v>770</v>
      </c>
      <c r="B43">
        <v>-1032</v>
      </c>
      <c r="C43">
        <v>-2530</v>
      </c>
      <c r="D43">
        <v>-29</v>
      </c>
      <c r="E43">
        <v>-35</v>
      </c>
      <c r="F43">
        <v>-43</v>
      </c>
      <c r="G43" t="s">
        <v>771</v>
      </c>
    </row>
    <row r="44">
      <c r="A44" t="s">
        <v>772</v>
      </c>
      <c r="B44">
        <v>27</v>
      </c>
      <c r="C44">
        <v>25</v>
      </c>
      <c r="D44">
        <v>25</v>
      </c>
      <c r="E44">
        <v>24</v>
      </c>
      <c r="F44">
        <v>39</v>
      </c>
      <c r="G44">
        <v>26</v>
      </c>
    </row>
    <row r="45">
      <c r="A45" t="s">
        <v>773</v>
      </c>
      <c r="B45">
        <v>-79</v>
      </c>
      <c r="C45">
        <v>-18</v>
      </c>
      <c r="D45">
        <v>3</v>
      </c>
      <c r="E45">
        <v>3</v>
      </c>
      <c r="F45">
        <v>166</v>
      </c>
      <c r="G45">
        <v>16</v>
      </c>
    </row>
    <row r="46">
      <c r="A46" t="s">
        <v>774</v>
      </c>
      <c r="B46">
        <v>0</v>
      </c>
      <c r="C46">
        <v>-27</v>
      </c>
      <c r="D46">
        <v>0</v>
      </c>
      <c r="E46">
        <v>-12</v>
      </c>
      <c r="F46">
        <v>0</v>
      </c>
      <c r="G46">
        <v>27</v>
      </c>
    </row>
    <row r="47">
      <c r="A47" t="s">
        <v>775</v>
      </c>
      <c r="B47">
        <v>-39</v>
      </c>
      <c r="C47">
        <v>-6</v>
      </c>
    </row>
    <row r="48">
      <c r="A48" t="s">
        <v>776</v>
      </c>
      <c r="B48">
        <v>-2991</v>
      </c>
      <c r="C48">
        <v>-2963</v>
      </c>
      <c r="D48">
        <v>-1425</v>
      </c>
      <c r="E48">
        <v>-1559</v>
      </c>
      <c r="F48">
        <v>-1103</v>
      </c>
    </row>
    <row r="50">
      <c r="A50" t="s">
        <v>777</v>
      </c>
      <c r="B50">
        <v>57</v>
      </c>
      <c r="C50">
        <v>-19</v>
      </c>
      <c r="D50">
        <v>-40</v>
      </c>
      <c r="E50">
        <v>29</v>
      </c>
      <c r="F50">
        <v>-82</v>
      </c>
    </row>
    <row r="51">
      <c r="A51" t="s">
        <v>778</v>
      </c>
      <c r="D51">
        <v>-82</v>
      </c>
      <c r="G51">
        <v>37</v>
      </c>
    </row>
    <row r="52">
      <c r="A52" t="s">
        <v>779</v>
      </c>
      <c r="B52">
        <v>-165</v>
      </c>
      <c r="C52">
        <v>-3031</v>
      </c>
      <c r="D52">
        <v>633</v>
      </c>
      <c r="E52">
        <v>1024</v>
      </c>
      <c r="F52">
        <v>-838</v>
      </c>
    </row>
    <row r="53">
      <c r="A53" t="s">
        <v>780</v>
      </c>
      <c r="B53">
        <v>3994</v>
      </c>
      <c r="C53">
        <v>3828</v>
      </c>
      <c r="D53">
        <v>798</v>
      </c>
      <c r="E53">
        <v>1431</v>
      </c>
      <c r="F53">
        <v>2455</v>
      </c>
      <c r="G53" t="s">
        <v>676</v>
      </c>
    </row>
    <row r="54">
      <c r="A54" t="s">
        <v>781</v>
      </c>
      <c r="B54">
        <v>3828</v>
      </c>
      <c r="C54">
        <v>798</v>
      </c>
      <c r="D54">
        <v>1431</v>
      </c>
      <c r="E54">
        <v>2455</v>
      </c>
      <c r="F54">
        <v>1617</v>
      </c>
      <c r="G54" t="s">
        <v>676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ColWidth="8.375" defaultRowHeight="15"/>
  <sheetData>
    <row r="1">
      <c r="A1" t="s">
        <v>782</v>
      </c>
    </row>
    <row r="2">
      <c r="A2" t="s">
        <v>783</v>
      </c>
    </row>
    <row r="4">
      <c r="A4" t="s">
        <v>620</v>
      </c>
      <c r="B4" t="s">
        <v>621</v>
      </c>
      <c r="C4" t="s">
        <v>622</v>
      </c>
      <c r="D4" t="s">
        <v>623</v>
      </c>
      <c r="E4" t="s">
        <v>624</v>
      </c>
      <c r="F4" t="s">
        <v>625</v>
      </c>
    </row>
    <row r="5">
      <c r="A5" t="s">
        <v>784</v>
      </c>
      <c r="B5">
        <v>6691</v>
      </c>
      <c r="C5">
        <v>7837</v>
      </c>
      <c r="D5">
        <v>5351</v>
      </c>
      <c r="E5">
        <v>4925</v>
      </c>
      <c r="F5">
        <v>5867</v>
      </c>
    </row>
    <row r="6">
      <c r="A6" t="s">
        <v>647</v>
      </c>
      <c r="B6">
        <v>2158</v>
      </c>
      <c r="C6">
        <v>638</v>
      </c>
      <c r="D6">
        <v>-14</v>
      </c>
      <c r="E6">
        <v>832</v>
      </c>
      <c r="F6">
        <v>1385</v>
      </c>
    </row>
    <row r="7">
      <c r="A7" t="s">
        <v>668</v>
      </c>
      <c r="B7">
        <v>573</v>
      </c>
      <c r="C7">
        <v>18</v>
      </c>
      <c r="D7">
        <v>-238</v>
      </c>
      <c r="E7">
        <v>283</v>
      </c>
      <c r="F7">
        <v>-738</v>
      </c>
    </row>
    <row r="8">
      <c r="A8" t="s">
        <v>669</v>
      </c>
      <c r="B8">
        <f>B6+B7</f>
        <v>2731</v>
      </c>
      <c r="C8">
        <f>C6+C7</f>
        <v>656</v>
      </c>
      <c r="D8">
        <f>D6+D7</f>
        <v>-252</v>
      </c>
      <c r="E8">
        <f>E6+E7</f>
        <v>1115</v>
      </c>
      <c r="F8">
        <f>F6+F7</f>
        <v>647</v>
      </c>
    </row>
    <row r="9">
      <c r="A9" t="s">
        <v>785</v>
      </c>
      <c r="B9">
        <v>-585</v>
      </c>
      <c r="C9">
        <v>-632</v>
      </c>
      <c r="D9">
        <v>-158</v>
      </c>
      <c r="E9">
        <v>-165</v>
      </c>
      <c r="F9">
        <v>-399</v>
      </c>
    </row>
    <row r="10">
      <c r="A10" t="s">
        <v>786</v>
      </c>
      <c r="B10">
        <v>-1001</v>
      </c>
      <c r="C10">
        <v>-2481</v>
      </c>
      <c r="D10">
        <v>0</v>
      </c>
      <c r="E10">
        <v>0</v>
      </c>
      <c r="F10">
        <v>0</v>
      </c>
    </row>
    <row r="11">
      <c r="A11" t="s">
        <v>787</v>
      </c>
      <c r="B11">
        <v>1</v>
      </c>
      <c r="C11">
        <v>-4</v>
      </c>
      <c r="D11">
        <v>15</v>
      </c>
      <c r="E11">
        <v>5</v>
      </c>
      <c r="F11">
        <v>9</v>
      </c>
    </row>
    <row r="12">
      <c r="A12" t="s">
        <v>788</v>
      </c>
      <c r="B12">
        <v>0</v>
      </c>
      <c r="C12">
        <v>-25</v>
      </c>
      <c r="D12">
        <v>-31</v>
      </c>
      <c r="E12">
        <v>-13</v>
      </c>
      <c r="F12">
        <v>1</v>
      </c>
    </row>
    <row r="13">
      <c r="A13" t="s">
        <v>789</v>
      </c>
      <c r="B13">
        <f>B5+B8+B9+B10+B11+B12</f>
        <v>7837</v>
      </c>
      <c r="C13">
        <f>C5+C8+C9+C10+C11+C12</f>
        <v>5351</v>
      </c>
      <c r="D13">
        <f>D5+D8+D9+D10+D11+D12</f>
        <v>4925</v>
      </c>
      <c r="E13">
        <f>E5+E8+E9+E10+E11+E12</f>
        <v>5867</v>
      </c>
      <c r="F13">
        <f>F5+F8+F9+F10+F11+F12</f>
        <v>6125</v>
      </c>
    </row>
    <row r="14">
      <c r="A14" t="s">
        <v>790</v>
      </c>
      <c r="B14">
        <v>7837</v>
      </c>
      <c r="C14">
        <v>5351</v>
      </c>
      <c r="D14">
        <v>4925</v>
      </c>
      <c r="E14">
        <v>5867</v>
      </c>
      <c r="F14">
        <v>6125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ColWidth="8.375" defaultRowHeight="15"/>
  <sheetData>
    <row r="1">
      <c r="A1" t="s">
        <v>791</v>
      </c>
    </row>
    <row r="2">
      <c r="A2" t="s">
        <v>792</v>
      </c>
      <c r="B2" t="str">
        <f>IF(COUNTIF(H5:H37,"FAIL")=0,"OK — ALL TIE-OUTS PASS","FAIL")</f>
        <v>OK — ALL TIE-OUTS PASS</v>
      </c>
    </row>
    <row r="4">
      <c r="A4" t="s">
        <v>447</v>
      </c>
      <c r="B4" t="s">
        <v>621</v>
      </c>
      <c r="C4" t="s">
        <v>622</v>
      </c>
      <c r="D4" t="s">
        <v>623</v>
      </c>
      <c r="E4" t="s">
        <v>624</v>
      </c>
      <c r="F4" t="s">
        <v>625</v>
      </c>
      <c r="H4" t="s">
        <v>452</v>
      </c>
    </row>
    <row r="5">
      <c r="A5" t="s">
        <v>793</v>
      </c>
      <c r="B5">
        <f>IS_Hist!B5-IS_Hist!B6-IS_Hist!B7</f>
        <v>0</v>
      </c>
      <c r="C5">
        <f>IS_Hist!C5-IS_Hist!C6-IS_Hist!C7</f>
        <v>0</v>
      </c>
      <c r="D5">
        <f>IS_Hist!D5-IS_Hist!D6-IS_Hist!D7</f>
        <v>-1</v>
      </c>
      <c r="E5">
        <f>IS_Hist!E5-IS_Hist!E6-IS_Hist!E7</f>
        <v>-1</v>
      </c>
      <c r="F5">
        <f>IS_Hist!F5-IS_Hist!F6-IS_Hist!F7</f>
        <v>1</v>
      </c>
      <c r="H5" t="str">
        <f>IF(AND(ABS(N(B5))&lt;=1,ABS(N(C5))&lt;=1,ABS(N(D5))&lt;=1,ABS(N(E5))&lt;=1,ABS(N(F5))&lt;=1),"PASS","FAIL")</f>
        <v>PASS</v>
      </c>
    </row>
    <row r="6">
      <c r="A6" t="s">
        <v>794</v>
      </c>
      <c r="B6">
        <f>IS_Hist!B7+IS_Hist!B8+IS_Hist!B9-IS_Hist!B10-IS_Hist!B19</f>
        <v>1</v>
      </c>
      <c r="C6">
        <f>IS_Hist!C7+IS_Hist!C8+IS_Hist!C9-IS_Hist!C10-IS_Hist!C19</f>
        <v>0</v>
      </c>
      <c r="D6">
        <f>IS_Hist!D7+IS_Hist!D8+IS_Hist!D9-IS_Hist!D10-IS_Hist!D19</f>
        <v>0</v>
      </c>
      <c r="E6">
        <f>IS_Hist!E7+IS_Hist!E8+IS_Hist!E9-IS_Hist!E10-IS_Hist!E19</f>
        <v>-1</v>
      </c>
      <c r="F6">
        <f>IS_Hist!F7+IS_Hist!F8+IS_Hist!F9-IS_Hist!F10-IS_Hist!F19</f>
        <v>-1</v>
      </c>
      <c r="H6" t="str">
        <f>IF(AND(ABS(N(B6))&lt;=1,ABS(N(C6))&lt;=1,ABS(N(D6))&lt;=1,ABS(N(E6))&lt;=1,ABS(N(F6))&lt;=1),"PASS","FAIL")</f>
        <v>PASS</v>
      </c>
    </row>
    <row r="7">
      <c r="A7" t="s">
        <v>795</v>
      </c>
      <c r="B7">
        <f>SUM(IS_Hist!B13:B17)-IS_Hist!B10</f>
        <v>0</v>
      </c>
      <c r="C7">
        <f>SUM(IS_Hist!C13:C17)-IS_Hist!C10</f>
        <v>0</v>
      </c>
      <c r="D7">
        <f>SUM(IS_Hist!D13:D17)-IS_Hist!D10</f>
        <v>0</v>
      </c>
      <c r="E7">
        <f>SUM(IS_Hist!E13:E17)-IS_Hist!E10</f>
        <v>-1</v>
      </c>
      <c r="F7">
        <f>SUM(IS_Hist!F13:F17)-IS_Hist!F10</f>
        <v>0</v>
      </c>
      <c r="H7" t="str">
        <f>IF(AND(ABS(N(B7))&lt;=1,ABS(N(C7))&lt;=1,ABS(N(D7))&lt;=1,ABS(N(E7))&lt;=1,ABS(N(F7))&lt;=1),"PASS","FAIL")</f>
        <v>PASS</v>
      </c>
    </row>
    <row r="8">
      <c r="A8" t="s">
        <v>796</v>
      </c>
      <c r="B8">
        <f>IS_Hist!B19+IS_Hist!B20-IS_Hist!B21-IS_Hist!B22</f>
        <v>0</v>
      </c>
      <c r="C8">
        <f>IS_Hist!C19+IS_Hist!C20-IS_Hist!C21-IS_Hist!C22</f>
        <v>0</v>
      </c>
      <c r="D8">
        <f>IS_Hist!D19+IS_Hist!D20-IS_Hist!D21-IS_Hist!D22</f>
        <v>0</v>
      </c>
      <c r="E8">
        <f>IS_Hist!E19+IS_Hist!E20-IS_Hist!E21-IS_Hist!E22</f>
        <v>0</v>
      </c>
      <c r="F8">
        <f>IS_Hist!F19+IS_Hist!F20-IS_Hist!F21-IS_Hist!F22</f>
        <v>0</v>
      </c>
      <c r="H8" t="str">
        <f>IF(AND(ABS(N(B8))&lt;=1,ABS(N(C8))&lt;=1,ABS(N(D8))&lt;=1,ABS(N(E8))&lt;=1,ABS(N(F8))&lt;=1),"PASS","FAIL")</f>
        <v>PASS</v>
      </c>
    </row>
    <row r="9">
      <c r="A9" t="s">
        <v>797</v>
      </c>
      <c r="B9">
        <f>IS_Hist!B22-IS_Hist!B23-IS_Hist!B24</f>
        <v>0</v>
      </c>
      <c r="C9">
        <f>IS_Hist!C22-IS_Hist!C23-IS_Hist!C24</f>
        <v>0</v>
      </c>
      <c r="D9">
        <f>IS_Hist!D22-IS_Hist!D23-IS_Hist!D24</f>
        <v>-1</v>
      </c>
      <c r="E9">
        <f>IS_Hist!E22-IS_Hist!E23-IS_Hist!E24</f>
        <v>0</v>
      </c>
      <c r="F9">
        <f>IS_Hist!F22-IS_Hist!F23-IS_Hist!F24</f>
        <v>0</v>
      </c>
      <c r="H9" t="str">
        <f>IF(AND(ABS(N(B9))&lt;=1,ABS(N(C9))&lt;=1,ABS(N(D9))&lt;=1,ABS(N(E9))&lt;=1,ABS(N(F9))&lt;=1),"PASS","FAIL")</f>
        <v>PASS</v>
      </c>
    </row>
    <row r="10">
      <c r="A10" t="s">
        <v>798</v>
      </c>
      <c r="B10">
        <f>IS_Hist!B24+IS_Hist!B25-IS_Hist!B26</f>
        <v>0</v>
      </c>
      <c r="C10">
        <f>IS_Hist!C24+IS_Hist!C25-IS_Hist!C26</f>
        <v>0</v>
      </c>
      <c r="D10">
        <f>IS_Hist!D24+IS_Hist!D25-IS_Hist!D26</f>
        <v>0</v>
      </c>
      <c r="E10">
        <f>IS_Hist!E24+IS_Hist!E25-IS_Hist!E26</f>
        <v>0</v>
      </c>
      <c r="F10">
        <f>IS_Hist!F24+IS_Hist!F25-IS_Hist!F26</f>
        <v>0</v>
      </c>
      <c r="H10" t="str">
        <f>IF(AND(ABS(N(B10))&lt;=1,ABS(N(C10))&lt;=1,ABS(N(D10))&lt;=1,ABS(N(E10))&lt;=1,ABS(N(F10))&lt;=1),"PASS","FAIL")</f>
        <v>PASS</v>
      </c>
    </row>
    <row r="11">
      <c r="A11" t="s">
        <v>799</v>
      </c>
      <c r="B11">
        <f>IS_Hist!B29+IS_Hist!B30-IS_Hist!B26</f>
        <v>0</v>
      </c>
      <c r="C11">
        <f>IS_Hist!C29+IS_Hist!C30-IS_Hist!C26</f>
        <v>0</v>
      </c>
      <c r="D11">
        <f>IS_Hist!D29+IS_Hist!D30-IS_Hist!D26</f>
        <v>0</v>
      </c>
      <c r="E11">
        <f>IS_Hist!E29+IS_Hist!E30-IS_Hist!E26</f>
        <v>0</v>
      </c>
      <c r="F11">
        <f>IS_Hist!F29+IS_Hist!F30-IS_Hist!F26</f>
        <v>0</v>
      </c>
      <c r="H11" t="str">
        <f>IF(AND(ABS(N(B11))&lt;=1,ABS(N(C11))&lt;=1,ABS(N(D11))&lt;=1,ABS(N(E11))&lt;=1,ABS(N(F11))&lt;=1),"PASS","FAIL")</f>
        <v>PASS</v>
      </c>
    </row>
    <row r="12">
      <c r="A12" t="s">
        <v>800</v>
      </c>
      <c r="B12">
        <f>CI_Hist!B9+CI_Hist!B16-CI_Hist!B18</f>
        <v>0</v>
      </c>
      <c r="C12">
        <f>CI_Hist!C9+CI_Hist!C16-CI_Hist!C18</f>
        <v>0</v>
      </c>
      <c r="D12">
        <f>CI_Hist!D9+CI_Hist!D16-CI_Hist!D18</f>
        <v>0</v>
      </c>
      <c r="E12">
        <f>CI_Hist!E9+CI_Hist!E16-CI_Hist!E18</f>
        <v>0</v>
      </c>
      <c r="F12">
        <f>CI_Hist!F9+CI_Hist!F16-CI_Hist!F18</f>
        <v>0</v>
      </c>
      <c r="H12" t="str">
        <f>IF(AND(ABS(N(B12))&lt;=1,ABS(N(C12))&lt;=1,ABS(N(D12))&lt;=1,ABS(N(E12))&lt;=1,ABS(N(F12))&lt;=1),"PASS","FAIL")</f>
        <v>PASS</v>
      </c>
    </row>
    <row r="13">
      <c r="A13" t="s">
        <v>801</v>
      </c>
      <c r="B13">
        <f>CI_Hist!B5+CI_Hist!B18-CI_Hist!B19</f>
        <v>0</v>
      </c>
      <c r="C13">
        <f>CI_Hist!C5+CI_Hist!C18-CI_Hist!C19</f>
        <v>0</v>
      </c>
      <c r="D13">
        <f>CI_Hist!D5+CI_Hist!D18-CI_Hist!D19</f>
        <v>0</v>
      </c>
      <c r="E13">
        <f>CI_Hist!E5+CI_Hist!E18-CI_Hist!E19</f>
        <v>0</v>
      </c>
      <c r="F13">
        <f>CI_Hist!F5+CI_Hist!F18-CI_Hist!F19</f>
        <v>0</v>
      </c>
      <c r="H13" t="str">
        <f>IF(AND(ABS(N(B13))&lt;=1,ABS(N(C13))&lt;=1,ABS(N(D13))&lt;=1,ABS(N(E13))&lt;=1,ABS(N(F13))&lt;=1),"PASS","FAIL")</f>
        <v>PASS</v>
      </c>
    </row>
    <row r="14">
      <c r="A14" t="s">
        <v>802</v>
      </c>
      <c r="B14">
        <f>CI_Hist!B22+CI_Hist!B23-CI_Hist!B19</f>
        <v>0</v>
      </c>
      <c r="C14">
        <f>CI_Hist!C22+CI_Hist!C23-CI_Hist!C19</f>
        <v>1</v>
      </c>
      <c r="D14">
        <f>CI_Hist!D22+CI_Hist!D23-CI_Hist!D19</f>
        <v>0</v>
      </c>
      <c r="E14">
        <f>CI_Hist!E22+CI_Hist!E23-CI_Hist!E19</f>
        <v>0</v>
      </c>
      <c r="F14">
        <f>CI_Hist!F22+CI_Hist!F23-CI_Hist!F19</f>
        <v>0</v>
      </c>
      <c r="H14" t="str">
        <f>IF(AND(ABS(N(B14))&lt;=1,ABS(N(C14))&lt;=1,ABS(N(D14))&lt;=1,ABS(N(E14))&lt;=1,ABS(N(F14))&lt;=1),"PASS","FAIL")</f>
        <v>PASS</v>
      </c>
    </row>
    <row r="15">
      <c r="A15" t="s">
        <v>803</v>
      </c>
      <c r="B15">
        <f>CI_Hist!B5-IS_Hist!B26</f>
        <v>0</v>
      </c>
      <c r="C15">
        <f>CI_Hist!C5-IS_Hist!C26</f>
        <v>0</v>
      </c>
      <c r="D15">
        <f>CI_Hist!D5-IS_Hist!D26</f>
        <v>0</v>
      </c>
      <c r="E15">
        <f>CI_Hist!E5-IS_Hist!E26</f>
        <v>0</v>
      </c>
      <c r="F15">
        <f>CI_Hist!F5-IS_Hist!F26</f>
        <v>0</v>
      </c>
      <c r="H15" t="str">
        <f>IF(AND(ABS(N(B15))&lt;=1,ABS(N(C15))&lt;=1,ABS(N(D15))&lt;=1,ABS(N(E15))&lt;=1,ABS(N(F15))&lt;=1),"PASS","FAIL")</f>
        <v>PASS</v>
      </c>
    </row>
    <row r="16">
      <c r="A16" t="s">
        <v>804</v>
      </c>
      <c r="B16">
        <f>SUM(BS_Hist!B7:B14)-BS_Hist!B15</f>
        <v>-1</v>
      </c>
      <c r="C16">
        <f>SUM(BS_Hist!C7:C14)-BS_Hist!C15</f>
        <v>0</v>
      </c>
      <c r="D16">
        <f>SUM(BS_Hist!D7:D14)-BS_Hist!D15</f>
        <v>1</v>
      </c>
      <c r="E16">
        <f>SUM(BS_Hist!E7:E14)-BS_Hist!E15</f>
        <v>1</v>
      </c>
      <c r="F16">
        <f>SUM(BS_Hist!F7:F14)-BS_Hist!F15</f>
        <v>-1</v>
      </c>
      <c r="H16" t="str">
        <f>IF(AND(ABS(N(B16))&lt;=1,ABS(N(C16))&lt;=1,ABS(N(D16))&lt;=1,ABS(N(E16))&lt;=1,ABS(N(F16))&lt;=1),"PASS","FAIL")</f>
        <v>PASS</v>
      </c>
    </row>
    <row r="17">
      <c r="A17" t="s">
        <v>805</v>
      </c>
      <c r="B17">
        <f>SUM(BS_Hist!B17:B24)-BS_Hist!B25</f>
        <v>-1</v>
      </c>
      <c r="C17">
        <f>SUM(BS_Hist!C17:C24)-BS_Hist!C25</f>
        <v>-1</v>
      </c>
      <c r="D17">
        <f>SUM(BS_Hist!D17:D24)-BS_Hist!D25</f>
        <v>-1</v>
      </c>
      <c r="E17">
        <f>SUM(BS_Hist!E17:E24)-BS_Hist!E25</f>
        <v>-1</v>
      </c>
      <c r="F17">
        <f>SUM(BS_Hist!F17:F24)-BS_Hist!F25</f>
        <v>1</v>
      </c>
      <c r="H17" t="str">
        <f>IF(AND(ABS(N(B17))&lt;=1,ABS(N(C17))&lt;=1,ABS(N(D17))&lt;=1,ABS(N(E17))&lt;=1,ABS(N(F17))&lt;=1),"PASS","FAIL")</f>
        <v>PASS</v>
      </c>
    </row>
    <row r="18">
      <c r="A18" t="s">
        <v>806</v>
      </c>
      <c r="B18">
        <f>BS_Hist!B15+BS_Hist!B25-BS_Hist!B27</f>
        <v>0</v>
      </c>
      <c r="C18">
        <f>BS_Hist!C15+BS_Hist!C25-BS_Hist!C27</f>
        <v>-1</v>
      </c>
      <c r="D18">
        <f>BS_Hist!D15+BS_Hist!D25-BS_Hist!D27</f>
        <v>0</v>
      </c>
      <c r="E18">
        <f>BS_Hist!E15+BS_Hist!E25-BS_Hist!E27</f>
        <v>0</v>
      </c>
      <c r="F18">
        <f>BS_Hist!F15+BS_Hist!F25-BS_Hist!F27</f>
        <v>0</v>
      </c>
      <c r="H18" t="str">
        <f>IF(AND(ABS(N(B18))&lt;=1,ABS(N(C18))&lt;=1,ABS(N(D18))&lt;=1,ABS(N(E18))&lt;=1,ABS(N(F18))&lt;=1),"PASS","FAIL")</f>
        <v>PASS</v>
      </c>
    </row>
    <row r="19">
      <c r="A19" t="s">
        <v>807</v>
      </c>
      <c r="B19">
        <f>SUM(BS_Hist!B31:B39)-BS_Hist!B40</f>
        <v>0</v>
      </c>
      <c r="C19">
        <f>SUM(BS_Hist!C31:C39)-BS_Hist!C40</f>
        <v>0</v>
      </c>
      <c r="D19">
        <f>SUM(BS_Hist!D31:D39)-BS_Hist!D40</f>
        <v>0</v>
      </c>
      <c r="E19">
        <f>SUM(BS_Hist!E31:E39)-BS_Hist!E40</f>
        <v>0</v>
      </c>
      <c r="F19">
        <f>SUM(BS_Hist!F31:F39)-BS_Hist!F40</f>
        <v>-1</v>
      </c>
      <c r="H19" t="str">
        <f>IF(AND(ABS(N(B19))&lt;=1,ABS(N(C19))&lt;=1,ABS(N(D19))&lt;=1,ABS(N(E19))&lt;=1,ABS(N(F19))&lt;=1),"PASS","FAIL")</f>
        <v>PASS</v>
      </c>
    </row>
    <row r="20">
      <c r="A20" t="s">
        <v>808</v>
      </c>
      <c r="B20">
        <f>SUM(BS_Hist!B42:B49)-BS_Hist!B50</f>
        <v>1</v>
      </c>
      <c r="C20">
        <f>SUM(BS_Hist!C42:C49)-BS_Hist!C50</f>
        <v>-1</v>
      </c>
      <c r="D20">
        <f>SUM(BS_Hist!D42:D49)-BS_Hist!D50</f>
        <v>0</v>
      </c>
      <c r="E20">
        <f>SUM(BS_Hist!E42:E49)-BS_Hist!E50</f>
        <v>1</v>
      </c>
      <c r="F20">
        <f>SUM(BS_Hist!F42:F49)-BS_Hist!F50</f>
        <v>0</v>
      </c>
      <c r="H20" t="str">
        <f>IF(AND(ABS(N(B20))&lt;=1,ABS(N(C20))&lt;=1,ABS(N(D20))&lt;=1,ABS(N(E20))&lt;=1,ABS(N(F20))&lt;=1),"PASS","FAIL")</f>
        <v>PASS</v>
      </c>
    </row>
    <row r="21">
      <c r="A21" t="s">
        <v>809</v>
      </c>
      <c r="B21">
        <f>BS_Hist!B40+BS_Hist!B50-BS_Hist!B52</f>
        <v>0</v>
      </c>
      <c r="C21">
        <f>BS_Hist!C40+BS_Hist!C50-BS_Hist!C52</f>
        <v>0</v>
      </c>
      <c r="D21">
        <f>BS_Hist!D40+BS_Hist!D50-BS_Hist!D52</f>
        <v>0</v>
      </c>
      <c r="E21">
        <f>BS_Hist!E40+BS_Hist!E50-BS_Hist!E52</f>
        <v>0</v>
      </c>
      <c r="F21">
        <f>BS_Hist!F40+BS_Hist!F50-BS_Hist!F52</f>
        <v>0</v>
      </c>
      <c r="H21" t="str">
        <f>IF(AND(ABS(N(B21))&lt;=1,ABS(N(C21))&lt;=1,ABS(N(D21))&lt;=1,ABS(N(E21))&lt;=1,ABS(N(F21))&lt;=1),"PASS","FAIL")</f>
        <v>PASS</v>
      </c>
    </row>
    <row r="22">
      <c r="A22" t="s">
        <v>810</v>
      </c>
      <c r="B22">
        <f>SUM(BS_Hist!B55:B57)-BS_Hist!B58</f>
        <v>1</v>
      </c>
      <c r="C22">
        <f>SUM(BS_Hist!C55:C57)-BS_Hist!C58</f>
        <v>1</v>
      </c>
      <c r="D22">
        <f>SUM(BS_Hist!D55:D57)-BS_Hist!D58</f>
        <v>1</v>
      </c>
      <c r="E22">
        <f>SUM(BS_Hist!E55:E57)-BS_Hist!E58</f>
        <v>0</v>
      </c>
      <c r="F22">
        <f>SUM(BS_Hist!F55:F57)-BS_Hist!F58</f>
        <v>0</v>
      </c>
      <c r="H22" t="str">
        <f>IF(AND(ABS(N(B22))&lt;=1,ABS(N(C22))&lt;=1,ABS(N(D22))&lt;=1,ABS(N(E22))&lt;=1,ABS(N(F22))&lt;=1),"PASS","FAIL")</f>
        <v>PASS</v>
      </c>
    </row>
    <row r="23">
      <c r="A23" t="s">
        <v>811</v>
      </c>
      <c r="B23">
        <f>BS_Hist!B58+BS_Hist!B59-BS_Hist!B60</f>
        <v>0</v>
      </c>
      <c r="C23">
        <f>BS_Hist!C58+BS_Hist!C59-BS_Hist!C60</f>
        <v>0</v>
      </c>
      <c r="D23">
        <f>BS_Hist!D58+BS_Hist!D59-BS_Hist!D60</f>
        <v>0</v>
      </c>
      <c r="E23">
        <f>BS_Hist!E58+BS_Hist!E59-BS_Hist!E60</f>
        <v>1</v>
      </c>
      <c r="F23">
        <f>BS_Hist!F58+BS_Hist!F59-BS_Hist!F60</f>
        <v>0</v>
      </c>
      <c r="H23" t="str">
        <f>IF(AND(ABS(N(B23))&lt;=1,ABS(N(C23))&lt;=1,ABS(N(D23))&lt;=1,ABS(N(E23))&lt;=1,ABS(N(F23))&lt;=1),"PASS","FAIL")</f>
        <v>PASS</v>
      </c>
    </row>
    <row r="24">
      <c r="A24" t="s">
        <v>812</v>
      </c>
      <c r="B24">
        <f>BS_Hist!B52+BS_Hist!B60-BS_Hist!B62</f>
        <v>-1</v>
      </c>
      <c r="C24">
        <f>BS_Hist!C52+BS_Hist!C60-BS_Hist!C62</f>
        <v>0</v>
      </c>
      <c r="D24">
        <f>BS_Hist!D52+BS_Hist!D60-BS_Hist!D62</f>
        <v>0</v>
      </c>
      <c r="E24">
        <f>BS_Hist!E52+BS_Hist!E60-BS_Hist!E62</f>
        <v>-1</v>
      </c>
      <c r="F24">
        <f>BS_Hist!F52+BS_Hist!F60-BS_Hist!F62</f>
        <v>0</v>
      </c>
      <c r="H24" t="str">
        <f>IF(AND(ABS(N(B24))&lt;=1,ABS(N(C24))&lt;=1,ABS(N(D24))&lt;=1,ABS(N(E24))&lt;=1,ABS(N(F24))&lt;=1),"PASS","FAIL")</f>
        <v>PASS</v>
      </c>
    </row>
    <row r="25">
      <c r="A25" t="s">
        <v>813</v>
      </c>
      <c r="B25">
        <f>BS_Hist!B27-BS_Hist!B62</f>
        <v>0</v>
      </c>
      <c r="C25">
        <f>BS_Hist!C27-BS_Hist!C62</f>
        <v>0</v>
      </c>
      <c r="D25">
        <f>BS_Hist!D27-BS_Hist!D62</f>
        <v>0</v>
      </c>
      <c r="E25">
        <f>BS_Hist!E27-BS_Hist!E62</f>
        <v>0</v>
      </c>
      <c r="F25">
        <f>BS_Hist!F27-BS_Hist!F62</f>
        <v>0</v>
      </c>
      <c r="H25" t="str">
        <f>IF(AND(ABS(N(B25))&lt;=1,ABS(N(C25))&lt;=1,ABS(N(D25))&lt;=1,ABS(N(E25))&lt;=1,ABS(N(F25))&lt;=1),"PASS","FAIL")</f>
        <v>PASS</v>
      </c>
    </row>
    <row r="26">
      <c r="A26" t="s">
        <v>814</v>
      </c>
      <c r="B26">
        <f>SUM(CF_Hist!B6:B13)-CF_Hist!B14</f>
        <v>0</v>
      </c>
      <c r="C26">
        <f>SUM(CF_Hist!C6:C13)-CF_Hist!C14</f>
        <v>1</v>
      </c>
      <c r="D26">
        <f>SUM(CF_Hist!D6:D13)-CF_Hist!D14</f>
        <v>0</v>
      </c>
      <c r="E26">
        <f>SUM(CF_Hist!E6:E13)-CF_Hist!E14</f>
        <v>0</v>
      </c>
      <c r="F26">
        <f>SUM(CF_Hist!F6:F13)-CF_Hist!F14</f>
        <v>0</v>
      </c>
      <c r="H26" t="str">
        <f>IF(AND(ABS(N(B26))&lt;=1,ABS(N(C26))&lt;=1,ABS(N(D26))&lt;=1,ABS(N(E26))&lt;=1,ABS(N(F26))&lt;=1),"PASS","FAIL")</f>
        <v>PASS</v>
      </c>
    </row>
    <row r="27">
      <c r="A27" t="s">
        <v>815</v>
      </c>
      <c r="B27">
        <f>CF_Hist!B14+SUM(CF_Hist!B15:B17)-CF_Hist!B18</f>
        <v>0</v>
      </c>
      <c r="C27">
        <f>CF_Hist!C14+SUM(CF_Hist!C15:C17)-CF_Hist!C18</f>
        <v>0</v>
      </c>
      <c r="D27">
        <f>CF_Hist!D14+SUM(CF_Hist!D15:D17)-CF_Hist!D18</f>
        <v>0</v>
      </c>
      <c r="E27">
        <f>CF_Hist!E14+SUM(CF_Hist!E15:E17)-CF_Hist!E18</f>
        <v>0</v>
      </c>
      <c r="F27">
        <f>CF_Hist!F14+SUM(CF_Hist!F15:F17)-CF_Hist!F18</f>
        <v>0</v>
      </c>
      <c r="H27" t="str">
        <f>IF(AND(ABS(N(B27))&lt;=1,ABS(N(C27))&lt;=1,ABS(N(D27))&lt;=1,ABS(N(E27))&lt;=1,ABS(N(F27))&lt;=1),"PASS","FAIL")</f>
        <v>PASS</v>
      </c>
    </row>
    <row r="28">
      <c r="A28" t="s">
        <v>816</v>
      </c>
      <c r="B28">
        <f>CF_Hist!B18+CF_Hist!B19+CF_Hist!B20-CF_Hist!B21</f>
        <v>0</v>
      </c>
      <c r="C28">
        <f>CF_Hist!C18+CF_Hist!C19+CF_Hist!C20-CF_Hist!C21</f>
        <v>0</v>
      </c>
      <c r="D28">
        <f>CF_Hist!D18+CF_Hist!D19+CF_Hist!D20-CF_Hist!D21</f>
        <v>1</v>
      </c>
      <c r="E28">
        <f>CF_Hist!E18+CF_Hist!E19+CF_Hist!E20-CF_Hist!E21</f>
        <v>1</v>
      </c>
      <c r="F28">
        <f>CF_Hist!F18+CF_Hist!F19+CF_Hist!F20-CF_Hist!F21</f>
        <v>0</v>
      </c>
      <c r="H28" t="str">
        <f>IF(AND(ABS(N(B28))&lt;=1,ABS(N(C28))&lt;=1,ABS(N(D28))&lt;=1,ABS(N(E28))&lt;=1,ABS(N(F28))&lt;=1),"PASS","FAIL")</f>
        <v>PASS</v>
      </c>
    </row>
    <row r="29">
      <c r="A29" t="s">
        <v>817</v>
      </c>
      <c r="B29">
        <f>SUM(CF_Hist!B24:B33)-CF_Hist!B34</f>
        <v>1</v>
      </c>
      <c r="C29">
        <f>SUM(CF_Hist!C24:C33)-CF_Hist!C34</f>
        <v>-1</v>
      </c>
      <c r="D29">
        <f>SUM(CF_Hist!D24:D33)-CF_Hist!D34</f>
        <v>0</v>
      </c>
      <c r="E29">
        <f>SUM(CF_Hist!E24:E33)-CF_Hist!E34</f>
        <v>0</v>
      </c>
      <c r="F29">
        <f>SUM(CF_Hist!F24:F33)-CF_Hist!F34</f>
        <v>1</v>
      </c>
      <c r="H29" t="str">
        <f>IF(AND(ABS(N(B29))&lt;=2,ABS(N(C29))&lt;=2,ABS(N(D29))&lt;=2,ABS(N(E29))&lt;=2,ABS(N(F29))&lt;=2),"PASS","FAIL")</f>
        <v>PASS</v>
      </c>
    </row>
    <row r="30">
      <c r="A30" t="s">
        <v>818</v>
      </c>
      <c r="B30">
        <f>SUM(CF_Hist!B37:B47)-CF_Hist!B48</f>
        <v>0</v>
      </c>
      <c r="C30">
        <f>SUM(CF_Hist!C37:C47)-CF_Hist!C48</f>
        <v>-2</v>
      </c>
      <c r="D30">
        <f>SUM(CF_Hist!D37:D47)-CF_Hist!D48</f>
        <v>0</v>
      </c>
      <c r="E30">
        <f>SUM(CF_Hist!E37:E47)-CF_Hist!E48</f>
        <v>1</v>
      </c>
      <c r="F30">
        <f>SUM(CF_Hist!F37:F47)-CF_Hist!F48</f>
        <v>1</v>
      </c>
      <c r="H30" t="str">
        <f>IF(AND(ABS(N(B30))&lt;=2,ABS(N(C30))&lt;=2,ABS(N(D30))&lt;=2,ABS(N(E30))&lt;=2,ABS(N(F30))&lt;=2),"PASS","FAIL")</f>
        <v>PASS</v>
      </c>
    </row>
    <row r="31">
      <c r="A31" t="s">
        <v>819</v>
      </c>
      <c r="B31">
        <f>CF_Hist!B21+CF_Hist!B34+CF_Hist!B48+CF_Hist!B50+N(CF_Hist!B51)-CF_Hist!B52</f>
        <v>-1</v>
      </c>
      <c r="C31">
        <f>CF_Hist!C21+CF_Hist!C34+CF_Hist!C48+CF_Hist!C50+N(CF_Hist!C51)-CF_Hist!C52</f>
        <v>1</v>
      </c>
      <c r="D31">
        <f>CF_Hist!D21+CF_Hist!D34+CF_Hist!D48+CF_Hist!D50+N(CF_Hist!D51)-CF_Hist!D52</f>
        <v>0</v>
      </c>
      <c r="E31">
        <f>CF_Hist!E21+CF_Hist!E34+CF_Hist!E48+CF_Hist!E50+N(CF_Hist!E51)-CF_Hist!E52</f>
        <v>0</v>
      </c>
      <c r="F31">
        <f>CF_Hist!F21+CF_Hist!F34+CF_Hist!F48+CF_Hist!F50+N(CF_Hist!F51)-CF_Hist!F52</f>
        <v>0</v>
      </c>
      <c r="H31" t="str">
        <f>IF(AND(ABS(N(B31))&lt;=1,ABS(N(C31))&lt;=1,ABS(N(D31))&lt;=1,ABS(N(E31))&lt;=1,ABS(N(F31))&lt;=1),"PASS","FAIL")</f>
        <v>PASS</v>
      </c>
    </row>
    <row r="32">
      <c r="A32" t="s">
        <v>820</v>
      </c>
      <c r="B32">
        <f>CF_Hist!B53+CF_Hist!B52-CF_Hist!B54</f>
        <v>1</v>
      </c>
      <c r="C32">
        <f>CF_Hist!C53+CF_Hist!C52-CF_Hist!C54</f>
        <v>-1</v>
      </c>
      <c r="D32">
        <f>CF_Hist!D53+CF_Hist!D52-CF_Hist!D54</f>
        <v>0</v>
      </c>
      <c r="E32">
        <f>CF_Hist!E53+CF_Hist!E52-CF_Hist!E54</f>
        <v>0</v>
      </c>
      <c r="F32">
        <f>CF_Hist!F53+CF_Hist!F52-CF_Hist!F54</f>
        <v>0</v>
      </c>
      <c r="H32" t="str">
        <f>IF(AND(ABS(N(B32))&lt;=1,ABS(N(C32))&lt;=1,ABS(N(D32))&lt;=1,ABS(N(E32))&lt;=1,ABS(N(F32))&lt;=1),"PASS","FAIL")</f>
        <v>PASS</v>
      </c>
    </row>
    <row r="33">
      <c r="A33" t="s">
        <v>821</v>
      </c>
      <c r="B33">
        <f>CF_Hist!B54-BS_Hist!B7</f>
        <v>0</v>
      </c>
      <c r="C33">
        <f>CF_Hist!C54-BS_Hist!C7</f>
        <v>0</v>
      </c>
      <c r="D33">
        <f>CF_Hist!D54-BS_Hist!D7</f>
        <v>0</v>
      </c>
      <c r="E33">
        <f>CF_Hist!E54-BS_Hist!E7</f>
        <v>0</v>
      </c>
      <c r="F33">
        <f>CF_Hist!F54-BS_Hist!F7</f>
        <v>0</v>
      </c>
      <c r="H33" t="str">
        <f>IF(AND(ABS(N(B33))&lt;=1,ABS(N(C33))&lt;=1,ABS(N(D33))&lt;=1,ABS(N(E33))&lt;=1,ABS(N(F33))&lt;=1),"PASS","FAIL")</f>
        <v>PASS</v>
      </c>
    </row>
    <row r="34">
      <c r="A34" t="s">
        <v>822</v>
      </c>
      <c r="B34">
        <f>SCE_Hist!B13-SCE_Hist!B14</f>
        <v>0</v>
      </c>
      <c r="C34">
        <f>SCE_Hist!C13-SCE_Hist!C14</f>
        <v>0</v>
      </c>
      <c r="D34">
        <f>SCE_Hist!D13-SCE_Hist!D14</f>
        <v>0</v>
      </c>
      <c r="E34">
        <f>SCE_Hist!E13-SCE_Hist!E14</f>
        <v>0</v>
      </c>
      <c r="F34">
        <f>SCE_Hist!F13-SCE_Hist!F14</f>
        <v>0</v>
      </c>
      <c r="H34" t="str">
        <f>IF(AND(ABS(N(B34))&lt;=1,ABS(N(C34))&lt;=1,ABS(N(D34))&lt;=1,ABS(N(E34))&lt;=1,ABS(N(F34))&lt;=1),"PASS","FAIL")</f>
        <v>PASS</v>
      </c>
    </row>
    <row r="35">
      <c r="A35" t="s">
        <v>823</v>
      </c>
      <c r="B35">
        <f>SCE_Hist!B14-BS_Hist!B60</f>
        <v>0</v>
      </c>
      <c r="C35">
        <f>SCE_Hist!C14-BS_Hist!C60</f>
        <v>0</v>
      </c>
      <c r="D35">
        <f>SCE_Hist!D14-BS_Hist!D60</f>
        <v>0</v>
      </c>
      <c r="E35">
        <f>SCE_Hist!E14-BS_Hist!E60</f>
        <v>0</v>
      </c>
      <c r="F35">
        <f>SCE_Hist!F14-BS_Hist!F60</f>
        <v>0</v>
      </c>
      <c r="H35" t="str">
        <f>IF(AND(ABS(N(B35))&lt;=1,ABS(N(C35))&lt;=1,ABS(N(D35))&lt;=1,ABS(N(E35))&lt;=1,ABS(N(F35))&lt;=1),"PASS","FAIL")</f>
        <v>PASS</v>
      </c>
    </row>
    <row r="36">
      <c r="A36" t="s">
        <v>824</v>
      </c>
      <c r="B36">
        <f>SCE_Hist!B6-IS_Hist!B26</f>
        <v>0</v>
      </c>
      <c r="C36">
        <f>SCE_Hist!C6-IS_Hist!C26</f>
        <v>0</v>
      </c>
      <c r="D36">
        <f>SCE_Hist!D6-IS_Hist!D26</f>
        <v>0</v>
      </c>
      <c r="E36">
        <f>SCE_Hist!E6-IS_Hist!E26</f>
        <v>0</v>
      </c>
      <c r="F36">
        <f>SCE_Hist!F6-IS_Hist!F26</f>
        <v>0</v>
      </c>
      <c r="H36" t="str">
        <f>IF(AND(ABS(N(B36))&lt;=1,ABS(N(C36))&lt;=1,ABS(N(D36))&lt;=1,ABS(N(E36))&lt;=1,ABS(N(F36))&lt;=1),"PASS","FAIL")</f>
        <v>PASS</v>
      </c>
    </row>
    <row r="37">
      <c r="A37" t="s">
        <v>825</v>
      </c>
      <c r="C37">
        <f>CF_Hist!C53-CF_Hist!B54</f>
        <v>0</v>
      </c>
      <c r="D37">
        <f>CF_Hist!D53-CF_Hist!C54</f>
        <v>0</v>
      </c>
      <c r="E37">
        <f>CF_Hist!E53-CF_Hist!D54</f>
        <v>0</v>
      </c>
      <c r="F37">
        <f>CF_Hist!F53-CF_Hist!E54</f>
        <v>0</v>
      </c>
      <c r="H37" t="str">
        <f>IF(AND(ABS(N(C37))&lt;=1,ABS(N(D37))&lt;=1,ABS(N(E37))&lt;=1,ABS(N(F37))&lt;=1),"PASS","FAIL")</f>
        <v>PASS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ColWidth="8.375" defaultRowHeight="15"/>
  <sheetData>
    <row r="1">
      <c r="A1" t="s">
        <v>826</v>
      </c>
    </row>
    <row r="3">
      <c r="A3" t="s">
        <v>827</v>
      </c>
      <c r="B3" t="s">
        <v>828</v>
      </c>
      <c r="C3" t="s">
        <v>829</v>
      </c>
      <c r="D3" t="s">
        <v>830</v>
      </c>
      <c r="E3" t="s">
        <v>831</v>
      </c>
      <c r="F3" t="s">
        <v>832</v>
      </c>
      <c r="G3" t="s">
        <v>833</v>
      </c>
      <c r="H3" t="s">
        <v>834</v>
      </c>
    </row>
    <row r="4">
      <c r="A4" t="s">
        <v>621</v>
      </c>
      <c r="B4" t="s">
        <v>835</v>
      </c>
      <c r="C4" t="s">
        <v>836</v>
      </c>
      <c r="D4">
        <v>4</v>
      </c>
      <c r="E4">
        <v>5</v>
      </c>
      <c r="F4">
        <v>6</v>
      </c>
      <c r="G4" t="s">
        <v>837</v>
      </c>
    </row>
    <row r="5">
      <c r="A5" t="s">
        <v>622</v>
      </c>
      <c r="B5" t="s">
        <v>838</v>
      </c>
      <c r="C5" t="s">
        <v>836</v>
      </c>
      <c r="D5" t="s">
        <v>839</v>
      </c>
      <c r="E5">
        <v>6</v>
      </c>
      <c r="F5" t="s">
        <v>837</v>
      </c>
      <c r="G5" t="s">
        <v>840</v>
      </c>
    </row>
    <row r="6">
      <c r="A6" t="s">
        <v>623</v>
      </c>
      <c r="B6" t="s">
        <v>841</v>
      </c>
      <c r="C6" t="s">
        <v>836</v>
      </c>
      <c r="D6">
        <v>4</v>
      </c>
      <c r="E6">
        <v>5</v>
      </c>
      <c r="F6" t="s">
        <v>842</v>
      </c>
      <c r="G6" t="s">
        <v>843</v>
      </c>
    </row>
    <row r="7">
      <c r="A7" t="s">
        <v>624</v>
      </c>
      <c r="B7" t="s">
        <v>844</v>
      </c>
      <c r="C7" t="s">
        <v>836</v>
      </c>
      <c r="D7">
        <v>4</v>
      </c>
      <c r="E7">
        <v>5</v>
      </c>
      <c r="F7">
        <v>6</v>
      </c>
      <c r="G7" t="s">
        <v>837</v>
      </c>
    </row>
    <row r="8">
      <c r="A8" t="s">
        <v>625</v>
      </c>
      <c r="B8" t="s">
        <v>845</v>
      </c>
      <c r="C8" t="s">
        <v>836</v>
      </c>
      <c r="D8">
        <v>4</v>
      </c>
      <c r="E8">
        <v>5</v>
      </c>
      <c r="F8">
        <v>6</v>
      </c>
      <c r="G8">
        <v>7</v>
      </c>
    </row>
    <row r="10">
      <c r="A10" t="s">
        <v>846</v>
      </c>
    </row>
    <row r="11">
      <c r="A11" t="s">
        <v>847</v>
      </c>
    </row>
    <row r="12">
      <c r="A12" t="s">
        <v>848</v>
      </c>
    </row>
    <row r="13">
      <c r="A13" t="s">
        <v>849</v>
      </c>
    </row>
    <row r="14">
      <c r="A14" t="s">
        <v>850</v>
      </c>
    </row>
    <row r="15">
      <c r="A15" t="s">
        <v>851</v>
      </c>
    </row>
    <row r="16">
      <c r="A16" t="s">
        <v>852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ColWidth="8.375" defaultRowHeight="15"/>
  <sheetData>
    <row r="1">
      <c r="A1" t="s">
        <v>853</v>
      </c>
    </row>
    <row r="3">
      <c r="A3" t="s">
        <v>854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ColWidth="8.375" defaultRowHeight="15"/>
  <sheetData>
    <row r="1">
      <c r="A1" t="s">
        <v>855</v>
      </c>
    </row>
    <row r="2">
      <c r="A2" t="s">
        <v>856</v>
      </c>
    </row>
    <row r="4">
      <c r="A4" t="s">
        <v>857</v>
      </c>
      <c r="B4">
        <v>1</v>
      </c>
    </row>
    <row r="6">
      <c r="A6" t="s">
        <v>858</v>
      </c>
      <c r="B6" t="s">
        <v>248</v>
      </c>
      <c r="C6" t="s">
        <v>859</v>
      </c>
      <c r="D6" t="s">
        <v>860</v>
      </c>
      <c r="E6" t="s">
        <v>861</v>
      </c>
      <c r="F6" t="s">
        <v>862</v>
      </c>
    </row>
    <row r="7">
      <c r="A7" t="s">
        <v>863</v>
      </c>
      <c r="B7">
        <v>0.07</v>
      </c>
      <c r="C7">
        <v>0.06</v>
      </c>
      <c r="D7">
        <v>0.055</v>
      </c>
      <c r="E7">
        <v>0.05</v>
      </c>
      <c r="F7">
        <v>0.045</v>
      </c>
    </row>
    <row r="8">
      <c r="A8" t="s">
        <v>864</v>
      </c>
      <c r="B8">
        <v>0.1</v>
      </c>
      <c r="C8">
        <v>0.09</v>
      </c>
      <c r="D8">
        <v>0.08</v>
      </c>
      <c r="E8">
        <v>0.07</v>
      </c>
      <c r="F8">
        <v>0.065</v>
      </c>
    </row>
    <row r="9">
      <c r="A9" t="s">
        <v>865</v>
      </c>
      <c r="B9">
        <v>0.03</v>
      </c>
      <c r="C9">
        <v>0.02</v>
      </c>
      <c r="D9">
        <v>0.02</v>
      </c>
      <c r="E9">
        <v>0.015</v>
      </c>
      <c r="F9">
        <v>0.015</v>
      </c>
    </row>
    <row r="10">
      <c r="A10" t="s">
        <v>866</v>
      </c>
      <c r="B10">
        <v>0.52</v>
      </c>
      <c r="C10">
        <v>0.523</v>
      </c>
      <c r="D10">
        <v>0.526</v>
      </c>
      <c r="E10">
        <v>0.528</v>
      </c>
      <c r="F10">
        <v>0.53</v>
      </c>
    </row>
    <row r="11">
      <c r="A11" t="s">
        <v>867</v>
      </c>
      <c r="B11">
        <v>0.53</v>
      </c>
      <c r="C11">
        <v>0.535</v>
      </c>
      <c r="D11">
        <v>0.538</v>
      </c>
      <c r="E11">
        <v>0.54</v>
      </c>
      <c r="F11">
        <v>0.542</v>
      </c>
    </row>
    <row r="12">
      <c r="A12" t="s">
        <v>868</v>
      </c>
      <c r="B12">
        <v>0.505</v>
      </c>
      <c r="C12">
        <v>0.5</v>
      </c>
      <c r="D12">
        <v>0.498</v>
      </c>
      <c r="E12">
        <v>0.495</v>
      </c>
      <c r="F12">
        <v>0.493</v>
      </c>
    </row>
    <row r="13">
      <c r="A13" t="s">
        <v>869</v>
      </c>
      <c r="B13">
        <v>0.435</v>
      </c>
      <c r="C13">
        <v>0.43</v>
      </c>
      <c r="D13">
        <v>0.425</v>
      </c>
      <c r="E13">
        <v>0.42</v>
      </c>
      <c r="F13">
        <v>0.418</v>
      </c>
    </row>
    <row r="14">
      <c r="A14" t="s">
        <v>870</v>
      </c>
      <c r="B14">
        <v>0.42</v>
      </c>
      <c r="C14">
        <v>0.412</v>
      </c>
      <c r="D14">
        <v>0.405</v>
      </c>
      <c r="E14">
        <v>0.4</v>
      </c>
      <c r="F14">
        <v>0.397</v>
      </c>
    </row>
    <row r="15">
      <c r="A15" t="s">
        <v>871</v>
      </c>
      <c r="B15">
        <v>0.45</v>
      </c>
      <c r="C15">
        <v>0.448</v>
      </c>
      <c r="D15">
        <v>0.445</v>
      </c>
      <c r="E15">
        <v>0.443</v>
      </c>
      <c r="F15">
        <v>0.44</v>
      </c>
    </row>
    <row r="16">
      <c r="A16" t="s">
        <v>872</v>
      </c>
      <c r="B16">
        <v>0.01</v>
      </c>
      <c r="C16">
        <v>0.009</v>
      </c>
      <c r="D16">
        <v>0.008</v>
      </c>
      <c r="E16">
        <v>0.008</v>
      </c>
      <c r="F16">
        <v>0.007</v>
      </c>
    </row>
    <row r="17">
      <c r="A17" t="s">
        <v>873</v>
      </c>
      <c r="B17">
        <v>0.25</v>
      </c>
      <c r="C17">
        <v>0.25</v>
      </c>
      <c r="D17">
        <v>0.25</v>
      </c>
      <c r="E17">
        <v>0.25</v>
      </c>
      <c r="F17">
        <v>0.25</v>
      </c>
    </row>
    <row r="18">
      <c r="A18" t="s">
        <v>874</v>
      </c>
      <c r="B18">
        <v>0.02</v>
      </c>
      <c r="C18">
        <v>0.02</v>
      </c>
      <c r="D18">
        <v>0.02</v>
      </c>
      <c r="E18">
        <v>0.02</v>
      </c>
      <c r="F18">
        <v>0.02</v>
      </c>
    </row>
    <row r="19">
      <c r="A19" t="s">
        <v>875</v>
      </c>
      <c r="B19">
        <v>0.048</v>
      </c>
      <c r="C19">
        <v>0.047</v>
      </c>
      <c r="D19">
        <v>0.046</v>
      </c>
      <c r="E19">
        <v>0.045</v>
      </c>
      <c r="F19">
        <v>0.045</v>
      </c>
    </row>
    <row r="22">
      <c r="A22" t="s">
        <v>876</v>
      </c>
      <c r="B22" t="s">
        <v>248</v>
      </c>
      <c r="C22" t="s">
        <v>859</v>
      </c>
      <c r="D22" t="s">
        <v>860</v>
      </c>
      <c r="E22" t="s">
        <v>861</v>
      </c>
      <c r="F22" t="s">
        <v>862</v>
      </c>
    </row>
    <row r="23">
      <c r="A23" t="s">
        <v>45</v>
      </c>
      <c r="B23">
        <f>IS_Hist!F5*(1+CHOOSE($B$4,B7,B8,B9))</f>
        <v>26547.77</v>
      </c>
      <c r="C23">
        <f>B23*(1+CHOOSE($B$4,C7,C8,C9))</f>
        <v>28140.6362</v>
      </c>
      <c r="D23">
        <f>C23*(1+CHOOSE($B$4,D7,D8,D9))</f>
        <v>29688.371191</v>
      </c>
      <c r="E23">
        <f>D23*(1+CHOOSE($B$4,E7,E8,E9))</f>
        <v>31172.78975055</v>
      </c>
      <c r="F23">
        <f>E23*(1+CHOOSE($B$4,F7,F8,F9))</f>
        <v>32575.56528932475</v>
      </c>
    </row>
    <row r="24">
      <c r="A24" t="s">
        <v>79</v>
      </c>
      <c r="B24">
        <f>B23*CHOOSE($B$4,B10,B11,B12)</f>
        <v>13804.840400000001</v>
      </c>
      <c r="C24">
        <f>C23*CHOOSE($B$4,C10,C11,C12)</f>
        <v>14717.552732600001</v>
      </c>
      <c r="D24">
        <f>D23*CHOOSE($B$4,D10,D11,D12)</f>
        <v>15616.083246466</v>
      </c>
      <c r="E24">
        <f>E23*CHOOSE($B$4,E10,E11,E12)</f>
        <v>16459.2329882904</v>
      </c>
      <c r="F24">
        <f>F23*CHOOSE($B$4,F10,F11,F12)</f>
        <v>17265.04960334212</v>
      </c>
    </row>
    <row r="25">
      <c r="A25" t="s">
        <v>877</v>
      </c>
      <c r="B25">
        <f>B23*(CHOOSE($B$4,B10,B11,B12)-CHOOSE($B$4,B13,B14,B15))</f>
        <v>2256.5604500000004</v>
      </c>
      <c r="C25">
        <f>C23*(CHOOSE($B$4,C10,C11,C12)-CHOOSE($B$4,C13,C14,C15))</f>
        <v>2617.079166600001</v>
      </c>
      <c r="D25">
        <f>D23*(CHOOSE($B$4,D10,D11,D12)-CHOOSE($B$4,D13,D14,D15))</f>
        <v>2998.525490291001</v>
      </c>
      <c r="E25">
        <f>E23*(CHOOSE($B$4,E10,E11,E12)-CHOOSE($B$4,E13,E14,E15))</f>
        <v>3366.6612930594015</v>
      </c>
      <c r="F25">
        <f>F23*(CHOOSE($B$4,F10,F11,F12)-CHOOSE($B$4,F13,F14,F15))</f>
        <v>3648.4633124043735</v>
      </c>
    </row>
    <row r="26">
      <c r="A26" t="s">
        <v>878</v>
      </c>
      <c r="B26">
        <f>B23*B16</f>
        <v>265.4777</v>
      </c>
      <c r="C26">
        <f>C23*C16</f>
        <v>253.26572579999998</v>
      </c>
      <c r="D26">
        <f>D23*D16</f>
        <v>237.50696952799998</v>
      </c>
      <c r="E26">
        <f>E23*E16</f>
        <v>249.38231800440002</v>
      </c>
      <c r="F26">
        <f>F23*F16</f>
        <v>228.02895702527326</v>
      </c>
    </row>
    <row r="27">
      <c r="A27" t="s">
        <v>642</v>
      </c>
      <c r="B27">
        <f>B25-B26</f>
        <v>1991.0827500000005</v>
      </c>
      <c r="C27">
        <f>C25-C26</f>
        <v>2363.813440800001</v>
      </c>
      <c r="D27">
        <f>D25-D26</f>
        <v>2761.018520763001</v>
      </c>
      <c r="E27">
        <f>E25-E26</f>
        <v>3117.2789750550014</v>
      </c>
      <c r="F27">
        <f>F25-F26</f>
        <v>3420.4343553791005</v>
      </c>
    </row>
    <row r="28">
      <c r="A28" t="s">
        <v>643</v>
      </c>
      <c r="B28">
        <f>B27*B17</f>
        <v>497.7706875000001</v>
      </c>
      <c r="C28">
        <f>C27*C17</f>
        <v>590.9533602000002</v>
      </c>
      <c r="D28">
        <f>D27*D17</f>
        <v>690.2546301907503</v>
      </c>
      <c r="E28">
        <f>E27*E17</f>
        <v>779.3197437637504</v>
      </c>
      <c r="F28">
        <f>F27*F17</f>
        <v>855.1085888447751</v>
      </c>
    </row>
    <row r="29">
      <c r="A29" t="s">
        <v>879</v>
      </c>
      <c r="B29">
        <f>B27-B28</f>
        <v>1493.3120625000004</v>
      </c>
      <c r="C29">
        <f>C27-C28</f>
        <v>1772.8600806000009</v>
      </c>
      <c r="D29">
        <f>D27-D28</f>
        <v>2070.7638905722506</v>
      </c>
      <c r="E29">
        <f>E27-E28</f>
        <v>2337.959231291251</v>
      </c>
      <c r="F29">
        <f>F27-F28</f>
        <v>2565.3257665343253</v>
      </c>
    </row>
    <row r="30">
      <c r="A30" t="s">
        <v>413</v>
      </c>
      <c r="B30">
        <f>B23*B19</f>
        <v>1274.29296</v>
      </c>
      <c r="C30">
        <f>C23*C19</f>
        <v>1322.6099014000001</v>
      </c>
      <c r="D30">
        <f>D23*D19</f>
        <v>1365.6650747859999</v>
      </c>
      <c r="E30">
        <f>E23*E19</f>
        <v>1402.77553877475</v>
      </c>
      <c r="F30">
        <f>F23*F19</f>
        <v>1465.9004380196136</v>
      </c>
    </row>
    <row r="31">
      <c r="A31" t="s">
        <v>880</v>
      </c>
      <c r="B31">
        <f>B23*B18</f>
        <v>530.9554</v>
      </c>
      <c r="C31">
        <f>C23*C18</f>
        <v>562.812724</v>
      </c>
      <c r="D31">
        <f>D23*D18</f>
        <v>593.76742382</v>
      </c>
      <c r="E31">
        <f>E23*E18</f>
        <v>623.4557950110001</v>
      </c>
      <c r="F31">
        <f>F23*F18</f>
        <v>651.511305786495</v>
      </c>
    </row>
    <row r="32">
      <c r="A32" t="s">
        <v>881</v>
      </c>
      <c r="B32">
        <f>B29+B30-B31</f>
        <v>2236.6496225</v>
      </c>
      <c r="C32">
        <f>C29+C30-C31</f>
        <v>2532.657258000001</v>
      </c>
      <c r="D32">
        <f>D29+D30-D31</f>
        <v>2842.6615415382503</v>
      </c>
      <c r="E32">
        <f>E29+E30-E31</f>
        <v>3117.278975055001</v>
      </c>
      <c r="F32">
        <f>F29+F30-F31</f>
        <v>3379.714898767444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/>
  </sheetViews>
  <sheetFormatPr defaultColWidth="8.375" defaultRowHeight="15"/>
  <cols>
    <col min="1" max="1" width="8.70703125" customWidth="1"/>
    <col min="2" max="2" width="18.0390625" customWidth="1"/>
    <col min="3" max="4" width="57.70703125" customWidth="1"/>
    <col min="5" max="5" width="81.0390625" customWidth="1"/>
    <col min="6" max="6" width="46.0390625" customWidth="1"/>
  </cols>
  <sheetData>
    <row r="1">
      <c r="A1" s="51" t="s">
        <v>882</v>
      </c>
      <c r="B1" s="51" t="s">
        <v>539</v>
      </c>
      <c r="C1" s="51" t="s">
        <v>883</v>
      </c>
      <c r="D1" s="51" t="s">
        <v>884</v>
      </c>
      <c r="E1" s="51" t="s">
        <v>885</v>
      </c>
      <c r="F1" s="51" t="s">
        <v>886</v>
      </c>
    </row>
    <row r="2">
      <c r="A2" s="50">
        <v>1</v>
      </c>
      <c r="B2" s="52">
        <v>46324.35932238426</v>
      </c>
      <c r="C2" s="50" t="s">
        <v>887</v>
      </c>
      <c r="D2" s="50" t="s">
        <v>888</v>
      </c>
      <c r="E2" s="50" t="s">
        <v>889</v>
      </c>
      <c r="F2" s="50" t="s">
        <v>890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